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ance" sheetId="1" r:id="rId5"/>
    <sheet state="visible" name="candidats" sheetId="2" r:id="rId6"/>
    <sheet state="visible" name="Pivot Table 28" sheetId="3" r:id="rId7"/>
    <sheet state="visible" name="Sheet5" sheetId="4" r:id="rId8"/>
    <sheet state="visible" name="Pivot Table 26" sheetId="5" r:id="rId9"/>
    <sheet state="visible" name="hypothèses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<sst xmlns="http://schemas.openxmlformats.org/spreadsheetml/2006/main" count="2066" uniqueCount="756">
  <si>
    <t>Libellé</t>
  </si>
  <si>
    <t>Signification</t>
  </si>
  <si>
    <t>G</t>
  </si>
  <si>
    <t>LEXG</t>
  </si>
  <si>
    <t>Liste Extrême gauche</t>
  </si>
  <si>
    <t>LFG</t>
  </si>
  <si>
    <t>Liste du Front de Gauche</t>
  </si>
  <si>
    <t>LPG</t>
  </si>
  <si>
    <t>Liste du Parti de Gauche</t>
  </si>
  <si>
    <t>LCOM</t>
  </si>
  <si>
    <t>Liste du Parti communiste français</t>
  </si>
  <si>
    <t>LVEG</t>
  </si>
  <si>
    <t>Liste Europe Ecologie-Les Verts et gauche</t>
  </si>
  <si>
    <t>LSOC</t>
  </si>
  <si>
    <t>Liste du Parti Socialiste</t>
  </si>
  <si>
    <t>LUG</t>
  </si>
  <si>
    <t>Liste Union de la Gauche</t>
  </si>
  <si>
    <t>LRDG</t>
  </si>
  <si>
    <t>Liste du Parti radical de gauche</t>
  </si>
  <si>
    <t>LDVG</t>
  </si>
  <si>
    <t>Liste Divers gauche</t>
  </si>
  <si>
    <t>LVEC</t>
  </si>
  <si>
    <t>Liste d’Europe-Ecologie-Les Verts</t>
  </si>
  <si>
    <t>LECO</t>
  </si>
  <si>
    <t>Liste Ecologiste</t>
  </si>
  <si>
    <t>LDIV</t>
  </si>
  <si>
    <t>Liste Divers</t>
  </si>
  <si>
    <t>C</t>
  </si>
  <si>
    <t>LREG</t>
  </si>
  <si>
    <t>Liste Régionaliste</t>
  </si>
  <si>
    <t>D</t>
  </si>
  <si>
    <t>LMDM</t>
  </si>
  <si>
    <t>Liste du Modem</t>
  </si>
  <si>
    <t>LUDI</t>
  </si>
  <si>
    <t>Liste de l’Union des Démocrates et des Indépendants</t>
  </si>
  <si>
    <t>LLR</t>
  </si>
  <si>
    <t>Liste « Les Républicains »</t>
  </si>
  <si>
    <t>LUD</t>
  </si>
  <si>
    <t>Liste Union de la Droite</t>
  </si>
  <si>
    <t>LDLF</t>
  </si>
  <si>
    <t>Liste Debout la France</t>
  </si>
  <si>
    <t>LDVD</t>
  </si>
  <si>
    <t>Liste Divers droite</t>
  </si>
  <si>
    <t>LFN</t>
  </si>
  <si>
    <t>Liste Front National</t>
  </si>
  <si>
    <t>LEXD</t>
  </si>
  <si>
    <t>Liste Extrême droite</t>
  </si>
  <si>
    <t>Date de l'export</t>
  </si>
  <si>
    <t>Code de la région</t>
  </si>
  <si>
    <t>Libellé de la région</t>
  </si>
  <si>
    <t>decoupage</t>
  </si>
  <si>
    <t>Code section électorale</t>
  </si>
  <si>
    <t>Libellé section électorale</t>
  </si>
  <si>
    <t>N° Panneau Liste</t>
  </si>
  <si>
    <t>Code Dépôt Liste</t>
  </si>
  <si>
    <t>Libellé abrégé liste</t>
  </si>
  <si>
    <t>Libellé Etendu Liste</t>
  </si>
  <si>
    <t>categorie</t>
  </si>
  <si>
    <t>Nuance Liste</t>
  </si>
  <si>
    <t>Tête de Liste</t>
  </si>
  <si>
    <t>n° candidat</t>
  </si>
  <si>
    <t>Sexe candidat</t>
  </si>
  <si>
    <t>Nom candidat</t>
  </si>
  <si>
    <t>Prénom candidat</t>
  </si>
  <si>
    <t>Date naissance candidat</t>
  </si>
  <si>
    <t>Profession candidat</t>
  </si>
  <si>
    <t>Personnalité candidat</t>
  </si>
  <si>
    <t>Le candidat est sortant</t>
  </si>
  <si>
    <t>Alsace - Champagne-Ardenne - Lorraine</t>
  </si>
  <si>
    <t>Bas-Rhin</t>
  </si>
  <si>
    <t>EUROPE ECOLOGIE LES VERTS</t>
  </si>
  <si>
    <t>ÉCOLOGISTES, SOLIDAIRES ET CITOYENS</t>
  </si>
  <si>
    <t>OUI</t>
  </si>
  <si>
    <t>F</t>
  </si>
  <si>
    <t>BÉLIER</t>
  </si>
  <si>
    <t>Sandrine</t>
  </si>
  <si>
    <t>Industriel-Chef entreprise</t>
  </si>
  <si>
    <t>Non</t>
  </si>
  <si>
    <t>Moselle</t>
  </si>
  <si>
    <t>Nos vies d'abord !</t>
  </si>
  <si>
    <t>M</t>
  </si>
  <si>
    <t>PERON</t>
  </si>
  <si>
    <t>Patrick</t>
  </si>
  <si>
    <t>Retraité salarié privé</t>
  </si>
  <si>
    <t>Vosges</t>
  </si>
  <si>
    <t>DEBOUT LA FRANCE</t>
  </si>
  <si>
    <t>DEBOUT LA FRANCE AVEC NICOLAS DUPONT-AIGNAN</t>
  </si>
  <si>
    <t>JACOBELLI</t>
  </si>
  <si>
    <t>Laurent</t>
  </si>
  <si>
    <t>PARTI SOCIALISTE</t>
  </si>
  <si>
    <t>+ FORTE, + PROCHE, NOTRE REGION AVEC JEAN-PIERRE MASSERET</t>
  </si>
  <si>
    <t>MASSERET</t>
  </si>
  <si>
    <t>Jean-Pierre</t>
  </si>
  <si>
    <t>Retraité fonct.publique (sf enseig.)</t>
  </si>
  <si>
    <t>SEN,PCR</t>
  </si>
  <si>
    <t>Oui</t>
  </si>
  <si>
    <t>FRONT NATIONAL</t>
  </si>
  <si>
    <t>LISTE FRONT NATIONAL PRESENTEE PAR MARINE LE PEN</t>
  </si>
  <si>
    <t>PHILIPPOT</t>
  </si>
  <si>
    <t>Florian</t>
  </si>
  <si>
    <t>Grands corps de l'état</t>
  </si>
  <si>
    <t>RPE</t>
  </si>
  <si>
    <t>UPR</t>
  </si>
  <si>
    <t>L'UPR, avec FRANÇOIS ASSELINEAU - LE PARTI QUI MONTE malgré le silence des médias</t>
  </si>
  <si>
    <t>WENTZEL</t>
  </si>
  <si>
    <t>David</t>
  </si>
  <si>
    <t>Agent subalterne (entr.publiques)</t>
  </si>
  <si>
    <t>Haut-Rhin</t>
  </si>
  <si>
    <t>LUTTE OUVRIERE</t>
  </si>
  <si>
    <t>Lutte ouvrière - Faire entendre le camp des travailleurs</t>
  </si>
  <si>
    <t>WOSTYN</t>
  </si>
  <si>
    <t>Julien</t>
  </si>
  <si>
    <t>Ouvrier (secteur privé)</t>
  </si>
  <si>
    <t>LISTE RÉGIONALISTE</t>
  </si>
  <si>
    <t>Non à l'ACAL, Oui à nos régions !</t>
  </si>
  <si>
    <t>TROUILLET</t>
  </si>
  <si>
    <t>Jean-Georges</t>
  </si>
  <si>
    <t>Ingénieur</t>
  </si>
  <si>
    <t>Unissons nos énergies avec Philippe RICHERT</t>
  </si>
  <si>
    <t>RICHERT</t>
  </si>
  <si>
    <t>Philippe</t>
  </si>
  <si>
    <t>Permanent politique</t>
  </si>
  <si>
    <t>PCR</t>
  </si>
  <si>
    <t>Aquitaine - Limousin - Poitou-Charentes</t>
  </si>
  <si>
    <t>Gironde</t>
  </si>
  <si>
    <t>NOUVELLE DONNE</t>
  </si>
  <si>
    <t>NOUVELLE DONNE : REPRENEZ LA MAIN !</t>
  </si>
  <si>
    <t>PEREIRA</t>
  </si>
  <si>
    <t>Nicolas</t>
  </si>
  <si>
    <t>Autre cadre (secteur privé)</t>
  </si>
  <si>
    <t>PLUS FORTS, PLUS SOLIDAIR</t>
  </si>
  <si>
    <t>PLUS FORTS, PLUS SOLIDAIRES, ENSEMBLE</t>
  </si>
  <si>
    <t>ROUSSET</t>
  </si>
  <si>
    <t>Alain</t>
  </si>
  <si>
    <t>Autre profession</t>
  </si>
  <si>
    <t>DEP,PCR</t>
  </si>
  <si>
    <t>GENERATION NOUVELLE REGIO</t>
  </si>
  <si>
    <t>GENERATION NOUVELLE REGION</t>
  </si>
  <si>
    <t>CALMELS</t>
  </si>
  <si>
    <t>Virginie</t>
  </si>
  <si>
    <t>Administrateur de sociétés</t>
  </si>
  <si>
    <t>Pyrénées-Atlantiques</t>
  </si>
  <si>
    <t>L'HUMAIN D'ABORD !</t>
  </si>
  <si>
    <t>DARTIGOLLES</t>
  </si>
  <si>
    <t>Olivier</t>
  </si>
  <si>
    <t>L'UPR</t>
  </si>
  <si>
    <t>L'UPR AVEC FRANCOIS ASSELINEAU - LE PARTI QUI MONTE MALGRE LE SILENCE DES MEDIAS</t>
  </si>
  <si>
    <t>DOUET</t>
  </si>
  <si>
    <t>William</t>
  </si>
  <si>
    <t>Etudiant</t>
  </si>
  <si>
    <t>FAISONS ENSEMBLE</t>
  </si>
  <si>
    <t>BOUSSION</t>
  </si>
  <si>
    <t>Joseph</t>
  </si>
  <si>
    <t>Sans profession déclarée</t>
  </si>
  <si>
    <t>Charente</t>
  </si>
  <si>
    <t>OSONS MIEUX</t>
  </si>
  <si>
    <t>OSONS MIEUX AVEC FRANÇOISE COUTANT - LISTE ECOLOGISTE ET CITOYENNE</t>
  </si>
  <si>
    <t>COUTANT</t>
  </si>
  <si>
    <t>Françoise</t>
  </si>
  <si>
    <t>Professeur du secondaire et techn.</t>
  </si>
  <si>
    <t>LISTE FRONT NATIONAL</t>
  </si>
  <si>
    <t>COLOMBIER</t>
  </si>
  <si>
    <t>Jacques</t>
  </si>
  <si>
    <t>Retraité des professions libérales</t>
  </si>
  <si>
    <t>Lot-et-Garonne</t>
  </si>
  <si>
    <t>DEBOUT LA FRANCE AVEC NICOLAS DUPONT AIGNAN</t>
  </si>
  <si>
    <t>SETZE</t>
  </si>
  <si>
    <t>Yvon</t>
  </si>
  <si>
    <t>Retr.artis.commerc.chef d entrep.</t>
  </si>
  <si>
    <t>LUTTE OUVRIERE - FAIRE ENTENDRE LE CAMP DES TRAVAILLEURS</t>
  </si>
  <si>
    <t>PERCHET</t>
  </si>
  <si>
    <t>Guillaume</t>
  </si>
  <si>
    <t>Auvergne - Rhône-Alpes</t>
  </si>
  <si>
    <t>Drôme</t>
  </si>
  <si>
    <t>L'UPR, AVEC FRANÇOIS ASSE</t>
  </si>
  <si>
    <t>L'UPR, avec François ASSELINEAU - LE PARTI QUI MONTE malgré le silence des médias</t>
  </si>
  <si>
    <t>FÉDÈLE</t>
  </si>
  <si>
    <t>Homme de lettres et Artiste</t>
  </si>
  <si>
    <t>69M</t>
  </si>
  <si>
    <t>Métropole de Lyon</t>
  </si>
  <si>
    <t>100% CITOYEN</t>
  </si>
  <si>
    <t>LAFOND</t>
  </si>
  <si>
    <t>Eric</t>
  </si>
  <si>
    <t>LISTE FRONT NATIONAL PRÉS</t>
  </si>
  <si>
    <t>Liste Front National présentée par Marine LE PEN</t>
  </si>
  <si>
    <t>BOUDOT</t>
  </si>
  <si>
    <t>Christophe</t>
  </si>
  <si>
    <t>Loire</t>
  </si>
  <si>
    <t>L'HUMAIN D'ABORD, AVEC LA</t>
  </si>
  <si>
    <t>L'Humain d'abord, avec la gauche républicaine et sociale</t>
  </si>
  <si>
    <t>CUKIERMAN</t>
  </si>
  <si>
    <t>Cécile</t>
  </si>
  <si>
    <t>SEN</t>
  </si>
  <si>
    <t>Isère</t>
  </si>
  <si>
    <t>LUTTE OUVRIERE - FAIRE EN</t>
  </si>
  <si>
    <t>GOMEZ</t>
  </si>
  <si>
    <t>Chantal</t>
  </si>
  <si>
    <t>Fonctionnaire de catégorie C</t>
  </si>
  <si>
    <t>Haute-Loire</t>
  </si>
  <si>
    <t>WAUQUIEZ 2015, UN NOUVEAU</t>
  </si>
  <si>
    <t>WAUQUIEZ 2015, un nouveau souffle pour notre région LE GRAND RASSEMBLEMENT de la DROITE et du CENTRE</t>
  </si>
  <si>
    <t>WAUQUIEZ</t>
  </si>
  <si>
    <t>DEP</t>
  </si>
  <si>
    <t>69D</t>
  </si>
  <si>
    <t>Rhône hors métropole de Lyon</t>
  </si>
  <si>
    <t>LE RASSEMBLEMENT CITOYEN,</t>
  </si>
  <si>
    <t>LE RASSEMBLEMENT CITOYEN, ECOLOGIQUE ET SOLIDAIRE</t>
  </si>
  <si>
    <t>KOHLHAAS</t>
  </si>
  <si>
    <t>Jean-Charles</t>
  </si>
  <si>
    <t>Salarié du secteur médical</t>
  </si>
  <si>
    <t>DEBOUT LA FRANCE AVEC NIC</t>
  </si>
  <si>
    <t>RAMBAUD</t>
  </si>
  <si>
    <t>Gerbert</t>
  </si>
  <si>
    <t>Avocat</t>
  </si>
  <si>
    <t>NOUS, C'EST LA RÉGION</t>
  </si>
  <si>
    <t>QUEYRANNE</t>
  </si>
  <si>
    <t>Jean-Jack</t>
  </si>
  <si>
    <t>Retraité de l'enseignement</t>
  </si>
  <si>
    <t>Bourgogne - Franche-Comté</t>
  </si>
  <si>
    <t>Doubs</t>
  </si>
  <si>
    <t>LISTE FRONT NATIONAL PRÉSENTÉE PAR MARINE LE PEN</t>
  </si>
  <si>
    <t>MONTEL</t>
  </si>
  <si>
    <t>Sophie</t>
  </si>
  <si>
    <t>Nièvre</t>
  </si>
  <si>
    <t>L'UPR avec François ASSELINEAU - LE PARTI QUI MONTE malgré le silence des médias</t>
  </si>
  <si>
    <t>GALLOIS</t>
  </si>
  <si>
    <t>Charles-Henri</t>
  </si>
  <si>
    <t>Côte-d'Or</t>
  </si>
  <si>
    <t>REGION GRAND</t>
  </si>
  <si>
    <t>LA REGION EN GRAND</t>
  </si>
  <si>
    <t>SAUVADET</t>
  </si>
  <si>
    <t>François</t>
  </si>
  <si>
    <t>DEP,PCD</t>
  </si>
  <si>
    <t>AEI BFC</t>
  </si>
  <si>
    <t>ALLIANCE ECOLOGISTE INDEPENDANTE DE BOURGOGNE ET FRANCHE-COMTE</t>
  </si>
  <si>
    <t>GONZALEZ</t>
  </si>
  <si>
    <t>Journaliste et autre média</t>
  </si>
  <si>
    <t>ÉCOLOGISTES BFC</t>
  </si>
  <si>
    <t>LES ÉCOLOGISTES DE BOURGOGNE FRANCHE-COMTÉ</t>
  </si>
  <si>
    <t>PRUDHOMME</t>
  </si>
  <si>
    <t>Saône-et-Loire</t>
  </si>
  <si>
    <t>ALTERNATIVE GAUCHE</t>
  </si>
  <si>
    <t>L'ALTERNATIVE À GAUCHE</t>
  </si>
  <si>
    <t>VERMOREL</t>
  </si>
  <si>
    <t>Nathalie</t>
  </si>
  <si>
    <t>Assistante sociale</t>
  </si>
  <si>
    <t>ROCHER</t>
  </si>
  <si>
    <t>Claire</t>
  </si>
  <si>
    <t>Fonctionnaire de catégorie B</t>
  </si>
  <si>
    <t>THIÉBAUT</t>
  </si>
  <si>
    <t>Maxime</t>
  </si>
  <si>
    <t>Conseiller juridique</t>
  </si>
  <si>
    <t>Territoire de Belfort</t>
  </si>
  <si>
    <t>3 MILLIONS GRUDLER</t>
  </si>
  <si>
    <t>3 Millions de raisons avec Christophe GRUDLER</t>
  </si>
  <si>
    <t>GRUDLER</t>
  </si>
  <si>
    <t>REGION AVANCE</t>
  </si>
  <si>
    <t>NOTRE REGION D'AVANCE</t>
  </si>
  <si>
    <t>DUFAY</t>
  </si>
  <si>
    <t>Marie-Guite</t>
  </si>
  <si>
    <t>Bretagne</t>
  </si>
  <si>
    <t>Ille-et-Vilaine</t>
  </si>
  <si>
    <t>BRETAGNE EN LUTTES</t>
  </si>
  <si>
    <t>BRETAGNE EN LUTTES BREIZH O STOURM</t>
  </si>
  <si>
    <t>ROBLIN</t>
  </si>
  <si>
    <t>Gael</t>
  </si>
  <si>
    <t>Morbihan</t>
  </si>
  <si>
    <t>AVEC J.Y. LE DRIAN</t>
  </si>
  <si>
    <t>POUR LA BRETAGNE AVEC JEAN-YVES LE DRIAN</t>
  </si>
  <si>
    <t>LE DRIAN</t>
  </si>
  <si>
    <t>Jean-Yves</t>
  </si>
  <si>
    <t>MIN</t>
  </si>
  <si>
    <t>NOTRE CHANCE INDEPENDANCE</t>
  </si>
  <si>
    <t>NOTRE CHANCE, L'INDEPENDANCE</t>
  </si>
  <si>
    <t>DELÉON</t>
  </si>
  <si>
    <t>Bertrand</t>
  </si>
  <si>
    <t>Enseignant 1er deg.-directeur école</t>
  </si>
  <si>
    <t>Finistère</t>
  </si>
  <si>
    <t>OUI LA BRETAGNE</t>
  </si>
  <si>
    <t>TROADEC</t>
  </si>
  <si>
    <t>Christian</t>
  </si>
  <si>
    <t>L'UPR, avec François ASSELINEAU LE PARTI QUI MONTE malgré le silence des médias</t>
  </si>
  <si>
    <t>GOURVENEC</t>
  </si>
  <si>
    <t>Jean-François</t>
  </si>
  <si>
    <t>Debout la France avec Nicolas Dupont-Aignan</t>
  </si>
  <si>
    <t>FOUCHER</t>
  </si>
  <si>
    <t>Jean-Jacques</t>
  </si>
  <si>
    <t>PENNELLE</t>
  </si>
  <si>
    <t>Gilles</t>
  </si>
  <si>
    <t>Côtes-d'Armor</t>
  </si>
  <si>
    <t>LES REPUBLICAINS</t>
  </si>
  <si>
    <t>LE CHOIX DE LA BRETAGNE</t>
  </si>
  <si>
    <t>LE FUR</t>
  </si>
  <si>
    <t>Marc</t>
  </si>
  <si>
    <t>UNE AUTRE VOIE</t>
  </si>
  <si>
    <t>UNE AUTRE VOIE POUR LA BRETAGNE</t>
  </si>
  <si>
    <t>LOUAIL</t>
  </si>
  <si>
    <t>René</t>
  </si>
  <si>
    <t>Retraité agricole</t>
  </si>
  <si>
    <t>L'HUMAIN D'ABORD</t>
  </si>
  <si>
    <t>pour une bretagne sociale et écologique: l'humain d'abord</t>
  </si>
  <si>
    <t>COMPAIN</t>
  </si>
  <si>
    <t>Xavier</t>
  </si>
  <si>
    <t>Agriculteur-propriétaire exploit.</t>
  </si>
  <si>
    <t>HAMON</t>
  </si>
  <si>
    <t>Valérie</t>
  </si>
  <si>
    <t>Employé (autres entrep. publiques)</t>
  </si>
  <si>
    <t>Centre-Val de Loire</t>
  </si>
  <si>
    <t>Eure-et-Loir</t>
  </si>
  <si>
    <t>LISTE FRONT NATIONAL PRESENTEE  PAR MARINE LE PEN</t>
  </si>
  <si>
    <t>LOISEAU</t>
  </si>
  <si>
    <t>FOUQUIAU</t>
  </si>
  <si>
    <t>Thierry</t>
  </si>
  <si>
    <t>Loiret</t>
  </si>
  <si>
    <t>LUTTE OUVRIERE - Faire entendre le camp des travailleurs</t>
  </si>
  <si>
    <t>MEGDOUD</t>
  </si>
  <si>
    <t>Farida</t>
  </si>
  <si>
    <t>Cher</t>
  </si>
  <si>
    <t>PENLOUP</t>
  </si>
  <si>
    <t>Alix</t>
  </si>
  <si>
    <t>CENTRE RENAISSANCE</t>
  </si>
  <si>
    <t>Centre - Val de Loire, la Renaissance !</t>
  </si>
  <si>
    <t>VIGIER</t>
  </si>
  <si>
    <t>Pharmacien</t>
  </si>
  <si>
    <t>Loir-et-Cher</t>
  </si>
  <si>
    <t>ECOLOGISTES</t>
  </si>
  <si>
    <t>ECOLOGISTES, CITOYENS ET SOLIDAIRES</t>
  </si>
  <si>
    <t>FOURNIER</t>
  </si>
  <si>
    <t>Charles</t>
  </si>
  <si>
    <t>A FOND MA RÉGION</t>
  </si>
  <si>
    <t>A FOND MA REGION AVEC FRANCOIS BONNEAU</t>
  </si>
  <si>
    <t>BONNEAU</t>
  </si>
  <si>
    <t>HUMAIN AU CENTRE</t>
  </si>
  <si>
    <t>Rassembler avec l'Humain au Centre - Val de Loire</t>
  </si>
  <si>
    <t>SANSU</t>
  </si>
  <si>
    <t>Île-de-France</t>
  </si>
  <si>
    <t>Paris</t>
  </si>
  <si>
    <t>NOS VIES D'ABORD !</t>
  </si>
  <si>
    <t>NOS VIES D'ABORD ! égalité écologie dignité citoyenneté Pierre LAURENT Eric COQUEREL Clémentine AUTAIN</t>
  </si>
  <si>
    <t>LAURENT</t>
  </si>
  <si>
    <t>Pierre</t>
  </si>
  <si>
    <t>Seine-Saint-Denis</t>
  </si>
  <si>
    <t>LISTE CLAUDE BARTOLONE</t>
  </si>
  <si>
    <t>Avec Claude Bartolone, une Ile-de-France humaine</t>
  </si>
  <si>
    <t>BARTOLONE</t>
  </si>
  <si>
    <t>Claude</t>
  </si>
  <si>
    <t>UPR  FRANCOIS ASSELINEAU</t>
  </si>
  <si>
    <t>l'UPR avec François ASSELINEAU, le parti qui monte malgré le silence des médias</t>
  </si>
  <si>
    <t>ASSELINEAU</t>
  </si>
  <si>
    <t>CHANGEONS D'AIR</t>
  </si>
  <si>
    <t>CHANGEONS D'AIR, LE RASSEMBLEMENT ECOLOGISTE ET CITOYEN</t>
  </si>
  <si>
    <t>COSSE</t>
  </si>
  <si>
    <t>Emmanuelle</t>
  </si>
  <si>
    <t>Essonne</t>
  </si>
  <si>
    <t>LISTE D'UNION CITOYENNE</t>
  </si>
  <si>
    <t>HORSFALL</t>
  </si>
  <si>
    <t>Dawari</t>
  </si>
  <si>
    <t>NOUS CITOYENS</t>
  </si>
  <si>
    <t>NOUS CITOYENS POUR L'ILE DE FRANCE</t>
  </si>
  <si>
    <t>SACHS</t>
  </si>
  <si>
    <t>Valerie</t>
  </si>
  <si>
    <t>Val-d'Oise</t>
  </si>
  <si>
    <t>LISTE FLUO</t>
  </si>
  <si>
    <t>F.L.U.O. (Fédération Libertaire Unitaire Ouverte)</t>
  </si>
  <si>
    <t>DE SMET</t>
  </si>
  <si>
    <t>Sylvain</t>
  </si>
  <si>
    <t>Autre retraité</t>
  </si>
  <si>
    <t>Val-de-Marne</t>
  </si>
  <si>
    <t>UDMF</t>
  </si>
  <si>
    <t>Union des Démocrates Musulmans Français</t>
  </si>
  <si>
    <t>BOURCHADA</t>
  </si>
  <si>
    <t>Nizarr</t>
  </si>
  <si>
    <t>Cadre supérieur (secteur privé)</t>
  </si>
  <si>
    <t>DUPONT-AIGNAN</t>
  </si>
  <si>
    <t>Yvelines</t>
  </si>
  <si>
    <t>LISTE PECRESSE</t>
  </si>
  <si>
    <t>l'alternance avec Valérie Précresse</t>
  </si>
  <si>
    <t>PECRESSE</t>
  </si>
  <si>
    <t>Magistrat</t>
  </si>
  <si>
    <t>AUX URNES CITOYENS</t>
  </si>
  <si>
    <t>VERON</t>
  </si>
  <si>
    <t>Aurelien</t>
  </si>
  <si>
    <t>DE SAINT JUST</t>
  </si>
  <si>
    <t>Wallerand</t>
  </si>
  <si>
    <t>LUTTE OUVRIÈRE</t>
  </si>
  <si>
    <t>ARTHAUD</t>
  </si>
  <si>
    <t>Languedoc-Roussillon - Midi-Pyrénées</t>
  </si>
  <si>
    <t>Aveyron</t>
  </si>
  <si>
    <t>JE M'ENGAGE POUR MA REG</t>
  </si>
  <si>
    <t>JE M'ENGAGE POUR MA REGION</t>
  </si>
  <si>
    <t>REYNIÉ</t>
  </si>
  <si>
    <t>Dominique</t>
  </si>
  <si>
    <t>Professeur de faculté</t>
  </si>
  <si>
    <t>Haute-Garonne</t>
  </si>
  <si>
    <t>NOTRE SUD</t>
  </si>
  <si>
    <t>Notre Sud, une région forte, créative et solidaire - liste conduite par Carole DELGA</t>
  </si>
  <si>
    <t>DELGA</t>
  </si>
  <si>
    <t>Carole</t>
  </si>
  <si>
    <t>Fonctionnaire de catégorie A</t>
  </si>
  <si>
    <t>Hérault</t>
  </si>
  <si>
    <t>FORCE FRANCE SUD</t>
  </si>
  <si>
    <t>FORCE FRANCE SUD LA REGION LA FRANCE LA VIE</t>
  </si>
  <si>
    <t>MARTINEZ</t>
  </si>
  <si>
    <t>Jean-Claude</t>
  </si>
  <si>
    <t>Gard</t>
  </si>
  <si>
    <t>LE BIEN COMMUN</t>
  </si>
  <si>
    <t>Le Bien Commun</t>
  </si>
  <si>
    <t>CAVARD</t>
  </si>
  <si>
    <t>Indignez-vous avec NOUVELLE DONNE</t>
  </si>
  <si>
    <t>FABRE</t>
  </si>
  <si>
    <t>UNION POPULAIRE REP</t>
  </si>
  <si>
    <t>HIRIMIRIS</t>
  </si>
  <si>
    <t>Yvan</t>
  </si>
  <si>
    <t>CITOYENS DU MIDI</t>
  </si>
  <si>
    <t>SAUREL</t>
  </si>
  <si>
    <t>Dentiste</t>
  </si>
  <si>
    <t>MAI</t>
  </si>
  <si>
    <t>Pyrénées-Orientales</t>
  </si>
  <si>
    <t>ALIOT</t>
  </si>
  <si>
    <t>Louis</t>
  </si>
  <si>
    <t>NOUVEAU MONDE EN COMMUN</t>
  </si>
  <si>
    <t>NOUVEAU MONDE EN COMMUN Liste conduite par Gérard ONESTA</t>
  </si>
  <si>
    <t>ONESTA</t>
  </si>
  <si>
    <t>Gérard</t>
  </si>
  <si>
    <t>Architecte</t>
  </si>
  <si>
    <t>LEMPEREUR</t>
  </si>
  <si>
    <t>Damien</t>
  </si>
  <si>
    <t>TORREMOCHA</t>
  </si>
  <si>
    <t>Sandra</t>
  </si>
  <si>
    <t>Nord-Pas-de-Calais - Picardie</t>
  </si>
  <si>
    <t>Nord</t>
  </si>
  <si>
    <t xml:space="preserve">L'HUMAIN D'ABORD ! liste de rassemblement citoyen pour une gauche combative et écologiste dans notre région, soutenue par le Parti Communiste Français, Ensemble ! NPDC, la Gauche Unitaire, la Coordination Communiste, République et Socialisme, membres du </t>
  </si>
  <si>
    <t>ROUSSEL</t>
  </si>
  <si>
    <t>Fabien</t>
  </si>
  <si>
    <t>Pas-de-Calais</t>
  </si>
  <si>
    <t>UNE RÉGION FIÈRE</t>
  </si>
  <si>
    <t>UNE RÉGION FIÈRE ET ENRACINÉE</t>
  </si>
  <si>
    <t>LE PEN</t>
  </si>
  <si>
    <t>Marine</t>
  </si>
  <si>
    <t>PECQUEUR</t>
  </si>
  <si>
    <t>MASCARO</t>
  </si>
  <si>
    <t>POUR VOUS</t>
  </si>
  <si>
    <t>Pour vous</t>
  </si>
  <si>
    <t>DE SAINTIGNON</t>
  </si>
  <si>
    <t>Aisne</t>
  </si>
  <si>
    <t>AVEC XAVIER BERTRAND</t>
  </si>
  <si>
    <t>Avec Xavier Bertrand notre région au travail</t>
  </si>
  <si>
    <t>BERTRAND</t>
  </si>
  <si>
    <t>Agent général d'assurances</t>
  </si>
  <si>
    <t>Somme</t>
  </si>
  <si>
    <t>TANGUY</t>
  </si>
  <si>
    <t>Jean-Philippe</t>
  </si>
  <si>
    <t>Cadre sup. (entreprises publiques)</t>
  </si>
  <si>
    <t>BLONDEL</t>
  </si>
  <si>
    <t>LE RASSEMBLEMENT</t>
  </si>
  <si>
    <t>LE RASSEMBLEMENT ! Choisir une région citoyenne, écologique et solidaire</t>
  </si>
  <si>
    <t>ROUSSEAU</t>
  </si>
  <si>
    <t>Normandie</t>
  </si>
  <si>
    <t>Eure</t>
  </si>
  <si>
    <t>CALBRIX</t>
  </si>
  <si>
    <t>Manche</t>
  </si>
  <si>
    <t>NOUVELLE DONNE NORMANDIE</t>
  </si>
  <si>
    <t>LECOEUR</t>
  </si>
  <si>
    <t>Alexandra</t>
  </si>
  <si>
    <t>Orne</t>
  </si>
  <si>
    <t>EELV</t>
  </si>
  <si>
    <t>NORMANDIE ECOLOGIE</t>
  </si>
  <si>
    <t>SOUBIEN</t>
  </si>
  <si>
    <t>Yanic</t>
  </si>
  <si>
    <t>Profession rattachée à l'enseignt.</t>
  </si>
  <si>
    <t>Seine-Maritime</t>
  </si>
  <si>
    <t>Lutte Ouvrière - Faire entendre le camp des travailleurs</t>
  </si>
  <si>
    <t>LE MANACH</t>
  </si>
  <si>
    <t>Pascal</t>
  </si>
  <si>
    <t>LISTE PARTI SOCIALISTE</t>
  </si>
  <si>
    <t>Au service de tous les Normands</t>
  </si>
  <si>
    <t>MAYER-ROSSIGNOL</t>
  </si>
  <si>
    <t>BLEU MARINE</t>
  </si>
  <si>
    <t>NORMANDIE BLEU MARINE</t>
  </si>
  <si>
    <t>BAY</t>
  </si>
  <si>
    <t>FRONT DE GAUCHE</t>
  </si>
  <si>
    <t>Liste du Front de Gauche conduite par Sébastien Jumel soutenue par le PCF - le PG ensemble. "Un vent de colère. Un souffle d'espoir."</t>
  </si>
  <si>
    <t>JUMEL</t>
  </si>
  <si>
    <t>Sébastien</t>
  </si>
  <si>
    <t>UNION DE LA DROITE</t>
  </si>
  <si>
    <t>LA NORMANDIE CONQUERANTE AVEC HERVÉ MORIN</t>
  </si>
  <si>
    <t>MORIN</t>
  </si>
  <si>
    <t>Hervé</t>
  </si>
  <si>
    <t>L'UPR, avec François ASSELINEAU - LE PARTI QUI MONTE malgré le silence des média</t>
  </si>
  <si>
    <t>LOUTRE</t>
  </si>
  <si>
    <t>Jean-Christophe</t>
  </si>
  <si>
    <t>Pays de la Loire</t>
  </si>
  <si>
    <t>Sarthe</t>
  </si>
  <si>
    <t>Liste FRONT NATIONAL présentée par Marine LE PEN</t>
  </si>
  <si>
    <t>GANNAT</t>
  </si>
  <si>
    <t>Loire-Atlantique</t>
  </si>
  <si>
    <t>CHOISIR NOS RÉGIONS</t>
  </si>
  <si>
    <t>Choisir nos Régions et Réunifier la Bretagne</t>
  </si>
  <si>
    <t>DENIGOT</t>
  </si>
  <si>
    <t>BAYLE DE JESSÉ</t>
  </si>
  <si>
    <t>Autre profession libérale</t>
  </si>
  <si>
    <t>Maine-et-Loire</t>
  </si>
  <si>
    <t>l'Humain d'abord</t>
  </si>
  <si>
    <t>PAGANO</t>
  </si>
  <si>
    <t>LE BELLER</t>
  </si>
  <si>
    <t>Eddy</t>
  </si>
  <si>
    <t>Agent technique et technicien</t>
  </si>
  <si>
    <t>Vendée</t>
  </si>
  <si>
    <t>UNION DROITE - CENTRE</t>
  </si>
  <si>
    <t>LISTE D'UNION DE LA DROITE ET DU CENTRE</t>
  </si>
  <si>
    <t>RETAILLEAU</t>
  </si>
  <si>
    <t>Bruno</t>
  </si>
  <si>
    <t>GAUCHE ET ECOLOGISTES</t>
  </si>
  <si>
    <t>TOUS UNIS POUR LES PAYS DE LA LOIRE, LA GAUCHE ET LES ECOLOGISTES AVEC CHRISTOPHE CLERGEAU</t>
  </si>
  <si>
    <t>CLERGEAU</t>
  </si>
  <si>
    <t>COMMUNISTES</t>
  </si>
  <si>
    <t>TERRIEN</t>
  </si>
  <si>
    <t>PLUS QU'UNE RÉGION</t>
  </si>
  <si>
    <t>Partageons plus qu'une région</t>
  </si>
  <si>
    <t>BRINGUY</t>
  </si>
  <si>
    <t>Employé (secteur privé)</t>
  </si>
  <si>
    <t>PARISOT</t>
  </si>
  <si>
    <t>Provence-Alpes-Côte d'Azur</t>
  </si>
  <si>
    <t>Alpes-Maritimes</t>
  </si>
  <si>
    <t>A.E.I.</t>
  </si>
  <si>
    <t>Alliance écologiste indépendante</t>
  </si>
  <si>
    <t>GOVERNATORI</t>
  </si>
  <si>
    <t>Jean Marc</t>
  </si>
  <si>
    <t>Bouches-du-Rhône</t>
  </si>
  <si>
    <t>BONNET</t>
  </si>
  <si>
    <t>Isabelle</t>
  </si>
  <si>
    <t>Vaucluse</t>
  </si>
  <si>
    <t>UNION DES DROITES</t>
  </si>
  <si>
    <t>BOMPARD</t>
  </si>
  <si>
    <t>LA REGION COOPERATIVE</t>
  </si>
  <si>
    <t>la Région Coopérative Sociale, Ecologiste et Citoyenne, avec sophie CAMARD et Jean-Marc COPPOLA</t>
  </si>
  <si>
    <t>CAMARD</t>
  </si>
  <si>
    <t>LA FRANCE PLEIN SUD !</t>
  </si>
  <si>
    <t>La France plein Sud !</t>
  </si>
  <si>
    <t>MARÉCHAL-LE PEN</t>
  </si>
  <si>
    <t>Marion</t>
  </si>
  <si>
    <t>CA VA CHANGER</t>
  </si>
  <si>
    <t>Ca Va Changer</t>
  </si>
  <si>
    <t>ESTROSI</t>
  </si>
  <si>
    <t>Alpes-de-Haute-Provence</t>
  </si>
  <si>
    <t>NOTRE REGION NOTRE FIERTE</t>
  </si>
  <si>
    <t>Notre Région, Notre Fierté</t>
  </si>
  <si>
    <t>CASTANER</t>
  </si>
  <si>
    <t>L'UPR AVEC ASSELINEAU</t>
  </si>
  <si>
    <t>L'UPR avec François ASSELINEAU LE PARTI QUI MONTE, malgré le silence des médias</t>
  </si>
  <si>
    <t>ROMANI</t>
  </si>
  <si>
    <t>Daniel</t>
  </si>
  <si>
    <t>Commercant</t>
  </si>
  <si>
    <t>CHUISANO</t>
  </si>
  <si>
    <t>Noël</t>
  </si>
  <si>
    <t>POUR UNE NOUVELLE DONNE REGIONALE</t>
  </si>
  <si>
    <t>JARNY</t>
  </si>
  <si>
    <t>Cyril</t>
  </si>
  <si>
    <t>Corse</t>
  </si>
  <si>
    <t>FRONT NATIONAL CORSE AVEC MARINE LE PEN</t>
  </si>
  <si>
    <t>CANIONI</t>
  </si>
  <si>
    <t>FEMU A CORSICA</t>
  </si>
  <si>
    <t>FEMU A CORSICA SIMEONI ANGELINI</t>
  </si>
  <si>
    <t>SIMEONI</t>
  </si>
  <si>
    <t>RASSEMBLER POUR LA CORSE</t>
  </si>
  <si>
    <t>RASSEMBLER POUR LA CORSE / UNITI PER A CORSICA</t>
  </si>
  <si>
    <t>DE ROCCA SERRA</t>
  </si>
  <si>
    <t>Camille</t>
  </si>
  <si>
    <t>LA GARANTIE REPUBLICAINE</t>
  </si>
  <si>
    <t>ZUCCARELLI</t>
  </si>
  <si>
    <t>Jean</t>
  </si>
  <si>
    <t>Agent d'assurances</t>
  </si>
  <si>
    <t>LA CORSE QUI OSE</t>
  </si>
  <si>
    <t>La Corse qui ose - Corsic'Ardita</t>
  </si>
  <si>
    <t>DE GENTILI</t>
  </si>
  <si>
    <t>PRIMA A CORSICA</t>
  </si>
  <si>
    <t>GIACOBBI</t>
  </si>
  <si>
    <t>Paul</t>
  </si>
  <si>
    <t>RINNOVU</t>
  </si>
  <si>
    <t>BENEDETTI</t>
  </si>
  <si>
    <t>Paul-Félix</t>
  </si>
  <si>
    <t>CORSICA LIBERA</t>
  </si>
  <si>
    <t>TALAMONI</t>
  </si>
  <si>
    <t>Jean-Guy</t>
  </si>
  <si>
    <t>A CORSICA IN CUMUNU</t>
  </si>
  <si>
    <t>A CORSICA IN CUMUNU - PCF - FRONT DE GAUCHE</t>
  </si>
  <si>
    <t>BUCCHINI</t>
  </si>
  <si>
    <t>PAC</t>
  </si>
  <si>
    <t>JOSE ROSSI 2015</t>
  </si>
  <si>
    <t>ROSSI</t>
  </si>
  <si>
    <t>José</t>
  </si>
  <si>
    <t>LISTE ORSUCCI - PIERI</t>
  </si>
  <si>
    <t>LISTE ORSUCCI - PIERI / LA CORSE A COEUR</t>
  </si>
  <si>
    <t>ORSUCCI</t>
  </si>
  <si>
    <t>SANTONI</t>
  </si>
  <si>
    <t>Hyacinthe</t>
  </si>
  <si>
    <t>Guadeloupe</t>
  </si>
  <si>
    <t>ALTERNATIVE POPULAIRE</t>
  </si>
  <si>
    <t>ALTERNATIVE POPULAIRE ET CITOYENNE</t>
  </si>
  <si>
    <t>PLAISIR</t>
  </si>
  <si>
    <t>GUADELOUPE SOLIDAIRE</t>
  </si>
  <si>
    <t>BERNIER</t>
  </si>
  <si>
    <t>NOUVELLE ALLIANCE</t>
  </si>
  <si>
    <t>NOUVELLE ALLIANCE POUR LA GUADELOUPE</t>
  </si>
  <si>
    <t>MYRE</t>
  </si>
  <si>
    <t>Marie-Christine</t>
  </si>
  <si>
    <t>GUADELOUPE BLEU MARINE</t>
  </si>
  <si>
    <t>LISTE FRONT NATIONAL PRESENTEE PAR MARINE LE PEN - GUADELOUPE BLEU MARINE</t>
  </si>
  <si>
    <t>VIENNET</t>
  </si>
  <si>
    <t>Stephan</t>
  </si>
  <si>
    <t>LA GUADELOUPE TOUJOURS</t>
  </si>
  <si>
    <t>LA GUADELOUPE - TOUJOURS MIEUX</t>
  </si>
  <si>
    <t>LUREL</t>
  </si>
  <si>
    <t>Victorin</t>
  </si>
  <si>
    <t>NOFWAP</t>
  </si>
  <si>
    <t>NOFWAP LA GUADELOUPE EN ACTION VERITE ET JUSTICE SOCIALE</t>
  </si>
  <si>
    <t>YOYOTTE</t>
  </si>
  <si>
    <t>Henri</t>
  </si>
  <si>
    <t>POU BA GWADLOUP ON DÔT</t>
  </si>
  <si>
    <t>POU BA GWADLOUP ON DÔT DIREKSION, ON DÔT BALAN</t>
  </si>
  <si>
    <t>CADOCE</t>
  </si>
  <si>
    <t>Mona</t>
  </si>
  <si>
    <t>CHANGEZ  D'AVENIR</t>
  </si>
  <si>
    <t>CHANGEZ D'AVENIR</t>
  </si>
  <si>
    <t>CHALUS</t>
  </si>
  <si>
    <t>Ary</t>
  </si>
  <si>
    <t>OUI A LA GUADELOUPE</t>
  </si>
  <si>
    <t>SEYMOUR</t>
  </si>
  <si>
    <t>Mélina</t>
  </si>
  <si>
    <t>COMBAT OUVRIER</t>
  </si>
  <si>
    <t>NOMERTIN</t>
  </si>
  <si>
    <t>Jean-Marie</t>
  </si>
  <si>
    <t>Martinique</t>
  </si>
  <si>
    <t>ZB3</t>
  </si>
  <si>
    <t>Martinique - Section de Fort-de-France</t>
  </si>
  <si>
    <t>MARTINIQUE CITOYENNE</t>
  </si>
  <si>
    <t>MARTINIQUE CITOYENNE NOU TOUT'KAPAB</t>
  </si>
  <si>
    <t>JOS</t>
  </si>
  <si>
    <t>JOACHIM-ARNAUD</t>
  </si>
  <si>
    <t>Ghislaine</t>
  </si>
  <si>
    <t>ZB2</t>
  </si>
  <si>
    <t>Martinique - Section du Nord</t>
  </si>
  <si>
    <t>BA PEYI-A AN CHANS</t>
  </si>
  <si>
    <t>MONPLAISIR</t>
  </si>
  <si>
    <t>Yan</t>
  </si>
  <si>
    <t>LA LISTE DEPARTEMENTALE</t>
  </si>
  <si>
    <t>VIRASSAMY</t>
  </si>
  <si>
    <t>MOUVEMENT DES TRAVAILLEUR</t>
  </si>
  <si>
    <t>MOUVEMENT DES TRAVAILLEURS ET PEUPLE SANS VOIX DE MARTINIQUE</t>
  </si>
  <si>
    <t>GROMAT</t>
  </si>
  <si>
    <t>ZB1</t>
  </si>
  <si>
    <t>Martinique - Section du Centre</t>
  </si>
  <si>
    <t>GRAN SANBLÉ</t>
  </si>
  <si>
    <t>Grand Sanblé pour faire réussir la Martinique</t>
  </si>
  <si>
    <t>MARIE-JEANNE</t>
  </si>
  <si>
    <t>Alfred</t>
  </si>
  <si>
    <t>ZB4</t>
  </si>
  <si>
    <t>Martinique - Section du Sud</t>
  </si>
  <si>
    <t>LA MARTINIQUE AUTREMENT</t>
  </si>
  <si>
    <t>PETIT</t>
  </si>
  <si>
    <t>NOU PEP LA</t>
  </si>
  <si>
    <t>NADEAU</t>
  </si>
  <si>
    <t>Marcellin</t>
  </si>
  <si>
    <t>ENSEMBLE POUR UNE MARTINI</t>
  </si>
  <si>
    <t>ENSEMBLE POUR UNE MARTINIQUE NOUVELLE</t>
  </si>
  <si>
    <t>LETCHIMY</t>
  </si>
  <si>
    <t>Serge</t>
  </si>
  <si>
    <t>Guyane</t>
  </si>
  <si>
    <t>ZC2</t>
  </si>
  <si>
    <t>Guyane - Section de la petite Couronne</t>
  </si>
  <si>
    <t>LFPBG</t>
  </si>
  <si>
    <t>La force pour bâtir la Guyane</t>
  </si>
  <si>
    <t>BUDOC</t>
  </si>
  <si>
    <t>Rémy Louis</t>
  </si>
  <si>
    <t>ZC1</t>
  </si>
  <si>
    <t>Guyane - Section de Cayenne</t>
  </si>
  <si>
    <t>GTF</t>
  </si>
  <si>
    <t>Guyane, de toutes nos forces !</t>
  </si>
  <si>
    <t>LéTARD</t>
  </si>
  <si>
    <t>Line</t>
  </si>
  <si>
    <t>TD</t>
  </si>
  <si>
    <t>Un territoire, une collectivité, un destin</t>
  </si>
  <si>
    <t>ALEXANDRE</t>
  </si>
  <si>
    <t>Rodolphe</t>
  </si>
  <si>
    <t>l'union Guyane</t>
  </si>
  <si>
    <t>ICARE NOUREL</t>
  </si>
  <si>
    <t>Muriel</t>
  </si>
  <si>
    <t>ZC5</t>
  </si>
  <si>
    <t>Guyane - Section des Savanes</t>
  </si>
  <si>
    <t>NVIS</t>
  </si>
  <si>
    <t>Pour une NOUVELLE VISION de la Guyane française : un STATUT ambitieu et cohérent</t>
  </si>
  <si>
    <t>Sylvio</t>
  </si>
  <si>
    <t>ZC7</t>
  </si>
  <si>
    <t>Guyane - Section de Saint-Laurent-du-Maroni</t>
  </si>
  <si>
    <t>CLG</t>
  </si>
  <si>
    <t>Cultiver la Guyane</t>
  </si>
  <si>
    <t>BERTHELOT</t>
  </si>
  <si>
    <t>PGA</t>
  </si>
  <si>
    <t>Pour une Guyane audacieuse</t>
  </si>
  <si>
    <t>TIEN-LIONG</t>
  </si>
  <si>
    <t>PCD</t>
  </si>
  <si>
    <t>LGP</t>
  </si>
  <si>
    <t>La Guyane en prospective</t>
  </si>
  <si>
    <t>TAUBIRA</t>
  </si>
  <si>
    <t>NSG</t>
  </si>
  <si>
    <t>NOUS SOMMES GUYANE</t>
  </si>
  <si>
    <t>CANAVY</t>
  </si>
  <si>
    <t>La Réunion</t>
  </si>
  <si>
    <t>VOTER, SE REVOLTER,</t>
  </si>
  <si>
    <t>VOTER, SE REVOLTER, POUR AVANCER</t>
  </si>
  <si>
    <t>RATENON</t>
  </si>
  <si>
    <t>Jean-Hugues</t>
  </si>
  <si>
    <t>UNION DES FORCES PROGRES</t>
  </si>
  <si>
    <t>UNION DES FORCES DE PROGRES POUR LE DEVELOPPEMENT ET L'EGALITE</t>
  </si>
  <si>
    <t>LEBRETON</t>
  </si>
  <si>
    <t>REUNIONNAIS LIBRES</t>
  </si>
  <si>
    <t>REUNIONNAIS LIBRES POUR UNE REUNION RESPONSABLE</t>
  </si>
  <si>
    <t>VICTORIA</t>
  </si>
  <si>
    <t>René-Paul</t>
  </si>
  <si>
    <t>DEBOUT LA REUNION</t>
  </si>
  <si>
    <t>DEBOUT LA REUNION AVEC NICOLAS DUPONT-AIGNAN</t>
  </si>
  <si>
    <t>MOREL</t>
  </si>
  <si>
    <t>REUNIONNOUS</t>
  </si>
  <si>
    <t>ROBERT</t>
  </si>
  <si>
    <t>Didier</t>
  </si>
  <si>
    <t>PAYET</t>
  </si>
  <si>
    <t>Jean Yves</t>
  </si>
  <si>
    <t>Cadre (entreprises publiques)</t>
  </si>
  <si>
    <t>NASION RENIONE</t>
  </si>
  <si>
    <t>BOYER</t>
  </si>
  <si>
    <t>Aniel</t>
  </si>
  <si>
    <t>LISTE DE RASSEMBLEMENT</t>
  </si>
  <si>
    <t>LISTE DE RASSEMBLEMENT CONDUITE PAR HUGUETTE BELLO</t>
  </si>
  <si>
    <t>BELLO</t>
  </si>
  <si>
    <t>Huguette</t>
  </si>
  <si>
    <t>CITOYENS TIRES AU SORT</t>
  </si>
  <si>
    <t>Mathias</t>
  </si>
  <si>
    <t>LE RASSEMBLEMENT BLEU MAR</t>
  </si>
  <si>
    <t>LE RASSEMBLEMENT BLEU MARINE</t>
  </si>
  <si>
    <t>GRONDIN</t>
  </si>
  <si>
    <t>ENSEMBLE, FAISONS AVANCER</t>
  </si>
  <si>
    <t>ENSEMBLE, FAISONS AVANCER LA REUNION</t>
  </si>
  <si>
    <t>LES VRAIS ENJEUX</t>
  </si>
  <si>
    <t>LES VRAIS ENJEUX POUR LA REUNION</t>
  </si>
  <si>
    <t>APPADOO</t>
  </si>
  <si>
    <t>COUNTA of decoupage</t>
  </si>
  <si>
    <t>Grand Total</t>
  </si>
  <si>
    <t>NE</t>
  </si>
  <si>
    <t>NO</t>
  </si>
  <si>
    <t>OM</t>
  </si>
  <si>
    <t>SE</t>
  </si>
  <si>
    <t>SO</t>
  </si>
  <si>
    <t>COUNTA of Sexe candidat</t>
  </si>
  <si>
    <t>hypothèse</t>
  </si>
  <si>
    <t>colonnes</t>
  </si>
  <si>
    <t>etapes d'analyse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</si>
</sst>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i/>
      <sz val="11.0"/>
      <color theme="1"/>
      <name val="Times New Roman"/>
    </font>
    <font>
      <color theme="1"/>
      <name val="Arial"/>
      <scheme val="minor"/>
    </font>
    <font>
      <sz val="11.0"/>
      <color theme="1"/>
      <name val="Times New Roman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readingOrder="0"/>
    </xf>
    <xf borderId="3" fillId="0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shrinkToFit="0" wrapText="1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22" xfId="0" applyAlignment="1" applyFont="1" applyNumberFormat="1">
      <alignment shrinkToFit="0" wrapText="0"/>
    </xf>
    <xf borderId="0" fillId="0" fontId="2" numFmtId="0" xfId="0" applyAlignment="1" applyFont="1">
      <alignment shrinkToFit="0" wrapText="0"/>
    </xf>
    <xf borderId="0" fillId="0" fontId="5" numFmtId="14" xfId="0" applyAlignment="1" applyFont="1" applyNumberFormat="1">
      <alignment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Font="1"/>
    <xf borderId="0" fillId="0" fontId="2" numFmtId="10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172" sheet="candidats"/>
  </cacheSource>
  <cacheFields>
    <cacheField name="Date de l'export" numFmtId="22">
      <sharedItems containsSemiMixedTypes="0" containsDate="1" containsString="0">
        <d v="2015-11-10T17:09:25Z"/>
        <d v="2015-11-10T17:09:26Z"/>
        <d v="2015-11-10T17:09:27Z"/>
        <d v="2015-11-10T17:09:28Z"/>
        <d v="2015-11-10T17:09:29Z"/>
        <d v="2015-11-10T17:09:30Z"/>
      </sharedItems>
    </cacheField>
    <cacheField name="Code de la région" numFmtId="0">
      <sharedItems containsSemiMixedTypes="0" containsString="0" containsNumber="1" containsInteger="1">
        <n v="44.0"/>
        <n v="75.0"/>
        <n v="84.0"/>
        <n v="27.0"/>
        <n v="53.0"/>
        <n v="24.0"/>
        <n v="11.0"/>
        <n v="76.0"/>
        <n v="32.0"/>
        <n v="28.0"/>
        <n v="52.0"/>
        <n v="93.0"/>
        <n v="94.0"/>
        <n v="1.0"/>
        <n v="2.0"/>
        <n v="3.0"/>
        <n v="4.0"/>
      </sharedItems>
    </cacheField>
    <cacheField name="Libellé de la région" numFmtId="0">
      <sharedItems>
        <s v="Alsace - Champagne-Ardenne - Lorraine"/>
        <s v="Aquitaine - Limousin - Poitou-Charentes"/>
        <s v="Auvergne - Rhône-Alpes"/>
        <s v="Bourgogne - Franche-Comté"/>
        <s v="Bretagne"/>
        <s v="Centre-Val de Loire"/>
        <s v="Île-de-France"/>
        <s v="Languedoc-Roussillon - Midi-Pyrénées"/>
        <s v="Nord-Pas-de-Calais - Picardie"/>
        <s v="Normandie"/>
        <s v="Pays de la Loire"/>
        <s v="Provence-Alpes-Côte d'Azur"/>
        <s v="Corse"/>
        <s v="Guadeloupe"/>
        <s v="Martinique"/>
        <s v="Guyane"/>
        <s v="La Réunion"/>
      </sharedItems>
    </cacheField>
    <cacheField name="decoupage" numFmtId="0">
      <sharedItems>
        <s v="NE"/>
        <s v="SO"/>
        <s v="SE"/>
        <s v="NO"/>
        <s v="OM"/>
      </sharedItems>
    </cacheField>
    <cacheField name="Code section électorale">
      <sharedItems containsBlank="1" containsMixedTypes="1" containsNumber="1" containsInteger="1">
        <n v="67.0"/>
        <n v="57.0"/>
        <n v="88.0"/>
        <n v="68.0"/>
        <n v="33.0"/>
        <n v="64.0"/>
        <n v="16.0"/>
        <n v="47.0"/>
        <n v="26.0"/>
        <s v="69M"/>
        <n v="42.0"/>
        <n v="38.0"/>
        <n v="43.0"/>
        <s v="69D"/>
        <n v="25.0"/>
        <n v="58.0"/>
        <n v="21.0"/>
        <n v="71.0"/>
        <n v="90.0"/>
        <n v="35.0"/>
        <n v="56.0"/>
        <n v="29.0"/>
        <n v="22.0"/>
        <n v="28.0"/>
        <n v="45.0"/>
        <n v="18.0"/>
        <n v="41.0"/>
        <n v="75.0"/>
        <n v="93.0"/>
        <n v="91.0"/>
        <n v="95.0"/>
        <n v="94.0"/>
        <n v="78.0"/>
        <n v="12.0"/>
        <n v="31.0"/>
        <n v="34.0"/>
        <n v="30.0"/>
        <n v="66.0"/>
        <n v="59.0"/>
        <n v="62.0"/>
        <n v="2.0"/>
        <n v="80.0"/>
        <n v="27.0"/>
        <n v="50.0"/>
        <n v="61.0"/>
        <n v="76.0"/>
        <n v="72.0"/>
        <n v="44.0"/>
        <n v="49.0"/>
        <n v="85.0"/>
        <n v="6.0"/>
        <n v="13.0"/>
        <n v="84.0"/>
        <n v="4.0"/>
        <m/>
        <s v="ZB3"/>
        <s v="ZB2"/>
        <s v="ZB1"/>
        <s v="ZB4"/>
        <s v="ZC2"/>
        <s v="ZC1"/>
        <s v="ZC5"/>
        <s v="ZC7"/>
      </sharedItems>
    </cacheField>
    <cacheField name="Libellé section électorale" numFmtId="0">
      <sharedItems containsBlank="1">
        <s v="Bas-Rhin"/>
        <s v="Moselle"/>
        <s v="Vosges"/>
        <s v="Haut-Rhin"/>
        <s v="Gironde"/>
        <s v="Pyrénées-Atlantiques"/>
        <s v="Charente"/>
        <s v="Lot-et-Garonne"/>
        <s v="Drôme"/>
        <s v="Métropole de Lyon"/>
        <s v="Loire"/>
        <s v="Isère"/>
        <s v="Haute-Loire"/>
        <s v="Rhône hors métropole de Lyon"/>
        <s v="Doubs"/>
        <s v="Nièvre"/>
        <s v="Côte-d'Or"/>
        <s v="Saône-et-Loire"/>
        <s v="Territoire de Belfort"/>
        <s v="Ille-et-Vilaine"/>
        <s v="Morbihan"/>
        <s v="Finistère"/>
        <s v="Côtes-d'Armor"/>
        <s v="Eure-et-Loir"/>
        <s v="Loiret"/>
        <s v="Cher"/>
        <s v="Loir-et-Cher"/>
        <s v="Paris"/>
        <s v="Seine-Saint-Denis"/>
        <s v="Essonne"/>
        <s v="Val-d'Oise"/>
        <s v="Val-de-Marne"/>
        <s v="Yvelines"/>
        <s v="Aveyron"/>
        <s v="Haute-Garonne"/>
        <s v="Hérault"/>
        <s v="Gard"/>
        <s v="Pyrénées-Orientales"/>
        <s v="Nord"/>
        <s v="Pas-de-Calais"/>
        <s v="Aisne"/>
        <s v="Somme"/>
        <s v="Eure"/>
        <s v="Manche"/>
        <s v="Orne"/>
        <s v="Seine-Maritime"/>
        <s v="Sarthe"/>
        <s v="Loire-Atlantique"/>
        <s v="Maine-et-Loire"/>
        <s v="Vendée"/>
        <s v="Alpes-Maritimes"/>
        <s v="Bouches-du-Rhône"/>
        <s v="Vaucluse"/>
        <s v="Alpes-de-Haute-Provence"/>
        <m/>
        <s v="Martinique - Section de Fort-de-France"/>
        <s v="Martinique - Section du Nord"/>
        <s v="Martinique - Section du Centre"/>
        <s v="Martinique - Section du Sud"/>
        <s v="Guyane - Section de la petite Couronne"/>
        <s v="Guyane - Section de Cayenne"/>
        <s v="Guyane - Section des Savanes"/>
        <s v="Guyane - Section de Saint-Laurent-du-Maroni"/>
      </sharedItems>
    </cacheField>
    <cacheField name="N° Panneau Liste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</sharedItems>
    </cacheField>
    <cacheField name="Code Dépôt Liste" numFmtId="0">
      <sharedItems containsSemiMixedTypes="0" containsString="0" containsNumber="1" containsInteger="1">
        <n v="9.0"/>
        <n v="4.0"/>
        <n v="2.0"/>
        <n v="7.0"/>
        <n v="6.0"/>
        <n v="5.0"/>
        <n v="3.0"/>
        <n v="10.0"/>
        <n v="8.0"/>
        <n v="11.0"/>
        <n v="12.0"/>
        <n v="13.0"/>
        <n v="14.0"/>
      </sharedItems>
    </cacheField>
    <cacheField name="Libellé abrégé liste" numFmtId="0">
      <sharedItems>
        <s v="EUROPE ECOLOGIE LES VERTS"/>
        <s v="LFG"/>
        <s v="DEBOUT LA FRANCE"/>
        <s v="PARTI SOCIALISTE"/>
        <s v="FRONT NATIONAL"/>
        <s v="UPR"/>
        <s v="LUTTE OUVRIERE"/>
        <s v="LISTE RÉGIONALISTE"/>
        <s v="LLR"/>
        <s v="NOUVELLE DONNE"/>
        <s v="PLUS FORTS, PLUS SOLIDAIR"/>
        <s v="GENERATION NOUVELLE REGIO"/>
        <s v="L'HUMAIN D'ABORD !"/>
        <s v="L'UPR"/>
        <s v="FAISONS ENSEMBLE"/>
        <s v="OSONS MIEUX"/>
        <s v="LISTE FRONT NATIONAL"/>
        <s v="L'UPR, AVEC FRANÇOIS ASSE"/>
        <s v="100% CITOYEN"/>
        <s v="LISTE FRONT NATIONAL PRÉS"/>
        <s v="L'HUMAIN D'ABORD, AVEC LA"/>
        <s v="LUTTE OUVRIERE - FAIRE EN"/>
        <s v="WAUQUIEZ 2015, UN NOUVEAU"/>
        <s v="LE RASSEMBLEMENT CITOYEN,"/>
        <s v="DEBOUT LA FRANCE AVEC NIC"/>
        <s v="NOUS, C'EST LA RÉGION"/>
        <s v="REGION GRAND"/>
        <s v="AEI BFC"/>
        <s v="ÉCOLOGISTES BFC"/>
        <s v="ALTERNATIVE GAUCHE"/>
        <s v="3 MILLIONS GRUDLER"/>
        <s v="REGION AVANCE"/>
        <s v="BRETAGNE EN LUTTES"/>
        <s v="AVEC J.Y. LE DRIAN"/>
        <s v="NOTRE CHANCE INDEPENDANCE"/>
        <s v="OUI LA BRETAGNE"/>
        <s v="LES REPUBLICAINS"/>
        <s v="UNE AUTRE VOIE"/>
        <s v="L'HUMAIN D'ABORD"/>
        <s v="CENTRE RENAISSANCE"/>
        <s v="ECOLOGISTES"/>
        <s v="A FOND MA RÉGION"/>
        <s v="HUMAIN AU CENTRE"/>
        <s v="NOS VIES D'ABORD !"/>
        <s v="LISTE CLAUDE BARTOLONE"/>
        <s v="UPR  FRANCOIS ASSELINEAU"/>
        <s v="CHANGEONS D'AIR"/>
        <s v="LISTE D'UNION CITOYENNE"/>
        <s v="NOUS CITOYENS"/>
        <s v="LISTE FLUO"/>
        <s v="UDMF"/>
        <s v="LISTE PECRESSE"/>
        <s v="AUX URNES CITOYENS"/>
        <s v="LUTTE OUVRIÈRE"/>
        <s v="JE M'ENGAGE POUR MA REG"/>
        <s v="NOTRE SUD"/>
        <s v="FORCE FRANCE SUD"/>
        <s v="LE BIEN COMMUN"/>
        <s v="UNION POPULAIRE REP"/>
        <s v="CITOYENS DU MIDI"/>
        <s v="NOUVEAU MONDE EN COMMUN"/>
        <s v="UNE RÉGION FIÈRE"/>
        <s v="POUR VOUS"/>
        <s v="AVEC XAVIER BERTRAND"/>
        <s v="LE RASSEMBLEMENT"/>
        <s v="NOUVELLE DONNE NORMANDIE"/>
        <s v="EELV"/>
        <s v="LISTE PARTI SOCIALISTE"/>
        <s v="BLEU MARINE"/>
        <s v="FRONT DE GAUCHE"/>
        <s v="UNION DE LA DROITE"/>
        <s v="CHOISIR NOS RÉGIONS"/>
        <s v="UNION DROITE - CENTRE"/>
        <s v="GAUCHE ET ECOLOGISTES"/>
        <s v="COMMUNISTES"/>
        <s v="PLUS QU'UNE RÉGION"/>
        <s v="A.E.I."/>
        <s v="UNION DES DROITES"/>
        <s v="LA REGION COOPERATIVE"/>
        <s v="LA FRANCE PLEIN SUD !"/>
        <s v="CA VA CHANGER"/>
        <s v="NOTRE REGION NOTRE FIERTE"/>
        <s v="L'UPR AVEC ASSELINEAU"/>
        <s v="FEMU A CORSICA"/>
        <s v="RASSEMBLER POUR LA CORSE"/>
        <s v="LA GARANTIE REPUBLICAINE"/>
        <s v="LA CORSE QUI OSE"/>
        <s v="PRIMA A CORSICA"/>
        <s v="RINNOVU"/>
        <s v="CORSICA LIBERA"/>
        <s v="A CORSICA IN CUMUNU"/>
        <s v="JOSE ROSSI 2015"/>
        <s v="LISTE ORSUCCI - PIERI"/>
        <s v="ALTERNATIVE POPULAIRE"/>
        <s v="GUADELOUPE SOLIDAIRE"/>
        <s v="NOUVELLE ALLIANCE"/>
        <s v="GUADELOUPE BLEU MARINE"/>
        <s v="LA GUADELOUPE TOUJOURS"/>
        <s v="NOFWAP"/>
        <s v="POU BA GWADLOUP ON DÔT"/>
        <s v="CHANGEZ  D'AVENIR"/>
        <s v="OUI A LA GUADELOUPE"/>
        <s v="COMBAT OUVRIER"/>
        <s v="MARTINIQUE CITOYENNE"/>
        <s v="BA PEYI-A AN CHANS"/>
        <s v="LA LISTE DEPARTEMENTALE"/>
        <s v="MOUVEMENT DES TRAVAILLEUR"/>
        <s v="GRAN SANBLÉ"/>
        <s v="LA MARTINIQUE AUTREMENT"/>
        <s v="NOU PEP LA"/>
        <s v="ENSEMBLE POUR UNE MARTINI"/>
        <s v="LFPBG"/>
        <s v="GTF"/>
        <s v="TD"/>
        <s v="LUG"/>
        <s v="NVIS"/>
        <s v="CLG"/>
        <s v="PGA"/>
        <s v="LGP"/>
        <s v="NSG"/>
        <s v="VOTER, SE REVOLTER,"/>
        <s v="UNION DES FORCES PROGRES"/>
        <s v="REUNIONNAIS LIBRES"/>
        <s v="DEBOUT LA REUNION"/>
        <s v="REUNIONNOUS"/>
        <s v="NASION RENIONE"/>
        <s v="LISTE DE RASSEMBLEMENT"/>
        <s v="CITOYENS TIRES AU SORT"/>
        <s v="LE RASSEMBLEMENT BLEU MAR"/>
        <s v="ENSEMBLE, FAISONS AVANCER"/>
        <s v="LES VRAIS ENJEUX"/>
      </sharedItems>
    </cacheField>
    <cacheField name="Libellé Etendu Liste" numFmtId="0">
      <sharedItems>
        <s v="ÉCOLOGISTES, SOLIDAIRES ET CITOYENS"/>
        <s v="Nos vies d'abord !"/>
        <s v="DEBOUT LA FRANCE AVEC NICOLAS DUPONT-AIGNAN"/>
        <s v="+ FORTE, + PROCHE, NOTRE REGION AVEC JEAN-PIERRE MASSERET"/>
        <s v="LISTE FRONT NATIONAL PRESENTEE PAR MARINE LE PEN"/>
        <s v="L'UPR, avec FRANÇOIS ASSELINEAU - LE PARTI QUI MONTE malgré le silence des médias"/>
        <s v="Lutte ouvrière - Faire entendre le camp des travailleurs"/>
        <s v="Non à l'ACAL, Oui à nos régions !"/>
        <s v="Unissons nos énergies avec Philippe RICHERT"/>
        <s v="NOUVELLE DONNE : REPRENEZ LA MAIN !"/>
        <s v="PLUS FORTS, PLUS SOLIDAIRES, ENSEMBLE"/>
        <s v="GENERATION NOUVELLE REGION"/>
        <s v="L'HUMAIN D'ABORD !"/>
        <s v="L'UPR AVEC FRANCOIS ASSELINEAU - LE PARTI QUI MONTE MALGRE LE SILENCE DES MEDIAS"/>
        <s v="FAISONS ENSEMBLE"/>
        <s v="OSONS MIEUX AVEC FRANÇOISE COUTANT - LISTE ECOLOGISTE ET CITOYENNE"/>
        <s v="DEBOUT LA FRANCE AVEC NICOLAS DUPONT AIGNAN"/>
        <s v="LUTTE OUVRIERE - FAIRE ENTENDRE LE CAMP DES TRAVAILLEURS"/>
        <s v="100% CITOYEN"/>
        <s v="Liste Front National présentée par Marine LE PEN"/>
        <s v="L'Humain d'abord, avec la gauche républicaine et sociale"/>
        <s v="WAUQUIEZ 2015, un nouveau souffle pour notre région LE GRAND RASSEMBLEMENT de la DROITE et du CENTRE"/>
        <s v="LE RASSEMBLEMENT CITOYEN, ECOLOGIQUE ET SOLIDAIRE"/>
        <s v="NOUS, C'EST LA RÉGION"/>
        <s v="L'UPR avec François ASSELINEAU - LE PARTI QUI MONTE malgré le silence des médias"/>
        <s v="LA REGION EN GRAND"/>
        <s v="ALLIANCE ECOLOGISTE INDEPENDANTE DE BOURGOGNE ET FRANCHE-COMTE"/>
        <s v="LES ÉCOLOGISTES DE BOURGOGNE FRANCHE-COMTÉ"/>
        <s v="L'ALTERNATIVE À GAUCHE"/>
        <s v="3 Millions de raisons avec Christophe GRUDLER"/>
        <s v="NOTRE REGION D'AVANCE"/>
        <s v="BRETAGNE EN LUTTES BREIZH O STOURM"/>
        <s v="POUR LA BRETAGNE AVEC JEAN-YVES LE DRIAN"/>
        <s v="NOTRE CHANCE, L'INDEPENDANCE"/>
        <s v="OUI LA BRETAGNE"/>
        <s v="L'UPR, avec François ASSELINEAU LE PARTI QUI MONTE malgré le silence des médias"/>
        <s v="LE CHOIX DE LA BRETAGNE"/>
        <s v="UNE AUTRE VOIE POUR LA BRETAGNE"/>
        <s v="pour une bretagne sociale et écologique: l'humain d'abord"/>
        <s v="LISTE FRONT NATIONAL PRESENTEE  PAR MARINE LE PEN"/>
        <s v="Centre - Val de Loire, la Renaissance !"/>
        <s v="ECOLOGISTES, CITOYENS ET SOLIDAIRES"/>
        <s v="A FOND MA REGION AVEC FRANCOIS BONNEAU"/>
        <s v="Rassembler avec l'Humain au Centre - Val de Loire"/>
        <s v="NOS VIES D'ABORD ! égalité écologie dignité citoyenneté Pierre LAURENT Eric COQUEREL Clémentine AUTAIN"/>
        <s v="Avec Claude Bartolone, une Ile-de-France humaine"/>
        <s v="l'UPR avec François ASSELINEAU, le parti qui monte malgré le silence des médias"/>
        <s v="CHANGEONS D'AIR, LE RASSEMBLEMENT ECOLOGISTE ET CITOYEN"/>
        <s v="LISTE D'UNION CITOYENNE"/>
        <s v="NOUS CITOYENS POUR L'ILE DE FRANCE"/>
        <s v="F.L.U.O. (Fédération Libertaire Unitaire Ouverte)"/>
        <s v="Union des Démocrates Musulmans Français"/>
        <s v="l'alternance avec Valérie Précresse"/>
        <s v="AUX URNES CITOYENS"/>
        <s v="JE M'ENGAGE POUR MA REGION"/>
        <s v="Notre Sud, une région forte, créative et solidaire - liste conduite par Carole DELGA"/>
        <s v="FORCE FRANCE SUD LA REGION LA FRANCE LA VIE"/>
        <s v="Le Bien Commun"/>
        <s v="Indignez-vous avec NOUVELLE DONNE"/>
        <s v="CITOYENS DU MIDI"/>
        <s v="NOUVEAU MONDE EN COMMUN Liste conduite par Gérard ONESTA"/>
        <s v="L'HUMAIN D'ABORD ! liste de rassemblement citoyen pour une gauche combative et écologiste dans notre région, soutenue par le Parti Communiste Français, Ensemble ! NPDC, la Gauche Unitaire, la Coordination Communiste, République et Socialisme, membres du "/>
        <s v="UNE RÉGION FIÈRE ET ENRACINÉE"/>
        <s v="Pour vous"/>
        <s v="Avec Xavier Bertrand notre région au travail"/>
        <s v="NOUS CITOYENS"/>
        <s v="LE RASSEMBLEMENT ! Choisir une région citoyenne, écologique et solidaire"/>
        <s v="NOUVELLE DONNE NORMANDIE"/>
        <s v="NORMANDIE ECOLOGIE"/>
        <s v="Au service de tous les Normands"/>
        <s v="NORMANDIE BLEU MARINE"/>
        <s v="Liste du Front de Gauche conduite par Sébastien Jumel soutenue par le PCF - le PG ensemble. &quot;Un vent de colère. Un souffle d'espoir.&quot;"/>
        <s v="LA NORMANDIE CONQUERANTE AVEC HERVÉ MORIN"/>
        <s v="L'UPR, avec François ASSELINEAU - LE PARTI QUI MONTE malgré le silence des média"/>
        <s v="Choisir nos Régions et Réunifier la Bretagne"/>
        <s v="l'Humain d'abord"/>
        <s v="LISTE D'UNION DE LA DROITE ET DU CENTRE"/>
        <s v="TOUS UNIS POUR LES PAYS DE LA LOIRE, LA GAUCHE ET LES ECOLOGISTES AVEC CHRISTOPHE CLERGEAU"/>
        <s v="COMMUNISTES"/>
        <s v="Partageons plus qu'une région"/>
        <s v="Alliance écologiste indépendante"/>
        <s v="UNION DES DROITES"/>
        <s v="la Région Coopérative Sociale, Ecologiste et Citoyenne, avec sophie CAMARD et Jean-Marc COPPOLA"/>
        <s v="La France plein Sud !"/>
        <s v="Ca Va Changer"/>
        <s v="Notre Région, Notre Fierté"/>
        <s v="L'UPR avec François ASSELINEAU LE PARTI QUI MONTE, malgré le silence des médias"/>
        <s v="POUR UNE NOUVELLE DONNE REGIONALE"/>
        <s v="FRONT NATIONAL CORSE AVEC MARINE LE PEN"/>
        <s v="FEMU A CORSICA SIMEONI ANGELINI"/>
        <s v="RASSEMBLER POUR LA CORSE / UNITI PER A CORSICA"/>
        <s v="LA GARANTIE REPUBLICAINE"/>
        <s v="La Corse qui ose - Corsic'Ardita"/>
        <s v="PRIMA A CORSICA"/>
        <s v="RINNOVU"/>
        <s v="CORSICA LIBERA"/>
        <s v="A CORSICA IN CUMUNU - PCF - FRONT DE GAUCHE"/>
        <s v="JOSE ROSSI 2015"/>
        <s v="LISTE ORSUCCI - PIERI / LA CORSE A COEUR"/>
        <s v="DEBOUT LA FRANCE"/>
        <s v="ALTERNATIVE POPULAIRE ET CITOYENNE"/>
        <s v="GUADELOUPE SOLIDAIRE"/>
        <s v="NOUVELLE ALLIANCE POUR LA GUADELOUPE"/>
        <s v="LISTE FRONT NATIONAL PRESENTEE PAR MARINE LE PEN - GUADELOUPE BLEU MARINE"/>
        <s v="LA GUADELOUPE - TOUJOURS MIEUX"/>
        <s v="NOFWAP LA GUADELOUPE EN ACTION VERITE ET JUSTICE SOCIALE"/>
        <s v="POU BA GWADLOUP ON DÔT DIREKSION, ON DÔT BALAN"/>
        <s v="CHANGEZ D'AVENIR"/>
        <s v="OUI A LA GUADELOUPE"/>
        <s v="COMBAT OUVRIER"/>
        <s v="MARTINIQUE CITOYENNE NOU TOUT'KAPAB"/>
        <s v="BA PEYI-A AN CHANS"/>
        <s v="LA LISTE DEPARTEMENTALE"/>
        <s v="MOUVEMENT DES TRAVAILLEURS ET PEUPLE SANS VOIX DE MARTINIQUE"/>
        <s v="Grand Sanblé pour faire réussir la Martinique"/>
        <s v="LA MARTINIQUE AUTREMENT"/>
        <s v="NOU PEP LA"/>
        <s v="ENSEMBLE POUR UNE MARTINIQUE NOUVELLE"/>
        <s v="La force pour bâtir la Guyane"/>
        <s v="Guyane, de toutes nos forces !"/>
        <s v="Un territoire, une collectivité, un destin"/>
        <s v="l'union Guyane"/>
        <s v="Pour une NOUVELLE VISION de la Guyane française : un STATUT ambitieu et cohérent"/>
        <s v="Cultiver la Guyane"/>
        <s v="Pour une Guyane audacieuse"/>
        <s v="La Guyane en prospective"/>
        <s v="NOUS SOMMES GUYANE"/>
        <s v="VOTER, SE REVOLTER, POUR AVANCER"/>
        <s v="UNION DES FORCES DE PROGRES POUR LE DEVELOPPEMENT ET L'EGALITE"/>
        <s v="REUNIONNAIS LIBRES POUR UNE REUNION RESPONSABLE"/>
        <s v="DEBOUT LA REUNION AVEC NICOLAS DUPONT-AIGNAN"/>
        <s v="REUNIONNOUS"/>
        <s v="NASION RENIONE"/>
        <s v="LISTE DE RASSEMBLEMENT CONDUITE PAR HUGUETTE BELLO"/>
        <s v="CITOYENS TIRES AU SORT"/>
        <s v="LE RASSEMBLEMENT BLEU MARINE"/>
        <s v="ENSEMBLE, FAISONS AVANCER LA REUNION"/>
        <s v="LES VRAIS ENJEUX POUR LA REUNION"/>
      </sharedItems>
    </cacheField>
    <cacheField name="categorie" numFmtId="0">
      <sharedItems>
        <s v="G"/>
        <s v="D"/>
        <s v="C"/>
      </sharedItems>
    </cacheField>
    <cacheField name="Nuance Liste" numFmtId="0">
      <sharedItems>
        <s v="LVEG"/>
        <s v="LFG"/>
        <s v="LDLF"/>
        <s v="LUG"/>
        <s v="LFN"/>
        <s v="LDIV"/>
        <s v="LEXG"/>
        <s v="LREG"/>
        <s v="LUD"/>
        <s v="LDVG"/>
        <s v="LVEC"/>
        <s v="LDVD"/>
        <s v="LCOM"/>
        <s v="LECO"/>
        <s v="LMDM"/>
        <s v="LEXD"/>
        <s v="LRDG"/>
        <s v="LSOC"/>
        <s v="LLR"/>
        <s v="LUDI"/>
      </sharedItems>
    </cacheField>
    <cacheField name="Tête de Liste" numFmtId="0">
      <sharedItems>
        <s v="OUI"/>
      </sharedItems>
    </cacheField>
    <cacheField name="n° candidat" numFmtId="0">
      <sharedItems containsSemiMixedTypes="0" containsString="0" containsNumber="1" containsInteger="1">
        <n v="1.0"/>
        <n v="2.0"/>
        <n v="11.0"/>
        <n v="19.0"/>
        <n v="3.0"/>
        <n v="24.0"/>
        <n v="5.0"/>
        <n v="4.0"/>
      </sharedItems>
    </cacheField>
    <cacheField name="Sexe candidat" numFmtId="0">
      <sharedItems>
        <s v="F"/>
        <s v="M"/>
      </sharedItems>
    </cacheField>
    <cacheField name="Nom candidat" numFmtId="0">
      <sharedItems>
        <s v="BÉLIER"/>
        <s v="PERON"/>
        <s v="JACOBELLI"/>
        <s v="MASSERET"/>
        <s v="PHILIPPOT"/>
        <s v="WENTZEL"/>
        <s v="WOSTYN"/>
        <s v="TROUILLET"/>
        <s v="RICHERT"/>
        <s v="PEREIRA"/>
        <s v="ROUSSET"/>
        <s v="CALMELS"/>
        <s v="DARTIGOLLES"/>
        <s v="DOUET"/>
        <s v="BOUSSION"/>
        <s v="COUTANT"/>
        <s v="COLOMBIER"/>
        <s v="SETZE"/>
        <s v="PERCHET"/>
        <s v="FÉDÈLE"/>
        <s v="LAFOND"/>
        <s v="BOUDOT"/>
        <s v="CUKIERMAN"/>
        <s v="GOMEZ"/>
        <s v="WAUQUIEZ"/>
        <s v="KOHLHAAS"/>
        <s v="RAMBAUD"/>
        <s v="QUEYRANNE"/>
        <s v="MONTEL"/>
        <s v="GALLOIS"/>
        <s v="SAUVADET"/>
        <s v="GONZALEZ"/>
        <s v="PRUDHOMME"/>
        <s v="VERMOREL"/>
        <s v="ROCHER"/>
        <s v="THIÉBAUT"/>
        <s v="GRUDLER"/>
        <s v="DUFAY"/>
        <s v="ROBLIN"/>
        <s v="LE DRIAN"/>
        <s v="DELÉON"/>
        <s v="TROADEC"/>
        <s v="GOURVENEC"/>
        <s v="FOUCHER"/>
        <s v="PENNELLE"/>
        <s v="LE FUR"/>
        <s v="LOUAIL"/>
        <s v="COMPAIN"/>
        <s v="HAMON"/>
        <s v="LOISEAU"/>
        <s v="FOUQUIAU"/>
        <s v="MEGDOUD"/>
        <s v="PENLOUP"/>
        <s v="VIGIER"/>
        <s v="FOURNIER"/>
        <s v="BONNEAU"/>
        <s v="SANSU"/>
        <s v="LAURENT"/>
        <s v="BARTOLONE"/>
        <s v="ASSELINEAU"/>
        <s v="COSSE"/>
        <s v="HORSFALL"/>
        <s v="SACHS"/>
        <s v="DE SMET"/>
        <s v="BOURCHADA"/>
        <s v="DUPONT-AIGNAN"/>
        <s v="PECRESSE"/>
        <s v="VERON"/>
        <s v="DE SAINT JUST"/>
        <s v="ARTHAUD"/>
        <s v="REYNIÉ"/>
        <s v="DELGA"/>
        <s v="MARTINEZ"/>
        <s v="CAVARD"/>
        <s v="FABRE"/>
        <s v="HIRIMIRIS"/>
        <s v="SAUREL"/>
        <s v="ALIOT"/>
        <s v="ONESTA"/>
        <s v="LEMPEREUR"/>
        <s v="TORREMOCHA"/>
        <s v="ROUSSEL"/>
        <s v="LE PEN"/>
        <s v="PECQUEUR"/>
        <s v="MASCARO"/>
        <s v="DE SAINTIGNON"/>
        <s v="BERTRAND"/>
        <s v="TANGUY"/>
        <s v="BLONDEL"/>
        <s v="ROUSSEAU"/>
        <s v="CALBRIX"/>
        <s v="LECOEUR"/>
        <s v="SOUBIEN"/>
        <s v="LE MANACH"/>
        <s v="MAYER-ROSSIGNOL"/>
        <s v="BAY"/>
        <s v="JUMEL"/>
        <s v="MORIN"/>
        <s v="LOUTRE"/>
        <s v="GANNAT"/>
        <s v="DENIGOT"/>
        <s v="BAYLE DE JESSÉ"/>
        <s v="PAGANO"/>
        <s v="LE BELLER"/>
        <s v="RETAILLEAU"/>
        <s v="CLERGEAU"/>
        <s v="TERRIEN"/>
        <s v="BRINGUY"/>
        <s v="PARISOT"/>
        <s v="GOVERNATORI"/>
        <s v="BONNET"/>
        <s v="BOMPARD"/>
        <s v="CAMARD"/>
        <s v="MARÉCHAL-LE PEN"/>
        <s v="ESTROSI"/>
        <s v="CASTANER"/>
        <s v="ROMANI"/>
        <s v="CHUISANO"/>
        <s v="JARNY"/>
        <s v="CANIONI"/>
        <s v="SIMEONI"/>
        <s v="DE ROCCA SERRA"/>
        <s v="ZUCCARELLI"/>
        <s v="DE GENTILI"/>
        <s v="GIACOBBI"/>
        <s v="BENEDETTI"/>
        <s v="TALAMONI"/>
        <s v="BUCCHINI"/>
        <s v="ROSSI"/>
        <s v="ORSUCCI"/>
        <s v="SANTONI"/>
        <s v="PLAISIR"/>
        <s v="BERNIER"/>
        <s v="MYRE"/>
        <s v="VIENNET"/>
        <s v="LUREL"/>
        <s v="YOYOTTE"/>
        <s v="CADOCE"/>
        <s v="CHALUS"/>
        <s v="SEYMOUR"/>
        <s v="NOMERTIN"/>
        <s v="JOS"/>
        <s v="JOACHIM-ARNAUD"/>
        <s v="MONPLAISIR"/>
        <s v="VIRASSAMY"/>
        <s v="GROMAT"/>
        <s v="MARIE-JEANNE"/>
        <s v="PETIT"/>
        <s v="NADEAU"/>
        <s v="LETCHIMY"/>
        <s v="BUDOC"/>
        <s v="LéTARD"/>
        <s v="ALEXANDRE"/>
        <s v="ICARE NOUREL"/>
        <s v="BERTHELOT"/>
        <s v="TIEN-LIONG"/>
        <s v="TAUBIRA"/>
        <s v="CANAVY"/>
        <s v="RATENON"/>
        <s v="LEBRETON"/>
        <s v="VICTORIA"/>
        <s v="MOREL"/>
        <s v="ROBERT"/>
        <s v="PAYET"/>
        <s v="BOYER"/>
        <s v="BELLO"/>
        <s v="GRONDIN"/>
        <s v="APPADOO"/>
      </sharedItems>
    </cacheField>
    <cacheField name="Prénom candidat" numFmtId="0">
      <sharedItems>
        <s v="Sandrine"/>
        <s v="Patrick"/>
        <s v="Laurent"/>
        <s v="Jean-Pierre"/>
        <s v="Florian"/>
        <s v="David"/>
        <s v="Julien"/>
        <s v="Jean-Georges"/>
        <s v="Philippe"/>
        <s v="Nicolas"/>
        <s v="Alain"/>
        <s v="Virginie"/>
        <s v="Olivier"/>
        <s v="William"/>
        <s v="Joseph"/>
        <s v="Françoise"/>
        <s v="Jacques"/>
        <s v="Yvon"/>
        <s v="Guillaume"/>
        <s v="Eric"/>
        <s v="Christophe"/>
        <s v="Cécile"/>
        <s v="Chantal"/>
        <s v="Jean-Charles"/>
        <s v="Gerbert"/>
        <s v="Jean-Jack"/>
        <s v="Sophie"/>
        <s v="Charles-Henri"/>
        <s v="François"/>
        <s v="Nathalie"/>
        <s v="Claire"/>
        <s v="Maxime"/>
        <s v="Marie-Guite"/>
        <s v="Gael"/>
        <s v="Jean-Yves"/>
        <s v="Bertrand"/>
        <s v="Christian"/>
        <s v="Jean-François"/>
        <s v="Jean-Jacques"/>
        <s v="Gilles"/>
        <s v="Marc"/>
        <s v="René"/>
        <s v="Xavier"/>
        <s v="Valérie"/>
        <s v="Thierry"/>
        <s v="Farida"/>
        <s v="Alix"/>
        <s v="Charles"/>
        <s v="Pierre"/>
        <s v="Claude"/>
        <s v="Emmanuelle"/>
        <s v="Dawari"/>
        <s v="Valerie"/>
        <s v="Sylvain"/>
        <s v="Nizarr"/>
        <s v="Aurelien"/>
        <s v="Wallerand"/>
        <s v="Dominique"/>
        <s v="Carole"/>
        <s v="Jean-Claude"/>
        <s v="Yvan"/>
        <s v="Louis"/>
        <s v="Gérard"/>
        <s v="Damien"/>
        <s v="Sandra"/>
        <s v="Fabien"/>
        <s v="Marine"/>
        <s v="Jean-Philippe"/>
        <s v="Alexandra"/>
        <s v="Yanic"/>
        <s v="Pascal"/>
        <s v="Sébastien"/>
        <s v="Hervé"/>
        <s v="Jean-Christophe"/>
        <s v="Eddy"/>
        <s v="Bruno"/>
        <s v="Jean Marc"/>
        <s v="Isabelle"/>
        <s v="Marion"/>
        <s v="Daniel"/>
        <s v="Noël"/>
        <s v="Cyril"/>
        <s v="Camille"/>
        <s v="Jean"/>
        <s v="Paul"/>
        <s v="Paul-Félix"/>
        <s v="Jean-Guy"/>
        <s v="José"/>
        <s v="Hyacinthe"/>
        <s v="Marie-Christine"/>
        <s v="Stephan"/>
        <s v="Victorin"/>
        <s v="Henri"/>
        <s v="Mona"/>
        <s v="Ary"/>
        <s v="Mélina"/>
        <s v="Jean-Marie"/>
        <s v="Ghislaine"/>
        <s v="Yan"/>
        <s v="Alfred"/>
        <s v="Marcellin"/>
        <s v="Serge"/>
        <s v="Rémy Louis"/>
        <s v="Line"/>
        <s v="Rodolphe"/>
        <s v="Muriel"/>
        <s v="Sylvio"/>
        <s v="Jean-Hugues"/>
        <s v="René-Paul"/>
        <s v="Didier"/>
        <s v="Jean Yves"/>
        <s v="Aniel"/>
        <s v="Huguette"/>
        <s v="Mathias"/>
      </sharedItems>
    </cacheField>
    <cacheField name="Date naissance candidat" numFmtId="14">
      <sharedItems containsSemiMixedTypes="0" containsDate="1" containsString="0">
        <d v="1973-09-02T00:00:00Z"/>
        <d v="1954-08-10T00:00:00Z"/>
        <d v="1969-10-13T00:00:00Z"/>
        <d v="1944-08-23T00:00:00Z"/>
        <d v="1981-10-24T00:00:00Z"/>
        <d v="1985-03-22T00:00:00Z"/>
        <d v="1978-12-23T00:00:00Z"/>
        <d v="1977-11-27T00:00:00Z"/>
        <d v="1953-05-22T00:00:00Z"/>
        <d v="1991-06-20T00:00:00Z"/>
        <d v="1951-02-16T00:00:00Z"/>
        <d v="1971-02-11T00:00:00Z"/>
        <d v="1970-08-27T00:00:00Z"/>
        <d v="1992-05-30T00:00:00Z"/>
        <d v="1985-01-11T00:00:00Z"/>
        <d v="1966-06-04T00:00:00Z"/>
        <d v="1952-02-17T00:00:00Z"/>
        <d v="1952-05-02T00:00:00Z"/>
        <d v="1970-11-05T00:00:00Z"/>
        <d v="1964-02-13T00:00:00Z"/>
        <d v="1972-08-30T00:00:00Z"/>
        <d v="1969-08-07T00:00:00Z"/>
        <d v="1976-04-26T00:00:00Z"/>
        <d v="1956-04-18T00:00:00Z"/>
        <d v="1975-04-12T00:00:00Z"/>
        <d v="1964-09-29T00:00:00Z"/>
        <d v="1963-10-20T00:00:00Z"/>
        <d v="1945-11-02T00:00:00Z"/>
        <d v="1969-11-22T00:00:00Z"/>
        <d v="1988-10-31T00:00:00Z"/>
        <d v="1953-04-20T00:00:00Z"/>
        <d v="1975-12-25T00:00:00Z"/>
        <d v="1976-02-14T00:00:00Z"/>
        <d v="1960-06-21T00:00:00Z"/>
        <d v="1978-09-27T00:00:00Z"/>
        <d v="1991-01-12T00:00:00Z"/>
        <d v="1965-04-09T00:00:00Z"/>
        <d v="1949-05-21T00:00:00Z"/>
        <d v="1972-12-27T00:00:00Z"/>
        <d v="1947-06-30T00:00:00Z"/>
        <d v="1974-03-22T00:00:00Z"/>
        <d v="1966-03-24T00:00:00Z"/>
        <d v="1976-10-11T00:00:00Z"/>
        <d v="1962-05-11T00:00:00Z"/>
        <d v="1962-07-20T00:00:00Z"/>
        <d v="1956-11-28T00:00:00Z"/>
        <d v="1952-06-15T00:00:00Z"/>
        <d v="1966-05-24T00:00:00Z"/>
        <d v="1972-02-01T00:00:00Z"/>
        <d v="1957-11-24T00:00:00Z"/>
        <d v="1966-11-07T00:00:00Z"/>
        <d v="1961-12-27T00:00:00Z"/>
        <d v="1985-07-22T00:00:00Z"/>
        <d v="1958-02-03T00:00:00Z"/>
        <d v="1968-03-10T00:00:00Z"/>
        <d v="1953-10-12T00:00:00Z"/>
        <d v="1968-06-17T00:00:00Z"/>
        <d v="1957-07-01T00:00:00Z"/>
        <d v="1951-07-29T00:00:00Z"/>
        <d v="1957-09-04T00:00:00Z"/>
        <d v="1974-11-15T00:00:00Z"/>
        <d v="1975-07-31T00:00:00Z"/>
        <d v="1961-10-26T00:00:00Z"/>
        <d v="1965-04-03T00:00:00Z"/>
        <d v="1981-05-16T00:00:00Z"/>
        <d v="1961-03-07T00:00:00Z"/>
        <d v="1967-07-14T00:00:00Z"/>
        <d v="1969-04-03T00:00:00Z"/>
        <d v="1950-07-06T00:00:00Z"/>
        <d v="1970-02-23T00:00:00Z"/>
        <d v="1960-06-17T00:00:00Z"/>
        <d v="1971-08-19T00:00:00Z"/>
        <d v="1945-07-30T00:00:00Z"/>
        <d v="1970-02-19T00:00:00Z"/>
        <d v="1971-11-19T00:00:00Z"/>
        <d v="1985-04-01T00:00:00Z"/>
        <d v="1957-12-17T00:00:00Z"/>
        <d v="1969-09-04T00:00:00Z"/>
        <d v="1960-08-05T00:00:00Z"/>
        <d v="1983-07-12T00:00:00Z"/>
        <d v="1973-12-06T00:00:00Z"/>
        <d v="1969-04-16T00:00:00Z"/>
        <d v="1968-08-05T00:00:00Z"/>
        <d v="1966-08-03T00:00:00Z"/>
        <d v="1968-05-16T00:00:00Z"/>
        <d v="1948-05-22T00:00:00Z"/>
        <d v="1965-03-21T00:00:00Z"/>
        <d v="1986-03-25T00:00:00Z"/>
        <d v="1980-11-17T00:00:00Z"/>
        <d v="1972-03-08T00:00:00Z"/>
        <d v="1984-10-12T00:00:00Z"/>
        <d v="1971-12-26T00:00:00Z"/>
        <d v="1959-08-11T00:00:00Z"/>
        <d v="1966-09-11T00:00:00Z"/>
        <d v="1977-04-08T00:00:00Z"/>
        <d v="1977-12-21T00:00:00Z"/>
        <d v="1971-12-20T00:00:00Z"/>
        <d v="1961-08-17T00:00:00Z"/>
        <d v="1968-12-29T00:00:00Z"/>
        <d v="1955-07-27T00:00:00Z"/>
        <d v="1948-08-23T00:00:00Z"/>
        <d v="1948-02-20T00:00:00Z"/>
        <d v="1969-06-09T00:00:00Z"/>
        <d v="1969-01-19T00:00:00Z"/>
        <d v="1960-11-20T00:00:00Z"/>
        <d v="1968-09-01T00:00:00Z"/>
        <d v="1970-11-01T00:00:00Z"/>
        <d v="1979-07-26T00:00:00Z"/>
        <d v="1962-09-02T00:00:00Z"/>
        <d v="1958-12-28T00:00:00Z"/>
        <d v="1965-06-25T00:00:00Z"/>
        <d v="1943-02-24T00:00:00Z"/>
        <d v="1972-12-09T00:00:00Z"/>
        <d v="1989-12-10T00:00:00Z"/>
        <d v="1955-07-01T00:00:00Z"/>
        <d v="1966-01-03T00:00:00Z"/>
        <d v="1960-05-06T00:00:00Z"/>
        <d v="1957-12-24T00:00:00Z"/>
        <d v="1981-09-04T00:00:00Z"/>
        <d v="1961-09-27T00:00:00Z"/>
        <d v="1967-04-20T00:00:00Z"/>
        <d v="1954-05-21T00:00:00Z"/>
        <d v="1964-07-08T00:00:00Z"/>
        <d v="1957-06-14T00:00:00Z"/>
        <d v="1966-07-28T00:00:00Z"/>
        <d v="1943-01-24T00:00:00Z"/>
        <d v="1944-06-18T00:00:00Z"/>
        <d v="1972-01-30T00:00:00Z"/>
        <d v="1939-01-01T00:00:00Z"/>
        <d v="1945-09-02T00:00:00Z"/>
        <d v="1967-05-17T00:00:00Z"/>
        <d v="1954-06-08T00:00:00Z"/>
        <d v="1968-10-29T00:00:00Z"/>
        <d v="1951-08-20T00:00:00Z"/>
        <d v="1952-05-07T00:00:00Z"/>
        <d v="1945-12-06T00:00:00Z"/>
        <d v="1961-12-06T00:00:00Z"/>
        <d v="1982-02-27T00:00:00Z"/>
        <d v="1965-01-29T00:00:00Z"/>
        <d v="1966-11-24T00:00:00Z"/>
        <d v="1952-06-10T00:00:00Z"/>
        <d v="1952-04-21T00:00:00Z"/>
        <d v="1942-03-05T00:00:00Z"/>
        <d v="1960-04-15T00:00:00Z"/>
        <d v="1936-11-15T00:00:00Z"/>
        <d v="1957-05-16T00:00:00Z"/>
        <d v="1962-11-02T00:00:00Z"/>
        <d v="1953-01-13T00:00:00Z"/>
        <d v="1958-09-01T00:00:00Z"/>
        <d v="1973-01-02T00:00:00Z"/>
        <d v="1953-09-25T00:00:00Z"/>
        <d v="1973-04-08T00:00:00Z"/>
        <d v="1959-04-11T00:00:00Z"/>
        <d v="1958-09-12T00:00:00Z"/>
        <d v="1963-05-21T00:00:00Z"/>
        <d v="1950-08-15T00:00:00Z"/>
        <d v="1957-06-30T00:00:00Z"/>
        <d v="1967-06-25T00:00:00Z"/>
        <d v="1963-09-06T00:00:00Z"/>
        <d v="1954-08-27T00:00:00Z"/>
        <d v="1952-03-06T00:00:00Z"/>
        <d v="1964-04-26T00:00:00Z"/>
        <d v="1967-03-05T00:00:00Z"/>
        <d v="1958-04-26T00:00:00Z"/>
        <d v="1950-08-24T00:00:00Z"/>
        <d v="1990-04-21T00:00:00Z"/>
        <d v="1947-12-26T00:00:00Z"/>
        <d v="1977-04-01T00:00:00Z"/>
        <d v="1968-06-14T00:00:00Z"/>
      </sharedItems>
    </cacheField>
    <cacheField name="Profession candidat" numFmtId="0">
      <sharedItems>
        <s v="Industriel-Chef entreprise"/>
        <s v="Retraité salarié privé"/>
        <s v="Retraité fonct.publique (sf enseig.)"/>
        <s v="Grands corps de l'état"/>
        <s v="Agent subalterne (entr.publiques)"/>
        <s v="Ouvrier (secteur privé)"/>
        <s v="Ingénieur"/>
        <s v="Permanent politique"/>
        <s v="Autre cadre (secteur privé)"/>
        <s v="Autre profession"/>
        <s v="Administrateur de sociétés"/>
        <s v="Etudiant"/>
        <s v="Sans profession déclarée"/>
        <s v="Professeur du secondaire et techn."/>
        <s v="Retraité des professions libérales"/>
        <s v="Retr.artis.commerc.chef d entrep."/>
        <s v="Homme de lettres et Artiste"/>
        <s v="Fonctionnaire de catégorie C"/>
        <s v="Salarié du secteur médical"/>
        <s v="Avocat"/>
        <s v="Retraité de l'enseignement"/>
        <s v="Journaliste et autre média"/>
        <s v="Assistante sociale"/>
        <s v="Fonctionnaire de catégorie B"/>
        <s v="Conseiller juridique"/>
        <s v="Enseignant 1er deg.-directeur école"/>
        <s v="Retraité agricole"/>
        <s v="Agriculteur-propriétaire exploit."/>
        <s v="Employé (autres entrep. publiques)"/>
        <s v="Pharmacien"/>
        <s v="Autre retraité"/>
        <s v="Cadre supérieur (secteur privé)"/>
        <s v="Magistrat"/>
        <s v="Professeur de faculté"/>
        <s v="Fonctionnaire de catégorie A"/>
        <s v="Dentiste"/>
        <s v="Architecte"/>
        <s v="Agent général d'assurances"/>
        <s v="Cadre sup. (entreprises publiques)"/>
        <s v="Profession rattachée à l'enseignt."/>
        <s v="Autre profession libérale"/>
        <s v="Agent technique et technicien"/>
        <s v="Employé (secteur privé)"/>
        <s v="Commercant"/>
        <s v="Agent d'assurances"/>
        <s v="Cadre (entreprises publiques)"/>
      </sharedItems>
    </cacheField>
    <cacheField name="Personnalité candidat" numFmtId="0">
      <sharedItems containsBlank="1">
        <m/>
        <s v="SEN,PCR"/>
        <s v="RPE"/>
        <s v="PCR"/>
        <s v="DEP,PCR"/>
        <s v="SEN"/>
        <s v="DEP"/>
        <s v="DEP,PCD"/>
        <s v="MIN"/>
        <s v="MAI"/>
        <s v="PAC"/>
        <s v="PCD"/>
      </sharedItems>
    </cacheField>
    <cacheField name="Le candidat est sortant" numFmtId="0">
      <sharedItems>
        <s v="Non"/>
        <s v="Oui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8" cacheId="0" dataCaption="" compact="0" compactData="0">
  <location ref="A1:E8" firstHeaderRow="0" firstDataRow="1" firstDataCol="1"/>
  <pivotFields>
    <pivotField name="Date de l'export" compact="0" numFmtId="22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de de la ré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Libellé de la ré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ecoupage" axis="axisRow" dataField="1" compact="0" outline="0" multipleItemSelectionAllowed="1" showAll="0" sortType="ascending">
      <items>
        <item x="0"/>
        <item x="3"/>
        <item x="4"/>
        <item x="2"/>
        <item x="1"/>
        <item t="default"/>
      </items>
    </pivotField>
    <pivotField name="Code section élector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Libellé section élector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N° Pannea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de Dépôt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Libellé abrégé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Libellé Etend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categorie" axis="axisCol" compact="0" outline="0" multipleItemSelectionAllowed="1" showAll="0" sortType="ascending">
      <items>
        <item x="2"/>
        <item x="1"/>
        <item x="0"/>
        <item t="default"/>
      </items>
    </pivotField>
    <pivotField name="Nuance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ête de Liste" compact="0" outline="0" multipleItemSelectionAllowed="1" showAll="0">
      <items>
        <item x="0"/>
        <item t="default"/>
      </items>
    </pivotField>
    <pivotField name="n°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xe candidat" compact="0" outline="0" multipleItemSelectionAllowed="1" showAll="0">
      <items>
        <item x="0"/>
        <item x="1"/>
        <item t="default"/>
      </items>
    </pivotField>
    <pivotField name="Nom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Prénom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Date naissance candidat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Profession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ersonnalité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e candidat est sortant" compact="0" outline="0" multipleItemSelectionAllowed="1" showAll="0">
      <items>
        <item x="0"/>
        <item x="1"/>
        <item t="default"/>
      </items>
    </pivotField>
  </pivotFields>
  <rowFields>
    <field x="3"/>
  </rowFields>
  <colFields>
    <field x="10"/>
  </colFields>
  <dataFields>
    <dataField name="COUNTA of decoupage" fld="3" subtotal="count" showDataAs="percentOfRow" baseField="0" numFmtId="10"/>
  </dataFields>
</pivotTableDefinition>
</file>

<file path=xl/pivotTables/pivotTable2.xml><?xml version="1.0" encoding="utf-8"?>
<pivotTableDefinition xmlns="http://schemas.openxmlformats.org/spreadsheetml/2006/main" name="Pivot Table 26" cacheId="0" dataCaption="" compact="0" compactData="0">
  <location ref="A1:E5" firstHeaderRow="0" firstDataRow="1" firstDataCol="1"/>
  <pivotFields>
    <pivotField name="Date de l'export" compact="0" numFmtId="22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de de la ré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Libellé de la ré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ecoupa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de section élector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Libellé section élector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N° Pannea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de Dépôt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Libellé abrégé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Libellé Etend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categorie" axis="axisCol" compact="0" outline="0" multipleItemSelectionAllowed="1" showAll="0" sortType="ascending">
      <items>
        <item x="2"/>
        <item x="1"/>
        <item x="0"/>
        <item t="default"/>
      </items>
    </pivotField>
    <pivotField name="Nuance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ête de Liste" compact="0" outline="0" multipleItemSelectionAllowed="1" showAll="0">
      <items>
        <item x="0"/>
        <item t="default"/>
      </items>
    </pivotField>
    <pivotField name="n°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xe candidat" axis="axisRow" dataField="1" compact="0" outline="0" multipleItemSelectionAllowed="1" showAll="0" sortType="ascending">
      <items>
        <item x="0"/>
        <item x="1"/>
        <item t="default"/>
      </items>
    </pivotField>
    <pivotField name="Nom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Prénom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Date naissance candidat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Profession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ersonnalité candid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e candidat est sortant" compact="0" outline="0" multipleItemSelectionAllowed="1" showAll="0">
      <items>
        <item x="0"/>
        <item x="1"/>
        <item t="default"/>
      </items>
    </pivotField>
  </pivotFields>
  <rowFields>
    <field x="14"/>
  </rowFields>
  <colFields>
    <field x="10"/>
  </colFields>
  <dataFields>
    <dataField name="COUNTA of Sexe candidat" fld="14" subtotal="count" showDataAs="percentOfCo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88"/>
    <col customWidth="1" min="3" max="3" width="64.88"/>
    <col customWidth="1" min="4" max="26" width="9.38"/>
  </cols>
  <sheetData>
    <row r="2">
      <c r="B2" s="1" t="s">
        <v>0</v>
      </c>
      <c r="C2" s="2" t="s">
        <v>1</v>
      </c>
      <c r="D2" s="3" t="s">
        <v>2</v>
      </c>
    </row>
    <row r="3">
      <c r="B3" s="4" t="s">
        <v>3</v>
      </c>
      <c r="C3" s="5" t="s">
        <v>4</v>
      </c>
      <c r="D3" s="3" t="s">
        <v>2</v>
      </c>
    </row>
    <row r="4">
      <c r="B4" s="4" t="s">
        <v>5</v>
      </c>
      <c r="C4" s="5" t="s">
        <v>6</v>
      </c>
      <c r="D4" s="3" t="s">
        <v>2</v>
      </c>
    </row>
    <row r="5">
      <c r="B5" s="4" t="s">
        <v>7</v>
      </c>
      <c r="C5" s="5" t="s">
        <v>8</v>
      </c>
      <c r="D5" s="3" t="s">
        <v>2</v>
      </c>
    </row>
    <row r="6">
      <c r="B6" s="4" t="s">
        <v>9</v>
      </c>
      <c r="C6" s="5" t="s">
        <v>10</v>
      </c>
      <c r="D6" s="3" t="s">
        <v>2</v>
      </c>
    </row>
    <row r="7">
      <c r="B7" s="4" t="s">
        <v>11</v>
      </c>
      <c r="C7" s="5" t="s">
        <v>12</v>
      </c>
      <c r="D7" s="3" t="s">
        <v>2</v>
      </c>
    </row>
    <row r="8">
      <c r="B8" s="4" t="s">
        <v>13</v>
      </c>
      <c r="C8" s="5" t="s">
        <v>14</v>
      </c>
      <c r="D8" s="3" t="s">
        <v>2</v>
      </c>
    </row>
    <row r="9">
      <c r="B9" s="4" t="s">
        <v>15</v>
      </c>
      <c r="C9" s="5" t="s">
        <v>16</v>
      </c>
      <c r="D9" s="3" t="s">
        <v>2</v>
      </c>
    </row>
    <row r="10">
      <c r="B10" s="4" t="s">
        <v>17</v>
      </c>
      <c r="C10" s="5" t="s">
        <v>18</v>
      </c>
      <c r="D10" s="3" t="s">
        <v>2</v>
      </c>
    </row>
    <row r="11">
      <c r="B11" s="4" t="s">
        <v>19</v>
      </c>
      <c r="C11" s="5" t="s">
        <v>20</v>
      </c>
      <c r="D11" s="3" t="s">
        <v>2</v>
      </c>
    </row>
    <row r="12">
      <c r="B12" s="4" t="s">
        <v>21</v>
      </c>
      <c r="C12" s="5" t="s">
        <v>22</v>
      </c>
      <c r="D12" s="3" t="s">
        <v>2</v>
      </c>
    </row>
    <row r="13">
      <c r="B13" s="4" t="s">
        <v>23</v>
      </c>
      <c r="C13" s="5" t="s">
        <v>24</v>
      </c>
      <c r="D13" s="3" t="s">
        <v>2</v>
      </c>
    </row>
    <row r="14">
      <c r="B14" s="4" t="s">
        <v>25</v>
      </c>
      <c r="C14" s="5" t="s">
        <v>26</v>
      </c>
      <c r="D14" s="3" t="s">
        <v>27</v>
      </c>
    </row>
    <row r="15">
      <c r="B15" s="4" t="s">
        <v>28</v>
      </c>
      <c r="C15" s="5" t="s">
        <v>29</v>
      </c>
      <c r="D15" s="3" t="s">
        <v>30</v>
      </c>
    </row>
    <row r="16">
      <c r="B16" s="4" t="s">
        <v>31</v>
      </c>
      <c r="C16" s="5" t="s">
        <v>32</v>
      </c>
      <c r="D16" s="3" t="s">
        <v>27</v>
      </c>
    </row>
    <row r="17">
      <c r="B17" s="4" t="s">
        <v>33</v>
      </c>
      <c r="C17" s="5" t="s">
        <v>34</v>
      </c>
      <c r="D17" s="3" t="s">
        <v>27</v>
      </c>
    </row>
    <row r="18">
      <c r="B18" s="4" t="s">
        <v>35</v>
      </c>
      <c r="C18" s="5" t="s">
        <v>36</v>
      </c>
      <c r="D18" s="3" t="s">
        <v>30</v>
      </c>
    </row>
    <row r="19">
      <c r="B19" s="4" t="s">
        <v>37</v>
      </c>
      <c r="C19" s="5" t="s">
        <v>38</v>
      </c>
      <c r="D19" s="3" t="s">
        <v>30</v>
      </c>
    </row>
    <row r="20">
      <c r="B20" s="4" t="s">
        <v>39</v>
      </c>
      <c r="C20" s="5" t="s">
        <v>40</v>
      </c>
      <c r="D20" s="3" t="s">
        <v>30</v>
      </c>
    </row>
    <row r="21">
      <c r="B21" s="4" t="s">
        <v>41</v>
      </c>
      <c r="C21" s="5" t="s">
        <v>42</v>
      </c>
      <c r="D21" s="3" t="s">
        <v>30</v>
      </c>
    </row>
    <row r="22">
      <c r="B22" s="4" t="s">
        <v>43</v>
      </c>
      <c r="C22" s="5" t="s">
        <v>44</v>
      </c>
      <c r="D22" s="3" t="s">
        <v>30</v>
      </c>
    </row>
    <row r="23">
      <c r="B23" s="4" t="s">
        <v>45</v>
      </c>
      <c r="C23" s="5" t="s">
        <v>46</v>
      </c>
      <c r="D23" s="3" t="s">
        <v>30</v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9.0"/>
    <col customWidth="1" min="3" max="3" width="32.5"/>
    <col customWidth="1" min="4" max="5" width="12.13"/>
    <col customWidth="1" min="6" max="6" width="23.63"/>
    <col customWidth="1" min="7" max="7" width="9.88"/>
    <col customWidth="1" min="8" max="8" width="9.38"/>
    <col customWidth="1" min="9" max="9" width="41.25"/>
    <col customWidth="1" min="10" max="10" width="55.63"/>
    <col customWidth="1" min="11" max="11" width="11.25"/>
    <col customWidth="1" min="12" max="12" width="19.88"/>
    <col customWidth="1" min="13" max="13" width="17.75"/>
    <col customWidth="1" min="14" max="14" width="9.5"/>
    <col customWidth="1" min="15" max="15" width="7.5"/>
    <col customWidth="1" min="16" max="16" width="17.88"/>
    <col customWidth="1" min="17" max="17" width="22.25"/>
    <col customWidth="1" min="18" max="18" width="9.38"/>
    <col customWidth="1" min="19" max="19" width="28.88"/>
    <col customWidth="1" min="20" max="20" width="15.38"/>
    <col customWidth="1" min="21" max="21" width="21.25"/>
  </cols>
  <sheetData>
    <row r="1">
      <c r="A1" s="6" t="s">
        <v>47</v>
      </c>
      <c r="B1" s="6" t="s">
        <v>48</v>
      </c>
      <c r="C1" s="6" t="s">
        <v>49</v>
      </c>
      <c r="D1" s="7" t="s">
        <v>50</v>
      </c>
      <c r="E1" s="6" t="s">
        <v>51</v>
      </c>
      <c r="F1" s="6" t="s">
        <v>52</v>
      </c>
      <c r="G1" s="6" t="s">
        <v>53</v>
      </c>
      <c r="H1" s="6" t="s">
        <v>54</v>
      </c>
      <c r="I1" s="6" t="s">
        <v>55</v>
      </c>
      <c r="J1" s="6" t="s">
        <v>56</v>
      </c>
      <c r="K1" s="7" t="s">
        <v>57</v>
      </c>
      <c r="L1" s="6" t="s">
        <v>58</v>
      </c>
      <c r="M1" s="6" t="s">
        <v>59</v>
      </c>
      <c r="N1" s="6" t="s">
        <v>60</v>
      </c>
      <c r="O1" s="6" t="s">
        <v>61</v>
      </c>
      <c r="P1" s="6" t="s">
        <v>62</v>
      </c>
      <c r="Q1" s="6" t="s">
        <v>63</v>
      </c>
      <c r="R1" s="6" t="s">
        <v>64</v>
      </c>
      <c r="S1" s="6" t="s">
        <v>65</v>
      </c>
      <c r="T1" s="6" t="s">
        <v>66</v>
      </c>
      <c r="U1" s="6" t="s">
        <v>67</v>
      </c>
    </row>
    <row r="2">
      <c r="A2" s="8">
        <v>42318.71487268519</v>
      </c>
      <c r="B2" s="9">
        <v>44.0</v>
      </c>
      <c r="C2" s="9" t="s">
        <v>68</v>
      </c>
      <c r="D2" s="9" t="str">
        <f>IFERROR(__xludf.DUMMYFUNCTION("FILTER(Sheet5!B:B,Sheet5!A:A=C2)"),"NE")</f>
        <v>NE</v>
      </c>
      <c r="E2" s="9">
        <v>67.0</v>
      </c>
      <c r="F2" s="9" t="s">
        <v>69</v>
      </c>
      <c r="G2" s="9">
        <v>1.0</v>
      </c>
      <c r="H2" s="9">
        <v>9.0</v>
      </c>
      <c r="I2" s="9" t="s">
        <v>70</v>
      </c>
      <c r="J2" s="9" t="s">
        <v>71</v>
      </c>
      <c r="K2" s="9" t="str">
        <f>IFERROR(__xludf.DUMMYFUNCTION("FILTER(Nuance!D:D,Nuance!B:B=L2)"),"G")</f>
        <v>G</v>
      </c>
      <c r="L2" s="9" t="s">
        <v>11</v>
      </c>
      <c r="M2" s="9" t="s">
        <v>72</v>
      </c>
      <c r="N2" s="9">
        <v>1.0</v>
      </c>
      <c r="O2" s="9" t="s">
        <v>73</v>
      </c>
      <c r="P2" s="9" t="s">
        <v>74</v>
      </c>
      <c r="Q2" s="9" t="s">
        <v>75</v>
      </c>
      <c r="R2" s="10">
        <v>26909.0</v>
      </c>
      <c r="S2" s="9" t="s">
        <v>76</v>
      </c>
      <c r="T2" s="9"/>
      <c r="U2" s="9" t="s">
        <v>77</v>
      </c>
    </row>
    <row r="3">
      <c r="A3" s="8">
        <v>42318.71487268519</v>
      </c>
      <c r="B3" s="9">
        <v>44.0</v>
      </c>
      <c r="C3" s="9" t="s">
        <v>68</v>
      </c>
      <c r="D3" s="9" t="str">
        <f>IFERROR(__xludf.DUMMYFUNCTION("FILTER(Sheet5!B:B,Sheet5!A:A=C3)"),"NE")</f>
        <v>NE</v>
      </c>
      <c r="E3" s="9">
        <v>57.0</v>
      </c>
      <c r="F3" s="9" t="s">
        <v>78</v>
      </c>
      <c r="G3" s="9">
        <v>2.0</v>
      </c>
      <c r="H3" s="9">
        <v>4.0</v>
      </c>
      <c r="I3" s="9" t="s">
        <v>5</v>
      </c>
      <c r="J3" s="9" t="s">
        <v>79</v>
      </c>
      <c r="K3" s="9" t="str">
        <f>IFERROR(__xludf.DUMMYFUNCTION("FILTER(Nuance!D:D,Nuance!B:B=L3)"),"G")</f>
        <v>G</v>
      </c>
      <c r="L3" s="9" t="s">
        <v>5</v>
      </c>
      <c r="M3" s="9" t="s">
        <v>72</v>
      </c>
      <c r="N3" s="9">
        <v>1.0</v>
      </c>
      <c r="O3" s="9" t="s">
        <v>80</v>
      </c>
      <c r="P3" s="9" t="s">
        <v>81</v>
      </c>
      <c r="Q3" s="9" t="s">
        <v>82</v>
      </c>
      <c r="R3" s="10">
        <v>19946.0</v>
      </c>
      <c r="S3" s="9" t="s">
        <v>83</v>
      </c>
      <c r="T3" s="9"/>
      <c r="U3" s="9" t="s">
        <v>77</v>
      </c>
    </row>
    <row r="4">
      <c r="A4" s="8">
        <v>42318.71487268519</v>
      </c>
      <c r="B4" s="9">
        <v>44.0</v>
      </c>
      <c r="C4" s="9" t="s">
        <v>68</v>
      </c>
      <c r="D4" s="9" t="str">
        <f>IFERROR(__xludf.DUMMYFUNCTION("FILTER(Sheet5!B:B,Sheet5!A:A=C4)"),"NE")</f>
        <v>NE</v>
      </c>
      <c r="E4" s="9">
        <v>88.0</v>
      </c>
      <c r="F4" s="9" t="s">
        <v>84</v>
      </c>
      <c r="G4" s="9">
        <v>3.0</v>
      </c>
      <c r="H4" s="9">
        <v>2.0</v>
      </c>
      <c r="I4" s="9" t="s">
        <v>85</v>
      </c>
      <c r="J4" s="9" t="s">
        <v>86</v>
      </c>
      <c r="K4" s="9" t="str">
        <f>IFERROR(__xludf.DUMMYFUNCTION("FILTER(Nuance!D:D,Nuance!B:B=L4)"),"D")</f>
        <v>D</v>
      </c>
      <c r="L4" s="9" t="s">
        <v>39</v>
      </c>
      <c r="M4" s="9" t="s">
        <v>72</v>
      </c>
      <c r="N4" s="9">
        <v>1.0</v>
      </c>
      <c r="O4" s="9" t="s">
        <v>80</v>
      </c>
      <c r="P4" s="9" t="s">
        <v>87</v>
      </c>
      <c r="Q4" s="9" t="s">
        <v>88</v>
      </c>
      <c r="R4" s="10">
        <v>25489.0</v>
      </c>
      <c r="S4" s="9" t="s">
        <v>76</v>
      </c>
      <c r="T4" s="9"/>
      <c r="U4" s="9" t="s">
        <v>77</v>
      </c>
    </row>
    <row r="5">
      <c r="A5" s="8">
        <v>42318.71487268519</v>
      </c>
      <c r="B5" s="9">
        <v>44.0</v>
      </c>
      <c r="C5" s="9" t="s">
        <v>68</v>
      </c>
      <c r="D5" s="9" t="str">
        <f>IFERROR(__xludf.DUMMYFUNCTION("FILTER(Sheet5!B:B,Sheet5!A:A=C5)"),"NE")</f>
        <v>NE</v>
      </c>
      <c r="E5" s="9">
        <v>57.0</v>
      </c>
      <c r="F5" s="9" t="s">
        <v>78</v>
      </c>
      <c r="G5" s="9">
        <v>4.0</v>
      </c>
      <c r="H5" s="9">
        <v>7.0</v>
      </c>
      <c r="I5" s="9" t="s">
        <v>89</v>
      </c>
      <c r="J5" s="9" t="s">
        <v>90</v>
      </c>
      <c r="K5" s="9" t="str">
        <f>IFERROR(__xludf.DUMMYFUNCTION("FILTER(Nuance!D:D,Nuance!B:B=L5)"),"G")</f>
        <v>G</v>
      </c>
      <c r="L5" s="9" t="s">
        <v>15</v>
      </c>
      <c r="M5" s="9" t="s">
        <v>72</v>
      </c>
      <c r="N5" s="9">
        <v>2.0</v>
      </c>
      <c r="O5" s="9" t="s">
        <v>80</v>
      </c>
      <c r="P5" s="9" t="s">
        <v>91</v>
      </c>
      <c r="Q5" s="9" t="s">
        <v>92</v>
      </c>
      <c r="R5" s="10">
        <v>16307.0</v>
      </c>
      <c r="S5" s="9" t="s">
        <v>93</v>
      </c>
      <c r="T5" s="9" t="s">
        <v>94</v>
      </c>
      <c r="U5" s="9" t="s">
        <v>95</v>
      </c>
    </row>
    <row r="6">
      <c r="A6" s="8">
        <v>42318.71487268519</v>
      </c>
      <c r="B6" s="9">
        <v>44.0</v>
      </c>
      <c r="C6" s="9" t="s">
        <v>68</v>
      </c>
      <c r="D6" s="9" t="str">
        <f>IFERROR(__xludf.DUMMYFUNCTION("FILTER(Sheet5!B:B,Sheet5!A:A=C6)"),"NE")</f>
        <v>NE</v>
      </c>
      <c r="E6" s="9">
        <v>57.0</v>
      </c>
      <c r="F6" s="9" t="s">
        <v>78</v>
      </c>
      <c r="G6" s="9">
        <v>5.0</v>
      </c>
      <c r="H6" s="9">
        <v>6.0</v>
      </c>
      <c r="I6" s="9" t="s">
        <v>96</v>
      </c>
      <c r="J6" s="9" t="s">
        <v>97</v>
      </c>
      <c r="K6" s="9" t="str">
        <f>IFERROR(__xludf.DUMMYFUNCTION("FILTER(Nuance!D:D,Nuance!B:B=L6)"),"D")</f>
        <v>D</v>
      </c>
      <c r="L6" s="9" t="s">
        <v>43</v>
      </c>
      <c r="M6" s="9" t="s">
        <v>72</v>
      </c>
      <c r="N6" s="9">
        <v>1.0</v>
      </c>
      <c r="O6" s="9" t="s">
        <v>80</v>
      </c>
      <c r="P6" s="9" t="s">
        <v>98</v>
      </c>
      <c r="Q6" s="9" t="s">
        <v>99</v>
      </c>
      <c r="R6" s="10">
        <v>29883.0</v>
      </c>
      <c r="S6" s="9" t="s">
        <v>100</v>
      </c>
      <c r="T6" s="9" t="s">
        <v>101</v>
      </c>
      <c r="U6" s="9" t="s">
        <v>77</v>
      </c>
    </row>
    <row r="7">
      <c r="A7" s="8">
        <v>42318.71487268519</v>
      </c>
      <c r="B7" s="9">
        <v>44.0</v>
      </c>
      <c r="C7" s="9" t="s">
        <v>68</v>
      </c>
      <c r="D7" s="9" t="str">
        <f>IFERROR(__xludf.DUMMYFUNCTION("FILTER(Sheet5!B:B,Sheet5!A:A=C7)"),"NE")</f>
        <v>NE</v>
      </c>
      <c r="E7" s="9">
        <v>88.0</v>
      </c>
      <c r="F7" s="9" t="s">
        <v>84</v>
      </c>
      <c r="G7" s="9">
        <v>6.0</v>
      </c>
      <c r="H7" s="9">
        <v>5.0</v>
      </c>
      <c r="I7" s="9" t="s">
        <v>102</v>
      </c>
      <c r="J7" s="9" t="s">
        <v>103</v>
      </c>
      <c r="K7" s="9" t="str">
        <f>IFERROR(__xludf.DUMMYFUNCTION("FILTER(Nuance!D:D,Nuance!B:B=L7)"),"C")</f>
        <v>C</v>
      </c>
      <c r="L7" s="9" t="s">
        <v>25</v>
      </c>
      <c r="M7" s="9" t="s">
        <v>72</v>
      </c>
      <c r="N7" s="9">
        <v>1.0</v>
      </c>
      <c r="O7" s="9" t="s">
        <v>80</v>
      </c>
      <c r="P7" s="9" t="s">
        <v>104</v>
      </c>
      <c r="Q7" s="9" t="s">
        <v>105</v>
      </c>
      <c r="R7" s="10">
        <v>31128.0</v>
      </c>
      <c r="S7" s="9" t="s">
        <v>106</v>
      </c>
      <c r="T7" s="9"/>
      <c r="U7" s="9" t="s">
        <v>77</v>
      </c>
    </row>
    <row r="8">
      <c r="A8" s="8">
        <v>42318.71487268519</v>
      </c>
      <c r="B8" s="9">
        <v>44.0</v>
      </c>
      <c r="C8" s="9" t="s">
        <v>68</v>
      </c>
      <c r="D8" s="9" t="str">
        <f>IFERROR(__xludf.DUMMYFUNCTION("FILTER(Sheet5!B:B,Sheet5!A:A=C8)"),"NE")</f>
        <v>NE</v>
      </c>
      <c r="E8" s="9">
        <v>68.0</v>
      </c>
      <c r="F8" s="9" t="s">
        <v>107</v>
      </c>
      <c r="G8" s="9">
        <v>7.0</v>
      </c>
      <c r="H8" s="9">
        <v>3.0</v>
      </c>
      <c r="I8" s="9" t="s">
        <v>108</v>
      </c>
      <c r="J8" s="9" t="s">
        <v>109</v>
      </c>
      <c r="K8" s="9" t="str">
        <f>IFERROR(__xludf.DUMMYFUNCTION("FILTER(Nuance!D:D,Nuance!B:B=L8)"),"G")</f>
        <v>G</v>
      </c>
      <c r="L8" s="9" t="s">
        <v>3</v>
      </c>
      <c r="M8" s="9" t="s">
        <v>72</v>
      </c>
      <c r="N8" s="9">
        <v>2.0</v>
      </c>
      <c r="O8" s="9" t="s">
        <v>80</v>
      </c>
      <c r="P8" s="9" t="s">
        <v>110</v>
      </c>
      <c r="Q8" s="9" t="s">
        <v>111</v>
      </c>
      <c r="R8" s="10">
        <v>28847.0</v>
      </c>
      <c r="S8" s="9" t="s">
        <v>112</v>
      </c>
      <c r="T8" s="9"/>
      <c r="U8" s="9" t="s">
        <v>77</v>
      </c>
    </row>
    <row r="9">
      <c r="A9" s="8">
        <v>42318.71487268519</v>
      </c>
      <c r="B9" s="9">
        <v>44.0</v>
      </c>
      <c r="C9" s="9" t="s">
        <v>68</v>
      </c>
      <c r="D9" s="9" t="str">
        <f>IFERROR(__xludf.DUMMYFUNCTION("FILTER(Sheet5!B:B,Sheet5!A:A=C9)"),"NE")</f>
        <v>NE</v>
      </c>
      <c r="E9" s="9">
        <v>68.0</v>
      </c>
      <c r="F9" s="9" t="s">
        <v>107</v>
      </c>
      <c r="G9" s="9">
        <v>8.0</v>
      </c>
      <c r="H9" s="9">
        <v>10.0</v>
      </c>
      <c r="I9" s="9" t="s">
        <v>113</v>
      </c>
      <c r="J9" s="9" t="s">
        <v>114</v>
      </c>
      <c r="K9" s="9" t="str">
        <f>IFERROR(__xludf.DUMMYFUNCTION("FILTER(Nuance!D:D,Nuance!B:B=L9)"),"D")</f>
        <v>D</v>
      </c>
      <c r="L9" s="9" t="s">
        <v>28</v>
      </c>
      <c r="M9" s="9" t="s">
        <v>72</v>
      </c>
      <c r="N9" s="9">
        <v>2.0</v>
      </c>
      <c r="O9" s="9" t="s">
        <v>80</v>
      </c>
      <c r="P9" s="9" t="s">
        <v>115</v>
      </c>
      <c r="Q9" s="9" t="s">
        <v>116</v>
      </c>
      <c r="R9" s="10">
        <v>28456.0</v>
      </c>
      <c r="S9" s="9" t="s">
        <v>117</v>
      </c>
      <c r="T9" s="9"/>
      <c r="U9" s="9" t="s">
        <v>77</v>
      </c>
    </row>
    <row r="10">
      <c r="A10" s="8">
        <v>42318.71487268519</v>
      </c>
      <c r="B10" s="9">
        <v>44.0</v>
      </c>
      <c r="C10" s="9" t="s">
        <v>68</v>
      </c>
      <c r="D10" s="9" t="str">
        <f>IFERROR(__xludf.DUMMYFUNCTION("FILTER(Sheet5!B:B,Sheet5!A:A=C10)"),"NE")</f>
        <v>NE</v>
      </c>
      <c r="E10" s="9">
        <v>67.0</v>
      </c>
      <c r="F10" s="9" t="s">
        <v>69</v>
      </c>
      <c r="G10" s="9">
        <v>9.0</v>
      </c>
      <c r="H10" s="9">
        <v>8.0</v>
      </c>
      <c r="I10" s="9" t="s">
        <v>35</v>
      </c>
      <c r="J10" s="9" t="s">
        <v>118</v>
      </c>
      <c r="K10" s="9" t="str">
        <f>IFERROR(__xludf.DUMMYFUNCTION("FILTER(Nuance!D:D,Nuance!B:B=L10)"),"D")</f>
        <v>D</v>
      </c>
      <c r="L10" s="9" t="s">
        <v>37</v>
      </c>
      <c r="M10" s="9" t="s">
        <v>72</v>
      </c>
      <c r="N10" s="9">
        <v>1.0</v>
      </c>
      <c r="O10" s="9" t="s">
        <v>80</v>
      </c>
      <c r="P10" s="9" t="s">
        <v>119</v>
      </c>
      <c r="Q10" s="9" t="s">
        <v>120</v>
      </c>
      <c r="R10" s="10">
        <v>19501.0</v>
      </c>
      <c r="S10" s="9" t="s">
        <v>121</v>
      </c>
      <c r="T10" s="9" t="s">
        <v>122</v>
      </c>
      <c r="U10" s="9" t="s">
        <v>95</v>
      </c>
    </row>
    <row r="11">
      <c r="A11" s="8">
        <v>42318.71487268519</v>
      </c>
      <c r="B11" s="9">
        <v>75.0</v>
      </c>
      <c r="C11" s="9" t="s">
        <v>123</v>
      </c>
      <c r="D11" s="9" t="str">
        <f>IFERROR(__xludf.DUMMYFUNCTION("FILTER(Sheet5!B:B,Sheet5!A:A=C11)"),"SO")</f>
        <v>SO</v>
      </c>
      <c r="E11" s="9">
        <v>33.0</v>
      </c>
      <c r="F11" s="9" t="s">
        <v>124</v>
      </c>
      <c r="G11" s="9">
        <v>1.0</v>
      </c>
      <c r="H11" s="9">
        <v>10.0</v>
      </c>
      <c r="I11" s="9" t="s">
        <v>125</v>
      </c>
      <c r="J11" s="9" t="s">
        <v>126</v>
      </c>
      <c r="K11" s="9" t="str">
        <f>IFERROR(__xludf.DUMMYFUNCTION("FILTER(Nuance!D:D,Nuance!B:B=L11)"),"G")</f>
        <v>G</v>
      </c>
      <c r="L11" s="9" t="s">
        <v>19</v>
      </c>
      <c r="M11" s="9" t="s">
        <v>72</v>
      </c>
      <c r="N11" s="9">
        <v>11.0</v>
      </c>
      <c r="O11" s="9" t="s">
        <v>80</v>
      </c>
      <c r="P11" s="9" t="s">
        <v>127</v>
      </c>
      <c r="Q11" s="9" t="s">
        <v>128</v>
      </c>
      <c r="R11" s="10">
        <v>33409.0</v>
      </c>
      <c r="S11" s="9" t="s">
        <v>129</v>
      </c>
      <c r="T11" s="9"/>
      <c r="U11" s="9" t="s">
        <v>77</v>
      </c>
    </row>
    <row r="12">
      <c r="A12" s="8">
        <v>42318.71487268519</v>
      </c>
      <c r="B12" s="9">
        <v>75.0</v>
      </c>
      <c r="C12" s="9" t="s">
        <v>123</v>
      </c>
      <c r="D12" s="9" t="str">
        <f>IFERROR(__xludf.DUMMYFUNCTION("FILTER(Sheet5!B:B,Sheet5!A:A=C12)"),"SO")</f>
        <v>SO</v>
      </c>
      <c r="E12" s="9">
        <v>33.0</v>
      </c>
      <c r="F12" s="9" t="s">
        <v>124</v>
      </c>
      <c r="G12" s="9">
        <v>2.0</v>
      </c>
      <c r="H12" s="9">
        <v>5.0</v>
      </c>
      <c r="I12" s="9" t="s">
        <v>130</v>
      </c>
      <c r="J12" s="9" t="s">
        <v>131</v>
      </c>
      <c r="K12" s="9" t="str">
        <f>IFERROR(__xludf.DUMMYFUNCTION("FILTER(Nuance!D:D,Nuance!B:B=L12)"),"G")</f>
        <v>G</v>
      </c>
      <c r="L12" s="9" t="s">
        <v>15</v>
      </c>
      <c r="M12" s="9" t="s">
        <v>72</v>
      </c>
      <c r="N12" s="9">
        <v>1.0</v>
      </c>
      <c r="O12" s="9" t="s">
        <v>80</v>
      </c>
      <c r="P12" s="9" t="s">
        <v>132</v>
      </c>
      <c r="Q12" s="9" t="s">
        <v>133</v>
      </c>
      <c r="R12" s="10">
        <v>18675.0</v>
      </c>
      <c r="S12" s="9" t="s">
        <v>134</v>
      </c>
      <c r="T12" s="9" t="s">
        <v>135</v>
      </c>
      <c r="U12" s="9" t="s">
        <v>95</v>
      </c>
    </row>
    <row r="13">
      <c r="A13" s="8">
        <v>42318.71487268519</v>
      </c>
      <c r="B13" s="9">
        <v>75.0</v>
      </c>
      <c r="C13" s="9" t="s">
        <v>123</v>
      </c>
      <c r="D13" s="9" t="str">
        <f>IFERROR(__xludf.DUMMYFUNCTION("FILTER(Sheet5!B:B,Sheet5!A:A=C13)"),"SO")</f>
        <v>SO</v>
      </c>
      <c r="E13" s="9">
        <v>33.0</v>
      </c>
      <c r="F13" s="9" t="s">
        <v>124</v>
      </c>
      <c r="G13" s="9">
        <v>3.0</v>
      </c>
      <c r="H13" s="9">
        <v>7.0</v>
      </c>
      <c r="I13" s="9" t="s">
        <v>136</v>
      </c>
      <c r="J13" s="9" t="s">
        <v>137</v>
      </c>
      <c r="K13" s="9" t="str">
        <f>IFERROR(__xludf.DUMMYFUNCTION("FILTER(Nuance!D:D,Nuance!B:B=L13)"),"D")</f>
        <v>D</v>
      </c>
      <c r="L13" s="9" t="s">
        <v>37</v>
      </c>
      <c r="M13" s="9" t="s">
        <v>72</v>
      </c>
      <c r="N13" s="9">
        <v>1.0</v>
      </c>
      <c r="O13" s="9" t="s">
        <v>73</v>
      </c>
      <c r="P13" s="9" t="s">
        <v>138</v>
      </c>
      <c r="Q13" s="9" t="s">
        <v>139</v>
      </c>
      <c r="R13" s="10">
        <v>25975.0</v>
      </c>
      <c r="S13" s="9" t="s">
        <v>140</v>
      </c>
      <c r="T13" s="9"/>
      <c r="U13" s="9" t="s">
        <v>77</v>
      </c>
    </row>
    <row r="14">
      <c r="A14" s="8">
        <v>42318.71488425926</v>
      </c>
      <c r="B14" s="9">
        <v>75.0</v>
      </c>
      <c r="C14" s="9" t="s">
        <v>123</v>
      </c>
      <c r="D14" s="9" t="str">
        <f>IFERROR(__xludf.DUMMYFUNCTION("FILTER(Sheet5!B:B,Sheet5!A:A=C14)"),"SO")</f>
        <v>SO</v>
      </c>
      <c r="E14" s="9">
        <v>64.0</v>
      </c>
      <c r="F14" s="9" t="s">
        <v>141</v>
      </c>
      <c r="G14" s="9">
        <v>4.0</v>
      </c>
      <c r="H14" s="9">
        <v>9.0</v>
      </c>
      <c r="I14" s="9" t="s">
        <v>142</v>
      </c>
      <c r="J14" s="9" t="s">
        <v>142</v>
      </c>
      <c r="K14" s="9" t="str">
        <f>IFERROR(__xludf.DUMMYFUNCTION("FILTER(Nuance!D:D,Nuance!B:B=L14)"),"G")</f>
        <v>G</v>
      </c>
      <c r="L14" s="9" t="s">
        <v>5</v>
      </c>
      <c r="M14" s="9" t="s">
        <v>72</v>
      </c>
      <c r="N14" s="9">
        <v>2.0</v>
      </c>
      <c r="O14" s="9" t="s">
        <v>80</v>
      </c>
      <c r="P14" s="9" t="s">
        <v>143</v>
      </c>
      <c r="Q14" s="9" t="s">
        <v>144</v>
      </c>
      <c r="R14" s="10">
        <v>25807.0</v>
      </c>
      <c r="S14" s="9" t="s">
        <v>121</v>
      </c>
      <c r="T14" s="9"/>
      <c r="U14" s="9" t="s">
        <v>77</v>
      </c>
    </row>
    <row r="15">
      <c r="A15" s="8">
        <v>42318.71488425926</v>
      </c>
      <c r="B15" s="9">
        <v>75.0</v>
      </c>
      <c r="C15" s="9" t="s">
        <v>123</v>
      </c>
      <c r="D15" s="9" t="str">
        <f>IFERROR(__xludf.DUMMYFUNCTION("FILTER(Sheet5!B:B,Sheet5!A:A=C15)"),"SO")</f>
        <v>SO</v>
      </c>
      <c r="E15" s="9">
        <v>33.0</v>
      </c>
      <c r="F15" s="9" t="s">
        <v>124</v>
      </c>
      <c r="G15" s="9">
        <v>5.0</v>
      </c>
      <c r="H15" s="9">
        <v>6.0</v>
      </c>
      <c r="I15" s="9" t="s">
        <v>145</v>
      </c>
      <c r="J15" s="9" t="s">
        <v>146</v>
      </c>
      <c r="K15" s="9" t="str">
        <f>IFERROR(__xludf.DUMMYFUNCTION("FILTER(Nuance!D:D,Nuance!B:B=L15)"),"C")</f>
        <v>C</v>
      </c>
      <c r="L15" s="9" t="s">
        <v>25</v>
      </c>
      <c r="M15" s="9" t="s">
        <v>72</v>
      </c>
      <c r="N15" s="9">
        <v>19.0</v>
      </c>
      <c r="O15" s="9" t="s">
        <v>80</v>
      </c>
      <c r="P15" s="9" t="s">
        <v>147</v>
      </c>
      <c r="Q15" s="9" t="s">
        <v>148</v>
      </c>
      <c r="R15" s="10">
        <v>33754.0</v>
      </c>
      <c r="S15" s="9" t="s">
        <v>149</v>
      </c>
      <c r="T15" s="9"/>
      <c r="U15" s="9" t="s">
        <v>77</v>
      </c>
    </row>
    <row r="16">
      <c r="A16" s="8">
        <v>42318.71488425926</v>
      </c>
      <c r="B16" s="9">
        <v>75.0</v>
      </c>
      <c r="C16" s="9" t="s">
        <v>123</v>
      </c>
      <c r="D16" s="9" t="str">
        <f>IFERROR(__xludf.DUMMYFUNCTION("FILTER(Sheet5!B:B,Sheet5!A:A=C16)"),"SO")</f>
        <v>SO</v>
      </c>
      <c r="E16" s="9">
        <v>64.0</v>
      </c>
      <c r="F16" s="9" t="s">
        <v>141</v>
      </c>
      <c r="G16" s="9">
        <v>6.0</v>
      </c>
      <c r="H16" s="9">
        <v>11.0</v>
      </c>
      <c r="I16" s="9" t="s">
        <v>150</v>
      </c>
      <c r="J16" s="9" t="s">
        <v>150</v>
      </c>
      <c r="K16" s="9" t="str">
        <f>IFERROR(__xludf.DUMMYFUNCTION("FILTER(Nuance!D:D,Nuance!B:B=L16)"),"G")</f>
        <v>G</v>
      </c>
      <c r="L16" s="9" t="s">
        <v>19</v>
      </c>
      <c r="M16" s="9" t="s">
        <v>72</v>
      </c>
      <c r="N16" s="9">
        <v>3.0</v>
      </c>
      <c r="O16" s="9" t="s">
        <v>80</v>
      </c>
      <c r="P16" s="9" t="s">
        <v>151</v>
      </c>
      <c r="Q16" s="9" t="s">
        <v>152</v>
      </c>
      <c r="R16" s="10">
        <v>31058.0</v>
      </c>
      <c r="S16" s="9" t="s">
        <v>153</v>
      </c>
      <c r="T16" s="9"/>
      <c r="U16" s="9" t="s">
        <v>77</v>
      </c>
    </row>
    <row r="17">
      <c r="A17" s="8">
        <v>42318.71488425926</v>
      </c>
      <c r="B17" s="9">
        <v>75.0</v>
      </c>
      <c r="C17" s="9" t="s">
        <v>123</v>
      </c>
      <c r="D17" s="9" t="str">
        <f>IFERROR(__xludf.DUMMYFUNCTION("FILTER(Sheet5!B:B,Sheet5!A:A=C17)"),"SO")</f>
        <v>SO</v>
      </c>
      <c r="E17" s="9">
        <v>16.0</v>
      </c>
      <c r="F17" s="9" t="s">
        <v>154</v>
      </c>
      <c r="G17" s="9">
        <v>7.0</v>
      </c>
      <c r="H17" s="9">
        <v>8.0</v>
      </c>
      <c r="I17" s="9" t="s">
        <v>155</v>
      </c>
      <c r="J17" s="9" t="s">
        <v>156</v>
      </c>
      <c r="K17" s="9" t="str">
        <f>IFERROR(__xludf.DUMMYFUNCTION("FILTER(Nuance!D:D,Nuance!B:B=L17)"),"G")</f>
        <v>G</v>
      </c>
      <c r="L17" s="9" t="s">
        <v>21</v>
      </c>
      <c r="M17" s="9" t="s">
        <v>72</v>
      </c>
      <c r="N17" s="9">
        <v>1.0</v>
      </c>
      <c r="O17" s="9" t="s">
        <v>73</v>
      </c>
      <c r="P17" s="9" t="s">
        <v>157</v>
      </c>
      <c r="Q17" s="9" t="s">
        <v>158</v>
      </c>
      <c r="R17" s="10">
        <v>24262.0</v>
      </c>
      <c r="S17" s="9" t="s">
        <v>159</v>
      </c>
      <c r="T17" s="9"/>
      <c r="U17" s="9" t="s">
        <v>95</v>
      </c>
    </row>
    <row r="18">
      <c r="A18" s="8">
        <v>42318.71488425926</v>
      </c>
      <c r="B18" s="9">
        <v>75.0</v>
      </c>
      <c r="C18" s="9" t="s">
        <v>123</v>
      </c>
      <c r="D18" s="9" t="str">
        <f>IFERROR(__xludf.DUMMYFUNCTION("FILTER(Sheet5!B:B,Sheet5!A:A=C18)"),"SO")</f>
        <v>SO</v>
      </c>
      <c r="E18" s="9">
        <v>33.0</v>
      </c>
      <c r="F18" s="9" t="s">
        <v>124</v>
      </c>
      <c r="G18" s="9">
        <v>8.0</v>
      </c>
      <c r="H18" s="9">
        <v>3.0</v>
      </c>
      <c r="I18" s="9" t="s">
        <v>160</v>
      </c>
      <c r="J18" s="9" t="s">
        <v>97</v>
      </c>
      <c r="K18" s="9" t="str">
        <f>IFERROR(__xludf.DUMMYFUNCTION("FILTER(Nuance!D:D,Nuance!B:B=L18)"),"D")</f>
        <v>D</v>
      </c>
      <c r="L18" s="9" t="s">
        <v>43</v>
      </c>
      <c r="M18" s="9" t="s">
        <v>72</v>
      </c>
      <c r="N18" s="9">
        <v>1.0</v>
      </c>
      <c r="O18" s="9" t="s">
        <v>80</v>
      </c>
      <c r="P18" s="9" t="s">
        <v>161</v>
      </c>
      <c r="Q18" s="9" t="s">
        <v>162</v>
      </c>
      <c r="R18" s="10">
        <v>19041.0</v>
      </c>
      <c r="S18" s="9" t="s">
        <v>163</v>
      </c>
      <c r="T18" s="9"/>
      <c r="U18" s="9" t="s">
        <v>77</v>
      </c>
    </row>
    <row r="19">
      <c r="A19" s="8">
        <v>42318.71488425926</v>
      </c>
      <c r="B19" s="9">
        <v>75.0</v>
      </c>
      <c r="C19" s="9" t="s">
        <v>123</v>
      </c>
      <c r="D19" s="9" t="str">
        <f>IFERROR(__xludf.DUMMYFUNCTION("FILTER(Sheet5!B:B,Sheet5!A:A=C19)"),"SO")</f>
        <v>SO</v>
      </c>
      <c r="E19" s="9">
        <v>47.0</v>
      </c>
      <c r="F19" s="9" t="s">
        <v>164</v>
      </c>
      <c r="G19" s="9">
        <v>9.0</v>
      </c>
      <c r="H19" s="9">
        <v>4.0</v>
      </c>
      <c r="I19" s="9" t="s">
        <v>85</v>
      </c>
      <c r="J19" s="9" t="s">
        <v>165</v>
      </c>
      <c r="K19" s="9" t="str">
        <f>IFERROR(__xludf.DUMMYFUNCTION("FILTER(Nuance!D:D,Nuance!B:B=L19)"),"D")</f>
        <v>D</v>
      </c>
      <c r="L19" s="9" t="s">
        <v>39</v>
      </c>
      <c r="M19" s="9" t="s">
        <v>72</v>
      </c>
      <c r="N19" s="9">
        <v>1.0</v>
      </c>
      <c r="O19" s="9" t="s">
        <v>80</v>
      </c>
      <c r="P19" s="9" t="s">
        <v>166</v>
      </c>
      <c r="Q19" s="9" t="s">
        <v>167</v>
      </c>
      <c r="R19" s="10">
        <v>19116.0</v>
      </c>
      <c r="S19" s="9" t="s">
        <v>168</v>
      </c>
      <c r="T19" s="9"/>
      <c r="U19" s="9" t="s">
        <v>77</v>
      </c>
    </row>
    <row r="20">
      <c r="A20" s="8">
        <v>42318.71488425926</v>
      </c>
      <c r="B20" s="9">
        <v>75.0</v>
      </c>
      <c r="C20" s="9" t="s">
        <v>123</v>
      </c>
      <c r="D20" s="9" t="str">
        <f>IFERROR(__xludf.DUMMYFUNCTION("FILTER(Sheet5!B:B,Sheet5!A:A=C20)"),"SO")</f>
        <v>SO</v>
      </c>
      <c r="E20" s="9">
        <v>33.0</v>
      </c>
      <c r="F20" s="9" t="s">
        <v>124</v>
      </c>
      <c r="G20" s="9">
        <v>10.0</v>
      </c>
      <c r="H20" s="9">
        <v>2.0</v>
      </c>
      <c r="I20" s="9" t="s">
        <v>108</v>
      </c>
      <c r="J20" s="9" t="s">
        <v>169</v>
      </c>
      <c r="K20" s="9" t="str">
        <f>IFERROR(__xludf.DUMMYFUNCTION("FILTER(Nuance!D:D,Nuance!B:B=L20)"),"G")</f>
        <v>G</v>
      </c>
      <c r="L20" s="9" t="s">
        <v>3</v>
      </c>
      <c r="M20" s="9" t="s">
        <v>72</v>
      </c>
      <c r="N20" s="9">
        <v>2.0</v>
      </c>
      <c r="O20" s="9" t="s">
        <v>80</v>
      </c>
      <c r="P20" s="9" t="s">
        <v>170</v>
      </c>
      <c r="Q20" s="9" t="s">
        <v>171</v>
      </c>
      <c r="R20" s="10">
        <v>25877.0</v>
      </c>
      <c r="S20" s="9" t="s">
        <v>129</v>
      </c>
      <c r="T20" s="9"/>
      <c r="U20" s="9" t="s">
        <v>77</v>
      </c>
    </row>
    <row r="21">
      <c r="A21" s="8">
        <v>42318.71488425926</v>
      </c>
      <c r="B21" s="9">
        <v>84.0</v>
      </c>
      <c r="C21" s="9" t="s">
        <v>172</v>
      </c>
      <c r="D21" s="9" t="str">
        <f>IFERROR(__xludf.DUMMYFUNCTION("FILTER(Sheet5!B:B,Sheet5!A:A=C21)"),"SE")</f>
        <v>SE</v>
      </c>
      <c r="E21" s="9">
        <v>26.0</v>
      </c>
      <c r="F21" s="9" t="s">
        <v>173</v>
      </c>
      <c r="G21" s="9">
        <v>1.0</v>
      </c>
      <c r="H21" s="9">
        <v>3.0</v>
      </c>
      <c r="I21" s="9" t="s">
        <v>174</v>
      </c>
      <c r="J21" s="9" t="s">
        <v>175</v>
      </c>
      <c r="K21" s="9" t="str">
        <f>IFERROR(__xludf.DUMMYFUNCTION("FILTER(Nuance!D:D,Nuance!B:B=L21)"),"C")</f>
        <v>C</v>
      </c>
      <c r="L21" s="9" t="s">
        <v>25</v>
      </c>
      <c r="M21" s="9" t="s">
        <v>72</v>
      </c>
      <c r="N21" s="9">
        <v>1.0</v>
      </c>
      <c r="O21" s="9" t="s">
        <v>80</v>
      </c>
      <c r="P21" s="9" t="s">
        <v>176</v>
      </c>
      <c r="Q21" s="9" t="s">
        <v>133</v>
      </c>
      <c r="R21" s="10">
        <v>23420.0</v>
      </c>
      <c r="S21" s="9" t="s">
        <v>177</v>
      </c>
      <c r="T21" s="9"/>
      <c r="U21" s="9" t="s">
        <v>77</v>
      </c>
    </row>
    <row r="22">
      <c r="A22" s="8">
        <v>42318.71488425926</v>
      </c>
      <c r="B22" s="9">
        <v>84.0</v>
      </c>
      <c r="C22" s="9" t="s">
        <v>172</v>
      </c>
      <c r="D22" s="9" t="str">
        <f>IFERROR(__xludf.DUMMYFUNCTION("FILTER(Sheet5!B:B,Sheet5!A:A=C22)"),"SE")</f>
        <v>SE</v>
      </c>
      <c r="E22" s="9" t="s">
        <v>178</v>
      </c>
      <c r="F22" s="9" t="s">
        <v>179</v>
      </c>
      <c r="G22" s="9">
        <v>2.0</v>
      </c>
      <c r="H22" s="9">
        <v>10.0</v>
      </c>
      <c r="I22" s="9" t="s">
        <v>180</v>
      </c>
      <c r="J22" s="9" t="s">
        <v>180</v>
      </c>
      <c r="K22" s="9" t="str">
        <f>IFERROR(__xludf.DUMMYFUNCTION("FILTER(Nuance!D:D,Nuance!B:B=L22)"),"D")</f>
        <v>D</v>
      </c>
      <c r="L22" s="9" t="s">
        <v>41</v>
      </c>
      <c r="M22" s="9" t="s">
        <v>72</v>
      </c>
      <c r="N22" s="9">
        <v>1.0</v>
      </c>
      <c r="O22" s="9" t="s">
        <v>80</v>
      </c>
      <c r="P22" s="9" t="s">
        <v>181</v>
      </c>
      <c r="Q22" s="9" t="s">
        <v>182</v>
      </c>
      <c r="R22" s="10">
        <v>26541.0</v>
      </c>
      <c r="S22" s="9" t="s">
        <v>129</v>
      </c>
      <c r="T22" s="9"/>
      <c r="U22" s="9" t="s">
        <v>77</v>
      </c>
    </row>
    <row r="23">
      <c r="A23" s="8">
        <v>42318.71488425926</v>
      </c>
      <c r="B23" s="9">
        <v>84.0</v>
      </c>
      <c r="C23" s="9" t="s">
        <v>172</v>
      </c>
      <c r="D23" s="9" t="str">
        <f>IFERROR(__xludf.DUMMYFUNCTION("FILTER(Sheet5!B:B,Sheet5!A:A=C23)"),"SE")</f>
        <v>SE</v>
      </c>
      <c r="E23" s="9" t="s">
        <v>178</v>
      </c>
      <c r="F23" s="9" t="s">
        <v>179</v>
      </c>
      <c r="G23" s="9">
        <v>3.0</v>
      </c>
      <c r="H23" s="9">
        <v>7.0</v>
      </c>
      <c r="I23" s="9" t="s">
        <v>183</v>
      </c>
      <c r="J23" s="9" t="s">
        <v>184</v>
      </c>
      <c r="K23" s="9" t="str">
        <f>IFERROR(__xludf.DUMMYFUNCTION("FILTER(Nuance!D:D,Nuance!B:B=L23)"),"D")</f>
        <v>D</v>
      </c>
      <c r="L23" s="9" t="s">
        <v>43</v>
      </c>
      <c r="M23" s="9" t="s">
        <v>72</v>
      </c>
      <c r="N23" s="9">
        <v>1.0</v>
      </c>
      <c r="O23" s="9" t="s">
        <v>80</v>
      </c>
      <c r="P23" s="9" t="s">
        <v>185</v>
      </c>
      <c r="Q23" s="9" t="s">
        <v>186</v>
      </c>
      <c r="R23" s="10">
        <v>25422.0</v>
      </c>
      <c r="S23" s="9" t="s">
        <v>76</v>
      </c>
      <c r="T23" s="9"/>
      <c r="U23" s="9" t="s">
        <v>95</v>
      </c>
    </row>
    <row r="24">
      <c r="A24" s="8">
        <v>42318.71488425926</v>
      </c>
      <c r="B24" s="9">
        <v>84.0</v>
      </c>
      <c r="C24" s="9" t="s">
        <v>172</v>
      </c>
      <c r="D24" s="9" t="str">
        <f>IFERROR(__xludf.DUMMYFUNCTION("FILTER(Sheet5!B:B,Sheet5!A:A=C24)"),"SE")</f>
        <v>SE</v>
      </c>
      <c r="E24" s="9">
        <v>42.0</v>
      </c>
      <c r="F24" s="9" t="s">
        <v>187</v>
      </c>
      <c r="G24" s="9">
        <v>4.0</v>
      </c>
      <c r="H24" s="9">
        <v>8.0</v>
      </c>
      <c r="I24" s="9" t="s">
        <v>188</v>
      </c>
      <c r="J24" s="9" t="s">
        <v>189</v>
      </c>
      <c r="K24" s="9" t="str">
        <f>IFERROR(__xludf.DUMMYFUNCTION("FILTER(Nuance!D:D,Nuance!B:B=L24)"),"G")</f>
        <v>G</v>
      </c>
      <c r="L24" s="9" t="s">
        <v>9</v>
      </c>
      <c r="M24" s="9" t="s">
        <v>72</v>
      </c>
      <c r="N24" s="9">
        <v>1.0</v>
      </c>
      <c r="O24" s="9" t="s">
        <v>73</v>
      </c>
      <c r="P24" s="9" t="s">
        <v>190</v>
      </c>
      <c r="Q24" s="9" t="s">
        <v>191</v>
      </c>
      <c r="R24" s="10">
        <v>27876.0</v>
      </c>
      <c r="S24" s="9" t="s">
        <v>159</v>
      </c>
      <c r="T24" s="9" t="s">
        <v>192</v>
      </c>
      <c r="U24" s="9" t="s">
        <v>95</v>
      </c>
    </row>
    <row r="25">
      <c r="A25" s="8">
        <v>42318.71488425926</v>
      </c>
      <c r="B25" s="9">
        <v>84.0</v>
      </c>
      <c r="C25" s="9" t="s">
        <v>172</v>
      </c>
      <c r="D25" s="9" t="str">
        <f>IFERROR(__xludf.DUMMYFUNCTION("FILTER(Sheet5!B:B,Sheet5!A:A=C25)"),"SE")</f>
        <v>SE</v>
      </c>
      <c r="E25" s="9">
        <v>38.0</v>
      </c>
      <c r="F25" s="9" t="s">
        <v>193</v>
      </c>
      <c r="G25" s="9">
        <v>5.0</v>
      </c>
      <c r="H25" s="9">
        <v>2.0</v>
      </c>
      <c r="I25" s="9" t="s">
        <v>194</v>
      </c>
      <c r="J25" s="9" t="s">
        <v>109</v>
      </c>
      <c r="K25" s="9" t="str">
        <f>IFERROR(__xludf.DUMMYFUNCTION("FILTER(Nuance!D:D,Nuance!B:B=L25)"),"G")</f>
        <v>G</v>
      </c>
      <c r="L25" s="9" t="s">
        <v>3</v>
      </c>
      <c r="M25" s="9" t="s">
        <v>72</v>
      </c>
      <c r="N25" s="9">
        <v>1.0</v>
      </c>
      <c r="O25" s="9" t="s">
        <v>73</v>
      </c>
      <c r="P25" s="9" t="s">
        <v>195</v>
      </c>
      <c r="Q25" s="9" t="s">
        <v>196</v>
      </c>
      <c r="R25" s="10">
        <v>20563.0</v>
      </c>
      <c r="S25" s="9" t="s">
        <v>197</v>
      </c>
      <c r="T25" s="9"/>
      <c r="U25" s="9" t="s">
        <v>77</v>
      </c>
    </row>
    <row r="26">
      <c r="A26" s="8">
        <v>42318.71488425926</v>
      </c>
      <c r="B26" s="9">
        <v>84.0</v>
      </c>
      <c r="C26" s="9" t="s">
        <v>172</v>
      </c>
      <c r="D26" s="9" t="str">
        <f>IFERROR(__xludf.DUMMYFUNCTION("FILTER(Sheet5!B:B,Sheet5!A:A=C26)"),"SE")</f>
        <v>SE</v>
      </c>
      <c r="E26" s="9">
        <v>43.0</v>
      </c>
      <c r="F26" s="9" t="s">
        <v>198</v>
      </c>
      <c r="G26" s="9">
        <v>6.0</v>
      </c>
      <c r="H26" s="9">
        <v>9.0</v>
      </c>
      <c r="I26" s="9" t="s">
        <v>199</v>
      </c>
      <c r="J26" s="9" t="s">
        <v>200</v>
      </c>
      <c r="K26" s="9" t="str">
        <f>IFERROR(__xludf.DUMMYFUNCTION("FILTER(Nuance!D:D,Nuance!B:B=L26)"),"D")</f>
        <v>D</v>
      </c>
      <c r="L26" s="9" t="s">
        <v>37</v>
      </c>
      <c r="M26" s="9" t="s">
        <v>72</v>
      </c>
      <c r="N26" s="9">
        <v>1.0</v>
      </c>
      <c r="O26" s="9" t="s">
        <v>80</v>
      </c>
      <c r="P26" s="9" t="s">
        <v>201</v>
      </c>
      <c r="Q26" s="9" t="s">
        <v>88</v>
      </c>
      <c r="R26" s="10">
        <v>27496.0</v>
      </c>
      <c r="S26" s="9" t="s">
        <v>134</v>
      </c>
      <c r="T26" s="9" t="s">
        <v>202</v>
      </c>
      <c r="U26" s="9" t="s">
        <v>77</v>
      </c>
    </row>
    <row r="27">
      <c r="A27" s="8">
        <v>42318.71488425926</v>
      </c>
      <c r="B27" s="9">
        <v>84.0</v>
      </c>
      <c r="C27" s="9" t="s">
        <v>172</v>
      </c>
      <c r="D27" s="9" t="str">
        <f>IFERROR(__xludf.DUMMYFUNCTION("FILTER(Sheet5!B:B,Sheet5!A:A=C27)"),"SE")</f>
        <v>SE</v>
      </c>
      <c r="E27" s="9" t="s">
        <v>203</v>
      </c>
      <c r="F27" s="9" t="s">
        <v>204</v>
      </c>
      <c r="G27" s="9">
        <v>8.0</v>
      </c>
      <c r="H27" s="9">
        <v>5.0</v>
      </c>
      <c r="I27" s="9" t="s">
        <v>205</v>
      </c>
      <c r="J27" s="9" t="s">
        <v>206</v>
      </c>
      <c r="K27" s="9" t="str">
        <f>IFERROR(__xludf.DUMMYFUNCTION("FILTER(Nuance!D:D,Nuance!B:B=L27)"),"G")</f>
        <v>G</v>
      </c>
      <c r="L27" s="9" t="s">
        <v>11</v>
      </c>
      <c r="M27" s="9" t="s">
        <v>72</v>
      </c>
      <c r="N27" s="9">
        <v>1.0</v>
      </c>
      <c r="O27" s="9" t="s">
        <v>80</v>
      </c>
      <c r="P27" s="9" t="s">
        <v>207</v>
      </c>
      <c r="Q27" s="9" t="s">
        <v>208</v>
      </c>
      <c r="R27" s="10">
        <v>23649.0</v>
      </c>
      <c r="S27" s="9" t="s">
        <v>209</v>
      </c>
      <c r="T27" s="9"/>
      <c r="U27" s="9" t="s">
        <v>95</v>
      </c>
    </row>
    <row r="28">
      <c r="A28" s="8">
        <v>42318.71488425926</v>
      </c>
      <c r="B28" s="9">
        <v>84.0</v>
      </c>
      <c r="C28" s="9" t="s">
        <v>172</v>
      </c>
      <c r="D28" s="9" t="str">
        <f>IFERROR(__xludf.DUMMYFUNCTION("FILTER(Sheet5!B:B,Sheet5!A:A=C28)"),"SE")</f>
        <v>SE</v>
      </c>
      <c r="E28" s="9" t="s">
        <v>203</v>
      </c>
      <c r="F28" s="9" t="s">
        <v>204</v>
      </c>
      <c r="G28" s="9">
        <v>9.0</v>
      </c>
      <c r="H28" s="9">
        <v>4.0</v>
      </c>
      <c r="I28" s="9" t="s">
        <v>210</v>
      </c>
      <c r="J28" s="9" t="s">
        <v>86</v>
      </c>
      <c r="K28" s="9" t="str">
        <f>IFERROR(__xludf.DUMMYFUNCTION("FILTER(Nuance!D:D,Nuance!B:B=L28)"),"D")</f>
        <v>D</v>
      </c>
      <c r="L28" s="9" t="s">
        <v>39</v>
      </c>
      <c r="M28" s="9" t="s">
        <v>72</v>
      </c>
      <c r="N28" s="9">
        <v>1.0</v>
      </c>
      <c r="O28" s="9" t="s">
        <v>80</v>
      </c>
      <c r="P28" s="9" t="s">
        <v>211</v>
      </c>
      <c r="Q28" s="9" t="s">
        <v>212</v>
      </c>
      <c r="R28" s="10">
        <v>23304.0</v>
      </c>
      <c r="S28" s="9" t="s">
        <v>213</v>
      </c>
      <c r="T28" s="9"/>
      <c r="U28" s="9" t="s">
        <v>77</v>
      </c>
    </row>
    <row r="29">
      <c r="A29" s="8">
        <v>42318.71488425926</v>
      </c>
      <c r="B29" s="9">
        <v>84.0</v>
      </c>
      <c r="C29" s="9" t="s">
        <v>172</v>
      </c>
      <c r="D29" s="9" t="str">
        <f>IFERROR(__xludf.DUMMYFUNCTION("FILTER(Sheet5!B:B,Sheet5!A:A=C29)"),"SE")</f>
        <v>SE</v>
      </c>
      <c r="E29" s="9" t="s">
        <v>178</v>
      </c>
      <c r="F29" s="9" t="s">
        <v>179</v>
      </c>
      <c r="G29" s="9">
        <v>10.0</v>
      </c>
      <c r="H29" s="9">
        <v>6.0</v>
      </c>
      <c r="I29" s="9" t="s">
        <v>214</v>
      </c>
      <c r="J29" s="9" t="s">
        <v>214</v>
      </c>
      <c r="K29" s="9" t="str">
        <f>IFERROR(__xludf.DUMMYFUNCTION("FILTER(Nuance!D:D,Nuance!B:B=L29)"),"G")</f>
        <v>G</v>
      </c>
      <c r="L29" s="9" t="s">
        <v>15</v>
      </c>
      <c r="M29" s="9" t="s">
        <v>72</v>
      </c>
      <c r="N29" s="9">
        <v>1.0</v>
      </c>
      <c r="O29" s="9" t="s">
        <v>80</v>
      </c>
      <c r="P29" s="9" t="s">
        <v>215</v>
      </c>
      <c r="Q29" s="9" t="s">
        <v>216</v>
      </c>
      <c r="R29" s="10">
        <v>16743.0</v>
      </c>
      <c r="S29" s="9" t="s">
        <v>217</v>
      </c>
      <c r="T29" s="9" t="s">
        <v>122</v>
      </c>
      <c r="U29" s="9" t="s">
        <v>95</v>
      </c>
    </row>
    <row r="30">
      <c r="A30" s="8">
        <v>42318.71488425926</v>
      </c>
      <c r="B30" s="9">
        <v>27.0</v>
      </c>
      <c r="C30" s="9" t="s">
        <v>218</v>
      </c>
      <c r="D30" s="9" t="str">
        <f>IFERROR(__xludf.DUMMYFUNCTION("FILTER(Sheet5!B:B,Sheet5!A:A=C30)"),"NE")</f>
        <v>NE</v>
      </c>
      <c r="E30" s="9">
        <v>25.0</v>
      </c>
      <c r="F30" s="9" t="s">
        <v>219</v>
      </c>
      <c r="G30" s="9">
        <v>1.0</v>
      </c>
      <c r="H30" s="9">
        <v>6.0</v>
      </c>
      <c r="I30" s="9" t="s">
        <v>96</v>
      </c>
      <c r="J30" s="9" t="s">
        <v>220</v>
      </c>
      <c r="K30" s="9" t="str">
        <f>IFERROR(__xludf.DUMMYFUNCTION("FILTER(Nuance!D:D,Nuance!B:B=L30)"),"D")</f>
        <v>D</v>
      </c>
      <c r="L30" s="9" t="s">
        <v>43</v>
      </c>
      <c r="M30" s="9" t="s">
        <v>72</v>
      </c>
      <c r="N30" s="9">
        <v>1.0</v>
      </c>
      <c r="O30" s="9" t="s">
        <v>73</v>
      </c>
      <c r="P30" s="9" t="s">
        <v>221</v>
      </c>
      <c r="Q30" s="9" t="s">
        <v>222</v>
      </c>
      <c r="R30" s="10">
        <v>25529.0</v>
      </c>
      <c r="S30" s="9" t="s">
        <v>129</v>
      </c>
      <c r="T30" s="9" t="s">
        <v>101</v>
      </c>
      <c r="U30" s="9" t="s">
        <v>95</v>
      </c>
    </row>
    <row r="31">
      <c r="A31" s="8">
        <v>42318.71488425926</v>
      </c>
      <c r="B31" s="9">
        <v>27.0</v>
      </c>
      <c r="C31" s="9" t="s">
        <v>218</v>
      </c>
      <c r="D31" s="9" t="str">
        <f>IFERROR(__xludf.DUMMYFUNCTION("FILTER(Sheet5!B:B,Sheet5!A:A=C31)"),"NE")</f>
        <v>NE</v>
      </c>
      <c r="E31" s="9">
        <v>58.0</v>
      </c>
      <c r="F31" s="9" t="s">
        <v>223</v>
      </c>
      <c r="G31" s="9">
        <v>2.0</v>
      </c>
      <c r="H31" s="9">
        <v>5.0</v>
      </c>
      <c r="I31" s="9" t="s">
        <v>102</v>
      </c>
      <c r="J31" s="9" t="s">
        <v>224</v>
      </c>
      <c r="K31" s="9" t="str">
        <f>IFERROR(__xludf.DUMMYFUNCTION("FILTER(Nuance!D:D,Nuance!B:B=L31)"),"C")</f>
        <v>C</v>
      </c>
      <c r="L31" s="9" t="s">
        <v>25</v>
      </c>
      <c r="M31" s="9" t="s">
        <v>72</v>
      </c>
      <c r="N31" s="9">
        <v>1.0</v>
      </c>
      <c r="O31" s="9" t="s">
        <v>80</v>
      </c>
      <c r="P31" s="9" t="s">
        <v>225</v>
      </c>
      <c r="Q31" s="9" t="s">
        <v>226</v>
      </c>
      <c r="R31" s="10">
        <v>32447.0</v>
      </c>
      <c r="S31" s="9" t="s">
        <v>129</v>
      </c>
      <c r="T31" s="9"/>
      <c r="U31" s="9" t="s">
        <v>77</v>
      </c>
    </row>
    <row r="32">
      <c r="A32" s="8">
        <v>42318.71488425926</v>
      </c>
      <c r="B32" s="9">
        <v>27.0</v>
      </c>
      <c r="C32" s="9" t="s">
        <v>218</v>
      </c>
      <c r="D32" s="9" t="str">
        <f>IFERROR(__xludf.DUMMYFUNCTION("FILTER(Sheet5!B:B,Sheet5!A:A=C32)"),"NE")</f>
        <v>NE</v>
      </c>
      <c r="E32" s="9">
        <v>21.0</v>
      </c>
      <c r="F32" s="9" t="s">
        <v>227</v>
      </c>
      <c r="G32" s="9">
        <v>3.0</v>
      </c>
      <c r="H32" s="9">
        <v>8.0</v>
      </c>
      <c r="I32" s="9" t="s">
        <v>228</v>
      </c>
      <c r="J32" s="9" t="s">
        <v>229</v>
      </c>
      <c r="K32" s="9" t="str">
        <f>IFERROR(__xludf.DUMMYFUNCTION("FILTER(Nuance!D:D,Nuance!B:B=L32)"),"D")</f>
        <v>D</v>
      </c>
      <c r="L32" s="9" t="s">
        <v>37</v>
      </c>
      <c r="M32" s="9" t="s">
        <v>72</v>
      </c>
      <c r="N32" s="9">
        <v>1.0</v>
      </c>
      <c r="O32" s="9" t="s">
        <v>80</v>
      </c>
      <c r="P32" s="9" t="s">
        <v>230</v>
      </c>
      <c r="Q32" s="9" t="s">
        <v>231</v>
      </c>
      <c r="R32" s="10">
        <v>19469.0</v>
      </c>
      <c r="S32" s="9" t="s">
        <v>121</v>
      </c>
      <c r="T32" s="9" t="s">
        <v>232</v>
      </c>
      <c r="U32" s="9" t="s">
        <v>77</v>
      </c>
    </row>
    <row r="33">
      <c r="A33" s="8">
        <v>42318.71488425926</v>
      </c>
      <c r="B33" s="9">
        <v>27.0</v>
      </c>
      <c r="C33" s="9" t="s">
        <v>218</v>
      </c>
      <c r="D33" s="9" t="str">
        <f>IFERROR(__xludf.DUMMYFUNCTION("FILTER(Sheet5!B:B,Sheet5!A:A=C33)"),"NE")</f>
        <v>NE</v>
      </c>
      <c r="E33" s="9">
        <v>58.0</v>
      </c>
      <c r="F33" s="9" t="s">
        <v>223</v>
      </c>
      <c r="G33" s="9">
        <v>4.0</v>
      </c>
      <c r="H33" s="9">
        <v>11.0</v>
      </c>
      <c r="I33" s="9" t="s">
        <v>233</v>
      </c>
      <c r="J33" s="9" t="s">
        <v>234</v>
      </c>
      <c r="K33" s="9" t="str">
        <f>IFERROR(__xludf.DUMMYFUNCTION("FILTER(Nuance!D:D,Nuance!B:B=L33)"),"G")</f>
        <v>G</v>
      </c>
      <c r="L33" s="9" t="s">
        <v>23</v>
      </c>
      <c r="M33" s="9" t="s">
        <v>72</v>
      </c>
      <c r="N33" s="9">
        <v>1.0</v>
      </c>
      <c r="O33" s="9" t="s">
        <v>80</v>
      </c>
      <c r="P33" s="9" t="s">
        <v>235</v>
      </c>
      <c r="Q33" s="9" t="s">
        <v>111</v>
      </c>
      <c r="R33" s="10">
        <v>27753.0</v>
      </c>
      <c r="S33" s="9" t="s">
        <v>236</v>
      </c>
      <c r="T33" s="9"/>
      <c r="U33" s="9" t="s">
        <v>77</v>
      </c>
    </row>
    <row r="34">
      <c r="A34" s="8">
        <v>42318.71488425926</v>
      </c>
      <c r="B34" s="9">
        <v>27.0</v>
      </c>
      <c r="C34" s="9" t="s">
        <v>218</v>
      </c>
      <c r="D34" s="9" t="str">
        <f>IFERROR(__xludf.DUMMYFUNCTION("FILTER(Sheet5!B:B,Sheet5!A:A=C34)"),"NE")</f>
        <v>NE</v>
      </c>
      <c r="E34" s="9">
        <v>25.0</v>
      </c>
      <c r="F34" s="9" t="s">
        <v>219</v>
      </c>
      <c r="G34" s="9">
        <v>5.0</v>
      </c>
      <c r="H34" s="9">
        <v>9.0</v>
      </c>
      <c r="I34" s="9" t="s">
        <v>237</v>
      </c>
      <c r="J34" s="9" t="s">
        <v>238</v>
      </c>
      <c r="K34" s="9" t="str">
        <f>IFERROR(__xludf.DUMMYFUNCTION("FILTER(Nuance!D:D,Nuance!B:B=L34)"),"G")</f>
        <v>G</v>
      </c>
      <c r="L34" s="9" t="s">
        <v>21</v>
      </c>
      <c r="M34" s="9" t="s">
        <v>72</v>
      </c>
      <c r="N34" s="9">
        <v>1.0</v>
      </c>
      <c r="O34" s="9" t="s">
        <v>73</v>
      </c>
      <c r="P34" s="9" t="s">
        <v>239</v>
      </c>
      <c r="Q34" s="9" t="s">
        <v>191</v>
      </c>
      <c r="R34" s="10">
        <v>27804.0</v>
      </c>
      <c r="S34" s="9" t="s">
        <v>121</v>
      </c>
      <c r="T34" s="9"/>
      <c r="U34" s="9" t="s">
        <v>77</v>
      </c>
    </row>
    <row r="35">
      <c r="A35" s="8">
        <v>42318.71488425926</v>
      </c>
      <c r="B35" s="9">
        <v>27.0</v>
      </c>
      <c r="C35" s="9" t="s">
        <v>218</v>
      </c>
      <c r="D35" s="9" t="str">
        <f>IFERROR(__xludf.DUMMYFUNCTION("FILTER(Sheet5!B:B,Sheet5!A:A=C35)"),"NE")</f>
        <v>NE</v>
      </c>
      <c r="E35" s="9">
        <v>71.0</v>
      </c>
      <c r="F35" s="9" t="s">
        <v>240</v>
      </c>
      <c r="G35" s="9">
        <v>6.0</v>
      </c>
      <c r="H35" s="9">
        <v>7.0</v>
      </c>
      <c r="I35" s="9" t="s">
        <v>241</v>
      </c>
      <c r="J35" s="9" t="s">
        <v>242</v>
      </c>
      <c r="K35" s="9" t="str">
        <f>IFERROR(__xludf.DUMMYFUNCTION("FILTER(Nuance!D:D,Nuance!B:B=L35)"),"G")</f>
        <v>G</v>
      </c>
      <c r="L35" s="9" t="s">
        <v>5</v>
      </c>
      <c r="M35" s="9" t="s">
        <v>72</v>
      </c>
      <c r="N35" s="9">
        <v>1.0</v>
      </c>
      <c r="O35" s="9" t="s">
        <v>73</v>
      </c>
      <c r="P35" s="9" t="s">
        <v>243</v>
      </c>
      <c r="Q35" s="9" t="s">
        <v>244</v>
      </c>
      <c r="R35" s="10">
        <v>22088.0</v>
      </c>
      <c r="S35" s="9" t="s">
        <v>245</v>
      </c>
      <c r="T35" s="9"/>
      <c r="U35" s="9" t="s">
        <v>95</v>
      </c>
    </row>
    <row r="36">
      <c r="A36" s="8">
        <v>42318.71488425926</v>
      </c>
      <c r="B36" s="9">
        <v>27.0</v>
      </c>
      <c r="C36" s="9" t="s">
        <v>218</v>
      </c>
      <c r="D36" s="9" t="str">
        <f>IFERROR(__xludf.DUMMYFUNCTION("FILTER(Sheet5!B:B,Sheet5!A:A=C36)"),"NE")</f>
        <v>NE</v>
      </c>
      <c r="E36" s="9">
        <v>21.0</v>
      </c>
      <c r="F36" s="9" t="s">
        <v>227</v>
      </c>
      <c r="G36" s="9">
        <v>7.0</v>
      </c>
      <c r="H36" s="9">
        <v>4.0</v>
      </c>
      <c r="I36" s="9" t="s">
        <v>108</v>
      </c>
      <c r="J36" s="9" t="s">
        <v>169</v>
      </c>
      <c r="K36" s="9" t="str">
        <f>IFERROR(__xludf.DUMMYFUNCTION("FILTER(Nuance!D:D,Nuance!B:B=L36)"),"G")</f>
        <v>G</v>
      </c>
      <c r="L36" s="9" t="s">
        <v>3</v>
      </c>
      <c r="M36" s="9" t="s">
        <v>72</v>
      </c>
      <c r="N36" s="9">
        <v>2.0</v>
      </c>
      <c r="O36" s="9" t="s">
        <v>73</v>
      </c>
      <c r="P36" s="9" t="s">
        <v>246</v>
      </c>
      <c r="Q36" s="9" t="s">
        <v>247</v>
      </c>
      <c r="R36" s="10">
        <v>28760.0</v>
      </c>
      <c r="S36" s="9" t="s">
        <v>248</v>
      </c>
      <c r="T36" s="9"/>
      <c r="U36" s="9" t="s">
        <v>77</v>
      </c>
    </row>
    <row r="37">
      <c r="A37" s="8">
        <v>42318.71488425926</v>
      </c>
      <c r="B37" s="9">
        <v>27.0</v>
      </c>
      <c r="C37" s="9" t="s">
        <v>218</v>
      </c>
      <c r="D37" s="9" t="str">
        <f>IFERROR(__xludf.DUMMYFUNCTION("FILTER(Sheet5!B:B,Sheet5!A:A=C37)"),"NE")</f>
        <v>NE</v>
      </c>
      <c r="E37" s="9">
        <v>71.0</v>
      </c>
      <c r="F37" s="9" t="s">
        <v>240</v>
      </c>
      <c r="G37" s="9">
        <v>8.0</v>
      </c>
      <c r="H37" s="9">
        <v>3.0</v>
      </c>
      <c r="I37" s="9" t="s">
        <v>85</v>
      </c>
      <c r="J37" s="9" t="s">
        <v>86</v>
      </c>
      <c r="K37" s="9" t="str">
        <f>IFERROR(__xludf.DUMMYFUNCTION("FILTER(Nuance!D:D,Nuance!B:B=L37)"),"D")</f>
        <v>D</v>
      </c>
      <c r="L37" s="9" t="s">
        <v>39</v>
      </c>
      <c r="M37" s="9" t="s">
        <v>72</v>
      </c>
      <c r="N37" s="9">
        <v>1.0</v>
      </c>
      <c r="O37" s="9" t="s">
        <v>80</v>
      </c>
      <c r="P37" s="9" t="s">
        <v>249</v>
      </c>
      <c r="Q37" s="9" t="s">
        <v>250</v>
      </c>
      <c r="R37" s="10">
        <v>33250.0</v>
      </c>
      <c r="S37" s="9" t="s">
        <v>251</v>
      </c>
      <c r="T37" s="9"/>
      <c r="U37" s="9" t="s">
        <v>77</v>
      </c>
    </row>
    <row r="38">
      <c r="A38" s="8">
        <v>42318.71488425926</v>
      </c>
      <c r="B38" s="9">
        <v>27.0</v>
      </c>
      <c r="C38" s="9" t="s">
        <v>218</v>
      </c>
      <c r="D38" s="9" t="str">
        <f>IFERROR(__xludf.DUMMYFUNCTION("FILTER(Sheet5!B:B,Sheet5!A:A=C38)"),"NE")</f>
        <v>NE</v>
      </c>
      <c r="E38" s="9">
        <v>90.0</v>
      </c>
      <c r="F38" s="9" t="s">
        <v>252</v>
      </c>
      <c r="G38" s="9">
        <v>9.0</v>
      </c>
      <c r="H38" s="9">
        <v>10.0</v>
      </c>
      <c r="I38" s="9" t="s">
        <v>253</v>
      </c>
      <c r="J38" s="9" t="s">
        <v>254</v>
      </c>
      <c r="K38" s="9" t="str">
        <f>IFERROR(__xludf.DUMMYFUNCTION("FILTER(Nuance!D:D,Nuance!B:B=L38)"),"C")</f>
        <v>C</v>
      </c>
      <c r="L38" s="9" t="s">
        <v>31</v>
      </c>
      <c r="M38" s="9" t="s">
        <v>72</v>
      </c>
      <c r="N38" s="9">
        <v>1.0</v>
      </c>
      <c r="O38" s="9" t="s">
        <v>80</v>
      </c>
      <c r="P38" s="9" t="s">
        <v>255</v>
      </c>
      <c r="Q38" s="9" t="s">
        <v>186</v>
      </c>
      <c r="R38" s="10">
        <v>23841.0</v>
      </c>
      <c r="S38" s="9" t="s">
        <v>76</v>
      </c>
      <c r="T38" s="9"/>
      <c r="U38" s="9" t="s">
        <v>77</v>
      </c>
    </row>
    <row r="39">
      <c r="A39" s="8">
        <v>42318.71488425926</v>
      </c>
      <c r="B39" s="9">
        <v>27.0</v>
      </c>
      <c r="C39" s="9" t="s">
        <v>218</v>
      </c>
      <c r="D39" s="9" t="str">
        <f>IFERROR(__xludf.DUMMYFUNCTION("FILTER(Sheet5!B:B,Sheet5!A:A=C39)"),"NE")</f>
        <v>NE</v>
      </c>
      <c r="E39" s="9">
        <v>25.0</v>
      </c>
      <c r="F39" s="9" t="s">
        <v>219</v>
      </c>
      <c r="G39" s="9">
        <v>10.0</v>
      </c>
      <c r="H39" s="9">
        <v>2.0</v>
      </c>
      <c r="I39" s="9" t="s">
        <v>256</v>
      </c>
      <c r="J39" s="9" t="s">
        <v>257</v>
      </c>
      <c r="K39" s="9" t="str">
        <f>IFERROR(__xludf.DUMMYFUNCTION("FILTER(Nuance!D:D,Nuance!B:B=L39)"),"G")</f>
        <v>G</v>
      </c>
      <c r="L39" s="9" t="s">
        <v>15</v>
      </c>
      <c r="M39" s="9" t="s">
        <v>72</v>
      </c>
      <c r="N39" s="9">
        <v>1.0</v>
      </c>
      <c r="O39" s="9" t="s">
        <v>73</v>
      </c>
      <c r="P39" s="9" t="s">
        <v>258</v>
      </c>
      <c r="Q39" s="9" t="s">
        <v>259</v>
      </c>
      <c r="R39" s="10">
        <v>18039.0</v>
      </c>
      <c r="S39" s="9" t="s">
        <v>93</v>
      </c>
      <c r="T39" s="9" t="s">
        <v>122</v>
      </c>
      <c r="U39" s="9" t="s">
        <v>95</v>
      </c>
    </row>
    <row r="40">
      <c r="A40" s="8">
        <v>42318.714895833335</v>
      </c>
      <c r="B40" s="9">
        <v>53.0</v>
      </c>
      <c r="C40" s="9" t="s">
        <v>260</v>
      </c>
      <c r="D40" s="9" t="str">
        <f>IFERROR(__xludf.DUMMYFUNCTION("FILTER(Sheet5!B:B,Sheet5!A:A=C40)"),"NO")</f>
        <v>NO</v>
      </c>
      <c r="E40" s="9">
        <v>35.0</v>
      </c>
      <c r="F40" s="9" t="s">
        <v>261</v>
      </c>
      <c r="G40" s="9">
        <v>1.0</v>
      </c>
      <c r="H40" s="9">
        <v>8.0</v>
      </c>
      <c r="I40" s="9" t="s">
        <v>262</v>
      </c>
      <c r="J40" s="9" t="s">
        <v>263</v>
      </c>
      <c r="K40" s="9" t="str">
        <f>IFERROR(__xludf.DUMMYFUNCTION("FILTER(Nuance!D:D,Nuance!B:B=L40)"),"G")</f>
        <v>G</v>
      </c>
      <c r="L40" s="9" t="s">
        <v>3</v>
      </c>
      <c r="M40" s="9" t="s">
        <v>72</v>
      </c>
      <c r="N40" s="9">
        <v>2.0</v>
      </c>
      <c r="O40" s="9" t="s">
        <v>80</v>
      </c>
      <c r="P40" s="9" t="s">
        <v>264</v>
      </c>
      <c r="Q40" s="9" t="s">
        <v>265</v>
      </c>
      <c r="R40" s="10">
        <v>26660.0</v>
      </c>
      <c r="S40" s="9" t="s">
        <v>153</v>
      </c>
      <c r="T40" s="9"/>
      <c r="U40" s="9" t="s">
        <v>77</v>
      </c>
    </row>
    <row r="41">
      <c r="A41" s="8">
        <v>42318.714895833335</v>
      </c>
      <c r="B41" s="9">
        <v>53.0</v>
      </c>
      <c r="C41" s="9" t="s">
        <v>260</v>
      </c>
      <c r="D41" s="9" t="str">
        <f>IFERROR(__xludf.DUMMYFUNCTION("FILTER(Sheet5!B:B,Sheet5!A:A=C41)"),"NO")</f>
        <v>NO</v>
      </c>
      <c r="E41" s="9">
        <v>56.0</v>
      </c>
      <c r="F41" s="9" t="s">
        <v>266</v>
      </c>
      <c r="G41" s="9">
        <v>2.0</v>
      </c>
      <c r="H41" s="9">
        <v>6.0</v>
      </c>
      <c r="I41" s="9" t="s">
        <v>267</v>
      </c>
      <c r="J41" s="9" t="s">
        <v>268</v>
      </c>
      <c r="K41" s="9" t="str">
        <f>IFERROR(__xludf.DUMMYFUNCTION("FILTER(Nuance!D:D,Nuance!B:B=L41)"),"G")</f>
        <v>G</v>
      </c>
      <c r="L41" s="9" t="s">
        <v>15</v>
      </c>
      <c r="M41" s="9" t="s">
        <v>72</v>
      </c>
      <c r="N41" s="9">
        <v>1.0</v>
      </c>
      <c r="O41" s="9" t="s">
        <v>80</v>
      </c>
      <c r="P41" s="9" t="s">
        <v>269</v>
      </c>
      <c r="Q41" s="9" t="s">
        <v>270</v>
      </c>
      <c r="R41" s="10">
        <v>17348.0</v>
      </c>
      <c r="S41" s="9" t="s">
        <v>217</v>
      </c>
      <c r="T41" s="9" t="s">
        <v>271</v>
      </c>
      <c r="U41" s="9" t="s">
        <v>95</v>
      </c>
    </row>
    <row r="42">
      <c r="A42" s="8">
        <v>42318.714895833335</v>
      </c>
      <c r="B42" s="9">
        <v>53.0</v>
      </c>
      <c r="C42" s="9" t="s">
        <v>260</v>
      </c>
      <c r="D42" s="9" t="str">
        <f>IFERROR(__xludf.DUMMYFUNCTION("FILTER(Sheet5!B:B,Sheet5!A:A=C42)"),"NO")</f>
        <v>NO</v>
      </c>
      <c r="E42" s="9">
        <v>56.0</v>
      </c>
      <c r="F42" s="9" t="s">
        <v>266</v>
      </c>
      <c r="G42" s="9">
        <v>3.0</v>
      </c>
      <c r="H42" s="9">
        <v>10.0</v>
      </c>
      <c r="I42" s="9" t="s">
        <v>272</v>
      </c>
      <c r="J42" s="9" t="s">
        <v>273</v>
      </c>
      <c r="K42" s="9" t="str">
        <f>IFERROR(__xludf.DUMMYFUNCTION("FILTER(Nuance!D:D,Nuance!B:B=L42)"),"D")</f>
        <v>D</v>
      </c>
      <c r="L42" s="9" t="s">
        <v>28</v>
      </c>
      <c r="M42" s="9" t="s">
        <v>72</v>
      </c>
      <c r="N42" s="9">
        <v>1.0</v>
      </c>
      <c r="O42" s="9" t="s">
        <v>80</v>
      </c>
      <c r="P42" s="9" t="s">
        <v>274</v>
      </c>
      <c r="Q42" s="9" t="s">
        <v>275</v>
      </c>
      <c r="R42" s="10">
        <v>27110.0</v>
      </c>
      <c r="S42" s="9" t="s">
        <v>276</v>
      </c>
      <c r="T42" s="9"/>
      <c r="U42" s="9" t="s">
        <v>77</v>
      </c>
    </row>
    <row r="43">
      <c r="A43" s="8">
        <v>42318.714895833335</v>
      </c>
      <c r="B43" s="9">
        <v>53.0</v>
      </c>
      <c r="C43" s="9" t="s">
        <v>260</v>
      </c>
      <c r="D43" s="9" t="str">
        <f>IFERROR(__xludf.DUMMYFUNCTION("FILTER(Sheet5!B:B,Sheet5!A:A=C43)"),"NO")</f>
        <v>NO</v>
      </c>
      <c r="E43" s="9">
        <v>29.0</v>
      </c>
      <c r="F43" s="9" t="s">
        <v>277</v>
      </c>
      <c r="G43" s="9">
        <v>4.0</v>
      </c>
      <c r="H43" s="9">
        <v>7.0</v>
      </c>
      <c r="I43" s="9" t="s">
        <v>278</v>
      </c>
      <c r="J43" s="9" t="s">
        <v>278</v>
      </c>
      <c r="K43" s="9" t="str">
        <f>IFERROR(__xludf.DUMMYFUNCTION("FILTER(Nuance!D:D,Nuance!B:B=L43)"),"D")</f>
        <v>D</v>
      </c>
      <c r="L43" s="9" t="s">
        <v>28</v>
      </c>
      <c r="M43" s="9" t="s">
        <v>72</v>
      </c>
      <c r="N43" s="9">
        <v>1.0</v>
      </c>
      <c r="O43" s="9" t="s">
        <v>80</v>
      </c>
      <c r="P43" s="9" t="s">
        <v>279</v>
      </c>
      <c r="Q43" s="9" t="s">
        <v>280</v>
      </c>
      <c r="R43" s="10">
        <v>24190.0</v>
      </c>
      <c r="S43" s="9" t="s">
        <v>76</v>
      </c>
      <c r="T43" s="9"/>
      <c r="U43" s="9" t="s">
        <v>77</v>
      </c>
    </row>
    <row r="44">
      <c r="A44" s="8">
        <v>42318.714895833335</v>
      </c>
      <c r="B44" s="9">
        <v>53.0</v>
      </c>
      <c r="C44" s="9" t="s">
        <v>260</v>
      </c>
      <c r="D44" s="9" t="str">
        <f>IFERROR(__xludf.DUMMYFUNCTION("FILTER(Sheet5!B:B,Sheet5!A:A=C44)"),"NO")</f>
        <v>NO</v>
      </c>
      <c r="E44" s="9">
        <v>56.0</v>
      </c>
      <c r="F44" s="9" t="s">
        <v>266</v>
      </c>
      <c r="G44" s="9">
        <v>5.0</v>
      </c>
      <c r="H44" s="9">
        <v>3.0</v>
      </c>
      <c r="I44" s="9" t="s">
        <v>145</v>
      </c>
      <c r="J44" s="9" t="s">
        <v>281</v>
      </c>
      <c r="K44" s="9" t="str">
        <f>IFERROR(__xludf.DUMMYFUNCTION("FILTER(Nuance!D:D,Nuance!B:B=L44)"),"C")</f>
        <v>C</v>
      </c>
      <c r="L44" s="9" t="s">
        <v>25</v>
      </c>
      <c r="M44" s="9" t="s">
        <v>72</v>
      </c>
      <c r="N44" s="9">
        <v>1.0</v>
      </c>
      <c r="O44" s="9" t="s">
        <v>80</v>
      </c>
      <c r="P44" s="9" t="s">
        <v>282</v>
      </c>
      <c r="Q44" s="9" t="s">
        <v>283</v>
      </c>
      <c r="R44" s="10">
        <v>28044.0</v>
      </c>
      <c r="S44" s="9" t="s">
        <v>129</v>
      </c>
      <c r="T44" s="9"/>
      <c r="U44" s="9" t="s">
        <v>77</v>
      </c>
    </row>
    <row r="45">
      <c r="A45" s="8">
        <v>42318.714895833335</v>
      </c>
      <c r="B45" s="9">
        <v>53.0</v>
      </c>
      <c r="C45" s="9" t="s">
        <v>260</v>
      </c>
      <c r="D45" s="9" t="str">
        <f>IFERROR(__xludf.DUMMYFUNCTION("FILTER(Sheet5!B:B,Sheet5!A:A=C45)"),"NO")</f>
        <v>NO</v>
      </c>
      <c r="E45" s="9">
        <v>35.0</v>
      </c>
      <c r="F45" s="9" t="s">
        <v>261</v>
      </c>
      <c r="G45" s="9">
        <v>6.0</v>
      </c>
      <c r="H45" s="9">
        <v>12.0</v>
      </c>
      <c r="I45" s="9" t="s">
        <v>85</v>
      </c>
      <c r="J45" s="9" t="s">
        <v>284</v>
      </c>
      <c r="K45" s="9" t="str">
        <f>IFERROR(__xludf.DUMMYFUNCTION("FILTER(Nuance!D:D,Nuance!B:B=L45)"),"D")</f>
        <v>D</v>
      </c>
      <c r="L45" s="9" t="s">
        <v>39</v>
      </c>
      <c r="M45" s="9" t="s">
        <v>72</v>
      </c>
      <c r="N45" s="9">
        <v>1.0</v>
      </c>
      <c r="O45" s="9" t="s">
        <v>80</v>
      </c>
      <c r="P45" s="9" t="s">
        <v>285</v>
      </c>
      <c r="Q45" s="9" t="s">
        <v>286</v>
      </c>
      <c r="R45" s="10">
        <v>22777.0</v>
      </c>
      <c r="S45" s="9" t="s">
        <v>76</v>
      </c>
      <c r="T45" s="9"/>
      <c r="U45" s="9" t="s">
        <v>77</v>
      </c>
    </row>
    <row r="46">
      <c r="A46" s="8">
        <v>42318.714895833335</v>
      </c>
      <c r="B46" s="9">
        <v>53.0</v>
      </c>
      <c r="C46" s="9" t="s">
        <v>260</v>
      </c>
      <c r="D46" s="9" t="str">
        <f>IFERROR(__xludf.DUMMYFUNCTION("FILTER(Sheet5!B:B,Sheet5!A:A=C46)"),"NO")</f>
        <v>NO</v>
      </c>
      <c r="E46" s="9">
        <v>35.0</v>
      </c>
      <c r="F46" s="9" t="s">
        <v>261</v>
      </c>
      <c r="G46" s="9">
        <v>7.0</v>
      </c>
      <c r="H46" s="9">
        <v>2.0</v>
      </c>
      <c r="I46" s="9" t="s">
        <v>96</v>
      </c>
      <c r="J46" s="9" t="s">
        <v>97</v>
      </c>
      <c r="K46" s="9" t="str">
        <f>IFERROR(__xludf.DUMMYFUNCTION("FILTER(Nuance!D:D,Nuance!B:B=L46)"),"D")</f>
        <v>D</v>
      </c>
      <c r="L46" s="9" t="s">
        <v>43</v>
      </c>
      <c r="M46" s="9" t="s">
        <v>72</v>
      </c>
      <c r="N46" s="9">
        <v>1.0</v>
      </c>
      <c r="O46" s="9" t="s">
        <v>80</v>
      </c>
      <c r="P46" s="9" t="s">
        <v>287</v>
      </c>
      <c r="Q46" s="9" t="s">
        <v>288</v>
      </c>
      <c r="R46" s="10">
        <v>22847.0</v>
      </c>
      <c r="S46" s="9" t="s">
        <v>121</v>
      </c>
      <c r="T46" s="9"/>
      <c r="U46" s="9" t="s">
        <v>77</v>
      </c>
    </row>
    <row r="47">
      <c r="A47" s="8">
        <v>42318.714895833335</v>
      </c>
      <c r="B47" s="9">
        <v>53.0</v>
      </c>
      <c r="C47" s="9" t="s">
        <v>260</v>
      </c>
      <c r="D47" s="9" t="str">
        <f>IFERROR(__xludf.DUMMYFUNCTION("FILTER(Sheet5!B:B,Sheet5!A:A=C47)"),"NO")</f>
        <v>NO</v>
      </c>
      <c r="E47" s="9">
        <v>22.0</v>
      </c>
      <c r="F47" s="9" t="s">
        <v>289</v>
      </c>
      <c r="G47" s="9">
        <v>8.0</v>
      </c>
      <c r="H47" s="9">
        <v>4.0</v>
      </c>
      <c r="I47" s="9" t="s">
        <v>290</v>
      </c>
      <c r="J47" s="9" t="s">
        <v>291</v>
      </c>
      <c r="K47" s="9" t="str">
        <f>IFERROR(__xludf.DUMMYFUNCTION("FILTER(Nuance!D:D,Nuance!B:B=L47)"),"D")</f>
        <v>D</v>
      </c>
      <c r="L47" s="9" t="s">
        <v>37</v>
      </c>
      <c r="M47" s="9" t="s">
        <v>72</v>
      </c>
      <c r="N47" s="9">
        <v>1.0</v>
      </c>
      <c r="O47" s="9" t="s">
        <v>80</v>
      </c>
      <c r="P47" s="9" t="s">
        <v>292</v>
      </c>
      <c r="Q47" s="9" t="s">
        <v>293</v>
      </c>
      <c r="R47" s="10">
        <v>20787.0</v>
      </c>
      <c r="S47" s="9" t="s">
        <v>121</v>
      </c>
      <c r="T47" s="9" t="s">
        <v>202</v>
      </c>
      <c r="U47" s="9" t="s">
        <v>77</v>
      </c>
    </row>
    <row r="48">
      <c r="A48" s="8">
        <v>42318.714895833335</v>
      </c>
      <c r="B48" s="9">
        <v>53.0</v>
      </c>
      <c r="C48" s="9" t="s">
        <v>260</v>
      </c>
      <c r="D48" s="9" t="str">
        <f>IFERROR(__xludf.DUMMYFUNCTION("FILTER(Sheet5!B:B,Sheet5!A:A=C48)"),"NO")</f>
        <v>NO</v>
      </c>
      <c r="E48" s="9">
        <v>22.0</v>
      </c>
      <c r="F48" s="9" t="s">
        <v>289</v>
      </c>
      <c r="G48" s="9">
        <v>9.0</v>
      </c>
      <c r="H48" s="9">
        <v>9.0</v>
      </c>
      <c r="I48" s="9" t="s">
        <v>294</v>
      </c>
      <c r="J48" s="9" t="s">
        <v>295</v>
      </c>
      <c r="K48" s="9" t="str">
        <f>IFERROR(__xludf.DUMMYFUNCTION("FILTER(Nuance!D:D,Nuance!B:B=L48)"),"G")</f>
        <v>G</v>
      </c>
      <c r="L48" s="9" t="s">
        <v>21</v>
      </c>
      <c r="M48" s="9" t="s">
        <v>72</v>
      </c>
      <c r="N48" s="9">
        <v>1.0</v>
      </c>
      <c r="O48" s="9" t="s">
        <v>80</v>
      </c>
      <c r="P48" s="9" t="s">
        <v>296</v>
      </c>
      <c r="Q48" s="9" t="s">
        <v>297</v>
      </c>
      <c r="R48" s="10">
        <v>19160.0</v>
      </c>
      <c r="S48" s="9" t="s">
        <v>298</v>
      </c>
      <c r="T48" s="9"/>
      <c r="U48" s="9" t="s">
        <v>95</v>
      </c>
    </row>
    <row r="49">
      <c r="A49" s="8">
        <v>42318.714895833335</v>
      </c>
      <c r="B49" s="9">
        <v>53.0</v>
      </c>
      <c r="C49" s="9" t="s">
        <v>260</v>
      </c>
      <c r="D49" s="9" t="str">
        <f>IFERROR(__xludf.DUMMYFUNCTION("FILTER(Sheet5!B:B,Sheet5!A:A=C49)"),"NO")</f>
        <v>NO</v>
      </c>
      <c r="E49" s="9">
        <v>22.0</v>
      </c>
      <c r="F49" s="9" t="s">
        <v>289</v>
      </c>
      <c r="G49" s="9">
        <v>10.0</v>
      </c>
      <c r="H49" s="9">
        <v>11.0</v>
      </c>
      <c r="I49" s="9" t="s">
        <v>299</v>
      </c>
      <c r="J49" s="9" t="s">
        <v>300</v>
      </c>
      <c r="K49" s="9" t="str">
        <f>IFERROR(__xludf.DUMMYFUNCTION("FILTER(Nuance!D:D,Nuance!B:B=L49)"),"G")</f>
        <v>G</v>
      </c>
      <c r="L49" s="9" t="s">
        <v>5</v>
      </c>
      <c r="M49" s="9" t="s">
        <v>72</v>
      </c>
      <c r="N49" s="9">
        <v>1.0</v>
      </c>
      <c r="O49" s="9" t="s">
        <v>80</v>
      </c>
      <c r="P49" s="9" t="s">
        <v>301</v>
      </c>
      <c r="Q49" s="9" t="s">
        <v>302</v>
      </c>
      <c r="R49" s="10">
        <v>24251.0</v>
      </c>
      <c r="S49" s="9" t="s">
        <v>303</v>
      </c>
      <c r="T49" s="9"/>
      <c r="U49" s="9" t="s">
        <v>77</v>
      </c>
    </row>
    <row r="50">
      <c r="A50" s="8">
        <v>42318.714895833335</v>
      </c>
      <c r="B50" s="9">
        <v>53.0</v>
      </c>
      <c r="C50" s="9" t="s">
        <v>260</v>
      </c>
      <c r="D50" s="9" t="str">
        <f>IFERROR(__xludf.DUMMYFUNCTION("FILTER(Sheet5!B:B,Sheet5!A:A=C50)"),"NO")</f>
        <v>NO</v>
      </c>
      <c r="E50" s="9">
        <v>35.0</v>
      </c>
      <c r="F50" s="9" t="s">
        <v>261</v>
      </c>
      <c r="G50" s="9">
        <v>11.0</v>
      </c>
      <c r="H50" s="9">
        <v>5.0</v>
      </c>
      <c r="I50" s="9" t="s">
        <v>108</v>
      </c>
      <c r="J50" s="9" t="s">
        <v>169</v>
      </c>
      <c r="K50" s="9" t="str">
        <f>IFERROR(__xludf.DUMMYFUNCTION("FILTER(Nuance!D:D,Nuance!B:B=L50)"),"G")</f>
        <v>G</v>
      </c>
      <c r="L50" s="9" t="s">
        <v>3</v>
      </c>
      <c r="M50" s="9" t="s">
        <v>72</v>
      </c>
      <c r="N50" s="9">
        <v>1.0</v>
      </c>
      <c r="O50" s="9" t="s">
        <v>73</v>
      </c>
      <c r="P50" s="9" t="s">
        <v>304</v>
      </c>
      <c r="Q50" s="9" t="s">
        <v>305</v>
      </c>
      <c r="R50" s="10">
        <v>26330.0</v>
      </c>
      <c r="S50" s="9" t="s">
        <v>306</v>
      </c>
      <c r="T50" s="9"/>
      <c r="U50" s="9" t="s">
        <v>77</v>
      </c>
    </row>
    <row r="51">
      <c r="A51" s="8">
        <v>42318.714895833335</v>
      </c>
      <c r="B51" s="9">
        <v>24.0</v>
      </c>
      <c r="C51" s="9" t="s">
        <v>307</v>
      </c>
      <c r="D51" s="9" t="str">
        <f>IFERROR(__xludf.DUMMYFUNCTION("FILTER(Sheet5!B:B,Sheet5!A:A=C51)"),"NO")</f>
        <v>NO</v>
      </c>
      <c r="E51" s="9">
        <v>28.0</v>
      </c>
      <c r="F51" s="9" t="s">
        <v>308</v>
      </c>
      <c r="G51" s="9">
        <v>1.0</v>
      </c>
      <c r="H51" s="9">
        <v>4.0</v>
      </c>
      <c r="I51" s="9" t="s">
        <v>160</v>
      </c>
      <c r="J51" s="9" t="s">
        <v>309</v>
      </c>
      <c r="K51" s="9" t="str">
        <f>IFERROR(__xludf.DUMMYFUNCTION("FILTER(Nuance!D:D,Nuance!B:B=L51)"),"D")</f>
        <v>D</v>
      </c>
      <c r="L51" s="9" t="s">
        <v>43</v>
      </c>
      <c r="M51" s="9" t="s">
        <v>72</v>
      </c>
      <c r="N51" s="9">
        <v>1.0</v>
      </c>
      <c r="O51" s="9" t="s">
        <v>80</v>
      </c>
      <c r="P51" s="9" t="s">
        <v>310</v>
      </c>
      <c r="Q51" s="9" t="s">
        <v>120</v>
      </c>
      <c r="R51" s="10">
        <v>21148.0</v>
      </c>
      <c r="S51" s="9" t="s">
        <v>303</v>
      </c>
      <c r="T51" s="9" t="s">
        <v>101</v>
      </c>
      <c r="U51" s="9" t="s">
        <v>77</v>
      </c>
    </row>
    <row r="52">
      <c r="A52" s="8">
        <v>42318.714895833335</v>
      </c>
      <c r="B52" s="9">
        <v>24.0</v>
      </c>
      <c r="C52" s="9" t="s">
        <v>307</v>
      </c>
      <c r="D52" s="9" t="str">
        <f>IFERROR(__xludf.DUMMYFUNCTION("FILTER(Sheet5!B:B,Sheet5!A:A=C52)"),"NO")</f>
        <v>NO</v>
      </c>
      <c r="E52" s="9">
        <v>28.0</v>
      </c>
      <c r="F52" s="9" t="s">
        <v>308</v>
      </c>
      <c r="G52" s="9">
        <v>2.0</v>
      </c>
      <c r="H52" s="9">
        <v>2.0</v>
      </c>
      <c r="I52" s="9" t="s">
        <v>145</v>
      </c>
      <c r="J52" s="9" t="s">
        <v>175</v>
      </c>
      <c r="K52" s="9" t="str">
        <f>IFERROR(__xludf.DUMMYFUNCTION("FILTER(Nuance!D:D,Nuance!B:B=L52)"),"C")</f>
        <v>C</v>
      </c>
      <c r="L52" s="9" t="s">
        <v>25</v>
      </c>
      <c r="M52" s="9" t="s">
        <v>72</v>
      </c>
      <c r="N52" s="9">
        <v>3.0</v>
      </c>
      <c r="O52" s="9" t="s">
        <v>80</v>
      </c>
      <c r="P52" s="9" t="s">
        <v>311</v>
      </c>
      <c r="Q52" s="9" t="s">
        <v>312</v>
      </c>
      <c r="R52" s="10">
        <v>24418.0</v>
      </c>
      <c r="S52" s="9" t="s">
        <v>303</v>
      </c>
      <c r="T52" s="9"/>
      <c r="U52" s="9" t="s">
        <v>77</v>
      </c>
    </row>
    <row r="53">
      <c r="A53" s="8">
        <v>42318.714895833335</v>
      </c>
      <c r="B53" s="9">
        <v>24.0</v>
      </c>
      <c r="C53" s="9" t="s">
        <v>307</v>
      </c>
      <c r="D53" s="9" t="str">
        <f>IFERROR(__xludf.DUMMYFUNCTION("FILTER(Sheet5!B:B,Sheet5!A:A=C53)"),"NO")</f>
        <v>NO</v>
      </c>
      <c r="E53" s="9">
        <v>45.0</v>
      </c>
      <c r="F53" s="9" t="s">
        <v>313</v>
      </c>
      <c r="G53" s="9">
        <v>3.0</v>
      </c>
      <c r="H53" s="9">
        <v>5.0</v>
      </c>
      <c r="I53" s="9" t="s">
        <v>108</v>
      </c>
      <c r="J53" s="9" t="s">
        <v>314</v>
      </c>
      <c r="K53" s="9" t="str">
        <f>IFERROR(__xludf.DUMMYFUNCTION("FILTER(Nuance!D:D,Nuance!B:B=L53)"),"G")</f>
        <v>G</v>
      </c>
      <c r="L53" s="9" t="s">
        <v>3</v>
      </c>
      <c r="M53" s="9" t="s">
        <v>72</v>
      </c>
      <c r="N53" s="9">
        <v>2.0</v>
      </c>
      <c r="O53" s="9" t="s">
        <v>73</v>
      </c>
      <c r="P53" s="9" t="s">
        <v>315</v>
      </c>
      <c r="Q53" s="9" t="s">
        <v>316</v>
      </c>
      <c r="R53" s="10">
        <v>22642.0</v>
      </c>
      <c r="S53" s="9" t="s">
        <v>159</v>
      </c>
      <c r="T53" s="9"/>
      <c r="U53" s="9" t="s">
        <v>77</v>
      </c>
    </row>
    <row r="54">
      <c r="A54" s="8">
        <v>42318.714895833335</v>
      </c>
      <c r="B54" s="9">
        <v>24.0</v>
      </c>
      <c r="C54" s="9" t="s">
        <v>307</v>
      </c>
      <c r="D54" s="9" t="str">
        <f>IFERROR(__xludf.DUMMYFUNCTION("FILTER(Sheet5!B:B,Sheet5!A:A=C54)"),"NO")</f>
        <v>NO</v>
      </c>
      <c r="E54" s="9">
        <v>18.0</v>
      </c>
      <c r="F54" s="9" t="s">
        <v>317</v>
      </c>
      <c r="G54" s="9">
        <v>4.0</v>
      </c>
      <c r="H54" s="9">
        <v>6.0</v>
      </c>
      <c r="I54" s="9" t="s">
        <v>85</v>
      </c>
      <c r="J54" s="9" t="s">
        <v>86</v>
      </c>
      <c r="K54" s="9" t="str">
        <f>IFERROR(__xludf.DUMMYFUNCTION("FILTER(Nuance!D:D,Nuance!B:B=L54)"),"D")</f>
        <v>D</v>
      </c>
      <c r="L54" s="9" t="s">
        <v>39</v>
      </c>
      <c r="M54" s="9" t="s">
        <v>72</v>
      </c>
      <c r="N54" s="9">
        <v>1.0</v>
      </c>
      <c r="O54" s="9" t="s">
        <v>73</v>
      </c>
      <c r="P54" s="9" t="s">
        <v>318</v>
      </c>
      <c r="Q54" s="9" t="s">
        <v>319</v>
      </c>
      <c r="R54" s="10">
        <v>31250.0</v>
      </c>
      <c r="S54" s="9" t="s">
        <v>117</v>
      </c>
      <c r="T54" s="9"/>
      <c r="U54" s="9" t="s">
        <v>77</v>
      </c>
    </row>
    <row r="55">
      <c r="A55" s="8">
        <v>42318.714895833335</v>
      </c>
      <c r="B55" s="9">
        <v>24.0</v>
      </c>
      <c r="C55" s="9" t="s">
        <v>307</v>
      </c>
      <c r="D55" s="9" t="str">
        <f>IFERROR(__xludf.DUMMYFUNCTION("FILTER(Sheet5!B:B,Sheet5!A:A=C55)"),"NO")</f>
        <v>NO</v>
      </c>
      <c r="E55" s="9">
        <v>28.0</v>
      </c>
      <c r="F55" s="9" t="s">
        <v>308</v>
      </c>
      <c r="G55" s="9">
        <v>5.0</v>
      </c>
      <c r="H55" s="9">
        <v>7.0</v>
      </c>
      <c r="I55" s="9" t="s">
        <v>320</v>
      </c>
      <c r="J55" s="9" t="s">
        <v>321</v>
      </c>
      <c r="K55" s="9" t="str">
        <f>IFERROR(__xludf.DUMMYFUNCTION("FILTER(Nuance!D:D,Nuance!B:B=L55)"),"D")</f>
        <v>D</v>
      </c>
      <c r="L55" s="9" t="s">
        <v>37</v>
      </c>
      <c r="M55" s="9" t="s">
        <v>72</v>
      </c>
      <c r="N55" s="9">
        <v>1.0</v>
      </c>
      <c r="O55" s="9" t="s">
        <v>80</v>
      </c>
      <c r="P55" s="9" t="s">
        <v>322</v>
      </c>
      <c r="Q55" s="9" t="s">
        <v>120</v>
      </c>
      <c r="R55" s="10">
        <v>21219.0</v>
      </c>
      <c r="S55" s="9" t="s">
        <v>323</v>
      </c>
      <c r="T55" s="9" t="s">
        <v>202</v>
      </c>
      <c r="U55" s="9" t="s">
        <v>77</v>
      </c>
    </row>
    <row r="56">
      <c r="A56" s="8">
        <v>42318.714895833335</v>
      </c>
      <c r="B56" s="9">
        <v>24.0</v>
      </c>
      <c r="C56" s="9" t="s">
        <v>307</v>
      </c>
      <c r="D56" s="9" t="str">
        <f>IFERROR(__xludf.DUMMYFUNCTION("FILTER(Sheet5!B:B,Sheet5!A:A=C56)"),"NO")</f>
        <v>NO</v>
      </c>
      <c r="E56" s="9">
        <v>41.0</v>
      </c>
      <c r="F56" s="9" t="s">
        <v>324</v>
      </c>
      <c r="G56" s="9">
        <v>6.0</v>
      </c>
      <c r="H56" s="9">
        <v>8.0</v>
      </c>
      <c r="I56" s="9" t="s">
        <v>325</v>
      </c>
      <c r="J56" s="9" t="s">
        <v>326</v>
      </c>
      <c r="K56" s="9" t="str">
        <f>IFERROR(__xludf.DUMMYFUNCTION("FILTER(Nuance!D:D,Nuance!B:B=L56)"),"G")</f>
        <v>G</v>
      </c>
      <c r="L56" s="9" t="s">
        <v>21</v>
      </c>
      <c r="M56" s="9" t="s">
        <v>72</v>
      </c>
      <c r="N56" s="9">
        <v>1.0</v>
      </c>
      <c r="O56" s="9" t="s">
        <v>80</v>
      </c>
      <c r="P56" s="9" t="s">
        <v>327</v>
      </c>
      <c r="Q56" s="9" t="s">
        <v>328</v>
      </c>
      <c r="R56" s="10">
        <v>24907.0</v>
      </c>
      <c r="S56" s="9" t="s">
        <v>134</v>
      </c>
      <c r="T56" s="9"/>
      <c r="U56" s="9" t="s">
        <v>95</v>
      </c>
    </row>
    <row r="57">
      <c r="A57" s="8">
        <v>42318.714895833335</v>
      </c>
      <c r="B57" s="9">
        <v>24.0</v>
      </c>
      <c r="C57" s="9" t="s">
        <v>307</v>
      </c>
      <c r="D57" s="9" t="str">
        <f>IFERROR(__xludf.DUMMYFUNCTION("FILTER(Sheet5!B:B,Sheet5!A:A=C57)"),"NO")</f>
        <v>NO</v>
      </c>
      <c r="E57" s="9">
        <v>45.0</v>
      </c>
      <c r="F57" s="9" t="s">
        <v>313</v>
      </c>
      <c r="G57" s="9">
        <v>7.0</v>
      </c>
      <c r="H57" s="9">
        <v>9.0</v>
      </c>
      <c r="I57" s="9" t="s">
        <v>329</v>
      </c>
      <c r="J57" s="9" t="s">
        <v>330</v>
      </c>
      <c r="K57" s="9" t="str">
        <f>IFERROR(__xludf.DUMMYFUNCTION("FILTER(Nuance!D:D,Nuance!B:B=L57)"),"G")</f>
        <v>G</v>
      </c>
      <c r="L57" s="9" t="s">
        <v>15</v>
      </c>
      <c r="M57" s="9" t="s">
        <v>72</v>
      </c>
      <c r="N57" s="9">
        <v>1.0</v>
      </c>
      <c r="O57" s="9" t="s">
        <v>80</v>
      </c>
      <c r="P57" s="9" t="s">
        <v>331</v>
      </c>
      <c r="Q57" s="9" t="s">
        <v>231</v>
      </c>
      <c r="R57" s="10">
        <v>19644.0</v>
      </c>
      <c r="S57" s="9" t="s">
        <v>217</v>
      </c>
      <c r="T57" s="9" t="s">
        <v>122</v>
      </c>
      <c r="U57" s="9" t="s">
        <v>95</v>
      </c>
    </row>
    <row r="58">
      <c r="A58" s="8">
        <v>42318.714895833335</v>
      </c>
      <c r="B58" s="9">
        <v>24.0</v>
      </c>
      <c r="C58" s="9" t="s">
        <v>307</v>
      </c>
      <c r="D58" s="9" t="str">
        <f>IFERROR(__xludf.DUMMYFUNCTION("FILTER(Sheet5!B:B,Sheet5!A:A=C58)"),"NO")</f>
        <v>NO</v>
      </c>
      <c r="E58" s="9">
        <v>18.0</v>
      </c>
      <c r="F58" s="9" t="s">
        <v>317</v>
      </c>
      <c r="G58" s="9">
        <v>8.0</v>
      </c>
      <c r="H58" s="9">
        <v>3.0</v>
      </c>
      <c r="I58" s="9" t="s">
        <v>332</v>
      </c>
      <c r="J58" s="9" t="s">
        <v>333</v>
      </c>
      <c r="K58" s="9" t="str">
        <f>IFERROR(__xludf.DUMMYFUNCTION("FILTER(Nuance!D:D,Nuance!B:B=L58)"),"G")</f>
        <v>G</v>
      </c>
      <c r="L58" s="9" t="s">
        <v>9</v>
      </c>
      <c r="M58" s="9" t="s">
        <v>72</v>
      </c>
      <c r="N58" s="9">
        <v>11.0</v>
      </c>
      <c r="O58" s="9" t="s">
        <v>80</v>
      </c>
      <c r="P58" s="9" t="s">
        <v>334</v>
      </c>
      <c r="Q58" s="9" t="s">
        <v>128</v>
      </c>
      <c r="R58" s="10">
        <v>25006.0</v>
      </c>
      <c r="S58" s="9" t="s">
        <v>121</v>
      </c>
      <c r="T58" s="9" t="s">
        <v>202</v>
      </c>
      <c r="U58" s="9" t="s">
        <v>77</v>
      </c>
    </row>
    <row r="59">
      <c r="A59" s="8">
        <v>42318.714895833335</v>
      </c>
      <c r="B59" s="9">
        <v>11.0</v>
      </c>
      <c r="C59" s="9" t="s">
        <v>335</v>
      </c>
      <c r="D59" s="9" t="str">
        <f>IFERROR(__xludf.DUMMYFUNCTION("FILTER(Sheet5!B:B,Sheet5!A:A=C59)"),"NE")</f>
        <v>NE</v>
      </c>
      <c r="E59" s="9">
        <v>75.0</v>
      </c>
      <c r="F59" s="9" t="s">
        <v>336</v>
      </c>
      <c r="G59" s="9">
        <v>1.0</v>
      </c>
      <c r="H59" s="9">
        <v>2.0</v>
      </c>
      <c r="I59" s="9" t="s">
        <v>337</v>
      </c>
      <c r="J59" s="9" t="s">
        <v>338</v>
      </c>
      <c r="K59" s="9" t="str">
        <f>IFERROR(__xludf.DUMMYFUNCTION("FILTER(Nuance!D:D,Nuance!B:B=L59)"),"G")</f>
        <v>G</v>
      </c>
      <c r="L59" s="9" t="s">
        <v>5</v>
      </c>
      <c r="M59" s="9" t="s">
        <v>72</v>
      </c>
      <c r="N59" s="9">
        <v>3.0</v>
      </c>
      <c r="O59" s="9" t="s">
        <v>80</v>
      </c>
      <c r="P59" s="9" t="s">
        <v>339</v>
      </c>
      <c r="Q59" s="9" t="s">
        <v>340</v>
      </c>
      <c r="R59" s="10">
        <v>21002.0</v>
      </c>
      <c r="S59" s="9" t="s">
        <v>236</v>
      </c>
      <c r="T59" s="9" t="s">
        <v>192</v>
      </c>
      <c r="U59" s="9" t="s">
        <v>95</v>
      </c>
    </row>
    <row r="60">
      <c r="A60" s="8">
        <v>42318.714895833335</v>
      </c>
      <c r="B60" s="9">
        <v>11.0</v>
      </c>
      <c r="C60" s="9" t="s">
        <v>335</v>
      </c>
      <c r="D60" s="9" t="str">
        <f>IFERROR(__xludf.DUMMYFUNCTION("FILTER(Sheet5!B:B,Sheet5!A:A=C60)"),"NE")</f>
        <v>NE</v>
      </c>
      <c r="E60" s="9">
        <v>93.0</v>
      </c>
      <c r="F60" s="9" t="s">
        <v>341</v>
      </c>
      <c r="G60" s="9">
        <v>2.0</v>
      </c>
      <c r="H60" s="9">
        <v>8.0</v>
      </c>
      <c r="I60" s="9" t="s">
        <v>342</v>
      </c>
      <c r="J60" s="9" t="s">
        <v>343</v>
      </c>
      <c r="K60" s="9" t="str">
        <f>IFERROR(__xludf.DUMMYFUNCTION("FILTER(Nuance!D:D,Nuance!B:B=L60)"),"G")</f>
        <v>G</v>
      </c>
      <c r="L60" s="9" t="s">
        <v>15</v>
      </c>
      <c r="M60" s="9" t="s">
        <v>72</v>
      </c>
      <c r="N60" s="9">
        <v>1.0</v>
      </c>
      <c r="O60" s="9" t="s">
        <v>80</v>
      </c>
      <c r="P60" s="9" t="s">
        <v>344</v>
      </c>
      <c r="Q60" s="9" t="s">
        <v>345</v>
      </c>
      <c r="R60" s="10">
        <v>18838.0</v>
      </c>
      <c r="S60" s="9" t="s">
        <v>134</v>
      </c>
      <c r="T60" s="9" t="s">
        <v>202</v>
      </c>
      <c r="U60" s="9" t="s">
        <v>77</v>
      </c>
    </row>
    <row r="61">
      <c r="A61" s="8">
        <v>42318.714895833335</v>
      </c>
      <c r="B61" s="9">
        <v>11.0</v>
      </c>
      <c r="C61" s="9" t="s">
        <v>335</v>
      </c>
      <c r="D61" s="9" t="str">
        <f>IFERROR(__xludf.DUMMYFUNCTION("FILTER(Sheet5!B:B,Sheet5!A:A=C61)"),"NE")</f>
        <v>NE</v>
      </c>
      <c r="E61" s="9">
        <v>93.0</v>
      </c>
      <c r="F61" s="9" t="s">
        <v>341</v>
      </c>
      <c r="G61" s="9">
        <v>3.0</v>
      </c>
      <c r="H61" s="9">
        <v>3.0</v>
      </c>
      <c r="I61" s="9" t="s">
        <v>346</v>
      </c>
      <c r="J61" s="9" t="s">
        <v>347</v>
      </c>
      <c r="K61" s="9" t="str">
        <f>IFERROR(__xludf.DUMMYFUNCTION("FILTER(Nuance!D:D,Nuance!B:B=L61)"),"C")</f>
        <v>C</v>
      </c>
      <c r="L61" s="9" t="s">
        <v>25</v>
      </c>
      <c r="M61" s="9" t="s">
        <v>72</v>
      </c>
      <c r="N61" s="9">
        <v>1.0</v>
      </c>
      <c r="O61" s="9" t="s">
        <v>80</v>
      </c>
      <c r="P61" s="9" t="s">
        <v>348</v>
      </c>
      <c r="Q61" s="9" t="s">
        <v>231</v>
      </c>
      <c r="R61" s="10">
        <v>21067.0</v>
      </c>
      <c r="S61" s="9" t="s">
        <v>100</v>
      </c>
      <c r="T61" s="9"/>
      <c r="U61" s="9" t="s">
        <v>77</v>
      </c>
    </row>
    <row r="62">
      <c r="A62" s="8">
        <v>42318.714895833335</v>
      </c>
      <c r="B62" s="9">
        <v>11.0</v>
      </c>
      <c r="C62" s="9" t="s">
        <v>335</v>
      </c>
      <c r="D62" s="9" t="str">
        <f>IFERROR(__xludf.DUMMYFUNCTION("FILTER(Sheet5!B:B,Sheet5!A:A=C62)"),"NE")</f>
        <v>NE</v>
      </c>
      <c r="E62" s="9">
        <v>75.0</v>
      </c>
      <c r="F62" s="9" t="s">
        <v>336</v>
      </c>
      <c r="G62" s="9">
        <v>4.0</v>
      </c>
      <c r="H62" s="9">
        <v>4.0</v>
      </c>
      <c r="I62" s="9" t="s">
        <v>349</v>
      </c>
      <c r="J62" s="9" t="s">
        <v>350</v>
      </c>
      <c r="K62" s="9" t="str">
        <f>IFERROR(__xludf.DUMMYFUNCTION("FILTER(Nuance!D:D,Nuance!B:B=L62)"),"G")</f>
        <v>G</v>
      </c>
      <c r="L62" s="9" t="s">
        <v>21</v>
      </c>
      <c r="M62" s="9" t="s">
        <v>72</v>
      </c>
      <c r="N62" s="9">
        <v>1.0</v>
      </c>
      <c r="O62" s="9" t="s">
        <v>73</v>
      </c>
      <c r="P62" s="9" t="s">
        <v>351</v>
      </c>
      <c r="Q62" s="9" t="s">
        <v>352</v>
      </c>
      <c r="R62" s="10">
        <v>27348.0</v>
      </c>
      <c r="S62" s="9" t="s">
        <v>236</v>
      </c>
      <c r="T62" s="9"/>
      <c r="U62" s="9" t="s">
        <v>95</v>
      </c>
    </row>
    <row r="63">
      <c r="A63" s="8">
        <v>42318.714895833335</v>
      </c>
      <c r="B63" s="9">
        <v>11.0</v>
      </c>
      <c r="C63" s="9" t="s">
        <v>335</v>
      </c>
      <c r="D63" s="9" t="str">
        <f>IFERROR(__xludf.DUMMYFUNCTION("FILTER(Sheet5!B:B,Sheet5!A:A=C63)"),"NE")</f>
        <v>NE</v>
      </c>
      <c r="E63" s="9">
        <v>91.0</v>
      </c>
      <c r="F63" s="9" t="s">
        <v>353</v>
      </c>
      <c r="G63" s="9">
        <v>5.0</v>
      </c>
      <c r="H63" s="9">
        <v>9.0</v>
      </c>
      <c r="I63" s="9" t="s">
        <v>354</v>
      </c>
      <c r="J63" s="9" t="s">
        <v>354</v>
      </c>
      <c r="K63" s="9" t="str">
        <f>IFERROR(__xludf.DUMMYFUNCTION("FILTER(Nuance!D:D,Nuance!B:B=L63)"),"C")</f>
        <v>C</v>
      </c>
      <c r="L63" s="9" t="s">
        <v>25</v>
      </c>
      <c r="M63" s="9" t="s">
        <v>72</v>
      </c>
      <c r="N63" s="9">
        <v>24.0</v>
      </c>
      <c r="O63" s="9" t="s">
        <v>80</v>
      </c>
      <c r="P63" s="9" t="s">
        <v>355</v>
      </c>
      <c r="Q63" s="9" t="s">
        <v>356</v>
      </c>
      <c r="R63" s="10">
        <v>27606.0</v>
      </c>
      <c r="S63" s="9" t="s">
        <v>159</v>
      </c>
      <c r="T63" s="9"/>
      <c r="U63" s="9" t="s">
        <v>77</v>
      </c>
    </row>
    <row r="64">
      <c r="A64" s="8">
        <v>42318.714895833335</v>
      </c>
      <c r="B64" s="9">
        <v>11.0</v>
      </c>
      <c r="C64" s="9" t="s">
        <v>335</v>
      </c>
      <c r="D64" s="9" t="str">
        <f>IFERROR(__xludf.DUMMYFUNCTION("FILTER(Sheet5!B:B,Sheet5!A:A=C64)"),"NE")</f>
        <v>NE</v>
      </c>
      <c r="E64" s="9">
        <v>75.0</v>
      </c>
      <c r="F64" s="9" t="s">
        <v>336</v>
      </c>
      <c r="G64" s="9">
        <v>6.0</v>
      </c>
      <c r="H64" s="9">
        <v>11.0</v>
      </c>
      <c r="I64" s="9" t="s">
        <v>357</v>
      </c>
      <c r="J64" s="9" t="s">
        <v>358</v>
      </c>
      <c r="K64" s="9" t="str">
        <f>IFERROR(__xludf.DUMMYFUNCTION("FILTER(Nuance!D:D,Nuance!B:B=L64)"),"D")</f>
        <v>D</v>
      </c>
      <c r="L64" s="9" t="s">
        <v>41</v>
      </c>
      <c r="M64" s="9" t="s">
        <v>72</v>
      </c>
      <c r="N64" s="9">
        <v>1.0</v>
      </c>
      <c r="O64" s="9" t="s">
        <v>73</v>
      </c>
      <c r="P64" s="9" t="s">
        <v>359</v>
      </c>
      <c r="Q64" s="9" t="s">
        <v>360</v>
      </c>
      <c r="R64" s="10">
        <v>22580.0</v>
      </c>
      <c r="S64" s="9" t="s">
        <v>76</v>
      </c>
      <c r="T64" s="9"/>
      <c r="U64" s="9" t="s">
        <v>77</v>
      </c>
    </row>
    <row r="65">
      <c r="A65" s="8">
        <v>42318.714895833335</v>
      </c>
      <c r="B65" s="9">
        <v>11.0</v>
      </c>
      <c r="C65" s="9" t="s">
        <v>335</v>
      </c>
      <c r="D65" s="9" t="str">
        <f>IFERROR(__xludf.DUMMYFUNCTION("FILTER(Sheet5!B:B,Sheet5!A:A=C65)"),"NE")</f>
        <v>NE</v>
      </c>
      <c r="E65" s="9">
        <v>95.0</v>
      </c>
      <c r="F65" s="9" t="s">
        <v>361</v>
      </c>
      <c r="G65" s="9">
        <v>7.0</v>
      </c>
      <c r="H65" s="9">
        <v>13.0</v>
      </c>
      <c r="I65" s="9" t="s">
        <v>362</v>
      </c>
      <c r="J65" s="9" t="s">
        <v>363</v>
      </c>
      <c r="K65" s="9" t="str">
        <f>IFERROR(__xludf.DUMMYFUNCTION("FILTER(Nuance!D:D,Nuance!B:B=L65)"),"C")</f>
        <v>C</v>
      </c>
      <c r="L65" s="9" t="s">
        <v>25</v>
      </c>
      <c r="M65" s="9" t="s">
        <v>72</v>
      </c>
      <c r="N65" s="9">
        <v>1.0</v>
      </c>
      <c r="O65" s="9" t="s">
        <v>80</v>
      </c>
      <c r="P65" s="9" t="s">
        <v>364</v>
      </c>
      <c r="Q65" s="9" t="s">
        <v>365</v>
      </c>
      <c r="R65" s="10">
        <v>23835.0</v>
      </c>
      <c r="S65" s="9" t="s">
        <v>366</v>
      </c>
      <c r="T65" s="9"/>
      <c r="U65" s="9" t="s">
        <v>95</v>
      </c>
    </row>
    <row r="66">
      <c r="A66" s="8">
        <v>42318.714895833335</v>
      </c>
      <c r="B66" s="9">
        <v>11.0</v>
      </c>
      <c r="C66" s="9" t="s">
        <v>335</v>
      </c>
      <c r="D66" s="9" t="str">
        <f>IFERROR(__xludf.DUMMYFUNCTION("FILTER(Sheet5!B:B,Sheet5!A:A=C66)"),"NE")</f>
        <v>NE</v>
      </c>
      <c r="E66" s="9">
        <v>94.0</v>
      </c>
      <c r="F66" s="9" t="s">
        <v>367</v>
      </c>
      <c r="G66" s="9">
        <v>8.0</v>
      </c>
      <c r="H66" s="9">
        <v>12.0</v>
      </c>
      <c r="I66" s="9" t="s">
        <v>368</v>
      </c>
      <c r="J66" s="9" t="s">
        <v>369</v>
      </c>
      <c r="K66" s="9" t="str">
        <f>IFERROR(__xludf.DUMMYFUNCTION("FILTER(Nuance!D:D,Nuance!B:B=L66)"),"C")</f>
        <v>C</v>
      </c>
      <c r="L66" s="9" t="s">
        <v>25</v>
      </c>
      <c r="M66" s="9" t="s">
        <v>72</v>
      </c>
      <c r="N66" s="9">
        <v>1.0</v>
      </c>
      <c r="O66" s="9" t="s">
        <v>80</v>
      </c>
      <c r="P66" s="9" t="s">
        <v>370</v>
      </c>
      <c r="Q66" s="9" t="s">
        <v>371</v>
      </c>
      <c r="R66" s="10">
        <v>29722.0</v>
      </c>
      <c r="S66" s="9" t="s">
        <v>372</v>
      </c>
      <c r="T66" s="9"/>
      <c r="U66" s="9" t="s">
        <v>77</v>
      </c>
    </row>
    <row r="67">
      <c r="A67" s="8">
        <v>42318.714895833335</v>
      </c>
      <c r="B67" s="9">
        <v>11.0</v>
      </c>
      <c r="C67" s="9" t="s">
        <v>335</v>
      </c>
      <c r="D67" s="9" t="str">
        <f>IFERROR(__xludf.DUMMYFUNCTION("FILTER(Sheet5!B:B,Sheet5!A:A=C67)"),"NE")</f>
        <v>NE</v>
      </c>
      <c r="E67" s="9">
        <v>91.0</v>
      </c>
      <c r="F67" s="9" t="s">
        <v>353</v>
      </c>
      <c r="G67" s="9">
        <v>9.0</v>
      </c>
      <c r="H67" s="9">
        <v>6.0</v>
      </c>
      <c r="I67" s="9" t="s">
        <v>85</v>
      </c>
      <c r="J67" s="9" t="s">
        <v>86</v>
      </c>
      <c r="K67" s="9" t="str">
        <f>IFERROR(__xludf.DUMMYFUNCTION("FILTER(Nuance!D:D,Nuance!B:B=L67)"),"D")</f>
        <v>D</v>
      </c>
      <c r="L67" s="9" t="s">
        <v>39</v>
      </c>
      <c r="M67" s="9" t="s">
        <v>72</v>
      </c>
      <c r="N67" s="9">
        <v>1.0</v>
      </c>
      <c r="O67" s="9" t="s">
        <v>80</v>
      </c>
      <c r="P67" s="9" t="s">
        <v>373</v>
      </c>
      <c r="Q67" s="9" t="s">
        <v>128</v>
      </c>
      <c r="R67" s="10">
        <v>22347.0</v>
      </c>
      <c r="S67" s="9" t="s">
        <v>121</v>
      </c>
      <c r="T67" s="9" t="s">
        <v>202</v>
      </c>
      <c r="U67" s="9" t="s">
        <v>77</v>
      </c>
    </row>
    <row r="68">
      <c r="A68" s="8">
        <v>42318.714895833335</v>
      </c>
      <c r="B68" s="9">
        <v>11.0</v>
      </c>
      <c r="C68" s="9" t="s">
        <v>335</v>
      </c>
      <c r="D68" s="9" t="str">
        <f>IFERROR(__xludf.DUMMYFUNCTION("FILTER(Sheet5!B:B,Sheet5!A:A=C68)"),"NE")</f>
        <v>NE</v>
      </c>
      <c r="E68" s="9">
        <v>78.0</v>
      </c>
      <c r="F68" s="9" t="s">
        <v>374</v>
      </c>
      <c r="G68" s="9">
        <v>10.0</v>
      </c>
      <c r="H68" s="9">
        <v>10.0</v>
      </c>
      <c r="I68" s="9" t="s">
        <v>375</v>
      </c>
      <c r="J68" s="9" t="s">
        <v>376</v>
      </c>
      <c r="K68" s="9" t="str">
        <f>IFERROR(__xludf.DUMMYFUNCTION("FILTER(Nuance!D:D,Nuance!B:B=L68)"),"D")</f>
        <v>D</v>
      </c>
      <c r="L68" s="9" t="s">
        <v>37</v>
      </c>
      <c r="M68" s="9" t="s">
        <v>72</v>
      </c>
      <c r="N68" s="9">
        <v>1.0</v>
      </c>
      <c r="O68" s="9" t="s">
        <v>73</v>
      </c>
      <c r="P68" s="9" t="s">
        <v>377</v>
      </c>
      <c r="Q68" s="9" t="s">
        <v>305</v>
      </c>
      <c r="R68" s="10">
        <v>24667.0</v>
      </c>
      <c r="S68" s="9" t="s">
        <v>378</v>
      </c>
      <c r="T68" s="9" t="s">
        <v>202</v>
      </c>
      <c r="U68" s="9" t="s">
        <v>95</v>
      </c>
    </row>
    <row r="69">
      <c r="A69" s="8">
        <v>42318.714895833335</v>
      </c>
      <c r="B69" s="9">
        <v>11.0</v>
      </c>
      <c r="C69" s="9" t="s">
        <v>335</v>
      </c>
      <c r="D69" s="9" t="str">
        <f>IFERROR(__xludf.DUMMYFUNCTION("FILTER(Sheet5!B:B,Sheet5!A:A=C69)"),"NE")</f>
        <v>NE</v>
      </c>
      <c r="E69" s="9">
        <v>75.0</v>
      </c>
      <c r="F69" s="9" t="s">
        <v>336</v>
      </c>
      <c r="G69" s="9">
        <v>11.0</v>
      </c>
      <c r="H69" s="9">
        <v>14.0</v>
      </c>
      <c r="I69" s="9" t="s">
        <v>379</v>
      </c>
      <c r="J69" s="9" t="s">
        <v>379</v>
      </c>
      <c r="K69" s="9" t="str">
        <f>IFERROR(__xludf.DUMMYFUNCTION("FILTER(Nuance!D:D,Nuance!B:B=L69)"),"D")</f>
        <v>D</v>
      </c>
      <c r="L69" s="9" t="s">
        <v>41</v>
      </c>
      <c r="M69" s="9" t="s">
        <v>72</v>
      </c>
      <c r="N69" s="9">
        <v>1.0</v>
      </c>
      <c r="O69" s="9" t="s">
        <v>80</v>
      </c>
      <c r="P69" s="9" t="s">
        <v>380</v>
      </c>
      <c r="Q69" s="9" t="s">
        <v>381</v>
      </c>
      <c r="R69" s="10">
        <v>25296.0</v>
      </c>
      <c r="S69" s="9" t="s">
        <v>372</v>
      </c>
      <c r="T69" s="9"/>
      <c r="U69" s="9" t="s">
        <v>77</v>
      </c>
    </row>
    <row r="70">
      <c r="A70" s="8">
        <v>42318.714895833335</v>
      </c>
      <c r="B70" s="9">
        <v>11.0</v>
      </c>
      <c r="C70" s="9" t="s">
        <v>335</v>
      </c>
      <c r="D70" s="9" t="str">
        <f>IFERROR(__xludf.DUMMYFUNCTION("FILTER(Sheet5!B:B,Sheet5!A:A=C70)"),"NE")</f>
        <v>NE</v>
      </c>
      <c r="E70" s="9">
        <v>75.0</v>
      </c>
      <c r="F70" s="9" t="s">
        <v>336</v>
      </c>
      <c r="G70" s="9">
        <v>12.0</v>
      </c>
      <c r="H70" s="9">
        <v>7.0</v>
      </c>
      <c r="I70" s="9" t="s">
        <v>96</v>
      </c>
      <c r="J70" s="9" t="s">
        <v>97</v>
      </c>
      <c r="K70" s="9" t="str">
        <f>IFERROR(__xludf.DUMMYFUNCTION("FILTER(Nuance!D:D,Nuance!B:B=L70)"),"D")</f>
        <v>D</v>
      </c>
      <c r="L70" s="9" t="s">
        <v>43</v>
      </c>
      <c r="M70" s="9" t="s">
        <v>72</v>
      </c>
      <c r="N70" s="9">
        <v>1.0</v>
      </c>
      <c r="O70" s="9" t="s">
        <v>80</v>
      </c>
      <c r="P70" s="9" t="s">
        <v>382</v>
      </c>
      <c r="Q70" s="9" t="s">
        <v>383</v>
      </c>
      <c r="R70" s="10">
        <v>18450.0</v>
      </c>
      <c r="S70" s="9" t="s">
        <v>213</v>
      </c>
      <c r="T70" s="9"/>
      <c r="U70" s="9" t="s">
        <v>77</v>
      </c>
    </row>
    <row r="71">
      <c r="A71" s="8">
        <v>42318.714895833335</v>
      </c>
      <c r="B71" s="9">
        <v>11.0</v>
      </c>
      <c r="C71" s="9" t="s">
        <v>335</v>
      </c>
      <c r="D71" s="9" t="str">
        <f>IFERROR(__xludf.DUMMYFUNCTION("FILTER(Sheet5!B:B,Sheet5!A:A=C71)"),"NE")</f>
        <v>NE</v>
      </c>
      <c r="E71" s="9">
        <v>93.0</v>
      </c>
      <c r="F71" s="9" t="s">
        <v>341</v>
      </c>
      <c r="G71" s="9">
        <v>13.0</v>
      </c>
      <c r="H71" s="9">
        <v>5.0</v>
      </c>
      <c r="I71" s="9" t="s">
        <v>384</v>
      </c>
      <c r="J71" s="9" t="s">
        <v>109</v>
      </c>
      <c r="K71" s="9" t="str">
        <f>IFERROR(__xludf.DUMMYFUNCTION("FILTER(Nuance!D:D,Nuance!B:B=L71)"),"G")</f>
        <v>G</v>
      </c>
      <c r="L71" s="9" t="s">
        <v>3</v>
      </c>
      <c r="M71" s="9" t="s">
        <v>72</v>
      </c>
      <c r="N71" s="9">
        <v>2.0</v>
      </c>
      <c r="O71" s="9" t="s">
        <v>73</v>
      </c>
      <c r="P71" s="9" t="s">
        <v>385</v>
      </c>
      <c r="Q71" s="9" t="s">
        <v>244</v>
      </c>
      <c r="R71" s="10">
        <v>25622.0</v>
      </c>
      <c r="S71" s="9" t="s">
        <v>159</v>
      </c>
      <c r="T71" s="9"/>
      <c r="U71" s="9" t="s">
        <v>77</v>
      </c>
    </row>
    <row r="72">
      <c r="A72" s="8">
        <v>42318.714895833335</v>
      </c>
      <c r="B72" s="9">
        <v>76.0</v>
      </c>
      <c r="C72" s="9" t="s">
        <v>386</v>
      </c>
      <c r="D72" s="9" t="str">
        <f>IFERROR(__xludf.DUMMYFUNCTION("FILTER(Sheet5!B:B,Sheet5!A:A=C72)"),"SO")</f>
        <v>SO</v>
      </c>
      <c r="E72" s="9">
        <v>12.0</v>
      </c>
      <c r="F72" s="9" t="s">
        <v>387</v>
      </c>
      <c r="G72" s="9">
        <v>2.0</v>
      </c>
      <c r="H72" s="9">
        <v>9.0</v>
      </c>
      <c r="I72" s="9" t="s">
        <v>388</v>
      </c>
      <c r="J72" s="9" t="s">
        <v>389</v>
      </c>
      <c r="K72" s="9" t="str">
        <f>IFERROR(__xludf.DUMMYFUNCTION("FILTER(Nuance!D:D,Nuance!B:B=L72)"),"D")</f>
        <v>D</v>
      </c>
      <c r="L72" s="9" t="s">
        <v>37</v>
      </c>
      <c r="M72" s="9" t="s">
        <v>72</v>
      </c>
      <c r="N72" s="9">
        <v>1.0</v>
      </c>
      <c r="O72" s="9" t="s">
        <v>80</v>
      </c>
      <c r="P72" s="9" t="s">
        <v>390</v>
      </c>
      <c r="Q72" s="9" t="s">
        <v>391</v>
      </c>
      <c r="R72" s="10">
        <v>22084.0</v>
      </c>
      <c r="S72" s="9" t="s">
        <v>392</v>
      </c>
      <c r="T72" s="9"/>
      <c r="U72" s="9" t="s">
        <v>77</v>
      </c>
    </row>
    <row r="73">
      <c r="A73" s="8">
        <v>42318.714907407404</v>
      </c>
      <c r="B73" s="9">
        <v>76.0</v>
      </c>
      <c r="C73" s="9" t="s">
        <v>386</v>
      </c>
      <c r="D73" s="9" t="str">
        <f>IFERROR(__xludf.DUMMYFUNCTION("FILTER(Sheet5!B:B,Sheet5!A:A=C73)"),"SO")</f>
        <v>SO</v>
      </c>
      <c r="E73" s="9">
        <v>31.0</v>
      </c>
      <c r="F73" s="9" t="s">
        <v>393</v>
      </c>
      <c r="G73" s="9">
        <v>3.0</v>
      </c>
      <c r="H73" s="9">
        <v>11.0</v>
      </c>
      <c r="I73" s="9" t="s">
        <v>394</v>
      </c>
      <c r="J73" s="9" t="s">
        <v>395</v>
      </c>
      <c r="K73" s="9" t="str">
        <f>IFERROR(__xludf.DUMMYFUNCTION("FILTER(Nuance!D:D,Nuance!B:B=L73)"),"G")</f>
        <v>G</v>
      </c>
      <c r="L73" s="9" t="s">
        <v>15</v>
      </c>
      <c r="M73" s="9" t="s">
        <v>72</v>
      </c>
      <c r="N73" s="9">
        <v>1.0</v>
      </c>
      <c r="O73" s="9" t="s">
        <v>73</v>
      </c>
      <c r="P73" s="9" t="s">
        <v>396</v>
      </c>
      <c r="Q73" s="9" t="s">
        <v>397</v>
      </c>
      <c r="R73" s="10">
        <v>26164.0</v>
      </c>
      <c r="S73" s="9" t="s">
        <v>398</v>
      </c>
      <c r="T73" s="9" t="s">
        <v>202</v>
      </c>
      <c r="U73" s="9" t="s">
        <v>77</v>
      </c>
    </row>
    <row r="74">
      <c r="A74" s="8">
        <v>42318.714907407404</v>
      </c>
      <c r="B74" s="9">
        <v>76.0</v>
      </c>
      <c r="C74" s="9" t="s">
        <v>386</v>
      </c>
      <c r="D74" s="9" t="str">
        <f>IFERROR(__xludf.DUMMYFUNCTION("FILTER(Sheet5!B:B,Sheet5!A:A=C74)"),"SO")</f>
        <v>SO</v>
      </c>
      <c r="E74" s="9">
        <v>34.0</v>
      </c>
      <c r="F74" s="9" t="s">
        <v>399</v>
      </c>
      <c r="G74" s="9">
        <v>4.0</v>
      </c>
      <c r="H74" s="9">
        <v>5.0</v>
      </c>
      <c r="I74" s="9" t="s">
        <v>400</v>
      </c>
      <c r="J74" s="9" t="s">
        <v>401</v>
      </c>
      <c r="K74" s="9" t="str">
        <f>IFERROR(__xludf.DUMMYFUNCTION("FILTER(Nuance!D:D,Nuance!B:B=L74)"),"D")</f>
        <v>D</v>
      </c>
      <c r="L74" s="9" t="s">
        <v>45</v>
      </c>
      <c r="M74" s="9" t="s">
        <v>72</v>
      </c>
      <c r="N74" s="9">
        <v>1.0</v>
      </c>
      <c r="O74" s="9" t="s">
        <v>80</v>
      </c>
      <c r="P74" s="9" t="s">
        <v>402</v>
      </c>
      <c r="Q74" s="9" t="s">
        <v>403</v>
      </c>
      <c r="R74" s="10">
        <v>16648.0</v>
      </c>
      <c r="S74" s="9" t="s">
        <v>392</v>
      </c>
      <c r="T74" s="9"/>
      <c r="U74" s="9" t="s">
        <v>77</v>
      </c>
    </row>
    <row r="75">
      <c r="A75" s="8">
        <v>42318.714907407404</v>
      </c>
      <c r="B75" s="9">
        <v>76.0</v>
      </c>
      <c r="C75" s="9" t="s">
        <v>386</v>
      </c>
      <c r="D75" s="9" t="str">
        <f>IFERROR(__xludf.DUMMYFUNCTION("FILTER(Sheet5!B:B,Sheet5!A:A=C75)"),"SO")</f>
        <v>SO</v>
      </c>
      <c r="E75" s="9">
        <v>30.0</v>
      </c>
      <c r="F75" s="9" t="s">
        <v>404</v>
      </c>
      <c r="G75" s="9">
        <v>5.0</v>
      </c>
      <c r="H75" s="9">
        <v>13.0</v>
      </c>
      <c r="I75" s="9" t="s">
        <v>405</v>
      </c>
      <c r="J75" s="9" t="s">
        <v>406</v>
      </c>
      <c r="K75" s="9" t="str">
        <f>IFERROR(__xludf.DUMMYFUNCTION("FILTER(Nuance!D:D,Nuance!B:B=L75)"),"G")</f>
        <v>G</v>
      </c>
      <c r="L75" s="9" t="s">
        <v>23</v>
      </c>
      <c r="M75" s="9" t="s">
        <v>72</v>
      </c>
      <c r="N75" s="9">
        <v>1.0</v>
      </c>
      <c r="O75" s="9" t="s">
        <v>80</v>
      </c>
      <c r="P75" s="9" t="s">
        <v>407</v>
      </c>
      <c r="Q75" s="9" t="s">
        <v>186</v>
      </c>
      <c r="R75" s="10">
        <v>25618.0</v>
      </c>
      <c r="S75" s="9" t="s">
        <v>129</v>
      </c>
      <c r="T75" s="9" t="s">
        <v>202</v>
      </c>
      <c r="U75" s="9" t="s">
        <v>77</v>
      </c>
    </row>
    <row r="76">
      <c r="A76" s="8">
        <v>42318.714907407404</v>
      </c>
      <c r="B76" s="9">
        <v>76.0</v>
      </c>
      <c r="C76" s="9" t="s">
        <v>386</v>
      </c>
      <c r="D76" s="9" t="str">
        <f>IFERROR(__xludf.DUMMYFUNCTION("FILTER(Sheet5!B:B,Sheet5!A:A=C76)"),"SO")</f>
        <v>SO</v>
      </c>
      <c r="E76" s="9">
        <v>34.0</v>
      </c>
      <c r="F76" s="9" t="s">
        <v>399</v>
      </c>
      <c r="G76" s="9">
        <v>6.0</v>
      </c>
      <c r="H76" s="9">
        <v>10.0</v>
      </c>
      <c r="I76" s="9" t="s">
        <v>125</v>
      </c>
      <c r="J76" s="9" t="s">
        <v>408</v>
      </c>
      <c r="K76" s="9" t="str">
        <f>IFERROR(__xludf.DUMMYFUNCTION("FILTER(Nuance!D:D,Nuance!B:B=L76)"),"G")</f>
        <v>G</v>
      </c>
      <c r="L76" s="9" t="s">
        <v>19</v>
      </c>
      <c r="M76" s="9" t="s">
        <v>72</v>
      </c>
      <c r="N76" s="9">
        <v>1.0</v>
      </c>
      <c r="O76" s="9" t="s">
        <v>80</v>
      </c>
      <c r="P76" s="9" t="s">
        <v>409</v>
      </c>
      <c r="Q76" s="9" t="s">
        <v>288</v>
      </c>
      <c r="R76" s="10">
        <v>26256.0</v>
      </c>
      <c r="S76" s="9" t="s">
        <v>76</v>
      </c>
      <c r="T76" s="9"/>
      <c r="U76" s="9" t="s">
        <v>77</v>
      </c>
    </row>
    <row r="77">
      <c r="A77" s="8">
        <v>42318.714907407404</v>
      </c>
      <c r="B77" s="9">
        <v>76.0</v>
      </c>
      <c r="C77" s="9" t="s">
        <v>386</v>
      </c>
      <c r="D77" s="9" t="str">
        <f>IFERROR(__xludf.DUMMYFUNCTION("FILTER(Sheet5!B:B,Sheet5!A:A=C77)"),"SO")</f>
        <v>SO</v>
      </c>
      <c r="E77" s="9">
        <v>30.0</v>
      </c>
      <c r="F77" s="9" t="s">
        <v>404</v>
      </c>
      <c r="G77" s="9">
        <v>7.0</v>
      </c>
      <c r="H77" s="9">
        <v>6.0</v>
      </c>
      <c r="I77" s="9" t="s">
        <v>410</v>
      </c>
      <c r="J77" s="9" t="s">
        <v>175</v>
      </c>
      <c r="K77" s="9" t="str">
        <f>IFERROR(__xludf.DUMMYFUNCTION("FILTER(Nuance!D:D,Nuance!B:B=L77)"),"C")</f>
        <v>C</v>
      </c>
      <c r="L77" s="9" t="s">
        <v>25</v>
      </c>
      <c r="M77" s="9" t="s">
        <v>72</v>
      </c>
      <c r="N77" s="9">
        <v>3.0</v>
      </c>
      <c r="O77" s="9" t="s">
        <v>80</v>
      </c>
      <c r="P77" s="9" t="s">
        <v>411</v>
      </c>
      <c r="Q77" s="9" t="s">
        <v>412</v>
      </c>
      <c r="R77" s="10">
        <v>31138.0</v>
      </c>
      <c r="S77" s="9" t="s">
        <v>112</v>
      </c>
      <c r="T77" s="9"/>
      <c r="U77" s="9" t="s">
        <v>77</v>
      </c>
    </row>
    <row r="78">
      <c r="A78" s="8">
        <v>42318.714907407404</v>
      </c>
      <c r="B78" s="9">
        <v>76.0</v>
      </c>
      <c r="C78" s="9" t="s">
        <v>386</v>
      </c>
      <c r="D78" s="9" t="str">
        <f>IFERROR(__xludf.DUMMYFUNCTION("FILTER(Sheet5!B:B,Sheet5!A:A=C78)"),"SO")</f>
        <v>SO</v>
      </c>
      <c r="E78" s="9">
        <v>34.0</v>
      </c>
      <c r="F78" s="9" t="s">
        <v>399</v>
      </c>
      <c r="G78" s="9">
        <v>8.0</v>
      </c>
      <c r="H78" s="9">
        <v>8.0</v>
      </c>
      <c r="I78" s="9" t="s">
        <v>413</v>
      </c>
      <c r="J78" s="9" t="s">
        <v>413</v>
      </c>
      <c r="K78" s="9" t="str">
        <f>IFERROR(__xludf.DUMMYFUNCTION("FILTER(Nuance!D:D,Nuance!B:B=L78)"),"G")</f>
        <v>G</v>
      </c>
      <c r="L78" s="9" t="s">
        <v>19</v>
      </c>
      <c r="M78" s="9" t="s">
        <v>72</v>
      </c>
      <c r="N78" s="9">
        <v>1.0</v>
      </c>
      <c r="O78" s="9" t="s">
        <v>80</v>
      </c>
      <c r="P78" s="9" t="s">
        <v>414</v>
      </c>
      <c r="Q78" s="9" t="s">
        <v>120</v>
      </c>
      <c r="R78" s="10">
        <v>21171.0</v>
      </c>
      <c r="S78" s="9" t="s">
        <v>415</v>
      </c>
      <c r="T78" s="9" t="s">
        <v>416</v>
      </c>
      <c r="U78" s="9" t="s">
        <v>77</v>
      </c>
    </row>
    <row r="79">
      <c r="A79" s="8">
        <v>42318.714907407404</v>
      </c>
      <c r="B79" s="9">
        <v>76.0</v>
      </c>
      <c r="C79" s="9" t="s">
        <v>386</v>
      </c>
      <c r="D79" s="9" t="str">
        <f>IFERROR(__xludf.DUMMYFUNCTION("FILTER(Sheet5!B:B,Sheet5!A:A=C79)"),"SO")</f>
        <v>SO</v>
      </c>
      <c r="E79" s="9">
        <v>66.0</v>
      </c>
      <c r="F79" s="9" t="s">
        <v>417</v>
      </c>
      <c r="G79" s="9">
        <v>9.0</v>
      </c>
      <c r="H79" s="9">
        <v>4.0</v>
      </c>
      <c r="I79" s="9" t="s">
        <v>96</v>
      </c>
      <c r="J79" s="9" t="s">
        <v>97</v>
      </c>
      <c r="K79" s="9" t="str">
        <f>IFERROR(__xludf.DUMMYFUNCTION("FILTER(Nuance!D:D,Nuance!B:B=L79)"),"D")</f>
        <v>D</v>
      </c>
      <c r="L79" s="9" t="s">
        <v>43</v>
      </c>
      <c r="M79" s="9" t="s">
        <v>72</v>
      </c>
      <c r="N79" s="9">
        <v>5.0</v>
      </c>
      <c r="O79" s="9" t="s">
        <v>80</v>
      </c>
      <c r="P79" s="9" t="s">
        <v>418</v>
      </c>
      <c r="Q79" s="9" t="s">
        <v>419</v>
      </c>
      <c r="R79" s="10">
        <v>25450.0</v>
      </c>
      <c r="S79" s="9" t="s">
        <v>213</v>
      </c>
      <c r="T79" s="9" t="s">
        <v>101</v>
      </c>
      <c r="U79" s="9" t="s">
        <v>77</v>
      </c>
    </row>
    <row r="80">
      <c r="A80" s="8">
        <v>42318.714907407404</v>
      </c>
      <c r="B80" s="9">
        <v>76.0</v>
      </c>
      <c r="C80" s="9" t="s">
        <v>386</v>
      </c>
      <c r="D80" s="9" t="str">
        <f>IFERROR(__xludf.DUMMYFUNCTION("FILTER(Sheet5!B:B,Sheet5!A:A=C80)"),"SO")</f>
        <v>SO</v>
      </c>
      <c r="E80" s="9">
        <v>31.0</v>
      </c>
      <c r="F80" s="9" t="s">
        <v>393</v>
      </c>
      <c r="G80" s="9">
        <v>10.0</v>
      </c>
      <c r="H80" s="9">
        <v>7.0</v>
      </c>
      <c r="I80" s="9" t="s">
        <v>420</v>
      </c>
      <c r="J80" s="9" t="s">
        <v>421</v>
      </c>
      <c r="K80" s="9" t="str">
        <f>IFERROR(__xludf.DUMMYFUNCTION("FILTER(Nuance!D:D,Nuance!B:B=L80)"),"G")</f>
        <v>G</v>
      </c>
      <c r="L80" s="9" t="s">
        <v>11</v>
      </c>
      <c r="M80" s="9" t="s">
        <v>72</v>
      </c>
      <c r="N80" s="9">
        <v>1.0</v>
      </c>
      <c r="O80" s="9" t="s">
        <v>80</v>
      </c>
      <c r="P80" s="9" t="s">
        <v>422</v>
      </c>
      <c r="Q80" s="9" t="s">
        <v>423</v>
      </c>
      <c r="R80" s="10">
        <v>22133.0</v>
      </c>
      <c r="S80" s="9" t="s">
        <v>424</v>
      </c>
      <c r="T80" s="9"/>
      <c r="U80" s="9" t="s">
        <v>95</v>
      </c>
    </row>
    <row r="81">
      <c r="A81" s="8">
        <v>42318.714907407404</v>
      </c>
      <c r="B81" s="9">
        <v>76.0</v>
      </c>
      <c r="C81" s="9" t="s">
        <v>386</v>
      </c>
      <c r="D81" s="9" t="str">
        <f>IFERROR(__xludf.DUMMYFUNCTION("FILTER(Sheet5!B:B,Sheet5!A:A=C81)"),"SO")</f>
        <v>SO</v>
      </c>
      <c r="E81" s="9">
        <v>31.0</v>
      </c>
      <c r="F81" s="9" t="s">
        <v>393</v>
      </c>
      <c r="G81" s="9">
        <v>11.0</v>
      </c>
      <c r="H81" s="9">
        <v>3.0</v>
      </c>
      <c r="I81" s="9" t="s">
        <v>85</v>
      </c>
      <c r="J81" s="9" t="s">
        <v>165</v>
      </c>
      <c r="K81" s="9" t="str">
        <f>IFERROR(__xludf.DUMMYFUNCTION("FILTER(Nuance!D:D,Nuance!B:B=L81)"),"D")</f>
        <v>D</v>
      </c>
      <c r="L81" s="9" t="s">
        <v>39</v>
      </c>
      <c r="M81" s="9" t="s">
        <v>72</v>
      </c>
      <c r="N81" s="9">
        <v>1.0</v>
      </c>
      <c r="O81" s="9" t="s">
        <v>80</v>
      </c>
      <c r="P81" s="9" t="s">
        <v>425</v>
      </c>
      <c r="Q81" s="9" t="s">
        <v>426</v>
      </c>
      <c r="R81" s="10">
        <v>30509.0</v>
      </c>
      <c r="S81" s="9" t="s">
        <v>213</v>
      </c>
      <c r="T81" s="9"/>
      <c r="U81" s="9" t="s">
        <v>77</v>
      </c>
    </row>
    <row r="82">
      <c r="A82" s="8">
        <v>42318.714907407404</v>
      </c>
      <c r="B82" s="9">
        <v>76.0</v>
      </c>
      <c r="C82" s="9" t="s">
        <v>386</v>
      </c>
      <c r="D82" s="9" t="str">
        <f>IFERROR(__xludf.DUMMYFUNCTION("FILTER(Sheet5!B:B,Sheet5!A:A=C82)"),"SO")</f>
        <v>SO</v>
      </c>
      <c r="E82" s="9">
        <v>31.0</v>
      </c>
      <c r="F82" s="9" t="s">
        <v>393</v>
      </c>
      <c r="G82" s="9">
        <v>12.0</v>
      </c>
      <c r="H82" s="9">
        <v>2.0</v>
      </c>
      <c r="I82" s="9" t="s">
        <v>108</v>
      </c>
      <c r="J82" s="9" t="s">
        <v>169</v>
      </c>
      <c r="K82" s="9" t="str">
        <f>IFERROR(__xludf.DUMMYFUNCTION("FILTER(Nuance!D:D,Nuance!B:B=L82)"),"G")</f>
        <v>G</v>
      </c>
      <c r="L82" s="9" t="s">
        <v>3</v>
      </c>
      <c r="M82" s="9" t="s">
        <v>72</v>
      </c>
      <c r="N82" s="9">
        <v>1.0</v>
      </c>
      <c r="O82" s="9" t="s">
        <v>73</v>
      </c>
      <c r="P82" s="9" t="s">
        <v>427</v>
      </c>
      <c r="Q82" s="9" t="s">
        <v>428</v>
      </c>
      <c r="R82" s="10">
        <v>27004.0</v>
      </c>
      <c r="S82" s="9" t="s">
        <v>159</v>
      </c>
      <c r="T82" s="9"/>
      <c r="U82" s="9" t="s">
        <v>77</v>
      </c>
    </row>
    <row r="83">
      <c r="A83" s="8">
        <v>42318.714907407404</v>
      </c>
      <c r="B83" s="9">
        <v>32.0</v>
      </c>
      <c r="C83" s="9" t="s">
        <v>429</v>
      </c>
      <c r="D83" s="9" t="str">
        <f>IFERROR(__xludf.DUMMYFUNCTION("FILTER(Sheet5!B:B,Sheet5!A:A=C83)"),"NE")</f>
        <v>NE</v>
      </c>
      <c r="E83" s="9">
        <v>59.0</v>
      </c>
      <c r="F83" s="9" t="s">
        <v>430</v>
      </c>
      <c r="G83" s="9">
        <v>1.0</v>
      </c>
      <c r="H83" s="9">
        <v>6.0</v>
      </c>
      <c r="I83" s="9" t="s">
        <v>299</v>
      </c>
      <c r="J83" s="9" t="s">
        <v>431</v>
      </c>
      <c r="K83" s="9" t="str">
        <f>IFERROR(__xludf.DUMMYFUNCTION("FILTER(Nuance!D:D,Nuance!B:B=L83)"),"G")</f>
        <v>G</v>
      </c>
      <c r="L83" s="9" t="s">
        <v>9</v>
      </c>
      <c r="M83" s="9" t="s">
        <v>72</v>
      </c>
      <c r="N83" s="9">
        <v>1.0</v>
      </c>
      <c r="O83" s="9" t="s">
        <v>80</v>
      </c>
      <c r="P83" s="9" t="s">
        <v>432</v>
      </c>
      <c r="Q83" s="9" t="s">
        <v>433</v>
      </c>
      <c r="R83" s="10">
        <v>25309.0</v>
      </c>
      <c r="S83" s="9" t="s">
        <v>129</v>
      </c>
      <c r="T83" s="9"/>
      <c r="U83" s="9" t="s">
        <v>77</v>
      </c>
    </row>
    <row r="84">
      <c r="A84" s="8">
        <v>42318.714907407404</v>
      </c>
      <c r="B84" s="9">
        <v>32.0</v>
      </c>
      <c r="C84" s="9" t="s">
        <v>429</v>
      </c>
      <c r="D84" s="9" t="str">
        <f>IFERROR(__xludf.DUMMYFUNCTION("FILTER(Sheet5!B:B,Sheet5!A:A=C84)"),"NE")</f>
        <v>NE</v>
      </c>
      <c r="E84" s="9">
        <v>62.0</v>
      </c>
      <c r="F84" s="9" t="s">
        <v>434</v>
      </c>
      <c r="G84" s="9">
        <v>2.0</v>
      </c>
      <c r="H84" s="9">
        <v>3.0</v>
      </c>
      <c r="I84" s="9" t="s">
        <v>435</v>
      </c>
      <c r="J84" s="9" t="s">
        <v>436</v>
      </c>
      <c r="K84" s="9" t="str">
        <f>IFERROR(__xludf.DUMMYFUNCTION("FILTER(Nuance!D:D,Nuance!B:B=L84)"),"D")</f>
        <v>D</v>
      </c>
      <c r="L84" s="9" t="s">
        <v>43</v>
      </c>
      <c r="M84" s="9" t="s">
        <v>72</v>
      </c>
      <c r="N84" s="9">
        <v>1.0</v>
      </c>
      <c r="O84" s="9" t="s">
        <v>73</v>
      </c>
      <c r="P84" s="9" t="s">
        <v>437</v>
      </c>
      <c r="Q84" s="9" t="s">
        <v>438</v>
      </c>
      <c r="R84" s="10">
        <v>25055.0</v>
      </c>
      <c r="S84" s="9" t="s">
        <v>213</v>
      </c>
      <c r="T84" s="9" t="s">
        <v>101</v>
      </c>
      <c r="U84" s="9" t="s">
        <v>95</v>
      </c>
    </row>
    <row r="85">
      <c r="A85" s="8">
        <v>42318.714907407404</v>
      </c>
      <c r="B85" s="9">
        <v>32.0</v>
      </c>
      <c r="C85" s="9" t="s">
        <v>429</v>
      </c>
      <c r="D85" s="9" t="str">
        <f>IFERROR(__xludf.DUMMYFUNCTION("FILTER(Sheet5!B:B,Sheet5!A:A=C85)"),"NE")</f>
        <v>NE</v>
      </c>
      <c r="E85" s="9">
        <v>59.0</v>
      </c>
      <c r="F85" s="9" t="s">
        <v>430</v>
      </c>
      <c r="G85" s="9">
        <v>3.0</v>
      </c>
      <c r="H85" s="9">
        <v>2.0</v>
      </c>
      <c r="I85" s="9" t="s">
        <v>384</v>
      </c>
      <c r="J85" s="9" t="s">
        <v>109</v>
      </c>
      <c r="K85" s="9" t="str">
        <f>IFERROR(__xludf.DUMMYFUNCTION("FILTER(Nuance!D:D,Nuance!B:B=L85)"),"G")</f>
        <v>G</v>
      </c>
      <c r="L85" s="9" t="s">
        <v>3</v>
      </c>
      <c r="M85" s="9" t="s">
        <v>72</v>
      </c>
      <c r="N85" s="9">
        <v>1.0</v>
      </c>
      <c r="O85" s="9" t="s">
        <v>80</v>
      </c>
      <c r="P85" s="9" t="s">
        <v>439</v>
      </c>
      <c r="Q85" s="9" t="s">
        <v>182</v>
      </c>
      <c r="R85" s="10">
        <v>24322.0</v>
      </c>
      <c r="S85" s="9" t="s">
        <v>112</v>
      </c>
      <c r="T85" s="9"/>
      <c r="U85" s="9" t="s">
        <v>77</v>
      </c>
    </row>
    <row r="86">
      <c r="A86" s="8">
        <v>42318.714907407404</v>
      </c>
      <c r="B86" s="9">
        <v>32.0</v>
      </c>
      <c r="C86" s="9" t="s">
        <v>429</v>
      </c>
      <c r="D86" s="9" t="str">
        <f>IFERROR(__xludf.DUMMYFUNCTION("FILTER(Sheet5!B:B,Sheet5!A:A=C86)"),"NE")</f>
        <v>NE</v>
      </c>
      <c r="E86" s="9">
        <v>62.0</v>
      </c>
      <c r="F86" s="9" t="s">
        <v>434</v>
      </c>
      <c r="G86" s="9">
        <v>4.0</v>
      </c>
      <c r="H86" s="9">
        <v>5.0</v>
      </c>
      <c r="I86" s="9" t="s">
        <v>102</v>
      </c>
      <c r="J86" s="9" t="s">
        <v>224</v>
      </c>
      <c r="K86" s="9" t="str">
        <f>IFERROR(__xludf.DUMMYFUNCTION("FILTER(Nuance!D:D,Nuance!B:B=L86)"),"C")</f>
        <v>C</v>
      </c>
      <c r="L86" s="9" t="s">
        <v>25</v>
      </c>
      <c r="M86" s="9" t="s">
        <v>72</v>
      </c>
      <c r="N86" s="9">
        <v>1.0</v>
      </c>
      <c r="O86" s="9" t="s">
        <v>80</v>
      </c>
      <c r="P86" s="9" t="s">
        <v>440</v>
      </c>
      <c r="Q86" s="9" t="s">
        <v>182</v>
      </c>
      <c r="R86" s="10">
        <v>24974.0</v>
      </c>
      <c r="S86" s="9" t="s">
        <v>276</v>
      </c>
      <c r="T86" s="9"/>
      <c r="U86" s="9" t="s">
        <v>77</v>
      </c>
    </row>
    <row r="87">
      <c r="A87" s="8">
        <v>42318.714907407404</v>
      </c>
      <c r="B87" s="9">
        <v>32.0</v>
      </c>
      <c r="C87" s="9" t="s">
        <v>429</v>
      </c>
      <c r="D87" s="9" t="str">
        <f>IFERROR(__xludf.DUMMYFUNCTION("FILTER(Sheet5!B:B,Sheet5!A:A=C87)"),"NE")</f>
        <v>NE</v>
      </c>
      <c r="E87" s="9">
        <v>59.0</v>
      </c>
      <c r="F87" s="9" t="s">
        <v>430</v>
      </c>
      <c r="G87" s="9">
        <v>5.0</v>
      </c>
      <c r="H87" s="9">
        <v>8.0</v>
      </c>
      <c r="I87" s="9" t="s">
        <v>441</v>
      </c>
      <c r="J87" s="9" t="s">
        <v>442</v>
      </c>
      <c r="K87" s="9" t="str">
        <f>IFERROR(__xludf.DUMMYFUNCTION("FILTER(Nuance!D:D,Nuance!B:B=L87)"),"G")</f>
        <v>G</v>
      </c>
      <c r="L87" s="9" t="s">
        <v>15</v>
      </c>
      <c r="M87" s="9" t="s">
        <v>72</v>
      </c>
      <c r="N87" s="9">
        <v>1.0</v>
      </c>
      <c r="O87" s="9" t="s">
        <v>80</v>
      </c>
      <c r="P87" s="9" t="s">
        <v>443</v>
      </c>
      <c r="Q87" s="9" t="s">
        <v>340</v>
      </c>
      <c r="R87" s="10">
        <v>17675.0</v>
      </c>
      <c r="S87" s="9" t="s">
        <v>83</v>
      </c>
      <c r="T87" s="9"/>
      <c r="U87" s="9" t="s">
        <v>95</v>
      </c>
    </row>
    <row r="88">
      <c r="A88" s="8">
        <v>42318.714907407404</v>
      </c>
      <c r="B88" s="9">
        <v>32.0</v>
      </c>
      <c r="C88" s="9" t="s">
        <v>429</v>
      </c>
      <c r="D88" s="9" t="str">
        <f>IFERROR(__xludf.DUMMYFUNCTION("FILTER(Sheet5!B:B,Sheet5!A:A=C88)"),"NE")</f>
        <v>NE</v>
      </c>
      <c r="E88" s="9">
        <v>2.0</v>
      </c>
      <c r="F88" s="9" t="s">
        <v>444</v>
      </c>
      <c r="G88" s="9">
        <v>6.0</v>
      </c>
      <c r="H88" s="9">
        <v>9.0</v>
      </c>
      <c r="I88" s="9" t="s">
        <v>445</v>
      </c>
      <c r="J88" s="9" t="s">
        <v>446</v>
      </c>
      <c r="K88" s="9" t="str">
        <f>IFERROR(__xludf.DUMMYFUNCTION("FILTER(Nuance!D:D,Nuance!B:B=L88)"),"D")</f>
        <v>D</v>
      </c>
      <c r="L88" s="9" t="s">
        <v>37</v>
      </c>
      <c r="M88" s="9" t="s">
        <v>72</v>
      </c>
      <c r="N88" s="9">
        <v>1.0</v>
      </c>
      <c r="O88" s="9" t="s">
        <v>80</v>
      </c>
      <c r="P88" s="9" t="s">
        <v>447</v>
      </c>
      <c r="Q88" s="9" t="s">
        <v>302</v>
      </c>
      <c r="R88" s="10">
        <v>23822.0</v>
      </c>
      <c r="S88" s="9" t="s">
        <v>448</v>
      </c>
      <c r="T88" s="9" t="s">
        <v>202</v>
      </c>
      <c r="U88" s="9" t="s">
        <v>77</v>
      </c>
    </row>
    <row r="89">
      <c r="A89" s="8">
        <v>42318.714907407404</v>
      </c>
      <c r="B89" s="9">
        <v>32.0</v>
      </c>
      <c r="C89" s="9" t="s">
        <v>429</v>
      </c>
      <c r="D89" s="9" t="str">
        <f>IFERROR(__xludf.DUMMYFUNCTION("FILTER(Sheet5!B:B,Sheet5!A:A=C89)"),"NE")</f>
        <v>NE</v>
      </c>
      <c r="E89" s="9">
        <v>80.0</v>
      </c>
      <c r="F89" s="9" t="s">
        <v>449</v>
      </c>
      <c r="G89" s="9">
        <v>7.0</v>
      </c>
      <c r="H89" s="9">
        <v>4.0</v>
      </c>
      <c r="I89" s="9" t="s">
        <v>85</v>
      </c>
      <c r="J89" s="9" t="s">
        <v>284</v>
      </c>
      <c r="K89" s="9" t="str">
        <f>IFERROR(__xludf.DUMMYFUNCTION("FILTER(Nuance!D:D,Nuance!B:B=L89)"),"D")</f>
        <v>D</v>
      </c>
      <c r="L89" s="9" t="s">
        <v>39</v>
      </c>
      <c r="M89" s="9" t="s">
        <v>72</v>
      </c>
      <c r="N89" s="9">
        <v>3.0</v>
      </c>
      <c r="O89" s="9" t="s">
        <v>80</v>
      </c>
      <c r="P89" s="9" t="s">
        <v>450</v>
      </c>
      <c r="Q89" s="9" t="s">
        <v>451</v>
      </c>
      <c r="R89" s="10">
        <v>31496.0</v>
      </c>
      <c r="S89" s="9" t="s">
        <v>452</v>
      </c>
      <c r="T89" s="9"/>
      <c r="U89" s="9" t="s">
        <v>77</v>
      </c>
    </row>
    <row r="90">
      <c r="A90" s="8">
        <v>42318.714907407404</v>
      </c>
      <c r="B90" s="9">
        <v>32.0</v>
      </c>
      <c r="C90" s="9" t="s">
        <v>429</v>
      </c>
      <c r="D90" s="9" t="str">
        <f>IFERROR(__xludf.DUMMYFUNCTION("FILTER(Sheet5!B:B,Sheet5!A:A=C90)"),"NE")</f>
        <v>NE</v>
      </c>
      <c r="E90" s="9">
        <v>59.0</v>
      </c>
      <c r="F90" s="9" t="s">
        <v>430</v>
      </c>
      <c r="G90" s="9">
        <v>8.0</v>
      </c>
      <c r="H90" s="9">
        <v>7.0</v>
      </c>
      <c r="I90" s="9" t="s">
        <v>357</v>
      </c>
      <c r="J90" s="9" t="s">
        <v>357</v>
      </c>
      <c r="K90" s="9" t="str">
        <f>IFERROR(__xludf.DUMMYFUNCTION("FILTER(Nuance!D:D,Nuance!B:B=L90)"),"D")</f>
        <v>D</v>
      </c>
      <c r="L90" s="9" t="s">
        <v>41</v>
      </c>
      <c r="M90" s="9" t="s">
        <v>72</v>
      </c>
      <c r="N90" s="9">
        <v>1.0</v>
      </c>
      <c r="O90" s="9" t="s">
        <v>80</v>
      </c>
      <c r="P90" s="9" t="s">
        <v>453</v>
      </c>
      <c r="Q90" s="9" t="s">
        <v>365</v>
      </c>
      <c r="R90" s="10">
        <v>29542.0</v>
      </c>
      <c r="S90" s="9" t="s">
        <v>76</v>
      </c>
      <c r="T90" s="9"/>
      <c r="U90" s="9" t="s">
        <v>77</v>
      </c>
    </row>
    <row r="91">
      <c r="A91" s="8">
        <v>42318.714907407404</v>
      </c>
      <c r="B91" s="9">
        <v>32.0</v>
      </c>
      <c r="C91" s="9" t="s">
        <v>429</v>
      </c>
      <c r="D91" s="9" t="str">
        <f>IFERROR(__xludf.DUMMYFUNCTION("FILTER(Sheet5!B:B,Sheet5!A:A=C91)"),"NE")</f>
        <v>NE</v>
      </c>
      <c r="E91" s="9">
        <v>59.0</v>
      </c>
      <c r="F91" s="9" t="s">
        <v>430</v>
      </c>
      <c r="G91" s="9">
        <v>9.0</v>
      </c>
      <c r="H91" s="9">
        <v>10.0</v>
      </c>
      <c r="I91" s="9" t="s">
        <v>454</v>
      </c>
      <c r="J91" s="9" t="s">
        <v>455</v>
      </c>
      <c r="K91" s="9" t="str">
        <f>IFERROR(__xludf.DUMMYFUNCTION("FILTER(Nuance!D:D,Nuance!B:B=L91)"),"G")</f>
        <v>G</v>
      </c>
      <c r="L91" s="9" t="s">
        <v>11</v>
      </c>
      <c r="M91" s="9" t="s">
        <v>72</v>
      </c>
      <c r="N91" s="9">
        <v>2.0</v>
      </c>
      <c r="O91" s="9" t="s">
        <v>73</v>
      </c>
      <c r="P91" s="9" t="s">
        <v>456</v>
      </c>
      <c r="Q91" s="9" t="s">
        <v>75</v>
      </c>
      <c r="R91" s="10">
        <v>26366.0</v>
      </c>
      <c r="S91" s="9" t="s">
        <v>392</v>
      </c>
      <c r="T91" s="9"/>
      <c r="U91" s="9" t="s">
        <v>95</v>
      </c>
    </row>
    <row r="92">
      <c r="A92" s="8">
        <v>42318.714907407404</v>
      </c>
      <c r="B92" s="9">
        <v>28.0</v>
      </c>
      <c r="C92" s="9" t="s">
        <v>457</v>
      </c>
      <c r="D92" s="9" t="str">
        <f>IFERROR(__xludf.DUMMYFUNCTION("FILTER(Sheet5!B:B,Sheet5!A:A=C92)"),"NO")</f>
        <v>NO</v>
      </c>
      <c r="E92" s="9">
        <v>27.0</v>
      </c>
      <c r="F92" s="9" t="s">
        <v>458</v>
      </c>
      <c r="G92" s="9">
        <v>1.0</v>
      </c>
      <c r="H92" s="9">
        <v>5.0</v>
      </c>
      <c r="I92" s="9" t="s">
        <v>85</v>
      </c>
      <c r="J92" s="9" t="s">
        <v>86</v>
      </c>
      <c r="K92" s="9" t="str">
        <f>IFERROR(__xludf.DUMMYFUNCTION("FILTER(Nuance!D:D,Nuance!B:B=L92)"),"D")</f>
        <v>D</v>
      </c>
      <c r="L92" s="9" t="s">
        <v>39</v>
      </c>
      <c r="M92" s="9" t="s">
        <v>72</v>
      </c>
      <c r="N92" s="9">
        <v>1.0</v>
      </c>
      <c r="O92" s="9" t="s">
        <v>80</v>
      </c>
      <c r="P92" s="9" t="s">
        <v>459</v>
      </c>
      <c r="Q92" s="9" t="s">
        <v>128</v>
      </c>
      <c r="R92" s="10">
        <v>30967.0</v>
      </c>
      <c r="S92" s="9" t="s">
        <v>129</v>
      </c>
      <c r="T92" s="9"/>
      <c r="U92" s="9" t="s">
        <v>77</v>
      </c>
    </row>
    <row r="93">
      <c r="A93" s="8">
        <v>42318.714907407404</v>
      </c>
      <c r="B93" s="9">
        <v>28.0</v>
      </c>
      <c r="C93" s="9" t="s">
        <v>457</v>
      </c>
      <c r="D93" s="9" t="str">
        <f>IFERROR(__xludf.DUMMYFUNCTION("FILTER(Sheet5!B:B,Sheet5!A:A=C93)"),"NO")</f>
        <v>NO</v>
      </c>
      <c r="E93" s="9">
        <v>50.0</v>
      </c>
      <c r="F93" s="9" t="s">
        <v>460</v>
      </c>
      <c r="G93" s="9">
        <v>2.0</v>
      </c>
      <c r="H93" s="9">
        <v>10.0</v>
      </c>
      <c r="I93" s="9" t="s">
        <v>461</v>
      </c>
      <c r="J93" s="9" t="s">
        <v>461</v>
      </c>
      <c r="K93" s="9" t="str">
        <f>IFERROR(__xludf.DUMMYFUNCTION("FILTER(Nuance!D:D,Nuance!B:B=L93)"),"G")</f>
        <v>G</v>
      </c>
      <c r="L93" s="9" t="s">
        <v>19</v>
      </c>
      <c r="M93" s="9" t="s">
        <v>72</v>
      </c>
      <c r="N93" s="9">
        <v>1.0</v>
      </c>
      <c r="O93" s="9" t="s">
        <v>73</v>
      </c>
      <c r="P93" s="9" t="s">
        <v>462</v>
      </c>
      <c r="Q93" s="9" t="s">
        <v>463</v>
      </c>
      <c r="R93" s="10">
        <v>26293.0</v>
      </c>
      <c r="S93" s="9" t="s">
        <v>248</v>
      </c>
      <c r="T93" s="9"/>
      <c r="U93" s="9" t="s">
        <v>77</v>
      </c>
    </row>
    <row r="94">
      <c r="A94" s="8">
        <v>42318.714907407404</v>
      </c>
      <c r="B94" s="9">
        <v>28.0</v>
      </c>
      <c r="C94" s="9" t="s">
        <v>457</v>
      </c>
      <c r="D94" s="9" t="str">
        <f>IFERROR(__xludf.DUMMYFUNCTION("FILTER(Sheet5!B:B,Sheet5!A:A=C94)"),"NO")</f>
        <v>NO</v>
      </c>
      <c r="E94" s="9">
        <v>61.0</v>
      </c>
      <c r="F94" s="9" t="s">
        <v>464</v>
      </c>
      <c r="G94" s="9">
        <v>3.0</v>
      </c>
      <c r="H94" s="9">
        <v>4.0</v>
      </c>
      <c r="I94" s="9" t="s">
        <v>465</v>
      </c>
      <c r="J94" s="9" t="s">
        <v>466</v>
      </c>
      <c r="K94" s="9" t="str">
        <f>IFERROR(__xludf.DUMMYFUNCTION("FILTER(Nuance!D:D,Nuance!B:B=L94)"),"G")</f>
        <v>G</v>
      </c>
      <c r="L94" s="9" t="s">
        <v>21</v>
      </c>
      <c r="M94" s="9" t="s">
        <v>72</v>
      </c>
      <c r="N94" s="9">
        <v>1.0</v>
      </c>
      <c r="O94" s="9" t="s">
        <v>80</v>
      </c>
      <c r="P94" s="9" t="s">
        <v>467</v>
      </c>
      <c r="Q94" s="9" t="s">
        <v>468</v>
      </c>
      <c r="R94" s="10">
        <v>21773.0</v>
      </c>
      <c r="S94" s="9" t="s">
        <v>469</v>
      </c>
      <c r="T94" s="9"/>
      <c r="U94" s="9" t="s">
        <v>95</v>
      </c>
    </row>
    <row r="95">
      <c r="A95" s="8">
        <v>42318.714907407404</v>
      </c>
      <c r="B95" s="9">
        <v>28.0</v>
      </c>
      <c r="C95" s="9" t="s">
        <v>457</v>
      </c>
      <c r="D95" s="9" t="str">
        <f>IFERROR(__xludf.DUMMYFUNCTION("FILTER(Sheet5!B:B,Sheet5!A:A=C95)"),"NO")</f>
        <v>NO</v>
      </c>
      <c r="E95" s="9">
        <v>76.0</v>
      </c>
      <c r="F95" s="9" t="s">
        <v>470</v>
      </c>
      <c r="G95" s="9">
        <v>4.0</v>
      </c>
      <c r="H95" s="9">
        <v>2.0</v>
      </c>
      <c r="I95" s="9" t="s">
        <v>384</v>
      </c>
      <c r="J95" s="9" t="s">
        <v>471</v>
      </c>
      <c r="K95" s="9" t="str">
        <f>IFERROR(__xludf.DUMMYFUNCTION("FILTER(Nuance!D:D,Nuance!B:B=L95)"),"G")</f>
        <v>G</v>
      </c>
      <c r="L95" s="9" t="s">
        <v>3</v>
      </c>
      <c r="M95" s="9" t="s">
        <v>72</v>
      </c>
      <c r="N95" s="9">
        <v>2.0</v>
      </c>
      <c r="O95" s="9" t="s">
        <v>80</v>
      </c>
      <c r="P95" s="9" t="s">
        <v>472</v>
      </c>
      <c r="Q95" s="9" t="s">
        <v>473</v>
      </c>
      <c r="R95" s="10">
        <v>24361.0</v>
      </c>
      <c r="S95" s="9" t="s">
        <v>112</v>
      </c>
      <c r="T95" s="9"/>
      <c r="U95" s="9" t="s">
        <v>77</v>
      </c>
    </row>
    <row r="96">
      <c r="A96" s="8">
        <v>42318.714907407404</v>
      </c>
      <c r="B96" s="9">
        <v>28.0</v>
      </c>
      <c r="C96" s="9" t="s">
        <v>457</v>
      </c>
      <c r="D96" s="9" t="str">
        <f>IFERROR(__xludf.DUMMYFUNCTION("FILTER(Sheet5!B:B,Sheet5!A:A=C96)"),"NO")</f>
        <v>NO</v>
      </c>
      <c r="E96" s="9">
        <v>76.0</v>
      </c>
      <c r="F96" s="9" t="s">
        <v>470</v>
      </c>
      <c r="G96" s="9">
        <v>5.0</v>
      </c>
      <c r="H96" s="9">
        <v>9.0</v>
      </c>
      <c r="I96" s="9" t="s">
        <v>474</v>
      </c>
      <c r="J96" s="9" t="s">
        <v>475</v>
      </c>
      <c r="K96" s="9" t="str">
        <f>IFERROR(__xludf.DUMMYFUNCTION("FILTER(Nuance!D:D,Nuance!B:B=L96)"),"G")</f>
        <v>G</v>
      </c>
      <c r="L96" s="9" t="s">
        <v>15</v>
      </c>
      <c r="M96" s="9" t="s">
        <v>72</v>
      </c>
      <c r="N96" s="9">
        <v>1.0</v>
      </c>
      <c r="O96" s="9" t="s">
        <v>80</v>
      </c>
      <c r="P96" s="9" t="s">
        <v>476</v>
      </c>
      <c r="Q96" s="9" t="s">
        <v>128</v>
      </c>
      <c r="R96" s="10">
        <v>28223.0</v>
      </c>
      <c r="S96" s="9" t="s">
        <v>117</v>
      </c>
      <c r="T96" s="9" t="s">
        <v>122</v>
      </c>
      <c r="U96" s="9" t="s">
        <v>95</v>
      </c>
    </row>
    <row r="97">
      <c r="A97" s="8">
        <v>42318.714907407404</v>
      </c>
      <c r="B97" s="9">
        <v>28.0</v>
      </c>
      <c r="C97" s="9" t="s">
        <v>457</v>
      </c>
      <c r="D97" s="9" t="str">
        <f>IFERROR(__xludf.DUMMYFUNCTION("FILTER(Sheet5!B:B,Sheet5!A:A=C97)"),"NO")</f>
        <v>NO</v>
      </c>
      <c r="E97" s="9">
        <v>76.0</v>
      </c>
      <c r="F97" s="9" t="s">
        <v>470</v>
      </c>
      <c r="G97" s="9">
        <v>6.0</v>
      </c>
      <c r="H97" s="9">
        <v>3.0</v>
      </c>
      <c r="I97" s="9" t="s">
        <v>477</v>
      </c>
      <c r="J97" s="9" t="s">
        <v>478</v>
      </c>
      <c r="K97" s="9" t="str">
        <f>IFERROR(__xludf.DUMMYFUNCTION("FILTER(Nuance!D:D,Nuance!B:B=L97)"),"D")</f>
        <v>D</v>
      </c>
      <c r="L97" s="9" t="s">
        <v>43</v>
      </c>
      <c r="M97" s="9" t="s">
        <v>72</v>
      </c>
      <c r="N97" s="9">
        <v>1.0</v>
      </c>
      <c r="O97" s="9" t="s">
        <v>80</v>
      </c>
      <c r="P97" s="9" t="s">
        <v>479</v>
      </c>
      <c r="Q97" s="9" t="s">
        <v>128</v>
      </c>
      <c r="R97" s="10">
        <v>28480.0</v>
      </c>
      <c r="S97" s="9" t="s">
        <v>134</v>
      </c>
      <c r="T97" s="9" t="s">
        <v>101</v>
      </c>
      <c r="U97" s="9" t="s">
        <v>95</v>
      </c>
    </row>
    <row r="98">
      <c r="A98" s="8">
        <v>42318.714907407404</v>
      </c>
      <c r="B98" s="9">
        <v>28.0</v>
      </c>
      <c r="C98" s="9" t="s">
        <v>457</v>
      </c>
      <c r="D98" s="9" t="str">
        <f>IFERROR(__xludf.DUMMYFUNCTION("FILTER(Sheet5!B:B,Sheet5!A:A=C98)"),"NO")</f>
        <v>NO</v>
      </c>
      <c r="E98" s="9">
        <v>76.0</v>
      </c>
      <c r="F98" s="9" t="s">
        <v>470</v>
      </c>
      <c r="G98" s="9">
        <v>7.0</v>
      </c>
      <c r="H98" s="9">
        <v>8.0</v>
      </c>
      <c r="I98" s="9" t="s">
        <v>480</v>
      </c>
      <c r="J98" s="9" t="s">
        <v>481</v>
      </c>
      <c r="K98" s="9" t="str">
        <f>IFERROR(__xludf.DUMMYFUNCTION("FILTER(Nuance!D:D,Nuance!B:B=L98)"),"G")</f>
        <v>G</v>
      </c>
      <c r="L98" s="9" t="s">
        <v>5</v>
      </c>
      <c r="M98" s="9" t="s">
        <v>72</v>
      </c>
      <c r="N98" s="9">
        <v>1.0</v>
      </c>
      <c r="O98" s="9" t="s">
        <v>80</v>
      </c>
      <c r="P98" s="9" t="s">
        <v>482</v>
      </c>
      <c r="Q98" s="9" t="s">
        <v>483</v>
      </c>
      <c r="R98" s="10">
        <v>26287.0</v>
      </c>
      <c r="S98" s="9" t="s">
        <v>134</v>
      </c>
      <c r="T98" s="9"/>
      <c r="U98" s="9" t="s">
        <v>77</v>
      </c>
    </row>
    <row r="99">
      <c r="A99" s="8">
        <v>42318.714907407404</v>
      </c>
      <c r="B99" s="9">
        <v>28.0</v>
      </c>
      <c r="C99" s="9" t="s">
        <v>457</v>
      </c>
      <c r="D99" s="9" t="str">
        <f>IFERROR(__xludf.DUMMYFUNCTION("FILTER(Sheet5!B:B,Sheet5!A:A=C99)"),"NO")</f>
        <v>NO</v>
      </c>
      <c r="E99" s="9">
        <v>27.0</v>
      </c>
      <c r="F99" s="9" t="s">
        <v>458</v>
      </c>
      <c r="G99" s="9">
        <v>8.0</v>
      </c>
      <c r="H99" s="9">
        <v>7.0</v>
      </c>
      <c r="I99" s="9" t="s">
        <v>484</v>
      </c>
      <c r="J99" s="9" t="s">
        <v>485</v>
      </c>
      <c r="K99" s="9" t="str">
        <f>IFERROR(__xludf.DUMMYFUNCTION("FILTER(Nuance!D:D,Nuance!B:B=L99)"),"D")</f>
        <v>D</v>
      </c>
      <c r="L99" s="9" t="s">
        <v>37</v>
      </c>
      <c r="M99" s="9" t="s">
        <v>72</v>
      </c>
      <c r="N99" s="9">
        <v>1.0</v>
      </c>
      <c r="O99" s="9" t="s">
        <v>80</v>
      </c>
      <c r="P99" s="9" t="s">
        <v>486</v>
      </c>
      <c r="Q99" s="9" t="s">
        <v>487</v>
      </c>
      <c r="R99" s="10">
        <v>22510.0</v>
      </c>
      <c r="S99" s="9" t="s">
        <v>121</v>
      </c>
      <c r="T99" s="9" t="s">
        <v>202</v>
      </c>
      <c r="U99" s="9" t="s">
        <v>77</v>
      </c>
    </row>
    <row r="100">
      <c r="A100" s="8">
        <v>42318.714907407404</v>
      </c>
      <c r="B100" s="9">
        <v>28.0</v>
      </c>
      <c r="C100" s="9" t="s">
        <v>457</v>
      </c>
      <c r="D100" s="9" t="str">
        <f>IFERROR(__xludf.DUMMYFUNCTION("FILTER(Sheet5!B:B,Sheet5!A:A=C100)"),"NO")</f>
        <v>NO</v>
      </c>
      <c r="E100" s="9">
        <v>61.0</v>
      </c>
      <c r="F100" s="9" t="s">
        <v>464</v>
      </c>
      <c r="G100" s="9">
        <v>9.0</v>
      </c>
      <c r="H100" s="9">
        <v>6.0</v>
      </c>
      <c r="I100" s="9" t="s">
        <v>102</v>
      </c>
      <c r="J100" s="9" t="s">
        <v>488</v>
      </c>
      <c r="K100" s="9" t="str">
        <f>IFERROR(__xludf.DUMMYFUNCTION("FILTER(Nuance!D:D,Nuance!B:B=L100)"),"C")</f>
        <v>C</v>
      </c>
      <c r="L100" s="9" t="s">
        <v>25</v>
      </c>
      <c r="M100" s="9" t="s">
        <v>72</v>
      </c>
      <c r="N100" s="9">
        <v>1.0</v>
      </c>
      <c r="O100" s="9" t="s">
        <v>80</v>
      </c>
      <c r="P100" s="9" t="s">
        <v>489</v>
      </c>
      <c r="Q100" s="9" t="s">
        <v>490</v>
      </c>
      <c r="R100" s="10">
        <v>25201.0</v>
      </c>
      <c r="S100" s="9" t="s">
        <v>129</v>
      </c>
      <c r="T100" s="9"/>
      <c r="U100" s="9" t="s">
        <v>77</v>
      </c>
    </row>
    <row r="101">
      <c r="A101" s="8">
        <v>42318.714907407404</v>
      </c>
      <c r="B101" s="9">
        <v>52.0</v>
      </c>
      <c r="C101" s="9" t="s">
        <v>491</v>
      </c>
      <c r="D101" s="9" t="str">
        <f>IFERROR(__xludf.DUMMYFUNCTION("FILTER(Sheet5!B:B,Sheet5!A:A=C101)"),"NO")</f>
        <v>NO</v>
      </c>
      <c r="E101" s="9">
        <v>72.0</v>
      </c>
      <c r="F101" s="9" t="s">
        <v>492</v>
      </c>
      <c r="G101" s="9">
        <v>1.0</v>
      </c>
      <c r="H101" s="9">
        <v>7.0</v>
      </c>
      <c r="I101" s="9" t="s">
        <v>160</v>
      </c>
      <c r="J101" s="9" t="s">
        <v>493</v>
      </c>
      <c r="K101" s="9" t="str">
        <f>IFERROR(__xludf.DUMMYFUNCTION("FILTER(Nuance!D:D,Nuance!B:B=L101)"),"D")</f>
        <v>D</v>
      </c>
      <c r="L101" s="9" t="s">
        <v>43</v>
      </c>
      <c r="M101" s="9" t="s">
        <v>72</v>
      </c>
      <c r="N101" s="9">
        <v>1.0</v>
      </c>
      <c r="O101" s="9" t="s">
        <v>80</v>
      </c>
      <c r="P101" s="9" t="s">
        <v>494</v>
      </c>
      <c r="Q101" s="9" t="s">
        <v>473</v>
      </c>
      <c r="R101" s="10">
        <v>20297.0</v>
      </c>
      <c r="S101" s="9" t="s">
        <v>76</v>
      </c>
      <c r="T101" s="9"/>
      <c r="U101" s="9" t="s">
        <v>77</v>
      </c>
    </row>
    <row r="102">
      <c r="A102" s="8">
        <v>42318.714907407404</v>
      </c>
      <c r="B102" s="9">
        <v>52.0</v>
      </c>
      <c r="C102" s="9" t="s">
        <v>491</v>
      </c>
      <c r="D102" s="9" t="str">
        <f>IFERROR(__xludf.DUMMYFUNCTION("FILTER(Sheet5!B:B,Sheet5!A:A=C102)"),"NO")</f>
        <v>NO</v>
      </c>
      <c r="E102" s="9">
        <v>44.0</v>
      </c>
      <c r="F102" s="9" t="s">
        <v>495</v>
      </c>
      <c r="G102" s="9">
        <v>2.0</v>
      </c>
      <c r="H102" s="9">
        <v>9.0</v>
      </c>
      <c r="I102" s="9" t="s">
        <v>496</v>
      </c>
      <c r="J102" s="9" t="s">
        <v>497</v>
      </c>
      <c r="K102" s="9" t="str">
        <f>IFERROR(__xludf.DUMMYFUNCTION("FILTER(Nuance!D:D,Nuance!B:B=L102)"),"D")</f>
        <v>D</v>
      </c>
      <c r="L102" s="9" t="s">
        <v>28</v>
      </c>
      <c r="M102" s="9" t="s">
        <v>72</v>
      </c>
      <c r="N102" s="9">
        <v>1.0</v>
      </c>
      <c r="O102" s="9" t="s">
        <v>80</v>
      </c>
      <c r="P102" s="9" t="s">
        <v>498</v>
      </c>
      <c r="Q102" s="9" t="s">
        <v>288</v>
      </c>
      <c r="R102" s="10">
        <v>17768.0</v>
      </c>
      <c r="S102" s="9" t="s">
        <v>83</v>
      </c>
      <c r="T102" s="9"/>
      <c r="U102" s="9" t="s">
        <v>77</v>
      </c>
    </row>
    <row r="103">
      <c r="A103" s="8">
        <v>42318.71491898148</v>
      </c>
      <c r="B103" s="9">
        <v>52.0</v>
      </c>
      <c r="C103" s="9" t="s">
        <v>491</v>
      </c>
      <c r="D103" s="9" t="str">
        <f>IFERROR(__xludf.DUMMYFUNCTION("FILTER(Sheet5!B:B,Sheet5!A:A=C103)"),"NO")</f>
        <v>NO</v>
      </c>
      <c r="E103" s="9">
        <v>72.0</v>
      </c>
      <c r="F103" s="9" t="s">
        <v>492</v>
      </c>
      <c r="G103" s="9">
        <v>3.0</v>
      </c>
      <c r="H103" s="9">
        <v>3.0</v>
      </c>
      <c r="I103" s="9" t="s">
        <v>85</v>
      </c>
      <c r="J103" s="9" t="s">
        <v>86</v>
      </c>
      <c r="K103" s="9" t="str">
        <f>IFERROR(__xludf.DUMMYFUNCTION("FILTER(Nuance!D:D,Nuance!B:B=L103)"),"D")</f>
        <v>D</v>
      </c>
      <c r="L103" s="9" t="s">
        <v>39</v>
      </c>
      <c r="M103" s="9" t="s">
        <v>72</v>
      </c>
      <c r="N103" s="9">
        <v>1.0</v>
      </c>
      <c r="O103" s="9" t="s">
        <v>73</v>
      </c>
      <c r="P103" s="9" t="s">
        <v>499</v>
      </c>
      <c r="Q103" s="9" t="s">
        <v>191</v>
      </c>
      <c r="R103" s="10">
        <v>17583.0</v>
      </c>
      <c r="S103" s="9" t="s">
        <v>500</v>
      </c>
      <c r="T103" s="9"/>
      <c r="U103" s="9" t="s">
        <v>77</v>
      </c>
    </row>
    <row r="104">
      <c r="A104" s="8">
        <v>42318.71491898148</v>
      </c>
      <c r="B104" s="9">
        <v>52.0</v>
      </c>
      <c r="C104" s="9" t="s">
        <v>491</v>
      </c>
      <c r="D104" s="9" t="str">
        <f>IFERROR(__xludf.DUMMYFUNCTION("FILTER(Sheet5!B:B,Sheet5!A:A=C104)"),"NO")</f>
        <v>NO</v>
      </c>
      <c r="E104" s="9">
        <v>49.0</v>
      </c>
      <c r="F104" s="9" t="s">
        <v>501</v>
      </c>
      <c r="G104" s="9">
        <v>4.0</v>
      </c>
      <c r="H104" s="9">
        <v>8.0</v>
      </c>
      <c r="I104" s="9" t="s">
        <v>299</v>
      </c>
      <c r="J104" s="9" t="s">
        <v>502</v>
      </c>
      <c r="K104" s="9" t="str">
        <f>IFERROR(__xludf.DUMMYFUNCTION("FILTER(Nuance!D:D,Nuance!B:B=L104)"),"G")</f>
        <v>G</v>
      </c>
      <c r="L104" s="9" t="s">
        <v>9</v>
      </c>
      <c r="M104" s="9" t="s">
        <v>72</v>
      </c>
      <c r="N104" s="9">
        <v>1.0</v>
      </c>
      <c r="O104" s="9" t="s">
        <v>80</v>
      </c>
      <c r="P104" s="9" t="s">
        <v>503</v>
      </c>
      <c r="Q104" s="9" t="s">
        <v>133</v>
      </c>
      <c r="R104" s="10">
        <v>25363.0</v>
      </c>
      <c r="S104" s="9" t="s">
        <v>392</v>
      </c>
      <c r="T104" s="9"/>
      <c r="U104" s="9" t="s">
        <v>77</v>
      </c>
    </row>
    <row r="105">
      <c r="A105" s="8">
        <v>42318.71491898148</v>
      </c>
      <c r="B105" s="9">
        <v>52.0</v>
      </c>
      <c r="C105" s="9" t="s">
        <v>491</v>
      </c>
      <c r="D105" s="9" t="str">
        <f>IFERROR(__xludf.DUMMYFUNCTION("FILTER(Sheet5!B:B,Sheet5!A:A=C105)"),"NO")</f>
        <v>NO</v>
      </c>
      <c r="E105" s="9">
        <v>44.0</v>
      </c>
      <c r="F105" s="9" t="s">
        <v>495</v>
      </c>
      <c r="G105" s="9">
        <v>5.0</v>
      </c>
      <c r="H105" s="9">
        <v>6.0</v>
      </c>
      <c r="I105" s="9" t="s">
        <v>384</v>
      </c>
      <c r="J105" s="9" t="s">
        <v>109</v>
      </c>
      <c r="K105" s="9" t="str">
        <f>IFERROR(__xludf.DUMMYFUNCTION("FILTER(Nuance!D:D,Nuance!B:B=L105)"),"G")</f>
        <v>G</v>
      </c>
      <c r="L105" s="9" t="s">
        <v>3</v>
      </c>
      <c r="M105" s="9" t="s">
        <v>72</v>
      </c>
      <c r="N105" s="9">
        <v>1.0</v>
      </c>
      <c r="O105" s="9" t="s">
        <v>80</v>
      </c>
      <c r="P105" s="9" t="s">
        <v>504</v>
      </c>
      <c r="Q105" s="9" t="s">
        <v>505</v>
      </c>
      <c r="R105" s="10">
        <v>25222.0</v>
      </c>
      <c r="S105" s="9" t="s">
        <v>506</v>
      </c>
      <c r="T105" s="9"/>
      <c r="U105" s="9" t="s">
        <v>77</v>
      </c>
    </row>
    <row r="106">
      <c r="A106" s="8">
        <v>42318.71491898148</v>
      </c>
      <c r="B106" s="9">
        <v>52.0</v>
      </c>
      <c r="C106" s="9" t="s">
        <v>491</v>
      </c>
      <c r="D106" s="9" t="str">
        <f>IFERROR(__xludf.DUMMYFUNCTION("FILTER(Sheet5!B:B,Sheet5!A:A=C106)"),"NO")</f>
        <v>NO</v>
      </c>
      <c r="E106" s="9">
        <v>85.0</v>
      </c>
      <c r="F106" s="9" t="s">
        <v>507</v>
      </c>
      <c r="G106" s="9">
        <v>6.0</v>
      </c>
      <c r="H106" s="9">
        <v>5.0</v>
      </c>
      <c r="I106" s="9" t="s">
        <v>508</v>
      </c>
      <c r="J106" s="9" t="s">
        <v>509</v>
      </c>
      <c r="K106" s="9" t="str">
        <f>IFERROR(__xludf.DUMMYFUNCTION("FILTER(Nuance!D:D,Nuance!B:B=L106)"),"D")</f>
        <v>D</v>
      </c>
      <c r="L106" s="9" t="s">
        <v>37</v>
      </c>
      <c r="M106" s="9" t="s">
        <v>72</v>
      </c>
      <c r="N106" s="9">
        <v>1.0</v>
      </c>
      <c r="O106" s="9" t="s">
        <v>80</v>
      </c>
      <c r="P106" s="9" t="s">
        <v>510</v>
      </c>
      <c r="Q106" s="9" t="s">
        <v>511</v>
      </c>
      <c r="R106" s="10">
        <v>22240.0</v>
      </c>
      <c r="S106" s="9" t="s">
        <v>121</v>
      </c>
      <c r="T106" s="9" t="s">
        <v>192</v>
      </c>
      <c r="U106" s="9" t="s">
        <v>77</v>
      </c>
    </row>
    <row r="107">
      <c r="A107" s="8">
        <v>42318.71491898148</v>
      </c>
      <c r="B107" s="9">
        <v>52.0</v>
      </c>
      <c r="C107" s="9" t="s">
        <v>491</v>
      </c>
      <c r="D107" s="9" t="str">
        <f>IFERROR(__xludf.DUMMYFUNCTION("FILTER(Sheet5!B:B,Sheet5!A:A=C107)"),"NO")</f>
        <v>NO</v>
      </c>
      <c r="E107" s="9">
        <v>44.0</v>
      </c>
      <c r="F107" s="9" t="s">
        <v>495</v>
      </c>
      <c r="G107" s="9">
        <v>7.0</v>
      </c>
      <c r="H107" s="9">
        <v>4.0</v>
      </c>
      <c r="I107" s="9" t="s">
        <v>512</v>
      </c>
      <c r="J107" s="9" t="s">
        <v>513</v>
      </c>
      <c r="K107" s="9" t="str">
        <f>IFERROR(__xludf.DUMMYFUNCTION("FILTER(Nuance!D:D,Nuance!B:B=L107)"),"G")</f>
        <v>G</v>
      </c>
      <c r="L107" s="9" t="s">
        <v>15</v>
      </c>
      <c r="M107" s="9" t="s">
        <v>72</v>
      </c>
      <c r="N107" s="9">
        <v>1.0</v>
      </c>
      <c r="O107" s="9" t="s">
        <v>80</v>
      </c>
      <c r="P107" s="9" t="s">
        <v>514</v>
      </c>
      <c r="Q107" s="9" t="s">
        <v>186</v>
      </c>
      <c r="R107" s="10">
        <v>25082.0</v>
      </c>
      <c r="S107" s="9" t="s">
        <v>392</v>
      </c>
      <c r="T107" s="9"/>
      <c r="U107" s="9" t="s">
        <v>95</v>
      </c>
    </row>
    <row r="108">
      <c r="A108" s="8">
        <v>42318.71491898148</v>
      </c>
      <c r="B108" s="9">
        <v>52.0</v>
      </c>
      <c r="C108" s="9" t="s">
        <v>491</v>
      </c>
      <c r="D108" s="9" t="str">
        <f>IFERROR(__xludf.DUMMYFUNCTION("FILTER(Sheet5!B:B,Sheet5!A:A=C108)"),"NO")</f>
        <v>NO</v>
      </c>
      <c r="E108" s="9">
        <v>44.0</v>
      </c>
      <c r="F108" s="9" t="s">
        <v>495</v>
      </c>
      <c r="G108" s="9">
        <v>8.0</v>
      </c>
      <c r="H108" s="9">
        <v>10.0</v>
      </c>
      <c r="I108" s="9" t="s">
        <v>515</v>
      </c>
      <c r="J108" s="9" t="s">
        <v>515</v>
      </c>
      <c r="K108" s="9" t="str">
        <f>IFERROR(__xludf.DUMMYFUNCTION("FILTER(Nuance!D:D,Nuance!B:B=L108)"),"G")</f>
        <v>G</v>
      </c>
      <c r="L108" s="9" t="s">
        <v>3</v>
      </c>
      <c r="M108" s="9" t="s">
        <v>72</v>
      </c>
      <c r="N108" s="9">
        <v>4.0</v>
      </c>
      <c r="O108" s="9" t="s">
        <v>80</v>
      </c>
      <c r="P108" s="9" t="s">
        <v>516</v>
      </c>
      <c r="Q108" s="9" t="s">
        <v>144</v>
      </c>
      <c r="R108" s="10">
        <v>25873.0</v>
      </c>
      <c r="S108" s="9" t="s">
        <v>197</v>
      </c>
      <c r="T108" s="9"/>
      <c r="U108" s="9" t="s">
        <v>77</v>
      </c>
    </row>
    <row r="109">
      <c r="A109" s="8">
        <v>42318.71491898148</v>
      </c>
      <c r="B109" s="9">
        <v>52.0</v>
      </c>
      <c r="C109" s="9" t="s">
        <v>491</v>
      </c>
      <c r="D109" s="9" t="str">
        <f>IFERROR(__xludf.DUMMYFUNCTION("FILTER(Sheet5!B:B,Sheet5!A:A=C109)"),"NO")</f>
        <v>NO</v>
      </c>
      <c r="E109" s="9">
        <v>72.0</v>
      </c>
      <c r="F109" s="9" t="s">
        <v>492</v>
      </c>
      <c r="G109" s="9">
        <v>9.0</v>
      </c>
      <c r="H109" s="9">
        <v>12.0</v>
      </c>
      <c r="I109" s="9" t="s">
        <v>517</v>
      </c>
      <c r="J109" s="9" t="s">
        <v>518</v>
      </c>
      <c r="K109" s="9" t="str">
        <f>IFERROR(__xludf.DUMMYFUNCTION("FILTER(Nuance!D:D,Nuance!B:B=L109)"),"G")</f>
        <v>G</v>
      </c>
      <c r="L109" s="9" t="s">
        <v>21</v>
      </c>
      <c r="M109" s="9" t="s">
        <v>72</v>
      </c>
      <c r="N109" s="9">
        <v>1.0</v>
      </c>
      <c r="O109" s="9" t="s">
        <v>73</v>
      </c>
      <c r="P109" s="9" t="s">
        <v>519</v>
      </c>
      <c r="Q109" s="9" t="s">
        <v>222</v>
      </c>
      <c r="R109" s="10">
        <v>29062.0</v>
      </c>
      <c r="S109" s="9" t="s">
        <v>520</v>
      </c>
      <c r="T109" s="9"/>
      <c r="U109" s="9" t="s">
        <v>95</v>
      </c>
    </row>
    <row r="110">
      <c r="A110" s="8">
        <v>42318.71491898148</v>
      </c>
      <c r="B110" s="9">
        <v>52.0</v>
      </c>
      <c r="C110" s="9" t="s">
        <v>491</v>
      </c>
      <c r="D110" s="9" t="str">
        <f>IFERROR(__xludf.DUMMYFUNCTION("FILTER(Sheet5!B:B,Sheet5!A:A=C110)"),"NO")</f>
        <v>NO</v>
      </c>
      <c r="E110" s="9">
        <v>44.0</v>
      </c>
      <c r="F110" s="9" t="s">
        <v>495</v>
      </c>
      <c r="G110" s="9">
        <v>10.0</v>
      </c>
      <c r="H110" s="9">
        <v>2.0</v>
      </c>
      <c r="I110" s="9" t="s">
        <v>102</v>
      </c>
      <c r="J110" s="9" t="s">
        <v>175</v>
      </c>
      <c r="K110" s="9" t="str">
        <f>IFERROR(__xludf.DUMMYFUNCTION("FILTER(Nuance!D:D,Nuance!B:B=L110)"),"C")</f>
        <v>C</v>
      </c>
      <c r="L110" s="9" t="s">
        <v>25</v>
      </c>
      <c r="M110" s="9" t="s">
        <v>72</v>
      </c>
      <c r="N110" s="9">
        <v>1.0</v>
      </c>
      <c r="O110" s="9" t="s">
        <v>80</v>
      </c>
      <c r="P110" s="9" t="s">
        <v>521</v>
      </c>
      <c r="Q110" s="9" t="s">
        <v>133</v>
      </c>
      <c r="R110" s="10">
        <v>22891.0</v>
      </c>
      <c r="S110" s="9" t="s">
        <v>500</v>
      </c>
      <c r="T110" s="9"/>
      <c r="U110" s="9" t="s">
        <v>77</v>
      </c>
    </row>
    <row r="111">
      <c r="A111" s="8">
        <v>42318.71491898148</v>
      </c>
      <c r="B111" s="9">
        <v>93.0</v>
      </c>
      <c r="C111" s="9" t="s">
        <v>522</v>
      </c>
      <c r="D111" s="9" t="str">
        <f>IFERROR(__xludf.DUMMYFUNCTION("FILTER(Sheet5!B:B,Sheet5!A:A=C111)"),"SE")</f>
        <v>SE</v>
      </c>
      <c r="E111" s="9">
        <v>6.0</v>
      </c>
      <c r="F111" s="9" t="s">
        <v>523</v>
      </c>
      <c r="G111" s="9">
        <v>1.0</v>
      </c>
      <c r="H111" s="9">
        <v>10.0</v>
      </c>
      <c r="I111" s="9" t="s">
        <v>524</v>
      </c>
      <c r="J111" s="9" t="s">
        <v>525</v>
      </c>
      <c r="K111" s="9" t="str">
        <f>IFERROR(__xludf.DUMMYFUNCTION("FILTER(Nuance!D:D,Nuance!B:B=L111)"),"G")</f>
        <v>G</v>
      </c>
      <c r="L111" s="9" t="s">
        <v>23</v>
      </c>
      <c r="M111" s="9" t="s">
        <v>72</v>
      </c>
      <c r="N111" s="9">
        <v>1.0</v>
      </c>
      <c r="O111" s="9" t="s">
        <v>80</v>
      </c>
      <c r="P111" s="9" t="s">
        <v>526</v>
      </c>
      <c r="Q111" s="9" t="s">
        <v>527</v>
      </c>
      <c r="R111" s="10">
        <v>21547.0</v>
      </c>
      <c r="S111" s="9" t="s">
        <v>520</v>
      </c>
      <c r="T111" s="9"/>
      <c r="U111" s="9" t="s">
        <v>77</v>
      </c>
    </row>
    <row r="112">
      <c r="A112" s="8">
        <v>42318.71491898148</v>
      </c>
      <c r="B112" s="9">
        <v>93.0</v>
      </c>
      <c r="C112" s="9" t="s">
        <v>522</v>
      </c>
      <c r="D112" s="9" t="str">
        <f>IFERROR(__xludf.DUMMYFUNCTION("FILTER(Sheet5!B:B,Sheet5!A:A=C112)"),"SE")</f>
        <v>SE</v>
      </c>
      <c r="E112" s="9">
        <v>13.0</v>
      </c>
      <c r="F112" s="9" t="s">
        <v>528</v>
      </c>
      <c r="G112" s="9">
        <v>2.0</v>
      </c>
      <c r="H112" s="9">
        <v>3.0</v>
      </c>
      <c r="I112" s="9" t="s">
        <v>108</v>
      </c>
      <c r="J112" s="9" t="s">
        <v>109</v>
      </c>
      <c r="K112" s="9" t="str">
        <f>IFERROR(__xludf.DUMMYFUNCTION("FILTER(Nuance!D:D,Nuance!B:B=L112)"),"G")</f>
        <v>G</v>
      </c>
      <c r="L112" s="9" t="s">
        <v>3</v>
      </c>
      <c r="M112" s="9" t="s">
        <v>72</v>
      </c>
      <c r="N112" s="9">
        <v>2.0</v>
      </c>
      <c r="O112" s="9" t="s">
        <v>73</v>
      </c>
      <c r="P112" s="9" t="s">
        <v>529</v>
      </c>
      <c r="Q112" s="9" t="s">
        <v>530</v>
      </c>
      <c r="R112" s="10">
        <v>23918.0</v>
      </c>
      <c r="S112" s="9" t="s">
        <v>159</v>
      </c>
      <c r="T112" s="9"/>
      <c r="U112" s="9" t="s">
        <v>77</v>
      </c>
    </row>
    <row r="113">
      <c r="A113" s="8">
        <v>42318.71491898148</v>
      </c>
      <c r="B113" s="9">
        <v>93.0</v>
      </c>
      <c r="C113" s="9" t="s">
        <v>522</v>
      </c>
      <c r="D113" s="9" t="str">
        <f>IFERROR(__xludf.DUMMYFUNCTION("FILTER(Sheet5!B:B,Sheet5!A:A=C113)"),"SE")</f>
        <v>SE</v>
      </c>
      <c r="E113" s="9">
        <v>84.0</v>
      </c>
      <c r="F113" s="9" t="s">
        <v>531</v>
      </c>
      <c r="G113" s="9">
        <v>3.0</v>
      </c>
      <c r="H113" s="9">
        <v>9.0</v>
      </c>
      <c r="I113" s="9" t="s">
        <v>532</v>
      </c>
      <c r="J113" s="9" t="s">
        <v>532</v>
      </c>
      <c r="K113" s="9" t="str">
        <f>IFERROR(__xludf.DUMMYFUNCTION("FILTER(Nuance!D:D,Nuance!B:B=L113)"),"D")</f>
        <v>D</v>
      </c>
      <c r="L113" s="9" t="s">
        <v>45</v>
      </c>
      <c r="M113" s="9" t="s">
        <v>72</v>
      </c>
      <c r="N113" s="9">
        <v>1.0</v>
      </c>
      <c r="O113" s="9" t="s">
        <v>80</v>
      </c>
      <c r="P113" s="9" t="s">
        <v>533</v>
      </c>
      <c r="Q113" s="9" t="s">
        <v>162</v>
      </c>
      <c r="R113" s="10">
        <v>15761.0</v>
      </c>
      <c r="S113" s="9" t="s">
        <v>134</v>
      </c>
      <c r="T113" s="9" t="s">
        <v>202</v>
      </c>
      <c r="U113" s="9" t="s">
        <v>77</v>
      </c>
    </row>
    <row r="114">
      <c r="A114" s="8">
        <v>42318.71491898148</v>
      </c>
      <c r="B114" s="9">
        <v>93.0</v>
      </c>
      <c r="C114" s="9" t="s">
        <v>522</v>
      </c>
      <c r="D114" s="9" t="str">
        <f>IFERROR(__xludf.DUMMYFUNCTION("FILTER(Sheet5!B:B,Sheet5!A:A=C114)"),"SE")</f>
        <v>SE</v>
      </c>
      <c r="E114" s="9">
        <v>13.0</v>
      </c>
      <c r="F114" s="9" t="s">
        <v>528</v>
      </c>
      <c r="G114" s="9">
        <v>4.0</v>
      </c>
      <c r="H114" s="9">
        <v>6.0</v>
      </c>
      <c r="I114" s="9" t="s">
        <v>534</v>
      </c>
      <c r="J114" s="9" t="s">
        <v>535</v>
      </c>
      <c r="K114" s="9" t="str">
        <f>IFERROR(__xludf.DUMMYFUNCTION("FILTER(Nuance!D:D,Nuance!B:B=L114)"),"G")</f>
        <v>G</v>
      </c>
      <c r="L114" s="9" t="s">
        <v>11</v>
      </c>
      <c r="M114" s="9" t="s">
        <v>72</v>
      </c>
      <c r="N114" s="9">
        <v>3.0</v>
      </c>
      <c r="O114" s="9" t="s">
        <v>73</v>
      </c>
      <c r="P114" s="9" t="s">
        <v>536</v>
      </c>
      <c r="Q114" s="9" t="s">
        <v>222</v>
      </c>
      <c r="R114" s="10">
        <v>26642.0</v>
      </c>
      <c r="S114" s="9" t="s">
        <v>372</v>
      </c>
      <c r="T114" s="9"/>
      <c r="U114" s="9" t="s">
        <v>95</v>
      </c>
    </row>
    <row r="115">
      <c r="A115" s="8">
        <v>42318.71491898148</v>
      </c>
      <c r="B115" s="9">
        <v>93.0</v>
      </c>
      <c r="C115" s="9" t="s">
        <v>522</v>
      </c>
      <c r="D115" s="9" t="str">
        <f>IFERROR(__xludf.DUMMYFUNCTION("FILTER(Sheet5!B:B,Sheet5!A:A=C115)"),"SE")</f>
        <v>SE</v>
      </c>
      <c r="E115" s="9">
        <v>84.0</v>
      </c>
      <c r="F115" s="9" t="s">
        <v>531</v>
      </c>
      <c r="G115" s="9">
        <v>5.0</v>
      </c>
      <c r="H115" s="9">
        <v>5.0</v>
      </c>
      <c r="I115" s="9" t="s">
        <v>537</v>
      </c>
      <c r="J115" s="9" t="s">
        <v>538</v>
      </c>
      <c r="K115" s="9" t="str">
        <f>IFERROR(__xludf.DUMMYFUNCTION("FILTER(Nuance!D:D,Nuance!B:B=L115)"),"D")</f>
        <v>D</v>
      </c>
      <c r="L115" s="9" t="s">
        <v>43</v>
      </c>
      <c r="M115" s="9" t="s">
        <v>72</v>
      </c>
      <c r="N115" s="9">
        <v>1.0</v>
      </c>
      <c r="O115" s="9" t="s">
        <v>73</v>
      </c>
      <c r="P115" s="9" t="s">
        <v>539</v>
      </c>
      <c r="Q115" s="9" t="s">
        <v>540</v>
      </c>
      <c r="R115" s="10">
        <v>32852.0</v>
      </c>
      <c r="S115" s="9" t="s">
        <v>153</v>
      </c>
      <c r="T115" s="9" t="s">
        <v>202</v>
      </c>
      <c r="U115" s="9" t="s">
        <v>77</v>
      </c>
    </row>
    <row r="116">
      <c r="A116" s="8">
        <v>42318.71491898148</v>
      </c>
      <c r="B116" s="9">
        <v>93.0</v>
      </c>
      <c r="C116" s="9" t="s">
        <v>522</v>
      </c>
      <c r="D116" s="9" t="str">
        <f>IFERROR(__xludf.DUMMYFUNCTION("FILTER(Sheet5!B:B,Sheet5!A:A=C116)"),"SE")</f>
        <v>SE</v>
      </c>
      <c r="E116" s="9">
        <v>6.0</v>
      </c>
      <c r="F116" s="9" t="s">
        <v>523</v>
      </c>
      <c r="G116" s="9">
        <v>6.0</v>
      </c>
      <c r="H116" s="9">
        <v>8.0</v>
      </c>
      <c r="I116" s="9" t="s">
        <v>541</v>
      </c>
      <c r="J116" s="9" t="s">
        <v>542</v>
      </c>
      <c r="K116" s="9" t="str">
        <f>IFERROR(__xludf.DUMMYFUNCTION("FILTER(Nuance!D:D,Nuance!B:B=L116)"),"D")</f>
        <v>D</v>
      </c>
      <c r="L116" s="9" t="s">
        <v>37</v>
      </c>
      <c r="M116" s="9" t="s">
        <v>72</v>
      </c>
      <c r="N116" s="9">
        <v>1.0</v>
      </c>
      <c r="O116" s="9" t="s">
        <v>80</v>
      </c>
      <c r="P116" s="9" t="s">
        <v>543</v>
      </c>
      <c r="Q116" s="9" t="s">
        <v>280</v>
      </c>
      <c r="R116" s="10">
        <v>20271.0</v>
      </c>
      <c r="S116" s="9" t="s">
        <v>134</v>
      </c>
      <c r="T116" s="9" t="s">
        <v>202</v>
      </c>
      <c r="U116" s="9" t="s">
        <v>77</v>
      </c>
    </row>
    <row r="117">
      <c r="A117" s="8">
        <v>42318.71491898148</v>
      </c>
      <c r="B117" s="9">
        <v>93.0</v>
      </c>
      <c r="C117" s="9" t="s">
        <v>522</v>
      </c>
      <c r="D117" s="9" t="str">
        <f>IFERROR(__xludf.DUMMYFUNCTION("FILTER(Sheet5!B:B,Sheet5!A:A=C117)"),"SE")</f>
        <v>SE</v>
      </c>
      <c r="E117" s="9">
        <v>4.0</v>
      </c>
      <c r="F117" s="9" t="s">
        <v>544</v>
      </c>
      <c r="G117" s="9">
        <v>7.0</v>
      </c>
      <c r="H117" s="9">
        <v>11.0</v>
      </c>
      <c r="I117" s="9" t="s">
        <v>545</v>
      </c>
      <c r="J117" s="9" t="s">
        <v>546</v>
      </c>
      <c r="K117" s="9" t="str">
        <f>IFERROR(__xludf.DUMMYFUNCTION("FILTER(Nuance!D:D,Nuance!B:B=L117)"),"G")</f>
        <v>G</v>
      </c>
      <c r="L117" s="9" t="s">
        <v>15</v>
      </c>
      <c r="M117" s="9" t="s">
        <v>72</v>
      </c>
      <c r="N117" s="9">
        <v>1.0</v>
      </c>
      <c r="O117" s="9" t="s">
        <v>80</v>
      </c>
      <c r="P117" s="9" t="s">
        <v>547</v>
      </c>
      <c r="Q117" s="9" t="s">
        <v>186</v>
      </c>
      <c r="R117" s="10">
        <v>24110.0</v>
      </c>
      <c r="S117" s="9" t="s">
        <v>134</v>
      </c>
      <c r="T117" s="9" t="s">
        <v>202</v>
      </c>
      <c r="U117" s="9" t="s">
        <v>77</v>
      </c>
    </row>
    <row r="118">
      <c r="A118" s="8">
        <v>42318.71491898148</v>
      </c>
      <c r="B118" s="9">
        <v>93.0</v>
      </c>
      <c r="C118" s="9" t="s">
        <v>522</v>
      </c>
      <c r="D118" s="9" t="str">
        <f>IFERROR(__xludf.DUMMYFUNCTION("FILTER(Sheet5!B:B,Sheet5!A:A=C118)"),"SE")</f>
        <v>SE</v>
      </c>
      <c r="E118" s="9">
        <v>13.0</v>
      </c>
      <c r="F118" s="9" t="s">
        <v>528</v>
      </c>
      <c r="G118" s="9">
        <v>8.0</v>
      </c>
      <c r="H118" s="9">
        <v>2.0</v>
      </c>
      <c r="I118" s="9" t="s">
        <v>548</v>
      </c>
      <c r="J118" s="9" t="s">
        <v>549</v>
      </c>
      <c r="K118" s="9" t="str">
        <f>IFERROR(__xludf.DUMMYFUNCTION("FILTER(Nuance!D:D,Nuance!B:B=L118)"),"C")</f>
        <v>C</v>
      </c>
      <c r="L118" s="9" t="s">
        <v>25</v>
      </c>
      <c r="M118" s="9" t="s">
        <v>72</v>
      </c>
      <c r="N118" s="9">
        <v>1.0</v>
      </c>
      <c r="O118" s="9" t="s">
        <v>80</v>
      </c>
      <c r="P118" s="9" t="s">
        <v>550</v>
      </c>
      <c r="Q118" s="9" t="s">
        <v>551</v>
      </c>
      <c r="R118" s="10">
        <v>22042.0</v>
      </c>
      <c r="S118" s="9" t="s">
        <v>552</v>
      </c>
      <c r="T118" s="9"/>
      <c r="U118" s="9" t="s">
        <v>77</v>
      </c>
    </row>
    <row r="119">
      <c r="A119" s="8">
        <v>42318.71491898148</v>
      </c>
      <c r="B119" s="9">
        <v>93.0</v>
      </c>
      <c r="C119" s="9" t="s">
        <v>522</v>
      </c>
      <c r="D119" s="9" t="str">
        <f>IFERROR(__xludf.DUMMYFUNCTION("FILTER(Sheet5!B:B,Sheet5!A:A=C119)"),"SE")</f>
        <v>SE</v>
      </c>
      <c r="E119" s="9">
        <v>13.0</v>
      </c>
      <c r="F119" s="9" t="s">
        <v>528</v>
      </c>
      <c r="G119" s="9">
        <v>9.0</v>
      </c>
      <c r="H119" s="9">
        <v>7.0</v>
      </c>
      <c r="I119" s="9" t="s">
        <v>85</v>
      </c>
      <c r="J119" s="9" t="s">
        <v>86</v>
      </c>
      <c r="K119" s="9" t="str">
        <f>IFERROR(__xludf.DUMMYFUNCTION("FILTER(Nuance!D:D,Nuance!B:B=L119)"),"D")</f>
        <v>D</v>
      </c>
      <c r="L119" s="9" t="s">
        <v>39</v>
      </c>
      <c r="M119" s="9" t="s">
        <v>72</v>
      </c>
      <c r="N119" s="9">
        <v>1.0</v>
      </c>
      <c r="O119" s="9" t="s">
        <v>80</v>
      </c>
      <c r="P119" s="9" t="s">
        <v>553</v>
      </c>
      <c r="Q119" s="9" t="s">
        <v>554</v>
      </c>
      <c r="R119" s="10">
        <v>21178.0</v>
      </c>
      <c r="S119" s="9" t="s">
        <v>452</v>
      </c>
      <c r="T119" s="9"/>
      <c r="U119" s="9" t="s">
        <v>77</v>
      </c>
    </row>
    <row r="120">
      <c r="A120" s="8">
        <v>42318.71491898148</v>
      </c>
      <c r="B120" s="9">
        <v>93.0</v>
      </c>
      <c r="C120" s="9" t="s">
        <v>522</v>
      </c>
      <c r="D120" s="9" t="str">
        <f>IFERROR(__xludf.DUMMYFUNCTION("FILTER(Sheet5!B:B,Sheet5!A:A=C120)"),"SE")</f>
        <v>SE</v>
      </c>
      <c r="E120" s="9">
        <v>13.0</v>
      </c>
      <c r="F120" s="9" t="s">
        <v>528</v>
      </c>
      <c r="G120" s="9">
        <v>10.0</v>
      </c>
      <c r="H120" s="9">
        <v>4.0</v>
      </c>
      <c r="I120" s="9" t="s">
        <v>125</v>
      </c>
      <c r="J120" s="9" t="s">
        <v>555</v>
      </c>
      <c r="K120" s="9" t="str">
        <f>IFERROR(__xludf.DUMMYFUNCTION("FILTER(Nuance!D:D,Nuance!B:B=L120)"),"G")</f>
        <v>G</v>
      </c>
      <c r="L120" s="9" t="s">
        <v>19</v>
      </c>
      <c r="M120" s="9" t="s">
        <v>72</v>
      </c>
      <c r="N120" s="9">
        <v>3.0</v>
      </c>
      <c r="O120" s="9" t="s">
        <v>80</v>
      </c>
      <c r="P120" s="9" t="s">
        <v>556</v>
      </c>
      <c r="Q120" s="9" t="s">
        <v>557</v>
      </c>
      <c r="R120" s="10">
        <v>29833.0</v>
      </c>
      <c r="S120" s="9" t="s">
        <v>372</v>
      </c>
      <c r="T120" s="9"/>
      <c r="U120" s="9" t="s">
        <v>77</v>
      </c>
    </row>
    <row r="121">
      <c r="A121" s="8">
        <v>42318.71491898148</v>
      </c>
      <c r="B121" s="9">
        <v>94.0</v>
      </c>
      <c r="C121" s="9" t="s">
        <v>558</v>
      </c>
      <c r="D121" s="9" t="str">
        <f>IFERROR(__xludf.DUMMYFUNCTION("FILTER(Sheet5!B:B,Sheet5!A:A=C121)"),"SE")</f>
        <v>SE</v>
      </c>
      <c r="E121" s="9"/>
      <c r="F121" s="9"/>
      <c r="G121" s="9">
        <v>1.0</v>
      </c>
      <c r="H121" s="9">
        <v>2.0</v>
      </c>
      <c r="I121" s="9" t="s">
        <v>96</v>
      </c>
      <c r="J121" s="9" t="s">
        <v>559</v>
      </c>
      <c r="K121" s="9" t="str">
        <f>IFERROR(__xludf.DUMMYFUNCTION("FILTER(Nuance!D:D,Nuance!B:B=L121)"),"D")</f>
        <v>D</v>
      </c>
      <c r="L121" s="9" t="s">
        <v>43</v>
      </c>
      <c r="M121" s="9" t="s">
        <v>72</v>
      </c>
      <c r="N121" s="9">
        <v>1.0</v>
      </c>
      <c r="O121" s="9" t="s">
        <v>80</v>
      </c>
      <c r="P121" s="9" t="s">
        <v>560</v>
      </c>
      <c r="Q121" s="9" t="s">
        <v>186</v>
      </c>
      <c r="R121" s="10">
        <v>22551.0</v>
      </c>
      <c r="S121" s="9" t="s">
        <v>76</v>
      </c>
      <c r="T121" s="9"/>
      <c r="U121" s="9" t="s">
        <v>77</v>
      </c>
    </row>
    <row r="122">
      <c r="A122" s="8">
        <v>42318.71491898148</v>
      </c>
      <c r="B122" s="9">
        <v>94.0</v>
      </c>
      <c r="C122" s="9" t="s">
        <v>558</v>
      </c>
      <c r="D122" s="9" t="str">
        <f>IFERROR(__xludf.DUMMYFUNCTION("FILTER(Sheet5!B:B,Sheet5!A:A=C122)"),"SE")</f>
        <v>SE</v>
      </c>
      <c r="E122" s="9"/>
      <c r="F122" s="9"/>
      <c r="G122" s="9">
        <v>2.0</v>
      </c>
      <c r="H122" s="9">
        <v>12.0</v>
      </c>
      <c r="I122" s="9" t="s">
        <v>561</v>
      </c>
      <c r="J122" s="9" t="s">
        <v>562</v>
      </c>
      <c r="K122" s="9" t="str">
        <f>IFERROR(__xludf.DUMMYFUNCTION("FILTER(Nuance!D:D,Nuance!B:B=L122)"),"D")</f>
        <v>D</v>
      </c>
      <c r="L122" s="9" t="s">
        <v>28</v>
      </c>
      <c r="M122" s="9" t="s">
        <v>72</v>
      </c>
      <c r="N122" s="9">
        <v>1.0</v>
      </c>
      <c r="O122" s="9" t="s">
        <v>80</v>
      </c>
      <c r="P122" s="9" t="s">
        <v>563</v>
      </c>
      <c r="Q122" s="9" t="s">
        <v>288</v>
      </c>
      <c r="R122" s="10">
        <v>24582.0</v>
      </c>
      <c r="S122" s="9" t="s">
        <v>213</v>
      </c>
      <c r="T122" s="9"/>
      <c r="U122" s="9" t="s">
        <v>95</v>
      </c>
    </row>
    <row r="123">
      <c r="A123" s="8">
        <v>42318.71491898148</v>
      </c>
      <c r="B123" s="9">
        <v>94.0</v>
      </c>
      <c r="C123" s="9" t="s">
        <v>558</v>
      </c>
      <c r="D123" s="9" t="str">
        <f>IFERROR(__xludf.DUMMYFUNCTION("FILTER(Sheet5!B:B,Sheet5!A:A=C123)"),"SE")</f>
        <v>SE</v>
      </c>
      <c r="E123" s="9"/>
      <c r="F123" s="9"/>
      <c r="G123" s="9">
        <v>3.0</v>
      </c>
      <c r="H123" s="9">
        <v>3.0</v>
      </c>
      <c r="I123" s="9" t="s">
        <v>564</v>
      </c>
      <c r="J123" s="9" t="s">
        <v>565</v>
      </c>
      <c r="K123" s="9" t="str">
        <f>IFERROR(__xludf.DUMMYFUNCTION("FILTER(Nuance!D:D,Nuance!B:B=L123)"),"D")</f>
        <v>D</v>
      </c>
      <c r="L123" s="9" t="s">
        <v>41</v>
      </c>
      <c r="M123" s="9" t="s">
        <v>72</v>
      </c>
      <c r="N123" s="9">
        <v>1.0</v>
      </c>
      <c r="O123" s="9" t="s">
        <v>80</v>
      </c>
      <c r="P123" s="9" t="s">
        <v>566</v>
      </c>
      <c r="Q123" s="9" t="s">
        <v>567</v>
      </c>
      <c r="R123" s="10">
        <v>19865.0</v>
      </c>
      <c r="S123" s="9" t="s">
        <v>153</v>
      </c>
      <c r="T123" s="9" t="s">
        <v>202</v>
      </c>
      <c r="U123" s="9" t="s">
        <v>95</v>
      </c>
    </row>
    <row r="124">
      <c r="A124" s="8">
        <v>42318.71491898148</v>
      </c>
      <c r="B124" s="9">
        <v>94.0</v>
      </c>
      <c r="C124" s="9" t="s">
        <v>558</v>
      </c>
      <c r="D124" s="9" t="str">
        <f>IFERROR(__xludf.DUMMYFUNCTION("FILTER(Sheet5!B:B,Sheet5!A:A=C124)"),"SE")</f>
        <v>SE</v>
      </c>
      <c r="E124" s="9"/>
      <c r="F124" s="9"/>
      <c r="G124" s="9">
        <v>4.0</v>
      </c>
      <c r="H124" s="9">
        <v>11.0</v>
      </c>
      <c r="I124" s="9" t="s">
        <v>568</v>
      </c>
      <c r="J124" s="9" t="s">
        <v>568</v>
      </c>
      <c r="K124" s="9" t="str">
        <f>IFERROR(__xludf.DUMMYFUNCTION("FILTER(Nuance!D:D,Nuance!B:B=L124)"),"G")</f>
        <v>G</v>
      </c>
      <c r="L124" s="9" t="s">
        <v>17</v>
      </c>
      <c r="M124" s="9" t="s">
        <v>72</v>
      </c>
      <c r="N124" s="9">
        <v>1.0</v>
      </c>
      <c r="O124" s="9" t="s">
        <v>80</v>
      </c>
      <c r="P124" s="9" t="s">
        <v>569</v>
      </c>
      <c r="Q124" s="9" t="s">
        <v>570</v>
      </c>
      <c r="R124" s="10">
        <v>23566.0</v>
      </c>
      <c r="S124" s="9" t="s">
        <v>571</v>
      </c>
      <c r="T124" s="9"/>
      <c r="U124" s="9" t="s">
        <v>77</v>
      </c>
    </row>
    <row r="125">
      <c r="A125" s="8">
        <v>42318.71491898148</v>
      </c>
      <c r="B125" s="9">
        <v>94.0</v>
      </c>
      <c r="C125" s="9" t="s">
        <v>558</v>
      </c>
      <c r="D125" s="9" t="str">
        <f>IFERROR(__xludf.DUMMYFUNCTION("FILTER(Sheet5!B:B,Sheet5!A:A=C125)"),"SE")</f>
        <v>SE</v>
      </c>
      <c r="E125" s="9"/>
      <c r="F125" s="9"/>
      <c r="G125" s="9">
        <v>5.0</v>
      </c>
      <c r="H125" s="9">
        <v>6.0</v>
      </c>
      <c r="I125" s="9" t="s">
        <v>572</v>
      </c>
      <c r="J125" s="9" t="s">
        <v>573</v>
      </c>
      <c r="K125" s="9" t="str">
        <f>IFERROR(__xludf.DUMMYFUNCTION("FILTER(Nuance!D:D,Nuance!B:B=L125)"),"G")</f>
        <v>G</v>
      </c>
      <c r="L125" s="9" t="s">
        <v>13</v>
      </c>
      <c r="M125" s="9" t="s">
        <v>72</v>
      </c>
      <c r="N125" s="9">
        <v>1.0</v>
      </c>
      <c r="O125" s="9" t="s">
        <v>73</v>
      </c>
      <c r="P125" s="9" t="s">
        <v>574</v>
      </c>
      <c r="Q125" s="9" t="s">
        <v>352</v>
      </c>
      <c r="R125" s="10">
        <v>25529.0</v>
      </c>
      <c r="S125" s="9" t="s">
        <v>392</v>
      </c>
      <c r="T125" s="9"/>
      <c r="U125" s="9" t="s">
        <v>77</v>
      </c>
    </row>
    <row r="126">
      <c r="A126" s="8">
        <v>42318.71491898148</v>
      </c>
      <c r="B126" s="9">
        <v>94.0</v>
      </c>
      <c r="C126" s="9" t="s">
        <v>558</v>
      </c>
      <c r="D126" s="9" t="str">
        <f>IFERROR(__xludf.DUMMYFUNCTION("FILTER(Sheet5!B:B,Sheet5!A:A=C126)"),"SE")</f>
        <v>SE</v>
      </c>
      <c r="E126" s="9"/>
      <c r="F126" s="9"/>
      <c r="G126" s="9">
        <v>6.0</v>
      </c>
      <c r="H126" s="9">
        <v>10.0</v>
      </c>
      <c r="I126" s="9" t="s">
        <v>575</v>
      </c>
      <c r="J126" s="9" t="s">
        <v>575</v>
      </c>
      <c r="K126" s="9" t="str">
        <f>IFERROR(__xludf.DUMMYFUNCTION("FILTER(Nuance!D:D,Nuance!B:B=L126)"),"G")</f>
        <v>G</v>
      </c>
      <c r="L126" s="9" t="s">
        <v>19</v>
      </c>
      <c r="M126" s="9" t="s">
        <v>72</v>
      </c>
      <c r="N126" s="9">
        <v>1.0</v>
      </c>
      <c r="O126" s="9" t="s">
        <v>80</v>
      </c>
      <c r="P126" s="9" t="s">
        <v>576</v>
      </c>
      <c r="Q126" s="9" t="s">
        <v>577</v>
      </c>
      <c r="R126" s="10">
        <v>20985.0</v>
      </c>
      <c r="S126" s="9" t="s">
        <v>100</v>
      </c>
      <c r="T126" s="9" t="s">
        <v>202</v>
      </c>
      <c r="U126" s="9" t="s">
        <v>77</v>
      </c>
    </row>
    <row r="127">
      <c r="A127" s="8">
        <v>42318.71491898148</v>
      </c>
      <c r="B127" s="9">
        <v>94.0</v>
      </c>
      <c r="C127" s="9" t="s">
        <v>558</v>
      </c>
      <c r="D127" s="9" t="str">
        <f>IFERROR(__xludf.DUMMYFUNCTION("FILTER(Sheet5!B:B,Sheet5!A:A=C127)"),"SE")</f>
        <v>SE</v>
      </c>
      <c r="E127" s="9"/>
      <c r="F127" s="9"/>
      <c r="G127" s="9">
        <v>7.0</v>
      </c>
      <c r="H127" s="9">
        <v>7.0</v>
      </c>
      <c r="I127" s="9" t="s">
        <v>578</v>
      </c>
      <c r="J127" s="9" t="s">
        <v>578</v>
      </c>
      <c r="K127" s="9" t="str">
        <f>IFERROR(__xludf.DUMMYFUNCTION("FILTER(Nuance!D:D,Nuance!B:B=L127)"),"D")</f>
        <v>D</v>
      </c>
      <c r="L127" s="9" t="s">
        <v>28</v>
      </c>
      <c r="M127" s="9" t="s">
        <v>72</v>
      </c>
      <c r="N127" s="9">
        <v>1.0</v>
      </c>
      <c r="O127" s="9" t="s">
        <v>80</v>
      </c>
      <c r="P127" s="9" t="s">
        <v>579</v>
      </c>
      <c r="Q127" s="9" t="s">
        <v>580</v>
      </c>
      <c r="R127" s="10">
        <v>24316.0</v>
      </c>
      <c r="S127" s="9" t="s">
        <v>117</v>
      </c>
      <c r="T127" s="9"/>
      <c r="U127" s="9" t="s">
        <v>95</v>
      </c>
    </row>
    <row r="128">
      <c r="A128" s="8">
        <v>42318.71491898148</v>
      </c>
      <c r="B128" s="9">
        <v>94.0</v>
      </c>
      <c r="C128" s="9" t="s">
        <v>558</v>
      </c>
      <c r="D128" s="9" t="str">
        <f>IFERROR(__xludf.DUMMYFUNCTION("FILTER(Sheet5!B:B,Sheet5!A:A=C128)"),"SE")</f>
        <v>SE</v>
      </c>
      <c r="E128" s="9"/>
      <c r="F128" s="9"/>
      <c r="G128" s="9">
        <v>9.0</v>
      </c>
      <c r="H128" s="9">
        <v>13.0</v>
      </c>
      <c r="I128" s="9" t="s">
        <v>581</v>
      </c>
      <c r="J128" s="9" t="s">
        <v>581</v>
      </c>
      <c r="K128" s="9" t="str">
        <f>IFERROR(__xludf.DUMMYFUNCTION("FILTER(Nuance!D:D,Nuance!B:B=L128)"),"D")</f>
        <v>D</v>
      </c>
      <c r="L128" s="9" t="s">
        <v>28</v>
      </c>
      <c r="M128" s="9" t="s">
        <v>72</v>
      </c>
      <c r="N128" s="9">
        <v>1.0</v>
      </c>
      <c r="O128" s="9" t="s">
        <v>80</v>
      </c>
      <c r="P128" s="9" t="s">
        <v>582</v>
      </c>
      <c r="Q128" s="9" t="s">
        <v>583</v>
      </c>
      <c r="R128" s="10">
        <v>22042.0</v>
      </c>
      <c r="S128" s="9" t="s">
        <v>213</v>
      </c>
      <c r="T128" s="9"/>
      <c r="U128" s="9" t="s">
        <v>95</v>
      </c>
    </row>
    <row r="129">
      <c r="A129" s="8">
        <v>42318.71491898148</v>
      </c>
      <c r="B129" s="9">
        <v>94.0</v>
      </c>
      <c r="C129" s="9" t="s">
        <v>558</v>
      </c>
      <c r="D129" s="9" t="str">
        <f>IFERROR(__xludf.DUMMYFUNCTION("FILTER(Sheet5!B:B,Sheet5!A:A=C129)"),"SE")</f>
        <v>SE</v>
      </c>
      <c r="E129" s="9"/>
      <c r="F129" s="9"/>
      <c r="G129" s="9">
        <v>10.0</v>
      </c>
      <c r="H129" s="9">
        <v>4.0</v>
      </c>
      <c r="I129" s="9" t="s">
        <v>584</v>
      </c>
      <c r="J129" s="9" t="s">
        <v>585</v>
      </c>
      <c r="K129" s="9" t="str">
        <f>IFERROR(__xludf.DUMMYFUNCTION("FILTER(Nuance!D:D,Nuance!B:B=L129)"),"G")</f>
        <v>G</v>
      </c>
      <c r="L129" s="9" t="s">
        <v>5</v>
      </c>
      <c r="M129" s="9" t="s">
        <v>72</v>
      </c>
      <c r="N129" s="9">
        <v>1.0</v>
      </c>
      <c r="O129" s="9" t="s">
        <v>80</v>
      </c>
      <c r="P129" s="9" t="s">
        <v>586</v>
      </c>
      <c r="Q129" s="9" t="s">
        <v>391</v>
      </c>
      <c r="R129" s="10">
        <v>15730.0</v>
      </c>
      <c r="S129" s="9" t="s">
        <v>217</v>
      </c>
      <c r="T129" s="9" t="s">
        <v>587</v>
      </c>
      <c r="U129" s="9" t="s">
        <v>95</v>
      </c>
    </row>
    <row r="130">
      <c r="A130" s="8">
        <v>42318.71491898148</v>
      </c>
      <c r="B130" s="9">
        <v>94.0</v>
      </c>
      <c r="C130" s="9" t="s">
        <v>558</v>
      </c>
      <c r="D130" s="9" t="str">
        <f>IFERROR(__xludf.DUMMYFUNCTION("FILTER(Sheet5!B:B,Sheet5!A:A=C130)"),"SE")</f>
        <v>SE</v>
      </c>
      <c r="E130" s="9"/>
      <c r="F130" s="9"/>
      <c r="G130" s="9">
        <v>11.0</v>
      </c>
      <c r="H130" s="9">
        <v>9.0</v>
      </c>
      <c r="I130" s="9" t="s">
        <v>588</v>
      </c>
      <c r="J130" s="9" t="s">
        <v>588</v>
      </c>
      <c r="K130" s="9" t="str">
        <f>IFERROR(__xludf.DUMMYFUNCTION("FILTER(Nuance!D:D,Nuance!B:B=L130)"),"D")</f>
        <v>D</v>
      </c>
      <c r="L130" s="9" t="s">
        <v>35</v>
      </c>
      <c r="M130" s="9" t="s">
        <v>72</v>
      </c>
      <c r="N130" s="9">
        <v>1.0</v>
      </c>
      <c r="O130" s="9" t="s">
        <v>80</v>
      </c>
      <c r="P130" s="9" t="s">
        <v>589</v>
      </c>
      <c r="Q130" s="9" t="s">
        <v>590</v>
      </c>
      <c r="R130" s="10">
        <v>16241.0</v>
      </c>
      <c r="S130" s="9" t="s">
        <v>76</v>
      </c>
      <c r="T130" s="9"/>
      <c r="U130" s="9" t="s">
        <v>77</v>
      </c>
    </row>
    <row r="131">
      <c r="A131" s="8">
        <v>42318.71491898148</v>
      </c>
      <c r="B131" s="9">
        <v>94.0</v>
      </c>
      <c r="C131" s="9" t="s">
        <v>558</v>
      </c>
      <c r="D131" s="9" t="str">
        <f>IFERROR(__xludf.DUMMYFUNCTION("FILTER(Sheet5!B:B,Sheet5!A:A=C131)"),"SE")</f>
        <v>SE</v>
      </c>
      <c r="E131" s="9"/>
      <c r="F131" s="9"/>
      <c r="G131" s="9">
        <v>12.0</v>
      </c>
      <c r="H131" s="9">
        <v>8.0</v>
      </c>
      <c r="I131" s="9" t="s">
        <v>591</v>
      </c>
      <c r="J131" s="9" t="s">
        <v>592</v>
      </c>
      <c r="K131" s="9" t="str">
        <f>IFERROR(__xludf.DUMMYFUNCTION("FILTER(Nuance!D:D,Nuance!B:B=L131)"),"G")</f>
        <v>G</v>
      </c>
      <c r="L131" s="9" t="s">
        <v>19</v>
      </c>
      <c r="M131" s="9" t="s">
        <v>72</v>
      </c>
      <c r="N131" s="9">
        <v>1.0</v>
      </c>
      <c r="O131" s="9" t="s">
        <v>80</v>
      </c>
      <c r="P131" s="9" t="s">
        <v>593</v>
      </c>
      <c r="Q131" s="9" t="s">
        <v>208</v>
      </c>
      <c r="R131" s="10">
        <v>26328.0</v>
      </c>
      <c r="S131" s="9" t="s">
        <v>248</v>
      </c>
      <c r="T131" s="9"/>
      <c r="U131" s="9" t="s">
        <v>95</v>
      </c>
    </row>
    <row r="132">
      <c r="A132" s="8">
        <v>42318.71491898148</v>
      </c>
      <c r="B132" s="9">
        <v>94.0</v>
      </c>
      <c r="C132" s="9" t="s">
        <v>558</v>
      </c>
      <c r="D132" s="9" t="str">
        <f>IFERROR(__xludf.DUMMYFUNCTION("FILTER(Sheet5!B:B,Sheet5!A:A=C132)"),"SE")</f>
        <v>SE</v>
      </c>
      <c r="E132" s="9"/>
      <c r="F132" s="9"/>
      <c r="G132" s="9">
        <v>13.0</v>
      </c>
      <c r="H132" s="9">
        <v>5.0</v>
      </c>
      <c r="I132" s="9" t="s">
        <v>85</v>
      </c>
      <c r="J132" s="9" t="s">
        <v>85</v>
      </c>
      <c r="K132" s="9" t="str">
        <f>IFERROR(__xludf.DUMMYFUNCTION("FILTER(Nuance!D:D,Nuance!B:B=L132)"),"D")</f>
        <v>D</v>
      </c>
      <c r="L132" s="9" t="s">
        <v>39</v>
      </c>
      <c r="M132" s="9" t="s">
        <v>72</v>
      </c>
      <c r="N132" s="9">
        <v>1.0</v>
      </c>
      <c r="O132" s="9" t="s">
        <v>80</v>
      </c>
      <c r="P132" s="9" t="s">
        <v>594</v>
      </c>
      <c r="Q132" s="9" t="s">
        <v>595</v>
      </c>
      <c r="R132" s="10">
        <v>14246.0</v>
      </c>
      <c r="S132" s="9" t="s">
        <v>217</v>
      </c>
      <c r="T132" s="9"/>
      <c r="U132" s="9" t="s">
        <v>77</v>
      </c>
    </row>
    <row r="133">
      <c r="A133" s="8">
        <v>42318.71491898148</v>
      </c>
      <c r="B133" s="9">
        <v>1.0</v>
      </c>
      <c r="C133" s="9" t="s">
        <v>596</v>
      </c>
      <c r="D133" s="9" t="str">
        <f>IFERROR(__xludf.DUMMYFUNCTION("FILTER(Sheet5!B:B,Sheet5!A:A=C133)"),"OM")</f>
        <v>OM</v>
      </c>
      <c r="E133" s="9"/>
      <c r="F133" s="9"/>
      <c r="G133" s="9">
        <v>1.0</v>
      </c>
      <c r="H133" s="9">
        <v>5.0</v>
      </c>
      <c r="I133" s="9" t="s">
        <v>597</v>
      </c>
      <c r="J133" s="9" t="s">
        <v>598</v>
      </c>
      <c r="K133" s="9" t="str">
        <f>IFERROR(__xludf.DUMMYFUNCTION("FILTER(Nuance!D:D,Nuance!B:B=L133)"),"G")</f>
        <v>G</v>
      </c>
      <c r="L133" s="9" t="s">
        <v>3</v>
      </c>
      <c r="M133" s="9" t="s">
        <v>72</v>
      </c>
      <c r="N133" s="9">
        <v>1.0</v>
      </c>
      <c r="O133" s="9" t="s">
        <v>80</v>
      </c>
      <c r="P133" s="9" t="s">
        <v>599</v>
      </c>
      <c r="Q133" s="9" t="s">
        <v>133</v>
      </c>
      <c r="R133" s="10">
        <v>16682.0</v>
      </c>
      <c r="S133" s="9" t="s">
        <v>93</v>
      </c>
      <c r="T133" s="9"/>
      <c r="U133" s="9" t="s">
        <v>77</v>
      </c>
    </row>
    <row r="134">
      <c r="A134" s="8">
        <v>42318.71491898148</v>
      </c>
      <c r="B134" s="9">
        <v>1.0</v>
      </c>
      <c r="C134" s="9" t="s">
        <v>596</v>
      </c>
      <c r="D134" s="9" t="str">
        <f>IFERROR(__xludf.DUMMYFUNCTION("FILTER(Sheet5!B:B,Sheet5!A:A=C134)"),"OM")</f>
        <v>OM</v>
      </c>
      <c r="E134" s="9"/>
      <c r="F134" s="9"/>
      <c r="G134" s="9">
        <v>2.0</v>
      </c>
      <c r="H134" s="9">
        <v>9.0</v>
      </c>
      <c r="I134" s="9" t="s">
        <v>600</v>
      </c>
      <c r="J134" s="9" t="s">
        <v>600</v>
      </c>
      <c r="K134" s="9" t="str">
        <f>IFERROR(__xludf.DUMMYFUNCTION("FILTER(Nuance!D:D,Nuance!B:B=L134)"),"D")</f>
        <v>D</v>
      </c>
      <c r="L134" s="9" t="s">
        <v>35</v>
      </c>
      <c r="M134" s="9" t="s">
        <v>72</v>
      </c>
      <c r="N134" s="9">
        <v>1.0</v>
      </c>
      <c r="O134" s="9" t="s">
        <v>80</v>
      </c>
      <c r="P134" s="9" t="s">
        <v>601</v>
      </c>
      <c r="Q134" s="9" t="s">
        <v>88</v>
      </c>
      <c r="R134" s="10">
        <v>24609.0</v>
      </c>
      <c r="S134" s="9" t="s">
        <v>500</v>
      </c>
      <c r="T134" s="9"/>
      <c r="U134" s="9" t="s">
        <v>77</v>
      </c>
    </row>
    <row r="135">
      <c r="A135" s="8">
        <v>42318.71491898148</v>
      </c>
      <c r="B135" s="9">
        <v>1.0</v>
      </c>
      <c r="C135" s="9" t="s">
        <v>596</v>
      </c>
      <c r="D135" s="9" t="str">
        <f>IFERROR(__xludf.DUMMYFUNCTION("FILTER(Sheet5!B:B,Sheet5!A:A=C135)"),"OM")</f>
        <v>OM</v>
      </c>
      <c r="E135" s="9"/>
      <c r="F135" s="9"/>
      <c r="G135" s="9">
        <v>3.0</v>
      </c>
      <c r="H135" s="9">
        <v>10.0</v>
      </c>
      <c r="I135" s="9" t="s">
        <v>602</v>
      </c>
      <c r="J135" s="9" t="s">
        <v>603</v>
      </c>
      <c r="K135" s="9" t="str">
        <f>IFERROR(__xludf.DUMMYFUNCTION("FILTER(Nuance!D:D,Nuance!B:B=L135)"),"D")</f>
        <v>D</v>
      </c>
      <c r="L135" s="9" t="s">
        <v>28</v>
      </c>
      <c r="M135" s="9" t="s">
        <v>72</v>
      </c>
      <c r="N135" s="9">
        <v>1.0</v>
      </c>
      <c r="O135" s="9" t="s">
        <v>73</v>
      </c>
      <c r="P135" s="9" t="s">
        <v>604</v>
      </c>
      <c r="Q135" s="9" t="s">
        <v>605</v>
      </c>
      <c r="R135" s="10">
        <v>19883.0</v>
      </c>
      <c r="S135" s="9" t="s">
        <v>276</v>
      </c>
      <c r="T135" s="9"/>
      <c r="U135" s="9" t="s">
        <v>77</v>
      </c>
    </row>
    <row r="136">
      <c r="A136" s="8">
        <v>42318.71491898148</v>
      </c>
      <c r="B136" s="9">
        <v>1.0</v>
      </c>
      <c r="C136" s="9" t="s">
        <v>596</v>
      </c>
      <c r="D136" s="9" t="str">
        <f>IFERROR(__xludf.DUMMYFUNCTION("FILTER(Sheet5!B:B,Sheet5!A:A=C136)"),"OM")</f>
        <v>OM</v>
      </c>
      <c r="E136" s="9"/>
      <c r="F136" s="9"/>
      <c r="G136" s="9">
        <v>4.0</v>
      </c>
      <c r="H136" s="9">
        <v>2.0</v>
      </c>
      <c r="I136" s="9" t="s">
        <v>606</v>
      </c>
      <c r="J136" s="9" t="s">
        <v>607</v>
      </c>
      <c r="K136" s="9" t="str">
        <f>IFERROR(__xludf.DUMMYFUNCTION("FILTER(Nuance!D:D,Nuance!B:B=L136)"),"D")</f>
        <v>D</v>
      </c>
      <c r="L136" s="9" t="s">
        <v>43</v>
      </c>
      <c r="M136" s="9" t="s">
        <v>72</v>
      </c>
      <c r="N136" s="9">
        <v>1.0</v>
      </c>
      <c r="O136" s="9" t="s">
        <v>80</v>
      </c>
      <c r="P136" s="9" t="s">
        <v>608</v>
      </c>
      <c r="Q136" s="9" t="s">
        <v>609</v>
      </c>
      <c r="R136" s="10">
        <v>25140.0</v>
      </c>
      <c r="S136" s="9" t="s">
        <v>372</v>
      </c>
      <c r="T136" s="9"/>
      <c r="U136" s="9" t="s">
        <v>77</v>
      </c>
    </row>
    <row r="137">
      <c r="A137" s="8">
        <v>42318.71491898148</v>
      </c>
      <c r="B137" s="9">
        <v>1.0</v>
      </c>
      <c r="C137" s="9" t="s">
        <v>596</v>
      </c>
      <c r="D137" s="9" t="str">
        <f>IFERROR(__xludf.DUMMYFUNCTION("FILTER(Sheet5!B:B,Sheet5!A:A=C137)"),"OM")</f>
        <v>OM</v>
      </c>
      <c r="E137" s="9"/>
      <c r="F137" s="9"/>
      <c r="G137" s="9">
        <v>5.0</v>
      </c>
      <c r="H137" s="9">
        <v>11.0</v>
      </c>
      <c r="I137" s="9" t="s">
        <v>610</v>
      </c>
      <c r="J137" s="9" t="s">
        <v>611</v>
      </c>
      <c r="K137" s="9" t="str">
        <f>IFERROR(__xludf.DUMMYFUNCTION("FILTER(Nuance!D:D,Nuance!B:B=L137)"),"G")</f>
        <v>G</v>
      </c>
      <c r="L137" s="9" t="s">
        <v>13</v>
      </c>
      <c r="M137" s="9" t="s">
        <v>72</v>
      </c>
      <c r="N137" s="9">
        <v>1.0</v>
      </c>
      <c r="O137" s="9" t="s">
        <v>80</v>
      </c>
      <c r="P137" s="9" t="s">
        <v>612</v>
      </c>
      <c r="Q137" s="9" t="s">
        <v>613</v>
      </c>
      <c r="R137" s="10">
        <v>18860.0</v>
      </c>
      <c r="S137" s="9" t="s">
        <v>93</v>
      </c>
      <c r="T137" s="9" t="s">
        <v>122</v>
      </c>
      <c r="U137" s="9" t="s">
        <v>95</v>
      </c>
    </row>
    <row r="138">
      <c r="A138" s="8">
        <v>42318.71491898148</v>
      </c>
      <c r="B138" s="9">
        <v>1.0</v>
      </c>
      <c r="C138" s="9" t="s">
        <v>596</v>
      </c>
      <c r="D138" s="9" t="str">
        <f>IFERROR(__xludf.DUMMYFUNCTION("FILTER(Sheet5!B:B,Sheet5!A:A=C138)"),"OM")</f>
        <v>OM</v>
      </c>
      <c r="E138" s="9"/>
      <c r="F138" s="9"/>
      <c r="G138" s="9">
        <v>6.0</v>
      </c>
      <c r="H138" s="9">
        <v>3.0</v>
      </c>
      <c r="I138" s="9" t="s">
        <v>614</v>
      </c>
      <c r="J138" s="9" t="s">
        <v>615</v>
      </c>
      <c r="K138" s="9" t="str">
        <f>IFERROR(__xludf.DUMMYFUNCTION("FILTER(Nuance!D:D,Nuance!B:B=L138)"),"D")</f>
        <v>D</v>
      </c>
      <c r="L138" s="9" t="s">
        <v>41</v>
      </c>
      <c r="M138" s="9" t="s">
        <v>72</v>
      </c>
      <c r="N138" s="9">
        <v>1.0</v>
      </c>
      <c r="O138" s="9" t="s">
        <v>80</v>
      </c>
      <c r="P138" s="9" t="s">
        <v>616</v>
      </c>
      <c r="Q138" s="9" t="s">
        <v>617</v>
      </c>
      <c r="R138" s="10">
        <v>19121.0</v>
      </c>
      <c r="S138" s="9" t="s">
        <v>500</v>
      </c>
      <c r="T138" s="9"/>
      <c r="U138" s="9" t="s">
        <v>77</v>
      </c>
    </row>
    <row r="139">
      <c r="A139" s="8">
        <v>42318.71491898148</v>
      </c>
      <c r="B139" s="9">
        <v>1.0</v>
      </c>
      <c r="C139" s="9" t="s">
        <v>596</v>
      </c>
      <c r="D139" s="9" t="str">
        <f>IFERROR(__xludf.DUMMYFUNCTION("FILTER(Sheet5!B:B,Sheet5!A:A=C139)"),"OM")</f>
        <v>OM</v>
      </c>
      <c r="E139" s="9"/>
      <c r="F139" s="9"/>
      <c r="G139" s="9">
        <v>7.0</v>
      </c>
      <c r="H139" s="9">
        <v>8.0</v>
      </c>
      <c r="I139" s="9" t="s">
        <v>618</v>
      </c>
      <c r="J139" s="9" t="s">
        <v>619</v>
      </c>
      <c r="K139" s="9" t="str">
        <f>IFERROR(__xludf.DUMMYFUNCTION("FILTER(Nuance!D:D,Nuance!B:B=L139)"),"G")</f>
        <v>G</v>
      </c>
      <c r="L139" s="9" t="s">
        <v>9</v>
      </c>
      <c r="M139" s="9" t="s">
        <v>72</v>
      </c>
      <c r="N139" s="9">
        <v>1.0</v>
      </c>
      <c r="O139" s="9" t="s">
        <v>73</v>
      </c>
      <c r="P139" s="9" t="s">
        <v>620</v>
      </c>
      <c r="Q139" s="9" t="s">
        <v>621</v>
      </c>
      <c r="R139" s="10">
        <v>16777.0</v>
      </c>
      <c r="S139" s="9" t="s">
        <v>217</v>
      </c>
      <c r="T139" s="9"/>
      <c r="U139" s="9" t="s">
        <v>77</v>
      </c>
    </row>
    <row r="140">
      <c r="A140" s="8">
        <v>42318.71491898148</v>
      </c>
      <c r="B140" s="9">
        <v>1.0</v>
      </c>
      <c r="C140" s="9" t="s">
        <v>596</v>
      </c>
      <c r="D140" s="9" t="str">
        <f>IFERROR(__xludf.DUMMYFUNCTION("FILTER(Sheet5!B:B,Sheet5!A:A=C140)"),"OM")</f>
        <v>OM</v>
      </c>
      <c r="E140" s="9"/>
      <c r="F140" s="9"/>
      <c r="G140" s="9">
        <v>8.0</v>
      </c>
      <c r="H140" s="9">
        <v>6.0</v>
      </c>
      <c r="I140" s="9" t="s">
        <v>622</v>
      </c>
      <c r="J140" s="9" t="s">
        <v>623</v>
      </c>
      <c r="K140" s="9" t="str">
        <f>IFERROR(__xludf.DUMMYFUNCTION("FILTER(Nuance!D:D,Nuance!B:B=L140)"),"G")</f>
        <v>G</v>
      </c>
      <c r="L140" s="9" t="s">
        <v>19</v>
      </c>
      <c r="M140" s="9" t="s">
        <v>72</v>
      </c>
      <c r="N140" s="9">
        <v>1.0</v>
      </c>
      <c r="O140" s="9" t="s">
        <v>80</v>
      </c>
      <c r="P140" s="9" t="s">
        <v>624</v>
      </c>
      <c r="Q140" s="9" t="s">
        <v>625</v>
      </c>
      <c r="R140" s="10">
        <v>22621.0</v>
      </c>
      <c r="S140" s="9" t="s">
        <v>506</v>
      </c>
      <c r="T140" s="9"/>
      <c r="U140" s="9" t="s">
        <v>77</v>
      </c>
    </row>
    <row r="141">
      <c r="A141" s="8">
        <v>42318.71491898148</v>
      </c>
      <c r="B141" s="9">
        <v>1.0</v>
      </c>
      <c r="C141" s="9" t="s">
        <v>596</v>
      </c>
      <c r="D141" s="9" t="str">
        <f>IFERROR(__xludf.DUMMYFUNCTION("FILTER(Sheet5!B:B,Sheet5!A:A=C141)"),"OM")</f>
        <v>OM</v>
      </c>
      <c r="E141" s="9"/>
      <c r="F141" s="9"/>
      <c r="G141" s="9">
        <v>9.0</v>
      </c>
      <c r="H141" s="9">
        <v>7.0</v>
      </c>
      <c r="I141" s="9" t="s">
        <v>626</v>
      </c>
      <c r="J141" s="9" t="s">
        <v>626</v>
      </c>
      <c r="K141" s="9" t="str">
        <f>IFERROR(__xludf.DUMMYFUNCTION("FILTER(Nuance!D:D,Nuance!B:B=L141)"),"C")</f>
        <v>C</v>
      </c>
      <c r="L141" s="9" t="s">
        <v>25</v>
      </c>
      <c r="M141" s="9" t="s">
        <v>72</v>
      </c>
      <c r="N141" s="9">
        <v>1.0</v>
      </c>
      <c r="O141" s="9" t="s">
        <v>73</v>
      </c>
      <c r="P141" s="9" t="s">
        <v>627</v>
      </c>
      <c r="Q141" s="9" t="s">
        <v>628</v>
      </c>
      <c r="R141" s="10">
        <v>30009.0</v>
      </c>
      <c r="S141" s="9" t="s">
        <v>236</v>
      </c>
      <c r="T141" s="9"/>
      <c r="U141" s="9" t="s">
        <v>77</v>
      </c>
    </row>
    <row r="142">
      <c r="A142" s="8">
        <v>42318.71491898148</v>
      </c>
      <c r="B142" s="9">
        <v>1.0</v>
      </c>
      <c r="C142" s="9" t="s">
        <v>596</v>
      </c>
      <c r="D142" s="9" t="str">
        <f>IFERROR(__xludf.DUMMYFUNCTION("FILTER(Sheet5!B:B,Sheet5!A:A=C142)"),"OM")</f>
        <v>OM</v>
      </c>
      <c r="E142" s="9"/>
      <c r="F142" s="9"/>
      <c r="G142" s="9">
        <v>10.0</v>
      </c>
      <c r="H142" s="9">
        <v>4.0</v>
      </c>
      <c r="I142" s="9" t="s">
        <v>629</v>
      </c>
      <c r="J142" s="9" t="s">
        <v>629</v>
      </c>
      <c r="K142" s="9" t="str">
        <f>IFERROR(__xludf.DUMMYFUNCTION("FILTER(Nuance!D:D,Nuance!B:B=L142)"),"G")</f>
        <v>G</v>
      </c>
      <c r="L142" s="9" t="s">
        <v>3</v>
      </c>
      <c r="M142" s="9" t="s">
        <v>72</v>
      </c>
      <c r="N142" s="9">
        <v>1.0</v>
      </c>
      <c r="O142" s="9" t="s">
        <v>80</v>
      </c>
      <c r="P142" s="9" t="s">
        <v>630</v>
      </c>
      <c r="Q142" s="9" t="s">
        <v>631</v>
      </c>
      <c r="R142" s="10">
        <v>23771.0</v>
      </c>
      <c r="S142" s="9" t="s">
        <v>520</v>
      </c>
      <c r="T142" s="9"/>
      <c r="U142" s="9" t="s">
        <v>77</v>
      </c>
    </row>
    <row r="143">
      <c r="A143" s="8">
        <v>42318.71491898148</v>
      </c>
      <c r="B143" s="9">
        <v>2.0</v>
      </c>
      <c r="C143" s="9" t="s">
        <v>632</v>
      </c>
      <c r="D143" s="9" t="str">
        <f>IFERROR(__xludf.DUMMYFUNCTION("FILTER(Sheet5!B:B,Sheet5!A:A=C143)"),"OM")</f>
        <v>OM</v>
      </c>
      <c r="E143" s="9" t="s">
        <v>633</v>
      </c>
      <c r="F143" s="9" t="s">
        <v>634</v>
      </c>
      <c r="G143" s="9">
        <v>1.0</v>
      </c>
      <c r="H143" s="9">
        <v>4.0</v>
      </c>
      <c r="I143" s="9" t="s">
        <v>635</v>
      </c>
      <c r="J143" s="9" t="s">
        <v>636</v>
      </c>
      <c r="K143" s="9" t="str">
        <f>IFERROR(__xludf.DUMMYFUNCTION("FILTER(Nuance!D:D,Nuance!B:B=L143)"),"C")</f>
        <v>C</v>
      </c>
      <c r="L143" s="9" t="s">
        <v>25</v>
      </c>
      <c r="M143" s="9" t="s">
        <v>72</v>
      </c>
      <c r="N143" s="9">
        <v>1.0</v>
      </c>
      <c r="O143" s="9" t="s">
        <v>73</v>
      </c>
      <c r="P143" s="9" t="s">
        <v>637</v>
      </c>
      <c r="Q143" s="9" t="s">
        <v>244</v>
      </c>
      <c r="R143" s="10">
        <v>24435.0</v>
      </c>
      <c r="S143" s="9" t="s">
        <v>236</v>
      </c>
      <c r="T143" s="9"/>
      <c r="U143" s="9" t="s">
        <v>77</v>
      </c>
    </row>
    <row r="144">
      <c r="A144" s="8">
        <v>42318.71491898148</v>
      </c>
      <c r="B144" s="9">
        <v>2.0</v>
      </c>
      <c r="C144" s="9" t="s">
        <v>632</v>
      </c>
      <c r="D144" s="9" t="str">
        <f>IFERROR(__xludf.DUMMYFUNCTION("FILTER(Sheet5!B:B,Sheet5!A:A=C144)"),"OM")</f>
        <v>OM</v>
      </c>
      <c r="E144" s="9" t="s">
        <v>633</v>
      </c>
      <c r="F144" s="9" t="s">
        <v>634</v>
      </c>
      <c r="G144" s="9">
        <v>2.0</v>
      </c>
      <c r="H144" s="9">
        <v>3.0</v>
      </c>
      <c r="I144" s="9" t="s">
        <v>629</v>
      </c>
      <c r="J144" s="9" t="s">
        <v>629</v>
      </c>
      <c r="K144" s="9" t="str">
        <f>IFERROR(__xludf.DUMMYFUNCTION("FILTER(Nuance!D:D,Nuance!B:B=L144)"),"G")</f>
        <v>G</v>
      </c>
      <c r="L144" s="9" t="s">
        <v>3</v>
      </c>
      <c r="M144" s="9" t="s">
        <v>72</v>
      </c>
      <c r="N144" s="9">
        <v>1.0</v>
      </c>
      <c r="O144" s="9" t="s">
        <v>73</v>
      </c>
      <c r="P144" s="9" t="s">
        <v>638</v>
      </c>
      <c r="Q144" s="9" t="s">
        <v>639</v>
      </c>
      <c r="R144" s="10">
        <v>19155.0</v>
      </c>
      <c r="S144" s="9" t="s">
        <v>248</v>
      </c>
      <c r="T144" s="9"/>
      <c r="U144" s="9" t="s">
        <v>77</v>
      </c>
    </row>
    <row r="145">
      <c r="A145" s="8">
        <v>42318.71491898148</v>
      </c>
      <c r="B145" s="9">
        <v>2.0</v>
      </c>
      <c r="C145" s="9" t="s">
        <v>632</v>
      </c>
      <c r="D145" s="9" t="str">
        <f>IFERROR(__xludf.DUMMYFUNCTION("FILTER(Sheet5!B:B,Sheet5!A:A=C145)"),"OM")</f>
        <v>OM</v>
      </c>
      <c r="E145" s="9" t="s">
        <v>640</v>
      </c>
      <c r="F145" s="9" t="s">
        <v>641</v>
      </c>
      <c r="G145" s="9">
        <v>3.0</v>
      </c>
      <c r="H145" s="9">
        <v>9.0</v>
      </c>
      <c r="I145" s="9" t="s">
        <v>642</v>
      </c>
      <c r="J145" s="9" t="s">
        <v>642</v>
      </c>
      <c r="K145" s="9" t="str">
        <f>IFERROR(__xludf.DUMMYFUNCTION("FILTER(Nuance!D:D,Nuance!B:B=L145)"),"D")</f>
        <v>D</v>
      </c>
      <c r="L145" s="9" t="s">
        <v>35</v>
      </c>
      <c r="M145" s="9" t="s">
        <v>72</v>
      </c>
      <c r="N145" s="9">
        <v>1.0</v>
      </c>
      <c r="O145" s="9" t="s">
        <v>80</v>
      </c>
      <c r="P145" s="9" t="s">
        <v>643</v>
      </c>
      <c r="Q145" s="9" t="s">
        <v>644</v>
      </c>
      <c r="R145" s="10">
        <v>19105.0</v>
      </c>
      <c r="S145" s="9" t="s">
        <v>76</v>
      </c>
      <c r="T145" s="9"/>
      <c r="U145" s="9" t="s">
        <v>77</v>
      </c>
    </row>
    <row r="146">
      <c r="A146" s="8">
        <v>42318.71491898148</v>
      </c>
      <c r="B146" s="9">
        <v>2.0</v>
      </c>
      <c r="C146" s="9" t="s">
        <v>632</v>
      </c>
      <c r="D146" s="9" t="str">
        <f>IFERROR(__xludf.DUMMYFUNCTION("FILTER(Sheet5!B:B,Sheet5!A:A=C146)"),"OM")</f>
        <v>OM</v>
      </c>
      <c r="E146" s="9" t="s">
        <v>633</v>
      </c>
      <c r="F146" s="9" t="s">
        <v>634</v>
      </c>
      <c r="G146" s="9">
        <v>4.0</v>
      </c>
      <c r="H146" s="9">
        <v>7.0</v>
      </c>
      <c r="I146" s="9" t="s">
        <v>645</v>
      </c>
      <c r="J146" s="9" t="s">
        <v>645</v>
      </c>
      <c r="K146" s="9" t="str">
        <f>IFERROR(__xludf.DUMMYFUNCTION("FILTER(Nuance!D:D,Nuance!B:B=L146)"),"D")</f>
        <v>D</v>
      </c>
      <c r="L146" s="9" t="s">
        <v>41</v>
      </c>
      <c r="M146" s="9" t="s">
        <v>72</v>
      </c>
      <c r="N146" s="9">
        <v>1.0</v>
      </c>
      <c r="O146" s="9" t="s">
        <v>80</v>
      </c>
      <c r="P146" s="9" t="s">
        <v>646</v>
      </c>
      <c r="Q146" s="9" t="s">
        <v>152</v>
      </c>
      <c r="R146" s="10">
        <v>15405.0</v>
      </c>
      <c r="S146" s="9" t="s">
        <v>366</v>
      </c>
      <c r="T146" s="9"/>
      <c r="U146" s="9" t="s">
        <v>77</v>
      </c>
    </row>
    <row r="147">
      <c r="A147" s="8">
        <v>42318.71491898148</v>
      </c>
      <c r="B147" s="9">
        <v>2.0</v>
      </c>
      <c r="C147" s="9" t="s">
        <v>632</v>
      </c>
      <c r="D147" s="9" t="str">
        <f>IFERROR(__xludf.DUMMYFUNCTION("FILTER(Sheet5!B:B,Sheet5!A:A=C147)"),"OM")</f>
        <v>OM</v>
      </c>
      <c r="E147" s="9" t="s">
        <v>633</v>
      </c>
      <c r="F147" s="9" t="s">
        <v>634</v>
      </c>
      <c r="G147" s="9">
        <v>5.0</v>
      </c>
      <c r="H147" s="9">
        <v>6.0</v>
      </c>
      <c r="I147" s="9" t="s">
        <v>647</v>
      </c>
      <c r="J147" s="9" t="s">
        <v>648</v>
      </c>
      <c r="K147" s="9" t="str">
        <f>IFERROR(__xludf.DUMMYFUNCTION("FILTER(Nuance!D:D,Nuance!B:B=L147)"),"G")</f>
        <v>G</v>
      </c>
      <c r="L147" s="9" t="s">
        <v>19</v>
      </c>
      <c r="M147" s="9" t="s">
        <v>72</v>
      </c>
      <c r="N147" s="9">
        <v>1.0</v>
      </c>
      <c r="O147" s="9" t="s">
        <v>80</v>
      </c>
      <c r="P147" s="9" t="s">
        <v>649</v>
      </c>
      <c r="Q147" s="9" t="s">
        <v>551</v>
      </c>
      <c r="R147" s="10">
        <v>22021.0</v>
      </c>
      <c r="S147" s="9" t="s">
        <v>197</v>
      </c>
      <c r="T147" s="9"/>
      <c r="U147" s="9" t="s">
        <v>77</v>
      </c>
    </row>
    <row r="148">
      <c r="A148" s="8">
        <v>42318.71491898148</v>
      </c>
      <c r="B148" s="9">
        <v>2.0</v>
      </c>
      <c r="C148" s="9" t="s">
        <v>632</v>
      </c>
      <c r="D148" s="9" t="str">
        <f>IFERROR(__xludf.DUMMYFUNCTION("FILTER(Sheet5!B:B,Sheet5!A:A=C148)"),"OM")</f>
        <v>OM</v>
      </c>
      <c r="E148" s="9" t="s">
        <v>650</v>
      </c>
      <c r="F148" s="9" t="s">
        <v>651</v>
      </c>
      <c r="G148" s="9">
        <v>6.0</v>
      </c>
      <c r="H148" s="9">
        <v>10.0</v>
      </c>
      <c r="I148" s="9" t="s">
        <v>652</v>
      </c>
      <c r="J148" s="9" t="s">
        <v>653</v>
      </c>
      <c r="K148" s="9" t="str">
        <f>IFERROR(__xludf.DUMMYFUNCTION("FILTER(Nuance!D:D,Nuance!B:B=L148)"),"D")</f>
        <v>D</v>
      </c>
      <c r="L148" s="9" t="s">
        <v>28</v>
      </c>
      <c r="M148" s="9" t="s">
        <v>72</v>
      </c>
      <c r="N148" s="9">
        <v>1.0</v>
      </c>
      <c r="O148" s="9" t="s">
        <v>80</v>
      </c>
      <c r="P148" s="9" t="s">
        <v>654</v>
      </c>
      <c r="Q148" s="9" t="s">
        <v>655</v>
      </c>
      <c r="R148" s="10">
        <v>13469.0</v>
      </c>
      <c r="S148" s="9" t="s">
        <v>217</v>
      </c>
      <c r="T148" s="9" t="s">
        <v>202</v>
      </c>
      <c r="U148" s="9" t="s">
        <v>77</v>
      </c>
    </row>
    <row r="149">
      <c r="A149" s="8">
        <v>42318.71491898148</v>
      </c>
      <c r="B149" s="9">
        <v>2.0</v>
      </c>
      <c r="C149" s="9" t="s">
        <v>632</v>
      </c>
      <c r="D149" s="9" t="str">
        <f>IFERROR(__xludf.DUMMYFUNCTION("FILTER(Sheet5!B:B,Sheet5!A:A=C149)"),"OM")</f>
        <v>OM</v>
      </c>
      <c r="E149" s="9" t="s">
        <v>656</v>
      </c>
      <c r="F149" s="9" t="s">
        <v>657</v>
      </c>
      <c r="G149" s="9">
        <v>7.0</v>
      </c>
      <c r="H149" s="9">
        <v>2.0</v>
      </c>
      <c r="I149" s="9" t="s">
        <v>658</v>
      </c>
      <c r="J149" s="9" t="s">
        <v>658</v>
      </c>
      <c r="K149" s="9" t="str">
        <f>IFERROR(__xludf.DUMMYFUNCTION("FILTER(Nuance!D:D,Nuance!B:B=L149)"),"C")</f>
        <v>C</v>
      </c>
      <c r="L149" s="9" t="s">
        <v>33</v>
      </c>
      <c r="M149" s="9" t="s">
        <v>72</v>
      </c>
      <c r="N149" s="9">
        <v>1.0</v>
      </c>
      <c r="O149" s="9" t="s">
        <v>80</v>
      </c>
      <c r="P149" s="9" t="s">
        <v>659</v>
      </c>
      <c r="Q149" s="9" t="s">
        <v>120</v>
      </c>
      <c r="R149" s="10">
        <v>20956.0</v>
      </c>
      <c r="S149" s="9" t="s">
        <v>323</v>
      </c>
      <c r="T149" s="9"/>
      <c r="U149" s="9" t="s">
        <v>77</v>
      </c>
    </row>
    <row r="150">
      <c r="A150" s="8">
        <v>42318.71491898148</v>
      </c>
      <c r="B150" s="9">
        <v>2.0</v>
      </c>
      <c r="C150" s="9" t="s">
        <v>632</v>
      </c>
      <c r="D150" s="9" t="str">
        <f>IFERROR(__xludf.DUMMYFUNCTION("FILTER(Sheet5!B:B,Sheet5!A:A=C150)"),"OM")</f>
        <v>OM</v>
      </c>
      <c r="E150" s="9" t="s">
        <v>640</v>
      </c>
      <c r="F150" s="9" t="s">
        <v>641</v>
      </c>
      <c r="G150" s="9">
        <v>8.0</v>
      </c>
      <c r="H150" s="9">
        <v>5.0</v>
      </c>
      <c r="I150" s="9" t="s">
        <v>660</v>
      </c>
      <c r="J150" s="9" t="s">
        <v>660</v>
      </c>
      <c r="K150" s="9" t="str">
        <f>IFERROR(__xludf.DUMMYFUNCTION("FILTER(Nuance!D:D,Nuance!B:B=L150)"),"D")</f>
        <v>D</v>
      </c>
      <c r="L150" s="9" t="s">
        <v>28</v>
      </c>
      <c r="M150" s="9" t="s">
        <v>72</v>
      </c>
      <c r="N150" s="9">
        <v>1.0</v>
      </c>
      <c r="O150" s="9" t="s">
        <v>80</v>
      </c>
      <c r="P150" s="9" t="s">
        <v>661</v>
      </c>
      <c r="Q150" s="9" t="s">
        <v>662</v>
      </c>
      <c r="R150" s="10">
        <v>22952.0</v>
      </c>
      <c r="S150" s="9" t="s">
        <v>398</v>
      </c>
      <c r="T150" s="9"/>
      <c r="U150" s="9" t="s">
        <v>95</v>
      </c>
    </row>
    <row r="151">
      <c r="A151" s="8">
        <v>42318.71491898148</v>
      </c>
      <c r="B151" s="9">
        <v>2.0</v>
      </c>
      <c r="C151" s="9" t="s">
        <v>632</v>
      </c>
      <c r="D151" s="9" t="str">
        <f>IFERROR(__xludf.DUMMYFUNCTION("FILTER(Sheet5!B:B,Sheet5!A:A=C151)"),"OM")</f>
        <v>OM</v>
      </c>
      <c r="E151" s="9" t="s">
        <v>633</v>
      </c>
      <c r="F151" s="9" t="s">
        <v>634</v>
      </c>
      <c r="G151" s="9">
        <v>9.0</v>
      </c>
      <c r="H151" s="9">
        <v>8.0</v>
      </c>
      <c r="I151" s="9" t="s">
        <v>663</v>
      </c>
      <c r="J151" s="9" t="s">
        <v>664</v>
      </c>
      <c r="K151" s="9" t="str">
        <f>IFERROR(__xludf.DUMMYFUNCTION("FILTER(Nuance!D:D,Nuance!B:B=L151)"),"G")</f>
        <v>G</v>
      </c>
      <c r="L151" s="9" t="s">
        <v>19</v>
      </c>
      <c r="M151" s="9" t="s">
        <v>72</v>
      </c>
      <c r="N151" s="9">
        <v>1.0</v>
      </c>
      <c r="O151" s="9" t="s">
        <v>80</v>
      </c>
      <c r="P151" s="9" t="s">
        <v>665</v>
      </c>
      <c r="Q151" s="9" t="s">
        <v>666</v>
      </c>
      <c r="R151" s="10">
        <v>19372.0</v>
      </c>
      <c r="S151" s="9" t="s">
        <v>398</v>
      </c>
      <c r="T151" s="9" t="s">
        <v>122</v>
      </c>
      <c r="U151" s="9" t="s">
        <v>95</v>
      </c>
    </row>
    <row r="152">
      <c r="A152" s="8">
        <v>42318.71491898148</v>
      </c>
      <c r="B152" s="9">
        <v>3.0</v>
      </c>
      <c r="C152" s="9" t="s">
        <v>667</v>
      </c>
      <c r="D152" s="9" t="str">
        <f>IFERROR(__xludf.DUMMYFUNCTION("FILTER(Sheet5!B:B,Sheet5!A:A=C152)"),"OM")</f>
        <v>OM</v>
      </c>
      <c r="E152" s="9" t="s">
        <v>668</v>
      </c>
      <c r="F152" s="9" t="s">
        <v>669</v>
      </c>
      <c r="G152" s="9">
        <v>1.0</v>
      </c>
      <c r="H152" s="9">
        <v>2.0</v>
      </c>
      <c r="I152" s="9" t="s">
        <v>670</v>
      </c>
      <c r="J152" s="9" t="s">
        <v>671</v>
      </c>
      <c r="K152" s="9" t="str">
        <f>IFERROR(__xludf.DUMMYFUNCTION("FILTER(Nuance!D:D,Nuance!B:B=L152)"),"D")</f>
        <v>D</v>
      </c>
      <c r="L152" s="9" t="s">
        <v>35</v>
      </c>
      <c r="M152" s="9" t="s">
        <v>72</v>
      </c>
      <c r="N152" s="9">
        <v>1.0</v>
      </c>
      <c r="O152" s="9" t="s">
        <v>80</v>
      </c>
      <c r="P152" s="9" t="s">
        <v>672</v>
      </c>
      <c r="Q152" s="9" t="s">
        <v>673</v>
      </c>
      <c r="R152" s="10">
        <v>21429.0</v>
      </c>
      <c r="S152" s="9" t="s">
        <v>452</v>
      </c>
      <c r="T152" s="9"/>
      <c r="U152" s="9" t="s">
        <v>95</v>
      </c>
    </row>
    <row r="153">
      <c r="A153" s="8">
        <v>42318.71491898148</v>
      </c>
      <c r="B153" s="9">
        <v>3.0</v>
      </c>
      <c r="C153" s="9" t="s">
        <v>667</v>
      </c>
      <c r="D153" s="9" t="str">
        <f>IFERROR(__xludf.DUMMYFUNCTION("FILTER(Sheet5!B:B,Sheet5!A:A=C153)"),"OM")</f>
        <v>OM</v>
      </c>
      <c r="E153" s="9" t="s">
        <v>674</v>
      </c>
      <c r="F153" s="9" t="s">
        <v>675</v>
      </c>
      <c r="G153" s="9">
        <v>2.0</v>
      </c>
      <c r="H153" s="9">
        <v>8.0</v>
      </c>
      <c r="I153" s="9" t="s">
        <v>676</v>
      </c>
      <c r="J153" s="9" t="s">
        <v>677</v>
      </c>
      <c r="K153" s="9" t="str">
        <f>IFERROR(__xludf.DUMMYFUNCTION("FILTER(Nuance!D:D,Nuance!B:B=L153)"),"G")</f>
        <v>G</v>
      </c>
      <c r="L153" s="9" t="s">
        <v>19</v>
      </c>
      <c r="M153" s="9" t="s">
        <v>72</v>
      </c>
      <c r="N153" s="9">
        <v>1.0</v>
      </c>
      <c r="O153" s="9" t="s">
        <v>73</v>
      </c>
      <c r="P153" s="11" t="s">
        <v>678</v>
      </c>
      <c r="Q153" s="9" t="s">
        <v>679</v>
      </c>
      <c r="R153" s="10">
        <v>26666.0</v>
      </c>
      <c r="S153" s="9" t="s">
        <v>159</v>
      </c>
      <c r="T153" s="9"/>
      <c r="U153" s="9" t="s">
        <v>95</v>
      </c>
    </row>
    <row r="154">
      <c r="A154" s="8">
        <v>42318.71491898148</v>
      </c>
      <c r="B154" s="9">
        <v>3.0</v>
      </c>
      <c r="C154" s="9" t="s">
        <v>667</v>
      </c>
      <c r="D154" s="9" t="str">
        <f>IFERROR(__xludf.DUMMYFUNCTION("FILTER(Sheet5!B:B,Sheet5!A:A=C154)"),"OM")</f>
        <v>OM</v>
      </c>
      <c r="E154" s="9" t="s">
        <v>674</v>
      </c>
      <c r="F154" s="9" t="s">
        <v>675</v>
      </c>
      <c r="G154" s="9">
        <v>3.0</v>
      </c>
      <c r="H154" s="9">
        <v>3.0</v>
      </c>
      <c r="I154" s="9" t="s">
        <v>680</v>
      </c>
      <c r="J154" s="9" t="s">
        <v>681</v>
      </c>
      <c r="K154" s="9" t="str">
        <f>IFERROR(__xludf.DUMMYFUNCTION("FILTER(Nuance!D:D,Nuance!B:B=L154)"),"G")</f>
        <v>G</v>
      </c>
      <c r="L154" s="9" t="s">
        <v>19</v>
      </c>
      <c r="M154" s="9" t="s">
        <v>72</v>
      </c>
      <c r="N154" s="9">
        <v>1.0</v>
      </c>
      <c r="O154" s="9" t="s">
        <v>80</v>
      </c>
      <c r="P154" s="9" t="s">
        <v>682</v>
      </c>
      <c r="Q154" s="9" t="s">
        <v>683</v>
      </c>
      <c r="R154" s="10">
        <v>19627.0</v>
      </c>
      <c r="S154" s="9" t="s">
        <v>398</v>
      </c>
      <c r="T154" s="9" t="s">
        <v>122</v>
      </c>
      <c r="U154" s="9" t="s">
        <v>95</v>
      </c>
    </row>
    <row r="155">
      <c r="A155" s="8">
        <v>42318.71491898148</v>
      </c>
      <c r="B155" s="9">
        <v>3.0</v>
      </c>
      <c r="C155" s="9" t="s">
        <v>667</v>
      </c>
      <c r="D155" s="9" t="str">
        <f>IFERROR(__xludf.DUMMYFUNCTION("FILTER(Sheet5!B:B,Sheet5!A:A=C155)"),"OM")</f>
        <v>OM</v>
      </c>
      <c r="E155" s="9" t="s">
        <v>674</v>
      </c>
      <c r="F155" s="9" t="s">
        <v>675</v>
      </c>
      <c r="G155" s="9">
        <v>4.0</v>
      </c>
      <c r="H155" s="9">
        <v>7.0</v>
      </c>
      <c r="I155" s="9" t="s">
        <v>15</v>
      </c>
      <c r="J155" s="9" t="s">
        <v>684</v>
      </c>
      <c r="K155" s="9" t="str">
        <f>IFERROR(__xludf.DUMMYFUNCTION("FILTER(Nuance!D:D,Nuance!B:B=L155)"),"D")</f>
        <v>D</v>
      </c>
      <c r="L155" s="9" t="s">
        <v>41</v>
      </c>
      <c r="M155" s="9" t="s">
        <v>72</v>
      </c>
      <c r="N155" s="9">
        <v>1.0</v>
      </c>
      <c r="O155" s="9" t="s">
        <v>73</v>
      </c>
      <c r="P155" s="9" t="s">
        <v>685</v>
      </c>
      <c r="Q155" s="9" t="s">
        <v>686</v>
      </c>
      <c r="R155" s="10">
        <v>26762.0</v>
      </c>
      <c r="S155" s="9" t="s">
        <v>129</v>
      </c>
      <c r="T155" s="9"/>
      <c r="U155" s="9" t="s">
        <v>77</v>
      </c>
    </row>
    <row r="156">
      <c r="A156" s="8">
        <v>42318.71491898148</v>
      </c>
      <c r="B156" s="9">
        <v>3.0</v>
      </c>
      <c r="C156" s="9" t="s">
        <v>667</v>
      </c>
      <c r="D156" s="9" t="str">
        <f>IFERROR(__xludf.DUMMYFUNCTION("FILTER(Sheet5!B:B,Sheet5!A:A=C156)"),"OM")</f>
        <v>OM</v>
      </c>
      <c r="E156" s="9" t="s">
        <v>687</v>
      </c>
      <c r="F156" s="9" t="s">
        <v>688</v>
      </c>
      <c r="G156" s="9">
        <v>5.0</v>
      </c>
      <c r="H156" s="9">
        <v>10.0</v>
      </c>
      <c r="I156" s="9" t="s">
        <v>689</v>
      </c>
      <c r="J156" s="9" t="s">
        <v>690</v>
      </c>
      <c r="K156" s="9" t="str">
        <f>IFERROR(__xludf.DUMMYFUNCTION("FILTER(Nuance!D:D,Nuance!B:B=L156)"),"D")</f>
        <v>D</v>
      </c>
      <c r="L156" s="9" t="s">
        <v>28</v>
      </c>
      <c r="M156" s="9" t="s">
        <v>72</v>
      </c>
      <c r="N156" s="9">
        <v>1.0</v>
      </c>
      <c r="O156" s="9" t="s">
        <v>80</v>
      </c>
      <c r="P156" s="11" t="s">
        <v>678</v>
      </c>
      <c r="Q156" s="9" t="s">
        <v>691</v>
      </c>
      <c r="R156" s="10">
        <v>21651.0</v>
      </c>
      <c r="S156" s="9" t="s">
        <v>153</v>
      </c>
      <c r="T156" s="9"/>
      <c r="U156" s="9" t="s">
        <v>77</v>
      </c>
    </row>
    <row r="157">
      <c r="A157" s="8">
        <v>42318.71491898148</v>
      </c>
      <c r="B157" s="9">
        <v>3.0</v>
      </c>
      <c r="C157" s="9" t="s">
        <v>667</v>
      </c>
      <c r="D157" s="9" t="str">
        <f>IFERROR(__xludf.DUMMYFUNCTION("FILTER(Sheet5!B:B,Sheet5!A:A=C157)"),"OM")</f>
        <v>OM</v>
      </c>
      <c r="E157" s="9" t="s">
        <v>692</v>
      </c>
      <c r="F157" s="9" t="s">
        <v>693</v>
      </c>
      <c r="G157" s="9">
        <v>6.0</v>
      </c>
      <c r="H157" s="9">
        <v>4.0</v>
      </c>
      <c r="I157" s="9" t="s">
        <v>694</v>
      </c>
      <c r="J157" s="9" t="s">
        <v>695</v>
      </c>
      <c r="K157" s="9" t="str">
        <f>IFERROR(__xludf.DUMMYFUNCTION("FILTER(Nuance!D:D,Nuance!B:B=L157)"),"G")</f>
        <v>G</v>
      </c>
      <c r="L157" s="9" t="s">
        <v>19</v>
      </c>
      <c r="M157" s="9" t="s">
        <v>72</v>
      </c>
      <c r="N157" s="9">
        <v>1.0</v>
      </c>
      <c r="O157" s="9" t="s">
        <v>73</v>
      </c>
      <c r="P157" s="9" t="s">
        <v>696</v>
      </c>
      <c r="Q157" s="9" t="s">
        <v>196</v>
      </c>
      <c r="R157" s="10">
        <v>21440.0</v>
      </c>
      <c r="S157" s="9" t="s">
        <v>303</v>
      </c>
      <c r="T157" s="9" t="s">
        <v>202</v>
      </c>
      <c r="U157" s="9" t="s">
        <v>77</v>
      </c>
    </row>
    <row r="158">
      <c r="A158" s="8">
        <v>42318.71491898148</v>
      </c>
      <c r="B158" s="9">
        <v>3.0</v>
      </c>
      <c r="C158" s="9" t="s">
        <v>667</v>
      </c>
      <c r="D158" s="9" t="str">
        <f>IFERROR(__xludf.DUMMYFUNCTION("FILTER(Sheet5!B:B,Sheet5!A:A=C158)"),"OM")</f>
        <v>OM</v>
      </c>
      <c r="E158" s="9" t="s">
        <v>674</v>
      </c>
      <c r="F158" s="9" t="s">
        <v>675</v>
      </c>
      <c r="G158" s="9">
        <v>7.0</v>
      </c>
      <c r="H158" s="9">
        <v>5.0</v>
      </c>
      <c r="I158" s="9" t="s">
        <v>697</v>
      </c>
      <c r="J158" s="9" t="s">
        <v>698</v>
      </c>
      <c r="K158" s="9" t="str">
        <f>IFERROR(__xludf.DUMMYFUNCTION("FILTER(Nuance!D:D,Nuance!B:B=L158)"),"G")</f>
        <v>G</v>
      </c>
      <c r="L158" s="9" t="s">
        <v>19</v>
      </c>
      <c r="M158" s="9" t="s">
        <v>72</v>
      </c>
      <c r="N158" s="9">
        <v>1.0</v>
      </c>
      <c r="O158" s="9" t="s">
        <v>80</v>
      </c>
      <c r="P158" s="9" t="s">
        <v>699</v>
      </c>
      <c r="Q158" s="9" t="s">
        <v>133</v>
      </c>
      <c r="R158" s="10">
        <v>23152.0</v>
      </c>
      <c r="S158" s="9" t="s">
        <v>159</v>
      </c>
      <c r="T158" s="9" t="s">
        <v>700</v>
      </c>
      <c r="U158" s="9" t="s">
        <v>95</v>
      </c>
    </row>
    <row r="159">
      <c r="A159" s="8">
        <v>42318.71491898148</v>
      </c>
      <c r="B159" s="9">
        <v>3.0</v>
      </c>
      <c r="C159" s="9" t="s">
        <v>667</v>
      </c>
      <c r="D159" s="9" t="str">
        <f>IFERROR(__xludf.DUMMYFUNCTION("FILTER(Sheet5!B:B,Sheet5!A:A=C159)"),"OM")</f>
        <v>OM</v>
      </c>
      <c r="E159" s="9" t="s">
        <v>674</v>
      </c>
      <c r="F159" s="9" t="s">
        <v>675</v>
      </c>
      <c r="G159" s="9">
        <v>8.0</v>
      </c>
      <c r="H159" s="9">
        <v>9.0</v>
      </c>
      <c r="I159" s="9" t="s">
        <v>701</v>
      </c>
      <c r="J159" s="9" t="s">
        <v>702</v>
      </c>
      <c r="K159" s="9" t="str">
        <f>IFERROR(__xludf.DUMMYFUNCTION("FILTER(Nuance!D:D,Nuance!B:B=L159)"),"G")</f>
        <v>G</v>
      </c>
      <c r="L159" s="9" t="s">
        <v>19</v>
      </c>
      <c r="M159" s="9" t="s">
        <v>72</v>
      </c>
      <c r="N159" s="9">
        <v>1.0</v>
      </c>
      <c r="O159" s="9" t="s">
        <v>80</v>
      </c>
      <c r="P159" s="9" t="s">
        <v>703</v>
      </c>
      <c r="Q159" s="9" t="s">
        <v>631</v>
      </c>
      <c r="R159" s="10">
        <v>18490.0</v>
      </c>
      <c r="S159" s="9" t="s">
        <v>76</v>
      </c>
      <c r="T159" s="9"/>
      <c r="U159" s="9" t="s">
        <v>77</v>
      </c>
    </row>
    <row r="160">
      <c r="A160" s="8">
        <v>42318.71491898148</v>
      </c>
      <c r="B160" s="9">
        <v>3.0</v>
      </c>
      <c r="C160" s="9" t="s">
        <v>667</v>
      </c>
      <c r="D160" s="9" t="str">
        <f>IFERROR(__xludf.DUMMYFUNCTION("FILTER(Sheet5!B:B,Sheet5!A:A=C160)"),"OM")</f>
        <v>OM</v>
      </c>
      <c r="E160" s="9" t="s">
        <v>674</v>
      </c>
      <c r="F160" s="9" t="s">
        <v>675</v>
      </c>
      <c r="G160" s="9">
        <v>9.0</v>
      </c>
      <c r="H160" s="9">
        <v>6.0</v>
      </c>
      <c r="I160" s="9" t="s">
        <v>704</v>
      </c>
      <c r="J160" s="9" t="s">
        <v>705</v>
      </c>
      <c r="K160" s="9" t="str">
        <f>IFERROR(__xludf.DUMMYFUNCTION("FILTER(Nuance!D:D,Nuance!B:B=L160)"),"D")</f>
        <v>D</v>
      </c>
      <c r="L160" s="9" t="s">
        <v>28</v>
      </c>
      <c r="M160" s="9" t="s">
        <v>72</v>
      </c>
      <c r="N160" s="9">
        <v>1.0</v>
      </c>
      <c r="O160" s="9" t="s">
        <v>80</v>
      </c>
      <c r="P160" s="9" t="s">
        <v>706</v>
      </c>
      <c r="Q160" s="9" t="s">
        <v>433</v>
      </c>
      <c r="R160" s="10">
        <v>21001.0</v>
      </c>
      <c r="S160" s="9" t="s">
        <v>248</v>
      </c>
      <c r="T160" s="9"/>
      <c r="U160" s="9" t="s">
        <v>95</v>
      </c>
    </row>
    <row r="161">
      <c r="A161" s="8">
        <v>42318.71491898148</v>
      </c>
      <c r="B161" s="9">
        <v>4.0</v>
      </c>
      <c r="C161" s="9" t="s">
        <v>707</v>
      </c>
      <c r="D161" s="9" t="str">
        <f>IFERROR(__xludf.DUMMYFUNCTION("FILTER(Sheet5!B:B,Sheet5!A:A=C161)"),"OM")</f>
        <v>OM</v>
      </c>
      <c r="E161" s="9"/>
      <c r="F161" s="9"/>
      <c r="G161" s="9">
        <v>1.0</v>
      </c>
      <c r="H161" s="9">
        <v>4.0</v>
      </c>
      <c r="I161" s="9" t="s">
        <v>708</v>
      </c>
      <c r="J161" s="9" t="s">
        <v>709</v>
      </c>
      <c r="K161" s="9" t="str">
        <f>IFERROR(__xludf.DUMMYFUNCTION("FILTER(Nuance!D:D,Nuance!B:B=L161)"),"G")</f>
        <v>G</v>
      </c>
      <c r="L161" s="9" t="s">
        <v>19</v>
      </c>
      <c r="M161" s="9" t="s">
        <v>72</v>
      </c>
      <c r="N161" s="9">
        <v>1.0</v>
      </c>
      <c r="O161" s="9" t="s">
        <v>80</v>
      </c>
      <c r="P161" s="9" t="s">
        <v>710</v>
      </c>
      <c r="Q161" s="9" t="s">
        <v>711</v>
      </c>
      <c r="R161" s="10">
        <v>24648.0</v>
      </c>
      <c r="S161" s="9" t="s">
        <v>520</v>
      </c>
      <c r="T161" s="9"/>
      <c r="U161" s="9" t="s">
        <v>77</v>
      </c>
    </row>
    <row r="162">
      <c r="A162" s="8">
        <v>42318.71491898148</v>
      </c>
      <c r="B162" s="9">
        <v>4.0</v>
      </c>
      <c r="C162" s="9" t="s">
        <v>707</v>
      </c>
      <c r="D162" s="9" t="str">
        <f>IFERROR(__xludf.DUMMYFUNCTION("FILTER(Sheet5!B:B,Sheet5!A:A=C162)"),"OM")</f>
        <v>OM</v>
      </c>
      <c r="E162" s="9"/>
      <c r="F162" s="9"/>
      <c r="G162" s="9">
        <v>2.0</v>
      </c>
      <c r="H162" s="9">
        <v>14.0</v>
      </c>
      <c r="I162" s="9" t="s">
        <v>712</v>
      </c>
      <c r="J162" s="9" t="s">
        <v>713</v>
      </c>
      <c r="K162" s="9" t="str">
        <f>IFERROR(__xludf.DUMMYFUNCTION("FILTER(Nuance!D:D,Nuance!B:B=L162)"),"G")</f>
        <v>G</v>
      </c>
      <c r="L162" s="9" t="s">
        <v>19</v>
      </c>
      <c r="M162" s="9" t="s">
        <v>72</v>
      </c>
      <c r="N162" s="9">
        <v>1.0</v>
      </c>
      <c r="O162" s="9" t="s">
        <v>80</v>
      </c>
      <c r="P162" s="9" t="s">
        <v>714</v>
      </c>
      <c r="Q162" s="9" t="s">
        <v>82</v>
      </c>
      <c r="R162" s="10">
        <v>23260.0</v>
      </c>
      <c r="S162" s="9" t="s">
        <v>248</v>
      </c>
      <c r="T162" s="9" t="s">
        <v>202</v>
      </c>
      <c r="U162" s="9" t="s">
        <v>77</v>
      </c>
    </row>
    <row r="163">
      <c r="A163" s="8">
        <v>42318.71491898148</v>
      </c>
      <c r="B163" s="9">
        <v>4.0</v>
      </c>
      <c r="C163" s="9" t="s">
        <v>707</v>
      </c>
      <c r="D163" s="9" t="str">
        <f>IFERROR(__xludf.DUMMYFUNCTION("FILTER(Sheet5!B:B,Sheet5!A:A=C163)"),"OM")</f>
        <v>OM</v>
      </c>
      <c r="E163" s="9"/>
      <c r="F163" s="9"/>
      <c r="G163" s="9">
        <v>3.0</v>
      </c>
      <c r="H163" s="9">
        <v>9.0</v>
      </c>
      <c r="I163" s="9" t="s">
        <v>715</v>
      </c>
      <c r="J163" s="9" t="s">
        <v>716</v>
      </c>
      <c r="K163" s="9" t="str">
        <f>IFERROR(__xludf.DUMMYFUNCTION("FILTER(Nuance!D:D,Nuance!B:B=L163)"),"D")</f>
        <v>D</v>
      </c>
      <c r="L163" s="9" t="s">
        <v>41</v>
      </c>
      <c r="M163" s="9" t="s">
        <v>72</v>
      </c>
      <c r="N163" s="9">
        <v>1.0</v>
      </c>
      <c r="O163" s="9" t="s">
        <v>80</v>
      </c>
      <c r="P163" s="9" t="s">
        <v>717</v>
      </c>
      <c r="Q163" s="9" t="s">
        <v>718</v>
      </c>
      <c r="R163" s="10">
        <v>19963.0</v>
      </c>
      <c r="S163" s="9" t="s">
        <v>217</v>
      </c>
      <c r="T163" s="9"/>
      <c r="U163" s="9" t="s">
        <v>77</v>
      </c>
    </row>
    <row r="164">
      <c r="A164" s="8">
        <v>42318.71491898148</v>
      </c>
      <c r="B164" s="9">
        <v>4.0</v>
      </c>
      <c r="C164" s="9" t="s">
        <v>707</v>
      </c>
      <c r="D164" s="9" t="str">
        <f>IFERROR(__xludf.DUMMYFUNCTION("FILTER(Sheet5!B:B,Sheet5!A:A=C164)"),"OM")</f>
        <v>OM</v>
      </c>
      <c r="E164" s="9"/>
      <c r="F164" s="9"/>
      <c r="G164" s="9">
        <v>4.0</v>
      </c>
      <c r="H164" s="9">
        <v>13.0</v>
      </c>
      <c r="I164" s="9" t="s">
        <v>719</v>
      </c>
      <c r="J164" s="9" t="s">
        <v>720</v>
      </c>
      <c r="K164" s="9" t="str">
        <f>IFERROR(__xludf.DUMMYFUNCTION("FILTER(Nuance!D:D,Nuance!B:B=L164)"),"D")</f>
        <v>D</v>
      </c>
      <c r="L164" s="9" t="s">
        <v>39</v>
      </c>
      <c r="M164" s="9" t="s">
        <v>72</v>
      </c>
      <c r="N164" s="9">
        <v>1.0</v>
      </c>
      <c r="O164" s="9" t="s">
        <v>80</v>
      </c>
      <c r="P164" s="9" t="s">
        <v>721</v>
      </c>
      <c r="Q164" s="9" t="s">
        <v>216</v>
      </c>
      <c r="R164" s="10">
        <v>19059.0</v>
      </c>
      <c r="S164" s="9" t="s">
        <v>93</v>
      </c>
      <c r="T164" s="9"/>
      <c r="U164" s="9" t="s">
        <v>77</v>
      </c>
    </row>
    <row r="165">
      <c r="A165" s="8">
        <v>42318.71491898148</v>
      </c>
      <c r="B165" s="9">
        <v>4.0</v>
      </c>
      <c r="C165" s="9" t="s">
        <v>707</v>
      </c>
      <c r="D165" s="9" t="str">
        <f>IFERROR(__xludf.DUMMYFUNCTION("FILTER(Sheet5!B:B,Sheet5!A:A=C165)"),"OM")</f>
        <v>OM</v>
      </c>
      <c r="E165" s="9"/>
      <c r="F165" s="9"/>
      <c r="G165" s="9">
        <v>5.0</v>
      </c>
      <c r="H165" s="9">
        <v>11.0</v>
      </c>
      <c r="I165" s="9" t="s">
        <v>722</v>
      </c>
      <c r="J165" s="9" t="s">
        <v>722</v>
      </c>
      <c r="K165" s="9" t="str">
        <f>IFERROR(__xludf.DUMMYFUNCTION("FILTER(Nuance!D:D,Nuance!B:B=L165)"),"D")</f>
        <v>D</v>
      </c>
      <c r="L165" s="9" t="s">
        <v>37</v>
      </c>
      <c r="M165" s="9" t="s">
        <v>72</v>
      </c>
      <c r="N165" s="9">
        <v>1.0</v>
      </c>
      <c r="O165" s="9" t="s">
        <v>80</v>
      </c>
      <c r="P165" s="9" t="s">
        <v>723</v>
      </c>
      <c r="Q165" s="9" t="s">
        <v>724</v>
      </c>
      <c r="R165" s="10">
        <v>23493.0</v>
      </c>
      <c r="S165" s="9" t="s">
        <v>452</v>
      </c>
      <c r="T165" s="9" t="s">
        <v>94</v>
      </c>
      <c r="U165" s="9" t="s">
        <v>95</v>
      </c>
    </row>
    <row r="166">
      <c r="A166" s="8">
        <v>42318.71491898148</v>
      </c>
      <c r="B166" s="9">
        <v>4.0</v>
      </c>
      <c r="C166" s="9" t="s">
        <v>707</v>
      </c>
      <c r="D166" s="9" t="str">
        <f>IFERROR(__xludf.DUMMYFUNCTION("FILTER(Sheet5!B:B,Sheet5!A:A=C166)"),"OM")</f>
        <v>OM</v>
      </c>
      <c r="E166" s="9"/>
      <c r="F166" s="9"/>
      <c r="G166" s="9">
        <v>6.0</v>
      </c>
      <c r="H166" s="9">
        <v>2.0</v>
      </c>
      <c r="I166" s="9" t="s">
        <v>108</v>
      </c>
      <c r="J166" s="9" t="s">
        <v>169</v>
      </c>
      <c r="K166" s="9" t="str">
        <f>IFERROR(__xludf.DUMMYFUNCTION("FILTER(Nuance!D:D,Nuance!B:B=L166)"),"G")</f>
        <v>G</v>
      </c>
      <c r="L166" s="9" t="s">
        <v>3</v>
      </c>
      <c r="M166" s="9" t="s">
        <v>72</v>
      </c>
      <c r="N166" s="9">
        <v>1.0</v>
      </c>
      <c r="O166" s="9" t="s">
        <v>80</v>
      </c>
      <c r="P166" s="9" t="s">
        <v>725</v>
      </c>
      <c r="Q166" s="9" t="s">
        <v>726</v>
      </c>
      <c r="R166" s="10">
        <v>24536.0</v>
      </c>
      <c r="S166" s="9" t="s">
        <v>727</v>
      </c>
      <c r="T166" s="9"/>
      <c r="U166" s="9" t="s">
        <v>77</v>
      </c>
    </row>
    <row r="167">
      <c r="A167" s="8">
        <v>42318.71491898148</v>
      </c>
      <c r="B167" s="9">
        <v>4.0</v>
      </c>
      <c r="C167" s="9" t="s">
        <v>707</v>
      </c>
      <c r="D167" s="9" t="str">
        <f>IFERROR(__xludf.DUMMYFUNCTION("FILTER(Sheet5!B:B,Sheet5!A:A=C167)"),"OM")</f>
        <v>OM</v>
      </c>
      <c r="E167" s="9"/>
      <c r="F167" s="9"/>
      <c r="G167" s="9">
        <v>7.0</v>
      </c>
      <c r="H167" s="9">
        <v>12.0</v>
      </c>
      <c r="I167" s="9" t="s">
        <v>728</v>
      </c>
      <c r="J167" s="9" t="s">
        <v>728</v>
      </c>
      <c r="K167" s="9" t="str">
        <f>IFERROR(__xludf.DUMMYFUNCTION("FILTER(Nuance!D:D,Nuance!B:B=L167)"),"D")</f>
        <v>D</v>
      </c>
      <c r="L167" s="9" t="s">
        <v>28</v>
      </c>
      <c r="M167" s="9" t="s">
        <v>72</v>
      </c>
      <c r="N167" s="9">
        <v>1.0</v>
      </c>
      <c r="O167" s="9" t="s">
        <v>80</v>
      </c>
      <c r="P167" s="9" t="s">
        <v>729</v>
      </c>
      <c r="Q167" s="9" t="s">
        <v>730</v>
      </c>
      <c r="R167" s="10">
        <v>21301.0</v>
      </c>
      <c r="S167" s="9" t="s">
        <v>76</v>
      </c>
      <c r="T167" s="9"/>
      <c r="U167" s="9" t="s">
        <v>77</v>
      </c>
    </row>
    <row r="168">
      <c r="A168" s="8">
        <v>42318.71493055556</v>
      </c>
      <c r="B168" s="9">
        <v>4.0</v>
      </c>
      <c r="C168" s="9" t="s">
        <v>707</v>
      </c>
      <c r="D168" s="9" t="str">
        <f>IFERROR(__xludf.DUMMYFUNCTION("FILTER(Sheet5!B:B,Sheet5!A:A=C168)"),"OM")</f>
        <v>OM</v>
      </c>
      <c r="E168" s="9"/>
      <c r="F168" s="9"/>
      <c r="G168" s="9">
        <v>8.0</v>
      </c>
      <c r="H168" s="9">
        <v>8.0</v>
      </c>
      <c r="I168" s="9" t="s">
        <v>731</v>
      </c>
      <c r="J168" s="9" t="s">
        <v>732</v>
      </c>
      <c r="K168" s="9" t="str">
        <f>IFERROR(__xludf.DUMMYFUNCTION("FILTER(Nuance!D:D,Nuance!B:B=L168)"),"G")</f>
        <v>G</v>
      </c>
      <c r="L168" s="9" t="s">
        <v>15</v>
      </c>
      <c r="M168" s="9" t="s">
        <v>72</v>
      </c>
      <c r="N168" s="9">
        <v>1.0</v>
      </c>
      <c r="O168" s="9" t="s">
        <v>73</v>
      </c>
      <c r="P168" s="9" t="s">
        <v>733</v>
      </c>
      <c r="Q168" s="9" t="s">
        <v>734</v>
      </c>
      <c r="R168" s="10">
        <v>18499.0</v>
      </c>
      <c r="S168" s="9" t="s">
        <v>217</v>
      </c>
      <c r="T168" s="9" t="s">
        <v>202</v>
      </c>
      <c r="U168" s="9" t="s">
        <v>77</v>
      </c>
    </row>
    <row r="169">
      <c r="A169" s="8">
        <v>42318.71493055556</v>
      </c>
      <c r="B169" s="9">
        <v>4.0</v>
      </c>
      <c r="C169" s="9" t="s">
        <v>707</v>
      </c>
      <c r="D169" s="9" t="str">
        <f>IFERROR(__xludf.DUMMYFUNCTION("FILTER(Sheet5!B:B,Sheet5!A:A=C169)"),"OM")</f>
        <v>OM</v>
      </c>
      <c r="E169" s="9"/>
      <c r="F169" s="9"/>
      <c r="G169" s="9">
        <v>9.0</v>
      </c>
      <c r="H169" s="9">
        <v>10.0</v>
      </c>
      <c r="I169" s="9" t="s">
        <v>735</v>
      </c>
      <c r="J169" s="9" t="s">
        <v>735</v>
      </c>
      <c r="K169" s="9" t="str">
        <f>IFERROR(__xludf.DUMMYFUNCTION("FILTER(Nuance!D:D,Nuance!B:B=L169)"),"C")</f>
        <v>C</v>
      </c>
      <c r="L169" s="9" t="s">
        <v>25</v>
      </c>
      <c r="M169" s="9" t="s">
        <v>72</v>
      </c>
      <c r="N169" s="9">
        <v>1.0</v>
      </c>
      <c r="O169" s="9" t="s">
        <v>80</v>
      </c>
      <c r="P169" s="9" t="s">
        <v>725</v>
      </c>
      <c r="Q169" s="9" t="s">
        <v>736</v>
      </c>
      <c r="R169" s="10">
        <v>32984.0</v>
      </c>
      <c r="S169" s="9" t="s">
        <v>306</v>
      </c>
      <c r="T169" s="9"/>
      <c r="U169" s="9" t="s">
        <v>77</v>
      </c>
    </row>
    <row r="170">
      <c r="A170" s="8">
        <v>42318.71493055556</v>
      </c>
      <c r="B170" s="9">
        <v>4.0</v>
      </c>
      <c r="C170" s="9" t="s">
        <v>707</v>
      </c>
      <c r="D170" s="9" t="str">
        <f>IFERROR(__xludf.DUMMYFUNCTION("FILTER(Sheet5!B:B,Sheet5!A:A=C170)"),"OM")</f>
        <v>OM</v>
      </c>
      <c r="E170" s="9"/>
      <c r="F170" s="9"/>
      <c r="G170" s="9">
        <v>10.0</v>
      </c>
      <c r="H170" s="9">
        <v>5.0</v>
      </c>
      <c r="I170" s="9" t="s">
        <v>737</v>
      </c>
      <c r="J170" s="9" t="s">
        <v>738</v>
      </c>
      <c r="K170" s="9" t="str">
        <f>IFERROR(__xludf.DUMMYFUNCTION("FILTER(Nuance!D:D,Nuance!B:B=L170)"),"D")</f>
        <v>D</v>
      </c>
      <c r="L170" s="9" t="s">
        <v>43</v>
      </c>
      <c r="M170" s="9" t="s">
        <v>72</v>
      </c>
      <c r="N170" s="9">
        <v>1.0</v>
      </c>
      <c r="O170" s="9" t="s">
        <v>80</v>
      </c>
      <c r="P170" s="9" t="s">
        <v>739</v>
      </c>
      <c r="Q170" s="9" t="s">
        <v>152</v>
      </c>
      <c r="R170" s="10">
        <v>17527.0</v>
      </c>
      <c r="S170" s="9" t="s">
        <v>83</v>
      </c>
      <c r="T170" s="9"/>
      <c r="U170" s="9" t="s">
        <v>77</v>
      </c>
    </row>
    <row r="171">
      <c r="A171" s="8">
        <v>42318.71493055556</v>
      </c>
      <c r="B171" s="9">
        <v>4.0</v>
      </c>
      <c r="C171" s="9" t="s">
        <v>707</v>
      </c>
      <c r="D171" s="9" t="str">
        <f>IFERROR(__xludf.DUMMYFUNCTION("FILTER(Sheet5!B:B,Sheet5!A:A=C171)"),"OM")</f>
        <v>OM</v>
      </c>
      <c r="E171" s="9"/>
      <c r="F171" s="9"/>
      <c r="G171" s="9">
        <v>11.0</v>
      </c>
      <c r="H171" s="9">
        <v>6.0</v>
      </c>
      <c r="I171" s="9" t="s">
        <v>740</v>
      </c>
      <c r="J171" s="9" t="s">
        <v>741</v>
      </c>
      <c r="K171" s="9" t="str">
        <f>IFERROR(__xludf.DUMMYFUNCTION("FILTER(Nuance!D:D,Nuance!B:B=L171)"),"C")</f>
        <v>C</v>
      </c>
      <c r="L171" s="9" t="s">
        <v>31</v>
      </c>
      <c r="M171" s="9" t="s">
        <v>72</v>
      </c>
      <c r="N171" s="9">
        <v>1.0</v>
      </c>
      <c r="O171" s="9" t="s">
        <v>80</v>
      </c>
      <c r="P171" s="9" t="s">
        <v>723</v>
      </c>
      <c r="Q171" s="9" t="s">
        <v>312</v>
      </c>
      <c r="R171" s="10">
        <v>28216.0</v>
      </c>
      <c r="S171" s="9" t="s">
        <v>76</v>
      </c>
      <c r="T171" s="9" t="s">
        <v>202</v>
      </c>
      <c r="U171" s="9" t="s">
        <v>77</v>
      </c>
    </row>
    <row r="172">
      <c r="A172" s="8">
        <v>42318.71493055556</v>
      </c>
      <c r="B172" s="9">
        <v>4.0</v>
      </c>
      <c r="C172" s="9" t="s">
        <v>707</v>
      </c>
      <c r="D172" s="9" t="str">
        <f>IFERROR(__xludf.DUMMYFUNCTION("FILTER(Sheet5!B:B,Sheet5!A:A=C172)"),"OM")</f>
        <v>OM</v>
      </c>
      <c r="E172" s="9"/>
      <c r="F172" s="9"/>
      <c r="G172" s="9">
        <v>12.0</v>
      </c>
      <c r="H172" s="9">
        <v>7.0</v>
      </c>
      <c r="I172" s="9" t="s">
        <v>742</v>
      </c>
      <c r="J172" s="9" t="s">
        <v>743</v>
      </c>
      <c r="K172" s="9" t="str">
        <f>IFERROR(__xludf.DUMMYFUNCTION("FILTER(Nuance!D:D,Nuance!B:B=L172)"),"C")</f>
        <v>C</v>
      </c>
      <c r="L172" s="9" t="s">
        <v>25</v>
      </c>
      <c r="M172" s="9" t="s">
        <v>72</v>
      </c>
      <c r="N172" s="9">
        <v>1.0</v>
      </c>
      <c r="O172" s="9" t="s">
        <v>80</v>
      </c>
      <c r="P172" s="9" t="s">
        <v>744</v>
      </c>
      <c r="Q172" s="9" t="s">
        <v>105</v>
      </c>
      <c r="R172" s="10">
        <v>25003.0</v>
      </c>
      <c r="S172" s="9" t="s">
        <v>323</v>
      </c>
      <c r="T172" s="9"/>
      <c r="U172" s="9" t="s">
        <v>77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conditionalFormatting sqref="B3:D7">
    <cfRule type="colorScale" priority="1">
      <colorScale>
        <cfvo type="min"/>
        <cfvo type="max"/>
        <color rgb="FFFFFFFF"/>
        <color rgb="FFE67C73"/>
      </colorScale>
    </cfRule>
  </conditionalFormatting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1">
      <c r="A1" s="12" t="s">
        <v>49</v>
      </c>
      <c r="B1" s="3" t="s">
        <v>50</v>
      </c>
    </row>
    <row r="2">
      <c r="A2" s="12" t="s">
        <v>68</v>
      </c>
      <c r="B2" s="14" t="s">
        <v>747</v>
      </c>
    </row>
    <row r="3">
      <c r="A3" s="12" t="s">
        <v>123</v>
      </c>
      <c r="B3" s="14" t="s">
        <v>751</v>
      </c>
    </row>
    <row r="4">
      <c r="A4" s="12" t="s">
        <v>172</v>
      </c>
      <c r="B4" s="14" t="s">
        <v>750</v>
      </c>
    </row>
    <row r="5">
      <c r="A5" s="12" t="s">
        <v>218</v>
      </c>
      <c r="B5" s="14" t="s">
        <v>747</v>
      </c>
    </row>
    <row r="6">
      <c r="A6" s="12" t="s">
        <v>260</v>
      </c>
      <c r="B6" s="14" t="s">
        <v>748</v>
      </c>
    </row>
    <row r="7">
      <c r="A7" s="12" t="s">
        <v>307</v>
      </c>
      <c r="B7" s="14" t="s">
        <v>748</v>
      </c>
    </row>
    <row r="8">
      <c r="A8" s="12" t="s">
        <v>558</v>
      </c>
      <c r="B8" s="14" t="s">
        <v>750</v>
      </c>
    </row>
    <row r="9">
      <c r="A9" s="12" t="s">
        <v>596</v>
      </c>
      <c r="B9" s="14" t="s">
        <v>749</v>
      </c>
    </row>
    <row r="10">
      <c r="A10" s="12" t="s">
        <v>667</v>
      </c>
      <c r="B10" s="14" t="s">
        <v>749</v>
      </c>
    </row>
    <row r="11">
      <c r="A11" s="12" t="s">
        <v>335</v>
      </c>
      <c r="B11" s="14" t="s">
        <v>747</v>
      </c>
    </row>
    <row r="12">
      <c r="A12" s="12" t="s">
        <v>707</v>
      </c>
      <c r="B12" s="14" t="s">
        <v>749</v>
      </c>
    </row>
    <row r="13">
      <c r="A13" s="12" t="s">
        <v>386</v>
      </c>
      <c r="B13" s="14" t="s">
        <v>751</v>
      </c>
    </row>
    <row r="14">
      <c r="A14" s="12" t="s">
        <v>632</v>
      </c>
      <c r="B14" s="14" t="s">
        <v>749</v>
      </c>
    </row>
    <row r="15">
      <c r="A15" s="12" t="s">
        <v>429</v>
      </c>
      <c r="B15" s="14" t="s">
        <v>747</v>
      </c>
    </row>
    <row r="16">
      <c r="A16" s="12" t="s">
        <v>457</v>
      </c>
      <c r="B16" s="14" t="s">
        <v>748</v>
      </c>
    </row>
    <row r="17">
      <c r="A17" s="12" t="s">
        <v>491</v>
      </c>
      <c r="B17" s="14" t="s">
        <v>748</v>
      </c>
    </row>
    <row r="18">
      <c r="A18" s="12" t="s">
        <v>522</v>
      </c>
      <c r="B18" s="14" t="s">
        <v>750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8.13"/>
    <col customWidth="1" min="2" max="2" width="25.63"/>
    <col customWidth="1" min="3" max="3" width="43.88"/>
  </cols>
  <sheetData>
    <row r="1">
      <c r="A1" s="15" t="s">
        <v>753</v>
      </c>
      <c r="B1" s="15" t="s">
        <v>754</v>
      </c>
      <c r="C1" s="15" t="s">
        <v>755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</sheetData>
  <drawing r:id="rId1"/>
</worksheet>
</file>
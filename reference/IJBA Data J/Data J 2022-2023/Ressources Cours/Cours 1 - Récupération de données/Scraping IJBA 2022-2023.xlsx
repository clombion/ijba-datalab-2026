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dric" sheetId="1" r:id="rId5"/>
    <sheet state="visible" name="Sheet34_conflict2010146286" sheetId="2" r:id="rId6"/>
    <sheet state="visible" name="etape3" sheetId="3" r:id="rId7"/>
    <sheet state="visible" name="Zoé" sheetId="4" r:id="rId8"/>
    <sheet state="visible" name="Zoé - étape 2" sheetId="5" r:id="rId9"/>
    <sheet state="visible" name="Yohan" sheetId="6" r:id="rId10"/>
    <sheet state="visible" name="Luig" sheetId="7" r:id="rId11"/>
    <sheet state="visible" name="Marthe" sheetId="8" r:id="rId12"/>
    <sheet state="visible" name="Izia" sheetId="9" r:id="rId13"/>
    <sheet state="visible" name="Zeina 2" sheetId="10" r:id="rId14"/>
    <sheet state="visible" name="Anaëlle Col" sheetId="11" r:id="rId15"/>
    <sheet state="visible" name="Léa" sheetId="12" r:id="rId16"/>
    <sheet state="visible" name="Data lhorreur" sheetId="13" r:id="rId17"/>
    <sheet state="visible" name="Copy of Data lover" sheetId="14" r:id="rId18"/>
    <sheet state="visible" name="Vincent" sheetId="15" r:id="rId19"/>
    <sheet state="visible" name="Enora" sheetId="16" r:id="rId20"/>
    <sheet state="visible" name="Sheet35_conflict1300747957" sheetId="17" r:id="rId21"/>
    <sheet state="visible" name="Manon" sheetId="18" r:id="rId22"/>
    <sheet state="visible" name="Eva" sheetId="19" r:id="rId23"/>
    <sheet state="visible" name="Anaëlle Cag" sheetId="20" r:id="rId24"/>
    <sheet state="visible" name="AnaCa étape 2" sheetId="21" r:id="rId25"/>
    <sheet state="visible" name="Mathis" sheetId="22" r:id="rId26"/>
    <sheet state="visible" name="Janice" sheetId="23" r:id="rId27"/>
    <sheet state="visible" name="Copy of Janice" sheetId="24" r:id="rId28"/>
    <sheet state="visible" name="Sofiane" sheetId="25" r:id="rId29"/>
    <sheet state="visible" name="Copy of Sofiane" sheetId="26" r:id="rId30"/>
    <sheet state="visible" name="Alexis" sheetId="27" r:id="rId31"/>
    <sheet state="visible" name="Alexisbis" sheetId="28" r:id="rId32"/>
    <sheet state="visible" name="Justin" sheetId="29" r:id="rId33"/>
    <sheet state="visible" name="justine2" sheetId="30" r:id="rId34"/>
    <sheet state="visible" name="Solène" sheetId="31" r:id="rId35"/>
    <sheet state="visible" name="Camille" sheetId="32" r:id="rId36"/>
    <sheet state="visible" name="Cam2" sheetId="33" r:id="rId37"/>
    <sheet state="visible" name="Gilles" sheetId="34" r:id="rId38"/>
    <sheet state="visible" name="Gilles step two" sheetId="35" r:id="rId39"/>
    <sheet state="visible" name="Lucile" sheetId="36" r:id="rId40"/>
    <sheet state="visible" name="Tim" sheetId="37" r:id="rId41"/>
    <sheet state="visible" name="Eve" sheetId="38" r:id="rId42"/>
    <sheet state="visible" name="Marie" sheetId="39" r:id="rId43"/>
    <sheet state="visible" name="Emma" sheetId="40" r:id="rId44"/>
    <sheet state="visible" name="Sara" sheetId="41" r:id="rId45"/>
    <sheet state="visible" name="Sara 2" sheetId="42" r:id="rId46"/>
    <sheet state="visible" name="Ada" sheetId="43" r:id="rId47"/>
    <sheet state="visible" name="Étape 2" sheetId="44" r:id="rId48"/>
    <sheet state="visible" name="Étape 3" sheetId="45" r:id="rId49"/>
    <sheet state="visible" name="Lucas" sheetId="46" r:id="rId50"/>
    <sheet state="visible" name="Lucas 2" sheetId="47" r:id="rId51"/>
    <sheet state="visible" name="Isabelle" sheetId="48" r:id="rId52"/>
    <sheet state="visible" name="Rémi" sheetId="49" r:id="rId53"/>
    <sheet state="visible" name="Louis" sheetId="50" r:id="rId54"/>
  </sheets>
  <definedNames/>
  <calcPr/>
</workbook>
</file>

<file path=xl/sharedStrings.xml><?xml version="1.0" encoding="utf-8"?>
<sst xmlns="http://schemas.openxmlformats.org/spreadsheetml/2006/main" count="5668" uniqueCount="3522">
  <si>
    <t>Édition</t>
  </si>
  <si>
    <t>Année</t>
  </si>
  <si>
    <t>Vainqueur</t>
  </si>
  <si>
    <t>Score</t>
  </si>
  <si>
    <t>Finaliste</t>
  </si>
  <si>
    <t>Troisième</t>
  </si>
  <si>
    <t>but equipe 1</t>
  </si>
  <si>
    <t>Bute equpe 2</t>
  </si>
  <si>
    <t>1re</t>
  </si>
  <si>
    <t>Uruguay(1/2)</t>
  </si>
  <si>
    <t>4 – 2</t>
  </si>
  <si>
    <t>Argentine</t>
  </si>
  <si>
    <t>États-Unis[71]</t>
  </si>
  <si>
    <t>2e</t>
  </si>
  <si>
    <t>Italie(1/4)</t>
  </si>
  <si>
    <t>2 – 1 (ap)</t>
  </si>
  <si>
    <t>Tchécoslovaquie</t>
  </si>
  <si>
    <t>Allemagne[e],[6]</t>
  </si>
  <si>
    <t>3e</t>
  </si>
  <si>
    <t>Italie(2/4)</t>
  </si>
  <si>
    <t>Hongrie</t>
  </si>
  <si>
    <t>Brésil</t>
  </si>
  <si>
    <t>4e</t>
  </si>
  <si>
    <t>Uruguay(2/2)</t>
  </si>
  <si>
    <t>*2 - 1*[f]</t>
  </si>
  <si>
    <t>Suède</t>
  </si>
  <si>
    <t>5e</t>
  </si>
  <si>
    <t>Allemagne de l'Ouest(1/4)</t>
  </si>
  <si>
    <t>3 – 2</t>
  </si>
  <si>
    <t>Autriche</t>
  </si>
  <si>
    <t>6e</t>
  </si>
  <si>
    <t>Brésil(1/5)</t>
  </si>
  <si>
    <t>5 – 2</t>
  </si>
  <si>
    <t>France</t>
  </si>
  <si>
    <t>7e</t>
  </si>
  <si>
    <t>Brésil(2/5)</t>
  </si>
  <si>
    <t>3 – 1</t>
  </si>
  <si>
    <t>Chili</t>
  </si>
  <si>
    <t>8e</t>
  </si>
  <si>
    <t>Angleterre</t>
  </si>
  <si>
    <t>4 – 2 (ap)</t>
  </si>
  <si>
    <t>Allemagne de l'Ouest</t>
  </si>
  <si>
    <t>Portugal</t>
  </si>
  <si>
    <t>9e</t>
  </si>
  <si>
    <t>Brésil(3/5)</t>
  </si>
  <si>
    <t>4 – 1</t>
  </si>
  <si>
    <t>Italie</t>
  </si>
  <si>
    <t>10e</t>
  </si>
  <si>
    <t>Allemagne de l'Ouest(2/4)</t>
  </si>
  <si>
    <t>2 – 1</t>
  </si>
  <si>
    <t>Pays-Bas</t>
  </si>
  <si>
    <t>Pologne</t>
  </si>
  <si>
    <t>11e</t>
  </si>
  <si>
    <t>Argentine(1/2)</t>
  </si>
  <si>
    <t>3 – 1 (ap)</t>
  </si>
  <si>
    <t>12e</t>
  </si>
  <si>
    <t>Italie(3/4)</t>
  </si>
  <si>
    <t>13e</t>
  </si>
  <si>
    <t>Argentine(2/2)</t>
  </si>
  <si>
    <t>14e</t>
  </si>
  <si>
    <t>Allemagne de l'Ouest(3/4)</t>
  </si>
  <si>
    <t>1 – 0</t>
  </si>
  <si>
    <t>15e</t>
  </si>
  <si>
    <t>Brésil(4/5)</t>
  </si>
  <si>
    <t>0 – 0 (3-2)</t>
  </si>
  <si>
    <t>16e</t>
  </si>
  <si>
    <t>France(1/2)</t>
  </si>
  <si>
    <t>3 – 0</t>
  </si>
  <si>
    <t>Croatie</t>
  </si>
  <si>
    <t>17e</t>
  </si>
  <si>
    <t>Brésil(5/5)</t>
  </si>
  <si>
    <t>2 – 0</t>
  </si>
  <si>
    <t>Allemagne</t>
  </si>
  <si>
    <t>Turquie</t>
  </si>
  <si>
    <t>18e</t>
  </si>
  <si>
    <t>Italie(4/4)</t>
  </si>
  <si>
    <t>1 – 1 (5-3)</t>
  </si>
  <si>
    <t>19e</t>
  </si>
  <si>
    <t>Espagne</t>
  </si>
  <si>
    <t>1 – 0 (ap)</t>
  </si>
  <si>
    <t>20e</t>
  </si>
  <si>
    <t>Allemagne(4/4)</t>
  </si>
  <si>
    <t>21e</t>
  </si>
  <si>
    <t>France(2/2)</t>
  </si>
  <si>
    <t>Belgique</t>
  </si>
  <si>
    <t>22e</t>
  </si>
  <si>
    <t>23e</t>
  </si>
  <si>
    <t>aïe ça fait mal de voir ça</t>
  </si>
  <si>
    <t>trop fort yoyo</t>
  </si>
  <si>
    <t>Luigy</t>
  </si>
  <si>
    <t>FC,Barcelone</t>
  </si>
  <si>
    <t>Recensement 1990</t>
  </si>
  <si>
    <t>Recensement 1999</t>
  </si>
  <si>
    <t>1er janvier 2008</t>
  </si>
  <si>
    <t>1er janvier 2022 (p)</t>
  </si>
  <si>
    <t>Auvergne-Rhône-Alpes</t>
  </si>
  <si>
    <t>6 668 168</t>
  </si>
  <si>
    <t>6 949 608</t>
  </si>
  <si>
    <t>7 459 092</t>
  </si>
  <si>
    <t>8 153 233</t>
  </si>
  <si>
    <t>Bourgogne- Franche-Comté</t>
  </si>
  <si>
    <t>2 705 826</t>
  </si>
  <si>
    <t>2 728 086</t>
  </si>
  <si>
    <t>2 802 519</t>
  </si>
  <si>
    <t>2 785 393</t>
  </si>
  <si>
    <t>Bretagne</t>
  </si>
  <si>
    <t>2 794 317</t>
  </si>
  <si>
    <t>2 904 075</t>
  </si>
  <si>
    <t>3 149 701</t>
  </si>
  <si>
    <t>3 402 932</t>
  </si>
  <si>
    <t>Centre - Val de Loire</t>
  </si>
  <si>
    <t>2 369 808</t>
  </si>
  <si>
    <t>2 440 295</t>
  </si>
  <si>
    <t>2 531 588</t>
  </si>
  <si>
    <t>2 564 915</t>
  </si>
  <si>
    <t>Corse</t>
  </si>
  <si>
    <t>249 645</t>
  </si>
  <si>
    <t>260 152</t>
  </si>
  <si>
    <t>302 966</t>
  </si>
  <si>
    <t>349 465</t>
  </si>
  <si>
    <t>Grand Est</t>
  </si>
  <si>
    <t>5 274 064</t>
  </si>
  <si>
    <t>5 387 509</t>
  </si>
  <si>
    <t>5 521 452</t>
  </si>
  <si>
    <t>5 542 094</t>
  </si>
  <si>
    <t>Hauts-de-France</t>
  </si>
  <si>
    <t>5 770 671</t>
  </si>
  <si>
    <t>5 855 448</t>
  </si>
  <si>
    <t>5 931 091</t>
  </si>
  <si>
    <t>5 987 172</t>
  </si>
  <si>
    <t>Île-de-France</t>
  </si>
  <si>
    <t>10 644 665</t>
  </si>
  <si>
    <t>10 946 012</t>
  </si>
  <si>
    <t>11 659 260</t>
  </si>
  <si>
    <t>12 395 148</t>
  </si>
  <si>
    <t>Normandie</t>
  </si>
  <si>
    <t>3 126 859</t>
  </si>
  <si>
    <t>3 202 449</t>
  </si>
  <si>
    <t>3 293 092</t>
  </si>
  <si>
    <t>3 307 286</t>
  </si>
  <si>
    <t>Nouvelle Aquitaine</t>
  </si>
  <si>
    <t>5 114 287</t>
  </si>
  <si>
    <t>5 257 954</t>
  </si>
  <si>
    <t>5 671 076</t>
  </si>
  <si>
    <t>6 081 985</t>
  </si>
  <si>
    <t>Occitanie</t>
  </si>
  <si>
    <t>4 546 249</t>
  </si>
  <si>
    <t>4 842 680</t>
  </si>
  <si>
    <t>5 419 946</t>
  </si>
  <si>
    <t>6 053 548</t>
  </si>
  <si>
    <t>Pays de la Loire</t>
  </si>
  <si>
    <t>3 055 197</t>
  </si>
  <si>
    <t>3 219 960</t>
  </si>
  <si>
    <t>3 510 170</t>
  </si>
  <si>
    <t>3 873 096</t>
  </si>
  <si>
    <t>Provence-Alpes-Côte d’Azur</t>
  </si>
  <si>
    <t>4 257 244</t>
  </si>
  <si>
    <t>4 502 385</t>
  </si>
  <si>
    <t>4 882 913</t>
  </si>
  <si>
    <t>5 131 187</t>
  </si>
  <si>
    <t>France métropolitaine</t>
  </si>
  <si>
    <t>56 577 000</t>
  </si>
  <si>
    <t>58 496 613</t>
  </si>
  <si>
    <t>62 134 866</t>
  </si>
  <si>
    <t>65 627 454</t>
  </si>
  <si>
    <t>Léa</t>
  </si>
  <si>
    <t>4 - 2</t>
  </si>
  <si>
    <t>1 - 2</t>
  </si>
  <si>
    <t>0 - 4</t>
  </si>
  <si>
    <t>33-34</t>
  </si>
  <si>
    <t>33-35</t>
  </si>
  <si>
    <t>Coucou</t>
  </si>
  <si>
    <t>Coucou8</t>
  </si>
  <si>
    <t>Destinataires</t>
  </si>
  <si>
    <t>Prime</t>
  </si>
  <si>
    <t>Montant par club</t>
  </si>
  <si>
    <t>Montant total</t>
  </si>
  <si>
    <t>41 clubs éliminés en qualifications</t>
  </si>
  <si>
    <t>versements de solidarité</t>
  </si>
  <si>
    <t>champion national</t>
  </si>
  <si>
    <t>107,5</t>
  </si>
  <si>
    <t>tour préliminaire</t>
  </si>
  <si>
    <t>1er tour</t>
  </si>
  <si>
    <t>2e tour</t>
  </si>
  <si>
    <t>3e tour[28]</t>
  </si>
  <si>
    <t>6 clubs éliminés en match de barrage</t>
  </si>
  <si>
    <t>quote-part fixe</t>
  </si>
  <si>
    <t>32 clubs qualifiés</t>
  </si>
  <si>
    <t>prime de participation</t>
  </si>
  <si>
    <t>15,25</t>
  </si>
  <si>
    <t>prime de résultat</t>
  </si>
  <si>
    <t>victoire phase de groupe</t>
  </si>
  <si>
    <t>2,7</t>
  </si>
  <si>
    <t>nul phase de groupe</t>
  </si>
  <si>
    <t>0,9</t>
  </si>
  <si>
    <t>qualification en 8e de finale</t>
  </si>
  <si>
    <t>9,5</t>
  </si>
  <si>
    <t>qualification en 1/4 de finale</t>
  </si>
  <si>
    <t>10,5</t>
  </si>
  <si>
    <t>qualification en demi-finale</t>
  </si>
  <si>
    <t>qualification en finale</t>
  </si>
  <si>
    <t>vainqueur</t>
  </si>
  <si>
    <t>classement par coefficient</t>
  </si>
  <si>
    <t>variable</t>
  </si>
  <si>
    <t>droits télévisuels</t>
  </si>
  <si>
    <t>jh</t>
  </si>
  <si>
    <t>pts</t>
  </si>
  <si>
    <t>J.</t>
  </si>
  <si>
    <t>G.</t>
  </si>
  <si>
    <t>N.</t>
  </si>
  <si>
    <t>P.</t>
  </si>
  <si>
    <t>p.</t>
  </si>
  <si>
    <t>c.</t>
  </si>
  <si>
    <t>+/-</t>
  </si>
  <si>
    <t>Paris-SG</t>
  </si>
  <si>
    <t>+34</t>
  </si>
  <si>
    <t>Lens</t>
  </si>
  <si>
    <t>+16</t>
  </si>
  <si>
    <t>Rennes</t>
  </si>
  <si>
    <t>+17</t>
  </si>
  <si>
    <t>Marseille</t>
  </si>
  <si>
    <t>+13</t>
  </si>
  <si>
    <t>Lorient</t>
  </si>
  <si>
    <t>+5</t>
  </si>
  <si>
    <t>Monaco</t>
  </si>
  <si>
    <t>+8</t>
  </si>
  <si>
    <t>Lille</t>
  </si>
  <si>
    <t>+4</t>
  </si>
  <si>
    <t>Lyon</t>
  </si>
  <si>
    <t>Nice</t>
  </si>
  <si>
    <t>Clermont</t>
  </si>
  <si>
    <t>Reims</t>
  </si>
  <si>
    <t>Toulouse</t>
  </si>
  <si>
    <t>Troyes</t>
  </si>
  <si>
    <t>Montpellier</t>
  </si>
  <si>
    <t>Nantes</t>
  </si>
  <si>
    <t>ljbk</t>
  </si>
  <si>
    <t>Auxerre</t>
  </si>
  <si>
    <t>AC Ajaccio</t>
  </si>
  <si>
    <t>Strasbourg</t>
  </si>
  <si>
    <t>Angers</t>
  </si>
  <si>
    <t>Liste des candidats</t>
  </si>
  <si>
    <t>Voix</t>
  </si>
  <si>
    <t>% Inscrits</t>
  </si>
  <si>
    <t>% Exprimés</t>
  </si>
  <si>
    <t>M. Emmanuel MACRON</t>
  </si>
  <si>
    <t>256 179</t>
  </si>
  <si>
    <t>22,11</t>
  </si>
  <si>
    <t>28,72</t>
  </si>
  <si>
    <t>M. Jean-Luc MÉLENCHON</t>
  </si>
  <si>
    <t>194 775</t>
  </si>
  <si>
    <t>16,81</t>
  </si>
  <si>
    <t>21,84</t>
  </si>
  <si>
    <t>Mme Marine LE PEN</t>
  </si>
  <si>
    <t>191 542</t>
  </si>
  <si>
    <t>16,53</t>
  </si>
  <si>
    <t>21,47</t>
  </si>
  <si>
    <t>M. Éric ZEMMOUR</t>
  </si>
  <si>
    <t>58 321</t>
  </si>
  <si>
    <t>5,03</t>
  </si>
  <si>
    <t>6,54</t>
  </si>
  <si>
    <t>*2 –  1*[f]</t>
  </si>
  <si>
    <t>M. Yannick JADOT</t>
  </si>
  <si>
    <t>46 677</t>
  </si>
  <si>
    <t>4,03</t>
  </si>
  <si>
    <t>5,23</t>
  </si>
  <si>
    <t>M. Jean LASSALLE</t>
  </si>
  <si>
    <t>37 725</t>
  </si>
  <si>
    <t>3,26</t>
  </si>
  <si>
    <t>4,23</t>
  </si>
  <si>
    <t>Mme Valérie PÉCRESSE</t>
  </si>
  <si>
    <t>37 575</t>
  </si>
  <si>
    <t>3,24</t>
  </si>
  <si>
    <t>4,21</t>
  </si>
  <si>
    <t>M. Fabien ROUSSEL</t>
  </si>
  <si>
    <t>21 522</t>
  </si>
  <si>
    <t>1,86</t>
  </si>
  <si>
    <t>2,41</t>
  </si>
  <si>
    <t>Mme Anne HIDALGO</t>
  </si>
  <si>
    <t>19 598</t>
  </si>
  <si>
    <t>1,69</t>
  </si>
  <si>
    <t>2,20</t>
  </si>
  <si>
    <t>M. Nicolas DUPONT-AIGNAN</t>
  </si>
  <si>
    <t>15 693</t>
  </si>
  <si>
    <t>1,35</t>
  </si>
  <si>
    <t>1,76</t>
  </si>
  <si>
    <t>M. Philippe POUTOU</t>
  </si>
  <si>
    <t>8 734</t>
  </si>
  <si>
    <t>0,75</t>
  </si>
  <si>
    <t>0,98</t>
  </si>
  <si>
    <t>Mme Nathalie ARTHAUD</t>
  </si>
  <si>
    <t>3 679</t>
  </si>
  <si>
    <t>0,32</t>
  </si>
  <si>
    <t>0,41</t>
  </si>
  <si>
    <t>Sofiane est bo</t>
  </si>
  <si>
    <t>Zoé est gentille</t>
  </si>
  <si>
    <t>Louis est drôle</t>
  </si>
  <si>
    <t>Camille est géniale</t>
  </si>
  <si>
    <t>*Nicolas Sarkozy*</t>
  </si>
  <si>
    <t>30 mai 2015</t>
  </si>
  <si>
    <t>23 août 2016</t>
  </si>
  <si>
    <t>Ancien président de la République. Président de l'UMP de 2004 à 2007 et de 
2014 à 2015. Démissionne après l'annonce de sa candidature à la primaire 
française de la droite et du centre de 2016.</t>
  </si>
  <si>
    <t>*Laurent Wauquiez*
(intérim)</t>
  </si>
  <si>
    <t>29 novembre 2016</t>
  </si>
  <si>
    <t>Vice-président délégué du parti, il succède par intérim à Nicolas Sarkozy. 
Député et président du conseil régional d'Auvergne-Rhône-Alpes.</t>
  </si>
  <si>
    <t>*Vacance de la présidence du 29 novembre 2016 au 10 décembre 2017Le 
secrétaire général, Bernard Accoyer, est à la tête du parti*</t>
  </si>
  <si>
    <t>*Laurent Wauquiez*</t>
  </si>
  <si>
    <t>10 décembre 2017</t>
  </si>
  <si>
    <t>2 juin 2019</t>
  </si>
  <si>
    <t>Président du conseil régional d'Auvergne-Rhône-Alpes. Il est élu président 
dès le premier tour lors du congrès du parti, le 10 décembre 2017, face à Florence 
Portelli et Maël de Calan. Il démissionne après l’échec de la droite aux élections 
européennes de 2019.</t>
  </si>
  <si>
    <t>*Jean Leonetti*
(intérim)</t>
  </si>
  <si>
    <t>13 octobre 2019</t>
  </si>
  <si>
    <t>Vice-président délégué du parti, il succède par intérim à Laurent Wauquiez.</t>
  </si>
  <si>
    <t>*Christian Jacob*</t>
  </si>
  <si>
    <t>30 juin 2022</t>
  </si>
  <si>
    <t>Président du groupe Les Républicains à l'Assemblée nationale. Il est élu 
président dès le premier tour lors du congrès du 13 octobre 2019, face à Julien 
Aubert et Guillaume Larrivé.</t>
  </si>
  <si>
    <t>*Annie Genevard*
(intérim)</t>
  </si>
  <si>
    <t>*En fonction*</t>
  </si>
  <si>
    <t>Vice-présidente du parti, elle succède par intérim à Christian Jacob.</t>
  </si>
  <si>
    <t>N°</t>
  </si>
  <si>
    <t>Conférence Ouest</t>
  </si>
  <si>
    <t>Conférence Est</t>
  </si>
  <si>
    <t>BAA</t>
  </si>
  <si>
    <t>1946-1947</t>
  </si>
  <si>
    <t>Stags de Chicago</t>
  </si>
  <si>
    <t>(1) *Warriors de Philadelphie*</t>
  </si>
  <si>
    <t>*1-4*</t>
  </si>
  <si>
    <t>1947-1948</t>
  </si>
  <si>
    <t>*Bullets de Baltimore* (1)</t>
  </si>
  <si>
    <t>Warriors de Philadelphie</t>
  </si>
  <si>
    <t>*4-2*</t>
  </si>
  <si>
    <t>1948-1949</t>
  </si>
  <si>
    <t>*Lakers de Minneapolis* (1)</t>
  </si>
  <si>
    <t>Washington Capitols</t>
  </si>
  <si>
    <t>NBA</t>
  </si>
  <si>
    <t>1949-1950</t>
  </si>
  <si>
    <t>*Lakers de Minneapolis* (2)</t>
  </si>
  <si>
    <t>Nationals de Syracuse</t>
  </si>
  <si>
    <t>1950-1951</t>
  </si>
  <si>
    <t>*Royals de Rochester* (1)</t>
  </si>
  <si>
    <t>Knickerbockers de New York</t>
  </si>
  <si>
    <t>*4-3*</t>
  </si>
  <si>
    <t>1951-1952</t>
  </si>
  <si>
    <t>*Lakers de Minneapolis* (3)</t>
  </si>
  <si>
    <t>1952-1953</t>
  </si>
  <si>
    <t>*Lakers de Minneapolis* (4)</t>
  </si>
  <si>
    <t>Knicks de New York</t>
  </si>
  <si>
    <t>*4-1*</t>
  </si>
  <si>
    <t>1953-1954</t>
  </si>
  <si>
    <t>*Lakers de Minneapolis* (5)</t>
  </si>
  <si>
    <t>1954-1955</t>
  </si>
  <si>
    <t>Pistons de Fort Wayne</t>
  </si>
  <si>
    <t>(1) *Nationals de Syracuse*</t>
  </si>
  <si>
    <t>*3-4*</t>
  </si>
  <si>
    <t>1955-1956</t>
  </si>
  <si>
    <t>(2) *Warriors de Philadelphie*</t>
  </si>
  <si>
    <t>1956-1957</t>
  </si>
  <si>
    <t>Hawks de Saint-Louis</t>
  </si>
  <si>
    <t>(1) *Celtics de Boston*</t>
  </si>
  <si>
    <t>1957-1958</t>
  </si>
  <si>
    <t>*Hawks de Saint-Louis* (1)</t>
  </si>
  <si>
    <t>Celtics de Boston</t>
  </si>
  <si>
    <t>1958-1959</t>
  </si>
  <si>
    <t>Lakers de Minneapolis</t>
  </si>
  <si>
    <t>(2) *Celtics de Boston*</t>
  </si>
  <si>
    <t>*0-4*</t>
  </si>
  <si>
    <t>1959-1960</t>
  </si>
  <si>
    <t>(3) *Celtics de Boston*</t>
  </si>
  <si>
    <t>1960-1961</t>
  </si>
  <si>
    <t>(4) *Celtics de Boston*</t>
  </si>
  <si>
    <t>1961-1962</t>
  </si>
  <si>
    <t>Lakers de Los Angeles</t>
  </si>
  <si>
    <t>(5) *Celtics de Boston*</t>
  </si>
  <si>
    <t>1962-1963</t>
  </si>
  <si>
    <t>(6) *Celtics de Boston*</t>
  </si>
  <si>
    <t>*2-4*</t>
  </si>
  <si>
    <t>1963-1964</t>
  </si>
  <si>
    <t>Warriors de San Francisco</t>
  </si>
  <si>
    <t>(7) *Celtics de Boston*</t>
  </si>
  <si>
    <t>1964-1965</t>
  </si>
  <si>
    <t>(8) *Celtics de Boston*</t>
  </si>
  <si>
    <t>1965-1966</t>
  </si>
  <si>
    <t>(9) *Celtics de Boston*</t>
  </si>
  <si>
    <t>1966-1967</t>
  </si>
  <si>
    <t>(2) *76ers de Philadelphie*</t>
  </si>
  <si>
    <t>1967-1968</t>
  </si>
  <si>
    <t>(10) *Celtics de Boston*</t>
  </si>
  <si>
    <t>1968-1969</t>
  </si>
  <si>
    <t>(11) *Celtics de Boston*</t>
  </si>
  <si>
    <t>1969-1970</t>
  </si>
  <si>
    <t>(1) *Knicks de New York*</t>
  </si>
  <si>
    <t>1970-1971</t>
  </si>
  <si>
    <t>*Bucks de Milwaukee* (1)</t>
  </si>
  <si>
    <t>Bullets de Washington</t>
  </si>
  <si>
    <t>*4-0*</t>
  </si>
  <si>
    <t>1971-1972</t>
  </si>
  <si>
    <t>*Lakers de Los Angeles* (6)</t>
  </si>
  <si>
    <t>1972-1973</t>
  </si>
  <si>
    <t>(2) *Knicks de New York*</t>
  </si>
  <si>
    <t>1973-1974</t>
  </si>
  <si>
    <t>Bucks de Milwaukee</t>
  </si>
  <si>
    <t>(12) *Celtics de Boston*</t>
  </si>
  <si>
    <t>1974-1975</t>
  </si>
  <si>
    <t>*Warriors de Golden State* (3)</t>
  </si>
  <si>
    <t>1975-1976</t>
  </si>
  <si>
    <t>Suns de Phoenix</t>
  </si>
  <si>
    <t>(13) *Celtics de Boston*</t>
  </si>
  <si>
    <t>1976-1977</t>
  </si>
  <si>
    <t>*Trail Blazers de Portland* (1)</t>
  </si>
  <si>
    <t>76ers de Philadelphie</t>
  </si>
  <si>
    <t>1977-1978</t>
  </si>
  <si>
    <t>Supersonics de Seattle</t>
  </si>
  <si>
    <t>(1) *Bullets de Washington*</t>
  </si>
  <si>
    <t>1978-1979</t>
  </si>
  <si>
    <t>*Supersonics de Seattle* (1)</t>
  </si>
  <si>
    <t>1979-1980</t>
  </si>
  <si>
    <t>*Lakers de Los Angeles* (7)</t>
  </si>
  <si>
    <t>1980-1981</t>
  </si>
  <si>
    <t>Rockets de Houston</t>
  </si>
  <si>
    <t>(14) *Celtics de Boston*</t>
  </si>
  <si>
    <t>1981-1982</t>
  </si>
  <si>
    <t>*Lakers de Los Angeles* (8)</t>
  </si>
  <si>
    <t>1982-1983</t>
  </si>
  <si>
    <t>(3) *76ers de Philadelphie*</t>
  </si>
  <si>
    <t>1983-1984</t>
  </si>
  <si>
    <t>(15) *Celtics de Boston*</t>
  </si>
  <si>
    <t>1984-1985</t>
  </si>
  <si>
    <t>*Lakers de Los Angeles* (9)</t>
  </si>
  <si>
    <t>1985-1986</t>
  </si>
  <si>
    <t>(16) *Celtics de Boston*</t>
  </si>
  <si>
    <t>1986-1987</t>
  </si>
  <si>
    <t>*Lakers de Los Angeles* (10)</t>
  </si>
  <si>
    <t>1987-1988</t>
  </si>
  <si>
    <t>*Lakers de Los Angeles* (11)</t>
  </si>
  <si>
    <t>Pistons de Détroit</t>
  </si>
  <si>
    <t>1988-1989</t>
  </si>
  <si>
    <t>(1) *Pistons de Détroit*</t>
  </si>
  <si>
    <t>1989-1990</t>
  </si>
  <si>
    <t>Trail Blazers de Portland</t>
  </si>
  <si>
    <t>(2) *Pistons de Détroit*</t>
  </si>
  <si>
    <t>1990-1991</t>
  </si>
  <si>
    <t>(1) *Bulls de Chicago*</t>
  </si>
  <si>
    <t>1991-1992</t>
  </si>
  <si>
    <t>(2) *Bulls de Chicago*</t>
  </si>
  <si>
    <t>1992-1993</t>
  </si>
  <si>
    <t>(3) *Bulls de Chicago*</t>
  </si>
  <si>
    <t>1993-1994</t>
  </si>
  <si>
    <t>*Rockets de Houston* (1)</t>
  </si>
  <si>
    <t>1994-1995</t>
  </si>
  <si>
    <t>*Rockets de Houston* (2)</t>
  </si>
  <si>
    <t>Magic d'Orlando</t>
  </si>
  <si>
    <t>1995-1996</t>
  </si>
  <si>
    <t>(4) *Bulls de Chicago*</t>
  </si>
  <si>
    <t>1996-1997</t>
  </si>
  <si>
    <t>Jazz de l'Utah</t>
  </si>
  <si>
    <t>(5) *Bulls de Chicago*</t>
  </si>
  <si>
    <t>1997-1998</t>
  </si>
  <si>
    <t>(6) *Bulls de Chicago*</t>
  </si>
  <si>
    <t>1998-1999</t>
  </si>
  <si>
    <t>*Spurs de San Antonio* (1)</t>
  </si>
  <si>
    <t>1999-2000</t>
  </si>
  <si>
    <t>*Lakers de Los Angeles* (12)</t>
  </si>
  <si>
    <t>Pacers de l'Indiana</t>
  </si>
  <si>
    <t>2000-2001</t>
  </si>
  <si>
    <t>*Lakers de Los Angeles* (13)</t>
  </si>
  <si>
    <t>2001-2002</t>
  </si>
  <si>
    <t>*Lakers de Los Angeles* (14)</t>
  </si>
  <si>
    <t>Nets du New Jersey</t>
  </si>
  <si>
    <t>2002-2003</t>
  </si>
  <si>
    <t>*Spurs de San Antonio* (2)</t>
  </si>
  <si>
    <t>2003-2004</t>
  </si>
  <si>
    <t>(3) *Pistons de Détroit*</t>
  </si>
  <si>
    <t>2004-2005</t>
  </si>
  <si>
    <t>*Spurs de San Antonio* (3)</t>
  </si>
  <si>
    <t>2005-2006</t>
  </si>
  <si>
    <t>Mavericks de Dallas</t>
  </si>
  <si>
    <t>(1) *Heat de Miami*</t>
  </si>
  <si>
    <t>2006-2007</t>
  </si>
  <si>
    <t>*Spurs de San Antonio* (4)</t>
  </si>
  <si>
    <t>Cavaliers de Cleveland</t>
  </si>
  <si>
    <t>2007-2008</t>
  </si>
  <si>
    <t>(17) *Celtics de Boston*</t>
  </si>
  <si>
    <t>2008-2009</t>
  </si>
  <si>
    <t>*Lakers de Los Angeles* (15)</t>
  </si>
  <si>
    <t>2009-2010</t>
  </si>
  <si>
    <t>*Lakers de Los Angeles* (16)</t>
  </si>
  <si>
    <t>2010-2011</t>
  </si>
  <si>
    <t>*Mavericks de Dallas* (1)</t>
  </si>
  <si>
    <t>Heat de Miami</t>
  </si>
  <si>
    <t>2011-2012</t>
  </si>
  <si>
    <t>Thunder d'Oklahoma City</t>
  </si>
  <si>
    <t>(2) *Heat de Miami*</t>
  </si>
  <si>
    <t>2012-2013</t>
  </si>
  <si>
    <t>Spurs de San Antonio</t>
  </si>
  <si>
    <t>(3) *Heat de Miami*</t>
  </si>
  <si>
    <t>2013-2014</t>
  </si>
  <si>
    <t>*Spurs de San Antonio* (5)</t>
  </si>
  <si>
    <t>2014-2015</t>
  </si>
  <si>
    <t>*Warriors de Golden State* (4)</t>
  </si>
  <si>
    <t>2015-2016</t>
  </si>
  <si>
    <t>Warriors de Golden State</t>
  </si>
  <si>
    <t>(1) *Cavaliers de Cleveland*</t>
  </si>
  <si>
    <t>2016-2017</t>
  </si>
  <si>
    <t>*Warriors de Golden State* (5)</t>
  </si>
  <si>
    <t>2017-2018</t>
  </si>
  <si>
    <t>*Warriors de Golden State* (6)</t>
  </si>
  <si>
    <t>2018-2019</t>
  </si>
  <si>
    <t>(1) *Raptors de Toronto*</t>
  </si>
  <si>
    <t>2019-2020</t>
  </si>
  <si>
    <t>*Lakers de Los Angeles* (17)</t>
  </si>
  <si>
    <t>2020-2021</t>
  </si>
  <si>
    <t>(2) *Bucks de Milwaukee*</t>
  </si>
  <si>
    <t>2021-2022</t>
  </si>
  <si>
    <t>*Warriors de Golden State* (7)</t>
  </si>
  <si>
    <t>2022-2023</t>
  </si>
  <si>
    <t>-</t>
  </si>
  <si>
    <t>Rang
2022</t>
  </si>
  <si>
    <t>Code
Insee</t>
  </si>
  <si>
    <t>Commune</t>
  </si>
  <si>
    <t>Département</t>
  </si>
  <si>
    <t>Statut</t>
  </si>
  <si>
    <t>Région</t>
  </si>
  <si>
    <t>Population légale</t>
  </si>
  <si>
    <t>2019[1]</t>
  </si>
  <si>
    <t>2013[5]</t>
  </si>
  <si>
    <t>2008[6]</t>
  </si>
  <si>
    <t>1999[7],[8]</t>
  </si>
  <si>
    <t>1990[7]</t>
  </si>
  <si>
    <t>1982[7]</t>
  </si>
  <si>
    <t>1975[7],[9]</t>
  </si>
  <si>
    <t>1968[7],[10]</t>
  </si>
  <si>
    <t>*Paris*[Note 1]</t>
  </si>
  <si>
    <t>Aucun</t>
  </si>
  <si>
    <t>Préfecture/Capitale</t>
  </si>
  <si>
    <t>*2 165 423*</t>
  </si>
  <si>
    <t>2 229 621</t>
  </si>
  <si>
    <t>2 211 297</t>
  </si>
  <si>
    <t>2 125 246</t>
  </si>
  <si>
    <t>2 152 423</t>
  </si>
  <si>
    <t>2 176 243</t>
  </si>
  <si>
    <t>2 299 830</t>
  </si>
  <si>
    <t>2 590 771</t>
  </si>
  <si>
    <t>*Marseille*</t>
  </si>
  <si>
    <t>Bouches-du-Rhône</t>
  </si>
  <si>
    <t>Préfecture</t>
  </si>
  <si>
    <t>Provence-Alpes-Côte d'Azur</t>
  </si>
  <si>
    <t>*870 731*</t>
  </si>
  <si>
    <t>855 393</t>
  </si>
  <si>
    <t>851 420</t>
  </si>
  <si>
    <t>798 430</t>
  </si>
  <si>
    <t>800 550</t>
  </si>
  <si>
    <t>874 436</t>
  </si>
  <si>
    <t>908 600</t>
  </si>
  <si>
    <t>889 029</t>
  </si>
  <si>
    <t>*Lyon*</t>
  </si>
  <si>
    <t>Métropole de Lyon[Note 2]</t>
  </si>
  <si>
    <t>*522 969*</t>
  </si>
  <si>
    <t>500 715</t>
  </si>
  <si>
    <t>474 946</t>
  </si>
  <si>
    <t>445 452</t>
  </si>
  <si>
    <t>415 487</t>
  </si>
  <si>
    <t>413 095</t>
  </si>
  <si>
    <t>456 716</t>
  </si>
  <si>
    <t>527 800</t>
  </si>
  <si>
    <t>*Toulouse*</t>
  </si>
  <si>
    <t>Haute-Garonne</t>
  </si>
  <si>
    <t>*493 465*</t>
  </si>
  <si>
    <t>458 298</t>
  </si>
  <si>
    <t>439 553</t>
  </si>
  <si>
    <t>390 350</t>
  </si>
  <si>
    <t>358 688</t>
  </si>
  <si>
    <t>347 995</t>
  </si>
  <si>
    <t>373 796</t>
  </si>
  <si>
    <t>370 796</t>
  </si>
  <si>
    <t>*Nice*</t>
  </si>
  <si>
    <t>Alpes-Maritimes</t>
  </si>
  <si>
    <t>*342 669*</t>
  </si>
  <si>
    <t>342 295</t>
  </si>
  <si>
    <t>344 875</t>
  </si>
  <si>
    <t>342 738</t>
  </si>
  <si>
    <t>342 439</t>
  </si>
  <si>
    <t>337 085</t>
  </si>
  <si>
    <t>344 481</t>
  </si>
  <si>
    <t>322 442</t>
  </si>
  <si>
    <t>*Nantes*</t>
  </si>
  <si>
    <t>Loire-Atlantique</t>
  </si>
  <si>
    <t>*318 808*</t>
  </si>
  <si>
    <t>292 718</t>
  </si>
  <si>
    <t>283 288</t>
  </si>
  <si>
    <t>270 251</t>
  </si>
  <si>
    <t>244 995</t>
  </si>
  <si>
    <t>240 539</t>
  </si>
  <si>
    <t>256 693</t>
  </si>
  <si>
    <t>259 208</t>
  </si>
  <si>
    <t>*Montpellier*</t>
  </si>
  <si>
    <t>Hérault</t>
  </si>
  <si>
    <t>*295 542*</t>
  </si>
  <si>
    <t>272 084</t>
  </si>
  <si>
    <t>252 998</t>
  </si>
  <si>
    <t>225 392</t>
  </si>
  <si>
    <t>207 996</t>
  </si>
  <si>
    <t>197 231</t>
  </si>
  <si>
    <t>191 354</t>
  </si>
  <si>
    <t>161 910</t>
  </si>
  <si>
    <t>*Strasbourg*</t>
  </si>
  <si>
    <t>Bas-Rhin</t>
  </si>
  <si>
    <t>*287 228*</t>
  </si>
  <si>
    <t>275 718</t>
  </si>
  <si>
    <t>272 116</t>
  </si>
  <si>
    <t>264 115</t>
  </si>
  <si>
    <t>252 338</t>
  </si>
  <si>
    <t>248 712</t>
  </si>
  <si>
    <t>253 384</t>
  </si>
  <si>
    <t>249 396</t>
  </si>
  <si>
    <t>*Bordeaux*</t>
  </si>
  <si>
    <t>Gironde</t>
  </si>
  <si>
    <t>Nouvelle-Aquitaine</t>
  </si>
  <si>
    <t>*260 958*</t>
  </si>
  <si>
    <t>243 626</t>
  </si>
  <si>
    <t>235 891</t>
  </si>
  <si>
    <t>215 363</t>
  </si>
  <si>
    <t>210 336</t>
  </si>
  <si>
    <t>208 159</t>
  </si>
  <si>
    <t>223 131</t>
  </si>
  <si>
    <t>266 662</t>
  </si>
  <si>
    <t>*Lille*</t>
  </si>
  <si>
    <t>Nord</t>
  </si>
  <si>
    <t>*234 475*</t>
  </si>
  <si>
    <t>231 491</t>
  </si>
  <si>
    <t>225 784</t>
  </si>
  <si>
    <t>184 657</t>
  </si>
  <si>
    <t>172 142</t>
  </si>
  <si>
    <t>168 424</t>
  </si>
  <si>
    <t>172 280</t>
  </si>
  <si>
    <t>190 546</t>
  </si>
  <si>
    <t>*Rennes*</t>
  </si>
  <si>
    <t>Ille-et-Vilaine</t>
  </si>
  <si>
    <t>*220 488*</t>
  </si>
  <si>
    <t>211 373</t>
  </si>
  <si>
    <t>206 655</t>
  </si>
  <si>
    <t>206 229</t>
  </si>
  <si>
    <t>197 536</t>
  </si>
  <si>
    <t>194 656</t>
  </si>
  <si>
    <t>198 305</t>
  </si>
  <si>
    <t>180 943</t>
  </si>
  <si>
    <t>*Reims*</t>
  </si>
  <si>
    <t>Marne</t>
  </si>
  <si>
    <t>Sous-préfecture</t>
  </si>
  <si>
    <t>*181 194*</t>
  </si>
  <si>
    <t>182 592</t>
  </si>
  <si>
    <t>181 468</t>
  </si>
  <si>
    <t>187 206</t>
  </si>
  <si>
    <t>180 620</t>
  </si>
  <si>
    <t>177 234</t>
  </si>
  <si>
    <t>178 381</t>
  </si>
  <si>
    <t>152 967</t>
  </si>
  <si>
    <t>*Toulon*</t>
  </si>
  <si>
    <t>Var</t>
  </si>
  <si>
    <t>*178 745*</t>
  </si>
  <si>
    <t>163 760</t>
  </si>
  <si>
    <t>166 733</t>
  </si>
  <si>
    <t>160 639</t>
  </si>
  <si>
    <t>167 619</t>
  </si>
  <si>
    <t>179 423</t>
  </si>
  <si>
    <t>181 801</t>
  </si>
  <si>
    <t>174 746</t>
  </si>
  <si>
    <t>*Saint-Étienne*</t>
  </si>
  <si>
    <t>Loire</t>
  </si>
  <si>
    <t>*173 821*</t>
  </si>
  <si>
    <t>172 023</t>
  </si>
  <si>
    <t>172 696</t>
  </si>
  <si>
    <t>180 210</t>
  </si>
  <si>
    <t>199 396</t>
  </si>
  <si>
    <t>204 955</t>
  </si>
  <si>
    <t>220 070</t>
  </si>
  <si>
    <t>223 223</t>
  </si>
  <si>
    <t>*Le Havre*</t>
  </si>
  <si>
    <t>Seine-Maritime</t>
  </si>
  <si>
    <t>*168 290*</t>
  </si>
  <si>
    <t>172 074</t>
  </si>
  <si>
    <t>178 769</t>
  </si>
  <si>
    <t>190 905</t>
  </si>
  <si>
    <t>195 854</t>
  </si>
  <si>
    <t>199 388</t>
  </si>
  <si>
    <t>217 881</t>
  </si>
  <si>
    <t>199 509</t>
  </si>
  <si>
    <t>*Grenoble*</t>
  </si>
  <si>
    <t>Isère</t>
  </si>
  <si>
    <t>*158 198*</t>
  </si>
  <si>
    <t>160 215</t>
  </si>
  <si>
    <t>156 659</t>
  </si>
  <si>
    <t>153 317</t>
  </si>
  <si>
    <t>150 758</t>
  </si>
  <si>
    <t>156 637</t>
  </si>
  <si>
    <t>166 037</t>
  </si>
  <si>
    <t>161 616</t>
  </si>
  <si>
    <t>*Dijon*</t>
  </si>
  <si>
    <t>Côte-d'Or</t>
  </si>
  <si>
    <t>Bourgogne-Franche-Comté</t>
  </si>
  <si>
    <t>*158 002*</t>
  </si>
  <si>
    <t>153 003</t>
  </si>
  <si>
    <t>151 576</t>
  </si>
  <si>
    <t>149 867</t>
  </si>
  <si>
    <t>146 703</t>
  </si>
  <si>
    <t>140 942</t>
  </si>
  <si>
    <t>151 705</t>
  </si>
  <si>
    <t>145 357</t>
  </si>
  <si>
    <t>*Angers*</t>
  </si>
  <si>
    <t>Maine-et-Loire</t>
  </si>
  <si>
    <t>*155 850*</t>
  </si>
  <si>
    <t>150 125</t>
  </si>
  <si>
    <t>148 405</t>
  </si>
  <si>
    <t>151 279</t>
  </si>
  <si>
    <t>141 404</t>
  </si>
  <si>
    <t>136 038</t>
  </si>
  <si>
    <t>137 587</t>
  </si>
  <si>
    <t>128 533</t>
  </si>
  <si>
    <t>*Saint-Denis*</t>
  </si>
  <si>
    <t>La Réunion</t>
  </si>
  <si>
    <t>*153 810*</t>
  </si>
  <si>
    <t>142 442</t>
  </si>
  <si>
    <t>144 238</t>
  </si>
  <si>
    <t>131 557</t>
  </si>
  <si>
    <t>121 999</t>
  </si>
  <si>
    <t>109 072</t>
  </si>
  <si>
    <t>103 512</t>
  </si>
  <si>
    <t>85 444</t>
  </si>
  <si>
    <t>*Villeurbanne*</t>
  </si>
  <si>
    <t>—</t>
  </si>
  <si>
    <t>*152 212*</t>
  </si>
  <si>
    <t>147 192</t>
  </si>
  <si>
    <t>141 106</t>
  </si>
  <si>
    <t>124 215</t>
  </si>
  <si>
    <t>116 872</t>
  </si>
  <si>
    <t>115 960</t>
  </si>
  <si>
    <t>116 535</t>
  </si>
  <si>
    <t>119 879</t>
  </si>
  <si>
    <t>*Nîmes*</t>
  </si>
  <si>
    <t>Gard</t>
  </si>
  <si>
    <t>*148 561*</t>
  </si>
  <si>
    <t>150 564</t>
  </si>
  <si>
    <t>140 267</t>
  </si>
  <si>
    <t>133 424</t>
  </si>
  <si>
    <t>128 471</t>
  </si>
  <si>
    <t>124 220</t>
  </si>
  <si>
    <t>127 933</t>
  </si>
  <si>
    <t>123 292</t>
  </si>
  <si>
    <t>*Clermont-Ferrand*</t>
  </si>
  <si>
    <t>Puy-de-Dôme</t>
  </si>
  <si>
    <t>*147 865*</t>
  </si>
  <si>
    <t>141 463</t>
  </si>
  <si>
    <t>139 006</t>
  </si>
  <si>
    <t>137 140</t>
  </si>
  <si>
    <t>136 181</t>
  </si>
  <si>
    <t>147 361</t>
  </si>
  <si>
    <t>156 900</t>
  </si>
  <si>
    <t>148 896</t>
  </si>
  <si>
    <t>*Aix-en-Provence*</t>
  </si>
  <si>
    <t>*145 133*</t>
  </si>
  <si>
    <t>141 545</t>
  </si>
  <si>
    <t>142 743</t>
  </si>
  <si>
    <t>134 222</t>
  </si>
  <si>
    <t>123 842</t>
  </si>
  <si>
    <t>121 327</t>
  </si>
  <si>
    <t>110 659</t>
  </si>
  <si>
    <t>89 566</t>
  </si>
  <si>
    <t>*Le Mans*</t>
  </si>
  <si>
    <t>Sarthe</t>
  </si>
  <si>
    <t>*143 847*</t>
  </si>
  <si>
    <t>144 244</t>
  </si>
  <si>
    <t>143 547</t>
  </si>
  <si>
    <t>146 105</t>
  </si>
  <si>
    <t>145 502</t>
  </si>
  <si>
    <t>147 697</t>
  </si>
  <si>
    <t>152 285</t>
  </si>
  <si>
    <t>143 246</t>
  </si>
  <si>
    <t>*Brest*</t>
  </si>
  <si>
    <t>Finistère</t>
  </si>
  <si>
    <t>*139 926*</t>
  </si>
  <si>
    <t>139 386</t>
  </si>
  <si>
    <t>142 097</t>
  </si>
  <si>
    <t>149 634</t>
  </si>
  <si>
    <t>147 956</t>
  </si>
  <si>
    <t>156 060</t>
  </si>
  <si>
    <t>166 826</t>
  </si>
  <si>
    <t>154 023</t>
  </si>
  <si>
    <t>*Tours*</t>
  </si>
  <si>
    <t>Indre-et-Loire</t>
  </si>
  <si>
    <t>Centre-Val de Loire</t>
  </si>
  <si>
    <t>*137 087*</t>
  </si>
  <si>
    <t>134 803</t>
  </si>
  <si>
    <t>135 480</t>
  </si>
  <si>
    <t>132 820</t>
  </si>
  <si>
    <t>129 509</t>
  </si>
  <si>
    <t>132 209</t>
  </si>
  <si>
    <t>140 686</t>
  </si>
  <si>
    <t>128 120</t>
  </si>
  <si>
    <t>*Amiens*</t>
  </si>
  <si>
    <t>Somme</t>
  </si>
  <si>
    <t>*134 706*</t>
  </si>
  <si>
    <t>132 699</t>
  </si>
  <si>
    <t>134 381</t>
  </si>
  <si>
    <t>135 501</t>
  </si>
  <si>
    <t>131 872</t>
  </si>
  <si>
    <t>131 332</t>
  </si>
  <si>
    <t>131 476</t>
  </si>
  <si>
    <t>117 888</t>
  </si>
  <si>
    <t>*Limoges*</t>
  </si>
  <si>
    <t>Haute-Vienne</t>
  </si>
  <si>
    <t>*130 876*</t>
  </si>
  <si>
    <t>135 098</t>
  </si>
  <si>
    <t>140 138</t>
  </si>
  <si>
    <t>133 968</t>
  </si>
  <si>
    <t>133 464</t>
  </si>
  <si>
    <t>140 400</t>
  </si>
  <si>
    <t>143 689</t>
  </si>
  <si>
    <t>132 935</t>
  </si>
  <si>
    <t>*Annecy*[Note 3]</t>
  </si>
  <si>
    <t>Haute-Savoie</t>
  </si>
  <si>
    <t>*130 721*</t>
  </si>
  <si>
    <t>*121 809*</t>
  </si>
  <si>
    <t>*116 041*</t>
  </si>
  <si>
    <t>*112 379*</t>
  </si>
  <si>
    <t>*107 537*</t>
  </si>
  <si>
    <t>*101 087*</t>
  </si>
  <si>
    <t>*96 527*</t>
  </si>
  <si>
    <t>*78 019*</t>
  </si>
  <si>
    <t>*Boulogne-Billancourt*</t>
  </si>
  <si>
    <t>Hauts-de-Seine</t>
  </si>
  <si>
    <t>*121 583*</t>
  </si>
  <si>
    <t>116 794</t>
  </si>
  <si>
    <t>112 233</t>
  </si>
  <si>
    <t>106 367</t>
  </si>
  <si>
    <t>101 743</t>
  </si>
  <si>
    <t>102 582</t>
  </si>
  <si>
    <t>103 578</t>
  </si>
  <si>
    <t>109 008</t>
  </si>
  <si>
    <t>*Perpignan*</t>
  </si>
  <si>
    <t>Pyrénées-Orientales</t>
  </si>
  <si>
    <t>*119 344*</t>
  </si>
  <si>
    <t>120 959</t>
  </si>
  <si>
    <t>116 676</t>
  </si>
  <si>
    <t>105 115</t>
  </si>
  <si>
    <t>105 983</t>
  </si>
  <si>
    <t>111 669</t>
  </si>
  <si>
    <t>106 426</t>
  </si>
  <si>
    <t>102 191</t>
  </si>
  <si>
    <t>*Metz*</t>
  </si>
  <si>
    <t>Moselle</t>
  </si>
  <si>
    <t>*118 489*</t>
  </si>
  <si>
    <t>118 634</t>
  </si>
  <si>
    <t>122 838</t>
  </si>
  <si>
    <t>123 776</t>
  </si>
  <si>
    <t>119 594</t>
  </si>
  <si>
    <t>114 232</t>
  </si>
  <si>
    <t>111 869</t>
  </si>
  <si>
    <t>107 537</t>
  </si>
  <si>
    <t>*Besançon*</t>
  </si>
  <si>
    <t>Doubs</t>
  </si>
  <si>
    <t>*117 912*</t>
  </si>
  <si>
    <t>116 952</t>
  </si>
  <si>
    <t>117 599</t>
  </si>
  <si>
    <t>117 733</t>
  </si>
  <si>
    <t>113 828</t>
  </si>
  <si>
    <t>113 283</t>
  </si>
  <si>
    <t>120 315</t>
  </si>
  <si>
    <t>113 220</t>
  </si>
  <si>
    <t>*Orléans*</t>
  </si>
  <si>
    <t>Loiret</t>
  </si>
  <si>
    <t>*116 269*</t>
  </si>
  <si>
    <t>114 375</t>
  </si>
  <si>
    <t>113 257</t>
  </si>
  <si>
    <t>113 126</t>
  </si>
  <si>
    <t>105 111</t>
  </si>
  <si>
    <t>102 710</t>
  </si>
  <si>
    <t>106 246</t>
  </si>
  <si>
    <t>95 828</t>
  </si>
  <si>
    <t>Seine-Saint-Denis</t>
  </si>
  <si>
    <t>*112 852*</t>
  </si>
  <si>
    <t>109 343</t>
  </si>
  <si>
    <t>103 742</t>
  </si>
  <si>
    <t>85 832</t>
  </si>
  <si>
    <t>89 988</t>
  </si>
  <si>
    <t>90 829</t>
  </si>
  <si>
    <t>96 132</t>
  </si>
  <si>
    <t>99 268</t>
  </si>
  <si>
    <t>*Rouen*</t>
  </si>
  <si>
    <t>*112 321*</t>
  </si>
  <si>
    <t>110 755</t>
  </si>
  <si>
    <t>109 425</t>
  </si>
  <si>
    <t>106 592</t>
  </si>
  <si>
    <t>102 723</t>
  </si>
  <si>
    <t>101 945</t>
  </si>
  <si>
    <t>114 927</t>
  </si>
  <si>
    <t>120 471</t>
  </si>
  <si>
    <t>*Montreuil*</t>
  </si>
  <si>
    <t>*111 240*</t>
  </si>
  <si>
    <t>104 139</t>
  </si>
  <si>
    <t>102 176</t>
  </si>
  <si>
    <t>90 674</t>
  </si>
  <si>
    <t>94 754</t>
  </si>
  <si>
    <t>93 368</t>
  </si>
  <si>
    <t>96 587</t>
  </si>
  <si>
    <t>95 714</t>
  </si>
  <si>
    <t>*Argenteuil*</t>
  </si>
  <si>
    <t>Val-d'Oise</t>
  </si>
  <si>
    <t>*111 038*</t>
  </si>
  <si>
    <t>106 817</t>
  </si>
  <si>
    <t>103 250</t>
  </si>
  <si>
    <t>93 961</t>
  </si>
  <si>
    <t>93 096</t>
  </si>
  <si>
    <t>95 347</t>
  </si>
  <si>
    <t>102 530</t>
  </si>
  <si>
    <t>90 480</t>
  </si>
  <si>
    <t>*Mulhouse*</t>
  </si>
  <si>
    <t>Haut-Rhin</t>
  </si>
  <si>
    <t>*108 312*</t>
  </si>
  <si>
    <t>112 063</t>
  </si>
  <si>
    <t>111 860</t>
  </si>
  <si>
    <t>110 359</t>
  </si>
  <si>
    <t>108 357</t>
  </si>
  <si>
    <t>112 157</t>
  </si>
  <si>
    <t>117 013</t>
  </si>
  <si>
    <t>116 336</t>
  </si>
  <si>
    <t>*Caen*</t>
  </si>
  <si>
    <t>Calvados</t>
  </si>
  <si>
    <t>*106 230*</t>
  </si>
  <si>
    <t>107 229</t>
  </si>
  <si>
    <t>109 899</t>
  </si>
  <si>
    <t>113 987</t>
  </si>
  <si>
    <t>112 846</t>
  </si>
  <si>
    <t>114 068</t>
  </si>
  <si>
    <t>119 474</t>
  </si>
  <si>
    <t>110 262</t>
  </si>
  <si>
    <t>*Nancy*</t>
  </si>
  <si>
    <t>Meurthe-et-Moselle</t>
  </si>
  <si>
    <t>*105 058*</t>
  </si>
  <si>
    <t>104 072</t>
  </si>
  <si>
    <t>106 361</t>
  </si>
  <si>
    <t>103 605</t>
  </si>
  <si>
    <t>99 351</t>
  </si>
  <si>
    <t>96 317</t>
  </si>
  <si>
    <t>107 902</t>
  </si>
  <si>
    <t>123 428</t>
  </si>
  <si>
    <t>*Saint-Paul*</t>
  </si>
  <si>
    <t>*103 208*</t>
  </si>
  <si>
    <t>104 332</t>
  </si>
  <si>
    <t>103 008</t>
  </si>
  <si>
    <t>87 712</t>
  </si>
  <si>
    <t>71 669</t>
  </si>
  <si>
    <t>58 412</t>
  </si>
  <si>
    <t>52 554</t>
  </si>
  <si>
    <t>43 129</t>
  </si>
  <si>
    <t>*Roubaix*</t>
  </si>
  <si>
    <t>*98 828*</t>
  </si>
  <si>
    <t>95 866</t>
  </si>
  <si>
    <t>95 893</t>
  </si>
  <si>
    <t>96 984</t>
  </si>
  <si>
    <t>97 746</t>
  </si>
  <si>
    <t>101 602</t>
  </si>
  <si>
    <t>109 553</t>
  </si>
  <si>
    <t>114 547</t>
  </si>
  <si>
    <t>*Tourcoing*</t>
  </si>
  <si>
    <t>*98 656*</t>
  </si>
  <si>
    <t>93 974</t>
  </si>
  <si>
    <t>92 614</t>
  </si>
  <si>
    <t>93 540</t>
  </si>
  <si>
    <t>93 765</t>
  </si>
  <si>
    <t>96 908</t>
  </si>
  <si>
    <t>102 239</t>
  </si>
  <si>
    <t>98 755</t>
  </si>
  <si>
    <t>*Nanterre*</t>
  </si>
  <si>
    <t>*96 277*</t>
  </si>
  <si>
    <t>92 227</t>
  </si>
  <si>
    <t>89 556</t>
  </si>
  <si>
    <t>84 281</t>
  </si>
  <si>
    <t>84 565</t>
  </si>
  <si>
    <t>88 578</t>
  </si>
  <si>
    <t>95 032</t>
  </si>
  <si>
    <t>90 332</t>
  </si>
  <si>
    <t>*Vitry-sur-Seine*</t>
  </si>
  <si>
    <t>Val-de-Marne</t>
  </si>
  <si>
    <t>*95 510*</t>
  </si>
  <si>
    <t>90 075</t>
  </si>
  <si>
    <t>84 071</t>
  </si>
  <si>
    <t>78 908</t>
  </si>
  <si>
    <t>82 400</t>
  </si>
  <si>
    <t>85 263</t>
  </si>
  <si>
    <t>87 316</t>
  </si>
  <si>
    <t>77 846</t>
  </si>
  <si>
    <t>¤</t>
  </si>
  <si>
    <t>*Nouméa*[11]</t>
  </si>
  <si>
    <t>Nouvelle-Calédonie (collectivité *sui generis*)</t>
  </si>
  <si>
    <t>*94 285*(2019)</t>
  </si>
  <si>
    <t>99 926(2014)</t>
  </si>
  <si>
    <t>97 579(2009)</t>
  </si>
  <si>
    <t>76 293(1996)</t>
  </si>
  <si>
    <t>65 110(1989)</t>
  </si>
  <si>
    <t>60 112(1983)</t>
  </si>
  <si>
    <t>56 078(1976)</t>
  </si>
  <si>
    <t>41 873(1969)</t>
  </si>
  <si>
    <t>*Créteil*</t>
  </si>
  <si>
    <t>*93 246*</t>
  </si>
  <si>
    <t>89 989</t>
  </si>
  <si>
    <t>89 304</t>
  </si>
  <si>
    <t>82 154</t>
  </si>
  <si>
    <t>82 088</t>
  </si>
  <si>
    <t>71 693</t>
  </si>
  <si>
    <t>59 023</t>
  </si>
  <si>
    <t>49 197</t>
  </si>
  <si>
    <t>*Avignon*</t>
  </si>
  <si>
    <t>Vaucluse</t>
  </si>
  <si>
    <t>*91 143*</t>
  </si>
  <si>
    <t>90 305</t>
  </si>
  <si>
    <t>90 109</t>
  </si>
  <si>
    <t>85 935</t>
  </si>
  <si>
    <t>86 939</t>
  </si>
  <si>
    <t>89 132</t>
  </si>
  <si>
    <t>90 786</t>
  </si>
  <si>
    <t>86 096</t>
  </si>
  <si>
    <t>*Poitiers*</t>
  </si>
  <si>
    <t>Vienne</t>
  </si>
  <si>
    <t>*89 212*</t>
  </si>
  <si>
    <t>87 427</t>
  </si>
  <si>
    <t>89 282</t>
  </si>
  <si>
    <t>83 448</t>
  </si>
  <si>
    <t>78 894</t>
  </si>
  <si>
    <t>79 350</t>
  </si>
  <si>
    <t>81 313</t>
  </si>
  <si>
    <t>70 681</t>
  </si>
  <si>
    <t>*Aubervilliers*</t>
  </si>
  <si>
    <t>*88 948*</t>
  </si>
  <si>
    <t>77 452</t>
  </si>
  <si>
    <t>74 528</t>
  </si>
  <si>
    <t>63 136</t>
  </si>
  <si>
    <t>67 557</t>
  </si>
  <si>
    <t>67 719</t>
  </si>
  <si>
    <t>72 976</t>
  </si>
  <si>
    <t>73 695</t>
  </si>
  <si>
    <t>*Asnières-sur-Seine*</t>
  </si>
  <si>
    <t>*87 143*</t>
  </si>
  <si>
    <t>86 020</t>
  </si>
  <si>
    <t>81 666</t>
  </si>
  <si>
    <t>75 837</t>
  </si>
  <si>
    <t>71 850</t>
  </si>
  <si>
    <t>71 077</t>
  </si>
  <si>
    <t>75 431</t>
  </si>
  <si>
    <t>80 113</t>
  </si>
  <si>
    <t>*Aulnay-sous-Bois*</t>
  </si>
  <si>
    <t>*86 969*</t>
  </si>
  <si>
    <t>82 634</t>
  </si>
  <si>
    <t>82 188</t>
  </si>
  <si>
    <t>80 021</t>
  </si>
  <si>
    <t>82 314</t>
  </si>
  <si>
    <t>75 996</t>
  </si>
  <si>
    <t>78 137</t>
  </si>
  <si>
    <t>61 521</t>
  </si>
  <si>
    <t>*Colombes*</t>
  </si>
  <si>
    <t>*86 534*</t>
  </si>
  <si>
    <t>84 577</t>
  </si>
  <si>
    <t>83 695</t>
  </si>
  <si>
    <t>76 757</t>
  </si>
  <si>
    <t>78 513</t>
  </si>
  <si>
    <t>78 777</t>
  </si>
  <si>
    <t>83 390</t>
  </si>
  <si>
    <t>80 357</t>
  </si>
  <si>
    <t>*Dunkerque*[Note 4]</t>
  </si>
  <si>
    <t>*86 279*</t>
  </si>
  <si>
    <t>89 882</t>
  </si>
  <si>
    <t>68 292</t>
  </si>
  <si>
    <t>70 850</t>
  </si>
  <si>
    <t>70 331</t>
  </si>
  <si>
    <t>73 120</t>
  </si>
  <si>
    <t>83 163</t>
  </si>
  <si>
    <t>27 504</t>
  </si>
  <si>
    <t>*Saint-Pierre*</t>
  </si>
  <si>
    <t>*84 982*</t>
  </si>
  <si>
    <t>81 415</t>
  </si>
  <si>
    <t>76 247</t>
  </si>
  <si>
    <t>68 915</t>
  </si>
  <si>
    <t>58 846</t>
  </si>
  <si>
    <t>50 082</t>
  </si>
  <si>
    <t>46 060</t>
  </si>
  <si>
    <t>40 355</t>
  </si>
  <si>
    <t>*Versailles*</t>
  </si>
  <si>
    <t>Yvelines</t>
  </si>
  <si>
    <t>*84 808*</t>
  </si>
  <si>
    <t>85 272</t>
  </si>
  <si>
    <t>86 686</t>
  </si>
  <si>
    <t>85 726</t>
  </si>
  <si>
    <t>87 789</t>
  </si>
  <si>
    <t>91 494</t>
  </si>
  <si>
    <t>94 145</t>
  </si>
  <si>
    <t>*Courbevoie*</t>
  </si>
  <si>
    <t>*81 558*</t>
  </si>
  <si>
    <t>85 523</t>
  </si>
  <si>
    <t>85 054</t>
  </si>
  <si>
    <t>69 694</t>
  </si>
  <si>
    <t>65 389</t>
  </si>
  <si>
    <t>59 830</t>
  </si>
  <si>
    <t>54 488</t>
  </si>
  <si>
    <t>58 118</t>
  </si>
  <si>
    <t>*Le Tampon*</t>
  </si>
  <si>
    <t>*79 824*</t>
  </si>
  <si>
    <t>76 090</t>
  </si>
  <si>
    <t>72 026</t>
  </si>
  <si>
    <t>60 323</t>
  </si>
  <si>
    <t>47 593</t>
  </si>
  <si>
    <t>40 545</t>
  </si>
  <si>
    <t>36 107</t>
  </si>
  <si>
    <t>31 378</t>
  </si>
  <si>
    <t>*Cherbourg-en-Cotentin*[Note 5]</t>
  </si>
  <si>
    <t>Manche</t>
  </si>
  <si>
    <t>*78 549*</t>
  </si>
  <si>
    <t>*80 978*</t>
  </si>
  <si>
    <t>*84 330*</t>
  </si>
  <si>
    <t>*71 640*</t>
  </si>
  <si>
    <t>*73 925*</t>
  </si>
  <si>
    <t>*66 934*</t>
  </si>
  <si>
    <t>*66 562*</t>
  </si>
  <si>
    <t>*69 656*</t>
  </si>
  <si>
    <t>*Rueil-Malmaison*</t>
  </si>
  <si>
    <t>*78 317*</t>
  </si>
  <si>
    <t>79 762</t>
  </si>
  <si>
    <t>78 112</t>
  </si>
  <si>
    <t>73 469</t>
  </si>
  <si>
    <t>66 401</t>
  </si>
  <si>
    <t>63 412</t>
  </si>
  <si>
    <t>62 727</t>
  </si>
  <si>
    <t>60 804</t>
  </si>
  <si>
    <t>*Béziers*</t>
  </si>
  <si>
    <t>*78 308*</t>
  </si>
  <si>
    <t>74 811</t>
  </si>
  <si>
    <t>71 672</t>
  </si>
  <si>
    <t>69 153</t>
  </si>
  <si>
    <t>70 996</t>
  </si>
  <si>
    <t>76 647</t>
  </si>
  <si>
    <t>84 029</t>
  </si>
  <si>
    <t>80 492</t>
  </si>
  <si>
    <t>*La Rochelle*</t>
  </si>
  <si>
    <t>Charente-Maritime</t>
  </si>
  <si>
    <t>*77 205*</t>
  </si>
  <si>
    <t>74 344</t>
  </si>
  <si>
    <t>75 822</t>
  </si>
  <si>
    <t>76 584</t>
  </si>
  <si>
    <t>71 094</t>
  </si>
  <si>
    <t>75 840</t>
  </si>
  <si>
    <t>75 367</t>
  </si>
  <si>
    <t>73 347</t>
  </si>
  <si>
    <t>*Champigny-sur-Marne*</t>
  </si>
  <si>
    <t>*76 990*</t>
  </si>
  <si>
    <t>75 961</t>
  </si>
  <si>
    <t>75 142</t>
  </si>
  <si>
    <t>74 237</t>
  </si>
  <si>
    <t>79 486</t>
  </si>
  <si>
    <t>76 176</t>
  </si>
  <si>
    <t>80 291</t>
  </si>
  <si>
    <t>70 419</t>
  </si>
  <si>
    <t>*Fort-de-France*</t>
  </si>
  <si>
    <t>Martinique</t>
  </si>
  <si>
    <t>*76 512*</t>
  </si>
  <si>
    <t>84 174</t>
  </si>
  <si>
    <t>89 000</t>
  </si>
  <si>
    <t>94 049</t>
  </si>
  <si>
    <t>100 080</t>
  </si>
  <si>
    <t>99 844</t>
  </si>
  <si>
    <t>98 807</t>
  </si>
  <si>
    <t>96 943</t>
  </si>
  <si>
    <t>*Pau*</t>
  </si>
  <si>
    <t>Pyrénées-Atlantiques</t>
  </si>
  <si>
    <t>*75 627*</t>
  </si>
  <si>
    <t>77 575</t>
  </si>
  <si>
    <t>84 036</t>
  </si>
  <si>
    <t>78 732</t>
  </si>
  <si>
    <t>82 157</t>
  </si>
  <si>
    <t>83 790</t>
  </si>
  <si>
    <t>83 498</t>
  </si>
  <si>
    <t>74 005</t>
  </si>
  <si>
    <t>*Saint-Maur-des-Fossés*</t>
  </si>
  <si>
    <t>*74 976*</t>
  </si>
  <si>
    <t>74 133</t>
  </si>
  <si>
    <t>75 724</t>
  </si>
  <si>
    <t>73 069</t>
  </si>
  <si>
    <t>77 206</t>
  </si>
  <si>
    <t>80 811</t>
  </si>
  <si>
    <t>80 920</t>
  </si>
  <si>
    <t>77 251</t>
  </si>
  <si>
    <t>*Cannes*</t>
  </si>
  <si>
    <t>*74 545*</t>
  </si>
  <si>
    <t>73 325</t>
  </si>
  <si>
    <t>72 939</t>
  </si>
  <si>
    <t>67 304</t>
  </si>
  <si>
    <t>68 676</t>
  </si>
  <si>
    <t>72 259</t>
  </si>
  <si>
    <t>70 527</t>
  </si>
  <si>
    <t>67 152</t>
  </si>
  <si>
    <t>*Antibes*</t>
  </si>
  <si>
    <t>*73 438*</t>
  </si>
  <si>
    <t>75 456</t>
  </si>
  <si>
    <t>76 994</t>
  </si>
  <si>
    <t>72 412</t>
  </si>
  <si>
    <t>70 005</t>
  </si>
  <si>
    <t>62 859</t>
  </si>
  <si>
    <t>55 960</t>
  </si>
  <si>
    <t>47 547</t>
  </si>
  <si>
    <t>*Calais*</t>
  </si>
  <si>
    <t>Pas-de-Calais</t>
  </si>
  <si>
    <t>*72 509*</t>
  </si>
  <si>
    <t>72 520</t>
  </si>
  <si>
    <t>74 817</t>
  </si>
  <si>
    <t>77 333</t>
  </si>
  <si>
    <t>75 309</t>
  </si>
  <si>
    <t>76 527</t>
  </si>
  <si>
    <t>78 820</t>
  </si>
  <si>
    <t>74 624</t>
  </si>
  <si>
    <t>*Drancy*</t>
  </si>
  <si>
    <t>*72 376*</t>
  </si>
  <si>
    <t>68 241</t>
  </si>
  <si>
    <t>66 194</t>
  </si>
  <si>
    <t>62 263</t>
  </si>
  <si>
    <t>60 707</t>
  </si>
  <si>
    <t>60 183</t>
  </si>
  <si>
    <t>64 430</t>
  </si>
  <si>
    <t>*Mérignac*</t>
  </si>
  <si>
    <t>*72 197*</t>
  </si>
  <si>
    <t>68 386</t>
  </si>
  <si>
    <t>66 095</t>
  </si>
  <si>
    <t>61 992</t>
  </si>
  <si>
    <t>57 273</t>
  </si>
  <si>
    <t>51 306</t>
  </si>
  <si>
    <t>50 652</t>
  </si>
  <si>
    <t>45 951</t>
  </si>
  <si>
    <t>*Mamoudzou*</t>
  </si>
  <si>
    <t>Mayotte</t>
  </si>
  <si>
    <t>71 437(2017)</t>
  </si>
  <si>
    <t>57 281(2012)</t>
  </si>
  <si>
    <t>53 022(2007)</t>
  </si>
  <si>
    <t>32 774(1997)</t>
  </si>
  <si>
    <t>20 037(1991)</t>
  </si>
  <si>
    <t>12 026(1985)</t>
  </si>
  <si>
    <t>*Saint-Nazaire*</t>
  </si>
  <si>
    <t>*71 394*</t>
  </si>
  <si>
    <t>68 513</t>
  </si>
  <si>
    <t>66 912</t>
  </si>
  <si>
    <t>65 874</t>
  </si>
  <si>
    <t>64 812</t>
  </si>
  <si>
    <t>68 348</t>
  </si>
  <si>
    <t>69 251</t>
  </si>
  <si>
    <t>63 289</t>
  </si>
  <si>
    <t>2A004</t>
  </si>
  <si>
    <t>*Ajaccio*</t>
  </si>
  <si>
    <t>Corse-du-Sud</t>
  </si>
  <si>
    <t>*71 361*</t>
  </si>
  <si>
    <t>67 507</t>
  </si>
  <si>
    <t>65 153</t>
  </si>
  <si>
    <t>52 880</t>
  </si>
  <si>
    <t>58 949</t>
  </si>
  <si>
    <t>54 089</t>
  </si>
  <si>
    <t>49 065</t>
  </si>
  <si>
    <t>43 438</t>
  </si>
  <si>
    <t>*Colmar*</t>
  </si>
  <si>
    <t>*68 682*</t>
  </si>
  <si>
    <t>67 956</t>
  </si>
  <si>
    <t>66 871</t>
  </si>
  <si>
    <t>65 136</t>
  </si>
  <si>
    <t>63 498</t>
  </si>
  <si>
    <t>62 483</t>
  </si>
  <si>
    <t>64 771</t>
  </si>
  <si>
    <t>59 550</t>
  </si>
  <si>
    <t>*Issy-les-Moulineaux*</t>
  </si>
  <si>
    <t>*67 981*</t>
  </si>
  <si>
    <t>65 662</t>
  </si>
  <si>
    <t>63 297</t>
  </si>
  <si>
    <t>52 647</t>
  </si>
  <si>
    <t>46 127</t>
  </si>
  <si>
    <t>45 772</t>
  </si>
  <si>
    <t>47 561</t>
  </si>
  <si>
    <t>50 442</t>
  </si>
  <si>
    <t>*Noisy-le-Grand*</t>
  </si>
  <si>
    <t>*67 871*</t>
  </si>
  <si>
    <t>62 834</t>
  </si>
  <si>
    <t>63 106</t>
  </si>
  <si>
    <t>58 217</t>
  </si>
  <si>
    <t>54 032</t>
  </si>
  <si>
    <t>40 585</t>
  </si>
  <si>
    <t>26 662</t>
  </si>
  <si>
    <t>25 440</t>
  </si>
  <si>
    <t>*Vénissieux*</t>
  </si>
  <si>
    <t>*67 285*</t>
  </si>
  <si>
    <t>61 636</t>
  </si>
  <si>
    <t>57 629</t>
  </si>
  <si>
    <t>56 061</t>
  </si>
  <si>
    <t>60 444</t>
  </si>
  <si>
    <t>64 804</t>
  </si>
  <si>
    <t>74 347</t>
  </si>
  <si>
    <t>47 613</t>
  </si>
  <si>
    <t>*Évry-Courcouronnes*[Note 6]</t>
  </si>
  <si>
    <t>Essonne</t>
  </si>
  <si>
    <t>*66 851*</t>
  </si>
  <si>
    <t>*66 703*</t>
  </si>
  <si>
    <t>*66 601*</t>
  </si>
  <si>
    <t>*63 391*</t>
  </si>
  <si>
    <t>*58 793*</t>
  </si>
  <si>
    <t>*34 542*</t>
  </si>
  <si>
    <t>*19 663*</t>
  </si>
  <si>
    <t>*7 292*</t>
  </si>
  <si>
    <t>*Levallois-Perret*</t>
  </si>
  <si>
    <t>*66 082*</t>
  </si>
  <si>
    <t>65 264</t>
  </si>
  <si>
    <t>62 995</t>
  </si>
  <si>
    <t>54 700</t>
  </si>
  <si>
    <t>47 548</t>
  </si>
  <si>
    <t>53 500</t>
  </si>
  <si>
    <t>52 523</t>
  </si>
  <si>
    <t>58 941</t>
  </si>
  <si>
    <t>*Cergy*</t>
  </si>
  <si>
    <t>*65 911*</t>
  </si>
  <si>
    <t>61 708</t>
  </si>
  <si>
    <t>56 108</t>
  </si>
  <si>
    <t>54 781</t>
  </si>
  <si>
    <t>48 226</t>
  </si>
  <si>
    <t>17 703</t>
  </si>
  <si>
    <t>7 670</t>
  </si>
  <si>
    <t>2 203</t>
  </si>
  <si>
    <t>*Cayenne*</t>
  </si>
  <si>
    <t>Guyane</t>
  </si>
  <si>
    <t>*65 493*</t>
  </si>
  <si>
    <t>54 709</t>
  </si>
  <si>
    <t>57 643</t>
  </si>
  <si>
    <t>50 594</t>
  </si>
  <si>
    <t>41 067</t>
  </si>
  <si>
    <t>38 091</t>
  </si>
  <si>
    <t>30 461</t>
  </si>
  <si>
    <t>24 518</t>
  </si>
  <si>
    <t>*Pessac*</t>
  </si>
  <si>
    <t>*65 245*</t>
  </si>
  <si>
    <t>60 763</t>
  </si>
  <si>
    <t>57 632</t>
  </si>
  <si>
    <t>56 143</t>
  </si>
  <si>
    <t>51 055</t>
  </si>
  <si>
    <t>50 267</t>
  </si>
  <si>
    <t>51 360</t>
  </si>
  <si>
    <t>36 986</t>
  </si>
  <si>
    <t>*Valence*</t>
  </si>
  <si>
    <t>Drôme</t>
  </si>
  <si>
    <t>*64 749*</t>
  </si>
  <si>
    <t>61 767</t>
  </si>
  <si>
    <t>64 484</t>
  </si>
  <si>
    <t>64 260</t>
  </si>
  <si>
    <t>63 437</t>
  </si>
  <si>
    <t>66 356</t>
  </si>
  <si>
    <t>68 604</t>
  </si>
  <si>
    <t>62 358</t>
  </si>
  <si>
    <t>*Bourges*</t>
  </si>
  <si>
    <t>Cher</t>
  </si>
  <si>
    <t>*64 541*</t>
  </si>
  <si>
    <t>67 189</t>
  </si>
  <si>
    <t>68 980</t>
  </si>
  <si>
    <t>72 480</t>
  </si>
  <si>
    <t>75 609</t>
  </si>
  <si>
    <t>76 432</t>
  </si>
  <si>
    <t>77 300</t>
  </si>
  <si>
    <t>70 814</t>
  </si>
  <si>
    <t>*Ivry-sur-Seine*</t>
  </si>
  <si>
    <t>*63 748*</t>
  </si>
  <si>
    <t>58 933</t>
  </si>
  <si>
    <t>56 679</t>
  </si>
  <si>
    <t>50 972</t>
  </si>
  <si>
    <t>53 619</t>
  </si>
  <si>
    <t>55 699</t>
  </si>
  <si>
    <t>62 856</t>
  </si>
  <si>
    <t>60 455</t>
  </si>
  <si>
    <t>*Quimper*</t>
  </si>
  <si>
    <t>*63 283*</t>
  </si>
  <si>
    <t>63 532</t>
  </si>
  <si>
    <t>63 929</t>
  </si>
  <si>
    <t>63 238</t>
  </si>
  <si>
    <t>59 437</t>
  </si>
  <si>
    <t>56 907</t>
  </si>
  <si>
    <t>55 977</t>
  </si>
  <si>
    <t>52 496</t>
  </si>
  <si>
    <t>*Clichy-la-Garenne*</t>
  </si>
  <si>
    <t>*63 089*</t>
  </si>
  <si>
    <t>59 255</t>
  </si>
  <si>
    <t>58 388</t>
  </si>
  <si>
    <t>50 179</t>
  </si>
  <si>
    <t>48 030</t>
  </si>
  <si>
    <t>46 895</t>
  </si>
  <si>
    <t>47 764</t>
  </si>
  <si>
    <t>52 477</t>
  </si>
  <si>
    <t>*La Seyne-sur-Mer*</t>
  </si>
  <si>
    <t>*62 987*</t>
  </si>
  <si>
    <t>64 523</t>
  </si>
  <si>
    <t>59 999</t>
  </si>
  <si>
    <t>60 188</t>
  </si>
  <si>
    <t>59 968</t>
  </si>
  <si>
    <t>57 659</t>
  </si>
  <si>
    <t>51 155</t>
  </si>
  <si>
    <t>43 783</t>
  </si>
  <si>
    <t>*Antony*</t>
  </si>
  <si>
    <t>*62 760*</t>
  </si>
  <si>
    <t>61 727</t>
  </si>
  <si>
    <t>61 240</t>
  </si>
  <si>
    <t>59 855</t>
  </si>
  <si>
    <t>57 771</t>
  </si>
  <si>
    <t>54 610</t>
  </si>
  <si>
    <t>57 540</t>
  </si>
  <si>
    <t>56 638</t>
  </si>
  <si>
    <t>*Troyes*</t>
  </si>
  <si>
    <t>Aube</t>
  </si>
  <si>
    <t>*61 957*</t>
  </si>
  <si>
    <t>59 671</t>
  </si>
  <si>
    <t>61 544</t>
  </si>
  <si>
    <t>60 958</t>
  </si>
  <si>
    <t>63 581</t>
  </si>
  <si>
    <t>72 167</t>
  </si>
  <si>
    <t>74 898</t>
  </si>
  <si>
    <t>*Villeneuve-d'Ascq*</t>
  </si>
  <si>
    <t>62 616</t>
  </si>
  <si>
    <t>62 717</t>
  </si>
  <si>
    <t>65 042</t>
  </si>
  <si>
    <t>65 320</t>
  </si>
  <si>
    <t>59 527</t>
  </si>
  <si>
    <t>36 769</t>
  </si>
  <si>
    <t>11 618</t>
  </si>
  <si>
    <t>*Montauban*</t>
  </si>
  <si>
    <t>Tarn-et-Garonne</t>
  </si>
  <si>
    <t>*61 372*</t>
  </si>
  <si>
    <t>57 921</t>
  </si>
  <si>
    <t>55 974</t>
  </si>
  <si>
    <t>51 855</t>
  </si>
  <si>
    <t>51 224</t>
  </si>
  <si>
    <t>50 682</t>
  </si>
  <si>
    <t>48 053</t>
  </si>
  <si>
    <t>45 895</t>
  </si>
  <si>
    <t>*Pantin*</t>
  </si>
  <si>
    <t>*59 846*</t>
  </si>
  <si>
    <t>53 471</t>
  </si>
  <si>
    <t>52 698</t>
  </si>
  <si>
    <t>49 919</t>
  </si>
  <si>
    <t>47 303</t>
  </si>
  <si>
    <t>43 553</t>
  </si>
  <si>
    <t>42 739</t>
  </si>
  <si>
    <t>47 607</t>
  </si>
  <si>
    <t>*Neuilly-sur-Seine*</t>
  </si>
  <si>
    <t>*59 599*</t>
  </si>
  <si>
    <t>62 346</t>
  </si>
  <si>
    <t>60 341</t>
  </si>
  <si>
    <t>59 848</t>
  </si>
  <si>
    <t>61 768</t>
  </si>
  <si>
    <t>64 170</t>
  </si>
  <si>
    <t>65 983</t>
  </si>
  <si>
    <t>70 995</t>
  </si>
  <si>
    <t>*Sarcelles*</t>
  </si>
  <si>
    <t>*59 196*</t>
  </si>
  <si>
    <t>57 533</t>
  </si>
  <si>
    <t>59 221</t>
  </si>
  <si>
    <t>57 871</t>
  </si>
  <si>
    <t>56 833</t>
  </si>
  <si>
    <t>53 630</t>
  </si>
  <si>
    <t>55 007</t>
  </si>
  <si>
    <t>51 674</t>
  </si>
  <si>
    <t>*Niort*</t>
  </si>
  <si>
    <t>Deux-Sèvres</t>
  </si>
  <si>
    <t>*59 193*</t>
  </si>
  <si>
    <t>57 393</t>
  </si>
  <si>
    <t>58 072</t>
  </si>
  <si>
    <t>56 663</t>
  </si>
  <si>
    <t>57 012</t>
  </si>
  <si>
    <t>58 203</t>
  </si>
  <si>
    <t>62 267</t>
  </si>
  <si>
    <t>48 469</t>
  </si>
  <si>
    <t>*Chambéry*</t>
  </si>
  <si>
    <t>Savoie</t>
  </si>
  <si>
    <t>*58 917*</t>
  </si>
  <si>
    <t>58 653</t>
  </si>
  <si>
    <t>56 835</t>
  </si>
  <si>
    <t>55 786</t>
  </si>
  <si>
    <t>54 120</t>
  </si>
  <si>
    <t>53 427</t>
  </si>
  <si>
    <t>54 415</t>
  </si>
  <si>
    <t>51 066</t>
  </si>
  <si>
    <t>*Le Blanc-Mesnil*</t>
  </si>
  <si>
    <t>*57 498*</t>
  </si>
  <si>
    <t>52 797</t>
  </si>
  <si>
    <t>50 668</t>
  </si>
  <si>
    <t>46 936</t>
  </si>
  <si>
    <t>46 956</t>
  </si>
  <si>
    <t>47 037</t>
  </si>
  <si>
    <t>49 107</t>
  </si>
  <si>
    <t>48 487</t>
  </si>
  <si>
    <t>*Lorient*</t>
  </si>
  <si>
    <t>Morbihan</t>
  </si>
  <si>
    <t>*57 246*</t>
  </si>
  <si>
    <t>57 961</t>
  </si>
  <si>
    <t>58 148</t>
  </si>
  <si>
    <t>59 189</t>
  </si>
  <si>
    <t>59 271</t>
  </si>
  <si>
    <t>62 554</t>
  </si>
  <si>
    <t>69 769</t>
  </si>
  <si>
    <t>66 444</t>
  </si>
  <si>
    <t>*Beauvais*</t>
  </si>
  <si>
    <t>Oise</t>
  </si>
  <si>
    <t>*57 071*</t>
  </si>
  <si>
    <t>55 252</t>
  </si>
  <si>
    <t>54 953</t>
  </si>
  <si>
    <t>55 392</t>
  </si>
  <si>
    <t>54 190</t>
  </si>
  <si>
    <t>52 365</t>
  </si>
  <si>
    <t>46 777</t>
  </si>
  <si>
    <t>*Saint-André*</t>
  </si>
  <si>
    <t>*56 902*</t>
  </si>
  <si>
    <t>56 156</t>
  </si>
  <si>
    <t>52 956</t>
  </si>
  <si>
    <t>43 174</t>
  </si>
  <si>
    <t>35 049</t>
  </si>
  <si>
    <t>30 075</t>
  </si>
  <si>
    <t>25 231</t>
  </si>
  <si>
    <t>22 094</t>
  </si>
  <si>
    <t>*Maisons-Alfort*</t>
  </si>
  <si>
    <t>*56 483*</t>
  </si>
  <si>
    <t>54 470</t>
  </si>
  <si>
    <t>52 852</t>
  </si>
  <si>
    <t>51 103</t>
  </si>
  <si>
    <t>53 375</t>
  </si>
  <si>
    <t>51 065</t>
  </si>
  <si>
    <t>54 146</t>
  </si>
  <si>
    <t>53 149</t>
  </si>
  <si>
    <t>*Meaux*</t>
  </si>
  <si>
    <t>Seine-et-Marne</t>
  </si>
  <si>
    <t>*55 750*</t>
  </si>
  <si>
    <t>53 766</t>
  </si>
  <si>
    <t>48 653</t>
  </si>
  <si>
    <t>49 421</t>
  </si>
  <si>
    <t>48 305</t>
  </si>
  <si>
    <t>45 005</t>
  </si>
  <si>
    <t>42 243</t>
  </si>
  <si>
    <t>30 167</t>
  </si>
  <si>
    <t>*Narbonne*</t>
  </si>
  <si>
    <t>Aude</t>
  </si>
  <si>
    <t>*55 516*</t>
  </si>
  <si>
    <t>52 802</t>
  </si>
  <si>
    <t>51 005</t>
  </si>
  <si>
    <t>46 510</t>
  </si>
  <si>
    <t>45 849</t>
  </si>
  <si>
    <t>41 565</t>
  </si>
  <si>
    <t>39 342</t>
  </si>
  <si>
    <t>38 441</t>
  </si>
  <si>
    <t>*Villejuif*</t>
  </si>
  <si>
    <t>*55 208*</t>
  </si>
  <si>
    <t>57 184</t>
  </si>
  <si>
    <t>53 240</t>
  </si>
  <si>
    <t>47 384</t>
  </si>
  <si>
    <t>48 405</t>
  </si>
  <si>
    <t>52 448</t>
  </si>
  <si>
    <t>55 606</t>
  </si>
  <si>
    <t>51 120</t>
  </si>
  <si>
    <t>*Chelles*</t>
  </si>
  <si>
    <t>*55 154*</t>
  </si>
  <si>
    <t>53 569</t>
  </si>
  <si>
    <t>52 765</t>
  </si>
  <si>
    <t>45 399</t>
  </si>
  <si>
    <t>45 365</t>
  </si>
  <si>
    <t>41 838</t>
  </si>
  <si>
    <t>36 516</t>
  </si>
  <si>
    <t>33 281</t>
  </si>
  <si>
    <t>*La Roche-sur-Yon*</t>
  </si>
  <si>
    <t>Vendée</t>
  </si>
  <si>
    <t>*55 147*</t>
  </si>
  <si>
    <t>52 732</t>
  </si>
  <si>
    <t>51 727</t>
  </si>
  <si>
    <t>49 262</t>
  </si>
  <si>
    <t>45 219</t>
  </si>
  <si>
    <t>45 098</t>
  </si>
  <si>
    <t>44 713</t>
  </si>
  <si>
    <t>36 067</t>
  </si>
  <si>
    <t>*Hyères*</t>
  </si>
  <si>
    <t>*54 821*</t>
  </si>
  <si>
    <t>55 713</t>
  </si>
  <si>
    <t>55 135</t>
  </si>
  <si>
    <t>51 417</t>
  </si>
  <si>
    <t>48 043</t>
  </si>
  <si>
    <t>38 999</t>
  </si>
  <si>
    <t>36 123</t>
  </si>
  <si>
    <t>34 875</t>
  </si>
  <si>
    <t>*Épinay-sur-Seine*</t>
  </si>
  <si>
    <t>*54 611*</t>
  </si>
  <si>
    <t>54 857</t>
  </si>
  <si>
    <t>52 689</t>
  </si>
  <si>
    <t>46 409</t>
  </si>
  <si>
    <t>48 762</t>
  </si>
  <si>
    <t>50 314</t>
  </si>
  <si>
    <t>46 578</t>
  </si>
  <si>
    <t>41 774</t>
  </si>
  <si>
    <t>*Bondy*</t>
  </si>
  <si>
    <t>*54 587*</t>
  </si>
  <si>
    <t>52 865</t>
  </si>
  <si>
    <t>53 259</t>
  </si>
  <si>
    <t>46 826</t>
  </si>
  <si>
    <t>46 676</t>
  </si>
  <si>
    <t>44 301</t>
  </si>
  <si>
    <t>48 333</t>
  </si>
  <si>
    <t>51 652</t>
  </si>
  <si>
    <t>*Fréjus*</t>
  </si>
  <si>
    <t>*54 458*</t>
  </si>
  <si>
    <t>53 039</t>
  </si>
  <si>
    <t>52 687</t>
  </si>
  <si>
    <t>46 801</t>
  </si>
  <si>
    <t>41 486</t>
  </si>
  <si>
    <t>31 662</t>
  </si>
  <si>
    <t>28 851</t>
  </si>
  <si>
    <t>23 629</t>
  </si>
  <si>
    <t>*Bobigny*</t>
  </si>
  <si>
    <t>*54 363*</t>
  </si>
  <si>
    <t>49 802</t>
  </si>
  <si>
    <t>47 726</t>
  </si>
  <si>
    <t>44 079</t>
  </si>
  <si>
    <t>44 659</t>
  </si>
  <si>
    <t>42 723</t>
  </si>
  <si>
    <t>43 125</t>
  </si>
  <si>
    <t>39 453</t>
  </si>
  <si>
    <t>*Cholet*</t>
  </si>
  <si>
    <t>*54 037*</t>
  </si>
  <si>
    <t>53 890</t>
  </si>
  <si>
    <t>54 118</t>
  </si>
  <si>
    <t>54 204</t>
  </si>
  <si>
    <t>55 132</t>
  </si>
  <si>
    <t>55 524</t>
  </si>
  <si>
    <t>52 976</t>
  </si>
  <si>
    <t>41 766</t>
  </si>
  <si>
    <t>*Vannes*</t>
  </si>
  <si>
    <t>*53 719*</t>
  </si>
  <si>
    <t>53 032</t>
  </si>
  <si>
    <t>52 983</t>
  </si>
  <si>
    <t>51 759</t>
  </si>
  <si>
    <t>45 644</t>
  </si>
  <si>
    <t>42 178</t>
  </si>
  <si>
    <t>40 359</t>
  </si>
  <si>
    <t>36 576</t>
  </si>
  <si>
    <t>*Saint-Quentin*</t>
  </si>
  <si>
    <t>Aisne</t>
  </si>
  <si>
    <t>*53 570*</t>
  </si>
  <si>
    <t>55 698</t>
  </si>
  <si>
    <t>56 843</t>
  </si>
  <si>
    <t>59 066</t>
  </si>
  <si>
    <t>60 644</t>
  </si>
  <si>
    <t>63 567</t>
  </si>
  <si>
    <t>67 243</t>
  </si>
  <si>
    <t>64 196</t>
  </si>
  <si>
    <t>*Les Abymes*</t>
  </si>
  <si>
    <t>Guadeloupe</t>
  </si>
  <si>
    <t>*53 514*</t>
  </si>
  <si>
    <t>57 960</t>
  </si>
  <si>
    <t>59 270</t>
  </si>
  <si>
    <t>63 054</t>
  </si>
  <si>
    <t>62 605</t>
  </si>
  <si>
    <t>56 165</t>
  </si>
  <si>
    <t>53 605</t>
  </si>
  <si>
    <t>39 911</t>
  </si>
  <si>
    <t>*Saint-Louis*</t>
  </si>
  <si>
    <t>*53 120*</t>
  </si>
  <si>
    <t>52 656</t>
  </si>
  <si>
    <t>50 717</t>
  </si>
  <si>
    <t>43 519</t>
  </si>
  <si>
    <t>37 420</t>
  </si>
  <si>
    <t>31 785</t>
  </si>
  <si>
    <t>30 291</t>
  </si>
  <si>
    <t>26 663</t>
  </si>
  <si>
    <t>*Clamart*</t>
  </si>
  <si>
    <t>*52 925*</t>
  </si>
  <si>
    <t>52 203</t>
  </si>
  <si>
    <t>51 407</t>
  </si>
  <si>
    <t>48 572</t>
  </si>
  <si>
    <t>47 227</t>
  </si>
  <si>
    <t>48 353</t>
  </si>
  <si>
    <t>52 952</t>
  </si>
  <si>
    <t>54 906</t>
  </si>
  <si>
    <t>*Vaulx-en-Velin*</t>
  </si>
  <si>
    <t>*52 795*</t>
  </si>
  <si>
    <t>44 087</t>
  </si>
  <si>
    <t>40 373</t>
  </si>
  <si>
    <t>39 154</t>
  </si>
  <si>
    <t>44 174</t>
  </si>
  <si>
    <t>44 160</t>
  </si>
  <si>
    <t>37 866</t>
  </si>
  <si>
    <t>20 726</t>
  </si>
  <si>
    <t>*Sartrouville*</t>
  </si>
  <si>
    <t>*52 774*</t>
  </si>
  <si>
    <t>51 599</t>
  </si>
  <si>
    <t>51 447</t>
  </si>
  <si>
    <t>50 219</t>
  </si>
  <si>
    <t>50 329</t>
  </si>
  <si>
    <t>46 197</t>
  </si>
  <si>
    <t>42 253</t>
  </si>
  <si>
    <t>40 277</t>
  </si>
  <si>
    <t>*Cagnes-sur-Mer*</t>
  </si>
  <si>
    <t>*52 178*</t>
  </si>
  <si>
    <t>46 940</t>
  </si>
  <si>
    <t>48 926</t>
  </si>
  <si>
    <t>43 942</t>
  </si>
  <si>
    <t>40 902</t>
  </si>
  <si>
    <t>35 214</t>
  </si>
  <si>
    <t>29 538</t>
  </si>
  <si>
    <t>22 110</t>
  </si>
  <si>
    <t>*Fontenay-sous-Bois*</t>
  </si>
  <si>
    <t>*52 008*</t>
  </si>
  <si>
    <t>53 124</t>
  </si>
  <si>
    <t>52 848</t>
  </si>
  <si>
    <t>50 921</t>
  </si>
  <si>
    <t>51 868</t>
  </si>
  <si>
    <t>52 627</t>
  </si>
  <si>
    <t>46 475</t>
  </si>
  <si>
    <t>38 962</t>
  </si>
  <si>
    <t>*Bayonne*</t>
  </si>
  <si>
    <t>*51 894*</t>
  </si>
  <si>
    <t>47 492</t>
  </si>
  <si>
    <t>44 506</t>
  </si>
  <si>
    <t>40 078</t>
  </si>
  <si>
    <t>40 051</t>
  </si>
  <si>
    <t>41 381</t>
  </si>
  <si>
    <t>42 938</t>
  </si>
  <si>
    <t>42 743</t>
  </si>
  <si>
    <t>*Sevran*</t>
  </si>
  <si>
    <t>*51 734*</t>
  </si>
  <si>
    <t>49 465</t>
  </si>
  <si>
    <t>50 770</t>
  </si>
  <si>
    <t>47 063</t>
  </si>
  <si>
    <t>48 478</t>
  </si>
  <si>
    <t>41 809</t>
  </si>
  <si>
    <t>34 221</t>
  </si>
  <si>
    <t>20 253</t>
  </si>
  <si>
    <t>*Corbeil-Essonnes*</t>
  </si>
  <si>
    <t>*51 234*</t>
  </si>
  <si>
    <t>47 632</t>
  </si>
  <si>
    <t>41 666</t>
  </si>
  <si>
    <t>39 378</t>
  </si>
  <si>
    <t>40 345</t>
  </si>
  <si>
    <t>37 846</t>
  </si>
  <si>
    <t>38 859</t>
  </si>
  <si>
    <t>32 192</t>
  </si>
  <si>
    <t>*Saint-Ouen-sur-Seine*</t>
  </si>
  <si>
    <t>*50 697*</t>
  </si>
  <si>
    <t>47 534</t>
  </si>
  <si>
    <t>45 595</t>
  </si>
  <si>
    <t>39 722</t>
  </si>
  <si>
    <t>42 343</t>
  </si>
  <si>
    <t>43 606</t>
  </si>
  <si>
    <t>43 588</t>
  </si>
  <si>
    <t>48 886</t>
  </si>
  <si>
    <t>*Massy*</t>
  </si>
  <si>
    <t>*50 644*</t>
  </si>
  <si>
    <t>45 902</t>
  </si>
  <si>
    <t>37 712</t>
  </si>
  <si>
    <t>38 574</t>
  </si>
  <si>
    <t>40 135</t>
  </si>
  <si>
    <t>41 344</t>
  </si>
  <si>
    <t>37 055</t>
  </si>
  <si>
    <t>*Arles*</t>
  </si>
  <si>
    <t>*50 454*</t>
  </si>
  <si>
    <t>52 566</t>
  </si>
  <si>
    <t>52 729</t>
  </si>
  <si>
    <t>50 513</t>
  </si>
  <si>
    <t>52 058</t>
  </si>
  <si>
    <t>50 500</t>
  </si>
  <si>
    <t>50 059</t>
  </si>
  <si>
    <t>45 774</t>
  </si>
  <si>
    <t>*Vincennes*</t>
  </si>
  <si>
    <t>*49 788*</t>
  </si>
  <si>
    <t>49 695</t>
  </si>
  <si>
    <t>48 118</t>
  </si>
  <si>
    <t>43 595</t>
  </si>
  <si>
    <t>42 267</t>
  </si>
  <si>
    <t>42 870</t>
  </si>
  <si>
    <t>44 261</t>
  </si>
  <si>
    <t>49 143</t>
  </si>
  <si>
    <t>*Laval*</t>
  </si>
  <si>
    <t>Mayenne</t>
  </si>
  <si>
    <t>*49 733*</t>
  </si>
  <si>
    <t>50 479</t>
  </si>
  <si>
    <t>50 931</t>
  </si>
  <si>
    <t>50 947</t>
  </si>
  <si>
    <t>50 473</t>
  </si>
  <si>
    <t>50 360</t>
  </si>
  <si>
    <t>51 544</t>
  </si>
  <si>
    <t>45 674</t>
  </si>
  <si>
    <t>*Suresnes*</t>
  </si>
  <si>
    <t>*49 311*</t>
  </si>
  <si>
    <t>48 066</t>
  </si>
  <si>
    <t>45 617</t>
  </si>
  <si>
    <t>39 706</t>
  </si>
  <si>
    <t>35 998</t>
  </si>
  <si>
    <t>35 187</t>
  </si>
  <si>
    <t>37 537</t>
  </si>
  <si>
    <t>40 616</t>
  </si>
  <si>
    <t>*Albi*</t>
  </si>
  <si>
    <t>Tarn</t>
  </si>
  <si>
    <t>*48 902*</t>
  </si>
  <si>
    <t>49 342</t>
  </si>
  <si>
    <t>48 847</t>
  </si>
  <si>
    <t>46 274</t>
  </si>
  <si>
    <t>46 579</t>
  </si>
  <si>
    <t>45 947</t>
  </si>
  <si>
    <t>46 162</t>
  </si>
  <si>
    <t>42 930</t>
  </si>
  <si>
    <t>*Grasse*</t>
  </si>
  <si>
    <t>*48 870*</t>
  </si>
  <si>
    <t>50 916</t>
  </si>
  <si>
    <t>51 580</t>
  </si>
  <si>
    <t>43 874</t>
  </si>
  <si>
    <t>41 388</t>
  </si>
  <si>
    <t>37 673</t>
  </si>
  <si>
    <t>34 579</t>
  </si>
  <si>
    <t>30 907</t>
  </si>
  <si>
    <t>*Martigues*</t>
  </si>
  <si>
    <t>*48 574*</t>
  </si>
  <si>
    <t>47 904</t>
  </si>
  <si>
    <t>46 471</t>
  </si>
  <si>
    <t>43 493</t>
  </si>
  <si>
    <t>42 678</t>
  </si>
  <si>
    <t>42 037</t>
  </si>
  <si>
    <t>38 373</t>
  </si>
  <si>
    <t>27 945</t>
  </si>
  <si>
    <t>*Gennevilliers*</t>
  </si>
  <si>
    <t>*48 530*</t>
  </si>
  <si>
    <t>43 219</t>
  </si>
  <si>
    <t>41 822</t>
  </si>
  <si>
    <t>42 513</t>
  </si>
  <si>
    <t>44 818</t>
  </si>
  <si>
    <t>45 396</t>
  </si>
  <si>
    <t>50 290</t>
  </si>
  <si>
    <t>46 074</t>
  </si>
  <si>
    <t>2B033</t>
  </si>
  <si>
    <t>*Bastia*</t>
  </si>
  <si>
    <t>Haute-Corse</t>
  </si>
  <si>
    <t>*48 503*</t>
  </si>
  <si>
    <t>42 254</t>
  </si>
  <si>
    <t>43 477</t>
  </si>
  <si>
    <t>37 884</t>
  </si>
  <si>
    <t>37 845</t>
  </si>
  <si>
    <t>44 020</t>
  </si>
  <si>
    <t>42 810</t>
  </si>
  <si>
    <t>38 746</t>
  </si>
  <si>
    <t>*Montrouge*</t>
  </si>
  <si>
    <t>*48 352*</t>
  </si>
  <si>
    <t>49 656</t>
  </si>
  <si>
    <t>46 682</t>
  </si>
  <si>
    <t>37 733</t>
  </si>
  <si>
    <t>38 106</t>
  </si>
  <si>
    <t>38 517</t>
  </si>
  <si>
    <t>40 304</t>
  </si>
  <si>
    <t>44 922</t>
  </si>
  <si>
    <t>*Saint-Laurent-du-Maroni*</t>
  </si>
  <si>
    <t>*47 621*</t>
  </si>
  <si>
    <t>41 515</t>
  </si>
  <si>
    <t>35 631</t>
  </si>
  <si>
    <t>19 211</t>
  </si>
  <si>
    <t>13 616</t>
  </si>
  <si>
    <t>6 971</t>
  </si>
  <si>
    <t>5 055</t>
  </si>
  <si>
    <t>5 031</t>
  </si>
  <si>
    <t>*Aubagne*</t>
  </si>
  <si>
    <t>*47 535*</t>
  </si>
  <si>
    <t>45 303</t>
  </si>
  <si>
    <t>46 093</t>
  </si>
  <si>
    <t>42 638</t>
  </si>
  <si>
    <t>41 100</t>
  </si>
  <si>
    <t>38 561</t>
  </si>
  <si>
    <t>33 595</t>
  </si>
  <si>
    <t>27 938</t>
  </si>
  <si>
    <t>*Saint-Herblain*</t>
  </si>
  <si>
    <t>*47 415*</t>
  </si>
  <si>
    <t>43 784</t>
  </si>
  <si>
    <t>43 177</t>
  </si>
  <si>
    <t>43 726</t>
  </si>
  <si>
    <t>42 774</t>
  </si>
  <si>
    <t>41 958</t>
  </si>
  <si>
    <t>39 867</t>
  </si>
  <si>
    <t>18 604</t>
  </si>
  <si>
    <t>*Saint-Priest*</t>
  </si>
  <si>
    <t>*46 927*</t>
  </si>
  <si>
    <t>42 950</t>
  </si>
  <si>
    <t>41 460</t>
  </si>
  <si>
    <t>40 974</t>
  </si>
  <si>
    <t>41 876</t>
  </si>
  <si>
    <t>42 677</t>
  </si>
  <si>
    <t>36 734</t>
  </si>
  <si>
    <t>20 419</t>
  </si>
  <si>
    <t>*Carcassonne*</t>
  </si>
  <si>
    <t>*46 825*</t>
  </si>
  <si>
    <t>46 724</t>
  </si>
  <si>
    <t>47 634</t>
  </si>
  <si>
    <t>43 950</t>
  </si>
  <si>
    <t>43 470</t>
  </si>
  <si>
    <t>41 153</t>
  </si>
  <si>
    <t>42 154</t>
  </si>
  <si>
    <t>43 616</t>
  </si>
  <si>
    <t>*Saint-Malo*</t>
  </si>
  <si>
    <t>*46 803*</t>
  </si>
  <si>
    <t>44 919</t>
  </si>
  <si>
    <t>48 211</t>
  </si>
  <si>
    <t>50 675</t>
  </si>
  <si>
    <t>48 057</t>
  </si>
  <si>
    <t>46 347</t>
  </si>
  <si>
    <t>45 030</t>
  </si>
  <si>
    <t>42 297</t>
  </si>
  <si>
    <t>*Belfort*</t>
  </si>
  <si>
    <t>Territoire de Belfort</t>
  </si>
  <si>
    <t>*46 443*</t>
  </si>
  <si>
    <t>50 196</t>
  </si>
  <si>
    <t>50 346</t>
  </si>
  <si>
    <t>50 417</t>
  </si>
  <si>
    <t>50 125</t>
  </si>
  <si>
    <t>51 206</t>
  </si>
  <si>
    <t>54 615</t>
  </si>
  <si>
    <t>53 214</t>
  </si>
  <si>
    <t>*Charleville-Mézières*</t>
  </si>
  <si>
    <t>Ardennes</t>
  </si>
  <si>
    <t>*46 436*</t>
  </si>
  <si>
    <t>48 991</t>
  </si>
  <si>
    <t>50 876</t>
  </si>
  <si>
    <t>55 490</t>
  </si>
  <si>
    <t>57 008</t>
  </si>
  <si>
    <t>58 667</t>
  </si>
  <si>
    <t>60 176</t>
  </si>
  <si>
    <t>55 543</t>
  </si>
  <si>
    <t>*Évreux*</t>
  </si>
  <si>
    <t>Eure</t>
  </si>
  <si>
    <t>*46 349*</t>
  </si>
  <si>
    <t>49 722</t>
  </si>
  <si>
    <t>50 777</t>
  </si>
  <si>
    <t>51 198</t>
  </si>
  <si>
    <t>49 103</t>
  </si>
  <si>
    <t>46 045</t>
  </si>
  <si>
    <t>47 412</t>
  </si>
  <si>
    <t>42 550</t>
  </si>
  <si>
    <t>*Brive-la-Gaillarde*</t>
  </si>
  <si>
    <t>Corrèze</t>
  </si>
  <si>
    <t>*46 330*</t>
  </si>
  <si>
    <t>46 794</t>
  </si>
  <si>
    <t>49 675</t>
  </si>
  <si>
    <t>49 141</t>
  </si>
  <si>
    <t>49 765</t>
  </si>
  <si>
    <t>51 511</t>
  </si>
  <si>
    <t>51 864</t>
  </si>
  <si>
    <t>46 561</t>
  </si>
  <si>
    <t>*Choisy-le-Roi*</t>
  </si>
  <si>
    <t>*46 150*</t>
  </si>
  <si>
    <t>42 769</t>
  </si>
  <si>
    <t>38 153</t>
  </si>
  <si>
    <t>34 336</t>
  </si>
  <si>
    <t>34 068</t>
  </si>
  <si>
    <t>35 476</t>
  </si>
  <si>
    <t>38 705</t>
  </si>
  <si>
    <t>41 440</t>
  </si>
  <si>
    <t>*Rosny-sous-Bois*</t>
  </si>
  <si>
    <t>*46 024*</t>
  </si>
  <si>
    <t>43 802</t>
  </si>
  <si>
    <t>40 843</t>
  </si>
  <si>
    <t>39 105</t>
  </si>
  <si>
    <t>37 489</t>
  </si>
  <si>
    <t>36 970</t>
  </si>
  <si>
    <t>35 784</t>
  </si>
  <si>
    <t>30 705</t>
  </si>
  <si>
    <t>*Blois*</t>
  </si>
  <si>
    <t>Loir-et-Cher</t>
  </si>
  <si>
    <t>*45 898*</t>
  </si>
  <si>
    <t>45 539</t>
  </si>
  <si>
    <t>46 834</t>
  </si>
  <si>
    <t>49 171</t>
  </si>
  <si>
    <t>49 318</t>
  </si>
  <si>
    <t>47 243</t>
  </si>
  <si>
    <t>49 778</t>
  </si>
  <si>
    <t>42 264</t>
  </si>
  <si>
    <t>*Meudon*</t>
  </si>
  <si>
    <t>*45 818*</t>
  </si>
  <si>
    <t>45 043</t>
  </si>
  <si>
    <t>44 706</t>
  </si>
  <si>
    <t>43 663</t>
  </si>
  <si>
    <t>45 339</t>
  </si>
  <si>
    <t>48 450</t>
  </si>
  <si>
    <t>52 806</t>
  </si>
  <si>
    <t>50 623</t>
  </si>
  <si>
    <t>*Livry-Gargan*</t>
  </si>
  <si>
    <t>*45 692*</t>
  </si>
  <si>
    <t>43 099</t>
  </si>
  <si>
    <t>41 808</t>
  </si>
  <si>
    <t>37 288</t>
  </si>
  <si>
    <t>35 387</t>
  </si>
  <si>
    <t>32 778</t>
  </si>
  <si>
    <t>32 917</t>
  </si>
  <si>
    <t>32 063</t>
  </si>
  <si>
    <t>*Salon-de-Provence*</t>
  </si>
  <si>
    <t>*45 386*</t>
  </si>
  <si>
    <t>44 263</t>
  </si>
  <si>
    <t>41 411</t>
  </si>
  <si>
    <t>37 129</t>
  </si>
  <si>
    <t>34 054</t>
  </si>
  <si>
    <t>34 846</t>
  </si>
  <si>
    <t>34 576</t>
  </si>
  <si>
    <t>30 722</t>
  </si>
  <si>
    <t>*Puteaux*</t>
  </si>
  <si>
    <t>*45 157*</t>
  </si>
  <si>
    <t>43 891</t>
  </si>
  <si>
    <t>44 548</t>
  </si>
  <si>
    <t>40 780</t>
  </si>
  <si>
    <t>42 756</t>
  </si>
  <si>
    <t>36 117</t>
  </si>
  <si>
    <t>35 514</t>
  </si>
  <si>
    <t>37 946</t>
  </si>
  <si>
    <t>*Chalon-sur-Saône*</t>
  </si>
  <si>
    <t>Saône-et-Loire</t>
  </si>
  <si>
    <t>*45 056*</t>
  </si>
  <si>
    <t>45 166</t>
  </si>
  <si>
    <t>46 017</t>
  </si>
  <si>
    <t>50 124</t>
  </si>
  <si>
    <t>54 575</t>
  </si>
  <si>
    <t>56 194</t>
  </si>
  <si>
    <t>58 187</t>
  </si>
  <si>
    <t>50 589</t>
  </si>
  <si>
    <t>*La Courneuve*</t>
  </si>
  <si>
    <t>*45 053*</t>
  </si>
  <si>
    <t>40 678</t>
  </si>
  <si>
    <t>36 915</t>
  </si>
  <si>
    <t>35 310</t>
  </si>
  <si>
    <t>34 139</t>
  </si>
  <si>
    <t>33 537</t>
  </si>
  <si>
    <t>37 958</t>
  </si>
  <si>
    <t>43 318</t>
  </si>
  <si>
    <t>*Les Sables-d'Olonne*[Note 7]</t>
  </si>
  <si>
    <t>*45 030*</t>
  </si>
  <si>
    <t>*42 145*</t>
  </si>
  <si>
    <t>*41 294*</t>
  </si>
  <si>
    <t>*38 500*</t>
  </si>
  <si>
    <t>*35 352*</t>
  </si>
  <si>
    <t>*32 436*</t>
  </si>
  <si>
    <t>*30 969*</t>
  </si>
  <si>
    <t>*28 218*</t>
  </si>
  <si>
    <t>*Saint-Germain-en-Laye*[Note 8]</t>
  </si>
  <si>
    <t>*44 806*</t>
  </si>
  <si>
    <t>*43 582*</t>
  </si>
  <si>
    <t>*45 084*</t>
  </si>
  <si>
    <t>*42 584*</t>
  </si>
  <si>
    <t>*43 979*</t>
  </si>
  <si>
    <t>*40 806*</t>
  </si>
  <si>
    <t>*39 538*</t>
  </si>
  <si>
    <t>*39 274*</t>
  </si>
  <si>
    <t>*Alfortville*</t>
  </si>
  <si>
    <t>*44 805*</t>
  </si>
  <si>
    <t>44 728</t>
  </si>
  <si>
    <t>36 232</t>
  </si>
  <si>
    <t>36 119</t>
  </si>
  <si>
    <t>36 231</t>
  </si>
  <si>
    <t>38 057</t>
  </si>
  <si>
    <t>35 023</t>
  </si>
  <si>
    <t>*Noisy-le-Sec*</t>
  </si>
  <si>
    <t>*44 463*</t>
  </si>
  <si>
    <t>41 125</t>
  </si>
  <si>
    <t>38 713</t>
  </si>
  <si>
    <t>37 312</t>
  </si>
  <si>
    <t>36 309</t>
  </si>
  <si>
    <t>36 880</t>
  </si>
  <si>
    <t>37 734</t>
  </si>
  <si>
    <t>34 079</t>
  </si>
  <si>
    <t>*Châlons-en-Champagne*</t>
  </si>
  <si>
    <t>*44 379*</t>
  </si>
  <si>
    <t>44 899</t>
  </si>
  <si>
    <t>46 138</t>
  </si>
  <si>
    <t>47 339</t>
  </si>
  <si>
    <t>48 423</t>
  </si>
  <si>
    <t>51 137</t>
  </si>
  <si>
    <t>52 275</t>
  </si>
  <si>
    <t>50 764</t>
  </si>
  <si>
    <t>*Mantes-la-Jolie*</t>
  </si>
  <si>
    <t>*43 921*</t>
  </si>
  <si>
    <t>45 052</t>
  </si>
  <si>
    <t>42 593</t>
  </si>
  <si>
    <t>43 672</t>
  </si>
  <si>
    <t>45 087</t>
  </si>
  <si>
    <t>43 564</t>
  </si>
  <si>
    <t>42 465</t>
  </si>
  <si>
    <t>26 058</t>
  </si>
  <si>
    <t>*Sète*</t>
  </si>
  <si>
    <t>*43 858*</t>
  </si>
  <si>
    <t>44 270</t>
  </si>
  <si>
    <t>42 786</t>
  </si>
  <si>
    <t>39 542</t>
  </si>
  <si>
    <t>41 510</t>
  </si>
  <si>
    <t>39 545</t>
  </si>
  <si>
    <t>39 258</t>
  </si>
  <si>
    <t>40 476</t>
  </si>
  <si>
    <t>*Talence*</t>
  </si>
  <si>
    <t>*43 820*</t>
  </si>
  <si>
    <t>41 517</t>
  </si>
  <si>
    <t>40 576</t>
  </si>
  <si>
    <t>37 210</t>
  </si>
  <si>
    <t>34 485</t>
  </si>
  <si>
    <t>34 692</t>
  </si>
  <si>
    <t>34 127</t>
  </si>
  <si>
    <t>29 161</t>
  </si>
  <si>
    <t>*Istres*</t>
  </si>
  <si>
    <t>*43 626*</t>
  </si>
  <si>
    <t>42 937</t>
  </si>
  <si>
    <t>42 603</t>
  </si>
  <si>
    <t>38 993</t>
  </si>
  <si>
    <t>35 163</t>
  </si>
  <si>
    <t>28 561</t>
  </si>
  <si>
    <t>18 129</t>
  </si>
  <si>
    <t>13 404</t>
  </si>
  <si>
    <t>*Saint-Brieuc*</t>
  </si>
  <si>
    <t>Côtes-d'Armor</t>
  </si>
  <si>
    <t>*43 605*</t>
  </si>
  <si>
    <t>45 331</t>
  </si>
  <si>
    <t>45 879</t>
  </si>
  <si>
    <t>46 087</t>
  </si>
  <si>
    <t>44 752</t>
  </si>
  <si>
    <t>48 563</t>
  </si>
  <si>
    <t>52 559</t>
  </si>
  <si>
    <t>50 281</t>
  </si>
  <si>
    <t>*Caluire-et-Cuire*</t>
  </si>
  <si>
    <t>*43 294*</t>
  </si>
  <si>
    <t>42 581</t>
  </si>
  <si>
    <t>40 869</t>
  </si>
  <si>
    <t>41 233</t>
  </si>
  <si>
    <t>41 311</t>
  </si>
  <si>
    <t>41 931</t>
  </si>
  <si>
    <t>43 041</t>
  </si>
  <si>
    <t>37 603</t>
  </si>
  <si>
    <t>*Garges-lès-Gonesse*</t>
  </si>
  <si>
    <t>*43 239*</t>
  </si>
  <si>
    <t>41 782</t>
  </si>
  <si>
    <t>39 640</t>
  </si>
  <si>
    <t>40 058</t>
  </si>
  <si>
    <t>42 144</t>
  </si>
  <si>
    <t>40 182</t>
  </si>
  <si>
    <t>37 927</t>
  </si>
  <si>
    <t>27 312</t>
  </si>
  <si>
    <t>*Valenciennes*</t>
  </si>
  <si>
    <t>*43 229*</t>
  </si>
  <si>
    <t>42 851</t>
  </si>
  <si>
    <t>42 656</t>
  </si>
  <si>
    <t>41 278</t>
  </si>
  <si>
    <t>40 275</t>
  </si>
  <si>
    <t>42 473</t>
  </si>
  <si>
    <t>46 626</t>
  </si>
  <si>
    <t>*Châteauroux*</t>
  </si>
  <si>
    <t>Indre</t>
  </si>
  <si>
    <t>*43 122*</t>
  </si>
  <si>
    <t>45 209</t>
  </si>
  <si>
    <t>46 026</t>
  </si>
  <si>
    <t>49 632</t>
  </si>
  <si>
    <t>50 969</t>
  </si>
  <si>
    <t>51 942</t>
  </si>
  <si>
    <t>53 429</t>
  </si>
  <si>
    <t>49 138</t>
  </si>
  <si>
    <t>*Rezé*</t>
  </si>
  <si>
    <t>*42 919*</t>
  </si>
  <si>
    <t>39 568</t>
  </si>
  <si>
    <t>37 910</t>
  </si>
  <si>
    <t>35 478</t>
  </si>
  <si>
    <t>33 262</t>
  </si>
  <si>
    <t>33 562</t>
  </si>
  <si>
    <t>35 730</t>
  </si>
  <si>
    <t>33 509</t>
  </si>
  <si>
    <t>*Tarbes*</t>
  </si>
  <si>
    <t>Hautes-Pyrénées</t>
  </si>
  <si>
    <t>*42 758*</t>
  </si>
  <si>
    <t>41 062</t>
  </si>
  <si>
    <t>44 173</t>
  </si>
  <si>
    <t>46 275</t>
  </si>
  <si>
    <t>47 566</t>
  </si>
  <si>
    <t>51 422</t>
  </si>
  <si>
    <t>54 897</t>
  </si>
  <si>
    <t>55 375</t>
  </si>
  <si>
    <t>*Bron*</t>
  </si>
  <si>
    <t>*42 244*</t>
  </si>
  <si>
    <t>39 094</t>
  </si>
  <si>
    <t>37 369</t>
  </si>
  <si>
    <t>39 683</t>
  </si>
  <si>
    <t>40 638</t>
  </si>
  <si>
    <t>44 563</t>
  </si>
  <si>
    <t>41 619</t>
  </si>
  <si>
    <t>*Castres*</t>
  </si>
  <si>
    <t>*42 079*</t>
  </si>
  <si>
    <t>41 636</t>
  </si>
  <si>
    <t>43 010</t>
  </si>
  <si>
    <t>43 496</t>
  </si>
  <si>
    <t>44 812</t>
  </si>
  <si>
    <t>45 578</t>
  </si>
  <si>
    <t>45 978</t>
  </si>
  <si>
    <t>40 457</t>
  </si>
  <si>
    <t>*Le Cannet*</t>
  </si>
  <si>
    <t>*41 887*</t>
  </si>
  <si>
    <t>43 187</t>
  </si>
  <si>
    <t>40 940</t>
  </si>
  <si>
    <t>42 158</t>
  </si>
  <si>
    <t>41 842</t>
  </si>
  <si>
    <t>37 411</t>
  </si>
  <si>
    <t>33 892</t>
  </si>
  <si>
    <t>23 231</t>
  </si>
  <si>
    <t>*Alès*</t>
  </si>
  <si>
    <t>*41 837*</t>
  </si>
  <si>
    <t>40 711</t>
  </si>
  <si>
    <t>40 520</t>
  </si>
  <si>
    <t>39 346</t>
  </si>
  <si>
    <t>41 037</t>
  </si>
  <si>
    <t>43 268</t>
  </si>
  <si>
    <t>44 245</t>
  </si>
  <si>
    <t>42 818</t>
  </si>
  <si>
    <t>*Arras*</t>
  </si>
  <si>
    <t>*41 694*</t>
  </si>
  <si>
    <t>40 830</t>
  </si>
  <si>
    <t>42 780</t>
  </si>
  <si>
    <t>40 590</t>
  </si>
  <si>
    <t>38 983</t>
  </si>
  <si>
    <t>41 736</t>
  </si>
  <si>
    <t>46 446</t>
  </si>
  <si>
    <t>49 144</t>
  </si>
  <si>
    <t>*Angoulême*</t>
  </si>
  <si>
    <t>Charente</t>
  </si>
  <si>
    <t>*41 603*</t>
  </si>
  <si>
    <t>41 970</t>
  </si>
  <si>
    <t>43 112</t>
  </si>
  <si>
    <t>43 171</t>
  </si>
  <si>
    <t>42 876</t>
  </si>
  <si>
    <t>47 221</t>
  </si>
  <si>
    <t>47 822</t>
  </si>
  <si>
    <t>*Bourg-en-Bresse*</t>
  </si>
  <si>
    <t>Ain</t>
  </si>
  <si>
    <t>*41 111*</t>
  </si>
  <si>
    <t>40 490</t>
  </si>
  <si>
    <t>40 203</t>
  </si>
  <si>
    <t>40 666</t>
  </si>
  <si>
    <t>40 972</t>
  </si>
  <si>
    <t>41 098</t>
  </si>
  <si>
    <t>42 181</t>
  </si>
  <si>
    <t>37 887</t>
  </si>
  <si>
    <t>*Bagneux*</t>
  </si>
  <si>
    <t>*40 936*</t>
  </si>
  <si>
    <t>38 520</t>
  </si>
  <si>
    <t>38 509</t>
  </si>
  <si>
    <t>37 252</t>
  </si>
  <si>
    <t>36 364</t>
  </si>
  <si>
    <t>40 385</t>
  </si>
  <si>
    <t>40 674</t>
  </si>
  <si>
    <t>42 006</t>
  </si>
  <si>
    <t>*Wattrelos*</t>
  </si>
  <si>
    <t>*40 898*</t>
  </si>
  <si>
    <t>41 522</t>
  </si>
  <si>
    <t>41 829</t>
  </si>
  <si>
    <t>42 753</t>
  </si>
  <si>
    <t>43 675</t>
  </si>
  <si>
    <t>44 626</t>
  </si>
  <si>
    <t>45 440</t>
  </si>
  <si>
    <t>43 754</t>
  </si>
  <si>
    <t>*Melun*</t>
  </si>
  <si>
    <t>*40 844*</t>
  </si>
  <si>
    <t>40 066</t>
  </si>
  <si>
    <t>38 938</t>
  </si>
  <si>
    <t>35 695</t>
  </si>
  <si>
    <t>35 319</t>
  </si>
  <si>
    <t>35 005</t>
  </si>
  <si>
    <t>37 705</t>
  </si>
  <si>
    <t>34 518</t>
  </si>
  <si>
    <t>*Thionville*</t>
  </si>
  <si>
    <t>*40 778*</t>
  </si>
  <si>
    <t>41 627</t>
  </si>
  <si>
    <t>41 129</t>
  </si>
  <si>
    <t>40 907</t>
  </si>
  <si>
    <t>39 712</t>
  </si>
  <si>
    <t>40 573</t>
  </si>
  <si>
    <t>43 020</t>
  </si>
  <si>
    <t>37 079</t>
  </si>
  <si>
    <t>*Gap*</t>
  </si>
  <si>
    <t>Hautes-Alpes</t>
  </si>
  <si>
    <t>*40 631*</t>
  </si>
  <si>
    <t>40 255</t>
  </si>
  <si>
    <t>38 584</t>
  </si>
  <si>
    <t>36 262</t>
  </si>
  <si>
    <t>33 444</t>
  </si>
  <si>
    <t>30 676</t>
  </si>
  <si>
    <t>28 233</t>
  </si>
  <si>
    <t>23 994</t>
  </si>
  <si>
    <t>*Compiègne*</t>
  </si>
  <si>
    <t>*40 615*</t>
  </si>
  <si>
    <t>40 430</t>
  </si>
  <si>
    <t>41 648</t>
  </si>
  <si>
    <t>41 254</t>
  </si>
  <si>
    <t>41 896</t>
  </si>
  <si>
    <t>40 384</t>
  </si>
  <si>
    <t>37 699</t>
  </si>
  <si>
    <t>29 700</t>
  </si>
  <si>
    <t>*Boulogne-sur-Mer*</t>
  </si>
  <si>
    <t>*40 251*</t>
  </si>
  <si>
    <t>42 537</t>
  </si>
  <si>
    <t>43 757</t>
  </si>
  <si>
    <t>44 859</t>
  </si>
  <si>
    <t>43 678</t>
  </si>
  <si>
    <t>47 653</t>
  </si>
  <si>
    <t>48 440</t>
  </si>
  <si>
    <t>49 276</t>
  </si>
  <si>
    <t>*Le Lamentin*</t>
  </si>
  <si>
    <t>*40 095*</t>
  </si>
  <si>
    <t>40 040</t>
  </si>
  <si>
    <t>39 410</t>
  </si>
  <si>
    <t>35 460</t>
  </si>
  <si>
    <t>30 028</t>
  </si>
  <si>
    <t>26 367</t>
  </si>
  <si>
    <t>23 145</t>
  </si>
  <si>
    <t>18 553</t>
  </si>
  <si>
    <t>*Colomiers*</t>
  </si>
  <si>
    <t>*39 968*</t>
  </si>
  <si>
    <t>38 302</t>
  </si>
  <si>
    <t>33 200</t>
  </si>
  <si>
    <t>28 538</t>
  </si>
  <si>
    <t>26 979</t>
  </si>
  <si>
    <t>23 326</t>
  </si>
  <si>
    <t>20 126</t>
  </si>
  <si>
    <t>10 584</t>
  </si>
  <si>
    <t>*Montélimar*</t>
  </si>
  <si>
    <t>*39 818*</t>
  </si>
  <si>
    <t>36 643</t>
  </si>
  <si>
    <t>34 847</t>
  </si>
  <si>
    <t>31 344</t>
  </si>
  <si>
    <t>29 982</t>
  </si>
  <si>
    <t>28 058</t>
  </si>
  <si>
    <t>26 748</t>
  </si>
  <si>
    <t>*Anglet*</t>
  </si>
  <si>
    <t>*39 719*</t>
  </si>
  <si>
    <t>39 184</t>
  </si>
  <si>
    <t>37 897</t>
  </si>
  <si>
    <t>35 263</t>
  </si>
  <si>
    <t>33 041</t>
  </si>
  <si>
    <t>29 821</t>
  </si>
  <si>
    <t>25 245</t>
  </si>
  <si>
    <t>21 190</t>
  </si>
  <si>
    <t>*Gagny*</t>
  </si>
  <si>
    <t>*39 661*</t>
  </si>
  <si>
    <t>39 276</t>
  </si>
  <si>
    <t>38 342</t>
  </si>
  <si>
    <t>36 715</t>
  </si>
  <si>
    <t>36 059</t>
  </si>
  <si>
    <t>34 861</t>
  </si>
  <si>
    <t>36 772</t>
  </si>
  <si>
    <t>35 780</t>
  </si>
  <si>
    <t>*Douai*</t>
  </si>
  <si>
    <t>*39 613*</t>
  </si>
  <si>
    <t>41 189</t>
  </si>
  <si>
    <t>42 413</t>
  </si>
  <si>
    <t>42 796</t>
  </si>
  <si>
    <t>42 175</t>
  </si>
  <si>
    <t>42 576</t>
  </si>
  <si>
    <t>45 239</t>
  </si>
  <si>
    <t>49 187</t>
  </si>
  <si>
    <t>*Draguignan*</t>
  </si>
  <si>
    <t>*39 433*</t>
  </si>
  <si>
    <t>39 174</t>
  </si>
  <si>
    <t>36 648</t>
  </si>
  <si>
    <t>32 829</t>
  </si>
  <si>
    <t>30 183</t>
  </si>
  <si>
    <t>26 667</t>
  </si>
  <si>
    <t>21 448</t>
  </si>
  <si>
    <t>18 376</t>
  </si>
  <si>
    <t>*Poissy*</t>
  </si>
  <si>
    <t>*39 187*</t>
  </si>
  <si>
    <t>37 461</t>
  </si>
  <si>
    <t>37 466</t>
  </si>
  <si>
    <t>35 841</t>
  </si>
  <si>
    <t>36 745</t>
  </si>
  <si>
    <t>36 389</t>
  </si>
  <si>
    <t>37 431</t>
  </si>
  <si>
    <t>33 555</t>
  </si>
  <si>
    <t>*Chartres*</t>
  </si>
  <si>
    <t>Eure-et-Loir</t>
  </si>
  <si>
    <t>*38 534*</t>
  </si>
  <si>
    <t>38 840</t>
  </si>
  <si>
    <t>39 159</t>
  </si>
  <si>
    <t>40 361</t>
  </si>
  <si>
    <t>39 595</t>
  </si>
  <si>
    <t>37 119</t>
  </si>
  <si>
    <t>38 928</t>
  </si>
  <si>
    <t>34 469</t>
  </si>
  <si>
    <t>*Marcq-en-Barœul*</t>
  </si>
  <si>
    <t>*38 486*</t>
  </si>
  <si>
    <t>39 392</t>
  </si>
  <si>
    <t>38 874</t>
  </si>
  <si>
    <t>37 177</t>
  </si>
  <si>
    <t>36 601</t>
  </si>
  <si>
    <t>35 278</t>
  </si>
  <si>
    <t>36 126</t>
  </si>
  <si>
    <t>35 136</t>
  </si>
  <si>
    <t>*Joué-lès-Tours*</t>
  </si>
  <si>
    <t>*38 444*</t>
  </si>
  <si>
    <t>37 703</t>
  </si>
  <si>
    <t>35 839</t>
  </si>
  <si>
    <t>36 517</t>
  </si>
  <si>
    <t>36 798</t>
  </si>
  <si>
    <t>34 704</t>
  </si>
  <si>
    <t>27 450</t>
  </si>
  <si>
    <t>17 826</t>
  </si>
  <si>
    <t>*Stains*</t>
  </si>
  <si>
    <t>*38 285*</t>
  </si>
  <si>
    <t>36 365</t>
  </si>
  <si>
    <t>34 608</t>
  </si>
  <si>
    <t>32 839</t>
  </si>
  <si>
    <t>34 879</t>
  </si>
  <si>
    <t>36 079</t>
  </si>
  <si>
    <t>35 545</t>
  </si>
  <si>
    <t>32 169</t>
  </si>
  <si>
    <t>*Saint-Martin-d'Hères*</t>
  </si>
  <si>
    <t>*37 935*</t>
  </si>
  <si>
    <t>38 019</t>
  </si>
  <si>
    <t>35 565</t>
  </si>
  <si>
    <t>35 777</t>
  </si>
  <si>
    <t>34 341</t>
  </si>
  <si>
    <t>35 188</t>
  </si>
  <si>
    <t>38 052</t>
  </si>
  <si>
    <t>33 605</t>
  </si>
  <si>
    <t>*Saint-Joseph*</t>
  </si>
  <si>
    <t>*37 918*</t>
  </si>
  <si>
    <t>37 550</t>
  </si>
  <si>
    <t>35 062</t>
  </si>
  <si>
    <t>30 293</t>
  </si>
  <si>
    <t>25 630</t>
  </si>
  <si>
    <t>23 307</t>
  </si>
  <si>
    <t>23 653</t>
  </si>
  <si>
    <t>22 361</t>
  </si>
  <si>
    <t>*Villepinte*</t>
  </si>
  <si>
    <t>*37 713*</t>
  </si>
  <si>
    <t>35 329</t>
  </si>
  <si>
    <t>35 810</t>
  </si>
  <si>
    <t>33 782</t>
  </si>
  <si>
    <t>30 303</t>
  </si>
  <si>
    <t>23 745</t>
  </si>
  <si>
    <t>17 565</t>
  </si>
  <si>
    <t>12 103</t>
  </si>
  <si>
    <t>*Pontault-Combault*</t>
  </si>
  <si>
    <t>*37 617*</t>
  </si>
  <si>
    <t>37 847</t>
  </si>
  <si>
    <t>34 815</t>
  </si>
  <si>
    <t>32 886</t>
  </si>
  <si>
    <t>26 804</t>
  </si>
  <si>
    <t>19 037</t>
  </si>
  <si>
    <t>16 761</t>
  </si>
  <si>
    <t>9 282</t>
  </si>
  <si>
    <t>*Franconville*</t>
  </si>
  <si>
    <t>*37 394*</t>
  </si>
  <si>
    <t>33 375</t>
  </si>
  <si>
    <t>33 214</t>
  </si>
  <si>
    <t>33 497</t>
  </si>
  <si>
    <t>33 802</t>
  </si>
  <si>
    <t>32 948</t>
  </si>
  <si>
    <t>24 231</t>
  </si>
  <si>
    <t>16 205</t>
  </si>
  <si>
    <t>*Saint-Benoît*</t>
  </si>
  <si>
    <t>*37 036*</t>
  </si>
  <si>
    <t>36 131</t>
  </si>
  <si>
    <t>31 560</t>
  </si>
  <si>
    <t>26 187</t>
  </si>
  <si>
    <t>23 541</t>
  </si>
  <si>
    <t>21 658</t>
  </si>
  <si>
    <t>19 492</t>
  </si>
  <si>
    <t>*Échirolles*</t>
  </si>
  <si>
    <t>*36 932*</t>
  </si>
  <si>
    <t>35 684</t>
  </si>
  <si>
    <t>35 688</t>
  </si>
  <si>
    <t>32 806</t>
  </si>
  <si>
    <t>34 435</t>
  </si>
  <si>
    <t>37 360</t>
  </si>
  <si>
    <t>33 288</t>
  </si>
  <si>
    <t>15 429</t>
  </si>
  <si>
    <t>*Villenave-d'Ornon*</t>
  </si>
  <si>
    <t>*36 754*</t>
  </si>
  <si>
    <t>30 663</t>
  </si>
  <si>
    <t>28 762</t>
  </si>
  <si>
    <t>27 500</t>
  </si>
  <si>
    <t>25 609</t>
  </si>
  <si>
    <t>21 073</t>
  </si>
  <si>
    <t>22 975</t>
  </si>
  <si>
    <t>21 263</t>
  </si>
  <si>
    <t>*Châtillon*</t>
  </si>
  <si>
    <t>*36 639*</t>
  </si>
  <si>
    <t>35 964</t>
  </si>
  <si>
    <t>32 510</t>
  </si>
  <si>
    <t>28 622</t>
  </si>
  <si>
    <t>26 411</t>
  </si>
  <si>
    <t>24 834</t>
  </si>
  <si>
    <t>26 574</t>
  </si>
  <si>
    <t>24 640</t>
  </si>
  <si>
    <t>*Annemasse*</t>
  </si>
  <si>
    <t>*36 582*</t>
  </si>
  <si>
    <t>34 261</t>
  </si>
  <si>
    <t>30 468</t>
  </si>
  <si>
    <t>27 253</t>
  </si>
  <si>
    <t>27 669</t>
  </si>
  <si>
    <t>26 204</t>
  </si>
  <si>
    <t>23 384</t>
  </si>
  <si>
    <t>17 166</t>
  </si>
  <si>
    <t>*Savigny-sur-Orge*</t>
  </si>
  <si>
    <t>*36 577*</t>
  </si>
  <si>
    <t>37 206</t>
  </si>
  <si>
    <t>37 319</t>
  </si>
  <si>
    <t>36 258</t>
  </si>
  <si>
    <t>33 295</t>
  </si>
  <si>
    <t>32 502</t>
  </si>
  <si>
    <t>34 607</t>
  </si>
  <si>
    <t>32 075</t>
  </si>
  <si>
    <t>*Tremblay-en-France*</t>
  </si>
  <si>
    <t>*36 461*</t>
  </si>
  <si>
    <t>34 614</t>
  </si>
  <si>
    <t>35 494</t>
  </si>
  <si>
    <t>33 885</t>
  </si>
  <si>
    <t>31 385</t>
  </si>
  <si>
    <t>29 644</t>
  </si>
  <si>
    <t>26 846</t>
  </si>
  <si>
    <t>*Villefranche-sur-Saône*</t>
  </si>
  <si>
    <t>Rhône</t>
  </si>
  <si>
    <t>*36 291*</t>
  </si>
  <si>
    <t>36 531</t>
  </si>
  <si>
    <t>34 159</t>
  </si>
  <si>
    <t>30 647</t>
  </si>
  <si>
    <t>29 542</t>
  </si>
  <si>
    <t>28 881</t>
  </si>
  <si>
    <t>30 341</t>
  </si>
  <si>
    <t>26 338</t>
  </si>
  <si>
    <t>*Creil*</t>
  </si>
  <si>
    <t>*36 169*</t>
  </si>
  <si>
    <t>34 262</t>
  </si>
  <si>
    <t>34 580</t>
  </si>
  <si>
    <t>30 675</t>
  </si>
  <si>
    <t>31 956</t>
  </si>
  <si>
    <t>34 709</t>
  </si>
  <si>
    <t>32 509</t>
  </si>
  <si>
    <t>32 544</t>
  </si>
  <si>
    <t>*Bagnolet*</t>
  </si>
  <si>
    <t>*36 060*</t>
  </si>
  <si>
    <t>35 984</t>
  </si>
  <si>
    <t>33 960</t>
  </si>
  <si>
    <t>32 511</t>
  </si>
  <si>
    <t>32 600</t>
  </si>
  <si>
    <t>32 557</t>
  </si>
  <si>
    <t>35 906</t>
  </si>
  <si>
    <t>34 038</t>
  </si>
  <si>
    <t>*Saint-Raphaël*</t>
  </si>
  <si>
    <t>*36 027*</t>
  </si>
  <si>
    <t>34 005</t>
  </si>
  <si>
    <t>34 006</t>
  </si>
  <si>
    <t>30 671</t>
  </si>
  <si>
    <t>26 616</t>
  </si>
  <si>
    <t>24 118</t>
  </si>
  <si>
    <t>21 080</t>
  </si>
  <si>
    <t>17 844</t>
  </si>
  <si>
    <t>*La Ciotat*</t>
  </si>
  <si>
    <t>*35 993*</t>
  </si>
  <si>
    <t>34 655</t>
  </si>
  <si>
    <t>33 790</t>
  </si>
  <si>
    <t>31 630</t>
  </si>
  <si>
    <t>30 620</t>
  </si>
  <si>
    <t>31 727</t>
  </si>
  <si>
    <t>32 721</t>
  </si>
  <si>
    <t>23 916</t>
  </si>
  <si>
    <t>*Neuilly-sur-Marne*</t>
  </si>
  <si>
    <t>*35 907*</t>
  </si>
  <si>
    <t>34 756</t>
  </si>
  <si>
    <t>33 198</t>
  </si>
  <si>
    <t>32 754</t>
  </si>
  <si>
    <t>31 461</t>
  </si>
  <si>
    <t>31 195</t>
  </si>
  <si>
    <t>30 168</t>
  </si>
  <si>
    <t>22 543</t>
  </si>
  <si>
    <t>*Dumbéa*[11]</t>
  </si>
  <si>
    <t>*35 873*(2019)</t>
  </si>
  <si>
    <t>31 812(2014)</t>
  </si>
  <si>
    <t>24 103(2009)</t>
  </si>
  <si>
    <t>13 888(1996)</t>
  </si>
  <si>
    <t>10 052(1989)</t>
  </si>
  <si>
    <t>5 538(1983)</t>
  </si>
  <si>
    <t>4 191(1976)</t>
  </si>
  <si>
    <t>1 304(1969)</t>
  </si>
  <si>
    <t>*Sainte-Geneviève-des-Bois*</t>
  </si>
  <si>
    <t>*35 830*</t>
  </si>
  <si>
    <t>35 868</t>
  </si>
  <si>
    <t>34 022</t>
  </si>
  <si>
    <t>32 125</t>
  </si>
  <si>
    <t>31 286</t>
  </si>
  <si>
    <t>30 439</t>
  </si>
  <si>
    <t>31 859</t>
  </si>
  <si>
    <t>23 684</t>
  </si>
  <si>
    <t>*Thonon-les-Bains*</t>
  </si>
  <si>
    <t>*35 826*</t>
  </si>
  <si>
    <t>34 610</t>
  </si>
  <si>
    <t>32 824</t>
  </si>
  <si>
    <t>28 927</t>
  </si>
  <si>
    <t>29 677</t>
  </si>
  <si>
    <t>27 161</t>
  </si>
  <si>
    <t>26 354</t>
  </si>
  <si>
    <t>20 700</t>
  </si>
  <si>
    <t>*Athis-Mons*</t>
  </si>
  <si>
    <t>*35 670*</t>
  </si>
  <si>
    <t>30 094</t>
  </si>
  <si>
    <t>29 427</t>
  </si>
  <si>
    <t>29 123</t>
  </si>
  <si>
    <t>28 496</t>
  </si>
  <si>
    <t>30 737</t>
  </si>
  <si>
    <t>27 640</t>
  </si>
  <si>
    <t>*Conflans-Sainte-Honorine*</t>
  </si>
  <si>
    <t>*35 536*</t>
  </si>
  <si>
    <t>35 213</t>
  </si>
  <si>
    <t>34 814</t>
  </si>
  <si>
    <t>33 327</t>
  </si>
  <si>
    <t>31 467</t>
  </si>
  <si>
    <t>28 977</t>
  </si>
  <si>
    <t>31 066</t>
  </si>
  <si>
    <t>26 304</t>
  </si>
  <si>
    <t>*Palaiseau*</t>
  </si>
  <si>
    <t>*35 236*</t>
  </si>
  <si>
    <t>31 264</t>
  </si>
  <si>
    <t>30 352</t>
  </si>
  <si>
    <t>28 965</t>
  </si>
  <si>
    <t>28 395</t>
  </si>
  <si>
    <t>28 369</t>
  </si>
  <si>
    <t>28 716</t>
  </si>
  <si>
    <t>23 343</t>
  </si>
  <si>
    <t>*Haguenau*</t>
  </si>
  <si>
    <t>*35 196*</t>
  </si>
  <si>
    <t>34 419</t>
  </si>
  <si>
    <t>35 144</t>
  </si>
  <si>
    <t>32 242</t>
  </si>
  <si>
    <t>27 675</t>
  </si>
  <si>
    <t>26 629</t>
  </si>
  <si>
    <t>25 147</t>
  </si>
  <si>
    <t>22 944</t>
  </si>
  <si>
    <t>*Villeneuve-Saint-Georges*</t>
  </si>
  <si>
    <t>*34 890*</t>
  </si>
  <si>
    <t>32 575</t>
  </si>
  <si>
    <t>30 820</t>
  </si>
  <si>
    <t>28 361</t>
  </si>
  <si>
    <t>26 952</t>
  </si>
  <si>
    <t>28 119</t>
  </si>
  <si>
    <t>31 664</t>
  </si>
  <si>
    <t>30 488</t>
  </si>
  <si>
    <t>*Saint-Chamond*</t>
  </si>
  <si>
    <t>*34 841*</t>
  </si>
  <si>
    <t>35 308</t>
  </si>
  <si>
    <t>35 516</t>
  </si>
  <si>
    <t>37 378</t>
  </si>
  <si>
    <t>38 878</t>
  </si>
  <si>
    <t>40 267</t>
  </si>
  <si>
    <t>40 250</t>
  </si>
  <si>
    <t>37 728</t>
  </si>
  <si>
    <t>*Meyzieu*</t>
  </si>
  <si>
    <t>*34 640*</t>
  </si>
  <si>
    <t>31 438</t>
  </si>
  <si>
    <t>29 463</t>
  </si>
  <si>
    <t>28 009</t>
  </si>
  <si>
    <t>28 077</t>
  </si>
  <si>
    <t>26 776</t>
  </si>
  <si>
    <t>19 435</t>
  </si>
  <si>
    <t>10 012</t>
  </si>
  <si>
    <t>*Six-Fours-les-Plages*</t>
  </si>
  <si>
    <t>*34 592*</t>
  </si>
  <si>
    <t>34 387</t>
  </si>
  <si>
    <t>34 803</t>
  </si>
  <si>
    <t>32 742</t>
  </si>
  <si>
    <t>28 957</t>
  </si>
  <si>
    <t>25 526</t>
  </si>
  <si>
    <t>20 090</t>
  </si>
  <si>
    <t>15 118</t>
  </si>
  <si>
    <t>*Saint-Leu*</t>
  </si>
  <si>
    <t>*34 586*</t>
  </si>
  <si>
    <t>33 154</t>
  </si>
  <si>
    <t>29 925</t>
  </si>
  <si>
    <t>25 314</t>
  </si>
  <si>
    <t>20 931</t>
  </si>
  <si>
    <t>18 207</t>
  </si>
  <si>
    <t>17 396</t>
  </si>
  <si>
    <t>16 870</t>
  </si>
  <si>
    <t>*Auxerre*</t>
  </si>
  <si>
    <t>Yonne</t>
  </si>
  <si>
    <t>*34 451*</t>
  </si>
  <si>
    <t>34 869</t>
  </si>
  <si>
    <t>36 856</t>
  </si>
  <si>
    <t>37 790</t>
  </si>
  <si>
    <t>38 819</t>
  </si>
  <si>
    <t>38 741</t>
  </si>
  <si>
    <t>*Montluçon*</t>
  </si>
  <si>
    <t>Allier</t>
  </si>
  <si>
    <t>*34 361*</t>
  </si>
  <si>
    <t>37 839</t>
  </si>
  <si>
    <t>39 492</t>
  </si>
  <si>
    <t>41 362</t>
  </si>
  <si>
    <t>44 248</t>
  </si>
  <si>
    <t>49 912</t>
  </si>
  <si>
    <t>56 468</t>
  </si>
  <si>
    <t>*Sainte-Marie*</t>
  </si>
  <si>
    <t>*34 061*</t>
  </si>
  <si>
    <t>32 605</t>
  </si>
  <si>
    <t>30 815</t>
  </si>
  <si>
    <t>26 582</t>
  </si>
  <si>
    <t>20 158</t>
  </si>
  <si>
    <t>17 251</t>
  </si>
  <si>
    <t>16 566</t>
  </si>
  <si>
    <t>14 367</t>
  </si>
  <si>
    <t>*Nogent-sur-Marne*</t>
  </si>
  <si>
    <t>*34 042*</t>
  </si>
  <si>
    <t>31 367</t>
  </si>
  <si>
    <t>30 852</t>
  </si>
  <si>
    <t>28 191</t>
  </si>
  <si>
    <t>25 248</t>
  </si>
  <si>
    <t>24 630</t>
  </si>
  <si>
    <t>25 634</t>
  </si>
  <si>
    <t>26 238</t>
  </si>
  <si>
    <t>*Châtenay-Malabry*</t>
  </si>
  <si>
    <t>*34 021*</t>
  </si>
  <si>
    <t>32 623</t>
  </si>
  <si>
    <t>31 854</t>
  </si>
  <si>
    <t>30 621</t>
  </si>
  <si>
    <t>29 197</t>
  </si>
  <si>
    <t>28 580</t>
  </si>
  <si>
    <t>30 497</t>
  </si>
  <si>
    <t>27 484</t>
  </si>
  <si>
    <t>*Mâcon*</t>
  </si>
  <si>
    <t>*33 908*</t>
  </si>
  <si>
    <t>33 350</t>
  </si>
  <si>
    <t>34 298</t>
  </si>
  <si>
    <t>37 275</t>
  </si>
  <si>
    <t>38 404</t>
  </si>
  <si>
    <t>39 344</t>
  </si>
  <si>
    <t>33 445</t>
  </si>
  <si>
    <t>*Roanne*</t>
  </si>
  <si>
    <t>*33 809*</t>
  </si>
  <si>
    <t>35 507</t>
  </si>
  <si>
    <t>35 936</t>
  </si>
  <si>
    <t>38 896</t>
  </si>
  <si>
    <t>41 756</t>
  </si>
  <si>
    <t>48 705</t>
  </si>
  <si>
    <t>55 195</t>
  </si>
  <si>
    <t>53 373</t>
  </si>
  <si>
    <t>*Schiltigheim*</t>
  </si>
  <si>
    <t>*33 780*</t>
  </si>
  <si>
    <t>31 450</t>
  </si>
  <si>
    <t>31 133</t>
  </si>
  <si>
    <t>30 841</t>
  </si>
  <si>
    <t>29 155</t>
  </si>
  <si>
    <t>29 574</t>
  </si>
  <si>
    <t>30 144</t>
  </si>
  <si>
    <t>29 198</t>
  </si>
  <si>
    <t>*Le Perreux-sur-Marne*</t>
  </si>
  <si>
    <t>*33 588*</t>
  </si>
  <si>
    <t>33 480</t>
  </si>
  <si>
    <t>32 250</t>
  </si>
  <si>
    <t>30 080</t>
  </si>
  <si>
    <t>28 477</t>
  </si>
  <si>
    <t>27 647</t>
  </si>
  <si>
    <t>28 333</t>
  </si>
  <si>
    <t>29 099</t>
  </si>
  <si>
    <t>*Matoury*</t>
  </si>
  <si>
    <t>*33 458*</t>
  </si>
  <si>
    <t>30 244</t>
  </si>
  <si>
    <t>25 629</t>
  </si>
  <si>
    <t>18 032</t>
  </si>
  <si>
    <t>10 152</t>
  </si>
  <si>
    <t>2 532</t>
  </si>
  <si>
    <t>1 133</t>
  </si>
  <si>
    <t>*Vitrolles*</t>
  </si>
  <si>
    <t>*33 333*</t>
  </si>
  <si>
    <t>34 493</t>
  </si>
  <si>
    <t>36 610</t>
  </si>
  <si>
    <t>36 784</t>
  </si>
  <si>
    <t>35 397</t>
  </si>
  <si>
    <t>22 725</t>
  </si>
  <si>
    <t>13 428</t>
  </si>
  <si>
    <t>5 058</t>
  </si>
  <si>
    <t>*Les Mureaux*</t>
  </si>
  <si>
    <t>*33 203*</t>
  </si>
  <si>
    <t>31 487</t>
  </si>
  <si>
    <t>32 337</t>
  </si>
  <si>
    <t>31 739</t>
  </si>
  <si>
    <t>33 089</t>
  </si>
  <si>
    <t>31 619</t>
  </si>
  <si>
    <t>28 165</t>
  </si>
  <si>
    <t>21 733</t>
  </si>
  <si>
    <t>*Romans-sur-Isère*</t>
  </si>
  <si>
    <t>*33 098*</t>
  </si>
  <si>
    <t>33 632</t>
  </si>
  <si>
    <t>33 440</t>
  </si>
  <si>
    <t>32 667</t>
  </si>
  <si>
    <t>32 734</t>
  </si>
  <si>
    <t>33 152</t>
  </si>
  <si>
    <t>33 030</t>
  </si>
  <si>
    <t>31 545</t>
  </si>
  <si>
    <t>*Nevers*</t>
  </si>
  <si>
    <t>Nièvre</t>
  </si>
  <si>
    <t>*33 005*</t>
  </si>
  <si>
    <t>34 841</t>
  </si>
  <si>
    <t>37 556</t>
  </si>
  <si>
    <t>40 932</t>
  </si>
  <si>
    <t>41 968</t>
  </si>
  <si>
    <t>43 013</t>
  </si>
  <si>
    <t>45 480</t>
  </si>
  <si>
    <t>42 422</t>
  </si>
  <si>
    <t>*La Possession*</t>
  </si>
  <si>
    <t>*32 985*</t>
  </si>
  <si>
    <t>31 439</t>
  </si>
  <si>
    <t>28 798</t>
  </si>
  <si>
    <t>21 904</t>
  </si>
  <si>
    <t>15 614</t>
  </si>
  <si>
    <t>11 002</t>
  </si>
  <si>
    <t>10 112</t>
  </si>
  <si>
    <t>7 626</t>
  </si>
  <si>
    <t>*Le Port*</t>
  </si>
  <si>
    <t>*32 977*</t>
  </si>
  <si>
    <t>35 881</t>
  </si>
  <si>
    <t>38 279</t>
  </si>
  <si>
    <t>38 412</t>
  </si>
  <si>
    <t>30 131</t>
  </si>
  <si>
    <t>25 068</t>
  </si>
  <si>
    <t>19 768</t>
  </si>
  <si>
    <t>*Houilles*</t>
  </si>
  <si>
    <t>*32 801*</t>
  </si>
  <si>
    <t>32 287</t>
  </si>
  <si>
    <t>30 908</t>
  </si>
  <si>
    <t>29 634</t>
  </si>
  <si>
    <t>29 650</t>
  </si>
  <si>
    <t>29 537</t>
  </si>
  <si>
    <t>30 345</t>
  </si>
  <si>
    <t>29 338</t>
  </si>
  <si>
    <t>*Trappes*</t>
  </si>
  <si>
    <t>*32 645*</t>
  </si>
  <si>
    <t>30 979</t>
  </si>
  <si>
    <t>28 541</t>
  </si>
  <si>
    <t>28 812</t>
  </si>
  <si>
    <t>30 878</t>
  </si>
  <si>
    <t>29 763</t>
  </si>
  <si>
    <t>22 895</t>
  </si>
  <si>
    <t>16 799</t>
  </si>
  <si>
    <t>*Agen*</t>
  </si>
  <si>
    <t>Lot-et-Garonne</t>
  </si>
  <si>
    <t>*32 602*</t>
  </si>
  <si>
    <t>34 344</t>
  </si>
  <si>
    <t>33 245</t>
  </si>
  <si>
    <t>30 170</t>
  </si>
  <si>
    <t>30 553</t>
  </si>
  <si>
    <t>31 593</t>
  </si>
  <si>
    <t>34 039</t>
  </si>
  <si>
    <t>34 949</t>
  </si>
  <si>
    <t>*Saint-Martin*</t>
  </si>
  <si>
    <t>Saint-Martin est une collectivité d'outre-mer</t>
  </si>
  <si>
    <t>*32 489*</t>
  </si>
  <si>
    <t>35 594</t>
  </si>
  <si>
    <t>36 661</t>
  </si>
  <si>
    <t>29 078</t>
  </si>
  <si>
    <t>28 518</t>
  </si>
  <si>
    <t>8 072</t>
  </si>
  <si>
    <t>5 550</t>
  </si>
  <si>
    <t>4 992</t>
  </si>
  <si>
    <t>*Pontoise*</t>
  </si>
  <si>
    <t>*32 405*</t>
  </si>
  <si>
    <t>29 826</t>
  </si>
  <si>
    <t>29 710</t>
  </si>
  <si>
    <t>27 494</t>
  </si>
  <si>
    <t>27 150</t>
  </si>
  <si>
    <t>28 434</t>
  </si>
  <si>
    <t>27 240</t>
  </si>
  <si>
    <t>17 509</t>
  </si>
  <si>
    <t>*Marignane*</t>
  </si>
  <si>
    <t>*32 384*</t>
  </si>
  <si>
    <t>33 986</t>
  </si>
  <si>
    <t>33 909</t>
  </si>
  <si>
    <t>32 325</t>
  </si>
  <si>
    <t>31 109</t>
  </si>
  <si>
    <t>26 477</t>
  </si>
  <si>
    <t>20 044</t>
  </si>
  <si>
    <t>*Montigny-le-Bretonneux*</t>
  </si>
  <si>
    <t>*32 282*</t>
  </si>
  <si>
    <t>33 625</t>
  </si>
  <si>
    <t>33 993</t>
  </si>
  <si>
    <t>35 216</t>
  </si>
  <si>
    <t>31 687</t>
  </si>
  <si>
    <t>13 519</t>
  </si>
  <si>
    <t>1 291</t>
  </si>
  <si>
    <t>*Épinal*</t>
  </si>
  <si>
    <t>Vosges</t>
  </si>
  <si>
    <t>*32 256*</t>
  </si>
  <si>
    <t>32 188</t>
  </si>
  <si>
    <t>33 043</t>
  </si>
  <si>
    <t>35 794</t>
  </si>
  <si>
    <t>36 732</t>
  </si>
  <si>
    <t>37 818</t>
  </si>
  <si>
    <t>39 525</t>
  </si>
  <si>
    <t>*Cambrai*</t>
  </si>
  <si>
    <t>*32 176*</t>
  </si>
  <si>
    <t>32 852</t>
  </si>
  <si>
    <t>32 346</t>
  </si>
  <si>
    <t>33 738</t>
  </si>
  <si>
    <t>33 092</t>
  </si>
  <si>
    <t>35 272</t>
  </si>
  <si>
    <t>39 049</t>
  </si>
  <si>
    <t>37 532</t>
  </si>
  <si>
    <t>*Koungou*</t>
  </si>
  <si>
    <t>32 156(2017)</t>
  </si>
  <si>
    <t>26 488(2012)</t>
  </si>
  <si>
    <t>19 831(2007)</t>
  </si>
  <si>
    <t>10 160(1997)</t>
  </si>
  <si>
    <t>6 046(1991)</t>
  </si>
  <si>
    <t>3 479(1985)</t>
  </si>
  <si>
    <t>*L'Haÿ-les-Roses*</t>
  </si>
  <si>
    <t>*32 071*</t>
  </si>
  <si>
    <t>31 201</t>
  </si>
  <si>
    <t>29 496</t>
  </si>
  <si>
    <t>29 660</t>
  </si>
  <si>
    <t>29 746</t>
  </si>
  <si>
    <t>29 568</t>
  </si>
  <si>
    <t>31 412</t>
  </si>
  <si>
    <t>24 352</t>
  </si>
  <si>
    <t>*Saint-Médard-en-Jalles*</t>
  </si>
  <si>
    <t>*31 808*</t>
  </si>
  <si>
    <t>29 178</t>
  </si>
  <si>
    <t>27 427</t>
  </si>
  <si>
    <t>25 566</t>
  </si>
  <si>
    <t>22 064</t>
  </si>
  <si>
    <t>18 665</t>
  </si>
  <si>
    <t>16 265</t>
  </si>
  <si>
    <t>8 955</t>
  </si>
  <si>
    <t>*Bezons*</t>
  </si>
  <si>
    <t>*31 671*</t>
  </si>
  <si>
    <t>27 855</t>
  </si>
  <si>
    <t>28 023</t>
  </si>
  <si>
    <t>26 263</t>
  </si>
  <si>
    <t>25 680</t>
  </si>
  <si>
    <t>24 019</t>
  </si>
  <si>
    <t>25 193</t>
  </si>
  <si>
    <t>24 475</t>
  </si>
  <si>
    <t>*Châtellerault*</t>
  </si>
  <si>
    <t>*31 487*</t>
  </si>
  <si>
    <t>31 262</t>
  </si>
  <si>
    <t>33 540</t>
  </si>
  <si>
    <t>34 126</t>
  </si>
  <si>
    <t>34 678</t>
  </si>
  <si>
    <t>35 838</t>
  </si>
  <si>
    <t>37 080</t>
  </si>
  <si>
    <t>35 337</t>
  </si>
  <si>
    <t>*Lens*</t>
  </si>
  <si>
    <t>*31 461*</t>
  </si>
  <si>
    <t>31 647</t>
  </si>
  <si>
    <t>36 120</t>
  </si>
  <si>
    <t>36 206</t>
  </si>
  <si>
    <t>35 017</t>
  </si>
  <si>
    <t>38 244</t>
  </si>
  <si>
    <t>40 199</t>
  </si>
  <si>
    <t>41 874</t>
  </si>
  <si>
    <t>*Vigneux-sur-Seine*</t>
  </si>
  <si>
    <t>*31 394*</t>
  </si>
  <si>
    <t>31 126</t>
  </si>
  <si>
    <t>26 991</t>
  </si>
  <si>
    <t>25 652</t>
  </si>
  <si>
    <t>25 203</t>
  </si>
  <si>
    <t>24 462</t>
  </si>
  <si>
    <t>26 550</t>
  </si>
  <si>
    <t>22 577</t>
  </si>
  <si>
    <t>*Herblay-sur-Seine*</t>
  </si>
  <si>
    <t>*31 314*</t>
  </si>
  <si>
    <t>27 378</t>
  </si>
  <si>
    <t>25 984</t>
  </si>
  <si>
    <t>23 083</t>
  </si>
  <si>
    <t>22 135</t>
  </si>
  <si>
    <t>19 647</t>
  </si>
  <si>
    <t>16 397</t>
  </si>
  <si>
    <t>12 264</t>
  </si>
  <si>
    <t>*Le Chesnay-Rocquencourt*[Note 9]</t>
  </si>
  <si>
    <t>*31 233*</t>
  </si>
  <si>
    <t>*31 856*</t>
  </si>
  <si>
    <t>*32 582*</t>
  </si>
  <si>
    <t>*31 748*</t>
  </si>
  <si>
    <t>*33 413*</t>
  </si>
  <si>
    <t>*31 681*</t>
  </si>
  <si>
    <t>*26 815*</t>
  </si>
  <si>
    <t>*15 070*</t>
  </si>
  <si>
    <t>*Goussainville*</t>
  </si>
  <si>
    <t>*31 068*</t>
  </si>
  <si>
    <t>31 212</t>
  </si>
  <si>
    <t>30 567</t>
  </si>
  <si>
    <t>27 356</t>
  </si>
  <si>
    <t>24 812</t>
  </si>
  <si>
    <t>23 543</t>
  </si>
  <si>
    <t>25 182</t>
  </si>
  <si>
    <t>16 097</t>
  </si>
  <si>
    <t>*Plaisir*</t>
  </si>
  <si>
    <t>*30 950*</t>
  </si>
  <si>
    <t>31 342</t>
  </si>
  <si>
    <t>30 773</t>
  </si>
  <si>
    <t>31 045</t>
  </si>
  <si>
    <t>25 877</t>
  </si>
  <si>
    <t>22 604</t>
  </si>
  <si>
    <t>21 267</t>
  </si>
  <si>
    <t>6 871</t>
  </si>
  <si>
    <t>*Malakoff*</t>
  </si>
  <si>
    <t>30 304</t>
  </si>
  <si>
    <t>30 909</t>
  </si>
  <si>
    <t>29 402</t>
  </si>
  <si>
    <t>30 959</t>
  </si>
  <si>
    <t>32 553</t>
  </si>
  <si>
    <t>34 121</t>
  </si>
  <si>
    <t>36 198</t>
  </si>
  <si>
    <t>*Viry-Châtillon*</t>
  </si>
  <si>
    <t>*30 865*</t>
  </si>
  <si>
    <t>31 132</t>
  </si>
  <si>
    <t>31 681</t>
  </si>
  <si>
    <t>30 257</t>
  </si>
  <si>
    <t>30 580</t>
  </si>
  <si>
    <t>30 224</t>
  </si>
  <si>
    <t>32 411</t>
  </si>
  <si>
    <t>27 045</t>
  </si>
  <si>
    <t>*Pierrefitte-sur-Seine*</t>
  </si>
  <si>
    <t>*30 861*</t>
  </si>
  <si>
    <t>28 459</t>
  </si>
  <si>
    <t>28 871</t>
  </si>
  <si>
    <t>25 816</t>
  </si>
  <si>
    <t>23 822</t>
  </si>
  <si>
    <t>22 366</t>
  </si>
  <si>
    <t>20 819</t>
  </si>
  <si>
    <t>19 017</t>
  </si>
  <si>
    <t>*Baie-Mahault*</t>
  </si>
  <si>
    <t>*30 837*</t>
  </si>
  <si>
    <t>30 015</t>
  </si>
  <si>
    <t>29 503</t>
  </si>
  <si>
    <t>23 389</t>
  </si>
  <si>
    <t>15 036</t>
  </si>
  <si>
    <t>10 475</t>
  </si>
  <si>
    <t>8 348</t>
  </si>
  <si>
    <t>7 398</t>
  </si>
  <si>
    <t>*Rillieux-la-Pape*</t>
  </si>
  <si>
    <t>*30 697*</t>
  </si>
  <si>
    <t>30 645</t>
  </si>
  <si>
    <t>29 578</t>
  </si>
  <si>
    <t>28 367</t>
  </si>
  <si>
    <t>30 791</t>
  </si>
  <si>
    <t>31 799</t>
  </si>
  <si>
    <t>30 894</t>
  </si>
  <si>
    <t>9 591</t>
  </si>
  <si>
    <t>*Thiais*</t>
  </si>
  <si>
    <t>*30 676*</t>
  </si>
  <si>
    <t>29 280</t>
  </si>
  <si>
    <t>29 616</t>
  </si>
  <si>
    <t>28 232</t>
  </si>
  <si>
    <t>27 515</t>
  </si>
  <si>
    <t>26 637</t>
  </si>
  <si>
    <t>27 293</t>
  </si>
  <si>
    <t>22 476</t>
  </si>
  <si>
    <t>*Dreux*</t>
  </si>
  <si>
    <t>*30 646*</t>
  </si>
  <si>
    <t>31 373</t>
  </si>
  <si>
    <t>31 849</t>
  </si>
  <si>
    <t>35 230</t>
  </si>
  <si>
    <t>33 379</t>
  </si>
  <si>
    <t>33 101</t>
  </si>
  <si>
    <t>29 408</t>
  </si>
  <si>
    <t>*Bègles*</t>
  </si>
  <si>
    <t>*30 642*</t>
  </si>
  <si>
    <t>26 104</t>
  </si>
  <si>
    <t>24 999</t>
  </si>
  <si>
    <t>22 475</t>
  </si>
  <si>
    <t>23 318</t>
  </si>
  <si>
    <t>27 330</t>
  </si>
  <si>
    <t>*Menton*</t>
  </si>
  <si>
    <t>*30 525*</t>
  </si>
  <si>
    <t>28 100</t>
  </si>
  <si>
    <t>28 833</t>
  </si>
  <si>
    <t>29 141</t>
  </si>
  <si>
    <t>25 086</t>
  </si>
  <si>
    <t>25 143</t>
  </si>
  <si>
    <t>25 040</t>
  </si>
  <si>
    <t>*Aix-les-Bains*</t>
  </si>
  <si>
    <t>*30 463*</t>
  </si>
  <si>
    <t>29 580</t>
  </si>
  <si>
    <t>27 095</t>
  </si>
  <si>
    <t>25 732</t>
  </si>
  <si>
    <t>24 683</t>
  </si>
  <si>
    <t>23 451</t>
  </si>
  <si>
    <t>22 210</t>
  </si>
  <si>
    <t>20 627</t>
  </si>
  <si>
    <t>*Cachan*</t>
  </si>
  <si>
    <t>*30 440*</t>
  </si>
  <si>
    <t>29 462</t>
  </si>
  <si>
    <t>27 676</t>
  </si>
  <si>
    <t>24 838</t>
  </si>
  <si>
    <t>24 266</t>
  </si>
  <si>
    <t>23 930</t>
  </si>
  <si>
    <t>26 442</t>
  </si>
  <si>
    <t>*Villemomble*</t>
  </si>
  <si>
    <t>*30 405*</t>
  </si>
  <si>
    <t>29 165</t>
  </si>
  <si>
    <t>28 169</t>
  </si>
  <si>
    <t>26 995</t>
  </si>
  <si>
    <t>26 863</t>
  </si>
  <si>
    <t>27 571</t>
  </si>
  <si>
    <t>28 727</t>
  </si>
  <si>
    <t>28 756</t>
  </si>
  <si>
    <t>*Chatou*</t>
  </si>
  <si>
    <t>*30 153*</t>
  </si>
  <si>
    <t>30 809</t>
  </si>
  <si>
    <t>29 940</t>
  </si>
  <si>
    <t>28 588</t>
  </si>
  <si>
    <t>27 977</t>
  </si>
  <si>
    <t>28 437</t>
  </si>
  <si>
    <t>22 619</t>
  </si>
  <si>
    <t>*Liévin*</t>
  </si>
  <si>
    <t>*30 112*</t>
  </si>
  <si>
    <t>31 517</t>
  </si>
  <si>
    <t>32 026</t>
  </si>
  <si>
    <t>33 427</t>
  </si>
  <si>
    <t>33 623</t>
  </si>
  <si>
    <t>33 096</t>
  </si>
  <si>
    <t>33 070</t>
  </si>
  <si>
    <t>35 853</t>
  </si>
  <si>
    <t>*Romainville*</t>
  </si>
  <si>
    <t>*30 087*</t>
  </si>
  <si>
    <t>25 657</t>
  </si>
  <si>
    <t>25 621</t>
  </si>
  <si>
    <t>23 779</t>
  </si>
  <si>
    <t>23 563</t>
  </si>
  <si>
    <t>25 363</t>
  </si>
  <si>
    <t>26 260</t>
  </si>
  <si>
    <t>24 091</t>
  </si>
  <si>
    <t>*Le Plessis-Robinson*</t>
  </si>
  <si>
    <t>*30 061*</t>
  </si>
  <si>
    <t>28 500</t>
  </si>
  <si>
    <t>24 675</t>
  </si>
  <si>
    <t>21 618</t>
  </si>
  <si>
    <t>21 289</t>
  </si>
  <si>
    <t>21 271</t>
  </si>
  <si>
    <t>22 231</t>
  </si>
  <si>
    <t>22 590</t>
  </si>
  <si>
    <t>*Saint-Cloud*</t>
  </si>
  <si>
    <t>*30 012*</t>
  </si>
  <si>
    <t>29 109</t>
  </si>
  <si>
    <t>29 772</t>
  </si>
  <si>
    <t>28 157</t>
  </si>
  <si>
    <t>28 597</t>
  </si>
  <si>
    <t>28 139</t>
  </si>
  <si>
    <t>28 158</t>
  </si>
  <si>
    <t>Pays hôte(s)</t>
  </si>
  <si>
    <t>Finale</t>
  </si>
  <si>
    <t>Petite finale</t>
  </si>
  <si>
    <t>no</t>
  </si>
  <si>
    <t>Champion</t>
  </si>
  <si>
    <t>Quatrième</t>
  </si>
  <si>
    <t>*1930*</t>
  </si>
  <si>
    <t>Uruguay</t>
  </si>
  <si>
    <t>*Uruguay*</t>
  </si>
  <si>
    <t>*4* – 2</t>
  </si>
  <si>
    <t>États-Unis</t>
  </si>
  <si>
    <t>[Note 1]</t>
  </si>
  <si>
    <t>Yougoslavie</t>
  </si>
  <si>
    <t>*1934*</t>
  </si>
  <si>
    <t>*Italie*</t>
  </si>
  <si>
    <t>*2* – 1(a.p)</t>
  </si>
  <si>
    <t>*3* – 2</t>
  </si>
  <si>
    <t>*1938*</t>
  </si>
  <si>
    <t>*1950*</t>
  </si>
  <si>
    <t>*2* – 1</t>
  </si>
  <si>
    <t>*3* – 1</t>
  </si>
  <si>
    <t>*1954*</t>
  </si>
  <si>
    <t>Suisse</t>
  </si>
  <si>
    <t>*Allemagne de l'Ouest*</t>
  </si>
  <si>
    <t>*1958*</t>
  </si>
  <si>
    <t>*Brésil*</t>
  </si>
  <si>
    <t>*5* – 2</t>
  </si>
  <si>
    <t>*6* – 3</t>
  </si>
  <si>
    <t>*1962*</t>
  </si>
  <si>
    <t>*1* – 0</t>
  </si>
  <si>
    <t>*1966*</t>
  </si>
  <si>
    <t>*Angleterre*</t>
  </si>
  <si>
    <t>*4* – 2(a.p)</t>
  </si>
  <si>
    <t>Union soviétique</t>
  </si>
  <si>
    <t>*1970*</t>
  </si>
  <si>
    <t>Mexique</t>
  </si>
  <si>
    <t>*4* – 1</t>
  </si>
  <si>
    <t>*1974*</t>
  </si>
  <si>
    <t>*1978*</t>
  </si>
  <si>
    <t>*Argentine*</t>
  </si>
  <si>
    <t>*3* – 1(a.p)</t>
  </si>
  <si>
    <t>*1982*</t>
  </si>
  <si>
    <t>*1986*</t>
  </si>
  <si>
    <t>*4* – 2 (a.p)</t>
  </si>
  <si>
    <t>*1990*</t>
  </si>
  <si>
    <t>*1994*</t>
  </si>
  <si>
    <t>0 – 0(a.p)
(t.a.b : *3* - 2)</t>
  </si>
  <si>
    <t>*4* – 0</t>
  </si>
  <si>
    <t>Bulgarie</t>
  </si>
  <si>
    <t>*1998*</t>
  </si>
  <si>
    <t>*France*</t>
  </si>
  <si>
    <t>*3* – 0</t>
  </si>
  <si>
    <t>*2002*</t>
  </si>
  <si>
    <t>Corée du Sud et Japon</t>
  </si>
  <si>
    <t>*2* – 0</t>
  </si>
  <si>
    <t>Corée du Sud</t>
  </si>
  <si>
    <t>*2006*</t>
  </si>
  <si>
    <t>1 – 1(a.p)
(t.a.b : *5* - 3)</t>
  </si>
  <si>
    <t>*2010*</t>
  </si>
  <si>
    <t>Afrique du Sud</t>
  </si>
  <si>
    <t>*Espagne*</t>
  </si>
  <si>
    <t>*1* – 0(a.p)</t>
  </si>
  <si>
    <t>*2014*</t>
  </si>
  <si>
    <t>*Allemagne*</t>
  </si>
  <si>
    <t>*2018*</t>
  </si>
  <si>
    <t>Russie</t>
  </si>
  <si>
    <t>*2022*</t>
  </si>
  <si>
    <t>Qatar</t>
  </si>
  <si>
    <t>–</t>
  </si>
  <si>
    <t>*23e*</t>
  </si>
  <si>
    <t>*2026*</t>
  </si>
  <si>
    <t>Canada, États-Unis et Mexique</t>
  </si>
  <si>
    <t>*Édition future*</t>
  </si>
  <si>
    <t>,</t>
  </si>
  <si>
    <t>djdn</t>
  </si>
  <si>
    <t>#</t>
  </si>
  <si>
    <t>Date 
(à partir du)</t>
  </si>
  <si>
    <t>Film no 1[1]</t>
  </si>
  <si>
    <t>Pays</t>
  </si>
  <si>
    <t>Entrées</t>
  </si>
  <si>
    <t>5 janvier2022</t>
  </si>
  <si>
    <t>*Spider-Man : No Way Home*</t>
  </si>
  <si>
    <t>516 117</t>
  </si>
  <si>
    <t>12 janvier2022</t>
  </si>
  <si>
    <t>310 286</t>
  </si>
  <si>
    <t>19 janvier2022</t>
  </si>
  <si>
    <t>208 524</t>
  </si>
  <si>
    <t>26 janvier2022</t>
  </si>
  <si>
    <t>*Presque*</t>
  </si>
  <si>
    <t>151 276</t>
  </si>
  <si>
    <t>2 février2022</t>
  </si>
  <si>
    <t>*Super-héros malgré lui*</t>
  </si>
  <si>
    <t>576 138</t>
  </si>
  <si>
    <t>9 février2022</t>
  </si>
  <si>
    <t>482 265</t>
  </si>
  <si>
    <t>16 février2022</t>
  </si>
  <si>
    <t>*Uncharted*</t>
  </si>
  <si>
    <t>955 650</t>
  </si>
  <si>
    <t>23 février2022</t>
  </si>
  <si>
    <t>551 715</t>
  </si>
  <si>
    <t>2 mars2022</t>
  </si>
  <si>
    <t>*The Batman*</t>
  </si>
  <si>
    <t>1 165 588</t>
  </si>
  <si>
    <t>9 mars2022</t>
  </si>
  <si>
    <t>635 144</t>
  </si>
  <si>
    <t>16 mars2022</t>
  </si>
  <si>
    <t>607 350</t>
  </si>
  <si>
    <t>23 mars2022</t>
  </si>
  <si>
    <t>237 474</t>
  </si>
  <si>
    <t>30 mars2022</t>
  </si>
  <si>
    <t>*Sonic 2, le film*</t>
  </si>
  <si>
    <t>749 372</t>
  </si>
  <si>
    <t>6 avril2022</t>
  </si>
  <si>
    <t>*Qu'est-ce qu'on a tous fait au Bon Dieu ?*</t>
  </si>
  <si>
    <t>874 683</t>
  </si>
  <si>
    <t>13 avril2022</t>
  </si>
  <si>
    <t>*Les Animaux Fantastiques : Les Secrets de Dumbledore*</t>
  </si>
  <si>
    <t>1 132 062</t>
  </si>
  <si>
    <t>20 avril2022</t>
  </si>
  <si>
    <t>719 811</t>
  </si>
  <si>
    <t>27 avril2022</t>
  </si>
  <si>
    <t>377 762</t>
  </si>
  <si>
    <t>4 mai2022</t>
  </si>
  <si>
    <t>*Doctor Strange in the Multiverse of Madness*</t>
  </si>
  <si>
    <t>1 438 287</t>
  </si>
  <si>
    <t>11 mai2022</t>
  </si>
  <si>
    <t>614 958</t>
  </si>
  <si>
    <t>18 mai2022</t>
  </si>
  <si>
    <t>374 405</t>
  </si>
  <si>
    <t>25 mai2022</t>
  </si>
  <si>
    <t>*Top Gun : Maverick*</t>
  </si>
  <si>
    <t>1 529 608</t>
  </si>
  <si>
    <t>1 juin2022</t>
  </si>
  <si>
    <t>1 188 176</t>
  </si>
  <si>
    <t>8 juin2022</t>
  </si>
  <si>
    <t>*Jurassic World : Le Monde d'Après*</t>
  </si>
  <si>
    <t>1 299 065</t>
  </si>
  <si>
    <t>15 juin2022</t>
  </si>
  <si>
    <t>627 968</t>
  </si>
  <si>
    <t>22 juin2022</t>
  </si>
  <si>
    <t>*Buzz l'éclair*</t>
  </si>
  <si>
    <t>482 715</t>
  </si>
  <si>
    <t>29 juin2022</t>
  </si>
  <si>
    <t>537 878</t>
  </si>
  <si>
    <t>6 juillet2022</t>
  </si>
  <si>
    <t>*Les Minions 2 : Il était une fois Gru*</t>
  </si>
  <si>
    <t>1 360 765</t>
  </si>
  <si>
    <t>13 juillet2022</t>
  </si>
  <si>
    <t>*Thor : Love and Thunder*</t>
  </si>
  <si>
    <t>1 150 926</t>
  </si>
  <si>
    <t>20 juillet2022</t>
  </si>
  <si>
    <t>573 326</t>
  </si>
  <si>
    <t>27 juillet2022</t>
  </si>
  <si>
    <t>404 765</t>
  </si>
  <si>
    <t>3 août2022</t>
  </si>
  <si>
    <t>*Bullet Train*</t>
  </si>
  <si>
    <t>460 136</t>
  </si>
  <si>
    <t>10 août2022</t>
  </si>
  <si>
    <t>*One Piece Film : Red*</t>
  </si>
  <si>
    <t>575 182</t>
  </si>
  <si>
    <t>17 août2022</t>
  </si>
  <si>
    <t>249 658</t>
  </si>
  <si>
    <t>24 août2022</t>
  </si>
  <si>
    <t>*Tad l'explorateur et la table d'émeraude*</t>
  </si>
  <si>
    <t>204 164</t>
  </si>
  <si>
    <t>31 août2022</t>
  </si>
  <si>
    <t>*Everything Everywhere All At Once*</t>
  </si>
  <si>
    <t>132 121</t>
  </si>
  <si>
    <t>7 septembre2022</t>
  </si>
  <si>
    <t>*Kompromat*</t>
  </si>
  <si>
    <t>205 447</t>
  </si>
  <si>
    <t>14 septembre2022</t>
  </si>
  <si>
    <t>136 417</t>
  </si>
  <si>
    <t>21 septembre2022</t>
  </si>
  <si>
    <t>*Avatar* (ressortie remasterisée)</t>
  </si>
  <si>
    <t>335 539</t>
  </si>
  <si>
    <t>28 septembre2022</t>
  </si>
  <si>
    <t>229 620</t>
  </si>
  <si>
    <t>5 octobre2022</t>
  </si>
  <si>
    <t>*Novembre*</t>
  </si>
  <si>
    <t>592 681</t>
  </si>
  <si>
    <t>12 octobre2022</t>
  </si>
  <si>
    <t>*Simone, le voyage du siècle*</t>
  </si>
  <si>
    <t>486 242</t>
  </si>
  <si>
    <t>19 octobre2022</t>
  </si>
  <si>
    <t>*Black Adam*</t>
  </si>
  <si>
    <t>713 308</t>
  </si>
  <si>
    <t>26 octobre2022</t>
  </si>
  <si>
    <t>657 103</t>
  </si>
  <si>
    <t>2 novembre2022</t>
  </si>
  <si>
    <t>400 433</t>
  </si>
  <si>
    <t>9 novembre2022</t>
  </si>
  <si>
    <t>*Black Panther: Wakanda Forever*</t>
  </si>
  <si>
    <t>1 692 183</t>
  </si>
  <si>
    <t>16 novembre2022</t>
  </si>
  <si>
    <t>725 543</t>
  </si>
  <si>
    <t>23 novembre2022</t>
  </si>
  <si>
    <t>392 564</t>
  </si>
  <si>
    <t>30 novembre2022</t>
  </si>
  <si>
    <t>7 décembre2022</t>
  </si>
  <si>
    <t>14 décembre2022</t>
  </si>
  <si>
    <t>21 décembre2022</t>
  </si>
  <si>
    <t>28 décembre2022</t>
  </si>
  <si>
    <t xml:space="preserve"> </t>
  </si>
  <si>
    <t>Ville</t>
  </si>
  <si>
    <t>PIB
en 2014 (Mds $)</t>
  </si>
  <si>
    <t>Evolution PIB/hab</t>
  </si>
  <si>
    <t>Minneapolis(ville seule)</t>
  </si>
  <si>
    <t>-0,1 %</t>
  </si>
  <si>
    <t>Rio de Janeiro</t>
  </si>
  <si>
    <t>-0,2 %</t>
  </si>
  <si>
    <t>5 - 3</t>
  </si>
  <si>
    <t>San Diego</t>
  </si>
  <si>
    <t>-0,4 %</t>
  </si>
  <si>
    <t>2 - 1</t>
  </si>
  <si>
    <t>Philadelphie</t>
  </si>
  <si>
    <t>-0,5 %</t>
  </si>
  <si>
    <t>San Francisco (en)(ville seule)</t>
  </si>
  <si>
    <t>Milan (it)(ville seule)</t>
  </si>
  <si>
    <t>Bangkok (en)(ville seule)</t>
  </si>
  <si>
    <t>Thaïlande</t>
  </si>
  <si>
    <t>Miami</t>
  </si>
  <si>
    <t>Brasilia(ville seule)</t>
  </si>
  <si>
    <t>-0,7 %</t>
  </si>
  <si>
    <t>Rome</t>
  </si>
  <si>
    <t>-0,8 %</t>
  </si>
  <si>
    <t>Washington D.C.</t>
  </si>
  <si>
    <t>-1,5 %</t>
  </si>
  <si>
    <t>São Paulo</t>
  </si>
  <si>
    <t>Saint-Louis</t>
  </si>
  <si>
    <t>-2,1 %</t>
  </si>
  <si>
    <t>Buenos Aires</t>
  </si>
  <si>
    <t>-2,8 %</t>
  </si>
  <si>
    <t>Moscou</t>
  </si>
  <si>
    <t>+0,0 %</t>
  </si>
  <si>
    <t>Pittsburgh (en)(ville seule)</t>
  </si>
  <si>
    <t>New York</t>
  </si>
  <si>
    <t>+0,1 %</t>
  </si>
  <si>
    <t>Los Angeles</t>
  </si>
  <si>
    <t>Seattle</t>
  </si>
  <si>
    <t>San Jose (en)(ville seule)</t>
  </si>
  <si>
    <t>+0,2 %</t>
  </si>
  <si>
    <t>Riverside</t>
  </si>
  <si>
    <t>Paris</t>
  </si>
  <si>
    <t>+0,3 %</t>
  </si>
  <si>
    <t>Rotterdam - Amsterdam</t>
  </si>
  <si>
    <t>Abu Dhabi</t>
  </si>
  <si>
    <t>Émirats arabes unis</t>
  </si>
  <si>
    <t>Bruxelles</t>
  </si>
  <si>
    <t>+0,4 %</t>
  </si>
  <si>
    <t>Boston</t>
  </si>
  <si>
    <t>+0,5 %</t>
  </si>
  <si>
    <t>Osaka - Kobe - Kyoto</t>
  </si>
  <si>
    <t>Japon</t>
  </si>
  <si>
    <t>+0,6 %</t>
  </si>
  <si>
    <t>Vienne-Bratislava</t>
  </si>
  <si>
    <t>Koweït</t>
  </si>
  <si>
    <t>Portland (en)(ville seule)</t>
  </si>
  <si>
    <t>Tokyo</t>
  </si>
  <si>
    <t>+0,7 %</t>
  </si>
  <si>
    <t>Chicago</t>
  </si>
  <si>
    <t>Francfort</t>
  </si>
  <si>
    <t>Phoenix (en)(ville seule)</t>
  </si>
  <si>
    <t>Montréal</t>
  </si>
  <si>
    <t>Canada</t>
  </si>
  <si>
    <t>Dallas</t>
  </si>
  <si>
    <t>+0,8 %</t>
  </si>
  <si>
    <t>Détroit</t>
  </si>
  <si>
    <t>Denver</t>
  </si>
  <si>
    <t>Hambourg</t>
  </si>
  <si>
    <t>Lisbonne</t>
  </si>
  <si>
    <t>Munich</t>
  </si>
  <si>
    <t>+0,9 %</t>
  </si>
  <si>
    <t>Fukuoka (en)(ville seule)</t>
  </si>
  <si>
    <t>Stockholm</t>
  </si>
  <si>
    <t>Cologne - Dusseldorf</t>
  </si>
  <si>
    <t>+1,0 %</t>
  </si>
  <si>
    <t>Nagoya (en)(ville seule)</t>
  </si>
  <si>
    <t>Baltimore (en)(ville seule)</t>
  </si>
  <si>
    <t>Melbourne</t>
  </si>
  <si>
    <t>Australie</t>
  </si>
  <si>
    <t>+1,1 %</t>
  </si>
  <si>
    <t>Stuttgart</t>
  </si>
  <si>
    <t>Berlin</t>
  </si>
  <si>
    <t>Hong Kong</t>
  </si>
  <si>
    <t>Chine</t>
  </si>
  <si>
    <t>+1,2 %</t>
  </si>
  <si>
    <t>Santiago</t>
  </si>
  <si>
    <t>Barcelone</t>
  </si>
  <si>
    <t>Karlsruhe</t>
  </si>
  <si>
    <t>Toronto</t>
  </si>
  <si>
    <t>+1,4 %</t>
  </si>
  <si>
    <t>Madrid</t>
  </si>
  <si>
    <t>Sydney</t>
  </si>
  <si>
    <t>Tel Aviv</t>
  </si>
  <si>
    <t>Israël</t>
  </si>
  <si>
    <t>Atlanta</t>
  </si>
  <si>
    <t>+1,5 %</t>
  </si>
  <si>
    <t>Houston</t>
  </si>
  <si>
    <t>+1,6 %</t>
  </si>
  <si>
    <t>Mexico(ville seule)</t>
  </si>
  <si>
    <t>Singapour</t>
  </si>
  <si>
    <t>+1,8 %</t>
  </si>
  <si>
    <t>Riyad</t>
  </si>
  <si>
    <t>Arabie saoudite</t>
  </si>
  <si>
    <t>+1,9 %</t>
  </si>
  <si>
    <t>Varsovie (pl)(ville seule)</t>
  </si>
  <si>
    <t>Istanbul</t>
  </si>
  <si>
    <t>+2,0 %</t>
  </si>
  <si>
    <t>Djeddah - La Mecque</t>
  </si>
  <si>
    <t>+2,4 %</t>
  </si>
  <si>
    <t>Londres</t>
  </si>
  <si>
    <t>Royaume-Uni</t>
  </si>
  <si>
    <t>+2,5 %</t>
  </si>
  <si>
    <t>Séoul</t>
  </si>
  <si>
    <t>+2,7 %</t>
  </si>
  <si>
    <t>Busan - Ulsan</t>
  </si>
  <si>
    <t>+2,8 %</t>
  </si>
  <si>
    <t>Taïpei (en)(ville seule)</t>
  </si>
  <si>
    <t>Taïwan</t>
  </si>
  <si>
    <t>+2,9 %</t>
  </si>
  <si>
    <t>Lima (es)(ville seule)</t>
  </si>
  <si>
    <t>Pérou</t>
  </si>
  <si>
    <t>Bogota</t>
  </si>
  <si>
    <t>Colombie</t>
  </si>
  <si>
    <t>+3,2 %</t>
  </si>
  <si>
    <t>Tianjin</t>
  </si>
  <si>
    <t>+3,3 %</t>
  </si>
  <si>
    <t>Perth</t>
  </si>
  <si>
    <t>+3,4 %</t>
  </si>
  <si>
    <t>Manille</t>
  </si>
  <si>
    <t>Philippines</t>
  </si>
  <si>
    <t>+4,1 %</t>
  </si>
  <si>
    <t>Kuala Lumpur (en)(ville seule)</t>
  </si>
  <si>
    <t>Malaisie</t>
  </si>
  <si>
    <t>Jakarta</t>
  </si>
  <si>
    <t>Indonésie</t>
  </si>
  <si>
    <t>+4,3 %</t>
  </si>
  <si>
    <t>Delhi</t>
  </si>
  <si>
    <t>Inde</t>
  </si>
  <si>
    <t>+4,4 %</t>
  </si>
  <si>
    <t>Bombay(ville seule)</t>
  </si>
  <si>
    <t>+4,6 %</t>
  </si>
  <si>
    <t>Pékin</t>
  </si>
  <si>
    <t>+4,7 %</t>
  </si>
  <si>
    <t>Canton</t>
  </si>
  <si>
    <t>+4.9 %</t>
  </si>
  <si>
    <t>Shenzhen</t>
  </si>
  <si>
    <t>+5,1 %</t>
  </si>
  <si>
    <t>Shanghai</t>
  </si>
  <si>
    <t>+5,2 %</t>
  </si>
  <si>
    <t>Dongguan</t>
  </si>
  <si>
    <t>Foshan</t>
  </si>
  <si>
    <t>+5,6 %</t>
  </si>
  <si>
    <t>Wuxi</t>
  </si>
  <si>
    <t>+6,4 %</t>
  </si>
  <si>
    <t>Nanjing</t>
  </si>
  <si>
    <t>+6,5 %</t>
  </si>
  <si>
    <t>Dalian</t>
  </si>
  <si>
    <t>Suzhou</t>
  </si>
  <si>
    <t>+6,7 %</t>
  </si>
  <si>
    <t>Shenyang</t>
  </si>
  <si>
    <t>Ningbo</t>
  </si>
  <si>
    <t>+6,8 %</t>
  </si>
  <si>
    <t>Yantai</t>
  </si>
  <si>
    <t>Tangshan</t>
  </si>
  <si>
    <t>+6,9 %</t>
  </si>
  <si>
    <t>Hangzhou</t>
  </si>
  <si>
    <t>+7,0 %</t>
  </si>
  <si>
    <t>Qingdao</t>
  </si>
  <si>
    <t>+7,1 %</t>
  </si>
  <si>
    <t>Jinan</t>
  </si>
  <si>
    <t>Chongqing</t>
  </si>
  <si>
    <t>+7,3 %</t>
  </si>
  <si>
    <t>Zhengzhou</t>
  </si>
  <si>
    <t>+7,8 %</t>
  </si>
  <si>
    <t>Chengdu</t>
  </si>
  <si>
    <t>+8,1 %</t>
  </si>
  <si>
    <t>Changsha</t>
  </si>
  <si>
    <t>+8,6 %</t>
  </si>
  <si>
    <t>Wuhan</t>
  </si>
  <si>
    <t>+9,3 %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</si>
</sst>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m/dd/yyyy"/>
    <numFmt numFmtId="166" formatCode="#,##0.00&quot;€&quot;"/>
    <numFmt numFmtId="167" formatCode="m/d/yyyy"/>
  </numFmts>
  <fonts count="7">
    <font>
      <sz val="10.0"/>
      <color rgb="FF000000"/>
      <name val="Arial"/>
      <scheme val="minor"/>
    </font>
    <font>
      <color theme="1"/>
      <name val="Arial"/>
      <scheme val="minor"/>
    </font>
    <font>
      <color theme="1"/>
      <name val="Arial"/>
    </font>
    <font>
      <b/>
      <color theme="1"/>
      <name val="Arial"/>
      <scheme val="minor"/>
    </font>
    <font>
      <i/>
      <color theme="1"/>
      <name val="Arial"/>
      <scheme val="minor"/>
    </font>
    <font>
      <b/>
      <color rgb="FFEA4335"/>
      <name val="Arial"/>
      <scheme val="minor"/>
    </font>
    <font>
      <sz val="11.0"/>
      <color rgb="FF000000"/>
      <name val="Inconsolata"/>
    </font>
  </fonts>
  <fills count="7">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Font="1" applyNumberFormat="1"/>
    <xf borderId="0" fillId="2" fontId="1" numFmtId="0" xfId="0" applyFill="1" applyFont="1"/>
    <xf borderId="0" fillId="3" fontId="1" numFmtId="0" xfId="0" applyFill="1" applyFont="1"/>
    <xf borderId="0" fillId="0" fontId="1" numFmtId="164" xfId="0" applyAlignment="1" applyFont="1" applyNumberFormat="1">
      <alignment readingOrder="0"/>
    </xf>
    <xf borderId="0" fillId="0" fontId="1" numFmtId="0" xfId="0" applyAlignment="1" applyFont="1">
      <alignment readingOrder="0"/>
    </xf>
    <xf borderId="0" fillId="0" fontId="1" numFmtId="165" xfId="0" applyFont="1" applyNumberFormat="1"/>
    <xf borderId="0" fillId="0" fontId="1" numFmtId="166" xfId="0" applyFont="1" applyNumberFormat="1"/>
    <xf borderId="0" fillId="0" fontId="1" numFmtId="167" xfId="0" applyFont="1" applyNumberFormat="1"/>
    <xf borderId="0" fillId="4" fontId="1" numFmtId="0" xfId="0" applyFill="1" applyFont="1"/>
    <xf borderId="0" fillId="4" fontId="1" numFmtId="0" xfId="0" applyAlignment="1" applyFont="1">
      <alignment readingOrder="0"/>
    </xf>
    <xf borderId="0" fillId="0" fontId="1" numFmtId="0" xfId="0" applyAlignment="1" applyFont="1">
      <alignment horizontal="right" readingOrder="0"/>
    </xf>
    <xf borderId="0" fillId="0" fontId="1" numFmtId="3" xfId="0" applyFont="1" applyNumberFormat="1"/>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horizontal="right" vertical="bottom"/>
    </xf>
    <xf borderId="1" fillId="0" fontId="1" numFmtId="0" xfId="0" applyBorder="1" applyFont="1"/>
    <xf borderId="1" fillId="0" fontId="1" numFmtId="0" xfId="0" applyAlignment="1" applyBorder="1" applyFont="1">
      <alignment readingOrder="0"/>
    </xf>
    <xf borderId="0" fillId="0" fontId="3" numFmtId="0" xfId="0" applyFont="1"/>
    <xf borderId="0" fillId="0" fontId="1" numFmtId="4" xfId="0" applyFont="1" applyNumberFormat="1"/>
    <xf borderId="0" fillId="0" fontId="4" numFmtId="0" xfId="0" applyFont="1"/>
    <xf borderId="0" fillId="0" fontId="1" numFmtId="0" xfId="0" applyAlignment="1" applyFont="1">
      <alignment horizontal="center" readingOrder="0"/>
    </xf>
    <xf borderId="0" fillId="0" fontId="5" numFmtId="0" xfId="0" applyAlignment="1" applyFont="1">
      <alignment readingOrder="0"/>
    </xf>
    <xf borderId="0" fillId="5" fontId="6" numFmtId="0" xfId="0" applyFill="1" applyFont="1"/>
    <xf borderId="0" fillId="0" fontId="1" numFmtId="9" xfId="0" applyFont="1" applyNumberFormat="1"/>
    <xf borderId="0" fillId="6"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88"/>
  </cols>
  <sheetData>
    <row r="1">
      <c r="A1" s="1" t="s">
        <v>0</v>
      </c>
      <c r="B1" s="1" t="s">
        <v>1</v>
      </c>
      <c r="C1" s="1" t="s">
        <v>2</v>
      </c>
      <c r="D1" s="1" t="s">
        <v>3</v>
      </c>
      <c r="E1" s="1" t="s">
        <v>4</v>
      </c>
      <c r="F1" s="1" t="s">
        <v>5</v>
      </c>
      <c r="G1" s="2" t="s">
        <v>6</v>
      </c>
      <c r="H1" s="2" t="s">
        <v>7</v>
      </c>
    </row>
    <row r="2">
      <c r="A2" s="1" t="s">
        <v>8</v>
      </c>
      <c r="B2" s="1">
        <v>1930.0</v>
      </c>
      <c r="C2" s="1" t="s">
        <v>9</v>
      </c>
      <c r="D2" s="1" t="s">
        <v>10</v>
      </c>
      <c r="E2" s="1" t="s">
        <v>11</v>
      </c>
      <c r="F2" s="1" t="s">
        <v>12</v>
      </c>
      <c r="G2" s="1">
        <f>IFERROR(__xludf.DUMMYFUNCTION("split(D2,""–"")"),4.0)</f>
        <v>4</v>
      </c>
      <c r="H2" s="1">
        <f>IFERROR(__xludf.DUMMYFUNCTION("""COMPUTED_VALUE"""),2.0)</f>
        <v>2</v>
      </c>
      <c r="K2" s="1" t="s">
        <v>0</v>
      </c>
      <c r="L2" s="1" t="s">
        <v>1</v>
      </c>
      <c r="M2" s="1" t="s">
        <v>2</v>
      </c>
      <c r="N2" s="1" t="s">
        <v>3</v>
      </c>
      <c r="O2" s="1" t="s">
        <v>4</v>
      </c>
      <c r="P2" s="1" t="s">
        <v>5</v>
      </c>
    </row>
    <row r="3">
      <c r="A3" s="1" t="s">
        <v>13</v>
      </c>
      <c r="B3" s="1">
        <v>1934.0</v>
      </c>
      <c r="C3" s="1" t="s">
        <v>14</v>
      </c>
      <c r="D3" s="1" t="s">
        <v>15</v>
      </c>
      <c r="E3" s="1" t="s">
        <v>16</v>
      </c>
      <c r="F3" s="1" t="s">
        <v>17</v>
      </c>
      <c r="G3" s="1">
        <f>IFERROR(__xludf.DUMMYFUNCTION("split(D3,""–"")"),2.0)</f>
        <v>2</v>
      </c>
      <c r="H3" s="1" t="str">
        <f>IFERROR(__xludf.DUMMYFUNCTION("""COMPUTED_VALUE""")," 1 (ap)")</f>
        <v> 1 (ap)</v>
      </c>
      <c r="K3" s="1" t="s">
        <v>8</v>
      </c>
      <c r="L3" s="1">
        <v>1930.0</v>
      </c>
      <c r="M3" s="1" t="s">
        <v>9</v>
      </c>
      <c r="N3" s="1" t="s">
        <v>10</v>
      </c>
      <c r="O3" s="1" t="s">
        <v>11</v>
      </c>
      <c r="P3" s="1" t="s">
        <v>12</v>
      </c>
    </row>
    <row r="4">
      <c r="A4" s="1" t="s">
        <v>18</v>
      </c>
      <c r="B4" s="1">
        <v>1938.0</v>
      </c>
      <c r="C4" s="1" t="s">
        <v>19</v>
      </c>
      <c r="D4" s="1" t="s">
        <v>10</v>
      </c>
      <c r="E4" s="1" t="s">
        <v>20</v>
      </c>
      <c r="F4" s="1" t="s">
        <v>21</v>
      </c>
      <c r="G4" s="1">
        <f>IFERROR(__xludf.DUMMYFUNCTION("split(D4,""–"")"),4.0)</f>
        <v>4</v>
      </c>
      <c r="H4" s="1">
        <f>IFERROR(__xludf.DUMMYFUNCTION("""COMPUTED_VALUE"""),2.0)</f>
        <v>2</v>
      </c>
      <c r="K4" s="1" t="s">
        <v>13</v>
      </c>
      <c r="L4" s="1">
        <v>1934.0</v>
      </c>
      <c r="M4" s="1" t="s">
        <v>14</v>
      </c>
      <c r="N4" s="1" t="s">
        <v>15</v>
      </c>
      <c r="O4" s="1" t="s">
        <v>16</v>
      </c>
      <c r="P4" s="1" t="s">
        <v>17</v>
      </c>
    </row>
    <row r="5">
      <c r="A5" s="1" t="s">
        <v>22</v>
      </c>
      <c r="B5" s="1">
        <v>1950.0</v>
      </c>
      <c r="C5" s="1" t="s">
        <v>23</v>
      </c>
      <c r="D5" s="1" t="s">
        <v>24</v>
      </c>
      <c r="E5" s="1" t="s">
        <v>21</v>
      </c>
      <c r="F5" s="1" t="s">
        <v>25</v>
      </c>
      <c r="G5" s="1" t="str">
        <f>IFERROR(__xludf.DUMMYFUNCTION("split(D5,""–"")"),"*2 - 1*[f]")</f>
        <v>*2 - 1*[f]</v>
      </c>
      <c r="K5" s="1" t="s">
        <v>18</v>
      </c>
      <c r="L5" s="1">
        <v>1938.0</v>
      </c>
      <c r="M5" s="1" t="s">
        <v>19</v>
      </c>
      <c r="N5" s="1" t="s">
        <v>10</v>
      </c>
      <c r="O5" s="1" t="s">
        <v>20</v>
      </c>
      <c r="P5" s="1" t="s">
        <v>21</v>
      </c>
    </row>
    <row r="6">
      <c r="A6" s="1" t="s">
        <v>26</v>
      </c>
      <c r="B6" s="1">
        <v>1954.0</v>
      </c>
      <c r="C6" s="1" t="s">
        <v>27</v>
      </c>
      <c r="D6" s="1" t="s">
        <v>28</v>
      </c>
      <c r="E6" s="1" t="s">
        <v>20</v>
      </c>
      <c r="F6" s="1" t="s">
        <v>29</v>
      </c>
      <c r="G6" s="1">
        <f>IFERROR(__xludf.DUMMYFUNCTION("split(D6,""–"")"),3.0)</f>
        <v>3</v>
      </c>
      <c r="H6" s="1">
        <f>IFERROR(__xludf.DUMMYFUNCTION("""COMPUTED_VALUE"""),2.0)</f>
        <v>2</v>
      </c>
      <c r="K6" s="1" t="s">
        <v>22</v>
      </c>
      <c r="L6" s="1">
        <v>1950.0</v>
      </c>
      <c r="M6" s="1" t="s">
        <v>23</v>
      </c>
      <c r="N6" s="1" t="s">
        <v>24</v>
      </c>
      <c r="O6" s="1" t="s">
        <v>21</v>
      </c>
      <c r="P6" s="1" t="s">
        <v>25</v>
      </c>
    </row>
    <row r="7">
      <c r="A7" s="1" t="s">
        <v>30</v>
      </c>
      <c r="B7" s="1">
        <v>1958.0</v>
      </c>
      <c r="C7" s="1" t="s">
        <v>31</v>
      </c>
      <c r="D7" s="1" t="s">
        <v>32</v>
      </c>
      <c r="E7" s="1" t="s">
        <v>25</v>
      </c>
      <c r="F7" s="1" t="s">
        <v>33</v>
      </c>
      <c r="G7" s="1">
        <f>IFERROR(__xludf.DUMMYFUNCTION("split(D7,""–"")"),5.0)</f>
        <v>5</v>
      </c>
      <c r="H7" s="1">
        <f>IFERROR(__xludf.DUMMYFUNCTION("""COMPUTED_VALUE"""),2.0)</f>
        <v>2</v>
      </c>
      <c r="K7" s="1" t="s">
        <v>26</v>
      </c>
      <c r="L7" s="1">
        <v>1954.0</v>
      </c>
      <c r="M7" s="1" t="s">
        <v>27</v>
      </c>
      <c r="N7" s="1" t="s">
        <v>28</v>
      </c>
      <c r="O7" s="1" t="s">
        <v>20</v>
      </c>
      <c r="P7" s="1" t="s">
        <v>29</v>
      </c>
    </row>
    <row r="8">
      <c r="A8" s="1" t="s">
        <v>34</v>
      </c>
      <c r="B8" s="1">
        <v>1962.0</v>
      </c>
      <c r="C8" s="1" t="s">
        <v>35</v>
      </c>
      <c r="D8" s="1" t="s">
        <v>36</v>
      </c>
      <c r="E8" s="1" t="s">
        <v>16</v>
      </c>
      <c r="F8" s="1" t="s">
        <v>37</v>
      </c>
      <c r="G8" s="1">
        <f>IFERROR(__xludf.DUMMYFUNCTION("split(D8,""–"")"),3.0)</f>
        <v>3</v>
      </c>
      <c r="H8" s="1">
        <f>IFERROR(__xludf.DUMMYFUNCTION("""COMPUTED_VALUE"""),1.0)</f>
        <v>1</v>
      </c>
      <c r="K8" s="1" t="s">
        <v>30</v>
      </c>
      <c r="L8" s="1">
        <v>1958.0</v>
      </c>
      <c r="M8" s="1" t="s">
        <v>31</v>
      </c>
      <c r="N8" s="1" t="s">
        <v>32</v>
      </c>
      <c r="O8" s="1" t="s">
        <v>25</v>
      </c>
      <c r="P8" s="1" t="s">
        <v>33</v>
      </c>
    </row>
    <row r="9">
      <c r="A9" s="1" t="s">
        <v>38</v>
      </c>
      <c r="B9" s="1">
        <v>1966.0</v>
      </c>
      <c r="C9" s="1" t="s">
        <v>39</v>
      </c>
      <c r="D9" s="1" t="s">
        <v>40</v>
      </c>
      <c r="E9" s="1" t="s">
        <v>41</v>
      </c>
      <c r="F9" s="1" t="s">
        <v>42</v>
      </c>
      <c r="G9" s="1">
        <f>IFERROR(__xludf.DUMMYFUNCTION("split(D9,""–"")"),4.0)</f>
        <v>4</v>
      </c>
      <c r="H9" s="1" t="str">
        <f>IFERROR(__xludf.DUMMYFUNCTION("""COMPUTED_VALUE""")," 2 (ap)")</f>
        <v> 2 (ap)</v>
      </c>
      <c r="K9" s="1" t="s">
        <v>34</v>
      </c>
      <c r="L9" s="1">
        <v>1962.0</v>
      </c>
      <c r="M9" s="1" t="s">
        <v>35</v>
      </c>
      <c r="N9" s="1" t="s">
        <v>36</v>
      </c>
      <c r="O9" s="1" t="s">
        <v>16</v>
      </c>
      <c r="P9" s="1" t="s">
        <v>37</v>
      </c>
    </row>
    <row r="10">
      <c r="A10" s="1" t="s">
        <v>43</v>
      </c>
      <c r="B10" s="1">
        <v>1970.0</v>
      </c>
      <c r="C10" s="1" t="s">
        <v>44</v>
      </c>
      <c r="D10" s="1" t="s">
        <v>45</v>
      </c>
      <c r="E10" s="1" t="s">
        <v>46</v>
      </c>
      <c r="F10" s="1" t="s">
        <v>41</v>
      </c>
      <c r="G10" s="1">
        <f>IFERROR(__xludf.DUMMYFUNCTION("split(D10,""–"")"),4.0)</f>
        <v>4</v>
      </c>
      <c r="H10" s="1">
        <f>IFERROR(__xludf.DUMMYFUNCTION("""COMPUTED_VALUE"""),1.0)</f>
        <v>1</v>
      </c>
      <c r="K10" s="1" t="s">
        <v>38</v>
      </c>
      <c r="L10" s="1">
        <v>1966.0</v>
      </c>
      <c r="M10" s="1" t="s">
        <v>39</v>
      </c>
      <c r="N10" s="1" t="s">
        <v>40</v>
      </c>
      <c r="O10" s="1" t="s">
        <v>41</v>
      </c>
      <c r="P10" s="1" t="s">
        <v>42</v>
      </c>
    </row>
    <row r="11">
      <c r="A11" s="1" t="s">
        <v>47</v>
      </c>
      <c r="B11" s="1">
        <v>1974.0</v>
      </c>
      <c r="C11" s="1" t="s">
        <v>48</v>
      </c>
      <c r="D11" s="1" t="s">
        <v>49</v>
      </c>
      <c r="E11" s="1" t="s">
        <v>50</v>
      </c>
      <c r="F11" s="1" t="s">
        <v>51</v>
      </c>
      <c r="G11" s="1">
        <f>IFERROR(__xludf.DUMMYFUNCTION("split(D11,""–"")"),2.0)</f>
        <v>2</v>
      </c>
      <c r="H11" s="1">
        <f>IFERROR(__xludf.DUMMYFUNCTION("""COMPUTED_VALUE"""),1.0)</f>
        <v>1</v>
      </c>
      <c r="K11" s="1" t="s">
        <v>43</v>
      </c>
      <c r="L11" s="1">
        <v>1970.0</v>
      </c>
      <c r="M11" s="1" t="s">
        <v>44</v>
      </c>
      <c r="N11" s="1" t="s">
        <v>45</v>
      </c>
      <c r="O11" s="1" t="s">
        <v>46</v>
      </c>
      <c r="P11" s="1" t="s">
        <v>41</v>
      </c>
    </row>
    <row r="12">
      <c r="A12" s="1" t="s">
        <v>52</v>
      </c>
      <c r="B12" s="1">
        <v>1978.0</v>
      </c>
      <c r="C12" s="1" t="s">
        <v>53</v>
      </c>
      <c r="D12" s="1" t="s">
        <v>54</v>
      </c>
      <c r="E12" s="1" t="s">
        <v>50</v>
      </c>
      <c r="F12" s="1" t="s">
        <v>21</v>
      </c>
      <c r="G12" s="1">
        <f>IFERROR(__xludf.DUMMYFUNCTION("split(D12,""–"")"),3.0)</f>
        <v>3</v>
      </c>
      <c r="H12" s="1" t="str">
        <f>IFERROR(__xludf.DUMMYFUNCTION("""COMPUTED_VALUE""")," 1 (ap)")</f>
        <v> 1 (ap)</v>
      </c>
      <c r="K12" s="1" t="s">
        <v>47</v>
      </c>
      <c r="L12" s="1">
        <v>1974.0</v>
      </c>
      <c r="M12" s="1" t="s">
        <v>48</v>
      </c>
      <c r="N12" s="1" t="s">
        <v>49</v>
      </c>
      <c r="O12" s="1" t="s">
        <v>50</v>
      </c>
      <c r="P12" s="1" t="s">
        <v>51</v>
      </c>
    </row>
    <row r="13">
      <c r="A13" s="1" t="s">
        <v>55</v>
      </c>
      <c r="B13" s="1">
        <v>1982.0</v>
      </c>
      <c r="C13" s="1" t="s">
        <v>56</v>
      </c>
      <c r="D13" s="1" t="s">
        <v>36</v>
      </c>
      <c r="E13" s="1" t="s">
        <v>41</v>
      </c>
      <c r="F13" s="1" t="s">
        <v>51</v>
      </c>
      <c r="G13" s="1">
        <f>IFERROR(__xludf.DUMMYFUNCTION("split(D13,""–"")"),3.0)</f>
        <v>3</v>
      </c>
      <c r="H13" s="1">
        <f>IFERROR(__xludf.DUMMYFUNCTION("""COMPUTED_VALUE"""),1.0)</f>
        <v>1</v>
      </c>
      <c r="K13" s="1" t="s">
        <v>52</v>
      </c>
      <c r="L13" s="1">
        <v>1978.0</v>
      </c>
      <c r="M13" s="1" t="s">
        <v>53</v>
      </c>
      <c r="N13" s="1" t="s">
        <v>54</v>
      </c>
      <c r="O13" s="1" t="s">
        <v>50</v>
      </c>
      <c r="P13" s="1" t="s">
        <v>21</v>
      </c>
    </row>
    <row r="14">
      <c r="A14" s="1" t="s">
        <v>57</v>
      </c>
      <c r="B14" s="1">
        <v>1986.0</v>
      </c>
      <c r="C14" s="1" t="s">
        <v>58</v>
      </c>
      <c r="D14" s="1" t="s">
        <v>28</v>
      </c>
      <c r="E14" s="1" t="s">
        <v>41</v>
      </c>
      <c r="F14" s="1" t="s">
        <v>33</v>
      </c>
      <c r="G14" s="1">
        <f>IFERROR(__xludf.DUMMYFUNCTION("split(D14,""–"")"),3.0)</f>
        <v>3</v>
      </c>
      <c r="H14" s="1">
        <f>IFERROR(__xludf.DUMMYFUNCTION("""COMPUTED_VALUE"""),2.0)</f>
        <v>2</v>
      </c>
      <c r="K14" s="1" t="s">
        <v>55</v>
      </c>
      <c r="L14" s="1">
        <v>1982.0</v>
      </c>
      <c r="M14" s="1" t="s">
        <v>56</v>
      </c>
      <c r="N14" s="1" t="s">
        <v>36</v>
      </c>
      <c r="O14" s="1" t="s">
        <v>41</v>
      </c>
      <c r="P14" s="1" t="s">
        <v>51</v>
      </c>
    </row>
    <row r="15">
      <c r="A15" s="1" t="s">
        <v>59</v>
      </c>
      <c r="B15" s="1">
        <v>1990.0</v>
      </c>
      <c r="C15" s="1" t="s">
        <v>60</v>
      </c>
      <c r="D15" s="1" t="s">
        <v>61</v>
      </c>
      <c r="E15" s="1" t="s">
        <v>11</v>
      </c>
      <c r="F15" s="1" t="s">
        <v>46</v>
      </c>
      <c r="G15" s="1">
        <f>IFERROR(__xludf.DUMMYFUNCTION("split(D15,""–"")"),1.0)</f>
        <v>1</v>
      </c>
      <c r="H15" s="1">
        <f>IFERROR(__xludf.DUMMYFUNCTION("""COMPUTED_VALUE"""),0.0)</f>
        <v>0</v>
      </c>
      <c r="K15" s="1" t="s">
        <v>57</v>
      </c>
      <c r="L15" s="1">
        <v>1986.0</v>
      </c>
      <c r="M15" s="1" t="s">
        <v>58</v>
      </c>
      <c r="N15" s="1" t="s">
        <v>28</v>
      </c>
      <c r="O15" s="1" t="s">
        <v>41</v>
      </c>
      <c r="P15" s="1" t="s">
        <v>33</v>
      </c>
    </row>
    <row r="16">
      <c r="A16" s="1" t="s">
        <v>62</v>
      </c>
      <c r="B16" s="1">
        <v>1994.0</v>
      </c>
      <c r="C16" s="1" t="s">
        <v>63</v>
      </c>
      <c r="D16" s="1" t="s">
        <v>64</v>
      </c>
      <c r="E16" s="1" t="s">
        <v>46</v>
      </c>
      <c r="F16" s="1" t="s">
        <v>25</v>
      </c>
      <c r="G16" s="1">
        <f>IFERROR(__xludf.DUMMYFUNCTION("split(D16,""–"")"),0.0)</f>
        <v>0</v>
      </c>
      <c r="H16" s="1" t="str">
        <f>IFERROR(__xludf.DUMMYFUNCTION("""COMPUTED_VALUE""")," 0 (3-2)")</f>
        <v> 0 (3-2)</v>
      </c>
      <c r="K16" s="1" t="s">
        <v>59</v>
      </c>
      <c r="L16" s="1">
        <v>1990.0</v>
      </c>
      <c r="M16" s="1" t="s">
        <v>60</v>
      </c>
      <c r="N16" s="1" t="s">
        <v>61</v>
      </c>
      <c r="O16" s="1" t="s">
        <v>11</v>
      </c>
      <c r="P16" s="1" t="s">
        <v>46</v>
      </c>
    </row>
    <row r="17">
      <c r="A17" s="1" t="s">
        <v>65</v>
      </c>
      <c r="B17" s="1">
        <v>1998.0</v>
      </c>
      <c r="C17" s="1" t="s">
        <v>66</v>
      </c>
      <c r="D17" s="1" t="s">
        <v>67</v>
      </c>
      <c r="E17" s="1" t="s">
        <v>21</v>
      </c>
      <c r="F17" s="1" t="s">
        <v>68</v>
      </c>
      <c r="G17" s="1">
        <f>IFERROR(__xludf.DUMMYFUNCTION("split(D17,""–"")"),3.0)</f>
        <v>3</v>
      </c>
      <c r="H17" s="1">
        <f>IFERROR(__xludf.DUMMYFUNCTION("""COMPUTED_VALUE"""),0.0)</f>
        <v>0</v>
      </c>
      <c r="K17" s="1" t="s">
        <v>62</v>
      </c>
      <c r="L17" s="1">
        <v>1994.0</v>
      </c>
      <c r="M17" s="1" t="s">
        <v>63</v>
      </c>
      <c r="N17" s="1" t="s">
        <v>64</v>
      </c>
      <c r="O17" s="1" t="s">
        <v>46</v>
      </c>
      <c r="P17" s="1" t="s">
        <v>25</v>
      </c>
    </row>
    <row r="18">
      <c r="A18" s="1" t="s">
        <v>69</v>
      </c>
      <c r="B18" s="1">
        <v>2002.0</v>
      </c>
      <c r="C18" s="1" t="s">
        <v>70</v>
      </c>
      <c r="D18" s="1" t="s">
        <v>71</v>
      </c>
      <c r="E18" s="1" t="s">
        <v>72</v>
      </c>
      <c r="F18" s="1" t="s">
        <v>73</v>
      </c>
      <c r="G18" s="1">
        <f>IFERROR(__xludf.DUMMYFUNCTION("split(D18,""–"")"),2.0)</f>
        <v>2</v>
      </c>
      <c r="H18" s="1">
        <f>IFERROR(__xludf.DUMMYFUNCTION("""COMPUTED_VALUE"""),0.0)</f>
        <v>0</v>
      </c>
      <c r="K18" s="1" t="s">
        <v>65</v>
      </c>
      <c r="L18" s="1">
        <v>1998.0</v>
      </c>
      <c r="M18" s="1" t="s">
        <v>66</v>
      </c>
      <c r="N18" s="1" t="s">
        <v>67</v>
      </c>
      <c r="O18" s="1" t="s">
        <v>21</v>
      </c>
      <c r="P18" s="1" t="s">
        <v>68</v>
      </c>
    </row>
    <row r="19">
      <c r="A19" s="1" t="s">
        <v>74</v>
      </c>
      <c r="B19" s="1">
        <v>2006.0</v>
      </c>
      <c r="C19" s="1" t="s">
        <v>75</v>
      </c>
      <c r="D19" s="1" t="s">
        <v>76</v>
      </c>
      <c r="E19" s="1" t="s">
        <v>33</v>
      </c>
      <c r="F19" s="1" t="s">
        <v>72</v>
      </c>
      <c r="G19" s="1">
        <f>IFERROR(__xludf.DUMMYFUNCTION("split(D19,""–"")"),1.0)</f>
        <v>1</v>
      </c>
      <c r="H19" s="1" t="str">
        <f>IFERROR(__xludf.DUMMYFUNCTION("""COMPUTED_VALUE""")," 1 (5-3)")</f>
        <v> 1 (5-3)</v>
      </c>
      <c r="K19" s="1" t="s">
        <v>69</v>
      </c>
      <c r="L19" s="1">
        <v>2002.0</v>
      </c>
      <c r="M19" s="1" t="s">
        <v>70</v>
      </c>
      <c r="N19" s="1" t="s">
        <v>71</v>
      </c>
      <c r="O19" s="1" t="s">
        <v>72</v>
      </c>
      <c r="P19" s="1" t="s">
        <v>73</v>
      </c>
    </row>
    <row r="20">
      <c r="A20" s="1" t="s">
        <v>77</v>
      </c>
      <c r="B20" s="1">
        <v>2010.0</v>
      </c>
      <c r="C20" s="1" t="s">
        <v>78</v>
      </c>
      <c r="D20" s="1" t="s">
        <v>79</v>
      </c>
      <c r="E20" s="1" t="s">
        <v>50</v>
      </c>
      <c r="F20" s="1" t="s">
        <v>72</v>
      </c>
      <c r="G20" s="1">
        <f>IFERROR(__xludf.DUMMYFUNCTION("split(D20,""–"")"),1.0)</f>
        <v>1</v>
      </c>
      <c r="H20" s="1" t="str">
        <f>IFERROR(__xludf.DUMMYFUNCTION("""COMPUTED_VALUE""")," 0 (ap)")</f>
        <v> 0 (ap)</v>
      </c>
      <c r="K20" s="1" t="s">
        <v>74</v>
      </c>
      <c r="L20" s="1">
        <v>2006.0</v>
      </c>
      <c r="M20" s="1" t="s">
        <v>75</v>
      </c>
      <c r="N20" s="1" t="s">
        <v>76</v>
      </c>
      <c r="O20" s="1" t="s">
        <v>33</v>
      </c>
      <c r="P20" s="1" t="s">
        <v>72</v>
      </c>
    </row>
    <row r="21">
      <c r="A21" s="1" t="s">
        <v>80</v>
      </c>
      <c r="B21" s="1">
        <v>2014.0</v>
      </c>
      <c r="C21" s="1" t="s">
        <v>81</v>
      </c>
      <c r="D21" s="1" t="s">
        <v>79</v>
      </c>
      <c r="E21" s="1" t="s">
        <v>11</v>
      </c>
      <c r="F21" s="1" t="s">
        <v>50</v>
      </c>
      <c r="G21" s="1">
        <f>IFERROR(__xludf.DUMMYFUNCTION("split(D21,""–"")"),1.0)</f>
        <v>1</v>
      </c>
      <c r="H21" s="1" t="str">
        <f>IFERROR(__xludf.DUMMYFUNCTION("""COMPUTED_VALUE""")," 0 (ap)")</f>
        <v> 0 (ap)</v>
      </c>
      <c r="K21" s="1" t="s">
        <v>77</v>
      </c>
      <c r="L21" s="1">
        <v>2010.0</v>
      </c>
      <c r="M21" s="1" t="s">
        <v>78</v>
      </c>
      <c r="N21" s="1" t="s">
        <v>79</v>
      </c>
      <c r="O21" s="1" t="s">
        <v>50</v>
      </c>
      <c r="P21" s="1" t="s">
        <v>72</v>
      </c>
    </row>
    <row r="22">
      <c r="A22" s="1" t="s">
        <v>82</v>
      </c>
      <c r="B22" s="1">
        <v>2018.0</v>
      </c>
      <c r="C22" s="1" t="s">
        <v>83</v>
      </c>
      <c r="D22" s="1" t="s">
        <v>10</v>
      </c>
      <c r="E22" s="1" t="s">
        <v>68</v>
      </c>
      <c r="F22" s="1" t="s">
        <v>84</v>
      </c>
      <c r="G22" s="1">
        <f>IFERROR(__xludf.DUMMYFUNCTION("split(D22,""–"")"),4.0)</f>
        <v>4</v>
      </c>
      <c r="H22" s="1">
        <f>IFERROR(__xludf.DUMMYFUNCTION("""COMPUTED_VALUE"""),2.0)</f>
        <v>2</v>
      </c>
      <c r="K22" s="1" t="s">
        <v>80</v>
      </c>
      <c r="L22" s="1">
        <v>2014.0</v>
      </c>
      <c r="M22" s="1" t="s">
        <v>81</v>
      </c>
      <c r="N22" s="1" t="s">
        <v>79</v>
      </c>
      <c r="O22" s="1" t="s">
        <v>11</v>
      </c>
      <c r="P22" s="1" t="s">
        <v>50</v>
      </c>
    </row>
    <row r="23">
      <c r="A23" s="1" t="s">
        <v>85</v>
      </c>
      <c r="B23" s="1">
        <v>2022.0</v>
      </c>
      <c r="K23" s="1" t="s">
        <v>82</v>
      </c>
      <c r="L23" s="1">
        <v>2018.0</v>
      </c>
      <c r="M23" s="1" t="s">
        <v>83</v>
      </c>
      <c r="N23" s="1" t="s">
        <v>10</v>
      </c>
      <c r="O23" s="1" t="s">
        <v>68</v>
      </c>
      <c r="P23" s="1" t="s">
        <v>84</v>
      </c>
    </row>
    <row r="24">
      <c r="A24" s="1" t="s">
        <v>86</v>
      </c>
      <c r="B24" s="1">
        <v>2026.0</v>
      </c>
      <c r="K24" s="1" t="s">
        <v>85</v>
      </c>
      <c r="L24" s="1">
        <v>2022.0</v>
      </c>
    </row>
    <row r="25">
      <c r="K25" s="1" t="s">
        <v>86</v>
      </c>
      <c r="L25" s="1">
        <v>2026.0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4</v>
      </c>
      <c r="D1" s="1" t="s">
        <v>5</v>
      </c>
      <c r="E1" s="1" t="s">
        <v>3</v>
      </c>
    </row>
    <row r="2">
      <c r="A2" s="1">
        <v>1930.0</v>
      </c>
      <c r="B2" s="1" t="s">
        <v>9</v>
      </c>
      <c r="C2" s="1" t="s">
        <v>11</v>
      </c>
      <c r="D2" s="1" t="s">
        <v>12</v>
      </c>
      <c r="E2" s="1" t="s">
        <v>10</v>
      </c>
    </row>
    <row r="3">
      <c r="A3" s="1">
        <v>1934.0</v>
      </c>
      <c r="B3" s="1" t="s">
        <v>14</v>
      </c>
      <c r="C3" s="1" t="s">
        <v>16</v>
      </c>
      <c r="D3" s="1" t="s">
        <v>17</v>
      </c>
      <c r="E3" s="1" t="s">
        <v>15</v>
      </c>
    </row>
    <row r="4">
      <c r="A4" s="1">
        <v>1938.0</v>
      </c>
      <c r="B4" s="1" t="s">
        <v>19</v>
      </c>
      <c r="C4" s="1" t="s">
        <v>20</v>
      </c>
      <c r="D4" s="1" t="s">
        <v>21</v>
      </c>
      <c r="E4" s="1" t="s">
        <v>10</v>
      </c>
    </row>
    <row r="5">
      <c r="A5" s="1">
        <v>1950.0</v>
      </c>
      <c r="B5" s="1" t="s">
        <v>23</v>
      </c>
      <c r="C5" s="1" t="s">
        <v>21</v>
      </c>
      <c r="D5" s="1" t="s">
        <v>25</v>
      </c>
      <c r="E5" s="1" t="s">
        <v>24</v>
      </c>
    </row>
    <row r="6">
      <c r="A6" s="1">
        <v>1954.0</v>
      </c>
      <c r="B6" s="1" t="s">
        <v>27</v>
      </c>
      <c r="C6" s="1" t="s">
        <v>20</v>
      </c>
      <c r="D6" s="1" t="s">
        <v>29</v>
      </c>
      <c r="E6" s="1" t="s">
        <v>28</v>
      </c>
    </row>
    <row r="7">
      <c r="A7" s="1">
        <v>1958.0</v>
      </c>
      <c r="B7" s="1" t="s">
        <v>31</v>
      </c>
      <c r="C7" s="1" t="s">
        <v>25</v>
      </c>
      <c r="D7" s="1" t="s">
        <v>33</v>
      </c>
      <c r="E7" s="1" t="s">
        <v>32</v>
      </c>
    </row>
    <row r="8">
      <c r="A8" s="1">
        <v>1962.0</v>
      </c>
      <c r="B8" s="1" t="s">
        <v>35</v>
      </c>
      <c r="C8" s="1" t="s">
        <v>16</v>
      </c>
      <c r="D8" s="1" t="s">
        <v>37</v>
      </c>
      <c r="E8" s="1" t="s">
        <v>36</v>
      </c>
    </row>
    <row r="9">
      <c r="A9" s="1">
        <v>1966.0</v>
      </c>
      <c r="B9" s="1" t="s">
        <v>39</v>
      </c>
      <c r="C9" s="1" t="s">
        <v>41</v>
      </c>
      <c r="D9" s="1" t="s">
        <v>42</v>
      </c>
      <c r="E9" s="1" t="s">
        <v>40</v>
      </c>
    </row>
    <row r="10">
      <c r="A10" s="1">
        <v>1970.0</v>
      </c>
      <c r="B10" s="1" t="s">
        <v>44</v>
      </c>
      <c r="C10" s="1" t="s">
        <v>46</v>
      </c>
      <c r="D10" s="1" t="s">
        <v>41</v>
      </c>
      <c r="E10" s="1" t="s">
        <v>45</v>
      </c>
    </row>
    <row r="11">
      <c r="A11" s="1">
        <v>1974.0</v>
      </c>
      <c r="B11" s="1" t="s">
        <v>48</v>
      </c>
      <c r="C11" s="1" t="s">
        <v>50</v>
      </c>
      <c r="D11" s="1" t="s">
        <v>51</v>
      </c>
      <c r="E11" s="1" t="s">
        <v>49</v>
      </c>
    </row>
    <row r="12">
      <c r="A12" s="1">
        <v>1978.0</v>
      </c>
      <c r="B12" s="1" t="s">
        <v>53</v>
      </c>
      <c r="C12" s="1" t="s">
        <v>50</v>
      </c>
      <c r="D12" s="1" t="s">
        <v>21</v>
      </c>
      <c r="E12" s="1" t="s">
        <v>54</v>
      </c>
    </row>
    <row r="13">
      <c r="A13" s="1">
        <v>1982.0</v>
      </c>
      <c r="B13" s="1" t="s">
        <v>56</v>
      </c>
      <c r="C13" s="1" t="s">
        <v>41</v>
      </c>
      <c r="D13" s="1" t="s">
        <v>51</v>
      </c>
      <c r="E13" s="1" t="s">
        <v>36</v>
      </c>
    </row>
    <row r="14">
      <c r="A14" s="1">
        <v>1986.0</v>
      </c>
      <c r="B14" s="1" t="s">
        <v>58</v>
      </c>
      <c r="C14" s="1" t="s">
        <v>41</v>
      </c>
      <c r="D14" s="1" t="s">
        <v>33</v>
      </c>
      <c r="E14" s="1" t="s">
        <v>28</v>
      </c>
    </row>
    <row r="15">
      <c r="A15" s="1">
        <v>1990.0</v>
      </c>
      <c r="B15" s="1" t="s">
        <v>60</v>
      </c>
      <c r="C15" s="1" t="s">
        <v>11</v>
      </c>
      <c r="D15" s="1" t="s">
        <v>46</v>
      </c>
      <c r="E15" s="1" t="s">
        <v>61</v>
      </c>
    </row>
    <row r="16">
      <c r="A16" s="1">
        <v>1994.0</v>
      </c>
      <c r="B16" s="1" t="s">
        <v>63</v>
      </c>
      <c r="C16" s="1" t="s">
        <v>46</v>
      </c>
      <c r="D16" s="1" t="s">
        <v>25</v>
      </c>
      <c r="E16" s="1" t="s">
        <v>64</v>
      </c>
    </row>
    <row r="17">
      <c r="A17" s="1">
        <v>1998.0</v>
      </c>
      <c r="B17" s="1" t="s">
        <v>66</v>
      </c>
      <c r="C17" s="1" t="s">
        <v>21</v>
      </c>
      <c r="D17" s="1" t="s">
        <v>68</v>
      </c>
      <c r="E17" s="1" t="s">
        <v>67</v>
      </c>
    </row>
    <row r="18">
      <c r="A18" s="1">
        <v>2002.0</v>
      </c>
      <c r="B18" s="1" t="s">
        <v>70</v>
      </c>
      <c r="C18" s="1" t="s">
        <v>72</v>
      </c>
      <c r="D18" s="1" t="s">
        <v>73</v>
      </c>
      <c r="E18" s="1" t="s">
        <v>71</v>
      </c>
    </row>
    <row r="19">
      <c r="A19" s="1">
        <v>2006.0</v>
      </c>
      <c r="B19" s="1" t="s">
        <v>75</v>
      </c>
      <c r="C19" s="1" t="s">
        <v>33</v>
      </c>
      <c r="D19" s="1" t="s">
        <v>72</v>
      </c>
      <c r="E19" s="1" t="s">
        <v>76</v>
      </c>
    </row>
    <row r="20">
      <c r="A20" s="1">
        <v>2010.0</v>
      </c>
      <c r="B20" s="1" t="s">
        <v>78</v>
      </c>
      <c r="C20" s="1" t="s">
        <v>50</v>
      </c>
      <c r="D20" s="1" t="s">
        <v>72</v>
      </c>
      <c r="E20" s="1" t="s">
        <v>79</v>
      </c>
    </row>
    <row r="21">
      <c r="A21" s="1">
        <v>2014.0</v>
      </c>
      <c r="B21" s="1" t="s">
        <v>81</v>
      </c>
      <c r="C21" s="1" t="s">
        <v>11</v>
      </c>
      <c r="D21" s="1" t="s">
        <v>50</v>
      </c>
      <c r="E21" s="1" t="s">
        <v>79</v>
      </c>
    </row>
    <row r="22">
      <c r="A22" s="1">
        <v>2018.0</v>
      </c>
      <c r="B22" s="1" t="s">
        <v>83</v>
      </c>
      <c r="C22" s="1" t="s">
        <v>68</v>
      </c>
      <c r="D22" s="1" t="s">
        <v>84</v>
      </c>
      <c r="E22" s="1" t="s">
        <v>10</v>
      </c>
    </row>
    <row r="23">
      <c r="A23" s="1">
        <v>2022.0</v>
      </c>
    </row>
    <row r="24">
      <c r="A24" s="1">
        <v>2026.0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4</v>
      </c>
      <c r="D1" s="1" t="s">
        <v>5</v>
      </c>
      <c r="E1" s="1" t="s">
        <v>3</v>
      </c>
    </row>
    <row r="2">
      <c r="A2" s="1">
        <v>1930.0</v>
      </c>
      <c r="B2" s="1" t="s">
        <v>9</v>
      </c>
      <c r="C2" s="1" t="s">
        <v>11</v>
      </c>
      <c r="D2" s="1" t="s">
        <v>12</v>
      </c>
      <c r="E2" s="1" t="s">
        <v>10</v>
      </c>
      <c r="F2" s="1" t="str">
        <f>IF(SEARCH("ap",E2),SUBSTITUTE(E2,"(ap)",""),"test")</f>
        <v>#VALUE!</v>
      </c>
    </row>
    <row r="3">
      <c r="A3" s="1">
        <v>1934.0</v>
      </c>
      <c r="B3" s="1" t="s">
        <v>14</v>
      </c>
      <c r="C3" s="1" t="s">
        <v>16</v>
      </c>
      <c r="D3" s="1" t="s">
        <v>17</v>
      </c>
      <c r="E3" s="1" t="s">
        <v>15</v>
      </c>
      <c r="F3" s="1" t="str">
        <f>IF(SEARCH("ap",E3),SUBSTITUTE(E3,"(ap)",""),"")</f>
        <v>2 – 1 </v>
      </c>
    </row>
    <row r="4">
      <c r="A4" s="1">
        <v>1938.0</v>
      </c>
      <c r="B4" s="1" t="s">
        <v>19</v>
      </c>
      <c r="C4" s="1" t="s">
        <v>20</v>
      </c>
      <c r="D4" s="1" t="s">
        <v>21</v>
      </c>
      <c r="E4" s="1" t="s">
        <v>10</v>
      </c>
      <c r="F4" s="1">
        <f>IFERROR(__xludf.DUMMYFUNCTION("SPLIT(E4,""–"")"),4.0)</f>
        <v>4</v>
      </c>
      <c r="G4" s="1">
        <f>IFERROR(__xludf.DUMMYFUNCTION("""COMPUTED_VALUE"""),2.0)</f>
        <v>2</v>
      </c>
    </row>
    <row r="5">
      <c r="A5" s="1">
        <v>1950.0</v>
      </c>
      <c r="B5" s="1" t="s">
        <v>23</v>
      </c>
      <c r="C5" s="1" t="s">
        <v>21</v>
      </c>
      <c r="D5" s="1" t="s">
        <v>25</v>
      </c>
      <c r="E5" s="1" t="s">
        <v>24</v>
      </c>
      <c r="F5" s="1" t="str">
        <f>IFERROR(__xludf.DUMMYFUNCTION("SPLIT(E5,""–"")"),"*2 - 1*[f]")</f>
        <v>*2 - 1*[f]</v>
      </c>
    </row>
    <row r="6">
      <c r="A6" s="1">
        <v>1954.0</v>
      </c>
      <c r="B6" s="1" t="s">
        <v>27</v>
      </c>
      <c r="C6" s="1" t="s">
        <v>20</v>
      </c>
      <c r="D6" s="1" t="s">
        <v>29</v>
      </c>
      <c r="E6" s="1" t="s">
        <v>28</v>
      </c>
      <c r="F6" s="1">
        <f>IFERROR(__xludf.DUMMYFUNCTION("SPLIT(E6,""–"")"),3.0)</f>
        <v>3</v>
      </c>
      <c r="G6" s="1">
        <f>IFERROR(__xludf.DUMMYFUNCTION("""COMPUTED_VALUE"""),2.0)</f>
        <v>2</v>
      </c>
    </row>
    <row r="7">
      <c r="A7" s="1">
        <v>1958.0</v>
      </c>
      <c r="B7" s="1" t="s">
        <v>31</v>
      </c>
      <c r="C7" s="1" t="s">
        <v>25</v>
      </c>
      <c r="D7" s="1" t="s">
        <v>33</v>
      </c>
      <c r="E7" s="1" t="s">
        <v>32</v>
      </c>
      <c r="F7" s="1">
        <f>IFERROR(__xludf.DUMMYFUNCTION("SPLIT(E7,""–"")"),5.0)</f>
        <v>5</v>
      </c>
      <c r="G7" s="1">
        <f>IFERROR(__xludf.DUMMYFUNCTION("""COMPUTED_VALUE"""),2.0)</f>
        <v>2</v>
      </c>
    </row>
    <row r="8">
      <c r="A8" s="1">
        <v>1962.0</v>
      </c>
      <c r="B8" s="1" t="s">
        <v>35</v>
      </c>
      <c r="C8" s="1" t="s">
        <v>16</v>
      </c>
      <c r="D8" s="1" t="s">
        <v>37</v>
      </c>
      <c r="E8" s="1" t="s">
        <v>36</v>
      </c>
      <c r="F8" s="1">
        <f>IFERROR(__xludf.DUMMYFUNCTION("SPLIT(E8,""–"")"),3.0)</f>
        <v>3</v>
      </c>
      <c r="G8" s="1">
        <f>IFERROR(__xludf.DUMMYFUNCTION("""COMPUTED_VALUE"""),1.0)</f>
        <v>1</v>
      </c>
    </row>
    <row r="9">
      <c r="A9" s="1">
        <v>1966.0</v>
      </c>
      <c r="B9" s="1" t="s">
        <v>39</v>
      </c>
      <c r="C9" s="1" t="s">
        <v>41</v>
      </c>
      <c r="D9" s="1" t="s">
        <v>42</v>
      </c>
      <c r="E9" s="1" t="s">
        <v>40</v>
      </c>
      <c r="F9" s="1">
        <f>IFERROR(__xludf.DUMMYFUNCTION("SPLIT(E9,""–"")"),4.0)</f>
        <v>4</v>
      </c>
      <c r="G9" s="1" t="str">
        <f>IFERROR(__xludf.DUMMYFUNCTION("""COMPUTED_VALUE""")," 2 (ap)")</f>
        <v> 2 (ap)</v>
      </c>
    </row>
    <row r="10">
      <c r="A10" s="1">
        <v>1970.0</v>
      </c>
      <c r="B10" s="1" t="s">
        <v>44</v>
      </c>
      <c r="C10" s="1" t="s">
        <v>46</v>
      </c>
      <c r="D10" s="1" t="s">
        <v>41</v>
      </c>
      <c r="E10" s="1" t="s">
        <v>45</v>
      </c>
      <c r="F10" s="1">
        <f>IFERROR(__xludf.DUMMYFUNCTION("SPLIT(E10,""–"")"),4.0)</f>
        <v>4</v>
      </c>
      <c r="G10" s="1">
        <f>IFERROR(__xludf.DUMMYFUNCTION("""COMPUTED_VALUE"""),1.0)</f>
        <v>1</v>
      </c>
    </row>
    <row r="11">
      <c r="A11" s="1">
        <v>1974.0</v>
      </c>
      <c r="B11" s="1" t="s">
        <v>48</v>
      </c>
      <c r="C11" s="1" t="s">
        <v>50</v>
      </c>
      <c r="D11" s="1" t="s">
        <v>51</v>
      </c>
      <c r="E11" s="1" t="s">
        <v>49</v>
      </c>
      <c r="F11" s="1">
        <f>IFERROR(__xludf.DUMMYFUNCTION("SPLIT(E11,""–"")"),2.0)</f>
        <v>2</v>
      </c>
      <c r="G11" s="1">
        <f>IFERROR(__xludf.DUMMYFUNCTION("""COMPUTED_VALUE"""),1.0)</f>
        <v>1</v>
      </c>
    </row>
    <row r="12">
      <c r="A12" s="1">
        <v>1978.0</v>
      </c>
      <c r="B12" s="1" t="s">
        <v>53</v>
      </c>
      <c r="C12" s="1" t="s">
        <v>50</v>
      </c>
      <c r="D12" s="1" t="s">
        <v>21</v>
      </c>
      <c r="E12" s="1" t="s">
        <v>54</v>
      </c>
      <c r="F12" s="1">
        <f>IFERROR(__xludf.DUMMYFUNCTION("SPLIT(E12,""–"")"),3.0)</f>
        <v>3</v>
      </c>
      <c r="G12" s="1" t="str">
        <f>IFERROR(__xludf.DUMMYFUNCTION("""COMPUTED_VALUE""")," 1 (ap)")</f>
        <v> 1 (ap)</v>
      </c>
    </row>
    <row r="13">
      <c r="A13" s="1">
        <v>1982.0</v>
      </c>
      <c r="B13" s="1" t="s">
        <v>56</v>
      </c>
      <c r="C13" s="1" t="s">
        <v>41</v>
      </c>
      <c r="D13" s="1" t="s">
        <v>51</v>
      </c>
      <c r="E13" s="1" t="s">
        <v>36</v>
      </c>
      <c r="F13" s="1">
        <f>IFERROR(__xludf.DUMMYFUNCTION("SPLIT(E13,""–"")"),3.0)</f>
        <v>3</v>
      </c>
      <c r="G13" s="1">
        <f>IFERROR(__xludf.DUMMYFUNCTION("""COMPUTED_VALUE"""),1.0)</f>
        <v>1</v>
      </c>
    </row>
    <row r="14">
      <c r="A14" s="1">
        <v>1986.0</v>
      </c>
      <c r="B14" s="1" t="s">
        <v>58</v>
      </c>
      <c r="C14" s="1" t="s">
        <v>41</v>
      </c>
      <c r="D14" s="1" t="s">
        <v>33</v>
      </c>
      <c r="E14" s="1" t="s">
        <v>28</v>
      </c>
      <c r="F14" s="1">
        <f>IFERROR(__xludf.DUMMYFUNCTION("SPLIT(E14,""–"")"),3.0)</f>
        <v>3</v>
      </c>
      <c r="G14" s="1">
        <f>IFERROR(__xludf.DUMMYFUNCTION("""COMPUTED_VALUE"""),2.0)</f>
        <v>2</v>
      </c>
    </row>
    <row r="15">
      <c r="A15" s="1">
        <v>1990.0</v>
      </c>
      <c r="B15" s="1" t="s">
        <v>60</v>
      </c>
      <c r="C15" s="1" t="s">
        <v>11</v>
      </c>
      <c r="D15" s="1" t="s">
        <v>46</v>
      </c>
      <c r="E15" s="1" t="s">
        <v>61</v>
      </c>
      <c r="F15" s="1">
        <f>IFERROR(__xludf.DUMMYFUNCTION("SPLIT(E15,""–"")"),1.0)</f>
        <v>1</v>
      </c>
      <c r="G15" s="1">
        <f>IFERROR(__xludf.DUMMYFUNCTION("""COMPUTED_VALUE"""),0.0)</f>
        <v>0</v>
      </c>
    </row>
    <row r="16">
      <c r="A16" s="1">
        <v>1994.0</v>
      </c>
      <c r="B16" s="1" t="s">
        <v>63</v>
      </c>
      <c r="C16" s="1" t="s">
        <v>46</v>
      </c>
      <c r="D16" s="1" t="s">
        <v>25</v>
      </c>
      <c r="E16" s="1" t="s">
        <v>64</v>
      </c>
      <c r="F16" s="1">
        <f>IFERROR(__xludf.DUMMYFUNCTION("SPLIT(E16,""–"")"),0.0)</f>
        <v>0</v>
      </c>
      <c r="G16" s="1" t="str">
        <f>IFERROR(__xludf.DUMMYFUNCTION("""COMPUTED_VALUE""")," 0 (3-2)")</f>
        <v> 0 (3-2)</v>
      </c>
    </row>
    <row r="17">
      <c r="A17" s="1">
        <v>1998.0</v>
      </c>
      <c r="B17" s="1" t="s">
        <v>66</v>
      </c>
      <c r="C17" s="1" t="s">
        <v>21</v>
      </c>
      <c r="D17" s="1" t="s">
        <v>68</v>
      </c>
      <c r="E17" s="1" t="s">
        <v>67</v>
      </c>
      <c r="F17" s="1">
        <f>IFERROR(__xludf.DUMMYFUNCTION("SPLIT(E17,""–"")"),3.0)</f>
        <v>3</v>
      </c>
      <c r="G17" s="1">
        <f>IFERROR(__xludf.DUMMYFUNCTION("""COMPUTED_VALUE"""),0.0)</f>
        <v>0</v>
      </c>
    </row>
    <row r="18">
      <c r="A18" s="1">
        <v>2002.0</v>
      </c>
      <c r="B18" s="1" t="s">
        <v>70</v>
      </c>
      <c r="C18" s="1" t="s">
        <v>72</v>
      </c>
      <c r="D18" s="1" t="s">
        <v>73</v>
      </c>
      <c r="E18" s="1" t="s">
        <v>71</v>
      </c>
      <c r="F18" s="1">
        <f>IFERROR(__xludf.DUMMYFUNCTION("SPLIT(E18,""–"")"),2.0)</f>
        <v>2</v>
      </c>
      <c r="G18" s="1">
        <f>IFERROR(__xludf.DUMMYFUNCTION("""COMPUTED_VALUE"""),0.0)</f>
        <v>0</v>
      </c>
    </row>
    <row r="19">
      <c r="A19" s="1">
        <v>2006.0</v>
      </c>
      <c r="B19" s="1" t="s">
        <v>75</v>
      </c>
      <c r="C19" s="1" t="s">
        <v>33</v>
      </c>
      <c r="D19" s="1" t="s">
        <v>72</v>
      </c>
      <c r="E19" s="1" t="s">
        <v>76</v>
      </c>
      <c r="F19" s="1">
        <f>IFERROR(__xludf.DUMMYFUNCTION("SPLIT(E19,""–"")"),1.0)</f>
        <v>1</v>
      </c>
      <c r="G19" s="1" t="str">
        <f>IFERROR(__xludf.DUMMYFUNCTION("""COMPUTED_VALUE""")," 1 (5-3)")</f>
        <v> 1 (5-3)</v>
      </c>
    </row>
    <row r="20">
      <c r="A20" s="1">
        <v>2010.0</v>
      </c>
      <c r="B20" s="1" t="s">
        <v>78</v>
      </c>
      <c r="C20" s="1" t="s">
        <v>50</v>
      </c>
      <c r="D20" s="1" t="s">
        <v>72</v>
      </c>
      <c r="E20" s="1" t="s">
        <v>79</v>
      </c>
      <c r="F20" s="1">
        <f>IFERROR(__xludf.DUMMYFUNCTION("SPLIT(E20,""–"")"),1.0)</f>
        <v>1</v>
      </c>
      <c r="G20" s="1" t="str">
        <f>IFERROR(__xludf.DUMMYFUNCTION("""COMPUTED_VALUE""")," 0 (ap)")</f>
        <v> 0 (ap)</v>
      </c>
    </row>
    <row r="21">
      <c r="A21" s="1">
        <v>2014.0</v>
      </c>
      <c r="B21" s="1" t="s">
        <v>81</v>
      </c>
      <c r="C21" s="1" t="s">
        <v>11</v>
      </c>
      <c r="D21" s="1" t="s">
        <v>50</v>
      </c>
      <c r="E21" s="1" t="s">
        <v>79</v>
      </c>
      <c r="F21" s="1">
        <f>IFERROR(__xludf.DUMMYFUNCTION("SPLIT(E21,""–"")"),1.0)</f>
        <v>1</v>
      </c>
      <c r="G21" s="1" t="str">
        <f>IFERROR(__xludf.DUMMYFUNCTION("""COMPUTED_VALUE""")," 0 (ap)")</f>
        <v> 0 (ap)</v>
      </c>
    </row>
    <row r="22">
      <c r="A22" s="1">
        <v>2018.0</v>
      </c>
      <c r="B22" s="1" t="s">
        <v>83</v>
      </c>
      <c r="C22" s="1" t="s">
        <v>68</v>
      </c>
      <c r="D22" s="1" t="s">
        <v>84</v>
      </c>
      <c r="E22" s="1" t="s">
        <v>10</v>
      </c>
      <c r="F22" s="1">
        <f>IFERROR(__xludf.DUMMYFUNCTION("SPLIT(E22,""–"")"),4.0)</f>
        <v>4</v>
      </c>
      <c r="G22" s="1">
        <f>IFERROR(__xludf.DUMMYFUNCTION("""COMPUTED_VALUE"""),2.0)</f>
        <v>2</v>
      </c>
    </row>
    <row r="23">
      <c r="A23" s="1">
        <v>2022.0</v>
      </c>
    </row>
    <row r="24">
      <c r="A24" s="1">
        <v>2026.0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3" max="3" width="35.13"/>
    <col customWidth="1" min="4" max="4" width="23.88"/>
  </cols>
  <sheetData>
    <row r="1">
      <c r="A1" s="2"/>
    </row>
    <row r="2">
      <c r="A2" s="1" t="str">
        <f>IFERROR(__xludf.DUMMYFUNCTION("IMPORTHTML(""https://www.maxifoot.fr/palmares-coupe-du-monde.htm"", ""table"")"),"Année")</f>
        <v>Année</v>
      </c>
      <c r="B2" s="1" t="str">
        <f>IFERROR(__xludf.DUMMYFUNCTION("""COMPUTED_VALUE"""),"Vainqueur / Finale")</f>
        <v>Vainqueur / Finale</v>
      </c>
      <c r="C2" s="1"/>
      <c r="D2" s="1"/>
      <c r="E2" s="1" t="str">
        <f>IFERROR(__xludf.DUMMYFUNCTION("""COMPUTED_VALUE"""),"3e place")</f>
        <v>3e place</v>
      </c>
      <c r="F2" s="1" t="str">
        <f>IFERROR(__xludf.DUMMYFUNCTION("""COMPUTED_VALUE"""),"Pays organis.")</f>
        <v>Pays organis.</v>
      </c>
    </row>
    <row r="3">
      <c r="A3" s="1">
        <f>IFERROR(__xludf.DUMMYFUNCTION("""COMPUTED_VALUE"""),2022.0)</f>
        <v>2022</v>
      </c>
      <c r="B3" s="1" t="str">
        <f>IFERROR(__xludf.DUMMYFUNCTION("""COMPUTED_VALUE"""),"*Argentine* - France")</f>
        <v>*Argentine* - France</v>
      </c>
      <c r="C3" s="1" t="str">
        <f>IFERROR(__xludf.DUMMYFUNCTION("""COMPUTED_VALUE"""),"3-3, 4 pen à 2")</f>
        <v>3-3, 4 pen à 2</v>
      </c>
      <c r="D3" s="1" t="str">
        <f>IFERROR(__xludf.DUMMYFUNCTION("""COMPUTED_VALUE"""),"à Doha,
Stade Lusail Iconic")</f>
        <v>à Doha,
Stade Lusail Iconic</v>
      </c>
      <c r="E3" s="1" t="str">
        <f>IFERROR(__xludf.DUMMYFUNCTION("""COMPUTED_VALUE"""),"Croatie")</f>
        <v>Croatie</v>
      </c>
      <c r="F3" s="1" t="str">
        <f>IFERROR(__xludf.DUMMYFUNCTION("""COMPUTED_VALUE"""),"Qatar")</f>
        <v>Qatar</v>
      </c>
    </row>
    <row r="4">
      <c r="A4" s="1">
        <f>IFERROR(__xludf.DUMMYFUNCTION("""COMPUTED_VALUE"""),2018.0)</f>
        <v>2018</v>
      </c>
      <c r="B4" s="1" t="str">
        <f>IFERROR(__xludf.DUMMYFUNCTION("""COMPUTED_VALUE"""),"*France* - Croatie")</f>
        <v>*France* - Croatie</v>
      </c>
      <c r="C4" s="3">
        <f>IFERROR(__xludf.DUMMYFUNCTION("""COMPUTED_VALUE"""),46114.0)</f>
        <v>46114</v>
      </c>
      <c r="D4" s="1" t="str">
        <f>IFERROR(__xludf.DUMMYFUNCTION("""COMPUTED_VALUE"""),"à Moscou,
Stade Loujniki")</f>
        <v>à Moscou,
Stade Loujniki</v>
      </c>
      <c r="E4" s="1" t="str">
        <f>IFERROR(__xludf.DUMMYFUNCTION("""COMPUTED_VALUE"""),"Belgique")</f>
        <v>Belgique</v>
      </c>
      <c r="F4" s="1" t="str">
        <f>IFERROR(__xludf.DUMMYFUNCTION("""COMPUTED_VALUE"""),"Russie")</f>
        <v>Russie</v>
      </c>
    </row>
    <row r="5">
      <c r="A5" s="1">
        <f>IFERROR(__xludf.DUMMYFUNCTION("""COMPUTED_VALUE"""),2014.0)</f>
        <v>2014</v>
      </c>
      <c r="B5" s="1" t="str">
        <f>IFERROR(__xludf.DUMMYFUNCTION("""COMPUTED_VALUE"""),"*Allemagne* - Argentine")</f>
        <v>*Allemagne* - Argentine</v>
      </c>
      <c r="C5" s="1" t="str">
        <f>IFERROR(__xludf.DUMMYFUNCTION("""COMPUTED_VALUE"""),"1-0 ap")</f>
        <v>1-0 ap</v>
      </c>
      <c r="D5" s="1" t="str">
        <f>IFERROR(__xludf.DUMMYFUNCTION("""COMPUTED_VALUE"""),"à Rio de Janeiro,
Stade Maracana")</f>
        <v>à Rio de Janeiro,
Stade Maracana</v>
      </c>
      <c r="E5" s="1" t="str">
        <f>IFERROR(__xludf.DUMMYFUNCTION("""COMPUTED_VALUE"""),"Pays-Bas")</f>
        <v>Pays-Bas</v>
      </c>
      <c r="F5" s="1" t="str">
        <f>IFERROR(__xludf.DUMMYFUNCTION("""COMPUTED_VALUE"""),"Brésil")</f>
        <v>Brésil</v>
      </c>
    </row>
    <row r="6">
      <c r="A6" s="1">
        <f>IFERROR(__xludf.DUMMYFUNCTION("""COMPUTED_VALUE"""),2010.0)</f>
        <v>2010</v>
      </c>
      <c r="B6" s="1" t="str">
        <f>IFERROR(__xludf.DUMMYFUNCTION("""COMPUTED_VALUE"""),"*Espagne* - Pays-Bas")</f>
        <v>*Espagne* - Pays-Bas</v>
      </c>
      <c r="C6" s="1" t="str">
        <f>IFERROR(__xludf.DUMMYFUNCTION("""COMPUTED_VALUE"""),"1-0 ap")</f>
        <v>1-0 ap</v>
      </c>
      <c r="D6" s="1" t="str">
        <f>IFERROR(__xludf.DUMMYFUNCTION("""COMPUTED_VALUE"""),"à Johannesbourg,
Soccer City Stadium")</f>
        <v>à Johannesbourg,
Soccer City Stadium</v>
      </c>
      <c r="E6" s="1" t="str">
        <f>IFERROR(__xludf.DUMMYFUNCTION("""COMPUTED_VALUE"""),"Allemagne")</f>
        <v>Allemagne</v>
      </c>
      <c r="F6" s="1" t="str">
        <f>IFERROR(__xludf.DUMMYFUNCTION("""COMPUTED_VALUE"""),"Afrique du Sud")</f>
        <v>Afrique du Sud</v>
      </c>
    </row>
    <row r="7">
      <c r="A7" s="1">
        <f>IFERROR(__xludf.DUMMYFUNCTION("""COMPUTED_VALUE"""),2006.0)</f>
        <v>2006</v>
      </c>
      <c r="B7" s="1" t="str">
        <f>IFERROR(__xludf.DUMMYFUNCTION("""COMPUTED_VALUE"""),"*Italie* - France")</f>
        <v>*Italie* - France</v>
      </c>
      <c r="C7" s="1" t="str">
        <f>IFERROR(__xludf.DUMMYFUNCTION("""COMPUTED_VALUE"""),"1-1, 5 pen à 3")</f>
        <v>1-1, 5 pen à 3</v>
      </c>
      <c r="D7" s="1" t="str">
        <f>IFERROR(__xludf.DUMMYFUNCTION("""COMPUTED_VALUE"""),"à Berlin,
Olympiastadion")</f>
        <v>à Berlin,
Olympiastadion</v>
      </c>
      <c r="E7" s="1" t="str">
        <f>IFERROR(__xludf.DUMMYFUNCTION("""COMPUTED_VALUE"""),"Allemagne")</f>
        <v>Allemagne</v>
      </c>
      <c r="F7" s="1" t="str">
        <f>IFERROR(__xludf.DUMMYFUNCTION("""COMPUTED_VALUE"""),"Allemagne")</f>
        <v>Allemagne</v>
      </c>
    </row>
    <row r="8">
      <c r="A8" s="1">
        <f>IFERROR(__xludf.DUMMYFUNCTION("""COMPUTED_VALUE"""),2002.0)</f>
        <v>2002</v>
      </c>
      <c r="B8" s="1" t="str">
        <f>IFERROR(__xludf.DUMMYFUNCTION("""COMPUTED_VALUE"""),"*Brésil* - Allemagne")</f>
        <v>*Brésil* - Allemagne</v>
      </c>
      <c r="C8" s="1" t="str">
        <f>IFERROR(__xludf.DUMMYFUNCTION("""COMPUTED_VALUE"""),"2-0")</f>
        <v>2-0</v>
      </c>
      <c r="D8" s="1" t="str">
        <f>IFERROR(__xludf.DUMMYFUNCTION("""COMPUTED_VALUE"""),"à Yokohama,
Nissan Stadium")</f>
        <v>à Yokohama,
Nissan Stadium</v>
      </c>
      <c r="E8" s="1" t="str">
        <f>IFERROR(__xludf.DUMMYFUNCTION("""COMPUTED_VALUE"""),"Turquie")</f>
        <v>Turquie</v>
      </c>
      <c r="F8" s="1" t="str">
        <f>IFERROR(__xludf.DUMMYFUNCTION("""COMPUTED_VALUE"""),"Corée du Sud 
Japon")</f>
        <v>Corée du Sud 
Japon</v>
      </c>
    </row>
    <row r="9">
      <c r="A9" s="1">
        <f>IFERROR(__xludf.DUMMYFUNCTION("""COMPUTED_VALUE"""),1998.0)</f>
        <v>1998</v>
      </c>
      <c r="B9" s="1" t="str">
        <f>IFERROR(__xludf.DUMMYFUNCTION("""COMPUTED_VALUE"""),"*France* - Brésil")</f>
        <v>*France* - Brésil</v>
      </c>
      <c r="C9" s="1" t="str">
        <f>IFERROR(__xludf.DUMMYFUNCTION("""COMPUTED_VALUE"""),"3-0")</f>
        <v>3-0</v>
      </c>
      <c r="D9" s="1" t="str">
        <f>IFERROR(__xludf.DUMMYFUNCTION("""COMPUTED_VALUE"""),"à St-Denis,
Stade de France")</f>
        <v>à St-Denis,
Stade de France</v>
      </c>
      <c r="E9" s="1" t="str">
        <f>IFERROR(__xludf.DUMMYFUNCTION("""COMPUTED_VALUE"""),"Croatie")</f>
        <v>Croatie</v>
      </c>
      <c r="F9" s="1" t="str">
        <f>IFERROR(__xludf.DUMMYFUNCTION("""COMPUTED_VALUE"""),"France")</f>
        <v>France</v>
      </c>
    </row>
    <row r="10">
      <c r="A10" s="1">
        <f>IFERROR(__xludf.DUMMYFUNCTION("""COMPUTED_VALUE"""),1994.0)</f>
        <v>1994</v>
      </c>
      <c r="B10" s="1" t="str">
        <f>IFERROR(__xludf.DUMMYFUNCTION("""COMPUTED_VALUE"""),"*Brésil* - Italie")</f>
        <v>*Brésil* - Italie</v>
      </c>
      <c r="C10" s="1" t="str">
        <f>IFERROR(__xludf.DUMMYFUNCTION("""COMPUTED_VALUE"""),"0-0, 3 pen à 2")</f>
        <v>0-0, 3 pen à 2</v>
      </c>
      <c r="D10" s="1" t="str">
        <f>IFERROR(__xludf.DUMMYFUNCTION("""COMPUTED_VALUE"""),"à Pasadena,
Rose Bowl")</f>
        <v>à Pasadena,
Rose Bowl</v>
      </c>
      <c r="E10" s="1" t="str">
        <f>IFERROR(__xludf.DUMMYFUNCTION("""COMPUTED_VALUE"""),"Suède")</f>
        <v>Suède</v>
      </c>
      <c r="F10" s="1" t="str">
        <f>IFERROR(__xludf.DUMMYFUNCTION("""COMPUTED_VALUE"""),"Etats-Unis")</f>
        <v>Etats-Unis</v>
      </c>
    </row>
    <row r="11">
      <c r="A11" s="1">
        <f>IFERROR(__xludf.DUMMYFUNCTION("""COMPUTED_VALUE"""),1990.0)</f>
        <v>1990</v>
      </c>
      <c r="B11" s="1" t="str">
        <f>IFERROR(__xludf.DUMMYFUNCTION("""COMPUTED_VALUE"""),"*Allemagne* - Argentine")</f>
        <v>*Allemagne* - Argentine</v>
      </c>
      <c r="C11" s="1" t="str">
        <f>IFERROR(__xludf.DUMMYFUNCTION("""COMPUTED_VALUE"""),"1-0")</f>
        <v>1-0</v>
      </c>
      <c r="D11" s="1" t="str">
        <f>IFERROR(__xludf.DUMMYFUNCTION("""COMPUTED_VALUE"""),"à Rome,
Stadio Olimpico")</f>
        <v>à Rome,
Stadio Olimpico</v>
      </c>
      <c r="E11" s="1" t="str">
        <f>IFERROR(__xludf.DUMMYFUNCTION("""COMPUTED_VALUE"""),"Italie")</f>
        <v>Italie</v>
      </c>
      <c r="F11" s="1" t="str">
        <f>IFERROR(__xludf.DUMMYFUNCTION("""COMPUTED_VALUE"""),"Italie")</f>
        <v>Italie</v>
      </c>
    </row>
    <row r="12">
      <c r="A12" s="1">
        <f>IFERROR(__xludf.DUMMYFUNCTION("""COMPUTED_VALUE"""),1986.0)</f>
        <v>1986</v>
      </c>
      <c r="B12" s="1" t="str">
        <f>IFERROR(__xludf.DUMMYFUNCTION("""COMPUTED_VALUE"""),"*Argentine* - RFA")</f>
        <v>*Argentine* - RFA</v>
      </c>
      <c r="C12" s="3">
        <f>IFERROR(__xludf.DUMMYFUNCTION("""COMPUTED_VALUE"""),46083.0)</f>
        <v>46083</v>
      </c>
      <c r="D12" s="1" t="str">
        <f>IFERROR(__xludf.DUMMYFUNCTION("""COMPUTED_VALUE"""),"à Mexico,
Stade Azteca")</f>
        <v>à Mexico,
Stade Azteca</v>
      </c>
      <c r="E12" s="1" t="str">
        <f>IFERROR(__xludf.DUMMYFUNCTION("""COMPUTED_VALUE"""),"France")</f>
        <v>France</v>
      </c>
      <c r="F12" s="1" t="str">
        <f>IFERROR(__xludf.DUMMYFUNCTION("""COMPUTED_VALUE"""),"Mexique")</f>
        <v>Mexique</v>
      </c>
    </row>
    <row r="13">
      <c r="A13" s="1">
        <f>IFERROR(__xludf.DUMMYFUNCTION("""COMPUTED_VALUE"""),1982.0)</f>
        <v>1982</v>
      </c>
      <c r="B13" s="1" t="str">
        <f>IFERROR(__xludf.DUMMYFUNCTION("""COMPUTED_VALUE"""),"*Italie* - RFA")</f>
        <v>*Italie* - RFA</v>
      </c>
      <c r="C13" s="3">
        <f>IFERROR(__xludf.DUMMYFUNCTION("""COMPUTED_VALUE"""),46082.0)</f>
        <v>46082</v>
      </c>
      <c r="D13" s="1" t="str">
        <f>IFERROR(__xludf.DUMMYFUNCTION("""COMPUTED_VALUE"""),"à Madrid,
Stade Santiago Bernabéu")</f>
        <v>à Madrid,
Stade Santiago Bernabéu</v>
      </c>
      <c r="E13" s="1" t="str">
        <f>IFERROR(__xludf.DUMMYFUNCTION("""COMPUTED_VALUE"""),"Pologne")</f>
        <v>Pologne</v>
      </c>
      <c r="F13" s="1" t="str">
        <f>IFERROR(__xludf.DUMMYFUNCTION("""COMPUTED_VALUE"""),"Espagne")</f>
        <v>Espagne</v>
      </c>
    </row>
    <row r="14">
      <c r="A14" s="1">
        <f>IFERROR(__xludf.DUMMYFUNCTION("""COMPUTED_VALUE"""),1978.0)</f>
        <v>1978</v>
      </c>
      <c r="B14" s="1" t="str">
        <f>IFERROR(__xludf.DUMMYFUNCTION("""COMPUTED_VALUE"""),"*Argentine* - Pays-Bas")</f>
        <v>*Argentine* - Pays-Bas</v>
      </c>
      <c r="C14" s="1" t="str">
        <f>IFERROR(__xludf.DUMMYFUNCTION("""COMPUTED_VALUE"""),"3-1 ap")</f>
        <v>3-1 ap</v>
      </c>
      <c r="D14" s="1" t="str">
        <f>IFERROR(__xludf.DUMMYFUNCTION("""COMPUTED_VALUE"""),"à Buenos Aires,
Estadio Monumental")</f>
        <v>à Buenos Aires,
Estadio Monumental</v>
      </c>
      <c r="E14" s="1" t="str">
        <f>IFERROR(__xludf.DUMMYFUNCTION("""COMPUTED_VALUE"""),"Brésil")</f>
        <v>Brésil</v>
      </c>
      <c r="F14" s="1" t="str">
        <f>IFERROR(__xludf.DUMMYFUNCTION("""COMPUTED_VALUE"""),"Argentine")</f>
        <v>Argentine</v>
      </c>
    </row>
    <row r="15">
      <c r="A15" s="1">
        <f>IFERROR(__xludf.DUMMYFUNCTION("""COMPUTED_VALUE"""),1974.0)</f>
        <v>1974</v>
      </c>
      <c r="B15" s="1" t="str">
        <f>IFERROR(__xludf.DUMMYFUNCTION("""COMPUTED_VALUE"""),"*RFA* - Pays-Bas")</f>
        <v>*RFA* - Pays-Bas</v>
      </c>
      <c r="C15" s="3">
        <f>IFERROR(__xludf.DUMMYFUNCTION("""COMPUTED_VALUE"""),46054.0)</f>
        <v>46054</v>
      </c>
      <c r="D15" s="1" t="str">
        <f>IFERROR(__xludf.DUMMYFUNCTION("""COMPUTED_VALUE"""),"à Munich,
Olympiastadion")</f>
        <v>à Munich,
Olympiastadion</v>
      </c>
      <c r="E15" s="1" t="str">
        <f>IFERROR(__xludf.DUMMYFUNCTION("""COMPUTED_VALUE"""),"Pologne")</f>
        <v>Pologne</v>
      </c>
      <c r="F15" s="1" t="str">
        <f>IFERROR(__xludf.DUMMYFUNCTION("""COMPUTED_VALUE"""),"RFA")</f>
        <v>RFA</v>
      </c>
    </row>
    <row r="16">
      <c r="A16" s="1">
        <f>IFERROR(__xludf.DUMMYFUNCTION("""COMPUTED_VALUE"""),1970.0)</f>
        <v>1970</v>
      </c>
      <c r="B16" s="1" t="str">
        <f>IFERROR(__xludf.DUMMYFUNCTION("""COMPUTED_VALUE"""),"*Brésil* - Italie")</f>
        <v>*Brésil* - Italie</v>
      </c>
      <c r="C16" s="3">
        <f>IFERROR(__xludf.DUMMYFUNCTION("""COMPUTED_VALUE"""),46113.0)</f>
        <v>46113</v>
      </c>
      <c r="D16" s="1" t="str">
        <f>IFERROR(__xludf.DUMMYFUNCTION("""COMPUTED_VALUE"""),"à Mexico,
Stade Azteca")</f>
        <v>à Mexico,
Stade Azteca</v>
      </c>
      <c r="E16" s="1" t="str">
        <f>IFERROR(__xludf.DUMMYFUNCTION("""COMPUTED_VALUE"""),"RFA")</f>
        <v>RFA</v>
      </c>
      <c r="F16" s="1" t="str">
        <f>IFERROR(__xludf.DUMMYFUNCTION("""COMPUTED_VALUE"""),"Mexique")</f>
        <v>Mexique</v>
      </c>
    </row>
    <row r="17">
      <c r="A17" s="1">
        <f>IFERROR(__xludf.DUMMYFUNCTION("""COMPUTED_VALUE"""),1966.0)</f>
        <v>1966</v>
      </c>
      <c r="B17" s="1" t="str">
        <f>IFERROR(__xludf.DUMMYFUNCTION("""COMPUTED_VALUE"""),"*Angleterre* - RFA")</f>
        <v>*Angleterre* - RFA</v>
      </c>
      <c r="C17" s="1" t="str">
        <f>IFERROR(__xludf.DUMMYFUNCTION("""COMPUTED_VALUE"""),"4-2 ap")</f>
        <v>4-2 ap</v>
      </c>
      <c r="D17" s="1" t="str">
        <f>IFERROR(__xludf.DUMMYFUNCTION("""COMPUTED_VALUE"""),"à Londres,
Wembley")</f>
        <v>à Londres,
Wembley</v>
      </c>
      <c r="E17" s="1" t="str">
        <f>IFERROR(__xludf.DUMMYFUNCTION("""COMPUTED_VALUE"""),"Portugal")</f>
        <v>Portugal</v>
      </c>
      <c r="F17" s="1" t="str">
        <f>IFERROR(__xludf.DUMMYFUNCTION("""COMPUTED_VALUE"""),"Angleterre")</f>
        <v>Angleterre</v>
      </c>
    </row>
    <row r="18">
      <c r="A18" s="1">
        <f>IFERROR(__xludf.DUMMYFUNCTION("""COMPUTED_VALUE"""),1962.0)</f>
        <v>1962</v>
      </c>
      <c r="B18" s="1" t="str">
        <f>IFERROR(__xludf.DUMMYFUNCTION("""COMPUTED_VALUE"""),"*Brésil* - Tchécoslovaquie")</f>
        <v>*Brésil* - Tchécoslovaquie</v>
      </c>
      <c r="C18" s="3">
        <f>IFERROR(__xludf.DUMMYFUNCTION("""COMPUTED_VALUE"""),46082.0)</f>
        <v>46082</v>
      </c>
      <c r="D18" s="1" t="str">
        <f>IFERROR(__xludf.DUMMYFUNCTION("""COMPUTED_VALUE"""),"à Santiago du Chili,
Estadio Nacional")</f>
        <v>à Santiago du Chili,
Estadio Nacional</v>
      </c>
      <c r="E18" s="1" t="str">
        <f>IFERROR(__xludf.DUMMYFUNCTION("""COMPUTED_VALUE"""),"Chili")</f>
        <v>Chili</v>
      </c>
      <c r="F18" s="1" t="str">
        <f>IFERROR(__xludf.DUMMYFUNCTION("""COMPUTED_VALUE"""),"Chili")</f>
        <v>Chili</v>
      </c>
    </row>
    <row r="19">
      <c r="A19" s="1">
        <f>IFERROR(__xludf.DUMMYFUNCTION("""COMPUTED_VALUE"""),1958.0)</f>
        <v>1958</v>
      </c>
      <c r="B19" s="1" t="str">
        <f>IFERROR(__xludf.DUMMYFUNCTION("""COMPUTED_VALUE"""),"*Brésil* - Suède")</f>
        <v>*Brésil* - Suède</v>
      </c>
      <c r="C19" s="3">
        <f>IFERROR(__xludf.DUMMYFUNCTION("""COMPUTED_VALUE"""),46144.0)</f>
        <v>46144</v>
      </c>
      <c r="D19" s="1" t="str">
        <f>IFERROR(__xludf.DUMMYFUNCTION("""COMPUTED_VALUE"""),"à Solna,
Rasunda Stadion")</f>
        <v>à Solna,
Rasunda Stadion</v>
      </c>
      <c r="E19" s="1" t="str">
        <f>IFERROR(__xludf.DUMMYFUNCTION("""COMPUTED_VALUE"""),"France")</f>
        <v>France</v>
      </c>
      <c r="F19" s="1" t="str">
        <f>IFERROR(__xludf.DUMMYFUNCTION("""COMPUTED_VALUE"""),"Suède")</f>
        <v>Suède</v>
      </c>
    </row>
    <row r="20">
      <c r="A20" s="1">
        <f>IFERROR(__xludf.DUMMYFUNCTION("""COMPUTED_VALUE"""),1954.0)</f>
        <v>1954</v>
      </c>
      <c r="B20" s="1" t="str">
        <f>IFERROR(__xludf.DUMMYFUNCTION("""COMPUTED_VALUE"""),"*RFA* - Hongrie")</f>
        <v>*RFA* - Hongrie</v>
      </c>
      <c r="C20" s="3">
        <f>IFERROR(__xludf.DUMMYFUNCTION("""COMPUTED_VALUE"""),46083.0)</f>
        <v>46083</v>
      </c>
      <c r="D20" s="1" t="str">
        <f>IFERROR(__xludf.DUMMYFUNCTION("""COMPUTED_VALUE"""),"à Berne,
Stade du Wankdorf")</f>
        <v>à Berne,
Stade du Wankdorf</v>
      </c>
      <c r="E20" s="1" t="str">
        <f>IFERROR(__xludf.DUMMYFUNCTION("""COMPUTED_VALUE"""),"Autriche")</f>
        <v>Autriche</v>
      </c>
      <c r="F20" s="1" t="str">
        <f>IFERROR(__xludf.DUMMYFUNCTION("""COMPUTED_VALUE"""),"Suisse")</f>
        <v>Suisse</v>
      </c>
    </row>
    <row r="21">
      <c r="A21" s="1">
        <f>IFERROR(__xludf.DUMMYFUNCTION("""COMPUTED_VALUE"""),1950.0)</f>
        <v>1950</v>
      </c>
      <c r="B21" s="1" t="str">
        <f>IFERROR(__xludf.DUMMYFUNCTION("""COMPUTED_VALUE"""),"*Uruguay* - Brésil")</f>
        <v>*Uruguay* - Brésil</v>
      </c>
      <c r="C21" s="3">
        <f>IFERROR(__xludf.DUMMYFUNCTION("""COMPUTED_VALUE"""),46054.0)</f>
        <v>46054</v>
      </c>
      <c r="D21" s="1" t="str">
        <f>IFERROR(__xludf.DUMMYFUNCTION("""COMPUTED_VALUE"""),"à Rio de Janeiro,
Maracana")</f>
        <v>à Rio de Janeiro,
Maracana</v>
      </c>
      <c r="E21" s="1" t="str">
        <f>IFERROR(__xludf.DUMMYFUNCTION("""COMPUTED_VALUE"""),"Suède")</f>
        <v>Suède</v>
      </c>
      <c r="F21" s="1" t="str">
        <f>IFERROR(__xludf.DUMMYFUNCTION("""COMPUTED_VALUE"""),"Brésil")</f>
        <v>Brésil</v>
      </c>
    </row>
    <row r="22">
      <c r="A22" s="1">
        <f>IFERROR(__xludf.DUMMYFUNCTION("""COMPUTED_VALUE"""),1942.0)</f>
        <v>1942</v>
      </c>
      <c r="B22" s="1" t="str">
        <f>IFERROR(__xludf.DUMMYFUNCTION("""COMPUTED_VALUE"""),"*Édition annulée* -")</f>
        <v>*Édition annulée* -</v>
      </c>
      <c r="C22" s="1"/>
      <c r="D22" s="1"/>
      <c r="E22" s="1"/>
      <c r="F22" s="1"/>
    </row>
    <row r="23">
      <c r="A23" s="1">
        <f>IFERROR(__xludf.DUMMYFUNCTION("""COMPUTED_VALUE"""),1938.0)</f>
        <v>1938</v>
      </c>
      <c r="B23" s="1" t="str">
        <f>IFERROR(__xludf.DUMMYFUNCTION("""COMPUTED_VALUE"""),"*Italie* - Hongrie")</f>
        <v>*Italie* - Hongrie</v>
      </c>
      <c r="C23" s="3">
        <f>IFERROR(__xludf.DUMMYFUNCTION("""COMPUTED_VALUE"""),46114.0)</f>
        <v>46114</v>
      </c>
      <c r="D23" s="1" t="str">
        <f>IFERROR(__xludf.DUMMYFUNCTION("""COMPUTED_VALUE"""),"à Colombes,
Stade Olympique Yves-du-Manoir")</f>
        <v>à Colombes,
Stade Olympique Yves-du-Manoir</v>
      </c>
      <c r="E23" s="1" t="str">
        <f>IFERROR(__xludf.DUMMYFUNCTION("""COMPUTED_VALUE"""),"Brésil")</f>
        <v>Brésil</v>
      </c>
      <c r="F23" s="1" t="str">
        <f>IFERROR(__xludf.DUMMYFUNCTION("""COMPUTED_VALUE"""),"France")</f>
        <v>France</v>
      </c>
    </row>
    <row r="24">
      <c r="A24" s="1">
        <f>IFERROR(__xludf.DUMMYFUNCTION("""COMPUTED_VALUE"""),1934.0)</f>
        <v>1934</v>
      </c>
      <c r="B24" s="1" t="str">
        <f>IFERROR(__xludf.DUMMYFUNCTION("""COMPUTED_VALUE"""),"*Italie* - Tchécoslovaquie")</f>
        <v>*Italie* - Tchécoslovaquie</v>
      </c>
      <c r="C24" s="1" t="str">
        <f>IFERROR(__xludf.DUMMYFUNCTION("""COMPUTED_VALUE"""),"2-1 ap")</f>
        <v>2-1 ap</v>
      </c>
      <c r="D24" s="1" t="str">
        <f>IFERROR(__xludf.DUMMYFUNCTION("""COMPUTED_VALUE"""),"à Rome,
Stadio Nazionale del P.N.F.")</f>
        <v>à Rome,
Stadio Nazionale del P.N.F.</v>
      </c>
      <c r="E24" s="1" t="str">
        <f>IFERROR(__xludf.DUMMYFUNCTION("""COMPUTED_VALUE"""),"Allemagne")</f>
        <v>Allemagne</v>
      </c>
      <c r="F24" s="1" t="str">
        <f>IFERROR(__xludf.DUMMYFUNCTION("""COMPUTED_VALUE"""),"Italie")</f>
        <v>Italie</v>
      </c>
    </row>
    <row r="25">
      <c r="A25" s="1">
        <f>IFERROR(__xludf.DUMMYFUNCTION("""COMPUTED_VALUE"""),1930.0)</f>
        <v>1930</v>
      </c>
      <c r="B25" s="1" t="str">
        <f>IFERROR(__xludf.DUMMYFUNCTION("""COMPUTED_VALUE"""),"*Uruguay* - Argentine")</f>
        <v>*Uruguay* - Argentine</v>
      </c>
      <c r="C25" s="3">
        <f>IFERROR(__xludf.DUMMYFUNCTION("""COMPUTED_VALUE"""),46114.0)</f>
        <v>46114</v>
      </c>
      <c r="D25" s="1" t="str">
        <f>IFERROR(__xludf.DUMMYFUNCTION("""COMPUTED_VALUE"""),"à Montevideo,
Centenario")</f>
        <v>à Montevideo,
Centenario</v>
      </c>
      <c r="E25" s="1" t="str">
        <f>IFERROR(__xludf.DUMMYFUNCTION("""COMPUTED_VALUE"""),"Etats-Unis")</f>
        <v>Etats-Unis</v>
      </c>
      <c r="F25" s="1" t="str">
        <f>IFERROR(__xludf.DUMMYFUNCTION("""COMPUTED_VALUE"""),"Uruguay")</f>
        <v>Uruguay</v>
      </c>
    </row>
    <row r="77">
      <c r="A77" s="2">
        <v>2.0</v>
      </c>
      <c r="B77" s="1">
        <f t="shared" ref="B77:B88" si="1">SUM(A77:A89)</f>
        <v>48</v>
      </c>
    </row>
    <row r="78">
      <c r="A78" s="2">
        <v>3.0</v>
      </c>
      <c r="B78" s="1">
        <f t="shared" si="1"/>
        <v>46</v>
      </c>
    </row>
    <row r="79">
      <c r="A79" s="2">
        <v>3.0</v>
      </c>
      <c r="B79" s="1">
        <f t="shared" si="1"/>
        <v>43</v>
      </c>
    </row>
    <row r="80">
      <c r="A80" s="2">
        <v>2.0</v>
      </c>
      <c r="B80" s="1">
        <f t="shared" si="1"/>
        <v>40</v>
      </c>
    </row>
    <row r="81">
      <c r="A81" s="2">
        <v>2.0</v>
      </c>
      <c r="B81" s="1">
        <f t="shared" si="1"/>
        <v>38</v>
      </c>
    </row>
    <row r="82">
      <c r="A82" s="2">
        <v>2.0</v>
      </c>
      <c r="B82" s="1">
        <f t="shared" si="1"/>
        <v>36</v>
      </c>
    </row>
    <row r="83">
      <c r="A83" s="2">
        <v>4.0</v>
      </c>
      <c r="B83" s="1">
        <f t="shared" si="1"/>
        <v>34</v>
      </c>
    </row>
    <row r="84">
      <c r="A84" s="2">
        <v>5.0</v>
      </c>
      <c r="B84" s="1">
        <f t="shared" si="1"/>
        <v>30</v>
      </c>
    </row>
    <row r="85">
      <c r="A85" s="2">
        <v>5.0</v>
      </c>
      <c r="B85" s="1">
        <f t="shared" si="1"/>
        <v>25</v>
      </c>
    </row>
    <row r="86">
      <c r="A86" s="2">
        <v>7.0</v>
      </c>
      <c r="B86" s="1">
        <f t="shared" si="1"/>
        <v>20</v>
      </c>
    </row>
    <row r="87">
      <c r="A87" s="2">
        <v>6.0</v>
      </c>
      <c r="B87" s="1">
        <f t="shared" si="1"/>
        <v>13</v>
      </c>
    </row>
    <row r="88">
      <c r="A88" s="2">
        <v>7.0</v>
      </c>
      <c r="B88" s="1">
        <f t="shared" si="1"/>
        <v>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3" max="3" width="35.13"/>
    <col customWidth="1" min="4" max="4" width="23.88"/>
  </cols>
  <sheetData>
    <row r="1">
      <c r="A1" s="2"/>
    </row>
    <row r="77">
      <c r="A77" s="2">
        <v>2.0</v>
      </c>
      <c r="B77" s="1">
        <f t="shared" ref="B77:B88" si="1">SUM(A77:A89)</f>
        <v>48</v>
      </c>
    </row>
    <row r="78">
      <c r="A78" s="2">
        <v>3.0</v>
      </c>
      <c r="B78" s="1">
        <f t="shared" si="1"/>
        <v>46</v>
      </c>
    </row>
    <row r="79">
      <c r="A79" s="2">
        <v>3.0</v>
      </c>
      <c r="B79" s="1">
        <f t="shared" si="1"/>
        <v>43</v>
      </c>
    </row>
    <row r="80">
      <c r="A80" s="2">
        <v>2.0</v>
      </c>
      <c r="B80" s="1">
        <f t="shared" si="1"/>
        <v>40</v>
      </c>
    </row>
    <row r="81">
      <c r="A81" s="2">
        <v>2.0</v>
      </c>
      <c r="B81" s="1">
        <f t="shared" si="1"/>
        <v>38</v>
      </c>
    </row>
    <row r="82">
      <c r="A82" s="2">
        <v>2.0</v>
      </c>
      <c r="B82" s="1">
        <f t="shared" si="1"/>
        <v>36</v>
      </c>
    </row>
    <row r="83">
      <c r="A83" s="2">
        <v>4.0</v>
      </c>
      <c r="B83" s="1">
        <f t="shared" si="1"/>
        <v>34</v>
      </c>
    </row>
    <row r="84">
      <c r="A84" s="2">
        <v>5.0</v>
      </c>
      <c r="B84" s="1">
        <f t="shared" si="1"/>
        <v>30</v>
      </c>
    </row>
    <row r="85">
      <c r="A85" s="2">
        <v>5.0</v>
      </c>
      <c r="B85" s="1">
        <f t="shared" si="1"/>
        <v>25</v>
      </c>
    </row>
    <row r="86">
      <c r="A86" s="2">
        <v>7.0</v>
      </c>
      <c r="B86" s="1">
        <f t="shared" si="1"/>
        <v>20</v>
      </c>
    </row>
    <row r="87">
      <c r="A87" s="2">
        <v>6.0</v>
      </c>
      <c r="B87" s="1">
        <f t="shared" si="1"/>
        <v>13</v>
      </c>
    </row>
    <row r="88">
      <c r="A88" s="2">
        <v>7.0</v>
      </c>
      <c r="B88" s="1">
        <f t="shared" si="1"/>
        <v>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IFERROR(__xludf.DUMMYFUNCTION("IMPORTHTML(""https://www.itsrugby.fr/equipes/bayonne/classement.html"",""table"",1)"),"Saison")</f>
        <v>Saison</v>
      </c>
      <c r="B1" s="1" t="str">
        <f>IFERROR(__xludf.DUMMYFUNCTION("""COMPUTED_VALUE"""),"Titres et Distinctions")</f>
        <v>Titres et Distinctions</v>
      </c>
    </row>
    <row r="18">
      <c r="B18" s="2" t="s">
        <v>87</v>
      </c>
    </row>
    <row r="20">
      <c r="B20" s="2" t="s">
        <v>88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89</v>
      </c>
    </row>
    <row r="4">
      <c r="A4" s="2" t="s">
        <v>89</v>
      </c>
    </row>
    <row r="5">
      <c r="A5" s="2">
        <v>1.0</v>
      </c>
    </row>
    <row r="6">
      <c r="A6" s="2">
        <v>2.0</v>
      </c>
      <c r="C6" s="1">
        <f>SUM(A5:A16)</f>
        <v>5396</v>
      </c>
    </row>
    <row r="7">
      <c r="A7" s="2">
        <v>2.0</v>
      </c>
    </row>
    <row r="8">
      <c r="A8" s="2">
        <v>2.0</v>
      </c>
    </row>
    <row r="9">
      <c r="A9" s="2">
        <v>2.0</v>
      </c>
    </row>
    <row r="10">
      <c r="A10" s="2">
        <v>1777.0</v>
      </c>
      <c r="B10" s="1" t="str">
        <f>IFERROR(__xludf.DUMMYFUNCTION("IMPORTHTML(""https://www.alloprof.qc.ca/fr/eleves/bv/sciences/les-tableaux-de-resultats-en-science-s1516"",table,1)"),"#NAME?")</f>
        <v>#NAME?</v>
      </c>
    </row>
    <row r="11">
      <c r="A11" s="2">
        <v>1777.0</v>
      </c>
      <c r="B11" s="1" t="str">
        <f>IFERROR(__xludf.DUMMYFUNCTION("IMPORTHTML(""https://www.sportstrategies.com/top-100-des-sportifs-les-mieux-payes-au-monde-en-2021/"",""table"")"),"#REF!")</f>
        <v>#REF!</v>
      </c>
      <c r="C11" s="1"/>
      <c r="D11" s="1"/>
      <c r="E11" s="1"/>
      <c r="F11" s="1"/>
      <c r="G11" s="1"/>
      <c r="H11" s="1"/>
    </row>
    <row r="12">
      <c r="A12" s="2">
        <v>1777.0</v>
      </c>
      <c r="B12" s="1"/>
      <c r="C12" s="1"/>
      <c r="D12" s="1"/>
      <c r="E12" s="1"/>
      <c r="F12" s="1"/>
      <c r="G12" s="1"/>
      <c r="H12" s="1"/>
    </row>
    <row r="13">
      <c r="A13" s="2">
        <v>14.0</v>
      </c>
      <c r="B13" s="1"/>
      <c r="C13" s="1"/>
      <c r="D13" s="1"/>
      <c r="E13" s="2" t="s">
        <v>90</v>
      </c>
    </row>
    <row r="14">
      <c r="A14" s="2">
        <v>14.0</v>
      </c>
      <c r="J14" s="1" t="str">
        <f>IFERROR(__xludf.DUMMYFUNCTION("SPLIT(E13,"","")"),"FC")</f>
        <v>FC</v>
      </c>
      <c r="K14" s="1" t="str">
        <f>IFERROR(__xludf.DUMMYFUNCTION("""COMPUTED_VALUE"""),"Barcelone")</f>
        <v>Barcelone</v>
      </c>
    </row>
    <row r="15">
      <c r="A15" s="2">
        <v>14.0</v>
      </c>
    </row>
    <row r="16">
      <c r="A16" s="2">
        <v>14.0</v>
      </c>
    </row>
    <row r="20">
      <c r="B20" s="2"/>
      <c r="E2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IFERROR(__xludf.DUMMYFUNCTION("IMPORTHTML(""https://fr.wikipedia.org/wiki/Tableau_des_médailles_olympiques_par_nation"", ""table"")"),"Équipe")</f>
        <v>Équipe</v>
      </c>
      <c r="B1" s="1" t="str">
        <f>IFERROR(__xludf.DUMMYFUNCTION("""COMPUTED_VALUE"""),"Nb.
Été")</f>
        <v>Nb.
Été</v>
      </c>
      <c r="C1" s="1"/>
      <c r="D1" s="1"/>
      <c r="E1" s="1"/>
      <c r="F1" s="1" t="str">
        <f>IFERROR(__xludf.DUMMYFUNCTION("""COMPUTED_VALUE"""),"Total")</f>
        <v>Total</v>
      </c>
      <c r="G1" s="1" t="str">
        <f>IFERROR(__xludf.DUMMYFUNCTION("""COMPUTED_VALUE"""),"Nb.
Hiver")</f>
        <v>Nb.
Hiver</v>
      </c>
      <c r="H1" s="1"/>
      <c r="I1" s="1"/>
      <c r="J1" s="1"/>
      <c r="K1" s="1" t="str">
        <f>IFERROR(__xludf.DUMMYFUNCTION("""COMPUTED_VALUE"""),"Total")</f>
        <v>Total</v>
      </c>
      <c r="L1" s="1" t="str">
        <f>IFERROR(__xludf.DUMMYFUNCTION("""COMPUTED_VALUE"""),"Nb.
Jeux")</f>
        <v>Nb.
Jeux</v>
      </c>
      <c r="M1" s="1"/>
      <c r="N1" s="1"/>
      <c r="O1" s="1"/>
      <c r="P1" s="1" t="str">
        <f>IFERROR(__xludf.DUMMYFUNCTION("""COMPUTED_VALUE"""),"Total combiné")</f>
        <v>Total combiné</v>
      </c>
    </row>
    <row r="2">
      <c r="A2" s="4" t="str">
        <f>IFERROR(__xludf.DUMMYFUNCTION("""COMPUTED_VALUE"""),"Afghanistan")</f>
        <v>Afghanistan</v>
      </c>
      <c r="B2" s="1">
        <f>IFERROR(__xludf.DUMMYFUNCTION("""COMPUTED_VALUE"""),15.0)</f>
        <v>15</v>
      </c>
      <c r="C2" s="1">
        <f>IFERROR(__xludf.DUMMYFUNCTION("""COMPUTED_VALUE"""),0.0)</f>
        <v>0</v>
      </c>
      <c r="D2" s="1">
        <f>IFERROR(__xludf.DUMMYFUNCTION("""COMPUTED_VALUE"""),0.0)</f>
        <v>0</v>
      </c>
      <c r="E2" s="1">
        <f>IFERROR(__xludf.DUMMYFUNCTION("""COMPUTED_VALUE"""),2.0)</f>
        <v>2</v>
      </c>
      <c r="F2" s="1">
        <f>IFERROR(__xludf.DUMMYFUNCTION("""COMPUTED_VALUE"""),2.0)</f>
        <v>2</v>
      </c>
      <c r="G2" s="1">
        <f>IFERROR(__xludf.DUMMYFUNCTION("""COMPUTED_VALUE"""),0.0)</f>
        <v>0</v>
      </c>
      <c r="H2" s="1">
        <f>IFERROR(__xludf.DUMMYFUNCTION("""COMPUTED_VALUE"""),0.0)</f>
        <v>0</v>
      </c>
      <c r="I2" s="1">
        <f>IFERROR(__xludf.DUMMYFUNCTION("""COMPUTED_VALUE"""),0.0)</f>
        <v>0</v>
      </c>
      <c r="J2" s="1">
        <f>IFERROR(__xludf.DUMMYFUNCTION("""COMPUTED_VALUE"""),0.0)</f>
        <v>0</v>
      </c>
      <c r="K2" s="1">
        <f>IFERROR(__xludf.DUMMYFUNCTION("""COMPUTED_VALUE"""),0.0)</f>
        <v>0</v>
      </c>
      <c r="L2" s="1">
        <f>IFERROR(__xludf.DUMMYFUNCTION("""COMPUTED_VALUE"""),15.0)</f>
        <v>15</v>
      </c>
      <c r="M2" s="1">
        <f>IFERROR(__xludf.DUMMYFUNCTION("""COMPUTED_VALUE"""),0.0)</f>
        <v>0</v>
      </c>
      <c r="N2" s="1">
        <f>IFERROR(__xludf.DUMMYFUNCTION("""COMPUTED_VALUE"""),0.0)</f>
        <v>0</v>
      </c>
      <c r="O2" s="1">
        <f>IFERROR(__xludf.DUMMYFUNCTION("""COMPUTED_VALUE"""),2.0)</f>
        <v>2</v>
      </c>
      <c r="P2" s="1">
        <f>IFERROR(__xludf.DUMMYFUNCTION("""COMPUTED_VALUE"""),2.0)</f>
        <v>2</v>
      </c>
    </row>
    <row r="3">
      <c r="A3" s="1" t="str">
        <f>IFERROR(__xludf.DUMMYFUNCTION("""COMPUTED_VALUE"""),"Afrique du Sud")</f>
        <v>Afrique du Sud</v>
      </c>
      <c r="B3" s="1">
        <f>IFERROR(__xludf.DUMMYFUNCTION("""COMPUTED_VALUE"""),20.0)</f>
        <v>20</v>
      </c>
      <c r="C3" s="1">
        <f>IFERROR(__xludf.DUMMYFUNCTION("""COMPUTED_VALUE"""),27.0)</f>
        <v>27</v>
      </c>
      <c r="D3" s="1">
        <f>IFERROR(__xludf.DUMMYFUNCTION("""COMPUTED_VALUE"""),33.0)</f>
        <v>33</v>
      </c>
      <c r="E3" s="1">
        <f>IFERROR(__xludf.DUMMYFUNCTION("""COMPUTED_VALUE"""),29.0)</f>
        <v>29</v>
      </c>
      <c r="F3" s="1">
        <f>IFERROR(__xludf.DUMMYFUNCTION("""COMPUTED_VALUE"""),89.0)</f>
        <v>89</v>
      </c>
      <c r="G3" s="1">
        <f>IFERROR(__xludf.DUMMYFUNCTION("""COMPUTED_VALUE"""),7.0)</f>
        <v>7</v>
      </c>
      <c r="H3" s="1">
        <f>IFERROR(__xludf.DUMMYFUNCTION("""COMPUTED_VALUE"""),0.0)</f>
        <v>0</v>
      </c>
      <c r="I3" s="1">
        <f>IFERROR(__xludf.DUMMYFUNCTION("""COMPUTED_VALUE"""),0.0)</f>
        <v>0</v>
      </c>
      <c r="J3" s="1">
        <f>IFERROR(__xludf.DUMMYFUNCTION("""COMPUTED_VALUE"""),0.0)</f>
        <v>0</v>
      </c>
      <c r="K3" s="1">
        <f>IFERROR(__xludf.DUMMYFUNCTION("""COMPUTED_VALUE"""),0.0)</f>
        <v>0</v>
      </c>
      <c r="L3" s="1">
        <f>IFERROR(__xludf.DUMMYFUNCTION("""COMPUTED_VALUE"""),27.0)</f>
        <v>27</v>
      </c>
      <c r="M3" s="1">
        <f>IFERROR(__xludf.DUMMYFUNCTION("""COMPUTED_VALUE"""),27.0)</f>
        <v>27</v>
      </c>
      <c r="N3" s="1">
        <f>IFERROR(__xludf.DUMMYFUNCTION("""COMPUTED_VALUE"""),33.0)</f>
        <v>33</v>
      </c>
      <c r="O3" s="1">
        <f>IFERROR(__xludf.DUMMYFUNCTION("""COMPUTED_VALUE"""),29.0)</f>
        <v>29</v>
      </c>
      <c r="P3" s="1">
        <f>IFERROR(__xludf.DUMMYFUNCTION("""COMPUTED_VALUE"""),89.0)</f>
        <v>89</v>
      </c>
    </row>
    <row r="4">
      <c r="A4" s="1" t="str">
        <f>IFERROR(__xludf.DUMMYFUNCTION("""COMPUTED_VALUE"""),"Albanie")</f>
        <v>Albanie</v>
      </c>
      <c r="B4" s="1">
        <f>IFERROR(__xludf.DUMMYFUNCTION("""COMPUTED_VALUE"""),14.0)</f>
        <v>14</v>
      </c>
      <c r="C4" s="1">
        <f>IFERROR(__xludf.DUMMYFUNCTION("""COMPUTED_VALUE"""),0.0)</f>
        <v>0</v>
      </c>
      <c r="D4" s="1">
        <f>IFERROR(__xludf.DUMMYFUNCTION("""COMPUTED_VALUE"""),0.0)</f>
        <v>0</v>
      </c>
      <c r="E4" s="1">
        <f>IFERROR(__xludf.DUMMYFUNCTION("""COMPUTED_VALUE"""),2.0)</f>
        <v>2</v>
      </c>
      <c r="F4" s="1">
        <f>IFERROR(__xludf.DUMMYFUNCTION("""COMPUTED_VALUE"""),2.0)</f>
        <v>2</v>
      </c>
      <c r="G4" s="1">
        <f>IFERROR(__xludf.DUMMYFUNCTION("""COMPUTED_VALUE"""),5.0)</f>
        <v>5</v>
      </c>
      <c r="H4" s="1">
        <f>IFERROR(__xludf.DUMMYFUNCTION("""COMPUTED_VALUE"""),0.0)</f>
        <v>0</v>
      </c>
      <c r="I4" s="1">
        <f>IFERROR(__xludf.DUMMYFUNCTION("""COMPUTED_VALUE"""),0.0)</f>
        <v>0</v>
      </c>
      <c r="J4" s="1">
        <f>IFERROR(__xludf.DUMMYFUNCTION("""COMPUTED_VALUE"""),0.0)</f>
        <v>0</v>
      </c>
      <c r="K4" s="1">
        <f>IFERROR(__xludf.DUMMYFUNCTION("""COMPUTED_VALUE"""),0.0)</f>
        <v>0</v>
      </c>
      <c r="L4" s="1">
        <f>IFERROR(__xludf.DUMMYFUNCTION("""COMPUTED_VALUE"""),19.0)</f>
        <v>19</v>
      </c>
      <c r="M4" s="1">
        <f>IFERROR(__xludf.DUMMYFUNCTION("""COMPUTED_VALUE"""),0.0)</f>
        <v>0</v>
      </c>
      <c r="N4" s="1">
        <f>IFERROR(__xludf.DUMMYFUNCTION("""COMPUTED_VALUE"""),0.0)</f>
        <v>0</v>
      </c>
      <c r="O4" s="1">
        <f>IFERROR(__xludf.DUMMYFUNCTION("""COMPUTED_VALUE"""),2.0)</f>
        <v>2</v>
      </c>
      <c r="P4" s="1">
        <f>IFERROR(__xludf.DUMMYFUNCTION("""COMPUTED_VALUE"""),2.0)</f>
        <v>2</v>
      </c>
    </row>
    <row r="5">
      <c r="A5" s="1" t="str">
        <f>IFERROR(__xludf.DUMMYFUNCTION("""COMPUTED_VALUE"""),"Algérie")</f>
        <v>Algérie</v>
      </c>
      <c r="B5" s="1">
        <f>IFERROR(__xludf.DUMMYFUNCTION("""COMPUTED_VALUE"""),15.0)</f>
        <v>15</v>
      </c>
      <c r="C5" s="1">
        <f>IFERROR(__xludf.DUMMYFUNCTION("""COMPUTED_VALUE"""),7.0)</f>
        <v>7</v>
      </c>
      <c r="D5" s="1">
        <f>IFERROR(__xludf.DUMMYFUNCTION("""COMPUTED_VALUE"""),4.0)</f>
        <v>4</v>
      </c>
      <c r="E5" s="1">
        <f>IFERROR(__xludf.DUMMYFUNCTION("""COMPUTED_VALUE"""),9.0)</f>
        <v>9</v>
      </c>
      <c r="F5" s="1">
        <f>IFERROR(__xludf.DUMMYFUNCTION("""COMPUTED_VALUE"""),20.0)</f>
        <v>20</v>
      </c>
      <c r="G5" s="1">
        <f>IFERROR(__xludf.DUMMYFUNCTION("""COMPUTED_VALUE"""),3.0)</f>
        <v>3</v>
      </c>
      <c r="H5" s="1">
        <f>IFERROR(__xludf.DUMMYFUNCTION("""COMPUTED_VALUE"""),0.0)</f>
        <v>0</v>
      </c>
      <c r="I5" s="1">
        <f>IFERROR(__xludf.DUMMYFUNCTION("""COMPUTED_VALUE"""),0.0)</f>
        <v>0</v>
      </c>
      <c r="J5" s="1">
        <f>IFERROR(__xludf.DUMMYFUNCTION("""COMPUTED_VALUE"""),0.0)</f>
        <v>0</v>
      </c>
      <c r="K5" s="1">
        <f>IFERROR(__xludf.DUMMYFUNCTION("""COMPUTED_VALUE"""),0.0)</f>
        <v>0</v>
      </c>
      <c r="L5" s="1">
        <f>IFERROR(__xludf.DUMMYFUNCTION("""COMPUTED_VALUE"""),18.0)</f>
        <v>18</v>
      </c>
      <c r="M5" s="1">
        <f>IFERROR(__xludf.DUMMYFUNCTION("""COMPUTED_VALUE"""),7.0)</f>
        <v>7</v>
      </c>
      <c r="N5" s="1">
        <f>IFERROR(__xludf.DUMMYFUNCTION("""COMPUTED_VALUE"""),4.0)</f>
        <v>4</v>
      </c>
      <c r="O5" s="1">
        <f>IFERROR(__xludf.DUMMYFUNCTION("""COMPUTED_VALUE"""),9.0)</f>
        <v>9</v>
      </c>
      <c r="P5" s="1">
        <f>IFERROR(__xludf.DUMMYFUNCTION("""COMPUTED_VALUE"""),20.0)</f>
        <v>20</v>
      </c>
    </row>
    <row r="6">
      <c r="A6" s="1" t="str">
        <f>IFERROR(__xludf.DUMMYFUNCTION("""COMPUTED_VALUE"""),"Allemagne[2]")</f>
        <v>Allemagne[2]</v>
      </c>
      <c r="B6" s="1">
        <f>IFERROR(__xludf.DUMMYFUNCTION("""COMPUTED_VALUE"""),25.0)</f>
        <v>25</v>
      </c>
      <c r="C6" s="1">
        <f>IFERROR(__xludf.DUMMYFUNCTION("""COMPUTED_VALUE"""),297.0)</f>
        <v>297</v>
      </c>
      <c r="D6" s="1">
        <f>IFERROR(__xludf.DUMMYFUNCTION("""COMPUTED_VALUE"""),339.0)</f>
        <v>339</v>
      </c>
      <c r="E6" s="1">
        <f>IFERROR(__xludf.DUMMYFUNCTION("""COMPUTED_VALUE"""),371.0)</f>
        <v>371</v>
      </c>
      <c r="F6" s="1">
        <f>IFERROR(__xludf.DUMMYFUNCTION("""COMPUTED_VALUE"""),1007.0)</f>
        <v>1007</v>
      </c>
      <c r="G6" s="1">
        <f>IFERROR(__xludf.DUMMYFUNCTION("""COMPUTED_VALUE"""),21.0)</f>
        <v>21</v>
      </c>
      <c r="H6" s="1">
        <f>IFERROR(__xludf.DUMMYFUNCTION("""COMPUTED_VALUE"""),111.0)</f>
        <v>111</v>
      </c>
      <c r="I6" s="1">
        <f>IFERROR(__xludf.DUMMYFUNCTION("""COMPUTED_VALUE"""),109.0)</f>
        <v>109</v>
      </c>
      <c r="J6" s="1">
        <f>IFERROR(__xludf.DUMMYFUNCTION("""COMPUTED_VALUE"""),78.0)</f>
        <v>78</v>
      </c>
      <c r="K6" s="1">
        <f>IFERROR(__xludf.DUMMYFUNCTION("""COMPUTED_VALUE"""),298.0)</f>
        <v>298</v>
      </c>
      <c r="L6" s="1">
        <f>IFERROR(__xludf.DUMMYFUNCTION("""COMPUTED_VALUE"""),46.0)</f>
        <v>46</v>
      </c>
      <c r="M6" s="1">
        <f>IFERROR(__xludf.DUMMYFUNCTION("""COMPUTED_VALUE"""),408.0)</f>
        <v>408</v>
      </c>
      <c r="N6" s="1">
        <f>IFERROR(__xludf.DUMMYFUNCTION("""COMPUTED_VALUE"""),448.0)</f>
        <v>448</v>
      </c>
      <c r="O6" s="1">
        <f>IFERROR(__xludf.DUMMYFUNCTION("""COMPUTED_VALUE"""),449.0)</f>
        <v>449</v>
      </c>
      <c r="P6" s="1">
        <f>IFERROR(__xludf.DUMMYFUNCTION("""COMPUTED_VALUE"""),1305.0)</f>
        <v>1305</v>
      </c>
    </row>
    <row r="7">
      <c r="A7" s="1" t="str">
        <f>IFERROR(__xludf.DUMMYFUNCTION("""COMPUTED_VALUE"""),"*Allemagne de l'Est*[3]")</f>
        <v>*Allemagne de l'Est*[3]</v>
      </c>
      <c r="B7" s="1">
        <f>IFERROR(__xludf.DUMMYFUNCTION("""COMPUTED_VALUE"""),5.0)</f>
        <v>5</v>
      </c>
      <c r="C7" s="1">
        <f>IFERROR(__xludf.DUMMYFUNCTION("""COMPUTED_VALUE"""),153.0)</f>
        <v>153</v>
      </c>
      <c r="D7" s="1">
        <f>IFERROR(__xludf.DUMMYFUNCTION("""COMPUTED_VALUE"""),129.0)</f>
        <v>129</v>
      </c>
      <c r="E7" s="1">
        <f>IFERROR(__xludf.DUMMYFUNCTION("""COMPUTED_VALUE"""),127.0)</f>
        <v>127</v>
      </c>
      <c r="F7" s="1">
        <f>IFERROR(__xludf.DUMMYFUNCTION("""COMPUTED_VALUE"""),409.0)</f>
        <v>409</v>
      </c>
      <c r="G7" s="1">
        <f>IFERROR(__xludf.DUMMYFUNCTION("""COMPUTED_VALUE"""),6.0)</f>
        <v>6</v>
      </c>
      <c r="H7" s="1">
        <f>IFERROR(__xludf.DUMMYFUNCTION("""COMPUTED_VALUE"""),39.0)</f>
        <v>39</v>
      </c>
      <c r="I7" s="1">
        <f>IFERROR(__xludf.DUMMYFUNCTION("""COMPUTED_VALUE"""),36.0)</f>
        <v>36</v>
      </c>
      <c r="J7" s="1">
        <f>IFERROR(__xludf.DUMMYFUNCTION("""COMPUTED_VALUE"""),35.0)</f>
        <v>35</v>
      </c>
      <c r="K7" s="1">
        <f>IFERROR(__xludf.DUMMYFUNCTION("""COMPUTED_VALUE"""),110.0)</f>
        <v>110</v>
      </c>
      <c r="L7" s="1">
        <f>IFERROR(__xludf.DUMMYFUNCTION("""COMPUTED_VALUE"""),11.0)</f>
        <v>11</v>
      </c>
      <c r="M7" s="1">
        <f>IFERROR(__xludf.DUMMYFUNCTION("""COMPUTED_VALUE"""),192.0)</f>
        <v>192</v>
      </c>
      <c r="N7" s="1">
        <f>IFERROR(__xludf.DUMMYFUNCTION("""COMPUTED_VALUE"""),165.0)</f>
        <v>165</v>
      </c>
      <c r="O7" s="1">
        <f>IFERROR(__xludf.DUMMYFUNCTION("""COMPUTED_VALUE"""),162.0)</f>
        <v>162</v>
      </c>
      <c r="P7" s="1">
        <f>IFERROR(__xludf.DUMMYFUNCTION("""COMPUTED_VALUE"""),519.0)</f>
        <v>519</v>
      </c>
    </row>
    <row r="8">
      <c r="A8" s="1" t="str">
        <f>IFERROR(__xludf.DUMMYFUNCTION("""COMPUTED_VALUE"""),"*Antilles néerlandaises*")</f>
        <v>*Antilles néerlandaises*</v>
      </c>
      <c r="B8" s="1">
        <f>IFERROR(__xludf.DUMMYFUNCTION("""COMPUTED_VALUE"""),13.0)</f>
        <v>13</v>
      </c>
      <c r="C8" s="1">
        <f>IFERROR(__xludf.DUMMYFUNCTION("""COMPUTED_VALUE"""),0.0)</f>
        <v>0</v>
      </c>
      <c r="D8" s="1">
        <f>IFERROR(__xludf.DUMMYFUNCTION("""COMPUTED_VALUE"""),1.0)</f>
        <v>1</v>
      </c>
      <c r="E8" s="1">
        <f>IFERROR(__xludf.DUMMYFUNCTION("""COMPUTED_VALUE"""),0.0)</f>
        <v>0</v>
      </c>
      <c r="F8" s="1">
        <f>IFERROR(__xludf.DUMMYFUNCTION("""COMPUTED_VALUE"""),1.0)</f>
        <v>1</v>
      </c>
      <c r="G8" s="1">
        <f>IFERROR(__xludf.DUMMYFUNCTION("""COMPUTED_VALUE"""),2.0)</f>
        <v>2</v>
      </c>
      <c r="H8" s="1">
        <f>IFERROR(__xludf.DUMMYFUNCTION("""COMPUTED_VALUE"""),0.0)</f>
        <v>0</v>
      </c>
      <c r="I8" s="1">
        <f>IFERROR(__xludf.DUMMYFUNCTION("""COMPUTED_VALUE"""),0.0)</f>
        <v>0</v>
      </c>
      <c r="J8" s="1">
        <f>IFERROR(__xludf.DUMMYFUNCTION("""COMPUTED_VALUE"""),0.0)</f>
        <v>0</v>
      </c>
      <c r="K8" s="1">
        <f>IFERROR(__xludf.DUMMYFUNCTION("""COMPUTED_VALUE"""),0.0)</f>
        <v>0</v>
      </c>
      <c r="L8" s="1">
        <f>IFERROR(__xludf.DUMMYFUNCTION("""COMPUTED_VALUE"""),15.0)</f>
        <v>15</v>
      </c>
      <c r="M8" s="1">
        <f>IFERROR(__xludf.DUMMYFUNCTION("""COMPUTED_VALUE"""),0.0)</f>
        <v>0</v>
      </c>
      <c r="N8" s="1">
        <f>IFERROR(__xludf.DUMMYFUNCTION("""COMPUTED_VALUE"""),1.0)</f>
        <v>1</v>
      </c>
      <c r="O8" s="1">
        <f>IFERROR(__xludf.DUMMYFUNCTION("""COMPUTED_VALUE"""),0.0)</f>
        <v>0</v>
      </c>
      <c r="P8" s="1">
        <f>IFERROR(__xludf.DUMMYFUNCTION("""COMPUTED_VALUE"""),1.0)</f>
        <v>1</v>
      </c>
    </row>
    <row r="9">
      <c r="A9" s="1" t="str">
        <f>IFERROR(__xludf.DUMMYFUNCTION("""COMPUTED_VALUE"""),"Arabie saoudite")</f>
        <v>Arabie saoudite</v>
      </c>
      <c r="B9" s="1">
        <f>IFERROR(__xludf.DUMMYFUNCTION("""COMPUTED_VALUE"""),12.0)</f>
        <v>12</v>
      </c>
      <c r="C9" s="1">
        <f>IFERROR(__xludf.DUMMYFUNCTION("""COMPUTED_VALUE"""),0.0)</f>
        <v>0</v>
      </c>
      <c r="D9" s="1">
        <f>IFERROR(__xludf.DUMMYFUNCTION("""COMPUTED_VALUE"""),2.0)</f>
        <v>2</v>
      </c>
      <c r="E9" s="1">
        <f>IFERROR(__xludf.DUMMYFUNCTION("""COMPUTED_VALUE"""),2.0)</f>
        <v>2</v>
      </c>
      <c r="F9" s="1">
        <f>IFERROR(__xludf.DUMMYFUNCTION("""COMPUTED_VALUE"""),4.0)</f>
        <v>4</v>
      </c>
      <c r="G9" s="1">
        <f>IFERROR(__xludf.DUMMYFUNCTION("""COMPUTED_VALUE"""),0.0)</f>
        <v>0</v>
      </c>
      <c r="H9" s="1">
        <f>IFERROR(__xludf.DUMMYFUNCTION("""COMPUTED_VALUE"""),0.0)</f>
        <v>0</v>
      </c>
      <c r="I9" s="1">
        <f>IFERROR(__xludf.DUMMYFUNCTION("""COMPUTED_VALUE"""),0.0)</f>
        <v>0</v>
      </c>
      <c r="J9" s="1">
        <f>IFERROR(__xludf.DUMMYFUNCTION("""COMPUTED_VALUE"""),0.0)</f>
        <v>0</v>
      </c>
      <c r="K9" s="1">
        <f>IFERROR(__xludf.DUMMYFUNCTION("""COMPUTED_VALUE"""),0.0)</f>
        <v>0</v>
      </c>
      <c r="L9" s="1">
        <f>IFERROR(__xludf.DUMMYFUNCTION("""COMPUTED_VALUE"""),12.0)</f>
        <v>12</v>
      </c>
      <c r="M9" s="1">
        <f>IFERROR(__xludf.DUMMYFUNCTION("""COMPUTED_VALUE"""),0.0)</f>
        <v>0</v>
      </c>
      <c r="N9" s="1">
        <f>IFERROR(__xludf.DUMMYFUNCTION("""COMPUTED_VALUE"""),2.0)</f>
        <v>2</v>
      </c>
      <c r="O9" s="1">
        <f>IFERROR(__xludf.DUMMYFUNCTION("""COMPUTED_VALUE"""),2.0)</f>
        <v>2</v>
      </c>
      <c r="P9" s="1">
        <f>IFERROR(__xludf.DUMMYFUNCTION("""COMPUTED_VALUE"""),4.0)</f>
        <v>4</v>
      </c>
    </row>
    <row r="10">
      <c r="A10" s="1" t="str">
        <f>IFERROR(__xludf.DUMMYFUNCTION("""COMPUTED_VALUE"""),"Argentine")</f>
        <v>Argentine</v>
      </c>
      <c r="B10" s="1">
        <f>IFERROR(__xludf.DUMMYFUNCTION("""COMPUTED_VALUE"""),25.0)</f>
        <v>25</v>
      </c>
      <c r="C10" s="1">
        <f>IFERROR(__xludf.DUMMYFUNCTION("""COMPUTED_VALUE"""),21.0)</f>
        <v>21</v>
      </c>
      <c r="D10" s="1">
        <f>IFERROR(__xludf.DUMMYFUNCTION("""COMPUTED_VALUE"""),26.0)</f>
        <v>26</v>
      </c>
      <c r="E10" s="1">
        <f>IFERROR(__xludf.DUMMYFUNCTION("""COMPUTED_VALUE"""),30.0)</f>
        <v>30</v>
      </c>
      <c r="F10" s="1">
        <f>IFERROR(__xludf.DUMMYFUNCTION("""COMPUTED_VALUE"""),77.0)</f>
        <v>77</v>
      </c>
      <c r="G10" s="1">
        <f>IFERROR(__xludf.DUMMYFUNCTION("""COMPUTED_VALUE"""),19.0)</f>
        <v>19</v>
      </c>
      <c r="H10" s="1">
        <f>IFERROR(__xludf.DUMMYFUNCTION("""COMPUTED_VALUE"""),0.0)</f>
        <v>0</v>
      </c>
      <c r="I10" s="1">
        <f>IFERROR(__xludf.DUMMYFUNCTION("""COMPUTED_VALUE"""),0.0)</f>
        <v>0</v>
      </c>
      <c r="J10" s="1">
        <f>IFERROR(__xludf.DUMMYFUNCTION("""COMPUTED_VALUE"""),0.0)</f>
        <v>0</v>
      </c>
      <c r="K10" s="1">
        <f>IFERROR(__xludf.DUMMYFUNCTION("""COMPUTED_VALUE"""),0.0)</f>
        <v>0</v>
      </c>
      <c r="L10" s="1">
        <f>IFERROR(__xludf.DUMMYFUNCTION("""COMPUTED_VALUE"""),44.0)</f>
        <v>44</v>
      </c>
      <c r="M10" s="1">
        <f>IFERROR(__xludf.DUMMYFUNCTION("""COMPUTED_VALUE"""),21.0)</f>
        <v>21</v>
      </c>
      <c r="N10" s="1">
        <f>IFERROR(__xludf.DUMMYFUNCTION("""COMPUTED_VALUE"""),26.0)</f>
        <v>26</v>
      </c>
      <c r="O10" s="1">
        <f>IFERROR(__xludf.DUMMYFUNCTION("""COMPUTED_VALUE"""),30.0)</f>
        <v>30</v>
      </c>
      <c r="P10" s="1">
        <f>IFERROR(__xludf.DUMMYFUNCTION("""COMPUTED_VALUE"""),77.0)</f>
        <v>77</v>
      </c>
    </row>
    <row r="11">
      <c r="A11" s="1" t="str">
        <f>IFERROR(__xludf.DUMMYFUNCTION("""COMPUTED_VALUE"""),"Arménie")</f>
        <v>Arménie</v>
      </c>
      <c r="B11" s="1">
        <f>IFERROR(__xludf.DUMMYFUNCTION("""COMPUTED_VALUE"""),8.0)</f>
        <v>8</v>
      </c>
      <c r="C11" s="1">
        <f>IFERROR(__xludf.DUMMYFUNCTION("""COMPUTED_VALUE"""),2.0)</f>
        <v>2</v>
      </c>
      <c r="D11" s="1">
        <f>IFERROR(__xludf.DUMMYFUNCTION("""COMPUTED_VALUE"""),11.0)</f>
        <v>11</v>
      </c>
      <c r="E11" s="1">
        <f>IFERROR(__xludf.DUMMYFUNCTION("""COMPUTED_VALUE"""),9.0)</f>
        <v>9</v>
      </c>
      <c r="F11" s="1">
        <f>IFERROR(__xludf.DUMMYFUNCTION("""COMPUTED_VALUE"""),22.0)</f>
        <v>22</v>
      </c>
      <c r="G11" s="1">
        <f>IFERROR(__xludf.DUMMYFUNCTION("""COMPUTED_VALUE"""),7.0)</f>
        <v>7</v>
      </c>
      <c r="H11" s="1">
        <f>IFERROR(__xludf.DUMMYFUNCTION("""COMPUTED_VALUE"""),0.0)</f>
        <v>0</v>
      </c>
      <c r="I11" s="1">
        <f>IFERROR(__xludf.DUMMYFUNCTION("""COMPUTED_VALUE"""),0.0)</f>
        <v>0</v>
      </c>
      <c r="J11" s="1">
        <f>IFERROR(__xludf.DUMMYFUNCTION("""COMPUTED_VALUE"""),0.0)</f>
        <v>0</v>
      </c>
      <c r="K11" s="1">
        <f>IFERROR(__xludf.DUMMYFUNCTION("""COMPUTED_VALUE"""),0.0)</f>
        <v>0</v>
      </c>
      <c r="L11" s="1">
        <f>IFERROR(__xludf.DUMMYFUNCTION("""COMPUTED_VALUE"""),15.0)</f>
        <v>15</v>
      </c>
      <c r="M11" s="1">
        <f>IFERROR(__xludf.DUMMYFUNCTION("""COMPUTED_VALUE"""),2.0)</f>
        <v>2</v>
      </c>
      <c r="N11" s="1">
        <f>IFERROR(__xludf.DUMMYFUNCTION("""COMPUTED_VALUE"""),11.0)</f>
        <v>11</v>
      </c>
      <c r="O11" s="1">
        <f>IFERROR(__xludf.DUMMYFUNCTION("""COMPUTED_VALUE"""),9.0)</f>
        <v>9</v>
      </c>
      <c r="P11" s="1">
        <f>IFERROR(__xludf.DUMMYFUNCTION("""COMPUTED_VALUE"""),22.0)</f>
        <v>22</v>
      </c>
    </row>
    <row r="12">
      <c r="A12" s="1" t="str">
        <f>IFERROR(__xludf.DUMMYFUNCTION("""COMPUTED_VALUE"""),"*Athlètes indépendants*[4]")</f>
        <v>*Athlètes indépendants*[4]</v>
      </c>
      <c r="B12" s="1">
        <f>IFERROR(__xludf.DUMMYFUNCTION("""COMPUTED_VALUE"""),4.0)</f>
        <v>4</v>
      </c>
      <c r="C12" s="1">
        <f>IFERROR(__xludf.DUMMYFUNCTION("""COMPUTED_VALUE"""),1.0)</f>
        <v>1</v>
      </c>
      <c r="D12" s="1">
        <f>IFERROR(__xludf.DUMMYFUNCTION("""COMPUTED_VALUE"""),1.0)</f>
        <v>1</v>
      </c>
      <c r="E12" s="1">
        <f>IFERROR(__xludf.DUMMYFUNCTION("""COMPUTED_VALUE"""),3.0)</f>
        <v>3</v>
      </c>
      <c r="F12" s="1">
        <f>IFERROR(__xludf.DUMMYFUNCTION("""COMPUTED_VALUE"""),5.0)</f>
        <v>5</v>
      </c>
      <c r="G12" s="1">
        <f>IFERROR(__xludf.DUMMYFUNCTION("""COMPUTED_VALUE"""),0.0)</f>
        <v>0</v>
      </c>
      <c r="H12" s="1">
        <f>IFERROR(__xludf.DUMMYFUNCTION("""COMPUTED_VALUE"""),0.0)</f>
        <v>0</v>
      </c>
      <c r="I12" s="1">
        <f>IFERROR(__xludf.DUMMYFUNCTION("""COMPUTED_VALUE"""),0.0)</f>
        <v>0</v>
      </c>
      <c r="J12" s="1">
        <f>IFERROR(__xludf.DUMMYFUNCTION("""COMPUTED_VALUE"""),0.0)</f>
        <v>0</v>
      </c>
      <c r="K12" s="1">
        <f>IFERROR(__xludf.DUMMYFUNCTION("""COMPUTED_VALUE"""),0.0)</f>
        <v>0</v>
      </c>
      <c r="L12" s="1">
        <f>IFERROR(__xludf.DUMMYFUNCTION("""COMPUTED_VALUE"""),4.0)</f>
        <v>4</v>
      </c>
      <c r="M12" s="1">
        <f>IFERROR(__xludf.DUMMYFUNCTION("""COMPUTED_VALUE"""),1.0)</f>
        <v>1</v>
      </c>
      <c r="N12" s="1">
        <f>IFERROR(__xludf.DUMMYFUNCTION("""COMPUTED_VALUE"""),1.0)</f>
        <v>1</v>
      </c>
      <c r="O12" s="1">
        <f>IFERROR(__xludf.DUMMYFUNCTION("""COMPUTED_VALUE"""),3.0)</f>
        <v>3</v>
      </c>
      <c r="P12" s="1">
        <f>IFERROR(__xludf.DUMMYFUNCTION("""COMPUTED_VALUE"""),5.0)</f>
        <v>5</v>
      </c>
    </row>
    <row r="13">
      <c r="A13" s="1" t="str">
        <f>IFERROR(__xludf.DUMMYFUNCTION("""COMPUTED_VALUE"""),"*Athlètes olympiques de Russie*")</f>
        <v>*Athlètes olympiques de Russie*</v>
      </c>
      <c r="B13" s="1">
        <f>IFERROR(__xludf.DUMMYFUNCTION("""COMPUTED_VALUE"""),0.0)</f>
        <v>0</v>
      </c>
      <c r="C13" s="1">
        <f>IFERROR(__xludf.DUMMYFUNCTION("""COMPUTED_VALUE"""),0.0)</f>
        <v>0</v>
      </c>
      <c r="D13" s="1">
        <f>IFERROR(__xludf.DUMMYFUNCTION("""COMPUTED_VALUE"""),0.0)</f>
        <v>0</v>
      </c>
      <c r="E13" s="1">
        <f>IFERROR(__xludf.DUMMYFUNCTION("""COMPUTED_VALUE"""),0.0)</f>
        <v>0</v>
      </c>
      <c r="F13" s="1">
        <f>IFERROR(__xludf.DUMMYFUNCTION("""COMPUTED_VALUE"""),0.0)</f>
        <v>0</v>
      </c>
      <c r="G13" s="1">
        <f>IFERROR(__xludf.DUMMYFUNCTION("""COMPUTED_VALUE"""),1.0)</f>
        <v>1</v>
      </c>
      <c r="H13" s="1">
        <f>IFERROR(__xludf.DUMMYFUNCTION("""COMPUTED_VALUE"""),2.0)</f>
        <v>2</v>
      </c>
      <c r="I13" s="1">
        <f>IFERROR(__xludf.DUMMYFUNCTION("""COMPUTED_VALUE"""),6.0)</f>
        <v>6</v>
      </c>
      <c r="J13" s="1">
        <f>IFERROR(__xludf.DUMMYFUNCTION("""COMPUTED_VALUE"""),9.0)</f>
        <v>9</v>
      </c>
      <c r="K13" s="1">
        <f>IFERROR(__xludf.DUMMYFUNCTION("""COMPUTED_VALUE"""),17.0)</f>
        <v>17</v>
      </c>
      <c r="L13" s="1">
        <f>IFERROR(__xludf.DUMMYFUNCTION("""COMPUTED_VALUE"""),1.0)</f>
        <v>1</v>
      </c>
      <c r="M13" s="1">
        <f>IFERROR(__xludf.DUMMYFUNCTION("""COMPUTED_VALUE"""),2.0)</f>
        <v>2</v>
      </c>
      <c r="N13" s="1">
        <f>IFERROR(__xludf.DUMMYFUNCTION("""COMPUTED_VALUE"""),6.0)</f>
        <v>6</v>
      </c>
      <c r="O13" s="1">
        <f>IFERROR(__xludf.DUMMYFUNCTION("""COMPUTED_VALUE"""),9.0)</f>
        <v>9</v>
      </c>
      <c r="P13" s="1">
        <f>IFERROR(__xludf.DUMMYFUNCTION("""COMPUTED_VALUE"""),17.0)</f>
        <v>17</v>
      </c>
    </row>
    <row r="14">
      <c r="A14" s="1" t="str">
        <f>IFERROR(__xludf.DUMMYFUNCTION("""COMPUTED_VALUE"""),"*Australasie*[5]")</f>
        <v>*Australasie*[5]</v>
      </c>
      <c r="B14" s="1">
        <f>IFERROR(__xludf.DUMMYFUNCTION("""COMPUTED_VALUE"""),2.0)</f>
        <v>2</v>
      </c>
      <c r="C14" s="1">
        <f>IFERROR(__xludf.DUMMYFUNCTION("""COMPUTED_VALUE"""),3.0)</f>
        <v>3</v>
      </c>
      <c r="D14" s="1">
        <f>IFERROR(__xludf.DUMMYFUNCTION("""COMPUTED_VALUE"""),4.0)</f>
        <v>4</v>
      </c>
      <c r="E14" s="1">
        <f>IFERROR(__xludf.DUMMYFUNCTION("""COMPUTED_VALUE"""),5.0)</f>
        <v>5</v>
      </c>
      <c r="F14" s="1">
        <f>IFERROR(__xludf.DUMMYFUNCTION("""COMPUTED_VALUE"""),12.0)</f>
        <v>12</v>
      </c>
      <c r="G14" s="1">
        <f>IFERROR(__xludf.DUMMYFUNCTION("""COMPUTED_VALUE"""),0.0)</f>
        <v>0</v>
      </c>
      <c r="H14" s="1">
        <f>IFERROR(__xludf.DUMMYFUNCTION("""COMPUTED_VALUE"""),0.0)</f>
        <v>0</v>
      </c>
      <c r="I14" s="1">
        <f>IFERROR(__xludf.DUMMYFUNCTION("""COMPUTED_VALUE"""),0.0)</f>
        <v>0</v>
      </c>
      <c r="J14" s="1">
        <f>IFERROR(__xludf.DUMMYFUNCTION("""COMPUTED_VALUE"""),0.0)</f>
        <v>0</v>
      </c>
      <c r="K14" s="1">
        <f>IFERROR(__xludf.DUMMYFUNCTION("""COMPUTED_VALUE"""),0.0)</f>
        <v>0</v>
      </c>
      <c r="L14" s="1">
        <f>IFERROR(__xludf.DUMMYFUNCTION("""COMPUTED_VALUE"""),2.0)</f>
        <v>2</v>
      </c>
      <c r="M14" s="1">
        <f>IFERROR(__xludf.DUMMYFUNCTION("""COMPUTED_VALUE"""),3.0)</f>
        <v>3</v>
      </c>
      <c r="N14" s="1">
        <f>IFERROR(__xludf.DUMMYFUNCTION("""COMPUTED_VALUE"""),4.0)</f>
        <v>4</v>
      </c>
      <c r="O14" s="1">
        <f>IFERROR(__xludf.DUMMYFUNCTION("""COMPUTED_VALUE"""),5.0)</f>
        <v>5</v>
      </c>
      <c r="P14" s="1">
        <f>IFERROR(__xludf.DUMMYFUNCTION("""COMPUTED_VALUE"""),12.0)</f>
        <v>12</v>
      </c>
    </row>
    <row r="15">
      <c r="A15" s="1" t="str">
        <f>IFERROR(__xludf.DUMMYFUNCTION("""COMPUTED_VALUE"""),"Australie[6],[7]")</f>
        <v>Australie[6],[7]</v>
      </c>
      <c r="B15" s="1">
        <f>IFERROR(__xludf.DUMMYFUNCTION("""COMPUTED_VALUE"""),27.0)</f>
        <v>27</v>
      </c>
      <c r="C15" s="1">
        <f>IFERROR(__xludf.DUMMYFUNCTION("""COMPUTED_VALUE"""),182.0)</f>
        <v>182</v>
      </c>
      <c r="D15" s="1">
        <f>IFERROR(__xludf.DUMMYFUNCTION("""COMPUTED_VALUE"""),192.0)</f>
        <v>192</v>
      </c>
      <c r="E15" s="1">
        <f>IFERROR(__xludf.DUMMYFUNCTION("""COMPUTED_VALUE"""),226.0)</f>
        <v>226</v>
      </c>
      <c r="F15" s="1">
        <f>IFERROR(__xludf.DUMMYFUNCTION("""COMPUTED_VALUE"""),600.0)</f>
        <v>600</v>
      </c>
      <c r="G15" s="1">
        <f>IFERROR(__xludf.DUMMYFUNCTION("""COMPUTED_VALUE"""),19.0)</f>
        <v>19</v>
      </c>
      <c r="H15" s="1">
        <f>IFERROR(__xludf.DUMMYFUNCTION("""COMPUTED_VALUE"""),5.0)</f>
        <v>5</v>
      </c>
      <c r="I15" s="1">
        <f>IFERROR(__xludf.DUMMYFUNCTION("""COMPUTED_VALUE"""),5.0)</f>
        <v>5</v>
      </c>
      <c r="J15" s="1">
        <f>IFERROR(__xludf.DUMMYFUNCTION("""COMPUTED_VALUE"""),5.0)</f>
        <v>5</v>
      </c>
      <c r="K15" s="1">
        <f>IFERROR(__xludf.DUMMYFUNCTION("""COMPUTED_VALUE"""),15.0)</f>
        <v>15</v>
      </c>
      <c r="L15" s="1">
        <f>IFERROR(__xludf.DUMMYFUNCTION("""COMPUTED_VALUE"""),46.0)</f>
        <v>46</v>
      </c>
      <c r="M15" s="1">
        <f>IFERROR(__xludf.DUMMYFUNCTION("""COMPUTED_VALUE"""),187.0)</f>
        <v>187</v>
      </c>
      <c r="N15" s="1">
        <f>IFERROR(__xludf.DUMMYFUNCTION("""COMPUTED_VALUE"""),197.0)</f>
        <v>197</v>
      </c>
      <c r="O15" s="1">
        <f>IFERROR(__xludf.DUMMYFUNCTION("""COMPUTED_VALUE"""),231.0)</f>
        <v>231</v>
      </c>
      <c r="P15" s="1">
        <f>IFERROR(__xludf.DUMMYFUNCTION("""COMPUTED_VALUE"""),615.0)</f>
        <v>615</v>
      </c>
    </row>
    <row r="16">
      <c r="A16" s="1" t="str">
        <f>IFERROR(__xludf.DUMMYFUNCTION("""COMPUTED_VALUE"""),"Autriche")</f>
        <v>Autriche</v>
      </c>
      <c r="B16" s="1">
        <f>IFERROR(__xludf.DUMMYFUNCTION("""COMPUTED_VALUE"""),28.0)</f>
        <v>28</v>
      </c>
      <c r="C16" s="1">
        <f>IFERROR(__xludf.DUMMYFUNCTION("""COMPUTED_VALUE"""),19.0)</f>
        <v>19</v>
      </c>
      <c r="D16" s="1">
        <f>IFERROR(__xludf.DUMMYFUNCTION("""COMPUTED_VALUE"""),34.0)</f>
        <v>34</v>
      </c>
      <c r="E16" s="1">
        <f>IFERROR(__xludf.DUMMYFUNCTION("""COMPUTED_VALUE"""),41.0)</f>
        <v>41</v>
      </c>
      <c r="F16" s="1">
        <f>IFERROR(__xludf.DUMMYFUNCTION("""COMPUTED_VALUE"""),94.0)</f>
        <v>94</v>
      </c>
      <c r="G16" s="1">
        <f>IFERROR(__xludf.DUMMYFUNCTION("""COMPUTED_VALUE"""),23.0)</f>
        <v>23</v>
      </c>
      <c r="H16" s="1">
        <f>IFERROR(__xludf.DUMMYFUNCTION("""COMPUTED_VALUE"""),64.0)</f>
        <v>64</v>
      </c>
      <c r="I16" s="1">
        <f>IFERROR(__xludf.DUMMYFUNCTION("""COMPUTED_VALUE"""),81.0)</f>
        <v>81</v>
      </c>
      <c r="J16" s="1">
        <f>IFERROR(__xludf.DUMMYFUNCTION("""COMPUTED_VALUE"""),87.0)</f>
        <v>87</v>
      </c>
      <c r="K16" s="1">
        <f>IFERROR(__xludf.DUMMYFUNCTION("""COMPUTED_VALUE"""),232.0)</f>
        <v>232</v>
      </c>
      <c r="L16" s="1">
        <f>IFERROR(__xludf.DUMMYFUNCTION("""COMPUTED_VALUE"""),51.0)</f>
        <v>51</v>
      </c>
      <c r="M16" s="1">
        <f>IFERROR(__xludf.DUMMYFUNCTION("""COMPUTED_VALUE"""),83.0)</f>
        <v>83</v>
      </c>
      <c r="N16" s="1">
        <f>IFERROR(__xludf.DUMMYFUNCTION("""COMPUTED_VALUE"""),115.0)</f>
        <v>115</v>
      </c>
      <c r="O16" s="1">
        <f>IFERROR(__xludf.DUMMYFUNCTION("""COMPUTED_VALUE"""),128.0)</f>
        <v>128</v>
      </c>
      <c r="P16" s="1">
        <f>IFERROR(__xludf.DUMMYFUNCTION("""COMPUTED_VALUE"""),326.0)</f>
        <v>326</v>
      </c>
    </row>
    <row r="17">
      <c r="A17" s="1" t="str">
        <f>IFERROR(__xludf.DUMMYFUNCTION("""COMPUTED_VALUE"""),"Azerbaïdjan")</f>
        <v>Azerbaïdjan</v>
      </c>
      <c r="B17" s="1">
        <f>IFERROR(__xludf.DUMMYFUNCTION("""COMPUTED_VALUE"""),7.0)</f>
        <v>7</v>
      </c>
      <c r="C17" s="1">
        <f>IFERROR(__xludf.DUMMYFUNCTION("""COMPUTED_VALUE"""),7.0)</f>
        <v>7</v>
      </c>
      <c r="D17" s="1">
        <f>IFERROR(__xludf.DUMMYFUNCTION("""COMPUTED_VALUE"""),14.0)</f>
        <v>14</v>
      </c>
      <c r="E17" s="1">
        <f>IFERROR(__xludf.DUMMYFUNCTION("""COMPUTED_VALUE"""),28.0)</f>
        <v>28</v>
      </c>
      <c r="F17" s="1">
        <f>IFERROR(__xludf.DUMMYFUNCTION("""COMPUTED_VALUE"""),49.0)</f>
        <v>49</v>
      </c>
      <c r="G17" s="1">
        <f>IFERROR(__xludf.DUMMYFUNCTION("""COMPUTED_VALUE"""),6.0)</f>
        <v>6</v>
      </c>
      <c r="H17" s="1">
        <f>IFERROR(__xludf.DUMMYFUNCTION("""COMPUTED_VALUE"""),0.0)</f>
        <v>0</v>
      </c>
      <c r="I17" s="1">
        <f>IFERROR(__xludf.DUMMYFUNCTION("""COMPUTED_VALUE"""),0.0)</f>
        <v>0</v>
      </c>
      <c r="J17" s="1">
        <f>IFERROR(__xludf.DUMMYFUNCTION("""COMPUTED_VALUE"""),0.0)</f>
        <v>0</v>
      </c>
      <c r="K17" s="1">
        <f>IFERROR(__xludf.DUMMYFUNCTION("""COMPUTED_VALUE"""),0.0)</f>
        <v>0</v>
      </c>
      <c r="L17" s="1">
        <f>IFERROR(__xludf.DUMMYFUNCTION("""COMPUTED_VALUE"""),13.0)</f>
        <v>13</v>
      </c>
      <c r="M17" s="1">
        <f>IFERROR(__xludf.DUMMYFUNCTION("""COMPUTED_VALUE"""),7.0)</f>
        <v>7</v>
      </c>
      <c r="N17" s="1">
        <f>IFERROR(__xludf.DUMMYFUNCTION("""COMPUTED_VALUE"""),14.0)</f>
        <v>14</v>
      </c>
      <c r="O17" s="1">
        <f>IFERROR(__xludf.DUMMYFUNCTION("""COMPUTED_VALUE"""),28.0)</f>
        <v>28</v>
      </c>
      <c r="P17" s="1">
        <f>IFERROR(__xludf.DUMMYFUNCTION("""COMPUTED_VALUE"""),49.0)</f>
        <v>49</v>
      </c>
    </row>
    <row r="18">
      <c r="A18" s="1" t="str">
        <f>IFERROR(__xludf.DUMMYFUNCTION("""COMPUTED_VALUE"""),"Bahamas")</f>
        <v>Bahamas</v>
      </c>
      <c r="B18" s="1">
        <f>IFERROR(__xludf.DUMMYFUNCTION("""COMPUTED_VALUE"""),18.0)</f>
        <v>18</v>
      </c>
      <c r="C18" s="1">
        <f>IFERROR(__xludf.DUMMYFUNCTION("""COMPUTED_VALUE"""),8.0)</f>
        <v>8</v>
      </c>
      <c r="D18" s="1">
        <f>IFERROR(__xludf.DUMMYFUNCTION("""COMPUTED_VALUE"""),2.0)</f>
        <v>2</v>
      </c>
      <c r="E18" s="1">
        <f>IFERROR(__xludf.DUMMYFUNCTION("""COMPUTED_VALUE"""),6.0)</f>
        <v>6</v>
      </c>
      <c r="F18" s="1">
        <f>IFERROR(__xludf.DUMMYFUNCTION("""COMPUTED_VALUE"""),16.0)</f>
        <v>16</v>
      </c>
      <c r="G18" s="1">
        <f>IFERROR(__xludf.DUMMYFUNCTION("""COMPUTED_VALUE"""),0.0)</f>
        <v>0</v>
      </c>
      <c r="H18" s="1">
        <f>IFERROR(__xludf.DUMMYFUNCTION("""COMPUTED_VALUE"""),0.0)</f>
        <v>0</v>
      </c>
      <c r="I18" s="1">
        <f>IFERROR(__xludf.DUMMYFUNCTION("""COMPUTED_VALUE"""),0.0)</f>
        <v>0</v>
      </c>
      <c r="J18" s="1">
        <f>IFERROR(__xludf.DUMMYFUNCTION("""COMPUTED_VALUE"""),0.0)</f>
        <v>0</v>
      </c>
      <c r="K18" s="1">
        <f>IFERROR(__xludf.DUMMYFUNCTION("""COMPUTED_VALUE"""),0.0)</f>
        <v>0</v>
      </c>
      <c r="L18" s="1">
        <f>IFERROR(__xludf.DUMMYFUNCTION("""COMPUTED_VALUE"""),18.0)</f>
        <v>18</v>
      </c>
      <c r="M18" s="1">
        <f>IFERROR(__xludf.DUMMYFUNCTION("""COMPUTED_VALUE"""),8.0)</f>
        <v>8</v>
      </c>
      <c r="N18" s="1">
        <f>IFERROR(__xludf.DUMMYFUNCTION("""COMPUTED_VALUE"""),2.0)</f>
        <v>2</v>
      </c>
      <c r="O18" s="1">
        <f>IFERROR(__xludf.DUMMYFUNCTION("""COMPUTED_VALUE"""),6.0)</f>
        <v>6</v>
      </c>
      <c r="P18" s="1">
        <f>IFERROR(__xludf.DUMMYFUNCTION("""COMPUTED_VALUE"""),16.0)</f>
        <v>16</v>
      </c>
    </row>
    <row r="19">
      <c r="A19" s="1" t="str">
        <f>IFERROR(__xludf.DUMMYFUNCTION("""COMPUTED_VALUE"""),"Bahreïn")</f>
        <v>Bahreïn</v>
      </c>
      <c r="B19" s="1">
        <f>IFERROR(__xludf.DUMMYFUNCTION("""COMPUTED_VALUE"""),10.0)</f>
        <v>10</v>
      </c>
      <c r="C19" s="1">
        <f>IFERROR(__xludf.DUMMYFUNCTION("""COMPUTED_VALUE"""),2.0)</f>
        <v>2</v>
      </c>
      <c r="D19" s="1">
        <f>IFERROR(__xludf.DUMMYFUNCTION("""COMPUTED_VALUE"""),2.0)</f>
        <v>2</v>
      </c>
      <c r="E19" s="1">
        <f>IFERROR(__xludf.DUMMYFUNCTION("""COMPUTED_VALUE"""),0.0)</f>
        <v>0</v>
      </c>
      <c r="F19" s="1">
        <f>IFERROR(__xludf.DUMMYFUNCTION("""COMPUTED_VALUE"""),4.0)</f>
        <v>4</v>
      </c>
      <c r="G19" s="1">
        <f>IFERROR(__xludf.DUMMYFUNCTION("""COMPUTED_VALUE"""),0.0)</f>
        <v>0</v>
      </c>
      <c r="H19" s="1">
        <f>IFERROR(__xludf.DUMMYFUNCTION("""COMPUTED_VALUE"""),0.0)</f>
        <v>0</v>
      </c>
      <c r="I19" s="1">
        <f>IFERROR(__xludf.DUMMYFUNCTION("""COMPUTED_VALUE"""),0.0)</f>
        <v>0</v>
      </c>
      <c r="J19" s="1">
        <f>IFERROR(__xludf.DUMMYFUNCTION("""COMPUTED_VALUE"""),0.0)</f>
        <v>0</v>
      </c>
      <c r="K19" s="1">
        <f>IFERROR(__xludf.DUMMYFUNCTION("""COMPUTED_VALUE"""),0.0)</f>
        <v>0</v>
      </c>
      <c r="L19" s="1">
        <f>IFERROR(__xludf.DUMMYFUNCTION("""COMPUTED_VALUE"""),10.0)</f>
        <v>10</v>
      </c>
      <c r="M19" s="1">
        <f>IFERROR(__xludf.DUMMYFUNCTION("""COMPUTED_VALUE"""),2.0)</f>
        <v>2</v>
      </c>
      <c r="N19" s="1">
        <f>IFERROR(__xludf.DUMMYFUNCTION("""COMPUTED_VALUE"""),2.0)</f>
        <v>2</v>
      </c>
      <c r="O19" s="1">
        <f>IFERROR(__xludf.DUMMYFUNCTION("""COMPUTED_VALUE"""),0.0)</f>
        <v>0</v>
      </c>
      <c r="P19" s="1">
        <f>IFERROR(__xludf.DUMMYFUNCTION("""COMPUTED_VALUE"""),4.0)</f>
        <v>4</v>
      </c>
    </row>
    <row r="20">
      <c r="A20" s="1" t="str">
        <f>IFERROR(__xludf.DUMMYFUNCTION("""COMPUTED_VALUE"""),"Barbade[8]")</f>
        <v>Barbade[8]</v>
      </c>
      <c r="B20" s="1">
        <f>IFERROR(__xludf.DUMMYFUNCTION("""COMPUTED_VALUE"""),13.0)</f>
        <v>13</v>
      </c>
      <c r="C20" s="1">
        <f>IFERROR(__xludf.DUMMYFUNCTION("""COMPUTED_VALUE"""),0.0)</f>
        <v>0</v>
      </c>
      <c r="D20" s="1">
        <f>IFERROR(__xludf.DUMMYFUNCTION("""COMPUTED_VALUE"""),0.0)</f>
        <v>0</v>
      </c>
      <c r="E20" s="1">
        <f>IFERROR(__xludf.DUMMYFUNCTION("""COMPUTED_VALUE"""),1.0)</f>
        <v>1</v>
      </c>
      <c r="F20" s="1">
        <f>IFERROR(__xludf.DUMMYFUNCTION("""COMPUTED_VALUE"""),1.0)</f>
        <v>1</v>
      </c>
      <c r="G20" s="1">
        <f>IFERROR(__xludf.DUMMYFUNCTION("""COMPUTED_VALUE"""),0.0)</f>
        <v>0</v>
      </c>
      <c r="H20" s="1">
        <f>IFERROR(__xludf.DUMMYFUNCTION("""COMPUTED_VALUE"""),0.0)</f>
        <v>0</v>
      </c>
      <c r="I20" s="1">
        <f>IFERROR(__xludf.DUMMYFUNCTION("""COMPUTED_VALUE"""),0.0)</f>
        <v>0</v>
      </c>
      <c r="J20" s="1">
        <f>IFERROR(__xludf.DUMMYFUNCTION("""COMPUTED_VALUE"""),0.0)</f>
        <v>0</v>
      </c>
      <c r="K20" s="1">
        <f>IFERROR(__xludf.DUMMYFUNCTION("""COMPUTED_VALUE"""),0.0)</f>
        <v>0</v>
      </c>
      <c r="L20" s="1">
        <f>IFERROR(__xludf.DUMMYFUNCTION("""COMPUTED_VALUE"""),13.0)</f>
        <v>13</v>
      </c>
      <c r="M20" s="1">
        <f>IFERROR(__xludf.DUMMYFUNCTION("""COMPUTED_VALUE"""),0.0)</f>
        <v>0</v>
      </c>
      <c r="N20" s="1">
        <f>IFERROR(__xludf.DUMMYFUNCTION("""COMPUTED_VALUE"""),0.0)</f>
        <v>0</v>
      </c>
      <c r="O20" s="1">
        <f>IFERROR(__xludf.DUMMYFUNCTION("""COMPUTED_VALUE"""),1.0)</f>
        <v>1</v>
      </c>
      <c r="P20" s="1">
        <f>IFERROR(__xludf.DUMMYFUNCTION("""COMPUTED_VALUE"""),1.0)</f>
        <v>1</v>
      </c>
    </row>
    <row r="21">
      <c r="A21" s="1" t="str">
        <f>IFERROR(__xludf.DUMMYFUNCTION("""COMPUTED_VALUE"""),"Belgique")</f>
        <v>Belgique</v>
      </c>
      <c r="B21" s="1">
        <f>IFERROR(__xludf.DUMMYFUNCTION("""COMPUTED_VALUE"""),27.0)</f>
        <v>27</v>
      </c>
      <c r="C21" s="1">
        <f>IFERROR(__xludf.DUMMYFUNCTION("""COMPUTED_VALUE"""),43.0)</f>
        <v>43</v>
      </c>
      <c r="D21" s="1">
        <f>IFERROR(__xludf.DUMMYFUNCTION("""COMPUTED_VALUE"""),54.0)</f>
        <v>54</v>
      </c>
      <c r="E21" s="1">
        <f>IFERROR(__xludf.DUMMYFUNCTION("""COMPUTED_VALUE"""),58.0)</f>
        <v>58</v>
      </c>
      <c r="F21" s="1">
        <f>IFERROR(__xludf.DUMMYFUNCTION("""COMPUTED_VALUE"""),155.0)</f>
        <v>155</v>
      </c>
      <c r="G21" s="1">
        <f>IFERROR(__xludf.DUMMYFUNCTION("""COMPUTED_VALUE"""),21.0)</f>
        <v>21</v>
      </c>
      <c r="H21" s="1">
        <f>IFERROR(__xludf.DUMMYFUNCTION("""COMPUTED_VALUE"""),1.0)</f>
        <v>1</v>
      </c>
      <c r="I21" s="1">
        <f>IFERROR(__xludf.DUMMYFUNCTION("""COMPUTED_VALUE"""),2.0)</f>
        <v>2</v>
      </c>
      <c r="J21" s="1">
        <f>IFERROR(__xludf.DUMMYFUNCTION("""COMPUTED_VALUE"""),3.0)</f>
        <v>3</v>
      </c>
      <c r="K21" s="1">
        <f>IFERROR(__xludf.DUMMYFUNCTION("""COMPUTED_VALUE"""),6.0)</f>
        <v>6</v>
      </c>
      <c r="L21" s="1">
        <f>IFERROR(__xludf.DUMMYFUNCTION("""COMPUTED_VALUE"""),47.0)</f>
        <v>47</v>
      </c>
      <c r="M21" s="1">
        <f>IFERROR(__xludf.DUMMYFUNCTION("""COMPUTED_VALUE"""),44.0)</f>
        <v>44</v>
      </c>
      <c r="N21" s="1">
        <f>IFERROR(__xludf.DUMMYFUNCTION("""COMPUTED_VALUE"""),56.0)</f>
        <v>56</v>
      </c>
      <c r="O21" s="1">
        <f>IFERROR(__xludf.DUMMYFUNCTION("""COMPUTED_VALUE"""),61.0)</f>
        <v>61</v>
      </c>
      <c r="P21" s="1">
        <f>IFERROR(__xludf.DUMMYFUNCTION("""COMPUTED_VALUE"""),161.0)</f>
        <v>161</v>
      </c>
    </row>
    <row r="22">
      <c r="A22" s="1" t="str">
        <f>IFERROR(__xludf.DUMMYFUNCTION("""COMPUTED_VALUE"""),"Bermudes")</f>
        <v>Bermudes</v>
      </c>
      <c r="B22" s="1">
        <f>IFERROR(__xludf.DUMMYFUNCTION("""COMPUTED_VALUE"""),19.0)</f>
        <v>19</v>
      </c>
      <c r="C22" s="1">
        <f>IFERROR(__xludf.DUMMYFUNCTION("""COMPUTED_VALUE"""),1.0)</f>
        <v>1</v>
      </c>
      <c r="D22" s="1">
        <f>IFERROR(__xludf.DUMMYFUNCTION("""COMPUTED_VALUE"""),0.0)</f>
        <v>0</v>
      </c>
      <c r="E22" s="1">
        <f>IFERROR(__xludf.DUMMYFUNCTION("""COMPUTED_VALUE"""),1.0)</f>
        <v>1</v>
      </c>
      <c r="F22" s="1">
        <f>IFERROR(__xludf.DUMMYFUNCTION("""COMPUTED_VALUE"""),2.0)</f>
        <v>2</v>
      </c>
      <c r="G22" s="1">
        <f>IFERROR(__xludf.DUMMYFUNCTION("""COMPUTED_VALUE"""),8.0)</f>
        <v>8</v>
      </c>
      <c r="H22" s="1">
        <f>IFERROR(__xludf.DUMMYFUNCTION("""COMPUTED_VALUE"""),0.0)</f>
        <v>0</v>
      </c>
      <c r="I22" s="1">
        <f>IFERROR(__xludf.DUMMYFUNCTION("""COMPUTED_VALUE"""),0.0)</f>
        <v>0</v>
      </c>
      <c r="J22" s="1">
        <f>IFERROR(__xludf.DUMMYFUNCTION("""COMPUTED_VALUE"""),0.0)</f>
        <v>0</v>
      </c>
      <c r="K22" s="1">
        <f>IFERROR(__xludf.DUMMYFUNCTION("""COMPUTED_VALUE"""),0.0)</f>
        <v>0</v>
      </c>
      <c r="L22" s="1">
        <f>IFERROR(__xludf.DUMMYFUNCTION("""COMPUTED_VALUE"""),27.0)</f>
        <v>27</v>
      </c>
      <c r="M22" s="1">
        <f>IFERROR(__xludf.DUMMYFUNCTION("""COMPUTED_VALUE"""),1.0)</f>
        <v>1</v>
      </c>
      <c r="N22" s="1">
        <f>IFERROR(__xludf.DUMMYFUNCTION("""COMPUTED_VALUE"""),0.0)</f>
        <v>0</v>
      </c>
      <c r="O22" s="1">
        <f>IFERROR(__xludf.DUMMYFUNCTION("""COMPUTED_VALUE"""),1.0)</f>
        <v>1</v>
      </c>
      <c r="P22" s="1">
        <f>IFERROR(__xludf.DUMMYFUNCTION("""COMPUTED_VALUE"""),2.0)</f>
        <v>2</v>
      </c>
    </row>
    <row r="23">
      <c r="A23" s="1" t="str">
        <f>IFERROR(__xludf.DUMMYFUNCTION("""COMPUTED_VALUE"""),"Biélorussie")</f>
        <v>Biélorussie</v>
      </c>
      <c r="B23" s="1">
        <f>IFERROR(__xludf.DUMMYFUNCTION("""COMPUTED_VALUE"""),7.0)</f>
        <v>7</v>
      </c>
      <c r="C23" s="1">
        <f>IFERROR(__xludf.DUMMYFUNCTION("""COMPUTED_VALUE"""),13.0)</f>
        <v>13</v>
      </c>
      <c r="D23" s="1">
        <f>IFERROR(__xludf.DUMMYFUNCTION("""COMPUTED_VALUE"""),30.0)</f>
        <v>30</v>
      </c>
      <c r="E23" s="1">
        <f>IFERROR(__xludf.DUMMYFUNCTION("""COMPUTED_VALUE"""),42.0)</f>
        <v>42</v>
      </c>
      <c r="F23" s="1">
        <f>IFERROR(__xludf.DUMMYFUNCTION("""COMPUTED_VALUE"""),85.0)</f>
        <v>85</v>
      </c>
      <c r="G23" s="1">
        <f>IFERROR(__xludf.DUMMYFUNCTION("""COMPUTED_VALUE"""),7.0)</f>
        <v>7</v>
      </c>
      <c r="H23" s="1">
        <f>IFERROR(__xludf.DUMMYFUNCTION("""COMPUTED_VALUE"""),8.0)</f>
        <v>8</v>
      </c>
      <c r="I23" s="1">
        <f>IFERROR(__xludf.DUMMYFUNCTION("""COMPUTED_VALUE"""),5.0)</f>
        <v>5</v>
      </c>
      <c r="J23" s="1">
        <f>IFERROR(__xludf.DUMMYFUNCTION("""COMPUTED_VALUE"""),5.0)</f>
        <v>5</v>
      </c>
      <c r="K23" s="1">
        <f>IFERROR(__xludf.DUMMYFUNCTION("""COMPUTED_VALUE"""),18.0)</f>
        <v>18</v>
      </c>
      <c r="L23" s="1">
        <f>IFERROR(__xludf.DUMMYFUNCTION("""COMPUTED_VALUE"""),14.0)</f>
        <v>14</v>
      </c>
      <c r="M23" s="1">
        <f>IFERROR(__xludf.DUMMYFUNCTION("""COMPUTED_VALUE"""),21.0)</f>
        <v>21</v>
      </c>
      <c r="N23" s="1">
        <f>IFERROR(__xludf.DUMMYFUNCTION("""COMPUTED_VALUE"""),35.0)</f>
        <v>35</v>
      </c>
      <c r="O23" s="1">
        <f>IFERROR(__xludf.DUMMYFUNCTION("""COMPUTED_VALUE"""),47.0)</f>
        <v>47</v>
      </c>
      <c r="P23" s="1">
        <f>IFERROR(__xludf.DUMMYFUNCTION("""COMPUTED_VALUE"""),103.0)</f>
        <v>103</v>
      </c>
    </row>
    <row r="24">
      <c r="A24" s="1" t="str">
        <f>IFERROR(__xludf.DUMMYFUNCTION("""COMPUTED_VALUE"""),"*Bohême*[9],[7]")</f>
        <v>*Bohême*[9],[7]</v>
      </c>
      <c r="B24" s="1">
        <f>IFERROR(__xludf.DUMMYFUNCTION("""COMPUTED_VALUE"""),3.0)</f>
        <v>3</v>
      </c>
      <c r="C24" s="1">
        <f>IFERROR(__xludf.DUMMYFUNCTION("""COMPUTED_VALUE"""),0.0)</f>
        <v>0</v>
      </c>
      <c r="D24" s="1">
        <f>IFERROR(__xludf.DUMMYFUNCTION("""COMPUTED_VALUE"""),1.0)</f>
        <v>1</v>
      </c>
      <c r="E24" s="1">
        <f>IFERROR(__xludf.DUMMYFUNCTION("""COMPUTED_VALUE"""),3.0)</f>
        <v>3</v>
      </c>
      <c r="F24" s="1">
        <f>IFERROR(__xludf.DUMMYFUNCTION("""COMPUTED_VALUE"""),4.0)</f>
        <v>4</v>
      </c>
      <c r="G24" s="1">
        <f>IFERROR(__xludf.DUMMYFUNCTION("""COMPUTED_VALUE"""),0.0)</f>
        <v>0</v>
      </c>
      <c r="H24" s="1">
        <f>IFERROR(__xludf.DUMMYFUNCTION("""COMPUTED_VALUE"""),0.0)</f>
        <v>0</v>
      </c>
      <c r="I24" s="1">
        <f>IFERROR(__xludf.DUMMYFUNCTION("""COMPUTED_VALUE"""),0.0)</f>
        <v>0</v>
      </c>
      <c r="J24" s="1">
        <f>IFERROR(__xludf.DUMMYFUNCTION("""COMPUTED_VALUE"""),0.0)</f>
        <v>0</v>
      </c>
      <c r="K24" s="1">
        <f>IFERROR(__xludf.DUMMYFUNCTION("""COMPUTED_VALUE"""),0.0)</f>
        <v>0</v>
      </c>
      <c r="L24" s="1">
        <f>IFERROR(__xludf.DUMMYFUNCTION("""COMPUTED_VALUE"""),3.0)</f>
        <v>3</v>
      </c>
      <c r="M24" s="1">
        <f>IFERROR(__xludf.DUMMYFUNCTION("""COMPUTED_VALUE"""),0.0)</f>
        <v>0</v>
      </c>
      <c r="N24" s="1">
        <f>IFERROR(__xludf.DUMMYFUNCTION("""COMPUTED_VALUE"""),1.0)</f>
        <v>1</v>
      </c>
      <c r="O24" s="1">
        <f>IFERROR(__xludf.DUMMYFUNCTION("""COMPUTED_VALUE"""),3.0)</f>
        <v>3</v>
      </c>
      <c r="P24" s="1">
        <f>IFERROR(__xludf.DUMMYFUNCTION("""COMPUTED_VALUE"""),4.0)</f>
        <v>4</v>
      </c>
    </row>
    <row r="25">
      <c r="A25" s="1" t="str">
        <f>IFERROR(__xludf.DUMMYFUNCTION("""COMPUTED_VALUE"""),"Botswana")</f>
        <v>Botswana</v>
      </c>
      <c r="B25" s="1">
        <f>IFERROR(__xludf.DUMMYFUNCTION("""COMPUTED_VALUE"""),12.0)</f>
        <v>12</v>
      </c>
      <c r="C25" s="1">
        <f>IFERROR(__xludf.DUMMYFUNCTION("""COMPUTED_VALUE"""),1.0)</f>
        <v>1</v>
      </c>
      <c r="D25" s="1">
        <f>IFERROR(__xludf.DUMMYFUNCTION("""COMPUTED_VALUE"""),2.0)</f>
        <v>2</v>
      </c>
      <c r="E25" s="1">
        <f>IFERROR(__xludf.DUMMYFUNCTION("""COMPUTED_VALUE"""),1.0)</f>
        <v>1</v>
      </c>
      <c r="F25" s="1">
        <f>IFERROR(__xludf.DUMMYFUNCTION("""COMPUTED_VALUE"""),2.0)</f>
        <v>2</v>
      </c>
      <c r="G25" s="1">
        <f>IFERROR(__xludf.DUMMYFUNCTION("""COMPUTED_VALUE"""),0.0)</f>
        <v>0</v>
      </c>
      <c r="H25" s="1">
        <f>IFERROR(__xludf.DUMMYFUNCTION("""COMPUTED_VALUE"""),0.0)</f>
        <v>0</v>
      </c>
      <c r="I25" s="1">
        <f>IFERROR(__xludf.DUMMYFUNCTION("""COMPUTED_VALUE"""),0.0)</f>
        <v>0</v>
      </c>
      <c r="J25" s="1">
        <f>IFERROR(__xludf.DUMMYFUNCTION("""COMPUTED_VALUE"""),0.0)</f>
        <v>0</v>
      </c>
      <c r="K25" s="1">
        <f>IFERROR(__xludf.DUMMYFUNCTION("""COMPUTED_VALUE"""),0.0)</f>
        <v>0</v>
      </c>
      <c r="L25" s="1">
        <f>IFERROR(__xludf.DUMMYFUNCTION("""COMPUTED_VALUE"""),12.0)</f>
        <v>12</v>
      </c>
      <c r="M25" s="1">
        <f>IFERROR(__xludf.DUMMYFUNCTION("""COMPUTED_VALUE"""),1.0)</f>
        <v>1</v>
      </c>
      <c r="N25" s="1">
        <f>IFERROR(__xludf.DUMMYFUNCTION("""COMPUTED_VALUE"""),2.0)</f>
        <v>2</v>
      </c>
      <c r="O25" s="1">
        <f>IFERROR(__xludf.DUMMYFUNCTION("""COMPUTED_VALUE"""),1.0)</f>
        <v>1</v>
      </c>
      <c r="P25" s="1">
        <f>IFERROR(__xludf.DUMMYFUNCTION("""COMPUTED_VALUE"""),2.0)</f>
        <v>2</v>
      </c>
    </row>
    <row r="26">
      <c r="A26" s="1" t="str">
        <f>IFERROR(__xludf.DUMMYFUNCTION("""COMPUTED_VALUE"""),"Brésil")</f>
        <v>Brésil</v>
      </c>
      <c r="B26" s="1">
        <f>IFERROR(__xludf.DUMMYFUNCTION("""COMPUTED_VALUE"""),23.0)</f>
        <v>23</v>
      </c>
      <c r="C26" s="1">
        <f>IFERROR(__xludf.DUMMYFUNCTION("""COMPUTED_VALUE"""),37.0)</f>
        <v>37</v>
      </c>
      <c r="D26" s="1">
        <f>IFERROR(__xludf.DUMMYFUNCTION("""COMPUTED_VALUE"""),42.0)</f>
        <v>42</v>
      </c>
      <c r="E26" s="1">
        <f>IFERROR(__xludf.DUMMYFUNCTION("""COMPUTED_VALUE"""),71.0)</f>
        <v>71</v>
      </c>
      <c r="F26" s="1">
        <f>IFERROR(__xludf.DUMMYFUNCTION("""COMPUTED_VALUE"""),150.0)</f>
        <v>150</v>
      </c>
      <c r="G26" s="1">
        <f>IFERROR(__xludf.DUMMYFUNCTION("""COMPUTED_VALUE"""),8.0)</f>
        <v>8</v>
      </c>
      <c r="H26" s="1">
        <f>IFERROR(__xludf.DUMMYFUNCTION("""COMPUTED_VALUE"""),0.0)</f>
        <v>0</v>
      </c>
      <c r="I26" s="1">
        <f>IFERROR(__xludf.DUMMYFUNCTION("""COMPUTED_VALUE"""),0.0)</f>
        <v>0</v>
      </c>
      <c r="J26" s="1">
        <f>IFERROR(__xludf.DUMMYFUNCTION("""COMPUTED_VALUE"""),0.0)</f>
        <v>0</v>
      </c>
      <c r="K26" s="1">
        <f>IFERROR(__xludf.DUMMYFUNCTION("""COMPUTED_VALUE"""),0.0)</f>
        <v>0</v>
      </c>
      <c r="L26" s="1">
        <f>IFERROR(__xludf.DUMMYFUNCTION("""COMPUTED_VALUE"""),31.0)</f>
        <v>31</v>
      </c>
      <c r="M26" s="1">
        <f>IFERROR(__xludf.DUMMYFUNCTION("""COMPUTED_VALUE"""),37.0)</f>
        <v>37</v>
      </c>
      <c r="N26" s="1">
        <f>IFERROR(__xludf.DUMMYFUNCTION("""COMPUTED_VALUE"""),42.0)</f>
        <v>42</v>
      </c>
      <c r="O26" s="1">
        <f>IFERROR(__xludf.DUMMYFUNCTION("""COMPUTED_VALUE"""),71.0)</f>
        <v>71</v>
      </c>
      <c r="P26" s="1">
        <f>IFERROR(__xludf.DUMMYFUNCTION("""COMPUTED_VALUE"""),150.0)</f>
        <v>150</v>
      </c>
    </row>
    <row r="27">
      <c r="A27" s="1" t="str">
        <f>IFERROR(__xludf.DUMMYFUNCTION("""COMPUTED_VALUE"""),"Bulgarie")</f>
        <v>Bulgarie</v>
      </c>
      <c r="B27" s="1">
        <f>IFERROR(__xludf.DUMMYFUNCTION("""COMPUTED_VALUE"""),21.0)</f>
        <v>21</v>
      </c>
      <c r="C27" s="1">
        <f>IFERROR(__xludf.DUMMYFUNCTION("""COMPUTED_VALUE"""),54.0)</f>
        <v>54</v>
      </c>
      <c r="D27" s="1">
        <f>IFERROR(__xludf.DUMMYFUNCTION("""COMPUTED_VALUE"""),88.0)</f>
        <v>88</v>
      </c>
      <c r="E27" s="1">
        <f>IFERROR(__xludf.DUMMYFUNCTION("""COMPUTED_VALUE"""),82.0)</f>
        <v>82</v>
      </c>
      <c r="F27" s="1">
        <f>IFERROR(__xludf.DUMMYFUNCTION("""COMPUTED_VALUE"""),224.0)</f>
        <v>224</v>
      </c>
      <c r="G27" s="1">
        <f>IFERROR(__xludf.DUMMYFUNCTION("""COMPUTED_VALUE"""),20.0)</f>
        <v>20</v>
      </c>
      <c r="H27" s="1">
        <f>IFERROR(__xludf.DUMMYFUNCTION("""COMPUTED_VALUE"""),1.0)</f>
        <v>1</v>
      </c>
      <c r="I27" s="1">
        <f>IFERROR(__xludf.DUMMYFUNCTION("""COMPUTED_VALUE"""),2.0)</f>
        <v>2</v>
      </c>
      <c r="J27" s="1">
        <f>IFERROR(__xludf.DUMMYFUNCTION("""COMPUTED_VALUE"""),3.0)</f>
        <v>3</v>
      </c>
      <c r="K27" s="1">
        <f>IFERROR(__xludf.DUMMYFUNCTION("""COMPUTED_VALUE"""),6.0)</f>
        <v>6</v>
      </c>
      <c r="L27" s="1">
        <f>IFERROR(__xludf.DUMMYFUNCTION("""COMPUTED_VALUE"""),41.0)</f>
        <v>41</v>
      </c>
      <c r="M27" s="1">
        <f>IFERROR(__xludf.DUMMYFUNCTION("""COMPUTED_VALUE"""),55.0)</f>
        <v>55</v>
      </c>
      <c r="N27" s="1">
        <f>IFERROR(__xludf.DUMMYFUNCTION("""COMPUTED_VALUE"""),90.0)</f>
        <v>90</v>
      </c>
      <c r="O27" s="1">
        <f>IFERROR(__xludf.DUMMYFUNCTION("""COMPUTED_VALUE"""),85.0)</f>
        <v>85</v>
      </c>
      <c r="P27" s="1">
        <f>IFERROR(__xludf.DUMMYFUNCTION("""COMPUTED_VALUE"""),230.0)</f>
        <v>230</v>
      </c>
    </row>
    <row r="28">
      <c r="A28" s="1" t="str">
        <f>IFERROR(__xludf.DUMMYFUNCTION("""COMPUTED_VALUE"""),"Burkina Faso")</f>
        <v>Burkina Faso</v>
      </c>
      <c r="B28" s="1">
        <f>IFERROR(__xludf.DUMMYFUNCTION("""COMPUTED_VALUE"""),10.0)</f>
        <v>10</v>
      </c>
      <c r="C28" s="1">
        <f>IFERROR(__xludf.DUMMYFUNCTION("""COMPUTED_VALUE"""),0.0)</f>
        <v>0</v>
      </c>
      <c r="D28" s="1">
        <f>IFERROR(__xludf.DUMMYFUNCTION("""COMPUTED_VALUE"""),0.0)</f>
        <v>0</v>
      </c>
      <c r="E28" s="1">
        <f>IFERROR(__xludf.DUMMYFUNCTION("""COMPUTED_VALUE"""),1.0)</f>
        <v>1</v>
      </c>
      <c r="F28" s="1">
        <f>IFERROR(__xludf.DUMMYFUNCTION("""COMPUTED_VALUE"""),1.0)</f>
        <v>1</v>
      </c>
      <c r="G28" s="1">
        <f>IFERROR(__xludf.DUMMYFUNCTION("""COMPUTED_VALUE"""),0.0)</f>
        <v>0</v>
      </c>
      <c r="H28" s="1">
        <f>IFERROR(__xludf.DUMMYFUNCTION("""COMPUTED_VALUE"""),0.0)</f>
        <v>0</v>
      </c>
      <c r="I28" s="1">
        <f>IFERROR(__xludf.DUMMYFUNCTION("""COMPUTED_VALUE"""),0.0)</f>
        <v>0</v>
      </c>
      <c r="J28" s="1">
        <f>IFERROR(__xludf.DUMMYFUNCTION("""COMPUTED_VALUE"""),0.0)</f>
        <v>0</v>
      </c>
      <c r="K28" s="1">
        <f>IFERROR(__xludf.DUMMYFUNCTION("""COMPUTED_VALUE"""),0.0)</f>
        <v>0</v>
      </c>
      <c r="L28" s="1">
        <f>IFERROR(__xludf.DUMMYFUNCTION("""COMPUTED_VALUE"""),10.0)</f>
        <v>10</v>
      </c>
      <c r="M28" s="1">
        <f>IFERROR(__xludf.DUMMYFUNCTION("""COMPUTED_VALUE"""),0.0)</f>
        <v>0</v>
      </c>
      <c r="N28" s="1">
        <f>IFERROR(__xludf.DUMMYFUNCTION("""COMPUTED_VALUE"""),0.0)</f>
        <v>0</v>
      </c>
      <c r="O28" s="1">
        <f>IFERROR(__xludf.DUMMYFUNCTION("""COMPUTED_VALUE"""),1.0)</f>
        <v>1</v>
      </c>
      <c r="P28" s="1">
        <f>IFERROR(__xludf.DUMMYFUNCTION("""COMPUTED_VALUE"""),1.0)</f>
        <v>1</v>
      </c>
    </row>
    <row r="29">
      <c r="A29" s="1" t="str">
        <f>IFERROR(__xludf.DUMMYFUNCTION("""COMPUTED_VALUE"""),"Burundi")</f>
        <v>Burundi</v>
      </c>
      <c r="B29" s="1">
        <f>IFERROR(__xludf.DUMMYFUNCTION("""COMPUTED_VALUE"""),7.0)</f>
        <v>7</v>
      </c>
      <c r="C29" s="1">
        <f>IFERROR(__xludf.DUMMYFUNCTION("""COMPUTED_VALUE"""),1.0)</f>
        <v>1</v>
      </c>
      <c r="D29" s="1">
        <f>IFERROR(__xludf.DUMMYFUNCTION("""COMPUTED_VALUE"""),1.0)</f>
        <v>1</v>
      </c>
      <c r="E29" s="1">
        <f>IFERROR(__xludf.DUMMYFUNCTION("""COMPUTED_VALUE"""),0.0)</f>
        <v>0</v>
      </c>
      <c r="F29" s="1">
        <f>IFERROR(__xludf.DUMMYFUNCTION("""COMPUTED_VALUE"""),2.0)</f>
        <v>2</v>
      </c>
      <c r="G29" s="1">
        <f>IFERROR(__xludf.DUMMYFUNCTION("""COMPUTED_VALUE"""),0.0)</f>
        <v>0</v>
      </c>
      <c r="H29" s="1">
        <f>IFERROR(__xludf.DUMMYFUNCTION("""COMPUTED_VALUE"""),0.0)</f>
        <v>0</v>
      </c>
      <c r="I29" s="1">
        <f>IFERROR(__xludf.DUMMYFUNCTION("""COMPUTED_VALUE"""),0.0)</f>
        <v>0</v>
      </c>
      <c r="J29" s="1">
        <f>IFERROR(__xludf.DUMMYFUNCTION("""COMPUTED_VALUE"""),0.0)</f>
        <v>0</v>
      </c>
      <c r="K29" s="1">
        <f>IFERROR(__xludf.DUMMYFUNCTION("""COMPUTED_VALUE"""),0.0)</f>
        <v>0</v>
      </c>
      <c r="L29" s="1">
        <f>IFERROR(__xludf.DUMMYFUNCTION("""COMPUTED_VALUE"""),7.0)</f>
        <v>7</v>
      </c>
      <c r="M29" s="1">
        <f>IFERROR(__xludf.DUMMYFUNCTION("""COMPUTED_VALUE"""),1.0)</f>
        <v>1</v>
      </c>
      <c r="N29" s="1">
        <f>IFERROR(__xludf.DUMMYFUNCTION("""COMPUTED_VALUE"""),1.0)</f>
        <v>1</v>
      </c>
      <c r="O29" s="1">
        <f>IFERROR(__xludf.DUMMYFUNCTION("""COMPUTED_VALUE"""),0.0)</f>
        <v>0</v>
      </c>
      <c r="P29" s="1">
        <f>IFERROR(__xludf.DUMMYFUNCTION("""COMPUTED_VALUE"""),2.0)</f>
        <v>2</v>
      </c>
    </row>
    <row r="30">
      <c r="A30" s="1" t="str">
        <f>IFERROR(__xludf.DUMMYFUNCTION("""COMPUTED_VALUE"""),"Cameroun")</f>
        <v>Cameroun</v>
      </c>
      <c r="B30" s="1">
        <f>IFERROR(__xludf.DUMMYFUNCTION("""COMPUTED_VALUE"""),15.0)</f>
        <v>15</v>
      </c>
      <c r="C30" s="1">
        <f>IFERROR(__xludf.DUMMYFUNCTION("""COMPUTED_VALUE"""),3.0)</f>
        <v>3</v>
      </c>
      <c r="D30" s="1">
        <f>IFERROR(__xludf.DUMMYFUNCTION("""COMPUTED_VALUE"""),1.0)</f>
        <v>1</v>
      </c>
      <c r="E30" s="1">
        <f>IFERROR(__xludf.DUMMYFUNCTION("""COMPUTED_VALUE"""),2.0)</f>
        <v>2</v>
      </c>
      <c r="F30" s="1">
        <f>IFERROR(__xludf.DUMMYFUNCTION("""COMPUTED_VALUE"""),6.0)</f>
        <v>6</v>
      </c>
      <c r="G30" s="1">
        <f>IFERROR(__xludf.DUMMYFUNCTION("""COMPUTED_VALUE"""),1.0)</f>
        <v>1</v>
      </c>
      <c r="H30" s="1">
        <f>IFERROR(__xludf.DUMMYFUNCTION("""COMPUTED_VALUE"""),0.0)</f>
        <v>0</v>
      </c>
      <c r="I30" s="1">
        <f>IFERROR(__xludf.DUMMYFUNCTION("""COMPUTED_VALUE"""),0.0)</f>
        <v>0</v>
      </c>
      <c r="J30" s="1">
        <f>IFERROR(__xludf.DUMMYFUNCTION("""COMPUTED_VALUE"""),0.0)</f>
        <v>0</v>
      </c>
      <c r="K30" s="1">
        <f>IFERROR(__xludf.DUMMYFUNCTION("""COMPUTED_VALUE"""),0.0)</f>
        <v>0</v>
      </c>
      <c r="L30" s="1">
        <f>IFERROR(__xludf.DUMMYFUNCTION("""COMPUTED_VALUE"""),16.0)</f>
        <v>16</v>
      </c>
      <c r="M30" s="1">
        <f>IFERROR(__xludf.DUMMYFUNCTION("""COMPUTED_VALUE"""),3.0)</f>
        <v>3</v>
      </c>
      <c r="N30" s="1">
        <f>IFERROR(__xludf.DUMMYFUNCTION("""COMPUTED_VALUE"""),1.0)</f>
        <v>1</v>
      </c>
      <c r="O30" s="1">
        <f>IFERROR(__xludf.DUMMYFUNCTION("""COMPUTED_VALUE"""),2.0)</f>
        <v>2</v>
      </c>
      <c r="P30" s="1">
        <f>IFERROR(__xludf.DUMMYFUNCTION("""COMPUTED_VALUE"""),6.0)</f>
        <v>6</v>
      </c>
    </row>
    <row r="31">
      <c r="A31" s="1" t="str">
        <f>IFERROR(__xludf.DUMMYFUNCTION("""COMPUTED_VALUE"""),"Canada")</f>
        <v>Canada</v>
      </c>
      <c r="B31" s="1">
        <f>IFERROR(__xludf.DUMMYFUNCTION("""COMPUTED_VALUE"""),28.0)</f>
        <v>28</v>
      </c>
      <c r="C31" s="1">
        <f>IFERROR(__xludf.DUMMYFUNCTION("""COMPUTED_VALUE"""),80.0)</f>
        <v>80</v>
      </c>
      <c r="D31" s="1">
        <f>IFERROR(__xludf.DUMMYFUNCTION("""COMPUTED_VALUE"""),116.0)</f>
        <v>116</v>
      </c>
      <c r="E31" s="1">
        <f>IFERROR(__xludf.DUMMYFUNCTION("""COMPUTED_VALUE"""),157.0)</f>
        <v>157</v>
      </c>
      <c r="F31" s="1">
        <f>IFERROR(__xludf.DUMMYFUNCTION("""COMPUTED_VALUE"""),353.0)</f>
        <v>353</v>
      </c>
      <c r="G31" s="1">
        <f>IFERROR(__xludf.DUMMYFUNCTION("""COMPUTED_VALUE"""),24.0)</f>
        <v>24</v>
      </c>
      <c r="H31" s="1">
        <f>IFERROR(__xludf.DUMMYFUNCTION("""COMPUTED_VALUE"""),77.0)</f>
        <v>77</v>
      </c>
      <c r="I31" s="1">
        <f>IFERROR(__xludf.DUMMYFUNCTION("""COMPUTED_VALUE"""),71.0)</f>
        <v>71</v>
      </c>
      <c r="J31" s="1">
        <f>IFERROR(__xludf.DUMMYFUNCTION("""COMPUTED_VALUE"""),77.0)</f>
        <v>77</v>
      </c>
      <c r="K31" s="1">
        <f>IFERROR(__xludf.DUMMYFUNCTION("""COMPUTED_VALUE"""),225.0)</f>
        <v>225</v>
      </c>
      <c r="L31" s="1">
        <f>IFERROR(__xludf.DUMMYFUNCTION("""COMPUTED_VALUE"""),52.0)</f>
        <v>52</v>
      </c>
      <c r="M31" s="1">
        <f>IFERROR(__xludf.DUMMYFUNCTION("""COMPUTED_VALUE"""),157.0)</f>
        <v>157</v>
      </c>
      <c r="N31" s="1">
        <f>IFERROR(__xludf.DUMMYFUNCTION("""COMPUTED_VALUE"""),187.0)</f>
        <v>187</v>
      </c>
      <c r="O31" s="1">
        <f>IFERROR(__xludf.DUMMYFUNCTION("""COMPUTED_VALUE"""),234.0)</f>
        <v>234</v>
      </c>
      <c r="P31" s="1">
        <f>IFERROR(__xludf.DUMMYFUNCTION("""COMPUTED_VALUE"""),578.0)</f>
        <v>578</v>
      </c>
    </row>
    <row r="32">
      <c r="A32" s="1" t="str">
        <f>IFERROR(__xludf.DUMMYFUNCTION("""COMPUTED_VALUE"""),"Cap-Vert")</f>
        <v>Cap-Vert</v>
      </c>
      <c r="B32" s="1">
        <f>IFERROR(__xludf.DUMMYFUNCTION("""COMPUTED_VALUE"""),8.0)</f>
        <v>8</v>
      </c>
      <c r="C32" s="1">
        <f>IFERROR(__xludf.DUMMYFUNCTION("""COMPUTED_VALUE"""),0.0)</f>
        <v>0</v>
      </c>
      <c r="D32" s="1">
        <f>IFERROR(__xludf.DUMMYFUNCTION("""COMPUTED_VALUE"""),0.0)</f>
        <v>0</v>
      </c>
      <c r="E32" s="1">
        <f>IFERROR(__xludf.DUMMYFUNCTION("""COMPUTED_VALUE"""),1.0)</f>
        <v>1</v>
      </c>
      <c r="F32" s="1">
        <f>IFERROR(__xludf.DUMMYFUNCTION("""COMPUTED_VALUE"""),1.0)</f>
        <v>1</v>
      </c>
      <c r="G32" s="1">
        <f>IFERROR(__xludf.DUMMYFUNCTION("""COMPUTED_VALUE"""),0.0)</f>
        <v>0</v>
      </c>
      <c r="H32" s="1">
        <f>IFERROR(__xludf.DUMMYFUNCTION("""COMPUTED_VALUE"""),0.0)</f>
        <v>0</v>
      </c>
      <c r="I32" s="1">
        <f>IFERROR(__xludf.DUMMYFUNCTION("""COMPUTED_VALUE"""),0.0)</f>
        <v>0</v>
      </c>
      <c r="J32" s="1">
        <f>IFERROR(__xludf.DUMMYFUNCTION("""COMPUTED_VALUE"""),0.0)</f>
        <v>0</v>
      </c>
      <c r="K32" s="1">
        <f>IFERROR(__xludf.DUMMYFUNCTION("""COMPUTED_VALUE"""),0.0)</f>
        <v>0</v>
      </c>
      <c r="L32" s="1">
        <f>IFERROR(__xludf.DUMMYFUNCTION("""COMPUTED_VALUE"""),8.0)</f>
        <v>8</v>
      </c>
      <c r="M32" s="1">
        <f>IFERROR(__xludf.DUMMYFUNCTION("""COMPUTED_VALUE"""),0.0)</f>
        <v>0</v>
      </c>
      <c r="N32" s="1">
        <f>IFERROR(__xludf.DUMMYFUNCTION("""COMPUTED_VALUE"""),0.0)</f>
        <v>0</v>
      </c>
      <c r="O32" s="1">
        <f>IFERROR(__xludf.DUMMYFUNCTION("""COMPUTED_VALUE"""),1.0)</f>
        <v>1</v>
      </c>
      <c r="P32" s="1">
        <f>IFERROR(__xludf.DUMMYFUNCTION("""COMPUTED_VALUE"""),1.0)</f>
        <v>1</v>
      </c>
    </row>
    <row r="33">
      <c r="A33" s="1" t="str">
        <f>IFERROR(__xludf.DUMMYFUNCTION("""COMPUTED_VALUE"""),"Chili")</f>
        <v>Chili</v>
      </c>
      <c r="B33" s="1">
        <f>IFERROR(__xludf.DUMMYFUNCTION("""COMPUTED_VALUE"""),24.0)</f>
        <v>24</v>
      </c>
      <c r="C33" s="1">
        <f>IFERROR(__xludf.DUMMYFUNCTION("""COMPUTED_VALUE"""),2.0)</f>
        <v>2</v>
      </c>
      <c r="D33" s="1">
        <f>IFERROR(__xludf.DUMMYFUNCTION("""COMPUTED_VALUE"""),7.0)</f>
        <v>7</v>
      </c>
      <c r="E33" s="1">
        <f>IFERROR(__xludf.DUMMYFUNCTION("""COMPUTED_VALUE"""),4.0)</f>
        <v>4</v>
      </c>
      <c r="F33" s="1">
        <f>IFERROR(__xludf.DUMMYFUNCTION("""COMPUTED_VALUE"""),13.0)</f>
        <v>13</v>
      </c>
      <c r="G33" s="1">
        <f>IFERROR(__xludf.DUMMYFUNCTION("""COMPUTED_VALUE"""),17.0)</f>
        <v>17</v>
      </c>
      <c r="H33" s="1">
        <f>IFERROR(__xludf.DUMMYFUNCTION("""COMPUTED_VALUE"""),0.0)</f>
        <v>0</v>
      </c>
      <c r="I33" s="1">
        <f>IFERROR(__xludf.DUMMYFUNCTION("""COMPUTED_VALUE"""),0.0)</f>
        <v>0</v>
      </c>
      <c r="J33" s="1">
        <f>IFERROR(__xludf.DUMMYFUNCTION("""COMPUTED_VALUE"""),0.0)</f>
        <v>0</v>
      </c>
      <c r="K33" s="1">
        <f>IFERROR(__xludf.DUMMYFUNCTION("""COMPUTED_VALUE"""),0.0)</f>
        <v>0</v>
      </c>
      <c r="L33" s="1">
        <f>IFERROR(__xludf.DUMMYFUNCTION("""COMPUTED_VALUE"""),41.0)</f>
        <v>41</v>
      </c>
      <c r="M33" s="1">
        <f>IFERROR(__xludf.DUMMYFUNCTION("""COMPUTED_VALUE"""),2.0)</f>
        <v>2</v>
      </c>
      <c r="N33" s="1">
        <f>IFERROR(__xludf.DUMMYFUNCTION("""COMPUTED_VALUE"""),7.0)</f>
        <v>7</v>
      </c>
      <c r="O33" s="1">
        <f>IFERROR(__xludf.DUMMYFUNCTION("""COMPUTED_VALUE"""),4.0)</f>
        <v>4</v>
      </c>
      <c r="P33" s="1">
        <f>IFERROR(__xludf.DUMMYFUNCTION("""COMPUTED_VALUE"""),13.0)</f>
        <v>13</v>
      </c>
    </row>
    <row r="34">
      <c r="A34" s="1" t="str">
        <f>IFERROR(__xludf.DUMMYFUNCTION("""COMPUTED_VALUE"""),"Chine[10]")</f>
        <v>Chine[10]</v>
      </c>
      <c r="B34" s="1">
        <f>IFERROR(__xludf.DUMMYFUNCTION("""COMPUTED_VALUE"""),11.0)</f>
        <v>11</v>
      </c>
      <c r="C34" s="1">
        <f>IFERROR(__xludf.DUMMYFUNCTION("""COMPUTED_VALUE"""),302.0)</f>
        <v>302</v>
      </c>
      <c r="D34" s="1">
        <f>IFERROR(__xludf.DUMMYFUNCTION("""COMPUTED_VALUE"""),226.0)</f>
        <v>226</v>
      </c>
      <c r="E34" s="1">
        <f>IFERROR(__xludf.DUMMYFUNCTION("""COMPUTED_VALUE"""),197.0)</f>
        <v>197</v>
      </c>
      <c r="F34" s="1">
        <f>IFERROR(__xludf.DUMMYFUNCTION("""COMPUTED_VALUE"""),725.0)</f>
        <v>725</v>
      </c>
      <c r="G34" s="1">
        <f>IFERROR(__xludf.DUMMYFUNCTION("""COMPUTED_VALUE"""),11.0)</f>
        <v>11</v>
      </c>
      <c r="H34" s="1">
        <f>IFERROR(__xludf.DUMMYFUNCTION("""COMPUTED_VALUE"""),13.0)</f>
        <v>13</v>
      </c>
      <c r="I34" s="1">
        <f>IFERROR(__xludf.DUMMYFUNCTION("""COMPUTED_VALUE"""),28.0)</f>
        <v>28</v>
      </c>
      <c r="J34" s="1">
        <f>IFERROR(__xludf.DUMMYFUNCTION("""COMPUTED_VALUE"""),21.0)</f>
        <v>21</v>
      </c>
      <c r="K34" s="1">
        <f>IFERROR(__xludf.DUMMYFUNCTION("""COMPUTED_VALUE"""),62.0)</f>
        <v>62</v>
      </c>
      <c r="L34" s="1">
        <f>IFERROR(__xludf.DUMMYFUNCTION("""COMPUTED_VALUE"""),22.0)</f>
        <v>22</v>
      </c>
      <c r="M34" s="1">
        <f>IFERROR(__xludf.DUMMYFUNCTION("""COMPUTED_VALUE"""),315.0)</f>
        <v>315</v>
      </c>
      <c r="N34" s="1">
        <f>IFERROR(__xludf.DUMMYFUNCTION("""COMPUTED_VALUE"""),254.0)</f>
        <v>254</v>
      </c>
      <c r="O34" s="1">
        <f>IFERROR(__xludf.DUMMYFUNCTION("""COMPUTED_VALUE"""),218.0)</f>
        <v>218</v>
      </c>
      <c r="P34" s="1">
        <f>IFERROR(__xludf.DUMMYFUNCTION("""COMPUTED_VALUE"""),787.0)</f>
        <v>787</v>
      </c>
    </row>
    <row r="35">
      <c r="A35" s="1" t="str">
        <f>IFERROR(__xludf.DUMMYFUNCTION("""COMPUTED_VALUE"""),"Chypre")</f>
        <v>Chypre</v>
      </c>
      <c r="B35" s="1">
        <f>IFERROR(__xludf.DUMMYFUNCTION("""COMPUTED_VALUE"""),11.0)</f>
        <v>11</v>
      </c>
      <c r="C35" s="1">
        <f>IFERROR(__xludf.DUMMYFUNCTION("""COMPUTED_VALUE"""),0.0)</f>
        <v>0</v>
      </c>
      <c r="D35" s="1">
        <f>IFERROR(__xludf.DUMMYFUNCTION("""COMPUTED_VALUE"""),1.0)</f>
        <v>1</v>
      </c>
      <c r="E35" s="1">
        <f>IFERROR(__xludf.DUMMYFUNCTION("""COMPUTED_VALUE"""),0.0)</f>
        <v>0</v>
      </c>
      <c r="F35" s="1">
        <f>IFERROR(__xludf.DUMMYFUNCTION("""COMPUTED_VALUE"""),1.0)</f>
        <v>1</v>
      </c>
      <c r="G35" s="1">
        <f>IFERROR(__xludf.DUMMYFUNCTION("""COMPUTED_VALUE"""),11.0)</f>
        <v>11</v>
      </c>
      <c r="H35" s="1">
        <f>IFERROR(__xludf.DUMMYFUNCTION("""COMPUTED_VALUE"""),0.0)</f>
        <v>0</v>
      </c>
      <c r="I35" s="1">
        <f>IFERROR(__xludf.DUMMYFUNCTION("""COMPUTED_VALUE"""),0.0)</f>
        <v>0</v>
      </c>
      <c r="J35" s="1">
        <f>IFERROR(__xludf.DUMMYFUNCTION("""COMPUTED_VALUE"""),0.0)</f>
        <v>0</v>
      </c>
      <c r="K35" s="1">
        <f>IFERROR(__xludf.DUMMYFUNCTION("""COMPUTED_VALUE"""),0.0)</f>
        <v>0</v>
      </c>
      <c r="L35" s="1">
        <f>IFERROR(__xludf.DUMMYFUNCTION("""COMPUTED_VALUE"""),22.0)</f>
        <v>22</v>
      </c>
      <c r="M35" s="1">
        <f>IFERROR(__xludf.DUMMYFUNCTION("""COMPUTED_VALUE"""),0.0)</f>
        <v>0</v>
      </c>
      <c r="N35" s="1">
        <f>IFERROR(__xludf.DUMMYFUNCTION("""COMPUTED_VALUE"""),1.0)</f>
        <v>1</v>
      </c>
      <c r="O35" s="1">
        <f>IFERROR(__xludf.DUMMYFUNCTION("""COMPUTED_VALUE"""),0.0)</f>
        <v>0</v>
      </c>
      <c r="P35" s="1">
        <f>IFERROR(__xludf.DUMMYFUNCTION("""COMPUTED_VALUE"""),1.0)</f>
        <v>1</v>
      </c>
    </row>
    <row r="36">
      <c r="A36" s="1" t="str">
        <f>IFERROR(__xludf.DUMMYFUNCTION("""COMPUTED_VALUE"""),"Colombie")</f>
        <v>Colombie</v>
      </c>
      <c r="B36" s="1">
        <f>IFERROR(__xludf.DUMMYFUNCTION("""COMPUTED_VALUE"""),20.0)</f>
        <v>20</v>
      </c>
      <c r="C36" s="1">
        <f>IFERROR(__xludf.DUMMYFUNCTION("""COMPUTED_VALUE"""),5.0)</f>
        <v>5</v>
      </c>
      <c r="D36" s="1">
        <f>IFERROR(__xludf.DUMMYFUNCTION("""COMPUTED_VALUE"""),13.0)</f>
        <v>13</v>
      </c>
      <c r="E36" s="1">
        <f>IFERROR(__xludf.DUMMYFUNCTION("""COMPUTED_VALUE"""),16.0)</f>
        <v>16</v>
      </c>
      <c r="F36" s="1">
        <f>IFERROR(__xludf.DUMMYFUNCTION("""COMPUTED_VALUE"""),34.0)</f>
        <v>34</v>
      </c>
      <c r="G36" s="1">
        <f>IFERROR(__xludf.DUMMYFUNCTION("""COMPUTED_VALUE"""),2.0)</f>
        <v>2</v>
      </c>
      <c r="H36" s="1">
        <f>IFERROR(__xludf.DUMMYFUNCTION("""COMPUTED_VALUE"""),0.0)</f>
        <v>0</v>
      </c>
      <c r="I36" s="1">
        <f>IFERROR(__xludf.DUMMYFUNCTION("""COMPUTED_VALUE"""),0.0)</f>
        <v>0</v>
      </c>
      <c r="J36" s="1">
        <f>IFERROR(__xludf.DUMMYFUNCTION("""COMPUTED_VALUE"""),0.0)</f>
        <v>0</v>
      </c>
      <c r="K36" s="1">
        <f>IFERROR(__xludf.DUMMYFUNCTION("""COMPUTED_VALUE"""),0.0)</f>
        <v>0</v>
      </c>
      <c r="L36" s="1">
        <f>IFERROR(__xludf.DUMMYFUNCTION("""COMPUTED_VALUE"""),22.0)</f>
        <v>22</v>
      </c>
      <c r="M36" s="1">
        <f>IFERROR(__xludf.DUMMYFUNCTION("""COMPUTED_VALUE"""),5.0)</f>
        <v>5</v>
      </c>
      <c r="N36" s="1">
        <f>IFERROR(__xludf.DUMMYFUNCTION("""COMPUTED_VALUE"""),13.0)</f>
        <v>13</v>
      </c>
      <c r="O36" s="1">
        <f>IFERROR(__xludf.DUMMYFUNCTION("""COMPUTED_VALUE"""),16.0)</f>
        <v>16</v>
      </c>
      <c r="P36" s="1">
        <f>IFERROR(__xludf.DUMMYFUNCTION("""COMPUTED_VALUE"""),34.0)</f>
        <v>34</v>
      </c>
    </row>
    <row r="37">
      <c r="A37" s="1" t="str">
        <f>IFERROR(__xludf.DUMMYFUNCTION("""COMPUTED_VALUE"""),"*Comité olympique de Russie*")</f>
        <v>*Comité olympique de Russie*</v>
      </c>
      <c r="B37" s="1">
        <f>IFERROR(__xludf.DUMMYFUNCTION("""COMPUTED_VALUE"""),1.0)</f>
        <v>1</v>
      </c>
      <c r="C37" s="1">
        <f>IFERROR(__xludf.DUMMYFUNCTION("""COMPUTED_VALUE"""),20.0)</f>
        <v>20</v>
      </c>
      <c r="D37" s="1">
        <f>IFERROR(__xludf.DUMMYFUNCTION("""COMPUTED_VALUE"""),28.0)</f>
        <v>28</v>
      </c>
      <c r="E37" s="1">
        <f>IFERROR(__xludf.DUMMYFUNCTION("""COMPUTED_VALUE"""),23.0)</f>
        <v>23</v>
      </c>
      <c r="F37" s="1">
        <f>IFERROR(__xludf.DUMMYFUNCTION("""COMPUTED_VALUE"""),71.0)</f>
        <v>71</v>
      </c>
      <c r="G37" s="1">
        <f>IFERROR(__xludf.DUMMYFUNCTION("""COMPUTED_VALUE"""),0.0)</f>
        <v>0</v>
      </c>
      <c r="H37" s="1">
        <f>IFERROR(__xludf.DUMMYFUNCTION("""COMPUTED_VALUE"""),0.0)</f>
        <v>0</v>
      </c>
      <c r="I37" s="1">
        <f>IFERROR(__xludf.DUMMYFUNCTION("""COMPUTED_VALUE"""),0.0)</f>
        <v>0</v>
      </c>
      <c r="J37" s="1">
        <f>IFERROR(__xludf.DUMMYFUNCTION("""COMPUTED_VALUE"""),0.0)</f>
        <v>0</v>
      </c>
      <c r="K37" s="1">
        <f>IFERROR(__xludf.DUMMYFUNCTION("""COMPUTED_VALUE"""),0.0)</f>
        <v>0</v>
      </c>
      <c r="L37" s="1">
        <f>IFERROR(__xludf.DUMMYFUNCTION("""COMPUTED_VALUE"""),1.0)</f>
        <v>1</v>
      </c>
      <c r="M37" s="1">
        <f>IFERROR(__xludf.DUMMYFUNCTION("""COMPUTED_VALUE"""),20.0)</f>
        <v>20</v>
      </c>
      <c r="N37" s="1">
        <f>IFERROR(__xludf.DUMMYFUNCTION("""COMPUTED_VALUE"""),28.0)</f>
        <v>28</v>
      </c>
      <c r="O37" s="1">
        <f>IFERROR(__xludf.DUMMYFUNCTION("""COMPUTED_VALUE"""),23.0)</f>
        <v>23</v>
      </c>
      <c r="P37" s="1">
        <f>IFERROR(__xludf.DUMMYFUNCTION("""COMPUTED_VALUE"""),71.0)</f>
        <v>71</v>
      </c>
    </row>
    <row r="38">
      <c r="A38" s="1" t="str">
        <f>IFERROR(__xludf.DUMMYFUNCTION("""COMPUTED_VALUE"""),"Corée du Nord")</f>
        <v>Corée du Nord</v>
      </c>
      <c r="B38" s="1">
        <f>IFERROR(__xludf.DUMMYFUNCTION("""COMPUTED_VALUE"""),10.0)</f>
        <v>10</v>
      </c>
      <c r="C38" s="1">
        <f>IFERROR(__xludf.DUMMYFUNCTION("""COMPUTED_VALUE"""),16.0)</f>
        <v>16</v>
      </c>
      <c r="D38" s="1">
        <f>IFERROR(__xludf.DUMMYFUNCTION("""COMPUTED_VALUE"""),16.0)</f>
        <v>16</v>
      </c>
      <c r="E38" s="1">
        <f>IFERROR(__xludf.DUMMYFUNCTION("""COMPUTED_VALUE"""),22.0)</f>
        <v>22</v>
      </c>
      <c r="F38" s="1">
        <f>IFERROR(__xludf.DUMMYFUNCTION("""COMPUTED_VALUE"""),54.0)</f>
        <v>54</v>
      </c>
      <c r="G38" s="1">
        <f>IFERROR(__xludf.DUMMYFUNCTION("""COMPUTED_VALUE"""),9.0)</f>
        <v>9</v>
      </c>
      <c r="H38" s="1">
        <f>IFERROR(__xludf.DUMMYFUNCTION("""COMPUTED_VALUE"""),0.0)</f>
        <v>0</v>
      </c>
      <c r="I38" s="1">
        <f>IFERROR(__xludf.DUMMYFUNCTION("""COMPUTED_VALUE"""),1.0)</f>
        <v>1</v>
      </c>
      <c r="J38" s="1">
        <f>IFERROR(__xludf.DUMMYFUNCTION("""COMPUTED_VALUE"""),1.0)</f>
        <v>1</v>
      </c>
      <c r="K38" s="1">
        <f>IFERROR(__xludf.DUMMYFUNCTION("""COMPUTED_VALUE"""),2.0)</f>
        <v>2</v>
      </c>
      <c r="L38" s="1">
        <f>IFERROR(__xludf.DUMMYFUNCTION("""COMPUTED_VALUE"""),19.0)</f>
        <v>19</v>
      </c>
      <c r="M38" s="1">
        <f>IFERROR(__xludf.DUMMYFUNCTION("""COMPUTED_VALUE"""),16.0)</f>
        <v>16</v>
      </c>
      <c r="N38" s="1">
        <f>IFERROR(__xludf.DUMMYFUNCTION("""COMPUTED_VALUE"""),17.0)</f>
        <v>17</v>
      </c>
      <c r="O38" s="1">
        <f>IFERROR(__xludf.DUMMYFUNCTION("""COMPUTED_VALUE"""),23.0)</f>
        <v>23</v>
      </c>
      <c r="P38" s="1">
        <f>IFERROR(__xludf.DUMMYFUNCTION("""COMPUTED_VALUE"""),56.0)</f>
        <v>56</v>
      </c>
    </row>
    <row r="39">
      <c r="A39" s="1" t="str">
        <f>IFERROR(__xludf.DUMMYFUNCTION("""COMPUTED_VALUE"""),"Corée du Sud")</f>
        <v>Corée du Sud</v>
      </c>
      <c r="B39" s="1">
        <f>IFERROR(__xludf.DUMMYFUNCTION("""COMPUTED_VALUE"""),18.0)</f>
        <v>18</v>
      </c>
      <c r="C39" s="1">
        <f>IFERROR(__xludf.DUMMYFUNCTION("""COMPUTED_VALUE"""),109.0)</f>
        <v>109</v>
      </c>
      <c r="D39" s="1">
        <f>IFERROR(__xludf.DUMMYFUNCTION("""COMPUTED_VALUE"""),100.0)</f>
        <v>100</v>
      </c>
      <c r="E39" s="1">
        <f>IFERROR(__xludf.DUMMYFUNCTION("""COMPUTED_VALUE"""),110.0)</f>
        <v>110</v>
      </c>
      <c r="F39" s="1">
        <f>IFERROR(__xludf.DUMMYFUNCTION("""COMPUTED_VALUE"""),319.0)</f>
        <v>319</v>
      </c>
      <c r="G39" s="1">
        <f>IFERROR(__xludf.DUMMYFUNCTION("""COMPUTED_VALUE"""),18.0)</f>
        <v>18</v>
      </c>
      <c r="H39" s="1">
        <f>IFERROR(__xludf.DUMMYFUNCTION("""COMPUTED_VALUE"""),31.0)</f>
        <v>31</v>
      </c>
      <c r="I39" s="1">
        <f>IFERROR(__xludf.DUMMYFUNCTION("""COMPUTED_VALUE"""),25.0)</f>
        <v>25</v>
      </c>
      <c r="J39" s="1">
        <f>IFERROR(__xludf.DUMMYFUNCTION("""COMPUTED_VALUE"""),14.0)</f>
        <v>14</v>
      </c>
      <c r="K39" s="1">
        <f>IFERROR(__xludf.DUMMYFUNCTION("""COMPUTED_VALUE"""),70.0)</f>
        <v>70</v>
      </c>
      <c r="L39" s="1">
        <f>IFERROR(__xludf.DUMMYFUNCTION("""COMPUTED_VALUE"""),36.0)</f>
        <v>36</v>
      </c>
      <c r="M39" s="1">
        <f>IFERROR(__xludf.DUMMYFUNCTION("""COMPUTED_VALUE"""),140.0)</f>
        <v>140</v>
      </c>
      <c r="N39" s="1">
        <f>IFERROR(__xludf.DUMMYFUNCTION("""COMPUTED_VALUE"""),125.0)</f>
        <v>125</v>
      </c>
      <c r="O39" s="1">
        <f>IFERROR(__xludf.DUMMYFUNCTION("""COMPUTED_VALUE"""),124.0)</f>
        <v>124</v>
      </c>
      <c r="P39" s="1">
        <f>IFERROR(__xludf.DUMMYFUNCTION("""COMPUTED_VALUE"""),389.0)</f>
        <v>389</v>
      </c>
    </row>
    <row r="40">
      <c r="A40" s="1" t="str">
        <f>IFERROR(__xludf.DUMMYFUNCTION("""COMPUTED_VALUE"""),"Costa Rica")</f>
        <v>Costa Rica</v>
      </c>
      <c r="B40" s="1">
        <f>IFERROR(__xludf.DUMMYFUNCTION("""COMPUTED_VALUE"""),16.0)</f>
        <v>16</v>
      </c>
      <c r="C40" s="1">
        <f>IFERROR(__xludf.DUMMYFUNCTION("""COMPUTED_VALUE"""),1.0)</f>
        <v>1</v>
      </c>
      <c r="D40" s="1">
        <f>IFERROR(__xludf.DUMMYFUNCTION("""COMPUTED_VALUE"""),1.0)</f>
        <v>1</v>
      </c>
      <c r="E40" s="1">
        <f>IFERROR(__xludf.DUMMYFUNCTION("""COMPUTED_VALUE"""),2.0)</f>
        <v>2</v>
      </c>
      <c r="F40" s="1">
        <f>IFERROR(__xludf.DUMMYFUNCTION("""COMPUTED_VALUE"""),4.0)</f>
        <v>4</v>
      </c>
      <c r="G40" s="1">
        <f>IFERROR(__xludf.DUMMYFUNCTION("""COMPUTED_VALUE"""),6.0)</f>
        <v>6</v>
      </c>
      <c r="H40" s="1">
        <f>IFERROR(__xludf.DUMMYFUNCTION("""COMPUTED_VALUE"""),0.0)</f>
        <v>0</v>
      </c>
      <c r="I40" s="1">
        <f>IFERROR(__xludf.DUMMYFUNCTION("""COMPUTED_VALUE"""),0.0)</f>
        <v>0</v>
      </c>
      <c r="J40" s="1">
        <f>IFERROR(__xludf.DUMMYFUNCTION("""COMPUTED_VALUE"""),0.0)</f>
        <v>0</v>
      </c>
      <c r="K40" s="1">
        <f>IFERROR(__xludf.DUMMYFUNCTION("""COMPUTED_VALUE"""),0.0)</f>
        <v>0</v>
      </c>
      <c r="L40" s="1">
        <f>IFERROR(__xludf.DUMMYFUNCTION("""COMPUTED_VALUE"""),22.0)</f>
        <v>22</v>
      </c>
      <c r="M40" s="1">
        <f>IFERROR(__xludf.DUMMYFUNCTION("""COMPUTED_VALUE"""),1.0)</f>
        <v>1</v>
      </c>
      <c r="N40" s="1">
        <f>IFERROR(__xludf.DUMMYFUNCTION("""COMPUTED_VALUE"""),1.0)</f>
        <v>1</v>
      </c>
      <c r="O40" s="1">
        <f>IFERROR(__xludf.DUMMYFUNCTION("""COMPUTED_VALUE"""),2.0)</f>
        <v>2</v>
      </c>
      <c r="P40" s="1">
        <f>IFERROR(__xludf.DUMMYFUNCTION("""COMPUTED_VALUE"""),4.0)</f>
        <v>4</v>
      </c>
    </row>
    <row r="41">
      <c r="A41" s="1" t="str">
        <f>IFERROR(__xludf.DUMMYFUNCTION("""COMPUTED_VALUE"""),"Côte d'Ivoire")</f>
        <v>Côte d'Ivoire</v>
      </c>
      <c r="B41" s="1">
        <f>IFERROR(__xludf.DUMMYFUNCTION("""COMPUTED_VALUE"""),14.0)</f>
        <v>14</v>
      </c>
      <c r="C41" s="1">
        <f>IFERROR(__xludf.DUMMYFUNCTION("""COMPUTED_VALUE"""),1.0)</f>
        <v>1</v>
      </c>
      <c r="D41" s="1">
        <f>IFERROR(__xludf.DUMMYFUNCTION("""COMPUTED_VALUE"""),1.0)</f>
        <v>1</v>
      </c>
      <c r="E41" s="1">
        <f>IFERROR(__xludf.DUMMYFUNCTION("""COMPUTED_VALUE"""),2.0)</f>
        <v>2</v>
      </c>
      <c r="F41" s="1">
        <f>IFERROR(__xludf.DUMMYFUNCTION("""COMPUTED_VALUE"""),4.0)</f>
        <v>4</v>
      </c>
      <c r="G41" s="1">
        <f>IFERROR(__xludf.DUMMYFUNCTION("""COMPUTED_VALUE"""),0.0)</f>
        <v>0</v>
      </c>
      <c r="H41" s="1">
        <f>IFERROR(__xludf.DUMMYFUNCTION("""COMPUTED_VALUE"""),0.0)</f>
        <v>0</v>
      </c>
      <c r="I41" s="1">
        <f>IFERROR(__xludf.DUMMYFUNCTION("""COMPUTED_VALUE"""),0.0)</f>
        <v>0</v>
      </c>
      <c r="J41" s="1">
        <f>IFERROR(__xludf.DUMMYFUNCTION("""COMPUTED_VALUE"""),0.0)</f>
        <v>0</v>
      </c>
      <c r="K41" s="1">
        <f>IFERROR(__xludf.DUMMYFUNCTION("""COMPUTED_VALUE"""),0.0)</f>
        <v>0</v>
      </c>
      <c r="L41" s="1">
        <f>IFERROR(__xludf.DUMMYFUNCTION("""COMPUTED_VALUE"""),14.0)</f>
        <v>14</v>
      </c>
      <c r="M41" s="1">
        <f>IFERROR(__xludf.DUMMYFUNCTION("""COMPUTED_VALUE"""),1.0)</f>
        <v>1</v>
      </c>
      <c r="N41" s="1">
        <f>IFERROR(__xludf.DUMMYFUNCTION("""COMPUTED_VALUE"""),1.0)</f>
        <v>1</v>
      </c>
      <c r="O41" s="1">
        <f>IFERROR(__xludf.DUMMYFUNCTION("""COMPUTED_VALUE"""),2.0)</f>
        <v>2</v>
      </c>
      <c r="P41" s="1">
        <f>IFERROR(__xludf.DUMMYFUNCTION("""COMPUTED_VALUE"""),4.0)</f>
        <v>4</v>
      </c>
    </row>
    <row r="42">
      <c r="A42" s="1" t="str">
        <f>IFERROR(__xludf.DUMMYFUNCTION("""COMPUTED_VALUE"""),"Croatie")</f>
        <v>Croatie</v>
      </c>
      <c r="B42" s="1">
        <f>IFERROR(__xludf.DUMMYFUNCTION("""COMPUTED_VALUE"""),8.0)</f>
        <v>8</v>
      </c>
      <c r="C42" s="1">
        <f>IFERROR(__xludf.DUMMYFUNCTION("""COMPUTED_VALUE"""),14.0)</f>
        <v>14</v>
      </c>
      <c r="D42" s="1">
        <f>IFERROR(__xludf.DUMMYFUNCTION("""COMPUTED_VALUE"""),13.0)</f>
        <v>13</v>
      </c>
      <c r="E42" s="1">
        <f>IFERROR(__xludf.DUMMYFUNCTION("""COMPUTED_VALUE"""),14.0)</f>
        <v>14</v>
      </c>
      <c r="F42" s="1">
        <f>IFERROR(__xludf.DUMMYFUNCTION("""COMPUTED_VALUE"""),41.0)</f>
        <v>41</v>
      </c>
      <c r="G42" s="1">
        <f>IFERROR(__xludf.DUMMYFUNCTION("""COMPUTED_VALUE"""),8.0)</f>
        <v>8</v>
      </c>
      <c r="H42" s="1">
        <f>IFERROR(__xludf.DUMMYFUNCTION("""COMPUTED_VALUE"""),4.0)</f>
        <v>4</v>
      </c>
      <c r="I42" s="1">
        <f>IFERROR(__xludf.DUMMYFUNCTION("""COMPUTED_VALUE"""),6.0)</f>
        <v>6</v>
      </c>
      <c r="J42" s="1">
        <f>IFERROR(__xludf.DUMMYFUNCTION("""COMPUTED_VALUE"""),1.0)</f>
        <v>1</v>
      </c>
      <c r="K42" s="1">
        <f>IFERROR(__xludf.DUMMYFUNCTION("""COMPUTED_VALUE"""),11.0)</f>
        <v>11</v>
      </c>
      <c r="L42" s="1">
        <f>IFERROR(__xludf.DUMMYFUNCTION("""COMPUTED_VALUE"""),16.0)</f>
        <v>16</v>
      </c>
      <c r="M42" s="1">
        <f>IFERROR(__xludf.DUMMYFUNCTION("""COMPUTED_VALUE"""),18.0)</f>
        <v>18</v>
      </c>
      <c r="N42" s="1">
        <f>IFERROR(__xludf.DUMMYFUNCTION("""COMPUTED_VALUE"""),19.0)</f>
        <v>19</v>
      </c>
      <c r="O42" s="1">
        <f>IFERROR(__xludf.DUMMYFUNCTION("""COMPUTED_VALUE"""),15.0)</f>
        <v>15</v>
      </c>
      <c r="P42" s="1">
        <f>IFERROR(__xludf.DUMMYFUNCTION("""COMPUTED_VALUE"""),52.0)</f>
        <v>52</v>
      </c>
    </row>
    <row r="43">
      <c r="A43" s="1" t="str">
        <f>IFERROR(__xludf.DUMMYFUNCTION("""COMPUTED_VALUE"""),"Cuba[7]")</f>
        <v>Cuba[7]</v>
      </c>
      <c r="B43" s="1">
        <f>IFERROR(__xludf.DUMMYFUNCTION("""COMPUTED_VALUE"""),21.0)</f>
        <v>21</v>
      </c>
      <c r="C43" s="1">
        <f>IFERROR(__xludf.DUMMYFUNCTION("""COMPUTED_VALUE"""),85.0)</f>
        <v>85</v>
      </c>
      <c r="D43" s="1">
        <f>IFERROR(__xludf.DUMMYFUNCTION("""COMPUTED_VALUE"""),71.0)</f>
        <v>71</v>
      </c>
      <c r="E43" s="1">
        <f>IFERROR(__xludf.DUMMYFUNCTION("""COMPUTED_VALUE"""),85.0)</f>
        <v>85</v>
      </c>
      <c r="F43" s="1">
        <f>IFERROR(__xludf.DUMMYFUNCTION("""COMPUTED_VALUE"""),241.0)</f>
        <v>241</v>
      </c>
      <c r="G43" s="1">
        <f>IFERROR(__xludf.DUMMYFUNCTION("""COMPUTED_VALUE"""),0.0)</f>
        <v>0</v>
      </c>
      <c r="H43" s="1">
        <f>IFERROR(__xludf.DUMMYFUNCTION("""COMPUTED_VALUE"""),0.0)</f>
        <v>0</v>
      </c>
      <c r="I43" s="1">
        <f>IFERROR(__xludf.DUMMYFUNCTION("""COMPUTED_VALUE"""),0.0)</f>
        <v>0</v>
      </c>
      <c r="J43" s="1">
        <f>IFERROR(__xludf.DUMMYFUNCTION("""COMPUTED_VALUE"""),0.0)</f>
        <v>0</v>
      </c>
      <c r="K43" s="1">
        <f>IFERROR(__xludf.DUMMYFUNCTION("""COMPUTED_VALUE"""),0.0)</f>
        <v>0</v>
      </c>
      <c r="L43" s="1">
        <f>IFERROR(__xludf.DUMMYFUNCTION("""COMPUTED_VALUE"""),21.0)</f>
        <v>21</v>
      </c>
      <c r="M43" s="1">
        <f>IFERROR(__xludf.DUMMYFUNCTION("""COMPUTED_VALUE"""),85.0)</f>
        <v>85</v>
      </c>
      <c r="N43" s="1">
        <f>IFERROR(__xludf.DUMMYFUNCTION("""COMPUTED_VALUE"""),71.0)</f>
        <v>71</v>
      </c>
      <c r="O43" s="1">
        <f>IFERROR(__xludf.DUMMYFUNCTION("""COMPUTED_VALUE"""),85.0)</f>
        <v>85</v>
      </c>
      <c r="P43" s="1">
        <f>IFERROR(__xludf.DUMMYFUNCTION("""COMPUTED_VALUE"""),241.0)</f>
        <v>241</v>
      </c>
    </row>
    <row r="44">
      <c r="A44" s="1" t="str">
        <f>IFERROR(__xludf.DUMMYFUNCTION("""COMPUTED_VALUE"""),"Danemark[7]")</f>
        <v>Danemark[7]</v>
      </c>
      <c r="B44" s="1">
        <f>IFERROR(__xludf.DUMMYFUNCTION("""COMPUTED_VALUE"""),28.0)</f>
        <v>28</v>
      </c>
      <c r="C44" s="1">
        <f>IFERROR(__xludf.DUMMYFUNCTION("""COMPUTED_VALUE"""),48.0)</f>
        <v>48</v>
      </c>
      <c r="D44" s="1">
        <f>IFERROR(__xludf.DUMMYFUNCTION("""COMPUTED_VALUE"""),78.0)</f>
        <v>78</v>
      </c>
      <c r="E44" s="1">
        <f>IFERROR(__xludf.DUMMYFUNCTION("""COMPUTED_VALUE"""),79.0)</f>
        <v>79</v>
      </c>
      <c r="F44" s="1">
        <f>IFERROR(__xludf.DUMMYFUNCTION("""COMPUTED_VALUE"""),205.0)</f>
        <v>205</v>
      </c>
      <c r="G44" s="1">
        <f>IFERROR(__xludf.DUMMYFUNCTION("""COMPUTED_VALUE"""),14.0)</f>
        <v>14</v>
      </c>
      <c r="H44" s="1">
        <f>IFERROR(__xludf.DUMMYFUNCTION("""COMPUTED_VALUE"""),0.0)</f>
        <v>0</v>
      </c>
      <c r="I44" s="1">
        <f>IFERROR(__xludf.DUMMYFUNCTION("""COMPUTED_VALUE"""),1.0)</f>
        <v>1</v>
      </c>
      <c r="J44" s="1">
        <f>IFERROR(__xludf.DUMMYFUNCTION("""COMPUTED_VALUE"""),0.0)</f>
        <v>0</v>
      </c>
      <c r="K44" s="1">
        <f>IFERROR(__xludf.DUMMYFUNCTION("""COMPUTED_VALUE"""),1.0)</f>
        <v>1</v>
      </c>
      <c r="L44" s="1">
        <f>IFERROR(__xludf.DUMMYFUNCTION("""COMPUTED_VALUE"""),42.0)</f>
        <v>42</v>
      </c>
      <c r="M44" s="1">
        <f>IFERROR(__xludf.DUMMYFUNCTION("""COMPUTED_VALUE"""),48.0)</f>
        <v>48</v>
      </c>
      <c r="N44" s="1">
        <f>IFERROR(__xludf.DUMMYFUNCTION("""COMPUTED_VALUE"""),79.0)</f>
        <v>79</v>
      </c>
      <c r="O44" s="1">
        <f>IFERROR(__xludf.DUMMYFUNCTION("""COMPUTED_VALUE"""),79.0)</f>
        <v>79</v>
      </c>
      <c r="P44" s="1">
        <f>IFERROR(__xludf.DUMMYFUNCTION("""COMPUTED_VALUE"""),206.0)</f>
        <v>206</v>
      </c>
    </row>
    <row r="45">
      <c r="A45" s="1" t="str">
        <f>IFERROR(__xludf.DUMMYFUNCTION("""COMPUTED_VALUE"""),"Djibouti")</f>
        <v>Djibouti</v>
      </c>
      <c r="B45" s="1">
        <f>IFERROR(__xludf.DUMMYFUNCTION("""COMPUTED_VALUE"""),9.0)</f>
        <v>9</v>
      </c>
      <c r="C45" s="1">
        <f>IFERROR(__xludf.DUMMYFUNCTION("""COMPUTED_VALUE"""),0.0)</f>
        <v>0</v>
      </c>
      <c r="D45" s="1">
        <f>IFERROR(__xludf.DUMMYFUNCTION("""COMPUTED_VALUE"""),0.0)</f>
        <v>0</v>
      </c>
      <c r="E45" s="1">
        <f>IFERROR(__xludf.DUMMYFUNCTION("""COMPUTED_VALUE"""),1.0)</f>
        <v>1</v>
      </c>
      <c r="F45" s="1">
        <f>IFERROR(__xludf.DUMMYFUNCTION("""COMPUTED_VALUE"""),1.0)</f>
        <v>1</v>
      </c>
      <c r="G45" s="1">
        <f>IFERROR(__xludf.DUMMYFUNCTION("""COMPUTED_VALUE"""),0.0)</f>
        <v>0</v>
      </c>
      <c r="H45" s="1">
        <f>IFERROR(__xludf.DUMMYFUNCTION("""COMPUTED_VALUE"""),0.0)</f>
        <v>0</v>
      </c>
      <c r="I45" s="1">
        <f>IFERROR(__xludf.DUMMYFUNCTION("""COMPUTED_VALUE"""),0.0)</f>
        <v>0</v>
      </c>
      <c r="J45" s="1">
        <f>IFERROR(__xludf.DUMMYFUNCTION("""COMPUTED_VALUE"""),0.0)</f>
        <v>0</v>
      </c>
      <c r="K45" s="1">
        <f>IFERROR(__xludf.DUMMYFUNCTION("""COMPUTED_VALUE"""),0.0)</f>
        <v>0</v>
      </c>
      <c r="L45" s="1">
        <f>IFERROR(__xludf.DUMMYFUNCTION("""COMPUTED_VALUE"""),9.0)</f>
        <v>9</v>
      </c>
      <c r="M45" s="1">
        <f>IFERROR(__xludf.DUMMYFUNCTION("""COMPUTED_VALUE"""),0.0)</f>
        <v>0</v>
      </c>
      <c r="N45" s="1">
        <f>IFERROR(__xludf.DUMMYFUNCTION("""COMPUTED_VALUE"""),0.0)</f>
        <v>0</v>
      </c>
      <c r="O45" s="1">
        <f>IFERROR(__xludf.DUMMYFUNCTION("""COMPUTED_VALUE"""),1.0)</f>
        <v>1</v>
      </c>
      <c r="P45" s="1">
        <f>IFERROR(__xludf.DUMMYFUNCTION("""COMPUTED_VALUE"""),1.0)</f>
        <v>1</v>
      </c>
    </row>
    <row r="46">
      <c r="A46" s="1" t="str">
        <f>IFERROR(__xludf.DUMMYFUNCTION("""COMPUTED_VALUE"""),"Dominique")</f>
        <v>Dominique</v>
      </c>
      <c r="B46" s="1">
        <f>IFERROR(__xludf.DUMMYFUNCTION("""COMPUTED_VALUE"""),5.0)</f>
        <v>5</v>
      </c>
      <c r="C46" s="1">
        <f>IFERROR(__xludf.DUMMYFUNCTION("""COMPUTED_VALUE"""),1.0)</f>
        <v>1</v>
      </c>
      <c r="D46" s="1">
        <f>IFERROR(__xludf.DUMMYFUNCTION("""COMPUTED_VALUE"""),0.0)</f>
        <v>0</v>
      </c>
      <c r="E46" s="1">
        <f>IFERROR(__xludf.DUMMYFUNCTION("""COMPUTED_VALUE"""),0.0)</f>
        <v>0</v>
      </c>
      <c r="F46" s="1">
        <f>IFERROR(__xludf.DUMMYFUNCTION("""COMPUTED_VALUE"""),1.0)</f>
        <v>1</v>
      </c>
      <c r="G46" s="1">
        <f>IFERROR(__xludf.DUMMYFUNCTION("""COMPUTED_VALUE"""),1.0)</f>
        <v>1</v>
      </c>
      <c r="H46" s="1">
        <f>IFERROR(__xludf.DUMMYFUNCTION("""COMPUTED_VALUE"""),0.0)</f>
        <v>0</v>
      </c>
      <c r="I46" s="1">
        <f>IFERROR(__xludf.DUMMYFUNCTION("""COMPUTED_VALUE"""),0.0)</f>
        <v>0</v>
      </c>
      <c r="J46" s="1">
        <f>IFERROR(__xludf.DUMMYFUNCTION("""COMPUTED_VALUE"""),0.0)</f>
        <v>0</v>
      </c>
      <c r="K46" s="1">
        <f>IFERROR(__xludf.DUMMYFUNCTION("""COMPUTED_VALUE"""),0.0)</f>
        <v>0</v>
      </c>
      <c r="L46" s="1">
        <f>IFERROR(__xludf.DUMMYFUNCTION("""COMPUTED_VALUE"""),6.0)</f>
        <v>6</v>
      </c>
      <c r="M46" s="1">
        <f>IFERROR(__xludf.DUMMYFUNCTION("""COMPUTED_VALUE"""),1.0)</f>
        <v>1</v>
      </c>
      <c r="N46" s="1">
        <f>IFERROR(__xludf.DUMMYFUNCTION("""COMPUTED_VALUE"""),0.0)</f>
        <v>0</v>
      </c>
      <c r="O46" s="1">
        <f>IFERROR(__xludf.DUMMYFUNCTION("""COMPUTED_VALUE"""),0.0)</f>
        <v>0</v>
      </c>
      <c r="P46" s="1">
        <f>IFERROR(__xludf.DUMMYFUNCTION("""COMPUTED_VALUE"""),1.0)</f>
        <v>1</v>
      </c>
    </row>
    <row r="47">
      <c r="A47" s="1" t="str">
        <f>IFERROR(__xludf.DUMMYFUNCTION("""COMPUTED_VALUE"""),"Égypte[11],[7]")</f>
        <v>Égypte[11],[7]</v>
      </c>
      <c r="B47" s="1">
        <f>IFERROR(__xludf.DUMMYFUNCTION("""COMPUTED_VALUE"""),23.0)</f>
        <v>23</v>
      </c>
      <c r="C47" s="1">
        <f>IFERROR(__xludf.DUMMYFUNCTION("""COMPUTED_VALUE"""),7.0)</f>
        <v>7</v>
      </c>
      <c r="D47" s="1">
        <f>IFERROR(__xludf.DUMMYFUNCTION("""COMPUTED_VALUE"""),11.0)</f>
        <v>11</v>
      </c>
      <c r="E47" s="1">
        <f>IFERROR(__xludf.DUMMYFUNCTION("""COMPUTED_VALUE"""),19.0)</f>
        <v>19</v>
      </c>
      <c r="F47" s="1">
        <f>IFERROR(__xludf.DUMMYFUNCTION("""COMPUTED_VALUE"""),38.0)</f>
        <v>38</v>
      </c>
      <c r="G47" s="1">
        <f>IFERROR(__xludf.DUMMYFUNCTION("""COMPUTED_VALUE"""),1.0)</f>
        <v>1</v>
      </c>
      <c r="H47" s="1">
        <f>IFERROR(__xludf.DUMMYFUNCTION("""COMPUTED_VALUE"""),0.0)</f>
        <v>0</v>
      </c>
      <c r="I47" s="1">
        <f>IFERROR(__xludf.DUMMYFUNCTION("""COMPUTED_VALUE"""),0.0)</f>
        <v>0</v>
      </c>
      <c r="J47" s="1">
        <f>IFERROR(__xludf.DUMMYFUNCTION("""COMPUTED_VALUE"""),0.0)</f>
        <v>0</v>
      </c>
      <c r="K47" s="1">
        <f>IFERROR(__xludf.DUMMYFUNCTION("""COMPUTED_VALUE"""),0.0)</f>
        <v>0</v>
      </c>
      <c r="L47" s="1">
        <f>IFERROR(__xludf.DUMMYFUNCTION("""COMPUTED_VALUE"""),24.0)</f>
        <v>24</v>
      </c>
      <c r="M47" s="1">
        <f>IFERROR(__xludf.DUMMYFUNCTION("""COMPUTED_VALUE"""),7.0)</f>
        <v>7</v>
      </c>
      <c r="N47" s="1">
        <f>IFERROR(__xludf.DUMMYFUNCTION("""COMPUTED_VALUE"""),11.0)</f>
        <v>11</v>
      </c>
      <c r="O47" s="1">
        <f>IFERROR(__xludf.DUMMYFUNCTION("""COMPUTED_VALUE"""),19.0)</f>
        <v>19</v>
      </c>
      <c r="P47" s="1">
        <f>IFERROR(__xludf.DUMMYFUNCTION("""COMPUTED_VALUE"""),38.0)</f>
        <v>38</v>
      </c>
    </row>
    <row r="48">
      <c r="A48" s="1" t="str">
        <f>IFERROR(__xludf.DUMMYFUNCTION("""COMPUTED_VALUE"""),"*Empire russe*[12]")</f>
        <v>*Empire russe*[12]</v>
      </c>
      <c r="B48" s="1">
        <f>IFERROR(__xludf.DUMMYFUNCTION("""COMPUTED_VALUE"""),3.0)</f>
        <v>3</v>
      </c>
      <c r="C48" s="1">
        <f>IFERROR(__xludf.DUMMYFUNCTION("""COMPUTED_VALUE"""),1.0)</f>
        <v>1</v>
      </c>
      <c r="D48" s="1">
        <f>IFERROR(__xludf.DUMMYFUNCTION("""COMPUTED_VALUE"""),4.0)</f>
        <v>4</v>
      </c>
      <c r="E48" s="1">
        <f>IFERROR(__xludf.DUMMYFUNCTION("""COMPUTED_VALUE"""),3.0)</f>
        <v>3</v>
      </c>
      <c r="F48" s="1">
        <f>IFERROR(__xludf.DUMMYFUNCTION("""COMPUTED_VALUE"""),8.0)</f>
        <v>8</v>
      </c>
      <c r="G48" s="1">
        <f>IFERROR(__xludf.DUMMYFUNCTION("""COMPUTED_VALUE"""),0.0)</f>
        <v>0</v>
      </c>
      <c r="H48" s="1">
        <f>IFERROR(__xludf.DUMMYFUNCTION("""COMPUTED_VALUE"""),0.0)</f>
        <v>0</v>
      </c>
      <c r="I48" s="1">
        <f>IFERROR(__xludf.DUMMYFUNCTION("""COMPUTED_VALUE"""),0.0)</f>
        <v>0</v>
      </c>
      <c r="J48" s="1">
        <f>IFERROR(__xludf.DUMMYFUNCTION("""COMPUTED_VALUE"""),0.0)</f>
        <v>0</v>
      </c>
      <c r="K48" s="1">
        <f>IFERROR(__xludf.DUMMYFUNCTION("""COMPUTED_VALUE"""),0.0)</f>
        <v>0</v>
      </c>
      <c r="L48" s="1">
        <f>IFERROR(__xludf.DUMMYFUNCTION("""COMPUTED_VALUE"""),3.0)</f>
        <v>3</v>
      </c>
      <c r="M48" s="1">
        <f>IFERROR(__xludf.DUMMYFUNCTION("""COMPUTED_VALUE"""),1.0)</f>
        <v>1</v>
      </c>
      <c r="N48" s="1">
        <f>IFERROR(__xludf.DUMMYFUNCTION("""COMPUTED_VALUE"""),4.0)</f>
        <v>4</v>
      </c>
      <c r="O48" s="1">
        <f>IFERROR(__xludf.DUMMYFUNCTION("""COMPUTED_VALUE"""),3.0)</f>
        <v>3</v>
      </c>
      <c r="P48" s="1">
        <f>IFERROR(__xludf.DUMMYFUNCTION("""COMPUTED_VALUE"""),8.0)</f>
        <v>8</v>
      </c>
    </row>
    <row r="49">
      <c r="A49" s="1" t="str">
        <f>IFERROR(__xludf.DUMMYFUNCTION("""COMPUTED_VALUE"""),"Émirats arabes unis")</f>
        <v>Émirats arabes unis</v>
      </c>
      <c r="B49" s="1">
        <f>IFERROR(__xludf.DUMMYFUNCTION("""COMPUTED_VALUE"""),10.0)</f>
        <v>10</v>
      </c>
      <c r="C49" s="1">
        <f>IFERROR(__xludf.DUMMYFUNCTION("""COMPUTED_VALUE"""),1.0)</f>
        <v>1</v>
      </c>
      <c r="D49" s="1">
        <f>IFERROR(__xludf.DUMMYFUNCTION("""COMPUTED_VALUE"""),0.0)</f>
        <v>0</v>
      </c>
      <c r="E49" s="1">
        <f>IFERROR(__xludf.DUMMYFUNCTION("""COMPUTED_VALUE"""),1.0)</f>
        <v>1</v>
      </c>
      <c r="F49" s="1">
        <f>IFERROR(__xludf.DUMMYFUNCTION("""COMPUTED_VALUE"""),2.0)</f>
        <v>2</v>
      </c>
      <c r="G49" s="1">
        <f>IFERROR(__xludf.DUMMYFUNCTION("""COMPUTED_VALUE"""),0.0)</f>
        <v>0</v>
      </c>
      <c r="H49" s="1">
        <f>IFERROR(__xludf.DUMMYFUNCTION("""COMPUTED_VALUE"""),0.0)</f>
        <v>0</v>
      </c>
      <c r="I49" s="1">
        <f>IFERROR(__xludf.DUMMYFUNCTION("""COMPUTED_VALUE"""),0.0)</f>
        <v>0</v>
      </c>
      <c r="J49" s="1">
        <f>IFERROR(__xludf.DUMMYFUNCTION("""COMPUTED_VALUE"""),0.0)</f>
        <v>0</v>
      </c>
      <c r="K49" s="1">
        <f>IFERROR(__xludf.DUMMYFUNCTION("""COMPUTED_VALUE"""),0.0)</f>
        <v>0</v>
      </c>
      <c r="L49" s="1">
        <f>IFERROR(__xludf.DUMMYFUNCTION("""COMPUTED_VALUE"""),10.0)</f>
        <v>10</v>
      </c>
      <c r="M49" s="1">
        <f>IFERROR(__xludf.DUMMYFUNCTION("""COMPUTED_VALUE"""),1.0)</f>
        <v>1</v>
      </c>
      <c r="N49" s="1">
        <f>IFERROR(__xludf.DUMMYFUNCTION("""COMPUTED_VALUE"""),0.0)</f>
        <v>0</v>
      </c>
      <c r="O49" s="1">
        <f>IFERROR(__xludf.DUMMYFUNCTION("""COMPUTED_VALUE"""),1.0)</f>
        <v>1</v>
      </c>
      <c r="P49" s="1">
        <f>IFERROR(__xludf.DUMMYFUNCTION("""COMPUTED_VALUE"""),2.0)</f>
        <v>2</v>
      </c>
    </row>
    <row r="50">
      <c r="A50" s="1" t="str">
        <f>IFERROR(__xludf.DUMMYFUNCTION("""COMPUTED_VALUE"""),"Équateur")</f>
        <v>Équateur</v>
      </c>
      <c r="B50" s="1">
        <f>IFERROR(__xludf.DUMMYFUNCTION("""COMPUTED_VALUE"""),15.0)</f>
        <v>15</v>
      </c>
      <c r="C50" s="1">
        <f>IFERROR(__xludf.DUMMYFUNCTION("""COMPUTED_VALUE"""),3.0)</f>
        <v>3</v>
      </c>
      <c r="D50" s="1">
        <f>IFERROR(__xludf.DUMMYFUNCTION("""COMPUTED_VALUE"""),2.0)</f>
        <v>2</v>
      </c>
      <c r="E50" s="1">
        <f>IFERROR(__xludf.DUMMYFUNCTION("""COMPUTED_VALUE"""),0.0)</f>
        <v>0</v>
      </c>
      <c r="F50" s="1">
        <f>IFERROR(__xludf.DUMMYFUNCTION("""COMPUTED_VALUE"""),5.0)</f>
        <v>5</v>
      </c>
      <c r="G50" s="1">
        <f>IFERROR(__xludf.DUMMYFUNCTION("""COMPUTED_VALUE"""),1.0)</f>
        <v>1</v>
      </c>
      <c r="H50" s="1">
        <f>IFERROR(__xludf.DUMMYFUNCTION("""COMPUTED_VALUE"""),0.0)</f>
        <v>0</v>
      </c>
      <c r="I50" s="1">
        <f>IFERROR(__xludf.DUMMYFUNCTION("""COMPUTED_VALUE"""),0.0)</f>
        <v>0</v>
      </c>
      <c r="J50" s="1">
        <f>IFERROR(__xludf.DUMMYFUNCTION("""COMPUTED_VALUE"""),0.0)</f>
        <v>0</v>
      </c>
      <c r="K50" s="1">
        <f>IFERROR(__xludf.DUMMYFUNCTION("""COMPUTED_VALUE"""),0.0)</f>
        <v>0</v>
      </c>
      <c r="L50" s="1">
        <f>IFERROR(__xludf.DUMMYFUNCTION("""COMPUTED_VALUE"""),16.0)</f>
        <v>16</v>
      </c>
      <c r="M50" s="1">
        <f>IFERROR(__xludf.DUMMYFUNCTION("""COMPUTED_VALUE"""),3.0)</f>
        <v>3</v>
      </c>
      <c r="N50" s="1">
        <f>IFERROR(__xludf.DUMMYFUNCTION("""COMPUTED_VALUE"""),2.0)</f>
        <v>2</v>
      </c>
      <c r="O50" s="1">
        <f>IFERROR(__xludf.DUMMYFUNCTION("""COMPUTED_VALUE"""),0.0)</f>
        <v>0</v>
      </c>
      <c r="P50" s="1">
        <f>IFERROR(__xludf.DUMMYFUNCTION("""COMPUTED_VALUE"""),5.0)</f>
        <v>5</v>
      </c>
    </row>
    <row r="51">
      <c r="A51" s="1" t="str">
        <f>IFERROR(__xludf.DUMMYFUNCTION("""COMPUTED_VALUE"""),"* Équipe mixte*[13]")</f>
        <v>* Équipe mixte*[13]</v>
      </c>
      <c r="B51" s="1">
        <f>IFERROR(__xludf.DUMMYFUNCTION("""COMPUTED_VALUE"""),3.0)</f>
        <v>3</v>
      </c>
      <c r="C51" s="1">
        <f>IFERROR(__xludf.DUMMYFUNCTION("""COMPUTED_VALUE"""),8.0)</f>
        <v>8</v>
      </c>
      <c r="D51" s="1">
        <f>IFERROR(__xludf.DUMMYFUNCTION("""COMPUTED_VALUE"""),5.0)</f>
        <v>5</v>
      </c>
      <c r="E51" s="1">
        <f>IFERROR(__xludf.DUMMYFUNCTION("""COMPUTED_VALUE"""),4.0)</f>
        <v>4</v>
      </c>
      <c r="F51" s="1">
        <f>IFERROR(__xludf.DUMMYFUNCTION("""COMPUTED_VALUE"""),17.0)</f>
        <v>17</v>
      </c>
      <c r="G51" s="1">
        <f>IFERROR(__xludf.DUMMYFUNCTION("""COMPUTED_VALUE"""),0.0)</f>
        <v>0</v>
      </c>
      <c r="H51" s="1">
        <f>IFERROR(__xludf.DUMMYFUNCTION("""COMPUTED_VALUE"""),0.0)</f>
        <v>0</v>
      </c>
      <c r="I51" s="1">
        <f>IFERROR(__xludf.DUMMYFUNCTION("""COMPUTED_VALUE"""),0.0)</f>
        <v>0</v>
      </c>
      <c r="J51" s="1">
        <f>IFERROR(__xludf.DUMMYFUNCTION("""COMPUTED_VALUE"""),0.0)</f>
        <v>0</v>
      </c>
      <c r="K51" s="1">
        <f>IFERROR(__xludf.DUMMYFUNCTION("""COMPUTED_VALUE"""),0.0)</f>
        <v>0</v>
      </c>
      <c r="L51" s="1">
        <f>IFERROR(__xludf.DUMMYFUNCTION("""COMPUTED_VALUE"""),3.0)</f>
        <v>3</v>
      </c>
      <c r="M51" s="1">
        <f>IFERROR(__xludf.DUMMYFUNCTION("""COMPUTED_VALUE"""),8.0)</f>
        <v>8</v>
      </c>
      <c r="N51" s="1">
        <f>IFERROR(__xludf.DUMMYFUNCTION("""COMPUTED_VALUE"""),5.0)</f>
        <v>5</v>
      </c>
      <c r="O51" s="1">
        <f>IFERROR(__xludf.DUMMYFUNCTION("""COMPUTED_VALUE"""),4.0)</f>
        <v>4</v>
      </c>
      <c r="P51" s="1">
        <f>IFERROR(__xludf.DUMMYFUNCTION("""COMPUTED_VALUE"""),17.0)</f>
        <v>17</v>
      </c>
    </row>
    <row r="52">
      <c r="A52" s="1" t="str">
        <f>IFERROR(__xludf.DUMMYFUNCTION("""COMPUTED_VALUE"""),"Équipe réfugiés")</f>
        <v>Équipe réfugiés</v>
      </c>
      <c r="B52" s="1">
        <f>IFERROR(__xludf.DUMMYFUNCTION("""COMPUTED_VALUE"""),3.0)</f>
        <v>3</v>
      </c>
      <c r="C52" s="1">
        <f>IFERROR(__xludf.DUMMYFUNCTION("""COMPUTED_VALUE"""),0.0)</f>
        <v>0</v>
      </c>
      <c r="D52" s="1">
        <f>IFERROR(__xludf.DUMMYFUNCTION("""COMPUTED_VALUE"""),0.0)</f>
        <v>0</v>
      </c>
      <c r="E52" s="1">
        <f>IFERROR(__xludf.DUMMYFUNCTION("""COMPUTED_VALUE"""),1.0)</f>
        <v>1</v>
      </c>
      <c r="F52" s="1">
        <f>IFERROR(__xludf.DUMMYFUNCTION("""COMPUTED_VALUE"""),1.0)</f>
        <v>1</v>
      </c>
      <c r="G52" s="1">
        <f>IFERROR(__xludf.DUMMYFUNCTION("""COMPUTED_VALUE"""),0.0)</f>
        <v>0</v>
      </c>
      <c r="H52" s="1">
        <f>IFERROR(__xludf.DUMMYFUNCTION("""COMPUTED_VALUE"""),0.0)</f>
        <v>0</v>
      </c>
      <c r="I52" s="1">
        <f>IFERROR(__xludf.DUMMYFUNCTION("""COMPUTED_VALUE"""),0.0)</f>
        <v>0</v>
      </c>
      <c r="J52" s="1">
        <f>IFERROR(__xludf.DUMMYFUNCTION("""COMPUTED_VALUE"""),0.0)</f>
        <v>0</v>
      </c>
      <c r="K52" s="1">
        <f>IFERROR(__xludf.DUMMYFUNCTION("""COMPUTED_VALUE"""),0.0)</f>
        <v>0</v>
      </c>
      <c r="L52" s="1">
        <f>IFERROR(__xludf.DUMMYFUNCTION("""COMPUTED_VALUE"""),3.0)</f>
        <v>3</v>
      </c>
      <c r="M52" s="1">
        <f>IFERROR(__xludf.DUMMYFUNCTION("""COMPUTED_VALUE"""),0.0)</f>
        <v>0</v>
      </c>
      <c r="N52" s="1">
        <f>IFERROR(__xludf.DUMMYFUNCTION("""COMPUTED_VALUE"""),0.0)</f>
        <v>0</v>
      </c>
      <c r="O52" s="1">
        <f>IFERROR(__xludf.DUMMYFUNCTION("""COMPUTED_VALUE"""),1.0)</f>
        <v>1</v>
      </c>
      <c r="P52" s="1">
        <f>IFERROR(__xludf.DUMMYFUNCTION("""COMPUTED_VALUE"""),1.0)</f>
        <v>1</v>
      </c>
    </row>
    <row r="53">
      <c r="A53" s="1" t="str">
        <f>IFERROR(__xludf.DUMMYFUNCTION("""COMPUTED_VALUE"""),"*Équipe unifiée de l'ex-URSS*[14]")</f>
        <v>*Équipe unifiée de l'ex-URSS*[14]</v>
      </c>
      <c r="B53" s="1">
        <f>IFERROR(__xludf.DUMMYFUNCTION("""COMPUTED_VALUE"""),1.0)</f>
        <v>1</v>
      </c>
      <c r="C53" s="1">
        <f>IFERROR(__xludf.DUMMYFUNCTION("""COMPUTED_VALUE"""),45.0)</f>
        <v>45</v>
      </c>
      <c r="D53" s="1">
        <f>IFERROR(__xludf.DUMMYFUNCTION("""COMPUTED_VALUE"""),38.0)</f>
        <v>38</v>
      </c>
      <c r="E53" s="1">
        <f>IFERROR(__xludf.DUMMYFUNCTION("""COMPUTED_VALUE"""),29.0)</f>
        <v>29</v>
      </c>
      <c r="F53" s="1">
        <f>IFERROR(__xludf.DUMMYFUNCTION("""COMPUTED_VALUE"""),112.0)</f>
        <v>112</v>
      </c>
      <c r="G53" s="1">
        <f>IFERROR(__xludf.DUMMYFUNCTION("""COMPUTED_VALUE"""),1.0)</f>
        <v>1</v>
      </c>
      <c r="H53" s="1">
        <f>IFERROR(__xludf.DUMMYFUNCTION("""COMPUTED_VALUE"""),9.0)</f>
        <v>9</v>
      </c>
      <c r="I53" s="1">
        <f>IFERROR(__xludf.DUMMYFUNCTION("""COMPUTED_VALUE"""),6.0)</f>
        <v>6</v>
      </c>
      <c r="J53" s="1">
        <f>IFERROR(__xludf.DUMMYFUNCTION("""COMPUTED_VALUE"""),8.0)</f>
        <v>8</v>
      </c>
      <c r="K53" s="1">
        <f>IFERROR(__xludf.DUMMYFUNCTION("""COMPUTED_VALUE"""),23.0)</f>
        <v>23</v>
      </c>
      <c r="L53" s="1">
        <f>IFERROR(__xludf.DUMMYFUNCTION("""COMPUTED_VALUE"""),2.0)</f>
        <v>2</v>
      </c>
      <c r="M53" s="1">
        <f>IFERROR(__xludf.DUMMYFUNCTION("""COMPUTED_VALUE"""),54.0)</f>
        <v>54</v>
      </c>
      <c r="N53" s="1">
        <f>IFERROR(__xludf.DUMMYFUNCTION("""COMPUTED_VALUE"""),44.0)</f>
        <v>44</v>
      </c>
      <c r="O53" s="1">
        <f>IFERROR(__xludf.DUMMYFUNCTION("""COMPUTED_VALUE"""),37.0)</f>
        <v>37</v>
      </c>
      <c r="P53" s="1">
        <f>IFERROR(__xludf.DUMMYFUNCTION("""COMPUTED_VALUE"""),135.0)</f>
        <v>135</v>
      </c>
    </row>
    <row r="54">
      <c r="A54" s="1" t="str">
        <f>IFERROR(__xludf.DUMMYFUNCTION("""COMPUTED_VALUE"""),"Érythrée")</f>
        <v>Érythrée</v>
      </c>
      <c r="B54" s="1">
        <f>IFERROR(__xludf.DUMMYFUNCTION("""COMPUTED_VALUE"""),6.0)</f>
        <v>6</v>
      </c>
      <c r="C54" s="1">
        <f>IFERROR(__xludf.DUMMYFUNCTION("""COMPUTED_VALUE"""),0.0)</f>
        <v>0</v>
      </c>
      <c r="D54" s="1">
        <f>IFERROR(__xludf.DUMMYFUNCTION("""COMPUTED_VALUE"""),0.0)</f>
        <v>0</v>
      </c>
      <c r="E54" s="1">
        <f>IFERROR(__xludf.DUMMYFUNCTION("""COMPUTED_VALUE"""),1.0)</f>
        <v>1</v>
      </c>
      <c r="F54" s="1">
        <f>IFERROR(__xludf.DUMMYFUNCTION("""COMPUTED_VALUE"""),1.0)</f>
        <v>1</v>
      </c>
      <c r="G54" s="1">
        <f>IFERROR(__xludf.DUMMYFUNCTION("""COMPUTED_VALUE"""),1.0)</f>
        <v>1</v>
      </c>
      <c r="H54" s="1">
        <f>IFERROR(__xludf.DUMMYFUNCTION("""COMPUTED_VALUE"""),0.0)</f>
        <v>0</v>
      </c>
      <c r="I54" s="1">
        <f>IFERROR(__xludf.DUMMYFUNCTION("""COMPUTED_VALUE"""),0.0)</f>
        <v>0</v>
      </c>
      <c r="J54" s="1">
        <f>IFERROR(__xludf.DUMMYFUNCTION("""COMPUTED_VALUE"""),0.0)</f>
        <v>0</v>
      </c>
      <c r="K54" s="1">
        <f>IFERROR(__xludf.DUMMYFUNCTION("""COMPUTED_VALUE"""),0.0)</f>
        <v>0</v>
      </c>
      <c r="L54" s="1">
        <f>IFERROR(__xludf.DUMMYFUNCTION("""COMPUTED_VALUE"""),7.0)</f>
        <v>7</v>
      </c>
      <c r="M54" s="1">
        <f>IFERROR(__xludf.DUMMYFUNCTION("""COMPUTED_VALUE"""),0.0)</f>
        <v>0</v>
      </c>
      <c r="N54" s="1">
        <f>IFERROR(__xludf.DUMMYFUNCTION("""COMPUTED_VALUE"""),0.0)</f>
        <v>0</v>
      </c>
      <c r="O54" s="1">
        <f>IFERROR(__xludf.DUMMYFUNCTION("""COMPUTED_VALUE"""),1.0)</f>
        <v>1</v>
      </c>
      <c r="P54" s="1">
        <f>IFERROR(__xludf.DUMMYFUNCTION("""COMPUTED_VALUE"""),1.0)</f>
        <v>1</v>
      </c>
    </row>
    <row r="55">
      <c r="A55" s="1" t="str">
        <f>IFERROR(__xludf.DUMMYFUNCTION("""COMPUTED_VALUE"""),"Espagne[7]")</f>
        <v>Espagne[7]</v>
      </c>
      <c r="B55" s="1">
        <f>IFERROR(__xludf.DUMMYFUNCTION("""COMPUTED_VALUE"""),24.0)</f>
        <v>24</v>
      </c>
      <c r="C55" s="1">
        <f>IFERROR(__xludf.DUMMYFUNCTION("""COMPUTED_VALUE"""),53.0)</f>
        <v>53</v>
      </c>
      <c r="D55" s="1">
        <f>IFERROR(__xludf.DUMMYFUNCTION("""COMPUTED_VALUE"""),76.0)</f>
        <v>76</v>
      </c>
      <c r="E55" s="1">
        <f>IFERROR(__xludf.DUMMYFUNCTION("""COMPUTED_VALUE"""),56.0)</f>
        <v>56</v>
      </c>
      <c r="F55" s="1">
        <f>IFERROR(__xludf.DUMMYFUNCTION("""COMPUTED_VALUE"""),185.0)</f>
        <v>185</v>
      </c>
      <c r="G55" s="1">
        <f>IFERROR(__xludf.DUMMYFUNCTION("""COMPUTED_VALUE"""),20.0)</f>
        <v>20</v>
      </c>
      <c r="H55" s="1">
        <f>IFERROR(__xludf.DUMMYFUNCTION("""COMPUTED_VALUE"""),1.0)</f>
        <v>1</v>
      </c>
      <c r="I55" s="1">
        <f>IFERROR(__xludf.DUMMYFUNCTION("""COMPUTED_VALUE"""),0.0)</f>
        <v>0</v>
      </c>
      <c r="J55" s="1">
        <f>IFERROR(__xludf.DUMMYFUNCTION("""COMPUTED_VALUE"""),3.0)</f>
        <v>3</v>
      </c>
      <c r="K55" s="1">
        <f>IFERROR(__xludf.DUMMYFUNCTION("""COMPUTED_VALUE"""),4.0)</f>
        <v>4</v>
      </c>
      <c r="L55" s="1">
        <f>IFERROR(__xludf.DUMMYFUNCTION("""COMPUTED_VALUE"""),44.0)</f>
        <v>44</v>
      </c>
      <c r="M55" s="1">
        <f>IFERROR(__xludf.DUMMYFUNCTION("""COMPUTED_VALUE"""),54.0)</f>
        <v>54</v>
      </c>
      <c r="N55" s="1">
        <f>IFERROR(__xludf.DUMMYFUNCTION("""COMPUTED_VALUE"""),76.0)</f>
        <v>76</v>
      </c>
      <c r="O55" s="1">
        <f>IFERROR(__xludf.DUMMYFUNCTION("""COMPUTED_VALUE"""),59.0)</f>
        <v>59</v>
      </c>
      <c r="P55" s="1">
        <f>IFERROR(__xludf.DUMMYFUNCTION("""COMPUTED_VALUE"""),189.0)</f>
        <v>189</v>
      </c>
    </row>
    <row r="56">
      <c r="A56" s="1" t="str">
        <f>IFERROR(__xludf.DUMMYFUNCTION("""COMPUTED_VALUE"""),"Estonie")</f>
        <v>Estonie</v>
      </c>
      <c r="B56" s="1">
        <f>IFERROR(__xludf.DUMMYFUNCTION("""COMPUTED_VALUE"""),13.0)</f>
        <v>13</v>
      </c>
      <c r="C56" s="1">
        <f>IFERROR(__xludf.DUMMYFUNCTION("""COMPUTED_VALUE"""),10.0)</f>
        <v>10</v>
      </c>
      <c r="D56" s="1">
        <f>IFERROR(__xludf.DUMMYFUNCTION("""COMPUTED_VALUE"""),9.0)</f>
        <v>9</v>
      </c>
      <c r="E56" s="1">
        <f>IFERROR(__xludf.DUMMYFUNCTION("""COMPUTED_VALUE"""),17.0)</f>
        <v>17</v>
      </c>
      <c r="F56" s="1">
        <f>IFERROR(__xludf.DUMMYFUNCTION("""COMPUTED_VALUE"""),36.0)</f>
        <v>36</v>
      </c>
      <c r="G56" s="1">
        <f>IFERROR(__xludf.DUMMYFUNCTION("""COMPUTED_VALUE"""),10.0)</f>
        <v>10</v>
      </c>
      <c r="H56" s="1">
        <f>IFERROR(__xludf.DUMMYFUNCTION("""COMPUTED_VALUE"""),4.0)</f>
        <v>4</v>
      </c>
      <c r="I56" s="1">
        <f>IFERROR(__xludf.DUMMYFUNCTION("""COMPUTED_VALUE"""),2.0)</f>
        <v>2</v>
      </c>
      <c r="J56" s="1">
        <f>IFERROR(__xludf.DUMMYFUNCTION("""COMPUTED_VALUE"""),1.0)</f>
        <v>1</v>
      </c>
      <c r="K56" s="1">
        <f>IFERROR(__xludf.DUMMYFUNCTION("""COMPUTED_VALUE"""),7.0)</f>
        <v>7</v>
      </c>
      <c r="L56" s="1">
        <f>IFERROR(__xludf.DUMMYFUNCTION("""COMPUTED_VALUE"""),23.0)</f>
        <v>23</v>
      </c>
      <c r="M56" s="1">
        <f>IFERROR(__xludf.DUMMYFUNCTION("""COMPUTED_VALUE"""),14.0)</f>
        <v>14</v>
      </c>
      <c r="N56" s="1">
        <f>IFERROR(__xludf.DUMMYFUNCTION("""COMPUTED_VALUE"""),11.0)</f>
        <v>11</v>
      </c>
      <c r="O56" s="1">
        <f>IFERROR(__xludf.DUMMYFUNCTION("""COMPUTED_VALUE"""),18.0)</f>
        <v>18</v>
      </c>
      <c r="P56" s="1">
        <f>IFERROR(__xludf.DUMMYFUNCTION("""COMPUTED_VALUE"""),43.0)</f>
        <v>43</v>
      </c>
    </row>
    <row r="57">
      <c r="A57" s="1" t="str">
        <f>IFERROR(__xludf.DUMMYFUNCTION("""COMPUTED_VALUE"""),"États-Unis[7]")</f>
        <v>États-Unis[7]</v>
      </c>
      <c r="B57" s="1">
        <f>IFERROR(__xludf.DUMMYFUNCTION("""COMPUTED_VALUE"""),29.0)</f>
        <v>29</v>
      </c>
      <c r="C57" s="1" t="str">
        <f>IFERROR(__xludf.DUMMYFUNCTION("""COMPUTED_VALUE"""),"1 105")</f>
        <v>1 105</v>
      </c>
      <c r="D57" s="1">
        <f>IFERROR(__xludf.DUMMYFUNCTION("""COMPUTED_VALUE"""),879.0)</f>
        <v>879</v>
      </c>
      <c r="E57" s="1">
        <f>IFERROR(__xludf.DUMMYFUNCTION("""COMPUTED_VALUE"""),780.0)</f>
        <v>780</v>
      </c>
      <c r="F57" s="1">
        <f>IFERROR(__xludf.DUMMYFUNCTION("""COMPUTED_VALUE"""),2764.0)</f>
        <v>2764</v>
      </c>
      <c r="G57" s="1">
        <f>IFERROR(__xludf.DUMMYFUNCTION("""COMPUTED_VALUE"""),24.0)</f>
        <v>24</v>
      </c>
      <c r="H57" s="1">
        <f>IFERROR(__xludf.DUMMYFUNCTION("""COMPUTED_VALUE"""),114.0)</f>
        <v>114</v>
      </c>
      <c r="I57" s="1">
        <f>IFERROR(__xludf.DUMMYFUNCTION("""COMPUTED_VALUE"""),121.0)</f>
        <v>121</v>
      </c>
      <c r="J57" s="1">
        <f>IFERROR(__xludf.DUMMYFUNCTION("""COMPUTED_VALUE"""),95.0)</f>
        <v>95</v>
      </c>
      <c r="K57" s="1">
        <f>IFERROR(__xludf.DUMMYFUNCTION("""COMPUTED_VALUE"""),330.0)</f>
        <v>330</v>
      </c>
      <c r="L57" s="1">
        <f>IFERROR(__xludf.DUMMYFUNCTION("""COMPUTED_VALUE"""),53.0)</f>
        <v>53</v>
      </c>
      <c r="M57" s="1" t="str">
        <f>IFERROR(__xludf.DUMMYFUNCTION("""COMPUTED_VALUE"""),"1 219")</f>
        <v>1 219</v>
      </c>
      <c r="N57" s="1" t="str">
        <f>IFERROR(__xludf.DUMMYFUNCTION("""COMPUTED_VALUE"""),"1 000")</f>
        <v>1 000</v>
      </c>
      <c r="O57" s="1">
        <f>IFERROR(__xludf.DUMMYFUNCTION("""COMPUTED_VALUE"""),875.0)</f>
        <v>875</v>
      </c>
      <c r="P57" s="1">
        <f>IFERROR(__xludf.DUMMYFUNCTION("""COMPUTED_VALUE"""),3094.0)</f>
        <v>3094</v>
      </c>
    </row>
    <row r="58">
      <c r="A58" s="1" t="str">
        <f>IFERROR(__xludf.DUMMYFUNCTION("""COMPUTED_VALUE"""),"Éthiopie")</f>
        <v>Éthiopie</v>
      </c>
      <c r="B58" s="1">
        <f>IFERROR(__xludf.DUMMYFUNCTION("""COMPUTED_VALUE"""),14.0)</f>
        <v>14</v>
      </c>
      <c r="C58" s="1">
        <f>IFERROR(__xludf.DUMMYFUNCTION("""COMPUTED_VALUE"""),23.0)</f>
        <v>23</v>
      </c>
      <c r="D58" s="1">
        <f>IFERROR(__xludf.DUMMYFUNCTION("""COMPUTED_VALUE"""),12.0)</f>
        <v>12</v>
      </c>
      <c r="E58" s="1">
        <f>IFERROR(__xludf.DUMMYFUNCTION("""COMPUTED_VALUE"""),23.0)</f>
        <v>23</v>
      </c>
      <c r="F58" s="1">
        <f>IFERROR(__xludf.DUMMYFUNCTION("""COMPUTED_VALUE"""),58.0)</f>
        <v>58</v>
      </c>
      <c r="G58" s="1">
        <f>IFERROR(__xludf.DUMMYFUNCTION("""COMPUTED_VALUE"""),2.0)</f>
        <v>2</v>
      </c>
      <c r="H58" s="1">
        <f>IFERROR(__xludf.DUMMYFUNCTION("""COMPUTED_VALUE"""),0.0)</f>
        <v>0</v>
      </c>
      <c r="I58" s="1">
        <f>IFERROR(__xludf.DUMMYFUNCTION("""COMPUTED_VALUE"""),0.0)</f>
        <v>0</v>
      </c>
      <c r="J58" s="1">
        <f>IFERROR(__xludf.DUMMYFUNCTION("""COMPUTED_VALUE"""),0.0)</f>
        <v>0</v>
      </c>
      <c r="K58" s="1">
        <f>IFERROR(__xludf.DUMMYFUNCTION("""COMPUTED_VALUE"""),0.0)</f>
        <v>0</v>
      </c>
      <c r="L58" s="1">
        <f>IFERROR(__xludf.DUMMYFUNCTION("""COMPUTED_VALUE"""),16.0)</f>
        <v>16</v>
      </c>
      <c r="M58" s="1">
        <f>IFERROR(__xludf.DUMMYFUNCTION("""COMPUTED_VALUE"""),23.0)</f>
        <v>23</v>
      </c>
      <c r="N58" s="1">
        <f>IFERROR(__xludf.DUMMYFUNCTION("""COMPUTED_VALUE"""),12.0)</f>
        <v>12</v>
      </c>
      <c r="O58" s="1">
        <f>IFERROR(__xludf.DUMMYFUNCTION("""COMPUTED_VALUE"""),23.0)</f>
        <v>23</v>
      </c>
      <c r="P58" s="1">
        <f>IFERROR(__xludf.DUMMYFUNCTION("""COMPUTED_VALUE"""),58.0)</f>
        <v>58</v>
      </c>
    </row>
    <row r="59">
      <c r="A59" s="1" t="str">
        <f>IFERROR(__xludf.DUMMYFUNCTION("""COMPUTED_VALUE"""),"*Indes occidentales*[15]")</f>
        <v>*Indes occidentales*[15]</v>
      </c>
      <c r="B59" s="1">
        <f>IFERROR(__xludf.DUMMYFUNCTION("""COMPUTED_VALUE"""),1.0)</f>
        <v>1</v>
      </c>
      <c r="C59" s="1">
        <f>IFERROR(__xludf.DUMMYFUNCTION("""COMPUTED_VALUE"""),0.0)</f>
        <v>0</v>
      </c>
      <c r="D59" s="1">
        <f>IFERROR(__xludf.DUMMYFUNCTION("""COMPUTED_VALUE"""),0.0)</f>
        <v>0</v>
      </c>
      <c r="E59" s="1">
        <f>IFERROR(__xludf.DUMMYFUNCTION("""COMPUTED_VALUE"""),2.0)</f>
        <v>2</v>
      </c>
      <c r="F59" s="1">
        <f>IFERROR(__xludf.DUMMYFUNCTION("""COMPUTED_VALUE"""),2.0)</f>
        <v>2</v>
      </c>
      <c r="G59" s="1">
        <f>IFERROR(__xludf.DUMMYFUNCTION("""COMPUTED_VALUE"""),0.0)</f>
        <v>0</v>
      </c>
      <c r="H59" s="1">
        <f>IFERROR(__xludf.DUMMYFUNCTION("""COMPUTED_VALUE"""),0.0)</f>
        <v>0</v>
      </c>
      <c r="I59" s="1">
        <f>IFERROR(__xludf.DUMMYFUNCTION("""COMPUTED_VALUE"""),0.0)</f>
        <v>0</v>
      </c>
      <c r="J59" s="1">
        <f>IFERROR(__xludf.DUMMYFUNCTION("""COMPUTED_VALUE"""),0.0)</f>
        <v>0</v>
      </c>
      <c r="K59" s="1">
        <f>IFERROR(__xludf.DUMMYFUNCTION("""COMPUTED_VALUE"""),0.0)</f>
        <v>0</v>
      </c>
      <c r="L59" s="1">
        <f>IFERROR(__xludf.DUMMYFUNCTION("""COMPUTED_VALUE"""),1.0)</f>
        <v>1</v>
      </c>
      <c r="M59" s="1">
        <f>IFERROR(__xludf.DUMMYFUNCTION("""COMPUTED_VALUE"""),0.0)</f>
        <v>0</v>
      </c>
      <c r="N59" s="1">
        <f>IFERROR(__xludf.DUMMYFUNCTION("""COMPUTED_VALUE"""),0.0)</f>
        <v>0</v>
      </c>
      <c r="O59" s="1">
        <f>IFERROR(__xludf.DUMMYFUNCTION("""COMPUTED_VALUE"""),2.0)</f>
        <v>2</v>
      </c>
      <c r="P59" s="1">
        <f>IFERROR(__xludf.DUMMYFUNCTION("""COMPUTED_VALUE"""),2.0)</f>
        <v>2</v>
      </c>
    </row>
    <row r="60">
      <c r="A60" s="1" t="str">
        <f>IFERROR(__xludf.DUMMYFUNCTION("""COMPUTED_VALUE"""),"Fidji")</f>
        <v>Fidji</v>
      </c>
      <c r="B60" s="1">
        <f>IFERROR(__xludf.DUMMYFUNCTION("""COMPUTED_VALUE"""),15.0)</f>
        <v>15</v>
      </c>
      <c r="C60" s="1">
        <f>IFERROR(__xludf.DUMMYFUNCTION("""COMPUTED_VALUE"""),2.0)</f>
        <v>2</v>
      </c>
      <c r="D60" s="1">
        <f>IFERROR(__xludf.DUMMYFUNCTION("""COMPUTED_VALUE"""),1.0)</f>
        <v>1</v>
      </c>
      <c r="E60" s="1">
        <f>IFERROR(__xludf.DUMMYFUNCTION("""COMPUTED_VALUE"""),1.0)</f>
        <v>1</v>
      </c>
      <c r="F60" s="1">
        <f>IFERROR(__xludf.DUMMYFUNCTION("""COMPUTED_VALUE"""),3.0)</f>
        <v>3</v>
      </c>
      <c r="G60" s="1">
        <f>IFERROR(__xludf.DUMMYFUNCTION("""COMPUTED_VALUE"""),3.0)</f>
        <v>3</v>
      </c>
      <c r="H60" s="1">
        <f>IFERROR(__xludf.DUMMYFUNCTION("""COMPUTED_VALUE"""),0.0)</f>
        <v>0</v>
      </c>
      <c r="I60" s="1">
        <f>IFERROR(__xludf.DUMMYFUNCTION("""COMPUTED_VALUE"""),0.0)</f>
        <v>0</v>
      </c>
      <c r="J60" s="1">
        <f>IFERROR(__xludf.DUMMYFUNCTION("""COMPUTED_VALUE"""),0.0)</f>
        <v>0</v>
      </c>
      <c r="K60" s="1">
        <f>IFERROR(__xludf.DUMMYFUNCTION("""COMPUTED_VALUE"""),0.0)</f>
        <v>0</v>
      </c>
      <c r="L60" s="1">
        <f>IFERROR(__xludf.DUMMYFUNCTION("""COMPUTED_VALUE"""),18.0)</f>
        <v>18</v>
      </c>
      <c r="M60" s="1">
        <f>IFERROR(__xludf.DUMMYFUNCTION("""COMPUTED_VALUE"""),2.0)</f>
        <v>2</v>
      </c>
      <c r="N60" s="1">
        <f>IFERROR(__xludf.DUMMYFUNCTION("""COMPUTED_VALUE"""),1.0)</f>
        <v>1</v>
      </c>
      <c r="O60" s="1">
        <f>IFERROR(__xludf.DUMMYFUNCTION("""COMPUTED_VALUE"""),1.0)</f>
        <v>1</v>
      </c>
      <c r="P60" s="1">
        <f>IFERROR(__xludf.DUMMYFUNCTION("""COMPUTED_VALUE"""),3.0)</f>
        <v>3</v>
      </c>
    </row>
    <row r="61">
      <c r="A61" s="1" t="str">
        <f>IFERROR(__xludf.DUMMYFUNCTION("""COMPUTED_VALUE"""),"Finlande")</f>
        <v>Finlande</v>
      </c>
      <c r="B61" s="1">
        <f>IFERROR(__xludf.DUMMYFUNCTION("""COMPUTED_VALUE"""),26.0)</f>
        <v>26</v>
      </c>
      <c r="C61" s="1">
        <f>IFERROR(__xludf.DUMMYFUNCTION("""COMPUTED_VALUE"""),101.0)</f>
        <v>101</v>
      </c>
      <c r="D61" s="1">
        <f>IFERROR(__xludf.DUMMYFUNCTION("""COMPUTED_VALUE"""),85.0)</f>
        <v>85</v>
      </c>
      <c r="E61" s="1">
        <f>IFERROR(__xludf.DUMMYFUNCTION("""COMPUTED_VALUE"""),119.0)</f>
        <v>119</v>
      </c>
      <c r="F61" s="1">
        <f>IFERROR(__xludf.DUMMYFUNCTION("""COMPUTED_VALUE"""),305.0)</f>
        <v>305</v>
      </c>
      <c r="G61" s="1">
        <f>IFERROR(__xludf.DUMMYFUNCTION("""COMPUTED_VALUE"""),23.0)</f>
        <v>23</v>
      </c>
      <c r="H61" s="1">
        <f>IFERROR(__xludf.DUMMYFUNCTION("""COMPUTED_VALUE"""),43.0)</f>
        <v>43</v>
      </c>
      <c r="I61" s="1">
        <f>IFERROR(__xludf.DUMMYFUNCTION("""COMPUTED_VALUE"""),63.0)</f>
        <v>63</v>
      </c>
      <c r="J61" s="1">
        <f>IFERROR(__xludf.DUMMYFUNCTION("""COMPUTED_VALUE"""),61.0)</f>
        <v>61</v>
      </c>
      <c r="K61" s="1">
        <f>IFERROR(__xludf.DUMMYFUNCTION("""COMPUTED_VALUE"""),167.0)</f>
        <v>167</v>
      </c>
      <c r="L61" s="1">
        <f>IFERROR(__xludf.DUMMYFUNCTION("""COMPUTED_VALUE"""),49.0)</f>
        <v>49</v>
      </c>
      <c r="M61" s="1">
        <f>IFERROR(__xludf.DUMMYFUNCTION("""COMPUTED_VALUE"""),144.0)</f>
        <v>144</v>
      </c>
      <c r="N61" s="1">
        <f>IFERROR(__xludf.DUMMYFUNCTION("""COMPUTED_VALUE"""),148.0)</f>
        <v>148</v>
      </c>
      <c r="O61" s="1">
        <f>IFERROR(__xludf.DUMMYFUNCTION("""COMPUTED_VALUE"""),180.0)</f>
        <v>180</v>
      </c>
      <c r="P61" s="1">
        <f>IFERROR(__xludf.DUMMYFUNCTION("""COMPUTED_VALUE"""),472.0)</f>
        <v>472</v>
      </c>
    </row>
    <row r="62">
      <c r="A62" s="1" t="str">
        <f>IFERROR(__xludf.DUMMYFUNCTION("""COMPUTED_VALUE"""),"France[7]")</f>
        <v>France[7]</v>
      </c>
      <c r="B62" s="1">
        <f>IFERROR(__xludf.DUMMYFUNCTION("""COMPUTED_VALUE"""),30.0)</f>
        <v>30</v>
      </c>
      <c r="C62" s="1">
        <f>IFERROR(__xludf.DUMMYFUNCTION("""COMPUTED_VALUE"""),239.0)</f>
        <v>239</v>
      </c>
      <c r="D62" s="1">
        <f>IFERROR(__xludf.DUMMYFUNCTION("""COMPUTED_VALUE"""),278.0)</f>
        <v>278</v>
      </c>
      <c r="E62" s="1">
        <f>IFERROR(__xludf.DUMMYFUNCTION("""COMPUTED_VALUE"""),299.0)</f>
        <v>299</v>
      </c>
      <c r="F62" s="1">
        <f>IFERROR(__xludf.DUMMYFUNCTION("""COMPUTED_VALUE"""),816.0)</f>
        <v>816</v>
      </c>
      <c r="G62" s="1">
        <f>IFERROR(__xludf.DUMMYFUNCTION("""COMPUTED_VALUE"""),24.0)</f>
        <v>24</v>
      </c>
      <c r="H62" s="1">
        <f>IFERROR(__xludf.DUMMYFUNCTION("""COMPUTED_VALUE"""),41.0)</f>
        <v>41</v>
      </c>
      <c r="I62" s="1">
        <f>IFERROR(__xludf.DUMMYFUNCTION("""COMPUTED_VALUE"""),42.0)</f>
        <v>42</v>
      </c>
      <c r="J62" s="1">
        <f>IFERROR(__xludf.DUMMYFUNCTION("""COMPUTED_VALUE"""),55.0)</f>
        <v>55</v>
      </c>
      <c r="K62" s="1">
        <f>IFERROR(__xludf.DUMMYFUNCTION("""COMPUTED_VALUE"""),138.0)</f>
        <v>138</v>
      </c>
      <c r="L62" s="1">
        <f>IFERROR(__xludf.DUMMYFUNCTION("""COMPUTED_VALUE"""),54.0)</f>
        <v>54</v>
      </c>
      <c r="M62" s="1">
        <f>IFERROR(__xludf.DUMMYFUNCTION("""COMPUTED_VALUE"""),280.0)</f>
        <v>280</v>
      </c>
      <c r="N62" s="1">
        <f>IFERROR(__xludf.DUMMYFUNCTION("""COMPUTED_VALUE"""),320.0)</f>
        <v>320</v>
      </c>
      <c r="O62" s="1">
        <f>IFERROR(__xludf.DUMMYFUNCTION("""COMPUTED_VALUE"""),354.0)</f>
        <v>354</v>
      </c>
      <c r="P62" s="1">
        <f>IFERROR(__xludf.DUMMYFUNCTION("""COMPUTED_VALUE"""),954.0)</f>
        <v>954</v>
      </c>
    </row>
    <row r="63">
      <c r="A63" s="1" t="str">
        <f>IFERROR(__xludf.DUMMYFUNCTION("""COMPUTED_VALUE"""),"Gabon")</f>
        <v>Gabon</v>
      </c>
      <c r="B63" s="1">
        <f>IFERROR(__xludf.DUMMYFUNCTION("""COMPUTED_VALUE"""),11.0)</f>
        <v>11</v>
      </c>
      <c r="C63" s="1">
        <f>IFERROR(__xludf.DUMMYFUNCTION("""COMPUTED_VALUE"""),0.0)</f>
        <v>0</v>
      </c>
      <c r="D63" s="1">
        <f>IFERROR(__xludf.DUMMYFUNCTION("""COMPUTED_VALUE"""),1.0)</f>
        <v>1</v>
      </c>
      <c r="E63" s="1">
        <f>IFERROR(__xludf.DUMMYFUNCTION("""COMPUTED_VALUE"""),0.0)</f>
        <v>0</v>
      </c>
      <c r="F63" s="1">
        <f>IFERROR(__xludf.DUMMYFUNCTION("""COMPUTED_VALUE"""),1.0)</f>
        <v>1</v>
      </c>
      <c r="G63" s="1">
        <f>IFERROR(__xludf.DUMMYFUNCTION("""COMPUTED_VALUE"""),0.0)</f>
        <v>0</v>
      </c>
      <c r="H63" s="1">
        <f>IFERROR(__xludf.DUMMYFUNCTION("""COMPUTED_VALUE"""),0.0)</f>
        <v>0</v>
      </c>
      <c r="I63" s="1">
        <f>IFERROR(__xludf.DUMMYFUNCTION("""COMPUTED_VALUE"""),0.0)</f>
        <v>0</v>
      </c>
      <c r="J63" s="1">
        <f>IFERROR(__xludf.DUMMYFUNCTION("""COMPUTED_VALUE"""),0.0)</f>
        <v>0</v>
      </c>
      <c r="K63" s="1">
        <f>IFERROR(__xludf.DUMMYFUNCTION("""COMPUTED_VALUE"""),0.0)</f>
        <v>0</v>
      </c>
      <c r="L63" s="1">
        <f>IFERROR(__xludf.DUMMYFUNCTION("""COMPUTED_VALUE"""),11.0)</f>
        <v>11</v>
      </c>
      <c r="M63" s="1">
        <f>IFERROR(__xludf.DUMMYFUNCTION("""COMPUTED_VALUE"""),0.0)</f>
        <v>0</v>
      </c>
      <c r="N63" s="1">
        <f>IFERROR(__xludf.DUMMYFUNCTION("""COMPUTED_VALUE"""),1.0)</f>
        <v>1</v>
      </c>
      <c r="O63" s="1">
        <f>IFERROR(__xludf.DUMMYFUNCTION("""COMPUTED_VALUE"""),0.0)</f>
        <v>0</v>
      </c>
      <c r="P63" s="1">
        <f>IFERROR(__xludf.DUMMYFUNCTION("""COMPUTED_VALUE"""),1.0)</f>
        <v>1</v>
      </c>
    </row>
    <row r="64">
      <c r="A64" s="1" t="str">
        <f>IFERROR(__xludf.DUMMYFUNCTION("""COMPUTED_VALUE"""),"Géorgie")</f>
        <v>Géorgie</v>
      </c>
      <c r="B64" s="1">
        <f>IFERROR(__xludf.DUMMYFUNCTION("""COMPUTED_VALUE"""),7.0)</f>
        <v>7</v>
      </c>
      <c r="C64" s="1">
        <f>IFERROR(__xludf.DUMMYFUNCTION("""COMPUTED_VALUE"""),10.0)</f>
        <v>10</v>
      </c>
      <c r="D64" s="1">
        <f>IFERROR(__xludf.DUMMYFUNCTION("""COMPUTED_VALUE"""),12.0)</f>
        <v>12</v>
      </c>
      <c r="E64" s="1">
        <f>IFERROR(__xludf.DUMMYFUNCTION("""COMPUTED_VALUE"""),18.0)</f>
        <v>18</v>
      </c>
      <c r="F64" s="1">
        <f>IFERROR(__xludf.DUMMYFUNCTION("""COMPUTED_VALUE"""),40.0)</f>
        <v>40</v>
      </c>
      <c r="G64" s="1">
        <f>IFERROR(__xludf.DUMMYFUNCTION("""COMPUTED_VALUE"""),7.0)</f>
        <v>7</v>
      </c>
      <c r="H64" s="1">
        <f>IFERROR(__xludf.DUMMYFUNCTION("""COMPUTED_VALUE"""),0.0)</f>
        <v>0</v>
      </c>
      <c r="I64" s="1">
        <f>IFERROR(__xludf.DUMMYFUNCTION("""COMPUTED_VALUE"""),0.0)</f>
        <v>0</v>
      </c>
      <c r="J64" s="1">
        <f>IFERROR(__xludf.DUMMYFUNCTION("""COMPUTED_VALUE"""),0.0)</f>
        <v>0</v>
      </c>
      <c r="K64" s="1">
        <f>IFERROR(__xludf.DUMMYFUNCTION("""COMPUTED_VALUE"""),0.0)</f>
        <v>0</v>
      </c>
      <c r="L64" s="1">
        <f>IFERROR(__xludf.DUMMYFUNCTION("""COMPUTED_VALUE"""),14.0)</f>
        <v>14</v>
      </c>
      <c r="M64" s="1">
        <f>IFERROR(__xludf.DUMMYFUNCTION("""COMPUTED_VALUE"""),10.0)</f>
        <v>10</v>
      </c>
      <c r="N64" s="1">
        <f>IFERROR(__xludf.DUMMYFUNCTION("""COMPUTED_VALUE"""),12.0)</f>
        <v>12</v>
      </c>
      <c r="O64" s="1">
        <f>IFERROR(__xludf.DUMMYFUNCTION("""COMPUTED_VALUE"""),18.0)</f>
        <v>18</v>
      </c>
      <c r="P64" s="1">
        <f>IFERROR(__xludf.DUMMYFUNCTION("""COMPUTED_VALUE"""),40.0)</f>
        <v>40</v>
      </c>
    </row>
    <row r="65">
      <c r="A65" s="1" t="str">
        <f>IFERROR(__xludf.DUMMYFUNCTION("""COMPUTED_VALUE"""),"Ghana")</f>
        <v>Ghana</v>
      </c>
      <c r="B65" s="1">
        <f>IFERROR(__xludf.DUMMYFUNCTION("""COMPUTED_VALUE"""),15.0)</f>
        <v>15</v>
      </c>
      <c r="C65" s="1">
        <f>IFERROR(__xludf.DUMMYFUNCTION("""COMPUTED_VALUE"""),0.0)</f>
        <v>0</v>
      </c>
      <c r="D65" s="1">
        <f>IFERROR(__xludf.DUMMYFUNCTION("""COMPUTED_VALUE"""),1.0)</f>
        <v>1</v>
      </c>
      <c r="E65" s="1">
        <f>IFERROR(__xludf.DUMMYFUNCTION("""COMPUTED_VALUE"""),4.0)</f>
        <v>4</v>
      </c>
      <c r="F65" s="1">
        <f>IFERROR(__xludf.DUMMYFUNCTION("""COMPUTED_VALUE"""),5.0)</f>
        <v>5</v>
      </c>
      <c r="G65" s="1">
        <f>IFERROR(__xludf.DUMMYFUNCTION("""COMPUTED_VALUE"""),2.0)</f>
        <v>2</v>
      </c>
      <c r="H65" s="1">
        <f>IFERROR(__xludf.DUMMYFUNCTION("""COMPUTED_VALUE"""),0.0)</f>
        <v>0</v>
      </c>
      <c r="I65" s="1">
        <f>IFERROR(__xludf.DUMMYFUNCTION("""COMPUTED_VALUE"""),0.0)</f>
        <v>0</v>
      </c>
      <c r="J65" s="1">
        <f>IFERROR(__xludf.DUMMYFUNCTION("""COMPUTED_VALUE"""),0.0)</f>
        <v>0</v>
      </c>
      <c r="K65" s="1">
        <f>IFERROR(__xludf.DUMMYFUNCTION("""COMPUTED_VALUE"""),0.0)</f>
        <v>0</v>
      </c>
      <c r="L65" s="1">
        <f>IFERROR(__xludf.DUMMYFUNCTION("""COMPUTED_VALUE"""),17.0)</f>
        <v>17</v>
      </c>
      <c r="M65" s="1">
        <f>IFERROR(__xludf.DUMMYFUNCTION("""COMPUTED_VALUE"""),0.0)</f>
        <v>0</v>
      </c>
      <c r="N65" s="1">
        <f>IFERROR(__xludf.DUMMYFUNCTION("""COMPUTED_VALUE"""),1.0)</f>
        <v>1</v>
      </c>
      <c r="O65" s="1">
        <f>IFERROR(__xludf.DUMMYFUNCTION("""COMPUTED_VALUE"""),4.0)</f>
        <v>4</v>
      </c>
      <c r="P65" s="1">
        <f>IFERROR(__xludf.DUMMYFUNCTION("""COMPUTED_VALUE"""),5.0)</f>
        <v>5</v>
      </c>
    </row>
    <row r="66">
      <c r="A66" s="1" t="str">
        <f>IFERROR(__xludf.DUMMYFUNCTION("""COMPUTED_VALUE"""),"Grande-Bretagne[7],[16]")</f>
        <v>Grande-Bretagne[7],[16]</v>
      </c>
      <c r="B66" s="1">
        <f>IFERROR(__xludf.DUMMYFUNCTION("""COMPUTED_VALUE"""),29.0)</f>
        <v>29</v>
      </c>
      <c r="C66" s="1">
        <f>IFERROR(__xludf.DUMMYFUNCTION("""COMPUTED_VALUE"""),299.0)</f>
        <v>299</v>
      </c>
      <c r="D66" s="1">
        <f>IFERROR(__xludf.DUMMYFUNCTION("""COMPUTED_VALUE"""),338.0)</f>
        <v>338</v>
      </c>
      <c r="E66" s="1">
        <f>IFERROR(__xludf.DUMMYFUNCTION("""COMPUTED_VALUE"""),344.0)</f>
        <v>344</v>
      </c>
      <c r="F66" s="1">
        <f>IFERROR(__xludf.DUMMYFUNCTION("""COMPUTED_VALUE"""),981.0)</f>
        <v>981</v>
      </c>
      <c r="G66" s="1">
        <f>IFERROR(__xludf.DUMMYFUNCTION("""COMPUTED_VALUE"""),23.0)</f>
        <v>23</v>
      </c>
      <c r="H66" s="1">
        <f>IFERROR(__xludf.DUMMYFUNCTION("""COMPUTED_VALUE"""),11.0)</f>
        <v>11</v>
      </c>
      <c r="I66" s="1">
        <f>IFERROR(__xludf.DUMMYFUNCTION("""COMPUTED_VALUE"""),4.0)</f>
        <v>4</v>
      </c>
      <c r="J66" s="1">
        <f>IFERROR(__xludf.DUMMYFUNCTION("""COMPUTED_VALUE"""),17.0)</f>
        <v>17</v>
      </c>
      <c r="K66" s="1">
        <f>IFERROR(__xludf.DUMMYFUNCTION("""COMPUTED_VALUE"""),32.0)</f>
        <v>32</v>
      </c>
      <c r="L66" s="1">
        <f>IFERROR(__xludf.DUMMYFUNCTION("""COMPUTED_VALUE"""),52.0)</f>
        <v>52</v>
      </c>
      <c r="M66" s="1">
        <f>IFERROR(__xludf.DUMMYFUNCTION("""COMPUTED_VALUE"""),310.0)</f>
        <v>310</v>
      </c>
      <c r="N66" s="1">
        <f>IFERROR(__xludf.DUMMYFUNCTION("""COMPUTED_VALUE"""),342.0)</f>
        <v>342</v>
      </c>
      <c r="O66" s="1">
        <f>IFERROR(__xludf.DUMMYFUNCTION("""COMPUTED_VALUE"""),361.0)</f>
        <v>361</v>
      </c>
      <c r="P66" s="1">
        <f>IFERROR(__xludf.DUMMYFUNCTION("""COMPUTED_VALUE"""),1013.0)</f>
        <v>1013</v>
      </c>
    </row>
    <row r="67">
      <c r="A67" s="1" t="str">
        <f>IFERROR(__xludf.DUMMYFUNCTION("""COMPUTED_VALUE"""),"Grèce[7]")</f>
        <v>Grèce[7]</v>
      </c>
      <c r="B67" s="1">
        <f>IFERROR(__xludf.DUMMYFUNCTION("""COMPUTED_VALUE"""),29.0)</f>
        <v>29</v>
      </c>
      <c r="C67" s="1">
        <f>IFERROR(__xludf.DUMMYFUNCTION("""COMPUTED_VALUE"""),35.0)</f>
        <v>35</v>
      </c>
      <c r="D67" s="1">
        <f>IFERROR(__xludf.DUMMYFUNCTION("""COMPUTED_VALUE"""),45.0)</f>
        <v>45</v>
      </c>
      <c r="E67" s="1">
        <f>IFERROR(__xludf.DUMMYFUNCTION("""COMPUTED_VALUE"""),41.0)</f>
        <v>41</v>
      </c>
      <c r="F67" s="1">
        <f>IFERROR(__xludf.DUMMYFUNCTION("""COMPUTED_VALUE"""),121.0)</f>
        <v>121</v>
      </c>
      <c r="G67" s="1">
        <f>IFERROR(__xludf.DUMMYFUNCTION("""COMPUTED_VALUE"""),19.0)</f>
        <v>19</v>
      </c>
      <c r="H67" s="1">
        <f>IFERROR(__xludf.DUMMYFUNCTION("""COMPUTED_VALUE"""),0.0)</f>
        <v>0</v>
      </c>
      <c r="I67" s="1">
        <f>IFERROR(__xludf.DUMMYFUNCTION("""COMPUTED_VALUE"""),0.0)</f>
        <v>0</v>
      </c>
      <c r="J67" s="1">
        <f>IFERROR(__xludf.DUMMYFUNCTION("""COMPUTED_VALUE"""),0.0)</f>
        <v>0</v>
      </c>
      <c r="K67" s="1">
        <f>IFERROR(__xludf.DUMMYFUNCTION("""COMPUTED_VALUE"""),0.0)</f>
        <v>0</v>
      </c>
      <c r="L67" s="1">
        <f>IFERROR(__xludf.DUMMYFUNCTION("""COMPUTED_VALUE"""),48.0)</f>
        <v>48</v>
      </c>
      <c r="M67" s="1">
        <f>IFERROR(__xludf.DUMMYFUNCTION("""COMPUTED_VALUE"""),35.0)</f>
        <v>35</v>
      </c>
      <c r="N67" s="1">
        <f>IFERROR(__xludf.DUMMYFUNCTION("""COMPUTED_VALUE"""),45.0)</f>
        <v>45</v>
      </c>
      <c r="O67" s="1">
        <f>IFERROR(__xludf.DUMMYFUNCTION("""COMPUTED_VALUE"""),41.0)</f>
        <v>41</v>
      </c>
      <c r="P67" s="1">
        <f>IFERROR(__xludf.DUMMYFUNCTION("""COMPUTED_VALUE"""),121.0)</f>
        <v>121</v>
      </c>
    </row>
    <row r="68">
      <c r="A68" s="1" t="str">
        <f>IFERROR(__xludf.DUMMYFUNCTION("""COMPUTED_VALUE"""),"Grenade")</f>
        <v>Grenade</v>
      </c>
      <c r="B68" s="1">
        <f>IFERROR(__xludf.DUMMYFUNCTION("""COMPUTED_VALUE"""),10.0)</f>
        <v>10</v>
      </c>
      <c r="C68" s="1">
        <f>IFERROR(__xludf.DUMMYFUNCTION("""COMPUTED_VALUE"""),1.0)</f>
        <v>1</v>
      </c>
      <c r="D68" s="1">
        <f>IFERROR(__xludf.DUMMYFUNCTION("""COMPUTED_VALUE"""),1.0)</f>
        <v>1</v>
      </c>
      <c r="E68" s="1">
        <f>IFERROR(__xludf.DUMMYFUNCTION("""COMPUTED_VALUE"""),1.0)</f>
        <v>1</v>
      </c>
      <c r="F68" s="1">
        <f>IFERROR(__xludf.DUMMYFUNCTION("""COMPUTED_VALUE"""),3.0)</f>
        <v>3</v>
      </c>
      <c r="G68" s="1">
        <f>IFERROR(__xludf.DUMMYFUNCTION("""COMPUTED_VALUE"""),0.0)</f>
        <v>0</v>
      </c>
      <c r="H68" s="1">
        <f>IFERROR(__xludf.DUMMYFUNCTION("""COMPUTED_VALUE"""),0.0)</f>
        <v>0</v>
      </c>
      <c r="I68" s="1">
        <f>IFERROR(__xludf.DUMMYFUNCTION("""COMPUTED_VALUE"""),0.0)</f>
        <v>0</v>
      </c>
      <c r="J68" s="1">
        <f>IFERROR(__xludf.DUMMYFUNCTION("""COMPUTED_VALUE"""),0.0)</f>
        <v>0</v>
      </c>
      <c r="K68" s="1">
        <f>IFERROR(__xludf.DUMMYFUNCTION("""COMPUTED_VALUE"""),0.0)</f>
        <v>0</v>
      </c>
      <c r="L68" s="1">
        <f>IFERROR(__xludf.DUMMYFUNCTION("""COMPUTED_VALUE"""),10.0)</f>
        <v>10</v>
      </c>
      <c r="M68" s="1">
        <f>IFERROR(__xludf.DUMMYFUNCTION("""COMPUTED_VALUE"""),1.0)</f>
        <v>1</v>
      </c>
      <c r="N68" s="1">
        <f>IFERROR(__xludf.DUMMYFUNCTION("""COMPUTED_VALUE"""),1.0)</f>
        <v>1</v>
      </c>
      <c r="O68" s="1">
        <f>IFERROR(__xludf.DUMMYFUNCTION("""COMPUTED_VALUE"""),1.0)</f>
        <v>1</v>
      </c>
      <c r="P68" s="1">
        <f>IFERROR(__xludf.DUMMYFUNCTION("""COMPUTED_VALUE"""),3.0)</f>
        <v>3</v>
      </c>
    </row>
    <row r="69">
      <c r="A69" s="1" t="str">
        <f>IFERROR(__xludf.DUMMYFUNCTION("""COMPUTED_VALUE"""),"Guatemala")</f>
        <v>Guatemala</v>
      </c>
      <c r="B69" s="1">
        <f>IFERROR(__xludf.DUMMYFUNCTION("""COMPUTED_VALUE"""),15.0)</f>
        <v>15</v>
      </c>
      <c r="C69" s="1">
        <f>IFERROR(__xludf.DUMMYFUNCTION("""COMPUTED_VALUE"""),1.0)</f>
        <v>1</v>
      </c>
      <c r="D69" s="1">
        <f>IFERROR(__xludf.DUMMYFUNCTION("""COMPUTED_VALUE"""),1.0)</f>
        <v>1</v>
      </c>
      <c r="E69" s="1">
        <f>IFERROR(__xludf.DUMMYFUNCTION("""COMPUTED_VALUE"""),1.0)</f>
        <v>1</v>
      </c>
      <c r="F69" s="1">
        <f>IFERROR(__xludf.DUMMYFUNCTION("""COMPUTED_VALUE"""),3.0)</f>
        <v>3</v>
      </c>
      <c r="G69" s="1">
        <f>IFERROR(__xludf.DUMMYFUNCTION("""COMPUTED_VALUE"""),1.0)</f>
        <v>1</v>
      </c>
      <c r="H69" s="1">
        <f>IFERROR(__xludf.DUMMYFUNCTION("""COMPUTED_VALUE"""),0.0)</f>
        <v>0</v>
      </c>
      <c r="I69" s="1">
        <f>IFERROR(__xludf.DUMMYFUNCTION("""COMPUTED_VALUE"""),0.0)</f>
        <v>0</v>
      </c>
      <c r="J69" s="1">
        <f>IFERROR(__xludf.DUMMYFUNCTION("""COMPUTED_VALUE"""),0.0)</f>
        <v>0</v>
      </c>
      <c r="K69" s="1">
        <f>IFERROR(__xludf.DUMMYFUNCTION("""COMPUTED_VALUE"""),0.0)</f>
        <v>0</v>
      </c>
      <c r="L69" s="1">
        <f>IFERROR(__xludf.DUMMYFUNCTION("""COMPUTED_VALUE"""),16.0)</f>
        <v>16</v>
      </c>
      <c r="M69" s="1">
        <f>IFERROR(__xludf.DUMMYFUNCTION("""COMPUTED_VALUE"""),1.0)</f>
        <v>1</v>
      </c>
      <c r="N69" s="1">
        <f>IFERROR(__xludf.DUMMYFUNCTION("""COMPUTED_VALUE"""),1.0)</f>
        <v>1</v>
      </c>
      <c r="O69" s="1">
        <f>IFERROR(__xludf.DUMMYFUNCTION("""COMPUTED_VALUE"""),1.0)</f>
        <v>1</v>
      </c>
      <c r="P69" s="1">
        <f>IFERROR(__xludf.DUMMYFUNCTION("""COMPUTED_VALUE"""),3.0)</f>
        <v>3</v>
      </c>
    </row>
    <row r="70">
      <c r="A70" s="1" t="str">
        <f>IFERROR(__xludf.DUMMYFUNCTION("""COMPUTED_VALUE"""),"Guyana")</f>
        <v>Guyana</v>
      </c>
      <c r="B70" s="1">
        <f>IFERROR(__xludf.DUMMYFUNCTION("""COMPUTED_VALUE"""),18.0)</f>
        <v>18</v>
      </c>
      <c r="C70" s="1">
        <f>IFERROR(__xludf.DUMMYFUNCTION("""COMPUTED_VALUE"""),0.0)</f>
        <v>0</v>
      </c>
      <c r="D70" s="1">
        <f>IFERROR(__xludf.DUMMYFUNCTION("""COMPUTED_VALUE"""),0.0)</f>
        <v>0</v>
      </c>
      <c r="E70" s="1">
        <f>IFERROR(__xludf.DUMMYFUNCTION("""COMPUTED_VALUE"""),1.0)</f>
        <v>1</v>
      </c>
      <c r="F70" s="1">
        <f>IFERROR(__xludf.DUMMYFUNCTION("""COMPUTED_VALUE"""),1.0)</f>
        <v>1</v>
      </c>
      <c r="G70" s="1">
        <f>IFERROR(__xludf.DUMMYFUNCTION("""COMPUTED_VALUE"""),0.0)</f>
        <v>0</v>
      </c>
      <c r="H70" s="1">
        <f>IFERROR(__xludf.DUMMYFUNCTION("""COMPUTED_VALUE"""),0.0)</f>
        <v>0</v>
      </c>
      <c r="I70" s="1">
        <f>IFERROR(__xludf.DUMMYFUNCTION("""COMPUTED_VALUE"""),0.0)</f>
        <v>0</v>
      </c>
      <c r="J70" s="1">
        <f>IFERROR(__xludf.DUMMYFUNCTION("""COMPUTED_VALUE"""),0.0)</f>
        <v>0</v>
      </c>
      <c r="K70" s="1">
        <f>IFERROR(__xludf.DUMMYFUNCTION("""COMPUTED_VALUE"""),0.0)</f>
        <v>0</v>
      </c>
      <c r="L70" s="1">
        <f>IFERROR(__xludf.DUMMYFUNCTION("""COMPUTED_VALUE"""),18.0)</f>
        <v>18</v>
      </c>
      <c r="M70" s="1">
        <f>IFERROR(__xludf.DUMMYFUNCTION("""COMPUTED_VALUE"""),0.0)</f>
        <v>0</v>
      </c>
      <c r="N70" s="1">
        <f>IFERROR(__xludf.DUMMYFUNCTION("""COMPUTED_VALUE"""),0.0)</f>
        <v>0</v>
      </c>
      <c r="O70" s="1">
        <f>IFERROR(__xludf.DUMMYFUNCTION("""COMPUTED_VALUE"""),1.0)</f>
        <v>1</v>
      </c>
      <c r="P70" s="1">
        <f>IFERROR(__xludf.DUMMYFUNCTION("""COMPUTED_VALUE"""),1.0)</f>
        <v>1</v>
      </c>
    </row>
    <row r="71">
      <c r="A71" s="1" t="str">
        <f>IFERROR(__xludf.DUMMYFUNCTION("""COMPUTED_VALUE"""),"Haïti")</f>
        <v>Haïti</v>
      </c>
      <c r="B71" s="1">
        <f>IFERROR(__xludf.DUMMYFUNCTION("""COMPUTED_VALUE"""),16.0)</f>
        <v>16</v>
      </c>
      <c r="C71" s="1">
        <f>IFERROR(__xludf.DUMMYFUNCTION("""COMPUTED_VALUE"""),0.0)</f>
        <v>0</v>
      </c>
      <c r="D71" s="1">
        <f>IFERROR(__xludf.DUMMYFUNCTION("""COMPUTED_VALUE"""),1.0)</f>
        <v>1</v>
      </c>
      <c r="E71" s="1">
        <f>IFERROR(__xludf.DUMMYFUNCTION("""COMPUTED_VALUE"""),1.0)</f>
        <v>1</v>
      </c>
      <c r="F71" s="1">
        <f>IFERROR(__xludf.DUMMYFUNCTION("""COMPUTED_VALUE"""),2.0)</f>
        <v>2</v>
      </c>
      <c r="G71" s="1">
        <f>IFERROR(__xludf.DUMMYFUNCTION("""COMPUTED_VALUE"""),0.0)</f>
        <v>0</v>
      </c>
      <c r="H71" s="1">
        <f>IFERROR(__xludf.DUMMYFUNCTION("""COMPUTED_VALUE"""),0.0)</f>
        <v>0</v>
      </c>
      <c r="I71" s="1">
        <f>IFERROR(__xludf.DUMMYFUNCTION("""COMPUTED_VALUE"""),0.0)</f>
        <v>0</v>
      </c>
      <c r="J71" s="1">
        <f>IFERROR(__xludf.DUMMYFUNCTION("""COMPUTED_VALUE"""),0.0)</f>
        <v>0</v>
      </c>
      <c r="K71" s="1">
        <f>IFERROR(__xludf.DUMMYFUNCTION("""COMPUTED_VALUE"""),0.0)</f>
        <v>0</v>
      </c>
      <c r="L71" s="1">
        <f>IFERROR(__xludf.DUMMYFUNCTION("""COMPUTED_VALUE"""),16.0)</f>
        <v>16</v>
      </c>
      <c r="M71" s="1">
        <f>IFERROR(__xludf.DUMMYFUNCTION("""COMPUTED_VALUE"""),0.0)</f>
        <v>0</v>
      </c>
      <c r="N71" s="1">
        <f>IFERROR(__xludf.DUMMYFUNCTION("""COMPUTED_VALUE"""),1.0)</f>
        <v>1</v>
      </c>
      <c r="O71" s="1">
        <f>IFERROR(__xludf.DUMMYFUNCTION("""COMPUTED_VALUE"""),1.0)</f>
        <v>1</v>
      </c>
      <c r="P71" s="1">
        <f>IFERROR(__xludf.DUMMYFUNCTION("""COMPUTED_VALUE"""),2.0)</f>
        <v>2</v>
      </c>
    </row>
    <row r="72">
      <c r="A72" s="1" t="str">
        <f>IFERROR(__xludf.DUMMYFUNCTION("""COMPUTED_VALUE"""),"Hong Kong[17]")</f>
        <v>Hong Kong[17]</v>
      </c>
      <c r="B72" s="1">
        <f>IFERROR(__xludf.DUMMYFUNCTION("""COMPUTED_VALUE"""),17.0)</f>
        <v>17</v>
      </c>
      <c r="C72" s="1">
        <f>IFERROR(__xludf.DUMMYFUNCTION("""COMPUTED_VALUE"""),2.0)</f>
        <v>2</v>
      </c>
      <c r="D72" s="1">
        <f>IFERROR(__xludf.DUMMYFUNCTION("""COMPUTED_VALUE"""),3.0)</f>
        <v>3</v>
      </c>
      <c r="E72" s="1">
        <f>IFERROR(__xludf.DUMMYFUNCTION("""COMPUTED_VALUE"""),4.0)</f>
        <v>4</v>
      </c>
      <c r="F72" s="1">
        <f>IFERROR(__xludf.DUMMYFUNCTION("""COMPUTED_VALUE"""),9.0)</f>
        <v>9</v>
      </c>
      <c r="G72" s="1">
        <f>IFERROR(__xludf.DUMMYFUNCTION("""COMPUTED_VALUE"""),5.0)</f>
        <v>5</v>
      </c>
      <c r="H72" s="1">
        <f>IFERROR(__xludf.DUMMYFUNCTION("""COMPUTED_VALUE"""),0.0)</f>
        <v>0</v>
      </c>
      <c r="I72" s="1">
        <f>IFERROR(__xludf.DUMMYFUNCTION("""COMPUTED_VALUE"""),0.0)</f>
        <v>0</v>
      </c>
      <c r="J72" s="1">
        <f>IFERROR(__xludf.DUMMYFUNCTION("""COMPUTED_VALUE"""),0.0)</f>
        <v>0</v>
      </c>
      <c r="K72" s="1">
        <f>IFERROR(__xludf.DUMMYFUNCTION("""COMPUTED_VALUE"""),0.0)</f>
        <v>0</v>
      </c>
      <c r="L72" s="1">
        <f>IFERROR(__xludf.DUMMYFUNCTION("""COMPUTED_VALUE"""),22.0)</f>
        <v>22</v>
      </c>
      <c r="M72" s="1">
        <f>IFERROR(__xludf.DUMMYFUNCTION("""COMPUTED_VALUE"""),2.0)</f>
        <v>2</v>
      </c>
      <c r="N72" s="1">
        <f>IFERROR(__xludf.DUMMYFUNCTION("""COMPUTED_VALUE"""),3.0)</f>
        <v>3</v>
      </c>
      <c r="O72" s="1">
        <f>IFERROR(__xludf.DUMMYFUNCTION("""COMPUTED_VALUE"""),4.0)</f>
        <v>4</v>
      </c>
      <c r="P72" s="1">
        <f>IFERROR(__xludf.DUMMYFUNCTION("""COMPUTED_VALUE"""),9.0)</f>
        <v>9</v>
      </c>
    </row>
    <row r="73">
      <c r="A73" s="1" t="str">
        <f>IFERROR(__xludf.DUMMYFUNCTION("""COMPUTED_VALUE"""),"Hongrie")</f>
        <v>Hongrie</v>
      </c>
      <c r="B73" s="1">
        <f>IFERROR(__xludf.DUMMYFUNCTION("""COMPUTED_VALUE"""),27.0)</f>
        <v>27</v>
      </c>
      <c r="C73" s="1">
        <f>IFERROR(__xludf.DUMMYFUNCTION("""COMPUTED_VALUE"""),187.0)</f>
        <v>187</v>
      </c>
      <c r="D73" s="1">
        <f>IFERROR(__xludf.DUMMYFUNCTION("""COMPUTED_VALUE"""),161.0)</f>
        <v>161</v>
      </c>
      <c r="E73" s="1">
        <f>IFERROR(__xludf.DUMMYFUNCTION("""COMPUTED_VALUE"""),182.0)</f>
        <v>182</v>
      </c>
      <c r="F73" s="1">
        <f>IFERROR(__xludf.DUMMYFUNCTION("""COMPUTED_VALUE"""),530.0)</f>
        <v>530</v>
      </c>
      <c r="G73" s="1">
        <f>IFERROR(__xludf.DUMMYFUNCTION("""COMPUTED_VALUE"""),23.0)</f>
        <v>23</v>
      </c>
      <c r="H73" s="1">
        <f>IFERROR(__xludf.DUMMYFUNCTION("""COMPUTED_VALUE"""),1.0)</f>
        <v>1</v>
      </c>
      <c r="I73" s="1">
        <f>IFERROR(__xludf.DUMMYFUNCTION("""COMPUTED_VALUE"""),2.0)</f>
        <v>2</v>
      </c>
      <c r="J73" s="1">
        <f>IFERROR(__xludf.DUMMYFUNCTION("""COMPUTED_VALUE"""),4.0)</f>
        <v>4</v>
      </c>
      <c r="K73" s="1">
        <f>IFERROR(__xludf.DUMMYFUNCTION("""COMPUTED_VALUE"""),7.0)</f>
        <v>7</v>
      </c>
      <c r="L73" s="1">
        <f>IFERROR(__xludf.DUMMYFUNCTION("""COMPUTED_VALUE"""),50.0)</f>
        <v>50</v>
      </c>
      <c r="M73" s="1">
        <f>IFERROR(__xludf.DUMMYFUNCTION("""COMPUTED_VALUE"""),188.0)</f>
        <v>188</v>
      </c>
      <c r="N73" s="1">
        <f>IFERROR(__xludf.DUMMYFUNCTION("""COMPUTED_VALUE"""),163.0)</f>
        <v>163</v>
      </c>
      <c r="O73" s="1">
        <f>IFERROR(__xludf.DUMMYFUNCTION("""COMPUTED_VALUE"""),186.0)</f>
        <v>186</v>
      </c>
      <c r="P73" s="1">
        <f>IFERROR(__xludf.DUMMYFUNCTION("""COMPUTED_VALUE"""),537.0)</f>
        <v>537</v>
      </c>
    </row>
    <row r="74">
      <c r="A74" s="1" t="str">
        <f>IFERROR(__xludf.DUMMYFUNCTION("""COMPUTED_VALUE"""),"Îles Vierges des États-Unis")</f>
        <v>Îles Vierges des États-Unis</v>
      </c>
      <c r="B74" s="1">
        <f>IFERROR(__xludf.DUMMYFUNCTION("""COMPUTED_VALUE"""),13.0)</f>
        <v>13</v>
      </c>
      <c r="C74" s="1">
        <f>IFERROR(__xludf.DUMMYFUNCTION("""COMPUTED_VALUE"""),0.0)</f>
        <v>0</v>
      </c>
      <c r="D74" s="1">
        <f>IFERROR(__xludf.DUMMYFUNCTION("""COMPUTED_VALUE"""),1.0)</f>
        <v>1</v>
      </c>
      <c r="E74" s="1">
        <f>IFERROR(__xludf.DUMMYFUNCTION("""COMPUTED_VALUE"""),0.0)</f>
        <v>0</v>
      </c>
      <c r="F74" s="1">
        <f>IFERROR(__xludf.DUMMYFUNCTION("""COMPUTED_VALUE"""),1.0)</f>
        <v>1</v>
      </c>
      <c r="G74" s="1">
        <f>IFERROR(__xludf.DUMMYFUNCTION("""COMPUTED_VALUE"""),7.0)</f>
        <v>7</v>
      </c>
      <c r="H74" s="1">
        <f>IFERROR(__xludf.DUMMYFUNCTION("""COMPUTED_VALUE"""),0.0)</f>
        <v>0</v>
      </c>
      <c r="I74" s="1">
        <f>IFERROR(__xludf.DUMMYFUNCTION("""COMPUTED_VALUE"""),0.0)</f>
        <v>0</v>
      </c>
      <c r="J74" s="1">
        <f>IFERROR(__xludf.DUMMYFUNCTION("""COMPUTED_VALUE"""),0.0)</f>
        <v>0</v>
      </c>
      <c r="K74" s="1">
        <f>IFERROR(__xludf.DUMMYFUNCTION("""COMPUTED_VALUE"""),0.0)</f>
        <v>0</v>
      </c>
      <c r="L74" s="1">
        <f>IFERROR(__xludf.DUMMYFUNCTION("""COMPUTED_VALUE"""),20.0)</f>
        <v>20</v>
      </c>
      <c r="M74" s="1">
        <f>IFERROR(__xludf.DUMMYFUNCTION("""COMPUTED_VALUE"""),0.0)</f>
        <v>0</v>
      </c>
      <c r="N74" s="1">
        <f>IFERROR(__xludf.DUMMYFUNCTION("""COMPUTED_VALUE"""),1.0)</f>
        <v>1</v>
      </c>
      <c r="O74" s="1">
        <f>IFERROR(__xludf.DUMMYFUNCTION("""COMPUTED_VALUE"""),0.0)</f>
        <v>0</v>
      </c>
      <c r="P74" s="1">
        <f>IFERROR(__xludf.DUMMYFUNCTION("""COMPUTED_VALUE"""),1.0)</f>
        <v>1</v>
      </c>
    </row>
    <row r="75">
      <c r="A75" s="1" t="str">
        <f>IFERROR(__xludf.DUMMYFUNCTION("""COMPUTED_VALUE"""),"Inde")</f>
        <v>Inde</v>
      </c>
      <c r="B75" s="1">
        <f>IFERROR(__xludf.DUMMYFUNCTION("""COMPUTED_VALUE"""),25.0)</f>
        <v>25</v>
      </c>
      <c r="C75" s="1">
        <f>IFERROR(__xludf.DUMMYFUNCTION("""COMPUTED_VALUE"""),10.0)</f>
        <v>10</v>
      </c>
      <c r="D75" s="1">
        <f>IFERROR(__xludf.DUMMYFUNCTION("""COMPUTED_VALUE"""),9.0)</f>
        <v>9</v>
      </c>
      <c r="E75" s="1">
        <f>IFERROR(__xludf.DUMMYFUNCTION("""COMPUTED_VALUE"""),16.0)</f>
        <v>16</v>
      </c>
      <c r="F75" s="1">
        <f>IFERROR(__xludf.DUMMYFUNCTION("""COMPUTED_VALUE"""),35.0)</f>
        <v>35</v>
      </c>
      <c r="G75" s="1">
        <f>IFERROR(__xludf.DUMMYFUNCTION("""COMPUTED_VALUE"""),10.0)</f>
        <v>10</v>
      </c>
      <c r="H75" s="1">
        <f>IFERROR(__xludf.DUMMYFUNCTION("""COMPUTED_VALUE"""),0.0)</f>
        <v>0</v>
      </c>
      <c r="I75" s="1">
        <f>IFERROR(__xludf.DUMMYFUNCTION("""COMPUTED_VALUE"""),0.0)</f>
        <v>0</v>
      </c>
      <c r="J75" s="1">
        <f>IFERROR(__xludf.DUMMYFUNCTION("""COMPUTED_VALUE"""),0.0)</f>
        <v>0</v>
      </c>
      <c r="K75" s="1">
        <f>IFERROR(__xludf.DUMMYFUNCTION("""COMPUTED_VALUE"""),0.0)</f>
        <v>0</v>
      </c>
      <c r="L75" s="1">
        <f>IFERROR(__xludf.DUMMYFUNCTION("""COMPUTED_VALUE"""),35.0)</f>
        <v>35</v>
      </c>
      <c r="M75" s="1">
        <f>IFERROR(__xludf.DUMMYFUNCTION("""COMPUTED_VALUE"""),10.0)</f>
        <v>10</v>
      </c>
      <c r="N75" s="1">
        <f>IFERROR(__xludf.DUMMYFUNCTION("""COMPUTED_VALUE"""),9.0)</f>
        <v>9</v>
      </c>
      <c r="O75" s="1">
        <f>IFERROR(__xludf.DUMMYFUNCTION("""COMPUTED_VALUE"""),16.0)</f>
        <v>16</v>
      </c>
      <c r="P75" s="1">
        <f>IFERROR(__xludf.DUMMYFUNCTION("""COMPUTED_VALUE"""),35.0)</f>
        <v>35</v>
      </c>
    </row>
    <row r="76">
      <c r="A76" s="1" t="str">
        <f>IFERROR(__xludf.DUMMYFUNCTION("""COMPUTED_VALUE"""),"Indonésie")</f>
        <v>Indonésie</v>
      </c>
      <c r="B76" s="1">
        <f>IFERROR(__xludf.DUMMYFUNCTION("""COMPUTED_VALUE"""),16.0)</f>
        <v>16</v>
      </c>
      <c r="C76" s="1">
        <f>IFERROR(__xludf.DUMMYFUNCTION("""COMPUTED_VALUE"""),8.0)</f>
        <v>8</v>
      </c>
      <c r="D76" s="1">
        <f>IFERROR(__xludf.DUMMYFUNCTION("""COMPUTED_VALUE"""),14.0)</f>
        <v>14</v>
      </c>
      <c r="E76" s="1">
        <f>IFERROR(__xludf.DUMMYFUNCTION("""COMPUTED_VALUE"""),15.0)</f>
        <v>15</v>
      </c>
      <c r="F76" s="1">
        <f>IFERROR(__xludf.DUMMYFUNCTION("""COMPUTED_VALUE"""),37.0)</f>
        <v>37</v>
      </c>
      <c r="G76" s="1">
        <f>IFERROR(__xludf.DUMMYFUNCTION("""COMPUTED_VALUE"""),0.0)</f>
        <v>0</v>
      </c>
      <c r="H76" s="1">
        <f>IFERROR(__xludf.DUMMYFUNCTION("""COMPUTED_VALUE"""),0.0)</f>
        <v>0</v>
      </c>
      <c r="I76" s="1">
        <f>IFERROR(__xludf.DUMMYFUNCTION("""COMPUTED_VALUE"""),0.0)</f>
        <v>0</v>
      </c>
      <c r="J76" s="1">
        <f>IFERROR(__xludf.DUMMYFUNCTION("""COMPUTED_VALUE"""),0.0)</f>
        <v>0</v>
      </c>
      <c r="K76" s="1">
        <f>IFERROR(__xludf.DUMMYFUNCTION("""COMPUTED_VALUE"""),0.0)</f>
        <v>0</v>
      </c>
      <c r="L76" s="1">
        <f>IFERROR(__xludf.DUMMYFUNCTION("""COMPUTED_VALUE"""),16.0)</f>
        <v>16</v>
      </c>
      <c r="M76" s="1">
        <f>IFERROR(__xludf.DUMMYFUNCTION("""COMPUTED_VALUE"""),8.0)</f>
        <v>8</v>
      </c>
      <c r="N76" s="1">
        <f>IFERROR(__xludf.DUMMYFUNCTION("""COMPUTED_VALUE"""),14.0)</f>
        <v>14</v>
      </c>
      <c r="O76" s="1">
        <f>IFERROR(__xludf.DUMMYFUNCTION("""COMPUTED_VALUE"""),15.0)</f>
        <v>15</v>
      </c>
      <c r="P76" s="1">
        <f>IFERROR(__xludf.DUMMYFUNCTION("""COMPUTED_VALUE"""),37.0)</f>
        <v>37</v>
      </c>
    </row>
    <row r="77">
      <c r="A77" s="1" t="str">
        <f>IFERROR(__xludf.DUMMYFUNCTION("""COMPUTED_VALUE"""),"Iran")</f>
        <v>Iran</v>
      </c>
      <c r="B77" s="1">
        <f>IFERROR(__xludf.DUMMYFUNCTION("""COMPUTED_VALUE"""),17.0)</f>
        <v>17</v>
      </c>
      <c r="C77" s="1">
        <f>IFERROR(__xludf.DUMMYFUNCTION("""COMPUTED_VALUE"""),24.0)</f>
        <v>24</v>
      </c>
      <c r="D77" s="1">
        <f>IFERROR(__xludf.DUMMYFUNCTION("""COMPUTED_VALUE"""),23.0)</f>
        <v>23</v>
      </c>
      <c r="E77" s="1">
        <f>IFERROR(__xludf.DUMMYFUNCTION("""COMPUTED_VALUE"""),29.0)</f>
        <v>29</v>
      </c>
      <c r="F77" s="1">
        <f>IFERROR(__xludf.DUMMYFUNCTION("""COMPUTED_VALUE"""),76.0)</f>
        <v>76</v>
      </c>
      <c r="G77" s="1">
        <f>IFERROR(__xludf.DUMMYFUNCTION("""COMPUTED_VALUE"""),11.0)</f>
        <v>11</v>
      </c>
      <c r="H77" s="1">
        <f>IFERROR(__xludf.DUMMYFUNCTION("""COMPUTED_VALUE"""),0.0)</f>
        <v>0</v>
      </c>
      <c r="I77" s="1">
        <f>IFERROR(__xludf.DUMMYFUNCTION("""COMPUTED_VALUE"""),0.0)</f>
        <v>0</v>
      </c>
      <c r="J77" s="1">
        <f>IFERROR(__xludf.DUMMYFUNCTION("""COMPUTED_VALUE"""),0.0)</f>
        <v>0</v>
      </c>
      <c r="K77" s="1">
        <f>IFERROR(__xludf.DUMMYFUNCTION("""COMPUTED_VALUE"""),0.0)</f>
        <v>0</v>
      </c>
      <c r="L77" s="1">
        <f>IFERROR(__xludf.DUMMYFUNCTION("""COMPUTED_VALUE"""),28.0)</f>
        <v>28</v>
      </c>
      <c r="M77" s="1">
        <f>IFERROR(__xludf.DUMMYFUNCTION("""COMPUTED_VALUE"""),24.0)</f>
        <v>24</v>
      </c>
      <c r="N77" s="1">
        <f>IFERROR(__xludf.DUMMYFUNCTION("""COMPUTED_VALUE"""),23.0)</f>
        <v>23</v>
      </c>
      <c r="O77" s="1">
        <f>IFERROR(__xludf.DUMMYFUNCTION("""COMPUTED_VALUE"""),29.0)</f>
        <v>29</v>
      </c>
      <c r="P77" s="1">
        <f>IFERROR(__xludf.DUMMYFUNCTION("""COMPUTED_VALUE"""),76.0)</f>
        <v>76</v>
      </c>
    </row>
    <row r="78">
      <c r="A78" s="1" t="str">
        <f>IFERROR(__xludf.DUMMYFUNCTION("""COMPUTED_VALUE"""),"Irak")</f>
        <v>Irak</v>
      </c>
      <c r="B78" s="1">
        <f>IFERROR(__xludf.DUMMYFUNCTION("""COMPUTED_VALUE"""),15.0)</f>
        <v>15</v>
      </c>
      <c r="C78" s="1">
        <f>IFERROR(__xludf.DUMMYFUNCTION("""COMPUTED_VALUE"""),0.0)</f>
        <v>0</v>
      </c>
      <c r="D78" s="1">
        <f>IFERROR(__xludf.DUMMYFUNCTION("""COMPUTED_VALUE"""),0.0)</f>
        <v>0</v>
      </c>
      <c r="E78" s="1">
        <f>IFERROR(__xludf.DUMMYFUNCTION("""COMPUTED_VALUE"""),1.0)</f>
        <v>1</v>
      </c>
      <c r="F78" s="1">
        <f>IFERROR(__xludf.DUMMYFUNCTION("""COMPUTED_VALUE"""),1.0)</f>
        <v>1</v>
      </c>
      <c r="G78" s="1">
        <f>IFERROR(__xludf.DUMMYFUNCTION("""COMPUTED_VALUE"""),0.0)</f>
        <v>0</v>
      </c>
      <c r="H78" s="1">
        <f>IFERROR(__xludf.DUMMYFUNCTION("""COMPUTED_VALUE"""),0.0)</f>
        <v>0</v>
      </c>
      <c r="I78" s="1">
        <f>IFERROR(__xludf.DUMMYFUNCTION("""COMPUTED_VALUE"""),0.0)</f>
        <v>0</v>
      </c>
      <c r="J78" s="1">
        <f>IFERROR(__xludf.DUMMYFUNCTION("""COMPUTED_VALUE"""),0.0)</f>
        <v>0</v>
      </c>
      <c r="K78" s="1">
        <f>IFERROR(__xludf.DUMMYFUNCTION("""COMPUTED_VALUE"""),0.0)</f>
        <v>0</v>
      </c>
      <c r="L78" s="1">
        <f>IFERROR(__xludf.DUMMYFUNCTION("""COMPUTED_VALUE"""),15.0)</f>
        <v>15</v>
      </c>
      <c r="M78" s="1">
        <f>IFERROR(__xludf.DUMMYFUNCTION("""COMPUTED_VALUE"""),0.0)</f>
        <v>0</v>
      </c>
      <c r="N78" s="1">
        <f>IFERROR(__xludf.DUMMYFUNCTION("""COMPUTED_VALUE"""),0.0)</f>
        <v>0</v>
      </c>
      <c r="O78" s="1">
        <f>IFERROR(__xludf.DUMMYFUNCTION("""COMPUTED_VALUE"""),1.0)</f>
        <v>1</v>
      </c>
      <c r="P78" s="1">
        <f>IFERROR(__xludf.DUMMYFUNCTION("""COMPUTED_VALUE"""),1.0)</f>
        <v>1</v>
      </c>
    </row>
    <row r="79">
      <c r="A79" s="1" t="str">
        <f>IFERROR(__xludf.DUMMYFUNCTION("""COMPUTED_VALUE"""),"Irlande")</f>
        <v>Irlande</v>
      </c>
      <c r="B79" s="1">
        <f>IFERROR(__xludf.DUMMYFUNCTION("""COMPUTED_VALUE"""),22.0)</f>
        <v>22</v>
      </c>
      <c r="C79" s="1">
        <f>IFERROR(__xludf.DUMMYFUNCTION("""COMPUTED_VALUE"""),11.0)</f>
        <v>11</v>
      </c>
      <c r="D79" s="1">
        <f>IFERROR(__xludf.DUMMYFUNCTION("""COMPUTED_VALUE"""),10.0)</f>
        <v>10</v>
      </c>
      <c r="E79" s="1">
        <f>IFERROR(__xludf.DUMMYFUNCTION("""COMPUTED_VALUE"""),14.0)</f>
        <v>14</v>
      </c>
      <c r="F79" s="1">
        <f>IFERROR(__xludf.DUMMYFUNCTION("""COMPUTED_VALUE"""),35.0)</f>
        <v>35</v>
      </c>
      <c r="G79" s="1">
        <f>IFERROR(__xludf.DUMMYFUNCTION("""COMPUTED_VALUE"""),7.0)</f>
        <v>7</v>
      </c>
      <c r="H79" s="1">
        <f>IFERROR(__xludf.DUMMYFUNCTION("""COMPUTED_VALUE"""),0.0)</f>
        <v>0</v>
      </c>
      <c r="I79" s="1">
        <f>IFERROR(__xludf.DUMMYFUNCTION("""COMPUTED_VALUE"""),0.0)</f>
        <v>0</v>
      </c>
      <c r="J79" s="1">
        <f>IFERROR(__xludf.DUMMYFUNCTION("""COMPUTED_VALUE"""),0.0)</f>
        <v>0</v>
      </c>
      <c r="K79" s="1">
        <f>IFERROR(__xludf.DUMMYFUNCTION("""COMPUTED_VALUE"""),0.0)</f>
        <v>0</v>
      </c>
      <c r="L79" s="1">
        <f>IFERROR(__xludf.DUMMYFUNCTION("""COMPUTED_VALUE"""),29.0)</f>
        <v>29</v>
      </c>
      <c r="M79" s="1">
        <f>IFERROR(__xludf.DUMMYFUNCTION("""COMPUTED_VALUE"""),11.0)</f>
        <v>11</v>
      </c>
      <c r="N79" s="1">
        <f>IFERROR(__xludf.DUMMYFUNCTION("""COMPUTED_VALUE"""),10.0)</f>
        <v>10</v>
      </c>
      <c r="O79" s="1">
        <f>IFERROR(__xludf.DUMMYFUNCTION("""COMPUTED_VALUE"""),14.0)</f>
        <v>14</v>
      </c>
      <c r="P79" s="1">
        <f>IFERROR(__xludf.DUMMYFUNCTION("""COMPUTED_VALUE"""),35.0)</f>
        <v>35</v>
      </c>
    </row>
    <row r="80">
      <c r="A80" s="1" t="str">
        <f>IFERROR(__xludf.DUMMYFUNCTION("""COMPUTED_VALUE"""),"Islande")</f>
        <v>Islande</v>
      </c>
      <c r="B80" s="1">
        <f>IFERROR(__xludf.DUMMYFUNCTION("""COMPUTED_VALUE"""),21.0)</f>
        <v>21</v>
      </c>
      <c r="C80" s="1">
        <f>IFERROR(__xludf.DUMMYFUNCTION("""COMPUTED_VALUE"""),0.0)</f>
        <v>0</v>
      </c>
      <c r="D80" s="1">
        <f>IFERROR(__xludf.DUMMYFUNCTION("""COMPUTED_VALUE"""),2.0)</f>
        <v>2</v>
      </c>
      <c r="E80" s="1">
        <f>IFERROR(__xludf.DUMMYFUNCTION("""COMPUTED_VALUE"""),2.0)</f>
        <v>2</v>
      </c>
      <c r="F80" s="1">
        <f>IFERROR(__xludf.DUMMYFUNCTION("""COMPUTED_VALUE"""),4.0)</f>
        <v>4</v>
      </c>
      <c r="G80" s="1">
        <f>IFERROR(__xludf.DUMMYFUNCTION("""COMPUTED_VALUE"""),18.0)</f>
        <v>18</v>
      </c>
      <c r="H80" s="1">
        <f>IFERROR(__xludf.DUMMYFUNCTION("""COMPUTED_VALUE"""),0.0)</f>
        <v>0</v>
      </c>
      <c r="I80" s="1">
        <f>IFERROR(__xludf.DUMMYFUNCTION("""COMPUTED_VALUE"""),0.0)</f>
        <v>0</v>
      </c>
      <c r="J80" s="1">
        <f>IFERROR(__xludf.DUMMYFUNCTION("""COMPUTED_VALUE"""),0.0)</f>
        <v>0</v>
      </c>
      <c r="K80" s="1">
        <f>IFERROR(__xludf.DUMMYFUNCTION("""COMPUTED_VALUE"""),0.0)</f>
        <v>0</v>
      </c>
      <c r="L80" s="1">
        <f>IFERROR(__xludf.DUMMYFUNCTION("""COMPUTED_VALUE"""),39.0)</f>
        <v>39</v>
      </c>
      <c r="M80" s="1">
        <f>IFERROR(__xludf.DUMMYFUNCTION("""COMPUTED_VALUE"""),0.0)</f>
        <v>0</v>
      </c>
      <c r="N80" s="1">
        <f>IFERROR(__xludf.DUMMYFUNCTION("""COMPUTED_VALUE"""),2.0)</f>
        <v>2</v>
      </c>
      <c r="O80" s="1">
        <f>IFERROR(__xludf.DUMMYFUNCTION("""COMPUTED_VALUE"""),2.0)</f>
        <v>2</v>
      </c>
      <c r="P80" s="1">
        <f>IFERROR(__xludf.DUMMYFUNCTION("""COMPUTED_VALUE"""),4.0)</f>
        <v>4</v>
      </c>
    </row>
    <row r="81">
      <c r="A81" s="1" t="str">
        <f>IFERROR(__xludf.DUMMYFUNCTION("""COMPUTED_VALUE"""),"Israël")</f>
        <v>Israël</v>
      </c>
      <c r="B81" s="1">
        <f>IFERROR(__xludf.DUMMYFUNCTION("""COMPUTED_VALUE"""),17.0)</f>
        <v>17</v>
      </c>
      <c r="C81" s="1">
        <f>IFERROR(__xludf.DUMMYFUNCTION("""COMPUTED_VALUE"""),3.0)</f>
        <v>3</v>
      </c>
      <c r="D81" s="1">
        <f>IFERROR(__xludf.DUMMYFUNCTION("""COMPUTED_VALUE"""),1.0)</f>
        <v>1</v>
      </c>
      <c r="E81" s="1">
        <f>IFERROR(__xludf.DUMMYFUNCTION("""COMPUTED_VALUE"""),9.0)</f>
        <v>9</v>
      </c>
      <c r="F81" s="1">
        <f>IFERROR(__xludf.DUMMYFUNCTION("""COMPUTED_VALUE"""),13.0)</f>
        <v>13</v>
      </c>
      <c r="G81" s="1">
        <f>IFERROR(__xludf.DUMMYFUNCTION("""COMPUTED_VALUE"""),7.0)</f>
        <v>7</v>
      </c>
      <c r="H81" s="1">
        <f>IFERROR(__xludf.DUMMYFUNCTION("""COMPUTED_VALUE"""),0.0)</f>
        <v>0</v>
      </c>
      <c r="I81" s="1">
        <f>IFERROR(__xludf.DUMMYFUNCTION("""COMPUTED_VALUE"""),0.0)</f>
        <v>0</v>
      </c>
      <c r="J81" s="1">
        <f>IFERROR(__xludf.DUMMYFUNCTION("""COMPUTED_VALUE"""),0.0)</f>
        <v>0</v>
      </c>
      <c r="K81" s="1">
        <f>IFERROR(__xludf.DUMMYFUNCTION("""COMPUTED_VALUE"""),0.0)</f>
        <v>0</v>
      </c>
      <c r="L81" s="1">
        <f>IFERROR(__xludf.DUMMYFUNCTION("""COMPUTED_VALUE"""),24.0)</f>
        <v>24</v>
      </c>
      <c r="M81" s="1">
        <f>IFERROR(__xludf.DUMMYFUNCTION("""COMPUTED_VALUE"""),3.0)</f>
        <v>3</v>
      </c>
      <c r="N81" s="1">
        <f>IFERROR(__xludf.DUMMYFUNCTION("""COMPUTED_VALUE"""),1.0)</f>
        <v>1</v>
      </c>
      <c r="O81" s="1">
        <f>IFERROR(__xludf.DUMMYFUNCTION("""COMPUTED_VALUE"""),9.0)</f>
        <v>9</v>
      </c>
      <c r="P81" s="1">
        <f>IFERROR(__xludf.DUMMYFUNCTION("""COMPUTED_VALUE"""),13.0)</f>
        <v>13</v>
      </c>
    </row>
    <row r="82">
      <c r="A82" s="1" t="str">
        <f>IFERROR(__xludf.DUMMYFUNCTION("""COMPUTED_VALUE"""),"Italie")</f>
        <v>Italie</v>
      </c>
      <c r="B82" s="1">
        <f>IFERROR(__xludf.DUMMYFUNCTION("""COMPUTED_VALUE"""),28.0)</f>
        <v>28</v>
      </c>
      <c r="C82" s="1">
        <f>IFERROR(__xludf.DUMMYFUNCTION("""COMPUTED_VALUE"""),229.0)</f>
        <v>229</v>
      </c>
      <c r="D82" s="1">
        <f>IFERROR(__xludf.DUMMYFUNCTION("""COMPUTED_VALUE"""),201.0)</f>
        <v>201</v>
      </c>
      <c r="E82" s="1">
        <f>IFERROR(__xludf.DUMMYFUNCTION("""COMPUTED_VALUE"""),228.0)</f>
        <v>228</v>
      </c>
      <c r="F82" s="1">
        <f>IFERROR(__xludf.DUMMYFUNCTION("""COMPUTED_VALUE"""),658.0)</f>
        <v>658</v>
      </c>
      <c r="G82" s="1">
        <f>IFERROR(__xludf.DUMMYFUNCTION("""COMPUTED_VALUE"""),23.0)</f>
        <v>23</v>
      </c>
      <c r="H82" s="1">
        <f>IFERROR(__xludf.DUMMYFUNCTION("""COMPUTED_VALUE"""),42.0)</f>
        <v>42</v>
      </c>
      <c r="I82" s="1">
        <f>IFERROR(__xludf.DUMMYFUNCTION("""COMPUTED_VALUE"""),43.0)</f>
        <v>43</v>
      </c>
      <c r="J82" s="1">
        <f>IFERROR(__xludf.DUMMYFUNCTION("""COMPUTED_VALUE"""),56.0)</f>
        <v>56</v>
      </c>
      <c r="K82" s="1">
        <f>IFERROR(__xludf.DUMMYFUNCTION("""COMPUTED_VALUE"""),124.0)</f>
        <v>124</v>
      </c>
      <c r="L82" s="1">
        <f>IFERROR(__xludf.DUMMYFUNCTION("""COMPUTED_VALUE"""),51.0)</f>
        <v>51</v>
      </c>
      <c r="M82" s="1">
        <f>IFERROR(__xludf.DUMMYFUNCTION("""COMPUTED_VALUE"""),271.0)</f>
        <v>271</v>
      </c>
      <c r="N82" s="1">
        <f>IFERROR(__xludf.DUMMYFUNCTION("""COMPUTED_VALUE"""),244.0)</f>
        <v>244</v>
      </c>
      <c r="O82" s="1">
        <f>IFERROR(__xludf.DUMMYFUNCTION("""COMPUTED_VALUE"""),284.0)</f>
        <v>284</v>
      </c>
      <c r="P82" s="1">
        <f>IFERROR(__xludf.DUMMYFUNCTION("""COMPUTED_VALUE"""),799.0)</f>
        <v>799</v>
      </c>
    </row>
    <row r="83">
      <c r="A83" s="1" t="str">
        <f>IFERROR(__xludf.DUMMYFUNCTION("""COMPUTED_VALUE"""),"Jamaïque[18]")</f>
        <v>Jamaïque[18]</v>
      </c>
      <c r="B83" s="1">
        <f>IFERROR(__xludf.DUMMYFUNCTION("""COMPUTED_VALUE"""),18.0)</f>
        <v>18</v>
      </c>
      <c r="C83" s="1">
        <f>IFERROR(__xludf.DUMMYFUNCTION("""COMPUTED_VALUE"""),26.0)</f>
        <v>26</v>
      </c>
      <c r="D83" s="1">
        <f>IFERROR(__xludf.DUMMYFUNCTION("""COMPUTED_VALUE"""),36.0)</f>
        <v>36</v>
      </c>
      <c r="E83" s="1">
        <f>IFERROR(__xludf.DUMMYFUNCTION("""COMPUTED_VALUE"""),25.0)</f>
        <v>25</v>
      </c>
      <c r="F83" s="1">
        <f>IFERROR(__xludf.DUMMYFUNCTION("""COMPUTED_VALUE"""),87.0)</f>
        <v>87</v>
      </c>
      <c r="G83" s="1">
        <f>IFERROR(__xludf.DUMMYFUNCTION("""COMPUTED_VALUE"""),8.0)</f>
        <v>8</v>
      </c>
      <c r="H83" s="1">
        <f>IFERROR(__xludf.DUMMYFUNCTION("""COMPUTED_VALUE"""),0.0)</f>
        <v>0</v>
      </c>
      <c r="I83" s="1">
        <f>IFERROR(__xludf.DUMMYFUNCTION("""COMPUTED_VALUE"""),0.0)</f>
        <v>0</v>
      </c>
      <c r="J83" s="1">
        <f>IFERROR(__xludf.DUMMYFUNCTION("""COMPUTED_VALUE"""),0.0)</f>
        <v>0</v>
      </c>
      <c r="K83" s="1">
        <f>IFERROR(__xludf.DUMMYFUNCTION("""COMPUTED_VALUE"""),0.0)</f>
        <v>0</v>
      </c>
      <c r="L83" s="1">
        <f>IFERROR(__xludf.DUMMYFUNCTION("""COMPUTED_VALUE"""),26.0)</f>
        <v>26</v>
      </c>
      <c r="M83" s="1">
        <f>IFERROR(__xludf.DUMMYFUNCTION("""COMPUTED_VALUE"""),26.0)</f>
        <v>26</v>
      </c>
      <c r="N83" s="1">
        <f>IFERROR(__xludf.DUMMYFUNCTION("""COMPUTED_VALUE"""),36.0)</f>
        <v>36</v>
      </c>
      <c r="O83" s="1">
        <f>IFERROR(__xludf.DUMMYFUNCTION("""COMPUTED_VALUE"""),25.0)</f>
        <v>25</v>
      </c>
      <c r="P83" s="1">
        <f>IFERROR(__xludf.DUMMYFUNCTION("""COMPUTED_VALUE"""),87.0)</f>
        <v>87</v>
      </c>
    </row>
    <row r="84">
      <c r="A84" s="1" t="str">
        <f>IFERROR(__xludf.DUMMYFUNCTION("""COMPUTED_VALUE"""),"Japon")</f>
        <v>Japon</v>
      </c>
      <c r="B84" s="1">
        <f>IFERROR(__xludf.DUMMYFUNCTION("""COMPUTED_VALUE"""),23.0)</f>
        <v>23</v>
      </c>
      <c r="C84" s="1">
        <f>IFERROR(__xludf.DUMMYFUNCTION("""COMPUTED_VALUE"""),189.0)</f>
        <v>189</v>
      </c>
      <c r="D84" s="1">
        <f>IFERROR(__xludf.DUMMYFUNCTION("""COMPUTED_VALUE"""),162.0)</f>
        <v>162</v>
      </c>
      <c r="E84" s="1">
        <f>IFERROR(__xludf.DUMMYFUNCTION("""COMPUTED_VALUE"""),191.0)</f>
        <v>191</v>
      </c>
      <c r="F84" s="1">
        <f>IFERROR(__xludf.DUMMYFUNCTION("""COMPUTED_VALUE"""),542.0)</f>
        <v>542</v>
      </c>
      <c r="G84" s="1">
        <f>IFERROR(__xludf.DUMMYFUNCTION("""COMPUTED_VALUE"""),21.0)</f>
        <v>21</v>
      </c>
      <c r="H84" s="1">
        <f>IFERROR(__xludf.DUMMYFUNCTION("""COMPUTED_VALUE"""),17.0)</f>
        <v>17</v>
      </c>
      <c r="I84" s="1">
        <f>IFERROR(__xludf.DUMMYFUNCTION("""COMPUTED_VALUE"""),28.0)</f>
        <v>28</v>
      </c>
      <c r="J84" s="1">
        <f>IFERROR(__xludf.DUMMYFUNCTION("""COMPUTED_VALUE"""),30.0)</f>
        <v>30</v>
      </c>
      <c r="K84" s="1">
        <f>IFERROR(__xludf.DUMMYFUNCTION("""COMPUTED_VALUE"""),58.0)</f>
        <v>58</v>
      </c>
      <c r="L84" s="1">
        <f>IFERROR(__xludf.DUMMYFUNCTION("""COMPUTED_VALUE"""),44.0)</f>
        <v>44</v>
      </c>
      <c r="M84" s="1">
        <f>IFERROR(__xludf.DUMMYFUNCTION("""COMPUTED_VALUE"""),206.0)</f>
        <v>206</v>
      </c>
      <c r="N84" s="1">
        <f>IFERROR(__xludf.DUMMYFUNCTION("""COMPUTED_VALUE"""),190.0)</f>
        <v>190</v>
      </c>
      <c r="O84" s="1">
        <f>IFERROR(__xludf.DUMMYFUNCTION("""COMPUTED_VALUE"""),221.0)</f>
        <v>221</v>
      </c>
      <c r="P84" s="1">
        <f>IFERROR(__xludf.DUMMYFUNCTION("""COMPUTED_VALUE"""),617.0)</f>
        <v>617</v>
      </c>
    </row>
    <row r="85">
      <c r="A85" s="1" t="str">
        <f>IFERROR(__xludf.DUMMYFUNCTION("""COMPUTED_VALUE"""),"Jordanie")</f>
        <v>Jordanie</v>
      </c>
      <c r="B85" s="1">
        <f>IFERROR(__xludf.DUMMYFUNCTION("""COMPUTED_VALUE"""),11.0)</f>
        <v>11</v>
      </c>
      <c r="C85" s="1">
        <f>IFERROR(__xludf.DUMMYFUNCTION("""COMPUTED_VALUE"""),1.0)</f>
        <v>1</v>
      </c>
      <c r="D85" s="1">
        <f>IFERROR(__xludf.DUMMYFUNCTION("""COMPUTED_VALUE"""),1.0)</f>
        <v>1</v>
      </c>
      <c r="E85" s="1">
        <f>IFERROR(__xludf.DUMMYFUNCTION("""COMPUTED_VALUE"""),1.0)</f>
        <v>1</v>
      </c>
      <c r="F85" s="1">
        <f>IFERROR(__xludf.DUMMYFUNCTION("""COMPUTED_VALUE"""),3.0)</f>
        <v>3</v>
      </c>
      <c r="G85" s="1">
        <f>IFERROR(__xludf.DUMMYFUNCTION("""COMPUTED_VALUE"""),0.0)</f>
        <v>0</v>
      </c>
      <c r="H85" s="1">
        <f>IFERROR(__xludf.DUMMYFUNCTION("""COMPUTED_VALUE"""),0.0)</f>
        <v>0</v>
      </c>
      <c r="I85" s="1">
        <f>IFERROR(__xludf.DUMMYFUNCTION("""COMPUTED_VALUE"""),0.0)</f>
        <v>0</v>
      </c>
      <c r="J85" s="1">
        <f>IFERROR(__xludf.DUMMYFUNCTION("""COMPUTED_VALUE"""),0.0)</f>
        <v>0</v>
      </c>
      <c r="K85" s="1">
        <f>IFERROR(__xludf.DUMMYFUNCTION("""COMPUTED_VALUE"""),0.0)</f>
        <v>0</v>
      </c>
      <c r="L85" s="1">
        <f>IFERROR(__xludf.DUMMYFUNCTION("""COMPUTED_VALUE"""),11.0)</f>
        <v>11</v>
      </c>
      <c r="M85" s="1">
        <f>IFERROR(__xludf.DUMMYFUNCTION("""COMPUTED_VALUE"""),1.0)</f>
        <v>1</v>
      </c>
      <c r="N85" s="1">
        <f>IFERROR(__xludf.DUMMYFUNCTION("""COMPUTED_VALUE"""),1.0)</f>
        <v>1</v>
      </c>
      <c r="O85" s="1">
        <f>IFERROR(__xludf.DUMMYFUNCTION("""COMPUTED_VALUE"""),1.0)</f>
        <v>1</v>
      </c>
      <c r="P85" s="1">
        <f>IFERROR(__xludf.DUMMYFUNCTION("""COMPUTED_VALUE"""),3.0)</f>
        <v>3</v>
      </c>
    </row>
    <row r="86">
      <c r="A86" s="1" t="str">
        <f>IFERROR(__xludf.DUMMYFUNCTION("""COMPUTED_VALUE"""),"Kazakhstan")</f>
        <v>Kazakhstan</v>
      </c>
      <c r="B86" s="1">
        <f>IFERROR(__xludf.DUMMYFUNCTION("""COMPUTED_VALUE"""),7.0)</f>
        <v>7</v>
      </c>
      <c r="C86" s="1">
        <f>IFERROR(__xludf.DUMMYFUNCTION("""COMPUTED_VALUE"""),15.0)</f>
        <v>15</v>
      </c>
      <c r="D86" s="1">
        <f>IFERROR(__xludf.DUMMYFUNCTION("""COMPUTED_VALUE"""),21.0)</f>
        <v>21</v>
      </c>
      <c r="E86" s="1">
        <f>IFERROR(__xludf.DUMMYFUNCTION("""COMPUTED_VALUE"""),36.0)</f>
        <v>36</v>
      </c>
      <c r="F86" s="1">
        <f>IFERROR(__xludf.DUMMYFUNCTION("""COMPUTED_VALUE"""),72.0)</f>
        <v>72</v>
      </c>
      <c r="G86" s="1">
        <f>IFERROR(__xludf.DUMMYFUNCTION("""COMPUTED_VALUE"""),7.0)</f>
        <v>7</v>
      </c>
      <c r="H86" s="1">
        <f>IFERROR(__xludf.DUMMYFUNCTION("""COMPUTED_VALUE"""),1.0)</f>
        <v>1</v>
      </c>
      <c r="I86" s="1">
        <f>IFERROR(__xludf.DUMMYFUNCTION("""COMPUTED_VALUE"""),3.0)</f>
        <v>3</v>
      </c>
      <c r="J86" s="1">
        <f>IFERROR(__xludf.DUMMYFUNCTION("""COMPUTED_VALUE"""),4.0)</f>
        <v>4</v>
      </c>
      <c r="K86" s="1">
        <f>IFERROR(__xludf.DUMMYFUNCTION("""COMPUTED_VALUE"""),8.0)</f>
        <v>8</v>
      </c>
      <c r="L86" s="1">
        <f>IFERROR(__xludf.DUMMYFUNCTION("""COMPUTED_VALUE"""),14.0)</f>
        <v>14</v>
      </c>
      <c r="M86" s="1">
        <f>IFERROR(__xludf.DUMMYFUNCTION("""COMPUTED_VALUE"""),16.0)</f>
        <v>16</v>
      </c>
      <c r="N86" s="1">
        <f>IFERROR(__xludf.DUMMYFUNCTION("""COMPUTED_VALUE"""),24.0)</f>
        <v>24</v>
      </c>
      <c r="O86" s="1">
        <f>IFERROR(__xludf.DUMMYFUNCTION("""COMPUTED_VALUE"""),40.0)</f>
        <v>40</v>
      </c>
      <c r="P86" s="1">
        <f>IFERROR(__xludf.DUMMYFUNCTION("""COMPUTED_VALUE"""),80.0)</f>
        <v>80</v>
      </c>
    </row>
    <row r="87">
      <c r="A87" s="1" t="str">
        <f>IFERROR(__xludf.DUMMYFUNCTION("""COMPUTED_VALUE"""),"Kenya")</f>
        <v>Kenya</v>
      </c>
      <c r="B87" s="1">
        <f>IFERROR(__xludf.DUMMYFUNCTION("""COMPUTED_VALUE"""),15.0)</f>
        <v>15</v>
      </c>
      <c r="C87" s="1">
        <f>IFERROR(__xludf.DUMMYFUNCTION("""COMPUTED_VALUE"""),35.0)</f>
        <v>35</v>
      </c>
      <c r="D87" s="1">
        <f>IFERROR(__xludf.DUMMYFUNCTION("""COMPUTED_VALUE"""),42.0)</f>
        <v>42</v>
      </c>
      <c r="E87" s="1">
        <f>IFERROR(__xludf.DUMMYFUNCTION("""COMPUTED_VALUE"""),36.0)</f>
        <v>36</v>
      </c>
      <c r="F87" s="1">
        <f>IFERROR(__xludf.DUMMYFUNCTION("""COMPUTED_VALUE"""),113.0)</f>
        <v>113</v>
      </c>
      <c r="G87" s="1">
        <f>IFERROR(__xludf.DUMMYFUNCTION("""COMPUTED_VALUE"""),4.0)</f>
        <v>4</v>
      </c>
      <c r="H87" s="1">
        <f>IFERROR(__xludf.DUMMYFUNCTION("""COMPUTED_VALUE"""),0.0)</f>
        <v>0</v>
      </c>
      <c r="I87" s="1">
        <f>IFERROR(__xludf.DUMMYFUNCTION("""COMPUTED_VALUE"""),0.0)</f>
        <v>0</v>
      </c>
      <c r="J87" s="1">
        <f>IFERROR(__xludf.DUMMYFUNCTION("""COMPUTED_VALUE"""),0.0)</f>
        <v>0</v>
      </c>
      <c r="K87" s="1">
        <f>IFERROR(__xludf.DUMMYFUNCTION("""COMPUTED_VALUE"""),0.0)</f>
        <v>0</v>
      </c>
      <c r="L87" s="1">
        <f>IFERROR(__xludf.DUMMYFUNCTION("""COMPUTED_VALUE"""),19.0)</f>
        <v>19</v>
      </c>
      <c r="M87" s="1">
        <f>IFERROR(__xludf.DUMMYFUNCTION("""COMPUTED_VALUE"""),35.0)</f>
        <v>35</v>
      </c>
      <c r="N87" s="1">
        <f>IFERROR(__xludf.DUMMYFUNCTION("""COMPUTED_VALUE"""),42.0)</f>
        <v>42</v>
      </c>
      <c r="O87" s="1">
        <f>IFERROR(__xludf.DUMMYFUNCTION("""COMPUTED_VALUE"""),36.0)</f>
        <v>36</v>
      </c>
      <c r="P87" s="1">
        <f>IFERROR(__xludf.DUMMYFUNCTION("""COMPUTED_VALUE"""),113.0)</f>
        <v>113</v>
      </c>
    </row>
    <row r="88">
      <c r="A88" s="1" t="str">
        <f>IFERROR(__xludf.DUMMYFUNCTION("""COMPUTED_VALUE"""),"Kosovo")</f>
        <v>Kosovo</v>
      </c>
      <c r="B88" s="1">
        <f>IFERROR(__xludf.DUMMYFUNCTION("""COMPUTED_VALUE"""),3.0)</f>
        <v>3</v>
      </c>
      <c r="C88" s="1">
        <f>IFERROR(__xludf.DUMMYFUNCTION("""COMPUTED_VALUE"""),3.0)</f>
        <v>3</v>
      </c>
      <c r="D88" s="1">
        <f>IFERROR(__xludf.DUMMYFUNCTION("""COMPUTED_VALUE"""),1.0)</f>
        <v>1</v>
      </c>
      <c r="E88" s="1">
        <f>IFERROR(__xludf.DUMMYFUNCTION("""COMPUTED_VALUE"""),1.0)</f>
        <v>1</v>
      </c>
      <c r="F88" s="1">
        <f>IFERROR(__xludf.DUMMYFUNCTION("""COMPUTED_VALUE"""),5.0)</f>
        <v>5</v>
      </c>
      <c r="G88" s="1">
        <f>IFERROR(__xludf.DUMMYFUNCTION("""COMPUTED_VALUE"""),1.0)</f>
        <v>1</v>
      </c>
      <c r="H88" s="1">
        <f>IFERROR(__xludf.DUMMYFUNCTION("""COMPUTED_VALUE"""),0.0)</f>
        <v>0</v>
      </c>
      <c r="I88" s="1">
        <f>IFERROR(__xludf.DUMMYFUNCTION("""COMPUTED_VALUE"""),0.0)</f>
        <v>0</v>
      </c>
      <c r="J88" s="1">
        <f>IFERROR(__xludf.DUMMYFUNCTION("""COMPUTED_VALUE"""),0.0)</f>
        <v>0</v>
      </c>
      <c r="K88" s="1">
        <f>IFERROR(__xludf.DUMMYFUNCTION("""COMPUTED_VALUE"""),0.0)</f>
        <v>0</v>
      </c>
      <c r="L88" s="1">
        <f>IFERROR(__xludf.DUMMYFUNCTION("""COMPUTED_VALUE"""),4.0)</f>
        <v>4</v>
      </c>
      <c r="M88" s="1">
        <f>IFERROR(__xludf.DUMMYFUNCTION("""COMPUTED_VALUE"""),3.0)</f>
        <v>3</v>
      </c>
      <c r="N88" s="1">
        <f>IFERROR(__xludf.DUMMYFUNCTION("""COMPUTED_VALUE"""),1.0)</f>
        <v>1</v>
      </c>
      <c r="O88" s="1">
        <f>IFERROR(__xludf.DUMMYFUNCTION("""COMPUTED_VALUE"""),1.0)</f>
        <v>1</v>
      </c>
      <c r="P88" s="1">
        <f>IFERROR(__xludf.DUMMYFUNCTION("""COMPUTED_VALUE"""),5.0)</f>
        <v>5</v>
      </c>
    </row>
    <row r="89">
      <c r="A89" s="1" t="str">
        <f>IFERROR(__xludf.DUMMYFUNCTION("""COMPUTED_VALUE"""),"Koweït")</f>
        <v>Koweït</v>
      </c>
      <c r="B89" s="1">
        <f>IFERROR(__xludf.DUMMYFUNCTION("""COMPUTED_VALUE"""),13.0)</f>
        <v>13</v>
      </c>
      <c r="C89" s="1">
        <f>IFERROR(__xludf.DUMMYFUNCTION("""COMPUTED_VALUE"""),0.0)</f>
        <v>0</v>
      </c>
      <c r="D89" s="1">
        <f>IFERROR(__xludf.DUMMYFUNCTION("""COMPUTED_VALUE"""),0.0)</f>
        <v>0</v>
      </c>
      <c r="E89" s="1">
        <f>IFERROR(__xludf.DUMMYFUNCTION("""COMPUTED_VALUE"""),3.0)</f>
        <v>3</v>
      </c>
      <c r="F89" s="1">
        <f>IFERROR(__xludf.DUMMYFUNCTION("""COMPUTED_VALUE"""),3.0)</f>
        <v>3</v>
      </c>
      <c r="G89" s="1">
        <f>IFERROR(__xludf.DUMMYFUNCTION("""COMPUTED_VALUE"""),0.0)</f>
        <v>0</v>
      </c>
      <c r="H89" s="1">
        <f>IFERROR(__xludf.DUMMYFUNCTION("""COMPUTED_VALUE"""),0.0)</f>
        <v>0</v>
      </c>
      <c r="I89" s="1">
        <f>IFERROR(__xludf.DUMMYFUNCTION("""COMPUTED_VALUE"""),0.0)</f>
        <v>0</v>
      </c>
      <c r="J89" s="1">
        <f>IFERROR(__xludf.DUMMYFUNCTION("""COMPUTED_VALUE"""),0.0)</f>
        <v>0</v>
      </c>
      <c r="K89" s="1">
        <f>IFERROR(__xludf.DUMMYFUNCTION("""COMPUTED_VALUE"""),0.0)</f>
        <v>0</v>
      </c>
      <c r="L89" s="1">
        <f>IFERROR(__xludf.DUMMYFUNCTION("""COMPUTED_VALUE"""),13.0)</f>
        <v>13</v>
      </c>
      <c r="M89" s="1">
        <f>IFERROR(__xludf.DUMMYFUNCTION("""COMPUTED_VALUE"""),0.0)</f>
        <v>0</v>
      </c>
      <c r="N89" s="1">
        <f>IFERROR(__xludf.DUMMYFUNCTION("""COMPUTED_VALUE"""),0.0)</f>
        <v>0</v>
      </c>
      <c r="O89" s="1">
        <f>IFERROR(__xludf.DUMMYFUNCTION("""COMPUTED_VALUE"""),3.0)</f>
        <v>3</v>
      </c>
      <c r="P89" s="1">
        <f>IFERROR(__xludf.DUMMYFUNCTION("""COMPUTED_VALUE"""),3.0)</f>
        <v>3</v>
      </c>
    </row>
    <row r="90">
      <c r="A90" s="1" t="str">
        <f>IFERROR(__xludf.DUMMYFUNCTION("""COMPUTED_VALUE"""),"Kirghizistan")</f>
        <v>Kirghizistan</v>
      </c>
      <c r="B90" s="1">
        <f>IFERROR(__xludf.DUMMYFUNCTION("""COMPUTED_VALUE"""),7.0)</f>
        <v>7</v>
      </c>
      <c r="C90" s="1">
        <f>IFERROR(__xludf.DUMMYFUNCTION("""COMPUTED_VALUE"""),0.0)</f>
        <v>0</v>
      </c>
      <c r="D90" s="1">
        <f>IFERROR(__xludf.DUMMYFUNCTION("""COMPUTED_VALUE"""),3.0)</f>
        <v>3</v>
      </c>
      <c r="E90" s="1">
        <f>IFERROR(__xludf.DUMMYFUNCTION("""COMPUTED_VALUE"""),4.0)</f>
        <v>4</v>
      </c>
      <c r="F90" s="1">
        <f>IFERROR(__xludf.DUMMYFUNCTION("""COMPUTED_VALUE"""),7.0)</f>
        <v>7</v>
      </c>
      <c r="G90" s="1">
        <f>IFERROR(__xludf.DUMMYFUNCTION("""COMPUTED_VALUE"""),7.0)</f>
        <v>7</v>
      </c>
      <c r="H90" s="1">
        <f>IFERROR(__xludf.DUMMYFUNCTION("""COMPUTED_VALUE"""),0.0)</f>
        <v>0</v>
      </c>
      <c r="I90" s="1">
        <f>IFERROR(__xludf.DUMMYFUNCTION("""COMPUTED_VALUE"""),0.0)</f>
        <v>0</v>
      </c>
      <c r="J90" s="1">
        <f>IFERROR(__xludf.DUMMYFUNCTION("""COMPUTED_VALUE"""),0.0)</f>
        <v>0</v>
      </c>
      <c r="K90" s="1">
        <f>IFERROR(__xludf.DUMMYFUNCTION("""COMPUTED_VALUE"""),0.0)</f>
        <v>0</v>
      </c>
      <c r="L90" s="1">
        <f>IFERROR(__xludf.DUMMYFUNCTION("""COMPUTED_VALUE"""),13.0)</f>
        <v>13</v>
      </c>
      <c r="M90" s="1">
        <f>IFERROR(__xludf.DUMMYFUNCTION("""COMPUTED_VALUE"""),0.0)</f>
        <v>0</v>
      </c>
      <c r="N90" s="1">
        <f>IFERROR(__xludf.DUMMYFUNCTION("""COMPUTED_VALUE"""),3.0)</f>
        <v>3</v>
      </c>
      <c r="O90" s="1">
        <f>IFERROR(__xludf.DUMMYFUNCTION("""COMPUTED_VALUE"""),4.0)</f>
        <v>4</v>
      </c>
      <c r="P90" s="1">
        <f>IFERROR(__xludf.DUMMYFUNCTION("""COMPUTED_VALUE"""),7.0)</f>
        <v>7</v>
      </c>
    </row>
    <row r="91">
      <c r="A91" s="1" t="str">
        <f>IFERROR(__xludf.DUMMYFUNCTION("""COMPUTED_VALUE"""),"Lettonie")</f>
        <v>Lettonie</v>
      </c>
      <c r="B91" s="1">
        <f>IFERROR(__xludf.DUMMYFUNCTION("""COMPUTED_VALUE"""),12.0)</f>
        <v>12</v>
      </c>
      <c r="C91" s="1">
        <f>IFERROR(__xludf.DUMMYFUNCTION("""COMPUTED_VALUE"""),4.0)</f>
        <v>4</v>
      </c>
      <c r="D91" s="1">
        <f>IFERROR(__xludf.DUMMYFUNCTION("""COMPUTED_VALUE"""),11.0)</f>
        <v>11</v>
      </c>
      <c r="E91" s="1">
        <f>IFERROR(__xludf.DUMMYFUNCTION("""COMPUTED_VALUE"""),6.0)</f>
        <v>6</v>
      </c>
      <c r="F91" s="1">
        <f>IFERROR(__xludf.DUMMYFUNCTION("""COMPUTED_VALUE"""),21.0)</f>
        <v>21</v>
      </c>
      <c r="G91" s="1">
        <f>IFERROR(__xludf.DUMMYFUNCTION("""COMPUTED_VALUE"""),11.0)</f>
        <v>11</v>
      </c>
      <c r="H91" s="1">
        <f>IFERROR(__xludf.DUMMYFUNCTION("""COMPUTED_VALUE"""),1.0)</f>
        <v>1</v>
      </c>
      <c r="I91" s="1">
        <f>IFERROR(__xludf.DUMMYFUNCTION("""COMPUTED_VALUE"""),3.0)</f>
        <v>3</v>
      </c>
      <c r="J91" s="1">
        <f>IFERROR(__xludf.DUMMYFUNCTION("""COMPUTED_VALUE"""),5.0)</f>
        <v>5</v>
      </c>
      <c r="K91" s="1">
        <f>IFERROR(__xludf.DUMMYFUNCTION("""COMPUTED_VALUE"""),9.0)</f>
        <v>9</v>
      </c>
      <c r="L91" s="1">
        <f>IFERROR(__xludf.DUMMYFUNCTION("""COMPUTED_VALUE"""),23.0)</f>
        <v>23</v>
      </c>
      <c r="M91" s="1">
        <f>IFERROR(__xludf.DUMMYFUNCTION("""COMPUTED_VALUE"""),5.0)</f>
        <v>5</v>
      </c>
      <c r="N91" s="1">
        <f>IFERROR(__xludf.DUMMYFUNCTION("""COMPUTED_VALUE"""),14.0)</f>
        <v>14</v>
      </c>
      <c r="O91" s="1">
        <f>IFERROR(__xludf.DUMMYFUNCTION("""COMPUTED_VALUE"""),11.0)</f>
        <v>11</v>
      </c>
      <c r="P91" s="1">
        <f>IFERROR(__xludf.DUMMYFUNCTION("""COMPUTED_VALUE"""),30.0)</f>
        <v>30</v>
      </c>
    </row>
    <row r="92">
      <c r="A92" s="1" t="str">
        <f>IFERROR(__xludf.DUMMYFUNCTION("""COMPUTED_VALUE"""),"Liban")</f>
        <v>Liban</v>
      </c>
      <c r="B92" s="1">
        <f>IFERROR(__xludf.DUMMYFUNCTION("""COMPUTED_VALUE"""),18.0)</f>
        <v>18</v>
      </c>
      <c r="C92" s="1">
        <f>IFERROR(__xludf.DUMMYFUNCTION("""COMPUTED_VALUE"""),0.0)</f>
        <v>0</v>
      </c>
      <c r="D92" s="1">
        <f>IFERROR(__xludf.DUMMYFUNCTION("""COMPUTED_VALUE"""),2.0)</f>
        <v>2</v>
      </c>
      <c r="E92" s="1">
        <f>IFERROR(__xludf.DUMMYFUNCTION("""COMPUTED_VALUE"""),2.0)</f>
        <v>2</v>
      </c>
      <c r="F92" s="1">
        <f>IFERROR(__xludf.DUMMYFUNCTION("""COMPUTED_VALUE"""),4.0)</f>
        <v>4</v>
      </c>
      <c r="G92" s="1">
        <f>IFERROR(__xludf.DUMMYFUNCTION("""COMPUTED_VALUE"""),17.0)</f>
        <v>17</v>
      </c>
      <c r="H92" s="1">
        <f>IFERROR(__xludf.DUMMYFUNCTION("""COMPUTED_VALUE"""),0.0)</f>
        <v>0</v>
      </c>
      <c r="I92" s="1">
        <f>IFERROR(__xludf.DUMMYFUNCTION("""COMPUTED_VALUE"""),0.0)</f>
        <v>0</v>
      </c>
      <c r="J92" s="1">
        <f>IFERROR(__xludf.DUMMYFUNCTION("""COMPUTED_VALUE"""),0.0)</f>
        <v>0</v>
      </c>
      <c r="K92" s="1">
        <f>IFERROR(__xludf.DUMMYFUNCTION("""COMPUTED_VALUE"""),0.0)</f>
        <v>0</v>
      </c>
      <c r="L92" s="1">
        <f>IFERROR(__xludf.DUMMYFUNCTION("""COMPUTED_VALUE"""),35.0)</f>
        <v>35</v>
      </c>
      <c r="M92" s="1">
        <f>IFERROR(__xludf.DUMMYFUNCTION("""COMPUTED_VALUE"""),0.0)</f>
        <v>0</v>
      </c>
      <c r="N92" s="1">
        <f>IFERROR(__xludf.DUMMYFUNCTION("""COMPUTED_VALUE"""),2.0)</f>
        <v>2</v>
      </c>
      <c r="O92" s="1">
        <f>IFERROR(__xludf.DUMMYFUNCTION("""COMPUTED_VALUE"""),2.0)</f>
        <v>2</v>
      </c>
      <c r="P92" s="1">
        <f>IFERROR(__xludf.DUMMYFUNCTION("""COMPUTED_VALUE"""),4.0)</f>
        <v>4</v>
      </c>
    </row>
    <row r="93">
      <c r="A93" s="1" t="str">
        <f>IFERROR(__xludf.DUMMYFUNCTION("""COMPUTED_VALUE"""),"Liechtenstein")</f>
        <v>Liechtenstein</v>
      </c>
      <c r="B93" s="1">
        <f>IFERROR(__xludf.DUMMYFUNCTION("""COMPUTED_VALUE"""),18.0)</f>
        <v>18</v>
      </c>
      <c r="C93" s="1">
        <f>IFERROR(__xludf.DUMMYFUNCTION("""COMPUTED_VALUE"""),0.0)</f>
        <v>0</v>
      </c>
      <c r="D93" s="1">
        <f>IFERROR(__xludf.DUMMYFUNCTION("""COMPUTED_VALUE"""),0.0)</f>
        <v>0</v>
      </c>
      <c r="E93" s="1">
        <f>IFERROR(__xludf.DUMMYFUNCTION("""COMPUTED_VALUE"""),0.0)</f>
        <v>0</v>
      </c>
      <c r="F93" s="1">
        <f>IFERROR(__xludf.DUMMYFUNCTION("""COMPUTED_VALUE"""),0.0)</f>
        <v>0</v>
      </c>
      <c r="G93" s="1">
        <f>IFERROR(__xludf.DUMMYFUNCTION("""COMPUTED_VALUE"""),19.0)</f>
        <v>19</v>
      </c>
      <c r="H93" s="1">
        <f>IFERROR(__xludf.DUMMYFUNCTION("""COMPUTED_VALUE"""),2.0)</f>
        <v>2</v>
      </c>
      <c r="I93" s="1">
        <f>IFERROR(__xludf.DUMMYFUNCTION("""COMPUTED_VALUE"""),2.0)</f>
        <v>2</v>
      </c>
      <c r="J93" s="1">
        <f>IFERROR(__xludf.DUMMYFUNCTION("""COMPUTED_VALUE"""),6.0)</f>
        <v>6</v>
      </c>
      <c r="K93" s="1">
        <f>IFERROR(__xludf.DUMMYFUNCTION("""COMPUTED_VALUE"""),10.0)</f>
        <v>10</v>
      </c>
      <c r="L93" s="1">
        <f>IFERROR(__xludf.DUMMYFUNCTION("""COMPUTED_VALUE"""),37.0)</f>
        <v>37</v>
      </c>
      <c r="M93" s="1">
        <f>IFERROR(__xludf.DUMMYFUNCTION("""COMPUTED_VALUE"""),2.0)</f>
        <v>2</v>
      </c>
      <c r="N93" s="1">
        <f>IFERROR(__xludf.DUMMYFUNCTION("""COMPUTED_VALUE"""),2.0)</f>
        <v>2</v>
      </c>
      <c r="O93" s="1">
        <f>IFERROR(__xludf.DUMMYFUNCTION("""COMPUTED_VALUE"""),6.0)</f>
        <v>6</v>
      </c>
      <c r="P93" s="1">
        <f>IFERROR(__xludf.DUMMYFUNCTION("""COMPUTED_VALUE"""),10.0)</f>
        <v>10</v>
      </c>
    </row>
    <row r="94">
      <c r="A94" s="1" t="str">
        <f>IFERROR(__xludf.DUMMYFUNCTION("""COMPUTED_VALUE"""),"Lituanie")</f>
        <v>Lituanie</v>
      </c>
      <c r="B94" s="1">
        <f>IFERROR(__xludf.DUMMYFUNCTION("""COMPUTED_VALUE"""),10.0)</f>
        <v>10</v>
      </c>
      <c r="C94" s="1">
        <f>IFERROR(__xludf.DUMMYFUNCTION("""COMPUTED_VALUE"""),6.0)</f>
        <v>6</v>
      </c>
      <c r="D94" s="1">
        <f>IFERROR(__xludf.DUMMYFUNCTION("""COMPUTED_VALUE"""),7.0)</f>
        <v>7</v>
      </c>
      <c r="E94" s="1">
        <f>IFERROR(__xludf.DUMMYFUNCTION("""COMPUTED_VALUE"""),13.0)</f>
        <v>13</v>
      </c>
      <c r="F94" s="1">
        <f>IFERROR(__xludf.DUMMYFUNCTION("""COMPUTED_VALUE"""),26.0)</f>
        <v>26</v>
      </c>
      <c r="G94" s="1">
        <f>IFERROR(__xludf.DUMMYFUNCTION("""COMPUTED_VALUE"""),9.0)</f>
        <v>9</v>
      </c>
      <c r="H94" s="1">
        <f>IFERROR(__xludf.DUMMYFUNCTION("""COMPUTED_VALUE"""),0.0)</f>
        <v>0</v>
      </c>
      <c r="I94" s="1">
        <f>IFERROR(__xludf.DUMMYFUNCTION("""COMPUTED_VALUE"""),0.0)</f>
        <v>0</v>
      </c>
      <c r="J94" s="1">
        <f>IFERROR(__xludf.DUMMYFUNCTION("""COMPUTED_VALUE"""),0.0)</f>
        <v>0</v>
      </c>
      <c r="K94" s="1">
        <f>IFERROR(__xludf.DUMMYFUNCTION("""COMPUTED_VALUE"""),0.0)</f>
        <v>0</v>
      </c>
      <c r="L94" s="1">
        <f>IFERROR(__xludf.DUMMYFUNCTION("""COMPUTED_VALUE"""),19.0)</f>
        <v>19</v>
      </c>
      <c r="M94" s="1">
        <f>IFERROR(__xludf.DUMMYFUNCTION("""COMPUTED_VALUE"""),6.0)</f>
        <v>6</v>
      </c>
      <c r="N94" s="1">
        <f>IFERROR(__xludf.DUMMYFUNCTION("""COMPUTED_VALUE"""),7.0)</f>
        <v>7</v>
      </c>
      <c r="O94" s="1">
        <f>IFERROR(__xludf.DUMMYFUNCTION("""COMPUTED_VALUE"""),13.0)</f>
        <v>13</v>
      </c>
      <c r="P94" s="1">
        <f>IFERROR(__xludf.DUMMYFUNCTION("""COMPUTED_VALUE"""),26.0)</f>
        <v>26</v>
      </c>
    </row>
    <row r="95">
      <c r="A95" s="1" t="str">
        <f>IFERROR(__xludf.DUMMYFUNCTION("""COMPUTED_VALUE"""),"Luxembourg[19]")</f>
        <v>Luxembourg[19]</v>
      </c>
      <c r="B95" s="1">
        <f>IFERROR(__xludf.DUMMYFUNCTION("""COMPUTED_VALUE"""),24.0)</f>
        <v>24</v>
      </c>
      <c r="C95" s="1">
        <f>IFERROR(__xludf.DUMMYFUNCTION("""COMPUTED_VALUE"""),1.0)</f>
        <v>1</v>
      </c>
      <c r="D95" s="1">
        <f>IFERROR(__xludf.DUMMYFUNCTION("""COMPUTED_VALUE"""),1.0)</f>
        <v>1</v>
      </c>
      <c r="E95" s="1">
        <f>IFERROR(__xludf.DUMMYFUNCTION("""COMPUTED_VALUE"""),0.0)</f>
        <v>0</v>
      </c>
      <c r="F95" s="1">
        <f>IFERROR(__xludf.DUMMYFUNCTION("""COMPUTED_VALUE"""),2.0)</f>
        <v>2</v>
      </c>
      <c r="G95" s="1">
        <f>IFERROR(__xludf.DUMMYFUNCTION("""COMPUTED_VALUE"""),9.0)</f>
        <v>9</v>
      </c>
      <c r="H95" s="1">
        <f>IFERROR(__xludf.DUMMYFUNCTION("""COMPUTED_VALUE"""),0.0)</f>
        <v>0</v>
      </c>
      <c r="I95" s="1">
        <f>IFERROR(__xludf.DUMMYFUNCTION("""COMPUTED_VALUE"""),2.0)</f>
        <v>2</v>
      </c>
      <c r="J95" s="1">
        <f>IFERROR(__xludf.DUMMYFUNCTION("""COMPUTED_VALUE"""),0.0)</f>
        <v>0</v>
      </c>
      <c r="K95" s="1">
        <f>IFERROR(__xludf.DUMMYFUNCTION("""COMPUTED_VALUE"""),2.0)</f>
        <v>2</v>
      </c>
      <c r="L95" s="1">
        <f>IFERROR(__xludf.DUMMYFUNCTION("""COMPUTED_VALUE"""),33.0)</f>
        <v>33</v>
      </c>
      <c r="M95" s="1">
        <f>IFERROR(__xludf.DUMMYFUNCTION("""COMPUTED_VALUE"""),1.0)</f>
        <v>1</v>
      </c>
      <c r="N95" s="1">
        <f>IFERROR(__xludf.DUMMYFUNCTION("""COMPUTED_VALUE"""),3.0)</f>
        <v>3</v>
      </c>
      <c r="O95" s="1">
        <f>IFERROR(__xludf.DUMMYFUNCTION("""COMPUTED_VALUE"""),0.0)</f>
        <v>0</v>
      </c>
      <c r="P95" s="1">
        <f>IFERROR(__xludf.DUMMYFUNCTION("""COMPUTED_VALUE"""),4.0)</f>
        <v>4</v>
      </c>
    </row>
    <row r="96">
      <c r="A96" s="1" t="str">
        <f>IFERROR(__xludf.DUMMYFUNCTION("""COMPUTED_VALUE"""),"Macédoine du Nord")</f>
        <v>Macédoine du Nord</v>
      </c>
      <c r="B96" s="1">
        <f>IFERROR(__xludf.DUMMYFUNCTION("""COMPUTED_VALUE"""),7.0)</f>
        <v>7</v>
      </c>
      <c r="C96" s="1">
        <f>IFERROR(__xludf.DUMMYFUNCTION("""COMPUTED_VALUE"""),0.0)</f>
        <v>0</v>
      </c>
      <c r="D96" s="1">
        <f>IFERROR(__xludf.DUMMYFUNCTION("""COMPUTED_VALUE"""),1.0)</f>
        <v>1</v>
      </c>
      <c r="E96" s="1">
        <f>IFERROR(__xludf.DUMMYFUNCTION("""COMPUTED_VALUE"""),1.0)</f>
        <v>1</v>
      </c>
      <c r="F96" s="1">
        <f>IFERROR(__xludf.DUMMYFUNCTION("""COMPUTED_VALUE"""),2.0)</f>
        <v>2</v>
      </c>
      <c r="G96" s="1">
        <f>IFERROR(__xludf.DUMMYFUNCTION("""COMPUTED_VALUE"""),6.0)</f>
        <v>6</v>
      </c>
      <c r="H96" s="1">
        <f>IFERROR(__xludf.DUMMYFUNCTION("""COMPUTED_VALUE"""),0.0)</f>
        <v>0</v>
      </c>
      <c r="I96" s="1">
        <f>IFERROR(__xludf.DUMMYFUNCTION("""COMPUTED_VALUE"""),0.0)</f>
        <v>0</v>
      </c>
      <c r="J96" s="1">
        <f>IFERROR(__xludf.DUMMYFUNCTION("""COMPUTED_VALUE"""),0.0)</f>
        <v>0</v>
      </c>
      <c r="K96" s="1">
        <f>IFERROR(__xludf.DUMMYFUNCTION("""COMPUTED_VALUE"""),0.0)</f>
        <v>0</v>
      </c>
      <c r="L96" s="1">
        <f>IFERROR(__xludf.DUMMYFUNCTION("""COMPUTED_VALUE"""),13.0)</f>
        <v>13</v>
      </c>
      <c r="M96" s="1">
        <f>IFERROR(__xludf.DUMMYFUNCTION("""COMPUTED_VALUE"""),0.0)</f>
        <v>0</v>
      </c>
      <c r="N96" s="1">
        <f>IFERROR(__xludf.DUMMYFUNCTION("""COMPUTED_VALUE"""),1.0)</f>
        <v>1</v>
      </c>
      <c r="O96" s="1">
        <f>IFERROR(__xludf.DUMMYFUNCTION("""COMPUTED_VALUE"""),1.0)</f>
        <v>1</v>
      </c>
      <c r="P96" s="1">
        <f>IFERROR(__xludf.DUMMYFUNCTION("""COMPUTED_VALUE"""),2.0)</f>
        <v>2</v>
      </c>
    </row>
    <row r="97">
      <c r="A97" s="1" t="str">
        <f>IFERROR(__xludf.DUMMYFUNCTION("""COMPUTED_VALUE"""),"Maroc")</f>
        <v>Maroc</v>
      </c>
      <c r="B97" s="1">
        <f>IFERROR(__xludf.DUMMYFUNCTION("""COMPUTED_VALUE"""),15.0)</f>
        <v>15</v>
      </c>
      <c r="C97" s="1">
        <f>IFERROR(__xludf.DUMMYFUNCTION("""COMPUTED_VALUE"""),8.0)</f>
        <v>8</v>
      </c>
      <c r="D97" s="1">
        <f>IFERROR(__xludf.DUMMYFUNCTION("""COMPUTED_VALUE"""),5.0)</f>
        <v>5</v>
      </c>
      <c r="E97" s="1">
        <f>IFERROR(__xludf.DUMMYFUNCTION("""COMPUTED_VALUE"""),13.0)</f>
        <v>13</v>
      </c>
      <c r="F97" s="1">
        <f>IFERROR(__xludf.DUMMYFUNCTION("""COMPUTED_VALUE"""),26.0)</f>
        <v>26</v>
      </c>
      <c r="G97" s="1">
        <f>IFERROR(__xludf.DUMMYFUNCTION("""COMPUTED_VALUE"""),7.0)</f>
        <v>7</v>
      </c>
      <c r="H97" s="1">
        <f>IFERROR(__xludf.DUMMYFUNCTION("""COMPUTED_VALUE"""),0.0)</f>
        <v>0</v>
      </c>
      <c r="I97" s="1">
        <f>IFERROR(__xludf.DUMMYFUNCTION("""COMPUTED_VALUE"""),0.0)</f>
        <v>0</v>
      </c>
      <c r="J97" s="1">
        <f>IFERROR(__xludf.DUMMYFUNCTION("""COMPUTED_VALUE"""),0.0)</f>
        <v>0</v>
      </c>
      <c r="K97" s="1">
        <f>IFERROR(__xludf.DUMMYFUNCTION("""COMPUTED_VALUE"""),0.0)</f>
        <v>0</v>
      </c>
      <c r="L97" s="1">
        <f>IFERROR(__xludf.DUMMYFUNCTION("""COMPUTED_VALUE"""),22.0)</f>
        <v>22</v>
      </c>
      <c r="M97" s="1">
        <f>IFERROR(__xludf.DUMMYFUNCTION("""COMPUTED_VALUE"""),8.0)</f>
        <v>8</v>
      </c>
      <c r="N97" s="1">
        <f>IFERROR(__xludf.DUMMYFUNCTION("""COMPUTED_VALUE"""),5.0)</f>
        <v>5</v>
      </c>
      <c r="O97" s="1">
        <f>IFERROR(__xludf.DUMMYFUNCTION("""COMPUTED_VALUE"""),13.0)</f>
        <v>13</v>
      </c>
      <c r="P97" s="1">
        <f>IFERROR(__xludf.DUMMYFUNCTION("""COMPUTED_VALUE"""),26.0)</f>
        <v>26</v>
      </c>
    </row>
    <row r="98">
      <c r="A98" s="1" t="str">
        <f>IFERROR(__xludf.DUMMYFUNCTION("""COMPUTED_VALUE"""),"Malaisie")</f>
        <v>Malaisie</v>
      </c>
      <c r="B98" s="1">
        <f>IFERROR(__xludf.DUMMYFUNCTION("""COMPUTED_VALUE"""),14.0)</f>
        <v>14</v>
      </c>
      <c r="C98" s="1">
        <f>IFERROR(__xludf.DUMMYFUNCTION("""COMPUTED_VALUE"""),0.0)</f>
        <v>0</v>
      </c>
      <c r="D98" s="1">
        <f>IFERROR(__xludf.DUMMYFUNCTION("""COMPUTED_VALUE"""),8.0)</f>
        <v>8</v>
      </c>
      <c r="E98" s="1">
        <f>IFERROR(__xludf.DUMMYFUNCTION("""COMPUTED_VALUE"""),5.0)</f>
        <v>5</v>
      </c>
      <c r="F98" s="1">
        <f>IFERROR(__xludf.DUMMYFUNCTION("""COMPUTED_VALUE"""),13.0)</f>
        <v>13</v>
      </c>
      <c r="G98" s="1">
        <f>IFERROR(__xludf.DUMMYFUNCTION("""COMPUTED_VALUE"""),1.0)</f>
        <v>1</v>
      </c>
      <c r="H98" s="1">
        <f>IFERROR(__xludf.DUMMYFUNCTION("""COMPUTED_VALUE"""),0.0)</f>
        <v>0</v>
      </c>
      <c r="I98" s="1">
        <f>IFERROR(__xludf.DUMMYFUNCTION("""COMPUTED_VALUE"""),0.0)</f>
        <v>0</v>
      </c>
      <c r="J98" s="1">
        <f>IFERROR(__xludf.DUMMYFUNCTION("""COMPUTED_VALUE"""),0.0)</f>
        <v>0</v>
      </c>
      <c r="K98" s="1">
        <f>IFERROR(__xludf.DUMMYFUNCTION("""COMPUTED_VALUE"""),0.0)</f>
        <v>0</v>
      </c>
      <c r="L98" s="1">
        <f>IFERROR(__xludf.DUMMYFUNCTION("""COMPUTED_VALUE"""),15.0)</f>
        <v>15</v>
      </c>
      <c r="M98" s="1">
        <f>IFERROR(__xludf.DUMMYFUNCTION("""COMPUTED_VALUE"""),0.0)</f>
        <v>0</v>
      </c>
      <c r="N98" s="1">
        <f>IFERROR(__xludf.DUMMYFUNCTION("""COMPUTED_VALUE"""),8.0)</f>
        <v>8</v>
      </c>
      <c r="O98" s="1">
        <f>IFERROR(__xludf.DUMMYFUNCTION("""COMPUTED_VALUE"""),5.0)</f>
        <v>5</v>
      </c>
      <c r="P98" s="1">
        <f>IFERROR(__xludf.DUMMYFUNCTION("""COMPUTED_VALUE"""),13.0)</f>
        <v>13</v>
      </c>
    </row>
    <row r="99">
      <c r="A99" s="1" t="str">
        <f>IFERROR(__xludf.DUMMYFUNCTION("""COMPUTED_VALUE"""),"Maurice")</f>
        <v>Maurice</v>
      </c>
      <c r="B99" s="1">
        <f>IFERROR(__xludf.DUMMYFUNCTION("""COMPUTED_VALUE"""),10.0)</f>
        <v>10</v>
      </c>
      <c r="C99" s="1">
        <f>IFERROR(__xludf.DUMMYFUNCTION("""COMPUTED_VALUE"""),0.0)</f>
        <v>0</v>
      </c>
      <c r="D99" s="1">
        <f>IFERROR(__xludf.DUMMYFUNCTION("""COMPUTED_VALUE"""),0.0)</f>
        <v>0</v>
      </c>
      <c r="E99" s="1">
        <f>IFERROR(__xludf.DUMMYFUNCTION("""COMPUTED_VALUE"""),1.0)</f>
        <v>1</v>
      </c>
      <c r="F99" s="1">
        <f>IFERROR(__xludf.DUMMYFUNCTION("""COMPUTED_VALUE"""),1.0)</f>
        <v>1</v>
      </c>
      <c r="G99" s="1">
        <f>IFERROR(__xludf.DUMMYFUNCTION("""COMPUTED_VALUE"""),0.0)</f>
        <v>0</v>
      </c>
      <c r="H99" s="1">
        <f>IFERROR(__xludf.DUMMYFUNCTION("""COMPUTED_VALUE"""),0.0)</f>
        <v>0</v>
      </c>
      <c r="I99" s="1">
        <f>IFERROR(__xludf.DUMMYFUNCTION("""COMPUTED_VALUE"""),0.0)</f>
        <v>0</v>
      </c>
      <c r="J99" s="1">
        <f>IFERROR(__xludf.DUMMYFUNCTION("""COMPUTED_VALUE"""),0.0)</f>
        <v>0</v>
      </c>
      <c r="K99" s="1">
        <f>IFERROR(__xludf.DUMMYFUNCTION("""COMPUTED_VALUE"""),0.0)</f>
        <v>0</v>
      </c>
      <c r="L99" s="1">
        <f>IFERROR(__xludf.DUMMYFUNCTION("""COMPUTED_VALUE"""),10.0)</f>
        <v>10</v>
      </c>
      <c r="M99" s="1">
        <f>IFERROR(__xludf.DUMMYFUNCTION("""COMPUTED_VALUE"""),0.0)</f>
        <v>0</v>
      </c>
      <c r="N99" s="1">
        <f>IFERROR(__xludf.DUMMYFUNCTION("""COMPUTED_VALUE"""),0.0)</f>
        <v>0</v>
      </c>
      <c r="O99" s="1">
        <f>IFERROR(__xludf.DUMMYFUNCTION("""COMPUTED_VALUE"""),1.0)</f>
        <v>1</v>
      </c>
      <c r="P99" s="1">
        <f>IFERROR(__xludf.DUMMYFUNCTION("""COMPUTED_VALUE"""),1.0)</f>
        <v>1</v>
      </c>
    </row>
    <row r="100">
      <c r="A100" s="1" t="str">
        <f>IFERROR(__xludf.DUMMYFUNCTION("""COMPUTED_VALUE"""),"Mexique")</f>
        <v>Mexique</v>
      </c>
      <c r="B100" s="1">
        <f>IFERROR(__xludf.DUMMYFUNCTION("""COMPUTED_VALUE"""),24.0)</f>
        <v>24</v>
      </c>
      <c r="C100" s="1">
        <f>IFERROR(__xludf.DUMMYFUNCTION("""COMPUTED_VALUE"""),13.0)</f>
        <v>13</v>
      </c>
      <c r="D100" s="1">
        <f>IFERROR(__xludf.DUMMYFUNCTION("""COMPUTED_VALUE"""),24.0)</f>
        <v>24</v>
      </c>
      <c r="E100" s="1">
        <f>IFERROR(__xludf.DUMMYFUNCTION("""COMPUTED_VALUE"""),36.0)</f>
        <v>36</v>
      </c>
      <c r="F100" s="1">
        <f>IFERROR(__xludf.DUMMYFUNCTION("""COMPUTED_VALUE"""),73.0)</f>
        <v>73</v>
      </c>
      <c r="G100" s="1">
        <f>IFERROR(__xludf.DUMMYFUNCTION("""COMPUTED_VALUE"""),9.0)</f>
        <v>9</v>
      </c>
      <c r="H100" s="1">
        <f>IFERROR(__xludf.DUMMYFUNCTION("""COMPUTED_VALUE"""),0.0)</f>
        <v>0</v>
      </c>
      <c r="I100" s="1">
        <f>IFERROR(__xludf.DUMMYFUNCTION("""COMPUTED_VALUE"""),0.0)</f>
        <v>0</v>
      </c>
      <c r="J100" s="1">
        <f>IFERROR(__xludf.DUMMYFUNCTION("""COMPUTED_VALUE"""),0.0)</f>
        <v>0</v>
      </c>
      <c r="K100" s="1">
        <f>IFERROR(__xludf.DUMMYFUNCTION("""COMPUTED_VALUE"""),0.0)</f>
        <v>0</v>
      </c>
      <c r="L100" s="1">
        <f>IFERROR(__xludf.DUMMYFUNCTION("""COMPUTED_VALUE"""),33.0)</f>
        <v>33</v>
      </c>
      <c r="M100" s="1">
        <f>IFERROR(__xludf.DUMMYFUNCTION("""COMPUTED_VALUE"""),13.0)</f>
        <v>13</v>
      </c>
      <c r="N100" s="1">
        <f>IFERROR(__xludf.DUMMYFUNCTION("""COMPUTED_VALUE"""),24.0)</f>
        <v>24</v>
      </c>
      <c r="O100" s="1">
        <f>IFERROR(__xludf.DUMMYFUNCTION("""COMPUTED_VALUE"""),36.0)</f>
        <v>36</v>
      </c>
      <c r="P100" s="1">
        <f>IFERROR(__xludf.DUMMYFUNCTION("""COMPUTED_VALUE"""),73.0)</f>
        <v>73</v>
      </c>
    </row>
    <row r="101">
      <c r="A101" s="1" t="str">
        <f>IFERROR(__xludf.DUMMYFUNCTION("""COMPUTED_VALUE"""),"Moldavie")</f>
        <v>Moldavie</v>
      </c>
      <c r="B101" s="1">
        <f>IFERROR(__xludf.DUMMYFUNCTION("""COMPUTED_VALUE"""),7.0)</f>
        <v>7</v>
      </c>
      <c r="C101" s="1">
        <f>IFERROR(__xludf.DUMMYFUNCTION("""COMPUTED_VALUE"""),0.0)</f>
        <v>0</v>
      </c>
      <c r="D101" s="1">
        <f>IFERROR(__xludf.DUMMYFUNCTION("""COMPUTED_VALUE"""),2.0)</f>
        <v>2</v>
      </c>
      <c r="E101" s="1">
        <f>IFERROR(__xludf.DUMMYFUNCTION("""COMPUTED_VALUE"""),4.0)</f>
        <v>4</v>
      </c>
      <c r="F101" s="1">
        <f>IFERROR(__xludf.DUMMYFUNCTION("""COMPUTED_VALUE"""),6.0)</f>
        <v>6</v>
      </c>
      <c r="G101" s="1">
        <f>IFERROR(__xludf.DUMMYFUNCTION("""COMPUTED_VALUE"""),7.0)</f>
        <v>7</v>
      </c>
      <c r="H101" s="1">
        <f>IFERROR(__xludf.DUMMYFUNCTION("""COMPUTED_VALUE"""),0.0)</f>
        <v>0</v>
      </c>
      <c r="I101" s="1">
        <f>IFERROR(__xludf.DUMMYFUNCTION("""COMPUTED_VALUE"""),0.0)</f>
        <v>0</v>
      </c>
      <c r="J101" s="1">
        <f>IFERROR(__xludf.DUMMYFUNCTION("""COMPUTED_VALUE"""),0.0)</f>
        <v>0</v>
      </c>
      <c r="K101" s="1">
        <f>IFERROR(__xludf.DUMMYFUNCTION("""COMPUTED_VALUE"""),0.0)</f>
        <v>0</v>
      </c>
      <c r="L101" s="1">
        <f>IFERROR(__xludf.DUMMYFUNCTION("""COMPUTED_VALUE"""),14.0)</f>
        <v>14</v>
      </c>
      <c r="M101" s="1">
        <f>IFERROR(__xludf.DUMMYFUNCTION("""COMPUTED_VALUE"""),0.0)</f>
        <v>0</v>
      </c>
      <c r="N101" s="1">
        <f>IFERROR(__xludf.DUMMYFUNCTION("""COMPUTED_VALUE"""),2.0)</f>
        <v>2</v>
      </c>
      <c r="O101" s="1">
        <f>IFERROR(__xludf.DUMMYFUNCTION("""COMPUTED_VALUE"""),4.0)</f>
        <v>4</v>
      </c>
      <c r="P101" s="1">
        <f>IFERROR(__xludf.DUMMYFUNCTION("""COMPUTED_VALUE"""),6.0)</f>
        <v>6</v>
      </c>
    </row>
    <row r="102">
      <c r="A102" s="1" t="str">
        <f>IFERROR(__xludf.DUMMYFUNCTION("""COMPUTED_VALUE"""),"Mongolie")</f>
        <v>Mongolie</v>
      </c>
      <c r="B102" s="1">
        <f>IFERROR(__xludf.DUMMYFUNCTION("""COMPUTED_VALUE"""),14.0)</f>
        <v>14</v>
      </c>
      <c r="C102" s="1">
        <f>IFERROR(__xludf.DUMMYFUNCTION("""COMPUTED_VALUE"""),2.0)</f>
        <v>2</v>
      </c>
      <c r="D102" s="1">
        <f>IFERROR(__xludf.DUMMYFUNCTION("""COMPUTED_VALUE"""),11.0)</f>
        <v>11</v>
      </c>
      <c r="E102" s="1">
        <f>IFERROR(__xludf.DUMMYFUNCTION("""COMPUTED_VALUE"""),17.0)</f>
        <v>17</v>
      </c>
      <c r="F102" s="1">
        <f>IFERROR(__xludf.DUMMYFUNCTION("""COMPUTED_VALUE"""),30.0)</f>
        <v>30</v>
      </c>
      <c r="G102" s="1">
        <f>IFERROR(__xludf.DUMMYFUNCTION("""COMPUTED_VALUE"""),14.0)</f>
        <v>14</v>
      </c>
      <c r="H102" s="1">
        <f>IFERROR(__xludf.DUMMYFUNCTION("""COMPUTED_VALUE"""),0.0)</f>
        <v>0</v>
      </c>
      <c r="I102" s="1">
        <f>IFERROR(__xludf.DUMMYFUNCTION("""COMPUTED_VALUE"""),0.0)</f>
        <v>0</v>
      </c>
      <c r="J102" s="1">
        <f>IFERROR(__xludf.DUMMYFUNCTION("""COMPUTED_VALUE"""),0.0)</f>
        <v>0</v>
      </c>
      <c r="K102" s="1">
        <f>IFERROR(__xludf.DUMMYFUNCTION("""COMPUTED_VALUE"""),0.0)</f>
        <v>0</v>
      </c>
      <c r="L102" s="1">
        <f>IFERROR(__xludf.DUMMYFUNCTION("""COMPUTED_VALUE"""),28.0)</f>
        <v>28</v>
      </c>
      <c r="M102" s="1">
        <f>IFERROR(__xludf.DUMMYFUNCTION("""COMPUTED_VALUE"""),2.0)</f>
        <v>2</v>
      </c>
      <c r="N102" s="1">
        <f>IFERROR(__xludf.DUMMYFUNCTION("""COMPUTED_VALUE"""),11.0)</f>
        <v>11</v>
      </c>
      <c r="O102" s="1">
        <f>IFERROR(__xludf.DUMMYFUNCTION("""COMPUTED_VALUE"""),17.0)</f>
        <v>17</v>
      </c>
      <c r="P102" s="1">
        <f>IFERROR(__xludf.DUMMYFUNCTION("""COMPUTED_VALUE"""),30.0)</f>
        <v>30</v>
      </c>
    </row>
    <row r="103">
      <c r="A103" s="1" t="str">
        <f>IFERROR(__xludf.DUMMYFUNCTION("""COMPUTED_VALUE"""),"Monténégro")</f>
        <v>Monténégro</v>
      </c>
      <c r="B103" s="1">
        <f>IFERROR(__xludf.DUMMYFUNCTION("""COMPUTED_VALUE"""),4.0)</f>
        <v>4</v>
      </c>
      <c r="C103" s="1">
        <f>IFERROR(__xludf.DUMMYFUNCTION("""COMPUTED_VALUE"""),0.0)</f>
        <v>0</v>
      </c>
      <c r="D103" s="1">
        <f>IFERROR(__xludf.DUMMYFUNCTION("""COMPUTED_VALUE"""),1.0)</f>
        <v>1</v>
      </c>
      <c r="E103" s="1">
        <f>IFERROR(__xludf.DUMMYFUNCTION("""COMPUTED_VALUE"""),0.0)</f>
        <v>0</v>
      </c>
      <c r="F103" s="1">
        <f>IFERROR(__xludf.DUMMYFUNCTION("""COMPUTED_VALUE"""),1.0)</f>
        <v>1</v>
      </c>
      <c r="G103" s="1">
        <f>IFERROR(__xludf.DUMMYFUNCTION("""COMPUTED_VALUE"""),3.0)</f>
        <v>3</v>
      </c>
      <c r="H103" s="1">
        <f>IFERROR(__xludf.DUMMYFUNCTION("""COMPUTED_VALUE"""),0.0)</f>
        <v>0</v>
      </c>
      <c r="I103" s="1">
        <f>IFERROR(__xludf.DUMMYFUNCTION("""COMPUTED_VALUE"""),0.0)</f>
        <v>0</v>
      </c>
      <c r="J103" s="1">
        <f>IFERROR(__xludf.DUMMYFUNCTION("""COMPUTED_VALUE"""),0.0)</f>
        <v>0</v>
      </c>
      <c r="K103" s="1">
        <f>IFERROR(__xludf.DUMMYFUNCTION("""COMPUTED_VALUE"""),0.0)</f>
        <v>0</v>
      </c>
      <c r="L103" s="1">
        <f>IFERROR(__xludf.DUMMYFUNCTION("""COMPUTED_VALUE"""),7.0)</f>
        <v>7</v>
      </c>
      <c r="M103" s="1">
        <f>IFERROR(__xludf.DUMMYFUNCTION("""COMPUTED_VALUE"""),0.0)</f>
        <v>0</v>
      </c>
      <c r="N103" s="1">
        <f>IFERROR(__xludf.DUMMYFUNCTION("""COMPUTED_VALUE"""),1.0)</f>
        <v>1</v>
      </c>
      <c r="O103" s="1">
        <f>IFERROR(__xludf.DUMMYFUNCTION("""COMPUTED_VALUE"""),0.0)</f>
        <v>0</v>
      </c>
      <c r="P103" s="1">
        <f>IFERROR(__xludf.DUMMYFUNCTION("""COMPUTED_VALUE"""),1.0)</f>
        <v>1</v>
      </c>
    </row>
    <row r="104">
      <c r="A104" s="1" t="str">
        <f>IFERROR(__xludf.DUMMYFUNCTION("""COMPUTED_VALUE"""),"Mozambique")</f>
        <v>Mozambique</v>
      </c>
      <c r="B104" s="1">
        <f>IFERROR(__xludf.DUMMYFUNCTION("""COMPUTED_VALUE"""),11.0)</f>
        <v>11</v>
      </c>
      <c r="C104" s="1">
        <f>IFERROR(__xludf.DUMMYFUNCTION("""COMPUTED_VALUE"""),1.0)</f>
        <v>1</v>
      </c>
      <c r="D104" s="1">
        <f>IFERROR(__xludf.DUMMYFUNCTION("""COMPUTED_VALUE"""),0.0)</f>
        <v>0</v>
      </c>
      <c r="E104" s="1">
        <f>IFERROR(__xludf.DUMMYFUNCTION("""COMPUTED_VALUE"""),1.0)</f>
        <v>1</v>
      </c>
      <c r="F104" s="1">
        <f>IFERROR(__xludf.DUMMYFUNCTION("""COMPUTED_VALUE"""),2.0)</f>
        <v>2</v>
      </c>
      <c r="G104" s="1">
        <f>IFERROR(__xludf.DUMMYFUNCTION("""COMPUTED_VALUE"""),0.0)</f>
        <v>0</v>
      </c>
      <c r="H104" s="1">
        <f>IFERROR(__xludf.DUMMYFUNCTION("""COMPUTED_VALUE"""),0.0)</f>
        <v>0</v>
      </c>
      <c r="I104" s="1">
        <f>IFERROR(__xludf.DUMMYFUNCTION("""COMPUTED_VALUE"""),0.0)</f>
        <v>0</v>
      </c>
      <c r="J104" s="1">
        <f>IFERROR(__xludf.DUMMYFUNCTION("""COMPUTED_VALUE"""),0.0)</f>
        <v>0</v>
      </c>
      <c r="K104" s="1">
        <f>IFERROR(__xludf.DUMMYFUNCTION("""COMPUTED_VALUE"""),0.0)</f>
        <v>0</v>
      </c>
      <c r="L104" s="1">
        <f>IFERROR(__xludf.DUMMYFUNCTION("""COMPUTED_VALUE"""),11.0)</f>
        <v>11</v>
      </c>
      <c r="M104" s="1">
        <f>IFERROR(__xludf.DUMMYFUNCTION("""COMPUTED_VALUE"""),1.0)</f>
        <v>1</v>
      </c>
      <c r="N104" s="1">
        <f>IFERROR(__xludf.DUMMYFUNCTION("""COMPUTED_VALUE"""),0.0)</f>
        <v>0</v>
      </c>
      <c r="O104" s="1">
        <f>IFERROR(__xludf.DUMMYFUNCTION("""COMPUTED_VALUE"""),1.0)</f>
        <v>1</v>
      </c>
      <c r="P104" s="1">
        <f>IFERROR(__xludf.DUMMYFUNCTION("""COMPUTED_VALUE"""),2.0)</f>
        <v>2</v>
      </c>
    </row>
    <row r="105">
      <c r="A105" s="1" t="str">
        <f>IFERROR(__xludf.DUMMYFUNCTION("""COMPUTED_VALUE"""),"Namibie")</f>
        <v>Namibie</v>
      </c>
      <c r="B105" s="1">
        <f>IFERROR(__xludf.DUMMYFUNCTION("""COMPUTED_VALUE"""),8.0)</f>
        <v>8</v>
      </c>
      <c r="C105" s="1">
        <f>IFERROR(__xludf.DUMMYFUNCTION("""COMPUTED_VALUE"""),0.0)</f>
        <v>0</v>
      </c>
      <c r="D105" s="1">
        <f>IFERROR(__xludf.DUMMYFUNCTION("""COMPUTED_VALUE"""),5.0)</f>
        <v>5</v>
      </c>
      <c r="E105" s="1">
        <f>IFERROR(__xludf.DUMMYFUNCTION("""COMPUTED_VALUE"""),0.0)</f>
        <v>0</v>
      </c>
      <c r="F105" s="1">
        <f>IFERROR(__xludf.DUMMYFUNCTION("""COMPUTED_VALUE"""),5.0)</f>
        <v>5</v>
      </c>
      <c r="G105" s="1">
        <f>IFERROR(__xludf.DUMMYFUNCTION("""COMPUTED_VALUE"""),0.0)</f>
        <v>0</v>
      </c>
      <c r="H105" s="1">
        <f>IFERROR(__xludf.DUMMYFUNCTION("""COMPUTED_VALUE"""),0.0)</f>
        <v>0</v>
      </c>
      <c r="I105" s="1">
        <f>IFERROR(__xludf.DUMMYFUNCTION("""COMPUTED_VALUE"""),0.0)</f>
        <v>0</v>
      </c>
      <c r="J105" s="1">
        <f>IFERROR(__xludf.DUMMYFUNCTION("""COMPUTED_VALUE"""),0.0)</f>
        <v>0</v>
      </c>
      <c r="K105" s="1">
        <f>IFERROR(__xludf.DUMMYFUNCTION("""COMPUTED_VALUE"""),0.0)</f>
        <v>0</v>
      </c>
      <c r="L105" s="1">
        <f>IFERROR(__xludf.DUMMYFUNCTION("""COMPUTED_VALUE"""),8.0)</f>
        <v>8</v>
      </c>
      <c r="M105" s="1">
        <f>IFERROR(__xludf.DUMMYFUNCTION("""COMPUTED_VALUE"""),0.0)</f>
        <v>0</v>
      </c>
      <c r="N105" s="1">
        <f>IFERROR(__xludf.DUMMYFUNCTION("""COMPUTED_VALUE"""),5.0)</f>
        <v>5</v>
      </c>
      <c r="O105" s="1">
        <f>IFERROR(__xludf.DUMMYFUNCTION("""COMPUTED_VALUE"""),0.0)</f>
        <v>0</v>
      </c>
      <c r="P105" s="1">
        <f>IFERROR(__xludf.DUMMYFUNCTION("""COMPUTED_VALUE"""),5.0)</f>
        <v>5</v>
      </c>
    </row>
    <row r="106">
      <c r="A106" s="1" t="str">
        <f>IFERROR(__xludf.DUMMYFUNCTION("""COMPUTED_VALUE"""),"Niger")</f>
        <v>Niger</v>
      </c>
      <c r="B106" s="1">
        <f>IFERROR(__xludf.DUMMYFUNCTION("""COMPUTED_VALUE"""),13.0)</f>
        <v>13</v>
      </c>
      <c r="C106" s="1">
        <f>IFERROR(__xludf.DUMMYFUNCTION("""COMPUTED_VALUE"""),0.0)</f>
        <v>0</v>
      </c>
      <c r="D106" s="1">
        <f>IFERROR(__xludf.DUMMYFUNCTION("""COMPUTED_VALUE"""),1.0)</f>
        <v>1</v>
      </c>
      <c r="E106" s="1">
        <f>IFERROR(__xludf.DUMMYFUNCTION("""COMPUTED_VALUE"""),1.0)</f>
        <v>1</v>
      </c>
      <c r="F106" s="1">
        <f>IFERROR(__xludf.DUMMYFUNCTION("""COMPUTED_VALUE"""),2.0)</f>
        <v>2</v>
      </c>
      <c r="G106" s="1">
        <f>IFERROR(__xludf.DUMMYFUNCTION("""COMPUTED_VALUE"""),0.0)</f>
        <v>0</v>
      </c>
      <c r="H106" s="1">
        <f>IFERROR(__xludf.DUMMYFUNCTION("""COMPUTED_VALUE"""),0.0)</f>
        <v>0</v>
      </c>
      <c r="I106" s="1">
        <f>IFERROR(__xludf.DUMMYFUNCTION("""COMPUTED_VALUE"""),0.0)</f>
        <v>0</v>
      </c>
      <c r="J106" s="1">
        <f>IFERROR(__xludf.DUMMYFUNCTION("""COMPUTED_VALUE"""),0.0)</f>
        <v>0</v>
      </c>
      <c r="K106" s="1">
        <f>IFERROR(__xludf.DUMMYFUNCTION("""COMPUTED_VALUE"""),0.0)</f>
        <v>0</v>
      </c>
      <c r="L106" s="1">
        <f>IFERROR(__xludf.DUMMYFUNCTION("""COMPUTED_VALUE"""),13.0)</f>
        <v>13</v>
      </c>
      <c r="M106" s="1">
        <f>IFERROR(__xludf.DUMMYFUNCTION("""COMPUTED_VALUE"""),0.0)</f>
        <v>0</v>
      </c>
      <c r="N106" s="1">
        <f>IFERROR(__xludf.DUMMYFUNCTION("""COMPUTED_VALUE"""),1.0)</f>
        <v>1</v>
      </c>
      <c r="O106" s="1">
        <f>IFERROR(__xludf.DUMMYFUNCTION("""COMPUTED_VALUE"""),1.0)</f>
        <v>1</v>
      </c>
      <c r="P106" s="1">
        <f>IFERROR(__xludf.DUMMYFUNCTION("""COMPUTED_VALUE"""),2.0)</f>
        <v>2</v>
      </c>
    </row>
    <row r="107">
      <c r="A107" s="1" t="str">
        <f>IFERROR(__xludf.DUMMYFUNCTION("""COMPUTED_VALUE"""),"Nigeria")</f>
        <v>Nigeria</v>
      </c>
      <c r="B107" s="1">
        <f>IFERROR(__xludf.DUMMYFUNCTION("""COMPUTED_VALUE"""),17.0)</f>
        <v>17</v>
      </c>
      <c r="C107" s="1">
        <f>IFERROR(__xludf.DUMMYFUNCTION("""COMPUTED_VALUE"""),3.0)</f>
        <v>3</v>
      </c>
      <c r="D107" s="1">
        <f>IFERROR(__xludf.DUMMYFUNCTION("""COMPUTED_VALUE"""),11.0)</f>
        <v>11</v>
      </c>
      <c r="E107" s="1">
        <f>IFERROR(__xludf.DUMMYFUNCTION("""COMPUTED_VALUE"""),13.0)</f>
        <v>13</v>
      </c>
      <c r="F107" s="1">
        <f>IFERROR(__xludf.DUMMYFUNCTION("""COMPUTED_VALUE"""),27.0)</f>
        <v>27</v>
      </c>
      <c r="G107" s="1">
        <f>IFERROR(__xludf.DUMMYFUNCTION("""COMPUTED_VALUE"""),1.0)</f>
        <v>1</v>
      </c>
      <c r="H107" s="1">
        <f>IFERROR(__xludf.DUMMYFUNCTION("""COMPUTED_VALUE"""),0.0)</f>
        <v>0</v>
      </c>
      <c r="I107" s="1">
        <f>IFERROR(__xludf.DUMMYFUNCTION("""COMPUTED_VALUE"""),0.0)</f>
        <v>0</v>
      </c>
      <c r="J107" s="1">
        <f>IFERROR(__xludf.DUMMYFUNCTION("""COMPUTED_VALUE"""),0.0)</f>
        <v>0</v>
      </c>
      <c r="K107" s="1">
        <f>IFERROR(__xludf.DUMMYFUNCTION("""COMPUTED_VALUE"""),0.0)</f>
        <v>0</v>
      </c>
      <c r="L107" s="1">
        <f>IFERROR(__xludf.DUMMYFUNCTION("""COMPUTED_VALUE"""),18.0)</f>
        <v>18</v>
      </c>
      <c r="M107" s="1">
        <f>IFERROR(__xludf.DUMMYFUNCTION("""COMPUTED_VALUE"""),3.0)</f>
        <v>3</v>
      </c>
      <c r="N107" s="1">
        <f>IFERROR(__xludf.DUMMYFUNCTION("""COMPUTED_VALUE"""),11.0)</f>
        <v>11</v>
      </c>
      <c r="O107" s="1">
        <f>IFERROR(__xludf.DUMMYFUNCTION("""COMPUTED_VALUE"""),13.0)</f>
        <v>13</v>
      </c>
      <c r="P107" s="1">
        <f>IFERROR(__xludf.DUMMYFUNCTION("""COMPUTED_VALUE"""),27.0)</f>
        <v>27</v>
      </c>
    </row>
    <row r="108">
      <c r="A108" s="1" t="str">
        <f>IFERROR(__xludf.DUMMYFUNCTION("""COMPUTED_VALUE"""),"Norvège")</f>
        <v>Norvège</v>
      </c>
      <c r="B108" s="1">
        <f>IFERROR(__xludf.DUMMYFUNCTION("""COMPUTED_VALUE"""),26.0)</f>
        <v>26</v>
      </c>
      <c r="C108" s="1">
        <f>IFERROR(__xludf.DUMMYFUNCTION("""COMPUTED_VALUE"""),60.0)</f>
        <v>60</v>
      </c>
      <c r="D108" s="1">
        <f>IFERROR(__xludf.DUMMYFUNCTION("""COMPUTED_VALUE"""),51.0)</f>
        <v>51</v>
      </c>
      <c r="E108" s="1">
        <f>IFERROR(__xludf.DUMMYFUNCTION("""COMPUTED_VALUE"""),49.0)</f>
        <v>49</v>
      </c>
      <c r="F108" s="1">
        <f>IFERROR(__xludf.DUMMYFUNCTION("""COMPUTED_VALUE"""),160.0)</f>
        <v>160</v>
      </c>
      <c r="G108" s="1">
        <f>IFERROR(__xludf.DUMMYFUNCTION("""COMPUTED_VALUE"""),23.0)</f>
        <v>23</v>
      </c>
      <c r="H108" s="1">
        <f>IFERROR(__xludf.DUMMYFUNCTION("""COMPUTED_VALUE"""),132.0)</f>
        <v>132</v>
      </c>
      <c r="I108" s="1">
        <f>IFERROR(__xludf.DUMMYFUNCTION("""COMPUTED_VALUE"""),125.0)</f>
        <v>125</v>
      </c>
      <c r="J108" s="1">
        <f>IFERROR(__xludf.DUMMYFUNCTION("""COMPUTED_VALUE"""),111.0)</f>
        <v>111</v>
      </c>
      <c r="K108" s="1">
        <f>IFERROR(__xludf.DUMMYFUNCTION("""COMPUTED_VALUE"""),368.0)</f>
        <v>368</v>
      </c>
      <c r="L108" s="1">
        <f>IFERROR(__xludf.DUMMYFUNCTION("""COMPUTED_VALUE"""),49.0)</f>
        <v>49</v>
      </c>
      <c r="M108" s="1">
        <f>IFERROR(__xludf.DUMMYFUNCTION("""COMPUTED_VALUE"""),193.0)</f>
        <v>193</v>
      </c>
      <c r="N108" s="1">
        <f>IFERROR(__xludf.DUMMYFUNCTION("""COMPUTED_VALUE"""),176.0)</f>
        <v>176</v>
      </c>
      <c r="O108" s="1">
        <f>IFERROR(__xludf.DUMMYFUNCTION("""COMPUTED_VALUE"""),160.0)</f>
        <v>160</v>
      </c>
      <c r="P108" s="1">
        <f>IFERROR(__xludf.DUMMYFUNCTION("""COMPUTED_VALUE"""),528.0)</f>
        <v>528</v>
      </c>
    </row>
    <row r="109">
      <c r="A109" s="1" t="str">
        <f>IFERROR(__xludf.DUMMYFUNCTION("""COMPUTED_VALUE"""),"Nouvelle-Zélande[20]")</f>
        <v>Nouvelle-Zélande[20]</v>
      </c>
      <c r="B109" s="1">
        <f>IFERROR(__xludf.DUMMYFUNCTION("""COMPUTED_VALUE"""),24.0)</f>
        <v>24</v>
      </c>
      <c r="C109" s="1">
        <f>IFERROR(__xludf.DUMMYFUNCTION("""COMPUTED_VALUE"""),53.0)</f>
        <v>53</v>
      </c>
      <c r="D109" s="1">
        <f>IFERROR(__xludf.DUMMYFUNCTION("""COMPUTED_VALUE"""),33.0)</f>
        <v>33</v>
      </c>
      <c r="E109" s="1">
        <f>IFERROR(__xludf.DUMMYFUNCTION("""COMPUTED_VALUE"""),51.0)</f>
        <v>51</v>
      </c>
      <c r="F109" s="1">
        <f>IFERROR(__xludf.DUMMYFUNCTION("""COMPUTED_VALUE"""),137.0)</f>
        <v>137</v>
      </c>
      <c r="G109" s="1">
        <f>IFERROR(__xludf.DUMMYFUNCTION("""COMPUTED_VALUE"""),16.0)</f>
        <v>16</v>
      </c>
      <c r="H109" s="1">
        <f>IFERROR(__xludf.DUMMYFUNCTION("""COMPUTED_VALUE"""),0.0)</f>
        <v>0</v>
      </c>
      <c r="I109" s="1">
        <f>IFERROR(__xludf.DUMMYFUNCTION("""COMPUTED_VALUE"""),1.0)</f>
        <v>1</v>
      </c>
      <c r="J109" s="1">
        <f>IFERROR(__xludf.DUMMYFUNCTION("""COMPUTED_VALUE"""),2.0)</f>
        <v>2</v>
      </c>
      <c r="K109" s="1">
        <f>IFERROR(__xludf.DUMMYFUNCTION("""COMPUTED_VALUE"""),3.0)</f>
        <v>3</v>
      </c>
      <c r="L109" s="1">
        <f>IFERROR(__xludf.DUMMYFUNCTION("""COMPUTED_VALUE"""),40.0)</f>
        <v>40</v>
      </c>
      <c r="M109" s="1">
        <f>IFERROR(__xludf.DUMMYFUNCTION("""COMPUTED_VALUE"""),53.0)</f>
        <v>53</v>
      </c>
      <c r="N109" s="1">
        <f>IFERROR(__xludf.DUMMYFUNCTION("""COMPUTED_VALUE"""),34.0)</f>
        <v>34</v>
      </c>
      <c r="O109" s="1">
        <f>IFERROR(__xludf.DUMMYFUNCTION("""COMPUTED_VALUE"""),53.0)</f>
        <v>53</v>
      </c>
      <c r="P109" s="1">
        <f>IFERROR(__xludf.DUMMYFUNCTION("""COMPUTED_VALUE"""),140.0)</f>
        <v>140</v>
      </c>
    </row>
    <row r="110">
      <c r="A110" s="1" t="str">
        <f>IFERROR(__xludf.DUMMYFUNCTION("""COMPUTED_VALUE"""),"Ouganda")</f>
        <v>Ouganda</v>
      </c>
      <c r="B110" s="1">
        <f>IFERROR(__xludf.DUMMYFUNCTION("""COMPUTED_VALUE"""),16.0)</f>
        <v>16</v>
      </c>
      <c r="C110" s="1">
        <f>IFERROR(__xludf.DUMMYFUNCTION("""COMPUTED_VALUE"""),4.0)</f>
        <v>4</v>
      </c>
      <c r="D110" s="1">
        <f>IFERROR(__xludf.DUMMYFUNCTION("""COMPUTED_VALUE"""),4.0)</f>
        <v>4</v>
      </c>
      <c r="E110" s="1">
        <f>IFERROR(__xludf.DUMMYFUNCTION("""COMPUTED_VALUE"""),3.0)</f>
        <v>3</v>
      </c>
      <c r="F110" s="1">
        <f>IFERROR(__xludf.DUMMYFUNCTION("""COMPUTED_VALUE"""),11.0)</f>
        <v>11</v>
      </c>
      <c r="G110" s="1">
        <f>IFERROR(__xludf.DUMMYFUNCTION("""COMPUTED_VALUE"""),0.0)</f>
        <v>0</v>
      </c>
      <c r="H110" s="1">
        <f>IFERROR(__xludf.DUMMYFUNCTION("""COMPUTED_VALUE"""),0.0)</f>
        <v>0</v>
      </c>
      <c r="I110" s="1">
        <f>IFERROR(__xludf.DUMMYFUNCTION("""COMPUTED_VALUE"""),0.0)</f>
        <v>0</v>
      </c>
      <c r="J110" s="1">
        <f>IFERROR(__xludf.DUMMYFUNCTION("""COMPUTED_VALUE"""),0.0)</f>
        <v>0</v>
      </c>
      <c r="K110" s="1">
        <f>IFERROR(__xludf.DUMMYFUNCTION("""COMPUTED_VALUE"""),0.0)</f>
        <v>0</v>
      </c>
      <c r="L110" s="1">
        <f>IFERROR(__xludf.DUMMYFUNCTION("""COMPUTED_VALUE"""),16.0)</f>
        <v>16</v>
      </c>
      <c r="M110" s="1">
        <f>IFERROR(__xludf.DUMMYFUNCTION("""COMPUTED_VALUE"""),4.0)</f>
        <v>4</v>
      </c>
      <c r="N110" s="1">
        <f>IFERROR(__xludf.DUMMYFUNCTION("""COMPUTED_VALUE"""),4.0)</f>
        <v>4</v>
      </c>
      <c r="O110" s="1">
        <f>IFERROR(__xludf.DUMMYFUNCTION("""COMPUTED_VALUE"""),3.0)</f>
        <v>3</v>
      </c>
      <c r="P110" s="1">
        <f>IFERROR(__xludf.DUMMYFUNCTION("""COMPUTED_VALUE"""),11.0)</f>
        <v>11</v>
      </c>
    </row>
    <row r="111">
      <c r="A111" s="1" t="str">
        <f>IFERROR(__xludf.DUMMYFUNCTION("""COMPUTED_VALUE"""),"Ouzbékistan")</f>
        <v>Ouzbékistan</v>
      </c>
      <c r="B111" s="1">
        <f>IFERROR(__xludf.DUMMYFUNCTION("""COMPUTED_VALUE"""),7.0)</f>
        <v>7</v>
      </c>
      <c r="C111" s="1">
        <f>IFERROR(__xludf.DUMMYFUNCTION("""COMPUTED_VALUE"""),10.0)</f>
        <v>10</v>
      </c>
      <c r="D111" s="1">
        <f>IFERROR(__xludf.DUMMYFUNCTION("""COMPUTED_VALUE"""),6.0)</f>
        <v>6</v>
      </c>
      <c r="E111" s="1">
        <f>IFERROR(__xludf.DUMMYFUNCTION("""COMPUTED_VALUE"""),20.0)</f>
        <v>20</v>
      </c>
      <c r="F111" s="1">
        <f>IFERROR(__xludf.DUMMYFUNCTION("""COMPUTED_VALUE"""),36.0)</f>
        <v>36</v>
      </c>
      <c r="G111" s="1">
        <f>IFERROR(__xludf.DUMMYFUNCTION("""COMPUTED_VALUE"""),7.0)</f>
        <v>7</v>
      </c>
      <c r="H111" s="1">
        <f>IFERROR(__xludf.DUMMYFUNCTION("""COMPUTED_VALUE"""),1.0)</f>
        <v>1</v>
      </c>
      <c r="I111" s="1">
        <f>IFERROR(__xludf.DUMMYFUNCTION("""COMPUTED_VALUE"""),0.0)</f>
        <v>0</v>
      </c>
      <c r="J111" s="1">
        <f>IFERROR(__xludf.DUMMYFUNCTION("""COMPUTED_VALUE"""),0.0)</f>
        <v>0</v>
      </c>
      <c r="K111" s="1">
        <f>IFERROR(__xludf.DUMMYFUNCTION("""COMPUTED_VALUE"""),1.0)</f>
        <v>1</v>
      </c>
      <c r="L111" s="1">
        <f>IFERROR(__xludf.DUMMYFUNCTION("""COMPUTED_VALUE"""),14.0)</f>
        <v>14</v>
      </c>
      <c r="M111" s="1">
        <f>IFERROR(__xludf.DUMMYFUNCTION("""COMPUTED_VALUE"""),11.0)</f>
        <v>11</v>
      </c>
      <c r="N111" s="1">
        <f>IFERROR(__xludf.DUMMYFUNCTION("""COMPUTED_VALUE"""),6.0)</f>
        <v>6</v>
      </c>
      <c r="O111" s="1">
        <f>IFERROR(__xludf.DUMMYFUNCTION("""COMPUTED_VALUE"""),20.0)</f>
        <v>20</v>
      </c>
      <c r="P111" s="1">
        <f>IFERROR(__xludf.DUMMYFUNCTION("""COMPUTED_VALUE"""),37.0)</f>
        <v>37</v>
      </c>
    </row>
    <row r="112">
      <c r="A112" s="1" t="str">
        <f>IFERROR(__xludf.DUMMYFUNCTION("""COMPUTED_VALUE"""),"Pakistan")</f>
        <v>Pakistan</v>
      </c>
      <c r="B112" s="1">
        <f>IFERROR(__xludf.DUMMYFUNCTION("""COMPUTED_VALUE"""),18.0)</f>
        <v>18</v>
      </c>
      <c r="C112" s="1">
        <f>IFERROR(__xludf.DUMMYFUNCTION("""COMPUTED_VALUE"""),3.0)</f>
        <v>3</v>
      </c>
      <c r="D112" s="1">
        <f>IFERROR(__xludf.DUMMYFUNCTION("""COMPUTED_VALUE"""),3.0)</f>
        <v>3</v>
      </c>
      <c r="E112" s="1">
        <f>IFERROR(__xludf.DUMMYFUNCTION("""COMPUTED_VALUE"""),4.0)</f>
        <v>4</v>
      </c>
      <c r="F112" s="1">
        <f>IFERROR(__xludf.DUMMYFUNCTION("""COMPUTED_VALUE"""),10.0)</f>
        <v>10</v>
      </c>
      <c r="G112" s="1">
        <f>IFERROR(__xludf.DUMMYFUNCTION("""COMPUTED_VALUE"""),3.0)</f>
        <v>3</v>
      </c>
      <c r="H112" s="1">
        <f>IFERROR(__xludf.DUMMYFUNCTION("""COMPUTED_VALUE"""),0.0)</f>
        <v>0</v>
      </c>
      <c r="I112" s="1">
        <f>IFERROR(__xludf.DUMMYFUNCTION("""COMPUTED_VALUE"""),0.0)</f>
        <v>0</v>
      </c>
      <c r="J112" s="1">
        <f>IFERROR(__xludf.DUMMYFUNCTION("""COMPUTED_VALUE"""),0.0)</f>
        <v>0</v>
      </c>
      <c r="K112" s="1">
        <f>IFERROR(__xludf.DUMMYFUNCTION("""COMPUTED_VALUE"""),0.0)</f>
        <v>0</v>
      </c>
      <c r="L112" s="1">
        <f>IFERROR(__xludf.DUMMYFUNCTION("""COMPUTED_VALUE"""),21.0)</f>
        <v>21</v>
      </c>
      <c r="M112" s="1">
        <f>IFERROR(__xludf.DUMMYFUNCTION("""COMPUTED_VALUE"""),3.0)</f>
        <v>3</v>
      </c>
      <c r="N112" s="1">
        <f>IFERROR(__xludf.DUMMYFUNCTION("""COMPUTED_VALUE"""),3.0)</f>
        <v>3</v>
      </c>
      <c r="O112" s="1">
        <f>IFERROR(__xludf.DUMMYFUNCTION("""COMPUTED_VALUE"""),4.0)</f>
        <v>4</v>
      </c>
      <c r="P112" s="1">
        <f>IFERROR(__xludf.DUMMYFUNCTION("""COMPUTED_VALUE"""),10.0)</f>
        <v>10</v>
      </c>
    </row>
    <row r="113">
      <c r="A113" s="1" t="str">
        <f>IFERROR(__xludf.DUMMYFUNCTION("""COMPUTED_VALUE"""),"Panama")</f>
        <v>Panama</v>
      </c>
      <c r="B113" s="1">
        <f>IFERROR(__xludf.DUMMYFUNCTION("""COMPUTED_VALUE"""),18.0)</f>
        <v>18</v>
      </c>
      <c r="C113" s="1">
        <f>IFERROR(__xludf.DUMMYFUNCTION("""COMPUTED_VALUE"""),1.0)</f>
        <v>1</v>
      </c>
      <c r="D113" s="1">
        <f>IFERROR(__xludf.DUMMYFUNCTION("""COMPUTED_VALUE"""),0.0)</f>
        <v>0</v>
      </c>
      <c r="E113" s="1">
        <f>IFERROR(__xludf.DUMMYFUNCTION("""COMPUTED_VALUE"""),2.0)</f>
        <v>2</v>
      </c>
      <c r="F113" s="1">
        <f>IFERROR(__xludf.DUMMYFUNCTION("""COMPUTED_VALUE"""),3.0)</f>
        <v>3</v>
      </c>
      <c r="G113" s="1">
        <f>IFERROR(__xludf.DUMMYFUNCTION("""COMPUTED_VALUE"""),0.0)</f>
        <v>0</v>
      </c>
      <c r="H113" s="1">
        <f>IFERROR(__xludf.DUMMYFUNCTION("""COMPUTED_VALUE"""),0.0)</f>
        <v>0</v>
      </c>
      <c r="I113" s="1">
        <f>IFERROR(__xludf.DUMMYFUNCTION("""COMPUTED_VALUE"""),0.0)</f>
        <v>0</v>
      </c>
      <c r="J113" s="1">
        <f>IFERROR(__xludf.DUMMYFUNCTION("""COMPUTED_VALUE"""),0.0)</f>
        <v>0</v>
      </c>
      <c r="K113" s="1">
        <f>IFERROR(__xludf.DUMMYFUNCTION("""COMPUTED_VALUE"""),0.0)</f>
        <v>0</v>
      </c>
      <c r="L113" s="1">
        <f>IFERROR(__xludf.DUMMYFUNCTION("""COMPUTED_VALUE"""),18.0)</f>
        <v>18</v>
      </c>
      <c r="M113" s="1">
        <f>IFERROR(__xludf.DUMMYFUNCTION("""COMPUTED_VALUE"""),1.0)</f>
        <v>1</v>
      </c>
      <c r="N113" s="1">
        <f>IFERROR(__xludf.DUMMYFUNCTION("""COMPUTED_VALUE"""),0.0)</f>
        <v>0</v>
      </c>
      <c r="O113" s="1">
        <f>IFERROR(__xludf.DUMMYFUNCTION("""COMPUTED_VALUE"""),2.0)</f>
        <v>2</v>
      </c>
      <c r="P113" s="1">
        <f>IFERROR(__xludf.DUMMYFUNCTION("""COMPUTED_VALUE"""),3.0)</f>
        <v>3</v>
      </c>
    </row>
    <row r="114">
      <c r="A114" s="1" t="str">
        <f>IFERROR(__xludf.DUMMYFUNCTION("""COMPUTED_VALUE"""),"Paraguay")</f>
        <v>Paraguay</v>
      </c>
      <c r="B114" s="1">
        <f>IFERROR(__xludf.DUMMYFUNCTION("""COMPUTED_VALUE"""),13.0)</f>
        <v>13</v>
      </c>
      <c r="C114" s="1">
        <f>IFERROR(__xludf.DUMMYFUNCTION("""COMPUTED_VALUE"""),0.0)</f>
        <v>0</v>
      </c>
      <c r="D114" s="1">
        <f>IFERROR(__xludf.DUMMYFUNCTION("""COMPUTED_VALUE"""),1.0)</f>
        <v>1</v>
      </c>
      <c r="E114" s="1">
        <f>IFERROR(__xludf.DUMMYFUNCTION("""COMPUTED_VALUE"""),0.0)</f>
        <v>0</v>
      </c>
      <c r="F114" s="1">
        <f>IFERROR(__xludf.DUMMYFUNCTION("""COMPUTED_VALUE"""),1.0)</f>
        <v>1</v>
      </c>
      <c r="G114" s="1">
        <f>IFERROR(__xludf.DUMMYFUNCTION("""COMPUTED_VALUE"""),1.0)</f>
        <v>1</v>
      </c>
      <c r="H114" s="1">
        <f>IFERROR(__xludf.DUMMYFUNCTION("""COMPUTED_VALUE"""),0.0)</f>
        <v>0</v>
      </c>
      <c r="I114" s="1">
        <f>IFERROR(__xludf.DUMMYFUNCTION("""COMPUTED_VALUE"""),0.0)</f>
        <v>0</v>
      </c>
      <c r="J114" s="1">
        <f>IFERROR(__xludf.DUMMYFUNCTION("""COMPUTED_VALUE"""),0.0)</f>
        <v>0</v>
      </c>
      <c r="K114" s="1">
        <f>IFERROR(__xludf.DUMMYFUNCTION("""COMPUTED_VALUE"""),0.0)</f>
        <v>0</v>
      </c>
      <c r="L114" s="1">
        <f>IFERROR(__xludf.DUMMYFUNCTION("""COMPUTED_VALUE"""),14.0)</f>
        <v>14</v>
      </c>
      <c r="M114" s="1">
        <f>IFERROR(__xludf.DUMMYFUNCTION("""COMPUTED_VALUE"""),0.0)</f>
        <v>0</v>
      </c>
      <c r="N114" s="1">
        <f>IFERROR(__xludf.DUMMYFUNCTION("""COMPUTED_VALUE"""),1.0)</f>
        <v>1</v>
      </c>
      <c r="O114" s="1">
        <f>IFERROR(__xludf.DUMMYFUNCTION("""COMPUTED_VALUE"""),0.0)</f>
        <v>0</v>
      </c>
      <c r="P114" s="1">
        <f>IFERROR(__xludf.DUMMYFUNCTION("""COMPUTED_VALUE"""),1.0)</f>
        <v>1</v>
      </c>
    </row>
    <row r="115">
      <c r="A115" s="1" t="str">
        <f>IFERROR(__xludf.DUMMYFUNCTION("""COMPUTED_VALUE"""),"Pays-Bas[7]")</f>
        <v>Pays-Bas[7]</v>
      </c>
      <c r="B115" s="1">
        <f>IFERROR(__xludf.DUMMYFUNCTION("""COMPUTED_VALUE"""),26.0)</f>
        <v>26</v>
      </c>
      <c r="C115" s="1">
        <f>IFERROR(__xludf.DUMMYFUNCTION("""COMPUTED_VALUE"""),100.0)</f>
        <v>100</v>
      </c>
      <c r="D115" s="1">
        <f>IFERROR(__xludf.DUMMYFUNCTION("""COMPUTED_VALUE"""),99.0)</f>
        <v>99</v>
      </c>
      <c r="E115" s="1">
        <f>IFERROR(__xludf.DUMMYFUNCTION("""COMPUTED_VALUE"""),120.0)</f>
        <v>120</v>
      </c>
      <c r="F115" s="1">
        <f>IFERROR(__xludf.DUMMYFUNCTION("""COMPUTED_VALUE"""),319.0)</f>
        <v>319</v>
      </c>
      <c r="G115" s="1">
        <f>IFERROR(__xludf.DUMMYFUNCTION("""COMPUTED_VALUE"""),21.0)</f>
        <v>21</v>
      </c>
      <c r="H115" s="1">
        <f>IFERROR(__xludf.DUMMYFUNCTION("""COMPUTED_VALUE"""),45.0)</f>
        <v>45</v>
      </c>
      <c r="I115" s="1">
        <f>IFERROR(__xludf.DUMMYFUNCTION("""COMPUTED_VALUE"""),44.0)</f>
        <v>44</v>
      </c>
      <c r="J115" s="1">
        <f>IFERROR(__xludf.DUMMYFUNCTION("""COMPUTED_VALUE"""),41.0)</f>
        <v>41</v>
      </c>
      <c r="K115" s="1">
        <f>IFERROR(__xludf.DUMMYFUNCTION("""COMPUTED_VALUE"""),130.0)</f>
        <v>130</v>
      </c>
      <c r="L115" s="1">
        <f>IFERROR(__xludf.DUMMYFUNCTION("""COMPUTED_VALUE"""),47.0)</f>
        <v>47</v>
      </c>
      <c r="M115" s="1">
        <f>IFERROR(__xludf.DUMMYFUNCTION("""COMPUTED_VALUE"""),145.0)</f>
        <v>145</v>
      </c>
      <c r="N115" s="1">
        <f>IFERROR(__xludf.DUMMYFUNCTION("""COMPUTED_VALUE"""),143.0)</f>
        <v>143</v>
      </c>
      <c r="O115" s="1">
        <f>IFERROR(__xludf.DUMMYFUNCTION("""COMPUTED_VALUE"""),161.0)</f>
        <v>161</v>
      </c>
      <c r="P115" s="1">
        <f>IFERROR(__xludf.DUMMYFUNCTION("""COMPUTED_VALUE"""),449.0)</f>
        <v>449</v>
      </c>
    </row>
    <row r="116">
      <c r="A116" s="1" t="str">
        <f>IFERROR(__xludf.DUMMYFUNCTION("""COMPUTED_VALUE"""),"Pérou")</f>
        <v>Pérou</v>
      </c>
      <c r="B116" s="1">
        <f>IFERROR(__xludf.DUMMYFUNCTION("""COMPUTED_VALUE"""),19.0)</f>
        <v>19</v>
      </c>
      <c r="C116" s="1">
        <f>IFERROR(__xludf.DUMMYFUNCTION("""COMPUTED_VALUE"""),1.0)</f>
        <v>1</v>
      </c>
      <c r="D116" s="1">
        <f>IFERROR(__xludf.DUMMYFUNCTION("""COMPUTED_VALUE"""),3.0)</f>
        <v>3</v>
      </c>
      <c r="E116" s="1">
        <f>IFERROR(__xludf.DUMMYFUNCTION("""COMPUTED_VALUE"""),0.0)</f>
        <v>0</v>
      </c>
      <c r="F116" s="1">
        <f>IFERROR(__xludf.DUMMYFUNCTION("""COMPUTED_VALUE"""),4.0)</f>
        <v>4</v>
      </c>
      <c r="G116" s="1">
        <f>IFERROR(__xludf.DUMMYFUNCTION("""COMPUTED_VALUE"""),2.0)</f>
        <v>2</v>
      </c>
      <c r="H116" s="1">
        <f>IFERROR(__xludf.DUMMYFUNCTION("""COMPUTED_VALUE"""),0.0)</f>
        <v>0</v>
      </c>
      <c r="I116" s="1">
        <f>IFERROR(__xludf.DUMMYFUNCTION("""COMPUTED_VALUE"""),0.0)</f>
        <v>0</v>
      </c>
      <c r="J116" s="1">
        <f>IFERROR(__xludf.DUMMYFUNCTION("""COMPUTED_VALUE"""),0.0)</f>
        <v>0</v>
      </c>
      <c r="K116" s="1">
        <f>IFERROR(__xludf.DUMMYFUNCTION("""COMPUTED_VALUE"""),0.0)</f>
        <v>0</v>
      </c>
      <c r="L116" s="1">
        <f>IFERROR(__xludf.DUMMYFUNCTION("""COMPUTED_VALUE"""),21.0)</f>
        <v>21</v>
      </c>
      <c r="M116" s="1">
        <f>IFERROR(__xludf.DUMMYFUNCTION("""COMPUTED_VALUE"""),1.0)</f>
        <v>1</v>
      </c>
      <c r="N116" s="1">
        <f>IFERROR(__xludf.DUMMYFUNCTION("""COMPUTED_VALUE"""),3.0)</f>
        <v>3</v>
      </c>
      <c r="O116" s="1">
        <f>IFERROR(__xludf.DUMMYFUNCTION("""COMPUTED_VALUE"""),0.0)</f>
        <v>0</v>
      </c>
      <c r="P116" s="1">
        <f>IFERROR(__xludf.DUMMYFUNCTION("""COMPUTED_VALUE"""),4.0)</f>
        <v>4</v>
      </c>
    </row>
    <row r="117">
      <c r="A117" s="1" t="str">
        <f>IFERROR(__xludf.DUMMYFUNCTION("""COMPUTED_VALUE"""),"Philippines")</f>
        <v>Philippines</v>
      </c>
      <c r="B117" s="1">
        <f>IFERROR(__xludf.DUMMYFUNCTION("""COMPUTED_VALUE"""),22.0)</f>
        <v>22</v>
      </c>
      <c r="C117" s="1">
        <f>IFERROR(__xludf.DUMMYFUNCTION("""COMPUTED_VALUE"""),1.0)</f>
        <v>1</v>
      </c>
      <c r="D117" s="1">
        <f>IFERROR(__xludf.DUMMYFUNCTION("""COMPUTED_VALUE"""),5.0)</f>
        <v>5</v>
      </c>
      <c r="E117" s="1">
        <f>IFERROR(__xludf.DUMMYFUNCTION("""COMPUTED_VALUE"""),8.0)</f>
        <v>8</v>
      </c>
      <c r="F117" s="1">
        <f>IFERROR(__xludf.DUMMYFUNCTION("""COMPUTED_VALUE"""),14.0)</f>
        <v>14</v>
      </c>
      <c r="G117" s="1">
        <f>IFERROR(__xludf.DUMMYFUNCTION("""COMPUTED_VALUE"""),5.0)</f>
        <v>5</v>
      </c>
      <c r="H117" s="1">
        <f>IFERROR(__xludf.DUMMYFUNCTION("""COMPUTED_VALUE"""),0.0)</f>
        <v>0</v>
      </c>
      <c r="I117" s="1">
        <f>IFERROR(__xludf.DUMMYFUNCTION("""COMPUTED_VALUE"""),0.0)</f>
        <v>0</v>
      </c>
      <c r="J117" s="1">
        <f>IFERROR(__xludf.DUMMYFUNCTION("""COMPUTED_VALUE"""),0.0)</f>
        <v>0</v>
      </c>
      <c r="K117" s="1">
        <f>IFERROR(__xludf.DUMMYFUNCTION("""COMPUTED_VALUE"""),0.0)</f>
        <v>0</v>
      </c>
      <c r="L117" s="1">
        <f>IFERROR(__xludf.DUMMYFUNCTION("""COMPUTED_VALUE"""),27.0)</f>
        <v>27</v>
      </c>
      <c r="M117" s="1">
        <f>IFERROR(__xludf.DUMMYFUNCTION("""COMPUTED_VALUE"""),1.0)</f>
        <v>1</v>
      </c>
      <c r="N117" s="1">
        <f>IFERROR(__xludf.DUMMYFUNCTION("""COMPUTED_VALUE"""),5.0)</f>
        <v>5</v>
      </c>
      <c r="O117" s="1">
        <f>IFERROR(__xludf.DUMMYFUNCTION("""COMPUTED_VALUE"""),8.0)</f>
        <v>8</v>
      </c>
      <c r="P117" s="1">
        <f>IFERROR(__xludf.DUMMYFUNCTION("""COMPUTED_VALUE"""),14.0)</f>
        <v>14</v>
      </c>
    </row>
    <row r="118">
      <c r="A118" s="1" t="str">
        <f>IFERROR(__xludf.DUMMYFUNCTION("""COMPUTED_VALUE"""),"Pologne")</f>
        <v>Pologne</v>
      </c>
      <c r="B118" s="1">
        <f>IFERROR(__xludf.DUMMYFUNCTION("""COMPUTED_VALUE"""),22.0)</f>
        <v>22</v>
      </c>
      <c r="C118" s="1">
        <f>IFERROR(__xludf.DUMMYFUNCTION("""COMPUTED_VALUE"""),72.0)</f>
        <v>72</v>
      </c>
      <c r="D118" s="1">
        <f>IFERROR(__xludf.DUMMYFUNCTION("""COMPUTED_VALUE"""),89.0)</f>
        <v>89</v>
      </c>
      <c r="E118" s="1">
        <f>IFERROR(__xludf.DUMMYFUNCTION("""COMPUTED_VALUE"""),137.0)</f>
        <v>137</v>
      </c>
      <c r="F118" s="1">
        <f>IFERROR(__xludf.DUMMYFUNCTION("""COMPUTED_VALUE"""),298.0)</f>
        <v>298</v>
      </c>
      <c r="G118" s="1">
        <f>IFERROR(__xludf.DUMMYFUNCTION("""COMPUTED_VALUE"""),23.0)</f>
        <v>23</v>
      </c>
      <c r="H118" s="1">
        <f>IFERROR(__xludf.DUMMYFUNCTION("""COMPUTED_VALUE"""),7.0)</f>
        <v>7</v>
      </c>
      <c r="I118" s="1">
        <f>IFERROR(__xludf.DUMMYFUNCTION("""COMPUTED_VALUE"""),7.0)</f>
        <v>7</v>
      </c>
      <c r="J118" s="1">
        <f>IFERROR(__xludf.DUMMYFUNCTION("""COMPUTED_VALUE"""),8.0)</f>
        <v>8</v>
      </c>
      <c r="K118" s="1">
        <f>IFERROR(__xludf.DUMMYFUNCTION("""COMPUTED_VALUE"""),22.0)</f>
        <v>22</v>
      </c>
      <c r="L118" s="1">
        <f>IFERROR(__xludf.DUMMYFUNCTION("""COMPUTED_VALUE"""),45.0)</f>
        <v>45</v>
      </c>
      <c r="M118" s="1">
        <f>IFERROR(__xludf.DUMMYFUNCTION("""COMPUTED_VALUE"""),79.0)</f>
        <v>79</v>
      </c>
      <c r="N118" s="1">
        <f>IFERROR(__xludf.DUMMYFUNCTION("""COMPUTED_VALUE"""),96.0)</f>
        <v>96</v>
      </c>
      <c r="O118" s="1">
        <f>IFERROR(__xludf.DUMMYFUNCTION("""COMPUTED_VALUE"""),145.0)</f>
        <v>145</v>
      </c>
      <c r="P118" s="1">
        <f>IFERROR(__xludf.DUMMYFUNCTION("""COMPUTED_VALUE"""),320.0)</f>
        <v>320</v>
      </c>
    </row>
    <row r="119">
      <c r="A119" s="1" t="str">
        <f>IFERROR(__xludf.DUMMYFUNCTION("""COMPUTED_VALUE"""),"Portugal")</f>
        <v>Portugal</v>
      </c>
      <c r="B119" s="1">
        <f>IFERROR(__xludf.DUMMYFUNCTION("""COMPUTED_VALUE"""),25.0)</f>
        <v>25</v>
      </c>
      <c r="C119" s="1">
        <f>IFERROR(__xludf.DUMMYFUNCTION("""COMPUTED_VALUE"""),5.0)</f>
        <v>5</v>
      </c>
      <c r="D119" s="1">
        <f>IFERROR(__xludf.DUMMYFUNCTION("""COMPUTED_VALUE"""),9.0)</f>
        <v>9</v>
      </c>
      <c r="E119" s="1">
        <f>IFERROR(__xludf.DUMMYFUNCTION("""COMPUTED_VALUE"""),14.0)</f>
        <v>14</v>
      </c>
      <c r="F119" s="1">
        <f>IFERROR(__xludf.DUMMYFUNCTION("""COMPUTED_VALUE"""),28.0)</f>
        <v>28</v>
      </c>
      <c r="G119" s="1">
        <f>IFERROR(__xludf.DUMMYFUNCTION("""COMPUTED_VALUE"""),8.0)</f>
        <v>8</v>
      </c>
      <c r="H119" s="1">
        <f>IFERROR(__xludf.DUMMYFUNCTION("""COMPUTED_VALUE"""),0.0)</f>
        <v>0</v>
      </c>
      <c r="I119" s="1">
        <f>IFERROR(__xludf.DUMMYFUNCTION("""COMPUTED_VALUE"""),0.0)</f>
        <v>0</v>
      </c>
      <c r="J119" s="1">
        <f>IFERROR(__xludf.DUMMYFUNCTION("""COMPUTED_VALUE"""),0.0)</f>
        <v>0</v>
      </c>
      <c r="K119" s="1">
        <f>IFERROR(__xludf.DUMMYFUNCTION("""COMPUTED_VALUE"""),0.0)</f>
        <v>0</v>
      </c>
      <c r="L119" s="1">
        <f>IFERROR(__xludf.DUMMYFUNCTION("""COMPUTED_VALUE"""),33.0)</f>
        <v>33</v>
      </c>
      <c r="M119" s="1">
        <f>IFERROR(__xludf.DUMMYFUNCTION("""COMPUTED_VALUE"""),5.0)</f>
        <v>5</v>
      </c>
      <c r="N119" s="1">
        <f>IFERROR(__xludf.DUMMYFUNCTION("""COMPUTED_VALUE"""),9.0)</f>
        <v>9</v>
      </c>
      <c r="O119" s="1">
        <f>IFERROR(__xludf.DUMMYFUNCTION("""COMPUTED_VALUE"""),14.0)</f>
        <v>14</v>
      </c>
      <c r="P119" s="1">
        <f>IFERROR(__xludf.DUMMYFUNCTION("""COMPUTED_VALUE"""),28.0)</f>
        <v>28</v>
      </c>
    </row>
    <row r="120">
      <c r="A120" s="1" t="str">
        <f>IFERROR(__xludf.DUMMYFUNCTION("""COMPUTED_VALUE"""),"Porto Rico")</f>
        <v>Porto Rico</v>
      </c>
      <c r="B120" s="1">
        <f>IFERROR(__xludf.DUMMYFUNCTION("""COMPUTED_VALUE"""),19.0)</f>
        <v>19</v>
      </c>
      <c r="C120" s="1">
        <f>IFERROR(__xludf.DUMMYFUNCTION("""COMPUTED_VALUE"""),2.0)</f>
        <v>2</v>
      </c>
      <c r="D120" s="1">
        <f>IFERROR(__xludf.DUMMYFUNCTION("""COMPUTED_VALUE"""),2.0)</f>
        <v>2</v>
      </c>
      <c r="E120" s="1">
        <f>IFERROR(__xludf.DUMMYFUNCTION("""COMPUTED_VALUE"""),6.0)</f>
        <v>6</v>
      </c>
      <c r="F120" s="1">
        <f>IFERROR(__xludf.DUMMYFUNCTION("""COMPUTED_VALUE"""),10.0)</f>
        <v>10</v>
      </c>
      <c r="G120" s="1">
        <f>IFERROR(__xludf.DUMMYFUNCTION("""COMPUTED_VALUE"""),7.0)</f>
        <v>7</v>
      </c>
      <c r="H120" s="1">
        <f>IFERROR(__xludf.DUMMYFUNCTION("""COMPUTED_VALUE"""),0.0)</f>
        <v>0</v>
      </c>
      <c r="I120" s="1">
        <f>IFERROR(__xludf.DUMMYFUNCTION("""COMPUTED_VALUE"""),0.0)</f>
        <v>0</v>
      </c>
      <c r="J120" s="1">
        <f>IFERROR(__xludf.DUMMYFUNCTION("""COMPUTED_VALUE"""),0.0)</f>
        <v>0</v>
      </c>
      <c r="K120" s="1">
        <f>IFERROR(__xludf.DUMMYFUNCTION("""COMPUTED_VALUE"""),0.0)</f>
        <v>0</v>
      </c>
      <c r="L120" s="1">
        <f>IFERROR(__xludf.DUMMYFUNCTION("""COMPUTED_VALUE"""),26.0)</f>
        <v>26</v>
      </c>
      <c r="M120" s="1">
        <f>IFERROR(__xludf.DUMMYFUNCTION("""COMPUTED_VALUE"""),2.0)</f>
        <v>2</v>
      </c>
      <c r="N120" s="1">
        <f>IFERROR(__xludf.DUMMYFUNCTION("""COMPUTED_VALUE"""),2.0)</f>
        <v>2</v>
      </c>
      <c r="O120" s="1">
        <f>IFERROR(__xludf.DUMMYFUNCTION("""COMPUTED_VALUE"""),6.0)</f>
        <v>6</v>
      </c>
      <c r="P120" s="1">
        <f>IFERROR(__xludf.DUMMYFUNCTION("""COMPUTED_VALUE"""),10.0)</f>
        <v>10</v>
      </c>
    </row>
    <row r="121">
      <c r="A121" s="1" t="str">
        <f>IFERROR(__xludf.DUMMYFUNCTION("""COMPUTED_VALUE"""),"Qatar")</f>
        <v>Qatar</v>
      </c>
      <c r="B121" s="1">
        <f>IFERROR(__xludf.DUMMYFUNCTION("""COMPUTED_VALUE"""),10.0)</f>
        <v>10</v>
      </c>
      <c r="C121" s="1">
        <f>IFERROR(__xludf.DUMMYFUNCTION("""COMPUTED_VALUE"""),2.0)</f>
        <v>2</v>
      </c>
      <c r="D121" s="1">
        <f>IFERROR(__xludf.DUMMYFUNCTION("""COMPUTED_VALUE"""),1.0)</f>
        <v>1</v>
      </c>
      <c r="E121" s="1">
        <f>IFERROR(__xludf.DUMMYFUNCTION("""COMPUTED_VALUE"""),5.0)</f>
        <v>5</v>
      </c>
      <c r="F121" s="1">
        <f>IFERROR(__xludf.DUMMYFUNCTION("""COMPUTED_VALUE"""),8.0)</f>
        <v>8</v>
      </c>
      <c r="G121" s="1">
        <f>IFERROR(__xludf.DUMMYFUNCTION("""COMPUTED_VALUE"""),0.0)</f>
        <v>0</v>
      </c>
      <c r="H121" s="1">
        <f>IFERROR(__xludf.DUMMYFUNCTION("""COMPUTED_VALUE"""),0.0)</f>
        <v>0</v>
      </c>
      <c r="I121" s="1">
        <f>IFERROR(__xludf.DUMMYFUNCTION("""COMPUTED_VALUE"""),0.0)</f>
        <v>0</v>
      </c>
      <c r="J121" s="1">
        <f>IFERROR(__xludf.DUMMYFUNCTION("""COMPUTED_VALUE"""),0.0)</f>
        <v>0</v>
      </c>
      <c r="K121" s="1">
        <f>IFERROR(__xludf.DUMMYFUNCTION("""COMPUTED_VALUE"""),0.0)</f>
        <v>0</v>
      </c>
      <c r="L121" s="1">
        <f>IFERROR(__xludf.DUMMYFUNCTION("""COMPUTED_VALUE"""),9.0)</f>
        <v>9</v>
      </c>
      <c r="M121" s="1">
        <f>IFERROR(__xludf.DUMMYFUNCTION("""COMPUTED_VALUE"""),2.0)</f>
        <v>2</v>
      </c>
      <c r="N121" s="1">
        <f>IFERROR(__xludf.DUMMYFUNCTION("""COMPUTED_VALUE"""),1.0)</f>
        <v>1</v>
      </c>
      <c r="O121" s="1">
        <f>IFERROR(__xludf.DUMMYFUNCTION("""COMPUTED_VALUE"""),5.0)</f>
        <v>5</v>
      </c>
      <c r="P121" s="1">
        <f>IFERROR(__xludf.DUMMYFUNCTION("""COMPUTED_VALUE"""),8.0)</f>
        <v>8</v>
      </c>
    </row>
    <row r="122">
      <c r="A122" s="1" t="str">
        <f>IFERROR(__xludf.DUMMYFUNCTION("""COMPUTED_VALUE"""),"République dominicaine")</f>
        <v>République dominicaine</v>
      </c>
      <c r="B122" s="1">
        <f>IFERROR(__xludf.DUMMYFUNCTION("""COMPUTED_VALUE"""),15.0)</f>
        <v>15</v>
      </c>
      <c r="C122" s="1">
        <f>IFERROR(__xludf.DUMMYFUNCTION("""COMPUTED_VALUE"""),3.0)</f>
        <v>3</v>
      </c>
      <c r="D122" s="1">
        <f>IFERROR(__xludf.DUMMYFUNCTION("""COMPUTED_VALUE"""),5.0)</f>
        <v>5</v>
      </c>
      <c r="E122" s="1">
        <f>IFERROR(__xludf.DUMMYFUNCTION("""COMPUTED_VALUE"""),4.0)</f>
        <v>4</v>
      </c>
      <c r="F122" s="1">
        <f>IFERROR(__xludf.DUMMYFUNCTION("""COMPUTED_VALUE"""),12.0)</f>
        <v>12</v>
      </c>
      <c r="G122" s="1">
        <f>IFERROR(__xludf.DUMMYFUNCTION("""COMPUTED_VALUE"""),0.0)</f>
        <v>0</v>
      </c>
      <c r="H122" s="1">
        <f>IFERROR(__xludf.DUMMYFUNCTION("""COMPUTED_VALUE"""),0.0)</f>
        <v>0</v>
      </c>
      <c r="I122" s="1">
        <f>IFERROR(__xludf.DUMMYFUNCTION("""COMPUTED_VALUE"""),0.0)</f>
        <v>0</v>
      </c>
      <c r="J122" s="1">
        <f>IFERROR(__xludf.DUMMYFUNCTION("""COMPUTED_VALUE"""),0.0)</f>
        <v>0</v>
      </c>
      <c r="K122" s="1">
        <f>IFERROR(__xludf.DUMMYFUNCTION("""COMPUTED_VALUE"""),0.0)</f>
        <v>0</v>
      </c>
      <c r="L122" s="1">
        <f>IFERROR(__xludf.DUMMYFUNCTION("""COMPUTED_VALUE"""),15.0)</f>
        <v>15</v>
      </c>
      <c r="M122" s="1">
        <f>IFERROR(__xludf.DUMMYFUNCTION("""COMPUTED_VALUE"""),3.0)</f>
        <v>3</v>
      </c>
      <c r="N122" s="1">
        <f>IFERROR(__xludf.DUMMYFUNCTION("""COMPUTED_VALUE"""),5.0)</f>
        <v>5</v>
      </c>
      <c r="O122" s="1">
        <f>IFERROR(__xludf.DUMMYFUNCTION("""COMPUTED_VALUE"""),4.0)</f>
        <v>4</v>
      </c>
      <c r="P122" s="1">
        <f>IFERROR(__xludf.DUMMYFUNCTION("""COMPUTED_VALUE"""),12.0)</f>
        <v>12</v>
      </c>
    </row>
    <row r="123">
      <c r="A123" s="1" t="str">
        <f>IFERROR(__xludf.DUMMYFUNCTION("""COMPUTED_VALUE"""),"République tchèque[21]")</f>
        <v>République tchèque[21]</v>
      </c>
      <c r="B123" s="1">
        <f>IFERROR(__xludf.DUMMYFUNCTION("""COMPUTED_VALUE"""),7.0)</f>
        <v>7</v>
      </c>
      <c r="C123" s="1">
        <f>IFERROR(__xludf.DUMMYFUNCTION("""COMPUTED_VALUE"""),19.0)</f>
        <v>19</v>
      </c>
      <c r="D123" s="1">
        <f>IFERROR(__xludf.DUMMYFUNCTION("""COMPUTED_VALUE"""),21.0)</f>
        <v>21</v>
      </c>
      <c r="E123" s="1">
        <f>IFERROR(__xludf.DUMMYFUNCTION("""COMPUTED_VALUE"""),27.0)</f>
        <v>27</v>
      </c>
      <c r="F123" s="1">
        <f>IFERROR(__xludf.DUMMYFUNCTION("""COMPUTED_VALUE"""),67.0)</f>
        <v>67</v>
      </c>
      <c r="G123" s="1">
        <f>IFERROR(__xludf.DUMMYFUNCTION("""COMPUTED_VALUE"""),7.0)</f>
        <v>7</v>
      </c>
      <c r="H123" s="1">
        <f>IFERROR(__xludf.DUMMYFUNCTION("""COMPUTED_VALUE"""),9.0)</f>
        <v>9</v>
      </c>
      <c r="I123" s="1">
        <f>IFERROR(__xludf.DUMMYFUNCTION("""COMPUTED_VALUE"""),11.0)</f>
        <v>11</v>
      </c>
      <c r="J123" s="1">
        <f>IFERROR(__xludf.DUMMYFUNCTION("""COMPUTED_VALUE"""),11.0)</f>
        <v>11</v>
      </c>
      <c r="K123" s="1">
        <f>IFERROR(__xludf.DUMMYFUNCTION("""COMPUTED_VALUE"""),31.0)</f>
        <v>31</v>
      </c>
      <c r="L123" s="1">
        <f>IFERROR(__xludf.DUMMYFUNCTION("""COMPUTED_VALUE"""),14.0)</f>
        <v>14</v>
      </c>
      <c r="M123" s="1">
        <f>IFERROR(__xludf.DUMMYFUNCTION("""COMPUTED_VALUE"""),28.0)</f>
        <v>28</v>
      </c>
      <c r="N123" s="1">
        <f>IFERROR(__xludf.DUMMYFUNCTION("""COMPUTED_VALUE"""),32.0)</f>
        <v>32</v>
      </c>
      <c r="O123" s="1">
        <f>IFERROR(__xludf.DUMMYFUNCTION("""COMPUTED_VALUE"""),38.0)</f>
        <v>38</v>
      </c>
      <c r="P123" s="1">
        <f>IFERROR(__xludf.DUMMYFUNCTION("""COMPUTED_VALUE"""),98.0)</f>
        <v>98</v>
      </c>
    </row>
    <row r="124">
      <c r="A124" s="1" t="str">
        <f>IFERROR(__xludf.DUMMYFUNCTION("""COMPUTED_VALUE"""),"Roumanie")</f>
        <v>Roumanie</v>
      </c>
      <c r="B124" s="1">
        <f>IFERROR(__xludf.DUMMYFUNCTION("""COMPUTED_VALUE"""),22.0)</f>
        <v>22</v>
      </c>
      <c r="C124" s="1">
        <f>IFERROR(__xludf.DUMMYFUNCTION("""COMPUTED_VALUE"""),90.0)</f>
        <v>90</v>
      </c>
      <c r="D124" s="1">
        <f>IFERROR(__xludf.DUMMYFUNCTION("""COMPUTED_VALUE"""),97.0)</f>
        <v>97</v>
      </c>
      <c r="E124" s="1">
        <f>IFERROR(__xludf.DUMMYFUNCTION("""COMPUTED_VALUE"""),121.0)</f>
        <v>121</v>
      </c>
      <c r="F124" s="1">
        <f>IFERROR(__xludf.DUMMYFUNCTION("""COMPUTED_VALUE"""),308.0)</f>
        <v>308</v>
      </c>
      <c r="G124" s="1">
        <f>IFERROR(__xludf.DUMMYFUNCTION("""COMPUTED_VALUE"""),21.0)</f>
        <v>21</v>
      </c>
      <c r="H124" s="1">
        <f>IFERROR(__xludf.DUMMYFUNCTION("""COMPUTED_VALUE"""),0.0)</f>
        <v>0</v>
      </c>
      <c r="I124" s="1">
        <f>IFERROR(__xludf.DUMMYFUNCTION("""COMPUTED_VALUE"""),0.0)</f>
        <v>0</v>
      </c>
      <c r="J124" s="1">
        <f>IFERROR(__xludf.DUMMYFUNCTION("""COMPUTED_VALUE"""),1.0)</f>
        <v>1</v>
      </c>
      <c r="K124" s="1">
        <f>IFERROR(__xludf.DUMMYFUNCTION("""COMPUTED_VALUE"""),1.0)</f>
        <v>1</v>
      </c>
      <c r="L124" s="1">
        <f>IFERROR(__xludf.DUMMYFUNCTION("""COMPUTED_VALUE"""),43.0)</f>
        <v>43</v>
      </c>
      <c r="M124" s="1">
        <f>IFERROR(__xludf.DUMMYFUNCTION("""COMPUTED_VALUE"""),90.0)</f>
        <v>90</v>
      </c>
      <c r="N124" s="1">
        <f>IFERROR(__xludf.DUMMYFUNCTION("""COMPUTED_VALUE"""),97.0)</f>
        <v>97</v>
      </c>
      <c r="O124" s="1">
        <f>IFERROR(__xludf.DUMMYFUNCTION("""COMPUTED_VALUE"""),122.0)</f>
        <v>122</v>
      </c>
      <c r="P124" s="1">
        <f>IFERROR(__xludf.DUMMYFUNCTION("""COMPUTED_VALUE"""),309.0)</f>
        <v>309</v>
      </c>
    </row>
    <row r="125">
      <c r="A125" s="1" t="str">
        <f>IFERROR(__xludf.DUMMYFUNCTION("""COMPUTED_VALUE"""),"Russie[22]")</f>
        <v>Russie[22]</v>
      </c>
      <c r="B125" s="1">
        <f>IFERROR(__xludf.DUMMYFUNCTION("""COMPUTED_VALUE"""),6.0)</f>
        <v>6</v>
      </c>
      <c r="C125" s="1">
        <f>IFERROR(__xludf.DUMMYFUNCTION("""COMPUTED_VALUE"""),149.0)</f>
        <v>149</v>
      </c>
      <c r="D125" s="1">
        <f>IFERROR(__xludf.DUMMYFUNCTION("""COMPUTED_VALUE"""),125.0)</f>
        <v>125</v>
      </c>
      <c r="E125" s="1">
        <f>IFERROR(__xludf.DUMMYFUNCTION("""COMPUTED_VALUE"""),152.0)</f>
        <v>152</v>
      </c>
      <c r="F125" s="1">
        <f>IFERROR(__xludf.DUMMYFUNCTION("""COMPUTED_VALUE"""),426.0)</f>
        <v>426</v>
      </c>
      <c r="G125" s="1">
        <f>IFERROR(__xludf.DUMMYFUNCTION("""COMPUTED_VALUE"""),6.0)</f>
        <v>6</v>
      </c>
      <c r="H125" s="1">
        <f>IFERROR(__xludf.DUMMYFUNCTION("""COMPUTED_VALUE"""),47.0)</f>
        <v>47</v>
      </c>
      <c r="I125" s="1">
        <f>IFERROR(__xludf.DUMMYFUNCTION("""COMPUTED_VALUE"""),39.0)</f>
        <v>39</v>
      </c>
      <c r="J125" s="1">
        <f>IFERROR(__xludf.DUMMYFUNCTION("""COMPUTED_VALUE"""),35.0)</f>
        <v>35</v>
      </c>
      <c r="K125" s="1">
        <f>IFERROR(__xludf.DUMMYFUNCTION("""COMPUTED_VALUE"""),121.0)</f>
        <v>121</v>
      </c>
      <c r="L125" s="1">
        <f>IFERROR(__xludf.DUMMYFUNCTION("""COMPUTED_VALUE"""),12.0)</f>
        <v>12</v>
      </c>
      <c r="M125" s="1">
        <f>IFERROR(__xludf.DUMMYFUNCTION("""COMPUTED_VALUE"""),196.0)</f>
        <v>196</v>
      </c>
      <c r="N125" s="1">
        <f>IFERROR(__xludf.DUMMYFUNCTION("""COMPUTED_VALUE"""),164.0)</f>
        <v>164</v>
      </c>
      <c r="O125" s="1">
        <f>IFERROR(__xludf.DUMMYFUNCTION("""COMPUTED_VALUE"""),187.0)</f>
        <v>187</v>
      </c>
      <c r="P125" s="1">
        <f>IFERROR(__xludf.DUMMYFUNCTION("""COMPUTED_VALUE"""),547.0)</f>
        <v>547</v>
      </c>
    </row>
    <row r="126">
      <c r="A126" s="1" t="str">
        <f>IFERROR(__xludf.DUMMYFUNCTION("""COMPUTED_VALUE"""),"Samoa")</f>
        <v>Samoa</v>
      </c>
      <c r="B126" s="1">
        <f>IFERROR(__xludf.DUMMYFUNCTION("""COMPUTED_VALUE"""),10.0)</f>
        <v>10</v>
      </c>
      <c r="C126" s="1">
        <f>IFERROR(__xludf.DUMMYFUNCTION("""COMPUTED_VALUE"""),0.0)</f>
        <v>0</v>
      </c>
      <c r="D126" s="1">
        <f>IFERROR(__xludf.DUMMYFUNCTION("""COMPUTED_VALUE"""),1.0)</f>
        <v>1</v>
      </c>
      <c r="E126" s="1">
        <f>IFERROR(__xludf.DUMMYFUNCTION("""COMPUTED_VALUE"""),0.0)</f>
        <v>0</v>
      </c>
      <c r="F126" s="1">
        <f>IFERROR(__xludf.DUMMYFUNCTION("""COMPUTED_VALUE"""),1.0)</f>
        <v>1</v>
      </c>
      <c r="G126" s="1">
        <f>IFERROR(__xludf.DUMMYFUNCTION("""COMPUTED_VALUE"""),0.0)</f>
        <v>0</v>
      </c>
      <c r="H126" s="1">
        <f>IFERROR(__xludf.DUMMYFUNCTION("""COMPUTED_VALUE"""),0.0)</f>
        <v>0</v>
      </c>
      <c r="I126" s="1">
        <f>IFERROR(__xludf.DUMMYFUNCTION("""COMPUTED_VALUE"""),0.0)</f>
        <v>0</v>
      </c>
      <c r="J126" s="1">
        <f>IFERROR(__xludf.DUMMYFUNCTION("""COMPUTED_VALUE"""),0.0)</f>
        <v>0</v>
      </c>
      <c r="K126" s="1">
        <f>IFERROR(__xludf.DUMMYFUNCTION("""COMPUTED_VALUE"""),0.0)</f>
        <v>0</v>
      </c>
      <c r="L126" s="1">
        <f>IFERROR(__xludf.DUMMYFUNCTION("""COMPUTED_VALUE"""),10.0)</f>
        <v>10</v>
      </c>
      <c r="M126" s="1">
        <f>IFERROR(__xludf.DUMMYFUNCTION("""COMPUTED_VALUE"""),0.0)</f>
        <v>0</v>
      </c>
      <c r="N126" s="1">
        <f>IFERROR(__xludf.DUMMYFUNCTION("""COMPUTED_VALUE"""),1.0)</f>
        <v>1</v>
      </c>
      <c r="O126" s="1">
        <f>IFERROR(__xludf.DUMMYFUNCTION("""COMPUTED_VALUE"""),0.0)</f>
        <v>0</v>
      </c>
      <c r="P126" s="1">
        <f>IFERROR(__xludf.DUMMYFUNCTION("""COMPUTED_VALUE"""),1.0)</f>
        <v>1</v>
      </c>
    </row>
    <row r="127">
      <c r="A127" s="1" t="str">
        <f>IFERROR(__xludf.DUMMYFUNCTION("""COMPUTED_VALUE"""),"Saint-Marin")</f>
        <v>Saint-Marin</v>
      </c>
      <c r="B127" s="1">
        <f>IFERROR(__xludf.DUMMYFUNCTION("""COMPUTED_VALUE"""),16.0)</f>
        <v>16</v>
      </c>
      <c r="C127" s="1">
        <f>IFERROR(__xludf.DUMMYFUNCTION("""COMPUTED_VALUE"""),0.0)</f>
        <v>0</v>
      </c>
      <c r="D127" s="1">
        <f>IFERROR(__xludf.DUMMYFUNCTION("""COMPUTED_VALUE"""),1.0)</f>
        <v>1</v>
      </c>
      <c r="E127" s="1">
        <f>IFERROR(__xludf.DUMMYFUNCTION("""COMPUTED_VALUE"""),2.0)</f>
        <v>2</v>
      </c>
      <c r="F127" s="1">
        <f>IFERROR(__xludf.DUMMYFUNCTION("""COMPUTED_VALUE"""),3.0)</f>
        <v>3</v>
      </c>
      <c r="G127" s="1">
        <f>IFERROR(__xludf.DUMMYFUNCTION("""COMPUTED_VALUE"""),10.0)</f>
        <v>10</v>
      </c>
      <c r="H127" s="1">
        <f>IFERROR(__xludf.DUMMYFUNCTION("""COMPUTED_VALUE"""),0.0)</f>
        <v>0</v>
      </c>
      <c r="I127" s="1">
        <f>IFERROR(__xludf.DUMMYFUNCTION("""COMPUTED_VALUE"""),0.0)</f>
        <v>0</v>
      </c>
      <c r="J127" s="1">
        <f>IFERROR(__xludf.DUMMYFUNCTION("""COMPUTED_VALUE"""),0.0)</f>
        <v>0</v>
      </c>
      <c r="K127" s="1">
        <f>IFERROR(__xludf.DUMMYFUNCTION("""COMPUTED_VALUE"""),0.0)</f>
        <v>0</v>
      </c>
      <c r="L127" s="1">
        <f>IFERROR(__xludf.DUMMYFUNCTION("""COMPUTED_VALUE"""),26.0)</f>
        <v>26</v>
      </c>
      <c r="M127" s="1">
        <f>IFERROR(__xludf.DUMMYFUNCTION("""COMPUTED_VALUE"""),0.0)</f>
        <v>0</v>
      </c>
      <c r="N127" s="1">
        <f>IFERROR(__xludf.DUMMYFUNCTION("""COMPUTED_VALUE"""),1.0)</f>
        <v>1</v>
      </c>
      <c r="O127" s="1">
        <f>IFERROR(__xludf.DUMMYFUNCTION("""COMPUTED_VALUE"""),2.0)</f>
        <v>2</v>
      </c>
      <c r="P127" s="1">
        <f>IFERROR(__xludf.DUMMYFUNCTION("""COMPUTED_VALUE"""),3.0)</f>
        <v>3</v>
      </c>
    </row>
    <row r="128">
      <c r="A128" s="1" t="str">
        <f>IFERROR(__xludf.DUMMYFUNCTION("""COMPUTED_VALUE"""),"Sainte-Lucie")</f>
        <v>Sainte-Lucie</v>
      </c>
      <c r="B128" s="1">
        <f>IFERROR(__xludf.DUMMYFUNCTION("""COMPUTED_VALUE"""),7.0)</f>
        <v>7</v>
      </c>
      <c r="C128" s="1">
        <f>IFERROR(__xludf.DUMMYFUNCTION("""COMPUTED_VALUE"""),1.0)</f>
        <v>1</v>
      </c>
      <c r="D128" s="1">
        <f>IFERROR(__xludf.DUMMYFUNCTION("""COMPUTED_VALUE"""),1.0)</f>
        <v>1</v>
      </c>
      <c r="E128" s="1">
        <f>IFERROR(__xludf.DUMMYFUNCTION("""COMPUTED_VALUE"""),0.0)</f>
        <v>0</v>
      </c>
      <c r="F128" s="1">
        <f>IFERROR(__xludf.DUMMYFUNCTION("""COMPUTED_VALUE"""),2.0)</f>
        <v>2</v>
      </c>
      <c r="G128" s="1">
        <f>IFERROR(__xludf.DUMMYFUNCTION("""COMPUTED_VALUE"""),0.0)</f>
        <v>0</v>
      </c>
      <c r="H128" s="1">
        <f>IFERROR(__xludf.DUMMYFUNCTION("""COMPUTED_VALUE"""),0.0)</f>
        <v>0</v>
      </c>
      <c r="I128" s="1">
        <f>IFERROR(__xludf.DUMMYFUNCTION("""COMPUTED_VALUE"""),0.0)</f>
        <v>0</v>
      </c>
      <c r="J128" s="1">
        <f>IFERROR(__xludf.DUMMYFUNCTION("""COMPUTED_VALUE"""),0.0)</f>
        <v>0</v>
      </c>
      <c r="K128" s="1">
        <f>IFERROR(__xludf.DUMMYFUNCTION("""COMPUTED_VALUE"""),0.0)</f>
        <v>0</v>
      </c>
      <c r="L128" s="1">
        <f>IFERROR(__xludf.DUMMYFUNCTION("""COMPUTED_VALUE"""),7.0)</f>
        <v>7</v>
      </c>
      <c r="M128" s="1">
        <f>IFERROR(__xludf.DUMMYFUNCTION("""COMPUTED_VALUE"""),1.0)</f>
        <v>1</v>
      </c>
      <c r="N128" s="1">
        <f>IFERROR(__xludf.DUMMYFUNCTION("""COMPUTED_VALUE"""),1.0)</f>
        <v>1</v>
      </c>
      <c r="O128" s="1">
        <f>IFERROR(__xludf.DUMMYFUNCTION("""COMPUTED_VALUE"""),0.0)</f>
        <v>0</v>
      </c>
      <c r="P128" s="1">
        <f>IFERROR(__xludf.DUMMYFUNCTION("""COMPUTED_VALUE"""),2.0)</f>
        <v>2</v>
      </c>
    </row>
    <row r="129">
      <c r="A129" s="1" t="str">
        <f>IFERROR(__xludf.DUMMYFUNCTION("""COMPUTED_VALUE"""),"Sénégal")</f>
        <v>Sénégal</v>
      </c>
      <c r="B129" s="1">
        <f>IFERROR(__xludf.DUMMYFUNCTION("""COMPUTED_VALUE"""),15.0)</f>
        <v>15</v>
      </c>
      <c r="C129" s="1">
        <f>IFERROR(__xludf.DUMMYFUNCTION("""COMPUTED_VALUE"""),0.0)</f>
        <v>0</v>
      </c>
      <c r="D129" s="1">
        <f>IFERROR(__xludf.DUMMYFUNCTION("""COMPUTED_VALUE"""),1.0)</f>
        <v>1</v>
      </c>
      <c r="E129" s="1">
        <f>IFERROR(__xludf.DUMMYFUNCTION("""COMPUTED_VALUE"""),0.0)</f>
        <v>0</v>
      </c>
      <c r="F129" s="1">
        <f>IFERROR(__xludf.DUMMYFUNCTION("""COMPUTED_VALUE"""),1.0)</f>
        <v>1</v>
      </c>
      <c r="G129" s="1">
        <f>IFERROR(__xludf.DUMMYFUNCTION("""COMPUTED_VALUE"""),5.0)</f>
        <v>5</v>
      </c>
      <c r="H129" s="1">
        <f>IFERROR(__xludf.DUMMYFUNCTION("""COMPUTED_VALUE"""),0.0)</f>
        <v>0</v>
      </c>
      <c r="I129" s="1">
        <f>IFERROR(__xludf.DUMMYFUNCTION("""COMPUTED_VALUE"""),0.0)</f>
        <v>0</v>
      </c>
      <c r="J129" s="1">
        <f>IFERROR(__xludf.DUMMYFUNCTION("""COMPUTED_VALUE"""),0.0)</f>
        <v>0</v>
      </c>
      <c r="K129" s="1">
        <f>IFERROR(__xludf.DUMMYFUNCTION("""COMPUTED_VALUE"""),0.0)</f>
        <v>0</v>
      </c>
      <c r="L129" s="1">
        <f>IFERROR(__xludf.DUMMYFUNCTION("""COMPUTED_VALUE"""),20.0)</f>
        <v>20</v>
      </c>
      <c r="M129" s="1">
        <f>IFERROR(__xludf.DUMMYFUNCTION("""COMPUTED_VALUE"""),0.0)</f>
        <v>0</v>
      </c>
      <c r="N129" s="1">
        <f>IFERROR(__xludf.DUMMYFUNCTION("""COMPUTED_VALUE"""),1.0)</f>
        <v>1</v>
      </c>
      <c r="O129" s="1">
        <f>IFERROR(__xludf.DUMMYFUNCTION("""COMPUTED_VALUE"""),0.0)</f>
        <v>0</v>
      </c>
      <c r="P129" s="1">
        <f>IFERROR(__xludf.DUMMYFUNCTION("""COMPUTED_VALUE"""),1.0)</f>
        <v>1</v>
      </c>
    </row>
    <row r="130">
      <c r="A130" s="1" t="str">
        <f>IFERROR(__xludf.DUMMYFUNCTION("""COMPUTED_VALUE"""),"Serbie")</f>
        <v>Serbie</v>
      </c>
      <c r="B130" s="1">
        <f>IFERROR(__xludf.DUMMYFUNCTION("""COMPUTED_VALUE"""),5.0)</f>
        <v>5</v>
      </c>
      <c r="C130" s="1">
        <f>IFERROR(__xludf.DUMMYFUNCTION("""COMPUTED_VALUE"""),6.0)</f>
        <v>6</v>
      </c>
      <c r="D130" s="1">
        <f>IFERROR(__xludf.DUMMYFUNCTION("""COMPUTED_VALUE"""),7.0)</f>
        <v>7</v>
      </c>
      <c r="E130" s="1">
        <f>IFERROR(__xludf.DUMMYFUNCTION("""COMPUTED_VALUE"""),11.0)</f>
        <v>11</v>
      </c>
      <c r="F130" s="1">
        <f>IFERROR(__xludf.DUMMYFUNCTION("""COMPUTED_VALUE"""),24.0)</f>
        <v>24</v>
      </c>
      <c r="G130" s="1">
        <f>IFERROR(__xludf.DUMMYFUNCTION("""COMPUTED_VALUE"""),3.0)</f>
        <v>3</v>
      </c>
      <c r="H130" s="1">
        <f>IFERROR(__xludf.DUMMYFUNCTION("""COMPUTED_VALUE"""),0.0)</f>
        <v>0</v>
      </c>
      <c r="I130" s="1">
        <f>IFERROR(__xludf.DUMMYFUNCTION("""COMPUTED_VALUE"""),0.0)</f>
        <v>0</v>
      </c>
      <c r="J130" s="1">
        <f>IFERROR(__xludf.DUMMYFUNCTION("""COMPUTED_VALUE"""),0.0)</f>
        <v>0</v>
      </c>
      <c r="K130" s="1">
        <f>IFERROR(__xludf.DUMMYFUNCTION("""COMPUTED_VALUE"""),0.0)</f>
        <v>0</v>
      </c>
      <c r="L130" s="1">
        <f>IFERROR(__xludf.DUMMYFUNCTION("""COMPUTED_VALUE"""),8.0)</f>
        <v>8</v>
      </c>
      <c r="M130" s="1">
        <f>IFERROR(__xludf.DUMMYFUNCTION("""COMPUTED_VALUE"""),6.0)</f>
        <v>6</v>
      </c>
      <c r="N130" s="1">
        <f>IFERROR(__xludf.DUMMYFUNCTION("""COMPUTED_VALUE"""),7.0)</f>
        <v>7</v>
      </c>
      <c r="O130" s="1">
        <f>IFERROR(__xludf.DUMMYFUNCTION("""COMPUTED_VALUE"""),11.0)</f>
        <v>11</v>
      </c>
      <c r="P130" s="1">
        <f>IFERROR(__xludf.DUMMYFUNCTION("""COMPUTED_VALUE"""),24.0)</f>
        <v>24</v>
      </c>
    </row>
    <row r="131">
      <c r="A131" s="1" t="str">
        <f>IFERROR(__xludf.DUMMYFUNCTION("""COMPUTED_VALUE"""),"*Serbie-et-Monténégro*[23]")</f>
        <v>*Serbie-et-Monténégro*[23]</v>
      </c>
      <c r="B131" s="1">
        <f>IFERROR(__xludf.DUMMYFUNCTION("""COMPUTED_VALUE"""),3.0)</f>
        <v>3</v>
      </c>
      <c r="C131" s="1">
        <f>IFERROR(__xludf.DUMMYFUNCTION("""COMPUTED_VALUE"""),0.0)</f>
        <v>0</v>
      </c>
      <c r="D131" s="1">
        <f>IFERROR(__xludf.DUMMYFUNCTION("""COMPUTED_VALUE"""),2.0)</f>
        <v>2</v>
      </c>
      <c r="E131" s="1">
        <f>IFERROR(__xludf.DUMMYFUNCTION("""COMPUTED_VALUE"""),0.0)</f>
        <v>0</v>
      </c>
      <c r="F131" s="1">
        <f>IFERROR(__xludf.DUMMYFUNCTION("""COMPUTED_VALUE"""),2.0)</f>
        <v>2</v>
      </c>
      <c r="G131" s="1">
        <f>IFERROR(__xludf.DUMMYFUNCTION("""COMPUTED_VALUE"""),3.0)</f>
        <v>3</v>
      </c>
      <c r="H131" s="1">
        <f>IFERROR(__xludf.DUMMYFUNCTION("""COMPUTED_VALUE"""),0.0)</f>
        <v>0</v>
      </c>
      <c r="I131" s="1">
        <f>IFERROR(__xludf.DUMMYFUNCTION("""COMPUTED_VALUE"""),0.0)</f>
        <v>0</v>
      </c>
      <c r="J131" s="1">
        <f>IFERROR(__xludf.DUMMYFUNCTION("""COMPUTED_VALUE"""),0.0)</f>
        <v>0</v>
      </c>
      <c r="K131" s="1">
        <f>IFERROR(__xludf.DUMMYFUNCTION("""COMPUTED_VALUE"""),0.0)</f>
        <v>0</v>
      </c>
      <c r="L131" s="1">
        <f>IFERROR(__xludf.DUMMYFUNCTION("""COMPUTED_VALUE"""),6.0)</f>
        <v>6</v>
      </c>
      <c r="M131" s="1">
        <f>IFERROR(__xludf.DUMMYFUNCTION("""COMPUTED_VALUE"""),0.0)</f>
        <v>0</v>
      </c>
      <c r="N131" s="1">
        <f>IFERROR(__xludf.DUMMYFUNCTION("""COMPUTED_VALUE"""),2.0)</f>
        <v>2</v>
      </c>
      <c r="O131" s="1">
        <f>IFERROR(__xludf.DUMMYFUNCTION("""COMPUTED_VALUE"""),0.0)</f>
        <v>0</v>
      </c>
      <c r="P131" s="1">
        <f>IFERROR(__xludf.DUMMYFUNCTION("""COMPUTED_VALUE"""),2.0)</f>
        <v>2</v>
      </c>
    </row>
    <row r="132">
      <c r="A132" s="1" t="str">
        <f>IFERROR(__xludf.DUMMYFUNCTION("""COMPUTED_VALUE"""),"Singapour")</f>
        <v>Singapour</v>
      </c>
      <c r="B132" s="1">
        <f>IFERROR(__xludf.DUMMYFUNCTION("""COMPUTED_VALUE"""),17.0)</f>
        <v>17</v>
      </c>
      <c r="C132" s="1">
        <f>IFERROR(__xludf.DUMMYFUNCTION("""COMPUTED_VALUE"""),1.0)</f>
        <v>1</v>
      </c>
      <c r="D132" s="1">
        <f>IFERROR(__xludf.DUMMYFUNCTION("""COMPUTED_VALUE"""),2.0)</f>
        <v>2</v>
      </c>
      <c r="E132" s="1">
        <f>IFERROR(__xludf.DUMMYFUNCTION("""COMPUTED_VALUE"""),2.0)</f>
        <v>2</v>
      </c>
      <c r="F132" s="1">
        <f>IFERROR(__xludf.DUMMYFUNCTION("""COMPUTED_VALUE"""),5.0)</f>
        <v>5</v>
      </c>
      <c r="G132" s="1">
        <f>IFERROR(__xludf.DUMMYFUNCTION("""COMPUTED_VALUE"""),1.0)</f>
        <v>1</v>
      </c>
      <c r="H132" s="1">
        <f>IFERROR(__xludf.DUMMYFUNCTION("""COMPUTED_VALUE"""),0.0)</f>
        <v>0</v>
      </c>
      <c r="I132" s="1">
        <f>IFERROR(__xludf.DUMMYFUNCTION("""COMPUTED_VALUE"""),0.0)</f>
        <v>0</v>
      </c>
      <c r="J132" s="1">
        <f>IFERROR(__xludf.DUMMYFUNCTION("""COMPUTED_VALUE"""),0.0)</f>
        <v>0</v>
      </c>
      <c r="K132" s="1">
        <f>IFERROR(__xludf.DUMMYFUNCTION("""COMPUTED_VALUE"""),0.0)</f>
        <v>0</v>
      </c>
      <c r="L132" s="1">
        <f>IFERROR(__xludf.DUMMYFUNCTION("""COMPUTED_VALUE"""),18.0)</f>
        <v>18</v>
      </c>
      <c r="M132" s="1">
        <f>IFERROR(__xludf.DUMMYFUNCTION("""COMPUTED_VALUE"""),1.0)</f>
        <v>1</v>
      </c>
      <c r="N132" s="1">
        <f>IFERROR(__xludf.DUMMYFUNCTION("""COMPUTED_VALUE"""),2.0)</f>
        <v>2</v>
      </c>
      <c r="O132" s="1">
        <f>IFERROR(__xludf.DUMMYFUNCTION("""COMPUTED_VALUE"""),2.0)</f>
        <v>2</v>
      </c>
      <c r="P132" s="1">
        <f>IFERROR(__xludf.DUMMYFUNCTION("""COMPUTED_VALUE"""),5.0)</f>
        <v>5</v>
      </c>
    </row>
    <row r="133">
      <c r="A133" s="1" t="str">
        <f>IFERROR(__xludf.DUMMYFUNCTION("""COMPUTED_VALUE"""),"Slovaquie")</f>
        <v>Slovaquie</v>
      </c>
      <c r="B133" s="1">
        <f>IFERROR(__xludf.DUMMYFUNCTION("""COMPUTED_VALUE"""),7.0)</f>
        <v>7</v>
      </c>
      <c r="C133" s="1">
        <f>IFERROR(__xludf.DUMMYFUNCTION("""COMPUTED_VALUE"""),10.0)</f>
        <v>10</v>
      </c>
      <c r="D133" s="1">
        <f>IFERROR(__xludf.DUMMYFUNCTION("""COMPUTED_VALUE"""),14.0)</f>
        <v>14</v>
      </c>
      <c r="E133" s="1">
        <f>IFERROR(__xludf.DUMMYFUNCTION("""COMPUTED_VALUE"""),8.0)</f>
        <v>8</v>
      </c>
      <c r="F133" s="1">
        <f>IFERROR(__xludf.DUMMYFUNCTION("""COMPUTED_VALUE"""),32.0)</f>
        <v>32</v>
      </c>
      <c r="G133" s="1">
        <f>IFERROR(__xludf.DUMMYFUNCTION("""COMPUTED_VALUE"""),7.0)</f>
        <v>7</v>
      </c>
      <c r="H133" s="1">
        <f>IFERROR(__xludf.DUMMYFUNCTION("""COMPUTED_VALUE"""),3.0)</f>
        <v>3</v>
      </c>
      <c r="I133" s="1">
        <f>IFERROR(__xludf.DUMMYFUNCTION("""COMPUTED_VALUE"""),4.0)</f>
        <v>4</v>
      </c>
      <c r="J133" s="1">
        <f>IFERROR(__xludf.DUMMYFUNCTION("""COMPUTED_VALUE"""),1.0)</f>
        <v>1</v>
      </c>
      <c r="K133" s="1">
        <f>IFERROR(__xludf.DUMMYFUNCTION("""COMPUTED_VALUE"""),8.0)</f>
        <v>8</v>
      </c>
      <c r="L133" s="1">
        <f>IFERROR(__xludf.DUMMYFUNCTION("""COMPUTED_VALUE"""),14.0)</f>
        <v>14</v>
      </c>
      <c r="M133" s="1">
        <f>IFERROR(__xludf.DUMMYFUNCTION("""COMPUTED_VALUE"""),13.0)</f>
        <v>13</v>
      </c>
      <c r="N133" s="1">
        <f>IFERROR(__xludf.DUMMYFUNCTION("""COMPUTED_VALUE"""),18.0)</f>
        <v>18</v>
      </c>
      <c r="O133" s="1">
        <f>IFERROR(__xludf.DUMMYFUNCTION("""COMPUTED_VALUE"""),9.0)</f>
        <v>9</v>
      </c>
      <c r="P133" s="1">
        <f>IFERROR(__xludf.DUMMYFUNCTION("""COMPUTED_VALUE"""),40.0)</f>
        <v>40</v>
      </c>
    </row>
    <row r="134">
      <c r="A134" s="1" t="str">
        <f>IFERROR(__xludf.DUMMYFUNCTION("""COMPUTED_VALUE"""),"Slovénie")</f>
        <v>Slovénie</v>
      </c>
      <c r="B134" s="1">
        <f>IFERROR(__xludf.DUMMYFUNCTION("""COMPUTED_VALUE"""),8.0)</f>
        <v>8</v>
      </c>
      <c r="C134" s="1">
        <f>IFERROR(__xludf.DUMMYFUNCTION("""COMPUTED_VALUE"""),8.0)</f>
        <v>8</v>
      </c>
      <c r="D134" s="1">
        <f>IFERROR(__xludf.DUMMYFUNCTION("""COMPUTED_VALUE"""),9.0)</f>
        <v>9</v>
      </c>
      <c r="E134" s="1">
        <f>IFERROR(__xludf.DUMMYFUNCTION("""COMPUTED_VALUE"""),11.0)</f>
        <v>11</v>
      </c>
      <c r="F134" s="1">
        <f>IFERROR(__xludf.DUMMYFUNCTION("""COMPUTED_VALUE"""),28.0)</f>
        <v>28</v>
      </c>
      <c r="G134" s="1">
        <f>IFERROR(__xludf.DUMMYFUNCTION("""COMPUTED_VALUE"""),8.0)</f>
        <v>8</v>
      </c>
      <c r="H134" s="1">
        <f>IFERROR(__xludf.DUMMYFUNCTION("""COMPUTED_VALUE"""),2.0)</f>
        <v>2</v>
      </c>
      <c r="I134" s="1">
        <f>IFERROR(__xludf.DUMMYFUNCTION("""COMPUTED_VALUE"""),5.0)</f>
        <v>5</v>
      </c>
      <c r="J134" s="1">
        <f>IFERROR(__xludf.DUMMYFUNCTION("""COMPUTED_VALUE"""),10.0)</f>
        <v>10</v>
      </c>
      <c r="K134" s="1">
        <f>IFERROR(__xludf.DUMMYFUNCTION("""COMPUTED_VALUE"""),17.0)</f>
        <v>17</v>
      </c>
      <c r="L134" s="1">
        <f>IFERROR(__xludf.DUMMYFUNCTION("""COMPUTED_VALUE"""),16.0)</f>
        <v>16</v>
      </c>
      <c r="M134" s="1">
        <f>IFERROR(__xludf.DUMMYFUNCTION("""COMPUTED_VALUE"""),10.0)</f>
        <v>10</v>
      </c>
      <c r="N134" s="1">
        <f>IFERROR(__xludf.DUMMYFUNCTION("""COMPUTED_VALUE"""),14.0)</f>
        <v>14</v>
      </c>
      <c r="O134" s="1">
        <f>IFERROR(__xludf.DUMMYFUNCTION("""COMPUTED_VALUE"""),21.0)</f>
        <v>21</v>
      </c>
      <c r="P134" s="1">
        <f>IFERROR(__xludf.DUMMYFUNCTION("""COMPUTED_VALUE"""),45.0)</f>
        <v>45</v>
      </c>
    </row>
    <row r="135">
      <c r="A135" s="1" t="str">
        <f>IFERROR(__xludf.DUMMYFUNCTION("""COMPUTED_VALUE"""),"Sri Lanka[24]")</f>
        <v>Sri Lanka[24]</v>
      </c>
      <c r="B135" s="1">
        <f>IFERROR(__xludf.DUMMYFUNCTION("""COMPUTED_VALUE"""),18.0)</f>
        <v>18</v>
      </c>
      <c r="C135" s="1">
        <f>IFERROR(__xludf.DUMMYFUNCTION("""COMPUTED_VALUE"""),0.0)</f>
        <v>0</v>
      </c>
      <c r="D135" s="1">
        <f>IFERROR(__xludf.DUMMYFUNCTION("""COMPUTED_VALUE"""),2.0)</f>
        <v>2</v>
      </c>
      <c r="E135" s="1">
        <f>IFERROR(__xludf.DUMMYFUNCTION("""COMPUTED_VALUE"""),0.0)</f>
        <v>0</v>
      </c>
      <c r="F135" s="1">
        <f>IFERROR(__xludf.DUMMYFUNCTION("""COMPUTED_VALUE"""),2.0)</f>
        <v>2</v>
      </c>
      <c r="G135" s="1">
        <f>IFERROR(__xludf.DUMMYFUNCTION("""COMPUTED_VALUE"""),0.0)</f>
        <v>0</v>
      </c>
      <c r="H135" s="1">
        <f>IFERROR(__xludf.DUMMYFUNCTION("""COMPUTED_VALUE"""),0.0)</f>
        <v>0</v>
      </c>
      <c r="I135" s="1">
        <f>IFERROR(__xludf.DUMMYFUNCTION("""COMPUTED_VALUE"""),0.0)</f>
        <v>0</v>
      </c>
      <c r="J135" s="1">
        <f>IFERROR(__xludf.DUMMYFUNCTION("""COMPUTED_VALUE"""),0.0)</f>
        <v>0</v>
      </c>
      <c r="K135" s="1">
        <f>IFERROR(__xludf.DUMMYFUNCTION("""COMPUTED_VALUE"""),0.0)</f>
        <v>0</v>
      </c>
      <c r="L135" s="1">
        <f>IFERROR(__xludf.DUMMYFUNCTION("""COMPUTED_VALUE"""),18.0)</f>
        <v>18</v>
      </c>
      <c r="M135" s="1">
        <f>IFERROR(__xludf.DUMMYFUNCTION("""COMPUTED_VALUE"""),0.0)</f>
        <v>0</v>
      </c>
      <c r="N135" s="1">
        <f>IFERROR(__xludf.DUMMYFUNCTION("""COMPUTED_VALUE"""),2.0)</f>
        <v>2</v>
      </c>
      <c r="O135" s="1">
        <f>IFERROR(__xludf.DUMMYFUNCTION("""COMPUTED_VALUE"""),0.0)</f>
        <v>0</v>
      </c>
      <c r="P135" s="1">
        <f>IFERROR(__xludf.DUMMYFUNCTION("""COMPUTED_VALUE"""),2.0)</f>
        <v>2</v>
      </c>
    </row>
    <row r="136">
      <c r="A136" s="1" t="str">
        <f>IFERROR(__xludf.DUMMYFUNCTION("""COMPUTED_VALUE"""),"Soudan")</f>
        <v>Soudan</v>
      </c>
      <c r="B136" s="1">
        <f>IFERROR(__xludf.DUMMYFUNCTION("""COMPUTED_VALUE"""),13.0)</f>
        <v>13</v>
      </c>
      <c r="C136" s="1">
        <f>IFERROR(__xludf.DUMMYFUNCTION("""COMPUTED_VALUE"""),0.0)</f>
        <v>0</v>
      </c>
      <c r="D136" s="1">
        <f>IFERROR(__xludf.DUMMYFUNCTION("""COMPUTED_VALUE"""),1.0)</f>
        <v>1</v>
      </c>
      <c r="E136" s="1">
        <f>IFERROR(__xludf.DUMMYFUNCTION("""COMPUTED_VALUE"""),0.0)</f>
        <v>0</v>
      </c>
      <c r="F136" s="1">
        <f>IFERROR(__xludf.DUMMYFUNCTION("""COMPUTED_VALUE"""),1.0)</f>
        <v>1</v>
      </c>
      <c r="G136" s="1">
        <f>IFERROR(__xludf.DUMMYFUNCTION("""COMPUTED_VALUE"""),0.0)</f>
        <v>0</v>
      </c>
      <c r="H136" s="1">
        <f>IFERROR(__xludf.DUMMYFUNCTION("""COMPUTED_VALUE"""),0.0)</f>
        <v>0</v>
      </c>
      <c r="I136" s="1">
        <f>IFERROR(__xludf.DUMMYFUNCTION("""COMPUTED_VALUE"""),0.0)</f>
        <v>0</v>
      </c>
      <c r="J136" s="1">
        <f>IFERROR(__xludf.DUMMYFUNCTION("""COMPUTED_VALUE"""),0.0)</f>
        <v>0</v>
      </c>
      <c r="K136" s="1">
        <f>IFERROR(__xludf.DUMMYFUNCTION("""COMPUTED_VALUE"""),0.0)</f>
        <v>0</v>
      </c>
      <c r="L136" s="1">
        <f>IFERROR(__xludf.DUMMYFUNCTION("""COMPUTED_VALUE"""),13.0)</f>
        <v>13</v>
      </c>
      <c r="M136" s="1">
        <f>IFERROR(__xludf.DUMMYFUNCTION("""COMPUTED_VALUE"""),0.0)</f>
        <v>0</v>
      </c>
      <c r="N136" s="1">
        <f>IFERROR(__xludf.DUMMYFUNCTION("""COMPUTED_VALUE"""),1.0)</f>
        <v>1</v>
      </c>
      <c r="O136" s="1">
        <f>IFERROR(__xludf.DUMMYFUNCTION("""COMPUTED_VALUE"""),0.0)</f>
        <v>0</v>
      </c>
      <c r="P136" s="1">
        <f>IFERROR(__xludf.DUMMYFUNCTION("""COMPUTED_VALUE"""),1.0)</f>
        <v>1</v>
      </c>
    </row>
    <row r="137">
      <c r="A137" s="1" t="str">
        <f>IFERROR(__xludf.DUMMYFUNCTION("""COMPUTED_VALUE"""),"Suriname")</f>
        <v>Suriname</v>
      </c>
      <c r="B137" s="1">
        <f>IFERROR(__xludf.DUMMYFUNCTION("""COMPUTED_VALUE"""),13.0)</f>
        <v>13</v>
      </c>
      <c r="C137" s="1">
        <f>IFERROR(__xludf.DUMMYFUNCTION("""COMPUTED_VALUE"""),1.0)</f>
        <v>1</v>
      </c>
      <c r="D137" s="1">
        <f>IFERROR(__xludf.DUMMYFUNCTION("""COMPUTED_VALUE"""),0.0)</f>
        <v>0</v>
      </c>
      <c r="E137" s="1">
        <f>IFERROR(__xludf.DUMMYFUNCTION("""COMPUTED_VALUE"""),1.0)</f>
        <v>1</v>
      </c>
      <c r="F137" s="1">
        <f>IFERROR(__xludf.DUMMYFUNCTION("""COMPUTED_VALUE"""),2.0)</f>
        <v>2</v>
      </c>
      <c r="G137" s="1">
        <f>IFERROR(__xludf.DUMMYFUNCTION("""COMPUTED_VALUE"""),0.0)</f>
        <v>0</v>
      </c>
      <c r="H137" s="1">
        <f>IFERROR(__xludf.DUMMYFUNCTION("""COMPUTED_VALUE"""),0.0)</f>
        <v>0</v>
      </c>
      <c r="I137" s="1">
        <f>IFERROR(__xludf.DUMMYFUNCTION("""COMPUTED_VALUE"""),0.0)</f>
        <v>0</v>
      </c>
      <c r="J137" s="1">
        <f>IFERROR(__xludf.DUMMYFUNCTION("""COMPUTED_VALUE"""),0.0)</f>
        <v>0</v>
      </c>
      <c r="K137" s="1">
        <f>IFERROR(__xludf.DUMMYFUNCTION("""COMPUTED_VALUE"""),0.0)</f>
        <v>0</v>
      </c>
      <c r="L137" s="1">
        <f>IFERROR(__xludf.DUMMYFUNCTION("""COMPUTED_VALUE"""),13.0)</f>
        <v>13</v>
      </c>
      <c r="M137" s="1">
        <f>IFERROR(__xludf.DUMMYFUNCTION("""COMPUTED_VALUE"""),1.0)</f>
        <v>1</v>
      </c>
      <c r="N137" s="1">
        <f>IFERROR(__xludf.DUMMYFUNCTION("""COMPUTED_VALUE"""),0.0)</f>
        <v>0</v>
      </c>
      <c r="O137" s="1">
        <f>IFERROR(__xludf.DUMMYFUNCTION("""COMPUTED_VALUE"""),1.0)</f>
        <v>1</v>
      </c>
      <c r="P137" s="1">
        <f>IFERROR(__xludf.DUMMYFUNCTION("""COMPUTED_VALUE"""),2.0)</f>
        <v>2</v>
      </c>
    </row>
    <row r="138">
      <c r="A138" s="1" t="str">
        <f>IFERROR(__xludf.DUMMYFUNCTION("""COMPUTED_VALUE"""),"Suède[7]")</f>
        <v>Suède[7]</v>
      </c>
      <c r="B138" s="1">
        <f>IFERROR(__xludf.DUMMYFUNCTION("""COMPUTED_VALUE"""),28.0)</f>
        <v>28</v>
      </c>
      <c r="C138" s="1">
        <f>IFERROR(__xludf.DUMMYFUNCTION("""COMPUTED_VALUE"""),148.0)</f>
        <v>148</v>
      </c>
      <c r="D138" s="1">
        <f>IFERROR(__xludf.DUMMYFUNCTION("""COMPUTED_VALUE"""),176.0)</f>
        <v>176</v>
      </c>
      <c r="E138" s="1">
        <f>IFERROR(__xludf.DUMMYFUNCTION("""COMPUTED_VALUE"""),179.0)</f>
        <v>179</v>
      </c>
      <c r="F138" s="1">
        <f>IFERROR(__xludf.DUMMYFUNCTION("""COMPUTED_VALUE"""),503.0)</f>
        <v>503</v>
      </c>
      <c r="G138" s="1">
        <f>IFERROR(__xludf.DUMMYFUNCTION("""COMPUTED_VALUE"""),23.0)</f>
        <v>23</v>
      </c>
      <c r="H138" s="1">
        <f>IFERROR(__xludf.DUMMYFUNCTION("""COMPUTED_VALUE"""),57.0)</f>
        <v>57</v>
      </c>
      <c r="I138" s="1">
        <f>IFERROR(__xludf.DUMMYFUNCTION("""COMPUTED_VALUE"""),46.0)</f>
        <v>46</v>
      </c>
      <c r="J138" s="1">
        <f>IFERROR(__xludf.DUMMYFUNCTION("""COMPUTED_VALUE"""),55.0)</f>
        <v>55</v>
      </c>
      <c r="K138" s="1">
        <f>IFERROR(__xludf.DUMMYFUNCTION("""COMPUTED_VALUE"""),158.0)</f>
        <v>158</v>
      </c>
      <c r="L138" s="1">
        <f>IFERROR(__xludf.DUMMYFUNCTION("""COMPUTED_VALUE"""),51.0)</f>
        <v>51</v>
      </c>
      <c r="M138" s="1">
        <f>IFERROR(__xludf.DUMMYFUNCTION("""COMPUTED_VALUE"""),205.0)</f>
        <v>205</v>
      </c>
      <c r="N138" s="1">
        <f>IFERROR(__xludf.DUMMYFUNCTION("""COMPUTED_VALUE"""),222.0)</f>
        <v>222</v>
      </c>
      <c r="O138" s="1">
        <f>IFERROR(__xludf.DUMMYFUNCTION("""COMPUTED_VALUE"""),234.0)</f>
        <v>234</v>
      </c>
      <c r="P138" s="1">
        <f>IFERROR(__xludf.DUMMYFUNCTION("""COMPUTED_VALUE"""),661.0)</f>
        <v>661</v>
      </c>
    </row>
    <row r="139">
      <c r="A139" s="1" t="str">
        <f>IFERROR(__xludf.DUMMYFUNCTION("""COMPUTED_VALUE"""),"Suisse")</f>
        <v>Suisse</v>
      </c>
      <c r="B139" s="1">
        <f>IFERROR(__xludf.DUMMYFUNCTION("""COMPUTED_VALUE"""),29.0)</f>
        <v>29</v>
      </c>
      <c r="C139" s="1">
        <f>IFERROR(__xludf.DUMMYFUNCTION("""COMPUTED_VALUE"""),53.0)</f>
        <v>53</v>
      </c>
      <c r="D139" s="1">
        <f>IFERROR(__xludf.DUMMYFUNCTION("""COMPUTED_VALUE"""),79.0)</f>
        <v>79</v>
      </c>
      <c r="E139" s="1">
        <f>IFERROR(__xludf.DUMMYFUNCTION("""COMPUTED_VALUE"""),73.0)</f>
        <v>73</v>
      </c>
      <c r="F139" s="1">
        <f>IFERROR(__xludf.DUMMYFUNCTION("""COMPUTED_VALUE"""),205.0)</f>
        <v>205</v>
      </c>
      <c r="G139" s="1">
        <f>IFERROR(__xludf.DUMMYFUNCTION("""COMPUTED_VALUE"""),23.0)</f>
        <v>23</v>
      </c>
      <c r="H139" s="1">
        <f>IFERROR(__xludf.DUMMYFUNCTION("""COMPUTED_VALUE"""),56.0)</f>
        <v>56</v>
      </c>
      <c r="I139" s="1">
        <f>IFERROR(__xludf.DUMMYFUNCTION("""COMPUTED_VALUE"""),45.0)</f>
        <v>45</v>
      </c>
      <c r="J139" s="1">
        <f>IFERROR(__xludf.DUMMYFUNCTION("""COMPUTED_VALUE"""),52.0)</f>
        <v>52</v>
      </c>
      <c r="K139" s="1">
        <f>IFERROR(__xludf.DUMMYFUNCTION("""COMPUTED_VALUE"""),153.0)</f>
        <v>153</v>
      </c>
      <c r="L139" s="1">
        <f>IFERROR(__xludf.DUMMYFUNCTION("""COMPUTED_VALUE"""),52.0)</f>
        <v>52</v>
      </c>
      <c r="M139" s="1">
        <f>IFERROR(__xludf.DUMMYFUNCTION("""COMPUTED_VALUE"""),109.0)</f>
        <v>109</v>
      </c>
      <c r="N139" s="1">
        <f>IFERROR(__xludf.DUMMYFUNCTION("""COMPUTED_VALUE"""),124.0)</f>
        <v>124</v>
      </c>
      <c r="O139" s="1">
        <f>IFERROR(__xludf.DUMMYFUNCTION("""COMPUTED_VALUE"""),125.0)</f>
        <v>125</v>
      </c>
      <c r="P139" s="1">
        <f>IFERROR(__xludf.DUMMYFUNCTION("""COMPUTED_VALUE"""),358.0)</f>
        <v>358</v>
      </c>
    </row>
    <row r="140">
      <c r="A140" s="1" t="str">
        <f>IFERROR(__xludf.DUMMYFUNCTION("""COMPUTED_VALUE"""),"Syrie")</f>
        <v>Syrie</v>
      </c>
      <c r="B140" s="1">
        <f>IFERROR(__xludf.DUMMYFUNCTION("""COMPUTED_VALUE"""),14.0)</f>
        <v>14</v>
      </c>
      <c r="C140" s="1">
        <f>IFERROR(__xludf.DUMMYFUNCTION("""COMPUTED_VALUE"""),1.0)</f>
        <v>1</v>
      </c>
      <c r="D140" s="1">
        <f>IFERROR(__xludf.DUMMYFUNCTION("""COMPUTED_VALUE"""),1.0)</f>
        <v>1</v>
      </c>
      <c r="E140" s="1">
        <f>IFERROR(__xludf.DUMMYFUNCTION("""COMPUTED_VALUE"""),2.0)</f>
        <v>2</v>
      </c>
      <c r="F140" s="1">
        <f>IFERROR(__xludf.DUMMYFUNCTION("""COMPUTED_VALUE"""),4.0)</f>
        <v>4</v>
      </c>
      <c r="G140" s="1">
        <f>IFERROR(__xludf.DUMMYFUNCTION("""COMPUTED_VALUE"""),0.0)</f>
        <v>0</v>
      </c>
      <c r="H140" s="1">
        <f>IFERROR(__xludf.DUMMYFUNCTION("""COMPUTED_VALUE"""),0.0)</f>
        <v>0</v>
      </c>
      <c r="I140" s="1">
        <f>IFERROR(__xludf.DUMMYFUNCTION("""COMPUTED_VALUE"""),0.0)</f>
        <v>0</v>
      </c>
      <c r="J140" s="1">
        <f>IFERROR(__xludf.DUMMYFUNCTION("""COMPUTED_VALUE"""),0.0)</f>
        <v>0</v>
      </c>
      <c r="K140" s="1">
        <f>IFERROR(__xludf.DUMMYFUNCTION("""COMPUTED_VALUE"""),0.0)</f>
        <v>0</v>
      </c>
      <c r="L140" s="1">
        <f>IFERROR(__xludf.DUMMYFUNCTION("""COMPUTED_VALUE"""),14.0)</f>
        <v>14</v>
      </c>
      <c r="M140" s="1">
        <f>IFERROR(__xludf.DUMMYFUNCTION("""COMPUTED_VALUE"""),1.0)</f>
        <v>1</v>
      </c>
      <c r="N140" s="1">
        <f>IFERROR(__xludf.DUMMYFUNCTION("""COMPUTED_VALUE"""),1.0)</f>
        <v>1</v>
      </c>
      <c r="O140" s="1">
        <f>IFERROR(__xludf.DUMMYFUNCTION("""COMPUTED_VALUE"""),2.0)</f>
        <v>2</v>
      </c>
      <c r="P140" s="1">
        <f>IFERROR(__xludf.DUMMYFUNCTION("""COMPUTED_VALUE"""),4.0)</f>
        <v>4</v>
      </c>
    </row>
    <row r="141">
      <c r="A141" s="1" t="str">
        <f>IFERROR(__xludf.DUMMYFUNCTION("""COMPUTED_VALUE"""),"Tadjikistan")</f>
        <v>Tadjikistan</v>
      </c>
      <c r="B141" s="1">
        <f>IFERROR(__xludf.DUMMYFUNCTION("""COMPUTED_VALUE"""),7.0)</f>
        <v>7</v>
      </c>
      <c r="C141" s="1">
        <f>IFERROR(__xludf.DUMMYFUNCTION("""COMPUTED_VALUE"""),1.0)</f>
        <v>1</v>
      </c>
      <c r="D141" s="1">
        <f>IFERROR(__xludf.DUMMYFUNCTION("""COMPUTED_VALUE"""),1.0)</f>
        <v>1</v>
      </c>
      <c r="E141" s="1">
        <f>IFERROR(__xludf.DUMMYFUNCTION("""COMPUTED_VALUE"""),2.0)</f>
        <v>2</v>
      </c>
      <c r="F141" s="1">
        <f>IFERROR(__xludf.DUMMYFUNCTION("""COMPUTED_VALUE"""),4.0)</f>
        <v>4</v>
      </c>
      <c r="G141" s="1">
        <f>IFERROR(__xludf.DUMMYFUNCTION("""COMPUTED_VALUE"""),4.0)</f>
        <v>4</v>
      </c>
      <c r="H141" s="1">
        <f>IFERROR(__xludf.DUMMYFUNCTION("""COMPUTED_VALUE"""),0.0)</f>
        <v>0</v>
      </c>
      <c r="I141" s="1">
        <f>IFERROR(__xludf.DUMMYFUNCTION("""COMPUTED_VALUE"""),0.0)</f>
        <v>0</v>
      </c>
      <c r="J141" s="1">
        <f>IFERROR(__xludf.DUMMYFUNCTION("""COMPUTED_VALUE"""),0.0)</f>
        <v>0</v>
      </c>
      <c r="K141" s="1">
        <f>IFERROR(__xludf.DUMMYFUNCTION("""COMPUTED_VALUE"""),0.0)</f>
        <v>0</v>
      </c>
      <c r="L141" s="1">
        <f>IFERROR(__xludf.DUMMYFUNCTION("""COMPUTED_VALUE"""),11.0)</f>
        <v>11</v>
      </c>
      <c r="M141" s="1">
        <f>IFERROR(__xludf.DUMMYFUNCTION("""COMPUTED_VALUE"""),1.0)</f>
        <v>1</v>
      </c>
      <c r="N141" s="1">
        <f>IFERROR(__xludf.DUMMYFUNCTION("""COMPUTED_VALUE"""),1.0)</f>
        <v>1</v>
      </c>
      <c r="O141" s="1">
        <f>IFERROR(__xludf.DUMMYFUNCTION("""COMPUTED_VALUE"""),2.0)</f>
        <v>2</v>
      </c>
      <c r="P141" s="1">
        <f>IFERROR(__xludf.DUMMYFUNCTION("""COMPUTED_VALUE"""),4.0)</f>
        <v>4</v>
      </c>
    </row>
    <row r="142">
      <c r="A142" s="1" t="str">
        <f>IFERROR(__xludf.DUMMYFUNCTION("""COMPUTED_VALUE"""),"Taipei chinois[25]")</f>
        <v>Taipei chinois[25]</v>
      </c>
      <c r="B142" s="1">
        <f>IFERROR(__xludf.DUMMYFUNCTION("""COMPUTED_VALUE"""),15.0)</f>
        <v>15</v>
      </c>
      <c r="C142" s="1">
        <f>IFERROR(__xludf.DUMMYFUNCTION("""COMPUTED_VALUE"""),7.0)</f>
        <v>7</v>
      </c>
      <c r="D142" s="1">
        <f>IFERROR(__xludf.DUMMYFUNCTION("""COMPUTED_VALUE"""),11.0)</f>
        <v>11</v>
      </c>
      <c r="E142" s="1">
        <f>IFERROR(__xludf.DUMMYFUNCTION("""COMPUTED_VALUE"""),18.0)</f>
        <v>18</v>
      </c>
      <c r="F142" s="1">
        <f>IFERROR(__xludf.DUMMYFUNCTION("""COMPUTED_VALUE"""),36.0)</f>
        <v>36</v>
      </c>
      <c r="G142" s="1">
        <f>IFERROR(__xludf.DUMMYFUNCTION("""COMPUTED_VALUE"""),12.0)</f>
        <v>12</v>
      </c>
      <c r="H142" s="1">
        <f>IFERROR(__xludf.DUMMYFUNCTION("""COMPUTED_VALUE"""),0.0)</f>
        <v>0</v>
      </c>
      <c r="I142" s="1">
        <f>IFERROR(__xludf.DUMMYFUNCTION("""COMPUTED_VALUE"""),0.0)</f>
        <v>0</v>
      </c>
      <c r="J142" s="1">
        <f>IFERROR(__xludf.DUMMYFUNCTION("""COMPUTED_VALUE"""),0.0)</f>
        <v>0</v>
      </c>
      <c r="K142" s="1">
        <f>IFERROR(__xludf.DUMMYFUNCTION("""COMPUTED_VALUE"""),0.0)</f>
        <v>0</v>
      </c>
      <c r="L142" s="1">
        <f>IFERROR(__xludf.DUMMYFUNCTION("""COMPUTED_VALUE"""),27.0)</f>
        <v>27</v>
      </c>
      <c r="M142" s="1">
        <f>IFERROR(__xludf.DUMMYFUNCTION("""COMPUTED_VALUE"""),7.0)</f>
        <v>7</v>
      </c>
      <c r="N142" s="1">
        <f>IFERROR(__xludf.DUMMYFUNCTION("""COMPUTED_VALUE"""),11.0)</f>
        <v>11</v>
      </c>
      <c r="O142" s="1">
        <f>IFERROR(__xludf.DUMMYFUNCTION("""COMPUTED_VALUE"""),18.0)</f>
        <v>18</v>
      </c>
      <c r="P142" s="1">
        <f>IFERROR(__xludf.DUMMYFUNCTION("""COMPUTED_VALUE"""),36.0)</f>
        <v>36</v>
      </c>
    </row>
    <row r="143">
      <c r="A143" s="1" t="str">
        <f>IFERROR(__xludf.DUMMYFUNCTION("""COMPUTED_VALUE"""),"Tanzanie")</f>
        <v>Tanzanie</v>
      </c>
      <c r="B143" s="1">
        <f>IFERROR(__xludf.DUMMYFUNCTION("""COMPUTED_VALUE"""),14.0)</f>
        <v>14</v>
      </c>
      <c r="C143" s="1">
        <f>IFERROR(__xludf.DUMMYFUNCTION("""COMPUTED_VALUE"""),0.0)</f>
        <v>0</v>
      </c>
      <c r="D143" s="1">
        <f>IFERROR(__xludf.DUMMYFUNCTION("""COMPUTED_VALUE"""),2.0)</f>
        <v>2</v>
      </c>
      <c r="E143" s="1">
        <f>IFERROR(__xludf.DUMMYFUNCTION("""COMPUTED_VALUE"""),0.0)</f>
        <v>0</v>
      </c>
      <c r="F143" s="1">
        <f>IFERROR(__xludf.DUMMYFUNCTION("""COMPUTED_VALUE"""),2.0)</f>
        <v>2</v>
      </c>
      <c r="G143" s="1">
        <f>IFERROR(__xludf.DUMMYFUNCTION("""COMPUTED_VALUE"""),0.0)</f>
        <v>0</v>
      </c>
      <c r="H143" s="1">
        <f>IFERROR(__xludf.DUMMYFUNCTION("""COMPUTED_VALUE"""),0.0)</f>
        <v>0</v>
      </c>
      <c r="I143" s="1">
        <f>IFERROR(__xludf.DUMMYFUNCTION("""COMPUTED_VALUE"""),0.0)</f>
        <v>0</v>
      </c>
      <c r="J143" s="1">
        <f>IFERROR(__xludf.DUMMYFUNCTION("""COMPUTED_VALUE"""),0.0)</f>
        <v>0</v>
      </c>
      <c r="K143" s="1">
        <f>IFERROR(__xludf.DUMMYFUNCTION("""COMPUTED_VALUE"""),0.0)</f>
        <v>0</v>
      </c>
      <c r="L143" s="1">
        <f>IFERROR(__xludf.DUMMYFUNCTION("""COMPUTED_VALUE"""),14.0)</f>
        <v>14</v>
      </c>
      <c r="M143" s="1">
        <f>IFERROR(__xludf.DUMMYFUNCTION("""COMPUTED_VALUE"""),0.0)</f>
        <v>0</v>
      </c>
      <c r="N143" s="1">
        <f>IFERROR(__xludf.DUMMYFUNCTION("""COMPUTED_VALUE"""),2.0)</f>
        <v>2</v>
      </c>
      <c r="O143" s="1">
        <f>IFERROR(__xludf.DUMMYFUNCTION("""COMPUTED_VALUE"""),0.0)</f>
        <v>0</v>
      </c>
      <c r="P143" s="1">
        <f>IFERROR(__xludf.DUMMYFUNCTION("""COMPUTED_VALUE"""),2.0)</f>
        <v>2</v>
      </c>
    </row>
    <row r="144">
      <c r="A144" s="1" t="str">
        <f>IFERROR(__xludf.DUMMYFUNCTION("""COMPUTED_VALUE"""),"*Tchécoslovaquie*[26]")</f>
        <v>*Tchécoslovaquie*[26]</v>
      </c>
      <c r="B144" s="1">
        <f>IFERROR(__xludf.DUMMYFUNCTION("""COMPUTED_VALUE"""),16.0)</f>
        <v>16</v>
      </c>
      <c r="C144" s="1">
        <f>IFERROR(__xludf.DUMMYFUNCTION("""COMPUTED_VALUE"""),49.0)</f>
        <v>49</v>
      </c>
      <c r="D144" s="1">
        <f>IFERROR(__xludf.DUMMYFUNCTION("""COMPUTED_VALUE"""),49.0)</f>
        <v>49</v>
      </c>
      <c r="E144" s="1">
        <f>IFERROR(__xludf.DUMMYFUNCTION("""COMPUTED_VALUE"""),45.0)</f>
        <v>45</v>
      </c>
      <c r="F144" s="1">
        <f>IFERROR(__xludf.DUMMYFUNCTION("""COMPUTED_VALUE"""),143.0)</f>
        <v>143</v>
      </c>
      <c r="G144" s="1">
        <f>IFERROR(__xludf.DUMMYFUNCTION("""COMPUTED_VALUE"""),16.0)</f>
        <v>16</v>
      </c>
      <c r="H144" s="1">
        <f>IFERROR(__xludf.DUMMYFUNCTION("""COMPUTED_VALUE"""),2.0)</f>
        <v>2</v>
      </c>
      <c r="I144" s="1">
        <f>IFERROR(__xludf.DUMMYFUNCTION("""COMPUTED_VALUE"""),8.0)</f>
        <v>8</v>
      </c>
      <c r="J144" s="1">
        <f>IFERROR(__xludf.DUMMYFUNCTION("""COMPUTED_VALUE"""),15.0)</f>
        <v>15</v>
      </c>
      <c r="K144" s="1">
        <f>IFERROR(__xludf.DUMMYFUNCTION("""COMPUTED_VALUE"""),25.0)</f>
        <v>25</v>
      </c>
      <c r="L144" s="1">
        <f>IFERROR(__xludf.DUMMYFUNCTION("""COMPUTED_VALUE"""),32.0)</f>
        <v>32</v>
      </c>
      <c r="M144" s="1">
        <f>IFERROR(__xludf.DUMMYFUNCTION("""COMPUTED_VALUE"""),51.0)</f>
        <v>51</v>
      </c>
      <c r="N144" s="1">
        <f>IFERROR(__xludf.DUMMYFUNCTION("""COMPUTED_VALUE"""),57.0)</f>
        <v>57</v>
      </c>
      <c r="O144" s="1">
        <f>IFERROR(__xludf.DUMMYFUNCTION("""COMPUTED_VALUE"""),60.0)</f>
        <v>60</v>
      </c>
      <c r="P144" s="1">
        <f>IFERROR(__xludf.DUMMYFUNCTION("""COMPUTED_VALUE"""),168.0)</f>
        <v>168</v>
      </c>
    </row>
    <row r="145">
      <c r="A145" s="1" t="str">
        <f>IFERROR(__xludf.DUMMYFUNCTION("""COMPUTED_VALUE"""),"Thaïlande")</f>
        <v>Thaïlande</v>
      </c>
      <c r="B145" s="1">
        <f>IFERROR(__xludf.DUMMYFUNCTION("""COMPUTED_VALUE"""),17.0)</f>
        <v>17</v>
      </c>
      <c r="C145" s="1">
        <f>IFERROR(__xludf.DUMMYFUNCTION("""COMPUTED_VALUE"""),10.0)</f>
        <v>10</v>
      </c>
      <c r="D145" s="1">
        <f>IFERROR(__xludf.DUMMYFUNCTION("""COMPUTED_VALUE"""),8.0)</f>
        <v>8</v>
      </c>
      <c r="E145" s="1">
        <f>IFERROR(__xludf.DUMMYFUNCTION("""COMPUTED_VALUE"""),17.0)</f>
        <v>17</v>
      </c>
      <c r="F145" s="1">
        <f>IFERROR(__xludf.DUMMYFUNCTION("""COMPUTED_VALUE"""),35.0)</f>
        <v>35</v>
      </c>
      <c r="G145" s="1">
        <f>IFERROR(__xludf.DUMMYFUNCTION("""COMPUTED_VALUE"""),4.0)</f>
        <v>4</v>
      </c>
      <c r="H145" s="1">
        <f>IFERROR(__xludf.DUMMYFUNCTION("""COMPUTED_VALUE"""),0.0)</f>
        <v>0</v>
      </c>
      <c r="I145" s="1">
        <f>IFERROR(__xludf.DUMMYFUNCTION("""COMPUTED_VALUE"""),0.0)</f>
        <v>0</v>
      </c>
      <c r="J145" s="1">
        <f>IFERROR(__xludf.DUMMYFUNCTION("""COMPUTED_VALUE"""),0.0)</f>
        <v>0</v>
      </c>
      <c r="K145" s="1">
        <f>IFERROR(__xludf.DUMMYFUNCTION("""COMPUTED_VALUE"""),0.0)</f>
        <v>0</v>
      </c>
      <c r="L145" s="1">
        <f>IFERROR(__xludf.DUMMYFUNCTION("""COMPUTED_VALUE"""),21.0)</f>
        <v>21</v>
      </c>
      <c r="M145" s="1">
        <f>IFERROR(__xludf.DUMMYFUNCTION("""COMPUTED_VALUE"""),10.0)</f>
        <v>10</v>
      </c>
      <c r="N145" s="1">
        <f>IFERROR(__xludf.DUMMYFUNCTION("""COMPUTED_VALUE"""),8.0)</f>
        <v>8</v>
      </c>
      <c r="O145" s="1">
        <f>IFERROR(__xludf.DUMMYFUNCTION("""COMPUTED_VALUE"""),17.0)</f>
        <v>17</v>
      </c>
      <c r="P145" s="1">
        <f>IFERROR(__xludf.DUMMYFUNCTION("""COMPUTED_VALUE"""),35.0)</f>
        <v>35</v>
      </c>
    </row>
    <row r="146">
      <c r="A146" s="1" t="str">
        <f>IFERROR(__xludf.DUMMYFUNCTION("""COMPUTED_VALUE"""),"Togo")</f>
        <v>Togo</v>
      </c>
      <c r="B146" s="1">
        <f>IFERROR(__xludf.DUMMYFUNCTION("""COMPUTED_VALUE"""),11.0)</f>
        <v>11</v>
      </c>
      <c r="C146" s="1">
        <f>IFERROR(__xludf.DUMMYFUNCTION("""COMPUTED_VALUE"""),0.0)</f>
        <v>0</v>
      </c>
      <c r="D146" s="1">
        <f>IFERROR(__xludf.DUMMYFUNCTION("""COMPUTED_VALUE"""),0.0)</f>
        <v>0</v>
      </c>
      <c r="E146" s="1">
        <f>IFERROR(__xludf.DUMMYFUNCTION("""COMPUTED_VALUE"""),1.0)</f>
        <v>1</v>
      </c>
      <c r="F146" s="1">
        <f>IFERROR(__xludf.DUMMYFUNCTION("""COMPUTED_VALUE"""),1.0)</f>
        <v>1</v>
      </c>
      <c r="G146" s="1">
        <f>IFERROR(__xludf.DUMMYFUNCTION("""COMPUTED_VALUE"""),2.0)</f>
        <v>2</v>
      </c>
      <c r="H146" s="1">
        <f>IFERROR(__xludf.DUMMYFUNCTION("""COMPUTED_VALUE"""),0.0)</f>
        <v>0</v>
      </c>
      <c r="I146" s="1">
        <f>IFERROR(__xludf.DUMMYFUNCTION("""COMPUTED_VALUE"""),0.0)</f>
        <v>0</v>
      </c>
      <c r="J146" s="1">
        <f>IFERROR(__xludf.DUMMYFUNCTION("""COMPUTED_VALUE"""),0.0)</f>
        <v>0</v>
      </c>
      <c r="K146" s="1">
        <f>IFERROR(__xludf.DUMMYFUNCTION("""COMPUTED_VALUE"""),0.0)</f>
        <v>0</v>
      </c>
      <c r="L146" s="1">
        <f>IFERROR(__xludf.DUMMYFUNCTION("""COMPUTED_VALUE"""),13.0)</f>
        <v>13</v>
      </c>
      <c r="M146" s="1">
        <f>IFERROR(__xludf.DUMMYFUNCTION("""COMPUTED_VALUE"""),0.0)</f>
        <v>0</v>
      </c>
      <c r="N146" s="1">
        <f>IFERROR(__xludf.DUMMYFUNCTION("""COMPUTED_VALUE"""),0.0)</f>
        <v>0</v>
      </c>
      <c r="O146" s="1">
        <f>IFERROR(__xludf.DUMMYFUNCTION("""COMPUTED_VALUE"""),1.0)</f>
        <v>1</v>
      </c>
      <c r="P146" s="1">
        <f>IFERROR(__xludf.DUMMYFUNCTION("""COMPUTED_VALUE"""),1.0)</f>
        <v>1</v>
      </c>
    </row>
    <row r="147">
      <c r="A147" s="1" t="str">
        <f>IFERROR(__xludf.DUMMYFUNCTION("""COMPUTED_VALUE"""),"Tonga")</f>
        <v>Tonga</v>
      </c>
      <c r="B147" s="1">
        <f>IFERROR(__xludf.DUMMYFUNCTION("""COMPUTED_VALUE"""),10.0)</f>
        <v>10</v>
      </c>
      <c r="C147" s="1">
        <f>IFERROR(__xludf.DUMMYFUNCTION("""COMPUTED_VALUE"""),0.0)</f>
        <v>0</v>
      </c>
      <c r="D147" s="1">
        <f>IFERROR(__xludf.DUMMYFUNCTION("""COMPUTED_VALUE"""),1.0)</f>
        <v>1</v>
      </c>
      <c r="E147" s="1">
        <f>IFERROR(__xludf.DUMMYFUNCTION("""COMPUTED_VALUE"""),0.0)</f>
        <v>0</v>
      </c>
      <c r="F147" s="1">
        <f>IFERROR(__xludf.DUMMYFUNCTION("""COMPUTED_VALUE"""),1.0)</f>
        <v>1</v>
      </c>
      <c r="G147" s="1">
        <f>IFERROR(__xludf.DUMMYFUNCTION("""COMPUTED_VALUE"""),2.0)</f>
        <v>2</v>
      </c>
      <c r="H147" s="1">
        <f>IFERROR(__xludf.DUMMYFUNCTION("""COMPUTED_VALUE"""),0.0)</f>
        <v>0</v>
      </c>
      <c r="I147" s="1">
        <f>IFERROR(__xludf.DUMMYFUNCTION("""COMPUTED_VALUE"""),0.0)</f>
        <v>0</v>
      </c>
      <c r="J147" s="1">
        <f>IFERROR(__xludf.DUMMYFUNCTION("""COMPUTED_VALUE"""),0.0)</f>
        <v>0</v>
      </c>
      <c r="K147" s="1">
        <f>IFERROR(__xludf.DUMMYFUNCTION("""COMPUTED_VALUE"""),0.0)</f>
        <v>0</v>
      </c>
      <c r="L147" s="1">
        <f>IFERROR(__xludf.DUMMYFUNCTION("""COMPUTED_VALUE"""),12.0)</f>
        <v>12</v>
      </c>
      <c r="M147" s="1">
        <f>IFERROR(__xludf.DUMMYFUNCTION("""COMPUTED_VALUE"""),0.0)</f>
        <v>0</v>
      </c>
      <c r="N147" s="1">
        <f>IFERROR(__xludf.DUMMYFUNCTION("""COMPUTED_VALUE"""),1.0)</f>
        <v>1</v>
      </c>
      <c r="O147" s="1">
        <f>IFERROR(__xludf.DUMMYFUNCTION("""COMPUTED_VALUE"""),0.0)</f>
        <v>0</v>
      </c>
      <c r="P147" s="1">
        <f>IFERROR(__xludf.DUMMYFUNCTION("""COMPUTED_VALUE"""),1.0)</f>
        <v>1</v>
      </c>
    </row>
    <row r="148">
      <c r="A148" s="1" t="str">
        <f>IFERROR(__xludf.DUMMYFUNCTION("""COMPUTED_VALUE"""),"Turkménistan")</f>
        <v>Turkménistan</v>
      </c>
      <c r="B148" s="1">
        <f>IFERROR(__xludf.DUMMYFUNCTION("""COMPUTED_VALUE"""),7.0)</f>
        <v>7</v>
      </c>
      <c r="C148" s="1">
        <f>IFERROR(__xludf.DUMMYFUNCTION("""COMPUTED_VALUE"""),0.0)</f>
        <v>0</v>
      </c>
      <c r="D148" s="1">
        <f>IFERROR(__xludf.DUMMYFUNCTION("""COMPUTED_VALUE"""),1.0)</f>
        <v>1</v>
      </c>
      <c r="E148" s="1">
        <f>IFERROR(__xludf.DUMMYFUNCTION("""COMPUTED_VALUE"""),0.0)</f>
        <v>0</v>
      </c>
      <c r="F148" s="1">
        <f>IFERROR(__xludf.DUMMYFUNCTION("""COMPUTED_VALUE"""),1.0)</f>
        <v>1</v>
      </c>
      <c r="G148" s="1">
        <f>IFERROR(__xludf.DUMMYFUNCTION("""COMPUTED_VALUE"""),0.0)</f>
        <v>0</v>
      </c>
      <c r="H148" s="1">
        <f>IFERROR(__xludf.DUMMYFUNCTION("""COMPUTED_VALUE"""),0.0)</f>
        <v>0</v>
      </c>
      <c r="I148" s="1">
        <f>IFERROR(__xludf.DUMMYFUNCTION("""COMPUTED_VALUE"""),0.0)</f>
        <v>0</v>
      </c>
      <c r="J148" s="1">
        <f>IFERROR(__xludf.DUMMYFUNCTION("""COMPUTED_VALUE"""),0.0)</f>
        <v>0</v>
      </c>
      <c r="K148" s="1">
        <f>IFERROR(__xludf.DUMMYFUNCTION("""COMPUTED_VALUE"""),0.0)</f>
        <v>0</v>
      </c>
      <c r="L148" s="1">
        <f>IFERROR(__xludf.DUMMYFUNCTION("""COMPUTED_VALUE"""),7.0)</f>
        <v>7</v>
      </c>
      <c r="M148" s="1">
        <f>IFERROR(__xludf.DUMMYFUNCTION("""COMPUTED_VALUE"""),0.0)</f>
        <v>0</v>
      </c>
      <c r="N148" s="1">
        <f>IFERROR(__xludf.DUMMYFUNCTION("""COMPUTED_VALUE"""),1.0)</f>
        <v>1</v>
      </c>
      <c r="O148" s="1">
        <f>IFERROR(__xludf.DUMMYFUNCTION("""COMPUTED_VALUE"""),0.0)</f>
        <v>0</v>
      </c>
      <c r="P148" s="1">
        <f>IFERROR(__xludf.DUMMYFUNCTION("""COMPUTED_VALUE"""),1.0)</f>
        <v>1</v>
      </c>
    </row>
    <row r="149">
      <c r="A149" s="1" t="str">
        <f>IFERROR(__xludf.DUMMYFUNCTION("""COMPUTED_VALUE"""),"Trinité-et-Tobago[27]")</f>
        <v>Trinité-et-Tobago[27]</v>
      </c>
      <c r="B149" s="1">
        <f>IFERROR(__xludf.DUMMYFUNCTION("""COMPUTED_VALUE"""),18.0)</f>
        <v>18</v>
      </c>
      <c r="C149" s="1">
        <f>IFERROR(__xludf.DUMMYFUNCTION("""COMPUTED_VALUE"""),3.0)</f>
        <v>3</v>
      </c>
      <c r="D149" s="1">
        <f>IFERROR(__xludf.DUMMYFUNCTION("""COMPUTED_VALUE"""),5.0)</f>
        <v>5</v>
      </c>
      <c r="E149" s="1">
        <f>IFERROR(__xludf.DUMMYFUNCTION("""COMPUTED_VALUE"""),11.0)</f>
        <v>11</v>
      </c>
      <c r="F149" s="1">
        <f>IFERROR(__xludf.DUMMYFUNCTION("""COMPUTED_VALUE"""),19.0)</f>
        <v>19</v>
      </c>
      <c r="G149" s="1">
        <f>IFERROR(__xludf.DUMMYFUNCTION("""COMPUTED_VALUE"""),3.0)</f>
        <v>3</v>
      </c>
      <c r="H149" s="1">
        <f>IFERROR(__xludf.DUMMYFUNCTION("""COMPUTED_VALUE"""),0.0)</f>
        <v>0</v>
      </c>
      <c r="I149" s="1">
        <f>IFERROR(__xludf.DUMMYFUNCTION("""COMPUTED_VALUE"""),0.0)</f>
        <v>0</v>
      </c>
      <c r="J149" s="1">
        <f>IFERROR(__xludf.DUMMYFUNCTION("""COMPUTED_VALUE"""),0.0)</f>
        <v>0</v>
      </c>
      <c r="K149" s="1">
        <f>IFERROR(__xludf.DUMMYFUNCTION("""COMPUTED_VALUE"""),0.0)</f>
        <v>0</v>
      </c>
      <c r="L149" s="1">
        <f>IFERROR(__xludf.DUMMYFUNCTION("""COMPUTED_VALUE"""),21.0)</f>
        <v>21</v>
      </c>
      <c r="M149" s="1">
        <f>IFERROR(__xludf.DUMMYFUNCTION("""COMPUTED_VALUE"""),3.0)</f>
        <v>3</v>
      </c>
      <c r="N149" s="1">
        <f>IFERROR(__xludf.DUMMYFUNCTION("""COMPUTED_VALUE"""),5.0)</f>
        <v>5</v>
      </c>
      <c r="O149" s="1">
        <f>IFERROR(__xludf.DUMMYFUNCTION("""COMPUTED_VALUE"""),11.0)</f>
        <v>11</v>
      </c>
      <c r="P149" s="1">
        <f>IFERROR(__xludf.DUMMYFUNCTION("""COMPUTED_VALUE"""),19.0)</f>
        <v>19</v>
      </c>
    </row>
    <row r="150">
      <c r="A150" s="1" t="str">
        <f>IFERROR(__xludf.DUMMYFUNCTION("""COMPUTED_VALUE"""),"Tunisie")</f>
        <v>Tunisie</v>
      </c>
      <c r="B150" s="1">
        <f>IFERROR(__xludf.DUMMYFUNCTION("""COMPUTED_VALUE"""),16.0)</f>
        <v>16</v>
      </c>
      <c r="C150" s="1">
        <f>IFERROR(__xludf.DUMMYFUNCTION("""COMPUTED_VALUE"""),6.0)</f>
        <v>6</v>
      </c>
      <c r="D150" s="1">
        <f>IFERROR(__xludf.DUMMYFUNCTION("""COMPUTED_VALUE"""),4.0)</f>
        <v>4</v>
      </c>
      <c r="E150" s="1">
        <f>IFERROR(__xludf.DUMMYFUNCTION("""COMPUTED_VALUE"""),8.0)</f>
        <v>8</v>
      </c>
      <c r="F150" s="1">
        <f>IFERROR(__xludf.DUMMYFUNCTION("""COMPUTED_VALUE"""),18.0)</f>
        <v>18</v>
      </c>
      <c r="G150" s="1">
        <f>IFERROR(__xludf.DUMMYFUNCTION("""COMPUTED_VALUE"""),0.0)</f>
        <v>0</v>
      </c>
      <c r="H150" s="1">
        <f>IFERROR(__xludf.DUMMYFUNCTION("""COMPUTED_VALUE"""),0.0)</f>
        <v>0</v>
      </c>
      <c r="I150" s="1">
        <f>IFERROR(__xludf.DUMMYFUNCTION("""COMPUTED_VALUE"""),0.0)</f>
        <v>0</v>
      </c>
      <c r="J150" s="1">
        <f>IFERROR(__xludf.DUMMYFUNCTION("""COMPUTED_VALUE"""),0.0)</f>
        <v>0</v>
      </c>
      <c r="K150" s="1">
        <f>IFERROR(__xludf.DUMMYFUNCTION("""COMPUTED_VALUE"""),0.0)</f>
        <v>0</v>
      </c>
      <c r="L150" s="1">
        <f>IFERROR(__xludf.DUMMYFUNCTION("""COMPUTED_VALUE"""),16.0)</f>
        <v>16</v>
      </c>
      <c r="M150" s="1">
        <f>IFERROR(__xludf.DUMMYFUNCTION("""COMPUTED_VALUE"""),6.0)</f>
        <v>6</v>
      </c>
      <c r="N150" s="1">
        <f>IFERROR(__xludf.DUMMYFUNCTION("""COMPUTED_VALUE"""),4.0)</f>
        <v>4</v>
      </c>
      <c r="O150" s="1">
        <f>IFERROR(__xludf.DUMMYFUNCTION("""COMPUTED_VALUE"""),8.0)</f>
        <v>8</v>
      </c>
      <c r="P150" s="1">
        <f>IFERROR(__xludf.DUMMYFUNCTION("""COMPUTED_VALUE"""),18.0)</f>
        <v>18</v>
      </c>
    </row>
    <row r="151">
      <c r="A151" s="1" t="str">
        <f>IFERROR(__xludf.DUMMYFUNCTION("""COMPUTED_VALUE"""),"Turquie")</f>
        <v>Turquie</v>
      </c>
      <c r="B151" s="1">
        <f>IFERROR(__xludf.DUMMYFUNCTION("""COMPUTED_VALUE"""),23.0)</f>
        <v>23</v>
      </c>
      <c r="C151" s="1">
        <f>IFERROR(__xludf.DUMMYFUNCTION("""COMPUTED_VALUE"""),41.0)</f>
        <v>41</v>
      </c>
      <c r="D151" s="1">
        <f>IFERROR(__xludf.DUMMYFUNCTION("""COMPUTED_VALUE"""),26.0)</f>
        <v>26</v>
      </c>
      <c r="E151" s="1">
        <f>IFERROR(__xludf.DUMMYFUNCTION("""COMPUTED_VALUE"""),37.0)</f>
        <v>37</v>
      </c>
      <c r="F151" s="1">
        <f>IFERROR(__xludf.DUMMYFUNCTION("""COMPUTED_VALUE"""),104.0)</f>
        <v>104</v>
      </c>
      <c r="G151" s="1">
        <f>IFERROR(__xludf.DUMMYFUNCTION("""COMPUTED_VALUE"""),17.0)</f>
        <v>17</v>
      </c>
      <c r="H151" s="1">
        <f>IFERROR(__xludf.DUMMYFUNCTION("""COMPUTED_VALUE"""),0.0)</f>
        <v>0</v>
      </c>
      <c r="I151" s="1">
        <f>IFERROR(__xludf.DUMMYFUNCTION("""COMPUTED_VALUE"""),0.0)</f>
        <v>0</v>
      </c>
      <c r="J151" s="1">
        <f>IFERROR(__xludf.DUMMYFUNCTION("""COMPUTED_VALUE"""),0.0)</f>
        <v>0</v>
      </c>
      <c r="K151" s="1">
        <f>IFERROR(__xludf.DUMMYFUNCTION("""COMPUTED_VALUE"""),0.0)</f>
        <v>0</v>
      </c>
      <c r="L151" s="1">
        <f>IFERROR(__xludf.DUMMYFUNCTION("""COMPUTED_VALUE"""),40.0)</f>
        <v>40</v>
      </c>
      <c r="M151" s="1">
        <f>IFERROR(__xludf.DUMMYFUNCTION("""COMPUTED_VALUE"""),41.0)</f>
        <v>41</v>
      </c>
      <c r="N151" s="1">
        <f>IFERROR(__xludf.DUMMYFUNCTION("""COMPUTED_VALUE"""),26.0)</f>
        <v>26</v>
      </c>
      <c r="O151" s="1">
        <f>IFERROR(__xludf.DUMMYFUNCTION("""COMPUTED_VALUE"""),37.0)</f>
        <v>37</v>
      </c>
      <c r="P151" s="1">
        <f>IFERROR(__xludf.DUMMYFUNCTION("""COMPUTED_VALUE"""),104.0)</f>
        <v>104</v>
      </c>
    </row>
    <row r="152">
      <c r="A152" s="1" t="str">
        <f>IFERROR(__xludf.DUMMYFUNCTION("""COMPUTED_VALUE"""),"Ukraine")</f>
        <v>Ukraine</v>
      </c>
      <c r="B152" s="1">
        <f>IFERROR(__xludf.DUMMYFUNCTION("""COMPUTED_VALUE"""),7.0)</f>
        <v>7</v>
      </c>
      <c r="C152" s="1">
        <f>IFERROR(__xludf.DUMMYFUNCTION("""COMPUTED_VALUE"""),35.0)</f>
        <v>35</v>
      </c>
      <c r="D152" s="1">
        <f>IFERROR(__xludf.DUMMYFUNCTION("""COMPUTED_VALUE"""),36.0)</f>
        <v>36</v>
      </c>
      <c r="E152" s="1">
        <f>IFERROR(__xludf.DUMMYFUNCTION("""COMPUTED_VALUE"""),68.0)</f>
        <v>68</v>
      </c>
      <c r="F152" s="1">
        <f>IFERROR(__xludf.DUMMYFUNCTION("""COMPUTED_VALUE"""),139.0)</f>
        <v>139</v>
      </c>
      <c r="G152" s="1">
        <f>IFERROR(__xludf.DUMMYFUNCTION("""COMPUTED_VALUE"""),7.0)</f>
        <v>7</v>
      </c>
      <c r="H152" s="1">
        <f>IFERROR(__xludf.DUMMYFUNCTION("""COMPUTED_VALUE"""),3.0)</f>
        <v>3</v>
      </c>
      <c r="I152" s="1">
        <f>IFERROR(__xludf.DUMMYFUNCTION("""COMPUTED_VALUE"""),1.0)</f>
        <v>1</v>
      </c>
      <c r="J152" s="1">
        <f>IFERROR(__xludf.DUMMYFUNCTION("""COMPUTED_VALUE"""),4.0)</f>
        <v>4</v>
      </c>
      <c r="K152" s="1">
        <f>IFERROR(__xludf.DUMMYFUNCTION("""COMPUTED_VALUE"""),8.0)</f>
        <v>8</v>
      </c>
      <c r="L152" s="1">
        <f>IFERROR(__xludf.DUMMYFUNCTION("""COMPUTED_VALUE"""),14.0)</f>
        <v>14</v>
      </c>
      <c r="M152" s="1">
        <f>IFERROR(__xludf.DUMMYFUNCTION("""COMPUTED_VALUE"""),38.0)</f>
        <v>38</v>
      </c>
      <c r="N152" s="1">
        <f>IFERROR(__xludf.DUMMYFUNCTION("""COMPUTED_VALUE"""),37.0)</f>
        <v>37</v>
      </c>
      <c r="O152" s="1">
        <f>IFERROR(__xludf.DUMMYFUNCTION("""COMPUTED_VALUE"""),72.0)</f>
        <v>72</v>
      </c>
      <c r="P152" s="1">
        <f>IFERROR(__xludf.DUMMYFUNCTION("""COMPUTED_VALUE"""),147.0)</f>
        <v>147</v>
      </c>
    </row>
    <row r="153">
      <c r="A153" s="1" t="str">
        <f>IFERROR(__xludf.DUMMYFUNCTION("""COMPUTED_VALUE"""),"*Union soviétique*[28]")</f>
        <v>*Union soviétique*[28]</v>
      </c>
      <c r="B153" s="1">
        <f>IFERROR(__xludf.DUMMYFUNCTION("""COMPUTED_VALUE"""),9.0)</f>
        <v>9</v>
      </c>
      <c r="C153" s="1">
        <f>IFERROR(__xludf.DUMMYFUNCTION("""COMPUTED_VALUE"""),395.0)</f>
        <v>395</v>
      </c>
      <c r="D153" s="1">
        <f>IFERROR(__xludf.DUMMYFUNCTION("""COMPUTED_VALUE"""),319.0)</f>
        <v>319</v>
      </c>
      <c r="E153" s="1">
        <f>IFERROR(__xludf.DUMMYFUNCTION("""COMPUTED_VALUE"""),296.0)</f>
        <v>296</v>
      </c>
      <c r="F153" s="1">
        <f>IFERROR(__xludf.DUMMYFUNCTION("""COMPUTED_VALUE"""),1010.0)</f>
        <v>1010</v>
      </c>
      <c r="G153" s="1">
        <f>IFERROR(__xludf.DUMMYFUNCTION("""COMPUTED_VALUE"""),9.0)</f>
        <v>9</v>
      </c>
      <c r="H153" s="1">
        <f>IFERROR(__xludf.DUMMYFUNCTION("""COMPUTED_VALUE"""),78.0)</f>
        <v>78</v>
      </c>
      <c r="I153" s="1">
        <f>IFERROR(__xludf.DUMMYFUNCTION("""COMPUTED_VALUE"""),57.0)</f>
        <v>57</v>
      </c>
      <c r="J153" s="1">
        <f>IFERROR(__xludf.DUMMYFUNCTION("""COMPUTED_VALUE"""),59.0)</f>
        <v>59</v>
      </c>
      <c r="K153" s="1">
        <f>IFERROR(__xludf.DUMMYFUNCTION("""COMPUTED_VALUE"""),194.0)</f>
        <v>194</v>
      </c>
      <c r="L153" s="1">
        <f>IFERROR(__xludf.DUMMYFUNCTION("""COMPUTED_VALUE"""),18.0)</f>
        <v>18</v>
      </c>
      <c r="M153" s="1">
        <f>IFERROR(__xludf.DUMMYFUNCTION("""COMPUTED_VALUE"""),473.0)</f>
        <v>473</v>
      </c>
      <c r="N153" s="1">
        <f>IFERROR(__xludf.DUMMYFUNCTION("""COMPUTED_VALUE"""),376.0)</f>
        <v>376</v>
      </c>
      <c r="O153" s="1">
        <f>IFERROR(__xludf.DUMMYFUNCTION("""COMPUTED_VALUE"""),355.0)</f>
        <v>355</v>
      </c>
      <c r="P153" s="1">
        <f>IFERROR(__xludf.DUMMYFUNCTION("""COMPUTED_VALUE"""),1204.0)</f>
        <v>1204</v>
      </c>
    </row>
    <row r="154">
      <c r="A154" s="1" t="str">
        <f>IFERROR(__xludf.DUMMYFUNCTION("""COMPUTED_VALUE"""),"Uruguay")</f>
        <v>Uruguay</v>
      </c>
      <c r="B154" s="1">
        <f>IFERROR(__xludf.DUMMYFUNCTION("""COMPUTED_VALUE"""),22.0)</f>
        <v>22</v>
      </c>
      <c r="C154" s="1">
        <f>IFERROR(__xludf.DUMMYFUNCTION("""COMPUTED_VALUE"""),2.0)</f>
        <v>2</v>
      </c>
      <c r="D154" s="1">
        <f>IFERROR(__xludf.DUMMYFUNCTION("""COMPUTED_VALUE"""),2.0)</f>
        <v>2</v>
      </c>
      <c r="E154" s="1">
        <f>IFERROR(__xludf.DUMMYFUNCTION("""COMPUTED_VALUE"""),6.0)</f>
        <v>6</v>
      </c>
      <c r="F154" s="1">
        <f>IFERROR(__xludf.DUMMYFUNCTION("""COMPUTED_VALUE"""),10.0)</f>
        <v>10</v>
      </c>
      <c r="G154" s="1">
        <f>IFERROR(__xludf.DUMMYFUNCTION("""COMPUTED_VALUE"""),1.0)</f>
        <v>1</v>
      </c>
      <c r="H154" s="1">
        <f>IFERROR(__xludf.DUMMYFUNCTION("""COMPUTED_VALUE"""),0.0)</f>
        <v>0</v>
      </c>
      <c r="I154" s="1">
        <f>IFERROR(__xludf.DUMMYFUNCTION("""COMPUTED_VALUE"""),0.0)</f>
        <v>0</v>
      </c>
      <c r="J154" s="1">
        <f>IFERROR(__xludf.DUMMYFUNCTION("""COMPUTED_VALUE"""),0.0)</f>
        <v>0</v>
      </c>
      <c r="K154" s="1">
        <f>IFERROR(__xludf.DUMMYFUNCTION("""COMPUTED_VALUE"""),0.0)</f>
        <v>0</v>
      </c>
      <c r="L154" s="1">
        <f>IFERROR(__xludf.DUMMYFUNCTION("""COMPUTED_VALUE"""),23.0)</f>
        <v>23</v>
      </c>
      <c r="M154" s="1">
        <f>IFERROR(__xludf.DUMMYFUNCTION("""COMPUTED_VALUE"""),2.0)</f>
        <v>2</v>
      </c>
      <c r="N154" s="1">
        <f>IFERROR(__xludf.DUMMYFUNCTION("""COMPUTED_VALUE"""),2.0)</f>
        <v>2</v>
      </c>
      <c r="O154" s="1">
        <f>IFERROR(__xludf.DUMMYFUNCTION("""COMPUTED_VALUE"""),6.0)</f>
        <v>6</v>
      </c>
      <c r="P154" s="1">
        <f>IFERROR(__xludf.DUMMYFUNCTION("""COMPUTED_VALUE"""),10.0)</f>
        <v>10</v>
      </c>
    </row>
    <row r="155">
      <c r="A155" s="1" t="str">
        <f>IFERROR(__xludf.DUMMYFUNCTION("""COMPUTED_VALUE"""),"Venezuela")</f>
        <v>Venezuela</v>
      </c>
      <c r="B155" s="1">
        <f>IFERROR(__xludf.DUMMYFUNCTION("""COMPUTED_VALUE"""),19.0)</f>
        <v>19</v>
      </c>
      <c r="C155" s="1">
        <f>IFERROR(__xludf.DUMMYFUNCTION("""COMPUTED_VALUE"""),3.0)</f>
        <v>3</v>
      </c>
      <c r="D155" s="1">
        <f>IFERROR(__xludf.DUMMYFUNCTION("""COMPUTED_VALUE"""),7.0)</f>
        <v>7</v>
      </c>
      <c r="E155" s="1">
        <f>IFERROR(__xludf.DUMMYFUNCTION("""COMPUTED_VALUE"""),9.0)</f>
        <v>9</v>
      </c>
      <c r="F155" s="1">
        <f>IFERROR(__xludf.DUMMYFUNCTION("""COMPUTED_VALUE"""),19.0)</f>
        <v>19</v>
      </c>
      <c r="G155" s="1">
        <f>IFERROR(__xludf.DUMMYFUNCTION("""COMPUTED_VALUE"""),4.0)</f>
        <v>4</v>
      </c>
      <c r="H155" s="1">
        <f>IFERROR(__xludf.DUMMYFUNCTION("""COMPUTED_VALUE"""),0.0)</f>
        <v>0</v>
      </c>
      <c r="I155" s="1">
        <f>IFERROR(__xludf.DUMMYFUNCTION("""COMPUTED_VALUE"""),0.0)</f>
        <v>0</v>
      </c>
      <c r="J155" s="1">
        <f>IFERROR(__xludf.DUMMYFUNCTION("""COMPUTED_VALUE"""),0.0)</f>
        <v>0</v>
      </c>
      <c r="K155" s="1">
        <f>IFERROR(__xludf.DUMMYFUNCTION("""COMPUTED_VALUE"""),0.0)</f>
        <v>0</v>
      </c>
      <c r="L155" s="1">
        <f>IFERROR(__xludf.DUMMYFUNCTION("""COMPUTED_VALUE"""),23.0)</f>
        <v>23</v>
      </c>
      <c r="M155" s="1">
        <f>IFERROR(__xludf.DUMMYFUNCTION("""COMPUTED_VALUE"""),3.0)</f>
        <v>3</v>
      </c>
      <c r="N155" s="1">
        <f>IFERROR(__xludf.DUMMYFUNCTION("""COMPUTED_VALUE"""),7.0)</f>
        <v>7</v>
      </c>
      <c r="O155" s="1">
        <f>IFERROR(__xludf.DUMMYFUNCTION("""COMPUTED_VALUE"""),9.0)</f>
        <v>9</v>
      </c>
      <c r="P155" s="1">
        <f>IFERROR(__xludf.DUMMYFUNCTION("""COMPUTED_VALUE"""),19.0)</f>
        <v>19</v>
      </c>
    </row>
    <row r="156">
      <c r="A156" s="1" t="str">
        <f>IFERROR(__xludf.DUMMYFUNCTION("""COMPUTED_VALUE"""),"Viêt Nam")</f>
        <v>Viêt Nam</v>
      </c>
      <c r="B156" s="1">
        <f>IFERROR(__xludf.DUMMYFUNCTION("""COMPUTED_VALUE"""),16.0)</f>
        <v>16</v>
      </c>
      <c r="C156" s="1">
        <f>IFERROR(__xludf.DUMMYFUNCTION("""COMPUTED_VALUE"""),1.0)</f>
        <v>1</v>
      </c>
      <c r="D156" s="1">
        <f>IFERROR(__xludf.DUMMYFUNCTION("""COMPUTED_VALUE"""),3.0)</f>
        <v>3</v>
      </c>
      <c r="E156" s="1">
        <f>IFERROR(__xludf.DUMMYFUNCTION("""COMPUTED_VALUE"""),1.0)</f>
        <v>1</v>
      </c>
      <c r="F156" s="1">
        <f>IFERROR(__xludf.DUMMYFUNCTION("""COMPUTED_VALUE"""),5.0)</f>
        <v>5</v>
      </c>
      <c r="G156" s="1">
        <f>IFERROR(__xludf.DUMMYFUNCTION("""COMPUTED_VALUE"""),0.0)</f>
        <v>0</v>
      </c>
      <c r="H156" s="1">
        <f>IFERROR(__xludf.DUMMYFUNCTION("""COMPUTED_VALUE"""),0.0)</f>
        <v>0</v>
      </c>
      <c r="I156" s="1">
        <f>IFERROR(__xludf.DUMMYFUNCTION("""COMPUTED_VALUE"""),0.0)</f>
        <v>0</v>
      </c>
      <c r="J156" s="1">
        <f>IFERROR(__xludf.DUMMYFUNCTION("""COMPUTED_VALUE"""),0.0)</f>
        <v>0</v>
      </c>
      <c r="K156" s="1">
        <f>IFERROR(__xludf.DUMMYFUNCTION("""COMPUTED_VALUE"""),0.0)</f>
        <v>0</v>
      </c>
      <c r="L156" s="1">
        <f>IFERROR(__xludf.DUMMYFUNCTION("""COMPUTED_VALUE"""),16.0)</f>
        <v>16</v>
      </c>
      <c r="M156" s="1">
        <f>IFERROR(__xludf.DUMMYFUNCTION("""COMPUTED_VALUE"""),1.0)</f>
        <v>1</v>
      </c>
      <c r="N156" s="1">
        <f>IFERROR(__xludf.DUMMYFUNCTION("""COMPUTED_VALUE"""),3.0)</f>
        <v>3</v>
      </c>
      <c r="O156" s="1">
        <f>IFERROR(__xludf.DUMMYFUNCTION("""COMPUTED_VALUE"""),1.0)</f>
        <v>1</v>
      </c>
      <c r="P156" s="1">
        <f>IFERROR(__xludf.DUMMYFUNCTION("""COMPUTED_VALUE"""),5.0)</f>
        <v>5</v>
      </c>
    </row>
    <row r="157">
      <c r="A157" s="1" t="str">
        <f>IFERROR(__xludf.DUMMYFUNCTION("""COMPUTED_VALUE"""),"* Yougoslavie*[29]")</f>
        <v>* Yougoslavie*[29]</v>
      </c>
      <c r="B157" s="1">
        <f>IFERROR(__xludf.DUMMYFUNCTION("""COMPUTED_VALUE"""),16.0)</f>
        <v>16</v>
      </c>
      <c r="C157" s="1">
        <f>IFERROR(__xludf.DUMMYFUNCTION("""COMPUTED_VALUE"""),28.0)</f>
        <v>28</v>
      </c>
      <c r="D157" s="1">
        <f>IFERROR(__xludf.DUMMYFUNCTION("""COMPUTED_VALUE"""),31.0)</f>
        <v>31</v>
      </c>
      <c r="E157" s="1">
        <f>IFERROR(__xludf.DUMMYFUNCTION("""COMPUTED_VALUE"""),31.0)</f>
        <v>31</v>
      </c>
      <c r="F157" s="1">
        <f>IFERROR(__xludf.DUMMYFUNCTION("""COMPUTED_VALUE"""),90.0)</f>
        <v>90</v>
      </c>
      <c r="G157" s="1">
        <f>IFERROR(__xludf.DUMMYFUNCTION("""COMPUTED_VALUE"""),14.0)</f>
        <v>14</v>
      </c>
      <c r="H157" s="1">
        <f>IFERROR(__xludf.DUMMYFUNCTION("""COMPUTED_VALUE"""),0.0)</f>
        <v>0</v>
      </c>
      <c r="I157" s="1">
        <f>IFERROR(__xludf.DUMMYFUNCTION("""COMPUTED_VALUE"""),3.0)</f>
        <v>3</v>
      </c>
      <c r="J157" s="1">
        <f>IFERROR(__xludf.DUMMYFUNCTION("""COMPUTED_VALUE"""),1.0)</f>
        <v>1</v>
      </c>
      <c r="K157" s="1">
        <f>IFERROR(__xludf.DUMMYFUNCTION("""COMPUTED_VALUE"""),4.0)</f>
        <v>4</v>
      </c>
      <c r="L157" s="1">
        <f>IFERROR(__xludf.DUMMYFUNCTION("""COMPUTED_VALUE"""),30.0)</f>
        <v>30</v>
      </c>
      <c r="M157" s="1">
        <f>IFERROR(__xludf.DUMMYFUNCTION("""COMPUTED_VALUE"""),26.0)</f>
        <v>26</v>
      </c>
      <c r="N157" s="1">
        <f>IFERROR(__xludf.DUMMYFUNCTION("""COMPUTED_VALUE"""),32.0)</f>
        <v>32</v>
      </c>
      <c r="O157" s="1">
        <f>IFERROR(__xludf.DUMMYFUNCTION("""COMPUTED_VALUE"""),29.0)</f>
        <v>29</v>
      </c>
      <c r="P157" s="1">
        <f>IFERROR(__xludf.DUMMYFUNCTION("""COMPUTED_VALUE"""),87.0)</f>
        <v>87</v>
      </c>
    </row>
    <row r="158">
      <c r="A158" s="1" t="str">
        <f>IFERROR(__xludf.DUMMYFUNCTION("""COMPUTED_VALUE"""),"Zambie")</f>
        <v>Zambie</v>
      </c>
      <c r="B158" s="1">
        <f>IFERROR(__xludf.DUMMYFUNCTION("""COMPUTED_VALUE"""),14.0)</f>
        <v>14</v>
      </c>
      <c r="C158" s="1">
        <f>IFERROR(__xludf.DUMMYFUNCTION("""COMPUTED_VALUE"""),0.0)</f>
        <v>0</v>
      </c>
      <c r="D158" s="1">
        <f>IFERROR(__xludf.DUMMYFUNCTION("""COMPUTED_VALUE"""),1.0)</f>
        <v>1</v>
      </c>
      <c r="E158" s="1">
        <f>IFERROR(__xludf.DUMMYFUNCTION("""COMPUTED_VALUE"""),1.0)</f>
        <v>1</v>
      </c>
      <c r="F158" s="1">
        <f>IFERROR(__xludf.DUMMYFUNCTION("""COMPUTED_VALUE"""),2.0)</f>
        <v>2</v>
      </c>
      <c r="G158" s="1">
        <f>IFERROR(__xludf.DUMMYFUNCTION("""COMPUTED_VALUE"""),0.0)</f>
        <v>0</v>
      </c>
      <c r="H158" s="1">
        <f>IFERROR(__xludf.DUMMYFUNCTION("""COMPUTED_VALUE"""),0.0)</f>
        <v>0</v>
      </c>
      <c r="I158" s="1">
        <f>IFERROR(__xludf.DUMMYFUNCTION("""COMPUTED_VALUE"""),0.0)</f>
        <v>0</v>
      </c>
      <c r="J158" s="1">
        <f>IFERROR(__xludf.DUMMYFUNCTION("""COMPUTED_VALUE"""),0.0)</f>
        <v>0</v>
      </c>
      <c r="K158" s="1">
        <f>IFERROR(__xludf.DUMMYFUNCTION("""COMPUTED_VALUE"""),0.0)</f>
        <v>0</v>
      </c>
      <c r="L158" s="1">
        <f>IFERROR(__xludf.DUMMYFUNCTION("""COMPUTED_VALUE"""),14.0)</f>
        <v>14</v>
      </c>
      <c r="M158" s="1">
        <f>IFERROR(__xludf.DUMMYFUNCTION("""COMPUTED_VALUE"""),0.0)</f>
        <v>0</v>
      </c>
      <c r="N158" s="1">
        <f>IFERROR(__xludf.DUMMYFUNCTION("""COMPUTED_VALUE"""),1.0)</f>
        <v>1</v>
      </c>
      <c r="O158" s="1">
        <f>IFERROR(__xludf.DUMMYFUNCTION("""COMPUTED_VALUE"""),1.0)</f>
        <v>1</v>
      </c>
      <c r="P158" s="1">
        <f>IFERROR(__xludf.DUMMYFUNCTION("""COMPUTED_VALUE"""),2.0)</f>
        <v>2</v>
      </c>
    </row>
    <row r="159">
      <c r="A159" s="1" t="str">
        <f>IFERROR(__xludf.DUMMYFUNCTION("""COMPUTED_VALUE"""),"Zimbabwe")</f>
        <v>Zimbabwe</v>
      </c>
      <c r="B159" s="1">
        <f>IFERROR(__xludf.DUMMYFUNCTION("""COMPUTED_VALUE"""),14.0)</f>
        <v>14</v>
      </c>
      <c r="C159" s="1">
        <f>IFERROR(__xludf.DUMMYFUNCTION("""COMPUTED_VALUE"""),3.0)</f>
        <v>3</v>
      </c>
      <c r="D159" s="1">
        <f>IFERROR(__xludf.DUMMYFUNCTION("""COMPUTED_VALUE"""),4.0)</f>
        <v>4</v>
      </c>
      <c r="E159" s="1">
        <f>IFERROR(__xludf.DUMMYFUNCTION("""COMPUTED_VALUE"""),1.0)</f>
        <v>1</v>
      </c>
      <c r="F159" s="1">
        <f>IFERROR(__xludf.DUMMYFUNCTION("""COMPUTED_VALUE"""),8.0)</f>
        <v>8</v>
      </c>
      <c r="G159" s="1">
        <f>IFERROR(__xludf.DUMMYFUNCTION("""COMPUTED_VALUE"""),1.0)</f>
        <v>1</v>
      </c>
      <c r="H159" s="1">
        <f>IFERROR(__xludf.DUMMYFUNCTION("""COMPUTED_VALUE"""),0.0)</f>
        <v>0</v>
      </c>
      <c r="I159" s="1">
        <f>IFERROR(__xludf.DUMMYFUNCTION("""COMPUTED_VALUE"""),0.0)</f>
        <v>0</v>
      </c>
      <c r="J159" s="1">
        <f>IFERROR(__xludf.DUMMYFUNCTION("""COMPUTED_VALUE"""),0.0)</f>
        <v>0</v>
      </c>
      <c r="K159" s="1">
        <f>IFERROR(__xludf.DUMMYFUNCTION("""COMPUTED_VALUE"""),0.0)</f>
        <v>0</v>
      </c>
      <c r="L159" s="1">
        <f>IFERROR(__xludf.DUMMYFUNCTION("""COMPUTED_VALUE"""),15.0)</f>
        <v>15</v>
      </c>
      <c r="M159" s="1">
        <f>IFERROR(__xludf.DUMMYFUNCTION("""COMPUTED_VALUE"""),3.0)</f>
        <v>3</v>
      </c>
      <c r="N159" s="1">
        <f>IFERROR(__xludf.DUMMYFUNCTION("""COMPUTED_VALUE"""),4.0)</f>
        <v>4</v>
      </c>
      <c r="O159" s="1">
        <f>IFERROR(__xludf.DUMMYFUNCTION("""COMPUTED_VALUE"""),1.0)</f>
        <v>1</v>
      </c>
      <c r="P159" s="1">
        <f>IFERROR(__xludf.DUMMYFUNCTION("""COMPUTED_VALUE"""),8.0)</f>
        <v>8</v>
      </c>
    </row>
    <row r="160">
      <c r="A160" s="1" t="str">
        <f>IFERROR(__xludf.DUMMYFUNCTION("""COMPUTED_VALUE"""),"Total")</f>
        <v>Total</v>
      </c>
      <c r="B160" s="1"/>
      <c r="C160" s="1" t="str">
        <f>IFERROR(__xludf.DUMMYFUNCTION("""COMPUTED_VALUE"""),"5 121")</f>
        <v>5 121</v>
      </c>
      <c r="D160" s="1" t="str">
        <f>IFERROR(__xludf.DUMMYFUNCTION("""COMPUTED_VALUE"""),"5 085")</f>
        <v>5 085</v>
      </c>
      <c r="E160" s="1" t="str">
        <f>IFERROR(__xludf.DUMMYFUNCTION("""COMPUTED_VALUE"""),"5 493")</f>
        <v>5 493</v>
      </c>
      <c r="F160" s="1" t="str">
        <f>IFERROR(__xludf.DUMMYFUNCTION("""COMPUTED_VALUE"""),"15 703")</f>
        <v>15 703</v>
      </c>
      <c r="G160" s="1">
        <f>IFERROR(__xludf.DUMMYFUNCTION("""COMPUTED_VALUE"""),23.0)</f>
        <v>23</v>
      </c>
      <c r="H160" s="1" t="str">
        <f>IFERROR(__xludf.DUMMYFUNCTION("""COMPUTED_VALUE"""),"1 062")</f>
        <v>1 062</v>
      </c>
      <c r="I160" s="1" t="str">
        <f>IFERROR(__xludf.DUMMYFUNCTION("""COMPUTED_VALUE"""),"1 060")</f>
        <v>1 060</v>
      </c>
      <c r="J160" s="1" t="str">
        <f>IFERROR(__xludf.DUMMYFUNCTION("""COMPUTED_VALUE"""),"1 051")</f>
        <v>1 051</v>
      </c>
      <c r="K160" s="1" t="str">
        <f>IFERROR(__xludf.DUMMYFUNCTION("""COMPUTED_VALUE"""),"3 173")</f>
        <v>3 173</v>
      </c>
      <c r="L160" s="1">
        <f>IFERROR(__xludf.DUMMYFUNCTION("""COMPUTED_VALUE"""),55.0)</f>
        <v>55</v>
      </c>
      <c r="M160" s="1" t="str">
        <f>IFERROR(__xludf.DUMMYFUNCTION("""COMPUTED_VALUE"""),"6 187")</f>
        <v>6 187</v>
      </c>
      <c r="N160" s="1" t="str">
        <f>IFERROR(__xludf.DUMMYFUNCTION("""COMPUTED_VALUE"""),"6 145")</f>
        <v>6 145</v>
      </c>
      <c r="O160" s="1" t="str">
        <f>IFERROR(__xludf.DUMMYFUNCTION("""COMPUTED_VALUE"""),"6 544")</f>
        <v>6 544</v>
      </c>
      <c r="P160" s="1" t="str">
        <f>IFERROR(__xludf.DUMMYFUNCTION("""COMPUTED_VALUE"""),"18 876")</f>
        <v>18 876</v>
      </c>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IFERROR(__xludf.DUMMYFUNCTION("IMPORTHTML(""https://www.eurosport.fr/football/coupe-du-monde/2022/classements.shtml"",""table"",4)"),"")</f>
        <v/>
      </c>
      <c r="B1" s="1"/>
      <c r="C1" s="1"/>
      <c r="D1" s="1" t="str">
        <f>IFERROR(__xludf.DUMMYFUNCTION("""COMPUTED_VALUE"""),"Equipes")</f>
        <v>Equipes</v>
      </c>
      <c r="E1" s="1" t="str">
        <f>IFERROR(__xludf.DUMMYFUNCTION("""COMPUTED_VALUE"""),"Derniers résultats")</f>
        <v>Derniers résultats</v>
      </c>
      <c r="F1" s="1" t="str">
        <f>IFERROR(__xludf.DUMMYFUNCTION("""COMPUTED_VALUE"""),"J")</f>
        <v>J</v>
      </c>
      <c r="G1" s="1" t="str">
        <f>IFERROR(__xludf.DUMMYFUNCTION("""COMPUTED_VALUE"""),"V")</f>
        <v>V</v>
      </c>
      <c r="H1" s="1" t="str">
        <f>IFERROR(__xludf.DUMMYFUNCTION("""COMPUTED_VALUE"""),"N")</f>
        <v>N</v>
      </c>
      <c r="I1" s="1" t="str">
        <f>IFERROR(__xludf.DUMMYFUNCTION("""COMPUTED_VALUE"""),"P")</f>
        <v>P</v>
      </c>
      <c r="J1" s="1" t="str">
        <f>IFERROR(__xludf.DUMMYFUNCTION("""COMPUTED_VALUE"""),"BP")</f>
        <v>BP</v>
      </c>
      <c r="K1" s="1" t="str">
        <f>IFERROR(__xludf.DUMMYFUNCTION("""COMPUTED_VALUE"""),"BC")</f>
        <v>BC</v>
      </c>
      <c r="L1" s="1" t="str">
        <f>IFERROR(__xludf.DUMMYFUNCTION("""COMPUTED_VALUE"""),"+/-")</f>
        <v>+/-</v>
      </c>
      <c r="M1" s="1" t="str">
        <f>IFERROR(__xludf.DUMMYFUNCTION("""COMPUTED_VALUE"""),"Pts")</f>
        <v>Pts</v>
      </c>
      <c r="N1" s="1"/>
    </row>
    <row r="2">
      <c r="A2" s="1"/>
      <c r="B2" s="1">
        <f>IFERROR(__xludf.DUMMYFUNCTION("""COMPUTED_VALUE"""),1.0)</f>
        <v>1</v>
      </c>
      <c r="C2" s="1"/>
      <c r="D2" s="1" t="str">
        <f>IFERROR(__xludf.DUMMYFUNCTION("""COMPUTED_VALUE"""),"FranceFRA")</f>
        <v>FranceFRA</v>
      </c>
      <c r="E2" s="1"/>
      <c r="F2" s="1">
        <f>IFERROR(__xludf.DUMMYFUNCTION("""COMPUTED_VALUE"""),3.0)</f>
        <v>3</v>
      </c>
      <c r="G2" s="1">
        <f>IFERROR(__xludf.DUMMYFUNCTION("""COMPUTED_VALUE"""),2.0)</f>
        <v>2</v>
      </c>
      <c r="H2" s="1">
        <f>IFERROR(__xludf.DUMMYFUNCTION("""COMPUTED_VALUE"""),0.0)</f>
        <v>0</v>
      </c>
      <c r="I2" s="1">
        <f>IFERROR(__xludf.DUMMYFUNCTION("""COMPUTED_VALUE"""),1.0)</f>
        <v>1</v>
      </c>
      <c r="J2" s="1">
        <f>IFERROR(__xludf.DUMMYFUNCTION("""COMPUTED_VALUE"""),6.0)</f>
        <v>6</v>
      </c>
      <c r="K2" s="1">
        <f>IFERROR(__xludf.DUMMYFUNCTION("""COMPUTED_VALUE"""),3.0)</f>
        <v>3</v>
      </c>
      <c r="L2" s="1">
        <f>IFERROR(__xludf.DUMMYFUNCTION("""COMPUTED_VALUE"""),3.0)</f>
        <v>3</v>
      </c>
      <c r="M2" s="1">
        <f>IFERROR(__xludf.DUMMYFUNCTION("""COMPUTED_VALUE"""),6.0)</f>
        <v>6</v>
      </c>
      <c r="N2" s="1"/>
    </row>
    <row r="3">
      <c r="A3" s="1"/>
      <c r="B3" s="1">
        <f>IFERROR(__xludf.DUMMYFUNCTION("""COMPUTED_VALUE"""),2.0)</f>
        <v>2</v>
      </c>
      <c r="C3" s="1"/>
      <c r="D3" s="1" t="str">
        <f>IFERROR(__xludf.DUMMYFUNCTION("""COMPUTED_VALUE"""),"AustralieAUS")</f>
        <v>AustralieAUS</v>
      </c>
      <c r="E3" s="1"/>
      <c r="F3" s="1">
        <f>IFERROR(__xludf.DUMMYFUNCTION("""COMPUTED_VALUE"""),3.0)</f>
        <v>3</v>
      </c>
      <c r="G3" s="1">
        <f>IFERROR(__xludf.DUMMYFUNCTION("""COMPUTED_VALUE"""),2.0)</f>
        <v>2</v>
      </c>
      <c r="H3" s="1">
        <f>IFERROR(__xludf.DUMMYFUNCTION("""COMPUTED_VALUE"""),0.0)</f>
        <v>0</v>
      </c>
      <c r="I3" s="1">
        <f>IFERROR(__xludf.DUMMYFUNCTION("""COMPUTED_VALUE"""),1.0)</f>
        <v>1</v>
      </c>
      <c r="J3" s="1">
        <f>IFERROR(__xludf.DUMMYFUNCTION("""COMPUTED_VALUE"""),3.0)</f>
        <v>3</v>
      </c>
      <c r="K3" s="1">
        <f>IFERROR(__xludf.DUMMYFUNCTION("""COMPUTED_VALUE"""),4.0)</f>
        <v>4</v>
      </c>
      <c r="L3" s="1">
        <f>IFERROR(__xludf.DUMMYFUNCTION("""COMPUTED_VALUE"""),-1.0)</f>
        <v>-1</v>
      </c>
      <c r="M3" s="1">
        <f>IFERROR(__xludf.DUMMYFUNCTION("""COMPUTED_VALUE"""),6.0)</f>
        <v>6</v>
      </c>
      <c r="N3" s="1"/>
    </row>
    <row r="4">
      <c r="A4" s="1"/>
      <c r="B4" s="1">
        <f>IFERROR(__xludf.DUMMYFUNCTION("""COMPUTED_VALUE"""),3.0)</f>
        <v>3</v>
      </c>
      <c r="C4" s="1"/>
      <c r="D4" s="1" t="str">
        <f>IFERROR(__xludf.DUMMYFUNCTION("""COMPUTED_VALUE"""),"TunisieTUN")</f>
        <v>TunisieTUN</v>
      </c>
      <c r="E4" s="1"/>
      <c r="F4" s="1">
        <f>IFERROR(__xludf.DUMMYFUNCTION("""COMPUTED_VALUE"""),3.0)</f>
        <v>3</v>
      </c>
      <c r="G4" s="1">
        <f>IFERROR(__xludf.DUMMYFUNCTION("""COMPUTED_VALUE"""),1.0)</f>
        <v>1</v>
      </c>
      <c r="H4" s="1">
        <f>IFERROR(__xludf.DUMMYFUNCTION("""COMPUTED_VALUE"""),1.0)</f>
        <v>1</v>
      </c>
      <c r="I4" s="1">
        <f>IFERROR(__xludf.DUMMYFUNCTION("""COMPUTED_VALUE"""),1.0)</f>
        <v>1</v>
      </c>
      <c r="J4" s="1">
        <f>IFERROR(__xludf.DUMMYFUNCTION("""COMPUTED_VALUE"""),1.0)</f>
        <v>1</v>
      </c>
      <c r="K4" s="1">
        <f>IFERROR(__xludf.DUMMYFUNCTION("""COMPUTED_VALUE"""),1.0)</f>
        <v>1</v>
      </c>
      <c r="L4" s="1">
        <f>IFERROR(__xludf.DUMMYFUNCTION("""COMPUTED_VALUE"""),0.0)</f>
        <v>0</v>
      </c>
      <c r="M4" s="1">
        <f>IFERROR(__xludf.DUMMYFUNCTION("""COMPUTED_VALUE"""),4.0)</f>
        <v>4</v>
      </c>
      <c r="N4" s="1"/>
    </row>
    <row r="5">
      <c r="A5" s="1"/>
      <c r="B5" s="1">
        <f>IFERROR(__xludf.DUMMYFUNCTION("""COMPUTED_VALUE"""),4.0)</f>
        <v>4</v>
      </c>
      <c r="C5" s="1"/>
      <c r="D5" s="1" t="str">
        <f>IFERROR(__xludf.DUMMYFUNCTION("""COMPUTED_VALUE"""),"DanemarkDEN")</f>
        <v>DanemarkDEN</v>
      </c>
      <c r="E5" s="1"/>
      <c r="F5" s="1">
        <f>IFERROR(__xludf.DUMMYFUNCTION("""COMPUTED_VALUE"""),3.0)</f>
        <v>3</v>
      </c>
      <c r="G5" s="1">
        <f>IFERROR(__xludf.DUMMYFUNCTION("""COMPUTED_VALUE"""),0.0)</f>
        <v>0</v>
      </c>
      <c r="H5" s="1">
        <f>IFERROR(__xludf.DUMMYFUNCTION("""COMPUTED_VALUE"""),1.0)</f>
        <v>1</v>
      </c>
      <c r="I5" s="1">
        <f>IFERROR(__xludf.DUMMYFUNCTION("""COMPUTED_VALUE"""),2.0)</f>
        <v>2</v>
      </c>
      <c r="J5" s="1">
        <f>IFERROR(__xludf.DUMMYFUNCTION("""COMPUTED_VALUE"""),1.0)</f>
        <v>1</v>
      </c>
      <c r="K5" s="1">
        <f>IFERROR(__xludf.DUMMYFUNCTION("""COMPUTED_VALUE"""),3.0)</f>
        <v>3</v>
      </c>
      <c r="L5" s="1">
        <f>IFERROR(__xludf.DUMMYFUNCTION("""COMPUTED_VALUE"""),-2.0)</f>
        <v>-2</v>
      </c>
      <c r="M5" s="1">
        <f>IFERROR(__xludf.DUMMYFUNCTION("""COMPUTED_VALUE"""),1.0)</f>
        <v>1</v>
      </c>
      <c r="N5" s="1"/>
    </row>
    <row r="8">
      <c r="F8" s="6">
        <v>44624.0</v>
      </c>
    </row>
    <row r="9">
      <c r="F9" s="1">
        <f>IFERROR(__xludf.DUMMYFUNCTION("SPLIT(F8,""-"")"),3.0)</f>
        <v>3</v>
      </c>
      <c r="G9" s="1">
        <f>IFERROR(__xludf.DUMMYFUNCTION("""COMPUTED_VALUE"""),4.0)</f>
        <v>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c r="B1" s="1" t="s">
        <v>91</v>
      </c>
      <c r="C1" s="1" t="s">
        <v>92</v>
      </c>
      <c r="D1" s="1" t="s">
        <v>93</v>
      </c>
      <c r="E1" s="1" t="s">
        <v>94</v>
      </c>
    </row>
    <row r="2">
      <c r="A2" s="1" t="s">
        <v>95</v>
      </c>
      <c r="B2" s="1" t="s">
        <v>96</v>
      </c>
      <c r="C2" s="1" t="s">
        <v>97</v>
      </c>
      <c r="D2" s="1" t="s">
        <v>98</v>
      </c>
      <c r="E2" s="1" t="s">
        <v>99</v>
      </c>
    </row>
    <row r="3">
      <c r="A3" s="1" t="s">
        <v>100</v>
      </c>
      <c r="B3" s="1" t="s">
        <v>101</v>
      </c>
      <c r="C3" s="1" t="s">
        <v>102</v>
      </c>
      <c r="D3" s="1" t="s">
        <v>103</v>
      </c>
      <c r="E3" s="1" t="s">
        <v>104</v>
      </c>
    </row>
    <row r="4">
      <c r="A4" s="1" t="s">
        <v>105</v>
      </c>
      <c r="B4" s="1" t="s">
        <v>106</v>
      </c>
      <c r="C4" s="1" t="s">
        <v>107</v>
      </c>
      <c r="D4" s="1" t="s">
        <v>108</v>
      </c>
      <c r="E4" s="1" t="s">
        <v>109</v>
      </c>
    </row>
    <row r="5">
      <c r="A5" s="1" t="s">
        <v>110</v>
      </c>
      <c r="B5" s="1" t="s">
        <v>111</v>
      </c>
      <c r="C5" s="1" t="s">
        <v>112</v>
      </c>
      <c r="D5" s="1" t="s">
        <v>113</v>
      </c>
      <c r="E5" s="1" t="s">
        <v>114</v>
      </c>
    </row>
    <row r="6">
      <c r="A6" s="1" t="s">
        <v>115</v>
      </c>
      <c r="B6" s="1" t="s">
        <v>116</v>
      </c>
      <c r="C6" s="1" t="s">
        <v>117</v>
      </c>
      <c r="D6" s="1" t="s">
        <v>118</v>
      </c>
      <c r="E6" s="1" t="s">
        <v>119</v>
      </c>
    </row>
    <row r="7">
      <c r="A7" s="1" t="s">
        <v>120</v>
      </c>
      <c r="B7" s="1" t="s">
        <v>121</v>
      </c>
      <c r="C7" s="1" t="s">
        <v>122</v>
      </c>
      <c r="D7" s="1" t="s">
        <v>123</v>
      </c>
      <c r="E7" s="1" t="s">
        <v>124</v>
      </c>
    </row>
    <row r="8">
      <c r="A8" s="1" t="s">
        <v>125</v>
      </c>
      <c r="B8" s="1" t="s">
        <v>126</v>
      </c>
      <c r="C8" s="1" t="s">
        <v>127</v>
      </c>
      <c r="D8" s="1" t="s">
        <v>128</v>
      </c>
      <c r="E8" s="1" t="s">
        <v>129</v>
      </c>
    </row>
    <row r="9">
      <c r="A9" s="1" t="s">
        <v>130</v>
      </c>
      <c r="B9" s="1" t="s">
        <v>131</v>
      </c>
      <c r="C9" s="1" t="s">
        <v>132</v>
      </c>
      <c r="D9" s="1" t="s">
        <v>133</v>
      </c>
      <c r="E9" s="1" t="s">
        <v>134</v>
      </c>
    </row>
    <row r="10">
      <c r="A10" s="1" t="s">
        <v>135</v>
      </c>
      <c r="B10" s="1" t="s">
        <v>136</v>
      </c>
      <c r="C10" s="1" t="s">
        <v>137</v>
      </c>
      <c r="D10" s="1" t="s">
        <v>138</v>
      </c>
      <c r="E10" s="1" t="s">
        <v>139</v>
      </c>
    </row>
    <row r="11">
      <c r="A11" s="1" t="s">
        <v>140</v>
      </c>
      <c r="B11" s="1" t="s">
        <v>141</v>
      </c>
      <c r="C11" s="1" t="s">
        <v>142</v>
      </c>
      <c r="D11" s="1" t="s">
        <v>143</v>
      </c>
      <c r="E11" s="1" t="s">
        <v>144</v>
      </c>
    </row>
    <row r="12">
      <c r="A12" s="1" t="s">
        <v>145</v>
      </c>
      <c r="B12" s="1" t="s">
        <v>146</v>
      </c>
      <c r="C12" s="1" t="s">
        <v>147</v>
      </c>
      <c r="D12" s="1" t="s">
        <v>148</v>
      </c>
      <c r="E12" s="1" t="s">
        <v>149</v>
      </c>
    </row>
    <row r="13">
      <c r="A13" s="1" t="s">
        <v>150</v>
      </c>
      <c r="B13" s="1" t="s">
        <v>151</v>
      </c>
      <c r="C13" s="1" t="s">
        <v>152</v>
      </c>
      <c r="D13" s="1" t="s">
        <v>153</v>
      </c>
      <c r="E13" s="1" t="s">
        <v>154</v>
      </c>
    </row>
    <row r="14">
      <c r="A14" s="1" t="s">
        <v>155</v>
      </c>
      <c r="B14" s="1" t="s">
        <v>156</v>
      </c>
      <c r="C14" s="1" t="s">
        <v>157</v>
      </c>
      <c r="D14" s="1" t="s">
        <v>158</v>
      </c>
      <c r="E14" s="1" t="s">
        <v>159</v>
      </c>
    </row>
    <row r="15">
      <c r="A15" s="1" t="s">
        <v>160</v>
      </c>
      <c r="B15" s="1" t="s">
        <v>161</v>
      </c>
      <c r="C15" s="1" t="s">
        <v>162</v>
      </c>
      <c r="D15" s="1" t="s">
        <v>163</v>
      </c>
      <c r="E15" s="1" t="s">
        <v>164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IFERROR(__xludf.DUMMYFUNCTION("IMPORTHTML(""https://fr.wikipedia.org/wiki/Liste_des_pr%C3%A9sidents_de_la_R%C3%A9publique_fran%C3%A7aise"", ""table"", ""1"")"),"No")</f>
        <v>No</v>
      </c>
      <c r="B1" s="1" t="str">
        <f>IFERROR(__xludf.DUMMYFUNCTION("""COMPUTED_VALUE"""),"Portrait")</f>
        <v>Portrait</v>
      </c>
      <c r="C1" s="1" t="str">
        <f>IFERROR(__xludf.DUMMYFUNCTION("""COMPUTED_VALUE"""),"Titulaire
(naissance-mort)")</f>
        <v>Titulaire
(naissance-mort)</v>
      </c>
      <c r="D1" s="1" t="str">
        <f>IFERROR(__xludf.DUMMYFUNCTION("""COMPUTED_VALUE"""),"Élection")</f>
        <v>Élection</v>
      </c>
      <c r="E1" s="1" t="str">
        <f>IFERROR(__xludf.DUMMYFUNCTION("""COMPUTED_VALUE"""),"Mandat")</f>
        <v>Mandat</v>
      </c>
      <c r="F1" s="1"/>
      <c r="G1" s="1"/>
      <c r="H1" s="1" t="str">
        <f>IFERROR(__xludf.DUMMYFUNCTION("""COMPUTED_VALUE"""),"Appartenance
politique")</f>
        <v>Appartenance
politique</v>
      </c>
      <c r="I1" s="1"/>
      <c r="J1" s="1" t="str">
        <f>IFERROR(__xludf.DUMMYFUNCTION("""COMPUTED_VALUE"""),"Notes")</f>
        <v>Notes</v>
      </c>
    </row>
    <row r="2">
      <c r="A2" s="2"/>
      <c r="B2" s="1"/>
      <c r="C2" s="1"/>
      <c r="D2" s="1"/>
      <c r="E2" s="1" t="str">
        <f>IFERROR(__xludf.DUMMYFUNCTION("""COMPUTED_VALUE"""),"Début")</f>
        <v>Début</v>
      </c>
      <c r="F2" s="1" t="str">
        <f>IFERROR(__xludf.DUMMYFUNCTION("""COMPUTED_VALUE"""),"Fin")</f>
        <v>Fin</v>
      </c>
      <c r="G2" s="1" t="str">
        <f>IFERROR(__xludf.DUMMYFUNCTION("""COMPUTED_VALUE"""),"Durée")</f>
        <v>Durée</v>
      </c>
      <c r="H2" s="1"/>
      <c r="I2" s="1"/>
      <c r="J2" s="1"/>
    </row>
    <row r="3">
      <c r="A3" s="1">
        <f>IFERROR(__xludf.DUMMYFUNCTION("""COMPUTED_VALUE"""),1.0)</f>
        <v>1</v>
      </c>
      <c r="B3" s="1"/>
      <c r="C3" s="1" t="str">
        <f>IFERROR(__xludf.DUMMYFUNCTION("""COMPUTED_VALUE"""),"*Louis-Napoléon Bonaparte*
(1808-1873)")</f>
        <v>*Louis-Napoléon Bonaparte*
(1808-1873)</v>
      </c>
      <c r="D3" s="1">
        <f>IFERROR(__xludf.DUMMYFUNCTION("""COMPUTED_VALUE"""),1848.0)</f>
        <v>1848</v>
      </c>
      <c r="E3" s="1" t="str">
        <f>IFERROR(__xludf.DUMMYFUNCTION("""COMPUTED_VALUE"""),"20 décembre 1848")</f>
        <v>20 décembre 1848</v>
      </c>
      <c r="F3" s="1" t="str">
        <f>IFERROR(__xludf.DUMMYFUNCTION("""COMPUTED_VALUE"""),"2 décembre 1852")</f>
        <v>2 décembre 1852</v>
      </c>
      <c r="G3" s="1" t="str">
        <f>IFERROR(__xludf.DUMMYFUNCTION("""COMPUTED_VALUE"""),"3 ans, 11 mois et 12 jours")</f>
        <v>3 ans, 11 mois et 12 jours</v>
      </c>
      <c r="H3" s="1"/>
      <c r="I3" s="1" t="str">
        <f>IFERROR(__xludf.DUMMYFUNCTION("""COMPUTED_VALUE"""),"Bonapartiste")</f>
        <v>Bonapartiste</v>
      </c>
      <c r="J3" s="1" t="str">
        <f>IFERROR(__xludf.DUMMYFUNCTION("""COMPUTED_VALUE"""),"[a]")</f>
        <v>[a]</v>
      </c>
    </row>
    <row r="12">
      <c r="A12"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165</v>
      </c>
    </row>
    <row r="2">
      <c r="A2" s="2">
        <v>10.0</v>
      </c>
      <c r="B2" s="2">
        <v>2.0</v>
      </c>
      <c r="D2" s="1">
        <f>SUM($A2+B2)</f>
        <v>12</v>
      </c>
    </row>
    <row r="3">
      <c r="A3" s="2">
        <v>2.0</v>
      </c>
      <c r="B3" s="2">
        <v>2.0</v>
      </c>
      <c r="D3" s="1">
        <f>SUM($A2+B3)</f>
        <v>12</v>
      </c>
      <c r="E3" s="2"/>
    </row>
    <row r="4">
      <c r="A4" s="2">
        <v>3.0</v>
      </c>
      <c r="B4" s="2">
        <v>2.0</v>
      </c>
      <c r="D4" s="1">
        <f t="shared" ref="D4:D11" si="1">A$2+B4</f>
        <v>12</v>
      </c>
    </row>
    <row r="5">
      <c r="A5" s="2">
        <v>2.0</v>
      </c>
      <c r="B5" s="2">
        <v>2.0</v>
      </c>
      <c r="C5" s="1">
        <f>10+2</f>
        <v>12</v>
      </c>
      <c r="D5" s="1">
        <f t="shared" si="1"/>
        <v>12</v>
      </c>
    </row>
    <row r="6">
      <c r="A6" s="2">
        <v>2.0</v>
      </c>
      <c r="B6" s="2">
        <v>2.0</v>
      </c>
      <c r="C6" s="1">
        <f>A2+A3</f>
        <v>12</v>
      </c>
      <c r="D6" s="1">
        <f t="shared" si="1"/>
        <v>12</v>
      </c>
    </row>
    <row r="7">
      <c r="A7" s="2">
        <v>2.0</v>
      </c>
      <c r="B7" s="2">
        <v>2.0</v>
      </c>
      <c r="C7" s="1">
        <f>SUM(A2,A4)</f>
        <v>13</v>
      </c>
      <c r="D7" s="1">
        <f t="shared" si="1"/>
        <v>12</v>
      </c>
    </row>
    <row r="8">
      <c r="A8" s="2">
        <v>2.0</v>
      </c>
      <c r="B8" s="2">
        <v>2.0</v>
      </c>
      <c r="D8" s="1">
        <f t="shared" si="1"/>
        <v>12</v>
      </c>
    </row>
    <row r="9">
      <c r="A9" s="2">
        <v>4.0</v>
      </c>
      <c r="B9" s="2">
        <v>2.0</v>
      </c>
      <c r="D9" s="1">
        <f t="shared" si="1"/>
        <v>12</v>
      </c>
    </row>
    <row r="10">
      <c r="D10" s="1">
        <f t="shared" si="1"/>
        <v>10</v>
      </c>
    </row>
    <row r="11">
      <c r="D11" s="1">
        <f t="shared" si="1"/>
        <v>10</v>
      </c>
    </row>
    <row r="13">
      <c r="A13" s="1" t="str">
        <f>IFERROR(__xludf.DUMMYFUNCTION("IMPORTHTML(""https://www.e-monsite.com/pages/tutoriels/pages/creer-un-tableau-dans-une-page-web.html"",""table"")"),"Avatar")</f>
        <v>Avatar</v>
      </c>
      <c r="B13" s="1" t="str">
        <f>IFERROR(__xludf.DUMMYFUNCTION("""COMPUTED_VALUE"""),"Nom")</f>
        <v>Nom</v>
      </c>
      <c r="C13" s="1" t="str">
        <f>IFERROR(__xludf.DUMMYFUNCTION("""COMPUTED_VALUE"""),"Prénom")</f>
        <v>Prénom</v>
      </c>
      <c r="D13" s="1" t="str">
        <f>IFERROR(__xludf.DUMMYFUNCTION("""COMPUTED_VALUE"""),"Date de naissance")</f>
        <v>Date de naissance</v>
      </c>
      <c r="E13" s="1" t="str">
        <f>IFERROR(__xludf.DUMMYFUNCTION("""COMPUTED_VALUE"""),"Somme récoltée")</f>
        <v>Somme récoltée</v>
      </c>
      <c r="F13" s="1" t="str">
        <f>IFERROR(__xludf.DUMMYFUNCTION("""COMPUTED_VALUE"""),"Présence confirmée")</f>
        <v>Présence confirmée</v>
      </c>
    </row>
    <row r="14">
      <c r="A14" s="1"/>
      <c r="B14" s="1" t="str">
        <f>IFERROR(__xludf.DUMMYFUNCTION("""COMPUTED_VALUE"""),"Durand")</f>
        <v>Durand</v>
      </c>
      <c r="C14" s="1" t="str">
        <f>IFERROR(__xludf.DUMMYFUNCTION("""COMPUTED_VALUE"""),"Mélanie")</f>
        <v>Mélanie</v>
      </c>
      <c r="D14" s="8">
        <f>IFERROR(__xludf.DUMMYFUNCTION("""COMPUTED_VALUE"""),31751.0)</f>
        <v>31751</v>
      </c>
      <c r="E14" s="9">
        <f>IFERROR(__xludf.DUMMYFUNCTION("""COMPUTED_VALUE"""),12.0)</f>
        <v>12</v>
      </c>
      <c r="F14" s="1" t="str">
        <f>IFERROR(__xludf.DUMMYFUNCTION("""COMPUTED_VALUE"""),"*done*")</f>
        <v>*done*</v>
      </c>
    </row>
    <row r="15">
      <c r="A15" s="1"/>
      <c r="B15" s="1" t="str">
        <f>IFERROR(__xludf.DUMMYFUNCTION("""COMPUTED_VALUE"""),"Dufresne")</f>
        <v>Dufresne</v>
      </c>
      <c r="C15" s="1" t="str">
        <f>IFERROR(__xludf.DUMMYFUNCTION("""COMPUTED_VALUE"""),"Véronique")</f>
        <v>Véronique</v>
      </c>
      <c r="D15" s="10">
        <f>IFERROR(__xludf.DUMMYFUNCTION("""COMPUTED_VALUE"""),32123.0)</f>
        <v>32123</v>
      </c>
      <c r="E15" s="9">
        <f>IFERROR(__xludf.DUMMYFUNCTION("""COMPUTED_VALUE"""),54.0)</f>
        <v>54</v>
      </c>
      <c r="F15" s="1"/>
    </row>
    <row r="16">
      <c r="A16" s="1"/>
      <c r="B16" s="1" t="str">
        <f>IFERROR(__xludf.DUMMYFUNCTION("""COMPUTED_VALUE"""),"Dupont")</f>
        <v>Dupont</v>
      </c>
      <c r="C16" s="1" t="str">
        <f>IFERROR(__xludf.DUMMYFUNCTION("""COMPUTED_VALUE"""),"Sophie")</f>
        <v>Sophie</v>
      </c>
      <c r="D16" s="8">
        <f>IFERROR(__xludf.DUMMYFUNCTION("""COMPUTED_VALUE"""),19851.0)</f>
        <v>19851</v>
      </c>
      <c r="E16" s="9">
        <f>IFERROR(__xludf.DUMMYFUNCTION("""COMPUTED_VALUE"""),128.0)</f>
        <v>128</v>
      </c>
      <c r="F16" s="1" t="str">
        <f>IFERROR(__xludf.DUMMYFUNCTION("""COMPUTED_VALUE"""),"*done*")</f>
        <v>*done*</v>
      </c>
    </row>
    <row r="17">
      <c r="A17" s="1"/>
      <c r="B17" s="1" t="str">
        <f>IFERROR(__xludf.DUMMYFUNCTION("""COMPUTED_VALUE"""),"Dugentil")</f>
        <v>Dugentil</v>
      </c>
      <c r="C17" s="1" t="str">
        <f>IFERROR(__xludf.DUMMYFUNCTION("""COMPUTED_VALUE"""),"Michel")</f>
        <v>Michel</v>
      </c>
      <c r="D17" s="8">
        <f>IFERROR(__xludf.DUMMYFUNCTION("""COMPUTED_VALUE"""),16472.0)</f>
        <v>16472</v>
      </c>
      <c r="E17" s="9">
        <f>IFERROR(__xludf.DUMMYFUNCTION("""COMPUTED_VALUE"""),352.0)</f>
        <v>352</v>
      </c>
      <c r="F17" s="1"/>
    </row>
    <row r="19">
      <c r="D19" s="2" t="s">
        <v>166</v>
      </c>
      <c r="E19" s="1">
        <f>IFERROR(__xludf.DUMMYFUNCTION("SPLIT(D19,""-"")"),4.0)</f>
        <v>4</v>
      </c>
      <c r="F19" s="1">
        <f>IFERROR(__xludf.DUMMYFUNCTION("""COMPUTED_VALUE"""),2.0)</f>
        <v>2</v>
      </c>
    </row>
    <row r="20">
      <c r="D20" s="2" t="s">
        <v>167</v>
      </c>
      <c r="E20" s="1">
        <f>IFERROR(__xludf.DUMMYFUNCTION("SPLIT(D20,""-"")"),1.0)</f>
        <v>1</v>
      </c>
      <c r="F20" s="1">
        <f>IFERROR(__xludf.DUMMYFUNCTION("""COMPUTED_VALUE"""),2.0)</f>
        <v>2</v>
      </c>
    </row>
    <row r="21">
      <c r="D21" s="2" t="s">
        <v>168</v>
      </c>
      <c r="E21" s="1">
        <f>IFERROR(__xludf.DUMMYFUNCTION("SPLIT(D21,""-"")"),0.0)</f>
        <v>0</v>
      </c>
      <c r="F21" s="1">
        <f>IFERROR(__xludf.DUMMYFUNCTION("""COMPUTED_VALUE"""),4.0)</f>
        <v>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IFERROR(__xludf.DUMMYFUNCTION("IMPORTHTML(""https://fr.wikipedia.org/wiki/Kawhi_Leonard"",""table"",""4"")"),"#REF!")</f>
        <v>#REF!</v>
      </c>
      <c r="B1" s="1"/>
      <c r="C1" s="1"/>
      <c r="D1" s="1"/>
      <c r="E1" s="1"/>
      <c r="F1" s="1"/>
      <c r="G1" s="1"/>
      <c r="H1" s="1"/>
      <c r="I1" s="1"/>
      <c r="J1" s="1"/>
      <c r="K1" s="1"/>
      <c r="L1" s="1"/>
      <c r="M1" s="1"/>
    </row>
    <row r="2">
      <c r="A2" s="1"/>
      <c r="B2" s="1"/>
      <c r="C2" s="1"/>
      <c r="D2" s="1"/>
      <c r="E2" s="1"/>
      <c r="F2" s="1"/>
      <c r="G2" s="1"/>
      <c r="H2" s="1"/>
      <c r="I2" s="1"/>
      <c r="J2" s="1"/>
      <c r="K2" s="1"/>
      <c r="L2" s="1"/>
      <c r="M2" s="1"/>
    </row>
    <row r="3">
      <c r="A3" s="1"/>
      <c r="B3" s="1"/>
      <c r="C3" s="1"/>
      <c r="D3" s="1"/>
      <c r="E3" s="1"/>
      <c r="F3" s="1"/>
      <c r="G3" s="1"/>
      <c r="H3" s="1"/>
      <c r="I3" s="1"/>
      <c r="J3" s="1"/>
      <c r="K3" s="1"/>
      <c r="L3" s="1"/>
      <c r="M3" s="1"/>
    </row>
    <row r="4">
      <c r="A4" s="1"/>
      <c r="B4" s="1"/>
      <c r="C4" s="1"/>
      <c r="D4" s="1"/>
      <c r="E4" s="1"/>
      <c r="F4" s="1"/>
      <c r="G4" s="1"/>
      <c r="H4" s="1"/>
      <c r="I4" s="1"/>
      <c r="J4" s="1"/>
      <c r="K4" s="1"/>
      <c r="L4" s="1"/>
      <c r="M4" s="1"/>
    </row>
    <row r="5">
      <c r="A5" s="1"/>
      <c r="B5" s="1"/>
      <c r="C5" s="1"/>
      <c r="D5" s="1"/>
      <c r="E5" s="1"/>
      <c r="F5" s="1"/>
      <c r="G5" s="1"/>
      <c r="H5" s="1"/>
      <c r="I5" s="1"/>
      <c r="J5" s="1"/>
      <c r="K5" s="1"/>
      <c r="L5" s="1"/>
      <c r="M5" s="1"/>
    </row>
    <row r="6">
      <c r="A6" s="1"/>
      <c r="B6" s="1"/>
      <c r="C6" s="1"/>
      <c r="D6" s="1"/>
      <c r="E6" s="1"/>
      <c r="F6" s="1"/>
      <c r="G6" s="1"/>
      <c r="H6" s="1"/>
      <c r="I6" s="1"/>
      <c r="J6" s="1"/>
      <c r="K6" s="1"/>
      <c r="L6" s="1"/>
      <c r="M6" s="1"/>
    </row>
    <row r="7">
      <c r="A7" s="2"/>
      <c r="B7" s="1"/>
      <c r="C7" s="1"/>
      <c r="D7" s="1"/>
      <c r="E7" s="1"/>
      <c r="F7" s="1"/>
      <c r="G7" s="1"/>
      <c r="H7" s="1"/>
      <c r="I7" s="1"/>
      <c r="J7" s="1"/>
      <c r="K7" s="1"/>
      <c r="L7" s="1"/>
      <c r="M7" s="1"/>
    </row>
    <row r="8">
      <c r="A8" s="1"/>
      <c r="B8" s="1"/>
      <c r="C8" s="1"/>
      <c r="D8" s="1"/>
      <c r="E8" s="1"/>
      <c r="F8" s="1"/>
      <c r="G8" s="1"/>
      <c r="H8" s="1"/>
      <c r="I8" s="1"/>
      <c r="J8" s="1"/>
      <c r="K8" s="1"/>
      <c r="L8" s="1"/>
      <c r="M8" s="1"/>
    </row>
    <row r="9">
      <c r="A9" s="1"/>
      <c r="B9" s="1"/>
      <c r="C9" s="1"/>
      <c r="D9" s="1"/>
      <c r="E9" s="1"/>
      <c r="F9" s="1"/>
      <c r="G9" s="1"/>
      <c r="H9" s="1"/>
      <c r="I9" s="1"/>
      <c r="J9" s="1"/>
      <c r="K9" s="1"/>
      <c r="L9" s="1"/>
      <c r="M9" s="1"/>
    </row>
    <row r="10">
      <c r="A10" s="1"/>
      <c r="B10" s="1"/>
      <c r="C10" s="1"/>
      <c r="D10" s="1"/>
      <c r="E10" s="1"/>
      <c r="F10" s="1"/>
      <c r="G10" s="1"/>
      <c r="H10" s="1"/>
      <c r="I10" s="1"/>
      <c r="J10" s="1"/>
      <c r="K10" s="1"/>
      <c r="L10" s="1"/>
      <c r="M10" s="1"/>
    </row>
    <row r="11">
      <c r="A11" s="1"/>
      <c r="B11" s="1"/>
      <c r="C11" s="1"/>
      <c r="D11" s="1"/>
      <c r="E11" s="1"/>
      <c r="F11" s="1"/>
      <c r="G11" s="1"/>
      <c r="H11" s="1"/>
      <c r="I11" s="1"/>
      <c r="J11" s="1"/>
      <c r="K11" s="1"/>
      <c r="L11" s="1"/>
      <c r="M11" s="1"/>
    </row>
    <row r="12">
      <c r="A12" s="1"/>
      <c r="B12" s="1"/>
      <c r="C12" s="1"/>
      <c r="D12" s="1"/>
      <c r="E12" s="1"/>
      <c r="F12" s="1"/>
      <c r="G12" s="1"/>
      <c r="H12" s="1"/>
      <c r="I12" s="1"/>
      <c r="J12" s="1"/>
      <c r="K12" s="1"/>
      <c r="L12" s="1"/>
      <c r="M12" s="1"/>
    </row>
    <row r="13">
      <c r="A13" s="1"/>
      <c r="B13" s="1"/>
      <c r="C13" s="1"/>
      <c r="D13" s="1"/>
      <c r="E13" s="1"/>
      <c r="F13" s="1"/>
      <c r="G13" s="1"/>
      <c r="H13" s="1"/>
      <c r="I13" s="1"/>
      <c r="J13" s="1"/>
      <c r="K13" s="1"/>
      <c r="L13" s="1"/>
      <c r="M13" s="1"/>
    </row>
    <row r="14">
      <c r="A14" s="1"/>
      <c r="B14" s="1"/>
      <c r="C14" s="1"/>
      <c r="D14" s="1"/>
      <c r="E14" s="1"/>
      <c r="F14" s="1"/>
      <c r="G14" s="1"/>
      <c r="H14" s="1"/>
      <c r="I14" s="1"/>
      <c r="J14" s="1"/>
      <c r="K14" s="1"/>
      <c r="L14" s="1"/>
      <c r="M14" s="1"/>
    </row>
    <row r="15">
      <c r="A15" s="1"/>
      <c r="B15" s="1"/>
      <c r="C15" s="1"/>
      <c r="D15" s="1"/>
      <c r="E15" s="1"/>
      <c r="F15" s="1"/>
      <c r="G15" s="1"/>
      <c r="H15" s="1"/>
      <c r="I15" s="1"/>
      <c r="J15" s="1"/>
      <c r="K15" s="1"/>
      <c r="L15" s="1"/>
      <c r="M15" s="1"/>
    </row>
    <row r="16">
      <c r="A16" s="1"/>
      <c r="B16" s="1"/>
      <c r="C16" s="1"/>
      <c r="D16" s="1"/>
      <c r="E16" s="2" t="s">
        <v>169</v>
      </c>
      <c r="F16" s="1">
        <f>IFERROR(__xludf.DUMMYFUNCTION("SPLIT(E16,""-"")"),33.0)</f>
        <v>33</v>
      </c>
      <c r="G16" s="1">
        <f>IFERROR(__xludf.DUMMYFUNCTION("""COMPUTED_VALUE"""),34.0)</f>
        <v>34</v>
      </c>
    </row>
    <row r="17">
      <c r="E17" s="2" t="s">
        <v>170</v>
      </c>
      <c r="F17" s="1">
        <f>IFERROR(__xludf.DUMMYFUNCTION("SPLIT(E17,""-"")"),33.0)</f>
        <v>33</v>
      </c>
      <c r="G17" s="1">
        <f>IFERROR(__xludf.DUMMYFUNCTION("""COMPUTED_VALUE"""),35.0)</f>
        <v>35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tr">
        <f>IFERROR(__xludf.DUMMYFUNCTION("IMPORTHTML(""https://fr.wikipedia.org/wiki/Kawhi_Leonard"",""table"",""4"")"),"Saison")</f>
        <v>Saison</v>
      </c>
      <c r="B1" s="11" t="str">
        <f>IFERROR(__xludf.DUMMYFUNCTION("""COMPUTED_VALUE"""),"Équipe")</f>
        <v>Équipe</v>
      </c>
      <c r="C1" s="11" t="str">
        <f>IFERROR(__xludf.DUMMYFUNCTION("""COMPUTED_VALUE"""),"Matchs")</f>
        <v>Matchs</v>
      </c>
      <c r="D1" s="11" t="str">
        <f>IFERROR(__xludf.DUMMYFUNCTION("""COMPUTED_VALUE"""),"Titul.")</f>
        <v>Titul.</v>
      </c>
      <c r="E1" s="11" t="str">
        <f>IFERROR(__xludf.DUMMYFUNCTION("""COMPUTED_VALUE"""),"Min./m")</f>
        <v>Min./m</v>
      </c>
      <c r="F1" s="11" t="str">
        <f>IFERROR(__xludf.DUMMYFUNCTION("""COMPUTED_VALUE"""),"% Tir")</f>
        <v>% Tir</v>
      </c>
      <c r="G1" s="11" t="str">
        <f>IFERROR(__xludf.DUMMYFUNCTION("""COMPUTED_VALUE"""),"% 3pts")</f>
        <v>% 3pts</v>
      </c>
      <c r="H1" s="11" t="str">
        <f>IFERROR(__xludf.DUMMYFUNCTION("""COMPUTED_VALUE"""),"% LF")</f>
        <v>% LF</v>
      </c>
      <c r="I1" s="11" t="str">
        <f>IFERROR(__xludf.DUMMYFUNCTION("""COMPUTED_VALUE"""),"Rbds/m.")</f>
        <v>Rbds/m.</v>
      </c>
      <c r="J1" s="11" t="str">
        <f>IFERROR(__xludf.DUMMYFUNCTION("""COMPUTED_VALUE"""),"Pass/m.")</f>
        <v>Pass/m.</v>
      </c>
      <c r="K1" s="11" t="str">
        <f>IFERROR(__xludf.DUMMYFUNCTION("""COMPUTED_VALUE"""),"Int/m.")</f>
        <v>Int/m.</v>
      </c>
      <c r="L1" s="11" t="str">
        <f>IFERROR(__xludf.DUMMYFUNCTION("""COMPUTED_VALUE"""),"Ctr/m.")</f>
        <v>Ctr/m.</v>
      </c>
      <c r="M1" s="11" t="str">
        <f>IFERROR(__xludf.DUMMYFUNCTION("""COMPUTED_VALUE"""),"Pts/m.")</f>
        <v>Pts/m.</v>
      </c>
      <c r="N1" s="11"/>
      <c r="O1" s="11"/>
      <c r="P1" s="11"/>
      <c r="Q1" s="11"/>
      <c r="R1" s="11"/>
      <c r="S1" s="11"/>
      <c r="T1" s="11"/>
      <c r="U1" s="11"/>
      <c r="V1" s="11"/>
      <c r="W1" s="11"/>
      <c r="X1" s="11"/>
      <c r="Y1" s="11"/>
      <c r="Z1" s="11"/>
    </row>
    <row r="2">
      <c r="A2" s="11" t="str">
        <f>IFERROR(__xludf.DUMMYFUNCTION("""COMPUTED_VALUE"""),"2011-2012*")</f>
        <v>2011-2012*</v>
      </c>
      <c r="B2" s="11" t="str">
        <f>IFERROR(__xludf.DUMMYFUNCTION("""COMPUTED_VALUE"""),"San Antonio")</f>
        <v>San Antonio</v>
      </c>
      <c r="C2" s="11">
        <f>IFERROR(__xludf.DUMMYFUNCTION("""COMPUTED_VALUE"""),64.0)</f>
        <v>64</v>
      </c>
      <c r="D2" s="11">
        <f>IFERROR(__xludf.DUMMYFUNCTION("""COMPUTED_VALUE"""),39.0)</f>
        <v>39</v>
      </c>
      <c r="E2" s="11" t="str">
        <f>IFERROR(__xludf.DUMMYFUNCTION("""COMPUTED_VALUE"""),"24,0")</f>
        <v>24,0</v>
      </c>
      <c r="F2" s="11" t="str">
        <f>IFERROR(__xludf.DUMMYFUNCTION("""COMPUTED_VALUE"""),"49,3")</f>
        <v>49,3</v>
      </c>
      <c r="G2" s="11" t="str">
        <f>IFERROR(__xludf.DUMMYFUNCTION("""COMPUTED_VALUE"""),"37,6")</f>
        <v>37,6</v>
      </c>
      <c r="H2" s="11" t="str">
        <f>IFERROR(__xludf.DUMMYFUNCTION("""COMPUTED_VALUE"""),"77,3")</f>
        <v>77,3</v>
      </c>
      <c r="I2" s="11" t="str">
        <f>IFERROR(__xludf.DUMMYFUNCTION("""COMPUTED_VALUE"""),"5,11")</f>
        <v>5,11</v>
      </c>
      <c r="J2" s="11" t="str">
        <f>IFERROR(__xludf.DUMMYFUNCTION("""COMPUTED_VALUE"""),"1,09")</f>
        <v>1,09</v>
      </c>
      <c r="K2" s="11" t="str">
        <f>IFERROR(__xludf.DUMMYFUNCTION("""COMPUTED_VALUE"""),"1,33")</f>
        <v>1,33</v>
      </c>
      <c r="L2" s="11" t="str">
        <f>IFERROR(__xludf.DUMMYFUNCTION("""COMPUTED_VALUE"""),"0,38")</f>
        <v>0,38</v>
      </c>
      <c r="M2" s="11" t="str">
        <f>IFERROR(__xludf.DUMMYFUNCTION("""COMPUTED_VALUE"""),"7,92")</f>
        <v>7,92</v>
      </c>
      <c r="N2" s="11"/>
      <c r="O2" s="11"/>
      <c r="P2" s="11"/>
      <c r="Q2" s="11"/>
      <c r="R2" s="11"/>
      <c r="S2" s="11"/>
      <c r="T2" s="11"/>
      <c r="U2" s="11"/>
      <c r="V2" s="11"/>
      <c r="W2" s="11"/>
      <c r="X2" s="11"/>
      <c r="Y2" s="11"/>
      <c r="Z2" s="11"/>
    </row>
    <row r="3">
      <c r="A3" s="11" t="str">
        <f>IFERROR(__xludf.DUMMYFUNCTION("""COMPUTED_VALUE"""),"2012-2013")</f>
        <v>2012-2013</v>
      </c>
      <c r="B3" s="11" t="str">
        <f>IFERROR(__xludf.DUMMYFUNCTION("""COMPUTED_VALUE"""),"San Antonio")</f>
        <v>San Antonio</v>
      </c>
      <c r="C3" s="11">
        <f>IFERROR(__xludf.DUMMYFUNCTION("""COMPUTED_VALUE"""),58.0)</f>
        <v>58</v>
      </c>
      <c r="D3" s="11">
        <f>IFERROR(__xludf.DUMMYFUNCTION("""COMPUTED_VALUE"""),57.0)</f>
        <v>57</v>
      </c>
      <c r="E3" s="11" t="str">
        <f>IFERROR(__xludf.DUMMYFUNCTION("""COMPUTED_VALUE"""),"31,2")</f>
        <v>31,2</v>
      </c>
      <c r="F3" s="11" t="str">
        <f>IFERROR(__xludf.DUMMYFUNCTION("""COMPUTED_VALUE"""),"49,4")</f>
        <v>49,4</v>
      </c>
      <c r="G3" s="11" t="str">
        <f>IFERROR(__xludf.DUMMYFUNCTION("""COMPUTED_VALUE"""),"37,4")</f>
        <v>37,4</v>
      </c>
      <c r="H3" s="11" t="str">
        <f>IFERROR(__xludf.DUMMYFUNCTION("""COMPUTED_VALUE"""),"82,5")</f>
        <v>82,5</v>
      </c>
      <c r="I3" s="11" t="str">
        <f>IFERROR(__xludf.DUMMYFUNCTION("""COMPUTED_VALUE"""),"5,97")</f>
        <v>5,97</v>
      </c>
      <c r="J3" s="11" t="str">
        <f>IFERROR(__xludf.DUMMYFUNCTION("""COMPUTED_VALUE"""),"1,60")</f>
        <v>1,60</v>
      </c>
      <c r="K3" s="11" t="str">
        <f>IFERROR(__xludf.DUMMYFUNCTION("""COMPUTED_VALUE"""),"1,67")</f>
        <v>1,67</v>
      </c>
      <c r="L3" s="11" t="str">
        <f>IFERROR(__xludf.DUMMYFUNCTION("""COMPUTED_VALUE"""),"0,55")</f>
        <v>0,55</v>
      </c>
      <c r="M3" s="11" t="str">
        <f>IFERROR(__xludf.DUMMYFUNCTION("""COMPUTED_VALUE"""),"11,88")</f>
        <v>11,88</v>
      </c>
      <c r="N3" s="11"/>
      <c r="O3" s="11"/>
      <c r="P3" s="11"/>
      <c r="Q3" s="11"/>
      <c r="R3" s="11"/>
      <c r="S3" s="11"/>
      <c r="T3" s="11"/>
      <c r="U3" s="11"/>
      <c r="V3" s="11"/>
      <c r="W3" s="11"/>
      <c r="X3" s="11"/>
      <c r="Y3" s="11"/>
      <c r="Z3" s="11"/>
    </row>
    <row r="4">
      <c r="A4" s="11" t="str">
        <f>IFERROR(__xludf.DUMMYFUNCTION("""COMPUTED_VALUE"""),"2013-2014")</f>
        <v>2013-2014</v>
      </c>
      <c r="B4" s="11" t="str">
        <f>IFERROR(__xludf.DUMMYFUNCTION("""COMPUTED_VALUE"""),"San Antonio")</f>
        <v>San Antonio</v>
      </c>
      <c r="C4" s="11">
        <f>IFERROR(__xludf.DUMMYFUNCTION("""COMPUTED_VALUE"""),66.0)</f>
        <v>66</v>
      </c>
      <c r="D4" s="11">
        <f>IFERROR(__xludf.DUMMYFUNCTION("""COMPUTED_VALUE"""),65.0)</f>
        <v>65</v>
      </c>
      <c r="E4" s="11" t="str">
        <f>IFERROR(__xludf.DUMMYFUNCTION("""COMPUTED_VALUE"""),"29,1")</f>
        <v>29,1</v>
      </c>
      <c r="F4" s="11" t="str">
        <f>IFERROR(__xludf.DUMMYFUNCTION("""COMPUTED_VALUE"""),"52,2")</f>
        <v>52,2</v>
      </c>
      <c r="G4" s="11" t="str">
        <f>IFERROR(__xludf.DUMMYFUNCTION("""COMPUTED_VALUE"""),"37,9")</f>
        <v>37,9</v>
      </c>
      <c r="H4" s="11" t="str">
        <f>IFERROR(__xludf.DUMMYFUNCTION("""COMPUTED_VALUE"""),"80,2")</f>
        <v>80,2</v>
      </c>
      <c r="I4" s="11" t="str">
        <f>IFERROR(__xludf.DUMMYFUNCTION("""COMPUTED_VALUE"""),"6,24")</f>
        <v>6,24</v>
      </c>
      <c r="J4" s="11" t="str">
        <f>IFERROR(__xludf.DUMMYFUNCTION("""COMPUTED_VALUE"""),"2,02")</f>
        <v>2,02</v>
      </c>
      <c r="K4" s="11" t="str">
        <f>IFERROR(__xludf.DUMMYFUNCTION("""COMPUTED_VALUE"""),"1,73")</f>
        <v>1,73</v>
      </c>
      <c r="L4" s="11" t="str">
        <f>IFERROR(__xludf.DUMMYFUNCTION("""COMPUTED_VALUE"""),"0,76")</f>
        <v>0,76</v>
      </c>
      <c r="M4" s="11" t="str">
        <f>IFERROR(__xludf.DUMMYFUNCTION("""COMPUTED_VALUE"""),"12,79")</f>
        <v>12,79</v>
      </c>
      <c r="N4" s="11"/>
      <c r="O4" s="11"/>
      <c r="P4" s="11"/>
      <c r="Q4" s="11"/>
      <c r="R4" s="11"/>
      <c r="S4" s="11"/>
      <c r="T4" s="11"/>
      <c r="U4" s="11"/>
      <c r="V4" s="11"/>
      <c r="W4" s="11"/>
      <c r="X4" s="11"/>
      <c r="Y4" s="11"/>
      <c r="Z4" s="11"/>
    </row>
    <row r="5">
      <c r="A5" s="11" t="str">
        <f>IFERROR(__xludf.DUMMYFUNCTION("""COMPUTED_VALUE"""),"2014-2015")</f>
        <v>2014-2015</v>
      </c>
      <c r="B5" s="11" t="str">
        <f>IFERROR(__xludf.DUMMYFUNCTION("""COMPUTED_VALUE"""),"San Antonio")</f>
        <v>San Antonio</v>
      </c>
      <c r="C5" s="11">
        <f>IFERROR(__xludf.DUMMYFUNCTION("""COMPUTED_VALUE"""),64.0)</f>
        <v>64</v>
      </c>
      <c r="D5" s="11">
        <f>IFERROR(__xludf.DUMMYFUNCTION("""COMPUTED_VALUE"""),64.0)</f>
        <v>64</v>
      </c>
      <c r="E5" s="11" t="str">
        <f>IFERROR(__xludf.DUMMYFUNCTION("""COMPUTED_VALUE"""),"31,8")</f>
        <v>31,8</v>
      </c>
      <c r="F5" s="11" t="str">
        <f>IFERROR(__xludf.DUMMYFUNCTION("""COMPUTED_VALUE"""),"47,9")</f>
        <v>47,9</v>
      </c>
      <c r="G5" s="11" t="str">
        <f>IFERROR(__xludf.DUMMYFUNCTION("""COMPUTED_VALUE"""),"34,9")</f>
        <v>34,9</v>
      </c>
      <c r="H5" s="11" t="str">
        <f>IFERROR(__xludf.DUMMYFUNCTION("""COMPUTED_VALUE"""),"80,2")</f>
        <v>80,2</v>
      </c>
      <c r="I5" s="11" t="str">
        <f>IFERROR(__xludf.DUMMYFUNCTION("""COMPUTED_VALUE"""),"7,20")</f>
        <v>7,20</v>
      </c>
      <c r="J5" s="11" t="str">
        <f>IFERROR(__xludf.DUMMYFUNCTION("""COMPUTED_VALUE"""),"2,52")</f>
        <v>2,52</v>
      </c>
      <c r="K5" s="11" t="str">
        <f>IFERROR(__xludf.DUMMYFUNCTION("""COMPUTED_VALUE"""),"*2,31*")</f>
        <v>*2,31*</v>
      </c>
      <c r="L5" s="11" t="str">
        <f>IFERROR(__xludf.DUMMYFUNCTION("""COMPUTED_VALUE"""),"0,75")</f>
        <v>0,75</v>
      </c>
      <c r="M5" s="11" t="str">
        <f>IFERROR(__xludf.DUMMYFUNCTION("""COMPUTED_VALUE"""),"16,52")</f>
        <v>16,52</v>
      </c>
      <c r="N5" s="11"/>
      <c r="O5" s="11"/>
      <c r="P5" s="11"/>
      <c r="Q5" s="11"/>
      <c r="R5" s="11"/>
      <c r="S5" s="11"/>
      <c r="T5" s="11"/>
      <c r="U5" s="11"/>
      <c r="V5" s="11"/>
      <c r="W5" s="11"/>
      <c r="X5" s="11"/>
      <c r="Y5" s="11"/>
      <c r="Z5" s="11"/>
    </row>
    <row r="6">
      <c r="A6" s="11" t="str">
        <f>IFERROR(__xludf.DUMMYFUNCTION("""COMPUTED_VALUE"""),"2015-2016")</f>
        <v>2015-2016</v>
      </c>
      <c r="B6" s="11" t="str">
        <f>IFERROR(__xludf.DUMMYFUNCTION("""COMPUTED_VALUE"""),"San Antonio")</f>
        <v>San Antonio</v>
      </c>
      <c r="C6" s="11">
        <f>IFERROR(__xludf.DUMMYFUNCTION("""COMPUTED_VALUE"""),72.0)</f>
        <v>72</v>
      </c>
      <c r="D6" s="11">
        <f>IFERROR(__xludf.DUMMYFUNCTION("""COMPUTED_VALUE"""),72.0)</f>
        <v>72</v>
      </c>
      <c r="E6" s="11" t="str">
        <f>IFERROR(__xludf.DUMMYFUNCTION("""COMPUTED_VALUE"""),"33,0")</f>
        <v>33,0</v>
      </c>
      <c r="F6" s="11" t="str">
        <f>IFERROR(__xludf.DUMMYFUNCTION("""COMPUTED_VALUE"""),"50,6")</f>
        <v>50,6</v>
      </c>
      <c r="G6" s="11" t="str">
        <f>IFERROR(__xludf.DUMMYFUNCTION("""COMPUTED_VALUE"""),"*44,3*")</f>
        <v>*44,3*</v>
      </c>
      <c r="H6" s="11" t="str">
        <f>IFERROR(__xludf.DUMMYFUNCTION("""COMPUTED_VALUE"""),"87,4")</f>
        <v>87,4</v>
      </c>
      <c r="I6" s="11" t="str">
        <f>IFERROR(__xludf.DUMMYFUNCTION("""COMPUTED_VALUE"""),"6,85")</f>
        <v>6,85</v>
      </c>
      <c r="J6" s="11" t="str">
        <f>IFERROR(__xludf.DUMMYFUNCTION("""COMPUTED_VALUE"""),"2,58")</f>
        <v>2,58</v>
      </c>
      <c r="K6" s="11" t="str">
        <f>IFERROR(__xludf.DUMMYFUNCTION("""COMPUTED_VALUE"""),"1,78")</f>
        <v>1,78</v>
      </c>
      <c r="L6" s="11" t="str">
        <f>IFERROR(__xludf.DUMMYFUNCTION("""COMPUTED_VALUE"""),"0,99")</f>
        <v>0,99</v>
      </c>
      <c r="M6" s="11" t="str">
        <f>IFERROR(__xludf.DUMMYFUNCTION("""COMPUTED_VALUE"""),"21,15")</f>
        <v>21,15</v>
      </c>
      <c r="N6" s="11"/>
      <c r="O6" s="11"/>
      <c r="P6" s="11"/>
      <c r="Q6" s="11"/>
      <c r="R6" s="11"/>
      <c r="S6" s="11"/>
      <c r="T6" s="11"/>
      <c r="U6" s="11"/>
      <c r="V6" s="11"/>
      <c r="W6" s="11"/>
      <c r="X6" s="11"/>
      <c r="Y6" s="11"/>
      <c r="Z6" s="11"/>
    </row>
    <row r="7">
      <c r="A7" s="12" t="str">
        <f>IFERROR(__xludf.DUMMYFUNCTION("""COMPUTED_VALUE"""),"2016-2017")</f>
        <v>2016-2017</v>
      </c>
      <c r="B7" s="11" t="str">
        <f>IFERROR(__xludf.DUMMYFUNCTION("""COMPUTED_VALUE"""),"San Antonio")</f>
        <v>San Antonio</v>
      </c>
      <c r="C7" s="11" t="str">
        <f>IFERROR(__xludf.DUMMYFUNCTION("""COMPUTED_VALUE"""),"*74*")</f>
        <v>*74*</v>
      </c>
      <c r="D7" s="11" t="str">
        <f>IFERROR(__xludf.DUMMYFUNCTION("""COMPUTED_VALUE"""),"*74*")</f>
        <v>*74*</v>
      </c>
      <c r="E7" s="11" t="str">
        <f>IFERROR(__xludf.DUMMYFUNCTION("""COMPUTED_VALUE"""),"33,4")</f>
        <v>33,4</v>
      </c>
      <c r="F7" s="11" t="str">
        <f>IFERROR(__xludf.DUMMYFUNCTION("""COMPUTED_VALUE"""),"48,5")</f>
        <v>48,5</v>
      </c>
      <c r="G7" s="11" t="str">
        <f>IFERROR(__xludf.DUMMYFUNCTION("""COMPUTED_VALUE"""),"38,4")</f>
        <v>38,4</v>
      </c>
      <c r="H7" s="11" t="str">
        <f>IFERROR(__xludf.DUMMYFUNCTION("""COMPUTED_VALUE"""),"88,0")</f>
        <v>88,0</v>
      </c>
      <c r="I7" s="11" t="str">
        <f>IFERROR(__xludf.DUMMYFUNCTION("""COMPUTED_VALUE"""),"5,78")</f>
        <v>5,78</v>
      </c>
      <c r="J7" s="11" t="str">
        <f>IFERROR(__xludf.DUMMYFUNCTION("""COMPUTED_VALUE"""),"3,50")</f>
        <v>3,50</v>
      </c>
      <c r="K7" s="11" t="str">
        <f>IFERROR(__xludf.DUMMYFUNCTION("""COMPUTED_VALUE"""),"1,76")</f>
        <v>1,76</v>
      </c>
      <c r="L7" s="11" t="str">
        <f>IFERROR(__xludf.DUMMYFUNCTION("""COMPUTED_VALUE"""),"0,73")</f>
        <v>0,73</v>
      </c>
      <c r="M7" s="11" t="str">
        <f>IFERROR(__xludf.DUMMYFUNCTION("""COMPUTED_VALUE"""),"25,51")</f>
        <v>25,51</v>
      </c>
      <c r="N7" s="11"/>
      <c r="O7" s="11"/>
      <c r="P7" s="11"/>
      <c r="Q7" s="11"/>
      <c r="R7" s="11"/>
      <c r="S7" s="11"/>
      <c r="T7" s="11"/>
      <c r="U7" s="11"/>
      <c r="V7" s="11"/>
      <c r="W7" s="11"/>
      <c r="X7" s="11"/>
      <c r="Y7" s="11"/>
      <c r="Z7" s="11"/>
    </row>
    <row r="8">
      <c r="A8" s="11" t="str">
        <f>IFERROR(__xludf.DUMMYFUNCTION("""COMPUTED_VALUE"""),"2017-2018")</f>
        <v>2017-2018</v>
      </c>
      <c r="B8" s="11" t="str">
        <f>IFERROR(__xludf.DUMMYFUNCTION("""COMPUTED_VALUE"""),"San Antonio")</f>
        <v>San Antonio</v>
      </c>
      <c r="C8" s="11">
        <f>IFERROR(__xludf.DUMMYFUNCTION("""COMPUTED_VALUE"""),9.0)</f>
        <v>9</v>
      </c>
      <c r="D8" s="11">
        <f>IFERROR(__xludf.DUMMYFUNCTION("""COMPUTED_VALUE"""),9.0)</f>
        <v>9</v>
      </c>
      <c r="E8" s="11" t="str">
        <f>IFERROR(__xludf.DUMMYFUNCTION("""COMPUTED_VALUE"""),"23,3")</f>
        <v>23,3</v>
      </c>
      <c r="F8" s="11" t="str">
        <f>IFERROR(__xludf.DUMMYFUNCTION("""COMPUTED_VALUE"""),"46,8")</f>
        <v>46,8</v>
      </c>
      <c r="G8" s="11" t="str">
        <f>IFERROR(__xludf.DUMMYFUNCTION("""COMPUTED_VALUE"""),"31,4")</f>
        <v>31,4</v>
      </c>
      <c r="H8" s="11" t="str">
        <f>IFERROR(__xludf.DUMMYFUNCTION("""COMPUTED_VALUE"""),"81,6")</f>
        <v>81,6</v>
      </c>
      <c r="I8" s="11" t="str">
        <f>IFERROR(__xludf.DUMMYFUNCTION("""COMPUTED_VALUE"""),"4,67")</f>
        <v>4,67</v>
      </c>
      <c r="J8" s="11" t="str">
        <f>IFERROR(__xludf.DUMMYFUNCTION("""COMPUTED_VALUE"""),"2,33")</f>
        <v>2,33</v>
      </c>
      <c r="K8" s="11" t="str">
        <f>IFERROR(__xludf.DUMMYFUNCTION("""COMPUTED_VALUE"""),"2,00")</f>
        <v>2,00</v>
      </c>
      <c r="L8" s="11" t="str">
        <f>IFERROR(__xludf.DUMMYFUNCTION("""COMPUTED_VALUE"""),"*1,00*")</f>
        <v>*1,00*</v>
      </c>
      <c r="M8" s="11" t="str">
        <f>IFERROR(__xludf.DUMMYFUNCTION("""COMPUTED_VALUE"""),"16,22")</f>
        <v>16,22</v>
      </c>
      <c r="N8" s="11"/>
      <c r="O8" s="11"/>
      <c r="P8" s="11"/>
      <c r="Q8" s="11"/>
      <c r="R8" s="11"/>
      <c r="S8" s="11"/>
      <c r="T8" s="11"/>
      <c r="U8" s="11"/>
      <c r="V8" s="11"/>
      <c r="W8" s="11"/>
      <c r="X8" s="11"/>
      <c r="Y8" s="11"/>
      <c r="Z8" s="11"/>
    </row>
    <row r="9">
      <c r="A9" s="11" t="str">
        <f>IFERROR(__xludf.DUMMYFUNCTION("""COMPUTED_VALUE"""),"2018-2019")</f>
        <v>2018-2019</v>
      </c>
      <c r="B9" s="11" t="str">
        <f>IFERROR(__xludf.DUMMYFUNCTION("""COMPUTED_VALUE"""),"Toronto")</f>
        <v>Toronto</v>
      </c>
      <c r="C9" s="11">
        <f>IFERROR(__xludf.DUMMYFUNCTION("""COMPUTED_VALUE"""),60.0)</f>
        <v>60</v>
      </c>
      <c r="D9" s="11">
        <f>IFERROR(__xludf.DUMMYFUNCTION("""COMPUTED_VALUE"""),60.0)</f>
        <v>60</v>
      </c>
      <c r="E9" s="11" t="str">
        <f>IFERROR(__xludf.DUMMYFUNCTION("""COMPUTED_VALUE"""),"34,0")</f>
        <v>34,0</v>
      </c>
      <c r="F9" s="11" t="str">
        <f>IFERROR(__xludf.DUMMYFUNCTION("""COMPUTED_VALUE"""),"49,6")</f>
        <v>49,6</v>
      </c>
      <c r="G9" s="11" t="str">
        <f>IFERROR(__xludf.DUMMYFUNCTION("""COMPUTED_VALUE"""),"37,1")</f>
        <v>37,1</v>
      </c>
      <c r="H9" s="11" t="str">
        <f>IFERROR(__xludf.DUMMYFUNCTION("""COMPUTED_VALUE"""),"85,4")</f>
        <v>85,4</v>
      </c>
      <c r="I9" s="11" t="str">
        <f>IFERROR(__xludf.DUMMYFUNCTION("""COMPUTED_VALUE"""),"*7,32*")</f>
        <v>*7,32*</v>
      </c>
      <c r="J9" s="11" t="str">
        <f>IFERROR(__xludf.DUMMYFUNCTION("""COMPUTED_VALUE"""),"3,32")</f>
        <v>3,32</v>
      </c>
      <c r="K9" s="11" t="str">
        <f>IFERROR(__xludf.DUMMYFUNCTION("""COMPUTED_VALUE"""),"1,77")</f>
        <v>1,77</v>
      </c>
      <c r="L9" s="11" t="str">
        <f>IFERROR(__xludf.DUMMYFUNCTION("""COMPUTED_VALUE"""),"0,40")</f>
        <v>0,40</v>
      </c>
      <c r="M9" s="11" t="str">
        <f>IFERROR(__xludf.DUMMYFUNCTION("""COMPUTED_VALUE"""),"26,60")</f>
        <v>26,60</v>
      </c>
      <c r="N9" s="11"/>
      <c r="O9" s="11"/>
      <c r="P9" s="11"/>
      <c r="Q9" s="11"/>
      <c r="R9" s="11"/>
      <c r="S9" s="11"/>
      <c r="T9" s="11"/>
      <c r="U9" s="11"/>
      <c r="V9" s="11"/>
      <c r="W9" s="11"/>
      <c r="X9" s="11"/>
      <c r="Y9" s="11"/>
      <c r="Z9" s="11"/>
    </row>
    <row r="10">
      <c r="A10" s="11" t="str">
        <f>IFERROR(__xludf.DUMMYFUNCTION("""COMPUTED_VALUE"""),"2019-2020**")</f>
        <v>2019-2020**</v>
      </c>
      <c r="B10" s="11" t="str">
        <f>IFERROR(__xludf.DUMMYFUNCTION("""COMPUTED_VALUE"""),"L.A. Clippers")</f>
        <v>L.A. Clippers</v>
      </c>
      <c r="C10" s="11">
        <f>IFERROR(__xludf.DUMMYFUNCTION("""COMPUTED_VALUE"""),57.0)</f>
        <v>57</v>
      </c>
      <c r="D10" s="11">
        <f>IFERROR(__xludf.DUMMYFUNCTION("""COMPUTED_VALUE"""),57.0)</f>
        <v>57</v>
      </c>
      <c r="E10" s="11" t="str">
        <f>IFERROR(__xludf.DUMMYFUNCTION("""COMPUTED_VALUE"""),"32,4")</f>
        <v>32,4</v>
      </c>
      <c r="F10" s="11" t="str">
        <f>IFERROR(__xludf.DUMMYFUNCTION("""COMPUTED_VALUE"""),"47,0")</f>
        <v>47,0</v>
      </c>
      <c r="G10" s="11" t="str">
        <f>IFERROR(__xludf.DUMMYFUNCTION("""COMPUTED_VALUE"""),"37,8")</f>
        <v>37,8</v>
      </c>
      <c r="H10" s="11" t="str">
        <f>IFERROR(__xludf.DUMMYFUNCTION("""COMPUTED_VALUE"""),"*88,6*")</f>
        <v>*88,6*</v>
      </c>
      <c r="I10" s="11" t="str">
        <f>IFERROR(__xludf.DUMMYFUNCTION("""COMPUTED_VALUE"""),"7,05")</f>
        <v>7,05</v>
      </c>
      <c r="J10" s="11" t="str">
        <f>IFERROR(__xludf.DUMMYFUNCTION("""COMPUTED_VALUE"""),"4,91")</f>
        <v>4,91</v>
      </c>
      <c r="K10" s="11" t="str">
        <f>IFERROR(__xludf.DUMMYFUNCTION("""COMPUTED_VALUE"""),"1,81")</f>
        <v>1,81</v>
      </c>
      <c r="L10" s="11" t="str">
        <f>IFERROR(__xludf.DUMMYFUNCTION("""COMPUTED_VALUE"""),"0,58")</f>
        <v>0,58</v>
      </c>
      <c r="M10" s="11" t="str">
        <f>IFERROR(__xludf.DUMMYFUNCTION("""COMPUTED_VALUE"""),"*27,07*")</f>
        <v>*27,07*</v>
      </c>
      <c r="N10" s="11"/>
      <c r="O10" s="11"/>
      <c r="P10" s="11"/>
      <c r="Q10" s="11"/>
      <c r="R10" s="11"/>
      <c r="S10" s="11"/>
      <c r="T10" s="11"/>
      <c r="U10" s="11"/>
      <c r="V10" s="11"/>
      <c r="W10" s="11"/>
      <c r="X10" s="11"/>
      <c r="Y10" s="11"/>
      <c r="Z10" s="11"/>
    </row>
    <row r="11">
      <c r="A11" s="11" t="str">
        <f>IFERROR(__xludf.DUMMYFUNCTION("""COMPUTED_VALUE"""),"2020-2021**")</f>
        <v>2020-2021**</v>
      </c>
      <c r="B11" s="11" t="str">
        <f>IFERROR(__xludf.DUMMYFUNCTION("""COMPUTED_VALUE"""),"L.A. Clippers")</f>
        <v>L.A. Clippers</v>
      </c>
      <c r="C11" s="11">
        <f>IFERROR(__xludf.DUMMYFUNCTION("""COMPUTED_VALUE"""),52.0)</f>
        <v>52</v>
      </c>
      <c r="D11" s="11">
        <f>IFERROR(__xludf.DUMMYFUNCTION("""COMPUTED_VALUE"""),52.0)</f>
        <v>52</v>
      </c>
      <c r="E11" s="11" t="str">
        <f>IFERROR(__xludf.DUMMYFUNCTION("""COMPUTED_VALUE"""),"34,1")</f>
        <v>34,1</v>
      </c>
      <c r="F11" s="11" t="str">
        <f>IFERROR(__xludf.DUMMYFUNCTION("""COMPUTED_VALUE"""),"51,2")</f>
        <v>51,2</v>
      </c>
      <c r="G11" s="11" t="str">
        <f>IFERROR(__xludf.DUMMYFUNCTION("""COMPUTED_VALUE"""),"39,8")</f>
        <v>39,8</v>
      </c>
      <c r="H11" s="11" t="str">
        <f>IFERROR(__xludf.DUMMYFUNCTION("""COMPUTED_VALUE"""),"88,5")</f>
        <v>88,5</v>
      </c>
      <c r="I11" s="11" t="str">
        <f>IFERROR(__xludf.DUMMYFUNCTION("""COMPUTED_VALUE"""),"6,48")</f>
        <v>6,48</v>
      </c>
      <c r="J11" s="11" t="str">
        <f>IFERROR(__xludf.DUMMYFUNCTION("""COMPUTED_VALUE"""),"*5,17*")</f>
        <v>*5,17*</v>
      </c>
      <c r="K11" s="11" t="str">
        <f>IFERROR(__xludf.DUMMYFUNCTION("""COMPUTED_VALUE"""),"1,56")</f>
        <v>1,56</v>
      </c>
      <c r="L11" s="11" t="str">
        <f>IFERROR(__xludf.DUMMYFUNCTION("""COMPUTED_VALUE"""),"0,40")</f>
        <v>0,40</v>
      </c>
      <c r="M11" s="11" t="str">
        <f>IFERROR(__xludf.DUMMYFUNCTION("""COMPUTED_VALUE"""),"24,85")</f>
        <v>24,85</v>
      </c>
      <c r="N11" s="11"/>
      <c r="O11" s="11"/>
      <c r="P11" s="11"/>
      <c r="Q11" s="11"/>
      <c r="R11" s="11"/>
      <c r="S11" s="11"/>
      <c r="T11" s="11"/>
      <c r="U11" s="11"/>
      <c r="V11" s="11"/>
      <c r="W11" s="11"/>
      <c r="X11" s="11"/>
      <c r="Y11" s="11"/>
      <c r="Z11" s="11"/>
    </row>
    <row r="12">
      <c r="A12" s="11" t="str">
        <f>IFERROR(__xludf.DUMMYFUNCTION("""COMPUTED_VALUE"""),"2022-2023")</f>
        <v>2022-2023</v>
      </c>
      <c r="B12" s="11" t="str">
        <f>IFERROR(__xludf.DUMMYFUNCTION("""COMPUTED_VALUE"""),"L.A. Clippers")</f>
        <v>L.A. Clippers</v>
      </c>
      <c r="C12" s="11">
        <f>IFERROR(__xludf.DUMMYFUNCTION("""COMPUTED_VALUE"""),52.0)</f>
        <v>52</v>
      </c>
      <c r="D12" s="11">
        <f>IFERROR(__xludf.DUMMYFUNCTION("""COMPUTED_VALUE"""),50.0)</f>
        <v>50</v>
      </c>
      <c r="E12" s="11" t="str">
        <f>IFERROR(__xludf.DUMMYFUNCTION("""COMPUTED_VALUE"""),"33,6")</f>
        <v>33,6</v>
      </c>
      <c r="F12" s="11" t="str">
        <f>IFERROR(__xludf.DUMMYFUNCTION("""COMPUTED_VALUE"""),"51,2")</f>
        <v>51,2</v>
      </c>
      <c r="G12" s="11" t="str">
        <f>IFERROR(__xludf.DUMMYFUNCTION("""COMPUTED_VALUE"""),"41,6")</f>
        <v>41,6</v>
      </c>
      <c r="H12" s="11" t="str">
        <f>IFERROR(__xludf.DUMMYFUNCTION("""COMPUTED_VALUE"""),"87,1")</f>
        <v>87,1</v>
      </c>
      <c r="I12" s="11" t="str">
        <f>IFERROR(__xludf.DUMMYFUNCTION("""COMPUTED_VALUE"""),"6,50")</f>
        <v>6,50</v>
      </c>
      <c r="J12" s="11" t="str">
        <f>IFERROR(__xludf.DUMMYFUNCTION("""COMPUTED_VALUE"""),"3,90")</f>
        <v>3,90</v>
      </c>
      <c r="K12" s="11" t="str">
        <f>IFERROR(__xludf.DUMMYFUNCTION("""COMPUTED_VALUE"""),"1,40")</f>
        <v>1,40</v>
      </c>
      <c r="L12" s="11" t="str">
        <f>IFERROR(__xludf.DUMMYFUNCTION("""COMPUTED_VALUE"""),"0,50")</f>
        <v>0,50</v>
      </c>
      <c r="M12" s="11" t="str">
        <f>IFERROR(__xludf.DUMMYFUNCTION("""COMPUTED_VALUE"""),"23,80")</f>
        <v>23,80</v>
      </c>
      <c r="N12" s="11"/>
      <c r="O12" s="11"/>
      <c r="P12" s="11"/>
      <c r="Q12" s="11"/>
      <c r="R12" s="11"/>
      <c r="S12" s="11"/>
      <c r="T12" s="11"/>
      <c r="U12" s="11"/>
      <c r="V12" s="11"/>
      <c r="W12" s="11"/>
      <c r="X12" s="11"/>
      <c r="Y12" s="11"/>
      <c r="Z12" s="11"/>
    </row>
    <row r="13">
      <c r="A13" s="11" t="str">
        <f>IFERROR(__xludf.DUMMYFUNCTION("""COMPUTED_VALUE"""),"2023-2024")</f>
        <v>2023-2024</v>
      </c>
      <c r="B13" s="11" t="str">
        <f>IFERROR(__xludf.DUMMYFUNCTION("""COMPUTED_VALUE"""),"L.A. Clippers")</f>
        <v>L.A. Clippers</v>
      </c>
      <c r="C13" s="11">
        <f>IFERROR(__xludf.DUMMYFUNCTION("""COMPUTED_VALUE"""),68.0)</f>
        <v>68</v>
      </c>
      <c r="D13" s="11">
        <f>IFERROR(__xludf.DUMMYFUNCTION("""COMPUTED_VALUE"""),68.0)</f>
        <v>68</v>
      </c>
      <c r="E13" s="11" t="str">
        <f>IFERROR(__xludf.DUMMYFUNCTION("""COMPUTED_VALUE"""),"*34,3*")</f>
        <v>*34,3*</v>
      </c>
      <c r="F13" s="11" t="str">
        <f>IFERROR(__xludf.DUMMYFUNCTION("""COMPUTED_VALUE"""),"*52,5*")</f>
        <v>*52,5*</v>
      </c>
      <c r="G13" s="11" t="str">
        <f>IFERROR(__xludf.DUMMYFUNCTION("""COMPUTED_VALUE"""),"41,7")</f>
        <v>41,7</v>
      </c>
      <c r="H13" s="11" t="str">
        <f>IFERROR(__xludf.DUMMYFUNCTION("""COMPUTED_VALUE"""),"88,5")</f>
        <v>88,5</v>
      </c>
      <c r="I13" s="11" t="str">
        <f>IFERROR(__xludf.DUMMYFUNCTION("""COMPUTED_VALUE"""),"6,10")</f>
        <v>6,10</v>
      </c>
      <c r="J13" s="11" t="str">
        <f>IFERROR(__xludf.DUMMYFUNCTION("""COMPUTED_VALUE"""),"3,70")</f>
        <v>3,70</v>
      </c>
      <c r="K13" s="11" t="str">
        <f>IFERROR(__xludf.DUMMYFUNCTION("""COMPUTED_VALUE"""),"1,60")</f>
        <v>1,60</v>
      </c>
      <c r="L13" s="11" t="str">
        <f>IFERROR(__xludf.DUMMYFUNCTION("""COMPUTED_VALUE"""),"0,90")</f>
        <v>0,90</v>
      </c>
      <c r="M13" s="11" t="str">
        <f>IFERROR(__xludf.DUMMYFUNCTION("""COMPUTED_VALUE"""),"23,70")</f>
        <v>23,70</v>
      </c>
      <c r="N13" s="11"/>
      <c r="O13" s="11"/>
      <c r="P13" s="11"/>
      <c r="Q13" s="11"/>
      <c r="R13" s="11"/>
      <c r="S13" s="11"/>
      <c r="T13" s="11"/>
      <c r="U13" s="11"/>
      <c r="V13" s="11"/>
      <c r="W13" s="11"/>
      <c r="X13" s="11"/>
      <c r="Y13" s="11"/>
      <c r="Z13" s="11"/>
    </row>
    <row r="14">
      <c r="A14" s="11" t="str">
        <f>IFERROR(__xludf.DUMMYFUNCTION("""COMPUTED_VALUE"""),"2024-2025")</f>
        <v>2024-2025</v>
      </c>
      <c r="B14" s="11" t="str">
        <f>IFERROR(__xludf.DUMMYFUNCTION("""COMPUTED_VALUE"""),"L.A. Clippers")</f>
        <v>L.A. Clippers</v>
      </c>
      <c r="C14" s="11">
        <f>IFERROR(__xludf.DUMMYFUNCTION("""COMPUTED_VALUE"""),37.0)</f>
        <v>37</v>
      </c>
      <c r="D14" s="11">
        <f>IFERROR(__xludf.DUMMYFUNCTION("""COMPUTED_VALUE"""),37.0)</f>
        <v>37</v>
      </c>
      <c r="E14" s="11" t="str">
        <f>IFERROR(__xludf.DUMMYFUNCTION("""COMPUTED_VALUE"""),"31,9")</f>
        <v>31,9</v>
      </c>
      <c r="F14" s="11" t="str">
        <f>IFERROR(__xludf.DUMMYFUNCTION("""COMPUTED_VALUE"""),"49,8")</f>
        <v>49,8</v>
      </c>
      <c r="G14" s="11" t="str">
        <f>IFERROR(__xludf.DUMMYFUNCTION("""COMPUTED_VALUE"""),"41,1")</f>
        <v>41,1</v>
      </c>
      <c r="H14" s="11" t="str">
        <f>IFERROR(__xludf.DUMMYFUNCTION("""COMPUTED_VALUE"""),"81,0")</f>
        <v>81,0</v>
      </c>
      <c r="I14" s="11" t="str">
        <f>IFERROR(__xludf.DUMMYFUNCTION("""COMPUTED_VALUE"""),"5,90")</f>
        <v>5,90</v>
      </c>
      <c r="J14" s="11" t="str">
        <f>IFERROR(__xludf.DUMMYFUNCTION("""COMPUTED_VALUE"""),"3,10")</f>
        <v>3,10</v>
      </c>
      <c r="K14" s="11" t="str">
        <f>IFERROR(__xludf.DUMMYFUNCTION("""COMPUTED_VALUE"""),"1,60")</f>
        <v>1,60</v>
      </c>
      <c r="L14" s="11" t="str">
        <f>IFERROR(__xludf.DUMMYFUNCTION("""COMPUTED_VALUE"""),"0,50")</f>
        <v>0,50</v>
      </c>
      <c r="M14" s="11" t="str">
        <f>IFERROR(__xludf.DUMMYFUNCTION("""COMPUTED_VALUE"""),"21,50")</f>
        <v>21,50</v>
      </c>
      <c r="N14" s="11"/>
      <c r="O14" s="11"/>
      <c r="P14" s="11"/>
      <c r="Q14" s="11"/>
      <c r="R14" s="11"/>
      <c r="S14" s="11"/>
      <c r="T14" s="11"/>
      <c r="U14" s="11"/>
      <c r="V14" s="11"/>
      <c r="W14" s="11"/>
      <c r="X14" s="11"/>
      <c r="Y14" s="11"/>
      <c r="Z14" s="11"/>
    </row>
    <row r="15">
      <c r="A15" s="11" t="str">
        <f>IFERROR(__xludf.DUMMYFUNCTION("""COMPUTED_VALUE"""),"Carrière")</f>
        <v>Carrière</v>
      </c>
      <c r="B15" s="11"/>
      <c r="C15" s="11">
        <f>IFERROR(__xludf.DUMMYFUNCTION("""COMPUTED_VALUE"""),733.0)</f>
        <v>733</v>
      </c>
      <c r="D15" s="11">
        <f>IFERROR(__xludf.DUMMYFUNCTION("""COMPUTED_VALUE"""),704.0)</f>
        <v>704</v>
      </c>
      <c r="E15" s="11" t="str">
        <f>IFERROR(__xludf.DUMMYFUNCTION("""COMPUTED_VALUE"""),"31,8")</f>
        <v>31,8</v>
      </c>
      <c r="F15" s="11" t="str">
        <f>IFERROR(__xludf.DUMMYFUNCTION("""COMPUTED_VALUE"""),"49,9")</f>
        <v>49,9</v>
      </c>
      <c r="G15" s="11" t="str">
        <f>IFERROR(__xludf.DUMMYFUNCTION("""COMPUTED_VALUE"""),"39,2")</f>
        <v>39,2</v>
      </c>
      <c r="H15" s="11" t="str">
        <f>IFERROR(__xludf.DUMMYFUNCTION("""COMPUTED_VALUE"""),"86,0")</f>
        <v>86,0</v>
      </c>
      <c r="I15" s="11" t="str">
        <f>IFERROR(__xludf.DUMMYFUNCTION("""COMPUTED_VALUE"""),"6,40")</f>
        <v>6,40</v>
      </c>
      <c r="J15" s="11" t="str">
        <f>IFERROR(__xludf.DUMMYFUNCTION("""COMPUTED_VALUE"""),"3,10")</f>
        <v>3,10</v>
      </c>
      <c r="K15" s="11" t="str">
        <f>IFERROR(__xludf.DUMMYFUNCTION("""COMPUTED_VALUE"""),"1,70")</f>
        <v>1,70</v>
      </c>
      <c r="L15" s="11" t="str">
        <f>IFERROR(__xludf.DUMMYFUNCTION("""COMPUTED_VALUE"""),"0,60")</f>
        <v>0,60</v>
      </c>
      <c r="M15" s="11" t="str">
        <f>IFERROR(__xludf.DUMMYFUNCTION("""COMPUTED_VALUE"""),"20,10")</f>
        <v>20,10</v>
      </c>
      <c r="N15" s="11"/>
      <c r="O15" s="11"/>
      <c r="P15" s="11"/>
      <c r="Q15" s="11"/>
      <c r="R15" s="11"/>
      <c r="S15" s="11"/>
      <c r="T15" s="11"/>
      <c r="U15" s="11"/>
      <c r="V15" s="11"/>
      <c r="W15" s="11"/>
      <c r="X15" s="11"/>
      <c r="Y15" s="11"/>
      <c r="Z15" s="11"/>
    </row>
    <row r="16">
      <c r="A16" s="11" t="str">
        <f>IFERROR(__xludf.DUMMYFUNCTION("""COMPUTED_VALUE"""),"All-Star Game")</f>
        <v>All-Star Game</v>
      </c>
      <c r="B16" s="11"/>
      <c r="C16" s="11">
        <f>IFERROR(__xludf.DUMMYFUNCTION("""COMPUTED_VALUE"""),6.0)</f>
        <v>6</v>
      </c>
      <c r="D16" s="11">
        <f>IFERROR(__xludf.DUMMYFUNCTION("""COMPUTED_VALUE"""),5.0)</f>
        <v>5</v>
      </c>
      <c r="E16" s="11" t="str">
        <f>IFERROR(__xludf.DUMMYFUNCTION("""COMPUTED_VALUE"""),"18,2")</f>
        <v>18,2</v>
      </c>
      <c r="F16" s="11" t="str">
        <f>IFERROR(__xludf.DUMMYFUNCTION("""COMPUTED_VALUE"""),"52,4")</f>
        <v>52,4</v>
      </c>
      <c r="G16" s="11" t="str">
        <f>IFERROR(__xludf.DUMMYFUNCTION("""COMPUTED_VALUE"""),"39,5")</f>
        <v>39,5</v>
      </c>
      <c r="H16" s="11" t="str">
        <f>IFERROR(__xludf.DUMMYFUNCTION("""COMPUTED_VALUE"""),"0,0")</f>
        <v>0,0</v>
      </c>
      <c r="I16" s="11" t="str">
        <f>IFERROR(__xludf.DUMMYFUNCTION("""COMPUTED_VALUE"""),"5,20")</f>
        <v>5,20</v>
      </c>
      <c r="J16" s="11" t="str">
        <f>IFERROR(__xludf.DUMMYFUNCTION("""COMPUTED_VALUE"""),"3,30")</f>
        <v>3,30</v>
      </c>
      <c r="K16" s="11" t="str">
        <f>IFERROR(__xludf.DUMMYFUNCTION("""COMPUTED_VALUE"""),"1,00")</f>
        <v>1,00</v>
      </c>
      <c r="L16" s="11" t="str">
        <f>IFERROR(__xludf.DUMMYFUNCTION("""COMPUTED_VALUE"""),"0,20")</f>
        <v>0,20</v>
      </c>
      <c r="M16" s="11" t="str">
        <f>IFERROR(__xludf.DUMMYFUNCTION("""COMPUTED_VALUE"""),"13,80")</f>
        <v>13,80</v>
      </c>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v>10.0</v>
      </c>
    </row>
    <row r="2">
      <c r="A2" s="2">
        <v>2.0</v>
      </c>
    </row>
    <row r="3">
      <c r="A3" s="2">
        <v>2.0</v>
      </c>
    </row>
    <row r="4">
      <c r="A4" s="2">
        <v>2.0</v>
      </c>
      <c r="D4" s="1">
        <f>SUM(A1,A2)</f>
        <v>12</v>
      </c>
    </row>
    <row r="5">
      <c r="A5" s="2">
        <v>2.0</v>
      </c>
    </row>
    <row r="10">
      <c r="D10" s="1" t="str">
        <f>IFERROR(__xludf.DUMMYFUNCTION("IMPORTHTML(""https://en.wikipedia.org/wiki/List_of_NBA_game_sevens"",""table"", 2,)"),"#REF!")</f>
        <v>#REF!</v>
      </c>
      <c r="E10" s="1"/>
      <c r="F10" s="1"/>
      <c r="G10" s="1"/>
      <c r="H10" s="1"/>
      <c r="I10" s="1"/>
      <c r="J10" s="1"/>
      <c r="K10" s="1"/>
    </row>
    <row r="11">
      <c r="D11" s="1"/>
      <c r="E11" s="1"/>
      <c r="F11" s="1"/>
      <c r="G11" s="1"/>
      <c r="H11" s="1"/>
      <c r="I11" s="1"/>
      <c r="J11" s="1"/>
      <c r="K11" s="1"/>
    </row>
    <row r="12">
      <c r="D12" s="1"/>
      <c r="E12" s="1"/>
      <c r="F12" s="1"/>
      <c r="G12" s="1"/>
      <c r="H12" s="1"/>
      <c r="I12" s="1"/>
      <c r="J12" s="1"/>
      <c r="K12" s="1"/>
    </row>
    <row r="13">
      <c r="D13" s="1"/>
      <c r="E13" s="1"/>
      <c r="F13" s="1"/>
      <c r="G13" s="1"/>
      <c r="H13" s="1"/>
      <c r="I13" s="1"/>
      <c r="J13" s="1"/>
      <c r="K13" s="1"/>
    </row>
    <row r="14">
      <c r="D14" s="1"/>
      <c r="E14" s="1"/>
      <c r="F14" s="1"/>
      <c r="G14" s="1"/>
      <c r="H14" s="1"/>
      <c r="I14" s="1"/>
      <c r="J14" s="1"/>
      <c r="K14" s="1"/>
    </row>
    <row r="15">
      <c r="D15" s="1"/>
      <c r="E15" s="1"/>
      <c r="F15" s="1"/>
      <c r="G15" s="1"/>
      <c r="H15" s="1"/>
      <c r="I15" s="1"/>
      <c r="J15" s="1"/>
      <c r="K15" s="1"/>
    </row>
    <row r="16">
      <c r="D16" s="1"/>
      <c r="E16" s="1"/>
      <c r="F16" s="1"/>
      <c r="G16" s="1"/>
      <c r="H16" s="1"/>
      <c r="I16" s="1"/>
      <c r="J16" s="1"/>
      <c r="K16" s="1"/>
    </row>
    <row r="17">
      <c r="D17" s="1"/>
      <c r="E17" s="1"/>
      <c r="F17" s="1"/>
      <c r="G17" s="1"/>
      <c r="H17" s="1"/>
      <c r="I17" s="1"/>
      <c r="J17" s="1"/>
      <c r="K17" s="1"/>
    </row>
    <row r="18">
      <c r="D18" s="1"/>
      <c r="E18" s="1"/>
      <c r="F18" s="1"/>
      <c r="G18" s="1"/>
      <c r="H18" s="1"/>
      <c r="I18" s="1"/>
      <c r="J18" s="1"/>
      <c r="K18" s="1"/>
    </row>
    <row r="19">
      <c r="D19" s="1"/>
      <c r="E19" s="1"/>
      <c r="F19" s="1"/>
      <c r="G19" s="1"/>
      <c r="H19" s="1"/>
      <c r="I19" s="1"/>
      <c r="J19" s="1"/>
      <c r="K19" s="1"/>
    </row>
    <row r="20">
      <c r="D20" s="1"/>
      <c r="E20" s="1"/>
      <c r="F20" s="1"/>
      <c r="G20" s="1"/>
      <c r="H20" s="1"/>
      <c r="I20" s="1"/>
      <c r="J20" s="1"/>
      <c r="K20" s="1"/>
    </row>
    <row r="21">
      <c r="D21" s="1"/>
      <c r="E21" s="1"/>
      <c r="F21" s="1"/>
      <c r="G21" s="1"/>
      <c r="H21" s="1"/>
      <c r="I21" s="1"/>
      <c r="J21" s="1"/>
      <c r="K21" s="1"/>
    </row>
    <row r="22">
      <c r="D22" s="1"/>
      <c r="E22" s="1"/>
      <c r="F22" s="1"/>
      <c r="G22" s="1"/>
      <c r="H22" s="1"/>
      <c r="I22" s="1"/>
      <c r="J22" s="1"/>
      <c r="K22" s="1"/>
    </row>
    <row r="23">
      <c r="D23" s="1"/>
      <c r="E23" s="1"/>
      <c r="F23" s="1"/>
      <c r="G23" s="1"/>
      <c r="H23" s="1"/>
      <c r="I23" s="1"/>
      <c r="J23" s="1"/>
      <c r="K23" s="1"/>
    </row>
    <row r="24">
      <c r="D24" s="1"/>
      <c r="E24" s="1"/>
      <c r="F24" s="1"/>
      <c r="G24" s="1"/>
      <c r="H24" s="1"/>
      <c r="I24" s="1"/>
      <c r="J24" s="1"/>
      <c r="K24" s="1"/>
    </row>
    <row r="25">
      <c r="D25" s="1"/>
      <c r="E25" s="1"/>
      <c r="F25" s="1"/>
      <c r="G25" s="1"/>
      <c r="H25" s="1"/>
      <c r="I25" s="1"/>
      <c r="J25" s="1"/>
      <c r="K25" s="1"/>
    </row>
    <row r="26">
      <c r="D26" s="1"/>
      <c r="E26" s="1"/>
      <c r="F26" s="1"/>
      <c r="G26" s="1"/>
      <c r="H26" s="1"/>
      <c r="I26" s="1"/>
      <c r="J26" s="1"/>
      <c r="K26" s="1"/>
    </row>
    <row r="27">
      <c r="D27" s="1"/>
      <c r="E27" s="1"/>
      <c r="F27" s="1"/>
      <c r="G27" s="1"/>
      <c r="H27" s="1"/>
      <c r="I27" s="1"/>
      <c r="J27" s="1"/>
      <c r="K27" s="1"/>
    </row>
    <row r="28">
      <c r="D28" s="1"/>
      <c r="E28" s="1"/>
      <c r="F28" s="1"/>
      <c r="G28" s="1"/>
      <c r="H28" s="1"/>
      <c r="I28" s="1"/>
      <c r="J28" s="1"/>
      <c r="K28" s="1"/>
    </row>
    <row r="29">
      <c r="D29" s="1"/>
      <c r="E29" s="1"/>
      <c r="F29" s="1"/>
      <c r="G29" s="1"/>
      <c r="H29" s="1"/>
      <c r="I29" s="1"/>
      <c r="J29" s="1"/>
      <c r="K29" s="1"/>
    </row>
    <row r="30">
      <c r="D30" s="1"/>
      <c r="E30" s="1"/>
      <c r="F30" s="1"/>
      <c r="G30" s="1"/>
      <c r="H30" s="1"/>
      <c r="I30" s="1"/>
      <c r="J30" s="1"/>
      <c r="K30" s="1"/>
    </row>
    <row r="31">
      <c r="D31" s="1"/>
      <c r="E31" s="1"/>
      <c r="F31" s="1"/>
      <c r="G31" s="1"/>
      <c r="H31" s="1"/>
      <c r="I31" s="1"/>
      <c r="J31" s="1"/>
      <c r="K31" s="1"/>
    </row>
    <row r="32">
      <c r="D32" s="1"/>
      <c r="E32" s="1"/>
      <c r="F32" s="1"/>
      <c r="G32" s="1"/>
      <c r="H32" s="1"/>
      <c r="I32" s="1"/>
      <c r="J32" s="1"/>
      <c r="K32" s="1"/>
    </row>
    <row r="33">
      <c r="D33" s="1"/>
      <c r="E33" s="1"/>
      <c r="F33" s="1"/>
      <c r="G33" s="1"/>
      <c r="H33" s="1"/>
      <c r="I33" s="1"/>
      <c r="J33" s="1"/>
      <c r="K33" s="1"/>
    </row>
    <row r="34">
      <c r="D34" s="1"/>
      <c r="E34" s="1"/>
      <c r="F34" s="1"/>
      <c r="G34" s="1"/>
      <c r="H34" s="1"/>
      <c r="I34" s="1"/>
      <c r="J34" s="1"/>
      <c r="K34" s="1"/>
    </row>
    <row r="35">
      <c r="D35" s="1"/>
      <c r="E35" s="1"/>
      <c r="F35" s="1"/>
      <c r="G35" s="1"/>
      <c r="H35" s="1"/>
      <c r="I35" s="1"/>
      <c r="J35" s="1"/>
      <c r="K35" s="1"/>
    </row>
    <row r="36">
      <c r="D36" s="1"/>
      <c r="E36" s="1"/>
      <c r="F36" s="1"/>
      <c r="G36" s="1"/>
      <c r="H36" s="1"/>
      <c r="I36" s="1"/>
      <c r="J36" s="1"/>
      <c r="K36" s="1"/>
    </row>
    <row r="37">
      <c r="D37" s="1"/>
      <c r="E37" s="1"/>
      <c r="F37" s="1"/>
      <c r="G37" s="1"/>
      <c r="H37" s="1"/>
      <c r="I37" s="1"/>
      <c r="J37" s="1"/>
      <c r="K37" s="1"/>
    </row>
    <row r="38">
      <c r="D38" s="1"/>
      <c r="E38" s="1"/>
      <c r="F38" s="1"/>
      <c r="G38" s="1"/>
      <c r="H38" s="1"/>
      <c r="I38" s="1"/>
      <c r="J38" s="1"/>
      <c r="K38" s="1"/>
    </row>
    <row r="39">
      <c r="D39" s="1"/>
      <c r="E39" s="1"/>
      <c r="F39" s="1"/>
      <c r="G39" s="1"/>
      <c r="H39" s="1"/>
      <c r="I39" s="1"/>
      <c r="J39" s="1"/>
      <c r="K39" s="1"/>
    </row>
    <row r="40">
      <c r="D40" s="1"/>
      <c r="E40" s="1"/>
      <c r="F40" s="1"/>
      <c r="G40" s="1"/>
      <c r="H40" s="1"/>
      <c r="I40" s="1"/>
      <c r="J40" s="1"/>
      <c r="K40" s="1"/>
    </row>
    <row r="41">
      <c r="D41" s="1"/>
      <c r="E41" s="1"/>
      <c r="F41" s="1"/>
      <c r="G41" s="1"/>
      <c r="H41" s="1"/>
      <c r="I41" s="1"/>
      <c r="J41" s="1"/>
      <c r="K41" s="1"/>
    </row>
    <row r="42">
      <c r="D42" s="1"/>
      <c r="E42" s="1"/>
      <c r="F42" s="1"/>
      <c r="G42" s="1"/>
      <c r="H42" s="1"/>
      <c r="I42" s="1"/>
      <c r="J42" s="1"/>
      <c r="K42" s="1"/>
    </row>
    <row r="43">
      <c r="D43" s="1"/>
      <c r="E43" s="1"/>
      <c r="F43" s="1"/>
      <c r="G43" s="1"/>
      <c r="H43" s="1"/>
      <c r="I43" s="1"/>
      <c r="J43" s="1"/>
      <c r="K43" s="1"/>
    </row>
    <row r="44">
      <c r="D44" s="1"/>
      <c r="E44" s="1"/>
      <c r="F44" s="1"/>
      <c r="G44" s="1"/>
      <c r="H44" s="1"/>
      <c r="I44" s="1"/>
      <c r="J44" s="1"/>
      <c r="K44" s="1"/>
    </row>
    <row r="45">
      <c r="D45" s="1"/>
      <c r="E45" s="1"/>
      <c r="F45" s="1"/>
      <c r="G45" s="1"/>
      <c r="H45" s="1"/>
      <c r="I45" s="1"/>
      <c r="J45" s="1"/>
      <c r="K45" s="1"/>
    </row>
    <row r="46">
      <c r="D46" s="1"/>
      <c r="E46" s="1"/>
      <c r="F46" s="1"/>
      <c r="G46" s="1"/>
      <c r="H46" s="1"/>
      <c r="I46" s="1"/>
      <c r="J46" s="1"/>
      <c r="K46" s="1"/>
    </row>
    <row r="47">
      <c r="D47" s="1"/>
      <c r="E47" s="1"/>
      <c r="F47" s="1"/>
      <c r="G47" s="1"/>
      <c r="H47" s="1"/>
      <c r="I47" s="1"/>
      <c r="J47" s="1"/>
      <c r="K47" s="1"/>
    </row>
    <row r="48">
      <c r="D48" s="1"/>
      <c r="E48" s="1"/>
      <c r="F48" s="1"/>
      <c r="G48" s="1"/>
      <c r="H48" s="1"/>
      <c r="I48" s="1"/>
      <c r="J48" s="1"/>
      <c r="K48" s="1"/>
    </row>
    <row r="49">
      <c r="D49" s="1"/>
      <c r="E49" s="1"/>
      <c r="F49" s="1"/>
      <c r="G49" s="1"/>
      <c r="H49" s="1"/>
      <c r="I49" s="1"/>
      <c r="J49" s="1"/>
      <c r="K49" s="1"/>
    </row>
    <row r="50">
      <c r="D50" s="1"/>
      <c r="E50" s="1"/>
      <c r="F50" s="1"/>
      <c r="G50" s="1"/>
      <c r="H50" s="1"/>
      <c r="I50" s="1"/>
      <c r="J50" s="1"/>
      <c r="K50" s="1"/>
    </row>
    <row r="51">
      <c r="D51" s="1"/>
      <c r="E51" s="1"/>
      <c r="F51" s="1"/>
      <c r="G51" s="1"/>
      <c r="H51" s="1"/>
      <c r="I51" s="1"/>
      <c r="J51" s="1"/>
      <c r="K51" s="1"/>
    </row>
    <row r="52">
      <c r="D52" s="1"/>
      <c r="E52" s="1"/>
      <c r="F52" s="1"/>
      <c r="G52" s="1"/>
      <c r="H52" s="1"/>
      <c r="I52" s="1"/>
      <c r="J52" s="1"/>
      <c r="K52" s="1"/>
    </row>
    <row r="53">
      <c r="D53" s="1"/>
      <c r="E53" s="1"/>
      <c r="F53" s="1"/>
      <c r="G53" s="1"/>
      <c r="H53" s="1"/>
      <c r="I53" s="1"/>
      <c r="J53" s="1"/>
      <c r="K53" s="1"/>
    </row>
    <row r="54">
      <c r="D54" s="1"/>
      <c r="E54" s="1"/>
      <c r="F54" s="1"/>
      <c r="G54" s="1"/>
      <c r="H54" s="1"/>
      <c r="I54" s="1"/>
      <c r="J54" s="1"/>
      <c r="K54" s="1"/>
    </row>
    <row r="55">
      <c r="D55" s="1"/>
      <c r="E55" s="1"/>
      <c r="F55" s="1"/>
      <c r="G55" s="1"/>
      <c r="H55" s="1"/>
      <c r="I55" s="1"/>
      <c r="J55" s="1"/>
      <c r="K55" s="1"/>
    </row>
    <row r="56">
      <c r="D56" s="1"/>
      <c r="E56" s="1"/>
      <c r="F56" s="1"/>
      <c r="G56" s="1"/>
      <c r="H56" s="1"/>
      <c r="I56" s="1"/>
      <c r="J56" s="1"/>
      <c r="K56" s="1"/>
    </row>
    <row r="57">
      <c r="D57" s="1"/>
      <c r="E57" s="1"/>
      <c r="F57" s="1"/>
      <c r="G57" s="1"/>
      <c r="H57" s="1"/>
      <c r="I57" s="1"/>
      <c r="J57" s="1"/>
      <c r="K57" s="1"/>
    </row>
    <row r="58">
      <c r="D58" s="1"/>
      <c r="E58" s="1"/>
      <c r="F58" s="1"/>
      <c r="G58" s="1"/>
      <c r="H58" s="1"/>
      <c r="I58" s="1"/>
      <c r="J58" s="1"/>
      <c r="K58" s="1"/>
    </row>
    <row r="59">
      <c r="D59" s="1"/>
      <c r="E59" s="1"/>
      <c r="F59" s="1"/>
      <c r="G59" s="1"/>
      <c r="H59" s="1"/>
      <c r="I59" s="1"/>
      <c r="J59" s="1"/>
      <c r="K59" s="1"/>
    </row>
    <row r="60">
      <c r="D60" s="1"/>
      <c r="E60" s="1"/>
      <c r="F60" s="1"/>
      <c r="G60" s="1"/>
      <c r="H60" s="1"/>
      <c r="I60" s="1"/>
      <c r="J60" s="1"/>
      <c r="K60" s="1"/>
    </row>
    <row r="61">
      <c r="D61" s="1"/>
      <c r="E61" s="1"/>
      <c r="F61" s="1"/>
      <c r="G61" s="1"/>
      <c r="H61" s="1"/>
      <c r="I61" s="1"/>
      <c r="J61" s="1"/>
      <c r="K61" s="1"/>
    </row>
    <row r="62">
      <c r="D62" s="1"/>
      <c r="E62" s="1"/>
      <c r="F62" s="1"/>
      <c r="G62" s="1"/>
      <c r="H62" s="1"/>
      <c r="I62" s="1"/>
      <c r="J62" s="1"/>
      <c r="K62" s="1"/>
    </row>
    <row r="63">
      <c r="D63" s="1"/>
      <c r="E63" s="1"/>
      <c r="F63" s="1"/>
      <c r="G63" s="1"/>
      <c r="H63" s="1"/>
      <c r="I63" s="1"/>
      <c r="J63" s="1"/>
      <c r="K63" s="1"/>
    </row>
    <row r="64">
      <c r="D64" s="1"/>
      <c r="E64" s="1"/>
      <c r="F64" s="1"/>
      <c r="G64" s="1"/>
      <c r="H64" s="1"/>
      <c r="I64" s="1"/>
      <c r="J64" s="1"/>
      <c r="K64" s="1"/>
    </row>
    <row r="65">
      <c r="D65" s="1"/>
      <c r="E65" s="1"/>
      <c r="F65" s="1"/>
      <c r="G65" s="1"/>
      <c r="H65" s="1"/>
      <c r="I65" s="1"/>
      <c r="J65" s="1"/>
      <c r="K65" s="1"/>
    </row>
    <row r="66">
      <c r="D66" s="1"/>
      <c r="E66" s="1"/>
      <c r="F66" s="1"/>
      <c r="G66" s="1"/>
      <c r="H66" s="1"/>
      <c r="I66" s="1"/>
      <c r="J66" s="1"/>
      <c r="K66" s="1"/>
    </row>
    <row r="67">
      <c r="D67" s="1"/>
      <c r="E67" s="1"/>
      <c r="F67" s="1"/>
      <c r="G67" s="1"/>
      <c r="H67" s="1"/>
      <c r="I67" s="1"/>
      <c r="J67" s="1"/>
      <c r="K67" s="1"/>
    </row>
    <row r="68">
      <c r="D68" s="1"/>
      <c r="E68" s="1"/>
      <c r="F68" s="1"/>
      <c r="G68" s="1"/>
      <c r="H68" s="1"/>
      <c r="I68" s="1"/>
      <c r="J68" s="1"/>
      <c r="K68" s="1"/>
    </row>
    <row r="69">
      <c r="D69" s="1"/>
      <c r="E69" s="1"/>
      <c r="F69" s="1"/>
      <c r="G69" s="1"/>
      <c r="H69" s="1"/>
      <c r="I69" s="1"/>
      <c r="J69" s="1"/>
      <c r="K69" s="1"/>
    </row>
    <row r="70">
      <c r="D70" s="1"/>
      <c r="E70" s="1"/>
      <c r="F70" s="1"/>
      <c r="G70" s="1"/>
      <c r="H70" s="1"/>
      <c r="I70" s="1"/>
      <c r="J70" s="1"/>
      <c r="K70" s="1"/>
    </row>
    <row r="71">
      <c r="D71" s="1"/>
      <c r="E71" s="1"/>
      <c r="F71" s="1"/>
      <c r="G71" s="1"/>
      <c r="H71" s="1"/>
      <c r="I71" s="1"/>
      <c r="J71" s="1"/>
      <c r="K71" s="1"/>
    </row>
    <row r="72">
      <c r="D72" s="1"/>
      <c r="E72" s="1"/>
      <c r="F72" s="1"/>
      <c r="G72" s="1"/>
      <c r="H72" s="1"/>
      <c r="I72" s="1"/>
      <c r="J72" s="1"/>
      <c r="K72" s="1"/>
    </row>
    <row r="73">
      <c r="D73" s="1"/>
      <c r="E73" s="1"/>
      <c r="F73" s="1"/>
      <c r="G73" s="1"/>
      <c r="H73" s="1"/>
      <c r="I73" s="1"/>
      <c r="J73" s="1"/>
      <c r="K73" s="1"/>
    </row>
    <row r="74">
      <c r="D74" s="1"/>
      <c r="E74" s="1"/>
      <c r="F74" s="1"/>
      <c r="G74" s="1"/>
      <c r="H74" s="1"/>
      <c r="I74" s="1"/>
      <c r="J74" s="1"/>
      <c r="K74" s="1"/>
    </row>
    <row r="75">
      <c r="D75" s="1"/>
      <c r="E75" s="1"/>
      <c r="F75" s="1"/>
      <c r="G75" s="1"/>
      <c r="H75" s="1"/>
      <c r="I75" s="1"/>
      <c r="J75" s="1"/>
      <c r="K75" s="1"/>
    </row>
    <row r="76">
      <c r="D76" s="1"/>
      <c r="E76" s="1"/>
      <c r="F76" s="1"/>
      <c r="G76" s="1"/>
      <c r="H76" s="1"/>
      <c r="I76" s="1"/>
      <c r="J76" s="1"/>
      <c r="K76" s="1"/>
    </row>
    <row r="77">
      <c r="D77" s="1"/>
      <c r="E77" s="1"/>
      <c r="F77" s="1"/>
      <c r="G77" s="1"/>
      <c r="H77" s="1"/>
      <c r="I77" s="1"/>
      <c r="J77" s="1"/>
      <c r="K77" s="1"/>
    </row>
    <row r="78">
      <c r="D78" s="1"/>
      <c r="E78" s="1"/>
      <c r="F78" s="1"/>
      <c r="G78" s="1"/>
      <c r="H78" s="1"/>
      <c r="I78" s="1"/>
      <c r="J78" s="1"/>
      <c r="K78" s="1"/>
    </row>
    <row r="79">
      <c r="D79" s="1"/>
      <c r="E79" s="1"/>
      <c r="F79" s="1"/>
      <c r="G79" s="1"/>
      <c r="H79" s="1"/>
      <c r="I79" s="1"/>
      <c r="J79" s="1"/>
      <c r="K79" s="1"/>
    </row>
    <row r="80">
      <c r="D80" s="1"/>
      <c r="E80" s="1"/>
      <c r="F80" s="1"/>
      <c r="G80" s="1"/>
      <c r="H80" s="1"/>
      <c r="I80" s="1"/>
      <c r="J80" s="1"/>
      <c r="K80" s="1"/>
    </row>
    <row r="81">
      <c r="D81" s="1"/>
      <c r="E81" s="1"/>
      <c r="F81" s="1"/>
      <c r="G81" s="1"/>
      <c r="H81" s="1"/>
      <c r="I81" s="1"/>
      <c r="J81" s="1"/>
      <c r="K81" s="1"/>
    </row>
    <row r="82">
      <c r="D82" s="1"/>
      <c r="E82" s="1"/>
      <c r="F82" s="1"/>
      <c r="G82" s="1"/>
      <c r="H82" s="1"/>
      <c r="I82" s="1"/>
      <c r="J82" s="1"/>
      <c r="K82" s="1"/>
    </row>
    <row r="83">
      <c r="D83" s="1"/>
      <c r="E83" s="1"/>
      <c r="F83" s="1"/>
      <c r="G83" s="1"/>
      <c r="H83" s="1"/>
      <c r="I83" s="1"/>
      <c r="J83" s="1"/>
      <c r="K83" s="1"/>
    </row>
    <row r="84">
      <c r="D84" s="1"/>
      <c r="E84" s="1"/>
      <c r="F84" s="1"/>
      <c r="G84" s="1"/>
      <c r="H84" s="1"/>
      <c r="I84" s="1"/>
      <c r="J84" s="1"/>
      <c r="K84" s="1"/>
    </row>
    <row r="85">
      <c r="D85" s="1"/>
      <c r="E85" s="1"/>
      <c r="F85" s="1"/>
      <c r="G85" s="1"/>
      <c r="H85" s="1"/>
      <c r="I85" s="1"/>
      <c r="J85" s="1"/>
      <c r="K85" s="1"/>
    </row>
    <row r="86">
      <c r="D86" s="1"/>
      <c r="E86" s="1"/>
      <c r="F86" s="1"/>
      <c r="G86" s="1"/>
      <c r="H86" s="1"/>
      <c r="I86" s="1"/>
      <c r="J86" s="1"/>
      <c r="K86" s="1"/>
    </row>
    <row r="87">
      <c r="D87" s="1"/>
      <c r="E87" s="1"/>
      <c r="F87" s="1"/>
      <c r="G87" s="1"/>
      <c r="H87" s="1"/>
      <c r="I87" s="1"/>
      <c r="J87" s="1"/>
      <c r="K87" s="1"/>
    </row>
    <row r="88">
      <c r="D88" s="1"/>
      <c r="E88" s="1"/>
      <c r="F88" s="1"/>
      <c r="G88" s="1"/>
      <c r="H88" s="1"/>
      <c r="I88" s="1"/>
      <c r="J88" s="1"/>
      <c r="K88" s="1"/>
    </row>
    <row r="89">
      <c r="D89" s="1"/>
      <c r="E89" s="1"/>
      <c r="F89" s="1"/>
      <c r="G89" s="1"/>
      <c r="H89" s="1"/>
      <c r="I89" s="1"/>
      <c r="J89" s="1"/>
      <c r="K89" s="1"/>
    </row>
    <row r="90">
      <c r="D90" s="1"/>
      <c r="E90" s="1"/>
      <c r="F90" s="1"/>
      <c r="G90" s="1"/>
      <c r="H90" s="1"/>
      <c r="I90" s="1"/>
      <c r="J90" s="1"/>
      <c r="K90" s="1"/>
    </row>
    <row r="91">
      <c r="D91" s="1"/>
      <c r="E91" s="1"/>
      <c r="F91" s="1"/>
      <c r="G91" s="1"/>
      <c r="H91" s="1"/>
      <c r="I91" s="1"/>
      <c r="J91" s="1"/>
      <c r="K91" s="1"/>
    </row>
    <row r="92">
      <c r="D92" s="1"/>
      <c r="E92" s="1"/>
      <c r="F92" s="1"/>
      <c r="G92" s="1"/>
      <c r="H92" s="1"/>
      <c r="I92" s="1"/>
      <c r="J92" s="1"/>
      <c r="K92" s="1"/>
    </row>
    <row r="93">
      <c r="D93" s="1"/>
      <c r="E93" s="1"/>
      <c r="F93" s="1"/>
      <c r="G93" s="1"/>
      <c r="H93" s="1"/>
      <c r="I93" s="1"/>
      <c r="J93" s="1"/>
      <c r="K93" s="1"/>
    </row>
    <row r="94">
      <c r="D94" s="1"/>
      <c r="E94" s="1"/>
      <c r="F94" s="1"/>
      <c r="G94" s="1"/>
      <c r="H94" s="1"/>
      <c r="I94" s="1"/>
      <c r="J94" s="1"/>
      <c r="K94" s="1"/>
    </row>
    <row r="95">
      <c r="D95" s="1"/>
      <c r="E95" s="1"/>
      <c r="F95" s="1"/>
      <c r="G95" s="1"/>
      <c r="H95" s="1"/>
      <c r="I95" s="1"/>
      <c r="J95" s="1"/>
      <c r="K95" s="1"/>
    </row>
    <row r="96">
      <c r="D96" s="1"/>
      <c r="E96" s="1"/>
      <c r="F96" s="1"/>
      <c r="G96" s="1"/>
      <c r="H96" s="1"/>
      <c r="I96" s="1"/>
      <c r="J96" s="1"/>
      <c r="K96" s="1"/>
    </row>
    <row r="97">
      <c r="D97" s="1"/>
      <c r="E97" s="1"/>
      <c r="F97" s="1"/>
      <c r="G97" s="1"/>
      <c r="H97" s="1"/>
      <c r="I97" s="1"/>
      <c r="J97" s="1"/>
      <c r="K97" s="1"/>
    </row>
    <row r="98">
      <c r="D98" s="1"/>
      <c r="E98" s="1"/>
      <c r="F98" s="1"/>
      <c r="G98" s="1"/>
      <c r="H98" s="1"/>
      <c r="I98" s="1"/>
      <c r="J98" s="1"/>
      <c r="K98" s="1"/>
    </row>
    <row r="99">
      <c r="D99" s="1"/>
      <c r="E99" s="1"/>
      <c r="F99" s="1"/>
      <c r="G99" s="1"/>
      <c r="H99" s="1"/>
      <c r="I99" s="1"/>
      <c r="J99" s="1"/>
      <c r="K99" s="1"/>
    </row>
    <row r="100">
      <c r="D100" s="1"/>
      <c r="E100" s="1"/>
      <c r="F100" s="1"/>
      <c r="G100" s="1"/>
      <c r="H100" s="1"/>
      <c r="I100" s="1"/>
      <c r="J100" s="1"/>
      <c r="K100" s="1"/>
    </row>
    <row r="101">
      <c r="D101" s="1"/>
      <c r="E101" s="1"/>
      <c r="F101" s="1"/>
      <c r="G101" s="1"/>
      <c r="H101" s="1"/>
      <c r="I101" s="1"/>
      <c r="J101" s="1"/>
      <c r="K101" s="1"/>
    </row>
    <row r="102">
      <c r="D102" s="1"/>
      <c r="E102" s="1"/>
      <c r="F102" s="1"/>
      <c r="G102" s="1"/>
      <c r="H102" s="1"/>
      <c r="I102" s="1"/>
      <c r="J102" s="1"/>
      <c r="K102" s="1"/>
    </row>
    <row r="103">
      <c r="D103" s="1"/>
      <c r="E103" s="1"/>
      <c r="F103" s="1"/>
      <c r="G103" s="1"/>
      <c r="H103" s="1"/>
      <c r="I103" s="1"/>
      <c r="J103" s="1"/>
      <c r="K103" s="1"/>
    </row>
    <row r="104">
      <c r="D104" s="1"/>
      <c r="E104" s="1"/>
      <c r="F104" s="1"/>
      <c r="G104" s="1"/>
      <c r="H104" s="1"/>
      <c r="I104" s="1"/>
      <c r="J104" s="1"/>
      <c r="K104" s="1"/>
    </row>
    <row r="105">
      <c r="D105" s="1"/>
      <c r="E105" s="1"/>
      <c r="F105" s="1"/>
      <c r="G105" s="1"/>
      <c r="H105" s="1"/>
      <c r="I105" s="1"/>
      <c r="J105" s="1"/>
      <c r="K105" s="1"/>
    </row>
    <row r="106">
      <c r="D106" s="1"/>
      <c r="E106" s="1"/>
      <c r="F106" s="1"/>
      <c r="G106" s="1"/>
      <c r="H106" s="1"/>
      <c r="I106" s="1"/>
      <c r="J106" s="1"/>
      <c r="K106" s="1"/>
    </row>
    <row r="107">
      <c r="D107" s="1"/>
      <c r="E107" s="1"/>
      <c r="F107" s="1"/>
      <c r="G107" s="1"/>
      <c r="H107" s="1"/>
      <c r="I107" s="1"/>
      <c r="J107" s="1"/>
      <c r="K107" s="1"/>
    </row>
    <row r="108">
      <c r="D108" s="1"/>
      <c r="E108" s="1"/>
      <c r="F108" s="1"/>
      <c r="G108" s="1"/>
      <c r="H108" s="1"/>
      <c r="I108" s="1"/>
      <c r="J108" s="1"/>
      <c r="K108" s="1"/>
    </row>
    <row r="109">
      <c r="D109" s="1"/>
      <c r="E109" s="1"/>
      <c r="F109" s="1"/>
      <c r="G109" s="1"/>
      <c r="H109" s="1"/>
      <c r="I109" s="1"/>
      <c r="J109" s="1"/>
      <c r="K109" s="1"/>
    </row>
    <row r="110">
      <c r="D110" s="1"/>
      <c r="E110" s="1"/>
      <c r="F110" s="1"/>
      <c r="G110" s="1"/>
      <c r="H110" s="1"/>
      <c r="I110" s="1"/>
      <c r="J110" s="1"/>
      <c r="K110" s="1"/>
    </row>
    <row r="111">
      <c r="D111" s="1"/>
      <c r="E111" s="1"/>
      <c r="F111" s="1"/>
      <c r="G111" s="1"/>
      <c r="H111" s="1"/>
      <c r="I111" s="1"/>
      <c r="J111" s="1"/>
      <c r="K111" s="1"/>
    </row>
    <row r="112">
      <c r="D112" s="1"/>
      <c r="E112" s="1"/>
      <c r="F112" s="1"/>
      <c r="G112" s="1"/>
      <c r="H112" s="1"/>
      <c r="I112" s="1"/>
      <c r="J112" s="1"/>
      <c r="K112" s="1"/>
    </row>
    <row r="113">
      <c r="D113" s="1"/>
      <c r="E113" s="1"/>
      <c r="F113" s="1"/>
      <c r="G113" s="1"/>
      <c r="H113" s="1"/>
      <c r="I113" s="1"/>
      <c r="J113" s="1"/>
      <c r="K113" s="1"/>
    </row>
    <row r="114">
      <c r="D114" s="1"/>
      <c r="E114" s="1"/>
      <c r="F114" s="1"/>
      <c r="G114" s="1"/>
      <c r="H114" s="1"/>
      <c r="I114" s="1"/>
      <c r="J114" s="1"/>
      <c r="K114" s="1"/>
    </row>
    <row r="115">
      <c r="D115" s="1"/>
      <c r="E115" s="1"/>
      <c r="F115" s="1"/>
      <c r="G115" s="1"/>
      <c r="H115" s="1"/>
      <c r="I115" s="1"/>
      <c r="J115" s="1"/>
      <c r="K115" s="1"/>
    </row>
    <row r="116">
      <c r="D116" s="1"/>
      <c r="E116" s="1"/>
      <c r="F116" s="1"/>
      <c r="G116" s="1"/>
      <c r="H116" s="1"/>
      <c r="I116" s="1"/>
      <c r="J116" s="1"/>
      <c r="K116" s="1"/>
    </row>
    <row r="117">
      <c r="D117" s="1"/>
      <c r="E117" s="1"/>
      <c r="F117" s="1"/>
      <c r="G117" s="1"/>
      <c r="H117" s="1"/>
      <c r="I117" s="1"/>
      <c r="J117" s="1"/>
      <c r="K117" s="1"/>
    </row>
    <row r="118">
      <c r="D118" s="1"/>
      <c r="E118" s="1"/>
      <c r="F118" s="1"/>
      <c r="G118" s="1"/>
      <c r="H118" s="1"/>
      <c r="I118" s="1"/>
      <c r="J118" s="1"/>
      <c r="K118" s="1"/>
    </row>
    <row r="119">
      <c r="D119" s="1"/>
      <c r="E119" s="1"/>
      <c r="F119" s="1"/>
      <c r="G119" s="1"/>
      <c r="H119" s="1"/>
      <c r="I119" s="1"/>
      <c r="J119" s="1"/>
      <c r="K119" s="1"/>
    </row>
    <row r="120">
      <c r="D120" s="1"/>
      <c r="E120" s="1"/>
      <c r="F120" s="1"/>
      <c r="G120" s="1"/>
      <c r="H120" s="1"/>
      <c r="I120" s="1"/>
      <c r="J120" s="1"/>
      <c r="K120" s="1"/>
    </row>
    <row r="121">
      <c r="D121" s="1"/>
      <c r="E121" s="1"/>
      <c r="F121" s="1"/>
      <c r="G121" s="1"/>
      <c r="H121" s="1"/>
      <c r="I121" s="1"/>
      <c r="J121" s="1"/>
      <c r="K121" s="1"/>
    </row>
    <row r="122">
      <c r="D122" s="1"/>
      <c r="E122" s="1"/>
      <c r="F122" s="1"/>
      <c r="G122" s="1"/>
      <c r="H122" s="1"/>
      <c r="I122" s="1"/>
      <c r="J122" s="1"/>
      <c r="K122" s="1"/>
    </row>
    <row r="123">
      <c r="D123" s="1"/>
      <c r="E123" s="1"/>
      <c r="F123" s="1"/>
      <c r="G123" s="1"/>
      <c r="H123" s="1"/>
      <c r="I123" s="1"/>
      <c r="J123" s="1"/>
      <c r="K123" s="1"/>
    </row>
    <row r="124">
      <c r="D124" s="1"/>
      <c r="E124" s="1"/>
      <c r="F124" s="1"/>
      <c r="G124" s="1"/>
      <c r="H124" s="1"/>
      <c r="I124" s="1"/>
      <c r="J124" s="1"/>
      <c r="K124" s="1"/>
    </row>
    <row r="125">
      <c r="D125" s="1"/>
      <c r="E125" s="1"/>
      <c r="F125" s="1"/>
      <c r="G125" s="1"/>
      <c r="H125" s="1"/>
      <c r="I125" s="1"/>
      <c r="J125" s="1"/>
      <c r="K125" s="1"/>
    </row>
    <row r="126">
      <c r="D126" s="1"/>
      <c r="E126" s="1"/>
      <c r="F126" s="1"/>
      <c r="G126" s="1"/>
      <c r="H126" s="1"/>
      <c r="I126" s="1"/>
      <c r="J126" s="1"/>
      <c r="K126" s="1"/>
    </row>
    <row r="127">
      <c r="D127" s="1"/>
      <c r="E127" s="1"/>
      <c r="F127" s="1"/>
      <c r="G127" s="1"/>
      <c r="H127" s="1"/>
      <c r="I127" s="1"/>
      <c r="J127" s="1"/>
      <c r="K127" s="1"/>
    </row>
    <row r="128">
      <c r="D128" s="1"/>
      <c r="E128" s="1"/>
      <c r="F128" s="1"/>
      <c r="G128" s="1"/>
      <c r="H128" s="1"/>
      <c r="I128" s="1"/>
      <c r="J128" s="1"/>
      <c r="K128" s="1"/>
    </row>
    <row r="129">
      <c r="D129" s="1"/>
      <c r="E129" s="1"/>
      <c r="F129" s="1"/>
      <c r="G129" s="1"/>
      <c r="H129" s="1"/>
      <c r="I129" s="1"/>
      <c r="J129" s="1"/>
      <c r="K129" s="1"/>
    </row>
    <row r="130">
      <c r="D130" s="1"/>
      <c r="E130" s="1"/>
      <c r="F130" s="1"/>
      <c r="G130" s="1"/>
      <c r="H130" s="1"/>
      <c r="I130" s="1"/>
      <c r="J130" s="1"/>
      <c r="K130" s="1"/>
    </row>
    <row r="131">
      <c r="D131" s="1"/>
      <c r="E131" s="1"/>
      <c r="F131" s="1"/>
      <c r="G131" s="1"/>
      <c r="H131" s="1"/>
      <c r="I131" s="1"/>
      <c r="J131" s="1"/>
      <c r="K131" s="1"/>
    </row>
    <row r="132">
      <c r="D132" s="1"/>
      <c r="E132" s="1"/>
      <c r="F132" s="1"/>
      <c r="G132" s="1"/>
      <c r="H132" s="1"/>
      <c r="I132" s="1"/>
      <c r="J132" s="1"/>
      <c r="K132" s="1"/>
    </row>
    <row r="133">
      <c r="D133" s="1"/>
      <c r="E133" s="1"/>
      <c r="F133" s="1"/>
      <c r="G133" s="1"/>
      <c r="H133" s="1"/>
      <c r="I133" s="1"/>
      <c r="J133" s="1"/>
      <c r="K133" s="1"/>
    </row>
    <row r="134">
      <c r="D134" s="1"/>
      <c r="E134" s="1"/>
      <c r="F134" s="1"/>
      <c r="G134" s="1"/>
      <c r="H134" s="1"/>
      <c r="I134" s="1"/>
      <c r="J134" s="1"/>
      <c r="K134" s="1"/>
    </row>
    <row r="135">
      <c r="D135" s="1"/>
      <c r="E135" s="1"/>
      <c r="F135" s="1"/>
      <c r="G135" s="1"/>
      <c r="H135" s="1"/>
      <c r="I135" s="1"/>
      <c r="J135" s="1"/>
      <c r="K135" s="1"/>
    </row>
    <row r="136">
      <c r="D136" s="1"/>
      <c r="E136" s="1"/>
      <c r="F136" s="1"/>
      <c r="G136" s="1"/>
      <c r="H136" s="1"/>
      <c r="I136" s="1"/>
      <c r="J136" s="1"/>
      <c r="K136" s="1"/>
    </row>
    <row r="137">
      <c r="D137" s="1"/>
      <c r="E137" s="1"/>
      <c r="F137" s="1"/>
      <c r="G137" s="1"/>
      <c r="H137" s="1"/>
      <c r="I137" s="1"/>
      <c r="J137" s="1"/>
      <c r="K137" s="1"/>
    </row>
    <row r="138">
      <c r="D138" s="1"/>
      <c r="E138" s="1"/>
      <c r="F138" s="1"/>
      <c r="G138" s="1"/>
      <c r="H138" s="1"/>
      <c r="I138" s="1"/>
      <c r="J138" s="1"/>
      <c r="K138" s="1"/>
    </row>
    <row r="139">
      <c r="D139" s="1"/>
      <c r="E139" s="1"/>
      <c r="F139" s="1"/>
      <c r="G139" s="1"/>
      <c r="H139" s="1"/>
      <c r="I139" s="1"/>
      <c r="J139" s="1"/>
      <c r="K139" s="1"/>
    </row>
    <row r="140">
      <c r="D140" s="1"/>
      <c r="E140" s="1"/>
      <c r="F140" s="1"/>
      <c r="G140" s="1"/>
      <c r="H140" s="1"/>
      <c r="I140" s="1"/>
      <c r="J140" s="1"/>
      <c r="K140" s="1"/>
    </row>
    <row r="141">
      <c r="D141" s="1"/>
      <c r="E141" s="1"/>
      <c r="F141" s="1"/>
      <c r="G141" s="1"/>
      <c r="H141" s="1"/>
      <c r="I141" s="1"/>
      <c r="J141" s="1"/>
      <c r="K141" s="1"/>
    </row>
    <row r="142">
      <c r="D142" s="1"/>
      <c r="E142" s="1"/>
      <c r="F142" s="1"/>
      <c r="G142" s="1"/>
      <c r="H142" s="1"/>
      <c r="I142" s="1"/>
      <c r="J142" s="1"/>
      <c r="K142" s="1"/>
    </row>
    <row r="143">
      <c r="D143" s="1"/>
      <c r="E143" s="1"/>
      <c r="F143" s="1"/>
      <c r="G143" s="1"/>
      <c r="H143" s="1"/>
      <c r="I143" s="1"/>
      <c r="J143" s="1"/>
      <c r="K143" s="1"/>
    </row>
    <row r="144">
      <c r="D144" s="1"/>
      <c r="E144" s="1"/>
      <c r="F144" s="1"/>
      <c r="G144" s="1"/>
      <c r="H144" s="1"/>
      <c r="I144" s="1"/>
      <c r="J144" s="1"/>
      <c r="K144" s="1"/>
    </row>
    <row r="145">
      <c r="D145" s="1"/>
      <c r="E145" s="1"/>
      <c r="F145" s="1"/>
      <c r="G145" s="1"/>
      <c r="H145" s="1"/>
      <c r="I145" s="1"/>
      <c r="J145" s="1"/>
      <c r="K145" s="1"/>
    </row>
    <row r="146">
      <c r="D146" s="1"/>
      <c r="E146" s="1"/>
      <c r="F146" s="1"/>
      <c r="G146" s="1"/>
      <c r="H146" s="1"/>
      <c r="I146" s="1"/>
      <c r="J146" s="1"/>
      <c r="K146" s="1"/>
    </row>
    <row r="147">
      <c r="D147" s="1"/>
      <c r="E147" s="1"/>
      <c r="F147" s="1"/>
      <c r="G147" s="1"/>
      <c r="H147" s="1"/>
      <c r="I147" s="1"/>
      <c r="J147" s="1"/>
      <c r="K147" s="1"/>
    </row>
    <row r="148">
      <c r="D148" s="1"/>
      <c r="E148" s="1"/>
      <c r="F148" s="1"/>
      <c r="G148" s="1"/>
      <c r="H148" s="1"/>
      <c r="I148" s="1"/>
      <c r="J148" s="1"/>
      <c r="K148" s="1"/>
    </row>
    <row r="149">
      <c r="D149" s="1"/>
      <c r="E149" s="1"/>
      <c r="F149" s="1"/>
      <c r="G149" s="1"/>
      <c r="H149" s="1"/>
      <c r="I149" s="1"/>
      <c r="J149" s="1"/>
      <c r="K149" s="1"/>
    </row>
    <row r="150">
      <c r="D150" s="1"/>
      <c r="E150" s="1"/>
      <c r="F150" s="1"/>
      <c r="G150" s="1"/>
      <c r="H150" s="1"/>
      <c r="I150" s="1"/>
      <c r="J150" s="1"/>
      <c r="K150" s="1"/>
    </row>
    <row r="151">
      <c r="D151" s="1"/>
      <c r="E151" s="1"/>
      <c r="F151" s="1"/>
      <c r="G151" s="1"/>
      <c r="H151" s="1"/>
      <c r="I151" s="1"/>
      <c r="J151" s="1"/>
      <c r="K151" s="1"/>
    </row>
    <row r="152">
      <c r="D152" s="1"/>
      <c r="E152" s="1"/>
      <c r="F152" s="1"/>
      <c r="G152" s="1"/>
      <c r="H152" s="1"/>
      <c r="I152" s="1"/>
      <c r="J152" s="1"/>
      <c r="K152" s="1"/>
    </row>
    <row r="153">
      <c r="D153" s="1"/>
      <c r="E153" s="1"/>
      <c r="F153" s="1"/>
      <c r="G153" s="1"/>
      <c r="H153" s="1"/>
      <c r="I153" s="1"/>
      <c r="J153" s="1"/>
      <c r="K153" s="1"/>
    </row>
    <row r="154">
      <c r="D154" s="1"/>
      <c r="E154" s="1"/>
      <c r="F154" s="1"/>
      <c r="G154" s="1"/>
      <c r="H154" s="1"/>
      <c r="I154" s="1"/>
      <c r="J154" s="1"/>
      <c r="K154" s="1"/>
    </row>
    <row r="155">
      <c r="D155" s="1"/>
      <c r="E155" s="1"/>
      <c r="F155" s="1"/>
      <c r="G155" s="1"/>
      <c r="H155" s="1"/>
      <c r="I155" s="1"/>
      <c r="J155" s="1"/>
      <c r="K155" s="1"/>
    </row>
    <row r="156">
      <c r="D156" s="1"/>
      <c r="E156" s="1"/>
      <c r="F156" s="1"/>
      <c r="G156" s="1"/>
      <c r="H156" s="1"/>
      <c r="I156" s="1"/>
      <c r="J156" s="1"/>
      <c r="K156" s="1"/>
    </row>
    <row r="157">
      <c r="D157" s="1"/>
      <c r="E157" s="1"/>
      <c r="F157" s="1"/>
      <c r="G157" s="1"/>
      <c r="H157" s="1"/>
      <c r="I157" s="1"/>
      <c r="J157" s="1"/>
      <c r="K157" s="1"/>
    </row>
    <row r="158">
      <c r="B158" s="1" t="str">
        <f>IFERROR(__xludf.DUMMYFUNCTION("IMPORTHTML(""https://www.montceaulesmines.fr/centre-nautique"",""table"", 1) "),"")</f>
        <v/>
      </c>
      <c r="C158" s="1" t="str">
        <f>IFERROR(__xludf.DUMMYFUNCTION("""COMPUTED_VALUE"""),"9h – 11h")</f>
        <v>9h – 11h</v>
      </c>
      <c r="D158" s="1" t="str">
        <f>IFERROR(__xludf.DUMMYFUNCTION("""COMPUTED_VALUE"""),"10h – 10h45")</f>
        <v>10h – 10h45</v>
      </c>
      <c r="E158" s="1" t="str">
        <f>IFERROR(__xludf.DUMMYFUNCTION("""COMPUTED_VALUE"""),"11h – 11h45")</f>
        <v>11h – 11h45</v>
      </c>
      <c r="F158" s="1" t="str">
        <f>IFERROR(__xludf.DUMMYFUNCTION("""COMPUTED_VALUE"""),"11h15 – 12h")</f>
        <v>11h15 – 12h</v>
      </c>
      <c r="G158" s="1" t="str">
        <f>IFERROR(__xludf.DUMMYFUNCTION("""COMPUTED_VALUE"""),"12h15 – 13h")</f>
        <v>12h15 – 13h</v>
      </c>
      <c r="H158" s="1" t="str">
        <f>IFERROR(__xludf.DUMMYFUNCTION("""COMPUTED_VALUE"""),"18h – 18h45")</f>
        <v>18h – 18h45</v>
      </c>
    </row>
    <row r="159">
      <c r="B159" s="1" t="str">
        <f>IFERROR(__xludf.DUMMYFUNCTION("""COMPUTED_VALUE"""),"Lundi")</f>
        <v>Lundi</v>
      </c>
      <c r="C159" s="1"/>
      <c r="D159" s="1"/>
      <c r="E159" s="1"/>
      <c r="F159" s="1" t="str">
        <f>IFERROR(__xludf.DUMMYFUNCTION("""COMPUTED_VALUE"""),"Aquagym")</f>
        <v>Aquagym</v>
      </c>
      <c r="G159" s="1" t="str">
        <f>IFERROR(__xludf.DUMMYFUNCTION("""COMPUTED_VALUE"""),"Training")</f>
        <v>Training</v>
      </c>
      <c r="H159" s="1" t="str">
        <f>IFERROR(__xludf.DUMMYFUNCTION("""COMPUTED_VALUE"""),"Aquagym")</f>
        <v>Aquagym</v>
      </c>
    </row>
    <row r="160">
      <c r="B160" s="1" t="str">
        <f>IFERROR(__xludf.DUMMYFUNCTION("""COMPUTED_VALUE"""),"Mardi")</f>
        <v>Mardi</v>
      </c>
      <c r="C160" s="1"/>
      <c r="D160" s="1"/>
      <c r="E160" s="1"/>
      <c r="F160" s="1"/>
      <c r="G160" s="1" t="str">
        <f>IFERROR(__xludf.DUMMYFUNCTION("""COMPUTED_VALUE"""),"Aquabike")</f>
        <v>Aquabike</v>
      </c>
      <c r="H160" s="1" t="str">
        <f>IFERROR(__xludf.DUMMYFUNCTION("""COMPUTED_VALUE"""),"Aquafitness")</f>
        <v>Aquafitness</v>
      </c>
    </row>
    <row r="161">
      <c r="B161" s="1" t="str">
        <f>IFERROR(__xludf.DUMMYFUNCTION("""COMPUTED_VALUE"""),"Mercredi")</f>
        <v>Mercredi</v>
      </c>
      <c r="C161" s="1"/>
      <c r="D161" s="1"/>
      <c r="E161" s="1"/>
      <c r="F161" s="1" t="str">
        <f>IFERROR(__xludf.DUMMYFUNCTION("""COMPUTED_VALUE"""),"Aquagym")</f>
        <v>Aquagym</v>
      </c>
      <c r="G161" s="1" t="str">
        <f>IFERROR(__xludf.DUMMYFUNCTION("""COMPUTED_VALUE"""),"Aquagym")</f>
        <v>Aquagym</v>
      </c>
      <c r="H161" s="1"/>
    </row>
    <row r="162">
      <c r="B162" s="1" t="str">
        <f>IFERROR(__xludf.DUMMYFUNCTION("""COMPUTED_VALUE"""),"Jeudi")</f>
        <v>Jeudi</v>
      </c>
      <c r="C162" s="1"/>
      <c r="D162" s="1"/>
      <c r="E162" s="1"/>
      <c r="F162" s="1" t="str">
        <f>IFERROR(__xludf.DUMMYFUNCTION("""COMPUTED_VALUE"""),"Aquagym")</f>
        <v>Aquagym</v>
      </c>
      <c r="G162" s="1" t="str">
        <f>IFERROR(__xludf.DUMMYFUNCTION("""COMPUTED_VALUE"""),"Aquagym")</f>
        <v>Aquagym</v>
      </c>
      <c r="H162" s="1" t="str">
        <f>IFERROR(__xludf.DUMMYFUNCTION("""COMPUTED_VALUE"""),"Aquabike")</f>
        <v>Aquabike</v>
      </c>
    </row>
    <row r="163">
      <c r="B163" s="1" t="str">
        <f>IFERROR(__xludf.DUMMYFUNCTION("""COMPUTED_VALUE"""),"Vendredi")</f>
        <v>Vendredi</v>
      </c>
      <c r="C163" s="1"/>
      <c r="D163" s="1"/>
      <c r="E163" s="1"/>
      <c r="F163" s="1" t="str">
        <f>IFERROR(__xludf.DUMMYFUNCTION("""COMPUTED_VALUE"""),"Aquagym")</f>
        <v>Aquagym</v>
      </c>
      <c r="G163" s="1" t="str">
        <f>IFERROR(__xludf.DUMMYFUNCTION("""COMPUTED_VALUE"""),"Aquabike")</f>
        <v>Aquabike</v>
      </c>
      <c r="H163" s="1" t="str">
        <f>IFERROR(__xludf.DUMMYFUNCTION("""COMPUTED_VALUE"""),"Aquagym")</f>
        <v>Aquagym</v>
      </c>
    </row>
    <row r="164">
      <c r="B164" s="1" t="str">
        <f>IFERROR(__xludf.DUMMYFUNCTION("""COMPUTED_VALUE"""),"Samedi")</f>
        <v>Samedi</v>
      </c>
      <c r="C164" s="1" t="str">
        <f>IFERROR(__xludf.DUMMYFUNCTION("""COMPUTED_VALUE"""),"Aquabébé")</f>
        <v>Aquabébé</v>
      </c>
      <c r="D164" s="1" t="str">
        <f>IFERROR(__xludf.DUMMYFUNCTION("""COMPUTED_VALUE"""),"Aquafitness")</f>
        <v>Aquafitness</v>
      </c>
      <c r="E164" s="1" t="str">
        <f>IFERROR(__xludf.DUMMYFUNCTION("""COMPUTED_VALUE"""),"Aquagym")</f>
        <v>Aquagym</v>
      </c>
      <c r="F164" s="1"/>
      <c r="G164" s="1"/>
      <c r="H164" s="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 (IMPORTHTML(""https://mobile.interieur.gouv.fr/Elections/Les-resultats/Presidentielles/elecresult__presidentielle-2022/(path)/presidentielle-2022/053/035/index.html"", ""table""))"),"#N/A")</f>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88"/>
  </cols>
  <sheetData>
    <row r="1">
      <c r="A1" s="1" t="str">
        <f>IFERROR(__xludf.DUMMYFUNCTION("IMPORTHTML(""https://fr.wikipedia.org/wiki/Coupe_du_monde_de_football"",""table"")"),"Édition")</f>
        <v>Édition</v>
      </c>
      <c r="B1" s="1" t="str">
        <f>IFERROR(__xludf.DUMMYFUNCTION("""COMPUTED_VALUE"""),"Année")</f>
        <v>Année</v>
      </c>
      <c r="C1" s="1" t="str">
        <f>IFERROR(__xludf.DUMMYFUNCTION("""COMPUTED_VALUE"""),"Vainqueur")</f>
        <v>Vainqueur</v>
      </c>
      <c r="D1" s="1" t="str">
        <f>IFERROR(__xludf.DUMMYFUNCTION("""COMPUTED_VALUE"""),"Score")</f>
        <v>Score</v>
      </c>
      <c r="E1" s="1" t="str">
        <f>IFERROR(__xludf.DUMMYFUNCTION("""COMPUTED_VALUE"""),"Finaliste")</f>
        <v>Finaliste</v>
      </c>
      <c r="F1" s="1" t="str">
        <f>IFERROR(__xludf.DUMMYFUNCTION("""COMPUTED_VALUE"""),"Troisième")</f>
        <v>Troisième</v>
      </c>
    </row>
    <row r="2">
      <c r="A2" s="1" t="str">
        <f>IFERROR(__xludf.DUMMYFUNCTION("""COMPUTED_VALUE"""),"1re")</f>
        <v>1re</v>
      </c>
      <c r="B2" s="1">
        <f>IFERROR(__xludf.DUMMYFUNCTION("""COMPUTED_VALUE"""),1930.0)</f>
        <v>1930</v>
      </c>
      <c r="C2" s="1" t="str">
        <f>IFERROR(__xludf.DUMMYFUNCTION("""COMPUTED_VALUE"""),"*Uruguay*(1)")</f>
        <v>*Uruguay*(1)</v>
      </c>
      <c r="D2" s="1" t="str">
        <f>IFERROR(__xludf.DUMMYFUNCTION("""COMPUTED_VALUE"""),"4 - 2")</f>
        <v>4 - 2</v>
      </c>
      <c r="E2" s="1" t="str">
        <f>IFERROR(__xludf.DUMMYFUNCTION("""COMPUTED_VALUE"""),"Argentine")</f>
        <v>Argentine</v>
      </c>
      <c r="F2" s="1" t="str">
        <f>IFERROR(__xludf.DUMMYFUNCTION("""COMPUTED_VALUE"""),"États-Unis[70]")</f>
        <v>États-Unis[70]</v>
      </c>
      <c r="K2" s="1" t="str">
        <f>IFERROR(__xludf.DUMMYFUNCTION("IMPORTHTML(""https://fr.wikipedia.org/wiki/Coupe_du_monde_de_football"",""table"")"),"Édition")</f>
        <v>Édition</v>
      </c>
      <c r="L2" s="1" t="str">
        <f>IFERROR(__xludf.DUMMYFUNCTION("""COMPUTED_VALUE"""),"Année")</f>
        <v>Année</v>
      </c>
      <c r="M2" s="1" t="str">
        <f>IFERROR(__xludf.DUMMYFUNCTION("""COMPUTED_VALUE"""),"Vainqueur")</f>
        <v>Vainqueur</v>
      </c>
      <c r="N2" s="1" t="str">
        <f>IFERROR(__xludf.DUMMYFUNCTION("""COMPUTED_VALUE"""),"Score")</f>
        <v>Score</v>
      </c>
      <c r="O2" s="1" t="str">
        <f>IFERROR(__xludf.DUMMYFUNCTION("""COMPUTED_VALUE"""),"Finaliste")</f>
        <v>Finaliste</v>
      </c>
      <c r="P2" s="1" t="str">
        <f>IFERROR(__xludf.DUMMYFUNCTION("""COMPUTED_VALUE"""),"Troisième")</f>
        <v>Troisième</v>
      </c>
    </row>
    <row r="3">
      <c r="A3" s="1" t="str">
        <f>IFERROR(__xludf.DUMMYFUNCTION("""COMPUTED_VALUE"""),"2e")</f>
        <v>2e</v>
      </c>
      <c r="B3" s="1">
        <f>IFERROR(__xludf.DUMMYFUNCTION("""COMPUTED_VALUE"""),1934.0)</f>
        <v>1934</v>
      </c>
      <c r="C3" s="1" t="str">
        <f>IFERROR(__xludf.DUMMYFUNCTION("""COMPUTED_VALUE"""),"*Italie*(1)")</f>
        <v>*Italie*(1)</v>
      </c>
      <c r="D3" s="1" t="str">
        <f>IFERROR(__xludf.DUMMYFUNCTION("""COMPUTED_VALUE"""),"2 - 1 (ap)")</f>
        <v>2 - 1 (ap)</v>
      </c>
      <c r="E3" s="1" t="str">
        <f>IFERROR(__xludf.DUMMYFUNCTION("""COMPUTED_VALUE"""),"Tchécoslovaquie")</f>
        <v>Tchécoslovaquie</v>
      </c>
      <c r="F3" s="1" t="str">
        <f>IFERROR(__xludf.DUMMYFUNCTION("""COMPUTED_VALUE"""),"Allemagne[d],[5]")</f>
        <v>Allemagne[d],[5]</v>
      </c>
      <c r="K3" s="1" t="str">
        <f>IFERROR(__xludf.DUMMYFUNCTION("""COMPUTED_VALUE"""),"1re")</f>
        <v>1re</v>
      </c>
      <c r="L3" s="1">
        <f>IFERROR(__xludf.DUMMYFUNCTION("""COMPUTED_VALUE"""),1930.0)</f>
        <v>1930</v>
      </c>
      <c r="M3" s="1" t="str">
        <f>IFERROR(__xludf.DUMMYFUNCTION("""COMPUTED_VALUE"""),"*Uruguay*(1)")</f>
        <v>*Uruguay*(1)</v>
      </c>
      <c r="N3" s="1" t="str">
        <f>IFERROR(__xludf.DUMMYFUNCTION("""COMPUTED_VALUE"""),"4 - 2")</f>
        <v>4 - 2</v>
      </c>
      <c r="O3" s="1" t="str">
        <f>IFERROR(__xludf.DUMMYFUNCTION("""COMPUTED_VALUE"""),"Argentine")</f>
        <v>Argentine</v>
      </c>
      <c r="P3" s="1" t="str">
        <f>IFERROR(__xludf.DUMMYFUNCTION("""COMPUTED_VALUE"""),"États-Unis[70]")</f>
        <v>États-Unis[70]</v>
      </c>
    </row>
    <row r="4">
      <c r="A4" s="1" t="str">
        <f>IFERROR(__xludf.DUMMYFUNCTION("""COMPUTED_VALUE"""),"3e")</f>
        <v>3e</v>
      </c>
      <c r="B4" s="1">
        <f>IFERROR(__xludf.DUMMYFUNCTION("""COMPUTED_VALUE"""),1938.0)</f>
        <v>1938</v>
      </c>
      <c r="C4" s="1" t="str">
        <f>IFERROR(__xludf.DUMMYFUNCTION("""COMPUTED_VALUE"""),"*Italie*(2)")</f>
        <v>*Italie*(2)</v>
      </c>
      <c r="D4" s="1" t="str">
        <f>IFERROR(__xludf.DUMMYFUNCTION("""COMPUTED_VALUE"""),"4 - 2")</f>
        <v>4 - 2</v>
      </c>
      <c r="E4" s="1" t="str">
        <f>IFERROR(__xludf.DUMMYFUNCTION("""COMPUTED_VALUE"""),"Hongrie")</f>
        <v>Hongrie</v>
      </c>
      <c r="F4" s="1" t="str">
        <f>IFERROR(__xludf.DUMMYFUNCTION("""COMPUTED_VALUE"""),"Brésil")</f>
        <v>Brésil</v>
      </c>
      <c r="K4" s="1" t="str">
        <f>IFERROR(__xludf.DUMMYFUNCTION("""COMPUTED_VALUE"""),"2e")</f>
        <v>2e</v>
      </c>
      <c r="L4" s="1">
        <f>IFERROR(__xludf.DUMMYFUNCTION("""COMPUTED_VALUE"""),1934.0)</f>
        <v>1934</v>
      </c>
      <c r="M4" s="1" t="str">
        <f>IFERROR(__xludf.DUMMYFUNCTION("""COMPUTED_VALUE"""),"*Italie*(1)")</f>
        <v>*Italie*(1)</v>
      </c>
      <c r="N4" s="1" t="str">
        <f>IFERROR(__xludf.DUMMYFUNCTION("""COMPUTED_VALUE"""),"2 - 1 (ap)")</f>
        <v>2 - 1 (ap)</v>
      </c>
      <c r="O4" s="1" t="str">
        <f>IFERROR(__xludf.DUMMYFUNCTION("""COMPUTED_VALUE"""),"Tchécoslovaquie")</f>
        <v>Tchécoslovaquie</v>
      </c>
      <c r="P4" s="1" t="str">
        <f>IFERROR(__xludf.DUMMYFUNCTION("""COMPUTED_VALUE"""),"Allemagne[d],[5]")</f>
        <v>Allemagne[d],[5]</v>
      </c>
    </row>
    <row r="5">
      <c r="A5" s="1" t="str">
        <f>IFERROR(__xludf.DUMMYFUNCTION("""COMPUTED_VALUE"""),"4e")</f>
        <v>4e</v>
      </c>
      <c r="B5" s="1">
        <f>IFERROR(__xludf.DUMMYFUNCTION("""COMPUTED_VALUE"""),1950.0)</f>
        <v>1950</v>
      </c>
      <c r="C5" s="1" t="str">
        <f>IFERROR(__xludf.DUMMYFUNCTION("""COMPUTED_VALUE"""),"*Uruguay*(2)")</f>
        <v>*Uruguay*(2)</v>
      </c>
      <c r="D5" s="1" t="str">
        <f>IFERROR(__xludf.DUMMYFUNCTION("""COMPUTED_VALUE"""),"2 - 1[e]")</f>
        <v>2 - 1[e]</v>
      </c>
      <c r="E5" s="1" t="str">
        <f>IFERROR(__xludf.DUMMYFUNCTION("""COMPUTED_VALUE"""),"Brésil")</f>
        <v>Brésil</v>
      </c>
      <c r="F5" s="1" t="str">
        <f>IFERROR(__xludf.DUMMYFUNCTION("""COMPUTED_VALUE"""),"Suède")</f>
        <v>Suède</v>
      </c>
      <c r="K5" s="1" t="str">
        <f>IFERROR(__xludf.DUMMYFUNCTION("""COMPUTED_VALUE"""),"3e")</f>
        <v>3e</v>
      </c>
      <c r="L5" s="1">
        <f>IFERROR(__xludf.DUMMYFUNCTION("""COMPUTED_VALUE"""),1938.0)</f>
        <v>1938</v>
      </c>
      <c r="M5" s="1" t="str">
        <f>IFERROR(__xludf.DUMMYFUNCTION("""COMPUTED_VALUE"""),"*Italie*(2)")</f>
        <v>*Italie*(2)</v>
      </c>
      <c r="N5" s="1" t="str">
        <f>IFERROR(__xludf.DUMMYFUNCTION("""COMPUTED_VALUE"""),"4 - 2")</f>
        <v>4 - 2</v>
      </c>
      <c r="O5" s="1" t="str">
        <f>IFERROR(__xludf.DUMMYFUNCTION("""COMPUTED_VALUE"""),"Hongrie")</f>
        <v>Hongrie</v>
      </c>
      <c r="P5" s="1" t="str">
        <f>IFERROR(__xludf.DUMMYFUNCTION("""COMPUTED_VALUE"""),"Brésil")</f>
        <v>Brésil</v>
      </c>
    </row>
    <row r="6">
      <c r="A6" s="1" t="str">
        <f>IFERROR(__xludf.DUMMYFUNCTION("""COMPUTED_VALUE"""),"5e")</f>
        <v>5e</v>
      </c>
      <c r="B6" s="1">
        <f>IFERROR(__xludf.DUMMYFUNCTION("""COMPUTED_VALUE"""),1954.0)</f>
        <v>1954</v>
      </c>
      <c r="C6" s="1" t="str">
        <f>IFERROR(__xludf.DUMMYFUNCTION("""COMPUTED_VALUE"""),"*Allemagne de l'Ouest*(1)")</f>
        <v>*Allemagne de l'Ouest*(1)</v>
      </c>
      <c r="D6" s="1" t="str">
        <f>IFERROR(__xludf.DUMMYFUNCTION("""COMPUTED_VALUE"""),"3 - 2")</f>
        <v>3 - 2</v>
      </c>
      <c r="E6" s="1" t="str">
        <f>IFERROR(__xludf.DUMMYFUNCTION("""COMPUTED_VALUE"""),"Hongrie")</f>
        <v>Hongrie</v>
      </c>
      <c r="F6" s="1" t="str">
        <f>IFERROR(__xludf.DUMMYFUNCTION("""COMPUTED_VALUE"""),"Autriche")</f>
        <v>Autriche</v>
      </c>
      <c r="K6" s="1" t="str">
        <f>IFERROR(__xludf.DUMMYFUNCTION("""COMPUTED_VALUE"""),"4e")</f>
        <v>4e</v>
      </c>
      <c r="L6" s="1">
        <f>IFERROR(__xludf.DUMMYFUNCTION("""COMPUTED_VALUE"""),1950.0)</f>
        <v>1950</v>
      </c>
      <c r="M6" s="1" t="str">
        <f>IFERROR(__xludf.DUMMYFUNCTION("""COMPUTED_VALUE"""),"*Uruguay*(2)")</f>
        <v>*Uruguay*(2)</v>
      </c>
      <c r="N6" s="1" t="str">
        <f>IFERROR(__xludf.DUMMYFUNCTION("""COMPUTED_VALUE"""),"2 - 1[e]")</f>
        <v>2 - 1[e]</v>
      </c>
      <c r="O6" s="1" t="str">
        <f>IFERROR(__xludf.DUMMYFUNCTION("""COMPUTED_VALUE"""),"Brésil")</f>
        <v>Brésil</v>
      </c>
      <c r="P6" s="1" t="str">
        <f>IFERROR(__xludf.DUMMYFUNCTION("""COMPUTED_VALUE"""),"Suède")</f>
        <v>Suède</v>
      </c>
    </row>
    <row r="7">
      <c r="A7" s="1" t="str">
        <f>IFERROR(__xludf.DUMMYFUNCTION("""COMPUTED_VALUE"""),"6e")</f>
        <v>6e</v>
      </c>
      <c r="B7" s="1">
        <f>IFERROR(__xludf.DUMMYFUNCTION("""COMPUTED_VALUE"""),1958.0)</f>
        <v>1958</v>
      </c>
      <c r="C7" s="1" t="str">
        <f>IFERROR(__xludf.DUMMYFUNCTION("""COMPUTED_VALUE"""),"*Brésil*(1)")</f>
        <v>*Brésil*(1)</v>
      </c>
      <c r="D7" s="1" t="str">
        <f>IFERROR(__xludf.DUMMYFUNCTION("""COMPUTED_VALUE"""),"5 - 2")</f>
        <v>5 - 2</v>
      </c>
      <c r="E7" s="1" t="str">
        <f>IFERROR(__xludf.DUMMYFUNCTION("""COMPUTED_VALUE"""),"Suède")</f>
        <v>Suède</v>
      </c>
      <c r="F7" s="1" t="str">
        <f>IFERROR(__xludf.DUMMYFUNCTION("""COMPUTED_VALUE"""),"France")</f>
        <v>France</v>
      </c>
      <c r="K7" s="1" t="str">
        <f>IFERROR(__xludf.DUMMYFUNCTION("""COMPUTED_VALUE"""),"5e")</f>
        <v>5e</v>
      </c>
      <c r="L7" s="1">
        <f>IFERROR(__xludf.DUMMYFUNCTION("""COMPUTED_VALUE"""),1954.0)</f>
        <v>1954</v>
      </c>
      <c r="M7" s="1" t="str">
        <f>IFERROR(__xludf.DUMMYFUNCTION("""COMPUTED_VALUE"""),"*Allemagne de l'Ouest*(1)")</f>
        <v>*Allemagne de l'Ouest*(1)</v>
      </c>
      <c r="N7" s="1" t="str">
        <f>IFERROR(__xludf.DUMMYFUNCTION("""COMPUTED_VALUE"""),"3 - 2")</f>
        <v>3 - 2</v>
      </c>
      <c r="O7" s="1" t="str">
        <f>IFERROR(__xludf.DUMMYFUNCTION("""COMPUTED_VALUE"""),"Hongrie")</f>
        <v>Hongrie</v>
      </c>
      <c r="P7" s="1" t="str">
        <f>IFERROR(__xludf.DUMMYFUNCTION("""COMPUTED_VALUE"""),"Autriche")</f>
        <v>Autriche</v>
      </c>
    </row>
    <row r="8">
      <c r="A8" s="1" t="str">
        <f>IFERROR(__xludf.DUMMYFUNCTION("""COMPUTED_VALUE"""),"7e")</f>
        <v>7e</v>
      </c>
      <c r="B8" s="1">
        <f>IFERROR(__xludf.DUMMYFUNCTION("""COMPUTED_VALUE"""),1962.0)</f>
        <v>1962</v>
      </c>
      <c r="C8" s="1" t="str">
        <f>IFERROR(__xludf.DUMMYFUNCTION("""COMPUTED_VALUE"""),"*Brésil*(2)")</f>
        <v>*Brésil*(2)</v>
      </c>
      <c r="D8" s="1" t="str">
        <f>IFERROR(__xludf.DUMMYFUNCTION("""COMPUTED_VALUE"""),"3 - 1")</f>
        <v>3 - 1</v>
      </c>
      <c r="E8" s="1" t="str">
        <f>IFERROR(__xludf.DUMMYFUNCTION("""COMPUTED_VALUE"""),"Tchécoslovaquie")</f>
        <v>Tchécoslovaquie</v>
      </c>
      <c r="F8" s="1" t="str">
        <f>IFERROR(__xludf.DUMMYFUNCTION("""COMPUTED_VALUE"""),"Chili")</f>
        <v>Chili</v>
      </c>
      <c r="K8" s="1" t="str">
        <f>IFERROR(__xludf.DUMMYFUNCTION("""COMPUTED_VALUE"""),"6e")</f>
        <v>6e</v>
      </c>
      <c r="L8" s="1">
        <f>IFERROR(__xludf.DUMMYFUNCTION("""COMPUTED_VALUE"""),1958.0)</f>
        <v>1958</v>
      </c>
      <c r="M8" s="1" t="str">
        <f>IFERROR(__xludf.DUMMYFUNCTION("""COMPUTED_VALUE"""),"*Brésil*(1)")</f>
        <v>*Brésil*(1)</v>
      </c>
      <c r="N8" s="1" t="str">
        <f>IFERROR(__xludf.DUMMYFUNCTION("""COMPUTED_VALUE"""),"5 - 2")</f>
        <v>5 - 2</v>
      </c>
      <c r="O8" s="1" t="str">
        <f>IFERROR(__xludf.DUMMYFUNCTION("""COMPUTED_VALUE"""),"Suède")</f>
        <v>Suède</v>
      </c>
      <c r="P8" s="1" t="str">
        <f>IFERROR(__xludf.DUMMYFUNCTION("""COMPUTED_VALUE"""),"France")</f>
        <v>France</v>
      </c>
    </row>
    <row r="9">
      <c r="A9" s="1" t="str">
        <f>IFERROR(__xludf.DUMMYFUNCTION("""COMPUTED_VALUE"""),"8e")</f>
        <v>8e</v>
      </c>
      <c r="B9" s="1">
        <f>IFERROR(__xludf.DUMMYFUNCTION("""COMPUTED_VALUE"""),1966.0)</f>
        <v>1966</v>
      </c>
      <c r="C9" s="1" t="str">
        <f>IFERROR(__xludf.DUMMYFUNCTION("""COMPUTED_VALUE"""),"*Angleterre*(1)")</f>
        <v>*Angleterre*(1)</v>
      </c>
      <c r="D9" s="1" t="str">
        <f>IFERROR(__xludf.DUMMYFUNCTION("""COMPUTED_VALUE"""),"4 - 2 (ap)")</f>
        <v>4 - 2 (ap)</v>
      </c>
      <c r="E9" s="1" t="str">
        <f>IFERROR(__xludf.DUMMYFUNCTION("""COMPUTED_VALUE"""),"Allemagne de l'Ouest")</f>
        <v>Allemagne de l'Ouest</v>
      </c>
      <c r="F9" s="1" t="str">
        <f>IFERROR(__xludf.DUMMYFUNCTION("""COMPUTED_VALUE"""),"Portugal")</f>
        <v>Portugal</v>
      </c>
      <c r="K9" s="1" t="str">
        <f>IFERROR(__xludf.DUMMYFUNCTION("""COMPUTED_VALUE"""),"7e")</f>
        <v>7e</v>
      </c>
      <c r="L9" s="1">
        <f>IFERROR(__xludf.DUMMYFUNCTION("""COMPUTED_VALUE"""),1962.0)</f>
        <v>1962</v>
      </c>
      <c r="M9" s="1" t="str">
        <f>IFERROR(__xludf.DUMMYFUNCTION("""COMPUTED_VALUE"""),"*Brésil*(2)")</f>
        <v>*Brésil*(2)</v>
      </c>
      <c r="N9" s="1" t="str">
        <f>IFERROR(__xludf.DUMMYFUNCTION("""COMPUTED_VALUE"""),"3 - 1")</f>
        <v>3 - 1</v>
      </c>
      <c r="O9" s="1" t="str">
        <f>IFERROR(__xludf.DUMMYFUNCTION("""COMPUTED_VALUE"""),"Tchécoslovaquie")</f>
        <v>Tchécoslovaquie</v>
      </c>
      <c r="P9" s="1" t="str">
        <f>IFERROR(__xludf.DUMMYFUNCTION("""COMPUTED_VALUE"""),"Chili")</f>
        <v>Chili</v>
      </c>
    </row>
    <row r="10">
      <c r="A10" s="1" t="str">
        <f>IFERROR(__xludf.DUMMYFUNCTION("""COMPUTED_VALUE"""),"9e")</f>
        <v>9e</v>
      </c>
      <c r="B10" s="1">
        <f>IFERROR(__xludf.DUMMYFUNCTION("""COMPUTED_VALUE"""),1970.0)</f>
        <v>1970</v>
      </c>
      <c r="C10" s="1" t="str">
        <f>IFERROR(__xludf.DUMMYFUNCTION("""COMPUTED_VALUE"""),"*Brésil*(3)")</f>
        <v>*Brésil*(3)</v>
      </c>
      <c r="D10" s="1" t="str">
        <f>IFERROR(__xludf.DUMMYFUNCTION("""COMPUTED_VALUE"""),"4 - 1")</f>
        <v>4 - 1</v>
      </c>
      <c r="E10" s="1" t="str">
        <f>IFERROR(__xludf.DUMMYFUNCTION("""COMPUTED_VALUE"""),"Italie")</f>
        <v>Italie</v>
      </c>
      <c r="F10" s="1" t="str">
        <f>IFERROR(__xludf.DUMMYFUNCTION("""COMPUTED_VALUE"""),"Allemagne de l'Ouest")</f>
        <v>Allemagne de l'Ouest</v>
      </c>
      <c r="K10" s="1" t="str">
        <f>IFERROR(__xludf.DUMMYFUNCTION("""COMPUTED_VALUE"""),"8e")</f>
        <v>8e</v>
      </c>
      <c r="L10" s="1">
        <f>IFERROR(__xludf.DUMMYFUNCTION("""COMPUTED_VALUE"""),1966.0)</f>
        <v>1966</v>
      </c>
      <c r="M10" s="1" t="str">
        <f>IFERROR(__xludf.DUMMYFUNCTION("""COMPUTED_VALUE"""),"*Angleterre*(1)")</f>
        <v>*Angleterre*(1)</v>
      </c>
      <c r="N10" s="1" t="str">
        <f>IFERROR(__xludf.DUMMYFUNCTION("""COMPUTED_VALUE"""),"4 - 2 (ap)")</f>
        <v>4 - 2 (ap)</v>
      </c>
      <c r="O10" s="1" t="str">
        <f>IFERROR(__xludf.DUMMYFUNCTION("""COMPUTED_VALUE"""),"Allemagne de l'Ouest")</f>
        <v>Allemagne de l'Ouest</v>
      </c>
      <c r="P10" s="1" t="str">
        <f>IFERROR(__xludf.DUMMYFUNCTION("""COMPUTED_VALUE"""),"Portugal")</f>
        <v>Portugal</v>
      </c>
    </row>
    <row r="11">
      <c r="A11" s="1" t="str">
        <f>IFERROR(__xludf.DUMMYFUNCTION("""COMPUTED_VALUE"""),"10e")</f>
        <v>10e</v>
      </c>
      <c r="B11" s="1">
        <f>IFERROR(__xludf.DUMMYFUNCTION("""COMPUTED_VALUE"""),1974.0)</f>
        <v>1974</v>
      </c>
      <c r="C11" s="1" t="str">
        <f>IFERROR(__xludf.DUMMYFUNCTION("""COMPUTED_VALUE"""),"*Allemagne de l'Ouest*(2)")</f>
        <v>*Allemagne de l'Ouest*(2)</v>
      </c>
      <c r="D11" s="1" t="str">
        <f>IFERROR(__xludf.DUMMYFUNCTION("""COMPUTED_VALUE"""),"2 - 1")</f>
        <v>2 - 1</v>
      </c>
      <c r="E11" s="1" t="str">
        <f>IFERROR(__xludf.DUMMYFUNCTION("""COMPUTED_VALUE"""),"Pays-Bas")</f>
        <v>Pays-Bas</v>
      </c>
      <c r="F11" s="1" t="str">
        <f>IFERROR(__xludf.DUMMYFUNCTION("""COMPUTED_VALUE"""),"Pologne")</f>
        <v>Pologne</v>
      </c>
      <c r="K11" s="1" t="str">
        <f>IFERROR(__xludf.DUMMYFUNCTION("""COMPUTED_VALUE"""),"9e")</f>
        <v>9e</v>
      </c>
      <c r="L11" s="1">
        <f>IFERROR(__xludf.DUMMYFUNCTION("""COMPUTED_VALUE"""),1970.0)</f>
        <v>1970</v>
      </c>
      <c r="M11" s="1" t="str">
        <f>IFERROR(__xludf.DUMMYFUNCTION("""COMPUTED_VALUE"""),"*Brésil*(3)")</f>
        <v>*Brésil*(3)</v>
      </c>
      <c r="N11" s="1" t="str">
        <f>IFERROR(__xludf.DUMMYFUNCTION("""COMPUTED_VALUE"""),"4 - 1")</f>
        <v>4 - 1</v>
      </c>
      <c r="O11" s="1" t="str">
        <f>IFERROR(__xludf.DUMMYFUNCTION("""COMPUTED_VALUE"""),"Italie")</f>
        <v>Italie</v>
      </c>
      <c r="P11" s="1" t="str">
        <f>IFERROR(__xludf.DUMMYFUNCTION("""COMPUTED_VALUE"""),"Allemagne de l'Ouest")</f>
        <v>Allemagne de l'Ouest</v>
      </c>
    </row>
    <row r="12">
      <c r="A12" s="1" t="str">
        <f>IFERROR(__xludf.DUMMYFUNCTION("""COMPUTED_VALUE"""),"11e")</f>
        <v>11e</v>
      </c>
      <c r="B12" s="1">
        <f>IFERROR(__xludf.DUMMYFUNCTION("""COMPUTED_VALUE"""),1978.0)</f>
        <v>1978</v>
      </c>
      <c r="C12" s="1" t="str">
        <f>IFERROR(__xludf.DUMMYFUNCTION("""COMPUTED_VALUE"""),"*Argentine*(1)")</f>
        <v>*Argentine*(1)</v>
      </c>
      <c r="D12" s="1" t="str">
        <f>IFERROR(__xludf.DUMMYFUNCTION("""COMPUTED_VALUE"""),"3 - 1 (ap)")</f>
        <v>3 - 1 (ap)</v>
      </c>
      <c r="E12" s="1" t="str">
        <f>IFERROR(__xludf.DUMMYFUNCTION("""COMPUTED_VALUE"""),"Pays-Bas")</f>
        <v>Pays-Bas</v>
      </c>
      <c r="F12" s="1" t="str">
        <f>IFERROR(__xludf.DUMMYFUNCTION("""COMPUTED_VALUE"""),"Brésil")</f>
        <v>Brésil</v>
      </c>
      <c r="K12" s="1" t="str">
        <f>IFERROR(__xludf.DUMMYFUNCTION("""COMPUTED_VALUE"""),"10e")</f>
        <v>10e</v>
      </c>
      <c r="L12" s="1">
        <f>IFERROR(__xludf.DUMMYFUNCTION("""COMPUTED_VALUE"""),1974.0)</f>
        <v>1974</v>
      </c>
      <c r="M12" s="1" t="str">
        <f>IFERROR(__xludf.DUMMYFUNCTION("""COMPUTED_VALUE"""),"*Allemagne de l'Ouest*(2)")</f>
        <v>*Allemagne de l'Ouest*(2)</v>
      </c>
      <c r="N12" s="1" t="str">
        <f>IFERROR(__xludf.DUMMYFUNCTION("""COMPUTED_VALUE"""),"2 - 1")</f>
        <v>2 - 1</v>
      </c>
      <c r="O12" s="1" t="str">
        <f>IFERROR(__xludf.DUMMYFUNCTION("""COMPUTED_VALUE"""),"Pays-Bas")</f>
        <v>Pays-Bas</v>
      </c>
      <c r="P12" s="1" t="str">
        <f>IFERROR(__xludf.DUMMYFUNCTION("""COMPUTED_VALUE"""),"Pologne")</f>
        <v>Pologne</v>
      </c>
    </row>
    <row r="13">
      <c r="A13" s="1" t="str">
        <f>IFERROR(__xludf.DUMMYFUNCTION("""COMPUTED_VALUE"""),"12e")</f>
        <v>12e</v>
      </c>
      <c r="B13" s="1">
        <f>IFERROR(__xludf.DUMMYFUNCTION("""COMPUTED_VALUE"""),1982.0)</f>
        <v>1982</v>
      </c>
      <c r="C13" s="1" t="str">
        <f>IFERROR(__xludf.DUMMYFUNCTION("""COMPUTED_VALUE"""),"*Italie*(3)")</f>
        <v>*Italie*(3)</v>
      </c>
      <c r="D13" s="1" t="str">
        <f>IFERROR(__xludf.DUMMYFUNCTION("""COMPUTED_VALUE"""),"3 - 1")</f>
        <v>3 - 1</v>
      </c>
      <c r="E13" s="1" t="str">
        <f>IFERROR(__xludf.DUMMYFUNCTION("""COMPUTED_VALUE"""),"Allemagne de l'Ouest")</f>
        <v>Allemagne de l'Ouest</v>
      </c>
      <c r="F13" s="1" t="str">
        <f>IFERROR(__xludf.DUMMYFUNCTION("""COMPUTED_VALUE"""),"Pologne")</f>
        <v>Pologne</v>
      </c>
      <c r="K13" s="1" t="str">
        <f>IFERROR(__xludf.DUMMYFUNCTION("""COMPUTED_VALUE"""),"11e")</f>
        <v>11e</v>
      </c>
      <c r="L13" s="1">
        <f>IFERROR(__xludf.DUMMYFUNCTION("""COMPUTED_VALUE"""),1978.0)</f>
        <v>1978</v>
      </c>
      <c r="M13" s="1" t="str">
        <f>IFERROR(__xludf.DUMMYFUNCTION("""COMPUTED_VALUE"""),"*Argentine*(1)")</f>
        <v>*Argentine*(1)</v>
      </c>
      <c r="N13" s="1" t="str">
        <f>IFERROR(__xludf.DUMMYFUNCTION("""COMPUTED_VALUE"""),"3 - 1 (ap)")</f>
        <v>3 - 1 (ap)</v>
      </c>
      <c r="O13" s="1" t="str">
        <f>IFERROR(__xludf.DUMMYFUNCTION("""COMPUTED_VALUE"""),"Pays-Bas")</f>
        <v>Pays-Bas</v>
      </c>
      <c r="P13" s="1" t="str">
        <f>IFERROR(__xludf.DUMMYFUNCTION("""COMPUTED_VALUE"""),"Brésil")</f>
        <v>Brésil</v>
      </c>
    </row>
    <row r="14">
      <c r="A14" s="1" t="str">
        <f>IFERROR(__xludf.DUMMYFUNCTION("""COMPUTED_VALUE"""),"13e")</f>
        <v>13e</v>
      </c>
      <c r="B14" s="1">
        <f>IFERROR(__xludf.DUMMYFUNCTION("""COMPUTED_VALUE"""),1986.0)</f>
        <v>1986</v>
      </c>
      <c r="C14" s="1" t="str">
        <f>IFERROR(__xludf.DUMMYFUNCTION("""COMPUTED_VALUE"""),"*Argentine*(2)")</f>
        <v>*Argentine*(2)</v>
      </c>
      <c r="D14" s="1" t="str">
        <f>IFERROR(__xludf.DUMMYFUNCTION("""COMPUTED_VALUE"""),"3 - 2")</f>
        <v>3 - 2</v>
      </c>
      <c r="E14" s="1" t="str">
        <f>IFERROR(__xludf.DUMMYFUNCTION("""COMPUTED_VALUE"""),"Allemagne de l'Ouest")</f>
        <v>Allemagne de l'Ouest</v>
      </c>
      <c r="F14" s="1" t="str">
        <f>IFERROR(__xludf.DUMMYFUNCTION("""COMPUTED_VALUE"""),"France")</f>
        <v>France</v>
      </c>
      <c r="K14" s="1" t="str">
        <f>IFERROR(__xludf.DUMMYFUNCTION("""COMPUTED_VALUE"""),"12e")</f>
        <v>12e</v>
      </c>
      <c r="L14" s="1">
        <f>IFERROR(__xludf.DUMMYFUNCTION("""COMPUTED_VALUE"""),1982.0)</f>
        <v>1982</v>
      </c>
      <c r="M14" s="1" t="str">
        <f>IFERROR(__xludf.DUMMYFUNCTION("""COMPUTED_VALUE"""),"*Italie*(3)")</f>
        <v>*Italie*(3)</v>
      </c>
      <c r="N14" s="1" t="str">
        <f>IFERROR(__xludf.DUMMYFUNCTION("""COMPUTED_VALUE"""),"3 - 1")</f>
        <v>3 - 1</v>
      </c>
      <c r="O14" s="1" t="str">
        <f>IFERROR(__xludf.DUMMYFUNCTION("""COMPUTED_VALUE"""),"Allemagne de l'Ouest")</f>
        <v>Allemagne de l'Ouest</v>
      </c>
      <c r="P14" s="1" t="str">
        <f>IFERROR(__xludf.DUMMYFUNCTION("""COMPUTED_VALUE"""),"Pologne")</f>
        <v>Pologne</v>
      </c>
    </row>
    <row r="15">
      <c r="A15" s="1" t="str">
        <f>IFERROR(__xludf.DUMMYFUNCTION("""COMPUTED_VALUE"""),"14e")</f>
        <v>14e</v>
      </c>
      <c r="B15" s="1">
        <f>IFERROR(__xludf.DUMMYFUNCTION("""COMPUTED_VALUE"""),1990.0)</f>
        <v>1990</v>
      </c>
      <c r="C15" s="1" t="str">
        <f>IFERROR(__xludf.DUMMYFUNCTION("""COMPUTED_VALUE"""),"*Allemagne de l'Ouest*(3)")</f>
        <v>*Allemagne de l'Ouest*(3)</v>
      </c>
      <c r="D15" s="1" t="str">
        <f>IFERROR(__xludf.DUMMYFUNCTION("""COMPUTED_VALUE"""),"1 - 0")</f>
        <v>1 - 0</v>
      </c>
      <c r="E15" s="1" t="str">
        <f>IFERROR(__xludf.DUMMYFUNCTION("""COMPUTED_VALUE"""),"Argentine")</f>
        <v>Argentine</v>
      </c>
      <c r="F15" s="1" t="str">
        <f>IFERROR(__xludf.DUMMYFUNCTION("""COMPUTED_VALUE"""),"Italie")</f>
        <v>Italie</v>
      </c>
      <c r="K15" s="1" t="str">
        <f>IFERROR(__xludf.DUMMYFUNCTION("""COMPUTED_VALUE"""),"13e")</f>
        <v>13e</v>
      </c>
      <c r="L15" s="1">
        <f>IFERROR(__xludf.DUMMYFUNCTION("""COMPUTED_VALUE"""),1986.0)</f>
        <v>1986</v>
      </c>
      <c r="M15" s="1" t="str">
        <f>IFERROR(__xludf.DUMMYFUNCTION("""COMPUTED_VALUE"""),"*Argentine*(2)")</f>
        <v>*Argentine*(2)</v>
      </c>
      <c r="N15" s="1" t="str">
        <f>IFERROR(__xludf.DUMMYFUNCTION("""COMPUTED_VALUE"""),"3 - 2")</f>
        <v>3 - 2</v>
      </c>
      <c r="O15" s="1" t="str">
        <f>IFERROR(__xludf.DUMMYFUNCTION("""COMPUTED_VALUE"""),"Allemagne de l'Ouest")</f>
        <v>Allemagne de l'Ouest</v>
      </c>
      <c r="P15" s="1" t="str">
        <f>IFERROR(__xludf.DUMMYFUNCTION("""COMPUTED_VALUE"""),"France")</f>
        <v>France</v>
      </c>
    </row>
    <row r="16">
      <c r="A16" s="1" t="str">
        <f>IFERROR(__xludf.DUMMYFUNCTION("""COMPUTED_VALUE"""),"15e")</f>
        <v>15e</v>
      </c>
      <c r="B16" s="1">
        <f>IFERROR(__xludf.DUMMYFUNCTION("""COMPUTED_VALUE"""),1994.0)</f>
        <v>1994</v>
      </c>
      <c r="C16" s="1" t="str">
        <f>IFERROR(__xludf.DUMMYFUNCTION("""COMPUTED_VALUE"""),"*Brésil*(4)")</f>
        <v>*Brésil*(4)</v>
      </c>
      <c r="D16" s="1" t="str">
        <f>IFERROR(__xludf.DUMMYFUNCTION("""COMPUTED_VALUE"""),"0 - 0 (ap)
(3-2 tab)")</f>
        <v>0 - 0 (ap)
(3-2 tab)</v>
      </c>
      <c r="E16" s="1" t="str">
        <f>IFERROR(__xludf.DUMMYFUNCTION("""COMPUTED_VALUE"""),"Italie")</f>
        <v>Italie</v>
      </c>
      <c r="F16" s="1" t="str">
        <f>IFERROR(__xludf.DUMMYFUNCTION("""COMPUTED_VALUE"""),"Suède")</f>
        <v>Suède</v>
      </c>
      <c r="K16" s="1" t="str">
        <f>IFERROR(__xludf.DUMMYFUNCTION("""COMPUTED_VALUE"""),"14e")</f>
        <v>14e</v>
      </c>
      <c r="L16" s="1">
        <f>IFERROR(__xludf.DUMMYFUNCTION("""COMPUTED_VALUE"""),1990.0)</f>
        <v>1990</v>
      </c>
      <c r="M16" s="1" t="str">
        <f>IFERROR(__xludf.DUMMYFUNCTION("""COMPUTED_VALUE"""),"*Allemagne de l'Ouest*(3)")</f>
        <v>*Allemagne de l'Ouest*(3)</v>
      </c>
      <c r="N16" s="1" t="str">
        <f>IFERROR(__xludf.DUMMYFUNCTION("""COMPUTED_VALUE"""),"1 - 0")</f>
        <v>1 - 0</v>
      </c>
      <c r="O16" s="1" t="str">
        <f>IFERROR(__xludf.DUMMYFUNCTION("""COMPUTED_VALUE"""),"Argentine")</f>
        <v>Argentine</v>
      </c>
      <c r="P16" s="1" t="str">
        <f>IFERROR(__xludf.DUMMYFUNCTION("""COMPUTED_VALUE"""),"Italie")</f>
        <v>Italie</v>
      </c>
    </row>
    <row r="17">
      <c r="A17" s="1" t="str">
        <f>IFERROR(__xludf.DUMMYFUNCTION("""COMPUTED_VALUE"""),"16e")</f>
        <v>16e</v>
      </c>
      <c r="B17" s="1">
        <f>IFERROR(__xludf.DUMMYFUNCTION("""COMPUTED_VALUE"""),1998.0)</f>
        <v>1998</v>
      </c>
      <c r="C17" s="1" t="str">
        <f>IFERROR(__xludf.DUMMYFUNCTION("""COMPUTED_VALUE"""),"*France*(1)")</f>
        <v>*France*(1)</v>
      </c>
      <c r="D17" s="1" t="str">
        <f>IFERROR(__xludf.DUMMYFUNCTION("""COMPUTED_VALUE"""),"3 - 0")</f>
        <v>3 - 0</v>
      </c>
      <c r="E17" s="1" t="str">
        <f>IFERROR(__xludf.DUMMYFUNCTION("""COMPUTED_VALUE"""),"Brésil")</f>
        <v>Brésil</v>
      </c>
      <c r="F17" s="1" t="str">
        <f>IFERROR(__xludf.DUMMYFUNCTION("""COMPUTED_VALUE"""),"Croatie")</f>
        <v>Croatie</v>
      </c>
      <c r="K17" s="1" t="str">
        <f>IFERROR(__xludf.DUMMYFUNCTION("""COMPUTED_VALUE"""),"15e")</f>
        <v>15e</v>
      </c>
      <c r="L17" s="1">
        <f>IFERROR(__xludf.DUMMYFUNCTION("""COMPUTED_VALUE"""),1994.0)</f>
        <v>1994</v>
      </c>
      <c r="M17" s="1" t="str">
        <f>IFERROR(__xludf.DUMMYFUNCTION("""COMPUTED_VALUE"""),"*Brésil*(4)")</f>
        <v>*Brésil*(4)</v>
      </c>
      <c r="N17" s="1" t="str">
        <f>IFERROR(__xludf.DUMMYFUNCTION("""COMPUTED_VALUE"""),"0 - 0 (ap)
(3-2 tab)")</f>
        <v>0 - 0 (ap)
(3-2 tab)</v>
      </c>
      <c r="O17" s="1" t="str">
        <f>IFERROR(__xludf.DUMMYFUNCTION("""COMPUTED_VALUE"""),"Italie")</f>
        <v>Italie</v>
      </c>
      <c r="P17" s="1" t="str">
        <f>IFERROR(__xludf.DUMMYFUNCTION("""COMPUTED_VALUE"""),"Suède")</f>
        <v>Suède</v>
      </c>
    </row>
    <row r="18">
      <c r="A18" s="1" t="str">
        <f>IFERROR(__xludf.DUMMYFUNCTION("""COMPUTED_VALUE"""),"17e")</f>
        <v>17e</v>
      </c>
      <c r="B18" s="1">
        <f>IFERROR(__xludf.DUMMYFUNCTION("""COMPUTED_VALUE"""),2002.0)</f>
        <v>2002</v>
      </c>
      <c r="C18" s="1" t="str">
        <f>IFERROR(__xludf.DUMMYFUNCTION("""COMPUTED_VALUE"""),"*Brésil*(5)")</f>
        <v>*Brésil*(5)</v>
      </c>
      <c r="D18" s="1" t="str">
        <f>IFERROR(__xludf.DUMMYFUNCTION("""COMPUTED_VALUE"""),"2 - 0")</f>
        <v>2 - 0</v>
      </c>
      <c r="E18" s="1" t="str">
        <f>IFERROR(__xludf.DUMMYFUNCTION("""COMPUTED_VALUE"""),"Allemagne")</f>
        <v>Allemagne</v>
      </c>
      <c r="F18" s="1" t="str">
        <f>IFERROR(__xludf.DUMMYFUNCTION("""COMPUTED_VALUE"""),"Turquie")</f>
        <v>Turquie</v>
      </c>
      <c r="K18" s="1" t="str">
        <f>IFERROR(__xludf.DUMMYFUNCTION("""COMPUTED_VALUE"""),"16e")</f>
        <v>16e</v>
      </c>
      <c r="L18" s="1">
        <f>IFERROR(__xludf.DUMMYFUNCTION("""COMPUTED_VALUE"""),1998.0)</f>
        <v>1998</v>
      </c>
      <c r="M18" s="1" t="str">
        <f>IFERROR(__xludf.DUMMYFUNCTION("""COMPUTED_VALUE"""),"*France*(1)")</f>
        <v>*France*(1)</v>
      </c>
      <c r="N18" s="1" t="str">
        <f>IFERROR(__xludf.DUMMYFUNCTION("""COMPUTED_VALUE"""),"3 - 0")</f>
        <v>3 - 0</v>
      </c>
      <c r="O18" s="1" t="str">
        <f>IFERROR(__xludf.DUMMYFUNCTION("""COMPUTED_VALUE"""),"Brésil")</f>
        <v>Brésil</v>
      </c>
      <c r="P18" s="1" t="str">
        <f>IFERROR(__xludf.DUMMYFUNCTION("""COMPUTED_VALUE"""),"Croatie")</f>
        <v>Croatie</v>
      </c>
    </row>
    <row r="19">
      <c r="A19" s="1" t="str">
        <f>IFERROR(__xludf.DUMMYFUNCTION("""COMPUTED_VALUE"""),"18e")</f>
        <v>18e</v>
      </c>
      <c r="B19" s="1">
        <f>IFERROR(__xludf.DUMMYFUNCTION("""COMPUTED_VALUE"""),2006.0)</f>
        <v>2006</v>
      </c>
      <c r="C19" s="1" t="str">
        <f>IFERROR(__xludf.DUMMYFUNCTION("""COMPUTED_VALUE"""),"*Italie*(4)")</f>
        <v>*Italie*(4)</v>
      </c>
      <c r="D19" s="1" t="str">
        <f>IFERROR(__xludf.DUMMYFUNCTION("""COMPUTED_VALUE"""),"1 - 1 (ap)
(5-3 tab)")</f>
        <v>1 - 1 (ap)
(5-3 tab)</v>
      </c>
      <c r="E19" s="1" t="str">
        <f>IFERROR(__xludf.DUMMYFUNCTION("""COMPUTED_VALUE"""),"France")</f>
        <v>France</v>
      </c>
      <c r="F19" s="1" t="str">
        <f>IFERROR(__xludf.DUMMYFUNCTION("""COMPUTED_VALUE"""),"Allemagne")</f>
        <v>Allemagne</v>
      </c>
      <c r="K19" s="1" t="str">
        <f>IFERROR(__xludf.DUMMYFUNCTION("""COMPUTED_VALUE"""),"17e")</f>
        <v>17e</v>
      </c>
      <c r="L19" s="1">
        <f>IFERROR(__xludf.DUMMYFUNCTION("""COMPUTED_VALUE"""),2002.0)</f>
        <v>2002</v>
      </c>
      <c r="M19" s="1" t="str">
        <f>IFERROR(__xludf.DUMMYFUNCTION("""COMPUTED_VALUE"""),"*Brésil*(5)")</f>
        <v>*Brésil*(5)</v>
      </c>
      <c r="N19" s="1" t="str">
        <f>IFERROR(__xludf.DUMMYFUNCTION("""COMPUTED_VALUE"""),"2 - 0")</f>
        <v>2 - 0</v>
      </c>
      <c r="O19" s="1" t="str">
        <f>IFERROR(__xludf.DUMMYFUNCTION("""COMPUTED_VALUE"""),"Allemagne")</f>
        <v>Allemagne</v>
      </c>
      <c r="P19" s="1" t="str">
        <f>IFERROR(__xludf.DUMMYFUNCTION("""COMPUTED_VALUE"""),"Turquie")</f>
        <v>Turquie</v>
      </c>
    </row>
    <row r="20">
      <c r="A20" s="1" t="str">
        <f>IFERROR(__xludf.DUMMYFUNCTION("""COMPUTED_VALUE"""),"19e")</f>
        <v>19e</v>
      </c>
      <c r="B20" s="1">
        <f>IFERROR(__xludf.DUMMYFUNCTION("""COMPUTED_VALUE"""),2010.0)</f>
        <v>2010</v>
      </c>
      <c r="C20" s="1" t="str">
        <f>IFERROR(__xludf.DUMMYFUNCTION("""COMPUTED_VALUE"""),"*Espagne*(1)")</f>
        <v>*Espagne*(1)</v>
      </c>
      <c r="D20" s="1" t="str">
        <f>IFERROR(__xludf.DUMMYFUNCTION("""COMPUTED_VALUE"""),"1 - 0 (ap)")</f>
        <v>1 - 0 (ap)</v>
      </c>
      <c r="E20" s="1" t="str">
        <f>IFERROR(__xludf.DUMMYFUNCTION("""COMPUTED_VALUE"""),"Pays-Bas")</f>
        <v>Pays-Bas</v>
      </c>
      <c r="F20" s="1" t="str">
        <f>IFERROR(__xludf.DUMMYFUNCTION("""COMPUTED_VALUE"""),"Allemagne")</f>
        <v>Allemagne</v>
      </c>
      <c r="K20" s="1" t="str">
        <f>IFERROR(__xludf.DUMMYFUNCTION("""COMPUTED_VALUE"""),"18e")</f>
        <v>18e</v>
      </c>
      <c r="L20" s="1">
        <f>IFERROR(__xludf.DUMMYFUNCTION("""COMPUTED_VALUE"""),2006.0)</f>
        <v>2006</v>
      </c>
      <c r="M20" s="1" t="str">
        <f>IFERROR(__xludf.DUMMYFUNCTION("""COMPUTED_VALUE"""),"*Italie*(4)")</f>
        <v>*Italie*(4)</v>
      </c>
      <c r="N20" s="1" t="str">
        <f>IFERROR(__xludf.DUMMYFUNCTION("""COMPUTED_VALUE"""),"1 - 1 (ap)
(5-3 tab)")</f>
        <v>1 - 1 (ap)
(5-3 tab)</v>
      </c>
      <c r="O20" s="1" t="str">
        <f>IFERROR(__xludf.DUMMYFUNCTION("""COMPUTED_VALUE"""),"France")</f>
        <v>France</v>
      </c>
      <c r="P20" s="1" t="str">
        <f>IFERROR(__xludf.DUMMYFUNCTION("""COMPUTED_VALUE"""),"Allemagne")</f>
        <v>Allemagne</v>
      </c>
    </row>
    <row r="21">
      <c r="A21" s="1" t="str">
        <f>IFERROR(__xludf.DUMMYFUNCTION("""COMPUTED_VALUE"""),"20e")</f>
        <v>20e</v>
      </c>
      <c r="B21" s="1">
        <f>IFERROR(__xludf.DUMMYFUNCTION("""COMPUTED_VALUE"""),2014.0)</f>
        <v>2014</v>
      </c>
      <c r="C21" s="1" t="str">
        <f>IFERROR(__xludf.DUMMYFUNCTION("""COMPUTED_VALUE"""),"*Allemagne*(4)")</f>
        <v>*Allemagne*(4)</v>
      </c>
      <c r="D21" s="1" t="str">
        <f>IFERROR(__xludf.DUMMYFUNCTION("""COMPUTED_VALUE"""),"1 - 0 (ap)")</f>
        <v>1 - 0 (ap)</v>
      </c>
      <c r="E21" s="1" t="str">
        <f>IFERROR(__xludf.DUMMYFUNCTION("""COMPUTED_VALUE"""),"Argentine")</f>
        <v>Argentine</v>
      </c>
      <c r="F21" s="1" t="str">
        <f>IFERROR(__xludf.DUMMYFUNCTION("""COMPUTED_VALUE"""),"Pays-Bas")</f>
        <v>Pays-Bas</v>
      </c>
      <c r="K21" s="1" t="str">
        <f>IFERROR(__xludf.DUMMYFUNCTION("""COMPUTED_VALUE"""),"19e")</f>
        <v>19e</v>
      </c>
      <c r="L21" s="1">
        <f>IFERROR(__xludf.DUMMYFUNCTION("""COMPUTED_VALUE"""),2010.0)</f>
        <v>2010</v>
      </c>
      <c r="M21" s="1" t="str">
        <f>IFERROR(__xludf.DUMMYFUNCTION("""COMPUTED_VALUE"""),"*Espagne*(1)")</f>
        <v>*Espagne*(1)</v>
      </c>
      <c r="N21" s="1" t="str">
        <f>IFERROR(__xludf.DUMMYFUNCTION("""COMPUTED_VALUE"""),"1 - 0 (ap)")</f>
        <v>1 - 0 (ap)</v>
      </c>
      <c r="O21" s="1" t="str">
        <f>IFERROR(__xludf.DUMMYFUNCTION("""COMPUTED_VALUE"""),"Pays-Bas")</f>
        <v>Pays-Bas</v>
      </c>
      <c r="P21" s="1" t="str">
        <f>IFERROR(__xludf.DUMMYFUNCTION("""COMPUTED_VALUE"""),"Allemagne")</f>
        <v>Allemagne</v>
      </c>
    </row>
    <row r="22">
      <c r="A22" s="1" t="str">
        <f>IFERROR(__xludf.DUMMYFUNCTION("""COMPUTED_VALUE"""),"21e")</f>
        <v>21e</v>
      </c>
      <c r="B22" s="1">
        <f>IFERROR(__xludf.DUMMYFUNCTION("""COMPUTED_VALUE"""),2018.0)</f>
        <v>2018</v>
      </c>
      <c r="C22" s="1" t="str">
        <f>IFERROR(__xludf.DUMMYFUNCTION("""COMPUTED_VALUE"""),"*France*(2)")</f>
        <v>*France*(2)</v>
      </c>
      <c r="D22" s="1" t="str">
        <f>IFERROR(__xludf.DUMMYFUNCTION("""COMPUTED_VALUE"""),"4 - 2")</f>
        <v>4 - 2</v>
      </c>
      <c r="E22" s="1" t="str">
        <f>IFERROR(__xludf.DUMMYFUNCTION("""COMPUTED_VALUE"""),"Croatie")</f>
        <v>Croatie</v>
      </c>
      <c r="F22" s="1" t="str">
        <f>IFERROR(__xludf.DUMMYFUNCTION("""COMPUTED_VALUE"""),"Belgique")</f>
        <v>Belgique</v>
      </c>
      <c r="K22" s="1" t="str">
        <f>IFERROR(__xludf.DUMMYFUNCTION("""COMPUTED_VALUE"""),"20e")</f>
        <v>20e</v>
      </c>
      <c r="L22" s="1">
        <f>IFERROR(__xludf.DUMMYFUNCTION("""COMPUTED_VALUE"""),2014.0)</f>
        <v>2014</v>
      </c>
      <c r="M22" s="1" t="str">
        <f>IFERROR(__xludf.DUMMYFUNCTION("""COMPUTED_VALUE"""),"*Allemagne*(4)")</f>
        <v>*Allemagne*(4)</v>
      </c>
      <c r="N22" s="1" t="str">
        <f>IFERROR(__xludf.DUMMYFUNCTION("""COMPUTED_VALUE"""),"1 - 0 (ap)")</f>
        <v>1 - 0 (ap)</v>
      </c>
      <c r="O22" s="1" t="str">
        <f>IFERROR(__xludf.DUMMYFUNCTION("""COMPUTED_VALUE"""),"Argentine")</f>
        <v>Argentine</v>
      </c>
      <c r="P22" s="1" t="str">
        <f>IFERROR(__xludf.DUMMYFUNCTION("""COMPUTED_VALUE"""),"Pays-Bas")</f>
        <v>Pays-Bas</v>
      </c>
    </row>
    <row r="23">
      <c r="A23" s="1" t="str">
        <f>IFERROR(__xludf.DUMMYFUNCTION("""COMPUTED_VALUE"""),"22e")</f>
        <v>22e</v>
      </c>
      <c r="B23" s="1">
        <f>IFERROR(__xludf.DUMMYFUNCTION("""COMPUTED_VALUE"""),2022.0)</f>
        <v>2022</v>
      </c>
      <c r="C23" s="1" t="str">
        <f>IFERROR(__xludf.DUMMYFUNCTION("""COMPUTED_VALUE"""),"*Argentine*(3)")</f>
        <v>*Argentine*(3)</v>
      </c>
      <c r="D23" s="1" t="str">
        <f>IFERROR(__xludf.DUMMYFUNCTION("""COMPUTED_VALUE"""),"3 - 3 (ap)
(4-2 tab)")</f>
        <v>3 - 3 (ap)
(4-2 tab)</v>
      </c>
      <c r="E23" s="1" t="str">
        <f>IFERROR(__xludf.DUMMYFUNCTION("""COMPUTED_VALUE"""),"France")</f>
        <v>France</v>
      </c>
      <c r="F23" s="1" t="str">
        <f>IFERROR(__xludf.DUMMYFUNCTION("""COMPUTED_VALUE"""),"Croatie")</f>
        <v>Croatie</v>
      </c>
      <c r="K23" s="1" t="str">
        <f>IFERROR(__xludf.DUMMYFUNCTION("""COMPUTED_VALUE"""),"21e")</f>
        <v>21e</v>
      </c>
      <c r="L23" s="1">
        <f>IFERROR(__xludf.DUMMYFUNCTION("""COMPUTED_VALUE"""),2018.0)</f>
        <v>2018</v>
      </c>
      <c r="M23" s="1" t="str">
        <f>IFERROR(__xludf.DUMMYFUNCTION("""COMPUTED_VALUE"""),"*France*(2)")</f>
        <v>*France*(2)</v>
      </c>
      <c r="N23" s="1" t="str">
        <f>IFERROR(__xludf.DUMMYFUNCTION("""COMPUTED_VALUE"""),"4 - 2")</f>
        <v>4 - 2</v>
      </c>
      <c r="O23" s="1" t="str">
        <f>IFERROR(__xludf.DUMMYFUNCTION("""COMPUTED_VALUE"""),"Croatie")</f>
        <v>Croatie</v>
      </c>
      <c r="P23" s="1" t="str">
        <f>IFERROR(__xludf.DUMMYFUNCTION("""COMPUTED_VALUE"""),"Belgique")</f>
        <v>Belgique</v>
      </c>
    </row>
    <row r="24">
      <c r="A24" s="1" t="str">
        <f>IFERROR(__xludf.DUMMYFUNCTION("""COMPUTED_VALUE"""),"23e")</f>
        <v>23e</v>
      </c>
      <c r="B24" s="1">
        <f>IFERROR(__xludf.DUMMYFUNCTION("""COMPUTED_VALUE"""),2026.0)</f>
        <v>2026</v>
      </c>
      <c r="C24" s="1"/>
      <c r="D24" s="1"/>
      <c r="E24" s="1"/>
      <c r="F24" s="1"/>
      <c r="K24" s="1" t="str">
        <f>IFERROR(__xludf.DUMMYFUNCTION("""COMPUTED_VALUE"""),"22e")</f>
        <v>22e</v>
      </c>
      <c r="L24" s="1">
        <f>IFERROR(__xludf.DUMMYFUNCTION("""COMPUTED_VALUE"""),2022.0)</f>
        <v>2022</v>
      </c>
      <c r="M24" s="1" t="str">
        <f>IFERROR(__xludf.DUMMYFUNCTION("""COMPUTED_VALUE"""),"*Argentine*(3)")</f>
        <v>*Argentine*(3)</v>
      </c>
      <c r="N24" s="1" t="str">
        <f>IFERROR(__xludf.DUMMYFUNCTION("""COMPUTED_VALUE"""),"3 - 3 (ap)
(4-2 tab)")</f>
        <v>3 - 3 (ap)
(4-2 tab)</v>
      </c>
      <c r="O24" s="1" t="str">
        <f>IFERROR(__xludf.DUMMYFUNCTION("""COMPUTED_VALUE"""),"France")</f>
        <v>France</v>
      </c>
      <c r="P24" s="1" t="str">
        <f>IFERROR(__xludf.DUMMYFUNCTION("""COMPUTED_VALUE"""),"Croatie")</f>
        <v>Croatie</v>
      </c>
    </row>
    <row r="25">
      <c r="A25" s="1" t="str">
        <f>IFERROR(__xludf.DUMMYFUNCTION("""COMPUTED_VALUE"""),"24e")</f>
        <v>24e</v>
      </c>
      <c r="B25" s="1" t="str">
        <f>IFERROR(__xludf.DUMMYFUNCTION("""COMPUTED_VALUE"""),"(MO) 
(PF) 2030")</f>
        <v>(MO) 
(PF) 2030</v>
      </c>
      <c r="C25" s="1"/>
      <c r="D25" s="1"/>
      <c r="E25" s="1"/>
      <c r="F25" s="1"/>
      <c r="K25" s="1" t="str">
        <f>IFERROR(__xludf.DUMMYFUNCTION("""COMPUTED_VALUE"""),"23e")</f>
        <v>23e</v>
      </c>
      <c r="L25" s="1">
        <f>IFERROR(__xludf.DUMMYFUNCTION("""COMPUTED_VALUE"""),2026.0)</f>
        <v>2026</v>
      </c>
      <c r="M25" s="1"/>
      <c r="N25" s="1"/>
      <c r="O25" s="1"/>
      <c r="P25" s="1"/>
    </row>
    <row r="26">
      <c r="A26" s="1" t="str">
        <f>IFERROR(__xludf.DUMMYFUNCTION("""COMPUTED_VALUE"""),"25e")</f>
        <v>25e</v>
      </c>
      <c r="B26" s="1">
        <f>IFERROR(__xludf.DUMMYFUNCTION("""COMPUTED_VALUE"""),2034.0)</f>
        <v>2034</v>
      </c>
      <c r="C26" s="1"/>
      <c r="D26" s="1"/>
      <c r="E26" s="1"/>
      <c r="F26" s="1"/>
      <c r="K26" s="1" t="str">
        <f>IFERROR(__xludf.DUMMYFUNCTION("""COMPUTED_VALUE"""),"24e")</f>
        <v>24e</v>
      </c>
      <c r="L26" s="1" t="str">
        <f>IFERROR(__xludf.DUMMYFUNCTION("""COMPUTED_VALUE"""),"(MO) 
(PF) 2030")</f>
        <v>(MO) 
(PF) 2030</v>
      </c>
      <c r="M26" s="1"/>
      <c r="N26" s="1"/>
      <c r="O26" s="1"/>
      <c r="P26" s="1"/>
    </row>
    <row r="27">
      <c r="K27" s="1" t="str">
        <f>IFERROR(__xludf.DUMMYFUNCTION("""COMPUTED_VALUE"""),"25e")</f>
        <v>25e</v>
      </c>
      <c r="L27" s="1">
        <f>IFERROR(__xludf.DUMMYFUNCTION("""COMPUTED_VALUE"""),2034.0)</f>
        <v>2034</v>
      </c>
      <c r="M27" s="1"/>
      <c r="N27" s="1"/>
      <c r="O27" s="1"/>
      <c r="P27" s="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IFERROR(__xludf.DUMMYFUNCTION("IMPORTHTML(""https://www.cnc.fr/professionnels/actualites/frequentation-cinematographique--estimations-du-mois-de-juin-2022_1715489"", ""table"", 1)"),"*Fréquentation totale *(millions d’entrées)")</f>
        <v>*Fréquentation totale *(millions d’entrées)</v>
      </c>
      <c r="B1" s="1" t="str">
        <f>IFERROR(__xludf.DUMMYFUNCTION("""COMPUTED_VALUE"""),"*2022*")</f>
        <v>*2022*</v>
      </c>
      <c r="C1" s="1" t="str">
        <f>IFERROR(__xludf.DUMMYFUNCTION("""COMPUTED_VALUE"""),"*2021*")</f>
        <v>*2021*</v>
      </c>
      <c r="D1" s="1" t="str">
        <f>IFERROR(__xludf.DUMMYFUNCTION("""COMPUTED_VALUE"""),"*évolution 2022/2021 (%)*")</f>
        <v>*évolution 2022/2021 (%)*</v>
      </c>
    </row>
    <row r="2">
      <c r="A2" s="13" t="str">
        <f>IFERROR(__xludf.DUMMYFUNCTION("""COMPUTED_VALUE"""),"janvier")</f>
        <v>janvier</v>
      </c>
      <c r="B2" s="1" t="str">
        <f>IFERROR(__xludf.DUMMYFUNCTION("""COMPUTED_VALUE"""),"10,65")</f>
        <v>10,65</v>
      </c>
      <c r="C2" s="1" t="str">
        <f>IFERROR(__xludf.DUMMYFUNCTION("""COMPUTED_VALUE"""),"-")</f>
        <v>-</v>
      </c>
      <c r="D2" s="1" t="str">
        <f>IFERROR(__xludf.DUMMYFUNCTION("""COMPUTED_VALUE"""),"-")</f>
        <v>-</v>
      </c>
    </row>
    <row r="3">
      <c r="A3" s="1" t="str">
        <f>IFERROR(__xludf.DUMMYFUNCTION("""COMPUTED_VALUE"""),"février")</f>
        <v>février</v>
      </c>
      <c r="B3" s="1" t="str">
        <f>IFERROR(__xludf.DUMMYFUNCTION("""COMPUTED_VALUE"""),"12,99")</f>
        <v>12,99</v>
      </c>
      <c r="C3" s="1" t="str">
        <f>IFERROR(__xludf.DUMMYFUNCTION("""COMPUTED_VALUE"""),"-")</f>
        <v>-</v>
      </c>
      <c r="D3" s="1" t="str">
        <f>IFERROR(__xludf.DUMMYFUNCTION("""COMPUTED_VALUE"""),"-")</f>
        <v>-</v>
      </c>
    </row>
    <row r="4">
      <c r="A4" s="1" t="str">
        <f>IFERROR(__xludf.DUMMYFUNCTION("""COMPUTED_VALUE"""),"mars")</f>
        <v>mars</v>
      </c>
      <c r="B4" s="1" t="str">
        <f>IFERROR(__xludf.DUMMYFUNCTION("""COMPUTED_VALUE"""),"13,34")</f>
        <v>13,34</v>
      </c>
      <c r="C4" s="1" t="str">
        <f>IFERROR(__xludf.DUMMYFUNCTION("""COMPUTED_VALUE"""),"-")</f>
        <v>-</v>
      </c>
      <c r="D4" s="1" t="str">
        <f>IFERROR(__xludf.DUMMYFUNCTION("""COMPUTED_VALUE"""),"-")</f>
        <v>-</v>
      </c>
    </row>
    <row r="5">
      <c r="A5" s="1" t="str">
        <f>IFERROR(__xludf.DUMMYFUNCTION("""COMPUTED_VALUE"""),"avril")</f>
        <v>avril</v>
      </c>
      <c r="B5" s="1" t="str">
        <f>IFERROR(__xludf.DUMMYFUNCTION("""COMPUTED_VALUE"""),"13,94")</f>
        <v>13,94</v>
      </c>
      <c r="C5" s="1" t="str">
        <f>IFERROR(__xludf.DUMMYFUNCTION("""COMPUTED_VALUE"""),"-")</f>
        <v>-</v>
      </c>
      <c r="D5" s="1" t="str">
        <f>IFERROR(__xludf.DUMMYFUNCTION("""COMPUTED_VALUE"""),"-")</f>
        <v>-</v>
      </c>
    </row>
    <row r="6">
      <c r="A6" s="1" t="str">
        <f>IFERROR(__xludf.DUMMYFUNCTION("""COMPUTED_VALUE"""),"mai")</f>
        <v>mai</v>
      </c>
      <c r="B6" s="1" t="str">
        <f>IFERROR(__xludf.DUMMYFUNCTION("""COMPUTED_VALUE"""),"11,17")</f>
        <v>11,17</v>
      </c>
      <c r="C6" s="1" t="str">
        <f>IFERROR(__xludf.DUMMYFUNCTION("""COMPUTED_VALUE"""),"3,52")</f>
        <v>3,52</v>
      </c>
      <c r="D6" s="1" t="str">
        <f>IFERROR(__xludf.DUMMYFUNCTION("""COMPUTED_VALUE"""),"NS")</f>
        <v>NS</v>
      </c>
      <c r="F6" s="1">
        <f>IFERROR(__xludf.DUMMYFUNCTION("SPLIT(B5,"","")"),13.0)</f>
        <v>13</v>
      </c>
      <c r="G6" s="1">
        <f>IFERROR(__xludf.DUMMYFUNCTION("""COMPUTED_VALUE"""),94.0)</f>
        <v>94</v>
      </c>
    </row>
    <row r="7">
      <c r="A7" s="1" t="str">
        <f>IFERROR(__xludf.DUMMYFUNCTION("""COMPUTED_VALUE"""),"juin")</f>
        <v>juin</v>
      </c>
      <c r="B7" s="1" t="str">
        <f>IFERROR(__xludf.DUMMYFUNCTION("""COMPUTED_VALUE"""),"10,86")</f>
        <v>10,86</v>
      </c>
      <c r="C7" s="1" t="str">
        <f>IFERROR(__xludf.DUMMYFUNCTION("""COMPUTED_VALUE"""),"8,62")</f>
        <v>8,62</v>
      </c>
      <c r="D7" s="1" t="str">
        <f>IFERROR(__xludf.DUMMYFUNCTION("""COMPUTED_VALUE"""),"+26,0")</f>
        <v>+26,0</v>
      </c>
    </row>
    <row r="8">
      <c r="A8" s="1" t="str">
        <f>IFERROR(__xludf.DUMMYFUNCTION("""COMPUTED_VALUE"""),"six premiers mois")</f>
        <v>six premiers mois</v>
      </c>
      <c r="B8" s="1" t="str">
        <f>IFERROR(__xludf.DUMMYFUNCTION("""COMPUTED_VALUE"""),"*72,95*")</f>
        <v>*72,95*</v>
      </c>
      <c r="C8" s="1" t="str">
        <f>IFERROR(__xludf.DUMMYFUNCTION("""COMPUTED_VALUE"""),"*12,15*")</f>
        <v>*12,15*</v>
      </c>
      <c r="D8" s="1" t="str">
        <f>IFERROR(__xludf.DUMMYFUNCTION("""COMPUTED_VALUE"""),"*NS*")</f>
        <v>*NS*</v>
      </c>
    </row>
    <row r="9">
      <c r="A9" s="1" t="str">
        <f>IFERROR(__xludf.DUMMYFUNCTION("""COMPUTED_VALUE"""),"année glissante (de juillet n-1 à juin n)")</f>
        <v>année glissante (de juillet n-1 à juin n)</v>
      </c>
      <c r="B9" s="1" t="str">
        <f>IFERROR(__xludf.DUMMYFUNCTION("""COMPUTED_VALUE"""),"156,27")</f>
        <v>156,27</v>
      </c>
      <c r="C9" s="1" t="str">
        <f>IFERROR(__xludf.DUMMYFUNCTION("""COMPUTED_VALUE"""),"38,05")</f>
        <v>38,05</v>
      </c>
      <c r="D9" s="1" t="str">
        <f>IFERROR(__xludf.DUMMYFUNCTION("""COMPUTED_VALUE"""),"NS")</f>
        <v>NS</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IFERROR(__xludf.DUMMYFUNCTION("IMPORTHTML(""https://fr.wikipedia.org/wiki/CAC_40"", ""table"", ""3"")"),"Société")</f>
        <v>Société</v>
      </c>
      <c r="B1" s="1" t="str">
        <f>IFERROR(__xludf.DUMMYFUNCTION("""COMPUTED_VALUE"""),"Mnémo")</f>
        <v>Mnémo</v>
      </c>
      <c r="C1" s="1" t="str">
        <f>IFERROR(__xludf.DUMMYFUNCTION("""COMPUTED_VALUE"""),"Secteur")</f>
        <v>Secteur</v>
      </c>
      <c r="D1" s="1" t="str">
        <f>IFERROR(__xludf.DUMMYFUNCTION("""COMPUTED_VALUE"""),"Poids indiciel[35]
(en %)")</f>
        <v>Poids indiciel[35]
(en %)</v>
      </c>
      <c r="E1" s="1" t="str">
        <f>IFERROR(__xludf.DUMMYFUNCTION("""COMPUTED_VALUE"""),"Chiffre d'affaires[36]
(2023, en Md €)")</f>
        <v>Chiffre d'affaires[36]
(2023, en Md €)</v>
      </c>
      <c r="F1" s="1" t="str">
        <f>IFERROR(__xludf.DUMMYFUNCTION("""COMPUTED_VALUE"""),"Capitalisation boursière[37]
(en Md €)")</f>
        <v>Capitalisation boursière[37]
(en Md €)</v>
      </c>
      <c r="G1" s="1" t="str">
        <f>IFERROR(__xludf.DUMMYFUNCTION("""COMPUTED_VALUE"""),"Entrée dans l'indice")</f>
        <v>Entrée dans l'indice</v>
      </c>
    </row>
    <row r="2">
      <c r="A2" s="1" t="str">
        <f>IFERROR(__xludf.DUMMYFUNCTION("""COMPUTED_VALUE"""),"Accor")</f>
        <v>Accor</v>
      </c>
      <c r="B2" s="1" t="str">
        <f>IFERROR(__xludf.DUMMYFUNCTION("""COMPUTED_VALUE"""),"AC")</f>
        <v>AC</v>
      </c>
      <c r="C2" s="1" t="str">
        <f>IFERROR(__xludf.DUMMYFUNCTION("""COMPUTED_VALUE"""),"Hôtellerie, tourisme")</f>
        <v>Hôtellerie, tourisme</v>
      </c>
      <c r="D2" s="1" t="str">
        <f>IFERROR(__xludf.DUMMYFUNCTION("""COMPUTED_VALUE"""),"0,42")</f>
        <v>0,42</v>
      </c>
      <c r="E2" s="1" t="str">
        <f>IFERROR(__xludf.DUMMYFUNCTION("""COMPUTED_VALUE"""),"5,06")</f>
        <v>5,06</v>
      </c>
      <c r="F2" s="14">
        <f>IFERROR(__xludf.DUMMYFUNCTION("""COMPUTED_VALUE"""),10695.0)</f>
        <v>10695</v>
      </c>
      <c r="G2" s="1" t="str">
        <f>IFERROR(__xludf.DUMMYFUNCTION("""COMPUTED_VALUE"""),"31 décembre 1987[Note 33]")</f>
        <v>31 décembre 1987[Note 33]</v>
      </c>
    </row>
    <row r="3">
      <c r="A3" s="1" t="str">
        <f>IFERROR(__xludf.DUMMYFUNCTION("""COMPUTED_VALUE"""),"Air liquide")</f>
        <v>Air liquide</v>
      </c>
      <c r="B3" s="1" t="str">
        <f>IFERROR(__xludf.DUMMYFUNCTION("""COMPUTED_VALUE"""),"AI")</f>
        <v>AI</v>
      </c>
      <c r="C3" s="1" t="str">
        <f>IFERROR(__xludf.DUMMYFUNCTION("""COMPUTED_VALUE"""),"Gaz industriel")</f>
        <v>Gaz industriel</v>
      </c>
      <c r="D3" s="1" t="str">
        <f>IFERROR(__xludf.DUMMYFUNCTION("""COMPUTED_VALUE"""),"4,03")</f>
        <v>4,03</v>
      </c>
      <c r="E3" s="1" t="str">
        <f>IFERROR(__xludf.DUMMYFUNCTION("""COMPUTED_VALUE"""),"27,61")</f>
        <v>27,61</v>
      </c>
      <c r="F3" s="14">
        <f>IFERROR(__xludf.DUMMYFUNCTION("""COMPUTED_VALUE"""),102660.0)</f>
        <v>102660</v>
      </c>
      <c r="G3" s="1" t="str">
        <f>IFERROR(__xludf.DUMMYFUNCTION("""COMPUTED_VALUE"""),"31 décembre 1987")</f>
        <v>31 décembre 1987</v>
      </c>
    </row>
    <row r="4">
      <c r="A4" s="1" t="str">
        <f>IFERROR(__xludf.DUMMYFUNCTION("""COMPUTED_VALUE"""),"Airbus")</f>
        <v>Airbus</v>
      </c>
      <c r="B4" s="1" t="str">
        <f>IFERROR(__xludf.DUMMYFUNCTION("""COMPUTED_VALUE"""),"AIR")</f>
        <v>AIR</v>
      </c>
      <c r="C4" s="1" t="str">
        <f>IFERROR(__xludf.DUMMYFUNCTION("""COMPUTED_VALUE"""),"Aéronautique, défense")</f>
        <v>Aéronautique, défense</v>
      </c>
      <c r="D4" s="1" t="str">
        <f>IFERROR(__xludf.DUMMYFUNCTION("""COMPUTED_VALUE"""),"5,16")</f>
        <v>5,16</v>
      </c>
      <c r="E4" s="1" t="str">
        <f>IFERROR(__xludf.DUMMYFUNCTION("""COMPUTED_VALUE"""),"65,45")</f>
        <v>65,45</v>
      </c>
      <c r="F4" s="14">
        <f>IFERROR(__xludf.DUMMYFUNCTION("""COMPUTED_VALUE"""),132026.0)</f>
        <v>132026</v>
      </c>
      <c r="G4" s="1" t="str">
        <f>IFERROR(__xludf.DUMMYFUNCTION("""COMPUTED_VALUE"""),"5 février 1990[Note 34]")</f>
        <v>5 février 1990[Note 34]</v>
      </c>
    </row>
    <row r="5">
      <c r="A5" s="1" t="str">
        <f>IFERROR(__xludf.DUMMYFUNCTION("""COMPUTED_VALUE"""),"ArcelorMittal")</f>
        <v>ArcelorMittal</v>
      </c>
      <c r="B5" s="1" t="str">
        <f>IFERROR(__xludf.DUMMYFUNCTION("""COMPUTED_VALUE"""),"MT")</f>
        <v>MT</v>
      </c>
      <c r="C5" s="1" t="str">
        <f>IFERROR(__xludf.DUMMYFUNCTION("""COMPUTED_VALUE"""),"Acier, matériau de construction")</f>
        <v>Acier, matériau de construction</v>
      </c>
      <c r="D5" s="1" t="str">
        <f>IFERROR(__xludf.DUMMYFUNCTION("""COMPUTED_VALUE"""),"0,88")</f>
        <v>0,88</v>
      </c>
      <c r="E5" s="1" t="str">
        <f>IFERROR(__xludf.DUMMYFUNCTION("""COMPUTED_VALUE"""),"61,74")</f>
        <v>61,74</v>
      </c>
      <c r="F5" s="14">
        <f>IFERROR(__xludf.DUMMYFUNCTION("""COMPUTED_VALUE"""),24834.0)</f>
        <v>24834</v>
      </c>
      <c r="G5" s="1" t="str">
        <f>IFERROR(__xludf.DUMMYFUNCTION("""COMPUTED_VALUE"""),"21 novembre 2003[Note 35]")</f>
        <v>21 novembre 2003[Note 35]</v>
      </c>
    </row>
    <row r="6">
      <c r="A6" s="1" t="str">
        <f>IFERROR(__xludf.DUMMYFUNCTION("""COMPUTED_VALUE"""),"Axa")</f>
        <v>Axa</v>
      </c>
      <c r="B6" s="1" t="str">
        <f>IFERROR(__xludf.DUMMYFUNCTION("""COMPUTED_VALUE"""),"CS")</f>
        <v>CS</v>
      </c>
      <c r="C6" s="1" t="str">
        <f>IFERROR(__xludf.DUMMYFUNCTION("""COMPUTED_VALUE"""),"Assurance, services financiers")</f>
        <v>Assurance, services financiers</v>
      </c>
      <c r="D6" s="1" t="str">
        <f>IFERROR(__xludf.DUMMYFUNCTION("""COMPUTED_VALUE"""),"3,41")</f>
        <v>3,41</v>
      </c>
      <c r="E6" s="1" t="str">
        <f>IFERROR(__xludf.DUMMYFUNCTION("""COMPUTED_VALUE"""),"80,89")</f>
        <v>80,89</v>
      </c>
      <c r="F6" s="14">
        <f>IFERROR(__xludf.DUMMYFUNCTION("""COMPUTED_VALUE"""),87507.0)</f>
        <v>87507</v>
      </c>
      <c r="G6" s="1" t="str">
        <f>IFERROR(__xludf.DUMMYFUNCTION("""COMPUTED_VALUE"""),"31 décembre 1987[Note 36]")</f>
        <v>31 décembre 1987[Note 36]</v>
      </c>
    </row>
    <row r="7">
      <c r="A7" s="1" t="str">
        <f>IFERROR(__xludf.DUMMYFUNCTION("""COMPUTED_VALUE"""),"BNP Paribas")</f>
        <v>BNP Paribas</v>
      </c>
      <c r="B7" s="1" t="str">
        <f>IFERROR(__xludf.DUMMYFUNCTION("""COMPUTED_VALUE"""),"BNP")</f>
        <v>BNP</v>
      </c>
      <c r="C7" s="1" t="str">
        <f>IFERROR(__xludf.DUMMYFUNCTION("""COMPUTED_VALUE"""),"Banque, services financiers, assurance")</f>
        <v>Banque, services financiers, assurance</v>
      </c>
      <c r="D7" s="1" t="str">
        <f>IFERROR(__xludf.DUMMYFUNCTION("""COMPUTED_VALUE"""),"3,54")</f>
        <v>3,54</v>
      </c>
      <c r="E7" s="1" t="str">
        <f>IFERROR(__xludf.DUMMYFUNCTION("""COMPUTED_VALUE"""),"44,27")</f>
        <v>44,27</v>
      </c>
      <c r="F7" s="14">
        <f>IFERROR(__xludf.DUMMYFUNCTION("""COMPUTED_VALUE"""),90148.0)</f>
        <v>90148</v>
      </c>
      <c r="G7" s="1" t="str">
        <f>IFERROR(__xludf.DUMMYFUNCTION("""COMPUTED_VALUE"""),"31 décembre 1987[Note 37]")</f>
        <v>31 décembre 1987[Note 37]</v>
      </c>
    </row>
    <row r="8">
      <c r="A8" s="1" t="str">
        <f>IFERROR(__xludf.DUMMYFUNCTION("""COMPUTED_VALUE"""),"Bouygues")</f>
        <v>Bouygues</v>
      </c>
      <c r="B8" s="1" t="str">
        <f>IFERROR(__xludf.DUMMYFUNCTION("""COMPUTED_VALUE"""),"EN")</f>
        <v>EN</v>
      </c>
      <c r="C8" s="1" t="str">
        <f>IFERROR(__xludf.DUMMYFUNCTION("""COMPUTED_VALUE"""),"BTP, immobilier, médias, télécommunications")</f>
        <v>BTP, immobilier, médias, télécommunications</v>
      </c>
      <c r="D8" s="1" t="str">
        <f>IFERROR(__xludf.DUMMYFUNCTION("""COMPUTED_VALUE"""),"0,53")</f>
        <v>0,53</v>
      </c>
      <c r="E8" s="1" t="str">
        <f>IFERROR(__xludf.DUMMYFUNCTION("""COMPUTED_VALUE"""),"34,69")</f>
        <v>34,69</v>
      </c>
      <c r="F8" s="14">
        <f>IFERROR(__xludf.DUMMYFUNCTION("""COMPUTED_VALUE"""),13597.0)</f>
        <v>13597</v>
      </c>
      <c r="G8" s="1" t="str">
        <f>IFERROR(__xludf.DUMMYFUNCTION("""COMPUTED_VALUE"""),"31 décembre 1987[Note 38]")</f>
        <v>31 décembre 1987[Note 38]</v>
      </c>
    </row>
    <row r="9">
      <c r="A9" s="1" t="str">
        <f>IFERROR(__xludf.DUMMYFUNCTION("""COMPUTED_VALUE"""),"Bureau Veritas")</f>
        <v>Bureau Veritas</v>
      </c>
      <c r="B9" s="1" t="str">
        <f>IFERROR(__xludf.DUMMYFUNCTION("""COMPUTED_VALUE"""),"BVI")</f>
        <v>BVI</v>
      </c>
      <c r="C9" s="1" t="str">
        <f>IFERROR(__xludf.DUMMYFUNCTION("""COMPUTED_VALUE"""),"Certification")</f>
        <v>Certification</v>
      </c>
      <c r="D9" s="1" t="str">
        <f>IFERROR(__xludf.DUMMYFUNCTION("""COMPUTED_VALUE"""),"0,50")</f>
        <v>0,50</v>
      </c>
      <c r="E9" s="1" t="str">
        <f>IFERROR(__xludf.DUMMYFUNCTION("""COMPUTED_VALUE"""),"5,86")</f>
        <v>5,86</v>
      </c>
      <c r="F9" s="14">
        <f>IFERROR(__xludf.DUMMYFUNCTION("""COMPUTED_VALUE"""),12963.0)</f>
        <v>12963</v>
      </c>
      <c r="G9" s="1" t="str">
        <f>IFERROR(__xludf.DUMMYFUNCTION("""COMPUTED_VALUE"""),"23 décembre 2024[38]")</f>
        <v>23 décembre 2024[38]</v>
      </c>
    </row>
    <row r="10">
      <c r="A10" s="1" t="str">
        <f>IFERROR(__xludf.DUMMYFUNCTION("""COMPUTED_VALUE"""),"Capgemini")</f>
        <v>Capgemini</v>
      </c>
      <c r="B10" s="1" t="str">
        <f>IFERROR(__xludf.DUMMYFUNCTION("""COMPUTED_VALUE"""),"CAP")</f>
        <v>CAP</v>
      </c>
      <c r="C10" s="1" t="str">
        <f>IFERROR(__xludf.DUMMYFUNCTION("""COMPUTED_VALUE"""),"Services informatiques")</f>
        <v>Services informatiques</v>
      </c>
      <c r="D10" s="1" t="str">
        <f>IFERROR(__xludf.DUMMYFUNCTION("""COMPUTED_VALUE"""),"0,97")</f>
        <v>0,97</v>
      </c>
      <c r="E10" s="1" t="str">
        <f>IFERROR(__xludf.DUMMYFUNCTION("""COMPUTED_VALUE"""),"25,52")</f>
        <v>25,52</v>
      </c>
      <c r="F10" s="14">
        <f>IFERROR(__xludf.DUMMYFUNCTION("""COMPUTED_VALUE"""),25025.0)</f>
        <v>25025</v>
      </c>
      <c r="G10" s="1" t="str">
        <f>IFERROR(__xludf.DUMMYFUNCTION("""COMPUTED_VALUE"""),"3 août 1988[Note 39]")</f>
        <v>3 août 1988[Note 39]</v>
      </c>
    </row>
    <row r="11">
      <c r="A11" s="1" t="str">
        <f>IFERROR(__xludf.DUMMYFUNCTION("""COMPUTED_VALUE"""),"Carrefour")</f>
        <v>Carrefour</v>
      </c>
      <c r="B11" s="1" t="str">
        <f>IFERROR(__xludf.DUMMYFUNCTION("""COMPUTED_VALUE"""),"CA")</f>
        <v>CA</v>
      </c>
      <c r="C11" s="1" t="str">
        <f>IFERROR(__xludf.DUMMYFUNCTION("""COMPUTED_VALUE"""),"Distribution")</f>
        <v>Distribution</v>
      </c>
      <c r="D11" s="1" t="str">
        <f>IFERROR(__xludf.DUMMYFUNCTION("""COMPUTED_VALUE"""),"0,34")</f>
        <v>0,34</v>
      </c>
      <c r="E11" s="1" t="str">
        <f>IFERROR(__xludf.DUMMYFUNCTION("""COMPUTED_VALUE"""),"82,28")</f>
        <v>82,28</v>
      </c>
      <c r="F11" s="14">
        <f>IFERROR(__xludf.DUMMYFUNCTION("""COMPUTED_VALUE"""),8980.0)</f>
        <v>8980</v>
      </c>
      <c r="G11" s="1" t="str">
        <f>IFERROR(__xludf.DUMMYFUNCTION("""COMPUTED_VALUE"""),"31 décembre 1987")</f>
        <v>31 décembre 1987</v>
      </c>
    </row>
    <row r="12">
      <c r="A12" s="1" t="str">
        <f>IFERROR(__xludf.DUMMYFUNCTION("""COMPUTED_VALUE"""),"Crédit agricole")</f>
        <v>Crédit agricole</v>
      </c>
      <c r="B12" s="1" t="str">
        <f>IFERROR(__xludf.DUMMYFUNCTION("""COMPUTED_VALUE"""),"ACA")</f>
        <v>ACA</v>
      </c>
      <c r="C12" s="1" t="str">
        <f>IFERROR(__xludf.DUMMYFUNCTION("""COMPUTED_VALUE"""),"Banque, services financiers, assurance")</f>
        <v>Banque, services financiers, assurance</v>
      </c>
      <c r="D12" s="1" t="str">
        <f>IFERROR(__xludf.DUMMYFUNCTION("""COMPUTED_VALUE"""),"2,00")</f>
        <v>2,00</v>
      </c>
      <c r="E12" s="1" t="str">
        <f>IFERROR(__xludf.DUMMYFUNCTION("""COMPUTED_VALUE"""),"25,18")</f>
        <v>25,18</v>
      </c>
      <c r="F12" s="14">
        <f>IFERROR(__xludf.DUMMYFUNCTION("""COMPUTED_VALUE"""),50850.0)</f>
        <v>50850</v>
      </c>
      <c r="G12" s="1" t="str">
        <f>IFERROR(__xludf.DUMMYFUNCTION("""COMPUTED_VALUE"""),"7 septembre 1999[Note 40]")</f>
        <v>7 septembre 1999[Note 40]</v>
      </c>
    </row>
    <row r="13">
      <c r="A13" s="1" t="str">
        <f>IFERROR(__xludf.DUMMYFUNCTION("""COMPUTED_VALUE"""),"Danone")</f>
        <v>Danone</v>
      </c>
      <c r="B13" s="1" t="str">
        <f>IFERROR(__xludf.DUMMYFUNCTION("""COMPUTED_VALUE"""),"BN")</f>
        <v>BN</v>
      </c>
      <c r="C13" s="1" t="str">
        <f>IFERROR(__xludf.DUMMYFUNCTION("""COMPUTED_VALUE"""),"Agroalimentaire")</f>
        <v>Agroalimentaire</v>
      </c>
      <c r="D13" s="1" t="str">
        <f>IFERROR(__xludf.DUMMYFUNCTION("""COMPUTED_VALUE"""),"1,82")</f>
        <v>1,82</v>
      </c>
      <c r="E13" s="1" t="str">
        <f>IFERROR(__xludf.DUMMYFUNCTION("""COMPUTED_VALUE"""),"27,62")</f>
        <v>27,62</v>
      </c>
      <c r="F13" s="14">
        <f>IFERROR(__xludf.DUMMYFUNCTION("""COMPUTED_VALUE"""),48846.0)</f>
        <v>48846</v>
      </c>
      <c r="G13" s="1" t="str">
        <f>IFERROR(__xludf.DUMMYFUNCTION("""COMPUTED_VALUE"""),"31 décembre 1987[Note 41]")</f>
        <v>31 décembre 1987[Note 41]</v>
      </c>
    </row>
    <row r="14">
      <c r="A14" s="1" t="str">
        <f>IFERROR(__xludf.DUMMYFUNCTION("""COMPUTED_VALUE"""),"Dassault Systèmes")</f>
        <v>Dassault Systèmes</v>
      </c>
      <c r="B14" s="1" t="str">
        <f>IFERROR(__xludf.DUMMYFUNCTION("""COMPUTED_VALUE"""),"DSY")</f>
        <v>DSY</v>
      </c>
      <c r="C14" s="1" t="str">
        <f>IFERROR(__xludf.DUMMYFUNCTION("""COMPUTED_VALUE"""),"Services informatiques, technologies")</f>
        <v>Services informatiques, technologies</v>
      </c>
      <c r="D14" s="1" t="str">
        <f>IFERROR(__xludf.DUMMYFUNCTION("""COMPUTED_VALUE"""),"1,98")</f>
        <v>1,98</v>
      </c>
      <c r="E14" s="1" t="str">
        <f>IFERROR(__xludf.DUMMYFUNCTION("""COMPUTED_VALUE"""),"5,95")</f>
        <v>5,95</v>
      </c>
      <c r="F14" s="14">
        <f>IFERROR(__xludf.DUMMYFUNCTION("""COMPUTED_VALUE"""),51704.0)</f>
        <v>51704</v>
      </c>
      <c r="G14" s="1" t="str">
        <f>IFERROR(__xludf.DUMMYFUNCTION("""COMPUTED_VALUE"""),"24 septembre 2018")</f>
        <v>24 septembre 2018</v>
      </c>
    </row>
    <row r="15">
      <c r="A15" s="1" t="str">
        <f>IFERROR(__xludf.DUMMYFUNCTION("""COMPUTED_VALUE"""),"Eiffage")</f>
        <v>Eiffage</v>
      </c>
      <c r="B15" s="1" t="str">
        <f>IFERROR(__xludf.DUMMYFUNCTION("""COMPUTED_VALUE"""),"FGR")</f>
        <v>FGR</v>
      </c>
      <c r="C15" s="1" t="str">
        <f>IFERROR(__xludf.DUMMYFUNCTION("""COMPUTED_VALUE"""),"BTP, concession autoroute")</f>
        <v>BTP, concession autoroute</v>
      </c>
      <c r="D15" s="1" t="str">
        <f>IFERROR(__xludf.DUMMYFUNCTION("""COMPUTED_VALUE"""),"0,46")</f>
        <v>0,46</v>
      </c>
      <c r="E15" s="1" t="str">
        <f>IFERROR(__xludf.DUMMYFUNCTION("""COMPUTED_VALUE"""),"24,02")</f>
        <v>24,02</v>
      </c>
      <c r="F15" s="14">
        <f>IFERROR(__xludf.DUMMYFUNCTION("""COMPUTED_VALUE"""),11897.0)</f>
        <v>11897</v>
      </c>
      <c r="G15" s="1" t="str">
        <f>IFERROR(__xludf.DUMMYFUNCTION("""COMPUTED_VALUE"""),"22 décembre 2025")</f>
        <v>22 décembre 2025</v>
      </c>
    </row>
    <row r="16">
      <c r="A16" s="1" t="str">
        <f>IFERROR(__xludf.DUMMYFUNCTION("""COMPUTED_VALUE"""),"Engie")</f>
        <v>Engie</v>
      </c>
      <c r="B16" s="1" t="str">
        <f>IFERROR(__xludf.DUMMYFUNCTION("""COMPUTED_VALUE"""),"ENGI")</f>
        <v>ENGI</v>
      </c>
      <c r="C16" s="1" t="str">
        <f>IFERROR(__xludf.DUMMYFUNCTION("""COMPUTED_VALUE"""),"Énergie, gaz industriel, industrie pétrolière")</f>
        <v>Énergie, gaz industriel, industrie pétrolière</v>
      </c>
      <c r="D16" s="1" t="str">
        <f>IFERROR(__xludf.DUMMYFUNCTION("""COMPUTED_VALUE"""),"1,66")</f>
        <v>1,66</v>
      </c>
      <c r="E16" s="1" t="str">
        <f>IFERROR(__xludf.DUMMYFUNCTION("""COMPUTED_VALUE"""),"82,56")</f>
        <v>82,56</v>
      </c>
      <c r="F16" s="14">
        <f>IFERROR(__xludf.DUMMYFUNCTION("""COMPUTED_VALUE"""),42739.0)</f>
        <v>42739</v>
      </c>
      <c r="G16" s="1" t="str">
        <f>IFERROR(__xludf.DUMMYFUNCTION("""COMPUTED_VALUE"""),"31 décembre 1987[Note 42]")</f>
        <v>31 décembre 1987[Note 42]</v>
      </c>
    </row>
    <row r="17">
      <c r="A17" s="1" t="str">
        <f>IFERROR(__xludf.DUMMYFUNCTION("""COMPUTED_VALUE"""),"EssilorLuxottica")</f>
        <v>EssilorLuxottica</v>
      </c>
      <c r="B17" s="1" t="str">
        <f>IFERROR(__xludf.DUMMYFUNCTION("""COMPUTED_VALUE"""),"EL")</f>
        <v>EL</v>
      </c>
      <c r="C17" s="1" t="str">
        <f>IFERROR(__xludf.DUMMYFUNCTION("""COMPUTED_VALUE"""),"Optique")</f>
        <v>Optique</v>
      </c>
      <c r="D17" s="1" t="str">
        <f>IFERROR(__xludf.DUMMYFUNCTION("""COMPUTED_VALUE"""),"4,80")</f>
        <v>4,80</v>
      </c>
      <c r="E17" s="1" t="str">
        <f>IFERROR(__xludf.DUMMYFUNCTION("""COMPUTED_VALUE"""),"25,39")</f>
        <v>25,39</v>
      </c>
      <c r="F17" s="14">
        <f>IFERROR(__xludf.DUMMYFUNCTION("""COMPUTED_VALUE"""),122337.0)</f>
        <v>122337</v>
      </c>
      <c r="G17" s="1" t="str">
        <f>IFERROR(__xludf.DUMMYFUNCTION("""COMPUTED_VALUE"""),"31 décembre 1987[Note 43]")</f>
        <v>31 décembre 1987[Note 43]</v>
      </c>
    </row>
    <row r="18">
      <c r="A18" s="1" t="str">
        <f>IFERROR(__xludf.DUMMYFUNCTION("""COMPUTED_VALUE"""),"Eurofins Scientific")</f>
        <v>Eurofins Scientific</v>
      </c>
      <c r="B18" s="1" t="str">
        <f>IFERROR(__xludf.DUMMYFUNCTION("""COMPUTED_VALUE"""),"ERF")</f>
        <v>ERF</v>
      </c>
      <c r="C18" s="1" t="str">
        <f>IFERROR(__xludf.DUMMYFUNCTION("""COMPUTED_VALUE"""),"Biotechnologie")</f>
        <v>Biotechnologie</v>
      </c>
      <c r="D18" s="1" t="str">
        <f>IFERROR(__xludf.DUMMYFUNCTION("""COMPUTED_VALUE"""),"0,37")</f>
        <v>0,37</v>
      </c>
      <c r="E18" s="1" t="str">
        <f>IFERROR(__xludf.DUMMYFUNCTION("""COMPUTED_VALUE"""),"6,51")</f>
        <v>6,51</v>
      </c>
      <c r="F18" s="14">
        <f>IFERROR(__xludf.DUMMYFUNCTION("""COMPUTED_VALUE"""),9923.0)</f>
        <v>9923</v>
      </c>
      <c r="G18" s="1" t="str">
        <f>IFERROR(__xludf.DUMMYFUNCTION("""COMPUTED_VALUE"""),"17 septembre 2021")</f>
        <v>17 septembre 2021</v>
      </c>
    </row>
    <row r="19">
      <c r="A19" s="1" t="str">
        <f>IFERROR(__xludf.DUMMYFUNCTION("""COMPUTED_VALUE"""),"Euronext")</f>
        <v>Euronext</v>
      </c>
      <c r="B19" s="1" t="str">
        <f>IFERROR(__xludf.DUMMYFUNCTION("""COMPUTED_VALUE"""),"ENX")</f>
        <v>ENX</v>
      </c>
      <c r="C19" s="1" t="str">
        <f>IFERROR(__xludf.DUMMYFUNCTION("""COMPUTED_VALUE"""),"Bourse")</f>
        <v>Bourse</v>
      </c>
      <c r="D19" s="1" t="str">
        <f>IFERROR(__xludf.DUMMYFUNCTION("""COMPUTED_VALUE"""),"0,53")</f>
        <v>0,53</v>
      </c>
      <c r="E19" s="1" t="str">
        <f>IFERROR(__xludf.DUMMYFUNCTION("""COMPUTED_VALUE"""),"1,43")</f>
        <v>1,43</v>
      </c>
      <c r="F19" s="1" t="str">
        <f>IFERROR(__xludf.DUMMYFUNCTION("""COMPUTED_VALUE"""),"13,16")</f>
        <v>13,16</v>
      </c>
      <c r="G19" s="1" t="str">
        <f>IFERROR(__xludf.DUMMYFUNCTION("""COMPUTED_VALUE"""),"22 septembre 2025")</f>
        <v>22 septembre 2025</v>
      </c>
    </row>
    <row r="20">
      <c r="A20" s="1" t="str">
        <f>IFERROR(__xludf.DUMMYFUNCTION("""COMPUTED_VALUE"""),"Hermès International")</f>
        <v>Hermès International</v>
      </c>
      <c r="B20" s="1" t="str">
        <f>IFERROR(__xludf.DUMMYFUNCTION("""COMPUTED_VALUE"""),"RMS")</f>
        <v>RMS</v>
      </c>
      <c r="C20" s="1" t="str">
        <f>IFERROR(__xludf.DUMMYFUNCTION("""COMPUTED_VALUE"""),"Luxe")</f>
        <v>Luxe</v>
      </c>
      <c r="D20" s="1" t="str">
        <f>IFERROR(__xludf.DUMMYFUNCTION("""COMPUTED_VALUE"""),"10,36")</f>
        <v>10,36</v>
      </c>
      <c r="E20" s="1" t="str">
        <f>IFERROR(__xludf.DUMMYFUNCTION("""COMPUTED_VALUE"""),"13,43")</f>
        <v>13,43</v>
      </c>
      <c r="F20" s="14">
        <f>IFERROR(__xludf.DUMMYFUNCTION("""COMPUTED_VALUE"""),265296.0)</f>
        <v>265296</v>
      </c>
      <c r="G20" s="1" t="str">
        <f>IFERROR(__xludf.DUMMYFUNCTION("""COMPUTED_VALUE"""),"18 juin 2018")</f>
        <v>18 juin 2018</v>
      </c>
    </row>
    <row r="21">
      <c r="A21" s="1" t="str">
        <f>IFERROR(__xludf.DUMMYFUNCTION("""COMPUTED_VALUE"""),"Kering")</f>
        <v>Kering</v>
      </c>
      <c r="B21" s="1" t="str">
        <f>IFERROR(__xludf.DUMMYFUNCTION("""COMPUTED_VALUE"""),"KER")</f>
        <v>KER</v>
      </c>
      <c r="C21" s="1" t="str">
        <f>IFERROR(__xludf.DUMMYFUNCTION("""COMPUTED_VALUE"""),"Luxe")</f>
        <v>Luxe</v>
      </c>
      <c r="D21" s="1" t="str">
        <f>IFERROR(__xludf.DUMMYFUNCTION("""COMPUTED_VALUE"""),"1,00")</f>
        <v>1,00</v>
      </c>
      <c r="E21" s="1" t="str">
        <f>IFERROR(__xludf.DUMMYFUNCTION("""COMPUTED_VALUE"""),"19,57")</f>
        <v>19,57</v>
      </c>
      <c r="F21" s="14">
        <f>IFERROR(__xludf.DUMMYFUNCTION("""COMPUTED_VALUE"""),25523.0)</f>
        <v>25523</v>
      </c>
      <c r="G21" s="1" t="str">
        <f>IFERROR(__xludf.DUMMYFUNCTION("""COMPUTED_VALUE"""),"9 février 1995[Note 44]")</f>
        <v>9 février 1995[Note 44]</v>
      </c>
    </row>
    <row r="22">
      <c r="A22" s="1" t="str">
        <f>IFERROR(__xludf.DUMMYFUNCTION("""COMPUTED_VALUE"""),"Legrand")</f>
        <v>Legrand</v>
      </c>
      <c r="B22" s="1" t="str">
        <f>IFERROR(__xludf.DUMMYFUNCTION("""COMPUTED_VALUE"""),"LR")</f>
        <v>LR</v>
      </c>
      <c r="C22" s="1" t="str">
        <f>IFERROR(__xludf.DUMMYFUNCTION("""COMPUTED_VALUE"""),"Matériel électrique")</f>
        <v>Matériel électrique</v>
      </c>
      <c r="D22" s="1" t="str">
        <f>IFERROR(__xludf.DUMMYFUNCTION("""COMPUTED_VALUE"""),"1,08")</f>
        <v>1,08</v>
      </c>
      <c r="E22" s="1" t="str">
        <f>IFERROR(__xludf.DUMMYFUNCTION("""COMPUTED_VALUE"""),"8,42")</f>
        <v>8,42</v>
      </c>
      <c r="F22" s="14">
        <f>IFERROR(__xludf.DUMMYFUNCTION("""COMPUTED_VALUE"""),27510.0)</f>
        <v>27510</v>
      </c>
      <c r="G22" s="1" t="str">
        <f>IFERROR(__xludf.DUMMYFUNCTION("""COMPUTED_VALUE"""),"31 décembre 1987[Note 45]")</f>
        <v>31 décembre 1987[Note 45]</v>
      </c>
    </row>
    <row r="23">
      <c r="A23" s="1" t="str">
        <f>IFERROR(__xludf.DUMMYFUNCTION("""COMPUTED_VALUE"""),"L'Oréal")</f>
        <v>L'Oréal</v>
      </c>
      <c r="B23" s="1" t="str">
        <f>IFERROR(__xludf.DUMMYFUNCTION("""COMPUTED_VALUE"""),"OR")</f>
        <v>OR</v>
      </c>
      <c r="C23" s="1" t="str">
        <f>IFERROR(__xludf.DUMMYFUNCTION("""COMPUTED_VALUE"""),"Cosmétique")</f>
        <v>Cosmétique</v>
      </c>
      <c r="D23" s="1" t="str">
        <f>IFERROR(__xludf.DUMMYFUNCTION("""COMPUTED_VALUE"""),"7,41")</f>
        <v>7,41</v>
      </c>
      <c r="E23" s="1" t="str">
        <f>IFERROR(__xludf.DUMMYFUNCTION("""COMPUTED_VALUE"""),"41,18")</f>
        <v>41,18</v>
      </c>
      <c r="F23" s="14">
        <f>IFERROR(__xludf.DUMMYFUNCTION("""COMPUTED_VALUE"""),188479.0)</f>
        <v>188479</v>
      </c>
      <c r="G23" s="1" t="str">
        <f>IFERROR(__xludf.DUMMYFUNCTION("""COMPUTED_VALUE"""),"31 décembre 1987")</f>
        <v>31 décembre 1987</v>
      </c>
    </row>
    <row r="24">
      <c r="A24" s="1" t="str">
        <f>IFERROR(__xludf.DUMMYFUNCTION("""COMPUTED_VALUE"""),"LVMH")</f>
        <v>LVMH</v>
      </c>
      <c r="B24" s="1" t="str">
        <f>IFERROR(__xludf.DUMMYFUNCTION("""COMPUTED_VALUE"""),"MC")</f>
        <v>MC</v>
      </c>
      <c r="C24" s="1" t="str">
        <f>IFERROR(__xludf.DUMMYFUNCTION("""COMPUTED_VALUE"""),"Luxe")</f>
        <v>Luxe</v>
      </c>
      <c r="D24" s="1" t="str">
        <f>IFERROR(__xludf.DUMMYFUNCTION("""COMPUTED_VALUE"""),"11,83")</f>
        <v>11,83</v>
      </c>
      <c r="E24" s="1" t="str">
        <f>IFERROR(__xludf.DUMMYFUNCTION("""COMPUTED_VALUE"""),"86,15")</f>
        <v>86,15</v>
      </c>
      <c r="F24" s="14">
        <f>IFERROR(__xludf.DUMMYFUNCTION("""COMPUTED_VALUE"""),301335.0)</f>
        <v>301335</v>
      </c>
      <c r="G24" s="1" t="str">
        <f>IFERROR(__xludf.DUMMYFUNCTION("""COMPUTED_VALUE"""),"31 décembre 1987")</f>
        <v>31 décembre 1987</v>
      </c>
    </row>
    <row r="25">
      <c r="A25" s="1" t="str">
        <f>IFERROR(__xludf.DUMMYFUNCTION("""COMPUTED_VALUE"""),"Michelin")</f>
        <v>Michelin</v>
      </c>
      <c r="B25" s="1" t="str">
        <f>IFERROR(__xludf.DUMMYFUNCTION("""COMPUTED_VALUE"""),"ML")</f>
        <v>ML</v>
      </c>
      <c r="C25" s="1" t="str">
        <f>IFERROR(__xludf.DUMMYFUNCTION("""COMPUTED_VALUE"""),"Pneumatique, équipementier automobile, tourisme")</f>
        <v>Pneumatique, équipementier automobile, tourisme</v>
      </c>
      <c r="D25" s="1" t="str">
        <f>IFERROR(__xludf.DUMMYFUNCTION("""COMPUTED_VALUE"""),"0,95")</f>
        <v>0,95</v>
      </c>
      <c r="E25" s="1" t="str">
        <f>IFERROR(__xludf.DUMMYFUNCTION("""COMPUTED_VALUE"""),"28,34")</f>
        <v>28,34</v>
      </c>
      <c r="F25" s="14">
        <f>IFERROR(__xludf.DUMMYFUNCTION("""COMPUTED_VALUE"""),23904.0)</f>
        <v>23904</v>
      </c>
      <c r="G25" s="1" t="str">
        <f>IFERROR(__xludf.DUMMYFUNCTION("""COMPUTED_VALUE"""),"31 décembre 1987")</f>
        <v>31 décembre 1987</v>
      </c>
    </row>
    <row r="26">
      <c r="A26" s="1" t="str">
        <f>IFERROR(__xludf.DUMMYFUNCTION("""COMPUTED_VALUE"""),"Orange")</f>
        <v>Orange</v>
      </c>
      <c r="B26" s="1" t="str">
        <f>IFERROR(__xludf.DUMMYFUNCTION("""COMPUTED_VALUE"""),"ORA")</f>
        <v>ORA</v>
      </c>
      <c r="C26" s="1" t="str">
        <f>IFERROR(__xludf.DUMMYFUNCTION("""COMPUTED_VALUE"""),"Télécommunication, banque")</f>
        <v>Télécommunication, banque</v>
      </c>
      <c r="D26" s="1" t="str">
        <f>IFERROR(__xludf.DUMMYFUNCTION("""COMPUTED_VALUE"""),"1,24")</f>
        <v>1,24</v>
      </c>
      <c r="E26" s="1" t="str">
        <f>IFERROR(__xludf.DUMMYFUNCTION("""COMPUTED_VALUE"""),"44,12")</f>
        <v>44,12</v>
      </c>
      <c r="F26" s="14">
        <f>IFERROR(__xludf.DUMMYFUNCTION("""COMPUTED_VALUE"""),31468.0)</f>
        <v>31468</v>
      </c>
      <c r="G26" s="1" t="str">
        <f>IFERROR(__xludf.DUMMYFUNCTION("""COMPUTED_VALUE"""),"12 novembre 1997[Note 46]")</f>
        <v>12 novembre 1997[Note 46]</v>
      </c>
    </row>
    <row r="27">
      <c r="A27" s="1" t="str">
        <f>IFERROR(__xludf.DUMMYFUNCTION("""COMPUTED_VALUE"""),"Pernod Ricard")</f>
        <v>Pernod Ricard</v>
      </c>
      <c r="B27" s="1" t="str">
        <f>IFERROR(__xludf.DUMMYFUNCTION("""COMPUTED_VALUE"""),"RI")</f>
        <v>RI</v>
      </c>
      <c r="C27" s="1" t="str">
        <f>IFERROR(__xludf.DUMMYFUNCTION("""COMPUTED_VALUE"""),"Spiritueux")</f>
        <v>Spiritueux</v>
      </c>
      <c r="D27" s="1" t="str">
        <f>IFERROR(__xludf.DUMMYFUNCTION("""COMPUTED_VALUE"""),"0,94")</f>
        <v>0,94</v>
      </c>
      <c r="E27" s="1" t="str">
        <f>IFERROR(__xludf.DUMMYFUNCTION("""COMPUTED_VALUE"""),"12,14")</f>
        <v>12,14</v>
      </c>
      <c r="F27" s="14">
        <f>IFERROR(__xludf.DUMMYFUNCTION("""COMPUTED_VALUE"""),24016.0)</f>
        <v>24016</v>
      </c>
      <c r="G27" s="1" t="str">
        <f>IFERROR(__xludf.DUMMYFUNCTION("""COMPUTED_VALUE"""),"31 décembre 1987[Note 47]")</f>
        <v>31 décembre 1987[Note 47]</v>
      </c>
    </row>
    <row r="28">
      <c r="A28" s="1" t="str">
        <f>IFERROR(__xludf.DUMMYFUNCTION("""COMPUTED_VALUE"""),"Publicis Groupe")</f>
        <v>Publicis Groupe</v>
      </c>
      <c r="B28" s="1" t="str">
        <f>IFERROR(__xludf.DUMMYFUNCTION("""COMPUTED_VALUE"""),"PUB")</f>
        <v>PUB</v>
      </c>
      <c r="C28" s="1" t="str">
        <f>IFERROR(__xludf.DUMMYFUNCTION("""COMPUTED_VALUE"""),"Publicité, médias")</f>
        <v>Publicité, médias</v>
      </c>
      <c r="D28" s="1" t="str">
        <f>IFERROR(__xludf.DUMMYFUNCTION("""COMPUTED_VALUE"""),"0,91")</f>
        <v>0,91</v>
      </c>
      <c r="E28" s="1" t="str">
        <f>IFERROR(__xludf.DUMMYFUNCTION("""COMPUTED_VALUE"""),"13,10")</f>
        <v>13,10</v>
      </c>
      <c r="F28" s="14">
        <f>IFERROR(__xludf.DUMMYFUNCTION("""COMPUTED_VALUE"""),23412.0)</f>
        <v>23412</v>
      </c>
      <c r="G28" s="1" t="str">
        <f>IFERROR(__xludf.DUMMYFUNCTION("""COMPUTED_VALUE"""),"1er octobre 2004[Note 48]")</f>
        <v>1er octobre 2004[Note 48]</v>
      </c>
    </row>
    <row r="29">
      <c r="A29" s="1" t="str">
        <f>IFERROR(__xludf.DUMMYFUNCTION("""COMPUTED_VALUE"""),"Renault")</f>
        <v>Renault</v>
      </c>
      <c r="B29" s="1" t="str">
        <f>IFERROR(__xludf.DUMMYFUNCTION("""COMPUTED_VALUE"""),"RNO")</f>
        <v>RNO</v>
      </c>
      <c r="C29" s="1" t="str">
        <f>IFERROR(__xludf.DUMMYFUNCTION("""COMPUTED_VALUE"""),"Automobile")</f>
        <v>Automobile</v>
      </c>
      <c r="D29" s="1" t="str">
        <f>IFERROR(__xludf.DUMMYFUNCTION("""COMPUTED_VALUE"""),"0,54")</f>
        <v>0,54</v>
      </c>
      <c r="E29" s="1" t="str">
        <f>IFERROR(__xludf.DUMMYFUNCTION("""COMPUTED_VALUE"""),"52,38")</f>
        <v>52,38</v>
      </c>
      <c r="F29" s="14">
        <f>IFERROR(__xludf.DUMMYFUNCTION("""COMPUTED_VALUE"""),13943.0)</f>
        <v>13943</v>
      </c>
      <c r="G29" s="1" t="str">
        <f>IFERROR(__xludf.DUMMYFUNCTION("""COMPUTED_VALUE"""),"9 février 1995")</f>
        <v>9 février 1995</v>
      </c>
    </row>
    <row r="30">
      <c r="A30" s="1" t="str">
        <f>IFERROR(__xludf.DUMMYFUNCTION("""COMPUTED_VALUE"""),"Safran")</f>
        <v>Safran</v>
      </c>
      <c r="B30" s="1" t="str">
        <f>IFERROR(__xludf.DUMMYFUNCTION("""COMPUTED_VALUE"""),"SAF")</f>
        <v>SAF</v>
      </c>
      <c r="C30" s="1" t="str">
        <f>IFERROR(__xludf.DUMMYFUNCTION("""COMPUTED_VALUE"""),"Aéronautique, défense")</f>
        <v>Aéronautique, défense</v>
      </c>
      <c r="D30" s="1" t="str">
        <f>IFERROR(__xludf.DUMMYFUNCTION("""COMPUTED_VALUE"""),"4,09")</f>
        <v>4,09</v>
      </c>
      <c r="E30" s="1" t="str">
        <f>IFERROR(__xludf.DUMMYFUNCTION("""COMPUTED_VALUE"""),"23,65")</f>
        <v>23,65</v>
      </c>
      <c r="F30" s="14">
        <f>IFERROR(__xludf.DUMMYFUNCTION("""COMPUTED_VALUE"""),106078.0)</f>
        <v>106078</v>
      </c>
      <c r="G30" s="1" t="str">
        <f>IFERROR(__xludf.DUMMYFUNCTION("""COMPUTED_VALUE"""),"19 septembre 2011")</f>
        <v>19 septembre 2011</v>
      </c>
    </row>
    <row r="31">
      <c r="A31" s="1" t="str">
        <f>IFERROR(__xludf.DUMMYFUNCTION("""COMPUTED_VALUE"""),"Saint-Gobain")</f>
        <v>Saint-Gobain</v>
      </c>
      <c r="B31" s="1" t="str">
        <f>IFERROR(__xludf.DUMMYFUNCTION("""COMPUTED_VALUE"""),"SGO")</f>
        <v>SGO</v>
      </c>
      <c r="C31" s="1" t="str">
        <f>IFERROR(__xludf.DUMMYFUNCTION("""COMPUTED_VALUE"""),"Matériaux de construction, verre")</f>
        <v>Matériaux de construction, verre</v>
      </c>
      <c r="D31" s="1" t="str">
        <f>IFERROR(__xludf.DUMMYFUNCTION("""COMPUTED_VALUE"""),"1,95")</f>
        <v>1,95</v>
      </c>
      <c r="E31" s="1" t="str">
        <f>IFERROR(__xludf.DUMMYFUNCTION("""COMPUTED_VALUE"""),"47,94")</f>
        <v>47,94</v>
      </c>
      <c r="F31" s="14">
        <f>IFERROR(__xludf.DUMMYFUNCTION("""COMPUTED_VALUE"""),49885.0)</f>
        <v>49885</v>
      </c>
      <c r="G31" s="1" t="str">
        <f>IFERROR(__xludf.DUMMYFUNCTION("""COMPUTED_VALUE"""),"31 décembre 1987")</f>
        <v>31 décembre 1987</v>
      </c>
    </row>
    <row r="32">
      <c r="A32" s="1" t="str">
        <f>IFERROR(__xludf.DUMMYFUNCTION("""COMPUTED_VALUE"""),"Sanofi")</f>
        <v>Sanofi</v>
      </c>
      <c r="B32" s="1" t="str">
        <f>IFERROR(__xludf.DUMMYFUNCTION("""COMPUTED_VALUE"""),"SAN")</f>
        <v>SAN</v>
      </c>
      <c r="C32" s="1" t="str">
        <f>IFERROR(__xludf.DUMMYFUNCTION("""COMPUTED_VALUE"""),"Pharmacie")</f>
        <v>Pharmacie</v>
      </c>
      <c r="D32" s="1" t="str">
        <f>IFERROR(__xludf.DUMMYFUNCTION("""COMPUTED_VALUE"""),"5,22")</f>
        <v>5,22</v>
      </c>
      <c r="E32" s="1" t="str">
        <f>IFERROR(__xludf.DUMMYFUNCTION("""COMPUTED_VALUE"""),"43,07")</f>
        <v>43,07</v>
      </c>
      <c r="F32" s="14">
        <f>IFERROR(__xludf.DUMMYFUNCTION("""COMPUTED_VALUE"""),130561.0)</f>
        <v>130561</v>
      </c>
      <c r="G32" s="1" t="str">
        <f>IFERROR(__xludf.DUMMYFUNCTION("""COMPUTED_VALUE"""),"31 décembre 1987")</f>
        <v>31 décembre 1987</v>
      </c>
    </row>
    <row r="33">
      <c r="A33" s="1" t="str">
        <f>IFERROR(__xludf.DUMMYFUNCTION("""COMPUTED_VALUE"""),"Schneider Electric")</f>
        <v>Schneider Electric</v>
      </c>
      <c r="B33" s="1" t="str">
        <f>IFERROR(__xludf.DUMMYFUNCTION("""COMPUTED_VALUE"""),"SU")</f>
        <v>SU</v>
      </c>
      <c r="C33" s="1" t="str">
        <f>IFERROR(__xludf.DUMMYFUNCTION("""COMPUTED_VALUE"""),"Matériel électrique")</f>
        <v>Matériel électrique</v>
      </c>
      <c r="D33" s="1" t="str">
        <f>IFERROR(__xludf.DUMMYFUNCTION("""COMPUTED_VALUE"""),"5,11")</f>
        <v>5,11</v>
      </c>
      <c r="E33" s="1" t="str">
        <f>IFERROR(__xludf.DUMMYFUNCTION("""COMPUTED_VALUE"""),"35,90")</f>
        <v>35,90</v>
      </c>
      <c r="F33" s="14">
        <f>IFERROR(__xludf.DUMMYFUNCTION("""COMPUTED_VALUE"""),133403.0)</f>
        <v>133403</v>
      </c>
      <c r="G33" s="1" t="str">
        <f>IFERROR(__xludf.DUMMYFUNCTION("""COMPUTED_VALUE"""),"31 décembre 1987[Note 49]")</f>
        <v>31 décembre 1987[Note 49]</v>
      </c>
    </row>
    <row r="34">
      <c r="A34" s="1" t="str">
        <f>IFERROR(__xludf.DUMMYFUNCTION("""COMPUTED_VALUE"""),"Société générale")</f>
        <v>Société générale</v>
      </c>
      <c r="B34" s="1" t="str">
        <f>IFERROR(__xludf.DUMMYFUNCTION("""COMPUTED_VALUE"""),"GLE")</f>
        <v>GLE</v>
      </c>
      <c r="C34" s="1" t="str">
        <f>IFERROR(__xludf.DUMMYFUNCTION("""COMPUTED_VALUE"""),"Banque, services financiers, assurance")</f>
        <v>Banque, services financiers, assurance</v>
      </c>
      <c r="D34" s="1" t="str">
        <f>IFERROR(__xludf.DUMMYFUNCTION("""COMPUTED_VALUE"""),"1,32")</f>
        <v>1,32</v>
      </c>
      <c r="E34" s="1" t="str">
        <f>IFERROR(__xludf.DUMMYFUNCTION("""COMPUTED_VALUE"""),"25,10")</f>
        <v>25,10</v>
      </c>
      <c r="F34" s="14">
        <f>IFERROR(__xludf.DUMMYFUNCTION("""COMPUTED_VALUE"""),33893.0)</f>
        <v>33893</v>
      </c>
      <c r="G34" s="1" t="str">
        <f>IFERROR(__xludf.DUMMYFUNCTION("""COMPUTED_VALUE"""),"31 décembre 1987")</f>
        <v>31 décembre 1987</v>
      </c>
    </row>
    <row r="35">
      <c r="A35" s="1" t="str">
        <f>IFERROR(__xludf.DUMMYFUNCTION("""COMPUTED_VALUE"""),"Stellantis")</f>
        <v>Stellantis</v>
      </c>
      <c r="B35" s="1" t="str">
        <f>IFERROR(__xludf.DUMMYFUNCTION("""COMPUTED_VALUE"""),"STLAP")</f>
        <v>STLAP</v>
      </c>
      <c r="C35" s="1" t="str">
        <f>IFERROR(__xludf.DUMMYFUNCTION("""COMPUTED_VALUE"""),"Automobile, équipementier automobile")</f>
        <v>Automobile, équipementier automobile</v>
      </c>
      <c r="D35" s="1" t="str">
        <f>IFERROR(__xludf.DUMMYFUNCTION("""COMPUTED_VALUE"""),"1,26")</f>
        <v>1,26</v>
      </c>
      <c r="E35" s="1" t="str">
        <f>IFERROR(__xludf.DUMMYFUNCTION("""COMPUTED_VALUE"""),"189,54")</f>
        <v>189,54</v>
      </c>
      <c r="F35" s="14">
        <f>IFERROR(__xludf.DUMMYFUNCTION("""COMPUTED_VALUE"""),32146.0)</f>
        <v>32146</v>
      </c>
      <c r="G35" s="1" t="str">
        <f>IFERROR(__xludf.DUMMYFUNCTION("""COMPUTED_VALUE"""),"31 décembre 1987[Note 50]")</f>
        <v>31 décembre 1987[Note 50]</v>
      </c>
    </row>
    <row r="36">
      <c r="A36" s="1" t="str">
        <f>IFERROR(__xludf.DUMMYFUNCTION("""COMPUTED_VALUE"""),"STMicroelectronics")</f>
        <v>STMicroelectronics</v>
      </c>
      <c r="B36" s="1" t="str">
        <f>IFERROR(__xludf.DUMMYFUNCTION("""COMPUTED_VALUE"""),"STMPA")</f>
        <v>STMPA</v>
      </c>
      <c r="C36" s="1" t="str">
        <f>IFERROR(__xludf.DUMMYFUNCTION("""COMPUTED_VALUE"""),"Technologies")</f>
        <v>Technologies</v>
      </c>
      <c r="D36" s="1" t="str">
        <f>IFERROR(__xludf.DUMMYFUNCTION("""COMPUTED_VALUE"""),"0,78")</f>
        <v>0,78</v>
      </c>
      <c r="E36" s="1" t="str">
        <f>IFERROR(__xludf.DUMMYFUNCTION("""COMPUTED_VALUE"""),"15,63")</f>
        <v>15,63</v>
      </c>
      <c r="F36" s="14">
        <f>IFERROR(__xludf.DUMMYFUNCTION("""COMPUTED_VALUE"""),20148.0)</f>
        <v>20148</v>
      </c>
      <c r="G36" s="1" t="str">
        <f>IFERROR(__xludf.DUMMYFUNCTION("""COMPUTED_VALUE"""),"18 septembre 2017")</f>
        <v>18 septembre 2017</v>
      </c>
    </row>
    <row r="37">
      <c r="A37" s="1" t="str">
        <f>IFERROR(__xludf.DUMMYFUNCTION("""COMPUTED_VALUE"""),"Thales")</f>
        <v>Thales</v>
      </c>
      <c r="B37" s="1" t="str">
        <f>IFERROR(__xludf.DUMMYFUNCTION("""COMPUTED_VALUE"""),"HO")</f>
        <v>HO</v>
      </c>
      <c r="C37" s="1" t="str">
        <f>IFERROR(__xludf.DUMMYFUNCTION("""COMPUTED_VALUE"""),"Équipementier aéronautique")</f>
        <v>Équipementier aéronautique</v>
      </c>
      <c r="D37" s="1" t="str">
        <f>IFERROR(__xludf.DUMMYFUNCTION("""COMPUTED_VALUE"""),"1,94")</f>
        <v>1,94</v>
      </c>
      <c r="E37" s="1" t="str">
        <f>IFERROR(__xludf.DUMMYFUNCTION("""COMPUTED_VALUE"""),"18,43")</f>
        <v>18,43</v>
      </c>
      <c r="F37" s="14">
        <f>IFERROR(__xludf.DUMMYFUNCTION("""COMPUTED_VALUE"""),49426.0)</f>
        <v>49426</v>
      </c>
      <c r="G37" s="1" t="str">
        <f>IFERROR(__xludf.DUMMYFUNCTION("""COMPUTED_VALUE"""),"24 juin 2019")</f>
        <v>24 juin 2019</v>
      </c>
    </row>
    <row r="38">
      <c r="A38" s="1" t="str">
        <f>IFERROR(__xludf.DUMMYFUNCTION("""COMPUTED_VALUE"""),"TotalEnergies")</f>
        <v>TotalEnergies</v>
      </c>
      <c r="B38" s="1" t="str">
        <f>IFERROR(__xludf.DUMMYFUNCTION("""COMPUTED_VALUE"""),"TTE")</f>
        <v>TTE</v>
      </c>
      <c r="C38" s="1" t="str">
        <f>IFERROR(__xludf.DUMMYFUNCTION("""COMPUTED_VALUE"""),"Industrie pétrolière, gaz industriel")</f>
        <v>Industrie pétrolière, gaz industriel</v>
      </c>
      <c r="D38" s="1" t="str">
        <f>IFERROR(__xludf.DUMMYFUNCTION("""COMPUTED_VALUE"""),"5,21")</f>
        <v>5,21</v>
      </c>
      <c r="E38" s="1" t="str">
        <f>IFERROR(__xludf.DUMMYFUNCTION("""COMPUTED_VALUE"""),"214,42")</f>
        <v>214,42</v>
      </c>
      <c r="F38" s="14">
        <f>IFERROR(__xludf.DUMMYFUNCTION("""COMPUTED_VALUE"""),132571.0)</f>
        <v>132571</v>
      </c>
      <c r="G38" s="1" t="str">
        <f>IFERROR(__xludf.DUMMYFUNCTION("""COMPUTED_VALUE"""),"31 décembre 1987[Note 51]")</f>
        <v>31 décembre 1987[Note 51]</v>
      </c>
    </row>
    <row r="39">
      <c r="A39" s="1" t="str">
        <f>IFERROR(__xludf.DUMMYFUNCTION("""COMPUTED_VALUE"""),"Unibail-Rodamco-Westfield")</f>
        <v>Unibail-Rodamco-Westfield</v>
      </c>
      <c r="B39" s="1" t="str">
        <f>IFERROR(__xludf.DUMMYFUNCTION("""COMPUTED_VALUE"""),"URW")</f>
        <v>URW</v>
      </c>
      <c r="C39" s="1" t="str">
        <f>IFERROR(__xludf.DUMMYFUNCTION("""COMPUTED_VALUE"""),"Immobilier")</f>
        <v>Immobilier</v>
      </c>
      <c r="D39" s="1" t="str">
        <f>IFERROR(__xludf.DUMMYFUNCTION("""COMPUTED_VALUE"""),"0,43")</f>
        <v>0,43</v>
      </c>
      <c r="E39" s="1" t="str">
        <f>IFERROR(__xludf.DUMMYFUNCTION("""COMPUTED_VALUE"""),"2,32")</f>
        <v>2,32</v>
      </c>
      <c r="F39" s="14">
        <f>IFERROR(__xludf.DUMMYFUNCTION("""COMPUTED_VALUE"""),10996.0)</f>
        <v>10996</v>
      </c>
      <c r="G39" s="1" t="str">
        <f>IFERROR(__xludf.DUMMYFUNCTION("""COMPUTED_VALUE"""),"18 juin 2007")</f>
        <v>18 juin 2007</v>
      </c>
    </row>
    <row r="40">
      <c r="A40" s="1" t="str">
        <f>IFERROR(__xludf.DUMMYFUNCTION("""COMPUTED_VALUE"""),"Veolia")</f>
        <v>Veolia</v>
      </c>
      <c r="B40" s="1" t="str">
        <f>IFERROR(__xludf.DUMMYFUNCTION("""COMPUTED_VALUE"""),"VIE")</f>
        <v>VIE</v>
      </c>
      <c r="C40" s="1" t="str">
        <f>IFERROR(__xludf.DUMMYFUNCTION("""COMPUTED_VALUE"""),"Environnement, énergie")</f>
        <v>Environnement, énergie</v>
      </c>
      <c r="D40" s="1" t="str">
        <f>IFERROR(__xludf.DUMMYFUNCTION("""COMPUTED_VALUE"""),"0,90")</f>
        <v>0,90</v>
      </c>
      <c r="E40" s="1" t="str">
        <f>IFERROR(__xludf.DUMMYFUNCTION("""COMPUTED_VALUE"""),"45,35")</f>
        <v>45,35</v>
      </c>
      <c r="F40" s="14">
        <f>IFERROR(__xludf.DUMMYFUNCTION("""COMPUTED_VALUE"""),23234.0)</f>
        <v>23234</v>
      </c>
      <c r="G40" s="1" t="str">
        <f>IFERROR(__xludf.DUMMYFUNCTION("""COMPUTED_VALUE"""),"31 décembre 1987[Note 52]")</f>
        <v>31 décembre 1987[Note 52]</v>
      </c>
    </row>
    <row r="41">
      <c r="A41" s="1" t="str">
        <f>IFERROR(__xludf.DUMMYFUNCTION("""COMPUTED_VALUE"""),"Vinci")</f>
        <v>Vinci</v>
      </c>
      <c r="B41" s="1" t="str">
        <f>IFERROR(__xludf.DUMMYFUNCTION("""COMPUTED_VALUE"""),"DG")</f>
        <v>DG</v>
      </c>
      <c r="C41" s="1" t="str">
        <f>IFERROR(__xludf.DUMMYFUNCTION("""COMPUTED_VALUE"""),"BTP, Immobilier")</f>
        <v>BTP, Immobilier</v>
      </c>
      <c r="D41" s="1" t="str">
        <f>IFERROR(__xludf.DUMMYFUNCTION("""COMPUTED_VALUE"""),"2,61")</f>
        <v>2,61</v>
      </c>
      <c r="E41" s="1" t="str">
        <f>IFERROR(__xludf.DUMMYFUNCTION("""COMPUTED_VALUE"""),"69,62")</f>
        <v>69,62</v>
      </c>
      <c r="F41" s="14">
        <f>IFERROR(__xludf.DUMMYFUNCTION("""COMPUTED_VALUE"""),68871.0)</f>
        <v>68871</v>
      </c>
      <c r="G41" s="1" t="str">
        <f>IFERROR(__xludf.DUMMYFUNCTION("""COMPUTED_VALUE"""),"3 avril 2002")</f>
        <v>3 avril 2002</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171</v>
      </c>
    </row>
    <row r="2">
      <c r="A2" s="2">
        <v>8.0</v>
      </c>
    </row>
    <row r="3">
      <c r="A3" s="2">
        <v>4.0</v>
      </c>
    </row>
    <row r="5">
      <c r="C5" s="1" t="str">
        <f>A1&amp;A2</f>
        <v>Coucou8</v>
      </c>
    </row>
    <row r="7">
      <c r="C7" s="1">
        <f>SUM(A2,A3)</f>
        <v>12</v>
      </c>
    </row>
    <row r="8">
      <c r="D8" s="1">
        <f>SUM(A2:A6)</f>
        <v>12</v>
      </c>
    </row>
    <row r="10">
      <c r="A10" s="1" t="str">
        <f>IFERROR(__xludf.DUMMYFUNCTION("IMPORTHTML(""https://fr.wikipedia.org/wiki/Ligue_des_champions_de_l%27UEFA"",""table"",""4"")"),"Destinataires")</f>
        <v>Destinataires</v>
      </c>
      <c r="B10" s="1" t="str">
        <f>IFERROR(__xludf.DUMMYFUNCTION("""COMPUTED_VALUE"""),"Prime")</f>
        <v>Prime</v>
      </c>
      <c r="C10" s="1" t="str">
        <f>IFERROR(__xludf.DUMMYFUNCTION("""COMPUTED_VALUE"""),"Montant par club")</f>
        <v>Montant par club</v>
      </c>
      <c r="D10" s="1"/>
      <c r="E10" s="1" t="str">
        <f>IFERROR(__xludf.DUMMYFUNCTION("""COMPUTED_VALUE"""),"Montant total")</f>
        <v>Montant total</v>
      </c>
    </row>
    <row r="11">
      <c r="A11" s="1" t="str">
        <f>IFERROR(__xludf.DUMMYFUNCTION("""COMPUTED_VALUE"""),"Clubs éliminés en qualifications")</f>
        <v>Clubs éliminés en qualifications</v>
      </c>
      <c r="B11" s="1" t="str">
        <f>IFERROR(__xludf.DUMMYFUNCTION("""COMPUTED_VALUE"""),"versements de solidarité")</f>
        <v>versements de solidarité</v>
      </c>
      <c r="C11" s="1" t="str">
        <f>IFERROR(__xludf.DUMMYFUNCTION("""COMPUTED_VALUE"""),"champion national")</f>
        <v>champion national</v>
      </c>
      <c r="D11" s="14">
        <f>IFERROR(__xludf.DUMMYFUNCTION("""COMPUTED_VALUE"""),260.0)</f>
        <v>260</v>
      </c>
      <c r="E11" s="1" t="str">
        <f>IFERROR(__xludf.DUMMYFUNCTION("""COMPUTED_VALUE"""),"Variable")</f>
        <v>Variable</v>
      </c>
    </row>
    <row r="12">
      <c r="A12" s="1"/>
      <c r="B12" s="1"/>
      <c r="C12" s="1" t="str">
        <f>IFERROR(__xludf.DUMMYFUNCTION("""COMPUTED_VALUE"""),"3e tour[42]")</f>
        <v>3e tour[42]</v>
      </c>
      <c r="D12" s="1" t="str">
        <f>IFERROR(__xludf.DUMMYFUNCTION("""COMPUTED_VALUE"""),"0,175 X nombre de tours disputés")</f>
        <v>0,175 X nombre de tours disputés</v>
      </c>
      <c r="E12" s="1"/>
    </row>
    <row r="13">
      <c r="A13" s="1" t="str">
        <f>IFERROR(__xludf.DUMMYFUNCTION("""COMPUTED_VALUE"""),"7 clubs éliminés en match de barrage")</f>
        <v>7 clubs éliminés en match de barrage</v>
      </c>
      <c r="B13" s="1" t="str">
        <f>IFERROR(__xludf.DUMMYFUNCTION("""COMPUTED_VALUE"""),"quote-part fixe")</f>
        <v>quote-part fixe</v>
      </c>
      <c r="C13" s="1" t="str">
        <f>IFERROR(__xludf.DUMMYFUNCTION("""COMPUTED_VALUE"""),"4,29")</f>
        <v>4,29</v>
      </c>
      <c r="D13" s="1"/>
      <c r="E13" s="1">
        <f>IFERROR(__xludf.DUMMYFUNCTION("""COMPUTED_VALUE"""),30.0)</f>
        <v>30</v>
      </c>
    </row>
    <row r="14">
      <c r="A14" s="1" t="str">
        <f>IFERROR(__xludf.DUMMYFUNCTION("""COMPUTED_VALUE"""),"36 clubs qualifiés")</f>
        <v>36 clubs qualifiés</v>
      </c>
      <c r="B14" s="1" t="str">
        <f>IFERROR(__xludf.DUMMYFUNCTION("""COMPUTED_VALUE"""),"prime de participation")</f>
        <v>prime de participation</v>
      </c>
      <c r="C14" s="1" t="str">
        <f>IFERROR(__xludf.DUMMYFUNCTION("""COMPUTED_VALUE"""),"18,62")</f>
        <v>18,62</v>
      </c>
      <c r="D14" s="1"/>
      <c r="E14" s="1">
        <f>IFERROR(__xludf.DUMMYFUNCTION("""COMPUTED_VALUE"""),670.0)</f>
        <v>670</v>
      </c>
    </row>
    <row r="15">
      <c r="A15" s="1"/>
      <c r="B15" s="1" t="str">
        <f>IFERROR(__xludf.DUMMYFUNCTION("""COMPUTED_VALUE"""),"prime de résultat")</f>
        <v>prime de résultat</v>
      </c>
      <c r="C15" s="1" t="str">
        <f>IFERROR(__xludf.DUMMYFUNCTION("""COMPUTED_VALUE"""),"victoire en phase de ligue")</f>
        <v>victoire en phase de ligue</v>
      </c>
      <c r="D15" s="1" t="str">
        <f>IFERROR(__xludf.DUMMYFUNCTION("""COMPUTED_VALUE"""),"2,1")</f>
        <v>2,1</v>
      </c>
      <c r="E15" s="1">
        <f>IFERROR(__xludf.DUMMYFUNCTION("""COMPUTED_VALUE"""),914.0)</f>
        <v>914</v>
      </c>
    </row>
    <row r="16">
      <c r="A16" s="1"/>
      <c r="B16" s="1"/>
      <c r="C16" s="1" t="str">
        <f>IFERROR(__xludf.DUMMYFUNCTION("""COMPUTED_VALUE"""),"nul en phase de ligue")</f>
        <v>nul en phase de ligue</v>
      </c>
      <c r="D16" s="1" t="str">
        <f>IFERROR(__xludf.DUMMYFUNCTION("""COMPUTED_VALUE"""),"0,9")</f>
        <v>0,9</v>
      </c>
      <c r="E16" s="1"/>
    </row>
    <row r="17">
      <c r="A17" s="1"/>
      <c r="B17" s="1"/>
      <c r="C17" s="1" t="str">
        <f>IFERROR(__xludf.DUMMYFUNCTION("""COMPUTED_VALUE"""),"position au classement de la phase de ligue")</f>
        <v>position au classement de la phase de ligue</v>
      </c>
      <c r="D17" s="1" t="str">
        <f>IFERROR(__xludf.DUMMYFUNCTION("""COMPUTED_VALUE"""),"0,275 X nombre de parts en fonction de la position
(0,275 pour le 36e (1 part), 9,9 pour le 1er (36 parts))")</f>
        <v>0,275 X nombre de parts en fonction de la position
(0,275 pour le 36e (1 part), 9,9 pour le 1er (36 parts))</v>
      </c>
      <c r="E17" s="1"/>
    </row>
    <row r="18">
      <c r="A18" s="1"/>
      <c r="B18" s="1"/>
      <c r="C18" s="1" t="str">
        <f>IFERROR(__xludf.DUMMYFUNCTION("""COMPUTED_VALUE"""),"bonus pour le top 16")</f>
        <v>bonus pour le top 16</v>
      </c>
      <c r="D18" s="1" t="str">
        <f>IFERROR(__xludf.DUMMYFUNCTION("""COMPUTED_VALUE"""),"2 (1er au 8e), 1 (9e au 16e)")</f>
        <v>2 (1er au 8e), 1 (9e au 16e)</v>
      </c>
      <c r="E18" s="1"/>
    </row>
    <row r="19">
      <c r="A19" s="1"/>
      <c r="B19" s="1"/>
      <c r="C19" s="1" t="str">
        <f>IFERROR(__xludf.DUMMYFUNCTION("""COMPUTED_VALUE"""),"qualification en barrages")</f>
        <v>qualification en barrages</v>
      </c>
      <c r="D19" s="1">
        <f>IFERROR(__xludf.DUMMYFUNCTION("""COMPUTED_VALUE"""),1.0)</f>
        <v>1</v>
      </c>
      <c r="E19" s="1"/>
    </row>
    <row r="20">
      <c r="A20" s="1"/>
      <c r="B20" s="1"/>
      <c r="C20" s="1" t="str">
        <f>IFERROR(__xludf.DUMMYFUNCTION("""COMPUTED_VALUE"""),"qualification en 8e de finale")</f>
        <v>qualification en 8e de finale</v>
      </c>
      <c r="D20" s="1">
        <f>IFERROR(__xludf.DUMMYFUNCTION("""COMPUTED_VALUE"""),11.0)</f>
        <v>11</v>
      </c>
      <c r="E20" s="1"/>
    </row>
    <row r="21">
      <c r="A21" s="1"/>
      <c r="B21" s="1"/>
      <c r="C21" s="1" t="str">
        <f>IFERROR(__xludf.DUMMYFUNCTION("""COMPUTED_VALUE"""),"qualification en 1/4 de finale")</f>
        <v>qualification en 1/4 de finale</v>
      </c>
      <c r="D21" s="1" t="str">
        <f>IFERROR(__xludf.DUMMYFUNCTION("""COMPUTED_VALUE"""),"12,5")</f>
        <v>12,5</v>
      </c>
      <c r="E21" s="1"/>
    </row>
    <row r="22">
      <c r="A22" s="1"/>
      <c r="B22" s="1"/>
      <c r="C22" s="1" t="str">
        <f>IFERROR(__xludf.DUMMYFUNCTION("""COMPUTED_VALUE"""),"qualification en demi-finale")</f>
        <v>qualification en demi-finale</v>
      </c>
      <c r="D22" s="1">
        <f>IFERROR(__xludf.DUMMYFUNCTION("""COMPUTED_VALUE"""),15.0)</f>
        <v>15</v>
      </c>
      <c r="E22" s="1"/>
    </row>
    <row r="23">
      <c r="A23" s="1"/>
      <c r="B23" s="1"/>
      <c r="C23" s="1" t="str">
        <f>IFERROR(__xludf.DUMMYFUNCTION("""COMPUTED_VALUE"""),"qualification en finale")</f>
        <v>qualification en finale</v>
      </c>
      <c r="D23" s="1" t="str">
        <f>IFERROR(__xludf.DUMMYFUNCTION("""COMPUTED_VALUE"""),"18,5")</f>
        <v>18,5</v>
      </c>
      <c r="E23" s="1"/>
    </row>
    <row r="24">
      <c r="A24" s="1"/>
      <c r="B24" s="1"/>
      <c r="C24" s="1" t="str">
        <f>IFERROR(__xludf.DUMMYFUNCTION("""COMPUTED_VALUE"""),"vainqueur")</f>
        <v>vainqueur</v>
      </c>
      <c r="D24" s="1" t="str">
        <f>IFERROR(__xludf.DUMMYFUNCTION("""COMPUTED_VALUE"""),"6,5")</f>
        <v>6,5</v>
      </c>
      <c r="E24" s="1"/>
    </row>
    <row r="25">
      <c r="A25" s="1"/>
      <c r="B25" s="1" t="str">
        <f>IFERROR(__xludf.DUMMYFUNCTION("""COMPUTED_VALUE"""),"valeur pilier (coefficient + droits télévisuels)")</f>
        <v>valeur pilier (coefficient + droits télévisuels)</v>
      </c>
      <c r="C25" s="1" t="str">
        <f>IFERROR(__xludf.DUMMYFUNCTION("""COMPUTED_VALUE"""),"variable")</f>
        <v>variable</v>
      </c>
      <c r="D25" s="1"/>
      <c r="E25" s="1">
        <f>IFERROR(__xludf.DUMMYFUNCTION("""COMPUTED_VALUE"""),853.0)</f>
        <v>853</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63"/>
  </cols>
  <sheetData>
    <row r="1">
      <c r="A1" s="7" t="s">
        <v>171</v>
      </c>
    </row>
    <row r="2">
      <c r="A2" s="7">
        <v>8.0</v>
      </c>
    </row>
    <row r="3">
      <c r="A3" s="7">
        <v>4.0</v>
      </c>
    </row>
    <row r="5">
      <c r="C5" s="1" t="s">
        <v>172</v>
      </c>
    </row>
    <row r="7">
      <c r="C7" s="1">
        <v>12.0</v>
      </c>
    </row>
    <row r="8">
      <c r="D8" s="1">
        <v>12.0</v>
      </c>
    </row>
    <row r="10">
      <c r="A10" s="1" t="s">
        <v>173</v>
      </c>
      <c r="B10" s="1" t="s">
        <v>174</v>
      </c>
      <c r="C10" s="1" t="s">
        <v>175</v>
      </c>
      <c r="E10" s="1" t="s">
        <v>176</v>
      </c>
    </row>
    <row r="11">
      <c r="A11" s="1" t="s">
        <v>177</v>
      </c>
      <c r="B11" s="1" t="s">
        <v>178</v>
      </c>
      <c r="C11" s="1" t="s">
        <v>179</v>
      </c>
      <c r="D11" s="1">
        <v>260.0</v>
      </c>
      <c r="E11" s="1" t="s">
        <v>180</v>
      </c>
    </row>
    <row r="12">
      <c r="C12" s="1" t="s">
        <v>181</v>
      </c>
      <c r="D12" s="1">
        <v>230.0</v>
      </c>
    </row>
    <row r="13">
      <c r="C13" s="1" t="s">
        <v>182</v>
      </c>
      <c r="D13" s="1">
        <v>280.0</v>
      </c>
    </row>
    <row r="14">
      <c r="C14" s="1" t="s">
        <v>183</v>
      </c>
      <c r="D14" s="1">
        <v>380.0</v>
      </c>
    </row>
    <row r="15">
      <c r="C15" s="1" t="s">
        <v>184</v>
      </c>
      <c r="D15" s="1">
        <v>480.0</v>
      </c>
    </row>
    <row r="16">
      <c r="A16" s="1" t="s">
        <v>185</v>
      </c>
      <c r="B16" s="1" t="s">
        <v>186</v>
      </c>
      <c r="C16" s="1">
        <v>5.0</v>
      </c>
      <c r="E16" s="1">
        <v>30.0</v>
      </c>
    </row>
    <row r="17">
      <c r="A17" s="1" t="s">
        <v>187</v>
      </c>
      <c r="B17" s="1" t="s">
        <v>188</v>
      </c>
      <c r="C17" s="1" t="s">
        <v>189</v>
      </c>
      <c r="E17" s="1">
        <v>488.0</v>
      </c>
    </row>
    <row r="18">
      <c r="B18" s="1" t="s">
        <v>190</v>
      </c>
      <c r="C18" s="1" t="s">
        <v>191</v>
      </c>
      <c r="D18" s="1" t="s">
        <v>192</v>
      </c>
      <c r="E18" s="1">
        <v>585.0</v>
      </c>
    </row>
    <row r="19">
      <c r="C19" s="1" t="s">
        <v>193</v>
      </c>
      <c r="D19" s="1" t="s">
        <v>194</v>
      </c>
    </row>
    <row r="20">
      <c r="C20" s="1" t="s">
        <v>195</v>
      </c>
      <c r="D20" s="1" t="s">
        <v>196</v>
      </c>
    </row>
    <row r="21">
      <c r="C21" s="1" t="s">
        <v>197</v>
      </c>
      <c r="D21" s="1" t="s">
        <v>198</v>
      </c>
    </row>
    <row r="22">
      <c r="C22" s="1" t="s">
        <v>199</v>
      </c>
      <c r="D22" s="1">
        <v>12.0</v>
      </c>
    </row>
    <row r="23">
      <c r="C23" s="1" t="s">
        <v>200</v>
      </c>
      <c r="D23" s="1">
        <v>15.0</v>
      </c>
    </row>
    <row r="24">
      <c r="C24" s="1" t="s">
        <v>201</v>
      </c>
      <c r="D24" s="1">
        <v>4.0</v>
      </c>
    </row>
    <row r="25">
      <c r="B25" s="1" t="s">
        <v>202</v>
      </c>
      <c r="C25" s="1" t="s">
        <v>203</v>
      </c>
      <c r="E25" s="1">
        <v>585.0</v>
      </c>
    </row>
    <row r="26">
      <c r="B26" s="1" t="s">
        <v>204</v>
      </c>
      <c r="C26" s="1" t="s">
        <v>203</v>
      </c>
      <c r="E26" s="1">
        <v>292.0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IFERROR(__xludf.DUMMYFUNCTION("IMPORTHTML(""https://www.lequipe.fr/Football/ligue-1/page-classement-equipes/general"",""table"",1)"),"#REF!")</f>
        <v>#REF!</v>
      </c>
      <c r="B1" s="1"/>
      <c r="C1" s="1"/>
      <c r="D1" s="1"/>
      <c r="E1" s="1"/>
      <c r="F1" s="1"/>
      <c r="G1" s="1"/>
      <c r="H1" s="1"/>
      <c r="I1" s="1"/>
      <c r="J1" s="1"/>
      <c r="K1" s="1"/>
      <c r="L1" s="1"/>
      <c r="M1" s="1"/>
      <c r="N1" s="1"/>
    </row>
    <row r="2">
      <c r="A2" s="1"/>
      <c r="B2" s="1"/>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row>
    <row r="5">
      <c r="A5" s="1"/>
      <c r="B5" s="1"/>
      <c r="C5" s="1"/>
      <c r="D5" s="1"/>
      <c r="E5" s="1"/>
      <c r="F5" s="1"/>
      <c r="G5" s="1"/>
      <c r="H5" s="1"/>
      <c r="I5" s="1"/>
      <c r="J5" s="1"/>
      <c r="K5" s="1"/>
      <c r="L5" s="1"/>
      <c r="M5" s="1"/>
      <c r="N5" s="1"/>
    </row>
    <row r="6">
      <c r="A6" s="1"/>
      <c r="B6" s="1"/>
      <c r="C6" s="1"/>
      <c r="D6" s="1"/>
      <c r="E6" s="1"/>
      <c r="F6" s="1"/>
      <c r="G6" s="1"/>
      <c r="H6" s="1"/>
      <c r="I6" s="1"/>
      <c r="J6" s="1"/>
      <c r="K6" s="1"/>
      <c r="L6" s="1"/>
      <c r="M6" s="1"/>
      <c r="N6" s="1"/>
    </row>
    <row r="7">
      <c r="A7" s="1"/>
      <c r="B7" s="2"/>
      <c r="C7" s="1"/>
      <c r="D7" s="1"/>
      <c r="E7" s="1"/>
      <c r="F7" s="1"/>
      <c r="G7" s="1"/>
      <c r="H7" s="1"/>
      <c r="I7" s="1"/>
      <c r="J7" s="1"/>
      <c r="K7" s="1"/>
      <c r="L7" s="1"/>
      <c r="M7" s="1"/>
      <c r="N7" s="1"/>
    </row>
    <row r="8">
      <c r="A8" s="1"/>
      <c r="B8" s="1"/>
      <c r="C8" s="1"/>
      <c r="D8" s="1"/>
      <c r="E8" s="1"/>
      <c r="F8" s="1"/>
      <c r="G8" s="1"/>
      <c r="H8" s="1"/>
      <c r="I8" s="1"/>
      <c r="J8" s="1"/>
      <c r="K8" s="1"/>
      <c r="L8" s="1"/>
      <c r="M8" s="1"/>
      <c r="N8" s="1"/>
    </row>
    <row r="9">
      <c r="A9" s="1"/>
      <c r="B9" s="1"/>
      <c r="C9" s="1"/>
      <c r="D9" s="1"/>
      <c r="E9" s="1"/>
      <c r="F9" s="1"/>
      <c r="G9" s="1"/>
      <c r="H9" s="1"/>
      <c r="I9" s="1"/>
      <c r="J9" s="1"/>
      <c r="K9" s="1"/>
      <c r="L9" s="1"/>
      <c r="M9" s="1"/>
      <c r="N9" s="1"/>
    </row>
    <row r="10">
      <c r="A10" s="1"/>
      <c r="B10" s="1"/>
      <c r="C10" s="1"/>
      <c r="D10" s="1"/>
      <c r="E10" s="1"/>
      <c r="F10" s="1"/>
      <c r="G10" s="1"/>
      <c r="H10" s="1"/>
      <c r="I10" s="1"/>
      <c r="J10" s="1"/>
      <c r="K10" s="1"/>
      <c r="L10" s="1"/>
      <c r="M10" s="1"/>
      <c r="N10" s="1"/>
    </row>
    <row r="11">
      <c r="A11" s="1"/>
      <c r="B11" s="1"/>
      <c r="C11" s="1"/>
      <c r="D11" s="1"/>
      <c r="E11" s="1"/>
      <c r="F11" s="1"/>
      <c r="G11" s="1"/>
      <c r="H11" s="1"/>
      <c r="I11" s="1"/>
      <c r="J11" s="1"/>
      <c r="K11" s="1"/>
      <c r="L11" s="1"/>
      <c r="M11" s="1"/>
      <c r="N11" s="1"/>
    </row>
    <row r="12">
      <c r="A12" s="1"/>
      <c r="B12" s="1"/>
      <c r="C12" s="1"/>
      <c r="D12" s="1"/>
      <c r="E12" s="1"/>
      <c r="F12" s="1"/>
      <c r="G12" s="1"/>
      <c r="H12" s="1"/>
      <c r="I12" s="1"/>
      <c r="J12" s="1"/>
      <c r="K12" s="1"/>
      <c r="L12" s="1"/>
      <c r="M12" s="1"/>
      <c r="N12" s="1"/>
    </row>
    <row r="13">
      <c r="A13" s="1"/>
      <c r="B13" s="1"/>
      <c r="C13" s="1"/>
      <c r="D13" s="1"/>
      <c r="E13" s="1"/>
      <c r="F13" s="1"/>
      <c r="G13" s="1"/>
      <c r="H13" s="1"/>
      <c r="I13" s="1"/>
      <c r="J13" s="1"/>
      <c r="K13" s="1"/>
      <c r="L13" s="1"/>
      <c r="M13" s="1"/>
      <c r="N13" s="1"/>
    </row>
    <row r="14">
      <c r="A14" s="1"/>
      <c r="B14" s="1"/>
      <c r="C14" s="1"/>
      <c r="D14" s="1"/>
      <c r="E14" s="1"/>
      <c r="F14" s="1"/>
      <c r="G14" s="1"/>
      <c r="H14" s="1"/>
      <c r="I14" s="1"/>
      <c r="J14" s="1"/>
      <c r="K14" s="1"/>
      <c r="L14" s="1"/>
      <c r="M14" s="1"/>
      <c r="N14" s="1"/>
    </row>
    <row r="15">
      <c r="A15" s="1"/>
      <c r="B15" s="1"/>
      <c r="C15" s="1"/>
      <c r="D15" s="1"/>
      <c r="E15" s="1"/>
      <c r="F15" s="1"/>
      <c r="G15" s="1"/>
      <c r="H15" s="1"/>
      <c r="I15" s="1"/>
      <c r="J15" s="1"/>
      <c r="K15" s="1"/>
      <c r="L15" s="1"/>
      <c r="M15" s="1"/>
      <c r="N15" s="1"/>
    </row>
    <row r="16">
      <c r="A16" s="1"/>
      <c r="B16" s="1"/>
      <c r="C16" s="1"/>
      <c r="D16" s="1"/>
      <c r="E16" s="1"/>
      <c r="F16" s="1"/>
      <c r="G16" s="1"/>
      <c r="H16" s="1"/>
      <c r="I16" s="1"/>
      <c r="J16" s="1"/>
      <c r="K16" s="1"/>
      <c r="L16" s="1"/>
      <c r="M16" s="1"/>
      <c r="N16" s="1"/>
    </row>
    <row r="17">
      <c r="A17" s="1"/>
      <c r="B17" s="1"/>
      <c r="C17" s="1"/>
      <c r="D17" s="1"/>
      <c r="E17" s="1"/>
      <c r="F17" s="1"/>
      <c r="G17" s="1"/>
      <c r="H17" s="1"/>
      <c r="I17" s="1"/>
      <c r="J17" s="1"/>
      <c r="K17" s="1"/>
      <c r="L17" s="1"/>
      <c r="M17" s="1"/>
      <c r="N17" s="1"/>
    </row>
    <row r="18">
      <c r="A18" s="1"/>
      <c r="B18" s="2" t="s">
        <v>205</v>
      </c>
    </row>
    <row r="26">
      <c r="A26" s="15"/>
      <c r="B26" s="15"/>
      <c r="C26" s="15"/>
      <c r="D26" s="15" t="s">
        <v>206</v>
      </c>
      <c r="E26" s="15" t="s">
        <v>207</v>
      </c>
      <c r="F26" s="15" t="s">
        <v>208</v>
      </c>
      <c r="G26" s="15" t="s">
        <v>209</v>
      </c>
      <c r="H26" s="15" t="s">
        <v>210</v>
      </c>
      <c r="I26" s="15" t="s">
        <v>211</v>
      </c>
      <c r="J26" s="15" t="s">
        <v>212</v>
      </c>
      <c r="K26" s="15" t="s">
        <v>213</v>
      </c>
      <c r="L26" s="15" t="s">
        <v>208</v>
      </c>
      <c r="M26" s="15" t="s">
        <v>209</v>
      </c>
      <c r="N26" s="15" t="s">
        <v>210</v>
      </c>
      <c r="O26" s="15"/>
      <c r="P26" s="15"/>
      <c r="Q26" s="15"/>
      <c r="R26" s="15"/>
      <c r="S26" s="15"/>
      <c r="T26" s="15"/>
      <c r="U26" s="15"/>
      <c r="V26" s="15"/>
      <c r="W26" s="15"/>
      <c r="X26" s="15"/>
      <c r="Y26" s="15"/>
      <c r="Z26" s="15"/>
    </row>
    <row r="27">
      <c r="A27" s="16">
        <v>1.0</v>
      </c>
      <c r="B27" s="15" t="s">
        <v>214</v>
      </c>
      <c r="C27" s="15"/>
      <c r="D27" s="16">
        <v>41.0</v>
      </c>
      <c r="E27" s="16">
        <v>15.0</v>
      </c>
      <c r="F27" s="16">
        <v>13.0</v>
      </c>
      <c r="G27" s="16">
        <v>2.0</v>
      </c>
      <c r="H27" s="16">
        <v>0.0</v>
      </c>
      <c r="I27" s="16">
        <v>43.0</v>
      </c>
      <c r="J27" s="16">
        <v>9.0</v>
      </c>
      <c r="K27" s="15" t="s">
        <v>215</v>
      </c>
      <c r="L27" s="15"/>
      <c r="M27" s="15"/>
      <c r="N27" s="15"/>
      <c r="O27" s="15"/>
      <c r="P27" s="15"/>
      <c r="Q27" s="15"/>
      <c r="R27" s="15"/>
      <c r="S27" s="15"/>
      <c r="T27" s="15"/>
      <c r="U27" s="15"/>
      <c r="V27" s="15"/>
      <c r="W27" s="15"/>
      <c r="X27" s="15"/>
      <c r="Y27" s="15"/>
      <c r="Z27" s="15"/>
    </row>
    <row r="28">
      <c r="A28" s="16">
        <v>2.0</v>
      </c>
      <c r="B28" s="15" t="s">
        <v>216</v>
      </c>
      <c r="C28" s="15"/>
      <c r="D28" s="16">
        <v>36.0</v>
      </c>
      <c r="E28" s="16">
        <v>15.0</v>
      </c>
      <c r="F28" s="16">
        <v>11.0</v>
      </c>
      <c r="G28" s="16">
        <v>3.0</v>
      </c>
      <c r="H28" s="16">
        <v>1.0</v>
      </c>
      <c r="I28" s="16">
        <v>26.0</v>
      </c>
      <c r="J28" s="16">
        <v>10.0</v>
      </c>
      <c r="K28" s="15" t="s">
        <v>217</v>
      </c>
      <c r="L28" s="15"/>
      <c r="M28" s="15"/>
      <c r="N28" s="15"/>
      <c r="O28" s="15"/>
      <c r="P28" s="15"/>
      <c r="Q28" s="15"/>
      <c r="R28" s="15"/>
      <c r="S28" s="15"/>
      <c r="T28" s="15"/>
      <c r="U28" s="15"/>
      <c r="V28" s="15"/>
      <c r="W28" s="15"/>
      <c r="X28" s="15"/>
      <c r="Y28" s="15"/>
      <c r="Z28" s="15"/>
    </row>
    <row r="29">
      <c r="A29" s="16">
        <v>3.0</v>
      </c>
      <c r="B29" s="15" t="s">
        <v>218</v>
      </c>
      <c r="C29" s="15"/>
      <c r="D29" s="16">
        <v>31.0</v>
      </c>
      <c r="E29" s="16">
        <v>15.0</v>
      </c>
      <c r="F29" s="16">
        <v>9.0</v>
      </c>
      <c r="G29" s="16">
        <v>4.0</v>
      </c>
      <c r="H29" s="16">
        <v>2.0</v>
      </c>
      <c r="I29" s="16">
        <v>31.0</v>
      </c>
      <c r="J29" s="16">
        <v>14.0</v>
      </c>
      <c r="K29" s="15" t="s">
        <v>219</v>
      </c>
      <c r="L29" s="15"/>
      <c r="M29" s="15"/>
      <c r="N29" s="15"/>
      <c r="O29" s="15"/>
      <c r="P29" s="15"/>
      <c r="Q29" s="15"/>
      <c r="R29" s="15"/>
      <c r="S29" s="15"/>
      <c r="T29" s="15"/>
      <c r="U29" s="15"/>
      <c r="V29" s="15"/>
      <c r="W29" s="15"/>
      <c r="X29" s="15"/>
      <c r="Y29" s="15"/>
      <c r="Z29" s="15"/>
    </row>
    <row r="30">
      <c r="A30" s="16">
        <v>4.0</v>
      </c>
      <c r="B30" s="15" t="s">
        <v>220</v>
      </c>
      <c r="C30" s="15"/>
      <c r="D30" s="16">
        <v>30.0</v>
      </c>
      <c r="E30" s="16">
        <v>15.0</v>
      </c>
      <c r="F30" s="16">
        <v>9.0</v>
      </c>
      <c r="G30" s="16">
        <v>3.0</v>
      </c>
      <c r="H30" s="16">
        <v>3.0</v>
      </c>
      <c r="I30" s="16">
        <v>26.0</v>
      </c>
      <c r="J30" s="16">
        <v>13.0</v>
      </c>
      <c r="K30" s="15" t="s">
        <v>221</v>
      </c>
      <c r="L30" s="15"/>
      <c r="M30" s="15"/>
      <c r="N30" s="15"/>
      <c r="O30" s="15"/>
      <c r="P30" s="15"/>
      <c r="Q30" s="15"/>
      <c r="R30" s="15"/>
      <c r="S30" s="15"/>
      <c r="T30" s="15"/>
      <c r="U30" s="15"/>
      <c r="V30" s="15"/>
      <c r="W30" s="15"/>
      <c r="X30" s="15"/>
      <c r="Y30" s="15"/>
      <c r="Z30" s="15"/>
    </row>
    <row r="31">
      <c r="A31" s="16">
        <v>5.0</v>
      </c>
      <c r="B31" s="15" t="s">
        <v>222</v>
      </c>
      <c r="C31" s="16">
        <v>1.0</v>
      </c>
      <c r="D31" s="16">
        <v>28.0</v>
      </c>
      <c r="E31" s="16">
        <v>15.0</v>
      </c>
      <c r="F31" s="16">
        <v>8.0</v>
      </c>
      <c r="G31" s="16">
        <v>4.0</v>
      </c>
      <c r="H31" s="16">
        <v>3.0</v>
      </c>
      <c r="I31" s="16">
        <v>26.0</v>
      </c>
      <c r="J31" s="16">
        <v>21.0</v>
      </c>
      <c r="K31" s="15" t="s">
        <v>223</v>
      </c>
      <c r="L31" s="15"/>
      <c r="M31" s="15"/>
      <c r="N31" s="15"/>
      <c r="O31" s="15"/>
      <c r="P31" s="15"/>
      <c r="Q31" s="15"/>
      <c r="R31" s="15"/>
      <c r="S31" s="15"/>
      <c r="T31" s="15"/>
      <c r="U31" s="15"/>
      <c r="V31" s="15"/>
      <c r="W31" s="15"/>
      <c r="X31" s="15"/>
      <c r="Y31" s="15"/>
      <c r="Z31" s="15"/>
    </row>
    <row r="32">
      <c r="A32" s="16">
        <v>6.0</v>
      </c>
      <c r="B32" s="17" t="s">
        <v>224</v>
      </c>
      <c r="C32" s="16">
        <v>1.0</v>
      </c>
      <c r="D32" s="16">
        <v>27.0</v>
      </c>
      <c r="E32" s="16">
        <v>15.0</v>
      </c>
      <c r="F32" s="16">
        <v>8.0</v>
      </c>
      <c r="G32" s="16">
        <v>3.0</v>
      </c>
      <c r="H32" s="16">
        <v>4.0</v>
      </c>
      <c r="I32" s="16">
        <v>29.0</v>
      </c>
      <c r="J32" s="16">
        <v>21.0</v>
      </c>
      <c r="K32" s="15" t="s">
        <v>225</v>
      </c>
      <c r="L32" s="15"/>
      <c r="M32" s="15"/>
      <c r="N32" s="15"/>
      <c r="O32" s="15"/>
      <c r="P32" s="15"/>
      <c r="Q32" s="15"/>
      <c r="R32" s="15"/>
      <c r="S32" s="15"/>
      <c r="T32" s="15"/>
      <c r="U32" s="15"/>
      <c r="V32" s="15"/>
      <c r="W32" s="15"/>
      <c r="X32" s="15"/>
      <c r="Y32" s="15"/>
      <c r="Z32" s="15"/>
    </row>
    <row r="33">
      <c r="A33" s="16">
        <v>7.0</v>
      </c>
      <c r="B33" s="15" t="s">
        <v>226</v>
      </c>
      <c r="C33" s="15"/>
      <c r="D33" s="16">
        <v>26.0</v>
      </c>
      <c r="E33" s="16">
        <v>15.0</v>
      </c>
      <c r="F33" s="16">
        <v>8.0</v>
      </c>
      <c r="G33" s="16">
        <v>2.0</v>
      </c>
      <c r="H33" s="16">
        <v>5.0</v>
      </c>
      <c r="I33" s="16">
        <v>27.0</v>
      </c>
      <c r="J33" s="16">
        <v>23.0</v>
      </c>
      <c r="K33" s="15" t="s">
        <v>227</v>
      </c>
      <c r="L33" s="15"/>
      <c r="M33" s="15"/>
      <c r="N33" s="15"/>
      <c r="O33" s="15"/>
      <c r="P33" s="15"/>
      <c r="Q33" s="15"/>
      <c r="R33" s="15"/>
      <c r="S33" s="15"/>
      <c r="T33" s="15"/>
      <c r="U33" s="15"/>
      <c r="V33" s="15"/>
      <c r="W33" s="15"/>
      <c r="X33" s="15"/>
      <c r="Y33" s="15"/>
      <c r="Z33" s="15"/>
    </row>
    <row r="34">
      <c r="A34" s="16">
        <v>8.0</v>
      </c>
      <c r="B34" s="15" t="s">
        <v>228</v>
      </c>
      <c r="C34" s="15"/>
      <c r="D34" s="16">
        <v>21.0</v>
      </c>
      <c r="E34" s="16">
        <v>15.0</v>
      </c>
      <c r="F34" s="16">
        <v>6.0</v>
      </c>
      <c r="G34" s="16">
        <v>3.0</v>
      </c>
      <c r="H34" s="16">
        <v>6.0</v>
      </c>
      <c r="I34" s="16">
        <v>23.0</v>
      </c>
      <c r="J34" s="16">
        <v>18.0</v>
      </c>
      <c r="K34" s="15" t="s">
        <v>223</v>
      </c>
      <c r="L34" s="15"/>
      <c r="M34" s="15"/>
      <c r="N34" s="15"/>
      <c r="O34" s="15"/>
      <c r="P34" s="15"/>
      <c r="Q34" s="15"/>
      <c r="R34" s="15"/>
      <c r="S34" s="15"/>
      <c r="T34" s="15"/>
      <c r="U34" s="15"/>
      <c r="V34" s="15"/>
      <c r="W34" s="15"/>
      <c r="X34" s="15"/>
      <c r="Y34" s="15"/>
      <c r="Z34" s="15"/>
    </row>
    <row r="35">
      <c r="A35" s="16">
        <v>9.0</v>
      </c>
      <c r="B35" s="15" t="s">
        <v>229</v>
      </c>
      <c r="C35" s="15"/>
      <c r="D35" s="16">
        <v>20.0</v>
      </c>
      <c r="E35" s="16">
        <v>15.0</v>
      </c>
      <c r="F35" s="16">
        <v>5.0</v>
      </c>
      <c r="G35" s="16">
        <v>5.0</v>
      </c>
      <c r="H35" s="16">
        <v>5.0</v>
      </c>
      <c r="I35" s="16">
        <v>15.0</v>
      </c>
      <c r="J35" s="16">
        <v>17.0</v>
      </c>
      <c r="K35" s="16">
        <v>-2.0</v>
      </c>
      <c r="L35" s="15"/>
      <c r="M35" s="15"/>
      <c r="N35" s="15"/>
      <c r="O35" s="15"/>
      <c r="P35" s="15"/>
      <c r="Q35" s="15"/>
      <c r="R35" s="15"/>
      <c r="S35" s="15"/>
      <c r="T35" s="15"/>
      <c r="U35" s="15"/>
      <c r="V35" s="15"/>
      <c r="W35" s="15"/>
      <c r="X35" s="15"/>
      <c r="Y35" s="15"/>
      <c r="Z35" s="15"/>
    </row>
    <row r="36">
      <c r="A36" s="16">
        <v>10.0</v>
      </c>
      <c r="B36" s="15" t="s">
        <v>230</v>
      </c>
      <c r="C36" s="15"/>
      <c r="D36" s="16">
        <v>19.0</v>
      </c>
      <c r="E36" s="16">
        <v>15.0</v>
      </c>
      <c r="F36" s="16">
        <v>5.0</v>
      </c>
      <c r="G36" s="16">
        <v>4.0</v>
      </c>
      <c r="H36" s="16">
        <v>6.0</v>
      </c>
      <c r="I36" s="16">
        <v>19.0</v>
      </c>
      <c r="J36" s="16">
        <v>23.0</v>
      </c>
      <c r="K36" s="16">
        <v>-4.0</v>
      </c>
      <c r="L36" s="15"/>
      <c r="M36" s="15"/>
      <c r="N36" s="15"/>
      <c r="O36" s="15"/>
      <c r="P36" s="15"/>
      <c r="Q36" s="15"/>
      <c r="R36" s="15"/>
      <c r="S36" s="15"/>
      <c r="T36" s="15"/>
      <c r="U36" s="15"/>
      <c r="V36" s="15"/>
      <c r="W36" s="15"/>
      <c r="X36" s="15"/>
      <c r="Y36" s="15"/>
      <c r="Z36" s="15"/>
    </row>
    <row r="37">
      <c r="A37" s="16">
        <v>11.0</v>
      </c>
      <c r="B37" s="15" t="s">
        <v>231</v>
      </c>
      <c r="C37" s="15"/>
      <c r="D37" s="16">
        <v>17.0</v>
      </c>
      <c r="E37" s="16">
        <v>15.0</v>
      </c>
      <c r="F37" s="16">
        <v>3.0</v>
      </c>
      <c r="G37" s="16">
        <v>8.0</v>
      </c>
      <c r="H37" s="16">
        <v>4.0</v>
      </c>
      <c r="I37" s="16">
        <v>16.0</v>
      </c>
      <c r="J37" s="16">
        <v>21.0</v>
      </c>
      <c r="K37" s="16">
        <v>-5.0</v>
      </c>
      <c r="L37" s="15"/>
      <c r="M37" s="15"/>
      <c r="N37" s="15"/>
      <c r="O37" s="15"/>
      <c r="P37" s="15"/>
      <c r="Q37" s="15"/>
      <c r="R37" s="15"/>
      <c r="S37" s="15"/>
      <c r="T37" s="15"/>
      <c r="U37" s="15"/>
      <c r="V37" s="15"/>
      <c r="W37" s="15"/>
      <c r="X37" s="15"/>
      <c r="Y37" s="15"/>
      <c r="Z37" s="15"/>
    </row>
    <row r="38">
      <c r="A38" s="16">
        <v>12.0</v>
      </c>
      <c r="B38" s="15" t="s">
        <v>232</v>
      </c>
      <c r="C38" s="15"/>
      <c r="D38" s="16">
        <v>16.0</v>
      </c>
      <c r="E38" s="16">
        <v>15.0</v>
      </c>
      <c r="F38" s="16">
        <v>4.0</v>
      </c>
      <c r="G38" s="16">
        <v>4.0</v>
      </c>
      <c r="H38" s="16">
        <v>7.0</v>
      </c>
      <c r="I38" s="16">
        <v>20.0</v>
      </c>
      <c r="J38" s="16">
        <v>27.0</v>
      </c>
      <c r="K38" s="16">
        <v>-7.0</v>
      </c>
      <c r="L38" s="15"/>
      <c r="M38" s="15"/>
      <c r="N38" s="15"/>
      <c r="O38" s="15"/>
      <c r="P38" s="15"/>
      <c r="Q38" s="15"/>
      <c r="R38" s="15"/>
      <c r="S38" s="15"/>
      <c r="T38" s="15"/>
      <c r="U38" s="15"/>
      <c r="V38" s="15"/>
      <c r="W38" s="15"/>
      <c r="X38" s="15"/>
      <c r="Y38" s="15"/>
      <c r="Z38" s="15"/>
    </row>
    <row r="39">
      <c r="A39" s="16">
        <v>13.0</v>
      </c>
      <c r="B39" s="15" t="s">
        <v>233</v>
      </c>
      <c r="C39" s="15"/>
      <c r="D39" s="16">
        <v>14.0</v>
      </c>
      <c r="E39" s="16">
        <v>15.0</v>
      </c>
      <c r="F39" s="16">
        <v>3.0</v>
      </c>
      <c r="G39" s="16">
        <v>5.0</v>
      </c>
      <c r="H39" s="16">
        <v>7.0</v>
      </c>
      <c r="I39" s="16">
        <v>26.0</v>
      </c>
      <c r="J39" s="16">
        <v>31.0</v>
      </c>
      <c r="K39" s="16">
        <v>-5.0</v>
      </c>
      <c r="L39" s="15"/>
      <c r="M39" s="15"/>
      <c r="N39" s="15"/>
      <c r="O39" s="15"/>
      <c r="P39" s="15"/>
      <c r="Q39" s="15"/>
      <c r="R39" s="15"/>
      <c r="S39" s="15"/>
      <c r="T39" s="15"/>
      <c r="U39" s="15"/>
      <c r="V39" s="15"/>
      <c r="W39" s="15"/>
      <c r="X39" s="15"/>
      <c r="Y39" s="15"/>
      <c r="Z39" s="15"/>
    </row>
    <row r="40">
      <c r="A40" s="16">
        <v>14.0</v>
      </c>
      <c r="B40" s="15" t="s">
        <v>234</v>
      </c>
      <c r="C40" s="15"/>
      <c r="D40" s="16">
        <v>14.0</v>
      </c>
      <c r="E40" s="16">
        <v>15.0</v>
      </c>
      <c r="F40" s="16">
        <v>4.0</v>
      </c>
      <c r="G40" s="16">
        <v>2.0</v>
      </c>
      <c r="H40" s="16">
        <v>9.0</v>
      </c>
      <c r="I40" s="16">
        <v>24.0</v>
      </c>
      <c r="J40" s="16">
        <v>29.0</v>
      </c>
      <c r="K40" s="16">
        <v>-5.0</v>
      </c>
      <c r="L40" s="15"/>
      <c r="M40" s="15"/>
      <c r="N40" s="15"/>
      <c r="O40" s="15"/>
      <c r="P40" s="15"/>
      <c r="Q40" s="15"/>
      <c r="R40" s="15"/>
      <c r="S40" s="15"/>
      <c r="T40" s="15"/>
      <c r="U40" s="15"/>
      <c r="V40" s="15"/>
      <c r="W40" s="15"/>
      <c r="X40" s="15"/>
      <c r="Y40" s="15"/>
      <c r="Z40" s="15"/>
    </row>
    <row r="41">
      <c r="A41" s="16">
        <v>15.0</v>
      </c>
      <c r="B41" s="15" t="s">
        <v>235</v>
      </c>
      <c r="C41" s="16">
        <v>1.0</v>
      </c>
      <c r="D41" s="16">
        <v>13.0</v>
      </c>
      <c r="E41" s="16">
        <v>15.0</v>
      </c>
      <c r="F41" s="16">
        <v>2.0</v>
      </c>
      <c r="G41" s="16">
        <v>7.0</v>
      </c>
      <c r="H41" s="16">
        <v>6.0</v>
      </c>
      <c r="I41" s="16">
        <v>17.0</v>
      </c>
      <c r="J41" s="16">
        <v>24.0</v>
      </c>
      <c r="K41" s="16">
        <v>-7.0</v>
      </c>
      <c r="L41" s="15"/>
      <c r="M41" s="15"/>
      <c r="N41" s="15"/>
      <c r="O41" s="15"/>
      <c r="P41" s="15"/>
      <c r="Q41" s="15"/>
      <c r="R41" s="15"/>
      <c r="S41" s="15"/>
      <c r="T41" s="15"/>
      <c r="U41" s="15"/>
      <c r="V41" s="15"/>
      <c r="W41" s="15"/>
      <c r="X41" s="15"/>
      <c r="Y41" s="15"/>
      <c r="Z41" s="15"/>
    </row>
    <row r="42">
      <c r="A42" s="16">
        <v>16.0</v>
      </c>
      <c r="B42" s="18" t="s">
        <v>236</v>
      </c>
      <c r="C42" s="16">
        <v>3.0</v>
      </c>
      <c r="D42" s="16">
        <v>13.0</v>
      </c>
      <c r="E42" s="16">
        <v>15.0</v>
      </c>
      <c r="F42" s="16">
        <v>3.0</v>
      </c>
      <c r="G42" s="16">
        <v>4.0</v>
      </c>
      <c r="H42" s="16">
        <v>8.0</v>
      </c>
      <c r="I42" s="16">
        <v>16.0</v>
      </c>
      <c r="J42" s="16">
        <v>28.0</v>
      </c>
      <c r="K42" s="16">
        <v>-12.0</v>
      </c>
      <c r="L42" s="15"/>
      <c r="M42" s="15"/>
      <c r="N42" s="15"/>
      <c r="O42" s="15"/>
      <c r="P42" s="15"/>
      <c r="Q42" s="15"/>
      <c r="R42" s="15"/>
      <c r="S42" s="15"/>
      <c r="T42" s="15"/>
      <c r="U42" s="15"/>
      <c r="V42" s="15"/>
      <c r="W42" s="15"/>
      <c r="X42" s="15"/>
      <c r="Y42" s="15"/>
      <c r="Z42" s="15"/>
    </row>
    <row r="43">
      <c r="A43" s="16">
        <v>17.0</v>
      </c>
      <c r="B43" s="15" t="s">
        <v>237</v>
      </c>
      <c r="C43" s="16">
        <v>2.0</v>
      </c>
      <c r="D43" s="16">
        <v>13.0</v>
      </c>
      <c r="E43" s="16">
        <v>15.0</v>
      </c>
      <c r="F43" s="16">
        <v>3.0</v>
      </c>
      <c r="G43" s="16">
        <v>4.0</v>
      </c>
      <c r="H43" s="16">
        <v>8.0</v>
      </c>
      <c r="I43" s="16">
        <v>14.0</v>
      </c>
      <c r="J43" s="16">
        <v>31.0</v>
      </c>
      <c r="K43" s="16">
        <v>-17.0</v>
      </c>
      <c r="L43" s="15"/>
      <c r="M43" s="15"/>
      <c r="N43" s="15"/>
      <c r="O43" s="15"/>
      <c r="P43" s="15"/>
      <c r="Q43" s="15"/>
      <c r="R43" s="15"/>
      <c r="S43" s="15"/>
      <c r="T43" s="15"/>
      <c r="U43" s="15"/>
      <c r="V43" s="15"/>
      <c r="W43" s="15"/>
      <c r="X43" s="15"/>
      <c r="Y43" s="15"/>
      <c r="Z43" s="15"/>
    </row>
    <row r="44">
      <c r="A44" s="16">
        <v>18.0</v>
      </c>
      <c r="B44" s="15" t="s">
        <v>238</v>
      </c>
      <c r="C44" s="16">
        <v>1.0</v>
      </c>
      <c r="D44" s="16">
        <v>12.0</v>
      </c>
      <c r="E44" s="16">
        <v>15.0</v>
      </c>
      <c r="F44" s="16">
        <v>3.0</v>
      </c>
      <c r="G44" s="19">
        <v>3.0</v>
      </c>
      <c r="H44" s="16">
        <v>9.0</v>
      </c>
      <c r="I44" s="16">
        <v>14.0</v>
      </c>
      <c r="J44" s="16">
        <v>24.0</v>
      </c>
      <c r="K44" s="16">
        <v>-10.0</v>
      </c>
      <c r="L44" s="15"/>
      <c r="M44" s="15"/>
      <c r="N44" s="15"/>
      <c r="O44" s="15"/>
      <c r="P44" s="15"/>
      <c r="Q44" s="15"/>
      <c r="R44" s="15"/>
      <c r="S44" s="15"/>
      <c r="T44" s="15"/>
      <c r="U44" s="15"/>
      <c r="V44" s="15"/>
      <c r="W44" s="15"/>
      <c r="X44" s="15"/>
      <c r="Y44" s="15"/>
      <c r="Z44" s="15"/>
    </row>
    <row r="45">
      <c r="A45" s="16">
        <v>19.0</v>
      </c>
      <c r="B45" s="15" t="s">
        <v>239</v>
      </c>
      <c r="C45" s="16">
        <v>1.0</v>
      </c>
      <c r="D45" s="16">
        <v>11.0</v>
      </c>
      <c r="E45" s="16">
        <v>15.0</v>
      </c>
      <c r="F45" s="16">
        <v>1.0</v>
      </c>
      <c r="G45" s="16">
        <v>8.0</v>
      </c>
      <c r="H45" s="16">
        <v>6.0</v>
      </c>
      <c r="I45" s="16">
        <v>17.0</v>
      </c>
      <c r="J45" s="16">
        <v>26.0</v>
      </c>
      <c r="K45" s="16">
        <v>-9.0</v>
      </c>
      <c r="L45" s="15"/>
      <c r="M45" s="15"/>
      <c r="N45" s="15"/>
      <c r="O45" s="15"/>
      <c r="P45" s="15"/>
      <c r="Q45" s="15"/>
      <c r="R45" s="15"/>
      <c r="S45" s="15"/>
      <c r="T45" s="15"/>
      <c r="U45" s="15"/>
      <c r="V45" s="15"/>
      <c r="W45" s="15"/>
      <c r="X45" s="15"/>
      <c r="Y45" s="15"/>
      <c r="Z45" s="15"/>
    </row>
    <row r="46">
      <c r="A46" s="16">
        <v>20.0</v>
      </c>
      <c r="B46" s="15" t="s">
        <v>240</v>
      </c>
      <c r="C46" s="15"/>
      <c r="D46" s="16">
        <v>8.0</v>
      </c>
      <c r="E46" s="16">
        <v>15.0</v>
      </c>
      <c r="F46" s="16">
        <v>2.0</v>
      </c>
      <c r="G46" s="16">
        <v>2.0</v>
      </c>
      <c r="H46" s="16">
        <v>11.0</v>
      </c>
      <c r="I46" s="16">
        <v>15.0</v>
      </c>
      <c r="J46" s="16">
        <v>34.0</v>
      </c>
      <c r="K46" s="16">
        <v>-19.0</v>
      </c>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row>
    <row r="1012">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row>
    <row r="1013">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row>
    <row r="1014">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row>
    <row r="1015">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row>
    <row r="1016">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row>
    <row r="1017">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row>
    <row r="1018">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row>
    <row r="1019">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row>
    <row r="1020">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row>
    <row r="1021">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row>
    <row r="1022">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row>
    <row r="1023">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row>
    <row r="1024">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row>
    <row r="1025">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s>
  <sheetData>
    <row r="1">
      <c r="A1" s="20" t="s">
        <v>241</v>
      </c>
      <c r="B1" s="20" t="s">
        <v>242</v>
      </c>
      <c r="C1" s="20" t="s">
        <v>243</v>
      </c>
      <c r="D1" s="20" t="s">
        <v>244</v>
      </c>
      <c r="E1" s="13"/>
      <c r="F1" s="20" t="s">
        <v>1</v>
      </c>
      <c r="G1" s="20" t="s">
        <v>2</v>
      </c>
      <c r="H1" s="20" t="s">
        <v>4</v>
      </c>
      <c r="I1" s="20" t="s">
        <v>5</v>
      </c>
      <c r="J1" s="20" t="s">
        <v>3</v>
      </c>
      <c r="K1" s="20"/>
      <c r="L1" s="20"/>
    </row>
    <row r="2">
      <c r="A2" s="20" t="s">
        <v>245</v>
      </c>
      <c r="B2" s="20" t="s">
        <v>246</v>
      </c>
      <c r="C2" s="20" t="s">
        <v>247</v>
      </c>
      <c r="D2" s="20" t="s">
        <v>248</v>
      </c>
      <c r="F2" s="20">
        <v>1930.0</v>
      </c>
      <c r="G2" s="20" t="s">
        <v>9</v>
      </c>
      <c r="H2" s="20" t="s">
        <v>11</v>
      </c>
      <c r="I2" s="20" t="s">
        <v>12</v>
      </c>
      <c r="J2" s="20" t="s">
        <v>10</v>
      </c>
      <c r="K2" s="20">
        <f>IFERROR(__xludf.DUMMYFUNCTION("split(J2,""–"")"),4.0)</f>
        <v>4</v>
      </c>
      <c r="L2" s="20">
        <f>IFERROR(__xludf.DUMMYFUNCTION("""COMPUTED_VALUE"""),2.0)</f>
        <v>2</v>
      </c>
    </row>
    <row r="3">
      <c r="A3" s="20" t="s">
        <v>249</v>
      </c>
      <c r="B3" s="20" t="s">
        <v>250</v>
      </c>
      <c r="C3" s="20" t="s">
        <v>251</v>
      </c>
      <c r="D3" s="20" t="s">
        <v>252</v>
      </c>
      <c r="F3" s="20">
        <v>1934.0</v>
      </c>
      <c r="G3" s="20" t="s">
        <v>14</v>
      </c>
      <c r="H3" s="20" t="s">
        <v>16</v>
      </c>
      <c r="I3" s="20" t="s">
        <v>17</v>
      </c>
      <c r="J3" s="20" t="s">
        <v>15</v>
      </c>
      <c r="K3" s="20">
        <f>IFERROR(__xludf.DUMMYFUNCTION("split(J3,""–"")"),2.0)</f>
        <v>2</v>
      </c>
      <c r="L3" s="20" t="str">
        <f>IFERROR(__xludf.DUMMYFUNCTION("""COMPUTED_VALUE""")," 1 (ap)")</f>
        <v> 1 (ap)</v>
      </c>
    </row>
    <row r="4">
      <c r="A4" s="20" t="s">
        <v>253</v>
      </c>
      <c r="B4" s="20" t="s">
        <v>254</v>
      </c>
      <c r="C4" s="20" t="s">
        <v>255</v>
      </c>
      <c r="D4" s="20" t="s">
        <v>256</v>
      </c>
      <c r="F4" s="20">
        <v>1938.0</v>
      </c>
      <c r="G4" s="20" t="s">
        <v>19</v>
      </c>
      <c r="H4" s="20" t="s">
        <v>20</v>
      </c>
      <c r="I4" s="20" t="s">
        <v>21</v>
      </c>
      <c r="J4" s="20" t="s">
        <v>10</v>
      </c>
      <c r="K4" s="20">
        <f>IFERROR(__xludf.DUMMYFUNCTION("split(J4,""–"")"),4.0)</f>
        <v>4</v>
      </c>
      <c r="L4" s="20">
        <f>IFERROR(__xludf.DUMMYFUNCTION("""COMPUTED_VALUE"""),2.0)</f>
        <v>2</v>
      </c>
    </row>
    <row r="5">
      <c r="A5" s="20" t="s">
        <v>257</v>
      </c>
      <c r="B5" s="20" t="s">
        <v>258</v>
      </c>
      <c r="C5" s="20" t="s">
        <v>259</v>
      </c>
      <c r="D5" s="20" t="s">
        <v>260</v>
      </c>
      <c r="F5" s="20">
        <v>1950.0</v>
      </c>
      <c r="G5" s="20" t="s">
        <v>23</v>
      </c>
      <c r="H5" s="20" t="s">
        <v>21</v>
      </c>
      <c r="I5" s="20" t="s">
        <v>25</v>
      </c>
      <c r="J5" s="21" t="s">
        <v>261</v>
      </c>
      <c r="K5" s="20" t="str">
        <f>IFERROR(__xludf.DUMMYFUNCTION("split(J5,""–"")"),"*2 ")</f>
        <v>*2 </v>
      </c>
      <c r="L5" s="20" t="str">
        <f>IFERROR(__xludf.DUMMYFUNCTION("""COMPUTED_VALUE"""),"  1*[f]")</f>
        <v>  1*[f]</v>
      </c>
    </row>
    <row r="6">
      <c r="A6" s="20" t="s">
        <v>262</v>
      </c>
      <c r="B6" s="20" t="s">
        <v>263</v>
      </c>
      <c r="C6" s="20" t="s">
        <v>264</v>
      </c>
      <c r="D6" s="20" t="s">
        <v>265</v>
      </c>
      <c r="F6" s="20">
        <v>1954.0</v>
      </c>
      <c r="G6" s="20" t="s">
        <v>27</v>
      </c>
      <c r="H6" s="20" t="s">
        <v>20</v>
      </c>
      <c r="I6" s="20" t="s">
        <v>29</v>
      </c>
      <c r="J6" s="20" t="s">
        <v>28</v>
      </c>
      <c r="K6" s="20">
        <f>IFERROR(__xludf.DUMMYFUNCTION("split(J6,""–"")"),3.0)</f>
        <v>3</v>
      </c>
      <c r="L6" s="20">
        <f>IFERROR(__xludf.DUMMYFUNCTION("""COMPUTED_VALUE"""),2.0)</f>
        <v>2</v>
      </c>
    </row>
    <row r="7">
      <c r="A7" s="20" t="s">
        <v>266</v>
      </c>
      <c r="B7" s="20" t="s">
        <v>267</v>
      </c>
      <c r="C7" s="20" t="s">
        <v>268</v>
      </c>
      <c r="D7" s="20" t="s">
        <v>269</v>
      </c>
      <c r="F7" s="20">
        <v>1958.0</v>
      </c>
      <c r="G7" s="20" t="s">
        <v>31</v>
      </c>
      <c r="H7" s="20" t="s">
        <v>25</v>
      </c>
      <c r="I7" s="20" t="s">
        <v>33</v>
      </c>
      <c r="J7" s="20" t="s">
        <v>32</v>
      </c>
      <c r="K7" s="20">
        <f>IFERROR(__xludf.DUMMYFUNCTION("split(J7,""–"")"),5.0)</f>
        <v>5</v>
      </c>
      <c r="L7" s="20">
        <f>IFERROR(__xludf.DUMMYFUNCTION("""COMPUTED_VALUE"""),2.0)</f>
        <v>2</v>
      </c>
    </row>
    <row r="8">
      <c r="A8" s="20" t="s">
        <v>270</v>
      </c>
      <c r="B8" s="20" t="s">
        <v>271</v>
      </c>
      <c r="C8" s="20" t="s">
        <v>272</v>
      </c>
      <c r="D8" s="20" t="s">
        <v>273</v>
      </c>
      <c r="F8" s="20">
        <v>1962.0</v>
      </c>
      <c r="G8" s="20" t="s">
        <v>35</v>
      </c>
      <c r="H8" s="20" t="s">
        <v>16</v>
      </c>
      <c r="I8" s="20" t="s">
        <v>37</v>
      </c>
      <c r="J8" s="20" t="s">
        <v>36</v>
      </c>
      <c r="K8" s="20">
        <f>IFERROR(__xludf.DUMMYFUNCTION("split(J8,""–"")"),3.0)</f>
        <v>3</v>
      </c>
      <c r="L8" s="20">
        <f>IFERROR(__xludf.DUMMYFUNCTION("""COMPUTED_VALUE"""),1.0)</f>
        <v>1</v>
      </c>
    </row>
    <row r="9">
      <c r="A9" s="20" t="s">
        <v>274</v>
      </c>
      <c r="B9" s="20" t="s">
        <v>275</v>
      </c>
      <c r="C9" s="20" t="s">
        <v>276</v>
      </c>
      <c r="D9" s="20" t="s">
        <v>277</v>
      </c>
      <c r="F9" s="20">
        <v>1966.0</v>
      </c>
      <c r="G9" s="20" t="s">
        <v>39</v>
      </c>
      <c r="H9" s="20" t="s">
        <v>41</v>
      </c>
      <c r="I9" s="20" t="s">
        <v>42</v>
      </c>
      <c r="J9" s="20" t="s">
        <v>40</v>
      </c>
      <c r="K9" s="20">
        <f>IFERROR(__xludf.DUMMYFUNCTION("split(J9,""–"")"),4.0)</f>
        <v>4</v>
      </c>
      <c r="L9" s="20" t="str">
        <f>IFERROR(__xludf.DUMMYFUNCTION("""COMPUTED_VALUE""")," 2 (ap)")</f>
        <v> 2 (ap)</v>
      </c>
    </row>
    <row r="10">
      <c r="A10" s="20" t="s">
        <v>278</v>
      </c>
      <c r="B10" s="20" t="s">
        <v>279</v>
      </c>
      <c r="C10" s="20" t="s">
        <v>280</v>
      </c>
      <c r="D10" s="20" t="s">
        <v>281</v>
      </c>
      <c r="F10" s="20">
        <v>1970.0</v>
      </c>
      <c r="G10" s="20" t="s">
        <v>44</v>
      </c>
      <c r="H10" s="20" t="s">
        <v>46</v>
      </c>
      <c r="I10" s="20" t="s">
        <v>41</v>
      </c>
      <c r="J10" s="20" t="s">
        <v>45</v>
      </c>
      <c r="K10" s="20">
        <f>IFERROR(__xludf.DUMMYFUNCTION("split(J10,""–"")"),4.0)</f>
        <v>4</v>
      </c>
      <c r="L10" s="20">
        <f>IFERROR(__xludf.DUMMYFUNCTION("""COMPUTED_VALUE"""),1.0)</f>
        <v>1</v>
      </c>
    </row>
    <row r="11">
      <c r="A11" s="20" t="s">
        <v>282</v>
      </c>
      <c r="B11" s="20" t="s">
        <v>283</v>
      </c>
      <c r="C11" s="20" t="s">
        <v>284</v>
      </c>
      <c r="D11" s="20" t="s">
        <v>285</v>
      </c>
      <c r="F11" s="20">
        <v>1974.0</v>
      </c>
      <c r="G11" s="20" t="s">
        <v>48</v>
      </c>
      <c r="H11" s="20" t="s">
        <v>50</v>
      </c>
      <c r="I11" s="20" t="s">
        <v>51</v>
      </c>
      <c r="J11" s="20" t="s">
        <v>49</v>
      </c>
      <c r="K11" s="20">
        <f>IFERROR(__xludf.DUMMYFUNCTION("split(J11,""–"")"),2.0)</f>
        <v>2</v>
      </c>
      <c r="L11" s="20">
        <f>IFERROR(__xludf.DUMMYFUNCTION("""COMPUTED_VALUE"""),1.0)</f>
        <v>1</v>
      </c>
    </row>
    <row r="12">
      <c r="A12" s="20" t="s">
        <v>286</v>
      </c>
      <c r="B12" s="20" t="s">
        <v>287</v>
      </c>
      <c r="C12" s="20" t="s">
        <v>288</v>
      </c>
      <c r="D12" s="20" t="s">
        <v>289</v>
      </c>
      <c r="F12" s="20">
        <v>1978.0</v>
      </c>
      <c r="G12" s="20" t="s">
        <v>53</v>
      </c>
      <c r="H12" s="20" t="s">
        <v>50</v>
      </c>
      <c r="I12" s="20" t="s">
        <v>21</v>
      </c>
      <c r="J12" s="20" t="s">
        <v>54</v>
      </c>
      <c r="K12" s="20">
        <f>IFERROR(__xludf.DUMMYFUNCTION("split(J12,""–"")"),3.0)</f>
        <v>3</v>
      </c>
      <c r="L12" s="20" t="str">
        <f>IFERROR(__xludf.DUMMYFUNCTION("""COMPUTED_VALUE""")," 1 (ap)")</f>
        <v> 1 (ap)</v>
      </c>
    </row>
    <row r="13">
      <c r="A13" s="20" t="s">
        <v>290</v>
      </c>
      <c r="B13" s="20" t="s">
        <v>291</v>
      </c>
      <c r="C13" s="20" t="s">
        <v>292</v>
      </c>
      <c r="D13" s="20" t="s">
        <v>293</v>
      </c>
      <c r="F13" s="20">
        <v>1982.0</v>
      </c>
      <c r="G13" s="20" t="s">
        <v>56</v>
      </c>
      <c r="H13" s="20" t="s">
        <v>41</v>
      </c>
      <c r="I13" s="20" t="s">
        <v>51</v>
      </c>
      <c r="J13" s="20" t="s">
        <v>36</v>
      </c>
      <c r="K13" s="20">
        <f>IFERROR(__xludf.DUMMYFUNCTION("split(J13,""–"")"),3.0)</f>
        <v>3</v>
      </c>
      <c r="L13" s="20">
        <f>IFERROR(__xludf.DUMMYFUNCTION("""COMPUTED_VALUE"""),1.0)</f>
        <v>1</v>
      </c>
    </row>
    <row r="14">
      <c r="F14" s="20">
        <v>1986.0</v>
      </c>
      <c r="G14" s="20" t="s">
        <v>58</v>
      </c>
      <c r="H14" s="20" t="s">
        <v>41</v>
      </c>
      <c r="I14" s="20" t="s">
        <v>33</v>
      </c>
      <c r="J14" s="20" t="s">
        <v>28</v>
      </c>
      <c r="K14" s="20">
        <f>IFERROR(__xludf.DUMMYFUNCTION("split(J14,""–"")"),3.0)</f>
        <v>3</v>
      </c>
      <c r="L14" s="20">
        <f>IFERROR(__xludf.DUMMYFUNCTION("""COMPUTED_VALUE"""),2.0)</f>
        <v>2</v>
      </c>
    </row>
    <row r="15">
      <c r="F15" s="20">
        <v>1990.0</v>
      </c>
      <c r="G15" s="20" t="s">
        <v>60</v>
      </c>
      <c r="H15" s="20" t="s">
        <v>11</v>
      </c>
      <c r="I15" s="20" t="s">
        <v>46</v>
      </c>
      <c r="J15" s="20" t="s">
        <v>61</v>
      </c>
      <c r="K15" s="20">
        <f>IFERROR(__xludf.DUMMYFUNCTION("split(J15,""–"")"),1.0)</f>
        <v>1</v>
      </c>
      <c r="L15" s="20">
        <f>IFERROR(__xludf.DUMMYFUNCTION("""COMPUTED_VALUE"""),0.0)</f>
        <v>0</v>
      </c>
    </row>
    <row r="16">
      <c r="F16" s="20">
        <v>1994.0</v>
      </c>
      <c r="G16" s="20" t="s">
        <v>63</v>
      </c>
      <c r="H16" s="20" t="s">
        <v>46</v>
      </c>
      <c r="I16" s="20" t="s">
        <v>25</v>
      </c>
      <c r="J16" s="20" t="s">
        <v>64</v>
      </c>
      <c r="K16" s="20">
        <f>IFERROR(__xludf.DUMMYFUNCTION("split(J16,""–"")"),0.0)</f>
        <v>0</v>
      </c>
      <c r="L16" s="20" t="str">
        <f>IFERROR(__xludf.DUMMYFUNCTION("""COMPUTED_VALUE""")," 0 (3-2)")</f>
        <v> 0 (3-2)</v>
      </c>
    </row>
    <row r="17">
      <c r="F17" s="20">
        <v>1998.0</v>
      </c>
      <c r="G17" s="20" t="s">
        <v>66</v>
      </c>
      <c r="H17" s="20" t="s">
        <v>21</v>
      </c>
      <c r="I17" s="20" t="s">
        <v>68</v>
      </c>
      <c r="J17" s="20" t="s">
        <v>67</v>
      </c>
      <c r="K17" s="20">
        <f>IFERROR(__xludf.DUMMYFUNCTION("split(J17,""–"")"),3.0)</f>
        <v>3</v>
      </c>
      <c r="L17" s="20">
        <f>IFERROR(__xludf.DUMMYFUNCTION("""COMPUTED_VALUE"""),0.0)</f>
        <v>0</v>
      </c>
    </row>
    <row r="18">
      <c r="F18" s="20">
        <v>2002.0</v>
      </c>
      <c r="G18" s="20" t="s">
        <v>70</v>
      </c>
      <c r="H18" s="20" t="s">
        <v>72</v>
      </c>
      <c r="I18" s="20" t="s">
        <v>73</v>
      </c>
      <c r="J18" s="20" t="s">
        <v>71</v>
      </c>
      <c r="K18" s="20">
        <f>IFERROR(__xludf.DUMMYFUNCTION("split(J18,""–"")"),2.0)</f>
        <v>2</v>
      </c>
      <c r="L18" s="20">
        <f>IFERROR(__xludf.DUMMYFUNCTION("""COMPUTED_VALUE"""),0.0)</f>
        <v>0</v>
      </c>
    </row>
    <row r="19">
      <c r="F19" s="20">
        <v>2006.0</v>
      </c>
      <c r="G19" s="20" t="s">
        <v>75</v>
      </c>
      <c r="H19" s="20" t="s">
        <v>33</v>
      </c>
      <c r="I19" s="20" t="s">
        <v>72</v>
      </c>
      <c r="J19" s="20" t="s">
        <v>76</v>
      </c>
      <c r="K19" s="20">
        <f>IFERROR(__xludf.DUMMYFUNCTION("split(J19,""–"")"),1.0)</f>
        <v>1</v>
      </c>
      <c r="L19" s="20" t="str">
        <f>IFERROR(__xludf.DUMMYFUNCTION("""COMPUTED_VALUE""")," 1 (5-3)")</f>
        <v> 1 (5-3)</v>
      </c>
    </row>
    <row r="20">
      <c r="F20" s="20">
        <v>2010.0</v>
      </c>
      <c r="G20" s="20" t="s">
        <v>78</v>
      </c>
      <c r="H20" s="20" t="s">
        <v>50</v>
      </c>
      <c r="I20" s="20" t="s">
        <v>72</v>
      </c>
      <c r="J20" s="20" t="s">
        <v>79</v>
      </c>
      <c r="K20" s="20">
        <f>IFERROR(__xludf.DUMMYFUNCTION("split(J20,""–"")"),1.0)</f>
        <v>1</v>
      </c>
      <c r="L20" s="20" t="str">
        <f>IFERROR(__xludf.DUMMYFUNCTION("""COMPUTED_VALUE""")," 0 (ap)")</f>
        <v> 0 (ap)</v>
      </c>
    </row>
    <row r="21">
      <c r="F21" s="20">
        <v>2014.0</v>
      </c>
      <c r="G21" s="20" t="s">
        <v>81</v>
      </c>
      <c r="H21" s="20" t="s">
        <v>11</v>
      </c>
      <c r="I21" s="20" t="s">
        <v>50</v>
      </c>
      <c r="J21" s="20" t="s">
        <v>79</v>
      </c>
      <c r="K21" s="20">
        <f>IFERROR(__xludf.DUMMYFUNCTION("split(J21,""–"")"),1.0)</f>
        <v>1</v>
      </c>
      <c r="L21" s="20" t="str">
        <f>IFERROR(__xludf.DUMMYFUNCTION("""COMPUTED_VALUE""")," 0 (ap)")</f>
        <v> 0 (ap)</v>
      </c>
    </row>
    <row r="22">
      <c r="F22" s="20">
        <v>2018.0</v>
      </c>
      <c r="G22" s="20" t="s">
        <v>83</v>
      </c>
      <c r="H22" s="20" t="s">
        <v>68</v>
      </c>
      <c r="I22" s="20" t="s">
        <v>84</v>
      </c>
      <c r="J22" s="20" t="s">
        <v>10</v>
      </c>
      <c r="K22" s="20">
        <f>IFERROR(__xludf.DUMMYFUNCTION("split(J22,""–"")"),4.0)</f>
        <v>4</v>
      </c>
      <c r="L22" s="20">
        <f>IFERROR(__xludf.DUMMYFUNCTION("""COMPUTED_VALUE"""),2.0)</f>
        <v>2</v>
      </c>
    </row>
    <row r="23">
      <c r="F23" s="20">
        <v>2022.0</v>
      </c>
      <c r="G23" s="20"/>
      <c r="H23" s="20"/>
      <c r="I23" s="20"/>
      <c r="J23" s="20"/>
      <c r="K23" s="20"/>
      <c r="L23" s="20"/>
    </row>
    <row r="24">
      <c r="F24" s="20">
        <v>2026.0</v>
      </c>
      <c r="G24" s="20"/>
      <c r="H24" s="20"/>
      <c r="I24" s="20"/>
      <c r="J24" s="20"/>
      <c r="K24" s="20"/>
      <c r="L24" s="20"/>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s>
  <sheetData>
    <row r="1">
      <c r="A1" s="20" t="s">
        <v>241</v>
      </c>
      <c r="B1" s="20" t="s">
        <v>242</v>
      </c>
      <c r="C1" s="20" t="s">
        <v>243</v>
      </c>
      <c r="D1" s="20" t="s">
        <v>244</v>
      </c>
      <c r="E1" s="13"/>
    </row>
    <row r="2">
      <c r="A2" s="20" t="s">
        <v>245</v>
      </c>
      <c r="B2" s="20" t="s">
        <v>246</v>
      </c>
      <c r="C2" s="20" t="s">
        <v>247</v>
      </c>
      <c r="D2" s="20" t="s">
        <v>248</v>
      </c>
    </row>
    <row r="3">
      <c r="A3" s="20" t="s">
        <v>249</v>
      </c>
      <c r="B3" s="20" t="s">
        <v>250</v>
      </c>
      <c r="C3" s="20" t="s">
        <v>251</v>
      </c>
      <c r="D3" s="20" t="s">
        <v>252</v>
      </c>
    </row>
    <row r="4">
      <c r="A4" s="20" t="s">
        <v>253</v>
      </c>
      <c r="B4" s="20" t="s">
        <v>254</v>
      </c>
      <c r="C4" s="20" t="s">
        <v>255</v>
      </c>
      <c r="D4" s="20" t="s">
        <v>256</v>
      </c>
    </row>
    <row r="5">
      <c r="A5" s="20" t="s">
        <v>257</v>
      </c>
      <c r="B5" s="20" t="s">
        <v>258</v>
      </c>
      <c r="C5" s="20" t="s">
        <v>259</v>
      </c>
      <c r="D5" s="20" t="s">
        <v>260</v>
      </c>
    </row>
    <row r="6">
      <c r="A6" s="20" t="s">
        <v>262</v>
      </c>
      <c r="B6" s="20" t="s">
        <v>263</v>
      </c>
      <c r="C6" s="20" t="s">
        <v>264</v>
      </c>
      <c r="D6" s="20" t="s">
        <v>265</v>
      </c>
    </row>
    <row r="7">
      <c r="A7" s="20" t="s">
        <v>266</v>
      </c>
      <c r="B7" s="20" t="s">
        <v>267</v>
      </c>
      <c r="C7" s="20" t="s">
        <v>268</v>
      </c>
      <c r="D7" s="20" t="s">
        <v>269</v>
      </c>
    </row>
    <row r="8">
      <c r="A8" s="20" t="s">
        <v>270</v>
      </c>
      <c r="B8" s="20" t="s">
        <v>271</v>
      </c>
      <c r="C8" s="20" t="s">
        <v>272</v>
      </c>
      <c r="D8" s="20" t="s">
        <v>273</v>
      </c>
    </row>
    <row r="9">
      <c r="A9" s="20" t="s">
        <v>274</v>
      </c>
      <c r="B9" s="20" t="s">
        <v>275</v>
      </c>
      <c r="C9" s="20" t="s">
        <v>276</v>
      </c>
      <c r="D9" s="20" t="s">
        <v>277</v>
      </c>
    </row>
    <row r="10">
      <c r="A10" s="20" t="s">
        <v>278</v>
      </c>
      <c r="B10" s="20" t="s">
        <v>279</v>
      </c>
      <c r="C10" s="20" t="s">
        <v>280</v>
      </c>
      <c r="D10" s="20" t="s">
        <v>281</v>
      </c>
    </row>
    <row r="11">
      <c r="A11" s="20" t="s">
        <v>282</v>
      </c>
      <c r="B11" s="20" t="s">
        <v>283</v>
      </c>
      <c r="C11" s="20" t="s">
        <v>284</v>
      </c>
      <c r="D11" s="20" t="s">
        <v>285</v>
      </c>
    </row>
    <row r="12">
      <c r="A12" s="20" t="s">
        <v>286</v>
      </c>
      <c r="B12" s="20" t="s">
        <v>287</v>
      </c>
      <c r="C12" s="20" t="s">
        <v>288</v>
      </c>
      <c r="D12" s="20" t="s">
        <v>289</v>
      </c>
    </row>
    <row r="13">
      <c r="A13" s="20" t="s">
        <v>290</v>
      </c>
      <c r="B13" s="20" t="s">
        <v>291</v>
      </c>
      <c r="C13" s="20" t="s">
        <v>292</v>
      </c>
      <c r="D13" s="20" t="s">
        <v>293</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3.38"/>
  </cols>
  <sheetData>
    <row r="1">
      <c r="A1" s="2" t="s">
        <v>294</v>
      </c>
      <c r="D1" s="1" t="str">
        <f>IFERROR(__xludf.DUMMYFUNCTION("IMPORTHTML(""https://fr.wikipedia.org/wiki/Les_Républicains#Présidents"",""table"",3, ""en_US"")"),"Portrait")</f>
        <v>Portrait</v>
      </c>
      <c r="E1" s="1" t="str">
        <f>IFERROR(__xludf.DUMMYFUNCTION("""COMPUTED_VALUE"""),"Nom")</f>
        <v>Nom</v>
      </c>
      <c r="F1" s="1" t="str">
        <f>IFERROR(__xludf.DUMMYFUNCTION("""COMPUTED_VALUE"""),"Dates du mandat")</f>
        <v>Dates du mandat</v>
      </c>
      <c r="G1" s="1"/>
      <c r="H1" s="1" t="str">
        <f>IFERROR(__xludf.DUMMYFUNCTION("""COMPUTED_VALUE"""),"Notes")</f>
        <v>Notes</v>
      </c>
    </row>
    <row r="2">
      <c r="A2" s="2" t="s">
        <v>295</v>
      </c>
      <c r="D2" s="1"/>
      <c r="E2" s="1" t="str">
        <f>IFERROR(__xludf.DUMMYFUNCTION("""COMPUTED_VALUE"""),"*Nicolas Sarkozy*")</f>
        <v>*Nicolas Sarkozy*</v>
      </c>
      <c r="F2" s="1" t="str">
        <f>IFERROR(__xludf.DUMMYFUNCTION("""COMPUTED_VALUE"""),"30 mai 2015")</f>
        <v>30 mai 2015</v>
      </c>
      <c r="G2" s="1" t="str">
        <f>IFERROR(__xludf.DUMMYFUNCTION("""COMPUTED_VALUE"""),"23 août 2016")</f>
        <v>23 août 2016</v>
      </c>
      <c r="H2" s="1" t="str">
        <f>IFERROR(__xludf.DUMMYFUNCTION("""COMPUTED_VALUE"""),"Ancien président de la République. Président de l'UMP de 2004 à 2007 et de 
2014 à 2015. Démissionne après l'annonce de sa candidature à la primaire 
française de la droite et du centre de 2016.")</f>
        <v>Ancien président de la République. Président de l'UMP de 2004 à 2007 et de 
2014 à 2015. Démissionne après l'annonce de sa candidature à la primaire 
française de la droite et du centre de 2016.</v>
      </c>
    </row>
    <row r="3">
      <c r="A3" s="2" t="s">
        <v>296</v>
      </c>
      <c r="D3" s="1"/>
      <c r="E3" s="1" t="str">
        <f>IFERROR(__xludf.DUMMYFUNCTION("""COMPUTED_VALUE"""),"*Laurent Wauquiez*
(intérim)")</f>
        <v>*Laurent Wauquiez*
(intérim)</v>
      </c>
      <c r="F3" s="1" t="str">
        <f>IFERROR(__xludf.DUMMYFUNCTION("""COMPUTED_VALUE"""),"23 août 2016")</f>
        <v>23 août 2016</v>
      </c>
      <c r="G3" s="1" t="str">
        <f>IFERROR(__xludf.DUMMYFUNCTION("""COMPUTED_VALUE"""),"29 novembre 2016")</f>
        <v>29 novembre 2016</v>
      </c>
      <c r="H3" s="1" t="str">
        <f>IFERROR(__xludf.DUMMYFUNCTION("""COMPUTED_VALUE"""),"Vice-président délégué du parti, il succède par intérim à Nicolas Sarkozy. 
Député et président du conseil régional d'Auvergne-Rhône-Alpes.")</f>
        <v>Vice-président délégué du parti, il succède par intérim à Nicolas Sarkozy. 
Député et président du conseil régional d'Auvergne-Rhône-Alpes.</v>
      </c>
    </row>
    <row r="4" ht="15.75" customHeight="1">
      <c r="A4" s="2" t="s">
        <v>297</v>
      </c>
      <c r="D4" s="1" t="str">
        <f>IFERROR(__xludf.DUMMYFUNCTION("""COMPUTED_VALUE"""),"Vacance de la présidence du 29 novembre 2016 au 10 décembre 2017. 
Le candidat à la présidentielle, François Fillon, puis le secrétaire 
général, Bernard Accoyer, sont à la tête du parti.")</f>
        <v>Vacance de la présidence du 29 novembre 2016 au 10 décembre 2017. 
Le candidat à la présidentielle, François Fillon, puis le secrétaire 
général, Bernard Accoyer, sont à la tête du parti.</v>
      </c>
      <c r="E4" s="1"/>
      <c r="F4" s="1"/>
      <c r="G4" s="1"/>
      <c r="H4" s="1"/>
    </row>
    <row r="5">
      <c r="A5" s="2">
        <v>34.0</v>
      </c>
      <c r="D5" s="1"/>
      <c r="E5" s="1" t="str">
        <f>IFERROR(__xludf.DUMMYFUNCTION("""COMPUTED_VALUE"""),"*Laurent Wauquiez*")</f>
        <v>*Laurent Wauquiez*</v>
      </c>
      <c r="F5" s="1" t="str">
        <f>IFERROR(__xludf.DUMMYFUNCTION("""COMPUTED_VALUE"""),"10 décembre 2017")</f>
        <v>10 décembre 2017</v>
      </c>
      <c r="G5" s="1" t="str">
        <f>IFERROR(__xludf.DUMMYFUNCTION("""COMPUTED_VALUE"""),"2 juin 2019")</f>
        <v>2 juin 2019</v>
      </c>
      <c r="H5" s="1" t="str">
        <f>IFERROR(__xludf.DUMMYFUNCTION("""COMPUTED_VALUE"""),"Président du conseil régional d'Auvergne-Rhône-Alpes. Il est élu président 
dès le premier tour lors du congrès du parti, le 10 décembre 2017, face à Florence 
Portelli et Maël de Calan. Il démissionne après l'échec de la droite aux élections 
européennes"&amp;" de 2019.")</f>
        <v>Président du conseil régional d'Auvergne-Rhône-Alpes. Il est élu président 
dès le premier tour lors du congrès du parti, le 10 décembre 2017, face à Florence 
Portelli et Maël de Calan. Il démissionne après l'échec de la droite aux élections 
européennes de 2019.</v>
      </c>
    </row>
    <row r="6">
      <c r="B6" s="1">
        <f>SIN(A5)</f>
        <v>0.5290826861</v>
      </c>
      <c r="D6" s="1"/>
      <c r="E6" s="1" t="str">
        <f>IFERROR(__xludf.DUMMYFUNCTION("""COMPUTED_VALUE"""),"*Jean Leonetti*
(intérim)")</f>
        <v>*Jean Leonetti*
(intérim)</v>
      </c>
      <c r="F6" s="1" t="str">
        <f>IFERROR(__xludf.DUMMYFUNCTION("""COMPUTED_VALUE"""),"2 juin 2019")</f>
        <v>2 juin 2019</v>
      </c>
      <c r="G6" s="1" t="str">
        <f>IFERROR(__xludf.DUMMYFUNCTION("""COMPUTED_VALUE"""),"13 octobre 2019")</f>
        <v>13 octobre 2019</v>
      </c>
      <c r="H6" s="1" t="str">
        <f>IFERROR(__xludf.DUMMYFUNCTION("""COMPUTED_VALUE"""),"Vice-président délégué du parti, il succède par intérim à Laurent Wauquiez.")</f>
        <v>Vice-président délégué du parti, il succède par intérim à Laurent Wauquiez.</v>
      </c>
    </row>
    <row r="7">
      <c r="D7" s="1"/>
      <c r="E7" s="1" t="str">
        <f>IFERROR(__xludf.DUMMYFUNCTION("""COMPUTED_VALUE"""),"*Christian Jacob*")</f>
        <v>*Christian Jacob*</v>
      </c>
      <c r="F7" s="1" t="str">
        <f>IFERROR(__xludf.DUMMYFUNCTION("""COMPUTED_VALUE"""),"13 octobre 2019")</f>
        <v>13 octobre 2019</v>
      </c>
      <c r="G7" s="1" t="str">
        <f>IFERROR(__xludf.DUMMYFUNCTION("""COMPUTED_VALUE"""),"30 juin 2022")</f>
        <v>30 juin 2022</v>
      </c>
      <c r="H7" s="1" t="str">
        <f>IFERROR(__xludf.DUMMYFUNCTION("""COMPUTED_VALUE"""),"Président du groupe Les Républicains à l'Assemblée nationale. Il est élu 
président dès le premier tour lors du congrès du 13 octobre 2019, face à Julien 
Aubert et Guillaume Larrivé.")</f>
        <v>Président du groupe Les Républicains à l'Assemblée nationale. Il est élu 
président dès le premier tour lors du congrès du 13 octobre 2019, face à Julien 
Aubert et Guillaume Larrivé.</v>
      </c>
    </row>
    <row r="8">
      <c r="A8" s="2">
        <v>1.0</v>
      </c>
      <c r="D8" s="1"/>
      <c r="E8" s="1" t="str">
        <f>IFERROR(__xludf.DUMMYFUNCTION("""COMPUTED_VALUE"""),"*Annie Genevard*
(intérim)")</f>
        <v>*Annie Genevard*
(intérim)</v>
      </c>
      <c r="F8" s="1" t="str">
        <f>IFERROR(__xludf.DUMMYFUNCTION("""COMPUTED_VALUE"""),"30 juin 2022")</f>
        <v>30 juin 2022</v>
      </c>
      <c r="G8" s="1" t="str">
        <f>IFERROR(__xludf.DUMMYFUNCTION("""COMPUTED_VALUE"""),"11 décembre 2022")</f>
        <v>11 décembre 2022</v>
      </c>
      <c r="H8" s="1" t="str">
        <f>IFERROR(__xludf.DUMMYFUNCTION("""COMPUTED_VALUE"""),"Vice-présidente du parti, elle succède par intérim à Christian Jacob.")</f>
        <v>Vice-présidente du parti, elle succède par intérim à Christian Jacob.</v>
      </c>
    </row>
    <row r="9">
      <c r="D9" s="1"/>
      <c r="E9" s="1" t="str">
        <f>IFERROR(__xludf.DUMMYFUNCTION("""COMPUTED_VALUE"""),"*Éric Ciotti*")</f>
        <v>*Éric Ciotti*</v>
      </c>
      <c r="F9" s="1" t="str">
        <f>IFERROR(__xludf.DUMMYFUNCTION("""COMPUTED_VALUE"""),"11 décembre 2022")</f>
        <v>11 décembre 2022</v>
      </c>
      <c r="G9" s="1" t="str">
        <f>IFERROR(__xludf.DUMMYFUNCTION("""COMPUTED_VALUE"""),"30 septembre 2024")</f>
        <v>30 septembre 2024</v>
      </c>
      <c r="H9" s="1" t="str">
        <f>IFERROR(__xludf.DUMMYFUNCTION("""COMPUTED_VALUE"""),"Député, élu lors du congrès de 2022, face à Bruno Retailleau et Aurélien 
Pradié. Etant contesté en interne sur son alliance avec le RN lors des élections 
législatives anticipées de 2024, il démissionne de son poste et quitte le 
parti le 30 septembre 20"&amp;"24 après avoir créé un groupe dissident à 
l'Assemblée nationale et un nouveau parti.")</f>
        <v>Député, élu lors du congrès de 2022, face à Bruno Retailleau et Aurélien 
Pradié. Etant contesté en interne sur son alliance avec le RN lors des élections 
législatives anticipées de 2024, il démissionne de son poste et quitte le 
parti le 30 septembre 2024 après avoir créé un groupe dissident à 
l'Assemblée nationale et un nouveau parti.</v>
      </c>
    </row>
    <row r="10">
      <c r="A10" s="2">
        <v>1.0</v>
      </c>
      <c r="B10" s="1">
        <f t="shared" ref="B10:B19" si="1">SUM(A10:A19)</f>
        <v>55</v>
      </c>
      <c r="D10" s="1" t="str">
        <f>IFERROR(__xludf.DUMMYFUNCTION("""COMPUTED_VALUE"""),"Direction collégiale (François-Xavier Bellamy, Annie Genevard, Michèle 
Tabarot, Daniel Fasquelle)")</f>
        <v>Direction collégiale (François-Xavier Bellamy, Annie Genevard, Michèle 
Tabarot, Daniel Fasquelle)</v>
      </c>
      <c r="E10" s="1"/>
      <c r="F10" s="1"/>
      <c r="G10" s="1"/>
      <c r="H10" s="1"/>
    </row>
    <row r="11">
      <c r="A11" s="2">
        <v>2.0</v>
      </c>
      <c r="B11" s="1">
        <f t="shared" si="1"/>
        <v>54</v>
      </c>
      <c r="D11" s="1"/>
      <c r="E11" s="1" t="str">
        <f>IFERROR(__xludf.DUMMYFUNCTION("""COMPUTED_VALUE"""),"*Bruno Retailleau*")</f>
        <v>*Bruno Retailleau*</v>
      </c>
      <c r="F11" s="1" t="str">
        <f>IFERROR(__xludf.DUMMYFUNCTION("""COMPUTED_VALUE"""),"18 mai 2025")</f>
        <v>18 mai 2025</v>
      </c>
      <c r="G11" s="1" t="str">
        <f>IFERROR(__xludf.DUMMYFUNCTION("""COMPUTED_VALUE"""),"*En cours*")</f>
        <v>*En cours*</v>
      </c>
      <c r="H11" s="1" t="str">
        <f>IFERROR(__xludf.DUMMYFUNCTION("""COMPUTED_VALUE"""),"Sénateur de la Vendée (2000-2024 ; depuis 2025) 
Ministre d'État du 23décembre2024 au 12octobre2025 dans les gouvernements 
Bayrou et Lecornu I. 
Ministre de l'Intérieur du 21septembre2024 au 12octobre2025 dans les 
gouvernements Barnier, Bayrou et Leco"&amp;"rnu I. 
Président du conseil régional des Pays de la Loire (2016-2017) 
Président du conseil général de la Vendée (2010-2015)")</f>
        <v>Sénateur de la Vendée (2000-2024 ; depuis 2025) 
Ministre d'État du 23décembre2024 au 12octobre2025 dans les gouvernements 
Bayrou et Lecornu I. 
Ministre de l'Intérieur du 21septembre2024 au 12octobre2025 dans les 
gouvernements Barnier, Bayrou et Lecornu I. 
Président du conseil régional des Pays de la Loire (2016-2017) 
Président du conseil général de la Vendée (2010-2015)</v>
      </c>
    </row>
    <row r="12">
      <c r="A12" s="2">
        <v>3.0</v>
      </c>
      <c r="B12" s="1">
        <f t="shared" si="1"/>
        <v>52</v>
      </c>
    </row>
    <row r="13">
      <c r="A13" s="2">
        <v>4.0</v>
      </c>
      <c r="B13" s="1">
        <f t="shared" si="1"/>
        <v>49</v>
      </c>
    </row>
    <row r="14">
      <c r="A14" s="2">
        <v>5.0</v>
      </c>
      <c r="B14" s="1">
        <f t="shared" si="1"/>
        <v>45</v>
      </c>
    </row>
    <row r="15">
      <c r="A15" s="2">
        <v>6.0</v>
      </c>
      <c r="B15" s="1">
        <f t="shared" si="1"/>
        <v>40</v>
      </c>
    </row>
    <row r="16">
      <c r="A16" s="2">
        <v>7.0</v>
      </c>
      <c r="B16" s="1">
        <f t="shared" si="1"/>
        <v>34</v>
      </c>
    </row>
    <row r="17">
      <c r="A17" s="2">
        <v>8.0</v>
      </c>
      <c r="B17" s="1">
        <f t="shared" si="1"/>
        <v>27</v>
      </c>
    </row>
    <row r="18">
      <c r="A18" s="2">
        <v>9.0</v>
      </c>
      <c r="B18" s="1">
        <f t="shared" si="1"/>
        <v>19</v>
      </c>
    </row>
    <row r="19">
      <c r="A19" s="2">
        <v>10.0</v>
      </c>
      <c r="B19" s="1">
        <f t="shared" si="1"/>
        <v>10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3.38"/>
  </cols>
  <sheetData>
    <row r="1">
      <c r="A1" s="2" t="s">
        <v>294</v>
      </c>
      <c r="D1" s="1" t="str">
        <f>IFERROR(__xludf.DUMMYFUNCTION("IMPORTHTML(""https://fr.wikipedia.org/wiki/Les_Républicains#Présidents"",""table"",3, ""en_US"")"),"#REF!")</f>
        <v>#REF!</v>
      </c>
      <c r="E1" s="1"/>
      <c r="F1" s="1"/>
      <c r="G1" s="1"/>
      <c r="H1" s="1"/>
    </row>
    <row r="2">
      <c r="A2" s="2" t="s">
        <v>295</v>
      </c>
      <c r="D2" s="1"/>
      <c r="E2" s="1"/>
      <c r="F2" s="1"/>
      <c r="G2" s="1"/>
      <c r="H2" s="1"/>
    </row>
    <row r="3">
      <c r="A3" s="2" t="s">
        <v>296</v>
      </c>
      <c r="D3" s="1"/>
      <c r="E3" s="1"/>
      <c r="F3" s="1"/>
      <c r="G3" s="1"/>
      <c r="H3" s="1"/>
    </row>
    <row r="4" ht="15.75" customHeight="1">
      <c r="A4" s="2" t="s">
        <v>297</v>
      </c>
      <c r="D4" s="1"/>
      <c r="E4" s="1"/>
      <c r="F4" s="1"/>
      <c r="G4" s="1"/>
      <c r="H4" s="1"/>
    </row>
    <row r="5">
      <c r="A5" s="2">
        <v>34.0</v>
      </c>
      <c r="D5" s="1"/>
      <c r="E5" s="1"/>
      <c r="F5" s="1"/>
      <c r="G5" s="1"/>
      <c r="H5" s="1"/>
    </row>
    <row r="6">
      <c r="B6" s="1">
        <f>SIN(A5)</f>
        <v>0.5290826861</v>
      </c>
      <c r="D6" s="1"/>
      <c r="E6" s="1"/>
      <c r="F6" s="1"/>
      <c r="G6" s="1"/>
      <c r="H6" s="1"/>
      <c r="M6" s="1">
        <f>IFERROR(__xludf.DUMMYFUNCTION("split(G14,"" "", ,TRUE)"),2.0)</f>
        <v>2</v>
      </c>
      <c r="N6" s="1" t="str">
        <f>IFERROR(__xludf.DUMMYFUNCTION("""COMPUTED_VALUE"""),"juin")</f>
        <v>juin</v>
      </c>
      <c r="O6" s="1">
        <f>IFERROR(__xludf.DUMMYFUNCTION("""COMPUTED_VALUE"""),2019.0)</f>
        <v>2019</v>
      </c>
    </row>
    <row r="7">
      <c r="D7" s="1"/>
      <c r="E7" s="1"/>
      <c r="F7" s="1"/>
      <c r="G7" s="1"/>
      <c r="H7" s="1"/>
      <c r="M7" s="1">
        <f>IFERROR(__xludf.DUMMYFUNCTION("split(G15,"" "",FALSE, TRUE)"),13.0)</f>
        <v>13</v>
      </c>
      <c r="N7" s="1" t="str">
        <f>IFERROR(__xludf.DUMMYFUNCTION("""COMPUTED_VALUE"""),"octobre")</f>
        <v>octobre</v>
      </c>
      <c r="O7" s="1">
        <f>IFERROR(__xludf.DUMMYFUNCTION("""COMPUTED_VALUE"""),2019.0)</f>
        <v>2019</v>
      </c>
    </row>
    <row r="8">
      <c r="A8" s="2"/>
      <c r="D8" s="1"/>
      <c r="E8" s="1"/>
      <c r="F8" s="1"/>
      <c r="G8" s="1"/>
      <c r="H8" s="1"/>
    </row>
    <row r="9">
      <c r="D9" s="1"/>
      <c r="E9" s="1"/>
      <c r="F9" s="1"/>
      <c r="G9" s="1"/>
      <c r="H9" s="1"/>
    </row>
    <row r="10">
      <c r="D10" s="1"/>
      <c r="E10" s="1"/>
      <c r="F10" s="1"/>
      <c r="G10" s="1"/>
      <c r="H10" s="1"/>
    </row>
    <row r="11">
      <c r="D11" s="1"/>
      <c r="E11" s="1" t="s">
        <v>298</v>
      </c>
      <c r="F11" s="1" t="s">
        <v>299</v>
      </c>
      <c r="G11" s="1" t="s">
        <v>300</v>
      </c>
      <c r="H11" s="1" t="s">
        <v>301</v>
      </c>
      <c r="M11" s="1" t="str">
        <f>IFERROR(__xludf.DUMMYFUNCTION("split(G6,"" "",FALSE, 1)"),"#VALUE!")</f>
        <v>#VALUE!</v>
      </c>
    </row>
    <row r="12">
      <c r="E12" s="1" t="s">
        <v>302</v>
      </c>
      <c r="F12" s="1" t="s">
        <v>300</v>
      </c>
      <c r="G12" s="1" t="s">
        <v>303</v>
      </c>
      <c r="H12" s="1" t="s">
        <v>304</v>
      </c>
    </row>
    <row r="13">
      <c r="D13" s="1" t="s">
        <v>305</v>
      </c>
    </row>
    <row r="14">
      <c r="E14" s="1" t="s">
        <v>306</v>
      </c>
      <c r="F14" s="1" t="s">
        <v>307</v>
      </c>
      <c r="G14" s="1" t="s">
        <v>308</v>
      </c>
      <c r="H14" s="1" t="s">
        <v>309</v>
      </c>
    </row>
    <row r="15">
      <c r="E15" s="1" t="s">
        <v>310</v>
      </c>
      <c r="F15" s="1" t="s">
        <v>308</v>
      </c>
      <c r="G15" s="1" t="s">
        <v>311</v>
      </c>
      <c r="H15" s="1" t="s">
        <v>312</v>
      </c>
    </row>
    <row r="16">
      <c r="E16" s="1" t="s">
        <v>313</v>
      </c>
      <c r="F16" s="1" t="s">
        <v>311</v>
      </c>
      <c r="G16" s="1" t="s">
        <v>314</v>
      </c>
      <c r="H16" s="1" t="s">
        <v>315</v>
      </c>
    </row>
    <row r="17">
      <c r="E17" s="1" t="s">
        <v>316</v>
      </c>
      <c r="F17" s="1" t="s">
        <v>314</v>
      </c>
      <c r="G17" s="1" t="s">
        <v>317</v>
      </c>
      <c r="H17" s="1" t="s">
        <v>318</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IFERROR(__xludf.DUMMYFUNCTION("IMPORTHTML(""https://www.eurosport.fr/football-us/nfl/standing.shtml"",""table"")"),"#REF!")</f>
        <v>#REF!</v>
      </c>
      <c r="B1" s="1"/>
      <c r="C1" s="1"/>
      <c r="D1" s="1"/>
      <c r="E1" s="1"/>
      <c r="F1" s="1"/>
      <c r="G1" s="1"/>
      <c r="H1" s="1"/>
      <c r="I1" s="1"/>
      <c r="J1" s="1"/>
    </row>
    <row r="2">
      <c r="A2" s="1"/>
      <c r="B2" s="1"/>
      <c r="C2" s="1"/>
      <c r="D2" s="1"/>
      <c r="E2" s="1"/>
      <c r="F2" s="1"/>
      <c r="G2" s="1" t="str">
        <f>IFERROR(__xludf.DUMMYFUNCTION("SPLIT(F2,""."")"),"#VALUE!")</f>
        <v>#VALUE!</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38"/>
    <col customWidth="1" min="4" max="4" width="17.0"/>
    <col customWidth="1" min="5" max="5" width="25.88"/>
  </cols>
  <sheetData>
    <row r="1">
      <c r="A1" s="1" t="str">
        <f>IFERROR(__xludf.DUMMYFUNCTION("IMPORTHTML(""https://fr.wikipedia.org/wiki/National_Basketball_Association"",""table"")"),"N°")</f>
        <v>N°</v>
      </c>
      <c r="B1" s="1" t="str">
        <f>IFERROR(__xludf.DUMMYFUNCTION("""COMPUTED_VALUE"""),"Année")</f>
        <v>Année</v>
      </c>
      <c r="C1" s="1" t="str">
        <f>IFERROR(__xludf.DUMMYFUNCTION("""COMPUTED_VALUE"""),"Conférence Ouest")</f>
        <v>Conférence Ouest</v>
      </c>
      <c r="D1" s="1" t="str">
        <f>IFERROR(__xludf.DUMMYFUNCTION("""COMPUTED_VALUE"""),"Score")</f>
        <v>Score</v>
      </c>
      <c r="E1" s="1" t="str">
        <f>IFERROR(__xludf.DUMMYFUNCTION("""COMPUTED_VALUE"""),"Conférence Est")</f>
        <v>Conférence Est</v>
      </c>
    </row>
    <row r="2">
      <c r="A2" s="1" t="str">
        <f>IFERROR(__xludf.DUMMYFUNCTION("""COMPUTED_VALUE"""),"BAA")</f>
        <v>BAA</v>
      </c>
      <c r="B2" s="1"/>
      <c r="C2" s="1"/>
      <c r="D2" s="1"/>
      <c r="E2" s="1"/>
    </row>
    <row r="3">
      <c r="A3" s="1">
        <f>IFERROR(__xludf.DUMMYFUNCTION("""COMPUTED_VALUE"""),1.0)</f>
        <v>1</v>
      </c>
      <c r="B3" s="1" t="str">
        <f>IFERROR(__xludf.DUMMYFUNCTION("""COMPUTED_VALUE"""),"1946-1947")</f>
        <v>1946-1947</v>
      </c>
      <c r="C3" s="1" t="str">
        <f>IFERROR(__xludf.DUMMYFUNCTION("""COMPUTED_VALUE"""),"Stags de Chicago")</f>
        <v>Stags de Chicago</v>
      </c>
      <c r="D3" s="1" t="str">
        <f>IFERROR(__xludf.DUMMYFUNCTION("""COMPUTED_VALUE"""),"*1-4*")</f>
        <v>*1-4*</v>
      </c>
      <c r="E3" s="1" t="str">
        <f>IFERROR(__xludf.DUMMYFUNCTION("""COMPUTED_VALUE"""),"(1) *Warriors de Philadelphie*")</f>
        <v>(1) *Warriors de Philadelphie*</v>
      </c>
    </row>
    <row r="4">
      <c r="A4" s="1">
        <f>IFERROR(__xludf.DUMMYFUNCTION("""COMPUTED_VALUE"""),2.0)</f>
        <v>2</v>
      </c>
      <c r="B4" s="1" t="str">
        <f>IFERROR(__xludf.DUMMYFUNCTION("""COMPUTED_VALUE"""),"1947-1948")</f>
        <v>1947-1948</v>
      </c>
      <c r="C4" s="1" t="str">
        <f>IFERROR(__xludf.DUMMYFUNCTION("""COMPUTED_VALUE"""),"*Bullets de Baltimore* (1)")</f>
        <v>*Bullets de Baltimore* (1)</v>
      </c>
      <c r="D4" s="1" t="str">
        <f>IFERROR(__xludf.DUMMYFUNCTION("""COMPUTED_VALUE"""),"*4-2*")</f>
        <v>*4-2*</v>
      </c>
      <c r="E4" s="1" t="str">
        <f>IFERROR(__xludf.DUMMYFUNCTION("""COMPUTED_VALUE"""),"Warriors de Philadelphie")</f>
        <v>Warriors de Philadelphie</v>
      </c>
    </row>
    <row r="5">
      <c r="A5" s="1">
        <f>IFERROR(__xludf.DUMMYFUNCTION("""COMPUTED_VALUE"""),3.0)</f>
        <v>3</v>
      </c>
      <c r="B5" s="2" t="str">
        <f>IFERROR(__xludf.DUMMYFUNCTION("""COMPUTED_VALUE"""),"1948-1949")</f>
        <v>1948-1949</v>
      </c>
      <c r="C5" s="1" t="str">
        <f>IFERROR(__xludf.DUMMYFUNCTION("""COMPUTED_VALUE"""),"*Lakers de Minneapolis* (1)")</f>
        <v>*Lakers de Minneapolis* (1)</v>
      </c>
      <c r="D5" s="1" t="str">
        <f>IFERROR(__xludf.DUMMYFUNCTION("""COMPUTED_VALUE"""),"*4-2*")</f>
        <v>*4-2*</v>
      </c>
      <c r="E5" s="1" t="str">
        <f>IFERROR(__xludf.DUMMYFUNCTION("""COMPUTED_VALUE"""),"Washington Capitols")</f>
        <v>Washington Capitols</v>
      </c>
    </row>
    <row r="6">
      <c r="A6" s="1" t="str">
        <f>IFERROR(__xludf.DUMMYFUNCTION("""COMPUTED_VALUE"""),"NBA")</f>
        <v>NBA</v>
      </c>
      <c r="B6" s="1"/>
      <c r="C6" s="1"/>
      <c r="D6" s="1"/>
      <c r="E6" s="1"/>
    </row>
    <row r="7">
      <c r="A7" s="1">
        <f>IFERROR(__xludf.DUMMYFUNCTION("""COMPUTED_VALUE"""),4.0)</f>
        <v>4</v>
      </c>
      <c r="B7" s="1" t="str">
        <f>IFERROR(__xludf.DUMMYFUNCTION("""COMPUTED_VALUE"""),"1949-1950")</f>
        <v>1949-1950</v>
      </c>
      <c r="C7" s="1" t="str">
        <f>IFERROR(__xludf.DUMMYFUNCTION("""COMPUTED_VALUE"""),"*Lakers de Minneapolis* (2)")</f>
        <v>*Lakers de Minneapolis* (2)</v>
      </c>
      <c r="D7" s="1" t="str">
        <f>IFERROR(__xludf.DUMMYFUNCTION("""COMPUTED_VALUE"""),"*4-2*")</f>
        <v>*4-2*</v>
      </c>
      <c r="E7" s="1" t="str">
        <f>IFERROR(__xludf.DUMMYFUNCTION("""COMPUTED_VALUE"""),"Nationals de Syracuse")</f>
        <v>Nationals de Syracuse</v>
      </c>
    </row>
    <row r="8">
      <c r="A8" s="1">
        <f>IFERROR(__xludf.DUMMYFUNCTION("""COMPUTED_VALUE"""),5.0)</f>
        <v>5</v>
      </c>
      <c r="B8" s="1" t="str">
        <f>IFERROR(__xludf.DUMMYFUNCTION("""COMPUTED_VALUE"""),"1950-1951")</f>
        <v>1950-1951</v>
      </c>
      <c r="C8" s="1" t="str">
        <f>IFERROR(__xludf.DUMMYFUNCTION("""COMPUTED_VALUE"""),"*Royals de Rochester* (1)")</f>
        <v>*Royals de Rochester* (1)</v>
      </c>
      <c r="D8" s="1" t="str">
        <f>IFERROR(__xludf.DUMMYFUNCTION("""COMPUTED_VALUE"""),"*4-3*")</f>
        <v>*4-3*</v>
      </c>
      <c r="E8" s="1" t="str">
        <f>IFERROR(__xludf.DUMMYFUNCTION("""COMPUTED_VALUE"""),"Knickerbockers de New York")</f>
        <v>Knickerbockers de New York</v>
      </c>
    </row>
    <row r="9">
      <c r="A9" s="1">
        <f>IFERROR(__xludf.DUMMYFUNCTION("""COMPUTED_VALUE"""),6.0)</f>
        <v>6</v>
      </c>
      <c r="B9" s="1" t="str">
        <f>IFERROR(__xludf.DUMMYFUNCTION("""COMPUTED_VALUE"""),"1951-1952")</f>
        <v>1951-1952</v>
      </c>
      <c r="C9" s="1" t="str">
        <f>IFERROR(__xludf.DUMMYFUNCTION("""COMPUTED_VALUE"""),"*Lakers de Minneapolis* (3)")</f>
        <v>*Lakers de Minneapolis* (3)</v>
      </c>
      <c r="D9" s="1" t="str">
        <f>IFERROR(__xludf.DUMMYFUNCTION("""COMPUTED_VALUE"""),"*4-3*")</f>
        <v>*4-3*</v>
      </c>
      <c r="E9" s="1" t="str">
        <f>IFERROR(__xludf.DUMMYFUNCTION("""COMPUTED_VALUE"""),"Knickerbockers de New York")</f>
        <v>Knickerbockers de New York</v>
      </c>
    </row>
    <row r="10">
      <c r="A10" s="1">
        <f>IFERROR(__xludf.DUMMYFUNCTION("""COMPUTED_VALUE"""),7.0)</f>
        <v>7</v>
      </c>
      <c r="B10" s="1" t="str">
        <f>IFERROR(__xludf.DUMMYFUNCTION("""COMPUTED_VALUE"""),"1952-1953")</f>
        <v>1952-1953</v>
      </c>
      <c r="C10" s="1" t="str">
        <f>IFERROR(__xludf.DUMMYFUNCTION("""COMPUTED_VALUE"""),"*Lakers de Minneapolis* (4)")</f>
        <v>*Lakers de Minneapolis* (4)</v>
      </c>
      <c r="D10" s="1" t="str">
        <f>IFERROR(__xludf.DUMMYFUNCTION("""COMPUTED_VALUE"""),"*4-1*")</f>
        <v>*4-1*</v>
      </c>
      <c r="E10" s="1" t="str">
        <f>IFERROR(__xludf.DUMMYFUNCTION("""COMPUTED_VALUE"""),"Knicks de New York")</f>
        <v>Knicks de New York</v>
      </c>
    </row>
    <row r="11">
      <c r="A11" s="2">
        <f>IFERROR(__xludf.DUMMYFUNCTION("""COMPUTED_VALUE"""),8.0)</f>
        <v>8</v>
      </c>
      <c r="B11" s="2" t="str">
        <f>IFERROR(__xludf.DUMMYFUNCTION("""COMPUTED_VALUE"""),"1953-1954")</f>
        <v>1953-1954</v>
      </c>
      <c r="C11" s="2" t="str">
        <f>IFERROR(__xludf.DUMMYFUNCTION("""COMPUTED_VALUE"""),"*Lakers de Minneapolis* (5)")</f>
        <v>*Lakers de Minneapolis* (5)</v>
      </c>
      <c r="D11" s="1" t="str">
        <f>IFERROR(__xludf.DUMMYFUNCTION("""COMPUTED_VALUE"""),"*4-3*")</f>
        <v>*4-3*</v>
      </c>
      <c r="E11" s="1" t="str">
        <f>IFERROR(__xludf.DUMMYFUNCTION("""COMPUTED_VALUE"""),"Nationals de Syracuse")</f>
        <v>Nationals de Syracuse</v>
      </c>
    </row>
    <row r="12">
      <c r="A12" s="1">
        <f>IFERROR(__xludf.DUMMYFUNCTION("""COMPUTED_VALUE"""),9.0)</f>
        <v>9</v>
      </c>
      <c r="B12" s="1" t="str">
        <f>IFERROR(__xludf.DUMMYFUNCTION("""COMPUTED_VALUE"""),"1954-1955")</f>
        <v>1954-1955</v>
      </c>
      <c r="C12" s="1" t="str">
        <f>IFERROR(__xludf.DUMMYFUNCTION("""COMPUTED_VALUE"""),"Pistons de Fort Wayne")</f>
        <v>Pistons de Fort Wayne</v>
      </c>
      <c r="D12" s="1" t="str">
        <f>IFERROR(__xludf.DUMMYFUNCTION("""COMPUTED_VALUE"""),"*3-4*")</f>
        <v>*3-4*</v>
      </c>
      <c r="E12" s="1" t="str">
        <f>IFERROR(__xludf.DUMMYFUNCTION("""COMPUTED_VALUE"""),"(1) *Nationals de Syracuse*")</f>
        <v>(1) *Nationals de Syracuse*</v>
      </c>
    </row>
    <row r="13">
      <c r="A13" s="1">
        <f>IFERROR(__xludf.DUMMYFUNCTION("""COMPUTED_VALUE"""),10.0)</f>
        <v>10</v>
      </c>
      <c r="B13" s="1" t="str">
        <f>IFERROR(__xludf.DUMMYFUNCTION("""COMPUTED_VALUE"""),"1955-1956")</f>
        <v>1955-1956</v>
      </c>
      <c r="C13" s="1" t="str">
        <f>IFERROR(__xludf.DUMMYFUNCTION("""COMPUTED_VALUE"""),"Pistons de Fort Wayne")</f>
        <v>Pistons de Fort Wayne</v>
      </c>
      <c r="D13" s="1" t="str">
        <f>IFERROR(__xludf.DUMMYFUNCTION("""COMPUTED_VALUE"""),"*1-4*")</f>
        <v>*1-4*</v>
      </c>
      <c r="E13" s="1" t="str">
        <f>IFERROR(__xludf.DUMMYFUNCTION("""COMPUTED_VALUE"""),"(2) *Warriors de Philadelphie*")</f>
        <v>(2) *Warriors de Philadelphie*</v>
      </c>
    </row>
    <row r="14">
      <c r="A14" s="1">
        <f>IFERROR(__xludf.DUMMYFUNCTION("""COMPUTED_VALUE"""),11.0)</f>
        <v>11</v>
      </c>
      <c r="B14" s="1" t="str">
        <f>IFERROR(__xludf.DUMMYFUNCTION("""COMPUTED_VALUE"""),"1956-1957")</f>
        <v>1956-1957</v>
      </c>
      <c r="C14" s="1" t="str">
        <f>IFERROR(__xludf.DUMMYFUNCTION("""COMPUTED_VALUE"""),"Hawks de Saint-Louis")</f>
        <v>Hawks de Saint-Louis</v>
      </c>
      <c r="D14" s="1" t="str">
        <f>IFERROR(__xludf.DUMMYFUNCTION("""COMPUTED_VALUE"""),"*3-4*")</f>
        <v>*3-4*</v>
      </c>
      <c r="E14" s="1" t="str">
        <f>IFERROR(__xludf.DUMMYFUNCTION("""COMPUTED_VALUE"""),"(1) *Celtics de Boston*")</f>
        <v>(1) *Celtics de Boston*</v>
      </c>
    </row>
    <row r="15">
      <c r="A15" s="1">
        <f>IFERROR(__xludf.DUMMYFUNCTION("""COMPUTED_VALUE"""),12.0)</f>
        <v>12</v>
      </c>
      <c r="B15" s="1" t="str">
        <f>IFERROR(__xludf.DUMMYFUNCTION("""COMPUTED_VALUE"""),"1957-1958")</f>
        <v>1957-1958</v>
      </c>
      <c r="C15" s="1" t="str">
        <f>IFERROR(__xludf.DUMMYFUNCTION("""COMPUTED_VALUE"""),"*Hawks de Saint-Louis* (1)")</f>
        <v>*Hawks de Saint-Louis* (1)</v>
      </c>
      <c r="D15" s="1" t="str">
        <f>IFERROR(__xludf.DUMMYFUNCTION("""COMPUTED_VALUE"""),"*4-2*")</f>
        <v>*4-2*</v>
      </c>
      <c r="E15" s="1" t="str">
        <f>IFERROR(__xludf.DUMMYFUNCTION("""COMPUTED_VALUE"""),"Celtics de Boston")</f>
        <v>Celtics de Boston</v>
      </c>
    </row>
    <row r="16">
      <c r="A16" s="1">
        <f>IFERROR(__xludf.DUMMYFUNCTION("""COMPUTED_VALUE"""),13.0)</f>
        <v>13</v>
      </c>
      <c r="B16" s="1" t="str">
        <f>IFERROR(__xludf.DUMMYFUNCTION("""COMPUTED_VALUE"""),"1958-1959")</f>
        <v>1958-1959</v>
      </c>
      <c r="C16" s="1" t="str">
        <f>IFERROR(__xludf.DUMMYFUNCTION("""COMPUTED_VALUE"""),"Lakers de Minneapolis")</f>
        <v>Lakers de Minneapolis</v>
      </c>
      <c r="D16" s="1" t="str">
        <f>IFERROR(__xludf.DUMMYFUNCTION("""COMPUTED_VALUE"""),"*0-4*")</f>
        <v>*0-4*</v>
      </c>
      <c r="E16" s="1" t="str">
        <f>IFERROR(__xludf.DUMMYFUNCTION("""COMPUTED_VALUE"""),"(2) *Celtics de Boston*")</f>
        <v>(2) *Celtics de Boston*</v>
      </c>
    </row>
    <row r="17">
      <c r="A17" s="1">
        <f>IFERROR(__xludf.DUMMYFUNCTION("""COMPUTED_VALUE"""),14.0)</f>
        <v>14</v>
      </c>
      <c r="B17" s="1" t="str">
        <f>IFERROR(__xludf.DUMMYFUNCTION("""COMPUTED_VALUE"""),"1959-1960")</f>
        <v>1959-1960</v>
      </c>
      <c r="C17" s="1" t="str">
        <f>IFERROR(__xludf.DUMMYFUNCTION("""COMPUTED_VALUE"""),"Hawks de Saint-Louis")</f>
        <v>Hawks de Saint-Louis</v>
      </c>
      <c r="D17" s="1" t="str">
        <f>IFERROR(__xludf.DUMMYFUNCTION("""COMPUTED_VALUE"""),"*3-4*")</f>
        <v>*3-4*</v>
      </c>
      <c r="E17" s="1" t="str">
        <f>IFERROR(__xludf.DUMMYFUNCTION("""COMPUTED_VALUE"""),"(3) *Celtics de Boston*")</f>
        <v>(3) *Celtics de Boston*</v>
      </c>
    </row>
    <row r="18">
      <c r="A18" s="1">
        <f>IFERROR(__xludf.DUMMYFUNCTION("""COMPUTED_VALUE"""),15.0)</f>
        <v>15</v>
      </c>
      <c r="B18" s="1" t="str">
        <f>IFERROR(__xludf.DUMMYFUNCTION("""COMPUTED_VALUE"""),"1960-1961")</f>
        <v>1960-1961</v>
      </c>
      <c r="C18" s="1" t="str">
        <f>IFERROR(__xludf.DUMMYFUNCTION("""COMPUTED_VALUE"""),"Hawks de Saint-Louis")</f>
        <v>Hawks de Saint-Louis</v>
      </c>
      <c r="D18" s="1" t="str">
        <f>IFERROR(__xludf.DUMMYFUNCTION("""COMPUTED_VALUE"""),"*1-4*")</f>
        <v>*1-4*</v>
      </c>
      <c r="E18" s="1" t="str">
        <f>IFERROR(__xludf.DUMMYFUNCTION("""COMPUTED_VALUE"""),"(4) *Celtics de Boston*")</f>
        <v>(4) *Celtics de Boston*</v>
      </c>
    </row>
    <row r="19">
      <c r="A19" s="1">
        <f>IFERROR(__xludf.DUMMYFUNCTION("""COMPUTED_VALUE"""),16.0)</f>
        <v>16</v>
      </c>
      <c r="B19" s="1" t="str">
        <f>IFERROR(__xludf.DUMMYFUNCTION("""COMPUTED_VALUE"""),"1961-1962")</f>
        <v>1961-1962</v>
      </c>
      <c r="C19" s="1" t="str">
        <f>IFERROR(__xludf.DUMMYFUNCTION("""COMPUTED_VALUE"""),"Lakers de Los Angeles")</f>
        <v>Lakers de Los Angeles</v>
      </c>
      <c r="D19" s="1" t="str">
        <f>IFERROR(__xludf.DUMMYFUNCTION("""COMPUTED_VALUE"""),"*3-4*")</f>
        <v>*3-4*</v>
      </c>
      <c r="E19" s="1" t="str">
        <f>IFERROR(__xludf.DUMMYFUNCTION("""COMPUTED_VALUE"""),"(5) *Celtics de Boston*")</f>
        <v>(5) *Celtics de Boston*</v>
      </c>
    </row>
    <row r="20">
      <c r="A20" s="1">
        <f>IFERROR(__xludf.DUMMYFUNCTION("""COMPUTED_VALUE"""),17.0)</f>
        <v>17</v>
      </c>
      <c r="B20" s="1" t="str">
        <f>IFERROR(__xludf.DUMMYFUNCTION("""COMPUTED_VALUE"""),"1962-1963")</f>
        <v>1962-1963</v>
      </c>
      <c r="C20" s="1" t="str">
        <f>IFERROR(__xludf.DUMMYFUNCTION("""COMPUTED_VALUE"""),"Lakers de Los Angeles")</f>
        <v>Lakers de Los Angeles</v>
      </c>
      <c r="D20" s="1" t="str">
        <f>IFERROR(__xludf.DUMMYFUNCTION("""COMPUTED_VALUE"""),"*2-4*")</f>
        <v>*2-4*</v>
      </c>
      <c r="E20" s="1" t="str">
        <f>IFERROR(__xludf.DUMMYFUNCTION("""COMPUTED_VALUE"""),"(6) *Celtics de Boston*")</f>
        <v>(6) *Celtics de Boston*</v>
      </c>
    </row>
    <row r="21">
      <c r="A21" s="1">
        <f>IFERROR(__xludf.DUMMYFUNCTION("""COMPUTED_VALUE"""),18.0)</f>
        <v>18</v>
      </c>
      <c r="B21" s="1" t="str">
        <f>IFERROR(__xludf.DUMMYFUNCTION("""COMPUTED_VALUE"""),"1963-1964")</f>
        <v>1963-1964</v>
      </c>
      <c r="C21" s="1" t="str">
        <f>IFERROR(__xludf.DUMMYFUNCTION("""COMPUTED_VALUE"""),"Warriors de San Francisco")</f>
        <v>Warriors de San Francisco</v>
      </c>
      <c r="D21" s="1" t="str">
        <f>IFERROR(__xludf.DUMMYFUNCTION("""COMPUTED_VALUE"""),"*1-4*")</f>
        <v>*1-4*</v>
      </c>
      <c r="E21" s="1" t="str">
        <f>IFERROR(__xludf.DUMMYFUNCTION("""COMPUTED_VALUE"""),"(7) *Celtics de Boston*")</f>
        <v>(7) *Celtics de Boston*</v>
      </c>
    </row>
    <row r="22">
      <c r="A22" s="1">
        <f>IFERROR(__xludf.DUMMYFUNCTION("""COMPUTED_VALUE"""),19.0)</f>
        <v>19</v>
      </c>
      <c r="B22" s="1" t="str">
        <f>IFERROR(__xludf.DUMMYFUNCTION("""COMPUTED_VALUE"""),"1964-1965")</f>
        <v>1964-1965</v>
      </c>
      <c r="C22" s="1" t="str">
        <f>IFERROR(__xludf.DUMMYFUNCTION("""COMPUTED_VALUE"""),"Lakers de Los Angeles")</f>
        <v>Lakers de Los Angeles</v>
      </c>
      <c r="D22" s="1" t="str">
        <f>IFERROR(__xludf.DUMMYFUNCTION("""COMPUTED_VALUE"""),"*1-4*")</f>
        <v>*1-4*</v>
      </c>
      <c r="E22" s="1" t="str">
        <f>IFERROR(__xludf.DUMMYFUNCTION("""COMPUTED_VALUE"""),"(8) *Celtics de Boston*")</f>
        <v>(8) *Celtics de Boston*</v>
      </c>
    </row>
    <row r="23">
      <c r="A23" s="1">
        <f>IFERROR(__xludf.DUMMYFUNCTION("""COMPUTED_VALUE"""),20.0)</f>
        <v>20</v>
      </c>
      <c r="B23" s="1" t="str">
        <f>IFERROR(__xludf.DUMMYFUNCTION("""COMPUTED_VALUE"""),"1965-1966")</f>
        <v>1965-1966</v>
      </c>
      <c r="C23" s="1" t="str">
        <f>IFERROR(__xludf.DUMMYFUNCTION("""COMPUTED_VALUE"""),"Lakers de Los Angeles")</f>
        <v>Lakers de Los Angeles</v>
      </c>
      <c r="D23" s="1" t="str">
        <f>IFERROR(__xludf.DUMMYFUNCTION("""COMPUTED_VALUE"""),"*3-4*")</f>
        <v>*3-4*</v>
      </c>
      <c r="E23" s="1" t="str">
        <f>IFERROR(__xludf.DUMMYFUNCTION("""COMPUTED_VALUE"""),"(9) *Celtics de Boston*")</f>
        <v>(9) *Celtics de Boston*</v>
      </c>
    </row>
    <row r="24">
      <c r="A24" s="1">
        <f>IFERROR(__xludf.DUMMYFUNCTION("""COMPUTED_VALUE"""),21.0)</f>
        <v>21</v>
      </c>
      <c r="B24" s="1" t="str">
        <f>IFERROR(__xludf.DUMMYFUNCTION("""COMPUTED_VALUE"""),"1966-1967")</f>
        <v>1966-1967</v>
      </c>
      <c r="C24" s="1" t="str">
        <f>IFERROR(__xludf.DUMMYFUNCTION("""COMPUTED_VALUE"""),"Warriors de San Francisco")</f>
        <v>Warriors de San Francisco</v>
      </c>
      <c r="D24" s="1" t="str">
        <f>IFERROR(__xludf.DUMMYFUNCTION("""COMPUTED_VALUE"""),"*2-4*")</f>
        <v>*2-4*</v>
      </c>
      <c r="E24" s="1" t="str">
        <f>IFERROR(__xludf.DUMMYFUNCTION("""COMPUTED_VALUE"""),"(2) *76ers de Philadelphie*")</f>
        <v>(2) *76ers de Philadelphie*</v>
      </c>
    </row>
    <row r="25">
      <c r="A25" s="1">
        <f>IFERROR(__xludf.DUMMYFUNCTION("""COMPUTED_VALUE"""),22.0)</f>
        <v>22</v>
      </c>
      <c r="B25" s="1" t="str">
        <f>IFERROR(__xludf.DUMMYFUNCTION("""COMPUTED_VALUE"""),"1967-1968")</f>
        <v>1967-1968</v>
      </c>
      <c r="C25" s="1" t="str">
        <f>IFERROR(__xludf.DUMMYFUNCTION("""COMPUTED_VALUE"""),"Lakers de Los Angeles")</f>
        <v>Lakers de Los Angeles</v>
      </c>
      <c r="D25" s="1" t="str">
        <f>IFERROR(__xludf.DUMMYFUNCTION("""COMPUTED_VALUE"""),"*2-4*")</f>
        <v>*2-4*</v>
      </c>
      <c r="E25" s="1" t="str">
        <f>IFERROR(__xludf.DUMMYFUNCTION("""COMPUTED_VALUE"""),"(10) *Celtics de Boston*")</f>
        <v>(10) *Celtics de Boston*</v>
      </c>
    </row>
    <row r="26">
      <c r="A26" s="1">
        <f>IFERROR(__xludf.DUMMYFUNCTION("""COMPUTED_VALUE"""),23.0)</f>
        <v>23</v>
      </c>
      <c r="B26" s="1" t="str">
        <f>IFERROR(__xludf.DUMMYFUNCTION("""COMPUTED_VALUE"""),"1968-1969")</f>
        <v>1968-1969</v>
      </c>
      <c r="C26" s="1" t="str">
        <f>IFERROR(__xludf.DUMMYFUNCTION("""COMPUTED_VALUE"""),"Lakers de Los Angeles")</f>
        <v>Lakers de Los Angeles</v>
      </c>
      <c r="D26" s="1" t="str">
        <f>IFERROR(__xludf.DUMMYFUNCTION("""COMPUTED_VALUE"""),"*3-4*")</f>
        <v>*3-4*</v>
      </c>
      <c r="E26" s="1" t="str">
        <f>IFERROR(__xludf.DUMMYFUNCTION("""COMPUTED_VALUE"""),"(11) *Celtics de Boston*")</f>
        <v>(11) *Celtics de Boston*</v>
      </c>
    </row>
    <row r="27">
      <c r="A27" s="1">
        <f>IFERROR(__xludf.DUMMYFUNCTION("""COMPUTED_VALUE"""),24.0)</f>
        <v>24</v>
      </c>
      <c r="B27" s="1" t="str">
        <f>IFERROR(__xludf.DUMMYFUNCTION("""COMPUTED_VALUE"""),"1969-1970")</f>
        <v>1969-1970</v>
      </c>
      <c r="C27" s="1" t="str">
        <f>IFERROR(__xludf.DUMMYFUNCTION("""COMPUTED_VALUE"""),"Lakers de Los Angeles")</f>
        <v>Lakers de Los Angeles</v>
      </c>
      <c r="D27" s="1" t="str">
        <f>IFERROR(__xludf.DUMMYFUNCTION("""COMPUTED_VALUE"""),"*3-4*")</f>
        <v>*3-4*</v>
      </c>
      <c r="E27" s="1" t="str">
        <f>IFERROR(__xludf.DUMMYFUNCTION("""COMPUTED_VALUE"""),"(1) *Knicks de New York*")</f>
        <v>(1) *Knicks de New York*</v>
      </c>
    </row>
    <row r="28">
      <c r="A28" s="1">
        <f>IFERROR(__xludf.DUMMYFUNCTION("""COMPUTED_VALUE"""),25.0)</f>
        <v>25</v>
      </c>
      <c r="B28" s="1" t="str">
        <f>IFERROR(__xludf.DUMMYFUNCTION("""COMPUTED_VALUE"""),"1970-1971")</f>
        <v>1970-1971</v>
      </c>
      <c r="C28" s="1" t="str">
        <f>IFERROR(__xludf.DUMMYFUNCTION("""COMPUTED_VALUE"""),"*Bucks de Milwaukee* (1)")</f>
        <v>*Bucks de Milwaukee* (1)</v>
      </c>
      <c r="D28" s="1" t="str">
        <f>IFERROR(__xludf.DUMMYFUNCTION("""COMPUTED_VALUE"""),"*4-0*")</f>
        <v>*4-0*</v>
      </c>
      <c r="E28" s="1" t="str">
        <f>IFERROR(__xludf.DUMMYFUNCTION("""COMPUTED_VALUE"""),"Bullets de Washington")</f>
        <v>Bullets de Washington</v>
      </c>
    </row>
    <row r="29">
      <c r="A29" s="1">
        <f>IFERROR(__xludf.DUMMYFUNCTION("""COMPUTED_VALUE"""),26.0)</f>
        <v>26</v>
      </c>
      <c r="B29" s="1" t="str">
        <f>IFERROR(__xludf.DUMMYFUNCTION("""COMPUTED_VALUE"""),"1971-1972")</f>
        <v>1971-1972</v>
      </c>
      <c r="C29" s="1" t="str">
        <f>IFERROR(__xludf.DUMMYFUNCTION("""COMPUTED_VALUE"""),"*Lakers de Los Angeles* (6)")</f>
        <v>*Lakers de Los Angeles* (6)</v>
      </c>
      <c r="D29" s="1" t="str">
        <f>IFERROR(__xludf.DUMMYFUNCTION("""COMPUTED_VALUE"""),"*4-1*")</f>
        <v>*4-1*</v>
      </c>
      <c r="E29" s="1" t="str">
        <f>IFERROR(__xludf.DUMMYFUNCTION("""COMPUTED_VALUE"""),"Knicks de New York")</f>
        <v>Knicks de New York</v>
      </c>
    </row>
    <row r="30">
      <c r="A30" s="1">
        <f>IFERROR(__xludf.DUMMYFUNCTION("""COMPUTED_VALUE"""),27.0)</f>
        <v>27</v>
      </c>
      <c r="B30" s="1" t="str">
        <f>IFERROR(__xludf.DUMMYFUNCTION("""COMPUTED_VALUE"""),"1972-1973")</f>
        <v>1972-1973</v>
      </c>
      <c r="C30" s="1" t="str">
        <f>IFERROR(__xludf.DUMMYFUNCTION("""COMPUTED_VALUE"""),"Lakers de Los Angeles")</f>
        <v>Lakers de Los Angeles</v>
      </c>
      <c r="D30" s="1" t="str">
        <f>IFERROR(__xludf.DUMMYFUNCTION("""COMPUTED_VALUE"""),"*1-4*")</f>
        <v>*1-4*</v>
      </c>
      <c r="E30" s="1" t="str">
        <f>IFERROR(__xludf.DUMMYFUNCTION("""COMPUTED_VALUE"""),"(2) *Knicks de New York*")</f>
        <v>(2) *Knicks de New York*</v>
      </c>
    </row>
    <row r="31">
      <c r="A31" s="1">
        <f>IFERROR(__xludf.DUMMYFUNCTION("""COMPUTED_VALUE"""),28.0)</f>
        <v>28</v>
      </c>
      <c r="B31" s="1" t="str">
        <f>IFERROR(__xludf.DUMMYFUNCTION("""COMPUTED_VALUE"""),"1973-1974")</f>
        <v>1973-1974</v>
      </c>
      <c r="C31" s="1" t="str">
        <f>IFERROR(__xludf.DUMMYFUNCTION("""COMPUTED_VALUE"""),"Bucks de Milwaukee")</f>
        <v>Bucks de Milwaukee</v>
      </c>
      <c r="D31" s="1" t="str">
        <f>IFERROR(__xludf.DUMMYFUNCTION("""COMPUTED_VALUE"""),"*3-4*")</f>
        <v>*3-4*</v>
      </c>
      <c r="E31" s="1" t="str">
        <f>IFERROR(__xludf.DUMMYFUNCTION("""COMPUTED_VALUE"""),"(12) *Celtics de Boston*")</f>
        <v>(12) *Celtics de Boston*</v>
      </c>
    </row>
    <row r="32">
      <c r="A32" s="1">
        <f>IFERROR(__xludf.DUMMYFUNCTION("""COMPUTED_VALUE"""),29.0)</f>
        <v>29</v>
      </c>
      <c r="B32" s="1" t="str">
        <f>IFERROR(__xludf.DUMMYFUNCTION("""COMPUTED_VALUE"""),"1974-1975")</f>
        <v>1974-1975</v>
      </c>
      <c r="C32" s="1" t="str">
        <f>IFERROR(__xludf.DUMMYFUNCTION("""COMPUTED_VALUE"""),"*Warriors de Golden State* (3)")</f>
        <v>*Warriors de Golden State* (3)</v>
      </c>
      <c r="D32" s="1" t="str">
        <f>IFERROR(__xludf.DUMMYFUNCTION("""COMPUTED_VALUE"""),"*4-0*")</f>
        <v>*4-0*</v>
      </c>
      <c r="E32" s="1" t="str">
        <f>IFERROR(__xludf.DUMMYFUNCTION("""COMPUTED_VALUE"""),"Bullets de Washington")</f>
        <v>Bullets de Washington</v>
      </c>
    </row>
    <row r="33">
      <c r="A33" s="1">
        <f>IFERROR(__xludf.DUMMYFUNCTION("""COMPUTED_VALUE"""),30.0)</f>
        <v>30</v>
      </c>
      <c r="B33" s="1" t="str">
        <f>IFERROR(__xludf.DUMMYFUNCTION("""COMPUTED_VALUE"""),"1975-1976")</f>
        <v>1975-1976</v>
      </c>
      <c r="C33" s="1" t="str">
        <f>IFERROR(__xludf.DUMMYFUNCTION("""COMPUTED_VALUE"""),"Suns de Phoenix")</f>
        <v>Suns de Phoenix</v>
      </c>
      <c r="D33" s="1" t="str">
        <f>IFERROR(__xludf.DUMMYFUNCTION("""COMPUTED_VALUE"""),"*2-4*")</f>
        <v>*2-4*</v>
      </c>
      <c r="E33" s="1" t="str">
        <f>IFERROR(__xludf.DUMMYFUNCTION("""COMPUTED_VALUE"""),"(13) *Celtics de Boston*")</f>
        <v>(13) *Celtics de Boston*</v>
      </c>
    </row>
    <row r="34">
      <c r="A34" s="1">
        <f>IFERROR(__xludf.DUMMYFUNCTION("""COMPUTED_VALUE"""),31.0)</f>
        <v>31</v>
      </c>
      <c r="B34" s="1" t="str">
        <f>IFERROR(__xludf.DUMMYFUNCTION("""COMPUTED_VALUE"""),"1976-1977")</f>
        <v>1976-1977</v>
      </c>
      <c r="C34" s="1" t="str">
        <f>IFERROR(__xludf.DUMMYFUNCTION("""COMPUTED_VALUE"""),"*Trail Blazers de Portland* (1)")</f>
        <v>*Trail Blazers de Portland* (1)</v>
      </c>
      <c r="D34" s="1" t="str">
        <f>IFERROR(__xludf.DUMMYFUNCTION("""COMPUTED_VALUE"""),"*4-2*")</f>
        <v>*4-2*</v>
      </c>
      <c r="E34" s="1" t="str">
        <f>IFERROR(__xludf.DUMMYFUNCTION("""COMPUTED_VALUE"""),"76ers de Philadelphie")</f>
        <v>76ers de Philadelphie</v>
      </c>
    </row>
    <row r="35">
      <c r="A35" s="1">
        <f>IFERROR(__xludf.DUMMYFUNCTION("""COMPUTED_VALUE"""),32.0)</f>
        <v>32</v>
      </c>
      <c r="B35" s="1" t="str">
        <f>IFERROR(__xludf.DUMMYFUNCTION("""COMPUTED_VALUE"""),"1977-1978")</f>
        <v>1977-1978</v>
      </c>
      <c r="C35" s="1" t="str">
        <f>IFERROR(__xludf.DUMMYFUNCTION("""COMPUTED_VALUE"""),"Supersonics de Seattle")</f>
        <v>Supersonics de Seattle</v>
      </c>
      <c r="D35" s="1" t="str">
        <f>IFERROR(__xludf.DUMMYFUNCTION("""COMPUTED_VALUE"""),"*3-4*")</f>
        <v>*3-4*</v>
      </c>
      <c r="E35" s="1" t="str">
        <f>IFERROR(__xludf.DUMMYFUNCTION("""COMPUTED_VALUE"""),"(1) *Bullets de Washington*")</f>
        <v>(1) *Bullets de Washington*</v>
      </c>
    </row>
    <row r="36">
      <c r="A36" s="1">
        <f>IFERROR(__xludf.DUMMYFUNCTION("""COMPUTED_VALUE"""),33.0)</f>
        <v>33</v>
      </c>
      <c r="B36" s="1" t="str">
        <f>IFERROR(__xludf.DUMMYFUNCTION("""COMPUTED_VALUE"""),"1978-1979")</f>
        <v>1978-1979</v>
      </c>
      <c r="C36" s="1" t="str">
        <f>IFERROR(__xludf.DUMMYFUNCTION("""COMPUTED_VALUE"""),"*Supersonics de Seattle* (1)")</f>
        <v>*Supersonics de Seattle* (1)</v>
      </c>
      <c r="D36" s="1" t="str">
        <f>IFERROR(__xludf.DUMMYFUNCTION("""COMPUTED_VALUE"""),"*4-1*")</f>
        <v>*4-1*</v>
      </c>
      <c r="E36" s="1" t="str">
        <f>IFERROR(__xludf.DUMMYFUNCTION("""COMPUTED_VALUE"""),"Bullets de Washington")</f>
        <v>Bullets de Washington</v>
      </c>
    </row>
    <row r="37">
      <c r="A37" s="1">
        <f>IFERROR(__xludf.DUMMYFUNCTION("""COMPUTED_VALUE"""),34.0)</f>
        <v>34</v>
      </c>
      <c r="B37" s="1" t="str">
        <f>IFERROR(__xludf.DUMMYFUNCTION("""COMPUTED_VALUE"""),"1979-1980")</f>
        <v>1979-1980</v>
      </c>
      <c r="C37" s="1" t="str">
        <f>IFERROR(__xludf.DUMMYFUNCTION("""COMPUTED_VALUE"""),"*Lakers de Los Angeles* (7)")</f>
        <v>*Lakers de Los Angeles* (7)</v>
      </c>
      <c r="D37" s="1" t="str">
        <f>IFERROR(__xludf.DUMMYFUNCTION("""COMPUTED_VALUE"""),"*4-2*")</f>
        <v>*4-2*</v>
      </c>
      <c r="E37" s="1" t="str">
        <f>IFERROR(__xludf.DUMMYFUNCTION("""COMPUTED_VALUE"""),"76ers de Philadelphie")</f>
        <v>76ers de Philadelphie</v>
      </c>
    </row>
    <row r="38">
      <c r="A38" s="1">
        <f>IFERROR(__xludf.DUMMYFUNCTION("""COMPUTED_VALUE"""),35.0)</f>
        <v>35</v>
      </c>
      <c r="B38" s="1" t="str">
        <f>IFERROR(__xludf.DUMMYFUNCTION("""COMPUTED_VALUE"""),"1980-1981")</f>
        <v>1980-1981</v>
      </c>
      <c r="C38" s="1" t="str">
        <f>IFERROR(__xludf.DUMMYFUNCTION("""COMPUTED_VALUE"""),"Rockets de Houston")</f>
        <v>Rockets de Houston</v>
      </c>
      <c r="D38" s="1" t="str">
        <f>IFERROR(__xludf.DUMMYFUNCTION("""COMPUTED_VALUE"""),"*2-4*")</f>
        <v>*2-4*</v>
      </c>
      <c r="E38" s="1" t="str">
        <f>IFERROR(__xludf.DUMMYFUNCTION("""COMPUTED_VALUE"""),"(14) *Celtics de Boston*")</f>
        <v>(14) *Celtics de Boston*</v>
      </c>
    </row>
    <row r="39">
      <c r="A39" s="1">
        <f>IFERROR(__xludf.DUMMYFUNCTION("""COMPUTED_VALUE"""),36.0)</f>
        <v>36</v>
      </c>
      <c r="B39" s="1" t="str">
        <f>IFERROR(__xludf.DUMMYFUNCTION("""COMPUTED_VALUE"""),"1981-1982")</f>
        <v>1981-1982</v>
      </c>
      <c r="C39" s="1" t="str">
        <f>IFERROR(__xludf.DUMMYFUNCTION("""COMPUTED_VALUE"""),"*Lakers de Los Angeles* (8)")</f>
        <v>*Lakers de Los Angeles* (8)</v>
      </c>
      <c r="D39" s="1" t="str">
        <f>IFERROR(__xludf.DUMMYFUNCTION("""COMPUTED_VALUE"""),"*4-2*")</f>
        <v>*4-2*</v>
      </c>
      <c r="E39" s="1" t="str">
        <f>IFERROR(__xludf.DUMMYFUNCTION("""COMPUTED_VALUE"""),"76ers de Philadelphie")</f>
        <v>76ers de Philadelphie</v>
      </c>
    </row>
    <row r="40">
      <c r="A40" s="1">
        <f>IFERROR(__xludf.DUMMYFUNCTION("""COMPUTED_VALUE"""),37.0)</f>
        <v>37</v>
      </c>
      <c r="B40" s="1" t="str">
        <f>IFERROR(__xludf.DUMMYFUNCTION("""COMPUTED_VALUE"""),"1982-1983")</f>
        <v>1982-1983</v>
      </c>
      <c r="C40" s="1" t="str">
        <f>IFERROR(__xludf.DUMMYFUNCTION("""COMPUTED_VALUE"""),"Lakers de Los Angeles")</f>
        <v>Lakers de Los Angeles</v>
      </c>
      <c r="D40" s="1" t="str">
        <f>IFERROR(__xludf.DUMMYFUNCTION("""COMPUTED_VALUE"""),"*0-4*")</f>
        <v>*0-4*</v>
      </c>
      <c r="E40" s="1" t="str">
        <f>IFERROR(__xludf.DUMMYFUNCTION("""COMPUTED_VALUE"""),"(3) *76ers de Philadelphie*")</f>
        <v>(3) *76ers de Philadelphie*</v>
      </c>
    </row>
    <row r="41">
      <c r="A41" s="1">
        <f>IFERROR(__xludf.DUMMYFUNCTION("""COMPUTED_VALUE"""),38.0)</f>
        <v>38</v>
      </c>
      <c r="B41" s="1" t="str">
        <f>IFERROR(__xludf.DUMMYFUNCTION("""COMPUTED_VALUE"""),"1983-1984")</f>
        <v>1983-1984</v>
      </c>
      <c r="C41" s="1" t="str">
        <f>IFERROR(__xludf.DUMMYFUNCTION("""COMPUTED_VALUE"""),"Lakers de Los Angeles")</f>
        <v>Lakers de Los Angeles</v>
      </c>
      <c r="D41" s="1" t="str">
        <f>IFERROR(__xludf.DUMMYFUNCTION("""COMPUTED_VALUE"""),"*3-4*")</f>
        <v>*3-4*</v>
      </c>
      <c r="E41" s="1" t="str">
        <f>IFERROR(__xludf.DUMMYFUNCTION("""COMPUTED_VALUE"""),"(15) *Celtics de Boston*")</f>
        <v>(15) *Celtics de Boston*</v>
      </c>
    </row>
    <row r="42">
      <c r="A42" s="1">
        <f>IFERROR(__xludf.DUMMYFUNCTION("""COMPUTED_VALUE"""),39.0)</f>
        <v>39</v>
      </c>
      <c r="B42" s="1" t="str">
        <f>IFERROR(__xludf.DUMMYFUNCTION("""COMPUTED_VALUE"""),"1984-1985")</f>
        <v>1984-1985</v>
      </c>
      <c r="C42" s="1" t="str">
        <f>IFERROR(__xludf.DUMMYFUNCTION("""COMPUTED_VALUE"""),"*Lakers de Los Angeles* (9)")</f>
        <v>*Lakers de Los Angeles* (9)</v>
      </c>
      <c r="D42" s="1" t="str">
        <f>IFERROR(__xludf.DUMMYFUNCTION("""COMPUTED_VALUE"""),"*4-2*")</f>
        <v>*4-2*</v>
      </c>
      <c r="E42" s="1" t="str">
        <f>IFERROR(__xludf.DUMMYFUNCTION("""COMPUTED_VALUE"""),"Celtics de Boston")</f>
        <v>Celtics de Boston</v>
      </c>
    </row>
    <row r="43">
      <c r="A43" s="1">
        <f>IFERROR(__xludf.DUMMYFUNCTION("""COMPUTED_VALUE"""),40.0)</f>
        <v>40</v>
      </c>
      <c r="B43" s="1" t="str">
        <f>IFERROR(__xludf.DUMMYFUNCTION("""COMPUTED_VALUE"""),"1985-1986")</f>
        <v>1985-1986</v>
      </c>
      <c r="C43" s="1" t="str">
        <f>IFERROR(__xludf.DUMMYFUNCTION("""COMPUTED_VALUE"""),"Rockets de Houston")</f>
        <v>Rockets de Houston</v>
      </c>
      <c r="D43" s="1" t="str">
        <f>IFERROR(__xludf.DUMMYFUNCTION("""COMPUTED_VALUE"""),"*2-4*")</f>
        <v>*2-4*</v>
      </c>
      <c r="E43" s="1" t="str">
        <f>IFERROR(__xludf.DUMMYFUNCTION("""COMPUTED_VALUE"""),"(16) *Celtics de Boston*")</f>
        <v>(16) *Celtics de Boston*</v>
      </c>
    </row>
    <row r="44">
      <c r="A44" s="1">
        <f>IFERROR(__xludf.DUMMYFUNCTION("""COMPUTED_VALUE"""),41.0)</f>
        <v>41</v>
      </c>
      <c r="B44" s="1" t="str">
        <f>IFERROR(__xludf.DUMMYFUNCTION("""COMPUTED_VALUE"""),"1986-1987")</f>
        <v>1986-1987</v>
      </c>
      <c r="C44" s="1" t="str">
        <f>IFERROR(__xludf.DUMMYFUNCTION("""COMPUTED_VALUE"""),"*Lakers de Los Angeles* (10)")</f>
        <v>*Lakers de Los Angeles* (10)</v>
      </c>
      <c r="D44" s="1" t="str">
        <f>IFERROR(__xludf.DUMMYFUNCTION("""COMPUTED_VALUE"""),"*4-2*")</f>
        <v>*4-2*</v>
      </c>
      <c r="E44" s="1" t="str">
        <f>IFERROR(__xludf.DUMMYFUNCTION("""COMPUTED_VALUE"""),"Celtics de Boston")</f>
        <v>Celtics de Boston</v>
      </c>
    </row>
    <row r="45">
      <c r="A45" s="1">
        <f>IFERROR(__xludf.DUMMYFUNCTION("""COMPUTED_VALUE"""),42.0)</f>
        <v>42</v>
      </c>
      <c r="B45" s="1" t="str">
        <f>IFERROR(__xludf.DUMMYFUNCTION("""COMPUTED_VALUE"""),"1987-1988")</f>
        <v>1987-1988</v>
      </c>
      <c r="C45" s="1" t="str">
        <f>IFERROR(__xludf.DUMMYFUNCTION("""COMPUTED_VALUE"""),"*Lakers de Los Angeles* (11)")</f>
        <v>*Lakers de Los Angeles* (11)</v>
      </c>
      <c r="D45" s="1" t="str">
        <f>IFERROR(__xludf.DUMMYFUNCTION("""COMPUTED_VALUE"""),"*4-3*")</f>
        <v>*4-3*</v>
      </c>
      <c r="E45" s="1" t="str">
        <f>IFERROR(__xludf.DUMMYFUNCTION("""COMPUTED_VALUE"""),"Pistons de Détroit")</f>
        <v>Pistons de Détroit</v>
      </c>
    </row>
    <row r="46">
      <c r="A46" s="1">
        <f>IFERROR(__xludf.DUMMYFUNCTION("""COMPUTED_VALUE"""),43.0)</f>
        <v>43</v>
      </c>
      <c r="B46" s="1" t="str">
        <f>IFERROR(__xludf.DUMMYFUNCTION("""COMPUTED_VALUE"""),"1988-1989")</f>
        <v>1988-1989</v>
      </c>
      <c r="C46" s="1" t="str">
        <f>IFERROR(__xludf.DUMMYFUNCTION("""COMPUTED_VALUE"""),"Lakers de Los Angeles")</f>
        <v>Lakers de Los Angeles</v>
      </c>
      <c r="D46" s="1" t="str">
        <f>IFERROR(__xludf.DUMMYFUNCTION("""COMPUTED_VALUE"""),"*0-4*")</f>
        <v>*0-4*</v>
      </c>
      <c r="E46" s="1" t="str">
        <f>IFERROR(__xludf.DUMMYFUNCTION("""COMPUTED_VALUE"""),"(1) *Pistons de Détroit*")</f>
        <v>(1) *Pistons de Détroit*</v>
      </c>
    </row>
    <row r="47">
      <c r="A47" s="1">
        <f>IFERROR(__xludf.DUMMYFUNCTION("""COMPUTED_VALUE"""),44.0)</f>
        <v>44</v>
      </c>
      <c r="B47" s="1" t="str">
        <f>IFERROR(__xludf.DUMMYFUNCTION("""COMPUTED_VALUE"""),"1989-1990")</f>
        <v>1989-1990</v>
      </c>
      <c r="C47" s="1" t="str">
        <f>IFERROR(__xludf.DUMMYFUNCTION("""COMPUTED_VALUE"""),"Trail Blazers de Portland")</f>
        <v>Trail Blazers de Portland</v>
      </c>
      <c r="D47" s="1" t="str">
        <f>IFERROR(__xludf.DUMMYFUNCTION("""COMPUTED_VALUE"""),"*1-4*")</f>
        <v>*1-4*</v>
      </c>
      <c r="E47" s="1" t="str">
        <f>IFERROR(__xludf.DUMMYFUNCTION("""COMPUTED_VALUE"""),"(2) *Pistons de Détroit*")</f>
        <v>(2) *Pistons de Détroit*</v>
      </c>
    </row>
    <row r="48">
      <c r="A48" s="1">
        <f>IFERROR(__xludf.DUMMYFUNCTION("""COMPUTED_VALUE"""),45.0)</f>
        <v>45</v>
      </c>
      <c r="B48" s="1" t="str">
        <f>IFERROR(__xludf.DUMMYFUNCTION("""COMPUTED_VALUE"""),"1990-1991")</f>
        <v>1990-1991</v>
      </c>
      <c r="C48" s="1" t="str">
        <f>IFERROR(__xludf.DUMMYFUNCTION("""COMPUTED_VALUE"""),"Lakers de Los Angeles")</f>
        <v>Lakers de Los Angeles</v>
      </c>
      <c r="D48" s="1" t="str">
        <f>IFERROR(__xludf.DUMMYFUNCTION("""COMPUTED_VALUE"""),"*1-4*")</f>
        <v>*1-4*</v>
      </c>
      <c r="E48" s="1" t="str">
        <f>IFERROR(__xludf.DUMMYFUNCTION("""COMPUTED_VALUE"""),"(1) *Bulls de Chicago*")</f>
        <v>(1) *Bulls de Chicago*</v>
      </c>
    </row>
    <row r="49">
      <c r="A49" s="1">
        <f>IFERROR(__xludf.DUMMYFUNCTION("""COMPUTED_VALUE"""),46.0)</f>
        <v>46</v>
      </c>
      <c r="B49" s="1" t="str">
        <f>IFERROR(__xludf.DUMMYFUNCTION("""COMPUTED_VALUE"""),"1991-1992")</f>
        <v>1991-1992</v>
      </c>
      <c r="C49" s="1" t="str">
        <f>IFERROR(__xludf.DUMMYFUNCTION("""COMPUTED_VALUE"""),"Trail Blazers de Portland")</f>
        <v>Trail Blazers de Portland</v>
      </c>
      <c r="D49" s="1" t="str">
        <f>IFERROR(__xludf.DUMMYFUNCTION("""COMPUTED_VALUE"""),"*2-4*")</f>
        <v>*2-4*</v>
      </c>
      <c r="E49" s="1" t="str">
        <f>IFERROR(__xludf.DUMMYFUNCTION("""COMPUTED_VALUE"""),"(2) *Bulls de Chicago*")</f>
        <v>(2) *Bulls de Chicago*</v>
      </c>
    </row>
    <row r="50">
      <c r="A50" s="1">
        <f>IFERROR(__xludf.DUMMYFUNCTION("""COMPUTED_VALUE"""),47.0)</f>
        <v>47</v>
      </c>
      <c r="B50" s="1" t="str">
        <f>IFERROR(__xludf.DUMMYFUNCTION("""COMPUTED_VALUE"""),"1992-1993")</f>
        <v>1992-1993</v>
      </c>
      <c r="C50" s="1" t="str">
        <f>IFERROR(__xludf.DUMMYFUNCTION("""COMPUTED_VALUE"""),"Suns de Phoenix")</f>
        <v>Suns de Phoenix</v>
      </c>
      <c r="D50" s="1" t="str">
        <f>IFERROR(__xludf.DUMMYFUNCTION("""COMPUTED_VALUE"""),"*2-4*")</f>
        <v>*2-4*</v>
      </c>
      <c r="E50" s="1" t="str">
        <f>IFERROR(__xludf.DUMMYFUNCTION("""COMPUTED_VALUE"""),"(3) *Bulls de Chicago*")</f>
        <v>(3) *Bulls de Chicago*</v>
      </c>
    </row>
    <row r="51">
      <c r="A51" s="1">
        <f>IFERROR(__xludf.DUMMYFUNCTION("""COMPUTED_VALUE"""),48.0)</f>
        <v>48</v>
      </c>
      <c r="B51" s="1" t="str">
        <f>IFERROR(__xludf.DUMMYFUNCTION("""COMPUTED_VALUE"""),"1993-1994")</f>
        <v>1993-1994</v>
      </c>
      <c r="C51" s="1" t="str">
        <f>IFERROR(__xludf.DUMMYFUNCTION("""COMPUTED_VALUE"""),"*Rockets de Houston* (1)")</f>
        <v>*Rockets de Houston* (1)</v>
      </c>
      <c r="D51" s="1" t="str">
        <f>IFERROR(__xludf.DUMMYFUNCTION("""COMPUTED_VALUE"""),"*4-3*")</f>
        <v>*4-3*</v>
      </c>
      <c r="E51" s="1" t="str">
        <f>IFERROR(__xludf.DUMMYFUNCTION("""COMPUTED_VALUE"""),"Knicks de New York")</f>
        <v>Knicks de New York</v>
      </c>
    </row>
    <row r="52">
      <c r="A52" s="1">
        <f>IFERROR(__xludf.DUMMYFUNCTION("""COMPUTED_VALUE"""),49.0)</f>
        <v>49</v>
      </c>
      <c r="B52" s="1" t="str">
        <f>IFERROR(__xludf.DUMMYFUNCTION("""COMPUTED_VALUE"""),"1994-1995")</f>
        <v>1994-1995</v>
      </c>
      <c r="C52" s="1" t="str">
        <f>IFERROR(__xludf.DUMMYFUNCTION("""COMPUTED_VALUE"""),"*Rockets de Houston* (2)")</f>
        <v>*Rockets de Houston* (2)</v>
      </c>
      <c r="D52" s="1" t="str">
        <f>IFERROR(__xludf.DUMMYFUNCTION("""COMPUTED_VALUE"""),"*4-0*")</f>
        <v>*4-0*</v>
      </c>
      <c r="E52" s="1" t="str">
        <f>IFERROR(__xludf.DUMMYFUNCTION("""COMPUTED_VALUE"""),"Magic d'Orlando")</f>
        <v>Magic d'Orlando</v>
      </c>
    </row>
    <row r="53">
      <c r="A53" s="1">
        <f>IFERROR(__xludf.DUMMYFUNCTION("""COMPUTED_VALUE"""),50.0)</f>
        <v>50</v>
      </c>
      <c r="B53" s="1" t="str">
        <f>IFERROR(__xludf.DUMMYFUNCTION("""COMPUTED_VALUE"""),"1995-1996")</f>
        <v>1995-1996</v>
      </c>
      <c r="C53" s="1" t="str">
        <f>IFERROR(__xludf.DUMMYFUNCTION("""COMPUTED_VALUE"""),"Supersonics de Seattle")</f>
        <v>Supersonics de Seattle</v>
      </c>
      <c r="D53" s="1" t="str">
        <f>IFERROR(__xludf.DUMMYFUNCTION("""COMPUTED_VALUE"""),"*2-4*")</f>
        <v>*2-4*</v>
      </c>
      <c r="E53" s="1" t="str">
        <f>IFERROR(__xludf.DUMMYFUNCTION("""COMPUTED_VALUE"""),"(4) *Bulls de Chicago*")</f>
        <v>(4) *Bulls de Chicago*</v>
      </c>
    </row>
    <row r="54">
      <c r="A54" s="1">
        <f>IFERROR(__xludf.DUMMYFUNCTION("""COMPUTED_VALUE"""),51.0)</f>
        <v>51</v>
      </c>
      <c r="B54" s="1" t="str">
        <f>IFERROR(__xludf.DUMMYFUNCTION("""COMPUTED_VALUE"""),"1996-1997")</f>
        <v>1996-1997</v>
      </c>
      <c r="C54" s="1" t="str">
        <f>IFERROR(__xludf.DUMMYFUNCTION("""COMPUTED_VALUE"""),"Jazz de l'Utah")</f>
        <v>Jazz de l'Utah</v>
      </c>
      <c r="D54" s="1" t="str">
        <f>IFERROR(__xludf.DUMMYFUNCTION("""COMPUTED_VALUE"""),"*2-4*")</f>
        <v>*2-4*</v>
      </c>
      <c r="E54" s="1" t="str">
        <f>IFERROR(__xludf.DUMMYFUNCTION("""COMPUTED_VALUE"""),"(5) *Bulls de Chicago*")</f>
        <v>(5) *Bulls de Chicago*</v>
      </c>
    </row>
    <row r="55">
      <c r="A55" s="1">
        <f>IFERROR(__xludf.DUMMYFUNCTION("""COMPUTED_VALUE"""),52.0)</f>
        <v>52</v>
      </c>
      <c r="B55" s="1" t="str">
        <f>IFERROR(__xludf.DUMMYFUNCTION("""COMPUTED_VALUE"""),"1997-1998")</f>
        <v>1997-1998</v>
      </c>
      <c r="C55" s="1" t="str">
        <f>IFERROR(__xludf.DUMMYFUNCTION("""COMPUTED_VALUE"""),"Jazz de l'Utah")</f>
        <v>Jazz de l'Utah</v>
      </c>
      <c r="D55" s="1" t="str">
        <f>IFERROR(__xludf.DUMMYFUNCTION("""COMPUTED_VALUE"""),"*2-4*")</f>
        <v>*2-4*</v>
      </c>
      <c r="E55" s="1" t="str">
        <f>IFERROR(__xludf.DUMMYFUNCTION("""COMPUTED_VALUE"""),"(6) *Bulls de Chicago*")</f>
        <v>(6) *Bulls de Chicago*</v>
      </c>
    </row>
    <row r="56">
      <c r="A56" s="1">
        <f>IFERROR(__xludf.DUMMYFUNCTION("""COMPUTED_VALUE"""),53.0)</f>
        <v>53</v>
      </c>
      <c r="B56" s="1" t="str">
        <f>IFERROR(__xludf.DUMMYFUNCTION("""COMPUTED_VALUE"""),"1998-1999")</f>
        <v>1998-1999</v>
      </c>
      <c r="C56" s="1" t="str">
        <f>IFERROR(__xludf.DUMMYFUNCTION("""COMPUTED_VALUE"""),"*Spurs de San Antonio* (1)")</f>
        <v>*Spurs de San Antonio* (1)</v>
      </c>
      <c r="D56" s="1" t="str">
        <f>IFERROR(__xludf.DUMMYFUNCTION("""COMPUTED_VALUE"""),"*4-1*")</f>
        <v>*4-1*</v>
      </c>
      <c r="E56" s="1" t="str">
        <f>IFERROR(__xludf.DUMMYFUNCTION("""COMPUTED_VALUE"""),"Knicks de New York")</f>
        <v>Knicks de New York</v>
      </c>
    </row>
    <row r="57">
      <c r="A57" s="1">
        <f>IFERROR(__xludf.DUMMYFUNCTION("""COMPUTED_VALUE"""),54.0)</f>
        <v>54</v>
      </c>
      <c r="B57" s="1" t="str">
        <f>IFERROR(__xludf.DUMMYFUNCTION("""COMPUTED_VALUE"""),"1999-2000")</f>
        <v>1999-2000</v>
      </c>
      <c r="C57" s="1" t="str">
        <f>IFERROR(__xludf.DUMMYFUNCTION("""COMPUTED_VALUE"""),"*Lakers de Los Angeles* (12)")</f>
        <v>*Lakers de Los Angeles* (12)</v>
      </c>
      <c r="D57" s="1" t="str">
        <f>IFERROR(__xludf.DUMMYFUNCTION("""COMPUTED_VALUE"""),"*4-2*")</f>
        <v>*4-2*</v>
      </c>
      <c r="E57" s="1" t="str">
        <f>IFERROR(__xludf.DUMMYFUNCTION("""COMPUTED_VALUE"""),"Pacers de l'Indiana")</f>
        <v>Pacers de l'Indiana</v>
      </c>
    </row>
    <row r="58">
      <c r="A58" s="1">
        <f>IFERROR(__xludf.DUMMYFUNCTION("""COMPUTED_VALUE"""),55.0)</f>
        <v>55</v>
      </c>
      <c r="B58" s="1" t="str">
        <f>IFERROR(__xludf.DUMMYFUNCTION("""COMPUTED_VALUE"""),"2000-2001")</f>
        <v>2000-2001</v>
      </c>
      <c r="C58" s="1" t="str">
        <f>IFERROR(__xludf.DUMMYFUNCTION("""COMPUTED_VALUE"""),"*Lakers de Los Angeles* (13)")</f>
        <v>*Lakers de Los Angeles* (13)</v>
      </c>
      <c r="D58" s="1" t="str">
        <f>IFERROR(__xludf.DUMMYFUNCTION("""COMPUTED_VALUE"""),"*4-1*")</f>
        <v>*4-1*</v>
      </c>
      <c r="E58" s="1" t="str">
        <f>IFERROR(__xludf.DUMMYFUNCTION("""COMPUTED_VALUE"""),"76ers de Philadelphie")</f>
        <v>76ers de Philadelphie</v>
      </c>
    </row>
    <row r="59">
      <c r="A59" s="1">
        <f>IFERROR(__xludf.DUMMYFUNCTION("""COMPUTED_VALUE"""),56.0)</f>
        <v>56</v>
      </c>
      <c r="B59" s="1" t="str">
        <f>IFERROR(__xludf.DUMMYFUNCTION("""COMPUTED_VALUE"""),"2001-2002")</f>
        <v>2001-2002</v>
      </c>
      <c r="C59" s="1" t="str">
        <f>IFERROR(__xludf.DUMMYFUNCTION("""COMPUTED_VALUE"""),"*Lakers de Los Angeles* (14)")</f>
        <v>*Lakers de Los Angeles* (14)</v>
      </c>
      <c r="D59" s="1" t="str">
        <f>IFERROR(__xludf.DUMMYFUNCTION("""COMPUTED_VALUE"""),"*4-0*")</f>
        <v>*4-0*</v>
      </c>
      <c r="E59" s="1" t="str">
        <f>IFERROR(__xludf.DUMMYFUNCTION("""COMPUTED_VALUE"""),"Nets du New Jersey")</f>
        <v>Nets du New Jersey</v>
      </c>
    </row>
    <row r="60">
      <c r="A60" s="1">
        <f>IFERROR(__xludf.DUMMYFUNCTION("""COMPUTED_VALUE"""),57.0)</f>
        <v>57</v>
      </c>
      <c r="B60" s="1" t="str">
        <f>IFERROR(__xludf.DUMMYFUNCTION("""COMPUTED_VALUE"""),"2002-2003")</f>
        <v>2002-2003</v>
      </c>
      <c r="C60" s="1" t="str">
        <f>IFERROR(__xludf.DUMMYFUNCTION("""COMPUTED_VALUE"""),"*Spurs de San Antonio* (2)")</f>
        <v>*Spurs de San Antonio* (2)</v>
      </c>
      <c r="D60" s="1" t="str">
        <f>IFERROR(__xludf.DUMMYFUNCTION("""COMPUTED_VALUE"""),"*4-2*")</f>
        <v>*4-2*</v>
      </c>
      <c r="E60" s="1" t="str">
        <f>IFERROR(__xludf.DUMMYFUNCTION("""COMPUTED_VALUE"""),"Nets du New Jersey")</f>
        <v>Nets du New Jersey</v>
      </c>
    </row>
    <row r="61">
      <c r="A61" s="1">
        <f>IFERROR(__xludf.DUMMYFUNCTION("""COMPUTED_VALUE"""),58.0)</f>
        <v>58</v>
      </c>
      <c r="B61" s="1" t="str">
        <f>IFERROR(__xludf.DUMMYFUNCTION("""COMPUTED_VALUE"""),"2003-2004")</f>
        <v>2003-2004</v>
      </c>
      <c r="C61" s="1" t="str">
        <f>IFERROR(__xludf.DUMMYFUNCTION("""COMPUTED_VALUE"""),"Lakers de Los Angeles")</f>
        <v>Lakers de Los Angeles</v>
      </c>
      <c r="D61" s="1" t="str">
        <f>IFERROR(__xludf.DUMMYFUNCTION("""COMPUTED_VALUE"""),"*1-4*")</f>
        <v>*1-4*</v>
      </c>
      <c r="E61" s="1" t="str">
        <f>IFERROR(__xludf.DUMMYFUNCTION("""COMPUTED_VALUE"""),"(3) *Pistons de Détroit*")</f>
        <v>(3) *Pistons de Détroit*</v>
      </c>
    </row>
    <row r="62">
      <c r="A62" s="1">
        <f>IFERROR(__xludf.DUMMYFUNCTION("""COMPUTED_VALUE"""),59.0)</f>
        <v>59</v>
      </c>
      <c r="B62" s="1" t="str">
        <f>IFERROR(__xludf.DUMMYFUNCTION("""COMPUTED_VALUE"""),"2004-2005")</f>
        <v>2004-2005</v>
      </c>
      <c r="C62" s="1" t="str">
        <f>IFERROR(__xludf.DUMMYFUNCTION("""COMPUTED_VALUE"""),"*Spurs de San Antonio* (3)")</f>
        <v>*Spurs de San Antonio* (3)</v>
      </c>
      <c r="D62" s="1" t="str">
        <f>IFERROR(__xludf.DUMMYFUNCTION("""COMPUTED_VALUE"""),"*4-3*")</f>
        <v>*4-3*</v>
      </c>
      <c r="E62" s="1" t="str">
        <f>IFERROR(__xludf.DUMMYFUNCTION("""COMPUTED_VALUE"""),"Pistons de Détroit")</f>
        <v>Pistons de Détroit</v>
      </c>
    </row>
    <row r="63">
      <c r="A63" s="1">
        <f>IFERROR(__xludf.DUMMYFUNCTION("""COMPUTED_VALUE"""),60.0)</f>
        <v>60</v>
      </c>
      <c r="B63" s="1" t="str">
        <f>IFERROR(__xludf.DUMMYFUNCTION("""COMPUTED_VALUE"""),"2005-2006")</f>
        <v>2005-2006</v>
      </c>
      <c r="C63" s="1" t="str">
        <f>IFERROR(__xludf.DUMMYFUNCTION("""COMPUTED_VALUE"""),"Mavericks de Dallas")</f>
        <v>Mavericks de Dallas</v>
      </c>
      <c r="D63" s="1" t="str">
        <f>IFERROR(__xludf.DUMMYFUNCTION("""COMPUTED_VALUE"""),"*2-4*")</f>
        <v>*2-4*</v>
      </c>
      <c r="E63" s="1" t="str">
        <f>IFERROR(__xludf.DUMMYFUNCTION("""COMPUTED_VALUE"""),"(1) *Heat de Miami*")</f>
        <v>(1) *Heat de Miami*</v>
      </c>
    </row>
    <row r="64">
      <c r="A64" s="1">
        <f>IFERROR(__xludf.DUMMYFUNCTION("""COMPUTED_VALUE"""),61.0)</f>
        <v>61</v>
      </c>
      <c r="B64" s="1" t="str">
        <f>IFERROR(__xludf.DUMMYFUNCTION("""COMPUTED_VALUE"""),"2006-2007")</f>
        <v>2006-2007</v>
      </c>
      <c r="C64" s="1" t="str">
        <f>IFERROR(__xludf.DUMMYFUNCTION("""COMPUTED_VALUE"""),"*Spurs de San Antonio* (4)")</f>
        <v>*Spurs de San Antonio* (4)</v>
      </c>
      <c r="D64" s="1" t="str">
        <f>IFERROR(__xludf.DUMMYFUNCTION("""COMPUTED_VALUE"""),"*4-0*")</f>
        <v>*4-0*</v>
      </c>
      <c r="E64" s="1" t="str">
        <f>IFERROR(__xludf.DUMMYFUNCTION("""COMPUTED_VALUE"""),"Cavaliers de Cleveland")</f>
        <v>Cavaliers de Cleveland</v>
      </c>
    </row>
    <row r="65">
      <c r="A65" s="1">
        <f>IFERROR(__xludf.DUMMYFUNCTION("""COMPUTED_VALUE"""),62.0)</f>
        <v>62</v>
      </c>
      <c r="B65" s="1" t="str">
        <f>IFERROR(__xludf.DUMMYFUNCTION("""COMPUTED_VALUE"""),"2007-2008")</f>
        <v>2007-2008</v>
      </c>
      <c r="C65" s="1" t="str">
        <f>IFERROR(__xludf.DUMMYFUNCTION("""COMPUTED_VALUE"""),"Lakers de Los Angeles")</f>
        <v>Lakers de Los Angeles</v>
      </c>
      <c r="D65" s="1" t="str">
        <f>IFERROR(__xludf.DUMMYFUNCTION("""COMPUTED_VALUE"""),"*2-4*")</f>
        <v>*2-4*</v>
      </c>
      <c r="E65" s="1" t="str">
        <f>IFERROR(__xludf.DUMMYFUNCTION("""COMPUTED_VALUE"""),"(17) *Celtics de Boston*")</f>
        <v>(17) *Celtics de Boston*</v>
      </c>
    </row>
    <row r="66">
      <c r="A66" s="1">
        <f>IFERROR(__xludf.DUMMYFUNCTION("""COMPUTED_VALUE"""),63.0)</f>
        <v>63</v>
      </c>
      <c r="B66" s="1" t="str">
        <f>IFERROR(__xludf.DUMMYFUNCTION("""COMPUTED_VALUE"""),"2008-2009")</f>
        <v>2008-2009</v>
      </c>
      <c r="C66" s="1" t="str">
        <f>IFERROR(__xludf.DUMMYFUNCTION("""COMPUTED_VALUE"""),"*Lakers de Los Angeles* (15)")</f>
        <v>*Lakers de Los Angeles* (15)</v>
      </c>
      <c r="D66" s="1" t="str">
        <f>IFERROR(__xludf.DUMMYFUNCTION("""COMPUTED_VALUE"""),"*4-1*")</f>
        <v>*4-1*</v>
      </c>
      <c r="E66" s="1" t="str">
        <f>IFERROR(__xludf.DUMMYFUNCTION("""COMPUTED_VALUE"""),"Magic d'Orlando")</f>
        <v>Magic d'Orlando</v>
      </c>
    </row>
    <row r="67">
      <c r="A67" s="1">
        <f>IFERROR(__xludf.DUMMYFUNCTION("""COMPUTED_VALUE"""),64.0)</f>
        <v>64</v>
      </c>
      <c r="B67" s="1" t="str">
        <f>IFERROR(__xludf.DUMMYFUNCTION("""COMPUTED_VALUE"""),"2009-2010")</f>
        <v>2009-2010</v>
      </c>
      <c r="C67" s="1" t="str">
        <f>IFERROR(__xludf.DUMMYFUNCTION("""COMPUTED_VALUE"""),"*Lakers de Los Angeles* (16)")</f>
        <v>*Lakers de Los Angeles* (16)</v>
      </c>
      <c r="D67" s="1" t="str">
        <f>IFERROR(__xludf.DUMMYFUNCTION("""COMPUTED_VALUE"""),"*4-3*")</f>
        <v>*4-3*</v>
      </c>
      <c r="E67" s="1" t="str">
        <f>IFERROR(__xludf.DUMMYFUNCTION("""COMPUTED_VALUE"""),"Celtics de Boston")</f>
        <v>Celtics de Boston</v>
      </c>
    </row>
    <row r="68">
      <c r="A68" s="1">
        <f>IFERROR(__xludf.DUMMYFUNCTION("""COMPUTED_VALUE"""),65.0)</f>
        <v>65</v>
      </c>
      <c r="B68" s="1" t="str">
        <f>IFERROR(__xludf.DUMMYFUNCTION("""COMPUTED_VALUE"""),"2010-2011")</f>
        <v>2010-2011</v>
      </c>
      <c r="C68" s="1" t="str">
        <f>IFERROR(__xludf.DUMMYFUNCTION("""COMPUTED_VALUE"""),"*Mavericks de Dallas* (1)")</f>
        <v>*Mavericks de Dallas* (1)</v>
      </c>
      <c r="D68" s="1" t="str">
        <f>IFERROR(__xludf.DUMMYFUNCTION("""COMPUTED_VALUE"""),"*4-2*")</f>
        <v>*4-2*</v>
      </c>
      <c r="E68" s="1" t="str">
        <f>IFERROR(__xludf.DUMMYFUNCTION("""COMPUTED_VALUE"""),"Heat de Miami")</f>
        <v>Heat de Miami</v>
      </c>
    </row>
    <row r="69">
      <c r="A69" s="1">
        <f>IFERROR(__xludf.DUMMYFUNCTION("""COMPUTED_VALUE"""),66.0)</f>
        <v>66</v>
      </c>
      <c r="B69" s="1" t="str">
        <f>IFERROR(__xludf.DUMMYFUNCTION("""COMPUTED_VALUE"""),"2011-2012")</f>
        <v>2011-2012</v>
      </c>
      <c r="C69" s="1" t="str">
        <f>IFERROR(__xludf.DUMMYFUNCTION("""COMPUTED_VALUE"""),"Thunder d'Oklahoma City")</f>
        <v>Thunder d'Oklahoma City</v>
      </c>
      <c r="D69" s="1" t="str">
        <f>IFERROR(__xludf.DUMMYFUNCTION("""COMPUTED_VALUE"""),"*1-4*")</f>
        <v>*1-4*</v>
      </c>
      <c r="E69" s="1" t="str">
        <f>IFERROR(__xludf.DUMMYFUNCTION("""COMPUTED_VALUE"""),"(2) *Heat de Miami*")</f>
        <v>(2) *Heat de Miami*</v>
      </c>
    </row>
    <row r="70">
      <c r="A70" s="1">
        <f>IFERROR(__xludf.DUMMYFUNCTION("""COMPUTED_VALUE"""),67.0)</f>
        <v>67</v>
      </c>
      <c r="B70" s="1" t="str">
        <f>IFERROR(__xludf.DUMMYFUNCTION("""COMPUTED_VALUE"""),"2012-2013")</f>
        <v>2012-2013</v>
      </c>
      <c r="C70" s="1" t="str">
        <f>IFERROR(__xludf.DUMMYFUNCTION("""COMPUTED_VALUE"""),"Spurs de San Antonio")</f>
        <v>Spurs de San Antonio</v>
      </c>
      <c r="D70" s="1" t="str">
        <f>IFERROR(__xludf.DUMMYFUNCTION("""COMPUTED_VALUE"""),"*3-4*")</f>
        <v>*3-4*</v>
      </c>
      <c r="E70" s="1" t="str">
        <f>IFERROR(__xludf.DUMMYFUNCTION("""COMPUTED_VALUE"""),"(3) *Heat de Miami*")</f>
        <v>(3) *Heat de Miami*</v>
      </c>
    </row>
    <row r="71">
      <c r="A71" s="1">
        <f>IFERROR(__xludf.DUMMYFUNCTION("""COMPUTED_VALUE"""),68.0)</f>
        <v>68</v>
      </c>
      <c r="B71" s="1" t="str">
        <f>IFERROR(__xludf.DUMMYFUNCTION("""COMPUTED_VALUE"""),"2013-2014")</f>
        <v>2013-2014</v>
      </c>
      <c r="C71" s="1" t="str">
        <f>IFERROR(__xludf.DUMMYFUNCTION("""COMPUTED_VALUE"""),"*Spurs de San Antonio* (5)")</f>
        <v>*Spurs de San Antonio* (5)</v>
      </c>
      <c r="D71" s="1" t="str">
        <f>IFERROR(__xludf.DUMMYFUNCTION("""COMPUTED_VALUE"""),"*4-1*")</f>
        <v>*4-1*</v>
      </c>
      <c r="E71" s="1" t="str">
        <f>IFERROR(__xludf.DUMMYFUNCTION("""COMPUTED_VALUE"""),"Heat de Miami")</f>
        <v>Heat de Miami</v>
      </c>
    </row>
    <row r="72">
      <c r="A72" s="1">
        <f>IFERROR(__xludf.DUMMYFUNCTION("""COMPUTED_VALUE"""),69.0)</f>
        <v>69</v>
      </c>
      <c r="B72" s="1" t="str">
        <f>IFERROR(__xludf.DUMMYFUNCTION("""COMPUTED_VALUE"""),"2014-2015")</f>
        <v>2014-2015</v>
      </c>
      <c r="C72" s="1" t="str">
        <f>IFERROR(__xludf.DUMMYFUNCTION("""COMPUTED_VALUE"""),"*Warriors de Golden State* (4)")</f>
        <v>*Warriors de Golden State* (4)</v>
      </c>
      <c r="D72" s="1" t="str">
        <f>IFERROR(__xludf.DUMMYFUNCTION("""COMPUTED_VALUE"""),"*4-2*")</f>
        <v>*4-2*</v>
      </c>
      <c r="E72" s="1" t="str">
        <f>IFERROR(__xludf.DUMMYFUNCTION("""COMPUTED_VALUE"""),"Cavaliers de Cleveland")</f>
        <v>Cavaliers de Cleveland</v>
      </c>
    </row>
    <row r="73">
      <c r="A73" s="1">
        <f>IFERROR(__xludf.DUMMYFUNCTION("""COMPUTED_VALUE"""),70.0)</f>
        <v>70</v>
      </c>
      <c r="B73" s="1" t="str">
        <f>IFERROR(__xludf.DUMMYFUNCTION("""COMPUTED_VALUE"""),"2015-2016")</f>
        <v>2015-2016</v>
      </c>
      <c r="C73" s="1" t="str">
        <f>IFERROR(__xludf.DUMMYFUNCTION("""COMPUTED_VALUE"""),"Warriors de Golden State")</f>
        <v>Warriors de Golden State</v>
      </c>
      <c r="D73" s="1" t="str">
        <f>IFERROR(__xludf.DUMMYFUNCTION("""COMPUTED_VALUE"""),"*3-4*")</f>
        <v>*3-4*</v>
      </c>
      <c r="E73" s="1" t="str">
        <f>IFERROR(__xludf.DUMMYFUNCTION("""COMPUTED_VALUE"""),"(1) *Cavaliers de Cleveland*")</f>
        <v>(1) *Cavaliers de Cleveland*</v>
      </c>
    </row>
    <row r="74">
      <c r="A74" s="1">
        <f>IFERROR(__xludf.DUMMYFUNCTION("""COMPUTED_VALUE"""),71.0)</f>
        <v>71</v>
      </c>
      <c r="B74" s="1" t="str">
        <f>IFERROR(__xludf.DUMMYFUNCTION("""COMPUTED_VALUE"""),"2016-2017")</f>
        <v>2016-2017</v>
      </c>
      <c r="C74" s="1" t="str">
        <f>IFERROR(__xludf.DUMMYFUNCTION("""COMPUTED_VALUE"""),"*Warriors de Golden State* (5)")</f>
        <v>*Warriors de Golden State* (5)</v>
      </c>
      <c r="D74" s="1" t="str">
        <f>IFERROR(__xludf.DUMMYFUNCTION("""COMPUTED_VALUE"""),"*4-1*")</f>
        <v>*4-1*</v>
      </c>
      <c r="E74" s="1" t="str">
        <f>IFERROR(__xludf.DUMMYFUNCTION("""COMPUTED_VALUE"""),"Cavaliers de Cleveland")</f>
        <v>Cavaliers de Cleveland</v>
      </c>
    </row>
    <row r="75">
      <c r="A75" s="1">
        <f>IFERROR(__xludf.DUMMYFUNCTION("""COMPUTED_VALUE"""),72.0)</f>
        <v>72</v>
      </c>
      <c r="B75" s="1" t="str">
        <f>IFERROR(__xludf.DUMMYFUNCTION("""COMPUTED_VALUE"""),"2017-2018")</f>
        <v>2017-2018</v>
      </c>
      <c r="C75" s="1" t="str">
        <f>IFERROR(__xludf.DUMMYFUNCTION("""COMPUTED_VALUE"""),"*Warriors de Golden State* (6)")</f>
        <v>*Warriors de Golden State* (6)</v>
      </c>
      <c r="D75" s="1" t="str">
        <f>IFERROR(__xludf.DUMMYFUNCTION("""COMPUTED_VALUE"""),"*4-0*")</f>
        <v>*4-0*</v>
      </c>
      <c r="E75" s="1" t="str">
        <f>IFERROR(__xludf.DUMMYFUNCTION("""COMPUTED_VALUE"""),"Cavaliers de Cleveland")</f>
        <v>Cavaliers de Cleveland</v>
      </c>
    </row>
    <row r="76">
      <c r="A76" s="1">
        <f>IFERROR(__xludf.DUMMYFUNCTION("""COMPUTED_VALUE"""),73.0)</f>
        <v>73</v>
      </c>
      <c r="B76" s="1" t="str">
        <f>IFERROR(__xludf.DUMMYFUNCTION("""COMPUTED_VALUE"""),"2018-2019")</f>
        <v>2018-2019</v>
      </c>
      <c r="C76" s="1" t="str">
        <f>IFERROR(__xludf.DUMMYFUNCTION("""COMPUTED_VALUE"""),"Warriors de Golden State")</f>
        <v>Warriors de Golden State</v>
      </c>
      <c r="D76" s="1" t="str">
        <f>IFERROR(__xludf.DUMMYFUNCTION("""COMPUTED_VALUE"""),"*2-4*")</f>
        <v>*2-4*</v>
      </c>
      <c r="E76" s="1" t="str">
        <f>IFERROR(__xludf.DUMMYFUNCTION("""COMPUTED_VALUE"""),"(1) *Raptors de Toronto*")</f>
        <v>(1) *Raptors de Toronto*</v>
      </c>
    </row>
    <row r="77">
      <c r="A77" s="1">
        <f>IFERROR(__xludf.DUMMYFUNCTION("""COMPUTED_VALUE"""),74.0)</f>
        <v>74</v>
      </c>
      <c r="B77" s="1" t="str">
        <f>IFERROR(__xludf.DUMMYFUNCTION("""COMPUTED_VALUE"""),"2019-2020")</f>
        <v>2019-2020</v>
      </c>
      <c r="C77" s="1" t="str">
        <f>IFERROR(__xludf.DUMMYFUNCTION("""COMPUTED_VALUE"""),"*Lakers de Los Angeles* (17)")</f>
        <v>*Lakers de Los Angeles* (17)</v>
      </c>
      <c r="D77" s="1" t="str">
        <f>IFERROR(__xludf.DUMMYFUNCTION("""COMPUTED_VALUE"""),"*4-2*")</f>
        <v>*4-2*</v>
      </c>
      <c r="E77" s="1" t="str">
        <f>IFERROR(__xludf.DUMMYFUNCTION("""COMPUTED_VALUE"""),"Heat de Miami")</f>
        <v>Heat de Miami</v>
      </c>
    </row>
    <row r="78">
      <c r="A78" s="1">
        <f>IFERROR(__xludf.DUMMYFUNCTION("""COMPUTED_VALUE"""),75.0)</f>
        <v>75</v>
      </c>
      <c r="B78" s="1" t="str">
        <f>IFERROR(__xludf.DUMMYFUNCTION("""COMPUTED_VALUE"""),"2020-2021")</f>
        <v>2020-2021</v>
      </c>
      <c r="C78" s="1" t="str">
        <f>IFERROR(__xludf.DUMMYFUNCTION("""COMPUTED_VALUE"""),"Suns de Phoenix")</f>
        <v>Suns de Phoenix</v>
      </c>
      <c r="D78" s="1" t="str">
        <f>IFERROR(__xludf.DUMMYFUNCTION("""COMPUTED_VALUE"""),"*2-4*")</f>
        <v>*2-4*</v>
      </c>
      <c r="E78" s="1" t="str">
        <f>IFERROR(__xludf.DUMMYFUNCTION("""COMPUTED_VALUE"""),"(2) *Bucks de Milwaukee*")</f>
        <v>(2) *Bucks de Milwaukee*</v>
      </c>
    </row>
    <row r="79">
      <c r="A79" s="1">
        <f>IFERROR(__xludf.DUMMYFUNCTION("""COMPUTED_VALUE"""),76.0)</f>
        <v>76</v>
      </c>
      <c r="B79" s="1" t="str">
        <f>IFERROR(__xludf.DUMMYFUNCTION("""COMPUTED_VALUE"""),"2021-2022")</f>
        <v>2021-2022</v>
      </c>
      <c r="C79" s="1" t="str">
        <f>IFERROR(__xludf.DUMMYFUNCTION("""COMPUTED_VALUE"""),"*Warriors de Golden State* (7)")</f>
        <v>*Warriors de Golden State* (7)</v>
      </c>
      <c r="D79" s="1" t="str">
        <f>IFERROR(__xludf.DUMMYFUNCTION("""COMPUTED_VALUE"""),"*4-2*")</f>
        <v>*4-2*</v>
      </c>
      <c r="E79" s="1" t="str">
        <f>IFERROR(__xludf.DUMMYFUNCTION("""COMPUTED_VALUE"""),"Celtics de Boston")</f>
        <v>Celtics de Boston</v>
      </c>
    </row>
    <row r="80">
      <c r="A80" s="1">
        <f>IFERROR(__xludf.DUMMYFUNCTION("""COMPUTED_VALUE"""),77.0)</f>
        <v>77</v>
      </c>
      <c r="B80" s="1" t="str">
        <f>IFERROR(__xludf.DUMMYFUNCTION("""COMPUTED_VALUE"""),"2022-2023")</f>
        <v>2022-2023</v>
      </c>
      <c r="C80" s="1" t="str">
        <f>IFERROR(__xludf.DUMMYFUNCTION("""COMPUTED_VALUE"""),"*Nuggets de Denver* (1)")</f>
        <v>*Nuggets de Denver* (1)</v>
      </c>
      <c r="D80" s="1" t="str">
        <f>IFERROR(__xludf.DUMMYFUNCTION("""COMPUTED_VALUE"""),"*4-1*")</f>
        <v>*4-1*</v>
      </c>
      <c r="E80" s="1" t="str">
        <f>IFERROR(__xludf.DUMMYFUNCTION("""COMPUTED_VALUE"""),"Heat de Miami")</f>
        <v>Heat de Miami</v>
      </c>
    </row>
    <row r="81">
      <c r="A81" s="1">
        <f>IFERROR(__xludf.DUMMYFUNCTION("""COMPUTED_VALUE"""),78.0)</f>
        <v>78</v>
      </c>
      <c r="B81" s="1" t="str">
        <f>IFERROR(__xludf.DUMMYFUNCTION("""COMPUTED_VALUE"""),"2023-2024")</f>
        <v>2023-2024</v>
      </c>
      <c r="C81" s="1" t="str">
        <f>IFERROR(__xludf.DUMMYFUNCTION("""COMPUTED_VALUE"""),"Mavericks de Dallas")</f>
        <v>Mavericks de Dallas</v>
      </c>
      <c r="D81" s="1" t="str">
        <f>IFERROR(__xludf.DUMMYFUNCTION("""COMPUTED_VALUE"""),"*1-4*")</f>
        <v>*1-4*</v>
      </c>
      <c r="E81" s="1" t="str">
        <f>IFERROR(__xludf.DUMMYFUNCTION("""COMPUTED_VALUE"""),"(18) *Celtics de Boston*")</f>
        <v>(18) *Celtics de Boston*</v>
      </c>
    </row>
    <row r="82">
      <c r="A82" s="1">
        <f>IFERROR(__xludf.DUMMYFUNCTION("""COMPUTED_VALUE"""),79.0)</f>
        <v>79</v>
      </c>
      <c r="B82" s="1" t="str">
        <f>IFERROR(__xludf.DUMMYFUNCTION("""COMPUTED_VALUE"""),"2024-2025")</f>
        <v>2024-2025</v>
      </c>
      <c r="C82" s="1" t="str">
        <f>IFERROR(__xludf.DUMMYFUNCTION("""COMPUTED_VALUE"""),"*Thunder d'Oklahoma City* (2)")</f>
        <v>*Thunder d'Oklahoma City* (2)</v>
      </c>
      <c r="D82" s="1" t="str">
        <f>IFERROR(__xludf.DUMMYFUNCTION("""COMPUTED_VALUE"""),"*4-3*")</f>
        <v>*4-3*</v>
      </c>
      <c r="E82" s="1" t="str">
        <f>IFERROR(__xludf.DUMMYFUNCTION("""COMPUTED_VALUE"""),"Pacers de l'Indiana")</f>
        <v>Pacers de l'Indiana</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13"/>
    <col customWidth="1" min="4" max="4" width="25.75"/>
  </cols>
  <sheetData>
    <row r="1">
      <c r="A1" s="1" t="s">
        <v>319</v>
      </c>
      <c r="B1" s="1" t="s">
        <v>1</v>
      </c>
      <c r="C1" s="1" t="s">
        <v>320</v>
      </c>
      <c r="D1" s="1" t="s">
        <v>321</v>
      </c>
      <c r="E1" s="1" t="s">
        <v>3</v>
      </c>
    </row>
    <row r="2">
      <c r="A2" s="1" t="s">
        <v>322</v>
      </c>
    </row>
    <row r="3">
      <c r="A3" s="1">
        <v>1.0</v>
      </c>
      <c r="B3" s="1" t="s">
        <v>323</v>
      </c>
      <c r="C3" s="1" t="s">
        <v>324</v>
      </c>
      <c r="D3" s="1" t="s">
        <v>325</v>
      </c>
      <c r="E3" s="1" t="s">
        <v>326</v>
      </c>
      <c r="F3" s="1" t="str">
        <f>IFERROR(__xludf.DUMMYFUNCTION("SPLIT(E3,""-"")"),"*1")</f>
        <v>*1</v>
      </c>
      <c r="G3" s="1" t="str">
        <f>IFERROR(__xludf.DUMMYFUNCTION("""COMPUTED_VALUE"""),"4*")</f>
        <v>4*</v>
      </c>
    </row>
    <row r="4">
      <c r="A4" s="1">
        <v>2.0</v>
      </c>
      <c r="B4" s="1" t="s">
        <v>327</v>
      </c>
      <c r="C4" s="1" t="s">
        <v>328</v>
      </c>
      <c r="D4" s="1" t="s">
        <v>329</v>
      </c>
      <c r="E4" s="1" t="s">
        <v>330</v>
      </c>
      <c r="F4" s="1" t="str">
        <f>IFERROR(__xludf.DUMMYFUNCTION("SPLIT(E4,""-"")"),"*4")</f>
        <v>*4</v>
      </c>
      <c r="G4" s="1" t="str">
        <f>IFERROR(__xludf.DUMMYFUNCTION("""COMPUTED_VALUE"""),"2*")</f>
        <v>2*</v>
      </c>
    </row>
    <row r="5">
      <c r="A5" s="1">
        <v>3.0</v>
      </c>
      <c r="B5" s="7" t="s">
        <v>331</v>
      </c>
      <c r="C5" s="1" t="s">
        <v>332</v>
      </c>
      <c r="D5" s="1" t="s">
        <v>333</v>
      </c>
      <c r="E5" s="1" t="s">
        <v>330</v>
      </c>
      <c r="F5" s="1" t="str">
        <f>IFERROR(__xludf.DUMMYFUNCTION("SPLIT(E5,""-"")"),"*4")</f>
        <v>*4</v>
      </c>
      <c r="G5" s="1" t="str">
        <f>IFERROR(__xludf.DUMMYFUNCTION("""COMPUTED_VALUE"""),"2*")</f>
        <v>2*</v>
      </c>
    </row>
    <row r="6">
      <c r="A6" s="1" t="s">
        <v>334</v>
      </c>
    </row>
    <row r="7">
      <c r="A7" s="1">
        <v>4.0</v>
      </c>
      <c r="B7" s="1" t="s">
        <v>335</v>
      </c>
      <c r="C7" s="1" t="s">
        <v>336</v>
      </c>
      <c r="D7" s="1" t="s">
        <v>337</v>
      </c>
      <c r="E7" s="1" t="s">
        <v>330</v>
      </c>
      <c r="F7" s="1" t="str">
        <f>IFERROR(__xludf.DUMMYFUNCTION("SPLIT(E4,""-"")"),"*4")</f>
        <v>*4</v>
      </c>
      <c r="G7" s="1" t="str">
        <f>IFERROR(__xludf.DUMMYFUNCTION("""COMPUTED_VALUE"""),"2*")</f>
        <v>2*</v>
      </c>
    </row>
    <row r="8">
      <c r="A8" s="1">
        <v>5.0</v>
      </c>
      <c r="B8" s="1" t="s">
        <v>338</v>
      </c>
      <c r="C8" s="1" t="s">
        <v>339</v>
      </c>
      <c r="D8" s="1" t="s">
        <v>340</v>
      </c>
      <c r="E8" s="1" t="s">
        <v>341</v>
      </c>
      <c r="F8" s="1" t="str">
        <f>IFERROR(__xludf.DUMMYFUNCTION("SPLIT(E5,""-"")"),"*4")</f>
        <v>*4</v>
      </c>
      <c r="G8" s="1" t="str">
        <f>IFERROR(__xludf.DUMMYFUNCTION("""COMPUTED_VALUE"""),"2*")</f>
        <v>2*</v>
      </c>
    </row>
    <row r="9">
      <c r="A9" s="1">
        <v>6.0</v>
      </c>
      <c r="B9" s="1" t="s">
        <v>342</v>
      </c>
      <c r="C9" s="1" t="s">
        <v>343</v>
      </c>
      <c r="D9" s="1" t="s">
        <v>340</v>
      </c>
      <c r="E9" s="1" t="s">
        <v>341</v>
      </c>
      <c r="F9" s="1" t="str">
        <f>IFERROR(__xludf.DUMMYFUNCTION("SPLIT(E9,""-"")"),"*4")</f>
        <v>*4</v>
      </c>
      <c r="G9" s="1" t="str">
        <f>IFERROR(__xludf.DUMMYFUNCTION("""COMPUTED_VALUE"""),"3*")</f>
        <v>3*</v>
      </c>
    </row>
    <row r="10">
      <c r="A10" s="1">
        <v>7.0</v>
      </c>
      <c r="B10" s="1" t="s">
        <v>344</v>
      </c>
      <c r="C10" s="1" t="s">
        <v>345</v>
      </c>
      <c r="D10" s="1" t="s">
        <v>346</v>
      </c>
      <c r="E10" s="1" t="s">
        <v>347</v>
      </c>
      <c r="F10" s="1" t="str">
        <f>IFERROR(__xludf.DUMMYFUNCTION("SPLIT(E7,""-"")"),"*4")</f>
        <v>*4</v>
      </c>
      <c r="G10" s="1" t="str">
        <f>IFERROR(__xludf.DUMMYFUNCTION("""COMPUTED_VALUE"""),"2*")</f>
        <v>2*</v>
      </c>
    </row>
    <row r="11">
      <c r="A11" s="7">
        <v>8.0</v>
      </c>
      <c r="B11" s="7" t="s">
        <v>348</v>
      </c>
      <c r="C11" s="7" t="s">
        <v>349</v>
      </c>
      <c r="D11" s="1" t="s">
        <v>337</v>
      </c>
      <c r="E11" s="1" t="s">
        <v>341</v>
      </c>
      <c r="F11" s="1" t="str">
        <f>IFERROR(__xludf.DUMMYFUNCTION("SPLIT(E8,""-"")"),"*4")</f>
        <v>*4</v>
      </c>
      <c r="G11" s="1" t="str">
        <f>IFERROR(__xludf.DUMMYFUNCTION("""COMPUTED_VALUE"""),"3*")</f>
        <v>3*</v>
      </c>
    </row>
    <row r="12">
      <c r="A12" s="1">
        <v>9.0</v>
      </c>
      <c r="B12" s="1" t="s">
        <v>350</v>
      </c>
      <c r="C12" s="1" t="s">
        <v>351</v>
      </c>
      <c r="D12" s="1" t="s">
        <v>352</v>
      </c>
      <c r="E12" s="1" t="s">
        <v>353</v>
      </c>
      <c r="F12" s="1" t="str">
        <f>IFERROR(__xludf.DUMMYFUNCTION("SPLIT(E9,""-"")"),"*4")</f>
        <v>*4</v>
      </c>
      <c r="G12" s="1" t="str">
        <f>IFERROR(__xludf.DUMMYFUNCTION("""COMPUTED_VALUE"""),"3*")</f>
        <v>3*</v>
      </c>
    </row>
    <row r="13">
      <c r="A13" s="1">
        <v>10.0</v>
      </c>
      <c r="B13" s="1" t="s">
        <v>354</v>
      </c>
      <c r="C13" s="1" t="s">
        <v>351</v>
      </c>
      <c r="D13" s="1" t="s">
        <v>355</v>
      </c>
      <c r="E13" s="1" t="s">
        <v>326</v>
      </c>
      <c r="F13" s="1" t="str">
        <f>IFERROR(__xludf.DUMMYFUNCTION("SPLIT(E10,""-"")"),"*4")</f>
        <v>*4</v>
      </c>
      <c r="G13" s="1" t="str">
        <f>IFERROR(__xludf.DUMMYFUNCTION("""COMPUTED_VALUE"""),"1*")</f>
        <v>1*</v>
      </c>
    </row>
    <row r="14">
      <c r="A14" s="1">
        <v>11.0</v>
      </c>
      <c r="B14" s="1" t="s">
        <v>356</v>
      </c>
      <c r="C14" s="1" t="s">
        <v>357</v>
      </c>
      <c r="D14" s="1" t="s">
        <v>358</v>
      </c>
      <c r="E14" s="1" t="s">
        <v>353</v>
      </c>
      <c r="F14" s="1" t="str">
        <f>IFERROR(__xludf.DUMMYFUNCTION("SPLIT(E11,""-"")"),"*4")</f>
        <v>*4</v>
      </c>
      <c r="G14" s="1" t="str">
        <f>IFERROR(__xludf.DUMMYFUNCTION("""COMPUTED_VALUE"""),"3*")</f>
        <v>3*</v>
      </c>
    </row>
    <row r="15">
      <c r="A15" s="1">
        <v>12.0</v>
      </c>
      <c r="B15" s="1" t="s">
        <v>359</v>
      </c>
      <c r="C15" s="1" t="s">
        <v>360</v>
      </c>
      <c r="D15" s="1" t="s">
        <v>361</v>
      </c>
      <c r="E15" s="1" t="s">
        <v>330</v>
      </c>
      <c r="F15" s="1" t="str">
        <f>IFERROR(__xludf.DUMMYFUNCTION("SPLIT(E12,""-"")"),"*3")</f>
        <v>*3</v>
      </c>
      <c r="G15" s="1" t="str">
        <f>IFERROR(__xludf.DUMMYFUNCTION("""COMPUTED_VALUE"""),"4*")</f>
        <v>4*</v>
      </c>
    </row>
    <row r="16">
      <c r="A16" s="1">
        <v>13.0</v>
      </c>
      <c r="B16" s="1" t="s">
        <v>362</v>
      </c>
      <c r="C16" s="1" t="s">
        <v>363</v>
      </c>
      <c r="D16" s="1" t="s">
        <v>364</v>
      </c>
      <c r="E16" s="1" t="s">
        <v>365</v>
      </c>
      <c r="F16" s="1" t="str">
        <f>IFERROR(__xludf.DUMMYFUNCTION("SPLIT(E13,""-"")"),"*1")</f>
        <v>*1</v>
      </c>
      <c r="G16" s="1" t="str">
        <f>IFERROR(__xludf.DUMMYFUNCTION("""COMPUTED_VALUE"""),"4*")</f>
        <v>4*</v>
      </c>
    </row>
    <row r="17">
      <c r="A17" s="1">
        <v>14.0</v>
      </c>
      <c r="B17" s="1" t="s">
        <v>366</v>
      </c>
      <c r="C17" s="1" t="s">
        <v>357</v>
      </c>
      <c r="D17" s="1" t="s">
        <v>367</v>
      </c>
      <c r="E17" s="1" t="s">
        <v>353</v>
      </c>
      <c r="F17" s="1" t="str">
        <f>IFERROR(__xludf.DUMMYFUNCTION("SPLIT(E14,""-"")"),"*3")</f>
        <v>*3</v>
      </c>
      <c r="G17" s="1" t="str">
        <f>IFERROR(__xludf.DUMMYFUNCTION("""COMPUTED_VALUE"""),"4*")</f>
        <v>4*</v>
      </c>
    </row>
    <row r="18">
      <c r="A18" s="1">
        <v>15.0</v>
      </c>
      <c r="B18" s="1" t="s">
        <v>368</v>
      </c>
      <c r="C18" s="1" t="s">
        <v>357</v>
      </c>
      <c r="D18" s="1" t="s">
        <v>369</v>
      </c>
      <c r="E18" s="1" t="s">
        <v>326</v>
      </c>
      <c r="F18" s="1" t="str">
        <f>IFERROR(__xludf.DUMMYFUNCTION("SPLIT(E15,""-"")"),"*4")</f>
        <v>*4</v>
      </c>
      <c r="G18" s="1" t="str">
        <f>IFERROR(__xludf.DUMMYFUNCTION("""COMPUTED_VALUE"""),"2*")</f>
        <v>2*</v>
      </c>
    </row>
    <row r="19">
      <c r="A19" s="1">
        <v>16.0</v>
      </c>
      <c r="B19" s="1" t="s">
        <v>370</v>
      </c>
      <c r="C19" s="1" t="s">
        <v>371</v>
      </c>
      <c r="D19" s="1" t="s">
        <v>372</v>
      </c>
      <c r="E19" s="1" t="s">
        <v>353</v>
      </c>
      <c r="F19" s="1" t="str">
        <f>IFERROR(__xludf.DUMMYFUNCTION("SPLIT(E16,""-"")"),"*0")</f>
        <v>*0</v>
      </c>
      <c r="G19" s="1" t="str">
        <f>IFERROR(__xludf.DUMMYFUNCTION("""COMPUTED_VALUE"""),"4*")</f>
        <v>4*</v>
      </c>
    </row>
    <row r="20">
      <c r="A20" s="1">
        <v>17.0</v>
      </c>
      <c r="B20" s="1" t="s">
        <v>373</v>
      </c>
      <c r="C20" s="1" t="s">
        <v>371</v>
      </c>
      <c r="D20" s="1" t="s">
        <v>374</v>
      </c>
      <c r="E20" s="1" t="s">
        <v>375</v>
      </c>
      <c r="F20" s="1" t="str">
        <f>IFERROR(__xludf.DUMMYFUNCTION("SPLIT(E17,""-"")"),"*3")</f>
        <v>*3</v>
      </c>
      <c r="G20" s="1" t="str">
        <f>IFERROR(__xludf.DUMMYFUNCTION("""COMPUTED_VALUE"""),"4*")</f>
        <v>4*</v>
      </c>
    </row>
    <row r="21">
      <c r="A21" s="1">
        <v>18.0</v>
      </c>
      <c r="B21" s="1" t="s">
        <v>376</v>
      </c>
      <c r="C21" s="1" t="s">
        <v>377</v>
      </c>
      <c r="D21" s="1" t="s">
        <v>378</v>
      </c>
      <c r="E21" s="1" t="s">
        <v>326</v>
      </c>
      <c r="F21" s="1" t="str">
        <f>IFERROR(__xludf.DUMMYFUNCTION("SPLIT(E18,""-"")"),"*1")</f>
        <v>*1</v>
      </c>
      <c r="G21" s="1" t="str">
        <f>IFERROR(__xludf.DUMMYFUNCTION("""COMPUTED_VALUE"""),"4*")</f>
        <v>4*</v>
      </c>
    </row>
    <row r="22">
      <c r="A22" s="1">
        <v>19.0</v>
      </c>
      <c r="B22" s="1" t="s">
        <v>379</v>
      </c>
      <c r="C22" s="1" t="s">
        <v>371</v>
      </c>
      <c r="D22" s="1" t="s">
        <v>380</v>
      </c>
      <c r="E22" s="1" t="s">
        <v>326</v>
      </c>
      <c r="F22" s="1" t="str">
        <f>IFERROR(__xludf.DUMMYFUNCTION("SPLIT(E19,""-"")"),"*3")</f>
        <v>*3</v>
      </c>
      <c r="G22" s="1" t="str">
        <f>IFERROR(__xludf.DUMMYFUNCTION("""COMPUTED_VALUE"""),"4*")</f>
        <v>4*</v>
      </c>
    </row>
    <row r="23">
      <c r="A23" s="1">
        <v>20.0</v>
      </c>
      <c r="B23" s="1" t="s">
        <v>381</v>
      </c>
      <c r="C23" s="1" t="s">
        <v>371</v>
      </c>
      <c r="D23" s="1" t="s">
        <v>382</v>
      </c>
      <c r="E23" s="1" t="s">
        <v>353</v>
      </c>
      <c r="F23" s="1" t="str">
        <f>IFERROR(__xludf.DUMMYFUNCTION("SPLIT(E20,""-"")"),"*2")</f>
        <v>*2</v>
      </c>
      <c r="G23" s="1" t="str">
        <f>IFERROR(__xludf.DUMMYFUNCTION("""COMPUTED_VALUE"""),"4*")</f>
        <v>4*</v>
      </c>
    </row>
    <row r="24">
      <c r="A24" s="1">
        <v>21.0</v>
      </c>
      <c r="B24" s="1" t="s">
        <v>383</v>
      </c>
      <c r="C24" s="1" t="s">
        <v>377</v>
      </c>
      <c r="D24" s="1" t="s">
        <v>384</v>
      </c>
      <c r="E24" s="1" t="s">
        <v>375</v>
      </c>
      <c r="F24" s="1" t="str">
        <f>IFERROR(__xludf.DUMMYFUNCTION("SPLIT(E21,""-"")"),"*1")</f>
        <v>*1</v>
      </c>
      <c r="G24" s="1" t="str">
        <f>IFERROR(__xludf.DUMMYFUNCTION("""COMPUTED_VALUE"""),"4*")</f>
        <v>4*</v>
      </c>
    </row>
    <row r="25">
      <c r="A25" s="1">
        <v>22.0</v>
      </c>
      <c r="B25" s="1" t="s">
        <v>385</v>
      </c>
      <c r="C25" s="1" t="s">
        <v>371</v>
      </c>
      <c r="D25" s="1" t="s">
        <v>386</v>
      </c>
      <c r="E25" s="1" t="s">
        <v>375</v>
      </c>
      <c r="F25" s="1" t="str">
        <f>IFERROR(__xludf.DUMMYFUNCTION("SPLIT(E22,""-"")"),"*1")</f>
        <v>*1</v>
      </c>
      <c r="G25" s="1" t="str">
        <f>IFERROR(__xludf.DUMMYFUNCTION("""COMPUTED_VALUE"""),"4*")</f>
        <v>4*</v>
      </c>
    </row>
    <row r="26">
      <c r="A26" s="1">
        <v>23.0</v>
      </c>
      <c r="B26" s="1" t="s">
        <v>387</v>
      </c>
      <c r="C26" s="1" t="s">
        <v>371</v>
      </c>
      <c r="D26" s="1" t="s">
        <v>388</v>
      </c>
      <c r="E26" s="1" t="s">
        <v>353</v>
      </c>
      <c r="F26" s="1" t="str">
        <f>IFERROR(__xludf.DUMMYFUNCTION("SPLIT(E23,""-"")"),"*3")</f>
        <v>*3</v>
      </c>
      <c r="G26" s="1" t="str">
        <f>IFERROR(__xludf.DUMMYFUNCTION("""COMPUTED_VALUE"""),"4*")</f>
        <v>4*</v>
      </c>
    </row>
    <row r="27">
      <c r="A27" s="1">
        <v>24.0</v>
      </c>
      <c r="B27" s="1" t="s">
        <v>389</v>
      </c>
      <c r="C27" s="1" t="s">
        <v>371</v>
      </c>
      <c r="D27" s="1" t="s">
        <v>390</v>
      </c>
      <c r="E27" s="1" t="s">
        <v>353</v>
      </c>
      <c r="F27" s="1" t="str">
        <f>IFERROR(__xludf.DUMMYFUNCTION("SPLIT(E24,""-"")"),"*2")</f>
        <v>*2</v>
      </c>
      <c r="G27" s="1" t="str">
        <f>IFERROR(__xludf.DUMMYFUNCTION("""COMPUTED_VALUE"""),"4*")</f>
        <v>4*</v>
      </c>
    </row>
    <row r="28">
      <c r="A28" s="1">
        <v>25.0</v>
      </c>
      <c r="B28" s="1" t="s">
        <v>391</v>
      </c>
      <c r="C28" s="1" t="s">
        <v>392</v>
      </c>
      <c r="D28" s="1" t="s">
        <v>393</v>
      </c>
      <c r="E28" s="1" t="s">
        <v>394</v>
      </c>
      <c r="F28" s="1" t="str">
        <f>IFERROR(__xludf.DUMMYFUNCTION("SPLIT(E25,""-"")"),"*2")</f>
        <v>*2</v>
      </c>
      <c r="G28" s="1" t="str">
        <f>IFERROR(__xludf.DUMMYFUNCTION("""COMPUTED_VALUE"""),"4*")</f>
        <v>4*</v>
      </c>
    </row>
    <row r="29">
      <c r="A29" s="1">
        <v>26.0</v>
      </c>
      <c r="B29" s="1" t="s">
        <v>395</v>
      </c>
      <c r="C29" s="1" t="s">
        <v>396</v>
      </c>
      <c r="D29" s="1" t="s">
        <v>346</v>
      </c>
      <c r="E29" s="1" t="s">
        <v>347</v>
      </c>
      <c r="F29" s="1" t="str">
        <f>IFERROR(__xludf.DUMMYFUNCTION("SPLIT(E26,""-"")"),"*3")</f>
        <v>*3</v>
      </c>
      <c r="G29" s="1" t="str">
        <f>IFERROR(__xludf.DUMMYFUNCTION("""COMPUTED_VALUE"""),"4*")</f>
        <v>4*</v>
      </c>
    </row>
    <row r="30">
      <c r="A30" s="1">
        <v>27.0</v>
      </c>
      <c r="B30" s="1" t="s">
        <v>397</v>
      </c>
      <c r="C30" s="1" t="s">
        <v>371</v>
      </c>
      <c r="D30" s="1" t="s">
        <v>398</v>
      </c>
      <c r="E30" s="1" t="s">
        <v>326</v>
      </c>
      <c r="F30" s="1" t="str">
        <f>IFERROR(__xludf.DUMMYFUNCTION("SPLIT(E27,""-"")"),"*3")</f>
        <v>*3</v>
      </c>
      <c r="G30" s="1" t="str">
        <f>IFERROR(__xludf.DUMMYFUNCTION("""COMPUTED_VALUE"""),"4*")</f>
        <v>4*</v>
      </c>
    </row>
    <row r="31">
      <c r="A31" s="1">
        <v>28.0</v>
      </c>
      <c r="B31" s="1" t="s">
        <v>399</v>
      </c>
      <c r="C31" s="1" t="s">
        <v>400</v>
      </c>
      <c r="D31" s="1" t="s">
        <v>401</v>
      </c>
      <c r="E31" s="1" t="s">
        <v>353</v>
      </c>
      <c r="F31" s="1" t="str">
        <f>IFERROR(__xludf.DUMMYFUNCTION("SPLIT(E28,""-"")"),"*4")</f>
        <v>*4</v>
      </c>
      <c r="G31" s="1" t="str">
        <f>IFERROR(__xludf.DUMMYFUNCTION("""COMPUTED_VALUE"""),"0*")</f>
        <v>0*</v>
      </c>
    </row>
    <row r="32">
      <c r="A32" s="1">
        <v>29.0</v>
      </c>
      <c r="B32" s="1" t="s">
        <v>402</v>
      </c>
      <c r="C32" s="1" t="s">
        <v>403</v>
      </c>
      <c r="D32" s="1" t="s">
        <v>393</v>
      </c>
      <c r="E32" s="1" t="s">
        <v>394</v>
      </c>
      <c r="F32" s="1" t="str">
        <f>IFERROR(__xludf.DUMMYFUNCTION("SPLIT(E29,""-"")"),"*4")</f>
        <v>*4</v>
      </c>
      <c r="G32" s="1" t="str">
        <f>IFERROR(__xludf.DUMMYFUNCTION("""COMPUTED_VALUE"""),"1*")</f>
        <v>1*</v>
      </c>
    </row>
    <row r="33">
      <c r="A33" s="1">
        <v>30.0</v>
      </c>
      <c r="B33" s="1" t="s">
        <v>404</v>
      </c>
      <c r="C33" s="1" t="s">
        <v>405</v>
      </c>
      <c r="D33" s="1" t="s">
        <v>406</v>
      </c>
      <c r="E33" s="1" t="s">
        <v>375</v>
      </c>
      <c r="F33" s="1" t="str">
        <f>IFERROR(__xludf.DUMMYFUNCTION("SPLIT(E30,""-"")"),"*1")</f>
        <v>*1</v>
      </c>
      <c r="G33" s="1" t="str">
        <f>IFERROR(__xludf.DUMMYFUNCTION("""COMPUTED_VALUE"""),"4*")</f>
        <v>4*</v>
      </c>
    </row>
    <row r="34">
      <c r="A34" s="1">
        <v>31.0</v>
      </c>
      <c r="B34" s="1" t="s">
        <v>407</v>
      </c>
      <c r="C34" s="1" t="s">
        <v>408</v>
      </c>
      <c r="D34" s="1" t="s">
        <v>409</v>
      </c>
      <c r="E34" s="1" t="s">
        <v>330</v>
      </c>
      <c r="F34" s="1" t="str">
        <f>IFERROR(__xludf.DUMMYFUNCTION("SPLIT(E31,""-"")"),"*3")</f>
        <v>*3</v>
      </c>
      <c r="G34" s="1" t="str">
        <f>IFERROR(__xludf.DUMMYFUNCTION("""COMPUTED_VALUE"""),"4*")</f>
        <v>4*</v>
      </c>
    </row>
    <row r="35">
      <c r="A35" s="1">
        <v>32.0</v>
      </c>
      <c r="B35" s="1" t="s">
        <v>410</v>
      </c>
      <c r="C35" s="1" t="s">
        <v>411</v>
      </c>
      <c r="D35" s="1" t="s">
        <v>412</v>
      </c>
      <c r="E35" s="1" t="s">
        <v>353</v>
      </c>
      <c r="F35" s="1" t="str">
        <f>IFERROR(__xludf.DUMMYFUNCTION("SPLIT(E32,""-"")"),"*4")</f>
        <v>*4</v>
      </c>
      <c r="G35" s="1" t="str">
        <f>IFERROR(__xludf.DUMMYFUNCTION("""COMPUTED_VALUE"""),"0*")</f>
        <v>0*</v>
      </c>
    </row>
    <row r="36">
      <c r="A36" s="1">
        <v>33.0</v>
      </c>
      <c r="B36" s="1" t="s">
        <v>413</v>
      </c>
      <c r="C36" s="1" t="s">
        <v>414</v>
      </c>
      <c r="D36" s="1" t="s">
        <v>393</v>
      </c>
      <c r="E36" s="1" t="s">
        <v>347</v>
      </c>
      <c r="F36" s="1" t="str">
        <f>IFERROR(__xludf.DUMMYFUNCTION("SPLIT(E33,""-"")"),"*2")</f>
        <v>*2</v>
      </c>
      <c r="G36" s="1" t="str">
        <f>IFERROR(__xludf.DUMMYFUNCTION("""COMPUTED_VALUE"""),"4*")</f>
        <v>4*</v>
      </c>
    </row>
    <row r="37">
      <c r="A37" s="1">
        <v>34.0</v>
      </c>
      <c r="B37" s="1" t="s">
        <v>415</v>
      </c>
      <c r="C37" s="1" t="s">
        <v>416</v>
      </c>
      <c r="D37" s="1" t="s">
        <v>409</v>
      </c>
      <c r="E37" s="1" t="s">
        <v>330</v>
      </c>
      <c r="F37" s="1" t="str">
        <f>IFERROR(__xludf.DUMMYFUNCTION("SPLIT(E34,""-"")"),"*4")</f>
        <v>*4</v>
      </c>
      <c r="G37" s="1" t="str">
        <f>IFERROR(__xludf.DUMMYFUNCTION("""COMPUTED_VALUE"""),"2*")</f>
        <v>2*</v>
      </c>
    </row>
    <row r="38">
      <c r="A38" s="1">
        <v>35.0</v>
      </c>
      <c r="B38" s="1" t="s">
        <v>417</v>
      </c>
      <c r="C38" s="1" t="s">
        <v>418</v>
      </c>
      <c r="D38" s="1" t="s">
        <v>419</v>
      </c>
      <c r="E38" s="1" t="s">
        <v>375</v>
      </c>
      <c r="F38" s="1" t="str">
        <f>IFERROR(__xludf.DUMMYFUNCTION("SPLIT(E35,""-"")"),"*3")</f>
        <v>*3</v>
      </c>
      <c r="G38" s="1" t="str">
        <f>IFERROR(__xludf.DUMMYFUNCTION("""COMPUTED_VALUE"""),"4*")</f>
        <v>4*</v>
      </c>
    </row>
    <row r="39">
      <c r="A39" s="1">
        <v>36.0</v>
      </c>
      <c r="B39" s="1" t="s">
        <v>420</v>
      </c>
      <c r="C39" s="1" t="s">
        <v>421</v>
      </c>
      <c r="D39" s="1" t="s">
        <v>409</v>
      </c>
      <c r="E39" s="1" t="s">
        <v>330</v>
      </c>
      <c r="F39" s="1" t="str">
        <f>IFERROR(__xludf.DUMMYFUNCTION("SPLIT(E36,""-"")"),"*4")</f>
        <v>*4</v>
      </c>
      <c r="G39" s="1" t="str">
        <f>IFERROR(__xludf.DUMMYFUNCTION("""COMPUTED_VALUE"""),"1*")</f>
        <v>1*</v>
      </c>
    </row>
    <row r="40">
      <c r="A40" s="1">
        <v>37.0</v>
      </c>
      <c r="B40" s="1" t="s">
        <v>422</v>
      </c>
      <c r="C40" s="1" t="s">
        <v>371</v>
      </c>
      <c r="D40" s="1" t="s">
        <v>423</v>
      </c>
      <c r="E40" s="1" t="s">
        <v>365</v>
      </c>
      <c r="F40" s="1" t="str">
        <f>IFERROR(__xludf.DUMMYFUNCTION("SPLIT(E37,""-"")"),"*4")</f>
        <v>*4</v>
      </c>
      <c r="G40" s="1" t="str">
        <f>IFERROR(__xludf.DUMMYFUNCTION("""COMPUTED_VALUE"""),"2*")</f>
        <v>2*</v>
      </c>
    </row>
    <row r="41">
      <c r="A41" s="1">
        <v>38.0</v>
      </c>
      <c r="B41" s="1" t="s">
        <v>424</v>
      </c>
      <c r="C41" s="1" t="s">
        <v>371</v>
      </c>
      <c r="D41" s="1" t="s">
        <v>425</v>
      </c>
      <c r="E41" s="1" t="s">
        <v>353</v>
      </c>
      <c r="F41" s="1" t="str">
        <f>IFERROR(__xludf.DUMMYFUNCTION("SPLIT(E38,""-"")"),"*2")</f>
        <v>*2</v>
      </c>
      <c r="G41" s="1" t="str">
        <f>IFERROR(__xludf.DUMMYFUNCTION("""COMPUTED_VALUE"""),"4*")</f>
        <v>4*</v>
      </c>
    </row>
    <row r="42">
      <c r="A42" s="1">
        <v>39.0</v>
      </c>
      <c r="B42" s="1" t="s">
        <v>426</v>
      </c>
      <c r="C42" s="1" t="s">
        <v>427</v>
      </c>
      <c r="D42" s="1" t="s">
        <v>361</v>
      </c>
      <c r="E42" s="1" t="s">
        <v>330</v>
      </c>
      <c r="F42" s="1" t="str">
        <f>IFERROR(__xludf.DUMMYFUNCTION("SPLIT(E39,""-"")"),"*4")</f>
        <v>*4</v>
      </c>
      <c r="G42" s="1" t="str">
        <f>IFERROR(__xludf.DUMMYFUNCTION("""COMPUTED_VALUE"""),"2*")</f>
        <v>2*</v>
      </c>
    </row>
    <row r="43">
      <c r="A43" s="1">
        <v>40.0</v>
      </c>
      <c r="B43" s="1" t="s">
        <v>428</v>
      </c>
      <c r="C43" s="1" t="s">
        <v>418</v>
      </c>
      <c r="D43" s="1" t="s">
        <v>429</v>
      </c>
      <c r="E43" s="1" t="s">
        <v>375</v>
      </c>
      <c r="F43" s="1" t="str">
        <f>IFERROR(__xludf.DUMMYFUNCTION("SPLIT(E40,""-"")"),"*0")</f>
        <v>*0</v>
      </c>
      <c r="G43" s="1" t="str">
        <f>IFERROR(__xludf.DUMMYFUNCTION("""COMPUTED_VALUE"""),"4*")</f>
        <v>4*</v>
      </c>
    </row>
    <row r="44">
      <c r="A44" s="1">
        <v>41.0</v>
      </c>
      <c r="B44" s="1" t="s">
        <v>430</v>
      </c>
      <c r="C44" s="1" t="s">
        <v>431</v>
      </c>
      <c r="D44" s="1" t="s">
        <v>361</v>
      </c>
      <c r="E44" s="1" t="s">
        <v>330</v>
      </c>
      <c r="F44" s="1" t="str">
        <f>IFERROR(__xludf.DUMMYFUNCTION("SPLIT(E41,""-"")"),"*3")</f>
        <v>*3</v>
      </c>
      <c r="G44" s="1" t="str">
        <f>IFERROR(__xludf.DUMMYFUNCTION("""COMPUTED_VALUE"""),"4*")</f>
        <v>4*</v>
      </c>
    </row>
    <row r="45">
      <c r="A45" s="1">
        <v>42.0</v>
      </c>
      <c r="B45" s="1" t="s">
        <v>432</v>
      </c>
      <c r="C45" s="1" t="s">
        <v>433</v>
      </c>
      <c r="D45" s="1" t="s">
        <v>434</v>
      </c>
      <c r="E45" s="1" t="s">
        <v>341</v>
      </c>
      <c r="F45" s="1" t="str">
        <f>IFERROR(__xludf.DUMMYFUNCTION("SPLIT(E42,""-"")"),"*4")</f>
        <v>*4</v>
      </c>
      <c r="G45" s="1" t="str">
        <f>IFERROR(__xludf.DUMMYFUNCTION("""COMPUTED_VALUE"""),"2*")</f>
        <v>2*</v>
      </c>
    </row>
    <row r="46">
      <c r="A46" s="1">
        <v>43.0</v>
      </c>
      <c r="B46" s="1" t="s">
        <v>435</v>
      </c>
      <c r="C46" s="1" t="s">
        <v>371</v>
      </c>
      <c r="D46" s="1" t="s">
        <v>436</v>
      </c>
      <c r="E46" s="1" t="s">
        <v>365</v>
      </c>
      <c r="F46" s="1" t="str">
        <f>IFERROR(__xludf.DUMMYFUNCTION("SPLIT(E43,""-"")"),"*2")</f>
        <v>*2</v>
      </c>
      <c r="G46" s="1" t="str">
        <f>IFERROR(__xludf.DUMMYFUNCTION("""COMPUTED_VALUE"""),"4*")</f>
        <v>4*</v>
      </c>
    </row>
    <row r="47">
      <c r="A47" s="1">
        <v>44.0</v>
      </c>
      <c r="B47" s="1" t="s">
        <v>437</v>
      </c>
      <c r="C47" s="1" t="s">
        <v>438</v>
      </c>
      <c r="D47" s="1" t="s">
        <v>439</v>
      </c>
      <c r="E47" s="1" t="s">
        <v>326</v>
      </c>
      <c r="F47" s="1" t="str">
        <f>IFERROR(__xludf.DUMMYFUNCTION("SPLIT(E44,""-"")"),"*4")</f>
        <v>*4</v>
      </c>
      <c r="G47" s="1" t="str">
        <f>IFERROR(__xludf.DUMMYFUNCTION("""COMPUTED_VALUE"""),"2*")</f>
        <v>2*</v>
      </c>
    </row>
    <row r="48">
      <c r="A48" s="1">
        <v>45.0</v>
      </c>
      <c r="B48" s="1" t="s">
        <v>440</v>
      </c>
      <c r="C48" s="1" t="s">
        <v>371</v>
      </c>
      <c r="D48" s="1" t="s">
        <v>441</v>
      </c>
      <c r="E48" s="1" t="s">
        <v>326</v>
      </c>
      <c r="F48" s="1" t="str">
        <f>IFERROR(__xludf.DUMMYFUNCTION("SPLIT(E45,""-"")"),"*4")</f>
        <v>*4</v>
      </c>
      <c r="G48" s="1" t="str">
        <f>IFERROR(__xludf.DUMMYFUNCTION("""COMPUTED_VALUE"""),"3*")</f>
        <v>3*</v>
      </c>
    </row>
    <row r="49">
      <c r="A49" s="1">
        <v>46.0</v>
      </c>
      <c r="B49" s="1" t="s">
        <v>442</v>
      </c>
      <c r="C49" s="1" t="s">
        <v>438</v>
      </c>
      <c r="D49" s="1" t="s">
        <v>443</v>
      </c>
      <c r="E49" s="1" t="s">
        <v>375</v>
      </c>
      <c r="F49" s="1" t="str">
        <f>IFERROR(__xludf.DUMMYFUNCTION("SPLIT(E46,""-"")"),"*0")</f>
        <v>*0</v>
      </c>
      <c r="G49" s="1" t="str">
        <f>IFERROR(__xludf.DUMMYFUNCTION("""COMPUTED_VALUE"""),"4*")</f>
        <v>4*</v>
      </c>
    </row>
    <row r="50">
      <c r="A50" s="1">
        <v>47.0</v>
      </c>
      <c r="B50" s="1" t="s">
        <v>444</v>
      </c>
      <c r="C50" s="1" t="s">
        <v>405</v>
      </c>
      <c r="D50" s="1" t="s">
        <v>445</v>
      </c>
      <c r="E50" s="1" t="s">
        <v>375</v>
      </c>
      <c r="F50" s="1" t="str">
        <f>IFERROR(__xludf.DUMMYFUNCTION("SPLIT(E47,""-"")"),"*1")</f>
        <v>*1</v>
      </c>
      <c r="G50" s="1" t="str">
        <f>IFERROR(__xludf.DUMMYFUNCTION("""COMPUTED_VALUE"""),"4*")</f>
        <v>4*</v>
      </c>
    </row>
    <row r="51">
      <c r="A51" s="1">
        <v>48.0</v>
      </c>
      <c r="B51" s="1" t="s">
        <v>446</v>
      </c>
      <c r="C51" s="1" t="s">
        <v>447</v>
      </c>
      <c r="D51" s="1" t="s">
        <v>346</v>
      </c>
      <c r="E51" s="1" t="s">
        <v>341</v>
      </c>
      <c r="F51" s="1" t="str">
        <f>IFERROR(__xludf.DUMMYFUNCTION("SPLIT(E48,""-"")"),"*1")</f>
        <v>*1</v>
      </c>
      <c r="G51" s="1" t="str">
        <f>IFERROR(__xludf.DUMMYFUNCTION("""COMPUTED_VALUE"""),"4*")</f>
        <v>4*</v>
      </c>
    </row>
    <row r="52">
      <c r="A52" s="1">
        <v>49.0</v>
      </c>
      <c r="B52" s="1" t="s">
        <v>448</v>
      </c>
      <c r="C52" s="1" t="s">
        <v>449</v>
      </c>
      <c r="D52" s="1" t="s">
        <v>450</v>
      </c>
      <c r="E52" s="1" t="s">
        <v>394</v>
      </c>
      <c r="F52" s="1" t="str">
        <f>IFERROR(__xludf.DUMMYFUNCTION("SPLIT(E49,""-"")"),"*2")</f>
        <v>*2</v>
      </c>
      <c r="G52" s="1" t="str">
        <f>IFERROR(__xludf.DUMMYFUNCTION("""COMPUTED_VALUE"""),"4*")</f>
        <v>4*</v>
      </c>
    </row>
    <row r="53">
      <c r="A53" s="1">
        <v>50.0</v>
      </c>
      <c r="B53" s="1" t="s">
        <v>451</v>
      </c>
      <c r="C53" s="1" t="s">
        <v>411</v>
      </c>
      <c r="D53" s="1" t="s">
        <v>452</v>
      </c>
      <c r="E53" s="1" t="s">
        <v>375</v>
      </c>
      <c r="F53" s="1" t="str">
        <f>IFERROR(__xludf.DUMMYFUNCTION("SPLIT(E50,""-"")"),"*2")</f>
        <v>*2</v>
      </c>
      <c r="G53" s="1" t="str">
        <f>IFERROR(__xludf.DUMMYFUNCTION("""COMPUTED_VALUE"""),"4*")</f>
        <v>4*</v>
      </c>
    </row>
    <row r="54">
      <c r="A54" s="1">
        <v>51.0</v>
      </c>
      <c r="B54" s="1" t="s">
        <v>453</v>
      </c>
      <c r="C54" s="1" t="s">
        <v>454</v>
      </c>
      <c r="D54" s="1" t="s">
        <v>455</v>
      </c>
      <c r="E54" s="1" t="s">
        <v>375</v>
      </c>
      <c r="F54" s="1" t="str">
        <f>IFERROR(__xludf.DUMMYFUNCTION("SPLIT(E51,""-"")"),"*4")</f>
        <v>*4</v>
      </c>
      <c r="G54" s="1" t="str">
        <f>IFERROR(__xludf.DUMMYFUNCTION("""COMPUTED_VALUE"""),"3*")</f>
        <v>3*</v>
      </c>
    </row>
    <row r="55">
      <c r="A55" s="1">
        <v>52.0</v>
      </c>
      <c r="B55" s="1" t="s">
        <v>456</v>
      </c>
      <c r="C55" s="1" t="s">
        <v>454</v>
      </c>
      <c r="D55" s="1" t="s">
        <v>457</v>
      </c>
      <c r="E55" s="1" t="s">
        <v>375</v>
      </c>
      <c r="F55" s="1" t="str">
        <f>IFERROR(__xludf.DUMMYFUNCTION("SPLIT(E52,""-"")"),"*4")</f>
        <v>*4</v>
      </c>
      <c r="G55" s="1" t="str">
        <f>IFERROR(__xludf.DUMMYFUNCTION("""COMPUTED_VALUE"""),"0*")</f>
        <v>0*</v>
      </c>
    </row>
    <row r="56">
      <c r="A56" s="1">
        <v>53.0</v>
      </c>
      <c r="B56" s="1" t="s">
        <v>458</v>
      </c>
      <c r="C56" s="1" t="s">
        <v>459</v>
      </c>
      <c r="D56" s="1" t="s">
        <v>346</v>
      </c>
      <c r="E56" s="1" t="s">
        <v>347</v>
      </c>
      <c r="F56" s="1" t="str">
        <f>IFERROR(__xludf.DUMMYFUNCTION("SPLIT(E53,""-"")"),"*2")</f>
        <v>*2</v>
      </c>
      <c r="G56" s="1" t="str">
        <f>IFERROR(__xludf.DUMMYFUNCTION("""COMPUTED_VALUE"""),"4*")</f>
        <v>4*</v>
      </c>
    </row>
    <row r="57">
      <c r="A57" s="1">
        <v>54.0</v>
      </c>
      <c r="B57" s="1" t="s">
        <v>460</v>
      </c>
      <c r="C57" s="1" t="s">
        <v>461</v>
      </c>
      <c r="D57" s="1" t="s">
        <v>462</v>
      </c>
      <c r="E57" s="1" t="s">
        <v>330</v>
      </c>
      <c r="F57" s="1" t="str">
        <f>IFERROR(__xludf.DUMMYFUNCTION("SPLIT(E54,""-"")"),"*2")</f>
        <v>*2</v>
      </c>
      <c r="G57" s="1" t="str">
        <f>IFERROR(__xludf.DUMMYFUNCTION("""COMPUTED_VALUE"""),"4*")</f>
        <v>4*</v>
      </c>
    </row>
    <row r="58">
      <c r="A58" s="1">
        <v>55.0</v>
      </c>
      <c r="B58" s="1" t="s">
        <v>463</v>
      </c>
      <c r="C58" s="1" t="s">
        <v>464</v>
      </c>
      <c r="D58" s="1" t="s">
        <v>409</v>
      </c>
      <c r="E58" s="1" t="s">
        <v>347</v>
      </c>
      <c r="F58" s="1" t="str">
        <f>IFERROR(__xludf.DUMMYFUNCTION("SPLIT(E55,""-"")"),"*2")</f>
        <v>*2</v>
      </c>
      <c r="G58" s="1" t="str">
        <f>IFERROR(__xludf.DUMMYFUNCTION("""COMPUTED_VALUE"""),"4*")</f>
        <v>4*</v>
      </c>
    </row>
    <row r="59">
      <c r="A59" s="1">
        <v>56.0</v>
      </c>
      <c r="B59" s="1" t="s">
        <v>465</v>
      </c>
      <c r="C59" s="1" t="s">
        <v>466</v>
      </c>
      <c r="D59" s="1" t="s">
        <v>467</v>
      </c>
      <c r="E59" s="1" t="s">
        <v>394</v>
      </c>
      <c r="F59" s="1" t="str">
        <f>IFERROR(__xludf.DUMMYFUNCTION("SPLIT(E56,""-"")"),"*4")</f>
        <v>*4</v>
      </c>
      <c r="G59" s="1" t="str">
        <f>IFERROR(__xludf.DUMMYFUNCTION("""COMPUTED_VALUE"""),"1*")</f>
        <v>1*</v>
      </c>
    </row>
    <row r="60">
      <c r="A60" s="1">
        <v>57.0</v>
      </c>
      <c r="B60" s="1" t="s">
        <v>468</v>
      </c>
      <c r="C60" s="1" t="s">
        <v>469</v>
      </c>
      <c r="D60" s="1" t="s">
        <v>467</v>
      </c>
      <c r="E60" s="1" t="s">
        <v>330</v>
      </c>
      <c r="F60" s="1" t="str">
        <f>IFERROR(__xludf.DUMMYFUNCTION("SPLIT(E57,""-"")"),"*4")</f>
        <v>*4</v>
      </c>
      <c r="G60" s="1" t="str">
        <f>IFERROR(__xludf.DUMMYFUNCTION("""COMPUTED_VALUE"""),"2*")</f>
        <v>2*</v>
      </c>
    </row>
    <row r="61">
      <c r="A61" s="1">
        <v>58.0</v>
      </c>
      <c r="B61" s="1" t="s">
        <v>470</v>
      </c>
      <c r="C61" s="1" t="s">
        <v>371</v>
      </c>
      <c r="D61" s="1" t="s">
        <v>471</v>
      </c>
      <c r="E61" s="1" t="s">
        <v>326</v>
      </c>
      <c r="F61" s="1" t="str">
        <f>IFERROR(__xludf.DUMMYFUNCTION("SPLIT(E58,""-"")"),"*4")</f>
        <v>*4</v>
      </c>
      <c r="G61" s="1" t="str">
        <f>IFERROR(__xludf.DUMMYFUNCTION("""COMPUTED_VALUE"""),"1*")</f>
        <v>1*</v>
      </c>
    </row>
    <row r="62">
      <c r="A62" s="1">
        <v>59.0</v>
      </c>
      <c r="B62" s="1" t="s">
        <v>472</v>
      </c>
      <c r="C62" s="1" t="s">
        <v>473</v>
      </c>
      <c r="D62" s="1" t="s">
        <v>434</v>
      </c>
      <c r="E62" s="1" t="s">
        <v>341</v>
      </c>
      <c r="F62" s="1" t="str">
        <f>IFERROR(__xludf.DUMMYFUNCTION("SPLIT(E59,""-"")"),"*4")</f>
        <v>*4</v>
      </c>
      <c r="G62" s="1" t="str">
        <f>IFERROR(__xludf.DUMMYFUNCTION("""COMPUTED_VALUE"""),"0*")</f>
        <v>0*</v>
      </c>
    </row>
    <row r="63">
      <c r="A63" s="1">
        <v>60.0</v>
      </c>
      <c r="B63" s="1" t="s">
        <v>474</v>
      </c>
      <c r="C63" s="1" t="s">
        <v>475</v>
      </c>
      <c r="D63" s="1" t="s">
        <v>476</v>
      </c>
      <c r="E63" s="1" t="s">
        <v>375</v>
      </c>
      <c r="F63" s="1" t="str">
        <f>IFERROR(__xludf.DUMMYFUNCTION("SPLIT(E60,""-"")"),"*4")</f>
        <v>*4</v>
      </c>
      <c r="G63" s="1" t="str">
        <f>IFERROR(__xludf.DUMMYFUNCTION("""COMPUTED_VALUE"""),"2*")</f>
        <v>2*</v>
      </c>
    </row>
    <row r="64">
      <c r="A64" s="1">
        <v>61.0</v>
      </c>
      <c r="B64" s="1" t="s">
        <v>477</v>
      </c>
      <c r="C64" s="1" t="s">
        <v>478</v>
      </c>
      <c r="D64" s="1" t="s">
        <v>479</v>
      </c>
      <c r="E64" s="1" t="s">
        <v>394</v>
      </c>
      <c r="F64" s="1" t="str">
        <f>IFERROR(__xludf.DUMMYFUNCTION("SPLIT(E61,""-"")"),"*1")</f>
        <v>*1</v>
      </c>
      <c r="G64" s="1" t="str">
        <f>IFERROR(__xludf.DUMMYFUNCTION("""COMPUTED_VALUE"""),"4*")</f>
        <v>4*</v>
      </c>
    </row>
    <row r="65">
      <c r="A65" s="1">
        <v>62.0</v>
      </c>
      <c r="B65" s="1" t="s">
        <v>480</v>
      </c>
      <c r="C65" s="1" t="s">
        <v>371</v>
      </c>
      <c r="D65" s="1" t="s">
        <v>481</v>
      </c>
      <c r="E65" s="1" t="s">
        <v>375</v>
      </c>
      <c r="F65" s="1" t="str">
        <f>IFERROR(__xludf.DUMMYFUNCTION("SPLIT(E62,""-"")"),"*4")</f>
        <v>*4</v>
      </c>
      <c r="G65" s="1" t="str">
        <f>IFERROR(__xludf.DUMMYFUNCTION("""COMPUTED_VALUE"""),"3*")</f>
        <v>3*</v>
      </c>
    </row>
    <row r="66">
      <c r="A66" s="1">
        <v>63.0</v>
      </c>
      <c r="B66" s="1" t="s">
        <v>482</v>
      </c>
      <c r="C66" s="1" t="s">
        <v>483</v>
      </c>
      <c r="D66" s="1" t="s">
        <v>450</v>
      </c>
      <c r="E66" s="1" t="s">
        <v>347</v>
      </c>
      <c r="F66" s="1" t="str">
        <f>IFERROR(__xludf.DUMMYFUNCTION("SPLIT(E63,""-"")"),"*2")</f>
        <v>*2</v>
      </c>
      <c r="G66" s="1" t="str">
        <f>IFERROR(__xludf.DUMMYFUNCTION("""COMPUTED_VALUE"""),"4*")</f>
        <v>4*</v>
      </c>
    </row>
    <row r="67">
      <c r="A67" s="1">
        <v>64.0</v>
      </c>
      <c r="B67" s="1" t="s">
        <v>484</v>
      </c>
      <c r="C67" s="1" t="s">
        <v>485</v>
      </c>
      <c r="D67" s="1" t="s">
        <v>361</v>
      </c>
      <c r="E67" s="1" t="s">
        <v>341</v>
      </c>
      <c r="F67" s="1" t="str">
        <f>IFERROR(__xludf.DUMMYFUNCTION("SPLIT(E64,""-"")"),"*4")</f>
        <v>*4</v>
      </c>
      <c r="G67" s="1" t="str">
        <f>IFERROR(__xludf.DUMMYFUNCTION("""COMPUTED_VALUE"""),"0*")</f>
        <v>0*</v>
      </c>
    </row>
    <row r="68">
      <c r="A68" s="1">
        <v>65.0</v>
      </c>
      <c r="B68" s="1" t="s">
        <v>486</v>
      </c>
      <c r="C68" s="1" t="s">
        <v>487</v>
      </c>
      <c r="D68" s="1" t="s">
        <v>488</v>
      </c>
      <c r="E68" s="1" t="s">
        <v>330</v>
      </c>
      <c r="F68" s="1" t="str">
        <f>IFERROR(__xludf.DUMMYFUNCTION("SPLIT(E65,""-"")"),"*2")</f>
        <v>*2</v>
      </c>
      <c r="G68" s="1" t="str">
        <f>IFERROR(__xludf.DUMMYFUNCTION("""COMPUTED_VALUE"""),"4*")</f>
        <v>4*</v>
      </c>
    </row>
    <row r="69">
      <c r="A69" s="1">
        <v>66.0</v>
      </c>
      <c r="B69" s="1" t="s">
        <v>489</v>
      </c>
      <c r="C69" s="1" t="s">
        <v>490</v>
      </c>
      <c r="D69" s="1" t="s">
        <v>491</v>
      </c>
      <c r="E69" s="1" t="s">
        <v>326</v>
      </c>
      <c r="F69" s="1" t="str">
        <f>IFERROR(__xludf.DUMMYFUNCTION("SPLIT(E66,""-"")"),"*4")</f>
        <v>*4</v>
      </c>
      <c r="G69" s="1" t="str">
        <f>IFERROR(__xludf.DUMMYFUNCTION("""COMPUTED_VALUE"""),"1*")</f>
        <v>1*</v>
      </c>
    </row>
    <row r="70">
      <c r="A70" s="1">
        <v>67.0</v>
      </c>
      <c r="B70" s="1" t="s">
        <v>492</v>
      </c>
      <c r="C70" s="1" t="s">
        <v>493</v>
      </c>
      <c r="D70" s="1" t="s">
        <v>494</v>
      </c>
      <c r="E70" s="1" t="s">
        <v>353</v>
      </c>
      <c r="F70" s="1" t="str">
        <f>IFERROR(__xludf.DUMMYFUNCTION("SPLIT(E67,""-"")"),"*4")</f>
        <v>*4</v>
      </c>
      <c r="G70" s="1" t="str">
        <f>IFERROR(__xludf.DUMMYFUNCTION("""COMPUTED_VALUE"""),"3*")</f>
        <v>3*</v>
      </c>
    </row>
    <row r="71">
      <c r="A71" s="1">
        <v>68.0</v>
      </c>
      <c r="B71" s="1" t="s">
        <v>495</v>
      </c>
      <c r="C71" s="1" t="s">
        <v>496</v>
      </c>
      <c r="D71" s="1" t="s">
        <v>488</v>
      </c>
      <c r="E71" s="1" t="s">
        <v>347</v>
      </c>
      <c r="F71" s="1" t="str">
        <f>IFERROR(__xludf.DUMMYFUNCTION("SPLIT(E68,""-"")"),"*4")</f>
        <v>*4</v>
      </c>
      <c r="G71" s="1" t="str">
        <f>IFERROR(__xludf.DUMMYFUNCTION("""COMPUTED_VALUE"""),"2*")</f>
        <v>2*</v>
      </c>
    </row>
    <row r="72">
      <c r="A72" s="1">
        <v>69.0</v>
      </c>
      <c r="B72" s="1" t="s">
        <v>497</v>
      </c>
      <c r="C72" s="1" t="s">
        <v>498</v>
      </c>
      <c r="D72" s="1" t="s">
        <v>479</v>
      </c>
      <c r="E72" s="1" t="s">
        <v>330</v>
      </c>
      <c r="F72" s="1" t="str">
        <f>IFERROR(__xludf.DUMMYFUNCTION("SPLIT(E69,""-"")"),"*1")</f>
        <v>*1</v>
      </c>
      <c r="G72" s="1" t="str">
        <f>IFERROR(__xludf.DUMMYFUNCTION("""COMPUTED_VALUE"""),"4*")</f>
        <v>4*</v>
      </c>
    </row>
    <row r="73">
      <c r="A73" s="1">
        <v>70.0</v>
      </c>
      <c r="B73" s="1" t="s">
        <v>499</v>
      </c>
      <c r="C73" s="1" t="s">
        <v>500</v>
      </c>
      <c r="D73" s="1" t="s">
        <v>501</v>
      </c>
      <c r="E73" s="1" t="s">
        <v>353</v>
      </c>
      <c r="F73" s="1" t="str">
        <f>IFERROR(__xludf.DUMMYFUNCTION("SPLIT(E70,""-"")"),"*3")</f>
        <v>*3</v>
      </c>
      <c r="G73" s="1" t="str">
        <f>IFERROR(__xludf.DUMMYFUNCTION("""COMPUTED_VALUE"""),"4*")</f>
        <v>4*</v>
      </c>
    </row>
    <row r="74">
      <c r="A74" s="1">
        <v>71.0</v>
      </c>
      <c r="B74" s="1" t="s">
        <v>502</v>
      </c>
      <c r="C74" s="1" t="s">
        <v>503</v>
      </c>
      <c r="D74" s="1" t="s">
        <v>479</v>
      </c>
      <c r="E74" s="1" t="s">
        <v>347</v>
      </c>
      <c r="F74" s="1" t="str">
        <f>IFERROR(__xludf.DUMMYFUNCTION("SPLIT(E71,""-"")"),"*4")</f>
        <v>*4</v>
      </c>
      <c r="G74" s="1" t="str">
        <f>IFERROR(__xludf.DUMMYFUNCTION("""COMPUTED_VALUE"""),"1*")</f>
        <v>1*</v>
      </c>
    </row>
    <row r="75">
      <c r="A75" s="1">
        <v>72.0</v>
      </c>
      <c r="B75" s="1" t="s">
        <v>504</v>
      </c>
      <c r="C75" s="1" t="s">
        <v>505</v>
      </c>
      <c r="D75" s="1" t="s">
        <v>479</v>
      </c>
      <c r="E75" s="1" t="s">
        <v>394</v>
      </c>
      <c r="F75" s="1" t="str">
        <f>IFERROR(__xludf.DUMMYFUNCTION("SPLIT(E72,""-"")"),"*4")</f>
        <v>*4</v>
      </c>
      <c r="G75" s="1" t="str">
        <f>IFERROR(__xludf.DUMMYFUNCTION("""COMPUTED_VALUE"""),"2*")</f>
        <v>2*</v>
      </c>
    </row>
    <row r="76">
      <c r="A76" s="1">
        <v>73.0</v>
      </c>
      <c r="B76" s="1" t="s">
        <v>506</v>
      </c>
      <c r="C76" s="1" t="s">
        <v>500</v>
      </c>
      <c r="D76" s="1" t="s">
        <v>507</v>
      </c>
      <c r="E76" s="1" t="s">
        <v>375</v>
      </c>
      <c r="F76" s="1" t="str">
        <f>IFERROR(__xludf.DUMMYFUNCTION("SPLIT(E73,""-"")"),"*3")</f>
        <v>*3</v>
      </c>
      <c r="G76" s="1" t="str">
        <f>IFERROR(__xludf.DUMMYFUNCTION("""COMPUTED_VALUE"""),"4*")</f>
        <v>4*</v>
      </c>
    </row>
    <row r="77">
      <c r="A77" s="1">
        <v>74.0</v>
      </c>
      <c r="B77" s="1" t="s">
        <v>508</v>
      </c>
      <c r="C77" s="1" t="s">
        <v>509</v>
      </c>
      <c r="D77" s="1" t="s">
        <v>488</v>
      </c>
      <c r="E77" s="1" t="s">
        <v>330</v>
      </c>
      <c r="F77" s="1" t="str">
        <f>IFERROR(__xludf.DUMMYFUNCTION("SPLIT(E74,""-"")"),"*4")</f>
        <v>*4</v>
      </c>
      <c r="G77" s="1" t="str">
        <f>IFERROR(__xludf.DUMMYFUNCTION("""COMPUTED_VALUE"""),"1*")</f>
        <v>1*</v>
      </c>
    </row>
    <row r="78">
      <c r="A78" s="1">
        <v>75.0</v>
      </c>
      <c r="B78" s="1" t="s">
        <v>510</v>
      </c>
      <c r="C78" s="1" t="s">
        <v>405</v>
      </c>
      <c r="D78" s="1" t="s">
        <v>511</v>
      </c>
      <c r="E78" s="1" t="s">
        <v>375</v>
      </c>
      <c r="F78" s="1" t="str">
        <f>IFERROR(__xludf.DUMMYFUNCTION("SPLIT(E75,""-"")"),"*4")</f>
        <v>*4</v>
      </c>
      <c r="G78" s="1" t="str">
        <f>IFERROR(__xludf.DUMMYFUNCTION("""COMPUTED_VALUE"""),"0*")</f>
        <v>0*</v>
      </c>
    </row>
    <row r="79">
      <c r="A79" s="1">
        <v>76.0</v>
      </c>
      <c r="B79" s="1" t="s">
        <v>512</v>
      </c>
      <c r="C79" s="1" t="s">
        <v>513</v>
      </c>
      <c r="D79" s="1" t="s">
        <v>361</v>
      </c>
      <c r="E79" s="1" t="s">
        <v>330</v>
      </c>
      <c r="F79" s="1" t="str">
        <f>IFERROR(__xludf.DUMMYFUNCTION("SPLIT(E76,""-"")"),"*2")</f>
        <v>*2</v>
      </c>
      <c r="G79" s="1" t="str">
        <f>IFERROR(__xludf.DUMMYFUNCTION("""COMPUTED_VALUE"""),"4*")</f>
        <v>4*</v>
      </c>
    </row>
    <row r="80">
      <c r="A80" s="1">
        <v>77.0</v>
      </c>
      <c r="B80" s="1" t="s">
        <v>514</v>
      </c>
      <c r="E80" s="1" t="s">
        <v>515</v>
      </c>
      <c r="F80" s="1" t="str">
        <f>IFERROR(__xludf.DUMMYFUNCTION("SPLIT(E77,""-"")"),"*4")</f>
        <v>*4</v>
      </c>
      <c r="G80" s="1" t="str">
        <f>IFERROR(__xludf.DUMMYFUNCTION("""COMPUTED_VALUE"""),"2*")</f>
        <v>2*</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IFERROR(__xludf.DUMMYFUNCTION("IMPORTHTML(""https://fr.wikipedia.org/wiki/Coupe_du_monde_de_football_2018"",""table"",3)"),"Fédération")</f>
        <v>Fédération</v>
      </c>
      <c r="B1" s="1" t="str">
        <f>IFERROR(__xludf.DUMMYFUNCTION("""COMPUTED_VALUE"""),"Tour 1")</f>
        <v>Tour 1</v>
      </c>
      <c r="C1" s="1" t="str">
        <f>IFERROR(__xludf.DUMMYFUNCTION("""COMPUTED_VALUE"""),"Tour 2")</f>
        <v>Tour 2</v>
      </c>
    </row>
    <row r="2">
      <c r="A2" s="1" t="str">
        <f>IFERROR(__xludf.DUMMYFUNCTION("""COMPUTED_VALUE"""),"Russie")</f>
        <v>Russie</v>
      </c>
      <c r="B2" s="13">
        <f>IFERROR(__xludf.DUMMYFUNCTION("""COMPUTED_VALUE"""),9.0)</f>
        <v>9</v>
      </c>
      <c r="C2" s="1">
        <f>IFERROR(__xludf.DUMMYFUNCTION("""COMPUTED_VALUE"""),13.0)</f>
        <v>13</v>
      </c>
    </row>
    <row r="3">
      <c r="A3" s="1" t="str">
        <f>IFERROR(__xludf.DUMMYFUNCTION("""COMPUTED_VALUE"""),"Espagne - Portugal")</f>
        <v>Espagne - Portugal</v>
      </c>
      <c r="B3" s="1">
        <f>IFERROR(__xludf.DUMMYFUNCTION("""COMPUTED_VALUE"""),7.0)</f>
        <v>7</v>
      </c>
      <c r="C3" s="1">
        <f>IFERROR(__xludf.DUMMYFUNCTION("""COMPUTED_VALUE"""),7.0)</f>
        <v>7</v>
      </c>
    </row>
    <row r="4">
      <c r="A4" s="1" t="str">
        <f>IFERROR(__xludf.DUMMYFUNCTION("""COMPUTED_VALUE"""),"Belgique - Pays-Bas")</f>
        <v>Belgique - Pays-Bas</v>
      </c>
      <c r="B4" s="1">
        <f>IFERROR(__xludf.DUMMYFUNCTION("""COMPUTED_VALUE"""),4.0)</f>
        <v>4</v>
      </c>
      <c r="C4" s="1">
        <f>IFERROR(__xludf.DUMMYFUNCTION("""COMPUTED_VALUE"""),2.0)</f>
        <v>2</v>
      </c>
    </row>
    <row r="5">
      <c r="A5" s="1" t="str">
        <f>IFERROR(__xludf.DUMMYFUNCTION("""COMPUTED_VALUE"""),"Angleterre")</f>
        <v>Angleterre</v>
      </c>
      <c r="B5" s="1">
        <f>IFERROR(__xludf.DUMMYFUNCTION("""COMPUTED_VALUE"""),2.0)</f>
        <v>2</v>
      </c>
      <c r="C5" s="1" t="str">
        <f>IFERROR(__xludf.DUMMYFUNCTION("""COMPUTED_VALUE"""),"-")</f>
        <v>-</v>
      </c>
    </row>
    <row r="6">
      <c r="A6" s="1" t="str">
        <f>IFERROR(__xludf.DUMMYFUNCTION("""COMPUTED_VALUE"""),"*Total*")</f>
        <v>*Total*</v>
      </c>
      <c r="B6" s="1" t="str">
        <f>IFERROR(__xludf.DUMMYFUNCTION("""COMPUTED_VALUE"""),"*22*")</f>
        <v>*22*</v>
      </c>
      <c r="C6" s="1" t="str">
        <f>IFERROR(__xludf.DUMMYFUNCTION("""COMPUTED_VALUE"""),"*22*")</f>
        <v>*22*</v>
      </c>
    </row>
    <row r="7">
      <c r="A7" s="1" t="str">
        <f>IFERROR(__xludf.DUMMYFUNCTION("""COMPUTED_VALUE"""),"Légende : 
   - Victoire
   - Élimination")</f>
        <v>Légende : 
   - Victoire
   - Élimination</v>
      </c>
      <c r="B7" s="1"/>
      <c r="C7" s="1"/>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IFERROR(__xludf.DUMMYFUNCTION("IMPORTHTML(""https://fr.wikipedia.org/wiki/Liste_des_communes_de_France_les_plus_peupl%C3%A9es"", ""table"", 1, ""en_US"")"),"*PARIS*
*PARIS*
Marseille
Marseille
Lyon
Lyon
Toulouse
Toulouse
Nice
Nice
Nantes
Nantes
Montpellier
Montpellier
Strasbourg
Strasbourg
Bordeaux
Bordeaux
Lille
Lille
Rennes
Rennes
Toulon
Toulon
Reims
Reims
Saint-Étienne
Saint-Étienne
Le Havre
Le Havre
Ville"&amp;"urbanne
Villeurbanne
Dijon
Dijon
Angers
Angers
Grenoble
Grenoble
Nîmes
Nîmes
Saint-Denis
Saint-Denis
Aix-en-Provence
Aix-en-Provence
Clermont-Ferrand
Clermont-Ferrand
Le Mans
Le Mans
Brest
Brest
Tours
Tours
Amiens
Amiens
Annecy
Annecy
Limoges
Limoges
Metz"&amp;"
Metz
Perpignan
Perpignan
Boulogne-Billancourt
Boulogne-Billancourt
Besançon
Besançon
Orléans
Orléans
Rouen
Rouen
Montreuil
Montreuil
Caen
Caen
Argenteuil
Argenteuil
Mulhouse
Mulhouse
Nancy
Nancy")</f>
        <v>*PARIS*
*PARIS*
Marseille
Marseille
Lyon
Lyon
Toulouse
Toulouse
Nice
Nice
Nantes
Nantes
Montpellier
Montpellier
Strasbourg
Strasbourg
Bordeaux
Bordeaux
Lille
Lille
Rennes
Rennes
Toulon
Toulon
Reims
Reims
Saint-Étienne
Saint-Étienne
Le Havre
Le Havre
Villeurbanne
Villeurbanne
Dijon
Dijon
Angers
Angers
Grenoble
Grenoble
Nîmes
Nîmes
Saint-Denis
Saint-Denis
Aix-en-Provence
Aix-en-Provence
Clermont-Ferrand
Clermont-Ferrand
Le Mans
Le Mans
Brest
Brest
Tours
Tours
Amiens
Amiens
Annecy
Annecy
Limoges
Limoges
Metz
Metz
Perpignan
Perpignan
Boulogne-Billancourt
Boulogne-Billancourt
Besançon
Besançon
Orléans
Orléans
Rouen
Rouen
Montreuil
Montreuil
Caen
Caen
Argenteuil
Argenteuil
Mulhouse
Mulhouse
Nancy
Nancy</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516</v>
      </c>
      <c r="B1" s="1" t="s">
        <v>517</v>
      </c>
      <c r="C1" s="1" t="s">
        <v>518</v>
      </c>
      <c r="D1" s="1" t="s">
        <v>519</v>
      </c>
      <c r="E1" s="1" t="s">
        <v>520</v>
      </c>
      <c r="F1" s="1" t="s">
        <v>521</v>
      </c>
      <c r="G1" s="1" t="s">
        <v>522</v>
      </c>
    </row>
    <row r="2">
      <c r="G2" s="1" t="s">
        <v>523</v>
      </c>
      <c r="H2" s="1" t="s">
        <v>524</v>
      </c>
      <c r="I2" s="1" t="s">
        <v>525</v>
      </c>
      <c r="J2" s="1" t="s">
        <v>526</v>
      </c>
      <c r="K2" s="1" t="s">
        <v>527</v>
      </c>
      <c r="L2" s="1" t="s">
        <v>528</v>
      </c>
      <c r="M2" s="1" t="s">
        <v>529</v>
      </c>
      <c r="N2" s="1" t="s">
        <v>530</v>
      </c>
    </row>
    <row r="3">
      <c r="A3" s="1">
        <v>1.0</v>
      </c>
      <c r="B3" s="1">
        <v>75056.0</v>
      </c>
      <c r="C3" s="1" t="s">
        <v>531</v>
      </c>
      <c r="D3" s="1" t="s">
        <v>532</v>
      </c>
      <c r="E3" s="1" t="s">
        <v>533</v>
      </c>
      <c r="F3" s="1" t="s">
        <v>130</v>
      </c>
      <c r="G3" s="1" t="s">
        <v>534</v>
      </c>
      <c r="H3" s="1" t="s">
        <v>535</v>
      </c>
      <c r="I3" s="1" t="s">
        <v>536</v>
      </c>
      <c r="J3" s="1" t="s">
        <v>537</v>
      </c>
      <c r="K3" s="1" t="s">
        <v>538</v>
      </c>
      <c r="L3" s="1" t="s">
        <v>539</v>
      </c>
      <c r="M3" s="1" t="s">
        <v>540</v>
      </c>
      <c r="N3" s="1" t="s">
        <v>541</v>
      </c>
      <c r="O3" s="1" t="str">
        <f>IFERROR(__xludf.DUMMYFUNCTION("SPLIT(G3,"" "",TRUE)"),"*2")</f>
        <v>*2</v>
      </c>
      <c r="P3" s="1">
        <f>IFERROR(__xludf.DUMMYFUNCTION("""COMPUTED_VALUE"""),165.0)</f>
        <v>165</v>
      </c>
      <c r="Q3" s="1" t="str">
        <f>IFERROR(__xludf.DUMMYFUNCTION("""COMPUTED_VALUE"""),"423*")</f>
        <v>423*</v>
      </c>
    </row>
    <row r="4">
      <c r="A4" s="1">
        <v>2.0</v>
      </c>
      <c r="B4" s="1">
        <v>13055.0</v>
      </c>
      <c r="C4" s="1" t="s">
        <v>542</v>
      </c>
      <c r="D4" s="1" t="s">
        <v>543</v>
      </c>
      <c r="E4" s="1" t="s">
        <v>544</v>
      </c>
      <c r="F4" s="1" t="s">
        <v>545</v>
      </c>
      <c r="G4" s="1" t="s">
        <v>546</v>
      </c>
      <c r="H4" s="1" t="s">
        <v>547</v>
      </c>
      <c r="I4" s="1" t="s">
        <v>548</v>
      </c>
      <c r="J4" s="1" t="s">
        <v>549</v>
      </c>
      <c r="K4" s="1" t="s">
        <v>550</v>
      </c>
      <c r="L4" s="1" t="s">
        <v>551</v>
      </c>
      <c r="M4" s="1" t="s">
        <v>552</v>
      </c>
      <c r="N4" s="1" t="s">
        <v>553</v>
      </c>
      <c r="O4" s="1" t="str">
        <f>IFERROR(__xludf.DUMMYFUNCTION("SPLIT(G4,"" "",TRUE)"),"*870")</f>
        <v>*870</v>
      </c>
      <c r="P4" s="1" t="str">
        <f>IFERROR(__xludf.DUMMYFUNCTION("""COMPUTED_VALUE"""),"731*")</f>
        <v>731*</v>
      </c>
    </row>
    <row r="5">
      <c r="A5" s="1">
        <v>3.0</v>
      </c>
      <c r="B5" s="1">
        <v>69123.0</v>
      </c>
      <c r="C5" s="1" t="s">
        <v>554</v>
      </c>
      <c r="D5" s="1" t="s">
        <v>555</v>
      </c>
      <c r="E5" s="1" t="s">
        <v>544</v>
      </c>
      <c r="F5" s="1" t="s">
        <v>95</v>
      </c>
      <c r="G5" s="1" t="s">
        <v>556</v>
      </c>
      <c r="H5" s="1" t="s">
        <v>557</v>
      </c>
      <c r="I5" s="1" t="s">
        <v>558</v>
      </c>
      <c r="J5" s="1" t="s">
        <v>559</v>
      </c>
      <c r="K5" s="1" t="s">
        <v>560</v>
      </c>
      <c r="L5" s="1" t="s">
        <v>561</v>
      </c>
      <c r="M5" s="1" t="s">
        <v>562</v>
      </c>
      <c r="N5" s="1" t="s">
        <v>563</v>
      </c>
      <c r="O5" s="1" t="str">
        <f>IFERROR(__xludf.DUMMYFUNCTION("SPLIT(G5,"" "",TRUE)"),"*522")</f>
        <v>*522</v>
      </c>
      <c r="P5" s="1" t="str">
        <f>IFERROR(__xludf.DUMMYFUNCTION("""COMPUTED_VALUE"""),"969*")</f>
        <v>969*</v>
      </c>
    </row>
    <row r="6">
      <c r="A6" s="1">
        <v>4.0</v>
      </c>
      <c r="B6" s="1">
        <v>31555.0</v>
      </c>
      <c r="C6" s="1" t="s">
        <v>564</v>
      </c>
      <c r="D6" s="1" t="s">
        <v>565</v>
      </c>
      <c r="E6" s="1" t="s">
        <v>544</v>
      </c>
      <c r="F6" s="1" t="s">
        <v>145</v>
      </c>
      <c r="G6" s="1" t="s">
        <v>566</v>
      </c>
      <c r="H6" s="1" t="s">
        <v>567</v>
      </c>
      <c r="I6" s="1" t="s">
        <v>568</v>
      </c>
      <c r="J6" s="1" t="s">
        <v>569</v>
      </c>
      <c r="K6" s="1" t="s">
        <v>570</v>
      </c>
      <c r="L6" s="1" t="s">
        <v>571</v>
      </c>
      <c r="M6" s="1" t="s">
        <v>572</v>
      </c>
      <c r="N6" s="1" t="s">
        <v>573</v>
      </c>
      <c r="O6" s="1" t="str">
        <f>IFERROR(__xludf.DUMMYFUNCTION("SPLIT(G6,"" "",TRUE)"),"*493")</f>
        <v>*493</v>
      </c>
      <c r="P6" s="1" t="str">
        <f>IFERROR(__xludf.DUMMYFUNCTION("""COMPUTED_VALUE"""),"465*")</f>
        <v>465*</v>
      </c>
    </row>
    <row r="7">
      <c r="A7" s="1">
        <v>5.0</v>
      </c>
      <c r="B7" s="1">
        <v>6088.0</v>
      </c>
      <c r="C7" s="1" t="s">
        <v>574</v>
      </c>
      <c r="D7" s="1" t="s">
        <v>575</v>
      </c>
      <c r="E7" s="1" t="s">
        <v>544</v>
      </c>
      <c r="F7" s="1" t="s">
        <v>545</v>
      </c>
      <c r="G7" s="1" t="s">
        <v>576</v>
      </c>
      <c r="H7" s="1" t="s">
        <v>577</v>
      </c>
      <c r="I7" s="1" t="s">
        <v>578</v>
      </c>
      <c r="J7" s="1" t="s">
        <v>579</v>
      </c>
      <c r="K7" s="1" t="s">
        <v>580</v>
      </c>
      <c r="L7" s="1" t="s">
        <v>581</v>
      </c>
      <c r="M7" s="1" t="s">
        <v>582</v>
      </c>
      <c r="N7" s="1" t="s">
        <v>583</v>
      </c>
      <c r="O7" s="1" t="str">
        <f>IFERROR(__xludf.DUMMYFUNCTION("SPLIT(G7,"" "",TRUE)"),"*342")</f>
        <v>*342</v>
      </c>
      <c r="P7" s="1" t="str">
        <f>IFERROR(__xludf.DUMMYFUNCTION("""COMPUTED_VALUE"""),"669*")</f>
        <v>669*</v>
      </c>
    </row>
    <row r="8">
      <c r="A8" s="1">
        <v>6.0</v>
      </c>
      <c r="B8" s="1">
        <v>44109.0</v>
      </c>
      <c r="C8" s="1" t="s">
        <v>584</v>
      </c>
      <c r="D8" s="1" t="s">
        <v>585</v>
      </c>
      <c r="E8" s="1" t="s">
        <v>544</v>
      </c>
      <c r="F8" s="1" t="s">
        <v>150</v>
      </c>
      <c r="G8" s="1" t="s">
        <v>586</v>
      </c>
      <c r="H8" s="1" t="s">
        <v>587</v>
      </c>
      <c r="I8" s="1" t="s">
        <v>588</v>
      </c>
      <c r="J8" s="1" t="s">
        <v>589</v>
      </c>
      <c r="K8" s="1" t="s">
        <v>590</v>
      </c>
      <c r="L8" s="1" t="s">
        <v>591</v>
      </c>
      <c r="M8" s="1" t="s">
        <v>592</v>
      </c>
      <c r="N8" s="1" t="s">
        <v>593</v>
      </c>
      <c r="O8" s="1" t="str">
        <f>IFERROR(__xludf.DUMMYFUNCTION("SPLIT(G8,"" "",TRUE)"),"*318")</f>
        <v>*318</v>
      </c>
      <c r="P8" s="1" t="str">
        <f>IFERROR(__xludf.DUMMYFUNCTION("""COMPUTED_VALUE"""),"808*")</f>
        <v>808*</v>
      </c>
    </row>
    <row r="9">
      <c r="A9" s="1">
        <v>7.0</v>
      </c>
      <c r="B9" s="1">
        <v>34172.0</v>
      </c>
      <c r="C9" s="1" t="s">
        <v>594</v>
      </c>
      <c r="D9" s="1" t="s">
        <v>595</v>
      </c>
      <c r="E9" s="1" t="s">
        <v>544</v>
      </c>
      <c r="F9" s="1" t="s">
        <v>145</v>
      </c>
      <c r="G9" s="1" t="s">
        <v>596</v>
      </c>
      <c r="H9" s="1" t="s">
        <v>597</v>
      </c>
      <c r="I9" s="1" t="s">
        <v>598</v>
      </c>
      <c r="J9" s="1" t="s">
        <v>599</v>
      </c>
      <c r="K9" s="1" t="s">
        <v>600</v>
      </c>
      <c r="L9" s="1" t="s">
        <v>601</v>
      </c>
      <c r="M9" s="1" t="s">
        <v>602</v>
      </c>
      <c r="N9" s="1" t="s">
        <v>603</v>
      </c>
      <c r="O9" s="1" t="str">
        <f>IFERROR(__xludf.DUMMYFUNCTION("SPLIT(G9,"" "",TRUE)"),"*295")</f>
        <v>*295</v>
      </c>
      <c r="P9" s="1" t="str">
        <f>IFERROR(__xludf.DUMMYFUNCTION("""COMPUTED_VALUE"""),"542*")</f>
        <v>542*</v>
      </c>
    </row>
    <row r="10">
      <c r="A10" s="1">
        <v>8.0</v>
      </c>
      <c r="B10" s="1">
        <v>67482.0</v>
      </c>
      <c r="C10" s="1" t="s">
        <v>604</v>
      </c>
      <c r="D10" s="1" t="s">
        <v>605</v>
      </c>
      <c r="E10" s="1" t="s">
        <v>544</v>
      </c>
      <c r="F10" s="1" t="s">
        <v>120</v>
      </c>
      <c r="G10" s="1" t="s">
        <v>606</v>
      </c>
      <c r="H10" s="1" t="s">
        <v>607</v>
      </c>
      <c r="I10" s="1" t="s">
        <v>608</v>
      </c>
      <c r="J10" s="1" t="s">
        <v>609</v>
      </c>
      <c r="K10" s="1" t="s">
        <v>610</v>
      </c>
      <c r="L10" s="1" t="s">
        <v>611</v>
      </c>
      <c r="M10" s="1" t="s">
        <v>612</v>
      </c>
      <c r="N10" s="1" t="s">
        <v>613</v>
      </c>
      <c r="O10" s="1" t="str">
        <f>IFERROR(__xludf.DUMMYFUNCTION("SPLIT(G10,"" "",TRUE)"),"*287")</f>
        <v>*287</v>
      </c>
      <c r="P10" s="1" t="str">
        <f>IFERROR(__xludf.DUMMYFUNCTION("""COMPUTED_VALUE"""),"228*")</f>
        <v>228*</v>
      </c>
    </row>
    <row r="11">
      <c r="A11" s="1">
        <v>9.0</v>
      </c>
      <c r="B11" s="1">
        <v>33063.0</v>
      </c>
      <c r="C11" s="1" t="s">
        <v>614</v>
      </c>
      <c r="D11" s="1" t="s">
        <v>615</v>
      </c>
      <c r="E11" s="1" t="s">
        <v>544</v>
      </c>
      <c r="F11" s="1" t="s">
        <v>616</v>
      </c>
      <c r="G11" s="1" t="s">
        <v>617</v>
      </c>
      <c r="H11" s="1" t="s">
        <v>618</v>
      </c>
      <c r="I11" s="1" t="s">
        <v>619</v>
      </c>
      <c r="J11" s="1" t="s">
        <v>620</v>
      </c>
      <c r="K11" s="1" t="s">
        <v>621</v>
      </c>
      <c r="L11" s="1" t="s">
        <v>622</v>
      </c>
      <c r="M11" s="1" t="s">
        <v>623</v>
      </c>
      <c r="N11" s="1" t="s">
        <v>624</v>
      </c>
      <c r="O11" s="1" t="str">
        <f>IFERROR(__xludf.DUMMYFUNCTION("SPLIT(G11,"" "",TRUE)"),"*260")</f>
        <v>*260</v>
      </c>
      <c r="P11" s="1" t="str">
        <f>IFERROR(__xludf.DUMMYFUNCTION("""COMPUTED_VALUE"""),"958*")</f>
        <v>958*</v>
      </c>
    </row>
    <row r="12">
      <c r="A12" s="1">
        <v>10.0</v>
      </c>
      <c r="B12" s="1">
        <v>59350.0</v>
      </c>
      <c r="C12" s="1" t="s">
        <v>625</v>
      </c>
      <c r="D12" s="1" t="s">
        <v>626</v>
      </c>
      <c r="E12" s="1" t="s">
        <v>544</v>
      </c>
      <c r="F12" s="1" t="s">
        <v>125</v>
      </c>
      <c r="G12" s="1" t="s">
        <v>627</v>
      </c>
      <c r="H12" s="1" t="s">
        <v>628</v>
      </c>
      <c r="I12" s="1" t="s">
        <v>629</v>
      </c>
      <c r="J12" s="1" t="s">
        <v>630</v>
      </c>
      <c r="K12" s="1" t="s">
        <v>631</v>
      </c>
      <c r="L12" s="1" t="s">
        <v>632</v>
      </c>
      <c r="M12" s="1" t="s">
        <v>633</v>
      </c>
      <c r="N12" s="1" t="s">
        <v>634</v>
      </c>
      <c r="O12" s="1" t="str">
        <f>IFERROR(__xludf.DUMMYFUNCTION("SPLIT(G12,"" "",TRUE)"),"*234")</f>
        <v>*234</v>
      </c>
      <c r="P12" s="1" t="str">
        <f>IFERROR(__xludf.DUMMYFUNCTION("""COMPUTED_VALUE"""),"475*")</f>
        <v>475*</v>
      </c>
    </row>
    <row r="13">
      <c r="A13" s="1">
        <v>11.0</v>
      </c>
      <c r="B13" s="1">
        <v>35238.0</v>
      </c>
      <c r="C13" s="1" t="s">
        <v>635</v>
      </c>
      <c r="D13" s="1" t="s">
        <v>636</v>
      </c>
      <c r="E13" s="1" t="s">
        <v>544</v>
      </c>
      <c r="F13" s="1" t="s">
        <v>105</v>
      </c>
      <c r="G13" s="1" t="s">
        <v>637</v>
      </c>
      <c r="H13" s="1" t="s">
        <v>638</v>
      </c>
      <c r="I13" s="1" t="s">
        <v>639</v>
      </c>
      <c r="J13" s="1" t="s">
        <v>640</v>
      </c>
      <c r="K13" s="1" t="s">
        <v>641</v>
      </c>
      <c r="L13" s="1" t="s">
        <v>642</v>
      </c>
      <c r="M13" s="1" t="s">
        <v>643</v>
      </c>
      <c r="N13" s="1" t="s">
        <v>644</v>
      </c>
      <c r="O13" s="1" t="str">
        <f>IFERROR(__xludf.DUMMYFUNCTION("SPLIT(G13,"" "",TRUE)"),"*220")</f>
        <v>*220</v>
      </c>
      <c r="P13" s="1" t="str">
        <f>IFERROR(__xludf.DUMMYFUNCTION("""COMPUTED_VALUE"""),"488*")</f>
        <v>488*</v>
      </c>
    </row>
    <row r="14">
      <c r="A14" s="1">
        <v>12.0</v>
      </c>
      <c r="B14" s="1">
        <v>51454.0</v>
      </c>
      <c r="C14" s="1" t="s">
        <v>645</v>
      </c>
      <c r="D14" s="1" t="s">
        <v>646</v>
      </c>
      <c r="E14" s="1" t="s">
        <v>647</v>
      </c>
      <c r="F14" s="1" t="s">
        <v>120</v>
      </c>
      <c r="G14" s="1" t="s">
        <v>648</v>
      </c>
      <c r="H14" s="1" t="s">
        <v>649</v>
      </c>
      <c r="I14" s="1" t="s">
        <v>650</v>
      </c>
      <c r="J14" s="1" t="s">
        <v>651</v>
      </c>
      <c r="K14" s="1" t="s">
        <v>652</v>
      </c>
      <c r="L14" s="1" t="s">
        <v>653</v>
      </c>
      <c r="M14" s="1" t="s">
        <v>654</v>
      </c>
      <c r="N14" s="1" t="s">
        <v>655</v>
      </c>
      <c r="O14" s="1" t="str">
        <f>IFERROR(__xludf.DUMMYFUNCTION("SPLIT(G14,"" "",TRUE)"),"*181")</f>
        <v>*181</v>
      </c>
      <c r="P14" s="1" t="str">
        <f>IFERROR(__xludf.DUMMYFUNCTION("""COMPUTED_VALUE"""),"194*")</f>
        <v>194*</v>
      </c>
    </row>
    <row r="15">
      <c r="A15" s="1">
        <v>13.0</v>
      </c>
      <c r="B15" s="1">
        <v>83137.0</v>
      </c>
      <c r="C15" s="1" t="s">
        <v>656</v>
      </c>
      <c r="D15" s="1" t="s">
        <v>657</v>
      </c>
      <c r="E15" s="1" t="s">
        <v>544</v>
      </c>
      <c r="F15" s="1" t="s">
        <v>545</v>
      </c>
      <c r="G15" s="1" t="s">
        <v>658</v>
      </c>
      <c r="H15" s="1" t="s">
        <v>659</v>
      </c>
      <c r="I15" s="1" t="s">
        <v>660</v>
      </c>
      <c r="J15" s="1" t="s">
        <v>661</v>
      </c>
      <c r="K15" s="1" t="s">
        <v>662</v>
      </c>
      <c r="L15" s="1" t="s">
        <v>663</v>
      </c>
      <c r="M15" s="1" t="s">
        <v>664</v>
      </c>
      <c r="N15" s="1" t="s">
        <v>665</v>
      </c>
      <c r="O15" s="1" t="str">
        <f>IFERROR(__xludf.DUMMYFUNCTION("SPLIT(G15,"" "",TRUE)"),"*178")</f>
        <v>*178</v>
      </c>
      <c r="P15" s="1" t="str">
        <f>IFERROR(__xludf.DUMMYFUNCTION("""COMPUTED_VALUE"""),"745*")</f>
        <v>745*</v>
      </c>
    </row>
    <row r="16">
      <c r="A16" s="1">
        <v>14.0</v>
      </c>
      <c r="B16" s="1">
        <v>42218.0</v>
      </c>
      <c r="C16" s="1" t="s">
        <v>666</v>
      </c>
      <c r="D16" s="1" t="s">
        <v>667</v>
      </c>
      <c r="E16" s="1" t="s">
        <v>544</v>
      </c>
      <c r="F16" s="1" t="s">
        <v>95</v>
      </c>
      <c r="G16" s="1" t="s">
        <v>668</v>
      </c>
      <c r="H16" s="1" t="s">
        <v>669</v>
      </c>
      <c r="I16" s="1" t="s">
        <v>670</v>
      </c>
      <c r="J16" s="1" t="s">
        <v>671</v>
      </c>
      <c r="K16" s="1" t="s">
        <v>672</v>
      </c>
      <c r="L16" s="1" t="s">
        <v>673</v>
      </c>
      <c r="M16" s="1" t="s">
        <v>674</v>
      </c>
      <c r="N16" s="1" t="s">
        <v>675</v>
      </c>
      <c r="O16" s="1" t="str">
        <f>IFERROR(__xludf.DUMMYFUNCTION("SPLIT(G16,"" "",TRUE)"),"*173")</f>
        <v>*173</v>
      </c>
      <c r="P16" s="1" t="str">
        <f>IFERROR(__xludf.DUMMYFUNCTION("""COMPUTED_VALUE"""),"821*")</f>
        <v>821*</v>
      </c>
    </row>
    <row r="17">
      <c r="A17" s="1">
        <v>15.0</v>
      </c>
      <c r="B17" s="1">
        <v>76351.0</v>
      </c>
      <c r="C17" s="1" t="s">
        <v>676</v>
      </c>
      <c r="D17" s="1" t="s">
        <v>677</v>
      </c>
      <c r="E17" s="1" t="s">
        <v>647</v>
      </c>
      <c r="F17" s="1" t="s">
        <v>135</v>
      </c>
      <c r="G17" s="1" t="s">
        <v>678</v>
      </c>
      <c r="H17" s="1" t="s">
        <v>679</v>
      </c>
      <c r="I17" s="1" t="s">
        <v>680</v>
      </c>
      <c r="J17" s="1" t="s">
        <v>681</v>
      </c>
      <c r="K17" s="1" t="s">
        <v>682</v>
      </c>
      <c r="L17" s="1" t="s">
        <v>683</v>
      </c>
      <c r="M17" s="1" t="s">
        <v>684</v>
      </c>
      <c r="N17" s="1" t="s">
        <v>685</v>
      </c>
      <c r="O17" s="1" t="str">
        <f>IFERROR(__xludf.DUMMYFUNCTION("SPLIT(G17,"" "",TRUE)"),"*168")</f>
        <v>*168</v>
      </c>
      <c r="P17" s="1" t="str">
        <f>IFERROR(__xludf.DUMMYFUNCTION("""COMPUTED_VALUE"""),"290*")</f>
        <v>290*</v>
      </c>
    </row>
    <row r="18">
      <c r="A18" s="1">
        <v>16.0</v>
      </c>
      <c r="B18" s="1">
        <v>38185.0</v>
      </c>
      <c r="C18" s="1" t="s">
        <v>686</v>
      </c>
      <c r="D18" s="1" t="s">
        <v>687</v>
      </c>
      <c r="E18" s="1" t="s">
        <v>544</v>
      </c>
      <c r="F18" s="1" t="s">
        <v>95</v>
      </c>
      <c r="G18" s="1" t="s">
        <v>688</v>
      </c>
      <c r="H18" s="1" t="s">
        <v>689</v>
      </c>
      <c r="I18" s="1" t="s">
        <v>690</v>
      </c>
      <c r="J18" s="1" t="s">
        <v>691</v>
      </c>
      <c r="K18" s="1" t="s">
        <v>692</v>
      </c>
      <c r="L18" s="1" t="s">
        <v>693</v>
      </c>
      <c r="M18" s="1" t="s">
        <v>694</v>
      </c>
      <c r="N18" s="1" t="s">
        <v>695</v>
      </c>
      <c r="O18" s="1" t="str">
        <f>IFERROR(__xludf.DUMMYFUNCTION("SPLIT(G18,"" "",TRUE)"),"*158")</f>
        <v>*158</v>
      </c>
      <c r="P18" s="1" t="str">
        <f>IFERROR(__xludf.DUMMYFUNCTION("""COMPUTED_VALUE"""),"198*")</f>
        <v>198*</v>
      </c>
    </row>
    <row r="19">
      <c r="A19" s="1">
        <v>17.0</v>
      </c>
      <c r="B19" s="1">
        <v>21231.0</v>
      </c>
      <c r="C19" s="1" t="s">
        <v>696</v>
      </c>
      <c r="D19" s="1" t="s">
        <v>697</v>
      </c>
      <c r="E19" s="1" t="s">
        <v>544</v>
      </c>
      <c r="F19" s="1" t="s">
        <v>698</v>
      </c>
      <c r="G19" s="1" t="s">
        <v>699</v>
      </c>
      <c r="H19" s="1" t="s">
        <v>700</v>
      </c>
      <c r="I19" s="1" t="s">
        <v>701</v>
      </c>
      <c r="J19" s="1" t="s">
        <v>702</v>
      </c>
      <c r="K19" s="1" t="s">
        <v>703</v>
      </c>
      <c r="L19" s="1" t="s">
        <v>704</v>
      </c>
      <c r="M19" s="1" t="s">
        <v>705</v>
      </c>
      <c r="N19" s="1" t="s">
        <v>706</v>
      </c>
      <c r="O19" s="1" t="str">
        <f>IFERROR(__xludf.DUMMYFUNCTION("SPLIT(G19,"" "",TRUE)"),"*158")</f>
        <v>*158</v>
      </c>
      <c r="P19" s="1" t="str">
        <f>IFERROR(__xludf.DUMMYFUNCTION("""COMPUTED_VALUE"""),"002*")</f>
        <v>002*</v>
      </c>
    </row>
    <row r="20">
      <c r="A20" s="1">
        <v>18.0</v>
      </c>
      <c r="B20" s="1">
        <v>49007.0</v>
      </c>
      <c r="C20" s="1" t="s">
        <v>707</v>
      </c>
      <c r="D20" s="1" t="s">
        <v>708</v>
      </c>
      <c r="E20" s="1" t="s">
        <v>544</v>
      </c>
      <c r="F20" s="1" t="s">
        <v>150</v>
      </c>
      <c r="G20" s="1" t="s">
        <v>709</v>
      </c>
      <c r="H20" s="1" t="s">
        <v>710</v>
      </c>
      <c r="I20" s="1" t="s">
        <v>711</v>
      </c>
      <c r="J20" s="1" t="s">
        <v>712</v>
      </c>
      <c r="K20" s="1" t="s">
        <v>713</v>
      </c>
      <c r="L20" s="1" t="s">
        <v>714</v>
      </c>
      <c r="M20" s="1" t="s">
        <v>715</v>
      </c>
      <c r="N20" s="1" t="s">
        <v>716</v>
      </c>
      <c r="O20" s="1" t="str">
        <f>IFERROR(__xludf.DUMMYFUNCTION("SPLIT(G20,"" "",TRUE)"),"*155")</f>
        <v>*155</v>
      </c>
      <c r="P20" s="1" t="str">
        <f>IFERROR(__xludf.DUMMYFUNCTION("""COMPUTED_VALUE"""),"850*")</f>
        <v>850*</v>
      </c>
    </row>
    <row r="21">
      <c r="A21" s="1">
        <v>19.0</v>
      </c>
      <c r="B21" s="1">
        <v>97411.0</v>
      </c>
      <c r="C21" s="1" t="s">
        <v>717</v>
      </c>
      <c r="D21" s="1" t="s">
        <v>718</v>
      </c>
      <c r="E21" s="1" t="s">
        <v>544</v>
      </c>
      <c r="F21" s="1" t="s">
        <v>718</v>
      </c>
      <c r="G21" s="1" t="s">
        <v>719</v>
      </c>
      <c r="H21" s="1" t="s">
        <v>720</v>
      </c>
      <c r="I21" s="1" t="s">
        <v>721</v>
      </c>
      <c r="J21" s="1" t="s">
        <v>722</v>
      </c>
      <c r="K21" s="1" t="s">
        <v>723</v>
      </c>
      <c r="L21" s="1" t="s">
        <v>724</v>
      </c>
      <c r="M21" s="1" t="s">
        <v>725</v>
      </c>
      <c r="N21" s="1" t="s">
        <v>726</v>
      </c>
      <c r="O21" s="1" t="str">
        <f>IFERROR(__xludf.DUMMYFUNCTION("SPLIT(G21,"" "",TRUE)"),"*153")</f>
        <v>*153</v>
      </c>
      <c r="P21" s="1" t="str">
        <f>IFERROR(__xludf.DUMMYFUNCTION("""COMPUTED_VALUE"""),"810*")</f>
        <v>810*</v>
      </c>
    </row>
    <row r="22">
      <c r="A22" s="1">
        <v>20.0</v>
      </c>
      <c r="B22" s="1">
        <v>69266.0</v>
      </c>
      <c r="C22" s="1" t="s">
        <v>727</v>
      </c>
      <c r="D22" s="1" t="s">
        <v>555</v>
      </c>
      <c r="E22" s="1" t="s">
        <v>728</v>
      </c>
      <c r="F22" s="1" t="s">
        <v>95</v>
      </c>
      <c r="G22" s="1" t="s">
        <v>729</v>
      </c>
      <c r="H22" s="1" t="s">
        <v>730</v>
      </c>
      <c r="I22" s="1" t="s">
        <v>731</v>
      </c>
      <c r="J22" s="1" t="s">
        <v>732</v>
      </c>
      <c r="K22" s="1" t="s">
        <v>733</v>
      </c>
      <c r="L22" s="1" t="s">
        <v>734</v>
      </c>
      <c r="M22" s="1" t="s">
        <v>735</v>
      </c>
      <c r="N22" s="1" t="s">
        <v>736</v>
      </c>
      <c r="O22" s="1" t="str">
        <f>IFERROR(__xludf.DUMMYFUNCTION("SPLIT(G22,"" "",TRUE)"),"*152")</f>
        <v>*152</v>
      </c>
      <c r="P22" s="1" t="str">
        <f>IFERROR(__xludf.DUMMYFUNCTION("""COMPUTED_VALUE"""),"212*")</f>
        <v>212*</v>
      </c>
    </row>
    <row r="23">
      <c r="A23" s="1">
        <v>21.0</v>
      </c>
      <c r="B23" s="1">
        <v>30189.0</v>
      </c>
      <c r="C23" s="1" t="s">
        <v>737</v>
      </c>
      <c r="D23" s="1" t="s">
        <v>738</v>
      </c>
      <c r="E23" s="1" t="s">
        <v>544</v>
      </c>
      <c r="F23" s="1" t="s">
        <v>145</v>
      </c>
      <c r="G23" s="1" t="s">
        <v>739</v>
      </c>
      <c r="H23" s="1" t="s">
        <v>740</v>
      </c>
      <c r="I23" s="1" t="s">
        <v>741</v>
      </c>
      <c r="J23" s="1" t="s">
        <v>742</v>
      </c>
      <c r="K23" s="1" t="s">
        <v>743</v>
      </c>
      <c r="L23" s="1" t="s">
        <v>744</v>
      </c>
      <c r="M23" s="1" t="s">
        <v>745</v>
      </c>
      <c r="N23" s="1" t="s">
        <v>746</v>
      </c>
      <c r="O23" s="1" t="str">
        <f>IFERROR(__xludf.DUMMYFUNCTION("SPLIT(G23,"" "",TRUE)"),"*148")</f>
        <v>*148</v>
      </c>
      <c r="P23" s="1" t="str">
        <f>IFERROR(__xludf.DUMMYFUNCTION("""COMPUTED_VALUE"""),"561*")</f>
        <v>561*</v>
      </c>
    </row>
    <row r="24">
      <c r="A24" s="1">
        <v>22.0</v>
      </c>
      <c r="B24" s="1">
        <v>63113.0</v>
      </c>
      <c r="C24" s="1" t="s">
        <v>747</v>
      </c>
      <c r="D24" s="1" t="s">
        <v>748</v>
      </c>
      <c r="E24" s="1" t="s">
        <v>544</v>
      </c>
      <c r="F24" s="1" t="s">
        <v>95</v>
      </c>
      <c r="G24" s="1" t="s">
        <v>749</v>
      </c>
      <c r="H24" s="1" t="s">
        <v>750</v>
      </c>
      <c r="I24" s="1" t="s">
        <v>751</v>
      </c>
      <c r="J24" s="1" t="s">
        <v>752</v>
      </c>
      <c r="K24" s="1" t="s">
        <v>753</v>
      </c>
      <c r="L24" s="1" t="s">
        <v>754</v>
      </c>
      <c r="M24" s="1" t="s">
        <v>755</v>
      </c>
      <c r="N24" s="1" t="s">
        <v>756</v>
      </c>
      <c r="O24" s="1" t="str">
        <f>IFERROR(__xludf.DUMMYFUNCTION("SPLIT(G24,"" "",TRUE)"),"*147")</f>
        <v>*147</v>
      </c>
      <c r="P24" s="1" t="str">
        <f>IFERROR(__xludf.DUMMYFUNCTION("""COMPUTED_VALUE"""),"865*")</f>
        <v>865*</v>
      </c>
    </row>
    <row r="25">
      <c r="A25" s="1">
        <v>23.0</v>
      </c>
      <c r="B25" s="1">
        <v>13001.0</v>
      </c>
      <c r="C25" s="1" t="s">
        <v>757</v>
      </c>
      <c r="D25" s="1" t="s">
        <v>543</v>
      </c>
      <c r="E25" s="1" t="s">
        <v>647</v>
      </c>
      <c r="F25" s="1" t="s">
        <v>545</v>
      </c>
      <c r="G25" s="1" t="s">
        <v>758</v>
      </c>
      <c r="H25" s="1" t="s">
        <v>759</v>
      </c>
      <c r="I25" s="1" t="s">
        <v>760</v>
      </c>
      <c r="J25" s="1" t="s">
        <v>761</v>
      </c>
      <c r="K25" s="1" t="s">
        <v>762</v>
      </c>
      <c r="L25" s="1" t="s">
        <v>763</v>
      </c>
      <c r="M25" s="1" t="s">
        <v>764</v>
      </c>
      <c r="N25" s="1" t="s">
        <v>765</v>
      </c>
      <c r="O25" s="1" t="str">
        <f>IFERROR(__xludf.DUMMYFUNCTION("SPLIT(G25,"" "",TRUE)"),"*145")</f>
        <v>*145</v>
      </c>
      <c r="P25" s="1" t="str">
        <f>IFERROR(__xludf.DUMMYFUNCTION("""COMPUTED_VALUE"""),"133*")</f>
        <v>133*</v>
      </c>
    </row>
    <row r="26">
      <c r="A26" s="1">
        <v>24.0</v>
      </c>
      <c r="B26" s="1">
        <v>72181.0</v>
      </c>
      <c r="C26" s="1" t="s">
        <v>766</v>
      </c>
      <c r="D26" s="1" t="s">
        <v>767</v>
      </c>
      <c r="E26" s="1" t="s">
        <v>544</v>
      </c>
      <c r="F26" s="1" t="s">
        <v>150</v>
      </c>
      <c r="G26" s="1" t="s">
        <v>768</v>
      </c>
      <c r="H26" s="1" t="s">
        <v>769</v>
      </c>
      <c r="I26" s="1" t="s">
        <v>770</v>
      </c>
      <c r="J26" s="1" t="s">
        <v>771</v>
      </c>
      <c r="K26" s="1" t="s">
        <v>772</v>
      </c>
      <c r="L26" s="1" t="s">
        <v>773</v>
      </c>
      <c r="M26" s="1" t="s">
        <v>774</v>
      </c>
      <c r="N26" s="1" t="s">
        <v>775</v>
      </c>
      <c r="O26" s="1" t="str">
        <f>IFERROR(__xludf.DUMMYFUNCTION("SPLIT(G26,"" "",TRUE)"),"*143")</f>
        <v>*143</v>
      </c>
      <c r="P26" s="1" t="str">
        <f>IFERROR(__xludf.DUMMYFUNCTION("""COMPUTED_VALUE"""),"847*")</f>
        <v>847*</v>
      </c>
    </row>
    <row r="27">
      <c r="A27" s="1">
        <v>25.0</v>
      </c>
      <c r="B27" s="1">
        <v>29019.0</v>
      </c>
      <c r="C27" s="1" t="s">
        <v>776</v>
      </c>
      <c r="D27" s="1" t="s">
        <v>777</v>
      </c>
      <c r="E27" s="1" t="s">
        <v>647</v>
      </c>
      <c r="F27" s="1" t="s">
        <v>105</v>
      </c>
      <c r="G27" s="1" t="s">
        <v>778</v>
      </c>
      <c r="H27" s="1" t="s">
        <v>779</v>
      </c>
      <c r="I27" s="1" t="s">
        <v>780</v>
      </c>
      <c r="J27" s="1" t="s">
        <v>781</v>
      </c>
      <c r="K27" s="1" t="s">
        <v>782</v>
      </c>
      <c r="L27" s="1" t="s">
        <v>783</v>
      </c>
      <c r="M27" s="1" t="s">
        <v>784</v>
      </c>
      <c r="N27" s="1" t="s">
        <v>785</v>
      </c>
      <c r="O27" s="1" t="str">
        <f>IFERROR(__xludf.DUMMYFUNCTION("SPLIT(G27,"" "",TRUE)"),"*139")</f>
        <v>*139</v>
      </c>
      <c r="P27" s="1" t="str">
        <f>IFERROR(__xludf.DUMMYFUNCTION("""COMPUTED_VALUE"""),"926*")</f>
        <v>926*</v>
      </c>
    </row>
    <row r="28">
      <c r="A28" s="1">
        <v>26.0</v>
      </c>
      <c r="B28" s="1">
        <v>37261.0</v>
      </c>
      <c r="C28" s="1" t="s">
        <v>786</v>
      </c>
      <c r="D28" s="1" t="s">
        <v>787</v>
      </c>
      <c r="E28" s="1" t="s">
        <v>544</v>
      </c>
      <c r="F28" s="1" t="s">
        <v>788</v>
      </c>
      <c r="G28" s="1" t="s">
        <v>789</v>
      </c>
      <c r="H28" s="1" t="s">
        <v>790</v>
      </c>
      <c r="I28" s="1" t="s">
        <v>791</v>
      </c>
      <c r="J28" s="1" t="s">
        <v>792</v>
      </c>
      <c r="K28" s="1" t="s">
        <v>793</v>
      </c>
      <c r="L28" s="1" t="s">
        <v>794</v>
      </c>
      <c r="M28" s="1" t="s">
        <v>795</v>
      </c>
      <c r="N28" s="1" t="s">
        <v>796</v>
      </c>
      <c r="O28" s="1" t="str">
        <f>IFERROR(__xludf.DUMMYFUNCTION("SPLIT(G28,"" "",TRUE)"),"*137")</f>
        <v>*137</v>
      </c>
      <c r="P28" s="1" t="str">
        <f>IFERROR(__xludf.DUMMYFUNCTION("""COMPUTED_VALUE"""),"087*")</f>
        <v>087*</v>
      </c>
    </row>
    <row r="29">
      <c r="A29" s="1">
        <v>27.0</v>
      </c>
      <c r="B29" s="1">
        <v>80021.0</v>
      </c>
      <c r="C29" s="1" t="s">
        <v>797</v>
      </c>
      <c r="D29" s="1" t="s">
        <v>798</v>
      </c>
      <c r="E29" s="1" t="s">
        <v>544</v>
      </c>
      <c r="F29" s="1" t="s">
        <v>125</v>
      </c>
      <c r="G29" s="1" t="s">
        <v>799</v>
      </c>
      <c r="H29" s="1" t="s">
        <v>800</v>
      </c>
      <c r="I29" s="1" t="s">
        <v>801</v>
      </c>
      <c r="J29" s="1" t="s">
        <v>802</v>
      </c>
      <c r="K29" s="1" t="s">
        <v>803</v>
      </c>
      <c r="L29" s="1" t="s">
        <v>804</v>
      </c>
      <c r="M29" s="1" t="s">
        <v>805</v>
      </c>
      <c r="N29" s="1" t="s">
        <v>806</v>
      </c>
      <c r="O29" s="1" t="str">
        <f>IFERROR(__xludf.DUMMYFUNCTION("SPLIT(G29,"" "",TRUE)"),"*134")</f>
        <v>*134</v>
      </c>
      <c r="P29" s="1" t="str">
        <f>IFERROR(__xludf.DUMMYFUNCTION("""COMPUTED_VALUE"""),"706*")</f>
        <v>706*</v>
      </c>
    </row>
    <row r="30">
      <c r="A30" s="1">
        <v>28.0</v>
      </c>
      <c r="B30" s="1">
        <v>87085.0</v>
      </c>
      <c r="C30" s="1" t="s">
        <v>807</v>
      </c>
      <c r="D30" s="1" t="s">
        <v>808</v>
      </c>
      <c r="E30" s="1" t="s">
        <v>544</v>
      </c>
      <c r="F30" s="1" t="s">
        <v>616</v>
      </c>
      <c r="G30" s="1" t="s">
        <v>809</v>
      </c>
      <c r="H30" s="1" t="s">
        <v>810</v>
      </c>
      <c r="I30" s="1" t="s">
        <v>811</v>
      </c>
      <c r="J30" s="1" t="s">
        <v>812</v>
      </c>
      <c r="K30" s="1" t="s">
        <v>813</v>
      </c>
      <c r="L30" s="1" t="s">
        <v>814</v>
      </c>
      <c r="M30" s="1" t="s">
        <v>815</v>
      </c>
      <c r="N30" s="1" t="s">
        <v>816</v>
      </c>
      <c r="O30" s="1" t="str">
        <f>IFERROR(__xludf.DUMMYFUNCTION("SPLIT(G30,"" "",TRUE)"),"*130")</f>
        <v>*130</v>
      </c>
      <c r="P30" s="1" t="str">
        <f>IFERROR(__xludf.DUMMYFUNCTION("""COMPUTED_VALUE"""),"876*")</f>
        <v>876*</v>
      </c>
    </row>
    <row r="31">
      <c r="A31" s="1">
        <v>29.0</v>
      </c>
      <c r="B31" s="1">
        <v>74010.0</v>
      </c>
      <c r="C31" s="1" t="s">
        <v>817</v>
      </c>
      <c r="D31" s="1" t="s">
        <v>818</v>
      </c>
      <c r="E31" s="1" t="s">
        <v>544</v>
      </c>
      <c r="F31" s="1" t="s">
        <v>95</v>
      </c>
      <c r="G31" s="1" t="s">
        <v>819</v>
      </c>
      <c r="H31" s="1" t="s">
        <v>820</v>
      </c>
      <c r="I31" s="1" t="s">
        <v>821</v>
      </c>
      <c r="J31" s="1" t="s">
        <v>822</v>
      </c>
      <c r="K31" s="1" t="s">
        <v>823</v>
      </c>
      <c r="L31" s="1" t="s">
        <v>824</v>
      </c>
      <c r="M31" s="1" t="s">
        <v>825</v>
      </c>
      <c r="N31" s="1" t="s">
        <v>826</v>
      </c>
      <c r="O31" s="1" t="str">
        <f>IFERROR(__xludf.DUMMYFUNCTION("SPLIT(G31,"" "",TRUE)"),"*130")</f>
        <v>*130</v>
      </c>
      <c r="P31" s="1" t="str">
        <f>IFERROR(__xludf.DUMMYFUNCTION("""COMPUTED_VALUE"""),"721*")</f>
        <v>721*</v>
      </c>
    </row>
    <row r="32">
      <c r="A32" s="1">
        <v>30.0</v>
      </c>
      <c r="B32" s="1">
        <v>92012.0</v>
      </c>
      <c r="C32" s="1" t="s">
        <v>827</v>
      </c>
      <c r="D32" s="1" t="s">
        <v>828</v>
      </c>
      <c r="E32" s="1" t="s">
        <v>647</v>
      </c>
      <c r="F32" s="1" t="s">
        <v>130</v>
      </c>
      <c r="G32" s="1" t="s">
        <v>829</v>
      </c>
      <c r="H32" s="1" t="s">
        <v>830</v>
      </c>
      <c r="I32" s="1" t="s">
        <v>831</v>
      </c>
      <c r="J32" s="1" t="s">
        <v>832</v>
      </c>
      <c r="K32" s="1" t="s">
        <v>833</v>
      </c>
      <c r="L32" s="1" t="s">
        <v>834</v>
      </c>
      <c r="M32" s="1" t="s">
        <v>835</v>
      </c>
      <c r="N32" s="1" t="s">
        <v>836</v>
      </c>
      <c r="O32" s="1" t="str">
        <f>IFERROR(__xludf.DUMMYFUNCTION("SPLIT(G32,"" "",TRUE)"),"*121")</f>
        <v>*121</v>
      </c>
      <c r="P32" s="1" t="str">
        <f>IFERROR(__xludf.DUMMYFUNCTION("""COMPUTED_VALUE"""),"583*")</f>
        <v>583*</v>
      </c>
    </row>
    <row r="33">
      <c r="A33" s="1">
        <v>31.0</v>
      </c>
      <c r="B33" s="1">
        <v>66136.0</v>
      </c>
      <c r="C33" s="1" t="s">
        <v>837</v>
      </c>
      <c r="D33" s="1" t="s">
        <v>838</v>
      </c>
      <c r="E33" s="1" t="s">
        <v>544</v>
      </c>
      <c r="F33" s="1" t="s">
        <v>145</v>
      </c>
      <c r="G33" s="1" t="s">
        <v>839</v>
      </c>
      <c r="H33" s="1" t="s">
        <v>840</v>
      </c>
      <c r="I33" s="1" t="s">
        <v>841</v>
      </c>
      <c r="J33" s="1" t="s">
        <v>842</v>
      </c>
      <c r="K33" s="1" t="s">
        <v>843</v>
      </c>
      <c r="L33" s="1" t="s">
        <v>844</v>
      </c>
      <c r="M33" s="1" t="s">
        <v>845</v>
      </c>
      <c r="N33" s="1" t="s">
        <v>846</v>
      </c>
      <c r="O33" s="1" t="str">
        <f>IFERROR(__xludf.DUMMYFUNCTION("SPLIT(G33,"" "",TRUE)"),"*119")</f>
        <v>*119</v>
      </c>
      <c r="P33" s="1" t="str">
        <f>IFERROR(__xludf.DUMMYFUNCTION("""COMPUTED_VALUE"""),"344*")</f>
        <v>344*</v>
      </c>
    </row>
    <row r="34">
      <c r="A34" s="1">
        <v>32.0</v>
      </c>
      <c r="B34" s="1">
        <v>57463.0</v>
      </c>
      <c r="C34" s="1" t="s">
        <v>847</v>
      </c>
      <c r="D34" s="1" t="s">
        <v>848</v>
      </c>
      <c r="E34" s="1" t="s">
        <v>544</v>
      </c>
      <c r="F34" s="1" t="s">
        <v>120</v>
      </c>
      <c r="G34" s="1" t="s">
        <v>849</v>
      </c>
      <c r="H34" s="1" t="s">
        <v>850</v>
      </c>
      <c r="I34" s="1" t="s">
        <v>851</v>
      </c>
      <c r="J34" s="1" t="s">
        <v>852</v>
      </c>
      <c r="K34" s="1" t="s">
        <v>853</v>
      </c>
      <c r="L34" s="1" t="s">
        <v>854</v>
      </c>
      <c r="M34" s="1" t="s">
        <v>855</v>
      </c>
      <c r="N34" s="1" t="s">
        <v>856</v>
      </c>
      <c r="O34" s="1" t="str">
        <f>IFERROR(__xludf.DUMMYFUNCTION("SPLIT(G34,"" "",TRUE)"),"*118")</f>
        <v>*118</v>
      </c>
      <c r="P34" s="1" t="str">
        <f>IFERROR(__xludf.DUMMYFUNCTION("""COMPUTED_VALUE"""),"489*")</f>
        <v>489*</v>
      </c>
    </row>
    <row r="35">
      <c r="A35" s="1">
        <v>33.0</v>
      </c>
      <c r="B35" s="1">
        <v>25056.0</v>
      </c>
      <c r="C35" s="1" t="s">
        <v>857</v>
      </c>
      <c r="D35" s="1" t="s">
        <v>858</v>
      </c>
      <c r="E35" s="1" t="s">
        <v>544</v>
      </c>
      <c r="F35" s="1" t="s">
        <v>698</v>
      </c>
      <c r="G35" s="1" t="s">
        <v>859</v>
      </c>
      <c r="H35" s="1" t="s">
        <v>860</v>
      </c>
      <c r="I35" s="1" t="s">
        <v>861</v>
      </c>
      <c r="J35" s="1" t="s">
        <v>862</v>
      </c>
      <c r="K35" s="1" t="s">
        <v>863</v>
      </c>
      <c r="L35" s="1" t="s">
        <v>864</v>
      </c>
      <c r="M35" s="1" t="s">
        <v>865</v>
      </c>
      <c r="N35" s="1" t="s">
        <v>866</v>
      </c>
      <c r="O35" s="1" t="str">
        <f>IFERROR(__xludf.DUMMYFUNCTION("SPLIT(G35,"" "",TRUE)"),"*117")</f>
        <v>*117</v>
      </c>
      <c r="P35" s="1" t="str">
        <f>IFERROR(__xludf.DUMMYFUNCTION("""COMPUTED_VALUE"""),"912*")</f>
        <v>912*</v>
      </c>
    </row>
    <row r="36">
      <c r="A36" s="1">
        <v>34.0</v>
      </c>
      <c r="B36" s="1">
        <v>45234.0</v>
      </c>
      <c r="C36" s="1" t="s">
        <v>867</v>
      </c>
      <c r="D36" s="1" t="s">
        <v>868</v>
      </c>
      <c r="E36" s="1" t="s">
        <v>544</v>
      </c>
      <c r="F36" s="1" t="s">
        <v>788</v>
      </c>
      <c r="G36" s="1" t="s">
        <v>869</v>
      </c>
      <c r="H36" s="1" t="s">
        <v>870</v>
      </c>
      <c r="I36" s="1" t="s">
        <v>871</v>
      </c>
      <c r="J36" s="1" t="s">
        <v>872</v>
      </c>
      <c r="K36" s="1" t="s">
        <v>873</v>
      </c>
      <c r="L36" s="1" t="s">
        <v>874</v>
      </c>
      <c r="M36" s="1" t="s">
        <v>875</v>
      </c>
      <c r="N36" s="1" t="s">
        <v>876</v>
      </c>
      <c r="O36" s="1" t="str">
        <f>IFERROR(__xludf.DUMMYFUNCTION("SPLIT(G36,"" "",TRUE)"),"*116")</f>
        <v>*116</v>
      </c>
      <c r="P36" s="1" t="str">
        <f>IFERROR(__xludf.DUMMYFUNCTION("""COMPUTED_VALUE"""),"269*")</f>
        <v>269*</v>
      </c>
    </row>
    <row r="37">
      <c r="A37" s="1">
        <v>35.0</v>
      </c>
      <c r="B37" s="1">
        <v>93066.0</v>
      </c>
      <c r="C37" s="1" t="s">
        <v>717</v>
      </c>
      <c r="D37" s="1" t="s">
        <v>877</v>
      </c>
      <c r="E37" s="1" t="s">
        <v>647</v>
      </c>
      <c r="F37" s="1" t="s">
        <v>130</v>
      </c>
      <c r="G37" s="1" t="s">
        <v>878</v>
      </c>
      <c r="H37" s="1" t="s">
        <v>879</v>
      </c>
      <c r="I37" s="1" t="s">
        <v>880</v>
      </c>
      <c r="J37" s="1" t="s">
        <v>881</v>
      </c>
      <c r="K37" s="1" t="s">
        <v>882</v>
      </c>
      <c r="L37" s="1" t="s">
        <v>883</v>
      </c>
      <c r="M37" s="1" t="s">
        <v>884</v>
      </c>
      <c r="N37" s="1" t="s">
        <v>885</v>
      </c>
      <c r="O37" s="1" t="str">
        <f>IFERROR(__xludf.DUMMYFUNCTION("SPLIT(G37,"" "",TRUE)"),"*112")</f>
        <v>*112</v>
      </c>
      <c r="P37" s="1" t="str">
        <f>IFERROR(__xludf.DUMMYFUNCTION("""COMPUTED_VALUE"""),"852*")</f>
        <v>852*</v>
      </c>
    </row>
    <row r="38">
      <c r="A38" s="1">
        <v>36.0</v>
      </c>
      <c r="B38" s="1">
        <v>76540.0</v>
      </c>
      <c r="C38" s="1" t="s">
        <v>886</v>
      </c>
      <c r="D38" s="1" t="s">
        <v>677</v>
      </c>
      <c r="E38" s="1" t="s">
        <v>544</v>
      </c>
      <c r="F38" s="1" t="s">
        <v>135</v>
      </c>
      <c r="G38" s="1" t="s">
        <v>887</v>
      </c>
      <c r="H38" s="1" t="s">
        <v>888</v>
      </c>
      <c r="I38" s="1" t="s">
        <v>889</v>
      </c>
      <c r="J38" s="1" t="s">
        <v>890</v>
      </c>
      <c r="K38" s="1" t="s">
        <v>891</v>
      </c>
      <c r="L38" s="1" t="s">
        <v>892</v>
      </c>
      <c r="M38" s="1" t="s">
        <v>893</v>
      </c>
      <c r="N38" s="1" t="s">
        <v>894</v>
      </c>
      <c r="O38" s="1" t="str">
        <f>IFERROR(__xludf.DUMMYFUNCTION("SPLIT(G38,"" "",TRUE)"),"*112")</f>
        <v>*112</v>
      </c>
      <c r="P38" s="1" t="str">
        <f>IFERROR(__xludf.DUMMYFUNCTION("""COMPUTED_VALUE"""),"321*")</f>
        <v>321*</v>
      </c>
    </row>
    <row r="39">
      <c r="A39" s="1">
        <v>37.0</v>
      </c>
      <c r="B39" s="1">
        <v>93048.0</v>
      </c>
      <c r="C39" s="1" t="s">
        <v>895</v>
      </c>
      <c r="D39" s="1" t="s">
        <v>877</v>
      </c>
      <c r="E39" s="1" t="s">
        <v>728</v>
      </c>
      <c r="F39" s="1" t="s">
        <v>130</v>
      </c>
      <c r="G39" s="1" t="s">
        <v>896</v>
      </c>
      <c r="H39" s="1" t="s">
        <v>897</v>
      </c>
      <c r="I39" s="1" t="s">
        <v>898</v>
      </c>
      <c r="J39" s="1" t="s">
        <v>899</v>
      </c>
      <c r="K39" s="1" t="s">
        <v>900</v>
      </c>
      <c r="L39" s="1" t="s">
        <v>901</v>
      </c>
      <c r="M39" s="1" t="s">
        <v>902</v>
      </c>
      <c r="N39" s="1" t="s">
        <v>903</v>
      </c>
      <c r="O39" s="1" t="str">
        <f>IFERROR(__xludf.DUMMYFUNCTION("SPLIT(G39,"" "",TRUE)"),"*111")</f>
        <v>*111</v>
      </c>
      <c r="P39" s="1" t="str">
        <f>IFERROR(__xludf.DUMMYFUNCTION("""COMPUTED_VALUE"""),"240*")</f>
        <v>240*</v>
      </c>
    </row>
    <row r="40">
      <c r="A40" s="1">
        <v>38.0</v>
      </c>
      <c r="B40" s="1">
        <v>95018.0</v>
      </c>
      <c r="C40" s="1" t="s">
        <v>904</v>
      </c>
      <c r="D40" s="1" t="s">
        <v>905</v>
      </c>
      <c r="E40" s="1" t="s">
        <v>647</v>
      </c>
      <c r="F40" s="1" t="s">
        <v>130</v>
      </c>
      <c r="G40" s="1" t="s">
        <v>906</v>
      </c>
      <c r="H40" s="1" t="s">
        <v>907</v>
      </c>
      <c r="I40" s="1" t="s">
        <v>908</v>
      </c>
      <c r="J40" s="1" t="s">
        <v>909</v>
      </c>
      <c r="K40" s="1" t="s">
        <v>910</v>
      </c>
      <c r="L40" s="1" t="s">
        <v>911</v>
      </c>
      <c r="M40" s="1" t="s">
        <v>912</v>
      </c>
      <c r="N40" s="1" t="s">
        <v>913</v>
      </c>
      <c r="O40" s="1" t="str">
        <f>IFERROR(__xludf.DUMMYFUNCTION("SPLIT(G40,"" "",TRUE)"),"*111")</f>
        <v>*111</v>
      </c>
      <c r="P40" s="1" t="str">
        <f>IFERROR(__xludf.DUMMYFUNCTION("""COMPUTED_VALUE"""),"038*")</f>
        <v>038*</v>
      </c>
    </row>
    <row r="41">
      <c r="A41" s="1">
        <v>39.0</v>
      </c>
      <c r="B41" s="1">
        <v>68224.0</v>
      </c>
      <c r="C41" s="1" t="s">
        <v>914</v>
      </c>
      <c r="D41" s="1" t="s">
        <v>915</v>
      </c>
      <c r="E41" s="1" t="s">
        <v>647</v>
      </c>
      <c r="F41" s="1" t="s">
        <v>120</v>
      </c>
      <c r="G41" s="1" t="s">
        <v>916</v>
      </c>
      <c r="H41" s="1" t="s">
        <v>917</v>
      </c>
      <c r="I41" s="1" t="s">
        <v>918</v>
      </c>
      <c r="J41" s="1" t="s">
        <v>919</v>
      </c>
      <c r="K41" s="1" t="s">
        <v>920</v>
      </c>
      <c r="L41" s="1" t="s">
        <v>921</v>
      </c>
      <c r="M41" s="1" t="s">
        <v>922</v>
      </c>
      <c r="N41" s="1" t="s">
        <v>923</v>
      </c>
      <c r="O41" s="1" t="str">
        <f>IFERROR(__xludf.DUMMYFUNCTION("SPLIT(G41,"" "",TRUE)"),"*108")</f>
        <v>*108</v>
      </c>
      <c r="P41" s="1" t="str">
        <f>IFERROR(__xludf.DUMMYFUNCTION("""COMPUTED_VALUE"""),"312*")</f>
        <v>312*</v>
      </c>
    </row>
    <row r="42">
      <c r="A42" s="1">
        <v>40.0</v>
      </c>
      <c r="B42" s="1">
        <v>14118.0</v>
      </c>
      <c r="C42" s="1" t="s">
        <v>924</v>
      </c>
      <c r="D42" s="1" t="s">
        <v>925</v>
      </c>
      <c r="E42" s="1" t="s">
        <v>544</v>
      </c>
      <c r="F42" s="1" t="s">
        <v>135</v>
      </c>
      <c r="G42" s="1" t="s">
        <v>926</v>
      </c>
      <c r="H42" s="1" t="s">
        <v>927</v>
      </c>
      <c r="I42" s="1" t="s">
        <v>928</v>
      </c>
      <c r="J42" s="1" t="s">
        <v>929</v>
      </c>
      <c r="K42" s="1" t="s">
        <v>930</v>
      </c>
      <c r="L42" s="1" t="s">
        <v>931</v>
      </c>
      <c r="M42" s="1" t="s">
        <v>932</v>
      </c>
      <c r="N42" s="1" t="s">
        <v>933</v>
      </c>
      <c r="O42" s="1" t="str">
        <f>IFERROR(__xludf.DUMMYFUNCTION("SPLIT(G42,"" "",TRUE)"),"*106")</f>
        <v>*106</v>
      </c>
      <c r="P42" s="1" t="str">
        <f>IFERROR(__xludf.DUMMYFUNCTION("""COMPUTED_VALUE"""),"230*")</f>
        <v>230*</v>
      </c>
    </row>
    <row r="43">
      <c r="A43" s="1">
        <v>41.0</v>
      </c>
      <c r="B43" s="1">
        <v>54395.0</v>
      </c>
      <c r="C43" s="1" t="s">
        <v>934</v>
      </c>
      <c r="D43" s="1" t="s">
        <v>935</v>
      </c>
      <c r="E43" s="1" t="s">
        <v>544</v>
      </c>
      <c r="F43" s="1" t="s">
        <v>120</v>
      </c>
      <c r="G43" s="1" t="s">
        <v>936</v>
      </c>
      <c r="H43" s="1" t="s">
        <v>937</v>
      </c>
      <c r="I43" s="1" t="s">
        <v>938</v>
      </c>
      <c r="J43" s="1" t="s">
        <v>939</v>
      </c>
      <c r="K43" s="1" t="s">
        <v>940</v>
      </c>
      <c r="L43" s="1" t="s">
        <v>941</v>
      </c>
      <c r="M43" s="1" t="s">
        <v>942</v>
      </c>
      <c r="N43" s="1" t="s">
        <v>943</v>
      </c>
      <c r="O43" s="1" t="str">
        <f>IFERROR(__xludf.DUMMYFUNCTION("SPLIT(G43,"" "",TRUE)"),"*105")</f>
        <v>*105</v>
      </c>
      <c r="P43" s="1" t="str">
        <f>IFERROR(__xludf.DUMMYFUNCTION("""COMPUTED_VALUE"""),"058*")</f>
        <v>058*</v>
      </c>
    </row>
    <row r="44">
      <c r="A44" s="1">
        <v>42.0</v>
      </c>
      <c r="B44" s="1">
        <v>97415.0</v>
      </c>
      <c r="C44" s="1" t="s">
        <v>944</v>
      </c>
      <c r="D44" s="1" t="s">
        <v>718</v>
      </c>
      <c r="E44" s="1" t="s">
        <v>647</v>
      </c>
      <c r="F44" s="1" t="s">
        <v>718</v>
      </c>
      <c r="G44" s="1" t="s">
        <v>945</v>
      </c>
      <c r="H44" s="1" t="s">
        <v>946</v>
      </c>
      <c r="I44" s="1" t="s">
        <v>947</v>
      </c>
      <c r="J44" s="1" t="s">
        <v>948</v>
      </c>
      <c r="K44" s="1" t="s">
        <v>949</v>
      </c>
      <c r="L44" s="1" t="s">
        <v>950</v>
      </c>
      <c r="M44" s="1" t="s">
        <v>951</v>
      </c>
      <c r="N44" s="1" t="s">
        <v>952</v>
      </c>
      <c r="O44" s="1" t="str">
        <f>IFERROR(__xludf.DUMMYFUNCTION("SPLIT(G44,"" "",TRUE)"),"*103")</f>
        <v>*103</v>
      </c>
      <c r="P44" s="1" t="str">
        <f>IFERROR(__xludf.DUMMYFUNCTION("""COMPUTED_VALUE"""),"208*")</f>
        <v>208*</v>
      </c>
    </row>
    <row r="45">
      <c r="A45" s="1">
        <v>43.0</v>
      </c>
      <c r="B45" s="1">
        <v>59512.0</v>
      </c>
      <c r="C45" s="1" t="s">
        <v>953</v>
      </c>
      <c r="D45" s="1" t="s">
        <v>626</v>
      </c>
      <c r="E45" s="1" t="s">
        <v>728</v>
      </c>
      <c r="F45" s="1" t="s">
        <v>125</v>
      </c>
      <c r="G45" s="1" t="s">
        <v>954</v>
      </c>
      <c r="H45" s="1" t="s">
        <v>955</v>
      </c>
      <c r="I45" s="1" t="s">
        <v>956</v>
      </c>
      <c r="J45" s="1" t="s">
        <v>957</v>
      </c>
      <c r="K45" s="1" t="s">
        <v>958</v>
      </c>
      <c r="L45" s="1" t="s">
        <v>959</v>
      </c>
      <c r="M45" s="1" t="s">
        <v>960</v>
      </c>
      <c r="N45" s="1" t="s">
        <v>961</v>
      </c>
      <c r="O45" s="1" t="str">
        <f>IFERROR(__xludf.DUMMYFUNCTION("SPLIT(G45,"" "",TRUE)"),"*98")</f>
        <v>*98</v>
      </c>
      <c r="P45" s="1" t="str">
        <f>IFERROR(__xludf.DUMMYFUNCTION("""COMPUTED_VALUE"""),"828*")</f>
        <v>828*</v>
      </c>
    </row>
    <row r="46">
      <c r="A46" s="1">
        <v>44.0</v>
      </c>
      <c r="B46" s="1">
        <v>59599.0</v>
      </c>
      <c r="C46" s="1" t="s">
        <v>962</v>
      </c>
      <c r="D46" s="1" t="s">
        <v>626</v>
      </c>
      <c r="E46" s="1" t="s">
        <v>728</v>
      </c>
      <c r="F46" s="1" t="s">
        <v>125</v>
      </c>
      <c r="G46" s="1" t="s">
        <v>963</v>
      </c>
      <c r="H46" s="1" t="s">
        <v>964</v>
      </c>
      <c r="I46" s="1" t="s">
        <v>965</v>
      </c>
      <c r="J46" s="1" t="s">
        <v>966</v>
      </c>
      <c r="K46" s="1" t="s">
        <v>967</v>
      </c>
      <c r="L46" s="1" t="s">
        <v>968</v>
      </c>
      <c r="M46" s="1" t="s">
        <v>969</v>
      </c>
      <c r="N46" s="1" t="s">
        <v>970</v>
      </c>
      <c r="O46" s="1" t="str">
        <f>IFERROR(__xludf.DUMMYFUNCTION("SPLIT(G46,"" "",TRUE)"),"*98")</f>
        <v>*98</v>
      </c>
      <c r="P46" s="1" t="str">
        <f>IFERROR(__xludf.DUMMYFUNCTION("""COMPUTED_VALUE"""),"656*")</f>
        <v>656*</v>
      </c>
    </row>
    <row r="47">
      <c r="A47" s="1">
        <v>45.0</v>
      </c>
      <c r="B47" s="1">
        <v>92050.0</v>
      </c>
      <c r="C47" s="1" t="s">
        <v>971</v>
      </c>
      <c r="D47" s="1" t="s">
        <v>828</v>
      </c>
      <c r="E47" s="1" t="s">
        <v>544</v>
      </c>
      <c r="F47" s="1" t="s">
        <v>130</v>
      </c>
      <c r="G47" s="1" t="s">
        <v>972</v>
      </c>
      <c r="H47" s="1" t="s">
        <v>973</v>
      </c>
      <c r="I47" s="1" t="s">
        <v>974</v>
      </c>
      <c r="J47" s="1" t="s">
        <v>975</v>
      </c>
      <c r="K47" s="1" t="s">
        <v>976</v>
      </c>
      <c r="L47" s="1" t="s">
        <v>977</v>
      </c>
      <c r="M47" s="1" t="s">
        <v>978</v>
      </c>
      <c r="N47" s="1" t="s">
        <v>979</v>
      </c>
      <c r="O47" s="1" t="str">
        <f>IFERROR(__xludf.DUMMYFUNCTION("SPLIT(G47,"" "",TRUE)"),"*96")</f>
        <v>*96</v>
      </c>
      <c r="P47" s="1" t="str">
        <f>IFERROR(__xludf.DUMMYFUNCTION("""COMPUTED_VALUE"""),"277*")</f>
        <v>277*</v>
      </c>
    </row>
    <row r="48">
      <c r="A48" s="1">
        <v>46.0</v>
      </c>
      <c r="B48" s="1">
        <v>94081.0</v>
      </c>
      <c r="C48" s="1" t="s">
        <v>980</v>
      </c>
      <c r="D48" s="1" t="s">
        <v>981</v>
      </c>
      <c r="E48" s="1" t="s">
        <v>728</v>
      </c>
      <c r="F48" s="1" t="s">
        <v>130</v>
      </c>
      <c r="G48" s="1" t="s">
        <v>982</v>
      </c>
      <c r="H48" s="1" t="s">
        <v>983</v>
      </c>
      <c r="I48" s="1" t="s">
        <v>984</v>
      </c>
      <c r="J48" s="1" t="s">
        <v>985</v>
      </c>
      <c r="K48" s="1" t="s">
        <v>986</v>
      </c>
      <c r="L48" s="1" t="s">
        <v>987</v>
      </c>
      <c r="M48" s="1" t="s">
        <v>988</v>
      </c>
      <c r="N48" s="1" t="s">
        <v>989</v>
      </c>
      <c r="O48" s="1" t="str">
        <f>IFERROR(__xludf.DUMMYFUNCTION("SPLIT(G48,"" "",TRUE)"),"*95")</f>
        <v>*95</v>
      </c>
      <c r="P48" s="1" t="str">
        <f>IFERROR(__xludf.DUMMYFUNCTION("""COMPUTED_VALUE"""),"510*")</f>
        <v>510*</v>
      </c>
    </row>
    <row r="49">
      <c r="A49" s="1" t="s">
        <v>990</v>
      </c>
      <c r="B49" s="1">
        <v>98818.0</v>
      </c>
      <c r="C49" s="1" t="s">
        <v>991</v>
      </c>
      <c r="D49" s="1" t="s">
        <v>992</v>
      </c>
      <c r="G49" s="1" t="s">
        <v>993</v>
      </c>
      <c r="H49" s="1" t="s">
        <v>994</v>
      </c>
      <c r="I49" s="1" t="s">
        <v>995</v>
      </c>
      <c r="J49" s="1" t="s">
        <v>996</v>
      </c>
      <c r="K49" s="1" t="s">
        <v>997</v>
      </c>
      <c r="L49" s="1" t="s">
        <v>998</v>
      </c>
      <c r="M49" s="1" t="s">
        <v>999</v>
      </c>
      <c r="N49" s="1" t="s">
        <v>1000</v>
      </c>
      <c r="O49" s="1" t="str">
        <f>IFERROR(__xludf.DUMMYFUNCTION("SPLIT(G49,"" "",TRUE)"),"*94")</f>
        <v>*94</v>
      </c>
      <c r="P49" s="1" t="str">
        <f>IFERROR(__xludf.DUMMYFUNCTION("""COMPUTED_VALUE"""),"285*(2019)")</f>
        <v>285*(2019)</v>
      </c>
    </row>
    <row r="50">
      <c r="A50" s="1">
        <v>47.0</v>
      </c>
      <c r="B50" s="1">
        <v>94028.0</v>
      </c>
      <c r="C50" s="1" t="s">
        <v>1001</v>
      </c>
      <c r="D50" s="1" t="s">
        <v>981</v>
      </c>
      <c r="E50" s="1" t="s">
        <v>544</v>
      </c>
      <c r="F50" s="1" t="s">
        <v>130</v>
      </c>
      <c r="G50" s="1" t="s">
        <v>1002</v>
      </c>
      <c r="H50" s="1" t="s">
        <v>1003</v>
      </c>
      <c r="I50" s="1" t="s">
        <v>1004</v>
      </c>
      <c r="J50" s="1" t="s">
        <v>1005</v>
      </c>
      <c r="K50" s="1" t="s">
        <v>1006</v>
      </c>
      <c r="L50" s="1" t="s">
        <v>1007</v>
      </c>
      <c r="M50" s="1" t="s">
        <v>1008</v>
      </c>
      <c r="N50" s="1" t="s">
        <v>1009</v>
      </c>
      <c r="O50" s="1" t="str">
        <f>IFERROR(__xludf.DUMMYFUNCTION("SPLIT(G50,"" "",TRUE)"),"*93")</f>
        <v>*93</v>
      </c>
      <c r="P50" s="1" t="str">
        <f>IFERROR(__xludf.DUMMYFUNCTION("""COMPUTED_VALUE"""),"246*")</f>
        <v>246*</v>
      </c>
    </row>
    <row r="51">
      <c r="A51" s="1">
        <v>48.0</v>
      </c>
      <c r="B51" s="1">
        <v>84007.0</v>
      </c>
      <c r="C51" s="1" t="s">
        <v>1010</v>
      </c>
      <c r="D51" s="1" t="s">
        <v>1011</v>
      </c>
      <c r="E51" s="1" t="s">
        <v>544</v>
      </c>
      <c r="F51" s="1" t="s">
        <v>545</v>
      </c>
      <c r="G51" s="1" t="s">
        <v>1012</v>
      </c>
      <c r="H51" s="1" t="s">
        <v>1013</v>
      </c>
      <c r="I51" s="1" t="s">
        <v>1014</v>
      </c>
      <c r="J51" s="1" t="s">
        <v>1015</v>
      </c>
      <c r="K51" s="1" t="s">
        <v>1016</v>
      </c>
      <c r="L51" s="1" t="s">
        <v>1017</v>
      </c>
      <c r="M51" s="1" t="s">
        <v>1018</v>
      </c>
      <c r="N51" s="1" t="s">
        <v>1019</v>
      </c>
      <c r="O51" s="1" t="str">
        <f>IFERROR(__xludf.DUMMYFUNCTION("SPLIT(G51,"" "",TRUE)"),"*91")</f>
        <v>*91</v>
      </c>
      <c r="P51" s="1" t="str">
        <f>IFERROR(__xludf.DUMMYFUNCTION("""COMPUTED_VALUE"""),"143*")</f>
        <v>143*</v>
      </c>
    </row>
    <row r="52">
      <c r="A52" s="1">
        <v>49.0</v>
      </c>
      <c r="B52" s="1">
        <v>86194.0</v>
      </c>
      <c r="C52" s="1" t="s">
        <v>1020</v>
      </c>
      <c r="D52" s="1" t="s">
        <v>1021</v>
      </c>
      <c r="E52" s="1" t="s">
        <v>544</v>
      </c>
      <c r="F52" s="1" t="s">
        <v>616</v>
      </c>
      <c r="G52" s="1" t="s">
        <v>1022</v>
      </c>
      <c r="H52" s="1" t="s">
        <v>1023</v>
      </c>
      <c r="I52" s="1" t="s">
        <v>1024</v>
      </c>
      <c r="J52" s="1" t="s">
        <v>1025</v>
      </c>
      <c r="K52" s="1" t="s">
        <v>1026</v>
      </c>
      <c r="L52" s="1" t="s">
        <v>1027</v>
      </c>
      <c r="M52" s="1" t="s">
        <v>1028</v>
      </c>
      <c r="N52" s="1" t="s">
        <v>1029</v>
      </c>
      <c r="O52" s="1" t="str">
        <f>IFERROR(__xludf.DUMMYFUNCTION("SPLIT(G52,"" "",TRUE)"),"*89")</f>
        <v>*89</v>
      </c>
      <c r="P52" s="1" t="str">
        <f>IFERROR(__xludf.DUMMYFUNCTION("""COMPUTED_VALUE"""),"212*")</f>
        <v>212*</v>
      </c>
    </row>
    <row r="53">
      <c r="A53" s="1">
        <v>50.0</v>
      </c>
      <c r="B53" s="1">
        <v>93001.0</v>
      </c>
      <c r="C53" s="1" t="s">
        <v>1030</v>
      </c>
      <c r="D53" s="1" t="s">
        <v>877</v>
      </c>
      <c r="E53" s="1" t="s">
        <v>728</v>
      </c>
      <c r="F53" s="1" t="s">
        <v>130</v>
      </c>
      <c r="G53" s="1" t="s">
        <v>1031</v>
      </c>
      <c r="H53" s="1" t="s">
        <v>1032</v>
      </c>
      <c r="I53" s="1" t="s">
        <v>1033</v>
      </c>
      <c r="J53" s="1" t="s">
        <v>1034</v>
      </c>
      <c r="K53" s="1" t="s">
        <v>1035</v>
      </c>
      <c r="L53" s="1" t="s">
        <v>1036</v>
      </c>
      <c r="M53" s="1" t="s">
        <v>1037</v>
      </c>
      <c r="N53" s="1" t="s">
        <v>1038</v>
      </c>
      <c r="O53" s="1" t="str">
        <f>IFERROR(__xludf.DUMMYFUNCTION("SPLIT(G53,"" "",TRUE)"),"*88")</f>
        <v>*88</v>
      </c>
      <c r="P53" s="1" t="str">
        <f>IFERROR(__xludf.DUMMYFUNCTION("""COMPUTED_VALUE"""),"948*")</f>
        <v>948*</v>
      </c>
    </row>
    <row r="54">
      <c r="A54" s="1">
        <v>51.0</v>
      </c>
      <c r="B54" s="1">
        <v>92004.0</v>
      </c>
      <c r="C54" s="1" t="s">
        <v>1039</v>
      </c>
      <c r="D54" s="1" t="s">
        <v>828</v>
      </c>
      <c r="E54" s="1" t="s">
        <v>728</v>
      </c>
      <c r="F54" s="1" t="s">
        <v>130</v>
      </c>
      <c r="G54" s="1" t="s">
        <v>1040</v>
      </c>
      <c r="H54" s="1" t="s">
        <v>1041</v>
      </c>
      <c r="I54" s="1" t="s">
        <v>1042</v>
      </c>
      <c r="J54" s="1" t="s">
        <v>1043</v>
      </c>
      <c r="K54" s="1" t="s">
        <v>1044</v>
      </c>
      <c r="L54" s="1" t="s">
        <v>1045</v>
      </c>
      <c r="M54" s="1" t="s">
        <v>1046</v>
      </c>
      <c r="N54" s="1" t="s">
        <v>1047</v>
      </c>
      <c r="O54" s="1" t="str">
        <f>IFERROR(__xludf.DUMMYFUNCTION("SPLIT(G54,"" "",TRUE)"),"*87")</f>
        <v>*87</v>
      </c>
      <c r="P54" s="1" t="str">
        <f>IFERROR(__xludf.DUMMYFUNCTION("""COMPUTED_VALUE"""),"143*")</f>
        <v>143*</v>
      </c>
    </row>
    <row r="55">
      <c r="A55" s="1">
        <v>52.0</v>
      </c>
      <c r="B55" s="1">
        <v>93005.0</v>
      </c>
      <c r="C55" s="1" t="s">
        <v>1048</v>
      </c>
      <c r="D55" s="1" t="s">
        <v>877</v>
      </c>
      <c r="E55" s="1" t="s">
        <v>728</v>
      </c>
      <c r="F55" s="1" t="s">
        <v>130</v>
      </c>
      <c r="G55" s="1" t="s">
        <v>1049</v>
      </c>
      <c r="H55" s="1" t="s">
        <v>1050</v>
      </c>
      <c r="I55" s="1" t="s">
        <v>1051</v>
      </c>
      <c r="J55" s="1" t="s">
        <v>1052</v>
      </c>
      <c r="K55" s="1" t="s">
        <v>1053</v>
      </c>
      <c r="L55" s="1" t="s">
        <v>1054</v>
      </c>
      <c r="M55" s="1" t="s">
        <v>1055</v>
      </c>
      <c r="N55" s="1" t="s">
        <v>1056</v>
      </c>
      <c r="O55" s="1" t="str">
        <f>IFERROR(__xludf.DUMMYFUNCTION("SPLIT(G55,"" "",TRUE)"),"*86")</f>
        <v>*86</v>
      </c>
      <c r="P55" s="1" t="str">
        <f>IFERROR(__xludf.DUMMYFUNCTION("""COMPUTED_VALUE"""),"969*")</f>
        <v>969*</v>
      </c>
    </row>
    <row r="56">
      <c r="A56" s="1">
        <v>53.0</v>
      </c>
      <c r="B56" s="1">
        <v>92025.0</v>
      </c>
      <c r="C56" s="1" t="s">
        <v>1057</v>
      </c>
      <c r="D56" s="1" t="s">
        <v>828</v>
      </c>
      <c r="E56" s="1" t="s">
        <v>728</v>
      </c>
      <c r="F56" s="1" t="s">
        <v>130</v>
      </c>
      <c r="G56" s="1" t="s">
        <v>1058</v>
      </c>
      <c r="H56" s="1" t="s">
        <v>1059</v>
      </c>
      <c r="I56" s="1" t="s">
        <v>1060</v>
      </c>
      <c r="J56" s="1" t="s">
        <v>1061</v>
      </c>
      <c r="K56" s="1" t="s">
        <v>1062</v>
      </c>
      <c r="L56" s="1" t="s">
        <v>1063</v>
      </c>
      <c r="M56" s="1" t="s">
        <v>1064</v>
      </c>
      <c r="N56" s="1" t="s">
        <v>1065</v>
      </c>
      <c r="O56" s="1" t="str">
        <f>IFERROR(__xludf.DUMMYFUNCTION("SPLIT(G56,"" "",TRUE)"),"*86")</f>
        <v>*86</v>
      </c>
      <c r="P56" s="1" t="str">
        <f>IFERROR(__xludf.DUMMYFUNCTION("""COMPUTED_VALUE"""),"534*")</f>
        <v>534*</v>
      </c>
    </row>
    <row r="57">
      <c r="A57" s="1">
        <v>54.0</v>
      </c>
      <c r="B57" s="1">
        <v>59183.0</v>
      </c>
      <c r="C57" s="1" t="s">
        <v>1066</v>
      </c>
      <c r="D57" s="1" t="s">
        <v>626</v>
      </c>
      <c r="E57" s="1" t="s">
        <v>647</v>
      </c>
      <c r="F57" s="1" t="s">
        <v>125</v>
      </c>
      <c r="G57" s="1" t="s">
        <v>1067</v>
      </c>
      <c r="H57" s="1" t="s">
        <v>1068</v>
      </c>
      <c r="I57" s="1" t="s">
        <v>1069</v>
      </c>
      <c r="J57" s="1" t="s">
        <v>1070</v>
      </c>
      <c r="K57" s="1" t="s">
        <v>1071</v>
      </c>
      <c r="L57" s="1" t="s">
        <v>1072</v>
      </c>
      <c r="M57" s="1" t="s">
        <v>1073</v>
      </c>
      <c r="N57" s="1" t="s">
        <v>1074</v>
      </c>
      <c r="O57" s="1" t="str">
        <f>IFERROR(__xludf.DUMMYFUNCTION("SPLIT(G57,"" "",TRUE)"),"*86")</f>
        <v>*86</v>
      </c>
      <c r="P57" s="1" t="str">
        <f>IFERROR(__xludf.DUMMYFUNCTION("""COMPUTED_VALUE"""),"279*")</f>
        <v>279*</v>
      </c>
    </row>
    <row r="58">
      <c r="A58" s="1">
        <v>55.0</v>
      </c>
      <c r="B58" s="1">
        <v>97416.0</v>
      </c>
      <c r="C58" s="1" t="s">
        <v>1075</v>
      </c>
      <c r="D58" s="1" t="s">
        <v>718</v>
      </c>
      <c r="E58" s="1" t="s">
        <v>647</v>
      </c>
      <c r="F58" s="1" t="s">
        <v>718</v>
      </c>
      <c r="G58" s="1" t="s">
        <v>1076</v>
      </c>
      <c r="H58" s="1" t="s">
        <v>1077</v>
      </c>
      <c r="I58" s="1" t="s">
        <v>1078</v>
      </c>
      <c r="J58" s="1" t="s">
        <v>1079</v>
      </c>
      <c r="K58" s="1" t="s">
        <v>1080</v>
      </c>
      <c r="L58" s="1" t="s">
        <v>1081</v>
      </c>
      <c r="M58" s="1" t="s">
        <v>1082</v>
      </c>
      <c r="N58" s="1" t="s">
        <v>1083</v>
      </c>
      <c r="O58" s="1" t="str">
        <f>IFERROR(__xludf.DUMMYFUNCTION("SPLIT(G58,"" "",TRUE)"),"*84")</f>
        <v>*84</v>
      </c>
      <c r="P58" s="1" t="str">
        <f>IFERROR(__xludf.DUMMYFUNCTION("""COMPUTED_VALUE"""),"982*")</f>
        <v>982*</v>
      </c>
    </row>
    <row r="59">
      <c r="A59" s="1">
        <v>56.0</v>
      </c>
      <c r="B59" s="1">
        <v>78646.0</v>
      </c>
      <c r="C59" s="1" t="s">
        <v>1084</v>
      </c>
      <c r="D59" s="1" t="s">
        <v>1085</v>
      </c>
      <c r="E59" s="1" t="s">
        <v>544</v>
      </c>
      <c r="F59" s="1" t="s">
        <v>130</v>
      </c>
      <c r="G59" s="1" t="s">
        <v>1086</v>
      </c>
      <c r="H59" s="1" t="s">
        <v>1087</v>
      </c>
      <c r="I59" s="1" t="s">
        <v>1088</v>
      </c>
      <c r="J59" s="1" t="s">
        <v>1089</v>
      </c>
      <c r="K59" s="1" t="s">
        <v>1090</v>
      </c>
      <c r="L59" s="1" t="s">
        <v>1091</v>
      </c>
      <c r="M59" s="1" t="s">
        <v>1092</v>
      </c>
      <c r="N59" s="1" t="s">
        <v>883</v>
      </c>
      <c r="O59" s="1" t="str">
        <f>IFERROR(__xludf.DUMMYFUNCTION("SPLIT(G59,"" "",TRUE)"),"*84")</f>
        <v>*84</v>
      </c>
      <c r="P59" s="1" t="str">
        <f>IFERROR(__xludf.DUMMYFUNCTION("""COMPUTED_VALUE"""),"808*")</f>
        <v>808*</v>
      </c>
    </row>
    <row r="60">
      <c r="A60" s="1">
        <v>57.0</v>
      </c>
      <c r="B60" s="1">
        <v>92026.0</v>
      </c>
      <c r="C60" s="1" t="s">
        <v>1093</v>
      </c>
      <c r="D60" s="1" t="s">
        <v>828</v>
      </c>
      <c r="E60" s="1" t="s">
        <v>728</v>
      </c>
      <c r="F60" s="1" t="s">
        <v>130</v>
      </c>
      <c r="G60" s="1" t="s">
        <v>1094</v>
      </c>
      <c r="H60" s="1" t="s">
        <v>1095</v>
      </c>
      <c r="I60" s="1" t="s">
        <v>1096</v>
      </c>
      <c r="J60" s="1" t="s">
        <v>1097</v>
      </c>
      <c r="K60" s="1" t="s">
        <v>1098</v>
      </c>
      <c r="L60" s="1" t="s">
        <v>1099</v>
      </c>
      <c r="M60" s="1" t="s">
        <v>1100</v>
      </c>
      <c r="N60" s="1" t="s">
        <v>1101</v>
      </c>
      <c r="O60" s="1" t="str">
        <f>IFERROR(__xludf.DUMMYFUNCTION("SPLIT(G60,"" "",TRUE)"),"*81")</f>
        <v>*81</v>
      </c>
      <c r="P60" s="1" t="str">
        <f>IFERROR(__xludf.DUMMYFUNCTION("""COMPUTED_VALUE"""),"558*")</f>
        <v>558*</v>
      </c>
    </row>
    <row r="61">
      <c r="A61" s="1">
        <v>58.0</v>
      </c>
      <c r="B61" s="1">
        <v>97422.0</v>
      </c>
      <c r="C61" s="1" t="s">
        <v>1102</v>
      </c>
      <c r="D61" s="1" t="s">
        <v>718</v>
      </c>
      <c r="E61" s="1" t="s">
        <v>728</v>
      </c>
      <c r="F61" s="1" t="s">
        <v>718</v>
      </c>
      <c r="G61" s="1" t="s">
        <v>1103</v>
      </c>
      <c r="H61" s="1" t="s">
        <v>1104</v>
      </c>
      <c r="I61" s="1" t="s">
        <v>1105</v>
      </c>
      <c r="J61" s="1" t="s">
        <v>1106</v>
      </c>
      <c r="K61" s="1" t="s">
        <v>1107</v>
      </c>
      <c r="L61" s="1" t="s">
        <v>1108</v>
      </c>
      <c r="M61" s="1" t="s">
        <v>1109</v>
      </c>
      <c r="N61" s="1" t="s">
        <v>1110</v>
      </c>
      <c r="O61" s="1" t="str">
        <f>IFERROR(__xludf.DUMMYFUNCTION("SPLIT(G61,"" "",TRUE)"),"*79")</f>
        <v>*79</v>
      </c>
      <c r="P61" s="1" t="str">
        <f>IFERROR(__xludf.DUMMYFUNCTION("""COMPUTED_VALUE"""),"824*")</f>
        <v>824*</v>
      </c>
    </row>
    <row r="62">
      <c r="A62" s="1">
        <v>59.0</v>
      </c>
      <c r="B62" s="1">
        <v>50129.0</v>
      </c>
      <c r="C62" s="1" t="s">
        <v>1111</v>
      </c>
      <c r="D62" s="1" t="s">
        <v>1112</v>
      </c>
      <c r="E62" s="1" t="s">
        <v>647</v>
      </c>
      <c r="F62" s="1" t="s">
        <v>135</v>
      </c>
      <c r="G62" s="1" t="s">
        <v>1113</v>
      </c>
      <c r="H62" s="1" t="s">
        <v>1114</v>
      </c>
      <c r="I62" s="1" t="s">
        <v>1115</v>
      </c>
      <c r="J62" s="1" t="s">
        <v>1116</v>
      </c>
      <c r="K62" s="1" t="s">
        <v>1117</v>
      </c>
      <c r="L62" s="1" t="s">
        <v>1118</v>
      </c>
      <c r="M62" s="1" t="s">
        <v>1119</v>
      </c>
      <c r="N62" s="1" t="s">
        <v>1120</v>
      </c>
      <c r="O62" s="1" t="str">
        <f>IFERROR(__xludf.DUMMYFUNCTION("SPLIT(G62,"" "",TRUE)"),"*78")</f>
        <v>*78</v>
      </c>
      <c r="P62" s="1" t="str">
        <f>IFERROR(__xludf.DUMMYFUNCTION("""COMPUTED_VALUE"""),"549*")</f>
        <v>549*</v>
      </c>
    </row>
    <row r="63">
      <c r="A63" s="1">
        <v>60.0</v>
      </c>
      <c r="B63" s="1">
        <v>92063.0</v>
      </c>
      <c r="C63" s="1" t="s">
        <v>1121</v>
      </c>
      <c r="D63" s="1" t="s">
        <v>828</v>
      </c>
      <c r="E63" s="1" t="s">
        <v>728</v>
      </c>
      <c r="F63" s="1" t="s">
        <v>130</v>
      </c>
      <c r="G63" s="1" t="s">
        <v>1122</v>
      </c>
      <c r="H63" s="1" t="s">
        <v>1123</v>
      </c>
      <c r="I63" s="1" t="s">
        <v>1124</v>
      </c>
      <c r="J63" s="1" t="s">
        <v>1125</v>
      </c>
      <c r="K63" s="1" t="s">
        <v>1126</v>
      </c>
      <c r="L63" s="1" t="s">
        <v>1127</v>
      </c>
      <c r="M63" s="1" t="s">
        <v>1128</v>
      </c>
      <c r="N63" s="1" t="s">
        <v>1129</v>
      </c>
      <c r="O63" s="1" t="str">
        <f>IFERROR(__xludf.DUMMYFUNCTION("SPLIT(G63,"" "",TRUE)"),"*78")</f>
        <v>*78</v>
      </c>
      <c r="P63" s="1" t="str">
        <f>IFERROR(__xludf.DUMMYFUNCTION("""COMPUTED_VALUE"""),"317*")</f>
        <v>317*</v>
      </c>
    </row>
    <row r="64">
      <c r="A64" s="1">
        <v>61.0</v>
      </c>
      <c r="B64" s="1">
        <v>34032.0</v>
      </c>
      <c r="C64" s="1" t="s">
        <v>1130</v>
      </c>
      <c r="D64" s="1" t="s">
        <v>595</v>
      </c>
      <c r="E64" s="1" t="s">
        <v>647</v>
      </c>
      <c r="F64" s="1" t="s">
        <v>145</v>
      </c>
      <c r="G64" s="1" t="s">
        <v>1131</v>
      </c>
      <c r="H64" s="1" t="s">
        <v>1132</v>
      </c>
      <c r="I64" s="1" t="s">
        <v>1133</v>
      </c>
      <c r="J64" s="1" t="s">
        <v>1134</v>
      </c>
      <c r="K64" s="1" t="s">
        <v>1135</v>
      </c>
      <c r="L64" s="1" t="s">
        <v>1136</v>
      </c>
      <c r="M64" s="1" t="s">
        <v>1137</v>
      </c>
      <c r="N64" s="1" t="s">
        <v>1138</v>
      </c>
      <c r="O64" s="1" t="str">
        <f>IFERROR(__xludf.DUMMYFUNCTION("SPLIT(G64,"" "",TRUE)"),"*78")</f>
        <v>*78</v>
      </c>
      <c r="P64" s="1" t="str">
        <f>IFERROR(__xludf.DUMMYFUNCTION("""COMPUTED_VALUE"""),"308*")</f>
        <v>308*</v>
      </c>
    </row>
    <row r="65">
      <c r="A65" s="1">
        <v>62.0</v>
      </c>
      <c r="B65" s="1">
        <v>17300.0</v>
      </c>
      <c r="C65" s="1" t="s">
        <v>1139</v>
      </c>
      <c r="D65" s="1" t="s">
        <v>1140</v>
      </c>
      <c r="E65" s="1" t="s">
        <v>544</v>
      </c>
      <c r="F65" s="1" t="s">
        <v>616</v>
      </c>
      <c r="G65" s="1" t="s">
        <v>1141</v>
      </c>
      <c r="H65" s="1" t="s">
        <v>1142</v>
      </c>
      <c r="I65" s="1" t="s">
        <v>1143</v>
      </c>
      <c r="J65" s="1" t="s">
        <v>1144</v>
      </c>
      <c r="K65" s="1" t="s">
        <v>1145</v>
      </c>
      <c r="L65" s="1" t="s">
        <v>1146</v>
      </c>
      <c r="M65" s="1" t="s">
        <v>1147</v>
      </c>
      <c r="N65" s="1" t="s">
        <v>1148</v>
      </c>
      <c r="O65" s="1" t="str">
        <f>IFERROR(__xludf.DUMMYFUNCTION("SPLIT(G65,"" "",TRUE)"),"*77")</f>
        <v>*77</v>
      </c>
      <c r="P65" s="1" t="str">
        <f>IFERROR(__xludf.DUMMYFUNCTION("""COMPUTED_VALUE"""),"205*")</f>
        <v>205*</v>
      </c>
    </row>
    <row r="66">
      <c r="A66" s="1">
        <v>63.0</v>
      </c>
      <c r="B66" s="1">
        <v>94017.0</v>
      </c>
      <c r="C66" s="1" t="s">
        <v>1149</v>
      </c>
      <c r="D66" s="1" t="s">
        <v>981</v>
      </c>
      <c r="E66" s="1" t="s">
        <v>728</v>
      </c>
      <c r="F66" s="1" t="s">
        <v>130</v>
      </c>
      <c r="G66" s="1" t="s">
        <v>1150</v>
      </c>
      <c r="H66" s="1" t="s">
        <v>1151</v>
      </c>
      <c r="I66" s="1" t="s">
        <v>1152</v>
      </c>
      <c r="J66" s="1" t="s">
        <v>1153</v>
      </c>
      <c r="K66" s="1" t="s">
        <v>1154</v>
      </c>
      <c r="L66" s="1" t="s">
        <v>1155</v>
      </c>
      <c r="M66" s="1" t="s">
        <v>1156</v>
      </c>
      <c r="N66" s="1" t="s">
        <v>1157</v>
      </c>
      <c r="O66" s="1" t="str">
        <f>IFERROR(__xludf.DUMMYFUNCTION("SPLIT(G66,"" "",TRUE)"),"*76")</f>
        <v>*76</v>
      </c>
      <c r="P66" s="1" t="str">
        <f>IFERROR(__xludf.DUMMYFUNCTION("""COMPUTED_VALUE"""),"990*")</f>
        <v>990*</v>
      </c>
    </row>
    <row r="67">
      <c r="A67" s="1">
        <v>64.0</v>
      </c>
      <c r="B67" s="1">
        <v>97209.0</v>
      </c>
      <c r="C67" s="1" t="s">
        <v>1158</v>
      </c>
      <c r="D67" s="1" t="s">
        <v>1159</v>
      </c>
      <c r="E67" s="1" t="s">
        <v>544</v>
      </c>
      <c r="F67" s="1" t="s">
        <v>1159</v>
      </c>
      <c r="G67" s="1" t="s">
        <v>1160</v>
      </c>
      <c r="H67" s="1" t="s">
        <v>1161</v>
      </c>
      <c r="I67" s="1" t="s">
        <v>1162</v>
      </c>
      <c r="J67" s="1" t="s">
        <v>1163</v>
      </c>
      <c r="K67" s="1" t="s">
        <v>1164</v>
      </c>
      <c r="L67" s="1" t="s">
        <v>1165</v>
      </c>
      <c r="M67" s="1" t="s">
        <v>1166</v>
      </c>
      <c r="N67" s="1" t="s">
        <v>1167</v>
      </c>
      <c r="O67" s="1" t="str">
        <f>IFERROR(__xludf.DUMMYFUNCTION("SPLIT(G67,"" "",TRUE)"),"*76")</f>
        <v>*76</v>
      </c>
      <c r="P67" s="1" t="str">
        <f>IFERROR(__xludf.DUMMYFUNCTION("""COMPUTED_VALUE"""),"512*")</f>
        <v>512*</v>
      </c>
    </row>
    <row r="68">
      <c r="A68" s="1">
        <v>65.0</v>
      </c>
      <c r="B68" s="1">
        <v>64445.0</v>
      </c>
      <c r="C68" s="1" t="s">
        <v>1168</v>
      </c>
      <c r="D68" s="1" t="s">
        <v>1169</v>
      </c>
      <c r="E68" s="1" t="s">
        <v>544</v>
      </c>
      <c r="F68" s="1" t="s">
        <v>616</v>
      </c>
      <c r="G68" s="1" t="s">
        <v>1170</v>
      </c>
      <c r="H68" s="1" t="s">
        <v>1171</v>
      </c>
      <c r="I68" s="1" t="s">
        <v>1172</v>
      </c>
      <c r="J68" s="1" t="s">
        <v>1173</v>
      </c>
      <c r="K68" s="1" t="s">
        <v>1174</v>
      </c>
      <c r="L68" s="1" t="s">
        <v>1175</v>
      </c>
      <c r="M68" s="1" t="s">
        <v>1176</v>
      </c>
      <c r="N68" s="1" t="s">
        <v>1177</v>
      </c>
      <c r="O68" s="1" t="str">
        <f>IFERROR(__xludf.DUMMYFUNCTION("SPLIT(G68,"" "",TRUE)"),"*75")</f>
        <v>*75</v>
      </c>
      <c r="P68" s="1" t="str">
        <f>IFERROR(__xludf.DUMMYFUNCTION("""COMPUTED_VALUE"""),"627*")</f>
        <v>627*</v>
      </c>
    </row>
    <row r="69">
      <c r="A69" s="1">
        <v>66.0</v>
      </c>
      <c r="B69" s="1">
        <v>94068.0</v>
      </c>
      <c r="C69" s="1" t="s">
        <v>1178</v>
      </c>
      <c r="D69" s="1" t="s">
        <v>981</v>
      </c>
      <c r="E69" s="1" t="s">
        <v>728</v>
      </c>
      <c r="F69" s="1" t="s">
        <v>130</v>
      </c>
      <c r="G69" s="1" t="s">
        <v>1179</v>
      </c>
      <c r="H69" s="1" t="s">
        <v>1180</v>
      </c>
      <c r="I69" s="1" t="s">
        <v>1181</v>
      </c>
      <c r="J69" s="1" t="s">
        <v>1182</v>
      </c>
      <c r="K69" s="1" t="s">
        <v>1183</v>
      </c>
      <c r="L69" s="1" t="s">
        <v>1184</v>
      </c>
      <c r="M69" s="1" t="s">
        <v>1185</v>
      </c>
      <c r="N69" s="1" t="s">
        <v>1186</v>
      </c>
      <c r="O69" s="1" t="str">
        <f>IFERROR(__xludf.DUMMYFUNCTION("SPLIT(G69,"" "",TRUE)"),"*74")</f>
        <v>*74</v>
      </c>
      <c r="P69" s="1" t="str">
        <f>IFERROR(__xludf.DUMMYFUNCTION("""COMPUTED_VALUE"""),"976*")</f>
        <v>976*</v>
      </c>
    </row>
    <row r="70">
      <c r="A70" s="1">
        <v>67.0</v>
      </c>
      <c r="B70" s="1">
        <v>6029.0</v>
      </c>
      <c r="C70" s="1" t="s">
        <v>1187</v>
      </c>
      <c r="D70" s="1" t="s">
        <v>575</v>
      </c>
      <c r="E70" s="1" t="s">
        <v>728</v>
      </c>
      <c r="F70" s="1" t="s">
        <v>545</v>
      </c>
      <c r="G70" s="1" t="s">
        <v>1188</v>
      </c>
      <c r="H70" s="1" t="s">
        <v>1189</v>
      </c>
      <c r="I70" s="1" t="s">
        <v>1190</v>
      </c>
      <c r="J70" s="1" t="s">
        <v>1191</v>
      </c>
      <c r="K70" s="1" t="s">
        <v>1192</v>
      </c>
      <c r="L70" s="1" t="s">
        <v>1193</v>
      </c>
      <c r="M70" s="1" t="s">
        <v>1194</v>
      </c>
      <c r="N70" s="1" t="s">
        <v>1195</v>
      </c>
      <c r="O70" s="1" t="str">
        <f>IFERROR(__xludf.DUMMYFUNCTION("SPLIT(G70,"" "",TRUE)"),"*74")</f>
        <v>*74</v>
      </c>
      <c r="P70" s="1" t="str">
        <f>IFERROR(__xludf.DUMMYFUNCTION("""COMPUTED_VALUE"""),"545*")</f>
        <v>545*</v>
      </c>
    </row>
    <row r="71">
      <c r="A71" s="1">
        <v>68.0</v>
      </c>
      <c r="B71" s="1">
        <v>6004.0</v>
      </c>
      <c r="C71" s="1" t="s">
        <v>1196</v>
      </c>
      <c r="D71" s="1" t="s">
        <v>575</v>
      </c>
      <c r="E71" s="1" t="s">
        <v>728</v>
      </c>
      <c r="F71" s="1" t="s">
        <v>545</v>
      </c>
      <c r="G71" s="1" t="s">
        <v>1197</v>
      </c>
      <c r="H71" s="1" t="s">
        <v>1198</v>
      </c>
      <c r="I71" s="1" t="s">
        <v>1199</v>
      </c>
      <c r="J71" s="1" t="s">
        <v>1200</v>
      </c>
      <c r="K71" s="1" t="s">
        <v>1201</v>
      </c>
      <c r="L71" s="1" t="s">
        <v>1202</v>
      </c>
      <c r="M71" s="1" t="s">
        <v>1203</v>
      </c>
      <c r="N71" s="1" t="s">
        <v>1204</v>
      </c>
      <c r="O71" s="1" t="str">
        <f>IFERROR(__xludf.DUMMYFUNCTION("SPLIT(G71,"" "",TRUE)"),"*73")</f>
        <v>*73</v>
      </c>
      <c r="P71" s="1" t="str">
        <f>IFERROR(__xludf.DUMMYFUNCTION("""COMPUTED_VALUE"""),"438*")</f>
        <v>438*</v>
      </c>
    </row>
    <row r="72">
      <c r="A72" s="1">
        <v>69.0</v>
      </c>
      <c r="B72" s="1">
        <v>62193.0</v>
      </c>
      <c r="C72" s="1" t="s">
        <v>1205</v>
      </c>
      <c r="D72" s="1" t="s">
        <v>1206</v>
      </c>
      <c r="E72" s="1" t="s">
        <v>647</v>
      </c>
      <c r="F72" s="1" t="s">
        <v>125</v>
      </c>
      <c r="G72" s="1" t="s">
        <v>1207</v>
      </c>
      <c r="H72" s="1" t="s">
        <v>1208</v>
      </c>
      <c r="I72" s="1" t="s">
        <v>1209</v>
      </c>
      <c r="J72" s="1" t="s">
        <v>1210</v>
      </c>
      <c r="K72" s="1" t="s">
        <v>1211</v>
      </c>
      <c r="L72" s="1" t="s">
        <v>1212</v>
      </c>
      <c r="M72" s="1" t="s">
        <v>1213</v>
      </c>
      <c r="N72" s="1" t="s">
        <v>1214</v>
      </c>
      <c r="O72" s="1" t="str">
        <f>IFERROR(__xludf.DUMMYFUNCTION("SPLIT(G72,"" "",TRUE)"),"*72")</f>
        <v>*72</v>
      </c>
      <c r="P72" s="1" t="str">
        <f>IFERROR(__xludf.DUMMYFUNCTION("""COMPUTED_VALUE"""),"509*")</f>
        <v>509*</v>
      </c>
    </row>
    <row r="73">
      <c r="A73" s="1">
        <v>70.0</v>
      </c>
      <c r="B73" s="1">
        <v>93029.0</v>
      </c>
      <c r="C73" s="1" t="s">
        <v>1215</v>
      </c>
      <c r="D73" s="1" t="s">
        <v>877</v>
      </c>
      <c r="E73" s="1" t="s">
        <v>728</v>
      </c>
      <c r="F73" s="1" t="s">
        <v>130</v>
      </c>
      <c r="G73" s="1" t="s">
        <v>1216</v>
      </c>
      <c r="H73" s="1" t="s">
        <v>1217</v>
      </c>
      <c r="I73" s="1" t="s">
        <v>1218</v>
      </c>
      <c r="J73" s="1" t="s">
        <v>1219</v>
      </c>
      <c r="K73" s="1" t="s">
        <v>1220</v>
      </c>
      <c r="L73" s="1" t="s">
        <v>1221</v>
      </c>
      <c r="M73" s="1" t="s">
        <v>1222</v>
      </c>
      <c r="N73" s="1" t="s">
        <v>1222</v>
      </c>
      <c r="O73" s="1" t="str">
        <f>IFERROR(__xludf.DUMMYFUNCTION("SPLIT(G73,"" "",TRUE)"),"*72")</f>
        <v>*72</v>
      </c>
      <c r="P73" s="1" t="str">
        <f>IFERROR(__xludf.DUMMYFUNCTION("""COMPUTED_VALUE"""),"376*")</f>
        <v>376*</v>
      </c>
    </row>
    <row r="74">
      <c r="A74" s="1">
        <v>71.0</v>
      </c>
      <c r="B74" s="1">
        <v>33281.0</v>
      </c>
      <c r="C74" s="1" t="s">
        <v>1223</v>
      </c>
      <c r="D74" s="1" t="s">
        <v>615</v>
      </c>
      <c r="E74" s="1" t="s">
        <v>728</v>
      </c>
      <c r="F74" s="1" t="s">
        <v>616</v>
      </c>
      <c r="G74" s="1" t="s">
        <v>1224</v>
      </c>
      <c r="H74" s="1" t="s">
        <v>1225</v>
      </c>
      <c r="I74" s="1" t="s">
        <v>1226</v>
      </c>
      <c r="J74" s="1" t="s">
        <v>1227</v>
      </c>
      <c r="K74" s="1" t="s">
        <v>1228</v>
      </c>
      <c r="L74" s="1" t="s">
        <v>1229</v>
      </c>
      <c r="M74" s="1" t="s">
        <v>1230</v>
      </c>
      <c r="N74" s="1" t="s">
        <v>1231</v>
      </c>
      <c r="O74" s="1" t="str">
        <f>IFERROR(__xludf.DUMMYFUNCTION("SPLIT(G74,"" "",TRUE)"),"*72")</f>
        <v>*72</v>
      </c>
      <c r="P74" s="1" t="str">
        <f>IFERROR(__xludf.DUMMYFUNCTION("""COMPUTED_VALUE"""),"197*")</f>
        <v>197*</v>
      </c>
    </row>
    <row r="75">
      <c r="A75" s="1" t="s">
        <v>990</v>
      </c>
      <c r="B75" s="1">
        <v>97611.0</v>
      </c>
      <c r="C75" s="1" t="s">
        <v>1232</v>
      </c>
      <c r="D75" s="1" t="s">
        <v>1233</v>
      </c>
      <c r="E75" s="1" t="s">
        <v>544</v>
      </c>
      <c r="F75" s="1" t="s">
        <v>1233</v>
      </c>
      <c r="G75" s="1" t="s">
        <v>1234</v>
      </c>
      <c r="H75" s="1" t="s">
        <v>1235</v>
      </c>
      <c r="I75" s="1" t="s">
        <v>1236</v>
      </c>
      <c r="J75" s="1" t="s">
        <v>1237</v>
      </c>
      <c r="K75" s="1" t="s">
        <v>1238</v>
      </c>
      <c r="L75" s="1" t="s">
        <v>1239</v>
      </c>
    </row>
    <row r="76">
      <c r="A76" s="1">
        <v>72.0</v>
      </c>
      <c r="B76" s="1">
        <v>44184.0</v>
      </c>
      <c r="C76" s="1" t="s">
        <v>1240</v>
      </c>
      <c r="D76" s="1" t="s">
        <v>585</v>
      </c>
      <c r="E76" s="1" t="s">
        <v>647</v>
      </c>
      <c r="F76" s="1" t="s">
        <v>150</v>
      </c>
      <c r="G76" s="1" t="s">
        <v>1241</v>
      </c>
      <c r="H76" s="1" t="s">
        <v>1242</v>
      </c>
      <c r="I76" s="1" t="s">
        <v>1243</v>
      </c>
      <c r="J76" s="1" t="s">
        <v>1244</v>
      </c>
      <c r="K76" s="1" t="s">
        <v>1245</v>
      </c>
      <c r="L76" s="1" t="s">
        <v>1246</v>
      </c>
      <c r="M76" s="1" t="s">
        <v>1247</v>
      </c>
      <c r="N76" s="1" t="s">
        <v>1248</v>
      </c>
    </row>
    <row r="77">
      <c r="A77" s="1">
        <v>73.0</v>
      </c>
      <c r="B77" s="1" t="s">
        <v>1249</v>
      </c>
      <c r="C77" s="1" t="s">
        <v>1250</v>
      </c>
      <c r="D77" s="1" t="s">
        <v>1251</v>
      </c>
      <c r="E77" s="1" t="s">
        <v>544</v>
      </c>
      <c r="F77" s="1" t="s">
        <v>115</v>
      </c>
      <c r="G77" s="1" t="s">
        <v>1252</v>
      </c>
      <c r="H77" s="1" t="s">
        <v>1253</v>
      </c>
      <c r="I77" s="1" t="s">
        <v>1254</v>
      </c>
      <c r="J77" s="1" t="s">
        <v>1255</v>
      </c>
      <c r="K77" s="1" t="s">
        <v>1256</v>
      </c>
      <c r="L77" s="1" t="s">
        <v>1257</v>
      </c>
      <c r="M77" s="1" t="s">
        <v>1258</v>
      </c>
      <c r="N77" s="1" t="s">
        <v>1259</v>
      </c>
    </row>
    <row r="78">
      <c r="A78" s="1">
        <v>74.0</v>
      </c>
      <c r="B78" s="1">
        <v>68066.0</v>
      </c>
      <c r="C78" s="1" t="s">
        <v>1260</v>
      </c>
      <c r="D78" s="1" t="s">
        <v>915</v>
      </c>
      <c r="E78" s="1" t="s">
        <v>544</v>
      </c>
      <c r="F78" s="1" t="s">
        <v>120</v>
      </c>
      <c r="G78" s="1" t="s">
        <v>1261</v>
      </c>
      <c r="H78" s="1" t="s">
        <v>1262</v>
      </c>
      <c r="I78" s="1" t="s">
        <v>1263</v>
      </c>
      <c r="J78" s="1" t="s">
        <v>1264</v>
      </c>
      <c r="K78" s="1" t="s">
        <v>1265</v>
      </c>
      <c r="L78" s="1" t="s">
        <v>1266</v>
      </c>
      <c r="M78" s="1" t="s">
        <v>1267</v>
      </c>
      <c r="N78" s="1" t="s">
        <v>1268</v>
      </c>
    </row>
    <row r="79">
      <c r="A79" s="1">
        <v>75.0</v>
      </c>
      <c r="B79" s="1">
        <v>92040.0</v>
      </c>
      <c r="C79" s="1" t="s">
        <v>1269</v>
      </c>
      <c r="D79" s="1" t="s">
        <v>828</v>
      </c>
      <c r="E79" s="1" t="s">
        <v>728</v>
      </c>
      <c r="F79" s="1" t="s">
        <v>130</v>
      </c>
      <c r="G79" s="1" t="s">
        <v>1270</v>
      </c>
      <c r="H79" s="1" t="s">
        <v>1271</v>
      </c>
      <c r="I79" s="1" t="s">
        <v>1272</v>
      </c>
      <c r="J79" s="1" t="s">
        <v>1273</v>
      </c>
      <c r="K79" s="1" t="s">
        <v>1274</v>
      </c>
      <c r="L79" s="1" t="s">
        <v>1275</v>
      </c>
      <c r="M79" s="1" t="s">
        <v>1276</v>
      </c>
      <c r="N79" s="1" t="s">
        <v>1277</v>
      </c>
    </row>
    <row r="80">
      <c r="A80" s="1">
        <v>76.0</v>
      </c>
      <c r="B80" s="1">
        <v>93051.0</v>
      </c>
      <c r="C80" s="1" t="s">
        <v>1278</v>
      </c>
      <c r="D80" s="1" t="s">
        <v>877</v>
      </c>
      <c r="E80" s="1" t="s">
        <v>728</v>
      </c>
      <c r="F80" s="1" t="s">
        <v>130</v>
      </c>
      <c r="G80" s="1" t="s">
        <v>1279</v>
      </c>
      <c r="H80" s="1" t="s">
        <v>1280</v>
      </c>
      <c r="I80" s="1" t="s">
        <v>1281</v>
      </c>
      <c r="J80" s="1" t="s">
        <v>1282</v>
      </c>
      <c r="K80" s="1" t="s">
        <v>1283</v>
      </c>
      <c r="L80" s="1" t="s">
        <v>1284</v>
      </c>
      <c r="M80" s="1" t="s">
        <v>1285</v>
      </c>
      <c r="N80" s="1" t="s">
        <v>1286</v>
      </c>
    </row>
    <row r="81">
      <c r="A81" s="1">
        <v>77.0</v>
      </c>
      <c r="B81" s="1">
        <v>69259.0</v>
      </c>
      <c r="C81" s="1" t="s">
        <v>1287</v>
      </c>
      <c r="D81" s="1" t="s">
        <v>555</v>
      </c>
      <c r="E81" s="1" t="s">
        <v>728</v>
      </c>
      <c r="F81" s="1" t="s">
        <v>95</v>
      </c>
      <c r="G81" s="1" t="s">
        <v>1288</v>
      </c>
      <c r="H81" s="1" t="s">
        <v>1289</v>
      </c>
      <c r="I81" s="1" t="s">
        <v>1290</v>
      </c>
      <c r="J81" s="1" t="s">
        <v>1291</v>
      </c>
      <c r="K81" s="1" t="s">
        <v>1292</v>
      </c>
      <c r="L81" s="1" t="s">
        <v>1293</v>
      </c>
      <c r="M81" s="1" t="s">
        <v>1294</v>
      </c>
      <c r="N81" s="1" t="s">
        <v>1295</v>
      </c>
    </row>
    <row r="82">
      <c r="A82" s="1">
        <v>78.0</v>
      </c>
      <c r="B82" s="1">
        <v>91228.0</v>
      </c>
      <c r="C82" s="1" t="s">
        <v>1296</v>
      </c>
      <c r="D82" s="1" t="s">
        <v>1297</v>
      </c>
      <c r="E82" s="1" t="s">
        <v>544</v>
      </c>
      <c r="F82" s="1" t="s">
        <v>130</v>
      </c>
      <c r="G82" s="1" t="s">
        <v>1298</v>
      </c>
      <c r="H82" s="1" t="s">
        <v>1299</v>
      </c>
      <c r="I82" s="1" t="s">
        <v>1300</v>
      </c>
      <c r="J82" s="1" t="s">
        <v>1301</v>
      </c>
      <c r="K82" s="1" t="s">
        <v>1302</v>
      </c>
      <c r="L82" s="1" t="s">
        <v>1303</v>
      </c>
      <c r="M82" s="1" t="s">
        <v>1304</v>
      </c>
      <c r="N82" s="1" t="s">
        <v>1305</v>
      </c>
    </row>
    <row r="83">
      <c r="A83" s="1">
        <v>79.0</v>
      </c>
      <c r="B83" s="1">
        <v>92044.0</v>
      </c>
      <c r="C83" s="1" t="s">
        <v>1306</v>
      </c>
      <c r="D83" s="1" t="s">
        <v>828</v>
      </c>
      <c r="E83" s="1" t="s">
        <v>728</v>
      </c>
      <c r="F83" s="1" t="s">
        <v>130</v>
      </c>
      <c r="G83" s="1" t="s">
        <v>1307</v>
      </c>
      <c r="H83" s="1" t="s">
        <v>1308</v>
      </c>
      <c r="I83" s="1" t="s">
        <v>1309</v>
      </c>
      <c r="J83" s="1" t="s">
        <v>1310</v>
      </c>
      <c r="K83" s="1" t="s">
        <v>1311</v>
      </c>
      <c r="L83" s="1" t="s">
        <v>1312</v>
      </c>
      <c r="M83" s="1" t="s">
        <v>1313</v>
      </c>
      <c r="N83" s="1" t="s">
        <v>1314</v>
      </c>
    </row>
    <row r="84">
      <c r="A84" s="1">
        <v>80.0</v>
      </c>
      <c r="B84" s="1">
        <v>95127.0</v>
      </c>
      <c r="C84" s="1" t="s">
        <v>1315</v>
      </c>
      <c r="D84" s="1" t="s">
        <v>905</v>
      </c>
      <c r="E84" s="1" t="s">
        <v>544</v>
      </c>
      <c r="F84" s="1" t="s">
        <v>130</v>
      </c>
      <c r="G84" s="1" t="s">
        <v>1316</v>
      </c>
      <c r="H84" s="1" t="s">
        <v>1317</v>
      </c>
      <c r="I84" s="1" t="s">
        <v>1318</v>
      </c>
      <c r="J84" s="1" t="s">
        <v>1319</v>
      </c>
      <c r="K84" s="1" t="s">
        <v>1320</v>
      </c>
      <c r="L84" s="1" t="s">
        <v>1321</v>
      </c>
      <c r="M84" s="1" t="s">
        <v>1322</v>
      </c>
      <c r="N84" s="1" t="s">
        <v>1323</v>
      </c>
    </row>
    <row r="85">
      <c r="A85" s="1">
        <v>81.0</v>
      </c>
      <c r="B85" s="1">
        <v>97302.0</v>
      </c>
      <c r="C85" s="1" t="s">
        <v>1324</v>
      </c>
      <c r="D85" s="1" t="s">
        <v>1325</v>
      </c>
      <c r="E85" s="1" t="s">
        <v>544</v>
      </c>
      <c r="F85" s="1" t="s">
        <v>1325</v>
      </c>
      <c r="G85" s="1" t="s">
        <v>1326</v>
      </c>
      <c r="H85" s="1" t="s">
        <v>1327</v>
      </c>
      <c r="I85" s="1" t="s">
        <v>1328</v>
      </c>
      <c r="J85" s="1" t="s">
        <v>1329</v>
      </c>
      <c r="K85" s="1" t="s">
        <v>1330</v>
      </c>
      <c r="L85" s="1" t="s">
        <v>1331</v>
      </c>
      <c r="M85" s="1" t="s">
        <v>1332</v>
      </c>
      <c r="N85" s="1" t="s">
        <v>1333</v>
      </c>
    </row>
    <row r="86">
      <c r="A86" s="1">
        <v>82.0</v>
      </c>
      <c r="B86" s="1">
        <v>33318.0</v>
      </c>
      <c r="C86" s="1" t="s">
        <v>1334</v>
      </c>
      <c r="D86" s="1" t="s">
        <v>615</v>
      </c>
      <c r="E86" s="1" t="s">
        <v>728</v>
      </c>
      <c r="F86" s="1" t="s">
        <v>616</v>
      </c>
      <c r="G86" s="1" t="s">
        <v>1335</v>
      </c>
      <c r="H86" s="1" t="s">
        <v>1336</v>
      </c>
      <c r="I86" s="1" t="s">
        <v>1337</v>
      </c>
      <c r="J86" s="1" t="s">
        <v>1338</v>
      </c>
      <c r="K86" s="1" t="s">
        <v>1339</v>
      </c>
      <c r="L86" s="1" t="s">
        <v>1340</v>
      </c>
      <c r="M86" s="1" t="s">
        <v>1341</v>
      </c>
      <c r="N86" s="1" t="s">
        <v>1342</v>
      </c>
    </row>
    <row r="87">
      <c r="A87" s="1">
        <v>83.0</v>
      </c>
      <c r="B87" s="1">
        <v>26362.0</v>
      </c>
      <c r="C87" s="1" t="s">
        <v>1343</v>
      </c>
      <c r="D87" s="1" t="s">
        <v>1344</v>
      </c>
      <c r="E87" s="1" t="s">
        <v>544</v>
      </c>
      <c r="F87" s="1" t="s">
        <v>95</v>
      </c>
      <c r="G87" s="1" t="s">
        <v>1345</v>
      </c>
      <c r="H87" s="1" t="s">
        <v>1346</v>
      </c>
      <c r="I87" s="1" t="s">
        <v>1347</v>
      </c>
      <c r="J87" s="1" t="s">
        <v>1348</v>
      </c>
      <c r="K87" s="1" t="s">
        <v>1349</v>
      </c>
      <c r="L87" s="1" t="s">
        <v>1350</v>
      </c>
      <c r="M87" s="1" t="s">
        <v>1351</v>
      </c>
      <c r="N87" s="1" t="s">
        <v>1352</v>
      </c>
    </row>
    <row r="88">
      <c r="A88" s="1">
        <v>84.0</v>
      </c>
      <c r="B88" s="1">
        <v>18033.0</v>
      </c>
      <c r="C88" s="1" t="s">
        <v>1353</v>
      </c>
      <c r="D88" s="1" t="s">
        <v>1354</v>
      </c>
      <c r="E88" s="1" t="s">
        <v>544</v>
      </c>
      <c r="F88" s="1" t="s">
        <v>788</v>
      </c>
      <c r="G88" s="1" t="s">
        <v>1355</v>
      </c>
      <c r="H88" s="1" t="s">
        <v>1356</v>
      </c>
      <c r="I88" s="1" t="s">
        <v>1357</v>
      </c>
      <c r="J88" s="1" t="s">
        <v>1358</v>
      </c>
      <c r="K88" s="1" t="s">
        <v>1359</v>
      </c>
      <c r="L88" s="1" t="s">
        <v>1360</v>
      </c>
      <c r="M88" s="1" t="s">
        <v>1361</v>
      </c>
      <c r="N88" s="1" t="s">
        <v>1362</v>
      </c>
    </row>
    <row r="89">
      <c r="A89" s="1">
        <v>85.0</v>
      </c>
      <c r="B89" s="1">
        <v>94041.0</v>
      </c>
      <c r="C89" s="1" t="s">
        <v>1363</v>
      </c>
      <c r="D89" s="1" t="s">
        <v>981</v>
      </c>
      <c r="E89" s="1" t="s">
        <v>728</v>
      </c>
      <c r="F89" s="1" t="s">
        <v>130</v>
      </c>
      <c r="G89" s="1" t="s">
        <v>1364</v>
      </c>
      <c r="H89" s="1" t="s">
        <v>1365</v>
      </c>
      <c r="I89" s="1" t="s">
        <v>1366</v>
      </c>
      <c r="J89" s="1" t="s">
        <v>1367</v>
      </c>
      <c r="K89" s="1" t="s">
        <v>1368</v>
      </c>
      <c r="L89" s="1" t="s">
        <v>1369</v>
      </c>
      <c r="M89" s="1" t="s">
        <v>1370</v>
      </c>
      <c r="N89" s="1" t="s">
        <v>1371</v>
      </c>
    </row>
    <row r="90">
      <c r="A90" s="1">
        <v>86.0</v>
      </c>
      <c r="B90" s="1">
        <v>29232.0</v>
      </c>
      <c r="C90" s="1" t="s">
        <v>1372</v>
      </c>
      <c r="D90" s="1" t="s">
        <v>777</v>
      </c>
      <c r="E90" s="1" t="s">
        <v>544</v>
      </c>
      <c r="F90" s="1" t="s">
        <v>105</v>
      </c>
      <c r="G90" s="1" t="s">
        <v>1373</v>
      </c>
      <c r="H90" s="1" t="s">
        <v>1374</v>
      </c>
      <c r="I90" s="1" t="s">
        <v>1375</v>
      </c>
      <c r="J90" s="1" t="s">
        <v>1376</v>
      </c>
      <c r="K90" s="1" t="s">
        <v>1377</v>
      </c>
      <c r="L90" s="1" t="s">
        <v>1378</v>
      </c>
      <c r="M90" s="1" t="s">
        <v>1379</v>
      </c>
      <c r="N90" s="1" t="s">
        <v>1380</v>
      </c>
    </row>
    <row r="91">
      <c r="A91" s="1">
        <v>87.0</v>
      </c>
      <c r="B91" s="1">
        <v>92024.0</v>
      </c>
      <c r="C91" s="1" t="s">
        <v>1381</v>
      </c>
      <c r="D91" s="1" t="s">
        <v>828</v>
      </c>
      <c r="E91" s="1" t="s">
        <v>728</v>
      </c>
      <c r="F91" s="1" t="s">
        <v>130</v>
      </c>
      <c r="G91" s="1" t="s">
        <v>1382</v>
      </c>
      <c r="H91" s="1" t="s">
        <v>1383</v>
      </c>
      <c r="I91" s="1" t="s">
        <v>1384</v>
      </c>
      <c r="J91" s="1" t="s">
        <v>1385</v>
      </c>
      <c r="K91" s="1" t="s">
        <v>1386</v>
      </c>
      <c r="L91" s="1" t="s">
        <v>1387</v>
      </c>
      <c r="M91" s="1" t="s">
        <v>1388</v>
      </c>
      <c r="N91" s="1" t="s">
        <v>1389</v>
      </c>
    </row>
    <row r="92">
      <c r="A92" s="1">
        <v>88.0</v>
      </c>
      <c r="B92" s="1">
        <v>83126.0</v>
      </c>
      <c r="C92" s="1" t="s">
        <v>1390</v>
      </c>
      <c r="D92" s="1" t="s">
        <v>657</v>
      </c>
      <c r="E92" s="1" t="s">
        <v>728</v>
      </c>
      <c r="F92" s="1" t="s">
        <v>545</v>
      </c>
      <c r="G92" s="1" t="s">
        <v>1391</v>
      </c>
      <c r="H92" s="1" t="s">
        <v>1392</v>
      </c>
      <c r="I92" s="1" t="s">
        <v>1393</v>
      </c>
      <c r="J92" s="1" t="s">
        <v>1394</v>
      </c>
      <c r="K92" s="1" t="s">
        <v>1395</v>
      </c>
      <c r="L92" s="1" t="s">
        <v>1396</v>
      </c>
      <c r="M92" s="1" t="s">
        <v>1397</v>
      </c>
      <c r="N92" s="1" t="s">
        <v>1398</v>
      </c>
    </row>
    <row r="93">
      <c r="A93" s="1">
        <v>89.0</v>
      </c>
      <c r="B93" s="1">
        <v>92002.0</v>
      </c>
      <c r="C93" s="1" t="s">
        <v>1399</v>
      </c>
      <c r="D93" s="1" t="s">
        <v>828</v>
      </c>
      <c r="E93" s="1" t="s">
        <v>647</v>
      </c>
      <c r="F93" s="1" t="s">
        <v>130</v>
      </c>
      <c r="G93" s="1" t="s">
        <v>1400</v>
      </c>
      <c r="H93" s="1" t="s">
        <v>1401</v>
      </c>
      <c r="I93" s="1" t="s">
        <v>1402</v>
      </c>
      <c r="J93" s="1" t="s">
        <v>1403</v>
      </c>
      <c r="K93" s="1" t="s">
        <v>1404</v>
      </c>
      <c r="L93" s="1" t="s">
        <v>1405</v>
      </c>
      <c r="M93" s="1" t="s">
        <v>1406</v>
      </c>
      <c r="N93" s="1" t="s">
        <v>1407</v>
      </c>
    </row>
    <row r="94">
      <c r="A94" s="1">
        <v>90.0</v>
      </c>
      <c r="B94" s="1">
        <v>10387.0</v>
      </c>
      <c r="C94" s="1" t="s">
        <v>1408</v>
      </c>
      <c r="D94" s="1" t="s">
        <v>1409</v>
      </c>
      <c r="E94" s="1" t="s">
        <v>544</v>
      </c>
      <c r="F94" s="1" t="s">
        <v>120</v>
      </c>
      <c r="G94" s="1" t="s">
        <v>1410</v>
      </c>
      <c r="H94" s="1" t="s">
        <v>1411</v>
      </c>
      <c r="I94" s="1" t="s">
        <v>1412</v>
      </c>
      <c r="J94" s="1" t="s">
        <v>1413</v>
      </c>
      <c r="K94" s="1" t="s">
        <v>1383</v>
      </c>
      <c r="L94" s="1" t="s">
        <v>1414</v>
      </c>
      <c r="M94" s="1" t="s">
        <v>1415</v>
      </c>
      <c r="N94" s="1" t="s">
        <v>1416</v>
      </c>
    </row>
    <row r="95">
      <c r="A95" s="1">
        <v>91.0</v>
      </c>
      <c r="B95" s="1">
        <v>59009.0</v>
      </c>
      <c r="C95" s="1" t="s">
        <v>1417</v>
      </c>
      <c r="D95" s="1" t="s">
        <v>626</v>
      </c>
      <c r="E95" s="1" t="s">
        <v>728</v>
      </c>
      <c r="F95" s="1" t="s">
        <v>125</v>
      </c>
      <c r="G95" s="1" t="s">
        <v>1410</v>
      </c>
      <c r="H95" s="1" t="s">
        <v>1418</v>
      </c>
      <c r="I95" s="1" t="s">
        <v>1419</v>
      </c>
      <c r="J95" s="1" t="s">
        <v>1420</v>
      </c>
      <c r="K95" s="1" t="s">
        <v>1421</v>
      </c>
      <c r="L95" s="1" t="s">
        <v>1422</v>
      </c>
      <c r="M95" s="1" t="s">
        <v>1423</v>
      </c>
      <c r="N95" s="1" t="s">
        <v>1424</v>
      </c>
    </row>
    <row r="96">
      <c r="A96" s="1">
        <v>92.0</v>
      </c>
      <c r="B96" s="1">
        <v>82121.0</v>
      </c>
      <c r="C96" s="1" t="s">
        <v>1425</v>
      </c>
      <c r="D96" s="1" t="s">
        <v>1426</v>
      </c>
      <c r="E96" s="1" t="s">
        <v>544</v>
      </c>
      <c r="F96" s="1" t="s">
        <v>145</v>
      </c>
      <c r="G96" s="1" t="s">
        <v>1427</v>
      </c>
      <c r="H96" s="1" t="s">
        <v>1428</v>
      </c>
      <c r="I96" s="1" t="s">
        <v>1429</v>
      </c>
      <c r="J96" s="1" t="s">
        <v>1430</v>
      </c>
      <c r="K96" s="1" t="s">
        <v>1431</v>
      </c>
      <c r="L96" s="1" t="s">
        <v>1432</v>
      </c>
      <c r="M96" s="1" t="s">
        <v>1433</v>
      </c>
      <c r="N96" s="1" t="s">
        <v>1434</v>
      </c>
    </row>
    <row r="97">
      <c r="A97" s="1">
        <v>93.0</v>
      </c>
      <c r="B97" s="1">
        <v>93055.0</v>
      </c>
      <c r="C97" s="1" t="s">
        <v>1435</v>
      </c>
      <c r="D97" s="1" t="s">
        <v>877</v>
      </c>
      <c r="E97" s="1" t="s">
        <v>728</v>
      </c>
      <c r="F97" s="1" t="s">
        <v>130</v>
      </c>
      <c r="G97" s="1" t="s">
        <v>1436</v>
      </c>
      <c r="H97" s="1" t="s">
        <v>1437</v>
      </c>
      <c r="I97" s="1" t="s">
        <v>1438</v>
      </c>
      <c r="J97" s="1" t="s">
        <v>1439</v>
      </c>
      <c r="K97" s="1" t="s">
        <v>1440</v>
      </c>
      <c r="L97" s="1" t="s">
        <v>1441</v>
      </c>
      <c r="M97" s="1" t="s">
        <v>1442</v>
      </c>
      <c r="N97" s="1" t="s">
        <v>1443</v>
      </c>
    </row>
    <row r="98">
      <c r="A98" s="1">
        <v>94.0</v>
      </c>
      <c r="B98" s="1">
        <v>92051.0</v>
      </c>
      <c r="C98" s="1" t="s">
        <v>1444</v>
      </c>
      <c r="D98" s="1" t="s">
        <v>828</v>
      </c>
      <c r="E98" s="1" t="s">
        <v>728</v>
      </c>
      <c r="F98" s="1" t="s">
        <v>130</v>
      </c>
      <c r="G98" s="1" t="s">
        <v>1445</v>
      </c>
      <c r="H98" s="1" t="s">
        <v>1446</v>
      </c>
      <c r="I98" s="1" t="s">
        <v>1447</v>
      </c>
      <c r="J98" s="1" t="s">
        <v>1448</v>
      </c>
      <c r="K98" s="1" t="s">
        <v>1449</v>
      </c>
      <c r="L98" s="1" t="s">
        <v>1450</v>
      </c>
      <c r="M98" s="1" t="s">
        <v>1451</v>
      </c>
      <c r="N98" s="1" t="s">
        <v>1452</v>
      </c>
    </row>
    <row r="99">
      <c r="A99" s="1">
        <v>95.0</v>
      </c>
      <c r="B99" s="1">
        <v>95585.0</v>
      </c>
      <c r="C99" s="1" t="s">
        <v>1453</v>
      </c>
      <c r="D99" s="1" t="s">
        <v>905</v>
      </c>
      <c r="E99" s="1" t="s">
        <v>647</v>
      </c>
      <c r="F99" s="1" t="s">
        <v>130</v>
      </c>
      <c r="G99" s="1" t="s">
        <v>1454</v>
      </c>
      <c r="H99" s="1" t="s">
        <v>1455</v>
      </c>
      <c r="I99" s="1" t="s">
        <v>1456</v>
      </c>
      <c r="J99" s="1" t="s">
        <v>1457</v>
      </c>
      <c r="K99" s="1" t="s">
        <v>1458</v>
      </c>
      <c r="L99" s="1" t="s">
        <v>1459</v>
      </c>
      <c r="M99" s="1" t="s">
        <v>1460</v>
      </c>
      <c r="N99" s="1" t="s">
        <v>1461</v>
      </c>
    </row>
    <row r="100">
      <c r="A100" s="1">
        <v>96.0</v>
      </c>
      <c r="B100" s="1">
        <v>79191.0</v>
      </c>
      <c r="C100" s="1" t="s">
        <v>1462</v>
      </c>
      <c r="D100" s="1" t="s">
        <v>1463</v>
      </c>
      <c r="E100" s="1" t="s">
        <v>544</v>
      </c>
      <c r="F100" s="1" t="s">
        <v>616</v>
      </c>
      <c r="G100" s="1" t="s">
        <v>1464</v>
      </c>
      <c r="H100" s="1" t="s">
        <v>1465</v>
      </c>
      <c r="I100" s="1" t="s">
        <v>1466</v>
      </c>
      <c r="J100" s="1" t="s">
        <v>1467</v>
      </c>
      <c r="K100" s="1" t="s">
        <v>1468</v>
      </c>
      <c r="L100" s="1" t="s">
        <v>1469</v>
      </c>
      <c r="M100" s="1" t="s">
        <v>1470</v>
      </c>
      <c r="N100" s="1" t="s">
        <v>1471</v>
      </c>
    </row>
    <row r="101">
      <c r="A101" s="1">
        <v>97.0</v>
      </c>
      <c r="B101" s="1">
        <v>73065.0</v>
      </c>
      <c r="C101" s="1" t="s">
        <v>1472</v>
      </c>
      <c r="D101" s="1" t="s">
        <v>1473</v>
      </c>
      <c r="E101" s="1" t="s">
        <v>544</v>
      </c>
      <c r="F101" s="1" t="s">
        <v>95</v>
      </c>
      <c r="G101" s="1" t="s">
        <v>1474</v>
      </c>
      <c r="H101" s="1" t="s">
        <v>1475</v>
      </c>
      <c r="I101" s="1" t="s">
        <v>1476</v>
      </c>
      <c r="J101" s="1" t="s">
        <v>1477</v>
      </c>
      <c r="K101" s="1" t="s">
        <v>1478</v>
      </c>
      <c r="L101" s="1" t="s">
        <v>1479</v>
      </c>
      <c r="M101" s="1" t="s">
        <v>1480</v>
      </c>
      <c r="N101" s="1" t="s">
        <v>1481</v>
      </c>
    </row>
    <row r="102">
      <c r="A102" s="1">
        <v>98.0</v>
      </c>
      <c r="B102" s="1">
        <v>93007.0</v>
      </c>
      <c r="C102" s="1" t="s">
        <v>1482</v>
      </c>
      <c r="D102" s="1" t="s">
        <v>877</v>
      </c>
      <c r="E102" s="1" t="s">
        <v>728</v>
      </c>
      <c r="F102" s="1" t="s">
        <v>130</v>
      </c>
      <c r="G102" s="1" t="s">
        <v>1483</v>
      </c>
      <c r="H102" s="1" t="s">
        <v>1484</v>
      </c>
      <c r="I102" s="1" t="s">
        <v>1485</v>
      </c>
      <c r="J102" s="1" t="s">
        <v>1486</v>
      </c>
      <c r="K102" s="1" t="s">
        <v>1487</v>
      </c>
      <c r="L102" s="1" t="s">
        <v>1488</v>
      </c>
      <c r="M102" s="1" t="s">
        <v>1489</v>
      </c>
      <c r="N102" s="1" t="s">
        <v>1490</v>
      </c>
    </row>
    <row r="103">
      <c r="A103" s="1">
        <v>99.0</v>
      </c>
      <c r="B103" s="1">
        <v>56121.0</v>
      </c>
      <c r="C103" s="1" t="s">
        <v>1491</v>
      </c>
      <c r="D103" s="1" t="s">
        <v>1492</v>
      </c>
      <c r="E103" s="1" t="s">
        <v>647</v>
      </c>
      <c r="F103" s="1" t="s">
        <v>105</v>
      </c>
      <c r="G103" s="1" t="s">
        <v>1493</v>
      </c>
      <c r="H103" s="1" t="s">
        <v>1494</v>
      </c>
      <c r="I103" s="1" t="s">
        <v>1495</v>
      </c>
      <c r="J103" s="1" t="s">
        <v>1496</v>
      </c>
      <c r="K103" s="1" t="s">
        <v>1497</v>
      </c>
      <c r="L103" s="1" t="s">
        <v>1498</v>
      </c>
      <c r="M103" s="1" t="s">
        <v>1499</v>
      </c>
      <c r="N103" s="1" t="s">
        <v>1500</v>
      </c>
    </row>
    <row r="104">
      <c r="A104" s="1">
        <v>100.0</v>
      </c>
      <c r="B104" s="1">
        <v>60057.0</v>
      </c>
      <c r="C104" s="1" t="s">
        <v>1501</v>
      </c>
      <c r="D104" s="1" t="s">
        <v>1502</v>
      </c>
      <c r="E104" s="1" t="s">
        <v>544</v>
      </c>
      <c r="F104" s="1" t="s">
        <v>125</v>
      </c>
      <c r="G104" s="1" t="s">
        <v>1503</v>
      </c>
      <c r="H104" s="1" t="s">
        <v>1504</v>
      </c>
      <c r="I104" s="1" t="s">
        <v>1505</v>
      </c>
      <c r="J104" s="1" t="s">
        <v>1506</v>
      </c>
      <c r="K104" s="1" t="s">
        <v>1507</v>
      </c>
      <c r="L104" s="1" t="s">
        <v>1508</v>
      </c>
      <c r="M104" s="1" t="s">
        <v>1257</v>
      </c>
      <c r="N104" s="1" t="s">
        <v>1509</v>
      </c>
    </row>
    <row r="105">
      <c r="A105" s="1">
        <v>101.0</v>
      </c>
      <c r="B105" s="1">
        <v>97409.0</v>
      </c>
      <c r="C105" s="1" t="s">
        <v>1510</v>
      </c>
      <c r="D105" s="1" t="s">
        <v>718</v>
      </c>
      <c r="E105" s="1" t="s">
        <v>728</v>
      </c>
      <c r="F105" s="1" t="s">
        <v>718</v>
      </c>
      <c r="G105" s="1" t="s">
        <v>1511</v>
      </c>
      <c r="H105" s="1" t="s">
        <v>1512</v>
      </c>
      <c r="I105" s="1" t="s">
        <v>1513</v>
      </c>
      <c r="J105" s="1" t="s">
        <v>1514</v>
      </c>
      <c r="K105" s="1" t="s">
        <v>1515</v>
      </c>
      <c r="L105" s="1" t="s">
        <v>1516</v>
      </c>
      <c r="M105" s="1" t="s">
        <v>1517</v>
      </c>
      <c r="N105" s="1" t="s">
        <v>1518</v>
      </c>
    </row>
    <row r="106">
      <c r="A106" s="1">
        <v>102.0</v>
      </c>
      <c r="B106" s="1">
        <v>94046.0</v>
      </c>
      <c r="C106" s="1" t="s">
        <v>1519</v>
      </c>
      <c r="D106" s="1" t="s">
        <v>981</v>
      </c>
      <c r="E106" s="1" t="s">
        <v>728</v>
      </c>
      <c r="F106" s="1" t="s">
        <v>130</v>
      </c>
      <c r="G106" s="1" t="s">
        <v>1520</v>
      </c>
      <c r="H106" s="1" t="s">
        <v>1521</v>
      </c>
      <c r="I106" s="1" t="s">
        <v>1522</v>
      </c>
      <c r="J106" s="1" t="s">
        <v>1523</v>
      </c>
      <c r="K106" s="1" t="s">
        <v>1524</v>
      </c>
      <c r="L106" s="1" t="s">
        <v>1525</v>
      </c>
      <c r="M106" s="1" t="s">
        <v>1526</v>
      </c>
      <c r="N106" s="1" t="s">
        <v>1527</v>
      </c>
    </row>
    <row r="107">
      <c r="A107" s="1">
        <v>103.0</v>
      </c>
      <c r="B107" s="1">
        <v>77284.0</v>
      </c>
      <c r="C107" s="1" t="s">
        <v>1528</v>
      </c>
      <c r="D107" s="1" t="s">
        <v>1529</v>
      </c>
      <c r="E107" s="1" t="s">
        <v>647</v>
      </c>
      <c r="F107" s="1" t="s">
        <v>130</v>
      </c>
      <c r="G107" s="1" t="s">
        <v>1530</v>
      </c>
      <c r="H107" s="1" t="s">
        <v>1531</v>
      </c>
      <c r="I107" s="1" t="s">
        <v>1532</v>
      </c>
      <c r="J107" s="1" t="s">
        <v>1533</v>
      </c>
      <c r="K107" s="1" t="s">
        <v>1534</v>
      </c>
      <c r="L107" s="1" t="s">
        <v>1535</v>
      </c>
      <c r="M107" s="1" t="s">
        <v>1536</v>
      </c>
      <c r="N107" s="1" t="s">
        <v>1537</v>
      </c>
    </row>
    <row r="108">
      <c r="A108" s="1">
        <v>104.0</v>
      </c>
      <c r="B108" s="1">
        <v>11262.0</v>
      </c>
      <c r="C108" s="1" t="s">
        <v>1538</v>
      </c>
      <c r="D108" s="1" t="s">
        <v>1539</v>
      </c>
      <c r="E108" s="1" t="s">
        <v>647</v>
      </c>
      <c r="F108" s="1" t="s">
        <v>145</v>
      </c>
      <c r="G108" s="1" t="s">
        <v>1540</v>
      </c>
      <c r="H108" s="1" t="s">
        <v>1541</v>
      </c>
      <c r="I108" s="1" t="s">
        <v>1542</v>
      </c>
      <c r="J108" s="1" t="s">
        <v>1543</v>
      </c>
      <c r="K108" s="1" t="s">
        <v>1544</v>
      </c>
      <c r="L108" s="1" t="s">
        <v>1545</v>
      </c>
      <c r="M108" s="1" t="s">
        <v>1546</v>
      </c>
      <c r="N108" s="1" t="s">
        <v>1547</v>
      </c>
    </row>
    <row r="109">
      <c r="A109" s="1">
        <v>105.0</v>
      </c>
      <c r="B109" s="1">
        <v>94076.0</v>
      </c>
      <c r="C109" s="1" t="s">
        <v>1548</v>
      </c>
      <c r="D109" s="1" t="s">
        <v>981</v>
      </c>
      <c r="E109" s="1" t="s">
        <v>647</v>
      </c>
      <c r="F109" s="1" t="s">
        <v>130</v>
      </c>
      <c r="G109" s="1" t="s">
        <v>1549</v>
      </c>
      <c r="H109" s="1" t="s">
        <v>1550</v>
      </c>
      <c r="I109" s="1" t="s">
        <v>1551</v>
      </c>
      <c r="J109" s="1" t="s">
        <v>1552</v>
      </c>
      <c r="K109" s="1" t="s">
        <v>1553</v>
      </c>
      <c r="L109" s="1" t="s">
        <v>1554</v>
      </c>
      <c r="M109" s="1" t="s">
        <v>1555</v>
      </c>
      <c r="N109" s="1" t="s">
        <v>1556</v>
      </c>
    </row>
    <row r="110">
      <c r="A110" s="1">
        <v>106.0</v>
      </c>
      <c r="B110" s="1">
        <v>77108.0</v>
      </c>
      <c r="C110" s="1" t="s">
        <v>1557</v>
      </c>
      <c r="D110" s="1" t="s">
        <v>1529</v>
      </c>
      <c r="E110" s="1" t="s">
        <v>728</v>
      </c>
      <c r="F110" s="1" t="s">
        <v>130</v>
      </c>
      <c r="G110" s="1" t="s">
        <v>1558</v>
      </c>
      <c r="H110" s="1" t="s">
        <v>1559</v>
      </c>
      <c r="I110" s="1" t="s">
        <v>1560</v>
      </c>
      <c r="J110" s="1" t="s">
        <v>1561</v>
      </c>
      <c r="K110" s="1" t="s">
        <v>1562</v>
      </c>
      <c r="L110" s="1" t="s">
        <v>1563</v>
      </c>
      <c r="M110" s="1" t="s">
        <v>1564</v>
      </c>
      <c r="N110" s="1" t="s">
        <v>1565</v>
      </c>
    </row>
    <row r="111">
      <c r="A111" s="1">
        <v>107.0</v>
      </c>
      <c r="B111" s="1">
        <v>85191.0</v>
      </c>
      <c r="C111" s="1" t="s">
        <v>1566</v>
      </c>
      <c r="D111" s="1" t="s">
        <v>1567</v>
      </c>
      <c r="E111" s="1" t="s">
        <v>544</v>
      </c>
      <c r="F111" s="1" t="s">
        <v>150</v>
      </c>
      <c r="G111" s="1" t="s">
        <v>1568</v>
      </c>
      <c r="H111" s="1" t="s">
        <v>1569</v>
      </c>
      <c r="I111" s="1" t="s">
        <v>1570</v>
      </c>
      <c r="J111" s="1" t="s">
        <v>1571</v>
      </c>
      <c r="K111" s="1" t="s">
        <v>1572</v>
      </c>
      <c r="L111" s="1" t="s">
        <v>1573</v>
      </c>
      <c r="M111" s="1" t="s">
        <v>1574</v>
      </c>
      <c r="N111" s="1" t="s">
        <v>1575</v>
      </c>
    </row>
    <row r="112">
      <c r="A112" s="1">
        <v>108.0</v>
      </c>
      <c r="B112" s="1">
        <v>83069.0</v>
      </c>
      <c r="C112" s="1" t="s">
        <v>1576</v>
      </c>
      <c r="D112" s="1" t="s">
        <v>657</v>
      </c>
      <c r="E112" s="1" t="s">
        <v>728</v>
      </c>
      <c r="F112" s="1" t="s">
        <v>545</v>
      </c>
      <c r="G112" s="1" t="s">
        <v>1577</v>
      </c>
      <c r="H112" s="1" t="s">
        <v>1578</v>
      </c>
      <c r="I112" s="1" t="s">
        <v>1579</v>
      </c>
      <c r="J112" s="1" t="s">
        <v>1580</v>
      </c>
      <c r="K112" s="1" t="s">
        <v>1581</v>
      </c>
      <c r="L112" s="1" t="s">
        <v>1582</v>
      </c>
      <c r="M112" s="1" t="s">
        <v>1583</v>
      </c>
      <c r="N112" s="1" t="s">
        <v>1584</v>
      </c>
    </row>
    <row r="113">
      <c r="A113" s="1">
        <v>109.0</v>
      </c>
      <c r="B113" s="1">
        <v>93031.0</v>
      </c>
      <c r="C113" s="1" t="s">
        <v>1585</v>
      </c>
      <c r="D113" s="1" t="s">
        <v>877</v>
      </c>
      <c r="E113" s="1" t="s">
        <v>728</v>
      </c>
      <c r="F113" s="1" t="s">
        <v>130</v>
      </c>
      <c r="G113" s="1" t="s">
        <v>1586</v>
      </c>
      <c r="H113" s="1" t="s">
        <v>1587</v>
      </c>
      <c r="I113" s="1" t="s">
        <v>1588</v>
      </c>
      <c r="J113" s="1" t="s">
        <v>1589</v>
      </c>
      <c r="K113" s="1" t="s">
        <v>1590</v>
      </c>
      <c r="L113" s="1" t="s">
        <v>1591</v>
      </c>
      <c r="M113" s="1" t="s">
        <v>1592</v>
      </c>
      <c r="N113" s="1" t="s">
        <v>1593</v>
      </c>
    </row>
    <row r="114">
      <c r="A114" s="1">
        <v>110.0</v>
      </c>
      <c r="B114" s="1">
        <v>93010.0</v>
      </c>
      <c r="C114" s="1" t="s">
        <v>1594</v>
      </c>
      <c r="D114" s="1" t="s">
        <v>877</v>
      </c>
      <c r="E114" s="1" t="s">
        <v>728</v>
      </c>
      <c r="F114" s="1" t="s">
        <v>130</v>
      </c>
      <c r="G114" s="1" t="s">
        <v>1595</v>
      </c>
      <c r="H114" s="1" t="s">
        <v>1596</v>
      </c>
      <c r="I114" s="1" t="s">
        <v>1597</v>
      </c>
      <c r="J114" s="1" t="s">
        <v>1598</v>
      </c>
      <c r="K114" s="1" t="s">
        <v>1599</v>
      </c>
      <c r="L114" s="1" t="s">
        <v>1600</v>
      </c>
      <c r="M114" s="1" t="s">
        <v>1601</v>
      </c>
      <c r="N114" s="1" t="s">
        <v>1602</v>
      </c>
    </row>
    <row r="115">
      <c r="A115" s="1">
        <v>111.0</v>
      </c>
      <c r="B115" s="1">
        <v>83061.0</v>
      </c>
      <c r="C115" s="1" t="s">
        <v>1603</v>
      </c>
      <c r="D115" s="1" t="s">
        <v>657</v>
      </c>
      <c r="E115" s="1" t="s">
        <v>728</v>
      </c>
      <c r="F115" s="1" t="s">
        <v>545</v>
      </c>
      <c r="G115" s="1" t="s">
        <v>1604</v>
      </c>
      <c r="H115" s="1" t="s">
        <v>1605</v>
      </c>
      <c r="I115" s="1" t="s">
        <v>1606</v>
      </c>
      <c r="J115" s="1" t="s">
        <v>1607</v>
      </c>
      <c r="K115" s="1" t="s">
        <v>1608</v>
      </c>
      <c r="L115" s="1" t="s">
        <v>1609</v>
      </c>
      <c r="M115" s="1" t="s">
        <v>1610</v>
      </c>
      <c r="N115" s="1" t="s">
        <v>1611</v>
      </c>
    </row>
    <row r="116">
      <c r="A116" s="1">
        <v>112.0</v>
      </c>
      <c r="B116" s="1">
        <v>93008.0</v>
      </c>
      <c r="C116" s="1" t="s">
        <v>1612</v>
      </c>
      <c r="D116" s="1" t="s">
        <v>877</v>
      </c>
      <c r="E116" s="1" t="s">
        <v>544</v>
      </c>
      <c r="F116" s="1" t="s">
        <v>130</v>
      </c>
      <c r="G116" s="1" t="s">
        <v>1613</v>
      </c>
      <c r="H116" s="1" t="s">
        <v>1614</v>
      </c>
      <c r="I116" s="1" t="s">
        <v>1615</v>
      </c>
      <c r="J116" s="1" t="s">
        <v>1616</v>
      </c>
      <c r="K116" s="1" t="s">
        <v>1617</v>
      </c>
      <c r="L116" s="1" t="s">
        <v>1618</v>
      </c>
      <c r="M116" s="1" t="s">
        <v>1619</v>
      </c>
      <c r="N116" s="1" t="s">
        <v>1620</v>
      </c>
    </row>
    <row r="117">
      <c r="A117" s="1">
        <v>113.0</v>
      </c>
      <c r="B117" s="1">
        <v>49099.0</v>
      </c>
      <c r="C117" s="1" t="s">
        <v>1621</v>
      </c>
      <c r="D117" s="1" t="s">
        <v>708</v>
      </c>
      <c r="E117" s="1" t="s">
        <v>647</v>
      </c>
      <c r="F117" s="1" t="s">
        <v>150</v>
      </c>
      <c r="G117" s="1" t="s">
        <v>1622</v>
      </c>
      <c r="H117" s="1" t="s">
        <v>1623</v>
      </c>
      <c r="I117" s="1" t="s">
        <v>1624</v>
      </c>
      <c r="J117" s="1" t="s">
        <v>1625</v>
      </c>
      <c r="K117" s="1" t="s">
        <v>1626</v>
      </c>
      <c r="L117" s="1" t="s">
        <v>1627</v>
      </c>
      <c r="M117" s="1" t="s">
        <v>1628</v>
      </c>
      <c r="N117" s="1" t="s">
        <v>1629</v>
      </c>
    </row>
    <row r="118">
      <c r="A118" s="1">
        <v>114.0</v>
      </c>
      <c r="B118" s="1">
        <v>56260.0</v>
      </c>
      <c r="C118" s="1" t="s">
        <v>1630</v>
      </c>
      <c r="D118" s="1" t="s">
        <v>1492</v>
      </c>
      <c r="E118" s="1" t="s">
        <v>544</v>
      </c>
      <c r="F118" s="1" t="s">
        <v>105</v>
      </c>
      <c r="G118" s="1" t="s">
        <v>1631</v>
      </c>
      <c r="H118" s="1" t="s">
        <v>1632</v>
      </c>
      <c r="I118" s="1" t="s">
        <v>1633</v>
      </c>
      <c r="J118" s="1" t="s">
        <v>1634</v>
      </c>
      <c r="K118" s="1" t="s">
        <v>1635</v>
      </c>
      <c r="L118" s="1" t="s">
        <v>1636</v>
      </c>
      <c r="M118" s="1" t="s">
        <v>1637</v>
      </c>
      <c r="N118" s="1" t="s">
        <v>1638</v>
      </c>
    </row>
    <row r="119">
      <c r="A119" s="1">
        <v>115.0</v>
      </c>
      <c r="B119" s="1">
        <v>2691.0</v>
      </c>
      <c r="C119" s="1" t="s">
        <v>1639</v>
      </c>
      <c r="D119" s="1" t="s">
        <v>1640</v>
      </c>
      <c r="E119" s="1" t="s">
        <v>647</v>
      </c>
      <c r="F119" s="1" t="s">
        <v>125</v>
      </c>
      <c r="G119" s="1" t="s">
        <v>1641</v>
      </c>
      <c r="H119" s="1" t="s">
        <v>1642</v>
      </c>
      <c r="I119" s="1" t="s">
        <v>1643</v>
      </c>
      <c r="J119" s="1" t="s">
        <v>1644</v>
      </c>
      <c r="K119" s="1" t="s">
        <v>1645</v>
      </c>
      <c r="L119" s="1" t="s">
        <v>1646</v>
      </c>
      <c r="M119" s="1" t="s">
        <v>1647</v>
      </c>
      <c r="N119" s="1" t="s">
        <v>1648</v>
      </c>
    </row>
    <row r="120">
      <c r="A120" s="1">
        <v>116.0</v>
      </c>
      <c r="B120" s="1">
        <v>97101.0</v>
      </c>
      <c r="C120" s="1" t="s">
        <v>1649</v>
      </c>
      <c r="D120" s="1" t="s">
        <v>1650</v>
      </c>
      <c r="E120" s="1" t="s">
        <v>728</v>
      </c>
      <c r="F120" s="1" t="s">
        <v>1650</v>
      </c>
      <c r="G120" s="1" t="s">
        <v>1651</v>
      </c>
      <c r="H120" s="1" t="s">
        <v>1652</v>
      </c>
      <c r="I120" s="1" t="s">
        <v>1653</v>
      </c>
      <c r="J120" s="1" t="s">
        <v>1654</v>
      </c>
      <c r="K120" s="1" t="s">
        <v>1655</v>
      </c>
      <c r="L120" s="1" t="s">
        <v>1656</v>
      </c>
      <c r="M120" s="1" t="s">
        <v>1657</v>
      </c>
      <c r="N120" s="1" t="s">
        <v>1658</v>
      </c>
    </row>
    <row r="121">
      <c r="A121" s="1">
        <v>117.0</v>
      </c>
      <c r="B121" s="1">
        <v>97414.0</v>
      </c>
      <c r="C121" s="1" t="s">
        <v>1659</v>
      </c>
      <c r="D121" s="1" t="s">
        <v>718</v>
      </c>
      <c r="E121" s="1" t="s">
        <v>728</v>
      </c>
      <c r="F121" s="1" t="s">
        <v>718</v>
      </c>
      <c r="G121" s="1" t="s">
        <v>1660</v>
      </c>
      <c r="H121" s="1" t="s">
        <v>1661</v>
      </c>
      <c r="I121" s="1" t="s">
        <v>1662</v>
      </c>
      <c r="J121" s="1" t="s">
        <v>1663</v>
      </c>
      <c r="K121" s="1" t="s">
        <v>1664</v>
      </c>
      <c r="L121" s="1" t="s">
        <v>1665</v>
      </c>
      <c r="M121" s="1" t="s">
        <v>1666</v>
      </c>
      <c r="N121" s="1" t="s">
        <v>1667</v>
      </c>
    </row>
    <row r="122">
      <c r="A122" s="1">
        <v>118.0</v>
      </c>
      <c r="B122" s="1">
        <v>92023.0</v>
      </c>
      <c r="C122" s="1" t="s">
        <v>1668</v>
      </c>
      <c r="D122" s="1" t="s">
        <v>828</v>
      </c>
      <c r="E122" s="1" t="s">
        <v>728</v>
      </c>
      <c r="F122" s="1" t="s">
        <v>130</v>
      </c>
      <c r="G122" s="1" t="s">
        <v>1669</v>
      </c>
      <c r="H122" s="1" t="s">
        <v>1670</v>
      </c>
      <c r="I122" s="1" t="s">
        <v>1671</v>
      </c>
      <c r="J122" s="1" t="s">
        <v>1672</v>
      </c>
      <c r="K122" s="1" t="s">
        <v>1673</v>
      </c>
      <c r="L122" s="1" t="s">
        <v>1674</v>
      </c>
      <c r="M122" s="1" t="s">
        <v>1675</v>
      </c>
      <c r="N122" s="1" t="s">
        <v>1676</v>
      </c>
    </row>
    <row r="123">
      <c r="A123" s="1">
        <v>119.0</v>
      </c>
      <c r="B123" s="1">
        <v>69256.0</v>
      </c>
      <c r="C123" s="1" t="s">
        <v>1677</v>
      </c>
      <c r="D123" s="1" t="s">
        <v>555</v>
      </c>
      <c r="E123" s="1" t="s">
        <v>728</v>
      </c>
      <c r="F123" s="1" t="s">
        <v>95</v>
      </c>
      <c r="G123" s="1" t="s">
        <v>1678</v>
      </c>
      <c r="H123" s="1" t="s">
        <v>1679</v>
      </c>
      <c r="I123" s="1" t="s">
        <v>1680</v>
      </c>
      <c r="J123" s="1" t="s">
        <v>1681</v>
      </c>
      <c r="K123" s="1" t="s">
        <v>1682</v>
      </c>
      <c r="L123" s="1" t="s">
        <v>1683</v>
      </c>
      <c r="M123" s="1" t="s">
        <v>1684</v>
      </c>
      <c r="N123" s="1" t="s">
        <v>1685</v>
      </c>
    </row>
    <row r="124">
      <c r="A124" s="1">
        <v>120.0</v>
      </c>
      <c r="B124" s="1">
        <v>78586.0</v>
      </c>
      <c r="C124" s="1" t="s">
        <v>1686</v>
      </c>
      <c r="D124" s="1" t="s">
        <v>1085</v>
      </c>
      <c r="E124" s="1" t="s">
        <v>728</v>
      </c>
      <c r="F124" s="1" t="s">
        <v>130</v>
      </c>
      <c r="G124" s="1" t="s">
        <v>1687</v>
      </c>
      <c r="H124" s="1" t="s">
        <v>1688</v>
      </c>
      <c r="I124" s="1" t="s">
        <v>1689</v>
      </c>
      <c r="J124" s="1" t="s">
        <v>1690</v>
      </c>
      <c r="K124" s="1" t="s">
        <v>1691</v>
      </c>
      <c r="L124" s="1" t="s">
        <v>1692</v>
      </c>
      <c r="M124" s="1" t="s">
        <v>1693</v>
      </c>
      <c r="N124" s="1" t="s">
        <v>1694</v>
      </c>
    </row>
    <row r="125">
      <c r="A125" s="1">
        <v>121.0</v>
      </c>
      <c r="B125" s="1">
        <v>6027.0</v>
      </c>
      <c r="C125" s="1" t="s">
        <v>1695</v>
      </c>
      <c r="D125" s="1" t="s">
        <v>575</v>
      </c>
      <c r="E125" s="1" t="s">
        <v>728</v>
      </c>
      <c r="F125" s="1" t="s">
        <v>545</v>
      </c>
      <c r="G125" s="1" t="s">
        <v>1696</v>
      </c>
      <c r="H125" s="1" t="s">
        <v>1697</v>
      </c>
      <c r="I125" s="1" t="s">
        <v>1698</v>
      </c>
      <c r="J125" s="1" t="s">
        <v>1699</v>
      </c>
      <c r="K125" s="1" t="s">
        <v>1700</v>
      </c>
      <c r="L125" s="1" t="s">
        <v>1701</v>
      </c>
      <c r="M125" s="1" t="s">
        <v>1702</v>
      </c>
      <c r="N125" s="1" t="s">
        <v>1703</v>
      </c>
    </row>
    <row r="126">
      <c r="A126" s="1">
        <v>122.0</v>
      </c>
      <c r="B126" s="1">
        <v>94033.0</v>
      </c>
      <c r="C126" s="1" t="s">
        <v>1704</v>
      </c>
      <c r="D126" s="1" t="s">
        <v>981</v>
      </c>
      <c r="E126" s="1" t="s">
        <v>728</v>
      </c>
      <c r="F126" s="1" t="s">
        <v>130</v>
      </c>
      <c r="G126" s="1" t="s">
        <v>1705</v>
      </c>
      <c r="H126" s="1" t="s">
        <v>1706</v>
      </c>
      <c r="I126" s="1" t="s">
        <v>1707</v>
      </c>
      <c r="J126" s="1" t="s">
        <v>1708</v>
      </c>
      <c r="K126" s="1" t="s">
        <v>1709</v>
      </c>
      <c r="L126" s="1" t="s">
        <v>1710</v>
      </c>
      <c r="M126" s="1" t="s">
        <v>1711</v>
      </c>
      <c r="N126" s="1" t="s">
        <v>1712</v>
      </c>
    </row>
    <row r="127">
      <c r="A127" s="1">
        <v>123.0</v>
      </c>
      <c r="B127" s="1">
        <v>64102.0</v>
      </c>
      <c r="C127" s="1" t="s">
        <v>1713</v>
      </c>
      <c r="D127" s="1" t="s">
        <v>1169</v>
      </c>
      <c r="E127" s="1" t="s">
        <v>647</v>
      </c>
      <c r="F127" s="1" t="s">
        <v>616</v>
      </c>
      <c r="G127" s="1" t="s">
        <v>1714</v>
      </c>
      <c r="H127" s="1" t="s">
        <v>1715</v>
      </c>
      <c r="I127" s="1" t="s">
        <v>1716</v>
      </c>
      <c r="J127" s="1" t="s">
        <v>1717</v>
      </c>
      <c r="K127" s="1" t="s">
        <v>1718</v>
      </c>
      <c r="L127" s="1" t="s">
        <v>1719</v>
      </c>
      <c r="M127" s="1" t="s">
        <v>1720</v>
      </c>
      <c r="N127" s="1" t="s">
        <v>1721</v>
      </c>
    </row>
    <row r="128">
      <c r="A128" s="1">
        <v>124.0</v>
      </c>
      <c r="B128" s="1">
        <v>93071.0</v>
      </c>
      <c r="C128" s="1" t="s">
        <v>1722</v>
      </c>
      <c r="D128" s="1" t="s">
        <v>877</v>
      </c>
      <c r="E128" s="1" t="s">
        <v>728</v>
      </c>
      <c r="F128" s="1" t="s">
        <v>130</v>
      </c>
      <c r="G128" s="1" t="s">
        <v>1723</v>
      </c>
      <c r="H128" s="1" t="s">
        <v>1724</v>
      </c>
      <c r="I128" s="1" t="s">
        <v>1725</v>
      </c>
      <c r="J128" s="1" t="s">
        <v>1726</v>
      </c>
      <c r="K128" s="1" t="s">
        <v>1727</v>
      </c>
      <c r="L128" s="1" t="s">
        <v>1728</v>
      </c>
      <c r="M128" s="1" t="s">
        <v>1729</v>
      </c>
      <c r="N128" s="1" t="s">
        <v>1730</v>
      </c>
    </row>
    <row r="129">
      <c r="A129" s="1">
        <v>125.0</v>
      </c>
      <c r="B129" s="1">
        <v>91174.0</v>
      </c>
      <c r="C129" s="1" t="s">
        <v>1731</v>
      </c>
      <c r="D129" s="1" t="s">
        <v>1297</v>
      </c>
      <c r="E129" s="1" t="s">
        <v>728</v>
      </c>
      <c r="F129" s="1" t="s">
        <v>130</v>
      </c>
      <c r="G129" s="1" t="s">
        <v>1732</v>
      </c>
      <c r="H129" s="1" t="s">
        <v>1733</v>
      </c>
      <c r="I129" s="1" t="s">
        <v>1734</v>
      </c>
      <c r="J129" s="1" t="s">
        <v>1735</v>
      </c>
      <c r="K129" s="1" t="s">
        <v>1736</v>
      </c>
      <c r="L129" s="1" t="s">
        <v>1737</v>
      </c>
      <c r="M129" s="1" t="s">
        <v>1738</v>
      </c>
      <c r="N129" s="1" t="s">
        <v>1739</v>
      </c>
    </row>
    <row r="130">
      <c r="A130" s="1">
        <v>126.0</v>
      </c>
      <c r="B130" s="1">
        <v>93070.0</v>
      </c>
      <c r="C130" s="1" t="s">
        <v>1740</v>
      </c>
      <c r="D130" s="1" t="s">
        <v>877</v>
      </c>
      <c r="E130" s="1" t="s">
        <v>728</v>
      </c>
      <c r="F130" s="1" t="s">
        <v>130</v>
      </c>
      <c r="G130" s="1" t="s">
        <v>1741</v>
      </c>
      <c r="H130" s="1" t="s">
        <v>1742</v>
      </c>
      <c r="I130" s="1" t="s">
        <v>1743</v>
      </c>
      <c r="J130" s="1" t="s">
        <v>1744</v>
      </c>
      <c r="K130" s="1" t="s">
        <v>1745</v>
      </c>
      <c r="L130" s="1" t="s">
        <v>1746</v>
      </c>
      <c r="M130" s="1" t="s">
        <v>1747</v>
      </c>
      <c r="N130" s="1" t="s">
        <v>1748</v>
      </c>
    </row>
    <row r="131">
      <c r="A131" s="1">
        <v>127.0</v>
      </c>
      <c r="B131" s="1">
        <v>91377.0</v>
      </c>
      <c r="C131" s="1" t="s">
        <v>1749</v>
      </c>
      <c r="D131" s="1" t="s">
        <v>1297</v>
      </c>
      <c r="E131" s="1" t="s">
        <v>728</v>
      </c>
      <c r="F131" s="1" t="s">
        <v>130</v>
      </c>
      <c r="G131" s="1" t="s">
        <v>1750</v>
      </c>
      <c r="H131" s="1" t="s">
        <v>1751</v>
      </c>
      <c r="I131" s="1" t="s">
        <v>1108</v>
      </c>
      <c r="J131" s="1" t="s">
        <v>1752</v>
      </c>
      <c r="K131" s="1" t="s">
        <v>1753</v>
      </c>
      <c r="L131" s="1" t="s">
        <v>1754</v>
      </c>
      <c r="M131" s="1" t="s">
        <v>1755</v>
      </c>
      <c r="N131" s="1" t="s">
        <v>1756</v>
      </c>
    </row>
    <row r="132">
      <c r="A132" s="1">
        <v>128.0</v>
      </c>
      <c r="B132" s="1">
        <v>13004.0</v>
      </c>
      <c r="C132" s="1" t="s">
        <v>1757</v>
      </c>
      <c r="D132" s="1" t="s">
        <v>543</v>
      </c>
      <c r="E132" s="1" t="s">
        <v>647</v>
      </c>
      <c r="F132" s="1" t="s">
        <v>545</v>
      </c>
      <c r="G132" s="1" t="s">
        <v>1758</v>
      </c>
      <c r="H132" s="1" t="s">
        <v>1759</v>
      </c>
      <c r="I132" s="1" t="s">
        <v>1760</v>
      </c>
      <c r="J132" s="1" t="s">
        <v>1761</v>
      </c>
      <c r="K132" s="1" t="s">
        <v>1762</v>
      </c>
      <c r="L132" s="1" t="s">
        <v>1763</v>
      </c>
      <c r="M132" s="1" t="s">
        <v>1764</v>
      </c>
      <c r="N132" s="1" t="s">
        <v>1765</v>
      </c>
    </row>
    <row r="133">
      <c r="A133" s="1">
        <v>129.0</v>
      </c>
      <c r="B133" s="1">
        <v>94080.0</v>
      </c>
      <c r="C133" s="1" t="s">
        <v>1766</v>
      </c>
      <c r="D133" s="1" t="s">
        <v>981</v>
      </c>
      <c r="E133" s="1" t="s">
        <v>728</v>
      </c>
      <c r="F133" s="1" t="s">
        <v>130</v>
      </c>
      <c r="G133" s="1" t="s">
        <v>1767</v>
      </c>
      <c r="H133" s="1" t="s">
        <v>1768</v>
      </c>
      <c r="I133" s="1" t="s">
        <v>1769</v>
      </c>
      <c r="J133" s="1" t="s">
        <v>1770</v>
      </c>
      <c r="K133" s="1" t="s">
        <v>1771</v>
      </c>
      <c r="L133" s="1" t="s">
        <v>1772</v>
      </c>
      <c r="M133" s="1" t="s">
        <v>1773</v>
      </c>
      <c r="N133" s="1" t="s">
        <v>1774</v>
      </c>
    </row>
    <row r="134">
      <c r="A134" s="1">
        <v>130.0</v>
      </c>
      <c r="B134" s="1">
        <v>53130.0</v>
      </c>
      <c r="C134" s="1" t="s">
        <v>1775</v>
      </c>
      <c r="D134" s="1" t="s">
        <v>1776</v>
      </c>
      <c r="E134" s="1" t="s">
        <v>544</v>
      </c>
      <c r="F134" s="1" t="s">
        <v>150</v>
      </c>
      <c r="G134" s="1" t="s">
        <v>1777</v>
      </c>
      <c r="H134" s="1" t="s">
        <v>1778</v>
      </c>
      <c r="I134" s="1" t="s">
        <v>1779</v>
      </c>
      <c r="J134" s="1" t="s">
        <v>1780</v>
      </c>
      <c r="K134" s="1" t="s">
        <v>1781</v>
      </c>
      <c r="L134" s="1" t="s">
        <v>1782</v>
      </c>
      <c r="M134" s="1" t="s">
        <v>1783</v>
      </c>
      <c r="N134" s="1" t="s">
        <v>1784</v>
      </c>
    </row>
    <row r="135">
      <c r="A135" s="1">
        <v>131.0</v>
      </c>
      <c r="B135" s="1">
        <v>92073.0</v>
      </c>
      <c r="C135" s="1" t="s">
        <v>1785</v>
      </c>
      <c r="D135" s="1" t="s">
        <v>828</v>
      </c>
      <c r="E135" s="1" t="s">
        <v>728</v>
      </c>
      <c r="F135" s="1" t="s">
        <v>130</v>
      </c>
      <c r="G135" s="1" t="s">
        <v>1786</v>
      </c>
      <c r="H135" s="1" t="s">
        <v>1787</v>
      </c>
      <c r="I135" s="1" t="s">
        <v>1788</v>
      </c>
      <c r="J135" s="1" t="s">
        <v>1789</v>
      </c>
      <c r="K135" s="1" t="s">
        <v>1790</v>
      </c>
      <c r="L135" s="1" t="s">
        <v>1791</v>
      </c>
      <c r="M135" s="1" t="s">
        <v>1792</v>
      </c>
      <c r="N135" s="1" t="s">
        <v>1793</v>
      </c>
    </row>
    <row r="136">
      <c r="A136" s="1">
        <v>132.0</v>
      </c>
      <c r="B136" s="1">
        <v>81004.0</v>
      </c>
      <c r="C136" s="1" t="s">
        <v>1794</v>
      </c>
      <c r="D136" s="1" t="s">
        <v>1795</v>
      </c>
      <c r="E136" s="1" t="s">
        <v>544</v>
      </c>
      <c r="F136" s="1" t="s">
        <v>145</v>
      </c>
      <c r="G136" s="1" t="s">
        <v>1796</v>
      </c>
      <c r="H136" s="1" t="s">
        <v>1797</v>
      </c>
      <c r="I136" s="1" t="s">
        <v>1798</v>
      </c>
      <c r="J136" s="1" t="s">
        <v>1799</v>
      </c>
      <c r="K136" s="1" t="s">
        <v>1800</v>
      </c>
      <c r="L136" s="1" t="s">
        <v>1801</v>
      </c>
      <c r="M136" s="1" t="s">
        <v>1802</v>
      </c>
      <c r="N136" s="1" t="s">
        <v>1803</v>
      </c>
    </row>
    <row r="137">
      <c r="A137" s="1">
        <v>133.0</v>
      </c>
      <c r="B137" s="1">
        <v>6069.0</v>
      </c>
      <c r="C137" s="1" t="s">
        <v>1804</v>
      </c>
      <c r="D137" s="1" t="s">
        <v>575</v>
      </c>
      <c r="E137" s="1" t="s">
        <v>647</v>
      </c>
      <c r="F137" s="1" t="s">
        <v>545</v>
      </c>
      <c r="G137" s="1" t="s">
        <v>1805</v>
      </c>
      <c r="H137" s="1" t="s">
        <v>1806</v>
      </c>
      <c r="I137" s="1" t="s">
        <v>1807</v>
      </c>
      <c r="J137" s="1" t="s">
        <v>1808</v>
      </c>
      <c r="K137" s="1" t="s">
        <v>1809</v>
      </c>
      <c r="L137" s="1" t="s">
        <v>1810</v>
      </c>
      <c r="M137" s="1" t="s">
        <v>1811</v>
      </c>
      <c r="N137" s="1" t="s">
        <v>1812</v>
      </c>
    </row>
    <row r="138">
      <c r="A138" s="1">
        <v>134.0</v>
      </c>
      <c r="B138" s="1">
        <v>13056.0</v>
      </c>
      <c r="C138" s="1" t="s">
        <v>1813</v>
      </c>
      <c r="D138" s="1" t="s">
        <v>543</v>
      </c>
      <c r="E138" s="1" t="s">
        <v>728</v>
      </c>
      <c r="F138" s="1" t="s">
        <v>545</v>
      </c>
      <c r="G138" s="1" t="s">
        <v>1814</v>
      </c>
      <c r="H138" s="1" t="s">
        <v>1815</v>
      </c>
      <c r="I138" s="1" t="s">
        <v>1816</v>
      </c>
      <c r="J138" s="1" t="s">
        <v>1817</v>
      </c>
      <c r="K138" s="1" t="s">
        <v>1818</v>
      </c>
      <c r="L138" s="1" t="s">
        <v>1819</v>
      </c>
      <c r="M138" s="1" t="s">
        <v>1820</v>
      </c>
      <c r="N138" s="1" t="s">
        <v>1821</v>
      </c>
    </row>
    <row r="139">
      <c r="A139" s="1">
        <v>135.0</v>
      </c>
      <c r="B139" s="1">
        <v>92036.0</v>
      </c>
      <c r="C139" s="1" t="s">
        <v>1822</v>
      </c>
      <c r="D139" s="1" t="s">
        <v>828</v>
      </c>
      <c r="E139" s="1" t="s">
        <v>728</v>
      </c>
      <c r="F139" s="1" t="s">
        <v>130</v>
      </c>
      <c r="G139" s="1" t="s">
        <v>1823</v>
      </c>
      <c r="H139" s="1" t="s">
        <v>1824</v>
      </c>
      <c r="I139" s="1" t="s">
        <v>1825</v>
      </c>
      <c r="J139" s="1" t="s">
        <v>1826</v>
      </c>
      <c r="K139" s="1" t="s">
        <v>1827</v>
      </c>
      <c r="L139" s="1" t="s">
        <v>1828</v>
      </c>
      <c r="M139" s="1" t="s">
        <v>1829</v>
      </c>
      <c r="N139" s="1" t="s">
        <v>1830</v>
      </c>
    </row>
    <row r="140">
      <c r="A140" s="1">
        <v>136.0</v>
      </c>
      <c r="B140" s="1" t="s">
        <v>1831</v>
      </c>
      <c r="C140" s="1" t="s">
        <v>1832</v>
      </c>
      <c r="D140" s="1" t="s">
        <v>1833</v>
      </c>
      <c r="E140" s="1" t="s">
        <v>544</v>
      </c>
      <c r="F140" s="1" t="s">
        <v>115</v>
      </c>
      <c r="G140" s="1" t="s">
        <v>1834</v>
      </c>
      <c r="H140" s="1" t="s">
        <v>1835</v>
      </c>
      <c r="I140" s="1" t="s">
        <v>1836</v>
      </c>
      <c r="J140" s="1" t="s">
        <v>1837</v>
      </c>
      <c r="K140" s="1" t="s">
        <v>1838</v>
      </c>
      <c r="L140" s="1" t="s">
        <v>1839</v>
      </c>
      <c r="M140" s="1" t="s">
        <v>1840</v>
      </c>
      <c r="N140" s="1" t="s">
        <v>1841</v>
      </c>
    </row>
    <row r="141">
      <c r="A141" s="1">
        <v>137.0</v>
      </c>
      <c r="B141" s="1">
        <v>92049.0</v>
      </c>
      <c r="C141" s="1" t="s">
        <v>1842</v>
      </c>
      <c r="D141" s="1" t="s">
        <v>828</v>
      </c>
      <c r="E141" s="1" t="s">
        <v>728</v>
      </c>
      <c r="F141" s="1" t="s">
        <v>130</v>
      </c>
      <c r="G141" s="1" t="s">
        <v>1843</v>
      </c>
      <c r="H141" s="1" t="s">
        <v>1844</v>
      </c>
      <c r="I141" s="1" t="s">
        <v>1845</v>
      </c>
      <c r="J141" s="1" t="s">
        <v>1846</v>
      </c>
      <c r="K141" s="1" t="s">
        <v>1847</v>
      </c>
      <c r="L141" s="1" t="s">
        <v>1848</v>
      </c>
      <c r="M141" s="1" t="s">
        <v>1849</v>
      </c>
      <c r="N141" s="1" t="s">
        <v>1850</v>
      </c>
    </row>
    <row r="142">
      <c r="A142" s="1">
        <v>138.0</v>
      </c>
      <c r="B142" s="1">
        <v>97311.0</v>
      </c>
      <c r="C142" s="1" t="s">
        <v>1851</v>
      </c>
      <c r="D142" s="1" t="s">
        <v>1325</v>
      </c>
      <c r="E142" s="1" t="s">
        <v>647</v>
      </c>
      <c r="F142" s="1" t="s">
        <v>1325</v>
      </c>
      <c r="G142" s="1" t="s">
        <v>1852</v>
      </c>
      <c r="H142" s="1" t="s">
        <v>1853</v>
      </c>
      <c r="I142" s="1" t="s">
        <v>1854</v>
      </c>
      <c r="J142" s="1" t="s">
        <v>1855</v>
      </c>
      <c r="K142" s="1" t="s">
        <v>1856</v>
      </c>
      <c r="L142" s="1" t="s">
        <v>1857</v>
      </c>
      <c r="M142" s="1" t="s">
        <v>1858</v>
      </c>
      <c r="N142" s="1" t="s">
        <v>1859</v>
      </c>
    </row>
    <row r="143">
      <c r="A143" s="1">
        <v>139.0</v>
      </c>
      <c r="B143" s="1">
        <v>13005.0</v>
      </c>
      <c r="C143" s="1" t="s">
        <v>1860</v>
      </c>
      <c r="D143" s="1" t="s">
        <v>543</v>
      </c>
      <c r="E143" s="1" t="s">
        <v>728</v>
      </c>
      <c r="F143" s="1" t="s">
        <v>545</v>
      </c>
      <c r="G143" s="1" t="s">
        <v>1861</v>
      </c>
      <c r="H143" s="1" t="s">
        <v>1862</v>
      </c>
      <c r="I143" s="1" t="s">
        <v>1863</v>
      </c>
      <c r="J143" s="1" t="s">
        <v>1864</v>
      </c>
      <c r="K143" s="1" t="s">
        <v>1865</v>
      </c>
      <c r="L143" s="1" t="s">
        <v>1866</v>
      </c>
      <c r="M143" s="1" t="s">
        <v>1867</v>
      </c>
      <c r="N143" s="1" t="s">
        <v>1868</v>
      </c>
    </row>
    <row r="144">
      <c r="A144" s="1">
        <v>140.0</v>
      </c>
      <c r="B144" s="1">
        <v>44162.0</v>
      </c>
      <c r="C144" s="1" t="s">
        <v>1869</v>
      </c>
      <c r="D144" s="1" t="s">
        <v>585</v>
      </c>
      <c r="E144" s="1" t="s">
        <v>728</v>
      </c>
      <c r="F144" s="1" t="s">
        <v>150</v>
      </c>
      <c r="G144" s="1" t="s">
        <v>1870</v>
      </c>
      <c r="H144" s="1" t="s">
        <v>1871</v>
      </c>
      <c r="I144" s="1" t="s">
        <v>1872</v>
      </c>
      <c r="J144" s="1" t="s">
        <v>1873</v>
      </c>
      <c r="K144" s="1" t="s">
        <v>1874</v>
      </c>
      <c r="L144" s="1" t="s">
        <v>1875</v>
      </c>
      <c r="M144" s="1" t="s">
        <v>1876</v>
      </c>
      <c r="N144" s="1" t="s">
        <v>1877</v>
      </c>
    </row>
    <row r="145">
      <c r="A145" s="1">
        <v>141.0</v>
      </c>
      <c r="B145" s="1">
        <v>69290.0</v>
      </c>
      <c r="C145" s="1" t="s">
        <v>1878</v>
      </c>
      <c r="D145" s="1" t="s">
        <v>555</v>
      </c>
      <c r="E145" s="1" t="s">
        <v>728</v>
      </c>
      <c r="F145" s="1" t="s">
        <v>95</v>
      </c>
      <c r="G145" s="1" t="s">
        <v>1879</v>
      </c>
      <c r="H145" s="1" t="s">
        <v>1880</v>
      </c>
      <c r="I145" s="1" t="s">
        <v>1881</v>
      </c>
      <c r="J145" s="1" t="s">
        <v>1882</v>
      </c>
      <c r="K145" s="1" t="s">
        <v>1883</v>
      </c>
      <c r="L145" s="1" t="s">
        <v>1884</v>
      </c>
      <c r="M145" s="1" t="s">
        <v>1885</v>
      </c>
      <c r="N145" s="1" t="s">
        <v>1886</v>
      </c>
    </row>
    <row r="146">
      <c r="A146" s="1">
        <v>142.0</v>
      </c>
      <c r="B146" s="1">
        <v>11069.0</v>
      </c>
      <c r="C146" s="1" t="s">
        <v>1887</v>
      </c>
      <c r="D146" s="1" t="s">
        <v>1539</v>
      </c>
      <c r="E146" s="1" t="s">
        <v>544</v>
      </c>
      <c r="F146" s="1" t="s">
        <v>145</v>
      </c>
      <c r="G146" s="1" t="s">
        <v>1888</v>
      </c>
      <c r="H146" s="1" t="s">
        <v>1889</v>
      </c>
      <c r="I146" s="1" t="s">
        <v>1890</v>
      </c>
      <c r="J146" s="1" t="s">
        <v>1891</v>
      </c>
      <c r="K146" s="1" t="s">
        <v>1892</v>
      </c>
      <c r="L146" s="1" t="s">
        <v>1893</v>
      </c>
      <c r="M146" s="1" t="s">
        <v>1894</v>
      </c>
      <c r="N146" s="1" t="s">
        <v>1895</v>
      </c>
    </row>
    <row r="147">
      <c r="A147" s="1">
        <v>143.0</v>
      </c>
      <c r="B147" s="1">
        <v>35288.0</v>
      </c>
      <c r="C147" s="1" t="s">
        <v>1896</v>
      </c>
      <c r="D147" s="1" t="s">
        <v>636</v>
      </c>
      <c r="E147" s="1" t="s">
        <v>647</v>
      </c>
      <c r="F147" s="1" t="s">
        <v>105</v>
      </c>
      <c r="G147" s="1" t="s">
        <v>1897</v>
      </c>
      <c r="H147" s="1" t="s">
        <v>1898</v>
      </c>
      <c r="I147" s="1" t="s">
        <v>1899</v>
      </c>
      <c r="J147" s="1" t="s">
        <v>1900</v>
      </c>
      <c r="K147" s="1" t="s">
        <v>1901</v>
      </c>
      <c r="L147" s="1" t="s">
        <v>1902</v>
      </c>
      <c r="M147" s="1" t="s">
        <v>1903</v>
      </c>
      <c r="N147" s="1" t="s">
        <v>1904</v>
      </c>
    </row>
    <row r="148">
      <c r="A148" s="1">
        <v>144.0</v>
      </c>
      <c r="B148" s="1">
        <v>90010.0</v>
      </c>
      <c r="C148" s="1" t="s">
        <v>1905</v>
      </c>
      <c r="D148" s="1" t="s">
        <v>1906</v>
      </c>
      <c r="E148" s="1" t="s">
        <v>544</v>
      </c>
      <c r="F148" s="1" t="s">
        <v>698</v>
      </c>
      <c r="G148" s="1" t="s">
        <v>1907</v>
      </c>
      <c r="H148" s="1" t="s">
        <v>1908</v>
      </c>
      <c r="I148" s="1" t="s">
        <v>1909</v>
      </c>
      <c r="J148" s="1" t="s">
        <v>1910</v>
      </c>
      <c r="K148" s="1" t="s">
        <v>1911</v>
      </c>
      <c r="L148" s="1" t="s">
        <v>1912</v>
      </c>
      <c r="M148" s="1" t="s">
        <v>1913</v>
      </c>
      <c r="N148" s="1" t="s">
        <v>1914</v>
      </c>
    </row>
    <row r="149">
      <c r="A149" s="1">
        <v>145.0</v>
      </c>
      <c r="B149" s="1">
        <v>8105.0</v>
      </c>
      <c r="C149" s="1" t="s">
        <v>1915</v>
      </c>
      <c r="D149" s="1" t="s">
        <v>1916</v>
      </c>
      <c r="E149" s="1" t="s">
        <v>544</v>
      </c>
      <c r="F149" s="1" t="s">
        <v>120</v>
      </c>
      <c r="G149" s="1" t="s">
        <v>1917</v>
      </c>
      <c r="H149" s="1" t="s">
        <v>1918</v>
      </c>
      <c r="I149" s="1" t="s">
        <v>1919</v>
      </c>
      <c r="J149" s="1" t="s">
        <v>1920</v>
      </c>
      <c r="K149" s="1" t="s">
        <v>1921</v>
      </c>
      <c r="L149" s="1" t="s">
        <v>1922</v>
      </c>
      <c r="M149" s="1" t="s">
        <v>1923</v>
      </c>
      <c r="N149" s="1" t="s">
        <v>1924</v>
      </c>
    </row>
    <row r="150">
      <c r="A150" s="1">
        <v>146.0</v>
      </c>
      <c r="B150" s="1">
        <v>27229.0</v>
      </c>
      <c r="C150" s="1" t="s">
        <v>1925</v>
      </c>
      <c r="D150" s="1" t="s">
        <v>1926</v>
      </c>
      <c r="E150" s="1" t="s">
        <v>544</v>
      </c>
      <c r="F150" s="1" t="s">
        <v>135</v>
      </c>
      <c r="G150" s="1" t="s">
        <v>1927</v>
      </c>
      <c r="H150" s="1" t="s">
        <v>1928</v>
      </c>
      <c r="I150" s="1" t="s">
        <v>1929</v>
      </c>
      <c r="J150" s="1" t="s">
        <v>1930</v>
      </c>
      <c r="K150" s="1" t="s">
        <v>1931</v>
      </c>
      <c r="L150" s="1" t="s">
        <v>1932</v>
      </c>
      <c r="M150" s="1" t="s">
        <v>1933</v>
      </c>
      <c r="N150" s="1" t="s">
        <v>1934</v>
      </c>
    </row>
    <row r="151">
      <c r="A151" s="1">
        <v>147.0</v>
      </c>
      <c r="B151" s="1">
        <v>19031.0</v>
      </c>
      <c r="C151" s="1" t="s">
        <v>1935</v>
      </c>
      <c r="D151" s="1" t="s">
        <v>1936</v>
      </c>
      <c r="E151" s="1" t="s">
        <v>647</v>
      </c>
      <c r="F151" s="1" t="s">
        <v>616</v>
      </c>
      <c r="G151" s="1" t="s">
        <v>1937</v>
      </c>
      <c r="H151" s="1" t="s">
        <v>1938</v>
      </c>
      <c r="I151" s="1" t="s">
        <v>1939</v>
      </c>
      <c r="J151" s="1" t="s">
        <v>1940</v>
      </c>
      <c r="K151" s="1" t="s">
        <v>1941</v>
      </c>
      <c r="L151" s="1" t="s">
        <v>1942</v>
      </c>
      <c r="M151" s="1" t="s">
        <v>1943</v>
      </c>
      <c r="N151" s="1" t="s">
        <v>1944</v>
      </c>
    </row>
    <row r="152">
      <c r="A152" s="1">
        <v>148.0</v>
      </c>
      <c r="B152" s="1">
        <v>94022.0</v>
      </c>
      <c r="C152" s="1" t="s">
        <v>1945</v>
      </c>
      <c r="D152" s="1" t="s">
        <v>981</v>
      </c>
      <c r="E152" s="1" t="s">
        <v>728</v>
      </c>
      <c r="F152" s="1" t="s">
        <v>130</v>
      </c>
      <c r="G152" s="1" t="s">
        <v>1946</v>
      </c>
      <c r="H152" s="1" t="s">
        <v>1947</v>
      </c>
      <c r="I152" s="1" t="s">
        <v>1948</v>
      </c>
      <c r="J152" s="1" t="s">
        <v>1949</v>
      </c>
      <c r="K152" s="1" t="s">
        <v>1950</v>
      </c>
      <c r="L152" s="1" t="s">
        <v>1951</v>
      </c>
      <c r="M152" s="1" t="s">
        <v>1952</v>
      </c>
      <c r="N152" s="1" t="s">
        <v>1953</v>
      </c>
    </row>
    <row r="153">
      <c r="A153" s="1">
        <v>149.0</v>
      </c>
      <c r="B153" s="1">
        <v>93064.0</v>
      </c>
      <c r="C153" s="1" t="s">
        <v>1954</v>
      </c>
      <c r="D153" s="1" t="s">
        <v>877</v>
      </c>
      <c r="E153" s="1" t="s">
        <v>728</v>
      </c>
      <c r="F153" s="1" t="s">
        <v>130</v>
      </c>
      <c r="G153" s="1" t="s">
        <v>1955</v>
      </c>
      <c r="H153" s="1" t="s">
        <v>1956</v>
      </c>
      <c r="I153" s="1" t="s">
        <v>1957</v>
      </c>
      <c r="J153" s="1" t="s">
        <v>1958</v>
      </c>
      <c r="K153" s="1" t="s">
        <v>1959</v>
      </c>
      <c r="L153" s="1" t="s">
        <v>1960</v>
      </c>
      <c r="M153" s="1" t="s">
        <v>1961</v>
      </c>
      <c r="N153" s="1" t="s">
        <v>1962</v>
      </c>
    </row>
    <row r="154">
      <c r="A154" s="1">
        <v>150.0</v>
      </c>
      <c r="B154" s="1">
        <v>41018.0</v>
      </c>
      <c r="C154" s="1" t="s">
        <v>1963</v>
      </c>
      <c r="D154" s="1" t="s">
        <v>1964</v>
      </c>
      <c r="E154" s="1" t="s">
        <v>544</v>
      </c>
      <c r="F154" s="1" t="s">
        <v>788</v>
      </c>
      <c r="G154" s="1" t="s">
        <v>1965</v>
      </c>
      <c r="H154" s="1" t="s">
        <v>1966</v>
      </c>
      <c r="I154" s="1" t="s">
        <v>1967</v>
      </c>
      <c r="J154" s="1" t="s">
        <v>1968</v>
      </c>
      <c r="K154" s="1" t="s">
        <v>1969</v>
      </c>
      <c r="L154" s="1" t="s">
        <v>1970</v>
      </c>
      <c r="M154" s="1" t="s">
        <v>1971</v>
      </c>
      <c r="N154" s="1" t="s">
        <v>1972</v>
      </c>
    </row>
    <row r="155">
      <c r="A155" s="1">
        <v>151.0</v>
      </c>
      <c r="B155" s="1">
        <v>92048.0</v>
      </c>
      <c r="C155" s="1" t="s">
        <v>1973</v>
      </c>
      <c r="D155" s="1" t="s">
        <v>828</v>
      </c>
      <c r="E155" s="1" t="s">
        <v>728</v>
      </c>
      <c r="F155" s="1" t="s">
        <v>130</v>
      </c>
      <c r="G155" s="1" t="s">
        <v>1974</v>
      </c>
      <c r="H155" s="1" t="s">
        <v>1975</v>
      </c>
      <c r="I155" s="1" t="s">
        <v>1976</v>
      </c>
      <c r="J155" s="1" t="s">
        <v>1977</v>
      </c>
      <c r="K155" s="1" t="s">
        <v>1978</v>
      </c>
      <c r="L155" s="1" t="s">
        <v>1979</v>
      </c>
      <c r="M155" s="1" t="s">
        <v>1980</v>
      </c>
      <c r="N155" s="1" t="s">
        <v>1981</v>
      </c>
    </row>
    <row r="156">
      <c r="A156" s="1">
        <v>152.0</v>
      </c>
      <c r="B156" s="1">
        <v>93046.0</v>
      </c>
      <c r="C156" s="1" t="s">
        <v>1982</v>
      </c>
      <c r="D156" s="1" t="s">
        <v>877</v>
      </c>
      <c r="E156" s="1" t="s">
        <v>728</v>
      </c>
      <c r="F156" s="1" t="s">
        <v>130</v>
      </c>
      <c r="G156" s="1" t="s">
        <v>1983</v>
      </c>
      <c r="H156" s="1" t="s">
        <v>1984</v>
      </c>
      <c r="I156" s="1" t="s">
        <v>1985</v>
      </c>
      <c r="J156" s="1" t="s">
        <v>1986</v>
      </c>
      <c r="K156" s="1" t="s">
        <v>1987</v>
      </c>
      <c r="L156" s="1" t="s">
        <v>1988</v>
      </c>
      <c r="M156" s="1" t="s">
        <v>1989</v>
      </c>
      <c r="N156" s="1" t="s">
        <v>1990</v>
      </c>
    </row>
    <row r="157">
      <c r="A157" s="1">
        <v>153.0</v>
      </c>
      <c r="B157" s="1">
        <v>13103.0</v>
      </c>
      <c r="C157" s="1" t="s">
        <v>1991</v>
      </c>
      <c r="D157" s="1" t="s">
        <v>543</v>
      </c>
      <c r="E157" s="1" t="s">
        <v>728</v>
      </c>
      <c r="F157" s="1" t="s">
        <v>545</v>
      </c>
      <c r="G157" s="1" t="s">
        <v>1992</v>
      </c>
      <c r="H157" s="1" t="s">
        <v>1993</v>
      </c>
      <c r="I157" s="1" t="s">
        <v>1994</v>
      </c>
      <c r="J157" s="1" t="s">
        <v>1995</v>
      </c>
      <c r="K157" s="1" t="s">
        <v>1996</v>
      </c>
      <c r="L157" s="1" t="s">
        <v>1997</v>
      </c>
      <c r="M157" s="1" t="s">
        <v>1998</v>
      </c>
      <c r="N157" s="1" t="s">
        <v>1999</v>
      </c>
    </row>
    <row r="158">
      <c r="A158" s="1">
        <v>154.0</v>
      </c>
      <c r="B158" s="1">
        <v>92062.0</v>
      </c>
      <c r="C158" s="1" t="s">
        <v>2000</v>
      </c>
      <c r="D158" s="1" t="s">
        <v>828</v>
      </c>
      <c r="E158" s="1" t="s">
        <v>728</v>
      </c>
      <c r="F158" s="1" t="s">
        <v>130</v>
      </c>
      <c r="G158" s="1" t="s">
        <v>2001</v>
      </c>
      <c r="H158" s="1" t="s">
        <v>2002</v>
      </c>
      <c r="I158" s="1" t="s">
        <v>2003</v>
      </c>
      <c r="J158" s="1" t="s">
        <v>2004</v>
      </c>
      <c r="K158" s="1" t="s">
        <v>2005</v>
      </c>
      <c r="L158" s="1" t="s">
        <v>2006</v>
      </c>
      <c r="M158" s="1" t="s">
        <v>2007</v>
      </c>
      <c r="N158" s="1" t="s">
        <v>2008</v>
      </c>
    </row>
    <row r="159">
      <c r="A159" s="1">
        <v>155.0</v>
      </c>
      <c r="B159" s="1">
        <v>71076.0</v>
      </c>
      <c r="C159" s="1" t="s">
        <v>2009</v>
      </c>
      <c r="D159" s="1" t="s">
        <v>2010</v>
      </c>
      <c r="E159" s="1" t="s">
        <v>647</v>
      </c>
      <c r="F159" s="1" t="s">
        <v>698</v>
      </c>
      <c r="G159" s="1" t="s">
        <v>2011</v>
      </c>
      <c r="H159" s="1" t="s">
        <v>2012</v>
      </c>
      <c r="I159" s="1" t="s">
        <v>2013</v>
      </c>
      <c r="J159" s="1" t="s">
        <v>2014</v>
      </c>
      <c r="K159" s="1" t="s">
        <v>2015</v>
      </c>
      <c r="L159" s="1" t="s">
        <v>2016</v>
      </c>
      <c r="M159" s="1" t="s">
        <v>2017</v>
      </c>
      <c r="N159" s="1" t="s">
        <v>2018</v>
      </c>
    </row>
    <row r="160">
      <c r="A160" s="1">
        <v>156.0</v>
      </c>
      <c r="B160" s="1">
        <v>93027.0</v>
      </c>
      <c r="C160" s="1" t="s">
        <v>2019</v>
      </c>
      <c r="D160" s="1" t="s">
        <v>877</v>
      </c>
      <c r="E160" s="1" t="s">
        <v>728</v>
      </c>
      <c r="F160" s="1" t="s">
        <v>130</v>
      </c>
      <c r="G160" s="1" t="s">
        <v>2020</v>
      </c>
      <c r="H160" s="1" t="s">
        <v>2021</v>
      </c>
      <c r="I160" s="1" t="s">
        <v>2022</v>
      </c>
      <c r="J160" s="1" t="s">
        <v>2023</v>
      </c>
      <c r="K160" s="1" t="s">
        <v>2024</v>
      </c>
      <c r="L160" s="1" t="s">
        <v>2025</v>
      </c>
      <c r="M160" s="1" t="s">
        <v>2026</v>
      </c>
      <c r="N160" s="1" t="s">
        <v>2027</v>
      </c>
    </row>
    <row r="161">
      <c r="A161" s="1">
        <v>157.0</v>
      </c>
      <c r="B161" s="1">
        <v>85194.0</v>
      </c>
      <c r="C161" s="1" t="s">
        <v>2028</v>
      </c>
      <c r="D161" s="1" t="s">
        <v>1567</v>
      </c>
      <c r="E161" s="1" t="s">
        <v>647</v>
      </c>
      <c r="F161" s="1" t="s">
        <v>150</v>
      </c>
      <c r="G161" s="1" t="s">
        <v>2029</v>
      </c>
      <c r="H161" s="1" t="s">
        <v>2030</v>
      </c>
      <c r="I161" s="1" t="s">
        <v>2031</v>
      </c>
      <c r="J161" s="1" t="s">
        <v>2032</v>
      </c>
      <c r="K161" s="1" t="s">
        <v>2033</v>
      </c>
      <c r="L161" s="1" t="s">
        <v>2034</v>
      </c>
      <c r="M161" s="1" t="s">
        <v>2035</v>
      </c>
      <c r="N161" s="1" t="s">
        <v>2036</v>
      </c>
    </row>
    <row r="162">
      <c r="A162" s="1">
        <v>158.0</v>
      </c>
      <c r="B162" s="1">
        <v>78551.0</v>
      </c>
      <c r="C162" s="1" t="s">
        <v>2037</v>
      </c>
      <c r="D162" s="1" t="s">
        <v>1085</v>
      </c>
      <c r="E162" s="1" t="s">
        <v>647</v>
      </c>
      <c r="F162" s="1" t="s">
        <v>130</v>
      </c>
      <c r="G162" s="1" t="s">
        <v>2038</v>
      </c>
      <c r="H162" s="1" t="s">
        <v>2039</v>
      </c>
      <c r="I162" s="1" t="s">
        <v>2040</v>
      </c>
      <c r="J162" s="1" t="s">
        <v>2041</v>
      </c>
      <c r="K162" s="1" t="s">
        <v>2042</v>
      </c>
      <c r="L162" s="1" t="s">
        <v>2043</v>
      </c>
      <c r="M162" s="1" t="s">
        <v>2044</v>
      </c>
      <c r="N162" s="1" t="s">
        <v>2045</v>
      </c>
    </row>
    <row r="163">
      <c r="A163" s="1">
        <v>159.0</v>
      </c>
      <c r="B163" s="1">
        <v>94002.0</v>
      </c>
      <c r="C163" s="1" t="s">
        <v>2046</v>
      </c>
      <c r="D163" s="1" t="s">
        <v>981</v>
      </c>
      <c r="E163" s="1" t="s">
        <v>728</v>
      </c>
      <c r="F163" s="1" t="s">
        <v>130</v>
      </c>
      <c r="G163" s="1" t="s">
        <v>2047</v>
      </c>
      <c r="H163" s="1" t="s">
        <v>1827</v>
      </c>
      <c r="I163" s="1" t="s">
        <v>2048</v>
      </c>
      <c r="J163" s="1" t="s">
        <v>2049</v>
      </c>
      <c r="K163" s="1" t="s">
        <v>2050</v>
      </c>
      <c r="L163" s="1" t="s">
        <v>2051</v>
      </c>
      <c r="M163" s="1" t="s">
        <v>2052</v>
      </c>
      <c r="N163" s="1" t="s">
        <v>2053</v>
      </c>
    </row>
    <row r="164">
      <c r="A164" s="1">
        <v>160.0</v>
      </c>
      <c r="B164" s="1">
        <v>93053.0</v>
      </c>
      <c r="C164" s="1" t="s">
        <v>2054</v>
      </c>
      <c r="D164" s="1" t="s">
        <v>877</v>
      </c>
      <c r="E164" s="1" t="s">
        <v>728</v>
      </c>
      <c r="F164" s="1" t="s">
        <v>130</v>
      </c>
      <c r="G164" s="1" t="s">
        <v>2055</v>
      </c>
      <c r="H164" s="1" t="s">
        <v>2056</v>
      </c>
      <c r="I164" s="1" t="s">
        <v>2057</v>
      </c>
      <c r="J164" s="1" t="s">
        <v>2058</v>
      </c>
      <c r="K164" s="1" t="s">
        <v>2059</v>
      </c>
      <c r="L164" s="1" t="s">
        <v>2060</v>
      </c>
      <c r="M164" s="1" t="s">
        <v>2061</v>
      </c>
      <c r="N164" s="1" t="s">
        <v>2062</v>
      </c>
    </row>
    <row r="165">
      <c r="A165" s="1">
        <v>161.0</v>
      </c>
      <c r="B165" s="1">
        <v>51108.0</v>
      </c>
      <c r="C165" s="1" t="s">
        <v>2063</v>
      </c>
      <c r="D165" s="1" t="s">
        <v>646</v>
      </c>
      <c r="E165" s="1" t="s">
        <v>544</v>
      </c>
      <c r="F165" s="1" t="s">
        <v>120</v>
      </c>
      <c r="G165" s="1" t="s">
        <v>2064</v>
      </c>
      <c r="H165" s="1" t="s">
        <v>2065</v>
      </c>
      <c r="I165" s="1" t="s">
        <v>2066</v>
      </c>
      <c r="J165" s="1" t="s">
        <v>2067</v>
      </c>
      <c r="K165" s="1" t="s">
        <v>2068</v>
      </c>
      <c r="L165" s="1" t="s">
        <v>2069</v>
      </c>
      <c r="M165" s="1" t="s">
        <v>2070</v>
      </c>
      <c r="N165" s="1" t="s">
        <v>2071</v>
      </c>
    </row>
    <row r="166">
      <c r="A166" s="1">
        <v>162.0</v>
      </c>
      <c r="B166" s="1">
        <v>78361.0</v>
      </c>
      <c r="C166" s="1" t="s">
        <v>2072</v>
      </c>
      <c r="D166" s="1" t="s">
        <v>1085</v>
      </c>
      <c r="E166" s="1" t="s">
        <v>647</v>
      </c>
      <c r="F166" s="1" t="s">
        <v>130</v>
      </c>
      <c r="G166" s="1" t="s">
        <v>2073</v>
      </c>
      <c r="H166" s="1" t="s">
        <v>2074</v>
      </c>
      <c r="I166" s="1" t="s">
        <v>2075</v>
      </c>
      <c r="J166" s="1" t="s">
        <v>2076</v>
      </c>
      <c r="K166" s="1" t="s">
        <v>2077</v>
      </c>
      <c r="L166" s="1" t="s">
        <v>2078</v>
      </c>
      <c r="M166" s="1" t="s">
        <v>2079</v>
      </c>
      <c r="N166" s="1" t="s">
        <v>2080</v>
      </c>
    </row>
    <row r="167">
      <c r="A167" s="1">
        <v>163.0</v>
      </c>
      <c r="B167" s="1">
        <v>34301.0</v>
      </c>
      <c r="C167" s="1" t="s">
        <v>2081</v>
      </c>
      <c r="D167" s="1" t="s">
        <v>595</v>
      </c>
      <c r="E167" s="1" t="s">
        <v>728</v>
      </c>
      <c r="F167" s="1" t="s">
        <v>145</v>
      </c>
      <c r="G167" s="1" t="s">
        <v>2082</v>
      </c>
      <c r="H167" s="1" t="s">
        <v>2083</v>
      </c>
      <c r="I167" s="1" t="s">
        <v>2084</v>
      </c>
      <c r="J167" s="1" t="s">
        <v>2085</v>
      </c>
      <c r="K167" s="1" t="s">
        <v>2086</v>
      </c>
      <c r="L167" s="1" t="s">
        <v>2087</v>
      </c>
      <c r="M167" s="1" t="s">
        <v>2088</v>
      </c>
      <c r="N167" s="1" t="s">
        <v>2089</v>
      </c>
    </row>
    <row r="168">
      <c r="A168" s="1">
        <v>164.0</v>
      </c>
      <c r="B168" s="1">
        <v>33522.0</v>
      </c>
      <c r="C168" s="1" t="s">
        <v>2090</v>
      </c>
      <c r="D168" s="1" t="s">
        <v>615</v>
      </c>
      <c r="E168" s="1" t="s">
        <v>728</v>
      </c>
      <c r="F168" s="1" t="s">
        <v>616</v>
      </c>
      <c r="G168" s="1" t="s">
        <v>2091</v>
      </c>
      <c r="H168" s="1" t="s">
        <v>2092</v>
      </c>
      <c r="I168" s="1" t="s">
        <v>2093</v>
      </c>
      <c r="J168" s="1" t="s">
        <v>2094</v>
      </c>
      <c r="K168" s="1" t="s">
        <v>2095</v>
      </c>
      <c r="L168" s="1" t="s">
        <v>2096</v>
      </c>
      <c r="M168" s="1" t="s">
        <v>2097</v>
      </c>
      <c r="N168" s="1" t="s">
        <v>2098</v>
      </c>
    </row>
    <row r="169">
      <c r="A169" s="1">
        <v>165.0</v>
      </c>
      <c r="B169" s="1">
        <v>13047.0</v>
      </c>
      <c r="C169" s="1" t="s">
        <v>2099</v>
      </c>
      <c r="D169" s="1" t="s">
        <v>543</v>
      </c>
      <c r="E169" s="1" t="s">
        <v>647</v>
      </c>
      <c r="F169" s="1" t="s">
        <v>545</v>
      </c>
      <c r="G169" s="1" t="s">
        <v>2100</v>
      </c>
      <c r="H169" s="1" t="s">
        <v>2101</v>
      </c>
      <c r="I169" s="1" t="s">
        <v>2102</v>
      </c>
      <c r="J169" s="1" t="s">
        <v>2103</v>
      </c>
      <c r="K169" s="1" t="s">
        <v>2104</v>
      </c>
      <c r="L169" s="1" t="s">
        <v>2105</v>
      </c>
      <c r="M169" s="1" t="s">
        <v>2106</v>
      </c>
      <c r="N169" s="1" t="s">
        <v>2107</v>
      </c>
    </row>
    <row r="170">
      <c r="A170" s="1">
        <v>166.0</v>
      </c>
      <c r="B170" s="1">
        <v>22278.0</v>
      </c>
      <c r="C170" s="1" t="s">
        <v>2108</v>
      </c>
      <c r="D170" s="1" t="s">
        <v>2109</v>
      </c>
      <c r="E170" s="1" t="s">
        <v>544</v>
      </c>
      <c r="F170" s="1" t="s">
        <v>105</v>
      </c>
      <c r="G170" s="1" t="s">
        <v>2110</v>
      </c>
      <c r="H170" s="1" t="s">
        <v>2111</v>
      </c>
      <c r="I170" s="1" t="s">
        <v>2112</v>
      </c>
      <c r="J170" s="1" t="s">
        <v>2113</v>
      </c>
      <c r="K170" s="1" t="s">
        <v>2114</v>
      </c>
      <c r="L170" s="1" t="s">
        <v>2115</v>
      </c>
      <c r="M170" s="1" t="s">
        <v>2116</v>
      </c>
      <c r="N170" s="1" t="s">
        <v>2117</v>
      </c>
    </row>
    <row r="171">
      <c r="A171" s="1">
        <v>167.0</v>
      </c>
      <c r="B171" s="1">
        <v>69034.0</v>
      </c>
      <c r="C171" s="1" t="s">
        <v>2118</v>
      </c>
      <c r="D171" s="1" t="s">
        <v>555</v>
      </c>
      <c r="E171" s="1" t="s">
        <v>728</v>
      </c>
      <c r="F171" s="1" t="s">
        <v>95</v>
      </c>
      <c r="G171" s="1" t="s">
        <v>2119</v>
      </c>
      <c r="H171" s="1" t="s">
        <v>2120</v>
      </c>
      <c r="I171" s="1" t="s">
        <v>2121</v>
      </c>
      <c r="J171" s="1" t="s">
        <v>2122</v>
      </c>
      <c r="K171" s="1" t="s">
        <v>2123</v>
      </c>
      <c r="L171" s="1" t="s">
        <v>2124</v>
      </c>
      <c r="M171" s="1" t="s">
        <v>2125</v>
      </c>
      <c r="N171" s="1" t="s">
        <v>2126</v>
      </c>
    </row>
    <row r="172">
      <c r="A172" s="1">
        <v>168.0</v>
      </c>
      <c r="B172" s="1">
        <v>95268.0</v>
      </c>
      <c r="C172" s="1" t="s">
        <v>2127</v>
      </c>
      <c r="D172" s="1" t="s">
        <v>905</v>
      </c>
      <c r="E172" s="1" t="s">
        <v>728</v>
      </c>
      <c r="F172" s="1" t="s">
        <v>130</v>
      </c>
      <c r="G172" s="1" t="s">
        <v>2128</v>
      </c>
      <c r="H172" s="1" t="s">
        <v>2129</v>
      </c>
      <c r="I172" s="1" t="s">
        <v>2130</v>
      </c>
      <c r="J172" s="1" t="s">
        <v>2131</v>
      </c>
      <c r="K172" s="1" t="s">
        <v>2132</v>
      </c>
      <c r="L172" s="1" t="s">
        <v>2133</v>
      </c>
      <c r="M172" s="1" t="s">
        <v>2134</v>
      </c>
      <c r="N172" s="1" t="s">
        <v>2135</v>
      </c>
    </row>
    <row r="173">
      <c r="A173" s="1">
        <v>169.0</v>
      </c>
      <c r="B173" s="1">
        <v>59606.0</v>
      </c>
      <c r="C173" s="1" t="s">
        <v>2136</v>
      </c>
      <c r="D173" s="1" t="s">
        <v>626</v>
      </c>
      <c r="E173" s="1" t="s">
        <v>647</v>
      </c>
      <c r="F173" s="1" t="s">
        <v>125</v>
      </c>
      <c r="G173" s="1" t="s">
        <v>2137</v>
      </c>
      <c r="H173" s="1" t="s">
        <v>2138</v>
      </c>
      <c r="I173" s="1" t="s">
        <v>2139</v>
      </c>
      <c r="J173" s="1" t="s">
        <v>2140</v>
      </c>
      <c r="K173" s="1" t="s">
        <v>1547</v>
      </c>
      <c r="L173" s="1" t="s">
        <v>2141</v>
      </c>
      <c r="M173" s="1" t="s">
        <v>2142</v>
      </c>
      <c r="N173" s="1" t="s">
        <v>2143</v>
      </c>
    </row>
    <row r="174">
      <c r="A174" s="1">
        <v>170.0</v>
      </c>
      <c r="B174" s="1">
        <v>36044.0</v>
      </c>
      <c r="C174" s="1" t="s">
        <v>2144</v>
      </c>
      <c r="D174" s="1" t="s">
        <v>2145</v>
      </c>
      <c r="E174" s="1" t="s">
        <v>544</v>
      </c>
      <c r="F174" s="1" t="s">
        <v>788</v>
      </c>
      <c r="G174" s="1" t="s">
        <v>2146</v>
      </c>
      <c r="H174" s="1" t="s">
        <v>2147</v>
      </c>
      <c r="I174" s="1" t="s">
        <v>2148</v>
      </c>
      <c r="J174" s="1" t="s">
        <v>2149</v>
      </c>
      <c r="K174" s="1" t="s">
        <v>2150</v>
      </c>
      <c r="L174" s="1" t="s">
        <v>2151</v>
      </c>
      <c r="M174" s="1" t="s">
        <v>2152</v>
      </c>
      <c r="N174" s="1" t="s">
        <v>2153</v>
      </c>
    </row>
    <row r="175">
      <c r="A175" s="1">
        <v>171.0</v>
      </c>
      <c r="B175" s="1">
        <v>44143.0</v>
      </c>
      <c r="C175" s="1" t="s">
        <v>2154</v>
      </c>
      <c r="D175" s="1" t="s">
        <v>585</v>
      </c>
      <c r="E175" s="1" t="s">
        <v>728</v>
      </c>
      <c r="F175" s="1" t="s">
        <v>150</v>
      </c>
      <c r="G175" s="1" t="s">
        <v>2155</v>
      </c>
      <c r="H175" s="1" t="s">
        <v>2156</v>
      </c>
      <c r="I175" s="1" t="s">
        <v>2157</v>
      </c>
      <c r="J175" s="1" t="s">
        <v>2158</v>
      </c>
      <c r="K175" s="1" t="s">
        <v>2159</v>
      </c>
      <c r="L175" s="1" t="s">
        <v>2160</v>
      </c>
      <c r="M175" s="1" t="s">
        <v>2161</v>
      </c>
      <c r="N175" s="1" t="s">
        <v>2162</v>
      </c>
    </row>
    <row r="176">
      <c r="A176" s="1">
        <v>172.0</v>
      </c>
      <c r="B176" s="1">
        <v>65440.0</v>
      </c>
      <c r="C176" s="1" t="s">
        <v>2163</v>
      </c>
      <c r="D176" s="1" t="s">
        <v>2164</v>
      </c>
      <c r="E176" s="1" t="s">
        <v>544</v>
      </c>
      <c r="F176" s="1" t="s">
        <v>145</v>
      </c>
      <c r="G176" s="1" t="s">
        <v>2165</v>
      </c>
      <c r="H176" s="1" t="s">
        <v>2166</v>
      </c>
      <c r="I176" s="1" t="s">
        <v>2167</v>
      </c>
      <c r="J176" s="1" t="s">
        <v>2168</v>
      </c>
      <c r="K176" s="1" t="s">
        <v>2169</v>
      </c>
      <c r="L176" s="1" t="s">
        <v>2170</v>
      </c>
      <c r="M176" s="1" t="s">
        <v>2171</v>
      </c>
      <c r="N176" s="1" t="s">
        <v>2172</v>
      </c>
    </row>
    <row r="177">
      <c r="A177" s="1">
        <v>173.0</v>
      </c>
      <c r="B177" s="1">
        <v>69029.0</v>
      </c>
      <c r="C177" s="1" t="s">
        <v>2173</v>
      </c>
      <c r="D177" s="1" t="s">
        <v>555</v>
      </c>
      <c r="E177" s="1" t="s">
        <v>728</v>
      </c>
      <c r="F177" s="1" t="s">
        <v>95</v>
      </c>
      <c r="G177" s="1" t="s">
        <v>2174</v>
      </c>
      <c r="H177" s="1" t="s">
        <v>1841</v>
      </c>
      <c r="I177" s="1" t="s">
        <v>2175</v>
      </c>
      <c r="J177" s="1" t="s">
        <v>2176</v>
      </c>
      <c r="K177" s="1" t="s">
        <v>2177</v>
      </c>
      <c r="L177" s="1" t="s">
        <v>2178</v>
      </c>
      <c r="M177" s="1" t="s">
        <v>2179</v>
      </c>
      <c r="N177" s="1" t="s">
        <v>2180</v>
      </c>
    </row>
    <row r="178">
      <c r="A178" s="1">
        <v>174.0</v>
      </c>
      <c r="B178" s="1">
        <v>81065.0</v>
      </c>
      <c r="C178" s="1" t="s">
        <v>2181</v>
      </c>
      <c r="D178" s="1" t="s">
        <v>1795</v>
      </c>
      <c r="E178" s="1" t="s">
        <v>647</v>
      </c>
      <c r="F178" s="1" t="s">
        <v>145</v>
      </c>
      <c r="G178" s="1" t="s">
        <v>2182</v>
      </c>
      <c r="H178" s="1" t="s">
        <v>2183</v>
      </c>
      <c r="I178" s="1" t="s">
        <v>2184</v>
      </c>
      <c r="J178" s="1" t="s">
        <v>2185</v>
      </c>
      <c r="K178" s="1" t="s">
        <v>2186</v>
      </c>
      <c r="L178" s="1" t="s">
        <v>2187</v>
      </c>
      <c r="M178" s="1" t="s">
        <v>2188</v>
      </c>
      <c r="N178" s="1" t="s">
        <v>2189</v>
      </c>
    </row>
    <row r="179">
      <c r="A179" s="1">
        <v>175.0</v>
      </c>
      <c r="B179" s="1">
        <v>6030.0</v>
      </c>
      <c r="C179" s="1" t="s">
        <v>2190</v>
      </c>
      <c r="D179" s="1" t="s">
        <v>575</v>
      </c>
      <c r="E179" s="1" t="s">
        <v>728</v>
      </c>
      <c r="F179" s="1" t="s">
        <v>545</v>
      </c>
      <c r="G179" s="1" t="s">
        <v>2191</v>
      </c>
      <c r="H179" s="1" t="s">
        <v>2192</v>
      </c>
      <c r="I179" s="1" t="s">
        <v>2193</v>
      </c>
      <c r="J179" s="1" t="s">
        <v>2194</v>
      </c>
      <c r="K179" s="1" t="s">
        <v>2195</v>
      </c>
      <c r="L179" s="1" t="s">
        <v>2196</v>
      </c>
      <c r="M179" s="1" t="s">
        <v>2197</v>
      </c>
      <c r="N179" s="1" t="s">
        <v>2198</v>
      </c>
    </row>
    <row r="180">
      <c r="A180" s="1">
        <v>176.0</v>
      </c>
      <c r="B180" s="1">
        <v>30007.0</v>
      </c>
      <c r="C180" s="1" t="s">
        <v>2199</v>
      </c>
      <c r="D180" s="1" t="s">
        <v>738</v>
      </c>
      <c r="E180" s="1" t="s">
        <v>647</v>
      </c>
      <c r="F180" s="1" t="s">
        <v>145</v>
      </c>
      <c r="G180" s="1" t="s">
        <v>2200</v>
      </c>
      <c r="H180" s="1" t="s">
        <v>2201</v>
      </c>
      <c r="I180" s="1" t="s">
        <v>2202</v>
      </c>
      <c r="J180" s="1" t="s">
        <v>2203</v>
      </c>
      <c r="K180" s="1" t="s">
        <v>2204</v>
      </c>
      <c r="L180" s="1" t="s">
        <v>2205</v>
      </c>
      <c r="M180" s="1" t="s">
        <v>2206</v>
      </c>
      <c r="N180" s="1" t="s">
        <v>2207</v>
      </c>
    </row>
    <row r="181">
      <c r="A181" s="1">
        <v>177.0</v>
      </c>
      <c r="B181" s="1">
        <v>62041.0</v>
      </c>
      <c r="C181" s="1" t="s">
        <v>2208</v>
      </c>
      <c r="D181" s="1" t="s">
        <v>1206</v>
      </c>
      <c r="E181" s="1" t="s">
        <v>544</v>
      </c>
      <c r="F181" s="1" t="s">
        <v>125</v>
      </c>
      <c r="G181" s="1" t="s">
        <v>2209</v>
      </c>
      <c r="H181" s="1" t="s">
        <v>2210</v>
      </c>
      <c r="I181" s="1" t="s">
        <v>2211</v>
      </c>
      <c r="J181" s="1" t="s">
        <v>2212</v>
      </c>
      <c r="K181" s="1" t="s">
        <v>2213</v>
      </c>
      <c r="L181" s="1" t="s">
        <v>2214</v>
      </c>
      <c r="M181" s="1" t="s">
        <v>2215</v>
      </c>
      <c r="N181" s="1" t="s">
        <v>2216</v>
      </c>
    </row>
    <row r="182">
      <c r="A182" s="1">
        <v>178.0</v>
      </c>
      <c r="B182" s="1">
        <v>16015.0</v>
      </c>
      <c r="C182" s="1" t="s">
        <v>2217</v>
      </c>
      <c r="D182" s="1" t="s">
        <v>2218</v>
      </c>
      <c r="E182" s="1" t="s">
        <v>544</v>
      </c>
      <c r="F182" s="1" t="s">
        <v>616</v>
      </c>
      <c r="G182" s="1" t="s">
        <v>2219</v>
      </c>
      <c r="H182" s="1" t="s">
        <v>2220</v>
      </c>
      <c r="I182" s="1" t="s">
        <v>2221</v>
      </c>
      <c r="J182" s="1" t="s">
        <v>2222</v>
      </c>
      <c r="K182" s="1" t="s">
        <v>2223</v>
      </c>
      <c r="L182" s="1" t="s">
        <v>1692</v>
      </c>
      <c r="M182" s="1" t="s">
        <v>2224</v>
      </c>
      <c r="N182" s="1" t="s">
        <v>2225</v>
      </c>
    </row>
    <row r="183">
      <c r="A183" s="1">
        <v>179.0</v>
      </c>
      <c r="B183" s="1">
        <v>1053.0</v>
      </c>
      <c r="C183" s="1" t="s">
        <v>2226</v>
      </c>
      <c r="D183" s="1" t="s">
        <v>2227</v>
      </c>
      <c r="E183" s="1" t="s">
        <v>544</v>
      </c>
      <c r="F183" s="1" t="s">
        <v>95</v>
      </c>
      <c r="G183" s="1" t="s">
        <v>2228</v>
      </c>
      <c r="H183" s="1" t="s">
        <v>2229</v>
      </c>
      <c r="I183" s="1" t="s">
        <v>2230</v>
      </c>
      <c r="J183" s="1" t="s">
        <v>2231</v>
      </c>
      <c r="K183" s="1" t="s">
        <v>2232</v>
      </c>
      <c r="L183" s="1" t="s">
        <v>2233</v>
      </c>
      <c r="M183" s="1" t="s">
        <v>2234</v>
      </c>
      <c r="N183" s="1" t="s">
        <v>2235</v>
      </c>
    </row>
    <row r="184">
      <c r="A184" s="1">
        <v>180.0</v>
      </c>
      <c r="B184" s="1">
        <v>92007.0</v>
      </c>
      <c r="C184" s="1" t="s">
        <v>2236</v>
      </c>
      <c r="D184" s="1" t="s">
        <v>828</v>
      </c>
      <c r="E184" s="1" t="s">
        <v>728</v>
      </c>
      <c r="F184" s="1" t="s">
        <v>130</v>
      </c>
      <c r="G184" s="1" t="s">
        <v>2237</v>
      </c>
      <c r="H184" s="1" t="s">
        <v>2238</v>
      </c>
      <c r="I184" s="1" t="s">
        <v>2239</v>
      </c>
      <c r="J184" s="1" t="s">
        <v>2240</v>
      </c>
      <c r="K184" s="1" t="s">
        <v>2241</v>
      </c>
      <c r="L184" s="1" t="s">
        <v>2242</v>
      </c>
      <c r="M184" s="1" t="s">
        <v>2243</v>
      </c>
      <c r="N184" s="1" t="s">
        <v>2244</v>
      </c>
    </row>
    <row r="185">
      <c r="A185" s="1">
        <v>181.0</v>
      </c>
      <c r="B185" s="1">
        <v>59650.0</v>
      </c>
      <c r="C185" s="1" t="s">
        <v>2245</v>
      </c>
      <c r="D185" s="1" t="s">
        <v>626</v>
      </c>
      <c r="E185" s="1" t="s">
        <v>728</v>
      </c>
      <c r="F185" s="1" t="s">
        <v>125</v>
      </c>
      <c r="G185" s="1" t="s">
        <v>2246</v>
      </c>
      <c r="H185" s="1" t="s">
        <v>2247</v>
      </c>
      <c r="I185" s="1" t="s">
        <v>2248</v>
      </c>
      <c r="J185" s="1" t="s">
        <v>2249</v>
      </c>
      <c r="K185" s="1" t="s">
        <v>2250</v>
      </c>
      <c r="L185" s="1" t="s">
        <v>2251</v>
      </c>
      <c r="M185" s="1" t="s">
        <v>2252</v>
      </c>
      <c r="N185" s="1" t="s">
        <v>2253</v>
      </c>
    </row>
    <row r="186">
      <c r="A186" s="1">
        <v>182.0</v>
      </c>
      <c r="B186" s="1">
        <v>77288.0</v>
      </c>
      <c r="C186" s="1" t="s">
        <v>2254</v>
      </c>
      <c r="D186" s="1" t="s">
        <v>1529</v>
      </c>
      <c r="E186" s="1" t="s">
        <v>544</v>
      </c>
      <c r="F186" s="1" t="s">
        <v>130</v>
      </c>
      <c r="G186" s="1" t="s">
        <v>2255</v>
      </c>
      <c r="H186" s="1" t="s">
        <v>2256</v>
      </c>
      <c r="I186" s="1" t="s">
        <v>2257</v>
      </c>
      <c r="J186" s="1" t="s">
        <v>2258</v>
      </c>
      <c r="K186" s="1" t="s">
        <v>2259</v>
      </c>
      <c r="L186" s="1" t="s">
        <v>2260</v>
      </c>
      <c r="M186" s="1" t="s">
        <v>2261</v>
      </c>
      <c r="N186" s="1" t="s">
        <v>2262</v>
      </c>
    </row>
    <row r="187">
      <c r="A187" s="1">
        <v>183.0</v>
      </c>
      <c r="B187" s="1">
        <v>57672.0</v>
      </c>
      <c r="C187" s="1" t="s">
        <v>2263</v>
      </c>
      <c r="D187" s="1" t="s">
        <v>848</v>
      </c>
      <c r="E187" s="1" t="s">
        <v>647</v>
      </c>
      <c r="F187" s="1" t="s">
        <v>120</v>
      </c>
      <c r="G187" s="1" t="s">
        <v>2264</v>
      </c>
      <c r="H187" s="1" t="s">
        <v>2265</v>
      </c>
      <c r="I187" s="1" t="s">
        <v>2266</v>
      </c>
      <c r="J187" s="1" t="s">
        <v>2267</v>
      </c>
      <c r="K187" s="1" t="s">
        <v>2268</v>
      </c>
      <c r="L187" s="1" t="s">
        <v>2269</v>
      </c>
      <c r="M187" s="1" t="s">
        <v>2270</v>
      </c>
      <c r="N187" s="1" t="s">
        <v>2271</v>
      </c>
    </row>
    <row r="188">
      <c r="A188" s="1">
        <v>184.0</v>
      </c>
      <c r="B188" s="1">
        <v>5061.0</v>
      </c>
      <c r="C188" s="1" t="s">
        <v>2272</v>
      </c>
      <c r="D188" s="1" t="s">
        <v>2273</v>
      </c>
      <c r="E188" s="1" t="s">
        <v>544</v>
      </c>
      <c r="F188" s="1" t="s">
        <v>545</v>
      </c>
      <c r="G188" s="1" t="s">
        <v>2274</v>
      </c>
      <c r="H188" s="1" t="s">
        <v>2275</v>
      </c>
      <c r="I188" s="1" t="s">
        <v>2276</v>
      </c>
      <c r="J188" s="1" t="s">
        <v>2277</v>
      </c>
      <c r="K188" s="1" t="s">
        <v>2278</v>
      </c>
      <c r="L188" s="1" t="s">
        <v>2279</v>
      </c>
      <c r="M188" s="1" t="s">
        <v>2280</v>
      </c>
      <c r="N188" s="1" t="s">
        <v>2281</v>
      </c>
    </row>
    <row r="189">
      <c r="A189" s="1">
        <v>185.0</v>
      </c>
      <c r="B189" s="1">
        <v>60159.0</v>
      </c>
      <c r="C189" s="1" t="s">
        <v>2282</v>
      </c>
      <c r="D189" s="1" t="s">
        <v>1502</v>
      </c>
      <c r="E189" s="1" t="s">
        <v>647</v>
      </c>
      <c r="F189" s="1" t="s">
        <v>125</v>
      </c>
      <c r="G189" s="1" t="s">
        <v>2283</v>
      </c>
      <c r="H189" s="1" t="s">
        <v>2284</v>
      </c>
      <c r="I189" s="1" t="s">
        <v>2285</v>
      </c>
      <c r="J189" s="1" t="s">
        <v>2286</v>
      </c>
      <c r="K189" s="1" t="s">
        <v>2287</v>
      </c>
      <c r="L189" s="1" t="s">
        <v>2288</v>
      </c>
      <c r="M189" s="1" t="s">
        <v>2289</v>
      </c>
      <c r="N189" s="1" t="s">
        <v>2290</v>
      </c>
    </row>
    <row r="190">
      <c r="A190" s="1">
        <v>186.0</v>
      </c>
      <c r="B190" s="1">
        <v>62160.0</v>
      </c>
      <c r="C190" s="1" t="s">
        <v>2291</v>
      </c>
      <c r="D190" s="1" t="s">
        <v>1206</v>
      </c>
      <c r="E190" s="1" t="s">
        <v>647</v>
      </c>
      <c r="F190" s="1" t="s">
        <v>125</v>
      </c>
      <c r="G190" s="1" t="s">
        <v>2292</v>
      </c>
      <c r="H190" s="1" t="s">
        <v>2293</v>
      </c>
      <c r="I190" s="1" t="s">
        <v>2294</v>
      </c>
      <c r="J190" s="1" t="s">
        <v>2295</v>
      </c>
      <c r="K190" s="1" t="s">
        <v>2296</v>
      </c>
      <c r="L190" s="1" t="s">
        <v>2297</v>
      </c>
      <c r="M190" s="1" t="s">
        <v>2298</v>
      </c>
      <c r="N190" s="1" t="s">
        <v>2299</v>
      </c>
    </row>
    <row r="191">
      <c r="A191" s="1">
        <v>187.0</v>
      </c>
      <c r="B191" s="1">
        <v>97213.0</v>
      </c>
      <c r="C191" s="1" t="s">
        <v>2300</v>
      </c>
      <c r="D191" s="1" t="s">
        <v>1159</v>
      </c>
      <c r="E191" s="1" t="s">
        <v>728</v>
      </c>
      <c r="F191" s="1" t="s">
        <v>1159</v>
      </c>
      <c r="G191" s="1" t="s">
        <v>2301</v>
      </c>
      <c r="H191" s="1" t="s">
        <v>2302</v>
      </c>
      <c r="I191" s="1" t="s">
        <v>2303</v>
      </c>
      <c r="J191" s="1" t="s">
        <v>2304</v>
      </c>
      <c r="K191" s="1" t="s">
        <v>2305</v>
      </c>
      <c r="L191" s="1" t="s">
        <v>2306</v>
      </c>
      <c r="M191" s="1" t="s">
        <v>2307</v>
      </c>
      <c r="N191" s="1" t="s">
        <v>2308</v>
      </c>
    </row>
    <row r="192">
      <c r="A192" s="1">
        <v>188.0</v>
      </c>
      <c r="B192" s="1">
        <v>31149.0</v>
      </c>
      <c r="C192" s="1" t="s">
        <v>2309</v>
      </c>
      <c r="D192" s="1" t="s">
        <v>565</v>
      </c>
      <c r="E192" s="1" t="s">
        <v>728</v>
      </c>
      <c r="F192" s="1" t="s">
        <v>145</v>
      </c>
      <c r="G192" s="1" t="s">
        <v>2310</v>
      </c>
      <c r="H192" s="1" t="s">
        <v>2311</v>
      </c>
      <c r="I192" s="1" t="s">
        <v>2312</v>
      </c>
      <c r="J192" s="1" t="s">
        <v>2313</v>
      </c>
      <c r="K192" s="1" t="s">
        <v>2314</v>
      </c>
      <c r="L192" s="1" t="s">
        <v>2315</v>
      </c>
      <c r="M192" s="1" t="s">
        <v>2316</v>
      </c>
      <c r="N192" s="1" t="s">
        <v>2317</v>
      </c>
    </row>
    <row r="193">
      <c r="A193" s="1">
        <v>189.0</v>
      </c>
      <c r="B193" s="1">
        <v>26198.0</v>
      </c>
      <c r="C193" s="1" t="s">
        <v>2318</v>
      </c>
      <c r="D193" s="1" t="s">
        <v>1344</v>
      </c>
      <c r="E193" s="1" t="s">
        <v>728</v>
      </c>
      <c r="F193" s="1" t="s">
        <v>95</v>
      </c>
      <c r="G193" s="1" t="s">
        <v>2319</v>
      </c>
      <c r="H193" s="1" t="s">
        <v>2320</v>
      </c>
      <c r="I193" s="1" t="s">
        <v>2321</v>
      </c>
      <c r="J193" s="1" t="s">
        <v>2322</v>
      </c>
      <c r="K193" s="1" t="s">
        <v>2323</v>
      </c>
      <c r="L193" s="1" t="s">
        <v>2098</v>
      </c>
      <c r="M193" s="1" t="s">
        <v>2324</v>
      </c>
      <c r="N193" s="1" t="s">
        <v>2325</v>
      </c>
    </row>
    <row r="194">
      <c r="A194" s="1">
        <v>190.0</v>
      </c>
      <c r="B194" s="1">
        <v>64024.0</v>
      </c>
      <c r="C194" s="1" t="s">
        <v>2326</v>
      </c>
      <c r="D194" s="1" t="s">
        <v>1169</v>
      </c>
      <c r="E194" s="1" t="s">
        <v>728</v>
      </c>
      <c r="F194" s="1" t="s">
        <v>616</v>
      </c>
      <c r="G194" s="1" t="s">
        <v>2327</v>
      </c>
      <c r="H194" s="1" t="s">
        <v>2328</v>
      </c>
      <c r="I194" s="1" t="s">
        <v>2329</v>
      </c>
      <c r="J194" s="1" t="s">
        <v>2330</v>
      </c>
      <c r="K194" s="1" t="s">
        <v>2331</v>
      </c>
      <c r="L194" s="1" t="s">
        <v>2332</v>
      </c>
      <c r="M194" s="1" t="s">
        <v>2333</v>
      </c>
      <c r="N194" s="1" t="s">
        <v>2334</v>
      </c>
    </row>
    <row r="195">
      <c r="A195" s="1">
        <v>191.0</v>
      </c>
      <c r="B195" s="1">
        <v>93032.0</v>
      </c>
      <c r="C195" s="1" t="s">
        <v>2335</v>
      </c>
      <c r="D195" s="1" t="s">
        <v>877</v>
      </c>
      <c r="E195" s="1" t="s">
        <v>728</v>
      </c>
      <c r="F195" s="1" t="s">
        <v>130</v>
      </c>
      <c r="G195" s="1" t="s">
        <v>2336</v>
      </c>
      <c r="H195" s="1" t="s">
        <v>2337</v>
      </c>
      <c r="I195" s="1" t="s">
        <v>2338</v>
      </c>
      <c r="J195" s="1" t="s">
        <v>2339</v>
      </c>
      <c r="K195" s="1" t="s">
        <v>2340</v>
      </c>
      <c r="L195" s="1" t="s">
        <v>2341</v>
      </c>
      <c r="M195" s="1" t="s">
        <v>2342</v>
      </c>
      <c r="N195" s="1" t="s">
        <v>2343</v>
      </c>
    </row>
    <row r="196">
      <c r="A196" s="1">
        <v>192.0</v>
      </c>
      <c r="B196" s="1">
        <v>59178.0</v>
      </c>
      <c r="C196" s="1" t="s">
        <v>2344</v>
      </c>
      <c r="D196" s="1" t="s">
        <v>626</v>
      </c>
      <c r="E196" s="1" t="s">
        <v>647</v>
      </c>
      <c r="F196" s="1" t="s">
        <v>125</v>
      </c>
      <c r="G196" s="1" t="s">
        <v>2345</v>
      </c>
      <c r="H196" s="1" t="s">
        <v>2346</v>
      </c>
      <c r="I196" s="1" t="s">
        <v>2347</v>
      </c>
      <c r="J196" s="1" t="s">
        <v>2348</v>
      </c>
      <c r="K196" s="1" t="s">
        <v>2349</v>
      </c>
      <c r="L196" s="1" t="s">
        <v>2350</v>
      </c>
      <c r="M196" s="1" t="s">
        <v>2351</v>
      </c>
      <c r="N196" s="1" t="s">
        <v>2352</v>
      </c>
    </row>
    <row r="197">
      <c r="A197" s="1">
        <v>193.0</v>
      </c>
      <c r="B197" s="1">
        <v>83050.0</v>
      </c>
      <c r="C197" s="1" t="s">
        <v>2353</v>
      </c>
      <c r="D197" s="1" t="s">
        <v>657</v>
      </c>
      <c r="E197" s="1" t="s">
        <v>647</v>
      </c>
      <c r="F197" s="1" t="s">
        <v>545</v>
      </c>
      <c r="G197" s="1" t="s">
        <v>2354</v>
      </c>
      <c r="H197" s="1" t="s">
        <v>2355</v>
      </c>
      <c r="I197" s="1" t="s">
        <v>2356</v>
      </c>
      <c r="J197" s="1" t="s">
        <v>2357</v>
      </c>
      <c r="K197" s="1" t="s">
        <v>2358</v>
      </c>
      <c r="L197" s="1" t="s">
        <v>2359</v>
      </c>
      <c r="M197" s="1" t="s">
        <v>2360</v>
      </c>
      <c r="N197" s="1" t="s">
        <v>2361</v>
      </c>
    </row>
    <row r="198">
      <c r="A198" s="1">
        <v>194.0</v>
      </c>
      <c r="B198" s="1">
        <v>78498.0</v>
      </c>
      <c r="C198" s="1" t="s">
        <v>2362</v>
      </c>
      <c r="D198" s="1" t="s">
        <v>1085</v>
      </c>
      <c r="E198" s="1" t="s">
        <v>728</v>
      </c>
      <c r="F198" s="1" t="s">
        <v>130</v>
      </c>
      <c r="G198" s="1" t="s">
        <v>2363</v>
      </c>
      <c r="H198" s="1" t="s">
        <v>2364</v>
      </c>
      <c r="I198" s="1" t="s">
        <v>2365</v>
      </c>
      <c r="J198" s="1" t="s">
        <v>2366</v>
      </c>
      <c r="K198" s="1" t="s">
        <v>2367</v>
      </c>
      <c r="L198" s="1" t="s">
        <v>2368</v>
      </c>
      <c r="M198" s="1" t="s">
        <v>2369</v>
      </c>
      <c r="N198" s="1" t="s">
        <v>2370</v>
      </c>
    </row>
    <row r="199">
      <c r="A199" s="1">
        <v>195.0</v>
      </c>
      <c r="B199" s="1">
        <v>28085.0</v>
      </c>
      <c r="C199" s="1" t="s">
        <v>2371</v>
      </c>
      <c r="D199" s="1" t="s">
        <v>2372</v>
      </c>
      <c r="E199" s="1" t="s">
        <v>544</v>
      </c>
      <c r="F199" s="1" t="s">
        <v>788</v>
      </c>
      <c r="G199" s="1" t="s">
        <v>2373</v>
      </c>
      <c r="H199" s="1" t="s">
        <v>2374</v>
      </c>
      <c r="I199" s="1" t="s">
        <v>2375</v>
      </c>
      <c r="J199" s="1" t="s">
        <v>2376</v>
      </c>
      <c r="K199" s="1" t="s">
        <v>2377</v>
      </c>
      <c r="L199" s="1" t="s">
        <v>2378</v>
      </c>
      <c r="M199" s="1" t="s">
        <v>2379</v>
      </c>
      <c r="N199" s="1" t="s">
        <v>2380</v>
      </c>
    </row>
    <row r="200">
      <c r="A200" s="1">
        <v>196.0</v>
      </c>
      <c r="B200" s="1">
        <v>59378.0</v>
      </c>
      <c r="C200" s="1" t="s">
        <v>2381</v>
      </c>
      <c r="D200" s="1" t="s">
        <v>626</v>
      </c>
      <c r="E200" s="1" t="s">
        <v>728</v>
      </c>
      <c r="F200" s="1" t="s">
        <v>125</v>
      </c>
      <c r="G200" s="1" t="s">
        <v>2382</v>
      </c>
      <c r="H200" s="1" t="s">
        <v>2383</v>
      </c>
      <c r="I200" s="1" t="s">
        <v>2384</v>
      </c>
      <c r="J200" s="1" t="s">
        <v>2385</v>
      </c>
      <c r="K200" s="1" t="s">
        <v>2386</v>
      </c>
      <c r="L200" s="1" t="s">
        <v>2387</v>
      </c>
      <c r="M200" s="1" t="s">
        <v>2388</v>
      </c>
      <c r="N200" s="1" t="s">
        <v>2389</v>
      </c>
    </row>
    <row r="201">
      <c r="A201" s="1">
        <v>197.0</v>
      </c>
      <c r="B201" s="1">
        <v>37122.0</v>
      </c>
      <c r="C201" s="1" t="s">
        <v>2390</v>
      </c>
      <c r="D201" s="1" t="s">
        <v>787</v>
      </c>
      <c r="E201" s="1" t="s">
        <v>728</v>
      </c>
      <c r="F201" s="1" t="s">
        <v>788</v>
      </c>
      <c r="G201" s="1" t="s">
        <v>2391</v>
      </c>
      <c r="H201" s="1" t="s">
        <v>2392</v>
      </c>
      <c r="I201" s="1" t="s">
        <v>2393</v>
      </c>
      <c r="J201" s="1" t="s">
        <v>2394</v>
      </c>
      <c r="K201" s="1" t="s">
        <v>2395</v>
      </c>
      <c r="L201" s="1" t="s">
        <v>2396</v>
      </c>
      <c r="M201" s="1" t="s">
        <v>2397</v>
      </c>
      <c r="N201" s="1" t="s">
        <v>2398</v>
      </c>
    </row>
    <row r="202">
      <c r="A202" s="1">
        <v>198.0</v>
      </c>
      <c r="B202" s="1">
        <v>93072.0</v>
      </c>
      <c r="C202" s="1" t="s">
        <v>2399</v>
      </c>
      <c r="D202" s="1" t="s">
        <v>877</v>
      </c>
      <c r="E202" s="1" t="s">
        <v>728</v>
      </c>
      <c r="F202" s="1" t="s">
        <v>130</v>
      </c>
      <c r="G202" s="1" t="s">
        <v>2400</v>
      </c>
      <c r="H202" s="1" t="s">
        <v>2401</v>
      </c>
      <c r="I202" s="1" t="s">
        <v>2402</v>
      </c>
      <c r="J202" s="1" t="s">
        <v>2403</v>
      </c>
      <c r="K202" s="1" t="s">
        <v>2404</v>
      </c>
      <c r="L202" s="1" t="s">
        <v>2405</v>
      </c>
      <c r="M202" s="1" t="s">
        <v>2406</v>
      </c>
      <c r="N202" s="1" t="s">
        <v>2407</v>
      </c>
    </row>
    <row r="203">
      <c r="A203" s="1">
        <v>199.0</v>
      </c>
      <c r="B203" s="1">
        <v>38421.0</v>
      </c>
      <c r="C203" s="1" t="s">
        <v>2408</v>
      </c>
      <c r="D203" s="1" t="s">
        <v>687</v>
      </c>
      <c r="E203" s="1" t="s">
        <v>728</v>
      </c>
      <c r="F203" s="1" t="s">
        <v>95</v>
      </c>
      <c r="G203" s="1" t="s">
        <v>2409</v>
      </c>
      <c r="H203" s="1" t="s">
        <v>2410</v>
      </c>
      <c r="I203" s="1" t="s">
        <v>2411</v>
      </c>
      <c r="J203" s="1" t="s">
        <v>2412</v>
      </c>
      <c r="K203" s="1" t="s">
        <v>2413</v>
      </c>
      <c r="L203" s="1" t="s">
        <v>2414</v>
      </c>
      <c r="M203" s="1" t="s">
        <v>2415</v>
      </c>
      <c r="N203" s="1" t="s">
        <v>2416</v>
      </c>
    </row>
    <row r="204">
      <c r="A204" s="1">
        <v>200.0</v>
      </c>
      <c r="B204" s="1">
        <v>97412.0</v>
      </c>
      <c r="C204" s="1" t="s">
        <v>2417</v>
      </c>
      <c r="D204" s="1" t="s">
        <v>718</v>
      </c>
      <c r="E204" s="1" t="s">
        <v>728</v>
      </c>
      <c r="F204" s="1" t="s">
        <v>718</v>
      </c>
      <c r="G204" s="1" t="s">
        <v>2418</v>
      </c>
      <c r="H204" s="1" t="s">
        <v>2419</v>
      </c>
      <c r="I204" s="1" t="s">
        <v>2420</v>
      </c>
      <c r="J204" s="1" t="s">
        <v>2421</v>
      </c>
      <c r="K204" s="1" t="s">
        <v>2422</v>
      </c>
      <c r="L204" s="1" t="s">
        <v>2423</v>
      </c>
      <c r="M204" s="1" t="s">
        <v>2424</v>
      </c>
      <c r="N204" s="1" t="s">
        <v>2425</v>
      </c>
    </row>
    <row r="205">
      <c r="A205" s="1">
        <v>201.0</v>
      </c>
      <c r="B205" s="1">
        <v>93078.0</v>
      </c>
      <c r="C205" s="1" t="s">
        <v>2426</v>
      </c>
      <c r="D205" s="1" t="s">
        <v>877</v>
      </c>
      <c r="E205" s="1" t="s">
        <v>728</v>
      </c>
      <c r="F205" s="1" t="s">
        <v>130</v>
      </c>
      <c r="G205" s="1" t="s">
        <v>2427</v>
      </c>
      <c r="H205" s="1" t="s">
        <v>2428</v>
      </c>
      <c r="I205" s="1" t="s">
        <v>2429</v>
      </c>
      <c r="J205" s="1" t="s">
        <v>2430</v>
      </c>
      <c r="K205" s="1" t="s">
        <v>2431</v>
      </c>
      <c r="L205" s="1" t="s">
        <v>2432</v>
      </c>
      <c r="M205" s="1" t="s">
        <v>2433</v>
      </c>
      <c r="N205" s="1" t="s">
        <v>2434</v>
      </c>
    </row>
    <row r="206">
      <c r="A206" s="1">
        <v>202.0</v>
      </c>
      <c r="B206" s="1">
        <v>77373.0</v>
      </c>
      <c r="C206" s="1" t="s">
        <v>2435</v>
      </c>
      <c r="D206" s="1" t="s">
        <v>1529</v>
      </c>
      <c r="E206" s="1" t="s">
        <v>728</v>
      </c>
      <c r="F206" s="1" t="s">
        <v>130</v>
      </c>
      <c r="G206" s="1" t="s">
        <v>2436</v>
      </c>
      <c r="H206" s="1" t="s">
        <v>2437</v>
      </c>
      <c r="I206" s="1" t="s">
        <v>2438</v>
      </c>
      <c r="J206" s="1" t="s">
        <v>2439</v>
      </c>
      <c r="K206" s="1" t="s">
        <v>2440</v>
      </c>
      <c r="L206" s="1" t="s">
        <v>2441</v>
      </c>
      <c r="M206" s="1" t="s">
        <v>2442</v>
      </c>
      <c r="N206" s="1" t="s">
        <v>2443</v>
      </c>
    </row>
    <row r="207">
      <c r="A207" s="1">
        <v>203.0</v>
      </c>
      <c r="B207" s="1">
        <v>95252.0</v>
      </c>
      <c r="C207" s="1" t="s">
        <v>2444</v>
      </c>
      <c r="D207" s="1" t="s">
        <v>905</v>
      </c>
      <c r="E207" s="1" t="s">
        <v>728</v>
      </c>
      <c r="F207" s="1" t="s">
        <v>130</v>
      </c>
      <c r="G207" s="1" t="s">
        <v>2445</v>
      </c>
      <c r="H207" s="1" t="s">
        <v>2446</v>
      </c>
      <c r="I207" s="1" t="s">
        <v>2447</v>
      </c>
      <c r="J207" s="1" t="s">
        <v>2448</v>
      </c>
      <c r="K207" s="1" t="s">
        <v>2449</v>
      </c>
      <c r="L207" s="1" t="s">
        <v>2450</v>
      </c>
      <c r="M207" s="1" t="s">
        <v>2451</v>
      </c>
      <c r="N207" s="1" t="s">
        <v>2452</v>
      </c>
    </row>
    <row r="208">
      <c r="A208" s="1">
        <v>204.0</v>
      </c>
      <c r="B208" s="1">
        <v>97410.0</v>
      </c>
      <c r="C208" s="1" t="s">
        <v>2453</v>
      </c>
      <c r="D208" s="1" t="s">
        <v>718</v>
      </c>
      <c r="E208" s="1" t="s">
        <v>647</v>
      </c>
      <c r="F208" s="1" t="s">
        <v>718</v>
      </c>
      <c r="G208" s="1" t="s">
        <v>2454</v>
      </c>
      <c r="H208" s="1" t="s">
        <v>2455</v>
      </c>
      <c r="I208" s="1" t="s">
        <v>2449</v>
      </c>
      <c r="J208" s="1" t="s">
        <v>2456</v>
      </c>
      <c r="K208" s="1" t="s">
        <v>2457</v>
      </c>
      <c r="L208" s="1" t="s">
        <v>2458</v>
      </c>
      <c r="M208" s="1" t="s">
        <v>2459</v>
      </c>
      <c r="N208" s="1" t="s">
        <v>2460</v>
      </c>
    </row>
    <row r="209">
      <c r="A209" s="1">
        <v>205.0</v>
      </c>
      <c r="B209" s="1">
        <v>38151.0</v>
      </c>
      <c r="C209" s="1" t="s">
        <v>2461</v>
      </c>
      <c r="D209" s="1" t="s">
        <v>687</v>
      </c>
      <c r="E209" s="1" t="s">
        <v>728</v>
      </c>
      <c r="F209" s="1" t="s">
        <v>95</v>
      </c>
      <c r="G209" s="1" t="s">
        <v>2462</v>
      </c>
      <c r="H209" s="1" t="s">
        <v>2463</v>
      </c>
      <c r="I209" s="1" t="s">
        <v>2464</v>
      </c>
      <c r="J209" s="1" t="s">
        <v>2465</v>
      </c>
      <c r="K209" s="1" t="s">
        <v>2466</v>
      </c>
      <c r="L209" s="1" t="s">
        <v>2467</v>
      </c>
      <c r="M209" s="1" t="s">
        <v>2468</v>
      </c>
      <c r="N209" s="1" t="s">
        <v>2469</v>
      </c>
    </row>
    <row r="210">
      <c r="A210" s="1">
        <v>206.0</v>
      </c>
      <c r="B210" s="1">
        <v>33550.0</v>
      </c>
      <c r="C210" s="1" t="s">
        <v>2470</v>
      </c>
      <c r="D210" s="1" t="s">
        <v>615</v>
      </c>
      <c r="E210" s="1" t="s">
        <v>728</v>
      </c>
      <c r="F210" s="1" t="s">
        <v>616</v>
      </c>
      <c r="G210" s="1" t="s">
        <v>2471</v>
      </c>
      <c r="H210" s="1" t="s">
        <v>2472</v>
      </c>
      <c r="I210" s="1" t="s">
        <v>2473</v>
      </c>
      <c r="J210" s="1" t="s">
        <v>2474</v>
      </c>
      <c r="K210" s="1" t="s">
        <v>2475</v>
      </c>
      <c r="L210" s="1" t="s">
        <v>2476</v>
      </c>
      <c r="M210" s="1" t="s">
        <v>2477</v>
      </c>
      <c r="N210" s="1" t="s">
        <v>2478</v>
      </c>
    </row>
    <row r="211">
      <c r="A211" s="1">
        <v>207.0</v>
      </c>
      <c r="B211" s="1">
        <v>92020.0</v>
      </c>
      <c r="C211" s="1" t="s">
        <v>2479</v>
      </c>
      <c r="D211" s="1" t="s">
        <v>828</v>
      </c>
      <c r="E211" s="1" t="s">
        <v>728</v>
      </c>
      <c r="F211" s="1" t="s">
        <v>130</v>
      </c>
      <c r="G211" s="1" t="s">
        <v>2480</v>
      </c>
      <c r="H211" s="1" t="s">
        <v>2481</v>
      </c>
      <c r="I211" s="1" t="s">
        <v>2482</v>
      </c>
      <c r="J211" s="1" t="s">
        <v>2483</v>
      </c>
      <c r="K211" s="1" t="s">
        <v>2484</v>
      </c>
      <c r="L211" s="1" t="s">
        <v>2485</v>
      </c>
      <c r="M211" s="1" t="s">
        <v>2486</v>
      </c>
      <c r="N211" s="1" t="s">
        <v>2487</v>
      </c>
    </row>
    <row r="212">
      <c r="A212" s="1">
        <v>208.0</v>
      </c>
      <c r="B212" s="1">
        <v>74012.0</v>
      </c>
      <c r="C212" s="1" t="s">
        <v>2488</v>
      </c>
      <c r="D212" s="1" t="s">
        <v>818</v>
      </c>
      <c r="E212" s="1" t="s">
        <v>728</v>
      </c>
      <c r="F212" s="1" t="s">
        <v>95</v>
      </c>
      <c r="G212" s="1" t="s">
        <v>2489</v>
      </c>
      <c r="H212" s="1" t="s">
        <v>2490</v>
      </c>
      <c r="I212" s="1" t="s">
        <v>2491</v>
      </c>
      <c r="J212" s="1" t="s">
        <v>2492</v>
      </c>
      <c r="K212" s="1" t="s">
        <v>2493</v>
      </c>
      <c r="L212" s="1" t="s">
        <v>2494</v>
      </c>
      <c r="M212" s="1" t="s">
        <v>2495</v>
      </c>
      <c r="N212" s="1" t="s">
        <v>2496</v>
      </c>
    </row>
    <row r="213">
      <c r="A213" s="1">
        <v>209.0</v>
      </c>
      <c r="B213" s="1">
        <v>91589.0</v>
      </c>
      <c r="C213" s="1" t="s">
        <v>2497</v>
      </c>
      <c r="D213" s="1" t="s">
        <v>1297</v>
      </c>
      <c r="E213" s="1" t="s">
        <v>728</v>
      </c>
      <c r="F213" s="1" t="s">
        <v>130</v>
      </c>
      <c r="G213" s="1" t="s">
        <v>2498</v>
      </c>
      <c r="H213" s="1" t="s">
        <v>2499</v>
      </c>
      <c r="I213" s="1" t="s">
        <v>2500</v>
      </c>
      <c r="J213" s="1" t="s">
        <v>2501</v>
      </c>
      <c r="K213" s="1" t="s">
        <v>2502</v>
      </c>
      <c r="L213" s="1" t="s">
        <v>2503</v>
      </c>
      <c r="M213" s="1" t="s">
        <v>2504</v>
      </c>
      <c r="N213" s="1" t="s">
        <v>2505</v>
      </c>
    </row>
    <row r="214">
      <c r="A214" s="1">
        <v>210.0</v>
      </c>
      <c r="B214" s="1">
        <v>93073.0</v>
      </c>
      <c r="C214" s="1" t="s">
        <v>2506</v>
      </c>
      <c r="D214" s="1" t="s">
        <v>877</v>
      </c>
      <c r="E214" s="1" t="s">
        <v>728</v>
      </c>
      <c r="F214" s="1" t="s">
        <v>130</v>
      </c>
      <c r="G214" s="1" t="s">
        <v>2507</v>
      </c>
      <c r="H214" s="1" t="s">
        <v>2508</v>
      </c>
      <c r="I214" s="1" t="s">
        <v>2509</v>
      </c>
      <c r="J214" s="1" t="s">
        <v>2510</v>
      </c>
      <c r="K214" s="1" t="s">
        <v>2511</v>
      </c>
      <c r="L214" s="1" t="s">
        <v>2512</v>
      </c>
      <c r="M214" s="1" t="s">
        <v>2513</v>
      </c>
      <c r="N214" s="1" t="s">
        <v>2513</v>
      </c>
    </row>
    <row r="215">
      <c r="A215" s="1">
        <v>211.0</v>
      </c>
      <c r="B215" s="1">
        <v>69264.0</v>
      </c>
      <c r="C215" s="1" t="s">
        <v>2514</v>
      </c>
      <c r="D215" s="1" t="s">
        <v>2515</v>
      </c>
      <c r="E215" s="1" t="s">
        <v>647</v>
      </c>
      <c r="F215" s="1" t="s">
        <v>95</v>
      </c>
      <c r="G215" s="1" t="s">
        <v>2516</v>
      </c>
      <c r="H215" s="1" t="s">
        <v>2517</v>
      </c>
      <c r="I215" s="1" t="s">
        <v>2518</v>
      </c>
      <c r="J215" s="1" t="s">
        <v>2519</v>
      </c>
      <c r="K215" s="1" t="s">
        <v>2520</v>
      </c>
      <c r="L215" s="1" t="s">
        <v>2521</v>
      </c>
      <c r="M215" s="1" t="s">
        <v>2522</v>
      </c>
      <c r="N215" s="1" t="s">
        <v>2523</v>
      </c>
    </row>
    <row r="216">
      <c r="A216" s="1">
        <v>212.0</v>
      </c>
      <c r="B216" s="1">
        <v>60175.0</v>
      </c>
      <c r="C216" s="1" t="s">
        <v>2524</v>
      </c>
      <c r="D216" s="1" t="s">
        <v>1502</v>
      </c>
      <c r="E216" s="1" t="s">
        <v>728</v>
      </c>
      <c r="F216" s="1" t="s">
        <v>125</v>
      </c>
      <c r="G216" s="1" t="s">
        <v>2525</v>
      </c>
      <c r="H216" s="1" t="s">
        <v>2526</v>
      </c>
      <c r="I216" s="1" t="s">
        <v>2527</v>
      </c>
      <c r="J216" s="1" t="s">
        <v>2528</v>
      </c>
      <c r="K216" s="1" t="s">
        <v>2529</v>
      </c>
      <c r="L216" s="1" t="s">
        <v>2530</v>
      </c>
      <c r="M216" s="1" t="s">
        <v>2531</v>
      </c>
      <c r="N216" s="1" t="s">
        <v>2532</v>
      </c>
    </row>
    <row r="217">
      <c r="A217" s="1">
        <v>213.0</v>
      </c>
      <c r="B217" s="1">
        <v>93006.0</v>
      </c>
      <c r="C217" s="1" t="s">
        <v>2533</v>
      </c>
      <c r="D217" s="1" t="s">
        <v>877</v>
      </c>
      <c r="E217" s="1" t="s">
        <v>728</v>
      </c>
      <c r="F217" s="1" t="s">
        <v>130</v>
      </c>
      <c r="G217" s="1" t="s">
        <v>2534</v>
      </c>
      <c r="H217" s="1" t="s">
        <v>2535</v>
      </c>
      <c r="I217" s="1" t="s">
        <v>2536</v>
      </c>
      <c r="J217" s="1" t="s">
        <v>2537</v>
      </c>
      <c r="K217" s="1" t="s">
        <v>2538</v>
      </c>
      <c r="L217" s="1" t="s">
        <v>2539</v>
      </c>
      <c r="M217" s="1" t="s">
        <v>2540</v>
      </c>
      <c r="N217" s="1" t="s">
        <v>2541</v>
      </c>
    </row>
    <row r="218">
      <c r="A218" s="1">
        <v>214.0</v>
      </c>
      <c r="B218" s="1">
        <v>83118.0</v>
      </c>
      <c r="C218" s="1" t="s">
        <v>2542</v>
      </c>
      <c r="D218" s="1" t="s">
        <v>657</v>
      </c>
      <c r="E218" s="1" t="s">
        <v>728</v>
      </c>
      <c r="F218" s="1" t="s">
        <v>545</v>
      </c>
      <c r="G218" s="1" t="s">
        <v>2543</v>
      </c>
      <c r="H218" s="1" t="s">
        <v>2544</v>
      </c>
      <c r="I218" s="1" t="s">
        <v>2545</v>
      </c>
      <c r="J218" s="1" t="s">
        <v>2546</v>
      </c>
      <c r="K218" s="1" t="s">
        <v>2547</v>
      </c>
      <c r="L218" s="1" t="s">
        <v>2548</v>
      </c>
      <c r="M218" s="1" t="s">
        <v>2549</v>
      </c>
      <c r="N218" s="1" t="s">
        <v>2550</v>
      </c>
    </row>
    <row r="219">
      <c r="A219" s="1">
        <v>215.0</v>
      </c>
      <c r="B219" s="1">
        <v>13028.0</v>
      </c>
      <c r="C219" s="1" t="s">
        <v>2551</v>
      </c>
      <c r="D219" s="1" t="s">
        <v>543</v>
      </c>
      <c r="E219" s="1" t="s">
        <v>728</v>
      </c>
      <c r="F219" s="1" t="s">
        <v>545</v>
      </c>
      <c r="G219" s="1" t="s">
        <v>2552</v>
      </c>
      <c r="H219" s="1" t="s">
        <v>2553</v>
      </c>
      <c r="I219" s="1" t="s">
        <v>2554</v>
      </c>
      <c r="J219" s="1" t="s">
        <v>2555</v>
      </c>
      <c r="K219" s="1" t="s">
        <v>2556</v>
      </c>
      <c r="L219" s="1" t="s">
        <v>2557</v>
      </c>
      <c r="M219" s="1" t="s">
        <v>2558</v>
      </c>
      <c r="N219" s="1" t="s">
        <v>2559</v>
      </c>
    </row>
    <row r="220">
      <c r="A220" s="1">
        <v>216.0</v>
      </c>
      <c r="B220" s="1">
        <v>93050.0</v>
      </c>
      <c r="C220" s="1" t="s">
        <v>2560</v>
      </c>
      <c r="D220" s="1" t="s">
        <v>877</v>
      </c>
      <c r="E220" s="1" t="s">
        <v>728</v>
      </c>
      <c r="F220" s="1" t="s">
        <v>130</v>
      </c>
      <c r="G220" s="1" t="s">
        <v>2561</v>
      </c>
      <c r="H220" s="1" t="s">
        <v>2562</v>
      </c>
      <c r="I220" s="1" t="s">
        <v>2563</v>
      </c>
      <c r="J220" s="1" t="s">
        <v>2564</v>
      </c>
      <c r="K220" s="1" t="s">
        <v>2565</v>
      </c>
      <c r="L220" s="1" t="s">
        <v>2566</v>
      </c>
      <c r="M220" s="1" t="s">
        <v>2567</v>
      </c>
      <c r="N220" s="1" t="s">
        <v>2568</v>
      </c>
    </row>
    <row r="221">
      <c r="A221" s="1" t="s">
        <v>990</v>
      </c>
      <c r="B221" s="1">
        <v>98805.0</v>
      </c>
      <c r="C221" s="1" t="s">
        <v>2569</v>
      </c>
      <c r="D221" s="1" t="s">
        <v>992</v>
      </c>
      <c r="G221" s="1" t="s">
        <v>2570</v>
      </c>
      <c r="H221" s="1" t="s">
        <v>2571</v>
      </c>
      <c r="I221" s="1" t="s">
        <v>2572</v>
      </c>
      <c r="J221" s="1" t="s">
        <v>2573</v>
      </c>
      <c r="K221" s="1" t="s">
        <v>2574</v>
      </c>
      <c r="L221" s="1" t="s">
        <v>2575</v>
      </c>
      <c r="M221" s="1" t="s">
        <v>2576</v>
      </c>
      <c r="N221" s="1" t="s">
        <v>2577</v>
      </c>
    </row>
    <row r="222">
      <c r="A222" s="1">
        <v>217.0</v>
      </c>
      <c r="B222" s="1">
        <v>91549.0</v>
      </c>
      <c r="C222" s="1" t="s">
        <v>2578</v>
      </c>
      <c r="D222" s="1" t="s">
        <v>1297</v>
      </c>
      <c r="E222" s="1" t="s">
        <v>728</v>
      </c>
      <c r="F222" s="1" t="s">
        <v>130</v>
      </c>
      <c r="G222" s="1" t="s">
        <v>2579</v>
      </c>
      <c r="H222" s="1" t="s">
        <v>2580</v>
      </c>
      <c r="I222" s="1" t="s">
        <v>2581</v>
      </c>
      <c r="J222" s="1" t="s">
        <v>2582</v>
      </c>
      <c r="K222" s="1" t="s">
        <v>2583</v>
      </c>
      <c r="L222" s="1" t="s">
        <v>2584</v>
      </c>
      <c r="M222" s="1" t="s">
        <v>2585</v>
      </c>
      <c r="N222" s="1" t="s">
        <v>2586</v>
      </c>
    </row>
    <row r="223">
      <c r="A223" s="1">
        <v>218.0</v>
      </c>
      <c r="B223" s="1">
        <v>74281.0</v>
      </c>
      <c r="C223" s="1" t="s">
        <v>2587</v>
      </c>
      <c r="D223" s="1" t="s">
        <v>818</v>
      </c>
      <c r="E223" s="1" t="s">
        <v>647</v>
      </c>
      <c r="F223" s="1" t="s">
        <v>95</v>
      </c>
      <c r="G223" s="1" t="s">
        <v>2588</v>
      </c>
      <c r="H223" s="1" t="s">
        <v>2589</v>
      </c>
      <c r="I223" s="1" t="s">
        <v>2590</v>
      </c>
      <c r="J223" s="1" t="s">
        <v>2591</v>
      </c>
      <c r="K223" s="1" t="s">
        <v>2592</v>
      </c>
      <c r="L223" s="1" t="s">
        <v>2593</v>
      </c>
      <c r="M223" s="1" t="s">
        <v>2594</v>
      </c>
      <c r="N223" s="1" t="s">
        <v>2595</v>
      </c>
    </row>
    <row r="224">
      <c r="A224" s="1">
        <v>219.0</v>
      </c>
      <c r="B224" s="1">
        <v>91027.0</v>
      </c>
      <c r="C224" s="1" t="s">
        <v>2596</v>
      </c>
      <c r="D224" s="1" t="s">
        <v>1297</v>
      </c>
      <c r="E224" s="1" t="s">
        <v>728</v>
      </c>
      <c r="F224" s="1" t="s">
        <v>130</v>
      </c>
      <c r="G224" s="1" t="s">
        <v>2597</v>
      </c>
      <c r="H224" s="1" t="s">
        <v>2598</v>
      </c>
      <c r="I224" s="1" t="s">
        <v>2519</v>
      </c>
      <c r="J224" s="1" t="s">
        <v>2599</v>
      </c>
      <c r="K224" s="1" t="s">
        <v>2600</v>
      </c>
      <c r="L224" s="1" t="s">
        <v>2601</v>
      </c>
      <c r="M224" s="1" t="s">
        <v>2602</v>
      </c>
      <c r="N224" s="1" t="s">
        <v>2603</v>
      </c>
    </row>
    <row r="225">
      <c r="A225" s="1">
        <v>220.0</v>
      </c>
      <c r="B225" s="1">
        <v>78172.0</v>
      </c>
      <c r="C225" s="1" t="s">
        <v>2604</v>
      </c>
      <c r="D225" s="1" t="s">
        <v>1085</v>
      </c>
      <c r="E225" s="1" t="s">
        <v>728</v>
      </c>
      <c r="F225" s="1" t="s">
        <v>130</v>
      </c>
      <c r="G225" s="1" t="s">
        <v>2605</v>
      </c>
      <c r="H225" s="1" t="s">
        <v>2606</v>
      </c>
      <c r="I225" s="1" t="s">
        <v>2607</v>
      </c>
      <c r="J225" s="1" t="s">
        <v>2608</v>
      </c>
      <c r="K225" s="1" t="s">
        <v>2609</v>
      </c>
      <c r="L225" s="1" t="s">
        <v>2610</v>
      </c>
      <c r="M225" s="1" t="s">
        <v>2611</v>
      </c>
      <c r="N225" s="1" t="s">
        <v>2612</v>
      </c>
    </row>
    <row r="226">
      <c r="A226" s="1">
        <v>221.0</v>
      </c>
      <c r="B226" s="1">
        <v>91477.0</v>
      </c>
      <c r="C226" s="1" t="s">
        <v>2613</v>
      </c>
      <c r="D226" s="1" t="s">
        <v>1297</v>
      </c>
      <c r="E226" s="1" t="s">
        <v>647</v>
      </c>
      <c r="F226" s="1" t="s">
        <v>130</v>
      </c>
      <c r="G226" s="1" t="s">
        <v>2614</v>
      </c>
      <c r="H226" s="1" t="s">
        <v>2615</v>
      </c>
      <c r="I226" s="1" t="s">
        <v>2616</v>
      </c>
      <c r="J226" s="1" t="s">
        <v>2617</v>
      </c>
      <c r="K226" s="1" t="s">
        <v>2618</v>
      </c>
      <c r="L226" s="1" t="s">
        <v>2619</v>
      </c>
      <c r="M226" s="1" t="s">
        <v>2620</v>
      </c>
      <c r="N226" s="1" t="s">
        <v>2621</v>
      </c>
    </row>
    <row r="227">
      <c r="A227" s="1">
        <v>222.0</v>
      </c>
      <c r="B227" s="1">
        <v>67180.0</v>
      </c>
      <c r="C227" s="1" t="s">
        <v>2622</v>
      </c>
      <c r="D227" s="1" t="s">
        <v>605</v>
      </c>
      <c r="E227" s="1" t="s">
        <v>647</v>
      </c>
      <c r="F227" s="1" t="s">
        <v>120</v>
      </c>
      <c r="G227" s="1" t="s">
        <v>2623</v>
      </c>
      <c r="H227" s="1" t="s">
        <v>2624</v>
      </c>
      <c r="I227" s="1" t="s">
        <v>2625</v>
      </c>
      <c r="J227" s="1" t="s">
        <v>2626</v>
      </c>
      <c r="K227" s="1" t="s">
        <v>2627</v>
      </c>
      <c r="L227" s="1" t="s">
        <v>2628</v>
      </c>
      <c r="M227" s="1" t="s">
        <v>2629</v>
      </c>
      <c r="N227" s="1" t="s">
        <v>2630</v>
      </c>
    </row>
    <row r="228">
      <c r="A228" s="1">
        <v>223.0</v>
      </c>
      <c r="B228" s="1">
        <v>94078.0</v>
      </c>
      <c r="C228" s="1" t="s">
        <v>2631</v>
      </c>
      <c r="D228" s="1" t="s">
        <v>981</v>
      </c>
      <c r="E228" s="1" t="s">
        <v>728</v>
      </c>
      <c r="F228" s="1" t="s">
        <v>130</v>
      </c>
      <c r="G228" s="1" t="s">
        <v>2632</v>
      </c>
      <c r="H228" s="1" t="s">
        <v>2633</v>
      </c>
      <c r="I228" s="1" t="s">
        <v>2634</v>
      </c>
      <c r="J228" s="1" t="s">
        <v>2635</v>
      </c>
      <c r="K228" s="1" t="s">
        <v>2636</v>
      </c>
      <c r="L228" s="1" t="s">
        <v>2637</v>
      </c>
      <c r="M228" s="1" t="s">
        <v>2638</v>
      </c>
      <c r="N228" s="1" t="s">
        <v>2639</v>
      </c>
    </row>
    <row r="229">
      <c r="A229" s="1">
        <v>224.0</v>
      </c>
      <c r="B229" s="1">
        <v>42207.0</v>
      </c>
      <c r="C229" s="1" t="s">
        <v>2640</v>
      </c>
      <c r="D229" s="1" t="s">
        <v>667</v>
      </c>
      <c r="E229" s="1" t="s">
        <v>728</v>
      </c>
      <c r="F229" s="1" t="s">
        <v>95</v>
      </c>
      <c r="G229" s="1" t="s">
        <v>2641</v>
      </c>
      <c r="H229" s="1" t="s">
        <v>2642</v>
      </c>
      <c r="I229" s="1" t="s">
        <v>2643</v>
      </c>
      <c r="J229" s="1" t="s">
        <v>2644</v>
      </c>
      <c r="K229" s="1" t="s">
        <v>2645</v>
      </c>
      <c r="L229" s="1" t="s">
        <v>2646</v>
      </c>
      <c r="M229" s="1" t="s">
        <v>2647</v>
      </c>
      <c r="N229" s="1" t="s">
        <v>2648</v>
      </c>
    </row>
    <row r="230">
      <c r="A230" s="1">
        <v>225.0</v>
      </c>
      <c r="B230" s="1">
        <v>69282.0</v>
      </c>
      <c r="C230" s="1" t="s">
        <v>2649</v>
      </c>
      <c r="D230" s="1" t="s">
        <v>555</v>
      </c>
      <c r="E230" s="1" t="s">
        <v>728</v>
      </c>
      <c r="F230" s="1" t="s">
        <v>95</v>
      </c>
      <c r="G230" s="1" t="s">
        <v>2650</v>
      </c>
      <c r="H230" s="1" t="s">
        <v>2651</v>
      </c>
      <c r="I230" s="1" t="s">
        <v>2652</v>
      </c>
      <c r="J230" s="1" t="s">
        <v>2653</v>
      </c>
      <c r="K230" s="1" t="s">
        <v>2654</v>
      </c>
      <c r="L230" s="1" t="s">
        <v>2655</v>
      </c>
      <c r="M230" s="1" t="s">
        <v>2656</v>
      </c>
      <c r="N230" s="1" t="s">
        <v>2657</v>
      </c>
    </row>
    <row r="231">
      <c r="A231" s="1">
        <v>226.0</v>
      </c>
      <c r="B231" s="1">
        <v>83129.0</v>
      </c>
      <c r="C231" s="1" t="s">
        <v>2658</v>
      </c>
      <c r="D231" s="1" t="s">
        <v>657</v>
      </c>
      <c r="E231" s="1" t="s">
        <v>728</v>
      </c>
      <c r="F231" s="1" t="s">
        <v>545</v>
      </c>
      <c r="G231" s="1" t="s">
        <v>2659</v>
      </c>
      <c r="H231" s="1" t="s">
        <v>2660</v>
      </c>
      <c r="I231" s="1" t="s">
        <v>2661</v>
      </c>
      <c r="J231" s="1" t="s">
        <v>2662</v>
      </c>
      <c r="K231" s="1" t="s">
        <v>2663</v>
      </c>
      <c r="L231" s="1" t="s">
        <v>2664</v>
      </c>
      <c r="M231" s="1" t="s">
        <v>2665</v>
      </c>
      <c r="N231" s="1" t="s">
        <v>2666</v>
      </c>
    </row>
    <row r="232">
      <c r="A232" s="1">
        <v>227.0</v>
      </c>
      <c r="B232" s="1">
        <v>97413.0</v>
      </c>
      <c r="C232" s="1" t="s">
        <v>2667</v>
      </c>
      <c r="D232" s="1" t="s">
        <v>718</v>
      </c>
      <c r="E232" s="1" t="s">
        <v>728</v>
      </c>
      <c r="F232" s="1" t="s">
        <v>718</v>
      </c>
      <c r="G232" s="1" t="s">
        <v>2668</v>
      </c>
      <c r="H232" s="1" t="s">
        <v>2669</v>
      </c>
      <c r="I232" s="1" t="s">
        <v>2670</v>
      </c>
      <c r="J232" s="1" t="s">
        <v>2671</v>
      </c>
      <c r="K232" s="1" t="s">
        <v>2672</v>
      </c>
      <c r="L232" s="1" t="s">
        <v>2673</v>
      </c>
      <c r="M232" s="1" t="s">
        <v>2674</v>
      </c>
      <c r="N232" s="1" t="s">
        <v>2675</v>
      </c>
    </row>
    <row r="233">
      <c r="A233" s="1">
        <v>228.0</v>
      </c>
      <c r="B233" s="1">
        <v>89024.0</v>
      </c>
      <c r="C233" s="1" t="s">
        <v>2676</v>
      </c>
      <c r="D233" s="1" t="s">
        <v>2677</v>
      </c>
      <c r="E233" s="1" t="s">
        <v>544</v>
      </c>
      <c r="F233" s="1" t="s">
        <v>698</v>
      </c>
      <c r="G233" s="1" t="s">
        <v>2678</v>
      </c>
      <c r="H233" s="1" t="s">
        <v>2679</v>
      </c>
      <c r="I233" s="1" t="s">
        <v>2680</v>
      </c>
      <c r="J233" s="1" t="s">
        <v>2681</v>
      </c>
      <c r="K233" s="1" t="s">
        <v>2682</v>
      </c>
      <c r="L233" s="1" t="s">
        <v>2683</v>
      </c>
      <c r="M233" s="1" t="s">
        <v>2338</v>
      </c>
      <c r="N233" s="1" t="s">
        <v>1961</v>
      </c>
    </row>
    <row r="234">
      <c r="A234" s="1">
        <v>229.0</v>
      </c>
      <c r="B234" s="1">
        <v>3185.0</v>
      </c>
      <c r="C234" s="1" t="s">
        <v>2684</v>
      </c>
      <c r="D234" s="1" t="s">
        <v>2685</v>
      </c>
      <c r="E234" s="1" t="s">
        <v>647</v>
      </c>
      <c r="F234" s="1" t="s">
        <v>95</v>
      </c>
      <c r="G234" s="1" t="s">
        <v>2686</v>
      </c>
      <c r="H234" s="1" t="s">
        <v>2687</v>
      </c>
      <c r="I234" s="1" t="s">
        <v>2688</v>
      </c>
      <c r="J234" s="1" t="s">
        <v>2689</v>
      </c>
      <c r="K234" s="1" t="s">
        <v>2690</v>
      </c>
      <c r="L234" s="1" t="s">
        <v>2691</v>
      </c>
      <c r="M234" s="1" t="s">
        <v>2692</v>
      </c>
      <c r="N234" s="1" t="s">
        <v>1457</v>
      </c>
    </row>
    <row r="235">
      <c r="A235" s="1">
        <v>230.0</v>
      </c>
      <c r="B235" s="1">
        <v>97418.0</v>
      </c>
      <c r="C235" s="1" t="s">
        <v>2693</v>
      </c>
      <c r="D235" s="1" t="s">
        <v>718</v>
      </c>
      <c r="E235" s="1" t="s">
        <v>728</v>
      </c>
      <c r="F235" s="1" t="s">
        <v>718</v>
      </c>
      <c r="G235" s="1" t="s">
        <v>2694</v>
      </c>
      <c r="H235" s="1" t="s">
        <v>2695</v>
      </c>
      <c r="I235" s="1" t="s">
        <v>2696</v>
      </c>
      <c r="J235" s="1" t="s">
        <v>2697</v>
      </c>
      <c r="K235" s="1" t="s">
        <v>2698</v>
      </c>
      <c r="L235" s="1" t="s">
        <v>2699</v>
      </c>
      <c r="M235" s="1" t="s">
        <v>2700</v>
      </c>
      <c r="N235" s="1" t="s">
        <v>2701</v>
      </c>
    </row>
    <row r="236">
      <c r="A236" s="1">
        <v>231.0</v>
      </c>
      <c r="B236" s="1">
        <v>94052.0</v>
      </c>
      <c r="C236" s="1" t="s">
        <v>2702</v>
      </c>
      <c r="D236" s="1" t="s">
        <v>981</v>
      </c>
      <c r="E236" s="1" t="s">
        <v>647</v>
      </c>
      <c r="F236" s="1" t="s">
        <v>130</v>
      </c>
      <c r="G236" s="1" t="s">
        <v>2703</v>
      </c>
      <c r="H236" s="1" t="s">
        <v>2704</v>
      </c>
      <c r="I236" s="1" t="s">
        <v>2705</v>
      </c>
      <c r="J236" s="1" t="s">
        <v>2706</v>
      </c>
      <c r="K236" s="1" t="s">
        <v>2707</v>
      </c>
      <c r="L236" s="1" t="s">
        <v>2708</v>
      </c>
      <c r="M236" s="1" t="s">
        <v>2709</v>
      </c>
      <c r="N236" s="1" t="s">
        <v>2710</v>
      </c>
    </row>
    <row r="237">
      <c r="A237" s="1">
        <v>232.0</v>
      </c>
      <c r="B237" s="1">
        <v>92019.0</v>
      </c>
      <c r="C237" s="1" t="s">
        <v>2711</v>
      </c>
      <c r="D237" s="1" t="s">
        <v>828</v>
      </c>
      <c r="E237" s="1" t="s">
        <v>728</v>
      </c>
      <c r="F237" s="1" t="s">
        <v>130</v>
      </c>
      <c r="G237" s="1" t="s">
        <v>2712</v>
      </c>
      <c r="H237" s="1" t="s">
        <v>2713</v>
      </c>
      <c r="I237" s="1" t="s">
        <v>2714</v>
      </c>
      <c r="J237" s="1" t="s">
        <v>2715</v>
      </c>
      <c r="K237" s="1" t="s">
        <v>2716</v>
      </c>
      <c r="L237" s="1" t="s">
        <v>2717</v>
      </c>
      <c r="M237" s="1" t="s">
        <v>2718</v>
      </c>
      <c r="N237" s="1" t="s">
        <v>2719</v>
      </c>
    </row>
    <row r="238">
      <c r="A238" s="1">
        <v>233.0</v>
      </c>
      <c r="B238" s="1">
        <v>71270.0</v>
      </c>
      <c r="C238" s="1" t="s">
        <v>2720</v>
      </c>
      <c r="D238" s="1" t="s">
        <v>2010</v>
      </c>
      <c r="E238" s="1" t="s">
        <v>544</v>
      </c>
      <c r="F238" s="1" t="s">
        <v>698</v>
      </c>
      <c r="G238" s="1" t="s">
        <v>2721</v>
      </c>
      <c r="H238" s="1" t="s">
        <v>2722</v>
      </c>
      <c r="I238" s="1" t="s">
        <v>2723</v>
      </c>
      <c r="J238" s="1" t="s">
        <v>2380</v>
      </c>
      <c r="K238" s="1" t="s">
        <v>2724</v>
      </c>
      <c r="L238" s="1" t="s">
        <v>2725</v>
      </c>
      <c r="M238" s="1" t="s">
        <v>2726</v>
      </c>
      <c r="N238" s="1" t="s">
        <v>2727</v>
      </c>
    </row>
    <row r="239">
      <c r="A239" s="1">
        <v>234.0</v>
      </c>
      <c r="B239" s="1">
        <v>42187.0</v>
      </c>
      <c r="C239" s="1" t="s">
        <v>2728</v>
      </c>
      <c r="D239" s="1" t="s">
        <v>667</v>
      </c>
      <c r="E239" s="1" t="s">
        <v>647</v>
      </c>
      <c r="F239" s="1" t="s">
        <v>95</v>
      </c>
      <c r="G239" s="1" t="s">
        <v>2729</v>
      </c>
      <c r="H239" s="1" t="s">
        <v>2730</v>
      </c>
      <c r="I239" s="1" t="s">
        <v>2731</v>
      </c>
      <c r="J239" s="1" t="s">
        <v>2732</v>
      </c>
      <c r="K239" s="1" t="s">
        <v>2733</v>
      </c>
      <c r="L239" s="1" t="s">
        <v>2734</v>
      </c>
      <c r="M239" s="1" t="s">
        <v>2735</v>
      </c>
      <c r="N239" s="1" t="s">
        <v>2736</v>
      </c>
    </row>
    <row r="240">
      <c r="A240" s="1">
        <v>235.0</v>
      </c>
      <c r="B240" s="1">
        <v>67447.0</v>
      </c>
      <c r="C240" s="1" t="s">
        <v>2737</v>
      </c>
      <c r="D240" s="1" t="s">
        <v>605</v>
      </c>
      <c r="E240" s="1" t="s">
        <v>728</v>
      </c>
      <c r="F240" s="1" t="s">
        <v>120</v>
      </c>
      <c r="G240" s="1" t="s">
        <v>2738</v>
      </c>
      <c r="H240" s="1" t="s">
        <v>2739</v>
      </c>
      <c r="I240" s="1" t="s">
        <v>2740</v>
      </c>
      <c r="J240" s="1" t="s">
        <v>2741</v>
      </c>
      <c r="K240" s="1" t="s">
        <v>2742</v>
      </c>
      <c r="L240" s="1" t="s">
        <v>2743</v>
      </c>
      <c r="M240" s="1" t="s">
        <v>2744</v>
      </c>
      <c r="N240" s="1" t="s">
        <v>2745</v>
      </c>
    </row>
    <row r="241">
      <c r="A241" s="1">
        <v>236.0</v>
      </c>
      <c r="B241" s="1">
        <v>94058.0</v>
      </c>
      <c r="C241" s="1" t="s">
        <v>2746</v>
      </c>
      <c r="D241" s="1" t="s">
        <v>981</v>
      </c>
      <c r="E241" s="1" t="s">
        <v>728</v>
      </c>
      <c r="F241" s="1" t="s">
        <v>130</v>
      </c>
      <c r="G241" s="1" t="s">
        <v>2747</v>
      </c>
      <c r="H241" s="1" t="s">
        <v>2748</v>
      </c>
      <c r="I241" s="1" t="s">
        <v>2749</v>
      </c>
      <c r="J241" s="1" t="s">
        <v>2750</v>
      </c>
      <c r="K241" s="1" t="s">
        <v>2751</v>
      </c>
      <c r="L241" s="1" t="s">
        <v>2752</v>
      </c>
      <c r="M241" s="1" t="s">
        <v>2753</v>
      </c>
      <c r="N241" s="1" t="s">
        <v>2754</v>
      </c>
    </row>
    <row r="242">
      <c r="A242" s="1">
        <v>237.0</v>
      </c>
      <c r="B242" s="1">
        <v>97307.0</v>
      </c>
      <c r="C242" s="1" t="s">
        <v>2755</v>
      </c>
      <c r="D242" s="1" t="s">
        <v>1325</v>
      </c>
      <c r="E242" s="1" t="s">
        <v>728</v>
      </c>
      <c r="F242" s="1" t="s">
        <v>1325</v>
      </c>
      <c r="G242" s="1" t="s">
        <v>2756</v>
      </c>
      <c r="H242" s="1" t="s">
        <v>2757</v>
      </c>
      <c r="I242" s="1" t="s">
        <v>2758</v>
      </c>
      <c r="J242" s="1" t="s">
        <v>2759</v>
      </c>
      <c r="K242" s="1" t="s">
        <v>2760</v>
      </c>
      <c r="L242" s="1" t="s">
        <v>2761</v>
      </c>
      <c r="M242" s="1" t="s">
        <v>2762</v>
      </c>
      <c r="N242" s="1">
        <v>567.0</v>
      </c>
    </row>
    <row r="243">
      <c r="A243" s="1">
        <v>238.0</v>
      </c>
      <c r="B243" s="1">
        <v>13117.0</v>
      </c>
      <c r="C243" s="1" t="s">
        <v>2763</v>
      </c>
      <c r="D243" s="1" t="s">
        <v>543</v>
      </c>
      <c r="E243" s="1" t="s">
        <v>728</v>
      </c>
      <c r="F243" s="1" t="s">
        <v>545</v>
      </c>
      <c r="G243" s="1" t="s">
        <v>2764</v>
      </c>
      <c r="H243" s="1" t="s">
        <v>2765</v>
      </c>
      <c r="I243" s="1" t="s">
        <v>2766</v>
      </c>
      <c r="J243" s="1" t="s">
        <v>2767</v>
      </c>
      <c r="K243" s="1" t="s">
        <v>2768</v>
      </c>
      <c r="L243" s="1" t="s">
        <v>2769</v>
      </c>
      <c r="M243" s="1" t="s">
        <v>2770</v>
      </c>
      <c r="N243" s="1" t="s">
        <v>2771</v>
      </c>
    </row>
    <row r="244">
      <c r="A244" s="1">
        <v>239.0</v>
      </c>
      <c r="B244" s="1">
        <v>78440.0</v>
      </c>
      <c r="C244" s="1" t="s">
        <v>2772</v>
      </c>
      <c r="D244" s="1" t="s">
        <v>1085</v>
      </c>
      <c r="E244" s="1" t="s">
        <v>728</v>
      </c>
      <c r="F244" s="1" t="s">
        <v>130</v>
      </c>
      <c r="G244" s="1" t="s">
        <v>2773</v>
      </c>
      <c r="H244" s="1" t="s">
        <v>2774</v>
      </c>
      <c r="I244" s="1" t="s">
        <v>2775</v>
      </c>
      <c r="J244" s="1" t="s">
        <v>2776</v>
      </c>
      <c r="K244" s="1" t="s">
        <v>2777</v>
      </c>
      <c r="L244" s="1" t="s">
        <v>2778</v>
      </c>
      <c r="M244" s="1" t="s">
        <v>2779</v>
      </c>
      <c r="N244" s="1" t="s">
        <v>2780</v>
      </c>
    </row>
    <row r="245">
      <c r="A245" s="1">
        <v>240.0</v>
      </c>
      <c r="B245" s="1">
        <v>26281.0</v>
      </c>
      <c r="C245" s="1" t="s">
        <v>2781</v>
      </c>
      <c r="D245" s="1" t="s">
        <v>1344</v>
      </c>
      <c r="E245" s="1" t="s">
        <v>728</v>
      </c>
      <c r="F245" s="1" t="s">
        <v>95</v>
      </c>
      <c r="G245" s="1" t="s">
        <v>2782</v>
      </c>
      <c r="H245" s="1" t="s">
        <v>2783</v>
      </c>
      <c r="I245" s="1" t="s">
        <v>2784</v>
      </c>
      <c r="J245" s="1" t="s">
        <v>2785</v>
      </c>
      <c r="K245" s="1" t="s">
        <v>2786</v>
      </c>
      <c r="L245" s="1" t="s">
        <v>2787</v>
      </c>
      <c r="M245" s="1" t="s">
        <v>2788</v>
      </c>
      <c r="N245" s="1" t="s">
        <v>2789</v>
      </c>
    </row>
    <row r="246">
      <c r="A246" s="1">
        <v>241.0</v>
      </c>
      <c r="B246" s="1">
        <v>58194.0</v>
      </c>
      <c r="C246" s="1" t="s">
        <v>2790</v>
      </c>
      <c r="D246" s="1" t="s">
        <v>2791</v>
      </c>
      <c r="E246" s="1" t="s">
        <v>544</v>
      </c>
      <c r="F246" s="1" t="s">
        <v>698</v>
      </c>
      <c r="G246" s="1" t="s">
        <v>2792</v>
      </c>
      <c r="H246" s="1" t="s">
        <v>2793</v>
      </c>
      <c r="I246" s="1" t="s">
        <v>2794</v>
      </c>
      <c r="J246" s="1" t="s">
        <v>2795</v>
      </c>
      <c r="K246" s="1" t="s">
        <v>2796</v>
      </c>
      <c r="L246" s="1" t="s">
        <v>2797</v>
      </c>
      <c r="M246" s="1" t="s">
        <v>2798</v>
      </c>
      <c r="N246" s="1" t="s">
        <v>2799</v>
      </c>
    </row>
    <row r="247">
      <c r="A247" s="1">
        <v>242.0</v>
      </c>
      <c r="B247" s="1">
        <v>97408.0</v>
      </c>
      <c r="C247" s="1" t="s">
        <v>2800</v>
      </c>
      <c r="D247" s="1" t="s">
        <v>718</v>
      </c>
      <c r="E247" s="1" t="s">
        <v>728</v>
      </c>
      <c r="F247" s="1" t="s">
        <v>718</v>
      </c>
      <c r="G247" s="1" t="s">
        <v>2801</v>
      </c>
      <c r="H247" s="1" t="s">
        <v>2802</v>
      </c>
      <c r="I247" s="1" t="s">
        <v>2803</v>
      </c>
      <c r="J247" s="1" t="s">
        <v>2804</v>
      </c>
      <c r="K247" s="1" t="s">
        <v>2805</v>
      </c>
      <c r="L247" s="1" t="s">
        <v>2806</v>
      </c>
      <c r="M247" s="1" t="s">
        <v>2807</v>
      </c>
      <c r="N247" s="1" t="s">
        <v>2808</v>
      </c>
    </row>
    <row r="248">
      <c r="A248" s="1">
        <v>243.0</v>
      </c>
      <c r="B248" s="1">
        <v>97407.0</v>
      </c>
      <c r="C248" s="1" t="s">
        <v>2809</v>
      </c>
      <c r="D248" s="1" t="s">
        <v>718</v>
      </c>
      <c r="E248" s="1" t="s">
        <v>728</v>
      </c>
      <c r="F248" s="1" t="s">
        <v>718</v>
      </c>
      <c r="G248" s="1" t="s">
        <v>2810</v>
      </c>
      <c r="H248" s="1" t="s">
        <v>2811</v>
      </c>
      <c r="I248" s="1" t="s">
        <v>2812</v>
      </c>
      <c r="J248" s="1" t="s">
        <v>2813</v>
      </c>
      <c r="K248" s="1" t="s">
        <v>2096</v>
      </c>
      <c r="L248" s="1" t="s">
        <v>2814</v>
      </c>
      <c r="M248" s="1" t="s">
        <v>2815</v>
      </c>
      <c r="N248" s="1" t="s">
        <v>2816</v>
      </c>
    </row>
    <row r="249">
      <c r="A249" s="1">
        <v>244.0</v>
      </c>
      <c r="B249" s="1">
        <v>78311.0</v>
      </c>
      <c r="C249" s="1" t="s">
        <v>2817</v>
      </c>
      <c r="D249" s="1" t="s">
        <v>1085</v>
      </c>
      <c r="E249" s="1" t="s">
        <v>728</v>
      </c>
      <c r="F249" s="1" t="s">
        <v>130</v>
      </c>
      <c r="G249" s="1" t="s">
        <v>2818</v>
      </c>
      <c r="H249" s="1" t="s">
        <v>2819</v>
      </c>
      <c r="I249" s="1" t="s">
        <v>2820</v>
      </c>
      <c r="J249" s="1" t="s">
        <v>2821</v>
      </c>
      <c r="K249" s="1" t="s">
        <v>2822</v>
      </c>
      <c r="L249" s="1" t="s">
        <v>2823</v>
      </c>
      <c r="M249" s="1" t="s">
        <v>2824</v>
      </c>
      <c r="N249" s="1" t="s">
        <v>2825</v>
      </c>
    </row>
    <row r="250">
      <c r="A250" s="1">
        <v>245.0</v>
      </c>
      <c r="B250" s="1">
        <v>78621.0</v>
      </c>
      <c r="C250" s="1" t="s">
        <v>2826</v>
      </c>
      <c r="D250" s="1" t="s">
        <v>1085</v>
      </c>
      <c r="E250" s="1" t="s">
        <v>728</v>
      </c>
      <c r="F250" s="1" t="s">
        <v>130</v>
      </c>
      <c r="G250" s="1" t="s">
        <v>2827</v>
      </c>
      <c r="H250" s="1" t="s">
        <v>2828</v>
      </c>
      <c r="I250" s="1" t="s">
        <v>2829</v>
      </c>
      <c r="J250" s="1" t="s">
        <v>2830</v>
      </c>
      <c r="K250" s="1" t="s">
        <v>2831</v>
      </c>
      <c r="L250" s="1" t="s">
        <v>2832</v>
      </c>
      <c r="M250" s="1" t="s">
        <v>2833</v>
      </c>
      <c r="N250" s="1" t="s">
        <v>2834</v>
      </c>
    </row>
    <row r="251">
      <c r="A251" s="1">
        <v>246.0</v>
      </c>
      <c r="B251" s="1">
        <v>47001.0</v>
      </c>
      <c r="C251" s="1" t="s">
        <v>2835</v>
      </c>
      <c r="D251" s="1" t="s">
        <v>2836</v>
      </c>
      <c r="E251" s="1" t="s">
        <v>544</v>
      </c>
      <c r="F251" s="1" t="s">
        <v>616</v>
      </c>
      <c r="G251" s="1" t="s">
        <v>2837</v>
      </c>
      <c r="H251" s="1" t="s">
        <v>2838</v>
      </c>
      <c r="I251" s="1" t="s">
        <v>2839</v>
      </c>
      <c r="J251" s="1" t="s">
        <v>2840</v>
      </c>
      <c r="K251" s="1" t="s">
        <v>2841</v>
      </c>
      <c r="L251" s="1" t="s">
        <v>2842</v>
      </c>
      <c r="M251" s="1" t="s">
        <v>2843</v>
      </c>
      <c r="N251" s="1" t="s">
        <v>2844</v>
      </c>
    </row>
    <row r="252">
      <c r="A252" s="1">
        <v>247.0</v>
      </c>
      <c r="B252" s="1">
        <v>97801.0</v>
      </c>
      <c r="C252" s="1" t="s">
        <v>2845</v>
      </c>
      <c r="D252" s="1" t="s">
        <v>2846</v>
      </c>
      <c r="G252" s="1" t="s">
        <v>2847</v>
      </c>
      <c r="H252" s="1" t="s">
        <v>2848</v>
      </c>
      <c r="I252" s="1" t="s">
        <v>2849</v>
      </c>
      <c r="J252" s="1" t="s">
        <v>2850</v>
      </c>
      <c r="K252" s="1" t="s">
        <v>2851</v>
      </c>
      <c r="L252" s="1" t="s">
        <v>2852</v>
      </c>
      <c r="M252" s="1" t="s">
        <v>2853</v>
      </c>
      <c r="N252" s="1" t="s">
        <v>2854</v>
      </c>
    </row>
    <row r="253">
      <c r="A253" s="1">
        <v>248.0</v>
      </c>
      <c r="B253" s="1">
        <v>95500.0</v>
      </c>
      <c r="C253" s="1" t="s">
        <v>2855</v>
      </c>
      <c r="D253" s="1" t="s">
        <v>905</v>
      </c>
      <c r="E253" s="1" t="s">
        <v>544</v>
      </c>
      <c r="F253" s="1" t="s">
        <v>130</v>
      </c>
      <c r="G253" s="1" t="s">
        <v>2856</v>
      </c>
      <c r="H253" s="1" t="s">
        <v>2857</v>
      </c>
      <c r="I253" s="1" t="s">
        <v>2858</v>
      </c>
      <c r="J253" s="1" t="s">
        <v>2859</v>
      </c>
      <c r="K253" s="1" t="s">
        <v>2860</v>
      </c>
      <c r="L253" s="1" t="s">
        <v>2861</v>
      </c>
      <c r="M253" s="1" t="s">
        <v>2862</v>
      </c>
      <c r="N253" s="1" t="s">
        <v>2863</v>
      </c>
    </row>
    <row r="254">
      <c r="A254" s="1">
        <v>249.0</v>
      </c>
      <c r="B254" s="1">
        <v>13054.0</v>
      </c>
      <c r="C254" s="1" t="s">
        <v>2864</v>
      </c>
      <c r="D254" s="1" t="s">
        <v>543</v>
      </c>
      <c r="E254" s="1" t="s">
        <v>728</v>
      </c>
      <c r="F254" s="1" t="s">
        <v>545</v>
      </c>
      <c r="G254" s="1" t="s">
        <v>2865</v>
      </c>
      <c r="H254" s="1" t="s">
        <v>2866</v>
      </c>
      <c r="I254" s="1" t="s">
        <v>2867</v>
      </c>
      <c r="J254" s="1" t="s">
        <v>2545</v>
      </c>
      <c r="K254" s="1" t="s">
        <v>2868</v>
      </c>
      <c r="L254" s="1" t="s">
        <v>2869</v>
      </c>
      <c r="M254" s="1" t="s">
        <v>2870</v>
      </c>
      <c r="N254" s="1" t="s">
        <v>2871</v>
      </c>
    </row>
    <row r="255">
      <c r="A255" s="1">
        <v>250.0</v>
      </c>
      <c r="B255" s="1">
        <v>78423.0</v>
      </c>
      <c r="C255" s="1" t="s">
        <v>2872</v>
      </c>
      <c r="D255" s="1" t="s">
        <v>1085</v>
      </c>
      <c r="E255" s="1" t="s">
        <v>728</v>
      </c>
      <c r="F255" s="1" t="s">
        <v>130</v>
      </c>
      <c r="G255" s="1" t="s">
        <v>2873</v>
      </c>
      <c r="H255" s="1" t="s">
        <v>2874</v>
      </c>
      <c r="I255" s="1" t="s">
        <v>2875</v>
      </c>
      <c r="J255" s="1" t="s">
        <v>2876</v>
      </c>
      <c r="K255" s="1" t="s">
        <v>2877</v>
      </c>
      <c r="L255" s="1" t="s">
        <v>2878</v>
      </c>
      <c r="M255" s="1" t="s">
        <v>2879</v>
      </c>
      <c r="N255" s="1">
        <v>768.0</v>
      </c>
    </row>
    <row r="256">
      <c r="A256" s="1">
        <v>251.0</v>
      </c>
      <c r="B256" s="1">
        <v>88160.0</v>
      </c>
      <c r="C256" s="1" t="s">
        <v>2880</v>
      </c>
      <c r="D256" s="1" t="s">
        <v>2881</v>
      </c>
      <c r="E256" s="1" t="s">
        <v>544</v>
      </c>
      <c r="F256" s="1" t="s">
        <v>120</v>
      </c>
      <c r="G256" s="1" t="s">
        <v>2882</v>
      </c>
      <c r="H256" s="1" t="s">
        <v>2883</v>
      </c>
      <c r="I256" s="1" t="s">
        <v>2884</v>
      </c>
      <c r="J256" s="1" t="s">
        <v>2885</v>
      </c>
      <c r="K256" s="1" t="s">
        <v>2886</v>
      </c>
      <c r="L256" s="1" t="s">
        <v>2887</v>
      </c>
      <c r="M256" s="1" t="s">
        <v>2888</v>
      </c>
      <c r="N256" s="1" t="s">
        <v>2680</v>
      </c>
    </row>
    <row r="257">
      <c r="A257" s="1">
        <v>252.0</v>
      </c>
      <c r="B257" s="1">
        <v>59122.0</v>
      </c>
      <c r="C257" s="1" t="s">
        <v>2889</v>
      </c>
      <c r="D257" s="1" t="s">
        <v>626</v>
      </c>
      <c r="E257" s="1" t="s">
        <v>647</v>
      </c>
      <c r="F257" s="1" t="s">
        <v>125</v>
      </c>
      <c r="G257" s="1" t="s">
        <v>2890</v>
      </c>
      <c r="H257" s="1" t="s">
        <v>2891</v>
      </c>
      <c r="I257" s="1" t="s">
        <v>2892</v>
      </c>
      <c r="J257" s="1" t="s">
        <v>2893</v>
      </c>
      <c r="K257" s="1" t="s">
        <v>2894</v>
      </c>
      <c r="L257" s="1" t="s">
        <v>2895</v>
      </c>
      <c r="M257" s="1" t="s">
        <v>2896</v>
      </c>
      <c r="N257" s="1" t="s">
        <v>2897</v>
      </c>
    </row>
    <row r="258">
      <c r="A258" s="1" t="s">
        <v>990</v>
      </c>
      <c r="B258" s="1">
        <v>97610.0</v>
      </c>
      <c r="C258" s="1" t="s">
        <v>2898</v>
      </c>
      <c r="D258" s="1" t="s">
        <v>1233</v>
      </c>
      <c r="E258" s="1" t="s">
        <v>728</v>
      </c>
      <c r="F258" s="1" t="s">
        <v>1233</v>
      </c>
      <c r="G258" s="1" t="s">
        <v>2899</v>
      </c>
      <c r="H258" s="1" t="s">
        <v>2900</v>
      </c>
      <c r="I258" s="1" t="s">
        <v>2901</v>
      </c>
      <c r="J258" s="1" t="s">
        <v>2902</v>
      </c>
      <c r="K258" s="1" t="s">
        <v>2903</v>
      </c>
      <c r="L258" s="1" t="s">
        <v>2904</v>
      </c>
    </row>
    <row r="259">
      <c r="A259" s="1">
        <v>253.0</v>
      </c>
      <c r="B259" s="1">
        <v>94038.0</v>
      </c>
      <c r="C259" s="1" t="s">
        <v>2905</v>
      </c>
      <c r="D259" s="1" t="s">
        <v>981</v>
      </c>
      <c r="E259" s="1" t="s">
        <v>647</v>
      </c>
      <c r="F259" s="1" t="s">
        <v>130</v>
      </c>
      <c r="G259" s="1" t="s">
        <v>2906</v>
      </c>
      <c r="H259" s="1" t="s">
        <v>2907</v>
      </c>
      <c r="I259" s="1" t="s">
        <v>2908</v>
      </c>
      <c r="J259" s="1" t="s">
        <v>2909</v>
      </c>
      <c r="K259" s="1" t="s">
        <v>2910</v>
      </c>
      <c r="L259" s="1" t="s">
        <v>2911</v>
      </c>
      <c r="M259" s="1" t="s">
        <v>2912</v>
      </c>
      <c r="N259" s="1" t="s">
        <v>2913</v>
      </c>
    </row>
    <row r="260">
      <c r="A260" s="1">
        <v>254.0</v>
      </c>
      <c r="B260" s="1">
        <v>33449.0</v>
      </c>
      <c r="C260" s="1" t="s">
        <v>2914</v>
      </c>
      <c r="D260" s="1" t="s">
        <v>615</v>
      </c>
      <c r="E260" s="1" t="s">
        <v>728</v>
      </c>
      <c r="F260" s="1" t="s">
        <v>616</v>
      </c>
      <c r="G260" s="1" t="s">
        <v>2915</v>
      </c>
      <c r="H260" s="1" t="s">
        <v>2916</v>
      </c>
      <c r="I260" s="1" t="s">
        <v>2917</v>
      </c>
      <c r="J260" s="1" t="s">
        <v>2918</v>
      </c>
      <c r="K260" s="1" t="s">
        <v>2919</v>
      </c>
      <c r="L260" s="1" t="s">
        <v>2920</v>
      </c>
      <c r="M260" s="1" t="s">
        <v>2921</v>
      </c>
      <c r="N260" s="1" t="s">
        <v>2922</v>
      </c>
    </row>
    <row r="261">
      <c r="A261" s="1">
        <v>255.0</v>
      </c>
      <c r="B261" s="1">
        <v>95063.0</v>
      </c>
      <c r="C261" s="1" t="s">
        <v>2923</v>
      </c>
      <c r="D261" s="1" t="s">
        <v>905</v>
      </c>
      <c r="E261" s="1" t="s">
        <v>728</v>
      </c>
      <c r="F261" s="1" t="s">
        <v>130</v>
      </c>
      <c r="G261" s="1" t="s">
        <v>2924</v>
      </c>
      <c r="H261" s="1" t="s">
        <v>2925</v>
      </c>
      <c r="I261" s="1" t="s">
        <v>2926</v>
      </c>
      <c r="J261" s="1" t="s">
        <v>2927</v>
      </c>
      <c r="K261" s="1" t="s">
        <v>2928</v>
      </c>
      <c r="L261" s="1" t="s">
        <v>2929</v>
      </c>
      <c r="M261" s="1" t="s">
        <v>2930</v>
      </c>
      <c r="N261" s="1" t="s">
        <v>2931</v>
      </c>
    </row>
    <row r="262">
      <c r="A262" s="1">
        <v>256.0</v>
      </c>
      <c r="B262" s="1">
        <v>86066.0</v>
      </c>
      <c r="C262" s="1" t="s">
        <v>2932</v>
      </c>
      <c r="D262" s="1" t="s">
        <v>1021</v>
      </c>
      <c r="E262" s="1" t="s">
        <v>647</v>
      </c>
      <c r="F262" s="1" t="s">
        <v>616</v>
      </c>
      <c r="G262" s="1" t="s">
        <v>2933</v>
      </c>
      <c r="H262" s="1" t="s">
        <v>2934</v>
      </c>
      <c r="I262" s="1" t="s">
        <v>2935</v>
      </c>
      <c r="J262" s="1" t="s">
        <v>2936</v>
      </c>
      <c r="K262" s="1" t="s">
        <v>2937</v>
      </c>
      <c r="L262" s="1" t="s">
        <v>2938</v>
      </c>
      <c r="M262" s="1" t="s">
        <v>2939</v>
      </c>
      <c r="N262" s="1" t="s">
        <v>2940</v>
      </c>
    </row>
    <row r="263">
      <c r="A263" s="1">
        <v>257.0</v>
      </c>
      <c r="B263" s="1">
        <v>62498.0</v>
      </c>
      <c r="C263" s="1" t="s">
        <v>2941</v>
      </c>
      <c r="D263" s="1" t="s">
        <v>1206</v>
      </c>
      <c r="E263" s="1" t="s">
        <v>647</v>
      </c>
      <c r="F263" s="1" t="s">
        <v>125</v>
      </c>
      <c r="G263" s="1" t="s">
        <v>2942</v>
      </c>
      <c r="H263" s="1" t="s">
        <v>2943</v>
      </c>
      <c r="I263" s="1" t="s">
        <v>2944</v>
      </c>
      <c r="J263" s="1" t="s">
        <v>2945</v>
      </c>
      <c r="K263" s="1" t="s">
        <v>2946</v>
      </c>
      <c r="L263" s="1" t="s">
        <v>2947</v>
      </c>
      <c r="M263" s="1" t="s">
        <v>2948</v>
      </c>
      <c r="N263" s="1" t="s">
        <v>2949</v>
      </c>
    </row>
    <row r="264">
      <c r="A264" s="1">
        <v>258.0</v>
      </c>
      <c r="B264" s="1">
        <v>91657.0</v>
      </c>
      <c r="C264" s="1" t="s">
        <v>2950</v>
      </c>
      <c r="D264" s="1" t="s">
        <v>1297</v>
      </c>
      <c r="E264" s="1" t="s">
        <v>728</v>
      </c>
      <c r="F264" s="1" t="s">
        <v>130</v>
      </c>
      <c r="G264" s="1" t="s">
        <v>2951</v>
      </c>
      <c r="H264" s="1" t="s">
        <v>2952</v>
      </c>
      <c r="I264" s="1" t="s">
        <v>2953</v>
      </c>
      <c r="J264" s="1" t="s">
        <v>2954</v>
      </c>
      <c r="K264" s="1" t="s">
        <v>2955</v>
      </c>
      <c r="L264" s="1" t="s">
        <v>2956</v>
      </c>
      <c r="M264" s="1" t="s">
        <v>2957</v>
      </c>
      <c r="N264" s="1" t="s">
        <v>2958</v>
      </c>
    </row>
    <row r="265">
      <c r="A265" s="1">
        <v>259.0</v>
      </c>
      <c r="B265" s="1">
        <v>95306.0</v>
      </c>
      <c r="C265" s="1" t="s">
        <v>2959</v>
      </c>
      <c r="D265" s="1" t="s">
        <v>905</v>
      </c>
      <c r="E265" s="1" t="s">
        <v>728</v>
      </c>
      <c r="F265" s="1" t="s">
        <v>130</v>
      </c>
      <c r="G265" s="1" t="s">
        <v>2960</v>
      </c>
      <c r="H265" s="1" t="s">
        <v>2961</v>
      </c>
      <c r="I265" s="1" t="s">
        <v>2962</v>
      </c>
      <c r="J265" s="1" t="s">
        <v>2963</v>
      </c>
      <c r="K265" s="1" t="s">
        <v>2964</v>
      </c>
      <c r="L265" s="1" t="s">
        <v>2965</v>
      </c>
      <c r="M265" s="1" t="s">
        <v>2966</v>
      </c>
      <c r="N265" s="1" t="s">
        <v>2967</v>
      </c>
    </row>
    <row r="266">
      <c r="A266" s="1">
        <v>260.0</v>
      </c>
      <c r="B266" s="1">
        <v>78158.0</v>
      </c>
      <c r="C266" s="1" t="s">
        <v>2968</v>
      </c>
      <c r="D266" s="1" t="s">
        <v>1085</v>
      </c>
      <c r="E266" s="1" t="s">
        <v>728</v>
      </c>
      <c r="F266" s="1" t="s">
        <v>130</v>
      </c>
      <c r="G266" s="1" t="s">
        <v>2969</v>
      </c>
      <c r="H266" s="1" t="s">
        <v>2970</v>
      </c>
      <c r="I266" s="1" t="s">
        <v>2971</v>
      </c>
      <c r="J266" s="1" t="s">
        <v>2972</v>
      </c>
      <c r="K266" s="1" t="s">
        <v>2973</v>
      </c>
      <c r="L266" s="1" t="s">
        <v>2974</v>
      </c>
      <c r="M266" s="1" t="s">
        <v>2975</v>
      </c>
      <c r="N266" s="1" t="s">
        <v>2976</v>
      </c>
    </row>
    <row r="267">
      <c r="A267" s="1">
        <v>261.0</v>
      </c>
      <c r="B267" s="1">
        <v>95280.0</v>
      </c>
      <c r="C267" s="1" t="s">
        <v>2977</v>
      </c>
      <c r="D267" s="1" t="s">
        <v>905</v>
      </c>
      <c r="E267" s="1" t="s">
        <v>728</v>
      </c>
      <c r="F267" s="1" t="s">
        <v>130</v>
      </c>
      <c r="G267" s="1" t="s">
        <v>2978</v>
      </c>
      <c r="H267" s="1" t="s">
        <v>2979</v>
      </c>
      <c r="I267" s="1" t="s">
        <v>2980</v>
      </c>
      <c r="J267" s="1" t="s">
        <v>2981</v>
      </c>
      <c r="K267" s="1" t="s">
        <v>2982</v>
      </c>
      <c r="L267" s="1" t="s">
        <v>2983</v>
      </c>
      <c r="M267" s="1" t="s">
        <v>2984</v>
      </c>
      <c r="N267" s="1" t="s">
        <v>2985</v>
      </c>
    </row>
    <row r="268">
      <c r="A268" s="1">
        <v>262.0</v>
      </c>
      <c r="B268" s="1">
        <v>78490.0</v>
      </c>
      <c r="C268" s="1" t="s">
        <v>2986</v>
      </c>
      <c r="D268" s="1" t="s">
        <v>1085</v>
      </c>
      <c r="E268" s="1" t="s">
        <v>728</v>
      </c>
      <c r="F268" s="1" t="s">
        <v>130</v>
      </c>
      <c r="G268" s="1" t="s">
        <v>2987</v>
      </c>
      <c r="H268" s="1" t="s">
        <v>2988</v>
      </c>
      <c r="I268" s="1" t="s">
        <v>2989</v>
      </c>
      <c r="J268" s="1" t="s">
        <v>2990</v>
      </c>
      <c r="K268" s="1" t="s">
        <v>2991</v>
      </c>
      <c r="L268" s="1" t="s">
        <v>2992</v>
      </c>
      <c r="M268" s="1" t="s">
        <v>2993</v>
      </c>
      <c r="N268" s="1" t="s">
        <v>2994</v>
      </c>
    </row>
    <row r="269">
      <c r="A269" s="1">
        <v>263.0</v>
      </c>
      <c r="B269" s="1">
        <v>92046.0</v>
      </c>
      <c r="C269" s="1" t="s">
        <v>2995</v>
      </c>
      <c r="D269" s="1" t="s">
        <v>828</v>
      </c>
      <c r="E269" s="1" t="s">
        <v>728</v>
      </c>
      <c r="F269" s="1" t="s">
        <v>130</v>
      </c>
      <c r="G269" s="1" t="s">
        <v>2987</v>
      </c>
      <c r="H269" s="1" t="s">
        <v>2996</v>
      </c>
      <c r="I269" s="1" t="s">
        <v>2997</v>
      </c>
      <c r="J269" s="1" t="s">
        <v>2998</v>
      </c>
      <c r="K269" s="1" t="s">
        <v>2999</v>
      </c>
      <c r="L269" s="1" t="s">
        <v>3000</v>
      </c>
      <c r="M269" s="1" t="s">
        <v>3001</v>
      </c>
      <c r="N269" s="1" t="s">
        <v>3002</v>
      </c>
    </row>
    <row r="270">
      <c r="A270" s="1">
        <v>264.0</v>
      </c>
      <c r="B270" s="1">
        <v>91687.0</v>
      </c>
      <c r="C270" s="1" t="s">
        <v>3003</v>
      </c>
      <c r="D270" s="1" t="s">
        <v>1297</v>
      </c>
      <c r="E270" s="1" t="s">
        <v>728</v>
      </c>
      <c r="F270" s="1" t="s">
        <v>130</v>
      </c>
      <c r="G270" s="1" t="s">
        <v>3004</v>
      </c>
      <c r="H270" s="1" t="s">
        <v>3005</v>
      </c>
      <c r="I270" s="1" t="s">
        <v>3006</v>
      </c>
      <c r="J270" s="1" t="s">
        <v>3007</v>
      </c>
      <c r="K270" s="1" t="s">
        <v>3008</v>
      </c>
      <c r="L270" s="1" t="s">
        <v>3009</v>
      </c>
      <c r="M270" s="1" t="s">
        <v>3010</v>
      </c>
      <c r="N270" s="1" t="s">
        <v>3011</v>
      </c>
    </row>
    <row r="271">
      <c r="A271" s="1">
        <v>265.0</v>
      </c>
      <c r="B271" s="1">
        <v>93059.0</v>
      </c>
      <c r="C271" s="1" t="s">
        <v>3012</v>
      </c>
      <c r="D271" s="1" t="s">
        <v>877</v>
      </c>
      <c r="E271" s="1" t="s">
        <v>728</v>
      </c>
      <c r="F271" s="1" t="s">
        <v>130</v>
      </c>
      <c r="G271" s="1" t="s">
        <v>3013</v>
      </c>
      <c r="H271" s="1" t="s">
        <v>3014</v>
      </c>
      <c r="I271" s="1" t="s">
        <v>3015</v>
      </c>
      <c r="J271" s="1" t="s">
        <v>3016</v>
      </c>
      <c r="K271" s="1" t="s">
        <v>3017</v>
      </c>
      <c r="L271" s="1" t="s">
        <v>3018</v>
      </c>
      <c r="M271" s="1" t="s">
        <v>3019</v>
      </c>
      <c r="N271" s="1" t="s">
        <v>3020</v>
      </c>
    </row>
    <row r="272">
      <c r="A272" s="1">
        <v>266.0</v>
      </c>
      <c r="B272" s="1">
        <v>97103.0</v>
      </c>
      <c r="C272" s="1" t="s">
        <v>3021</v>
      </c>
      <c r="D272" s="1" t="s">
        <v>1650</v>
      </c>
      <c r="E272" s="1" t="s">
        <v>728</v>
      </c>
      <c r="F272" s="1" t="s">
        <v>1650</v>
      </c>
      <c r="G272" s="1" t="s">
        <v>3022</v>
      </c>
      <c r="H272" s="1" t="s">
        <v>3023</v>
      </c>
      <c r="I272" s="1" t="s">
        <v>3024</v>
      </c>
      <c r="J272" s="1" t="s">
        <v>3025</v>
      </c>
      <c r="K272" s="1" t="s">
        <v>3026</v>
      </c>
      <c r="L272" s="1" t="s">
        <v>3027</v>
      </c>
      <c r="M272" s="1" t="s">
        <v>3028</v>
      </c>
      <c r="N272" s="1" t="s">
        <v>3029</v>
      </c>
    </row>
    <row r="273">
      <c r="A273" s="1">
        <v>267.0</v>
      </c>
      <c r="B273" s="1">
        <v>69286.0</v>
      </c>
      <c r="C273" s="1" t="s">
        <v>3030</v>
      </c>
      <c r="D273" s="1" t="s">
        <v>555</v>
      </c>
      <c r="E273" s="1" t="s">
        <v>728</v>
      </c>
      <c r="F273" s="1" t="s">
        <v>95</v>
      </c>
      <c r="G273" s="1" t="s">
        <v>3031</v>
      </c>
      <c r="H273" s="1" t="s">
        <v>3032</v>
      </c>
      <c r="I273" s="1" t="s">
        <v>3033</v>
      </c>
      <c r="J273" s="1" t="s">
        <v>3034</v>
      </c>
      <c r="K273" s="1" t="s">
        <v>3035</v>
      </c>
      <c r="L273" s="1" t="s">
        <v>3036</v>
      </c>
      <c r="M273" s="1" t="s">
        <v>3037</v>
      </c>
      <c r="N273" s="1" t="s">
        <v>3038</v>
      </c>
    </row>
    <row r="274">
      <c r="A274" s="1">
        <v>268.0</v>
      </c>
      <c r="B274" s="1">
        <v>94073.0</v>
      </c>
      <c r="C274" s="1" t="s">
        <v>3039</v>
      </c>
      <c r="D274" s="1" t="s">
        <v>981</v>
      </c>
      <c r="E274" s="1" t="s">
        <v>728</v>
      </c>
      <c r="F274" s="1" t="s">
        <v>130</v>
      </c>
      <c r="G274" s="1" t="s">
        <v>3040</v>
      </c>
      <c r="H274" s="1" t="s">
        <v>3041</v>
      </c>
      <c r="I274" s="1" t="s">
        <v>3042</v>
      </c>
      <c r="J274" s="1" t="s">
        <v>3043</v>
      </c>
      <c r="K274" s="1" t="s">
        <v>3044</v>
      </c>
      <c r="L274" s="1" t="s">
        <v>3045</v>
      </c>
      <c r="M274" s="1" t="s">
        <v>3046</v>
      </c>
      <c r="N274" s="1" t="s">
        <v>3047</v>
      </c>
    </row>
    <row r="275">
      <c r="A275" s="1">
        <v>269.0</v>
      </c>
      <c r="B275" s="1">
        <v>28134.0</v>
      </c>
      <c r="C275" s="1" t="s">
        <v>3048</v>
      </c>
      <c r="D275" s="1" t="s">
        <v>2372</v>
      </c>
      <c r="E275" s="1" t="s">
        <v>647</v>
      </c>
      <c r="F275" s="1" t="s">
        <v>788</v>
      </c>
      <c r="G275" s="1" t="s">
        <v>3049</v>
      </c>
      <c r="H275" s="1" t="s">
        <v>3050</v>
      </c>
      <c r="I275" s="1" t="s">
        <v>2979</v>
      </c>
      <c r="J275" s="1" t="s">
        <v>3051</v>
      </c>
      <c r="K275" s="1" t="s">
        <v>3052</v>
      </c>
      <c r="L275" s="1" t="s">
        <v>3053</v>
      </c>
      <c r="M275" s="1" t="s">
        <v>3054</v>
      </c>
      <c r="N275" s="1" t="s">
        <v>3055</v>
      </c>
    </row>
    <row r="276">
      <c r="A276" s="1">
        <v>270.0</v>
      </c>
      <c r="B276" s="1">
        <v>33039.0</v>
      </c>
      <c r="C276" s="1" t="s">
        <v>3056</v>
      </c>
      <c r="D276" s="1" t="s">
        <v>615</v>
      </c>
      <c r="E276" s="1" t="s">
        <v>728</v>
      </c>
      <c r="F276" s="1" t="s">
        <v>616</v>
      </c>
      <c r="G276" s="1" t="s">
        <v>3057</v>
      </c>
      <c r="H276" s="1" t="s">
        <v>3058</v>
      </c>
      <c r="I276" s="1" t="s">
        <v>3059</v>
      </c>
      <c r="J276" s="1" t="s">
        <v>3060</v>
      </c>
      <c r="K276" s="1" t="s">
        <v>2992</v>
      </c>
      <c r="L276" s="1" t="s">
        <v>3061</v>
      </c>
      <c r="M276" s="1" t="s">
        <v>2928</v>
      </c>
      <c r="N276" s="1" t="s">
        <v>3062</v>
      </c>
    </row>
    <row r="277">
      <c r="A277" s="1">
        <v>271.0</v>
      </c>
      <c r="B277" s="1">
        <v>6083.0</v>
      </c>
      <c r="C277" s="1" t="s">
        <v>3063</v>
      </c>
      <c r="D277" s="1" t="s">
        <v>575</v>
      </c>
      <c r="E277" s="1" t="s">
        <v>728</v>
      </c>
      <c r="F277" s="1" t="s">
        <v>545</v>
      </c>
      <c r="G277" s="1" t="s">
        <v>3064</v>
      </c>
      <c r="H277" s="1" t="s">
        <v>3065</v>
      </c>
      <c r="I277" s="1" t="s">
        <v>3066</v>
      </c>
      <c r="J277" s="1" t="s">
        <v>2830</v>
      </c>
      <c r="K277" s="1" t="s">
        <v>3067</v>
      </c>
      <c r="L277" s="1" t="s">
        <v>3068</v>
      </c>
      <c r="M277" s="1" t="s">
        <v>3069</v>
      </c>
      <c r="N277" s="1" t="s">
        <v>3070</v>
      </c>
    </row>
    <row r="278">
      <c r="A278" s="1">
        <v>272.0</v>
      </c>
      <c r="B278" s="1">
        <v>73008.0</v>
      </c>
      <c r="C278" s="1" t="s">
        <v>3071</v>
      </c>
      <c r="D278" s="1" t="s">
        <v>1473</v>
      </c>
      <c r="E278" s="1" t="s">
        <v>728</v>
      </c>
      <c r="F278" s="1" t="s">
        <v>95</v>
      </c>
      <c r="G278" s="1" t="s">
        <v>3072</v>
      </c>
      <c r="H278" s="1" t="s">
        <v>3073</v>
      </c>
      <c r="I278" s="1" t="s">
        <v>3074</v>
      </c>
      <c r="J278" s="1" t="s">
        <v>3075</v>
      </c>
      <c r="K278" s="1" t="s">
        <v>3076</v>
      </c>
      <c r="L278" s="1" t="s">
        <v>3077</v>
      </c>
      <c r="M278" s="1" t="s">
        <v>3078</v>
      </c>
      <c r="N278" s="1" t="s">
        <v>3079</v>
      </c>
    </row>
    <row r="279">
      <c r="A279" s="1">
        <v>273.0</v>
      </c>
      <c r="B279" s="1">
        <v>94016.0</v>
      </c>
      <c r="C279" s="1" t="s">
        <v>3080</v>
      </c>
      <c r="D279" s="1" t="s">
        <v>981</v>
      </c>
      <c r="E279" s="1" t="s">
        <v>728</v>
      </c>
      <c r="F279" s="1" t="s">
        <v>130</v>
      </c>
      <c r="G279" s="1" t="s">
        <v>3081</v>
      </c>
      <c r="H279" s="1" t="s">
        <v>3082</v>
      </c>
      <c r="I279" s="1" t="s">
        <v>3083</v>
      </c>
      <c r="J279" s="1" t="s">
        <v>3084</v>
      </c>
      <c r="K279" s="1" t="s">
        <v>3085</v>
      </c>
      <c r="L279" s="1" t="s">
        <v>3086</v>
      </c>
      <c r="M279" s="1" t="s">
        <v>3087</v>
      </c>
      <c r="N279" s="1" t="s">
        <v>2457</v>
      </c>
    </row>
    <row r="280">
      <c r="A280" s="1">
        <v>274.0</v>
      </c>
      <c r="B280" s="1">
        <v>93077.0</v>
      </c>
      <c r="C280" s="1" t="s">
        <v>3088</v>
      </c>
      <c r="D280" s="1" t="s">
        <v>877</v>
      </c>
      <c r="E280" s="1" t="s">
        <v>728</v>
      </c>
      <c r="F280" s="1" t="s">
        <v>130</v>
      </c>
      <c r="G280" s="1" t="s">
        <v>3089</v>
      </c>
      <c r="H280" s="1" t="s">
        <v>3090</v>
      </c>
      <c r="I280" s="1" t="s">
        <v>3091</v>
      </c>
      <c r="J280" s="1" t="s">
        <v>3092</v>
      </c>
      <c r="K280" s="1" t="s">
        <v>3093</v>
      </c>
      <c r="L280" s="1" t="s">
        <v>3094</v>
      </c>
      <c r="M280" s="1" t="s">
        <v>3095</v>
      </c>
      <c r="N280" s="1" t="s">
        <v>3096</v>
      </c>
    </row>
    <row r="281">
      <c r="A281" s="1">
        <v>275.0</v>
      </c>
      <c r="B281" s="1">
        <v>78146.0</v>
      </c>
      <c r="C281" s="1" t="s">
        <v>3097</v>
      </c>
      <c r="D281" s="1" t="s">
        <v>1085</v>
      </c>
      <c r="E281" s="1" t="s">
        <v>728</v>
      </c>
      <c r="F281" s="1" t="s">
        <v>130</v>
      </c>
      <c r="G281" s="1" t="s">
        <v>3098</v>
      </c>
      <c r="H281" s="1" t="s">
        <v>3099</v>
      </c>
      <c r="I281" s="1" t="s">
        <v>3100</v>
      </c>
      <c r="J281" s="1" t="s">
        <v>3101</v>
      </c>
      <c r="K281" s="1" t="s">
        <v>3102</v>
      </c>
      <c r="L281" s="1" t="s">
        <v>3103</v>
      </c>
      <c r="M281" s="1" t="s">
        <v>2957</v>
      </c>
      <c r="N281" s="1" t="s">
        <v>3104</v>
      </c>
    </row>
    <row r="282">
      <c r="A282" s="1">
        <v>276.0</v>
      </c>
      <c r="B282" s="1">
        <v>62510.0</v>
      </c>
      <c r="C282" s="1" t="s">
        <v>3105</v>
      </c>
      <c r="D282" s="1" t="s">
        <v>1206</v>
      </c>
      <c r="E282" s="1" t="s">
        <v>728</v>
      </c>
      <c r="F282" s="1" t="s">
        <v>125</v>
      </c>
      <c r="G282" s="1" t="s">
        <v>3106</v>
      </c>
      <c r="H282" s="1" t="s">
        <v>3107</v>
      </c>
      <c r="I282" s="1" t="s">
        <v>3108</v>
      </c>
      <c r="J282" s="1" t="s">
        <v>3109</v>
      </c>
      <c r="K282" s="1" t="s">
        <v>3110</v>
      </c>
      <c r="L282" s="1" t="s">
        <v>3111</v>
      </c>
      <c r="M282" s="1" t="s">
        <v>3112</v>
      </c>
      <c r="N282" s="1" t="s">
        <v>3113</v>
      </c>
    </row>
    <row r="283">
      <c r="A283" s="1">
        <v>277.0</v>
      </c>
      <c r="B283" s="1">
        <v>93063.0</v>
      </c>
      <c r="C283" s="1" t="s">
        <v>3114</v>
      </c>
      <c r="D283" s="1" t="s">
        <v>877</v>
      </c>
      <c r="E283" s="1" t="s">
        <v>728</v>
      </c>
      <c r="F283" s="1" t="s">
        <v>130</v>
      </c>
      <c r="G283" s="1" t="s">
        <v>3115</v>
      </c>
      <c r="H283" s="1" t="s">
        <v>3116</v>
      </c>
      <c r="I283" s="1" t="s">
        <v>3117</v>
      </c>
      <c r="J283" s="1" t="s">
        <v>3118</v>
      </c>
      <c r="K283" s="1" t="s">
        <v>3119</v>
      </c>
      <c r="L283" s="1" t="s">
        <v>3120</v>
      </c>
      <c r="M283" s="1" t="s">
        <v>3121</v>
      </c>
      <c r="N283" s="1" t="s">
        <v>3122</v>
      </c>
    </row>
    <row r="284">
      <c r="A284" s="1">
        <v>278.0</v>
      </c>
      <c r="B284" s="1">
        <v>92060.0</v>
      </c>
      <c r="C284" s="1" t="s">
        <v>3123</v>
      </c>
      <c r="D284" s="1" t="s">
        <v>828</v>
      </c>
      <c r="E284" s="1" t="s">
        <v>728</v>
      </c>
      <c r="F284" s="1" t="s">
        <v>130</v>
      </c>
      <c r="G284" s="1" t="s">
        <v>3124</v>
      </c>
      <c r="H284" s="1" t="s">
        <v>3125</v>
      </c>
      <c r="I284" s="1" t="s">
        <v>3126</v>
      </c>
      <c r="J284" s="1" t="s">
        <v>3127</v>
      </c>
      <c r="K284" s="1" t="s">
        <v>3128</v>
      </c>
      <c r="L284" s="1" t="s">
        <v>3129</v>
      </c>
      <c r="M284" s="1" t="s">
        <v>3130</v>
      </c>
      <c r="N284" s="1" t="s">
        <v>3131</v>
      </c>
    </row>
    <row r="285">
      <c r="A285" s="1">
        <v>279.0</v>
      </c>
      <c r="B285" s="1">
        <v>92064.0</v>
      </c>
      <c r="C285" s="1" t="s">
        <v>3132</v>
      </c>
      <c r="D285" s="1" t="s">
        <v>828</v>
      </c>
      <c r="E285" s="1" t="s">
        <v>728</v>
      </c>
      <c r="F285" s="1" t="s">
        <v>130</v>
      </c>
      <c r="G285" s="1" t="s">
        <v>3133</v>
      </c>
      <c r="H285" s="1" t="s">
        <v>3134</v>
      </c>
      <c r="I285" s="1" t="s">
        <v>3135</v>
      </c>
      <c r="J285" s="1" t="s">
        <v>3136</v>
      </c>
      <c r="K285" s="1" t="s">
        <v>3137</v>
      </c>
      <c r="L285" s="1" t="s">
        <v>2105</v>
      </c>
      <c r="M285" s="1" t="s">
        <v>3138</v>
      </c>
      <c r="N285" s="1" t="s">
        <v>3139</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21.13"/>
    <col customWidth="1" min="5" max="5" width="19.5"/>
    <col customWidth="1" min="6" max="6" width="18.5"/>
    <col customWidth="1" min="7" max="7" width="17.0"/>
    <col customWidth="1" min="8" max="8" width="17.5"/>
  </cols>
  <sheetData>
    <row r="1">
      <c r="A1" s="22" t="str">
        <f>IFERROR(__xludf.DUMMYFUNCTION("IMPORTHTML(""https://fr.wikipedia.org/wiki/Coupe_du_monde_de_football_2022"", ""table"", ""5"")"),"*Carte*")</f>
        <v>*Carte*</v>
      </c>
      <c r="B1" s="22" t="str">
        <f>IFERROR(__xludf.DUMMYFUNCTION("""COMPUTED_VALUE"""),"*Europe (UEFA)13 places*")</f>
        <v>*Europe (UEFA)13 places*</v>
      </c>
      <c r="C1" s="22" t="str">
        <f>IFERROR(__xludf.DUMMYFUNCTION("""COMPUTED_VALUE"""),"*Amérique du Sud*
*(CONMEBOL)4 places*[a]")</f>
        <v>*Amérique du Sud*
*(CONMEBOL)4 places*[a]</v>
      </c>
      <c r="D1" s="22" t="str">
        <f>IFERROR(__xludf.DUMMYFUNCTION("""COMPUTED_VALUE"""),"*Afrique (CAF)5 places*")</f>
        <v>*Afrique (CAF)5 places*</v>
      </c>
      <c r="E1" s="22"/>
      <c r="F1" s="22"/>
      <c r="G1" s="22"/>
      <c r="H1" s="22"/>
      <c r="I1" s="22"/>
      <c r="J1" s="22"/>
      <c r="K1" s="22"/>
      <c r="L1" s="22"/>
      <c r="M1" s="22"/>
      <c r="N1" s="22"/>
      <c r="O1" s="22"/>
      <c r="P1" s="22"/>
      <c r="Q1" s="22"/>
      <c r="R1" s="22"/>
      <c r="S1" s="22"/>
      <c r="T1" s="22"/>
      <c r="U1" s="22"/>
      <c r="V1" s="22"/>
      <c r="W1" s="22"/>
      <c r="X1" s="22"/>
      <c r="Y1" s="22"/>
      <c r="Z1" s="22"/>
    </row>
    <row r="2">
      <c r="A2" s="1" t="str">
        <f>IFERROR(__xludf.DUMMYFUNCTION("""COMPUTED_VALUE"""),"- Équipes qualifiées pour la Coupe du monde 2022
   - Équipes non-qualifiées pour la Coupe du monde 2022
   - Équipes suspendues / Forfaits
   - Équipes non membres de la FIFA")</f>
        <v>- Équipes qualifiées pour la Coupe du monde 2022
   - Équipes non-qualifiées pour la Coupe du monde 2022
   - Équipes suspendues / Forfaits
   - Équipes non membres de la FIFA</v>
      </c>
      <c r="B2" s="1" t="str">
        <f>IFERROR(__xludf.DUMMYFUNCTION("""COMPUTED_VALUE"""),"Allemagne : 20e phase finale 
Angleterre : 16e phase finale 
Espagne : 16e phase finale 
France*T* : 16e phase finale 
Belgique : 14e phase finale 
Suisse : 12e phase finale 
Pays-Bas : 11e phase finale 
Pologne : 9e phase finale 
Portugal : 8e ph"&amp;"ase finale 
Croatie : 6e phase finale 
Danemark : 6e phase finale 
Serbie : 3e phase finale[b]
Pays de Galles : 2e phase finale")</f>
        <v>Allemagne : 20e phase finale 
Angleterre : 16e phase finale 
Espagne : 16e phase finale 
France*T* : 16e phase finale 
Belgique : 14e phase finale 
Suisse : 12e phase finale 
Pays-Bas : 11e phase finale 
Pologne : 9e phase finale 
Portugal : 8e phase finale 
Croatie : 6e phase finale 
Danemark : 6e phase finale 
Serbie : 3e phase finale[b]
Pays de Galles : 2e phase finale</v>
      </c>
      <c r="C2" s="23" t="str">
        <f>IFERROR(__xludf.DUMMYFUNCTION("""COMPUTED_VALUE"""),"Brésil : 22e phase finale 
Argentine : 18e phase finale 
Uruguay : 14e phase finale 
Équateur : 4e phase finale")</f>
        <v>Brésil : 22e phase finale 
Argentine : 18e phase finale 
Uruguay : 14e phase finale 
Équateur : 4e phase finale</v>
      </c>
      <c r="D2" s="1" t="str">
        <f>IFERROR(__xludf.DUMMYFUNCTION("""COMPUTED_VALUE"""),"Cameroun : 8e phase finale 
Maroc : 6e phase finale 
Tunisie : 6e phase finale 
Ghana : 4e phase finale 
Sénégal : 3e phase finale")</f>
        <v>Cameroun : 8e phase finale 
Maroc : 6e phase finale 
Tunisie : 6e phase finale 
Ghana : 4e phase finale 
Sénégal : 3e phase finale</v>
      </c>
      <c r="E2" s="23"/>
      <c r="F2" s="23"/>
    </row>
    <row r="3">
      <c r="A3" s="1" t="str">
        <f>IFERROR(__xludf.DUMMYFUNCTION("""COMPUTED_VALUE"""),"*Océanie (OFC)0 places*[c]")</f>
        <v>*Océanie (OFC)0 places*[c]</v>
      </c>
      <c r="B3" s="1"/>
      <c r="C3" s="23" t="str">
        <f>IFERROR(__xludf.DUMMYFUNCTION("""COMPUTED_VALUE"""),"*Amérique du Nord, Centrale et Caraïbes (CONCACAF)4 places*[d]")</f>
        <v>*Amérique du Nord, Centrale et Caraïbes (CONCACAF)4 places*[d]</v>
      </c>
      <c r="D3" s="1" t="str">
        <f>IFERROR(__xludf.DUMMYFUNCTION("""COMPUTED_VALUE"""),"*Asie (AFC)6 places*[e](dont une au pays hôte)")</f>
        <v>*Asie (AFC)6 places*[e](dont une au pays hôte)</v>
      </c>
      <c r="E3" s="23"/>
      <c r="F3" s="23"/>
    </row>
    <row r="4">
      <c r="A4" s="1"/>
      <c r="B4" s="1"/>
      <c r="C4" s="23" t="str">
        <f>IFERROR(__xludf.DUMMYFUNCTION("""COMPUTED_VALUE"""),"Mexique : 17e phase finale 
États-Unis : 11e phase finale 
Costa Rica : 6e phase finale 
Canada : 2e phase finale")</f>
        <v>Mexique : 17e phase finale 
États-Unis : 11e phase finale 
Costa Rica : 6e phase finale 
Canada : 2e phase finale</v>
      </c>
      <c r="D4" s="1" t="str">
        <f>IFERROR(__xludf.DUMMYFUNCTION("""COMPUTED_VALUE"""),"Corée du Sud : 11e phase finale 
Japon : 7e phase finale 
Arabie saoudite : 6e phase finale 
Australie : 6e phase finale 
Iran : 6e phase finale 
Qatar*PO* : 1re phase finale")</f>
        <v>Corée du Sud : 11e phase finale 
Japon : 7e phase finale 
Arabie saoudite : 6e phase finale 
Australie : 6e phase finale 
Iran : 6e phase finale 
Qatar*PO* : 1re phase finale</v>
      </c>
      <c r="E4" s="23"/>
      <c r="F4" s="23"/>
    </row>
    <row r="5">
      <c r="C5" s="23"/>
      <c r="E5" s="23"/>
      <c r="F5" s="23"/>
    </row>
    <row r="6">
      <c r="C6" s="23"/>
      <c r="E6" s="23"/>
      <c r="F6" s="23"/>
    </row>
    <row r="7">
      <c r="C7" s="23"/>
      <c r="E7" s="23"/>
      <c r="F7" s="23"/>
    </row>
    <row r="8">
      <c r="C8" s="23"/>
      <c r="E8" s="23"/>
      <c r="F8" s="23"/>
    </row>
    <row r="9">
      <c r="C9" s="23"/>
      <c r="E9" s="23"/>
      <c r="F9" s="23"/>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3">
      <c r="D13" s="25"/>
    </row>
    <row r="14">
      <c r="D14" s="25"/>
    </row>
    <row r="15">
      <c r="B15" s="26"/>
      <c r="D15" s="25"/>
    </row>
    <row r="16">
      <c r="D16" s="25"/>
    </row>
    <row r="17">
      <c r="D17" s="25"/>
    </row>
    <row r="18">
      <c r="D18" s="25"/>
    </row>
    <row r="19">
      <c r="D19" s="25"/>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21.13"/>
    <col customWidth="1" min="5" max="5" width="19.5"/>
    <col customWidth="1" min="6" max="6" width="18.5"/>
    <col customWidth="1" min="7" max="7" width="17.0"/>
    <col customWidth="1" min="8" max="8" width="17.5"/>
  </cols>
  <sheetData>
    <row r="1">
      <c r="A1" s="22" t="str">
        <f>IFERROR(__xludf.DUMMYFUNCTION("IMPORTHTML(""https://fr.wikipedia.org/wiki/Coupe_du_monde_de_football_2022"", ""table"", ""5"")"),"*Carte*")</f>
        <v>*Carte*</v>
      </c>
      <c r="B1" s="22" t="str">
        <f>IFERROR(__xludf.DUMMYFUNCTION("""COMPUTED_VALUE"""),"*Europe (UEFA)13 places*")</f>
        <v>*Europe (UEFA)13 places*</v>
      </c>
      <c r="C1" s="22" t="str">
        <f>IFERROR(__xludf.DUMMYFUNCTION("""COMPUTED_VALUE"""),"*Amérique du Sud*
*(CONMEBOL)4 places*[a]")</f>
        <v>*Amérique du Sud*
*(CONMEBOL)4 places*[a]</v>
      </c>
      <c r="D1" s="22" t="str">
        <f>IFERROR(__xludf.DUMMYFUNCTION("""COMPUTED_VALUE"""),"*Afrique (CAF)5 places*")</f>
        <v>*Afrique (CAF)5 places*</v>
      </c>
      <c r="E1" s="22"/>
      <c r="F1" s="22"/>
      <c r="G1" s="22"/>
      <c r="H1" s="22"/>
      <c r="I1" s="22"/>
      <c r="J1" s="22"/>
      <c r="K1" s="22"/>
      <c r="L1" s="22"/>
      <c r="M1" s="22"/>
      <c r="N1" s="22"/>
      <c r="O1" s="22"/>
      <c r="P1" s="22"/>
      <c r="Q1" s="22"/>
      <c r="R1" s="22"/>
      <c r="S1" s="22"/>
      <c r="T1" s="22"/>
      <c r="U1" s="22"/>
      <c r="V1" s="22"/>
      <c r="W1" s="22"/>
      <c r="X1" s="22"/>
      <c r="Y1" s="22"/>
      <c r="Z1" s="22"/>
    </row>
    <row r="2">
      <c r="A2" s="1" t="str">
        <f>IFERROR(__xludf.DUMMYFUNCTION("""COMPUTED_VALUE"""),"- Équipes qualifiées pour la Coupe du monde 2022
   - Équipes non-qualifiées pour la Coupe du monde 2022
   - Équipes suspendues / Forfaits
   - Équipes non membres de la FIFA")</f>
        <v>- Équipes qualifiées pour la Coupe du monde 2022
   - Équipes non-qualifiées pour la Coupe du monde 2022
   - Équipes suspendues / Forfaits
   - Équipes non membres de la FIFA</v>
      </c>
      <c r="B2" s="1" t="str">
        <f>IFERROR(__xludf.DUMMYFUNCTION("""COMPUTED_VALUE"""),"Allemagne : 20e phase finale 
Angleterre : 16e phase finale 
Espagne : 16e phase finale 
France*T* : 16e phase finale 
Belgique : 14e phase finale 
Suisse : 12e phase finale 
Pays-Bas : 11e phase finale 
Pologne : 9e phase finale 
Portugal : 8e ph"&amp;"ase finale 
Croatie : 6e phase finale 
Danemark : 6e phase finale 
Serbie : 3e phase finale[b]
Pays de Galles : 2e phase finale")</f>
        <v>Allemagne : 20e phase finale 
Angleterre : 16e phase finale 
Espagne : 16e phase finale 
France*T* : 16e phase finale 
Belgique : 14e phase finale 
Suisse : 12e phase finale 
Pays-Bas : 11e phase finale 
Pologne : 9e phase finale 
Portugal : 8e phase finale 
Croatie : 6e phase finale 
Danemark : 6e phase finale 
Serbie : 3e phase finale[b]
Pays de Galles : 2e phase finale</v>
      </c>
      <c r="C2" s="23" t="str">
        <f>IFERROR(__xludf.DUMMYFUNCTION("""COMPUTED_VALUE"""),"Brésil : 22e phase finale 
Argentine : 18e phase finale 
Uruguay : 14e phase finale 
Équateur : 4e phase finale")</f>
        <v>Brésil : 22e phase finale 
Argentine : 18e phase finale 
Uruguay : 14e phase finale 
Équateur : 4e phase finale</v>
      </c>
      <c r="D2" s="1" t="str">
        <f>IFERROR(__xludf.DUMMYFUNCTION("""COMPUTED_VALUE"""),"Cameroun : 8e phase finale 
Maroc : 6e phase finale 
Tunisie : 6e phase finale 
Ghana : 4e phase finale 
Sénégal : 3e phase finale")</f>
        <v>Cameroun : 8e phase finale 
Maroc : 6e phase finale 
Tunisie : 6e phase finale 
Ghana : 4e phase finale 
Sénégal : 3e phase finale</v>
      </c>
      <c r="E2" s="23"/>
      <c r="F2" s="23"/>
      <c r="K2" s="1" t="str">
        <f>IFERROR(__xludf.DUMMYFUNCTION("SPLIT(G2, ""%"") "),"#VALUE!")</f>
        <v>#VALUE!</v>
      </c>
    </row>
    <row r="3">
      <c r="A3" s="1" t="str">
        <f>IFERROR(__xludf.DUMMYFUNCTION("""COMPUTED_VALUE"""),"*Océanie (OFC)0 places*[c]")</f>
        <v>*Océanie (OFC)0 places*[c]</v>
      </c>
      <c r="B3" s="1"/>
      <c r="C3" s="23" t="str">
        <f>IFERROR(__xludf.DUMMYFUNCTION("""COMPUTED_VALUE"""),"*Amérique du Nord, Centrale et Caraïbes (CONCACAF)4 places*[d]")</f>
        <v>*Amérique du Nord, Centrale et Caraïbes (CONCACAF)4 places*[d]</v>
      </c>
      <c r="D3" s="1" t="str">
        <f>IFERROR(__xludf.DUMMYFUNCTION("""COMPUTED_VALUE"""),"*Asie (AFC)6 places*[e](dont une au pays hôte)")</f>
        <v>*Asie (AFC)6 places*[e](dont une au pays hôte)</v>
      </c>
      <c r="E3" s="23"/>
      <c r="F3" s="23"/>
      <c r="K3" s="1" t="str">
        <f>IFERROR(__xludf.DUMMYFUNCTION("SPLIT(G3, ""%"") "),"#VALUE!")</f>
        <v>#VALUE!</v>
      </c>
    </row>
    <row r="4">
      <c r="A4" s="1"/>
      <c r="B4" s="1"/>
      <c r="C4" s="23" t="str">
        <f>IFERROR(__xludf.DUMMYFUNCTION("""COMPUTED_VALUE"""),"Mexique : 17e phase finale 
États-Unis : 11e phase finale 
Costa Rica : 6e phase finale 
Canada : 2e phase finale")</f>
        <v>Mexique : 17e phase finale 
États-Unis : 11e phase finale 
Costa Rica : 6e phase finale 
Canada : 2e phase finale</v>
      </c>
      <c r="D4" s="1" t="str">
        <f>IFERROR(__xludf.DUMMYFUNCTION("""COMPUTED_VALUE"""),"Corée du Sud : 11e phase finale 
Japon : 7e phase finale 
Arabie saoudite : 6e phase finale 
Australie : 6e phase finale 
Iran : 6e phase finale 
Qatar*PO* : 1re phase finale")</f>
        <v>Corée du Sud : 11e phase finale 
Japon : 7e phase finale 
Arabie saoudite : 6e phase finale 
Australie : 6e phase finale 
Iran : 6e phase finale 
Qatar*PO* : 1re phase finale</v>
      </c>
      <c r="E4" s="23"/>
      <c r="F4" s="23"/>
      <c r="K4" s="1" t="str">
        <f>IFERROR(__xludf.DUMMYFUNCTION("SPLIT(G4, ""%"") "),"#VALUE!")</f>
        <v>#VALUE!</v>
      </c>
    </row>
    <row r="5">
      <c r="C5" s="23"/>
      <c r="E5" s="23"/>
      <c r="F5" s="23"/>
      <c r="K5" s="1" t="str">
        <f>IFERROR(__xludf.DUMMYFUNCTION("SPLIT(G5, ""%"") "),"#VALUE!")</f>
        <v>#VALUE!</v>
      </c>
    </row>
    <row r="6">
      <c r="C6" s="23"/>
      <c r="E6" s="23"/>
      <c r="F6" s="23"/>
      <c r="K6" s="1" t="str">
        <f>IFERROR(__xludf.DUMMYFUNCTION("SPLIT(G6, ""%"") "),"#VALUE!")</f>
        <v>#VALUE!</v>
      </c>
    </row>
    <row r="7">
      <c r="C7" s="23"/>
      <c r="E7" s="23"/>
      <c r="F7" s="23"/>
      <c r="K7" s="1" t="str">
        <f>IFERROR(__xludf.DUMMYFUNCTION("SPLIT(G7, ""%"") "),"#VALUE!")</f>
        <v>#VALUE!</v>
      </c>
    </row>
    <row r="8">
      <c r="C8" s="23"/>
      <c r="E8" s="23"/>
      <c r="F8" s="23"/>
      <c r="K8" s="1" t="str">
        <f>IFERROR(__xludf.DUMMYFUNCTION("SPLIT(G8, ""%"") "),"#VALUE!")</f>
        <v>#VALUE!</v>
      </c>
    </row>
    <row r="9">
      <c r="C9" s="23"/>
      <c r="E9" s="23"/>
      <c r="F9" s="23"/>
      <c r="K9" s="1" t="str">
        <f>IFERROR(__xludf.DUMMYFUNCTION("SPLIT(G9, ""%"") "),"#VALUE!")</f>
        <v>#VALUE!</v>
      </c>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3">
      <c r="D13" s="25"/>
    </row>
    <row r="14">
      <c r="B14" s="2"/>
      <c r="D14" s="25"/>
    </row>
    <row r="15">
      <c r="B15" s="26"/>
      <c r="D15" s="25"/>
    </row>
    <row r="16">
      <c r="D16" s="25"/>
    </row>
    <row r="17">
      <c r="A17" s="27" t="str">
        <f>IFERROR(__xludf.DUMMYFUNCTION("IMPORTHTML(""https://fr.wikipedia.org/wiki/Kawhi_Leonard"",""table"",""4"")"),"Saison")</f>
        <v>Saison</v>
      </c>
      <c r="B17" s="1" t="str">
        <f>IFERROR(__xludf.DUMMYFUNCTION("""COMPUTED_VALUE"""),"Équipe")</f>
        <v>Équipe</v>
      </c>
      <c r="C17" s="1" t="str">
        <f>IFERROR(__xludf.DUMMYFUNCTION("""COMPUTED_VALUE"""),"Matchs")</f>
        <v>Matchs</v>
      </c>
      <c r="D17" s="25" t="str">
        <f>IFERROR(__xludf.DUMMYFUNCTION("""COMPUTED_VALUE"""),"Titul.")</f>
        <v>Titul.</v>
      </c>
      <c r="E17" s="1" t="str">
        <f>IFERROR(__xludf.DUMMYFUNCTION("""COMPUTED_VALUE"""),"Min./m")</f>
        <v>Min./m</v>
      </c>
      <c r="F17" s="1" t="str">
        <f>IFERROR(__xludf.DUMMYFUNCTION("""COMPUTED_VALUE"""),"% Tir")</f>
        <v>% Tir</v>
      </c>
      <c r="G17" s="1" t="str">
        <f>IFERROR(__xludf.DUMMYFUNCTION("""COMPUTED_VALUE"""),"% 3pts")</f>
        <v>% 3pts</v>
      </c>
      <c r="H17" s="1" t="str">
        <f>IFERROR(__xludf.DUMMYFUNCTION("""COMPUTED_VALUE"""),"% LF")</f>
        <v>% LF</v>
      </c>
      <c r="I17" s="1" t="str">
        <f>IFERROR(__xludf.DUMMYFUNCTION("""COMPUTED_VALUE"""),"Rbds/m.")</f>
        <v>Rbds/m.</v>
      </c>
      <c r="J17" s="1" t="str">
        <f>IFERROR(__xludf.DUMMYFUNCTION("""COMPUTED_VALUE"""),"Pass/m.")</f>
        <v>Pass/m.</v>
      </c>
      <c r="K17" s="1" t="str">
        <f>IFERROR(__xludf.DUMMYFUNCTION("""COMPUTED_VALUE"""),"Int/m.")</f>
        <v>Int/m.</v>
      </c>
      <c r="L17" s="1" t="str">
        <f>IFERROR(__xludf.DUMMYFUNCTION("""COMPUTED_VALUE"""),"Ctr/m.")</f>
        <v>Ctr/m.</v>
      </c>
      <c r="M17" s="1" t="str">
        <f>IFERROR(__xludf.DUMMYFUNCTION("""COMPUTED_VALUE"""),"Pts/m.")</f>
        <v>Pts/m.</v>
      </c>
    </row>
    <row r="18">
      <c r="A18" s="1" t="str">
        <f>IFERROR(__xludf.DUMMYFUNCTION("""COMPUTED_VALUE"""),"2011-2012*")</f>
        <v>2011-2012*</v>
      </c>
      <c r="B18" s="1" t="str">
        <f>IFERROR(__xludf.DUMMYFUNCTION("""COMPUTED_VALUE"""),"San Antonio")</f>
        <v>San Antonio</v>
      </c>
      <c r="C18" s="1">
        <f>IFERROR(__xludf.DUMMYFUNCTION("""COMPUTED_VALUE"""),64.0)</f>
        <v>64</v>
      </c>
      <c r="D18" s="25">
        <f>IFERROR(__xludf.DUMMYFUNCTION("""COMPUTED_VALUE"""),39.0)</f>
        <v>39</v>
      </c>
      <c r="E18" s="1" t="str">
        <f>IFERROR(__xludf.DUMMYFUNCTION("""COMPUTED_VALUE"""),"24,0")</f>
        <v>24,0</v>
      </c>
      <c r="F18" s="1" t="str">
        <f>IFERROR(__xludf.DUMMYFUNCTION("""COMPUTED_VALUE"""),"49,3")</f>
        <v>49,3</v>
      </c>
      <c r="G18" s="1" t="str">
        <f>IFERROR(__xludf.DUMMYFUNCTION("""COMPUTED_VALUE"""),"37,6")</f>
        <v>37,6</v>
      </c>
      <c r="H18" s="1" t="str">
        <f>IFERROR(__xludf.DUMMYFUNCTION("""COMPUTED_VALUE"""),"77,3")</f>
        <v>77,3</v>
      </c>
      <c r="I18" s="1" t="str">
        <f>IFERROR(__xludf.DUMMYFUNCTION("""COMPUTED_VALUE"""),"5,11")</f>
        <v>5,11</v>
      </c>
      <c r="J18" s="1" t="str">
        <f>IFERROR(__xludf.DUMMYFUNCTION("""COMPUTED_VALUE"""),"1,09")</f>
        <v>1,09</v>
      </c>
      <c r="K18" s="1" t="str">
        <f>IFERROR(__xludf.DUMMYFUNCTION("""COMPUTED_VALUE"""),"1,33")</f>
        <v>1,33</v>
      </c>
      <c r="L18" s="1" t="str">
        <f>IFERROR(__xludf.DUMMYFUNCTION("""COMPUTED_VALUE"""),"0,38")</f>
        <v>0,38</v>
      </c>
      <c r="M18" s="1" t="str">
        <f>IFERROR(__xludf.DUMMYFUNCTION("""COMPUTED_VALUE"""),"7,92")</f>
        <v>7,92</v>
      </c>
    </row>
    <row r="19">
      <c r="A19" s="1" t="str">
        <f>IFERROR(__xludf.DUMMYFUNCTION("""COMPUTED_VALUE"""),"2012-2013")</f>
        <v>2012-2013</v>
      </c>
      <c r="B19" s="1" t="str">
        <f>IFERROR(__xludf.DUMMYFUNCTION("""COMPUTED_VALUE"""),"San Antonio")</f>
        <v>San Antonio</v>
      </c>
      <c r="C19" s="1">
        <f>IFERROR(__xludf.DUMMYFUNCTION("""COMPUTED_VALUE"""),58.0)</f>
        <v>58</v>
      </c>
      <c r="D19" s="25">
        <f>IFERROR(__xludf.DUMMYFUNCTION("""COMPUTED_VALUE"""),57.0)</f>
        <v>57</v>
      </c>
      <c r="E19" s="1" t="str">
        <f>IFERROR(__xludf.DUMMYFUNCTION("""COMPUTED_VALUE"""),"31,2")</f>
        <v>31,2</v>
      </c>
      <c r="F19" s="1" t="str">
        <f>IFERROR(__xludf.DUMMYFUNCTION("""COMPUTED_VALUE"""),"49,4")</f>
        <v>49,4</v>
      </c>
      <c r="G19" s="1" t="str">
        <f>IFERROR(__xludf.DUMMYFUNCTION("""COMPUTED_VALUE"""),"37,4")</f>
        <v>37,4</v>
      </c>
      <c r="H19" s="1" t="str">
        <f>IFERROR(__xludf.DUMMYFUNCTION("""COMPUTED_VALUE"""),"82,5")</f>
        <v>82,5</v>
      </c>
      <c r="I19" s="1" t="str">
        <f>IFERROR(__xludf.DUMMYFUNCTION("""COMPUTED_VALUE"""),"5,97")</f>
        <v>5,97</v>
      </c>
      <c r="J19" s="1" t="str">
        <f>IFERROR(__xludf.DUMMYFUNCTION("""COMPUTED_VALUE"""),"1,60")</f>
        <v>1,60</v>
      </c>
      <c r="K19" s="1" t="str">
        <f>IFERROR(__xludf.DUMMYFUNCTION("""COMPUTED_VALUE"""),"1,67")</f>
        <v>1,67</v>
      </c>
      <c r="L19" s="1" t="str">
        <f>IFERROR(__xludf.DUMMYFUNCTION("""COMPUTED_VALUE"""),"0,55")</f>
        <v>0,55</v>
      </c>
      <c r="M19" s="1" t="str">
        <f>IFERROR(__xludf.DUMMYFUNCTION("""COMPUTED_VALUE"""),"11,88")</f>
        <v>11,88</v>
      </c>
    </row>
    <row r="20">
      <c r="A20" s="1" t="str">
        <f>IFERROR(__xludf.DUMMYFUNCTION("""COMPUTED_VALUE"""),"2013-2014")</f>
        <v>2013-2014</v>
      </c>
      <c r="B20" s="1" t="str">
        <f>IFERROR(__xludf.DUMMYFUNCTION("""COMPUTED_VALUE"""),"San Antonio")</f>
        <v>San Antonio</v>
      </c>
      <c r="C20" s="1">
        <f>IFERROR(__xludf.DUMMYFUNCTION("""COMPUTED_VALUE"""),66.0)</f>
        <v>66</v>
      </c>
      <c r="D20" s="1">
        <f>IFERROR(__xludf.DUMMYFUNCTION("""COMPUTED_VALUE"""),65.0)</f>
        <v>65</v>
      </c>
      <c r="E20" s="1" t="str">
        <f>IFERROR(__xludf.DUMMYFUNCTION("""COMPUTED_VALUE"""),"29,1")</f>
        <v>29,1</v>
      </c>
      <c r="F20" s="1" t="str">
        <f>IFERROR(__xludf.DUMMYFUNCTION("""COMPUTED_VALUE"""),"52,2")</f>
        <v>52,2</v>
      </c>
      <c r="G20" s="1" t="str">
        <f>IFERROR(__xludf.DUMMYFUNCTION("""COMPUTED_VALUE"""),"37,9")</f>
        <v>37,9</v>
      </c>
      <c r="H20" s="1" t="str">
        <f>IFERROR(__xludf.DUMMYFUNCTION("""COMPUTED_VALUE"""),"80,2")</f>
        <v>80,2</v>
      </c>
      <c r="I20" s="1" t="str">
        <f>IFERROR(__xludf.DUMMYFUNCTION("""COMPUTED_VALUE"""),"6,24")</f>
        <v>6,24</v>
      </c>
      <c r="J20" s="1" t="str">
        <f>IFERROR(__xludf.DUMMYFUNCTION("""COMPUTED_VALUE"""),"2,02")</f>
        <v>2,02</v>
      </c>
      <c r="K20" s="1" t="str">
        <f>IFERROR(__xludf.DUMMYFUNCTION("""COMPUTED_VALUE"""),"1,73")</f>
        <v>1,73</v>
      </c>
      <c r="L20" s="1" t="str">
        <f>IFERROR(__xludf.DUMMYFUNCTION("""COMPUTED_VALUE"""),"0,76")</f>
        <v>0,76</v>
      </c>
      <c r="M20" s="1" t="str">
        <f>IFERROR(__xludf.DUMMYFUNCTION("""COMPUTED_VALUE"""),"12,79")</f>
        <v>12,79</v>
      </c>
    </row>
    <row r="21">
      <c r="A21" s="1" t="str">
        <f>IFERROR(__xludf.DUMMYFUNCTION("""COMPUTED_VALUE"""),"2014-2015")</f>
        <v>2014-2015</v>
      </c>
      <c r="B21" s="1" t="str">
        <f>IFERROR(__xludf.DUMMYFUNCTION("""COMPUTED_VALUE"""),"San Antonio")</f>
        <v>San Antonio</v>
      </c>
      <c r="C21" s="1">
        <f>IFERROR(__xludf.DUMMYFUNCTION("""COMPUTED_VALUE"""),64.0)</f>
        <v>64</v>
      </c>
      <c r="D21" s="1">
        <f>IFERROR(__xludf.DUMMYFUNCTION("""COMPUTED_VALUE"""),64.0)</f>
        <v>64</v>
      </c>
      <c r="E21" s="1" t="str">
        <f>IFERROR(__xludf.DUMMYFUNCTION("""COMPUTED_VALUE"""),"31,8")</f>
        <v>31,8</v>
      </c>
      <c r="F21" s="1" t="str">
        <f>IFERROR(__xludf.DUMMYFUNCTION("""COMPUTED_VALUE"""),"47,9")</f>
        <v>47,9</v>
      </c>
      <c r="G21" s="1" t="str">
        <f>IFERROR(__xludf.DUMMYFUNCTION("""COMPUTED_VALUE"""),"34,9")</f>
        <v>34,9</v>
      </c>
      <c r="H21" s="1" t="str">
        <f>IFERROR(__xludf.DUMMYFUNCTION("""COMPUTED_VALUE"""),"80,2")</f>
        <v>80,2</v>
      </c>
      <c r="I21" s="1" t="str">
        <f>IFERROR(__xludf.DUMMYFUNCTION("""COMPUTED_VALUE"""),"7,20")</f>
        <v>7,20</v>
      </c>
      <c r="J21" s="1" t="str">
        <f>IFERROR(__xludf.DUMMYFUNCTION("""COMPUTED_VALUE"""),"2,52")</f>
        <v>2,52</v>
      </c>
      <c r="K21" s="1" t="str">
        <f>IFERROR(__xludf.DUMMYFUNCTION("""COMPUTED_VALUE"""),"*2,31*")</f>
        <v>*2,31*</v>
      </c>
      <c r="L21" s="1" t="str">
        <f>IFERROR(__xludf.DUMMYFUNCTION("""COMPUTED_VALUE"""),"0,75")</f>
        <v>0,75</v>
      </c>
      <c r="M21" s="1" t="str">
        <f>IFERROR(__xludf.DUMMYFUNCTION("""COMPUTED_VALUE"""),"16,52")</f>
        <v>16,52</v>
      </c>
    </row>
    <row r="22">
      <c r="A22" s="1" t="str">
        <f>IFERROR(__xludf.DUMMYFUNCTION("""COMPUTED_VALUE"""),"2015-2016")</f>
        <v>2015-2016</v>
      </c>
      <c r="B22" s="1" t="str">
        <f>IFERROR(__xludf.DUMMYFUNCTION("""COMPUTED_VALUE"""),"San Antonio")</f>
        <v>San Antonio</v>
      </c>
      <c r="C22" s="1">
        <f>IFERROR(__xludf.DUMMYFUNCTION("""COMPUTED_VALUE"""),72.0)</f>
        <v>72</v>
      </c>
      <c r="D22" s="1">
        <f>IFERROR(__xludf.DUMMYFUNCTION("""COMPUTED_VALUE"""),72.0)</f>
        <v>72</v>
      </c>
      <c r="E22" s="1" t="str">
        <f>IFERROR(__xludf.DUMMYFUNCTION("""COMPUTED_VALUE"""),"33,0")</f>
        <v>33,0</v>
      </c>
      <c r="F22" s="1" t="str">
        <f>IFERROR(__xludf.DUMMYFUNCTION("""COMPUTED_VALUE"""),"50,6")</f>
        <v>50,6</v>
      </c>
      <c r="G22" s="1" t="str">
        <f>IFERROR(__xludf.DUMMYFUNCTION("""COMPUTED_VALUE"""),"*44,3*")</f>
        <v>*44,3*</v>
      </c>
      <c r="H22" s="1" t="str">
        <f>IFERROR(__xludf.DUMMYFUNCTION("""COMPUTED_VALUE"""),"87,4")</f>
        <v>87,4</v>
      </c>
      <c r="I22" s="1" t="str">
        <f>IFERROR(__xludf.DUMMYFUNCTION("""COMPUTED_VALUE"""),"6,85")</f>
        <v>6,85</v>
      </c>
      <c r="J22" s="1" t="str">
        <f>IFERROR(__xludf.DUMMYFUNCTION("""COMPUTED_VALUE"""),"2,58")</f>
        <v>2,58</v>
      </c>
      <c r="K22" s="1" t="str">
        <f>IFERROR(__xludf.DUMMYFUNCTION("""COMPUTED_VALUE"""),"1,78")</f>
        <v>1,78</v>
      </c>
      <c r="L22" s="1" t="str">
        <f>IFERROR(__xludf.DUMMYFUNCTION("""COMPUTED_VALUE"""),"0,99")</f>
        <v>0,99</v>
      </c>
      <c r="M22" s="1" t="str">
        <f>IFERROR(__xludf.DUMMYFUNCTION("""COMPUTED_VALUE"""),"21,15")</f>
        <v>21,15</v>
      </c>
    </row>
    <row r="23">
      <c r="A23" s="1" t="str">
        <f>IFERROR(__xludf.DUMMYFUNCTION("""COMPUTED_VALUE"""),"2016-2017")</f>
        <v>2016-2017</v>
      </c>
      <c r="B23" s="1" t="str">
        <f>IFERROR(__xludf.DUMMYFUNCTION("""COMPUTED_VALUE"""),"San Antonio")</f>
        <v>San Antonio</v>
      </c>
      <c r="C23" s="1" t="str">
        <f>IFERROR(__xludf.DUMMYFUNCTION("""COMPUTED_VALUE"""),"*74*")</f>
        <v>*74*</v>
      </c>
      <c r="D23" s="1" t="str">
        <f>IFERROR(__xludf.DUMMYFUNCTION("""COMPUTED_VALUE"""),"*74*")</f>
        <v>*74*</v>
      </c>
      <c r="E23" s="1" t="str">
        <f>IFERROR(__xludf.DUMMYFUNCTION("""COMPUTED_VALUE"""),"33,4")</f>
        <v>33,4</v>
      </c>
      <c r="F23" s="1" t="str">
        <f>IFERROR(__xludf.DUMMYFUNCTION("""COMPUTED_VALUE"""),"48,5")</f>
        <v>48,5</v>
      </c>
      <c r="G23" s="1" t="str">
        <f>IFERROR(__xludf.DUMMYFUNCTION("""COMPUTED_VALUE"""),"38,4")</f>
        <v>38,4</v>
      </c>
      <c r="H23" s="1" t="str">
        <f>IFERROR(__xludf.DUMMYFUNCTION("""COMPUTED_VALUE"""),"88,0")</f>
        <v>88,0</v>
      </c>
      <c r="I23" s="1" t="str">
        <f>IFERROR(__xludf.DUMMYFUNCTION("""COMPUTED_VALUE"""),"5,78")</f>
        <v>5,78</v>
      </c>
      <c r="J23" s="1" t="str">
        <f>IFERROR(__xludf.DUMMYFUNCTION("""COMPUTED_VALUE"""),"3,50")</f>
        <v>3,50</v>
      </c>
      <c r="K23" s="1" t="str">
        <f>IFERROR(__xludf.DUMMYFUNCTION("""COMPUTED_VALUE"""),"1,76")</f>
        <v>1,76</v>
      </c>
      <c r="L23" s="1" t="str">
        <f>IFERROR(__xludf.DUMMYFUNCTION("""COMPUTED_VALUE"""),"0,73")</f>
        <v>0,73</v>
      </c>
      <c r="M23" s="1" t="str">
        <f>IFERROR(__xludf.DUMMYFUNCTION("""COMPUTED_VALUE"""),"25,51")</f>
        <v>25,51</v>
      </c>
    </row>
    <row r="24">
      <c r="A24" s="1" t="str">
        <f>IFERROR(__xludf.DUMMYFUNCTION("""COMPUTED_VALUE"""),"2017-2018")</f>
        <v>2017-2018</v>
      </c>
      <c r="B24" s="1" t="str">
        <f>IFERROR(__xludf.DUMMYFUNCTION("""COMPUTED_VALUE"""),"San Antonio")</f>
        <v>San Antonio</v>
      </c>
      <c r="C24" s="1">
        <f>IFERROR(__xludf.DUMMYFUNCTION("""COMPUTED_VALUE"""),9.0)</f>
        <v>9</v>
      </c>
      <c r="D24" s="1">
        <f>IFERROR(__xludf.DUMMYFUNCTION("""COMPUTED_VALUE"""),9.0)</f>
        <v>9</v>
      </c>
      <c r="E24" s="1" t="str">
        <f>IFERROR(__xludf.DUMMYFUNCTION("""COMPUTED_VALUE"""),"23,3")</f>
        <v>23,3</v>
      </c>
      <c r="F24" s="1" t="str">
        <f>IFERROR(__xludf.DUMMYFUNCTION("""COMPUTED_VALUE"""),"46,8")</f>
        <v>46,8</v>
      </c>
      <c r="G24" s="1" t="str">
        <f>IFERROR(__xludf.DUMMYFUNCTION("""COMPUTED_VALUE"""),"31,4")</f>
        <v>31,4</v>
      </c>
      <c r="H24" s="1" t="str">
        <f>IFERROR(__xludf.DUMMYFUNCTION("""COMPUTED_VALUE"""),"81,6")</f>
        <v>81,6</v>
      </c>
      <c r="I24" s="1" t="str">
        <f>IFERROR(__xludf.DUMMYFUNCTION("""COMPUTED_VALUE"""),"4,67")</f>
        <v>4,67</v>
      </c>
      <c r="J24" s="1" t="str">
        <f>IFERROR(__xludf.DUMMYFUNCTION("""COMPUTED_VALUE"""),"2,33")</f>
        <v>2,33</v>
      </c>
      <c r="K24" s="1" t="str">
        <f>IFERROR(__xludf.DUMMYFUNCTION("""COMPUTED_VALUE"""),"2,00")</f>
        <v>2,00</v>
      </c>
      <c r="L24" s="1" t="str">
        <f>IFERROR(__xludf.DUMMYFUNCTION("""COMPUTED_VALUE"""),"*1,00*")</f>
        <v>*1,00*</v>
      </c>
      <c r="M24" s="1" t="str">
        <f>IFERROR(__xludf.DUMMYFUNCTION("""COMPUTED_VALUE"""),"16,22")</f>
        <v>16,22</v>
      </c>
    </row>
    <row r="25">
      <c r="A25" s="1" t="str">
        <f>IFERROR(__xludf.DUMMYFUNCTION("""COMPUTED_VALUE"""),"2018-2019")</f>
        <v>2018-2019</v>
      </c>
      <c r="B25" s="1" t="str">
        <f>IFERROR(__xludf.DUMMYFUNCTION("""COMPUTED_VALUE"""),"Toronto")</f>
        <v>Toronto</v>
      </c>
      <c r="C25" s="1">
        <f>IFERROR(__xludf.DUMMYFUNCTION("""COMPUTED_VALUE"""),60.0)</f>
        <v>60</v>
      </c>
      <c r="D25" s="1">
        <f>IFERROR(__xludf.DUMMYFUNCTION("""COMPUTED_VALUE"""),60.0)</f>
        <v>60</v>
      </c>
      <c r="E25" s="1" t="str">
        <f>IFERROR(__xludf.DUMMYFUNCTION("""COMPUTED_VALUE"""),"34,0")</f>
        <v>34,0</v>
      </c>
      <c r="F25" s="1" t="str">
        <f>IFERROR(__xludf.DUMMYFUNCTION("""COMPUTED_VALUE"""),"49,6")</f>
        <v>49,6</v>
      </c>
      <c r="G25" s="1" t="str">
        <f>IFERROR(__xludf.DUMMYFUNCTION("""COMPUTED_VALUE"""),"37,1")</f>
        <v>37,1</v>
      </c>
      <c r="H25" s="1" t="str">
        <f>IFERROR(__xludf.DUMMYFUNCTION("""COMPUTED_VALUE"""),"85,4")</f>
        <v>85,4</v>
      </c>
      <c r="I25" s="1" t="str">
        <f>IFERROR(__xludf.DUMMYFUNCTION("""COMPUTED_VALUE"""),"*7,32*")</f>
        <v>*7,32*</v>
      </c>
      <c r="J25" s="1" t="str">
        <f>IFERROR(__xludf.DUMMYFUNCTION("""COMPUTED_VALUE"""),"3,32")</f>
        <v>3,32</v>
      </c>
      <c r="K25" s="1" t="str">
        <f>IFERROR(__xludf.DUMMYFUNCTION("""COMPUTED_VALUE"""),"1,77")</f>
        <v>1,77</v>
      </c>
      <c r="L25" s="1" t="str">
        <f>IFERROR(__xludf.DUMMYFUNCTION("""COMPUTED_VALUE"""),"0,40")</f>
        <v>0,40</v>
      </c>
      <c r="M25" s="1" t="str">
        <f>IFERROR(__xludf.DUMMYFUNCTION("""COMPUTED_VALUE"""),"26,60")</f>
        <v>26,60</v>
      </c>
    </row>
    <row r="26">
      <c r="A26" s="1" t="str">
        <f>IFERROR(__xludf.DUMMYFUNCTION("""COMPUTED_VALUE"""),"2019-2020**")</f>
        <v>2019-2020**</v>
      </c>
      <c r="B26" s="1" t="str">
        <f>IFERROR(__xludf.DUMMYFUNCTION("""COMPUTED_VALUE"""),"L.A. Clippers")</f>
        <v>L.A. Clippers</v>
      </c>
      <c r="C26" s="1">
        <f>IFERROR(__xludf.DUMMYFUNCTION("""COMPUTED_VALUE"""),57.0)</f>
        <v>57</v>
      </c>
      <c r="D26" s="1">
        <f>IFERROR(__xludf.DUMMYFUNCTION("""COMPUTED_VALUE"""),57.0)</f>
        <v>57</v>
      </c>
      <c r="E26" s="1" t="str">
        <f>IFERROR(__xludf.DUMMYFUNCTION("""COMPUTED_VALUE"""),"32,4")</f>
        <v>32,4</v>
      </c>
      <c r="F26" s="1" t="str">
        <f>IFERROR(__xludf.DUMMYFUNCTION("""COMPUTED_VALUE"""),"47,0")</f>
        <v>47,0</v>
      </c>
      <c r="G26" s="1" t="str">
        <f>IFERROR(__xludf.DUMMYFUNCTION("""COMPUTED_VALUE"""),"37,8")</f>
        <v>37,8</v>
      </c>
      <c r="H26" s="1" t="str">
        <f>IFERROR(__xludf.DUMMYFUNCTION("""COMPUTED_VALUE"""),"*88,6*")</f>
        <v>*88,6*</v>
      </c>
      <c r="I26" s="1" t="str">
        <f>IFERROR(__xludf.DUMMYFUNCTION("""COMPUTED_VALUE"""),"7,05")</f>
        <v>7,05</v>
      </c>
      <c r="J26" s="1" t="str">
        <f>IFERROR(__xludf.DUMMYFUNCTION("""COMPUTED_VALUE"""),"4,91")</f>
        <v>4,91</v>
      </c>
      <c r="K26" s="1" t="str">
        <f>IFERROR(__xludf.DUMMYFUNCTION("""COMPUTED_VALUE"""),"1,81")</f>
        <v>1,81</v>
      </c>
      <c r="L26" s="1" t="str">
        <f>IFERROR(__xludf.DUMMYFUNCTION("""COMPUTED_VALUE"""),"0,58")</f>
        <v>0,58</v>
      </c>
      <c r="M26" s="1" t="str">
        <f>IFERROR(__xludf.DUMMYFUNCTION("""COMPUTED_VALUE"""),"*27,07*")</f>
        <v>*27,07*</v>
      </c>
    </row>
    <row r="27">
      <c r="A27" s="1" t="str">
        <f>IFERROR(__xludf.DUMMYFUNCTION("""COMPUTED_VALUE"""),"2020-2021**")</f>
        <v>2020-2021**</v>
      </c>
      <c r="B27" s="1" t="str">
        <f>IFERROR(__xludf.DUMMYFUNCTION("""COMPUTED_VALUE"""),"L.A. Clippers")</f>
        <v>L.A. Clippers</v>
      </c>
      <c r="C27" s="1">
        <f>IFERROR(__xludf.DUMMYFUNCTION("""COMPUTED_VALUE"""),52.0)</f>
        <v>52</v>
      </c>
      <c r="D27" s="1">
        <f>IFERROR(__xludf.DUMMYFUNCTION("""COMPUTED_VALUE"""),52.0)</f>
        <v>52</v>
      </c>
      <c r="E27" s="1" t="str">
        <f>IFERROR(__xludf.DUMMYFUNCTION("""COMPUTED_VALUE"""),"34,1")</f>
        <v>34,1</v>
      </c>
      <c r="F27" s="1" t="str">
        <f>IFERROR(__xludf.DUMMYFUNCTION("""COMPUTED_VALUE"""),"51,2")</f>
        <v>51,2</v>
      </c>
      <c r="G27" s="1" t="str">
        <f>IFERROR(__xludf.DUMMYFUNCTION("""COMPUTED_VALUE"""),"39,8")</f>
        <v>39,8</v>
      </c>
      <c r="H27" s="1" t="str">
        <f>IFERROR(__xludf.DUMMYFUNCTION("""COMPUTED_VALUE"""),"88,5")</f>
        <v>88,5</v>
      </c>
      <c r="I27" s="1" t="str">
        <f>IFERROR(__xludf.DUMMYFUNCTION("""COMPUTED_VALUE"""),"6,48")</f>
        <v>6,48</v>
      </c>
      <c r="J27" s="1" t="str">
        <f>IFERROR(__xludf.DUMMYFUNCTION("""COMPUTED_VALUE"""),"*5,17*")</f>
        <v>*5,17*</v>
      </c>
      <c r="K27" s="1" t="str">
        <f>IFERROR(__xludf.DUMMYFUNCTION("""COMPUTED_VALUE"""),"1,56")</f>
        <v>1,56</v>
      </c>
      <c r="L27" s="1" t="str">
        <f>IFERROR(__xludf.DUMMYFUNCTION("""COMPUTED_VALUE"""),"0,40")</f>
        <v>0,40</v>
      </c>
      <c r="M27" s="1" t="str">
        <f>IFERROR(__xludf.DUMMYFUNCTION("""COMPUTED_VALUE"""),"24,85")</f>
        <v>24,85</v>
      </c>
    </row>
    <row r="28">
      <c r="A28" s="1" t="str">
        <f>IFERROR(__xludf.DUMMYFUNCTION("""COMPUTED_VALUE"""),"2022-2023")</f>
        <v>2022-2023</v>
      </c>
      <c r="B28" s="1" t="str">
        <f>IFERROR(__xludf.DUMMYFUNCTION("""COMPUTED_VALUE"""),"L.A. Clippers")</f>
        <v>L.A. Clippers</v>
      </c>
      <c r="C28" s="1">
        <f>IFERROR(__xludf.DUMMYFUNCTION("""COMPUTED_VALUE"""),52.0)</f>
        <v>52</v>
      </c>
      <c r="D28" s="1">
        <f>IFERROR(__xludf.DUMMYFUNCTION("""COMPUTED_VALUE"""),50.0)</f>
        <v>50</v>
      </c>
      <c r="E28" s="1" t="str">
        <f>IFERROR(__xludf.DUMMYFUNCTION("""COMPUTED_VALUE"""),"33,6")</f>
        <v>33,6</v>
      </c>
      <c r="F28" s="1" t="str">
        <f>IFERROR(__xludf.DUMMYFUNCTION("""COMPUTED_VALUE"""),"51,2")</f>
        <v>51,2</v>
      </c>
      <c r="G28" s="1" t="str">
        <f>IFERROR(__xludf.DUMMYFUNCTION("""COMPUTED_VALUE"""),"41,6")</f>
        <v>41,6</v>
      </c>
      <c r="H28" s="1" t="str">
        <f>IFERROR(__xludf.DUMMYFUNCTION("""COMPUTED_VALUE"""),"87,1")</f>
        <v>87,1</v>
      </c>
      <c r="I28" s="1" t="str">
        <f>IFERROR(__xludf.DUMMYFUNCTION("""COMPUTED_VALUE"""),"6,50")</f>
        <v>6,50</v>
      </c>
      <c r="J28" s="1" t="str">
        <f>IFERROR(__xludf.DUMMYFUNCTION("""COMPUTED_VALUE"""),"3,90")</f>
        <v>3,90</v>
      </c>
      <c r="K28" s="1" t="str">
        <f>IFERROR(__xludf.DUMMYFUNCTION("""COMPUTED_VALUE"""),"1,40")</f>
        <v>1,40</v>
      </c>
      <c r="L28" s="1" t="str">
        <f>IFERROR(__xludf.DUMMYFUNCTION("""COMPUTED_VALUE"""),"0,50")</f>
        <v>0,50</v>
      </c>
      <c r="M28" s="1" t="str">
        <f>IFERROR(__xludf.DUMMYFUNCTION("""COMPUTED_VALUE"""),"23,80")</f>
        <v>23,80</v>
      </c>
    </row>
    <row r="29">
      <c r="A29" s="1" t="str">
        <f>IFERROR(__xludf.DUMMYFUNCTION("""COMPUTED_VALUE"""),"2023-2024")</f>
        <v>2023-2024</v>
      </c>
      <c r="B29" s="1" t="str">
        <f>IFERROR(__xludf.DUMMYFUNCTION("""COMPUTED_VALUE"""),"L.A. Clippers")</f>
        <v>L.A. Clippers</v>
      </c>
      <c r="C29" s="1">
        <f>IFERROR(__xludf.DUMMYFUNCTION("""COMPUTED_VALUE"""),68.0)</f>
        <v>68</v>
      </c>
      <c r="D29" s="1">
        <f>IFERROR(__xludf.DUMMYFUNCTION("""COMPUTED_VALUE"""),68.0)</f>
        <v>68</v>
      </c>
      <c r="E29" s="1" t="str">
        <f>IFERROR(__xludf.DUMMYFUNCTION("""COMPUTED_VALUE"""),"*34,3*")</f>
        <v>*34,3*</v>
      </c>
      <c r="F29" s="1" t="str">
        <f>IFERROR(__xludf.DUMMYFUNCTION("""COMPUTED_VALUE"""),"*52,5*")</f>
        <v>*52,5*</v>
      </c>
      <c r="G29" s="1" t="str">
        <f>IFERROR(__xludf.DUMMYFUNCTION("""COMPUTED_VALUE"""),"41,7")</f>
        <v>41,7</v>
      </c>
      <c r="H29" s="1" t="str">
        <f>IFERROR(__xludf.DUMMYFUNCTION("""COMPUTED_VALUE"""),"88,5")</f>
        <v>88,5</v>
      </c>
      <c r="I29" s="1" t="str">
        <f>IFERROR(__xludf.DUMMYFUNCTION("""COMPUTED_VALUE"""),"6,10")</f>
        <v>6,10</v>
      </c>
      <c r="J29" s="1" t="str">
        <f>IFERROR(__xludf.DUMMYFUNCTION("""COMPUTED_VALUE"""),"3,70")</f>
        <v>3,70</v>
      </c>
      <c r="K29" s="1" t="str">
        <f>IFERROR(__xludf.DUMMYFUNCTION("""COMPUTED_VALUE"""),"1,60")</f>
        <v>1,60</v>
      </c>
      <c r="L29" s="1" t="str">
        <f>IFERROR(__xludf.DUMMYFUNCTION("""COMPUTED_VALUE"""),"0,90")</f>
        <v>0,90</v>
      </c>
      <c r="M29" s="1" t="str">
        <f>IFERROR(__xludf.DUMMYFUNCTION("""COMPUTED_VALUE"""),"23,70")</f>
        <v>23,70</v>
      </c>
    </row>
    <row r="30">
      <c r="A30" s="1" t="str">
        <f>IFERROR(__xludf.DUMMYFUNCTION("""COMPUTED_VALUE"""),"2024-2025")</f>
        <v>2024-2025</v>
      </c>
      <c r="B30" s="1" t="str">
        <f>IFERROR(__xludf.DUMMYFUNCTION("""COMPUTED_VALUE"""),"L.A. Clippers")</f>
        <v>L.A. Clippers</v>
      </c>
      <c r="C30" s="1">
        <f>IFERROR(__xludf.DUMMYFUNCTION("""COMPUTED_VALUE"""),37.0)</f>
        <v>37</v>
      </c>
      <c r="D30" s="1">
        <f>IFERROR(__xludf.DUMMYFUNCTION("""COMPUTED_VALUE"""),37.0)</f>
        <v>37</v>
      </c>
      <c r="E30" s="1" t="str">
        <f>IFERROR(__xludf.DUMMYFUNCTION("""COMPUTED_VALUE"""),"31,9")</f>
        <v>31,9</v>
      </c>
      <c r="F30" s="1" t="str">
        <f>IFERROR(__xludf.DUMMYFUNCTION("""COMPUTED_VALUE"""),"49,8")</f>
        <v>49,8</v>
      </c>
      <c r="G30" s="1" t="str">
        <f>IFERROR(__xludf.DUMMYFUNCTION("""COMPUTED_VALUE"""),"41,1")</f>
        <v>41,1</v>
      </c>
      <c r="H30" s="1" t="str">
        <f>IFERROR(__xludf.DUMMYFUNCTION("""COMPUTED_VALUE"""),"81,0")</f>
        <v>81,0</v>
      </c>
      <c r="I30" s="1" t="str">
        <f>IFERROR(__xludf.DUMMYFUNCTION("""COMPUTED_VALUE"""),"5,90")</f>
        <v>5,90</v>
      </c>
      <c r="J30" s="1" t="str">
        <f>IFERROR(__xludf.DUMMYFUNCTION("""COMPUTED_VALUE"""),"3,10")</f>
        <v>3,10</v>
      </c>
      <c r="K30" s="1" t="str">
        <f>IFERROR(__xludf.DUMMYFUNCTION("""COMPUTED_VALUE"""),"1,60")</f>
        <v>1,60</v>
      </c>
      <c r="L30" s="1" t="str">
        <f>IFERROR(__xludf.DUMMYFUNCTION("""COMPUTED_VALUE"""),"0,50")</f>
        <v>0,50</v>
      </c>
      <c r="M30" s="1" t="str">
        <f>IFERROR(__xludf.DUMMYFUNCTION("""COMPUTED_VALUE"""),"21,50")</f>
        <v>21,50</v>
      </c>
    </row>
    <row r="31">
      <c r="A31" s="1" t="str">
        <f>IFERROR(__xludf.DUMMYFUNCTION("""COMPUTED_VALUE"""),"Carrière")</f>
        <v>Carrière</v>
      </c>
      <c r="B31" s="1"/>
      <c r="C31" s="1">
        <f>IFERROR(__xludf.DUMMYFUNCTION("""COMPUTED_VALUE"""),733.0)</f>
        <v>733</v>
      </c>
      <c r="D31" s="1">
        <f>IFERROR(__xludf.DUMMYFUNCTION("""COMPUTED_VALUE"""),704.0)</f>
        <v>704</v>
      </c>
      <c r="E31" s="1" t="str">
        <f>IFERROR(__xludf.DUMMYFUNCTION("""COMPUTED_VALUE"""),"31,8")</f>
        <v>31,8</v>
      </c>
      <c r="F31" s="1" t="str">
        <f>IFERROR(__xludf.DUMMYFUNCTION("""COMPUTED_VALUE"""),"49,9")</f>
        <v>49,9</v>
      </c>
      <c r="G31" s="1" t="str">
        <f>IFERROR(__xludf.DUMMYFUNCTION("""COMPUTED_VALUE"""),"39,2")</f>
        <v>39,2</v>
      </c>
      <c r="H31" s="1" t="str">
        <f>IFERROR(__xludf.DUMMYFUNCTION("""COMPUTED_VALUE"""),"86,0")</f>
        <v>86,0</v>
      </c>
      <c r="I31" s="1" t="str">
        <f>IFERROR(__xludf.DUMMYFUNCTION("""COMPUTED_VALUE"""),"6,40")</f>
        <v>6,40</v>
      </c>
      <c r="J31" s="1" t="str">
        <f>IFERROR(__xludf.DUMMYFUNCTION("""COMPUTED_VALUE"""),"3,10")</f>
        <v>3,10</v>
      </c>
      <c r="K31" s="1" t="str">
        <f>IFERROR(__xludf.DUMMYFUNCTION("""COMPUTED_VALUE"""),"1,70")</f>
        <v>1,70</v>
      </c>
      <c r="L31" s="1" t="str">
        <f>IFERROR(__xludf.DUMMYFUNCTION("""COMPUTED_VALUE"""),"0,60")</f>
        <v>0,60</v>
      </c>
      <c r="M31" s="1" t="str">
        <f>IFERROR(__xludf.DUMMYFUNCTION("""COMPUTED_VALUE"""),"20,10")</f>
        <v>20,10</v>
      </c>
    </row>
    <row r="32">
      <c r="A32" s="1" t="str">
        <f>IFERROR(__xludf.DUMMYFUNCTION("""COMPUTED_VALUE"""),"All-Star Game")</f>
        <v>All-Star Game</v>
      </c>
      <c r="B32" s="1"/>
      <c r="C32" s="1">
        <f>IFERROR(__xludf.DUMMYFUNCTION("""COMPUTED_VALUE"""),6.0)</f>
        <v>6</v>
      </c>
      <c r="D32" s="1">
        <f>IFERROR(__xludf.DUMMYFUNCTION("""COMPUTED_VALUE"""),5.0)</f>
        <v>5</v>
      </c>
      <c r="E32" s="1" t="str">
        <f>IFERROR(__xludf.DUMMYFUNCTION("""COMPUTED_VALUE"""),"18,2")</f>
        <v>18,2</v>
      </c>
      <c r="F32" s="1" t="str">
        <f>IFERROR(__xludf.DUMMYFUNCTION("""COMPUTED_VALUE"""),"52,4")</f>
        <v>52,4</v>
      </c>
      <c r="G32" s="1" t="str">
        <f>IFERROR(__xludf.DUMMYFUNCTION("""COMPUTED_VALUE"""),"39,5")</f>
        <v>39,5</v>
      </c>
      <c r="H32" s="1" t="str">
        <f>IFERROR(__xludf.DUMMYFUNCTION("""COMPUTED_VALUE"""),"0,0")</f>
        <v>0,0</v>
      </c>
      <c r="I32" s="1" t="str">
        <f>IFERROR(__xludf.DUMMYFUNCTION("""COMPUTED_VALUE"""),"5,20")</f>
        <v>5,20</v>
      </c>
      <c r="J32" s="1" t="str">
        <f>IFERROR(__xludf.DUMMYFUNCTION("""COMPUTED_VALUE"""),"3,30")</f>
        <v>3,30</v>
      </c>
      <c r="K32" s="1" t="str">
        <f>IFERROR(__xludf.DUMMYFUNCTION("""COMPUTED_VALUE"""),"1,00")</f>
        <v>1,00</v>
      </c>
      <c r="L32" s="1" t="str">
        <f>IFERROR(__xludf.DUMMYFUNCTION("""COMPUTED_VALUE"""),"0,20")</f>
        <v>0,20</v>
      </c>
      <c r="M32" s="1" t="str">
        <f>IFERROR(__xludf.DUMMYFUNCTION("""COMPUTED_VALUE"""),"13,80")</f>
        <v>13,80</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C1" s="1" t="s">
        <v>3140</v>
      </c>
      <c r="E1" s="1" t="s">
        <v>3141</v>
      </c>
      <c r="I1" s="1" t="s">
        <v>3142</v>
      </c>
    </row>
    <row r="2">
      <c r="A2" s="1" t="s">
        <v>3143</v>
      </c>
      <c r="B2" s="1" t="s">
        <v>1</v>
      </c>
      <c r="E2" s="1" t="s">
        <v>3144</v>
      </c>
      <c r="F2" s="1" t="s">
        <v>3</v>
      </c>
      <c r="G2" s="1" t="s">
        <v>4</v>
      </c>
      <c r="I2" s="1" t="s">
        <v>5</v>
      </c>
      <c r="J2" s="1" t="s">
        <v>3</v>
      </c>
      <c r="K2" s="1" t="s">
        <v>3145</v>
      </c>
    </row>
    <row r="3">
      <c r="A3" s="1" t="s">
        <v>8</v>
      </c>
      <c r="B3" s="1" t="s">
        <v>3146</v>
      </c>
      <c r="C3" s="1" t="s">
        <v>3147</v>
      </c>
      <c r="E3" s="1" t="s">
        <v>3148</v>
      </c>
      <c r="F3" s="1" t="s">
        <v>3149</v>
      </c>
      <c r="G3" s="1" t="s">
        <v>11</v>
      </c>
      <c r="I3" s="1" t="s">
        <v>3150</v>
      </c>
      <c r="J3" s="1" t="s">
        <v>3151</v>
      </c>
      <c r="K3" s="1" t="s">
        <v>3152</v>
      </c>
    </row>
    <row r="4">
      <c r="A4" s="1" t="s">
        <v>13</v>
      </c>
      <c r="B4" s="1" t="s">
        <v>3153</v>
      </c>
      <c r="C4" s="1" t="s">
        <v>46</v>
      </c>
      <c r="E4" s="1" t="s">
        <v>3154</v>
      </c>
      <c r="F4" s="1" t="s">
        <v>3155</v>
      </c>
      <c r="G4" s="1" t="s">
        <v>16</v>
      </c>
      <c r="I4" s="1" t="s">
        <v>72</v>
      </c>
      <c r="J4" s="1" t="s">
        <v>3156</v>
      </c>
      <c r="K4" s="1" t="s">
        <v>29</v>
      </c>
    </row>
    <row r="5">
      <c r="A5" s="1" t="s">
        <v>18</v>
      </c>
      <c r="B5" s="1" t="s">
        <v>3157</v>
      </c>
      <c r="C5" s="1" t="s">
        <v>33</v>
      </c>
      <c r="E5" s="1" t="s">
        <v>3154</v>
      </c>
      <c r="F5" s="1" t="s">
        <v>3149</v>
      </c>
      <c r="G5" s="1" t="s">
        <v>20</v>
      </c>
      <c r="I5" s="1" t="s">
        <v>21</v>
      </c>
      <c r="J5" s="1" t="s">
        <v>3149</v>
      </c>
      <c r="K5" s="1" t="s">
        <v>25</v>
      </c>
    </row>
    <row r="6">
      <c r="A6" s="1" t="s">
        <v>22</v>
      </c>
      <c r="B6" s="1" t="s">
        <v>3158</v>
      </c>
      <c r="C6" s="1" t="s">
        <v>21</v>
      </c>
      <c r="E6" s="1" t="s">
        <v>3148</v>
      </c>
      <c r="F6" s="1" t="s">
        <v>3159</v>
      </c>
      <c r="G6" s="1" t="s">
        <v>21</v>
      </c>
      <c r="I6" s="1" t="s">
        <v>25</v>
      </c>
      <c r="J6" s="1" t="s">
        <v>3160</v>
      </c>
      <c r="K6" s="1" t="s">
        <v>78</v>
      </c>
    </row>
    <row r="7">
      <c r="A7" s="1" t="s">
        <v>26</v>
      </c>
      <c r="B7" s="1" t="s">
        <v>3161</v>
      </c>
      <c r="C7" s="1" t="s">
        <v>3162</v>
      </c>
      <c r="E7" s="1" t="s">
        <v>3163</v>
      </c>
      <c r="F7" s="1" t="s">
        <v>3156</v>
      </c>
      <c r="G7" s="1" t="s">
        <v>20</v>
      </c>
      <c r="I7" s="1" t="s">
        <v>29</v>
      </c>
      <c r="J7" s="1" t="s">
        <v>3160</v>
      </c>
      <c r="K7" s="1" t="s">
        <v>3147</v>
      </c>
    </row>
    <row r="8">
      <c r="A8" s="1" t="s">
        <v>30</v>
      </c>
      <c r="B8" s="1" t="s">
        <v>3164</v>
      </c>
      <c r="C8" s="1" t="s">
        <v>25</v>
      </c>
      <c r="E8" s="1" t="s">
        <v>3165</v>
      </c>
      <c r="F8" s="1" t="s">
        <v>3166</v>
      </c>
      <c r="G8" s="1" t="s">
        <v>25</v>
      </c>
      <c r="I8" s="1" t="s">
        <v>33</v>
      </c>
      <c r="J8" s="1" t="s">
        <v>3167</v>
      </c>
      <c r="K8" s="1" t="s">
        <v>41</v>
      </c>
    </row>
    <row r="9">
      <c r="A9" s="1" t="s">
        <v>34</v>
      </c>
      <c r="B9" s="1" t="s">
        <v>3168</v>
      </c>
      <c r="C9" s="1" t="s">
        <v>37</v>
      </c>
      <c r="E9" s="1" t="s">
        <v>3165</v>
      </c>
      <c r="F9" s="1" t="s">
        <v>3160</v>
      </c>
      <c r="G9" s="1" t="s">
        <v>16</v>
      </c>
      <c r="I9" s="1" t="s">
        <v>37</v>
      </c>
      <c r="J9" s="1" t="s">
        <v>3169</v>
      </c>
      <c r="K9" s="1" t="s">
        <v>3152</v>
      </c>
    </row>
    <row r="10">
      <c r="A10" s="1" t="s">
        <v>38</v>
      </c>
      <c r="B10" s="1" t="s">
        <v>3170</v>
      </c>
      <c r="C10" s="1" t="s">
        <v>39</v>
      </c>
      <c r="E10" s="1" t="s">
        <v>3171</v>
      </c>
      <c r="F10" s="1" t="s">
        <v>3172</v>
      </c>
      <c r="G10" s="1" t="s">
        <v>41</v>
      </c>
      <c r="I10" s="1" t="s">
        <v>42</v>
      </c>
      <c r="J10" s="1" t="s">
        <v>3159</v>
      </c>
      <c r="K10" s="1" t="s">
        <v>3173</v>
      </c>
    </row>
    <row r="11">
      <c r="A11" s="1" t="s">
        <v>43</v>
      </c>
      <c r="B11" s="1" t="s">
        <v>3174</v>
      </c>
      <c r="C11" s="1" t="s">
        <v>3175</v>
      </c>
      <c r="E11" s="1" t="s">
        <v>3165</v>
      </c>
      <c r="F11" s="1" t="s">
        <v>3176</v>
      </c>
      <c r="G11" s="1" t="s">
        <v>46</v>
      </c>
      <c r="I11" s="1" t="s">
        <v>41</v>
      </c>
      <c r="J11" s="1" t="s">
        <v>3169</v>
      </c>
      <c r="K11" s="1" t="s">
        <v>3147</v>
      </c>
    </row>
    <row r="12">
      <c r="A12" s="1" t="s">
        <v>47</v>
      </c>
      <c r="B12" s="1" t="s">
        <v>3177</v>
      </c>
      <c r="C12" s="1" t="s">
        <v>41</v>
      </c>
      <c r="E12" s="1" t="s">
        <v>3163</v>
      </c>
      <c r="F12" s="1" t="s">
        <v>3159</v>
      </c>
      <c r="G12" s="1" t="s">
        <v>50</v>
      </c>
      <c r="I12" s="1" t="s">
        <v>51</v>
      </c>
      <c r="J12" s="1" t="s">
        <v>3169</v>
      </c>
      <c r="K12" s="1" t="s">
        <v>21</v>
      </c>
    </row>
    <row r="13">
      <c r="A13" s="1" t="s">
        <v>52</v>
      </c>
      <c r="B13" s="1" t="s">
        <v>3178</v>
      </c>
      <c r="C13" s="1" t="s">
        <v>11</v>
      </c>
      <c r="E13" s="1" t="s">
        <v>3179</v>
      </c>
      <c r="F13" s="1" t="s">
        <v>3180</v>
      </c>
      <c r="G13" s="1" t="s">
        <v>50</v>
      </c>
      <c r="I13" s="1" t="s">
        <v>21</v>
      </c>
      <c r="J13" s="1" t="s">
        <v>3159</v>
      </c>
      <c r="K13" s="1" t="s">
        <v>46</v>
      </c>
    </row>
    <row r="14">
      <c r="A14" s="1" t="s">
        <v>55</v>
      </c>
      <c r="B14" s="1" t="s">
        <v>3181</v>
      </c>
      <c r="C14" s="1" t="s">
        <v>78</v>
      </c>
      <c r="E14" s="1" t="s">
        <v>3154</v>
      </c>
      <c r="F14" s="1" t="s">
        <v>3160</v>
      </c>
      <c r="G14" s="1" t="s">
        <v>41</v>
      </c>
      <c r="I14" s="1" t="s">
        <v>51</v>
      </c>
      <c r="J14" s="1" t="s">
        <v>3156</v>
      </c>
      <c r="K14" s="1" t="s">
        <v>33</v>
      </c>
    </row>
    <row r="15">
      <c r="A15" s="1" t="s">
        <v>57</v>
      </c>
      <c r="B15" s="1" t="s">
        <v>3182</v>
      </c>
      <c r="C15" s="1" t="s">
        <v>3175</v>
      </c>
      <c r="E15" s="1" t="s">
        <v>3179</v>
      </c>
      <c r="F15" s="1" t="s">
        <v>3156</v>
      </c>
      <c r="G15" s="1" t="s">
        <v>41</v>
      </c>
      <c r="I15" s="1" t="s">
        <v>33</v>
      </c>
      <c r="J15" s="1" t="s">
        <v>3183</v>
      </c>
      <c r="K15" s="1" t="s">
        <v>84</v>
      </c>
    </row>
    <row r="16">
      <c r="A16" s="1" t="s">
        <v>59</v>
      </c>
      <c r="B16" s="1" t="s">
        <v>3184</v>
      </c>
      <c r="C16" s="1" t="s">
        <v>46</v>
      </c>
      <c r="E16" s="1" t="s">
        <v>3163</v>
      </c>
      <c r="F16" s="1" t="s">
        <v>3169</v>
      </c>
      <c r="G16" s="1" t="s">
        <v>11</v>
      </c>
      <c r="I16" s="1" t="s">
        <v>46</v>
      </c>
      <c r="J16" s="1" t="s">
        <v>3159</v>
      </c>
      <c r="K16" s="1" t="s">
        <v>39</v>
      </c>
    </row>
    <row r="17">
      <c r="A17" s="1" t="s">
        <v>62</v>
      </c>
      <c r="B17" s="1" t="s">
        <v>3185</v>
      </c>
      <c r="C17" s="1" t="s">
        <v>3150</v>
      </c>
      <c r="E17" s="1" t="s">
        <v>3165</v>
      </c>
      <c r="F17" s="1" t="s">
        <v>3186</v>
      </c>
      <c r="G17" s="1" t="s">
        <v>46</v>
      </c>
      <c r="I17" s="1" t="s">
        <v>25</v>
      </c>
      <c r="J17" s="1" t="s">
        <v>3187</v>
      </c>
      <c r="K17" s="1" t="s">
        <v>3188</v>
      </c>
    </row>
    <row r="18">
      <c r="A18" s="1" t="s">
        <v>65</v>
      </c>
      <c r="B18" s="1" t="s">
        <v>3189</v>
      </c>
      <c r="C18" s="1" t="s">
        <v>33</v>
      </c>
      <c r="E18" s="1" t="s">
        <v>3190</v>
      </c>
      <c r="F18" s="1" t="s">
        <v>3191</v>
      </c>
      <c r="G18" s="1" t="s">
        <v>21</v>
      </c>
      <c r="I18" s="1" t="s">
        <v>68</v>
      </c>
      <c r="J18" s="1" t="s">
        <v>3159</v>
      </c>
      <c r="K18" s="1" t="s">
        <v>50</v>
      </c>
    </row>
    <row r="19">
      <c r="A19" s="1" t="s">
        <v>69</v>
      </c>
      <c r="B19" s="1" t="s">
        <v>3192</v>
      </c>
      <c r="C19" s="1" t="s">
        <v>3193</v>
      </c>
      <c r="E19" s="1" t="s">
        <v>3165</v>
      </c>
      <c r="F19" s="1" t="s">
        <v>3194</v>
      </c>
      <c r="G19" s="1" t="s">
        <v>72</v>
      </c>
      <c r="I19" s="1" t="s">
        <v>73</v>
      </c>
      <c r="J19" s="1" t="s">
        <v>3156</v>
      </c>
      <c r="K19" s="1" t="s">
        <v>3195</v>
      </c>
    </row>
    <row r="20">
      <c r="A20" s="1" t="s">
        <v>74</v>
      </c>
      <c r="B20" s="1" t="s">
        <v>3196</v>
      </c>
      <c r="C20" s="1" t="s">
        <v>72</v>
      </c>
      <c r="E20" s="1" t="s">
        <v>3154</v>
      </c>
      <c r="F20" s="1" t="s">
        <v>3197</v>
      </c>
      <c r="G20" s="1" t="s">
        <v>33</v>
      </c>
      <c r="I20" s="1" t="s">
        <v>72</v>
      </c>
      <c r="J20" s="1" t="s">
        <v>3160</v>
      </c>
      <c r="K20" s="1" t="s">
        <v>42</v>
      </c>
    </row>
    <row r="21">
      <c r="A21" s="1" t="s">
        <v>77</v>
      </c>
      <c r="B21" s="1" t="s">
        <v>3198</v>
      </c>
      <c r="C21" s="1" t="s">
        <v>3199</v>
      </c>
      <c r="E21" s="1" t="s">
        <v>3200</v>
      </c>
      <c r="F21" s="1" t="s">
        <v>3201</v>
      </c>
      <c r="G21" s="1" t="s">
        <v>50</v>
      </c>
      <c r="I21" s="1" t="s">
        <v>72</v>
      </c>
      <c r="J21" s="1" t="s">
        <v>3156</v>
      </c>
      <c r="K21" s="1" t="s">
        <v>3147</v>
      </c>
    </row>
    <row r="22">
      <c r="A22" s="1" t="s">
        <v>80</v>
      </c>
      <c r="B22" s="1" t="s">
        <v>3202</v>
      </c>
      <c r="C22" s="1" t="s">
        <v>21</v>
      </c>
      <c r="E22" s="1" t="s">
        <v>3203</v>
      </c>
      <c r="F22" s="1" t="s">
        <v>3201</v>
      </c>
      <c r="G22" s="1" t="s">
        <v>11</v>
      </c>
      <c r="I22" s="1" t="s">
        <v>50</v>
      </c>
      <c r="J22" s="1" t="s">
        <v>3191</v>
      </c>
      <c r="K22" s="1" t="s">
        <v>21</v>
      </c>
    </row>
    <row r="23">
      <c r="A23" s="1" t="s">
        <v>82</v>
      </c>
      <c r="B23" s="1" t="s">
        <v>3204</v>
      </c>
      <c r="C23" s="1" t="s">
        <v>3205</v>
      </c>
      <c r="E23" s="1" t="s">
        <v>3190</v>
      </c>
      <c r="F23" s="1" t="s">
        <v>3149</v>
      </c>
      <c r="G23" s="1" t="s">
        <v>68</v>
      </c>
      <c r="I23" s="1" t="s">
        <v>84</v>
      </c>
      <c r="J23" s="1" t="s">
        <v>3194</v>
      </c>
      <c r="K23" s="1" t="s">
        <v>39</v>
      </c>
    </row>
    <row r="24">
      <c r="A24" s="1" t="s">
        <v>85</v>
      </c>
      <c r="B24" s="1" t="s">
        <v>3206</v>
      </c>
      <c r="C24" s="1" t="s">
        <v>3207</v>
      </c>
      <c r="F24" s="1" t="s">
        <v>3208</v>
      </c>
      <c r="J24" s="1" t="s">
        <v>3208</v>
      </c>
    </row>
    <row r="25">
      <c r="A25" s="1" t="s">
        <v>3209</v>
      </c>
      <c r="B25" s="1" t="s">
        <v>3210</v>
      </c>
      <c r="C25" s="1" t="s">
        <v>3211</v>
      </c>
      <c r="E25" s="1" t="s">
        <v>3212</v>
      </c>
      <c r="I25" s="1" t="s">
        <v>3212</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IFERROR(__xludf.DUMMYFUNCTION("IMPORTHTML(""https://www.acpm.fr/Les-chiffres/Diffusion-Presse/Presse-Payante/Presse-Magazine"", ""table"", ""1"")"),"Rang")</f>
        <v>Rang</v>
      </c>
      <c r="B1" s="1"/>
      <c r="C1" s="1" t="str">
        <f>IFERROR(__xludf.DUMMYFUNCTION("""COMPUTED_VALUE"""),"Titre")</f>
        <v>Titre</v>
      </c>
      <c r="D1" s="1" t="str">
        <f>IFERROR(__xludf.DUMMYFUNCTION("""COMPUTED_VALUE"""),"Périodicité")</f>
        <v>Périodicité</v>
      </c>
      <c r="E1" s="1" t="str">
        <f>IFERROR(__xludf.DUMMYFUNCTION("""COMPUTED_VALUE"""),"Période")</f>
        <v>Période</v>
      </c>
      <c r="F1" s="1" t="str">
        <f>IFERROR(__xludf.DUMMYFUNCTION("""COMPUTED_VALUE"""),"Document")</f>
        <v>Document</v>
      </c>
      <c r="G1" s="1" t="str">
        <f>IFERROR(__xludf.DUMMYFUNCTION("""COMPUTED_VALUE"""),"Diffusion France Payée")</f>
        <v>Diffusion France Payée</v>
      </c>
      <c r="H1" s="1" t="str">
        <f>IFERROR(__xludf.DUMMYFUNCTION("""COMPUTED_VALUE"""),"Evolution en %")</f>
        <v>Evolution en %</v>
      </c>
    </row>
    <row r="2">
      <c r="A2" s="1">
        <f>IFERROR(__xludf.DUMMYFUNCTION("""COMPUTED_VALUE"""),156.0)</f>
        <v>156</v>
      </c>
      <c r="B2" s="1"/>
      <c r="C2" s="1" t="str">
        <f>IFERROR(__xludf.DUMMYFUNCTION("""COMPUTED_VALUE"""),"35 Millions de Propriétaires")</f>
        <v>35 Millions de Propriétaires</v>
      </c>
      <c r="D2" s="1" t="str">
        <f>IFERROR(__xludf.DUMMYFUNCTION("""COMPUTED_VALUE"""),"Mensuel")</f>
        <v>Mensuel</v>
      </c>
      <c r="E2" s="1" t="str">
        <f>IFERROR(__xludf.DUMMYFUNCTION("""COMPUTED_VALUE"""),"2024-2025")</f>
        <v>2024-2025</v>
      </c>
      <c r="F2" s="1" t="str">
        <f>IFERROR(__xludf.DUMMYFUNCTION("""COMPUTED_VALUE"""),"DSH")</f>
        <v>DSH</v>
      </c>
      <c r="G2" s="1" t="str">
        <f>IFERROR(__xludf.DUMMYFUNCTION("""COMPUTED_VALUE"""),"26 033")</f>
        <v>26 033</v>
      </c>
      <c r="H2" s="1" t="str">
        <f>IFERROR(__xludf.DUMMYFUNCTION("""COMPUTED_VALUE"""),"-5,68%")</f>
        <v>-5,68%</v>
      </c>
    </row>
    <row r="3">
      <c r="A3" s="1">
        <f>IFERROR(__xludf.DUMMYFUNCTION("""COMPUTED_VALUE"""),134.0)</f>
        <v>134</v>
      </c>
      <c r="B3" s="1"/>
      <c r="C3" s="1" t="str">
        <f>IFERROR(__xludf.DUMMYFUNCTION("""COMPUTED_VALUE"""),"Abricot")</f>
        <v>Abricot</v>
      </c>
      <c r="D3" s="1" t="str">
        <f>IFERROR(__xludf.DUMMYFUNCTION("""COMPUTED_VALUE"""),"Mensuel")</f>
        <v>Mensuel</v>
      </c>
      <c r="E3" s="1" t="str">
        <f>IFERROR(__xludf.DUMMYFUNCTION("""COMPUTED_VALUE"""),"2024-2025")</f>
        <v>2024-2025</v>
      </c>
      <c r="F3" s="1" t="str">
        <f>IFERROR(__xludf.DUMMYFUNCTION("""COMPUTED_VALUE"""),"DSH")</f>
        <v>DSH</v>
      </c>
      <c r="G3" s="1" t="str">
        <f>IFERROR(__xludf.DUMMYFUNCTION("""COMPUTED_VALUE"""),"39 379")</f>
        <v>39 379</v>
      </c>
      <c r="H3" s="1" t="str">
        <f>IFERROR(__xludf.DUMMYFUNCTION("""COMPUTED_VALUE"""),"-15,54%")</f>
        <v>-15,54%</v>
      </c>
    </row>
    <row r="4">
      <c r="A4" s="1">
        <f>IFERROR(__xludf.DUMMYFUNCTION("""COMPUTED_VALUE"""),97.0)</f>
        <v>97</v>
      </c>
      <c r="B4" s="1"/>
      <c r="C4" s="1" t="str">
        <f>IFERROR(__xludf.DUMMYFUNCTION("""COMPUTED_VALUE"""),"AD - Architectural Digest")</f>
        <v>AD - Architectural Digest</v>
      </c>
      <c r="D4" s="1" t="str">
        <f>IFERROR(__xludf.DUMMYFUNCTION("""COMPUTED_VALUE"""),"Bimestriel")</f>
        <v>Bimestriel</v>
      </c>
      <c r="E4" s="1" t="str">
        <f>IFERROR(__xludf.DUMMYFUNCTION("""COMPUTED_VALUE"""),"2024-2025")</f>
        <v>2024-2025</v>
      </c>
      <c r="F4" s="1" t="str">
        <f>IFERROR(__xludf.DUMMYFUNCTION("""COMPUTED_VALUE"""),"DSH")</f>
        <v>DSH</v>
      </c>
      <c r="G4" s="1" t="str">
        <f>IFERROR(__xludf.DUMMYFUNCTION("""COMPUTED_VALUE"""),"64 045")</f>
        <v>64 045</v>
      </c>
      <c r="H4" s="1" t="str">
        <f>IFERROR(__xludf.DUMMYFUNCTION("""COMPUTED_VALUE"""),"-6,87%")</f>
        <v>-6,87%</v>
      </c>
    </row>
    <row r="5">
      <c r="A5" s="1">
        <f>IFERROR(__xludf.DUMMYFUNCTION("""COMPUTED_VALUE"""),195.0)</f>
        <v>195</v>
      </c>
      <c r="B5" s="1"/>
      <c r="C5" s="1" t="str">
        <f>IFERROR(__xludf.DUMMYFUNCTION("""COMPUTED_VALUE"""),"Afrique Magazine - AM")</f>
        <v>Afrique Magazine - AM</v>
      </c>
      <c r="D5" s="1" t="str">
        <f>IFERROR(__xludf.DUMMYFUNCTION("""COMPUTED_VALUE"""),"Mensuel")</f>
        <v>Mensuel</v>
      </c>
      <c r="E5" s="1" t="str">
        <f>IFERROR(__xludf.DUMMYFUNCTION("""COMPUTED_VALUE"""),"2024-2025")</f>
        <v>2024-2025</v>
      </c>
      <c r="F5" s="1" t="str">
        <f>IFERROR(__xludf.DUMMYFUNCTION("""COMPUTED_VALUE"""),"DSH")</f>
        <v>DSH</v>
      </c>
      <c r="G5" s="1">
        <f>IFERROR(__xludf.DUMMYFUNCTION("""COMPUTED_VALUE"""),724.0)</f>
        <v>724</v>
      </c>
      <c r="H5" s="1" t="str">
        <f>IFERROR(__xludf.DUMMYFUNCTION("""COMPUTED_VALUE"""),"-18,38%")</f>
        <v>-18,38%</v>
      </c>
    </row>
    <row r="6">
      <c r="A6" s="1">
        <f>IFERROR(__xludf.DUMMYFUNCTION("""COMPUTED_VALUE"""),120.0)</f>
        <v>120</v>
      </c>
      <c r="B6" s="1"/>
      <c r="C6" s="1" t="str">
        <f>IFERROR(__xludf.DUMMYFUNCTION("""COMPUTED_VALUE"""),"Alternatives Economiques")</f>
        <v>Alternatives Economiques</v>
      </c>
      <c r="D6" s="1" t="str">
        <f>IFERROR(__xludf.DUMMYFUNCTION("""COMPUTED_VALUE"""),"Mensuel")</f>
        <v>Mensuel</v>
      </c>
      <c r="E6" s="1" t="str">
        <f>IFERROR(__xludf.DUMMYFUNCTION("""COMPUTED_VALUE"""),"2024-2025")</f>
        <v>2024-2025</v>
      </c>
      <c r="F6" s="1" t="str">
        <f>IFERROR(__xludf.DUMMYFUNCTION("""COMPUTED_VALUE"""),"DSH")</f>
        <v>DSH</v>
      </c>
      <c r="G6" s="1" t="str">
        <f>IFERROR(__xludf.DUMMYFUNCTION("""COMPUTED_VALUE"""),"47 375")</f>
        <v>47 375</v>
      </c>
      <c r="H6" s="1" t="str">
        <f>IFERROR(__xludf.DUMMYFUNCTION("""COMPUTED_VALUE"""),"-0,67%")</f>
        <v>-0,67%</v>
      </c>
    </row>
    <row r="7">
      <c r="A7" s="1">
        <f>IFERROR(__xludf.DUMMYFUNCTION("""COMPUTED_VALUE"""),99.0)</f>
        <v>99</v>
      </c>
      <c r="B7" s="1"/>
      <c r="C7" s="1" t="str">
        <f>IFERROR(__xludf.DUMMYFUNCTION("""COMPUTED_VALUE"""),"L'Ami des Jardins et de la Maison")</f>
        <v>L'Ami des Jardins et de la Maison</v>
      </c>
      <c r="D7" s="1" t="str">
        <f>IFERROR(__xludf.DUMMYFUNCTION("""COMPUTED_VALUE"""),"Mensuel")</f>
        <v>Mensuel</v>
      </c>
      <c r="E7" s="1" t="str">
        <f>IFERROR(__xludf.DUMMYFUNCTION("""COMPUTED_VALUE"""),"2024-2025")</f>
        <v>2024-2025</v>
      </c>
      <c r="F7" s="1" t="str">
        <f>IFERROR(__xludf.DUMMYFUNCTION("""COMPUTED_VALUE"""),"DSH")</f>
        <v>DSH</v>
      </c>
      <c r="G7" s="1" t="str">
        <f>IFERROR(__xludf.DUMMYFUNCTION("""COMPUTED_VALUE"""),"62 115")</f>
        <v>62 115</v>
      </c>
      <c r="H7" s="1" t="str">
        <f>IFERROR(__xludf.DUMMYFUNCTION("""COMPUTED_VALUE"""),"-8,23%")</f>
        <v>-8,23%</v>
      </c>
    </row>
    <row r="8">
      <c r="A8" s="1">
        <f>IFERROR(__xludf.DUMMYFUNCTION("""COMPUTED_VALUE"""),32.0)</f>
        <v>32</v>
      </c>
      <c r="B8" s="1"/>
      <c r="C8" s="1" t="str">
        <f>IFERROR(__xludf.DUMMYFUNCTION("""COMPUTED_VALUE"""),"L'Ancien d'Algérie")</f>
        <v>L'Ancien d'Algérie</v>
      </c>
      <c r="D8" s="1" t="str">
        <f>IFERROR(__xludf.DUMMYFUNCTION("""COMPUTED_VALUE"""),"Mensuel")</f>
        <v>Mensuel</v>
      </c>
      <c r="E8" s="1" t="str">
        <f>IFERROR(__xludf.DUMMYFUNCTION("""COMPUTED_VALUE"""),"2024-2025")</f>
        <v>2024-2025</v>
      </c>
      <c r="F8" s="1" t="str">
        <f>IFERROR(__xludf.DUMMYFUNCTION("""COMPUTED_VALUE"""),"DSH")</f>
        <v>DSH</v>
      </c>
      <c r="G8" s="1" t="str">
        <f>IFERROR(__xludf.DUMMYFUNCTION("""COMPUTED_VALUE"""),"204 122")</f>
        <v>204 122</v>
      </c>
      <c r="H8" s="28">
        <f>IFERROR(__xludf.DUMMYFUNCTION("""COMPUTED_VALUE"""),-0.08)</f>
        <v>-0.08</v>
      </c>
    </row>
    <row r="9">
      <c r="A9" s="1">
        <f>IFERROR(__xludf.DUMMYFUNCTION("""COMPUTED_VALUE"""),52.0)</f>
        <v>52</v>
      </c>
      <c r="B9" s="1"/>
      <c r="C9" s="1" t="str">
        <f>IFERROR(__xludf.DUMMYFUNCTION("""COMPUTED_VALUE"""),"Art &amp; Décoration")</f>
        <v>Art &amp; Décoration</v>
      </c>
      <c r="D9" s="1" t="str">
        <f>IFERROR(__xludf.DUMMYFUNCTION("""COMPUTED_VALUE"""),"Bimestriel")</f>
        <v>Bimestriel</v>
      </c>
      <c r="E9" s="1" t="str">
        <f>IFERROR(__xludf.DUMMYFUNCTION("""COMPUTED_VALUE"""),"2024-2025")</f>
        <v>2024-2025</v>
      </c>
      <c r="F9" s="1" t="str">
        <f>IFERROR(__xludf.DUMMYFUNCTION("""COMPUTED_VALUE"""),"DSH")</f>
        <v>DSH</v>
      </c>
      <c r="G9" s="1" t="str">
        <f>IFERROR(__xludf.DUMMYFUNCTION("""COMPUTED_VALUE"""),"140 125")</f>
        <v>140 125</v>
      </c>
      <c r="H9" s="1" t="str">
        <f>IFERROR(__xludf.DUMMYFUNCTION("""COMPUTED_VALUE"""),"-10,50%")</f>
        <v>-10,50%</v>
      </c>
    </row>
    <row r="10">
      <c r="A10" s="1">
        <f>IFERROR(__xludf.DUMMYFUNCTION("""COMPUTED_VALUE"""),90.0)</f>
        <v>90</v>
      </c>
      <c r="B10" s="1"/>
      <c r="C10" s="1" t="str">
        <f>IFERROR(__xludf.DUMMYFUNCTION("""COMPUTED_VALUE"""),"Astrapi")</f>
        <v>Astrapi</v>
      </c>
      <c r="D10" s="1" t="str">
        <f>IFERROR(__xludf.DUMMYFUNCTION("""COMPUTED_VALUE"""),"Bimensuel")</f>
        <v>Bimensuel</v>
      </c>
      <c r="E10" s="1" t="str">
        <f>IFERROR(__xludf.DUMMYFUNCTION("""COMPUTED_VALUE"""),"2024-2025")</f>
        <v>2024-2025</v>
      </c>
      <c r="F10" s="1" t="str">
        <f>IFERROR(__xludf.DUMMYFUNCTION("""COMPUTED_VALUE"""),"DSH")</f>
        <v>DSH</v>
      </c>
      <c r="G10" s="1" t="str">
        <f>IFERROR(__xludf.DUMMYFUNCTION("""COMPUTED_VALUE"""),"68 910")</f>
        <v>68 910</v>
      </c>
      <c r="H10" s="1" t="str">
        <f>IFERROR(__xludf.DUMMYFUNCTION("""COMPUTED_VALUE"""),"-8,88%")</f>
        <v>-8,88%</v>
      </c>
    </row>
    <row r="11">
      <c r="A11" s="1">
        <f>IFERROR(__xludf.DUMMYFUNCTION("""COMPUTED_VALUE"""),100.0)</f>
        <v>100</v>
      </c>
      <c r="B11" s="1"/>
      <c r="C11" s="1" t="str">
        <f>IFERROR(__xludf.DUMMYFUNCTION("""COMPUTED_VALUE"""),"L'Auto-Journal")</f>
        <v>L'Auto-Journal</v>
      </c>
      <c r="D11" s="1" t="str">
        <f>IFERROR(__xludf.DUMMYFUNCTION("""COMPUTED_VALUE"""),"Bimensuel")</f>
        <v>Bimensuel</v>
      </c>
      <c r="E11" s="1" t="str">
        <f>IFERROR(__xludf.DUMMYFUNCTION("""COMPUTED_VALUE"""),"2024-2025")</f>
        <v>2024-2025</v>
      </c>
      <c r="F11" s="1" t="str">
        <f>IFERROR(__xludf.DUMMYFUNCTION("""COMPUTED_VALUE"""),"DSH")</f>
        <v>DSH</v>
      </c>
      <c r="G11" s="1" t="str">
        <f>IFERROR(__xludf.DUMMYFUNCTION("""COMPUTED_VALUE"""),"60 914")</f>
        <v>60 914</v>
      </c>
      <c r="H11" s="1" t="str">
        <f>IFERROR(__xludf.DUMMYFUNCTION("""COMPUTED_VALUE"""),"-9,89%")</f>
        <v>-9,89%</v>
      </c>
    </row>
    <row r="12">
      <c r="A12" s="1">
        <f>IFERROR(__xludf.DUMMYFUNCTION("""COMPUTED_VALUE"""),119.0)</f>
        <v>119</v>
      </c>
      <c r="B12" s="1"/>
      <c r="C12" s="1" t="str">
        <f>IFERROR(__xludf.DUMMYFUNCTION("""COMPUTED_VALUE"""),"Auto Moto")</f>
        <v>Auto Moto</v>
      </c>
      <c r="D12" s="1" t="str">
        <f>IFERROR(__xludf.DUMMYFUNCTION("""COMPUTED_VALUE"""),"Mensuel")</f>
        <v>Mensuel</v>
      </c>
      <c r="E12" s="1" t="str">
        <f>IFERROR(__xludf.DUMMYFUNCTION("""COMPUTED_VALUE"""),"2024-2025")</f>
        <v>2024-2025</v>
      </c>
      <c r="F12" s="1" t="str">
        <f>IFERROR(__xludf.DUMMYFUNCTION("""COMPUTED_VALUE"""),"DSH")</f>
        <v>DSH</v>
      </c>
      <c r="G12" s="1" t="str">
        <f>IFERROR(__xludf.DUMMYFUNCTION("""COMPUTED_VALUE"""),"47 702")</f>
        <v>47 702</v>
      </c>
      <c r="H12" s="1" t="str">
        <f>IFERROR(__xludf.DUMMYFUNCTION("""COMPUTED_VALUE"""),"NA")</f>
        <v>NA</v>
      </c>
    </row>
    <row r="13">
      <c r="A13" s="1">
        <f>IFERROR(__xludf.DUMMYFUNCTION("""COMPUTED_VALUE"""),35.0)</f>
        <v>35</v>
      </c>
      <c r="B13" s="1"/>
      <c r="C13" s="1" t="str">
        <f>IFERROR(__xludf.DUMMYFUNCTION("""COMPUTED_VALUE"""),"Auto Plus")</f>
        <v>Auto Plus</v>
      </c>
      <c r="D13" s="1" t="str">
        <f>IFERROR(__xludf.DUMMYFUNCTION("""COMPUTED_VALUE"""),"Hebdomadaire")</f>
        <v>Hebdomadaire</v>
      </c>
      <c r="E13" s="1" t="str">
        <f>IFERROR(__xludf.DUMMYFUNCTION("""COMPUTED_VALUE"""),"2024-2025")</f>
        <v>2024-2025</v>
      </c>
      <c r="F13" s="1" t="str">
        <f>IFERROR(__xludf.DUMMYFUNCTION("""COMPUTED_VALUE"""),"DSH")</f>
        <v>DSH</v>
      </c>
      <c r="G13" s="1" t="str">
        <f>IFERROR(__xludf.DUMMYFUNCTION("""COMPUTED_VALUE"""),"176 252")</f>
        <v>176 252</v>
      </c>
      <c r="H13" s="1" t="str">
        <f>IFERROR(__xludf.DUMMYFUNCTION("""COMPUTED_VALUE"""),"-4,92%")</f>
        <v>-4,92%</v>
      </c>
    </row>
    <row r="14">
      <c r="A14" s="1">
        <f>IFERROR(__xludf.DUMMYFUNCTION("""COMPUTED_VALUE"""),102.0)</f>
        <v>102</v>
      </c>
      <c r="B14" s="1"/>
      <c r="C14" s="1" t="str">
        <f>IFERROR(__xludf.DUMMYFUNCTION("""COMPUTED_VALUE"""),"L'Automobile Magazine")</f>
        <v>L'Automobile Magazine</v>
      </c>
      <c r="D14" s="1" t="str">
        <f>IFERROR(__xludf.DUMMYFUNCTION("""COMPUTED_VALUE"""),"Mensuel")</f>
        <v>Mensuel</v>
      </c>
      <c r="E14" s="1" t="str">
        <f>IFERROR(__xludf.DUMMYFUNCTION("""COMPUTED_VALUE"""),"2024-2025")</f>
        <v>2024-2025</v>
      </c>
      <c r="F14" s="1" t="str">
        <f>IFERROR(__xludf.DUMMYFUNCTION("""COMPUTED_VALUE"""),"DSH")</f>
        <v>DSH</v>
      </c>
      <c r="G14" s="1" t="str">
        <f>IFERROR(__xludf.DUMMYFUNCTION("""COMPUTED_VALUE"""),"57 862")</f>
        <v>57 862</v>
      </c>
      <c r="H14" s="1" t="str">
        <f>IFERROR(__xludf.DUMMYFUNCTION("""COMPUTED_VALUE"""),"4,02%")</f>
        <v>4,02%</v>
      </c>
    </row>
    <row r="15">
      <c r="A15" s="1">
        <f>IFERROR(__xludf.DUMMYFUNCTION("""COMPUTED_VALUE"""),27.0)</f>
        <v>27</v>
      </c>
      <c r="B15" s="1"/>
      <c r="C15" s="1" t="str">
        <f>IFERROR(__xludf.DUMMYFUNCTION("""COMPUTED_VALUE"""),"Avantages")</f>
        <v>Avantages</v>
      </c>
      <c r="D15" s="1" t="str">
        <f>IFERROR(__xludf.DUMMYFUNCTION("""COMPUTED_VALUE"""),"Mensuel")</f>
        <v>Mensuel</v>
      </c>
      <c r="E15" s="1" t="str">
        <f>IFERROR(__xludf.DUMMYFUNCTION("""COMPUTED_VALUE"""),"2024-2025")</f>
        <v>2024-2025</v>
      </c>
      <c r="F15" s="1" t="str">
        <f>IFERROR(__xludf.DUMMYFUNCTION("""COMPUTED_VALUE"""),"DSH")</f>
        <v>DSH</v>
      </c>
      <c r="G15" s="1" t="str">
        <f>IFERROR(__xludf.DUMMYFUNCTION("""COMPUTED_VALUE"""),"232 324")</f>
        <v>232 324</v>
      </c>
      <c r="H15" s="1" t="str">
        <f>IFERROR(__xludf.DUMMYFUNCTION("""COMPUTED_VALUE"""),"-9,15%")</f>
        <v>-9,15%</v>
      </c>
    </row>
    <row r="16">
      <c r="A16" s="1">
        <f>IFERROR(__xludf.DUMMYFUNCTION("""COMPUTED_VALUE"""),92.0)</f>
        <v>92</v>
      </c>
      <c r="B16" s="1"/>
      <c r="C16" s="1" t="str">
        <f>IFERROR(__xludf.DUMMYFUNCTION("""COMPUTED_VALUE"""),"Beaux Arts Magazine")</f>
        <v>Beaux Arts Magazine</v>
      </c>
      <c r="D16" s="1" t="str">
        <f>IFERROR(__xludf.DUMMYFUNCTION("""COMPUTED_VALUE"""),"Mensuel")</f>
        <v>Mensuel</v>
      </c>
      <c r="E16" s="1" t="str">
        <f>IFERROR(__xludf.DUMMYFUNCTION("""COMPUTED_VALUE"""),"2024-2025")</f>
        <v>2024-2025</v>
      </c>
      <c r="F16" s="1" t="str">
        <f>IFERROR(__xludf.DUMMYFUNCTION("""COMPUTED_VALUE"""),"DSH")</f>
        <v>DSH</v>
      </c>
      <c r="G16" s="1" t="str">
        <f>IFERROR(__xludf.DUMMYFUNCTION("""COMPUTED_VALUE"""),"67 030")</f>
        <v>67 030</v>
      </c>
      <c r="H16" s="1" t="str">
        <f>IFERROR(__xludf.DUMMYFUNCTION("""COMPUTED_VALUE"""),"0,54%")</f>
        <v>0,54%</v>
      </c>
    </row>
    <row r="17">
      <c r="A17" s="1">
        <f>IFERROR(__xludf.DUMMYFUNCTION("""COMPUTED_VALUE"""),64.0)</f>
        <v>64</v>
      </c>
      <c r="B17" s="1"/>
      <c r="C17" s="1" t="str">
        <f>IFERROR(__xludf.DUMMYFUNCTION("""COMPUTED_VALUE"""),"Biba")</f>
        <v>Biba</v>
      </c>
      <c r="D17" s="1" t="str">
        <f>IFERROR(__xludf.DUMMYFUNCTION("""COMPUTED_VALUE"""),"Mensuel")</f>
        <v>Mensuel</v>
      </c>
      <c r="E17" s="1" t="str">
        <f>IFERROR(__xludf.DUMMYFUNCTION("""COMPUTED_VALUE"""),"2024-2025")</f>
        <v>2024-2025</v>
      </c>
      <c r="F17" s="1" t="str">
        <f>IFERROR(__xludf.DUMMYFUNCTION("""COMPUTED_VALUE"""),"DSH")</f>
        <v>DSH</v>
      </c>
      <c r="G17" s="1" t="str">
        <f>IFERROR(__xludf.DUMMYFUNCTION("""COMPUTED_VALUE"""),"113 601")</f>
        <v>113 601</v>
      </c>
      <c r="H17" s="1" t="str">
        <f>IFERROR(__xludf.DUMMYFUNCTION("""COMPUTED_VALUE"""),"0,14%")</f>
        <v>0,14%</v>
      </c>
    </row>
    <row r="18">
      <c r="A18" s="1">
        <f>IFERROR(__xludf.DUMMYFUNCTION("""COMPUTED_VALUE"""),44.0)</f>
        <v>44</v>
      </c>
      <c r="B18" s="1"/>
      <c r="C18" s="1" t="str">
        <f>IFERROR(__xludf.DUMMYFUNCTION("""COMPUTED_VALUE"""),"Ça m'intéresse")</f>
        <v>Ça m'intéresse</v>
      </c>
      <c r="D18" s="1" t="str">
        <f>IFERROR(__xludf.DUMMYFUNCTION("""COMPUTED_VALUE"""),"Mensuel")</f>
        <v>Mensuel</v>
      </c>
      <c r="E18" s="1" t="str">
        <f>IFERROR(__xludf.DUMMYFUNCTION("""COMPUTED_VALUE"""),"2024-2025")</f>
        <v>2024-2025</v>
      </c>
      <c r="F18" s="1" t="str">
        <f>IFERROR(__xludf.DUMMYFUNCTION("""COMPUTED_VALUE"""),"DSH")</f>
        <v>DSH</v>
      </c>
      <c r="G18" s="1" t="str">
        <f>IFERROR(__xludf.DUMMYFUNCTION("""COMPUTED_VALUE"""),"152 012")</f>
        <v>152 012</v>
      </c>
      <c r="H18" s="1" t="str">
        <f>IFERROR(__xludf.DUMMYFUNCTION("""COMPUTED_VALUE"""),"-6,61%")</f>
        <v>-6,61%</v>
      </c>
    </row>
    <row r="19">
      <c r="A19" s="1">
        <f>IFERROR(__xludf.DUMMYFUNCTION("""COMPUTED_VALUE"""),186.0)</f>
        <v>186</v>
      </c>
      <c r="B19" s="1"/>
      <c r="C19" s="1" t="str">
        <f>IFERROR(__xludf.DUMMYFUNCTION("""COMPUTED_VALUE"""),"Les Cahiers du Cinéma")</f>
        <v>Les Cahiers du Cinéma</v>
      </c>
      <c r="D19" s="1" t="str">
        <f>IFERROR(__xludf.DUMMYFUNCTION("""COMPUTED_VALUE"""),"Mensuel")</f>
        <v>Mensuel</v>
      </c>
      <c r="E19" s="1" t="str">
        <f>IFERROR(__xludf.DUMMYFUNCTION("""COMPUTED_VALUE"""),"2024-2025")</f>
        <v>2024-2025</v>
      </c>
      <c r="F19" s="1" t="str">
        <f>IFERROR(__xludf.DUMMYFUNCTION("""COMPUTED_VALUE"""),"DSH")</f>
        <v>DSH</v>
      </c>
      <c r="G19" s="1" t="str">
        <f>IFERROR(__xludf.DUMMYFUNCTION("""COMPUTED_VALUE"""),"9 876")</f>
        <v>9 876</v>
      </c>
      <c r="H19" s="1" t="str">
        <f>IFERROR(__xludf.DUMMYFUNCTION("""COMPUTED_VALUE"""),"-4,43%")</f>
        <v>-4,43%</v>
      </c>
    </row>
    <row r="20">
      <c r="A20" s="1">
        <f>IFERROR(__xludf.DUMMYFUNCTION("""COMPUTED_VALUE"""),88.0)</f>
        <v>88</v>
      </c>
      <c r="B20" s="1"/>
      <c r="C20" s="1" t="str">
        <f>IFERROR(__xludf.DUMMYFUNCTION("""COMPUTED_VALUE"""),"Capital")</f>
        <v>Capital</v>
      </c>
      <c r="D20" s="1" t="str">
        <f>IFERROR(__xludf.DUMMYFUNCTION("""COMPUTED_VALUE"""),"Mensuel")</f>
        <v>Mensuel</v>
      </c>
      <c r="E20" s="1" t="str">
        <f>IFERROR(__xludf.DUMMYFUNCTION("""COMPUTED_VALUE"""),"2024-2025")</f>
        <v>2024-2025</v>
      </c>
      <c r="F20" s="1" t="str">
        <f>IFERROR(__xludf.DUMMYFUNCTION("""COMPUTED_VALUE"""),"DSH")</f>
        <v>DSH</v>
      </c>
      <c r="G20" s="1" t="str">
        <f>IFERROR(__xludf.DUMMYFUNCTION("""COMPUTED_VALUE"""),"72 453")</f>
        <v>72 453</v>
      </c>
      <c r="H20" s="1" t="str">
        <f>IFERROR(__xludf.DUMMYFUNCTION("""COMPUTED_VALUE"""),"-13,76%")</f>
        <v>-13,76%</v>
      </c>
    </row>
    <row r="21">
      <c r="A21" s="1">
        <f>IFERROR(__xludf.DUMMYFUNCTION("""COMPUTED_VALUE"""),54.0)</f>
        <v>54</v>
      </c>
      <c r="B21" s="1"/>
      <c r="C21" s="1" t="str">
        <f>IFERROR(__xludf.DUMMYFUNCTION("""COMPUTED_VALUE"""),"Challenges")</f>
        <v>Challenges</v>
      </c>
      <c r="D21" s="1" t="str">
        <f>IFERROR(__xludf.DUMMYFUNCTION("""COMPUTED_VALUE"""),"Hebdomadaire")</f>
        <v>Hebdomadaire</v>
      </c>
      <c r="E21" s="1" t="str">
        <f>IFERROR(__xludf.DUMMYFUNCTION("""COMPUTED_VALUE"""),"2024-2025")</f>
        <v>2024-2025</v>
      </c>
      <c r="F21" s="1" t="str">
        <f>IFERROR(__xludf.DUMMYFUNCTION("""COMPUTED_VALUE"""),"PV")</f>
        <v>PV</v>
      </c>
      <c r="G21" s="1" t="str">
        <f>IFERROR(__xludf.DUMMYFUNCTION("""COMPUTED_VALUE"""),"135 262")</f>
        <v>135 262</v>
      </c>
      <c r="H21" s="1" t="str">
        <f>IFERROR(__xludf.DUMMYFUNCTION("""COMPUTED_VALUE"""),"-6,23%")</f>
        <v>-6,23%</v>
      </c>
    </row>
    <row r="22">
      <c r="A22" s="1">
        <f>IFERROR(__xludf.DUMMYFUNCTION("""COMPUTED_VALUE"""),41.0)</f>
        <v>41</v>
      </c>
      <c r="B22" s="1"/>
      <c r="C22" s="1" t="str">
        <f>IFERROR(__xludf.DUMMYFUNCTION("""COMPUTED_VALUE"""),"Le Chasseur Français")</f>
        <v>Le Chasseur Français</v>
      </c>
      <c r="D22" s="1" t="str">
        <f>IFERROR(__xludf.DUMMYFUNCTION("""COMPUTED_VALUE"""),"Mensuel")</f>
        <v>Mensuel</v>
      </c>
      <c r="E22" s="1" t="str">
        <f>IFERROR(__xludf.DUMMYFUNCTION("""COMPUTED_VALUE"""),"2024-2025")</f>
        <v>2024-2025</v>
      </c>
      <c r="F22" s="1" t="str">
        <f>IFERROR(__xludf.DUMMYFUNCTION("""COMPUTED_VALUE"""),"DSH")</f>
        <v>DSH</v>
      </c>
      <c r="G22" s="1" t="str">
        <f>IFERROR(__xludf.DUMMYFUNCTION("""COMPUTED_VALUE"""),"166 690")</f>
        <v>166 690</v>
      </c>
      <c r="H22" s="1" t="str">
        <f>IFERROR(__xludf.DUMMYFUNCTION("""COMPUTED_VALUE"""),"-7,92%")</f>
        <v>-7,92%</v>
      </c>
    </row>
    <row r="23">
      <c r="A23" s="1">
        <f>IFERROR(__xludf.DUMMYFUNCTION("""COMPUTED_VALUE"""),172.0)</f>
        <v>172</v>
      </c>
      <c r="B23" s="1"/>
      <c r="C23" s="1" t="str">
        <f>IFERROR(__xludf.DUMMYFUNCTION("""COMPUTED_VALUE"""),"Le Cheminot Retraité")</f>
        <v>Le Cheminot Retraité</v>
      </c>
      <c r="D23" s="1" t="str">
        <f>IFERROR(__xludf.DUMMYFUNCTION("""COMPUTED_VALUE"""),"Mensuel")</f>
        <v>Mensuel</v>
      </c>
      <c r="E23" s="1" t="str">
        <f>IFERROR(__xludf.DUMMYFUNCTION("""COMPUTED_VALUE"""),"2024-2025")</f>
        <v>2024-2025</v>
      </c>
      <c r="F23" s="1" t="str">
        <f>IFERROR(__xludf.DUMMYFUNCTION("""COMPUTED_VALUE"""),"DSH")</f>
        <v>DSH</v>
      </c>
      <c r="G23" s="1" t="str">
        <f>IFERROR(__xludf.DUMMYFUNCTION("""COMPUTED_VALUE"""),"19 220")</f>
        <v>19 220</v>
      </c>
      <c r="H23" s="1" t="str">
        <f>IFERROR(__xludf.DUMMYFUNCTION("""COMPUTED_VALUE"""),"-5,91%")</f>
        <v>-5,91%</v>
      </c>
    </row>
    <row r="24">
      <c r="A24" s="1">
        <f>IFERROR(__xludf.DUMMYFUNCTION("""COMPUTED_VALUE"""),67.0)</f>
        <v>67</v>
      </c>
      <c r="B24" s="1"/>
      <c r="C24" s="1" t="str">
        <f>IFERROR(__xludf.DUMMYFUNCTION("""COMPUTED_VALUE"""),"Citizen K International")</f>
        <v>Citizen K International</v>
      </c>
      <c r="D24" s="1" t="str">
        <f>IFERROR(__xludf.DUMMYFUNCTION("""COMPUTED_VALUE"""),"Trimestriel")</f>
        <v>Trimestriel</v>
      </c>
      <c r="E24" s="1" t="str">
        <f>IFERROR(__xludf.DUMMYFUNCTION("""COMPUTED_VALUE"""),"2024-2025")</f>
        <v>2024-2025</v>
      </c>
      <c r="F24" s="1" t="str">
        <f>IFERROR(__xludf.DUMMYFUNCTION("""COMPUTED_VALUE"""),"DSH")</f>
        <v>DSH</v>
      </c>
      <c r="G24" s="1" t="str">
        <f>IFERROR(__xludf.DUMMYFUNCTION("""COMPUTED_VALUE"""),"100 754")</f>
        <v>100 754</v>
      </c>
      <c r="H24" s="1" t="str">
        <f>IFERROR(__xludf.DUMMYFUNCTION("""COMPUTED_VALUE"""),"78,04%")</f>
        <v>78,04%</v>
      </c>
    </row>
    <row r="25">
      <c r="A25" s="1">
        <f>IFERROR(__xludf.DUMMYFUNCTION("""COMPUTED_VALUE"""),59.0)</f>
        <v>59</v>
      </c>
      <c r="B25" s="1"/>
      <c r="C25" s="1" t="str">
        <f>IFERROR(__xludf.DUMMYFUNCTION("""COMPUTED_VALUE"""),"Closer")</f>
        <v>Closer</v>
      </c>
      <c r="D25" s="1" t="str">
        <f>IFERROR(__xludf.DUMMYFUNCTION("""COMPUTED_VALUE"""),"Hebdomadaire")</f>
        <v>Hebdomadaire</v>
      </c>
      <c r="E25" s="1" t="str">
        <f>IFERROR(__xludf.DUMMYFUNCTION("""COMPUTED_VALUE"""),"2024-2025")</f>
        <v>2024-2025</v>
      </c>
      <c r="F25" s="1" t="str">
        <f>IFERROR(__xludf.DUMMYFUNCTION("""COMPUTED_VALUE"""),"DSH")</f>
        <v>DSH</v>
      </c>
      <c r="G25" s="1" t="str">
        <f>IFERROR(__xludf.DUMMYFUNCTION("""COMPUTED_VALUE"""),"125 593")</f>
        <v>125 593</v>
      </c>
      <c r="H25" s="1" t="str">
        <f>IFERROR(__xludf.DUMMYFUNCTION("""COMPUTED_VALUE"""),"-6,92%")</f>
        <v>-6,92%</v>
      </c>
    </row>
    <row r="26">
      <c r="A26" s="1">
        <f>IFERROR(__xludf.DUMMYFUNCTION("""COMPUTED_VALUE"""),127.0)</f>
        <v>127</v>
      </c>
      <c r="B26" s="1"/>
      <c r="C26" s="1" t="str">
        <f>IFERROR(__xludf.DUMMYFUNCTION("""COMPUTED_VALUE"""),"Connaissance des Arts")</f>
        <v>Connaissance des Arts</v>
      </c>
      <c r="D26" s="1" t="str">
        <f>IFERROR(__xludf.DUMMYFUNCTION("""COMPUTED_VALUE"""),"Mensuel")</f>
        <v>Mensuel</v>
      </c>
      <c r="E26" s="1" t="str">
        <f>IFERROR(__xludf.DUMMYFUNCTION("""COMPUTED_VALUE"""),"2024-2025")</f>
        <v>2024-2025</v>
      </c>
      <c r="F26" s="1" t="str">
        <f>IFERROR(__xludf.DUMMYFUNCTION("""COMPUTED_VALUE"""),"DSH")</f>
        <v>DSH</v>
      </c>
      <c r="G26" s="1" t="str">
        <f>IFERROR(__xludf.DUMMYFUNCTION("""COMPUTED_VALUE"""),"43 530")</f>
        <v>43 530</v>
      </c>
      <c r="H26" s="1" t="str">
        <f>IFERROR(__xludf.DUMMYFUNCTION("""COMPUTED_VALUE"""),"1,21%")</f>
        <v>1,21%</v>
      </c>
    </row>
    <row r="27">
      <c r="A27" s="1">
        <f>IFERROR(__xludf.DUMMYFUNCTION("""COMPUTED_VALUE"""),46.0)</f>
        <v>46</v>
      </c>
      <c r="B27" s="1"/>
      <c r="C27" s="1" t="str">
        <f>IFERROR(__xludf.DUMMYFUNCTION("""COMPUTED_VALUE"""),"Cosmopolitan")</f>
        <v>Cosmopolitan</v>
      </c>
      <c r="D27" s="1" t="str">
        <f>IFERROR(__xludf.DUMMYFUNCTION("""COMPUTED_VALUE"""),"Mensuel")</f>
        <v>Mensuel</v>
      </c>
      <c r="E27" s="1" t="str">
        <f>IFERROR(__xludf.DUMMYFUNCTION("""COMPUTED_VALUE"""),"2024-2025")</f>
        <v>2024-2025</v>
      </c>
      <c r="F27" s="1" t="str">
        <f>IFERROR(__xludf.DUMMYFUNCTION("""COMPUTED_VALUE"""),"DSH")</f>
        <v>DSH</v>
      </c>
      <c r="G27" s="1" t="str">
        <f>IFERROR(__xludf.DUMMYFUNCTION("""COMPUTED_VALUE"""),"150 641")</f>
        <v>150 641</v>
      </c>
      <c r="H27" s="1" t="str">
        <f>IFERROR(__xludf.DUMMYFUNCTION("""COMPUTED_VALUE"""),"-11,06%")</f>
        <v>-11,06%</v>
      </c>
    </row>
    <row r="28">
      <c r="A28" s="1"/>
      <c r="B28" s="1"/>
      <c r="C28" s="1" t="str">
        <f>IFERROR(__xludf.DUMMYFUNCTION("""COMPUTED_VALUE"""),"Couplage Merci pour l'info")</f>
        <v>Couplage Merci pour l'info</v>
      </c>
      <c r="D28" s="1" t="str">
        <f>IFERROR(__xludf.DUMMYFUNCTION("""COMPUTED_VALUE"""),"Mensuel")</f>
        <v>Mensuel</v>
      </c>
      <c r="E28" s="1" t="str">
        <f>IFERROR(__xludf.DUMMYFUNCTION("""COMPUTED_VALUE"""),"2024-2025")</f>
        <v>2024-2025</v>
      </c>
      <c r="F28" s="1" t="str">
        <f>IFERROR(__xludf.DUMMYFUNCTION("""COMPUTED_VALUE"""),"DSH")</f>
        <v>DSH</v>
      </c>
      <c r="G28" s="1" t="str">
        <f>IFERROR(__xludf.DUMMYFUNCTION("""COMPUTED_VALUE"""),"1 733 004")</f>
        <v>1 733 004</v>
      </c>
      <c r="H28" s="1" t="str">
        <f>IFERROR(__xludf.DUMMYFUNCTION("""COMPUTED_VALUE"""),"23,28%")</f>
        <v>23,28%</v>
      </c>
    </row>
    <row r="29">
      <c r="A29" s="1"/>
      <c r="B29" s="1"/>
      <c r="C29" s="1" t="str">
        <f>IFERROR(__xludf.DUMMYFUNCTION("""COMPUTED_VALUE"""),"Couplage Vocable")</f>
        <v>Couplage Vocable</v>
      </c>
      <c r="D29" s="1" t="str">
        <f>IFERROR(__xludf.DUMMYFUNCTION("""COMPUTED_VALUE"""),"Bimensuel")</f>
        <v>Bimensuel</v>
      </c>
      <c r="E29" s="1" t="str">
        <f>IFERROR(__xludf.DUMMYFUNCTION("""COMPUTED_VALUE"""),"2024-2025")</f>
        <v>2024-2025</v>
      </c>
      <c r="F29" s="1" t="str">
        <f>IFERROR(__xludf.DUMMYFUNCTION("""COMPUTED_VALUE"""),"DSH")</f>
        <v>DSH</v>
      </c>
      <c r="G29" s="1" t="str">
        <f>IFERROR(__xludf.DUMMYFUNCTION("""COMPUTED_VALUE"""),"43 455")</f>
        <v>43 455</v>
      </c>
      <c r="H29" s="1" t="str">
        <f>IFERROR(__xludf.DUMMYFUNCTION("""COMPUTED_VALUE"""),"-1,49%")</f>
        <v>-1,49%</v>
      </c>
    </row>
    <row r="30">
      <c r="A30" s="1">
        <f>IFERROR(__xludf.DUMMYFUNCTION("""COMPUTED_VALUE"""),42.0)</f>
        <v>42</v>
      </c>
      <c r="B30" s="1"/>
      <c r="C30" s="1" t="str">
        <f>IFERROR(__xludf.DUMMYFUNCTION("""COMPUTED_VALUE"""),"Courrier International")</f>
        <v>Courrier International</v>
      </c>
      <c r="D30" s="1" t="str">
        <f>IFERROR(__xludf.DUMMYFUNCTION("""COMPUTED_VALUE"""),"Hebdomadaire")</f>
        <v>Hebdomadaire</v>
      </c>
      <c r="E30" s="1" t="str">
        <f>IFERROR(__xludf.DUMMYFUNCTION("""COMPUTED_VALUE"""),"2024-2025")</f>
        <v>2024-2025</v>
      </c>
      <c r="F30" s="1" t="str">
        <f>IFERROR(__xludf.DUMMYFUNCTION("""COMPUTED_VALUE"""),"PV")</f>
        <v>PV</v>
      </c>
      <c r="G30" s="1" t="str">
        <f>IFERROR(__xludf.DUMMYFUNCTION("""COMPUTED_VALUE"""),"161 950")</f>
        <v>161 950</v>
      </c>
      <c r="H30" s="1" t="str">
        <f>IFERROR(__xludf.DUMMYFUNCTION("""COMPUTED_VALUE"""),"5,29%")</f>
        <v>5,29%</v>
      </c>
    </row>
    <row r="31">
      <c r="A31" s="1">
        <f>IFERROR(__xludf.DUMMYFUNCTION("""COMPUTED_VALUE"""),71.0)</f>
        <v>71</v>
      </c>
      <c r="B31" s="1"/>
      <c r="C31" s="1" t="str">
        <f>IFERROR(__xludf.DUMMYFUNCTION("""COMPUTED_VALUE"""),"Cuisine Actuelle")</f>
        <v>Cuisine Actuelle</v>
      </c>
      <c r="D31" s="1" t="str">
        <f>IFERROR(__xludf.DUMMYFUNCTION("""COMPUTED_VALUE"""),"Mensuel")</f>
        <v>Mensuel</v>
      </c>
      <c r="E31" s="1" t="str">
        <f>IFERROR(__xludf.DUMMYFUNCTION("""COMPUTED_VALUE"""),"2024-2025")</f>
        <v>2024-2025</v>
      </c>
      <c r="F31" s="1" t="str">
        <f>IFERROR(__xludf.DUMMYFUNCTION("""COMPUTED_VALUE"""),"DSH")</f>
        <v>DSH</v>
      </c>
      <c r="G31" s="1" t="str">
        <f>IFERROR(__xludf.DUMMYFUNCTION("""COMPUTED_VALUE"""),"90 582")</f>
        <v>90 582</v>
      </c>
      <c r="H31" s="1" t="str">
        <f>IFERROR(__xludf.DUMMYFUNCTION("""COMPUTED_VALUE"""),"-5,03%")</f>
        <v>-5,03%</v>
      </c>
    </row>
    <row r="32">
      <c r="A32" s="1">
        <f>IFERROR(__xludf.DUMMYFUNCTION("""COMPUTED_VALUE"""),98.0)</f>
        <v>98</v>
      </c>
      <c r="B32" s="1"/>
      <c r="C32" s="1" t="str">
        <f>IFERROR(__xludf.DUMMYFUNCTION("""COMPUTED_VALUE"""),"Cuisine Actuelle Hors-Série")</f>
        <v>Cuisine Actuelle Hors-Série</v>
      </c>
      <c r="D32" s="1" t="str">
        <f>IFERROR(__xludf.DUMMYFUNCTION("""COMPUTED_VALUE"""),"Bimestriel")</f>
        <v>Bimestriel</v>
      </c>
      <c r="E32" s="1" t="str">
        <f>IFERROR(__xludf.DUMMYFUNCTION("""COMPUTED_VALUE"""),"2024-2025")</f>
        <v>2024-2025</v>
      </c>
      <c r="F32" s="1" t="str">
        <f>IFERROR(__xludf.DUMMYFUNCTION("""COMPUTED_VALUE"""),"DSH")</f>
        <v>DSH</v>
      </c>
      <c r="G32" s="1" t="str">
        <f>IFERROR(__xludf.DUMMYFUNCTION("""COMPUTED_VALUE"""),"63 386")</f>
        <v>63 386</v>
      </c>
      <c r="H32" s="1" t="str">
        <f>IFERROR(__xludf.DUMMYFUNCTION("""COMPUTED_VALUE"""),"-9,47%")</f>
        <v>-9,47%</v>
      </c>
    </row>
    <row r="33">
      <c r="A33" s="1">
        <f>IFERROR(__xludf.DUMMYFUNCTION("""COMPUTED_VALUE"""),122.0)</f>
        <v>122</v>
      </c>
      <c r="B33" s="1"/>
      <c r="C33" s="1" t="str">
        <f>IFERROR(__xludf.DUMMYFUNCTION("""COMPUTED_VALUE"""),"Cuisine et Vins de France")</f>
        <v>Cuisine et Vins de France</v>
      </c>
      <c r="D33" s="1" t="str">
        <f>IFERROR(__xludf.DUMMYFUNCTION("""COMPUTED_VALUE"""),"Bimestriel")</f>
        <v>Bimestriel</v>
      </c>
      <c r="E33" s="1" t="str">
        <f>IFERROR(__xludf.DUMMYFUNCTION("""COMPUTED_VALUE"""),"2024-2025")</f>
        <v>2024-2025</v>
      </c>
      <c r="F33" s="1" t="str">
        <f>IFERROR(__xludf.DUMMYFUNCTION("""COMPUTED_VALUE"""),"DSH")</f>
        <v>DSH</v>
      </c>
      <c r="G33" s="1" t="str">
        <f>IFERROR(__xludf.DUMMYFUNCTION("""COMPUTED_VALUE"""),"46 085")</f>
        <v>46 085</v>
      </c>
      <c r="H33" s="1" t="str">
        <f>IFERROR(__xludf.DUMMYFUNCTION("""COMPUTED_VALUE"""),"-15,39%")</f>
        <v>-15,39%</v>
      </c>
    </row>
    <row r="34">
      <c r="A34" s="1">
        <f>IFERROR(__xludf.DUMMYFUNCTION("""COMPUTED_VALUE"""),131.0)</f>
        <v>131</v>
      </c>
      <c r="B34" s="1"/>
      <c r="C34" s="1" t="str">
        <f>IFERROR(__xludf.DUMMYFUNCTION("""COMPUTED_VALUE"""),"Cuisineaz")</f>
        <v>Cuisineaz</v>
      </c>
      <c r="D34" s="1" t="str">
        <f>IFERROR(__xludf.DUMMYFUNCTION("""COMPUTED_VALUE"""),"Trimestriel")</f>
        <v>Trimestriel</v>
      </c>
      <c r="E34" s="1" t="str">
        <f>IFERROR(__xludf.DUMMYFUNCTION("""COMPUTED_VALUE"""),"2024-2025")</f>
        <v>2024-2025</v>
      </c>
      <c r="F34" s="1" t="str">
        <f>IFERROR(__xludf.DUMMYFUNCTION("""COMPUTED_VALUE"""),"DSH")</f>
        <v>DSH</v>
      </c>
      <c r="G34" s="1" t="str">
        <f>IFERROR(__xludf.DUMMYFUNCTION("""COMPUTED_VALUE"""),"40 763")</f>
        <v>40 763</v>
      </c>
      <c r="H34" s="1" t="str">
        <f>IFERROR(__xludf.DUMMYFUNCTION("""COMPUTED_VALUE"""),"NA")</f>
        <v>NA</v>
      </c>
    </row>
    <row r="35">
      <c r="A35" s="1">
        <f>IFERROR(__xludf.DUMMYFUNCTION("""COMPUTED_VALUE"""),170.0)</f>
        <v>170</v>
      </c>
      <c r="B35" s="1"/>
      <c r="C35" s="1" t="str">
        <f>IFERROR(__xludf.DUMMYFUNCTION("""COMPUTED_VALUE"""),"Le Cycle")</f>
        <v>Le Cycle</v>
      </c>
      <c r="D35" s="1" t="str">
        <f>IFERROR(__xludf.DUMMYFUNCTION("""COMPUTED_VALUE"""),"Mensuel")</f>
        <v>Mensuel</v>
      </c>
      <c r="E35" s="1" t="str">
        <f>IFERROR(__xludf.DUMMYFUNCTION("""COMPUTED_VALUE"""),"2024-2025")</f>
        <v>2024-2025</v>
      </c>
      <c r="F35" s="1" t="str">
        <f>IFERROR(__xludf.DUMMYFUNCTION("""COMPUTED_VALUE"""),"DSH")</f>
        <v>DSH</v>
      </c>
      <c r="G35" s="1" t="str">
        <f>IFERROR(__xludf.DUMMYFUNCTION("""COMPUTED_VALUE"""),"19 788")</f>
        <v>19 788</v>
      </c>
      <c r="H35" s="1" t="str">
        <f>IFERROR(__xludf.DUMMYFUNCTION("""COMPUTED_VALUE"""),"-9,21%")</f>
        <v>-9,21%</v>
      </c>
    </row>
    <row r="36">
      <c r="A36" s="1">
        <f>IFERROR(__xludf.DUMMYFUNCTION("""COMPUTED_VALUE"""),37.0)</f>
        <v>37</v>
      </c>
      <c r="B36" s="1"/>
      <c r="C36" s="1" t="str">
        <f>IFERROR(__xludf.DUMMYFUNCTION("""COMPUTED_VALUE"""),"Détente Jardin")</f>
        <v>Détente Jardin</v>
      </c>
      <c r="D36" s="1" t="str">
        <f>IFERROR(__xludf.DUMMYFUNCTION("""COMPUTED_VALUE"""),"Bimestriel")</f>
        <v>Bimestriel</v>
      </c>
      <c r="E36" s="1" t="str">
        <f>IFERROR(__xludf.DUMMYFUNCTION("""COMPUTED_VALUE"""),"2024-2025")</f>
        <v>2024-2025</v>
      </c>
      <c r="F36" s="1" t="str">
        <f>IFERROR(__xludf.DUMMYFUNCTION("""COMPUTED_VALUE"""),"DSH")</f>
        <v>DSH</v>
      </c>
      <c r="G36" s="1" t="str">
        <f>IFERROR(__xludf.DUMMYFUNCTION("""COMPUTED_VALUE"""),"172 708")</f>
        <v>172 708</v>
      </c>
      <c r="H36" s="1" t="str">
        <f>IFERROR(__xludf.DUMMYFUNCTION("""COMPUTED_VALUE"""),"-8,90%")</f>
        <v>-8,90%</v>
      </c>
    </row>
    <row r="37">
      <c r="A37" s="1">
        <f>IFERROR(__xludf.DUMMYFUNCTION("""COMPUTED_VALUE"""),72.0)</f>
        <v>72</v>
      </c>
      <c r="B37" s="1"/>
      <c r="C37" s="1" t="str">
        <f>IFERROR(__xludf.DUMMYFUNCTION("""COMPUTED_VALUE"""),"Détours en France")</f>
        <v>Détours en France</v>
      </c>
      <c r="D37" s="1" t="str">
        <f>IFERROR(__xludf.DUMMYFUNCTION("""COMPUTED_VALUE"""),"Bimestriel")</f>
        <v>Bimestriel</v>
      </c>
      <c r="E37" s="1" t="str">
        <f>IFERROR(__xludf.DUMMYFUNCTION("""COMPUTED_VALUE"""),"2024-2025")</f>
        <v>2024-2025</v>
      </c>
      <c r="F37" s="1" t="str">
        <f>IFERROR(__xludf.DUMMYFUNCTION("""COMPUTED_VALUE"""),"DSH")</f>
        <v>DSH</v>
      </c>
      <c r="G37" s="1" t="str">
        <f>IFERROR(__xludf.DUMMYFUNCTION("""COMPUTED_VALUE"""),"88 208")</f>
        <v>88 208</v>
      </c>
      <c r="H37" s="1" t="str">
        <f>IFERROR(__xludf.DUMMYFUNCTION("""COMPUTED_VALUE"""),"-8,45%")</f>
        <v>-8,45%</v>
      </c>
    </row>
    <row r="38">
      <c r="A38" s="1">
        <f>IFERROR(__xludf.DUMMYFUNCTION("""COMPUTED_VALUE"""),167.0)</f>
        <v>167</v>
      </c>
      <c r="B38" s="1"/>
      <c r="C38" s="1" t="str">
        <f>IFERROR(__xludf.DUMMYFUNCTION("""COMPUTED_VALUE"""),"Diapason")</f>
        <v>Diapason</v>
      </c>
      <c r="D38" s="1" t="str">
        <f>IFERROR(__xludf.DUMMYFUNCTION("""COMPUTED_VALUE"""),"Mensuel")</f>
        <v>Mensuel</v>
      </c>
      <c r="E38" s="1" t="str">
        <f>IFERROR(__xludf.DUMMYFUNCTION("""COMPUTED_VALUE"""),"2024-2025")</f>
        <v>2024-2025</v>
      </c>
      <c r="F38" s="1" t="str">
        <f>IFERROR(__xludf.DUMMYFUNCTION("""COMPUTED_VALUE"""),"DSH")</f>
        <v>DSH</v>
      </c>
      <c r="G38" s="1" t="str">
        <f>IFERROR(__xludf.DUMMYFUNCTION("""COMPUTED_VALUE"""),"20 819")</f>
        <v>20 819</v>
      </c>
      <c r="H38" s="1" t="str">
        <f>IFERROR(__xludf.DUMMYFUNCTION("""COMPUTED_VALUE"""),"0,13%")</f>
        <v>0,13%</v>
      </c>
    </row>
    <row r="39">
      <c r="A39" s="1">
        <f>IFERROR(__xludf.DUMMYFUNCTION("""COMPUTED_VALUE"""),1.0)</f>
        <v>1</v>
      </c>
      <c r="B39" s="1"/>
      <c r="C39" s="1" t="str">
        <f>IFERROR(__xludf.DUMMYFUNCTION("""COMPUTED_VALUE"""),"Diverto")</f>
        <v>Diverto</v>
      </c>
      <c r="D39" s="1" t="str">
        <f>IFERROR(__xludf.DUMMYFUNCTION("""COMPUTED_VALUE"""),"Hebdomadaire")</f>
        <v>Hebdomadaire</v>
      </c>
      <c r="E39" s="1" t="str">
        <f>IFERROR(__xludf.DUMMYFUNCTION("""COMPUTED_VALUE"""),"2024-2025")</f>
        <v>2024-2025</v>
      </c>
      <c r="F39" s="1" t="str">
        <f>IFERROR(__xludf.DUMMYFUNCTION("""COMPUTED_VALUE"""),"DSH")</f>
        <v>DSH</v>
      </c>
      <c r="G39" s="1" t="str">
        <f>IFERROR(__xludf.DUMMYFUNCTION("""COMPUTED_VALUE"""),"2 976 368")</f>
        <v>2 976 368</v>
      </c>
      <c r="H39" s="1" t="str">
        <f>IFERROR(__xludf.DUMMYFUNCTION("""COMPUTED_VALUE"""),"-3,56%")</f>
        <v>-3,56%</v>
      </c>
    </row>
    <row r="40">
      <c r="A40" s="1">
        <f>IFERROR(__xludf.DUMMYFUNCTION("""COMPUTED_VALUE"""),45.0)</f>
        <v>45</v>
      </c>
      <c r="B40" s="1"/>
      <c r="C40" s="1" t="str">
        <f>IFERROR(__xludf.DUMMYFUNCTION("""COMPUTED_VALUE"""),"Dr Good !")</f>
        <v>Dr Good !</v>
      </c>
      <c r="D40" s="1" t="str">
        <f>IFERROR(__xludf.DUMMYFUNCTION("""COMPUTED_VALUE"""),"Bimestriel")</f>
        <v>Bimestriel</v>
      </c>
      <c r="E40" s="1" t="str">
        <f>IFERROR(__xludf.DUMMYFUNCTION("""COMPUTED_VALUE"""),"2024-2025")</f>
        <v>2024-2025</v>
      </c>
      <c r="F40" s="1" t="str">
        <f>IFERROR(__xludf.DUMMYFUNCTION("""COMPUTED_VALUE"""),"DSH")</f>
        <v>DSH</v>
      </c>
      <c r="G40" s="1" t="str">
        <f>IFERROR(__xludf.DUMMYFUNCTION("""COMPUTED_VALUE"""),"150 840")</f>
        <v>150 840</v>
      </c>
      <c r="H40" s="1" t="str">
        <f>IFERROR(__xludf.DUMMYFUNCTION("""COMPUTED_VALUE"""),"-12,39%")</f>
        <v>-12,39%</v>
      </c>
    </row>
    <row r="41">
      <c r="A41" s="1">
        <f>IFERROR(__xludf.DUMMYFUNCTION("""COMPUTED_VALUE"""),65.0)</f>
        <v>65</v>
      </c>
      <c r="B41" s="1"/>
      <c r="C41" s="1" t="str">
        <f>IFERROR(__xludf.DUMMYFUNCTION("""COMPUTED_VALUE"""),"Dr Good ! C'est Bon !")</f>
        <v>Dr Good ! C'est Bon !</v>
      </c>
      <c r="D41" s="1" t="str">
        <f>IFERROR(__xludf.DUMMYFUNCTION("""COMPUTED_VALUE"""),"Bimestriel")</f>
        <v>Bimestriel</v>
      </c>
      <c r="E41" s="1" t="str">
        <f>IFERROR(__xludf.DUMMYFUNCTION("""COMPUTED_VALUE"""),"2024-2025")</f>
        <v>2024-2025</v>
      </c>
      <c r="F41" s="1" t="str">
        <f>IFERROR(__xludf.DUMMYFUNCTION("""COMPUTED_VALUE"""),"DSH")</f>
        <v>DSH</v>
      </c>
      <c r="G41" s="1" t="str">
        <f>IFERROR(__xludf.DUMMYFUNCTION("""COMPUTED_VALUE"""),"107 721")</f>
        <v>107 721</v>
      </c>
      <c r="H41" s="1" t="str">
        <f>IFERROR(__xludf.DUMMYFUNCTION("""COMPUTED_VALUE"""),"9,33%")</f>
        <v>9,33%</v>
      </c>
    </row>
    <row r="42">
      <c r="A42" s="1">
        <f>IFERROR(__xludf.DUMMYFUNCTION("""COMPUTED_VALUE"""),29.0)</f>
        <v>29</v>
      </c>
      <c r="B42" s="1"/>
      <c r="C42" s="1" t="str">
        <f>IFERROR(__xludf.DUMMYFUNCTION("""COMPUTED_VALUE"""),"Elle")</f>
        <v>Elle</v>
      </c>
      <c r="D42" s="1" t="str">
        <f>IFERROR(__xludf.DUMMYFUNCTION("""COMPUTED_VALUE"""),"Hebdomadaire")</f>
        <v>Hebdomadaire</v>
      </c>
      <c r="E42" s="1" t="str">
        <f>IFERROR(__xludf.DUMMYFUNCTION("""COMPUTED_VALUE"""),"2024-2025")</f>
        <v>2024-2025</v>
      </c>
      <c r="F42" s="1" t="str">
        <f>IFERROR(__xludf.DUMMYFUNCTION("""COMPUTED_VALUE"""),"DSH")</f>
        <v>DSH</v>
      </c>
      <c r="G42" s="1" t="str">
        <f>IFERROR(__xludf.DUMMYFUNCTION("""COMPUTED_VALUE"""),"228 554")</f>
        <v>228 554</v>
      </c>
      <c r="H42" s="1" t="str">
        <f>IFERROR(__xludf.DUMMYFUNCTION("""COMPUTED_VALUE"""),"-9,59%")</f>
        <v>-9,59%</v>
      </c>
    </row>
    <row r="43">
      <c r="A43" s="1">
        <f>IFERROR(__xludf.DUMMYFUNCTION("""COMPUTED_VALUE"""),86.0)</f>
        <v>86</v>
      </c>
      <c r="B43" s="1"/>
      <c r="C43" s="1" t="str">
        <f>IFERROR(__xludf.DUMMYFUNCTION("""COMPUTED_VALUE"""),"Elle à Table")</f>
        <v>Elle à Table</v>
      </c>
      <c r="D43" s="1" t="str">
        <f>IFERROR(__xludf.DUMMYFUNCTION("""COMPUTED_VALUE"""),"Bimestriel")</f>
        <v>Bimestriel</v>
      </c>
      <c r="E43" s="1" t="str">
        <f>IFERROR(__xludf.DUMMYFUNCTION("""COMPUTED_VALUE"""),"2024-2025")</f>
        <v>2024-2025</v>
      </c>
      <c r="F43" s="1" t="str">
        <f>IFERROR(__xludf.DUMMYFUNCTION("""COMPUTED_VALUE"""),"DSH")</f>
        <v>DSH</v>
      </c>
      <c r="G43" s="1" t="str">
        <f>IFERROR(__xludf.DUMMYFUNCTION("""COMPUTED_VALUE"""),"75 004")</f>
        <v>75 004</v>
      </c>
      <c r="H43" s="1" t="str">
        <f>IFERROR(__xludf.DUMMYFUNCTION("""COMPUTED_VALUE"""),"-7,39%")</f>
        <v>-7,39%</v>
      </c>
    </row>
    <row r="44">
      <c r="A44" s="1">
        <f>IFERROR(__xludf.DUMMYFUNCTION("""COMPUTED_VALUE"""),68.0)</f>
        <v>68</v>
      </c>
      <c r="B44" s="1"/>
      <c r="C44" s="1" t="str">
        <f>IFERROR(__xludf.DUMMYFUNCTION("""COMPUTED_VALUE"""),"Elle Décoration")</f>
        <v>Elle Décoration</v>
      </c>
      <c r="D44" s="1" t="str">
        <f>IFERROR(__xludf.DUMMYFUNCTION("""COMPUTED_VALUE"""),"Bimestriel")</f>
        <v>Bimestriel</v>
      </c>
      <c r="E44" s="1" t="str">
        <f>IFERROR(__xludf.DUMMYFUNCTION("""COMPUTED_VALUE"""),"2024-2025")</f>
        <v>2024-2025</v>
      </c>
      <c r="F44" s="1" t="str">
        <f>IFERROR(__xludf.DUMMYFUNCTION("""COMPUTED_VALUE"""),"DSH")</f>
        <v>DSH</v>
      </c>
      <c r="G44" s="1" t="str">
        <f>IFERROR(__xludf.DUMMYFUNCTION("""COMPUTED_VALUE"""),"100 435")</f>
        <v>100 435</v>
      </c>
      <c r="H44" s="1" t="str">
        <f>IFERROR(__xludf.DUMMYFUNCTION("""COMPUTED_VALUE"""),"-12,41%")</f>
        <v>-12,41%</v>
      </c>
    </row>
    <row r="45">
      <c r="A45" s="1">
        <f>IFERROR(__xludf.DUMMYFUNCTION("""COMPUTED_VALUE"""),124.0)</f>
        <v>124</v>
      </c>
      <c r="B45" s="1"/>
      <c r="C45" s="1" t="str">
        <f>IFERROR(__xludf.DUMMYFUNCTION("""COMPUTED_VALUE"""),"Epsiloon")</f>
        <v>Epsiloon</v>
      </c>
      <c r="D45" s="1" t="str">
        <f>IFERROR(__xludf.DUMMYFUNCTION("""COMPUTED_VALUE"""),"Mensuel")</f>
        <v>Mensuel</v>
      </c>
      <c r="E45" s="1" t="str">
        <f>IFERROR(__xludf.DUMMYFUNCTION("""COMPUTED_VALUE"""),"2024-2025")</f>
        <v>2024-2025</v>
      </c>
      <c r="F45" s="1" t="str">
        <f>IFERROR(__xludf.DUMMYFUNCTION("""COMPUTED_VALUE"""),"DSH")</f>
        <v>DSH</v>
      </c>
      <c r="G45" s="1" t="str">
        <f>IFERROR(__xludf.DUMMYFUNCTION("""COMPUTED_VALUE"""),"45 796")</f>
        <v>45 796</v>
      </c>
      <c r="H45" s="1" t="str">
        <f>IFERROR(__xludf.DUMMYFUNCTION("""COMPUTED_VALUE"""),"-3,34%")</f>
        <v>-3,34%</v>
      </c>
    </row>
    <row r="46">
      <c r="A46" s="1">
        <f>IFERROR(__xludf.DUMMYFUNCTION("""COMPUTED_VALUE"""),24.0)</f>
        <v>24</v>
      </c>
      <c r="B46" s="1"/>
      <c r="C46" s="1" t="str">
        <f>IFERROR(__xludf.DUMMYFUNCTION("""COMPUTED_VALUE"""),"L'Equipe Le Magazine")</f>
        <v>L'Equipe Le Magazine</v>
      </c>
      <c r="D46" s="1" t="str">
        <f>IFERROR(__xludf.DUMMYFUNCTION("""COMPUTED_VALUE"""),"Hebdomadaire")</f>
        <v>Hebdomadaire</v>
      </c>
      <c r="E46" s="1" t="str">
        <f>IFERROR(__xludf.DUMMYFUNCTION("""COMPUTED_VALUE"""),"2024-2025")</f>
        <v>2024-2025</v>
      </c>
      <c r="F46" s="1" t="str">
        <f>IFERROR(__xludf.DUMMYFUNCTION("""COMPUTED_VALUE"""),"PV")</f>
        <v>PV</v>
      </c>
      <c r="G46" s="1" t="str">
        <f>IFERROR(__xludf.DUMMYFUNCTION("""COMPUTED_VALUE"""),"236 768")</f>
        <v>236 768</v>
      </c>
      <c r="H46" s="1" t="str">
        <f>IFERROR(__xludf.DUMMYFUNCTION("""COMPUTED_VALUE"""),"13,07%")</f>
        <v>13,07%</v>
      </c>
    </row>
    <row r="47">
      <c r="A47" s="1">
        <f>IFERROR(__xludf.DUMMYFUNCTION("""COMPUTED_VALUE"""),56.0)</f>
        <v>56</v>
      </c>
      <c r="B47" s="1"/>
      <c r="C47" s="1" t="str">
        <f>IFERROR(__xludf.DUMMYFUNCTION("""COMPUTED_VALUE"""),"L'Express")</f>
        <v>L'Express</v>
      </c>
      <c r="D47" s="1" t="str">
        <f>IFERROR(__xludf.DUMMYFUNCTION("""COMPUTED_VALUE"""),"Hebdomadaire")</f>
        <v>Hebdomadaire</v>
      </c>
      <c r="E47" s="1" t="str">
        <f>IFERROR(__xludf.DUMMYFUNCTION("""COMPUTED_VALUE"""),"2024-2025")</f>
        <v>2024-2025</v>
      </c>
      <c r="F47" s="1" t="str">
        <f>IFERROR(__xludf.DUMMYFUNCTION("""COMPUTED_VALUE"""),"PV")</f>
        <v>PV</v>
      </c>
      <c r="G47" s="1" t="str">
        <f>IFERROR(__xludf.DUMMYFUNCTION("""COMPUTED_VALUE"""),"129 036")</f>
        <v>129 036</v>
      </c>
      <c r="H47" s="1" t="str">
        <f>IFERROR(__xludf.DUMMYFUNCTION("""COMPUTED_VALUE"""),"-7,60%")</f>
        <v>-7,60%</v>
      </c>
    </row>
    <row r="48">
      <c r="A48" s="1">
        <f>IFERROR(__xludf.DUMMYFUNCTION("""COMPUTED_VALUE"""),191.0)</f>
        <v>191</v>
      </c>
      <c r="B48" s="1"/>
      <c r="C48" s="1" t="str">
        <f>IFERROR(__xludf.DUMMYFUNCTION("""COMPUTED_VALUE"""),"Faire Face")</f>
        <v>Faire Face</v>
      </c>
      <c r="D48" s="1" t="str">
        <f>IFERROR(__xludf.DUMMYFUNCTION("""COMPUTED_VALUE"""),"Bimestriel")</f>
        <v>Bimestriel</v>
      </c>
      <c r="E48" s="1" t="str">
        <f>IFERROR(__xludf.DUMMYFUNCTION("""COMPUTED_VALUE"""),"2024-2025")</f>
        <v>2024-2025</v>
      </c>
      <c r="F48" s="1" t="str">
        <f>IFERROR(__xludf.DUMMYFUNCTION("""COMPUTED_VALUE"""),"DSH")</f>
        <v>DSH</v>
      </c>
      <c r="G48" s="1" t="str">
        <f>IFERROR(__xludf.DUMMYFUNCTION("""COMPUTED_VALUE"""),"4 993")</f>
        <v>4 993</v>
      </c>
      <c r="H48" s="1" t="str">
        <f>IFERROR(__xludf.DUMMYFUNCTION("""COMPUTED_VALUE"""),"-6,09%")</f>
        <v>-6,09%</v>
      </c>
    </row>
    <row r="49">
      <c r="A49" s="1">
        <f>IFERROR(__xludf.DUMMYFUNCTION("""COMPUTED_VALUE"""),138.0)</f>
        <v>138</v>
      </c>
      <c r="B49" s="1"/>
      <c r="C49" s="1" t="str">
        <f>IFERROR(__xludf.DUMMYFUNCTION("""COMPUTED_VALUE"""),"Famille Chrétienne")</f>
        <v>Famille Chrétienne</v>
      </c>
      <c r="D49" s="1" t="str">
        <f>IFERROR(__xludf.DUMMYFUNCTION("""COMPUTED_VALUE"""),"Hebdomadaire")</f>
        <v>Hebdomadaire</v>
      </c>
      <c r="E49" s="1" t="str">
        <f>IFERROR(__xludf.DUMMYFUNCTION("""COMPUTED_VALUE"""),"2024-2025")</f>
        <v>2024-2025</v>
      </c>
      <c r="F49" s="1" t="str">
        <f>IFERROR(__xludf.DUMMYFUNCTION("""COMPUTED_VALUE"""),"DSH")</f>
        <v>DSH</v>
      </c>
      <c r="G49" s="1" t="str">
        <f>IFERROR(__xludf.DUMMYFUNCTION("""COMPUTED_VALUE"""),"36 587")</f>
        <v>36 587</v>
      </c>
      <c r="H49" s="1" t="str">
        <f>IFERROR(__xludf.DUMMYFUNCTION("""COMPUTED_VALUE"""),"-5,07%")</f>
        <v>-5,07%</v>
      </c>
    </row>
    <row r="50">
      <c r="A50" s="1">
        <f>IFERROR(__xludf.DUMMYFUNCTION("""COMPUTED_VALUE"""),4.0)</f>
        <v>4</v>
      </c>
      <c r="B50" s="1"/>
      <c r="C50" s="1" t="str">
        <f>IFERROR(__xludf.DUMMYFUNCTION("""COMPUTED_VALUE"""),"Famille et Education - Magazine de l'APEL")</f>
        <v>Famille et Education - Magazine de l'APEL</v>
      </c>
      <c r="D50" s="1" t="str">
        <f>IFERROR(__xludf.DUMMYFUNCTION("""COMPUTED_VALUE"""),"Bimestriel")</f>
        <v>Bimestriel</v>
      </c>
      <c r="E50" s="1" t="str">
        <f>IFERROR(__xludf.DUMMYFUNCTION("""COMPUTED_VALUE"""),"2024-2025")</f>
        <v>2024-2025</v>
      </c>
      <c r="F50" s="1" t="str">
        <f>IFERROR(__xludf.DUMMYFUNCTION("""COMPUTED_VALUE"""),"DSH")</f>
        <v>DSH</v>
      </c>
      <c r="G50" s="1" t="str">
        <f>IFERROR(__xludf.DUMMYFUNCTION("""COMPUTED_VALUE"""),"960 357")</f>
        <v>960 357</v>
      </c>
      <c r="H50" s="1" t="str">
        <f>IFERROR(__xludf.DUMMYFUNCTION("""COMPUTED_VALUE"""),"-0,90%")</f>
        <v>-0,90%</v>
      </c>
    </row>
    <row r="51">
      <c r="A51" s="1">
        <f>IFERROR(__xludf.DUMMYFUNCTION("""COMPUTED_VALUE"""),20.0)</f>
        <v>20</v>
      </c>
      <c r="B51" s="1"/>
      <c r="C51" s="1" t="str">
        <f>IFERROR(__xludf.DUMMYFUNCTION("""COMPUTED_VALUE"""),"Femme Actuelle")</f>
        <v>Femme Actuelle</v>
      </c>
      <c r="D51" s="1" t="str">
        <f>IFERROR(__xludf.DUMMYFUNCTION("""COMPUTED_VALUE"""),"Hebdomadaire")</f>
        <v>Hebdomadaire</v>
      </c>
      <c r="E51" s="1" t="str">
        <f>IFERROR(__xludf.DUMMYFUNCTION("""COMPUTED_VALUE"""),"2024-2025")</f>
        <v>2024-2025</v>
      </c>
      <c r="F51" s="1" t="str">
        <f>IFERROR(__xludf.DUMMYFUNCTION("""COMPUTED_VALUE"""),"DSH")</f>
        <v>DSH</v>
      </c>
      <c r="G51" s="1" t="str">
        <f>IFERROR(__xludf.DUMMYFUNCTION("""COMPUTED_VALUE"""),"296 086")</f>
        <v>296 086</v>
      </c>
      <c r="H51" s="1" t="str">
        <f>IFERROR(__xludf.DUMMYFUNCTION("""COMPUTED_VALUE"""),"-12,43%")</f>
        <v>-12,43%</v>
      </c>
    </row>
    <row r="52">
      <c r="A52" s="1">
        <f>IFERROR(__xludf.DUMMYFUNCTION("""COMPUTED_VALUE"""),114.0)</f>
        <v>114</v>
      </c>
      <c r="B52" s="1"/>
      <c r="C52" s="1" t="str">
        <f>IFERROR(__xludf.DUMMYFUNCTION("""COMPUTED_VALUE"""),"Femme Actuelle Jeux")</f>
        <v>Femme Actuelle Jeux</v>
      </c>
      <c r="D52" s="1" t="str">
        <f>IFERROR(__xludf.DUMMYFUNCTION("""COMPUTED_VALUE"""),"Mensuel")</f>
        <v>Mensuel</v>
      </c>
      <c r="E52" s="1" t="str">
        <f>IFERROR(__xludf.DUMMYFUNCTION("""COMPUTED_VALUE"""),"2024-2025")</f>
        <v>2024-2025</v>
      </c>
      <c r="F52" s="1" t="str">
        <f>IFERROR(__xludf.DUMMYFUNCTION("""COMPUTED_VALUE"""),"DSH")</f>
        <v>DSH</v>
      </c>
      <c r="G52" s="1" t="str">
        <f>IFERROR(__xludf.DUMMYFUNCTION("""COMPUTED_VALUE"""),"49 835")</f>
        <v>49 835</v>
      </c>
      <c r="H52" s="1" t="str">
        <f>IFERROR(__xludf.DUMMYFUNCTION("""COMPUTED_VALUE"""),"-10,89%")</f>
        <v>-10,89%</v>
      </c>
    </row>
    <row r="53">
      <c r="A53" s="1">
        <f>IFERROR(__xludf.DUMMYFUNCTION("""COMPUTED_VALUE"""),18.0)</f>
        <v>18</v>
      </c>
      <c r="B53" s="1"/>
      <c r="C53" s="1" t="str">
        <f>IFERROR(__xludf.DUMMYFUNCTION("""COMPUTED_VALUE"""),"Le Figaro Magazine")</f>
        <v>Le Figaro Magazine</v>
      </c>
      <c r="D53" s="1" t="str">
        <f>IFERROR(__xludf.DUMMYFUNCTION("""COMPUTED_VALUE"""),"Hebdomadaire")</f>
        <v>Hebdomadaire</v>
      </c>
      <c r="E53" s="1" t="str">
        <f>IFERROR(__xludf.DUMMYFUNCTION("""COMPUTED_VALUE"""),"2024-2025")</f>
        <v>2024-2025</v>
      </c>
      <c r="F53" s="1" t="str">
        <f>IFERROR(__xludf.DUMMYFUNCTION("""COMPUTED_VALUE"""),"DSH")</f>
        <v>DSH</v>
      </c>
      <c r="G53" s="1" t="str">
        <f>IFERROR(__xludf.DUMMYFUNCTION("""COMPUTED_VALUE"""),"383 563")</f>
        <v>383 563</v>
      </c>
      <c r="H53" s="1" t="str">
        <f>IFERROR(__xludf.DUMMYFUNCTION("""COMPUTED_VALUE"""),"1,30%")</f>
        <v>1,30%</v>
      </c>
    </row>
    <row r="54">
      <c r="A54" s="1">
        <f>IFERROR(__xludf.DUMMYFUNCTION("""COMPUTED_VALUE"""),107.0)</f>
        <v>107</v>
      </c>
      <c r="B54" s="1"/>
      <c r="C54" s="1" t="str">
        <f>IFERROR(__xludf.DUMMYFUNCTION("""COMPUTED_VALUE"""),"Flow")</f>
        <v>Flow</v>
      </c>
      <c r="D54" s="1" t="str">
        <f>IFERROR(__xludf.DUMMYFUNCTION("""COMPUTED_VALUE"""),"Bimestriel")</f>
        <v>Bimestriel</v>
      </c>
      <c r="E54" s="1" t="str">
        <f>IFERROR(__xludf.DUMMYFUNCTION("""COMPUTED_VALUE"""),"2024-2025")</f>
        <v>2024-2025</v>
      </c>
      <c r="F54" s="1" t="str">
        <f>IFERROR(__xludf.DUMMYFUNCTION("""COMPUTED_VALUE"""),"DSH")</f>
        <v>DSH</v>
      </c>
      <c r="G54" s="1" t="str">
        <f>IFERROR(__xludf.DUMMYFUNCTION("""COMPUTED_VALUE"""),"52 987")</f>
        <v>52 987</v>
      </c>
      <c r="H54" s="1" t="str">
        <f>IFERROR(__xludf.DUMMYFUNCTION("""COMPUTED_VALUE"""),"5,51%")</f>
        <v>5,51%</v>
      </c>
    </row>
    <row r="55">
      <c r="A55" s="1">
        <f>IFERROR(__xludf.DUMMYFUNCTION("""COMPUTED_VALUE"""),57.0)</f>
        <v>57</v>
      </c>
      <c r="B55" s="1"/>
      <c r="C55" s="1" t="str">
        <f>IFERROR(__xludf.DUMMYFUNCTION("""COMPUTED_VALUE"""),"France Dimanche")</f>
        <v>France Dimanche</v>
      </c>
      <c r="D55" s="1" t="str">
        <f>IFERROR(__xludf.DUMMYFUNCTION("""COMPUTED_VALUE"""),"Hebdomadaire")</f>
        <v>Hebdomadaire</v>
      </c>
      <c r="E55" s="1" t="str">
        <f>IFERROR(__xludf.DUMMYFUNCTION("""COMPUTED_VALUE"""),"2024-2025")</f>
        <v>2024-2025</v>
      </c>
      <c r="F55" s="1" t="str">
        <f>IFERROR(__xludf.DUMMYFUNCTION("""COMPUTED_VALUE"""),"DSH")</f>
        <v>DSH</v>
      </c>
      <c r="G55" s="1" t="str">
        <f>IFERROR(__xludf.DUMMYFUNCTION("""COMPUTED_VALUE"""),"127 864")</f>
        <v>127 864</v>
      </c>
      <c r="H55" s="1" t="str">
        <f>IFERROR(__xludf.DUMMYFUNCTION("""COMPUTED_VALUE"""),"-11,32%")</f>
        <v>-11,32%</v>
      </c>
    </row>
    <row r="56">
      <c r="A56" s="1">
        <f>IFERROR(__xludf.DUMMYFUNCTION("""COMPUTED_VALUE"""),89.0)</f>
        <v>89</v>
      </c>
      <c r="B56" s="1"/>
      <c r="C56" s="1" t="str">
        <f>IFERROR(__xludf.DUMMYFUNCTION("""COMPUTED_VALUE"""),"France Football (supplément)")</f>
        <v>France Football (supplément)</v>
      </c>
      <c r="D56" s="1" t="str">
        <f>IFERROR(__xludf.DUMMYFUNCTION("""COMPUTED_VALUE"""),"Mensuel")</f>
        <v>Mensuel</v>
      </c>
      <c r="E56" s="1" t="str">
        <f>IFERROR(__xludf.DUMMYFUNCTION("""COMPUTED_VALUE"""),"2024-2025")</f>
        <v>2024-2025</v>
      </c>
      <c r="F56" s="1" t="str">
        <f>IFERROR(__xludf.DUMMYFUNCTION("""COMPUTED_VALUE"""),"DSH")</f>
        <v>DSH</v>
      </c>
      <c r="G56" s="1" t="str">
        <f>IFERROR(__xludf.DUMMYFUNCTION("""COMPUTED_VALUE"""),"71 306")</f>
        <v>71 306</v>
      </c>
      <c r="H56" s="1" t="str">
        <f>IFERROR(__xludf.DUMMYFUNCTION("""COMPUTED_VALUE"""),"-14,26%")</f>
        <v>-14,26%</v>
      </c>
    </row>
    <row r="57">
      <c r="A57" s="1">
        <f>IFERROR(__xludf.DUMMYFUNCTION("""COMPUTED_VALUE"""),60.0)</f>
        <v>60</v>
      </c>
      <c r="B57" s="1"/>
      <c r="C57" s="1" t="str">
        <f>IFERROR(__xludf.DUMMYFUNCTION("""COMPUTED_VALUE"""),"Gala")</f>
        <v>Gala</v>
      </c>
      <c r="D57" s="1" t="str">
        <f>IFERROR(__xludf.DUMMYFUNCTION("""COMPUTED_VALUE"""),"Hebdomadaire")</f>
        <v>Hebdomadaire</v>
      </c>
      <c r="E57" s="1" t="str">
        <f>IFERROR(__xludf.DUMMYFUNCTION("""COMPUTED_VALUE"""),"2024-2025")</f>
        <v>2024-2025</v>
      </c>
      <c r="F57" s="1" t="str">
        <f>IFERROR(__xludf.DUMMYFUNCTION("""COMPUTED_VALUE"""),"DSH")</f>
        <v>DSH</v>
      </c>
      <c r="G57" s="1" t="str">
        <f>IFERROR(__xludf.DUMMYFUNCTION("""COMPUTED_VALUE"""),"123 160")</f>
        <v>123 160</v>
      </c>
      <c r="H57" s="1" t="str">
        <f>IFERROR(__xludf.DUMMYFUNCTION("""COMPUTED_VALUE"""),"3,87%")</f>
        <v>3,87%</v>
      </c>
    </row>
    <row r="58">
      <c r="A58" s="1">
        <f>IFERROR(__xludf.DUMMYFUNCTION("""COMPUTED_VALUE"""),166.0)</f>
        <v>166</v>
      </c>
      <c r="B58" s="1"/>
      <c r="C58" s="1" t="str">
        <f>IFERROR(__xludf.DUMMYFUNCTION("""COMPUTED_VALUE"""),"La Gazette de l'Hôtel Drouot")</f>
        <v>La Gazette de l'Hôtel Drouot</v>
      </c>
      <c r="D58" s="1" t="str">
        <f>IFERROR(__xludf.DUMMYFUNCTION("""COMPUTED_VALUE"""),"Hebdomadaire")</f>
        <v>Hebdomadaire</v>
      </c>
      <c r="E58" s="1" t="str">
        <f>IFERROR(__xludf.DUMMYFUNCTION("""COMPUTED_VALUE"""),"2024-2025")</f>
        <v>2024-2025</v>
      </c>
      <c r="F58" s="1" t="str">
        <f>IFERROR(__xludf.DUMMYFUNCTION("""COMPUTED_VALUE"""),"DSH")</f>
        <v>DSH</v>
      </c>
      <c r="G58" s="1" t="str">
        <f>IFERROR(__xludf.DUMMYFUNCTION("""COMPUTED_VALUE"""),"21 607")</f>
        <v>21 607</v>
      </c>
      <c r="H58" s="1" t="str">
        <f>IFERROR(__xludf.DUMMYFUNCTION("""COMPUTED_VALUE"""),"0,42%")</f>
        <v>0,42%</v>
      </c>
    </row>
    <row r="59">
      <c r="A59" s="1">
        <f>IFERROR(__xludf.DUMMYFUNCTION("""COMPUTED_VALUE"""),73.0)</f>
        <v>73</v>
      </c>
      <c r="B59" s="1"/>
      <c r="C59" s="1" t="str">
        <f>IFERROR(__xludf.DUMMYFUNCTION("""COMPUTED_VALUE"""),"Geo")</f>
        <v>Geo</v>
      </c>
      <c r="D59" s="1" t="str">
        <f>IFERROR(__xludf.DUMMYFUNCTION("""COMPUTED_VALUE"""),"Mensuel")</f>
        <v>Mensuel</v>
      </c>
      <c r="E59" s="1" t="str">
        <f>IFERROR(__xludf.DUMMYFUNCTION("""COMPUTED_VALUE"""),"2024-2025")</f>
        <v>2024-2025</v>
      </c>
      <c r="F59" s="1" t="str">
        <f>IFERROR(__xludf.DUMMYFUNCTION("""COMPUTED_VALUE"""),"DSH")</f>
        <v>DSH</v>
      </c>
      <c r="G59" s="1" t="str">
        <f>IFERROR(__xludf.DUMMYFUNCTION("""COMPUTED_VALUE"""),"88 128")</f>
        <v>88 128</v>
      </c>
      <c r="H59" s="1" t="str">
        <f>IFERROR(__xludf.DUMMYFUNCTION("""COMPUTED_VALUE"""),"-10,70%")</f>
        <v>-10,70%</v>
      </c>
    </row>
    <row r="60">
      <c r="A60" s="1">
        <f>IFERROR(__xludf.DUMMYFUNCTION("""COMPUTED_VALUE"""),168.0)</f>
        <v>168</v>
      </c>
      <c r="B60" s="1"/>
      <c r="C60" s="1" t="str">
        <f>IFERROR(__xludf.DUMMYFUNCTION("""COMPUTED_VALUE"""),"Golf Magazine")</f>
        <v>Golf Magazine</v>
      </c>
      <c r="D60" s="1" t="str">
        <f>IFERROR(__xludf.DUMMYFUNCTION("""COMPUTED_VALUE"""),"Mensuel")</f>
        <v>Mensuel</v>
      </c>
      <c r="E60" s="1" t="str">
        <f>IFERROR(__xludf.DUMMYFUNCTION("""COMPUTED_VALUE"""),"2024-2025")</f>
        <v>2024-2025</v>
      </c>
      <c r="F60" s="1" t="str">
        <f>IFERROR(__xludf.DUMMYFUNCTION("""COMPUTED_VALUE"""),"DSH")</f>
        <v>DSH</v>
      </c>
      <c r="G60" s="1" t="str">
        <f>IFERROR(__xludf.DUMMYFUNCTION("""COMPUTED_VALUE"""),"20 336")</f>
        <v>20 336</v>
      </c>
      <c r="H60" s="1" t="str">
        <f>IFERROR(__xludf.DUMMYFUNCTION("""COMPUTED_VALUE"""),"-5,49%")</f>
        <v>-5,49%</v>
      </c>
    </row>
    <row r="61">
      <c r="A61" s="1">
        <f>IFERROR(__xludf.DUMMYFUNCTION("""COMPUTED_VALUE"""),109.0)</f>
        <v>109</v>
      </c>
      <c r="B61" s="1"/>
      <c r="C61" s="1" t="str">
        <f>IFERROR(__xludf.DUMMYFUNCTION("""COMPUTED_VALUE"""),"Gourmand")</f>
        <v>Gourmand</v>
      </c>
      <c r="D61" s="1" t="str">
        <f>IFERROR(__xludf.DUMMYFUNCTION("""COMPUTED_VALUE"""),"Mensuel")</f>
        <v>Mensuel</v>
      </c>
      <c r="E61" s="1" t="str">
        <f>IFERROR(__xludf.DUMMYFUNCTION("""COMPUTED_VALUE"""),"2024-2025")</f>
        <v>2024-2025</v>
      </c>
      <c r="F61" s="1" t="str">
        <f>IFERROR(__xludf.DUMMYFUNCTION("""COMPUTED_VALUE"""),"DSH")</f>
        <v>DSH</v>
      </c>
      <c r="G61" s="1" t="str">
        <f>IFERROR(__xludf.DUMMYFUNCTION("""COMPUTED_VALUE"""),"52 018")</f>
        <v>52 018</v>
      </c>
      <c r="H61" s="1" t="str">
        <f>IFERROR(__xludf.DUMMYFUNCTION("""COMPUTED_VALUE"""),"-7,94%")</f>
        <v>-7,94%</v>
      </c>
    </row>
    <row r="62">
      <c r="A62" s="1">
        <f>IFERROR(__xludf.DUMMYFUNCTION("""COMPUTED_VALUE"""),111.0)</f>
        <v>111</v>
      </c>
      <c r="B62" s="1"/>
      <c r="C62" s="1" t="str">
        <f>IFERROR(__xludf.DUMMYFUNCTION("""COMPUTED_VALUE"""),"Harper's Bazaar")</f>
        <v>Harper's Bazaar</v>
      </c>
      <c r="D62" s="1" t="str">
        <f>IFERROR(__xludf.DUMMYFUNCTION("""COMPUTED_VALUE"""),"Mensuel")</f>
        <v>Mensuel</v>
      </c>
      <c r="E62" s="1" t="str">
        <f>IFERROR(__xludf.DUMMYFUNCTION("""COMPUTED_VALUE"""),"2024-2025")</f>
        <v>2024-2025</v>
      </c>
      <c r="F62" s="1" t="str">
        <f>IFERROR(__xludf.DUMMYFUNCTION("""COMPUTED_VALUE"""),"DSH")</f>
        <v>DSH</v>
      </c>
      <c r="G62" s="1" t="str">
        <f>IFERROR(__xludf.DUMMYFUNCTION("""COMPUTED_VALUE"""),"50 540")</f>
        <v>50 540</v>
      </c>
      <c r="H62" s="1" t="str">
        <f>IFERROR(__xludf.DUMMYFUNCTION("""COMPUTED_VALUE"""),"-35,63%")</f>
        <v>-35,63%</v>
      </c>
    </row>
    <row r="63">
      <c r="A63" s="1">
        <f>IFERROR(__xludf.DUMMYFUNCTION("""COMPUTED_VALUE"""),121.0)</f>
        <v>121</v>
      </c>
      <c r="B63" s="1"/>
      <c r="C63" s="1" t="str">
        <f>IFERROR(__xludf.DUMMYFUNCTION("""COMPUTED_VALUE"""),"L'Histoire")</f>
        <v>L'Histoire</v>
      </c>
      <c r="D63" s="1" t="str">
        <f>IFERROR(__xludf.DUMMYFUNCTION("""COMPUTED_VALUE"""),"Mensuel")</f>
        <v>Mensuel</v>
      </c>
      <c r="E63" s="1" t="str">
        <f>IFERROR(__xludf.DUMMYFUNCTION("""COMPUTED_VALUE"""),"2024-2025")</f>
        <v>2024-2025</v>
      </c>
      <c r="F63" s="1" t="str">
        <f>IFERROR(__xludf.DUMMYFUNCTION("""COMPUTED_VALUE"""),"DSH")</f>
        <v>DSH</v>
      </c>
      <c r="G63" s="1" t="str">
        <f>IFERROR(__xludf.DUMMYFUNCTION("""COMPUTED_VALUE"""),"46 768")</f>
        <v>46 768</v>
      </c>
      <c r="H63" s="1" t="str">
        <f>IFERROR(__xludf.DUMMYFUNCTION("""COMPUTED_VALUE"""),"-4,21%")</f>
        <v>-4,21%</v>
      </c>
    </row>
    <row r="64">
      <c r="A64" s="1">
        <f>IFERROR(__xludf.DUMMYFUNCTION("""COMPUTED_VALUE"""),112.0)</f>
        <v>112</v>
      </c>
      <c r="B64" s="1"/>
      <c r="C64" s="1" t="str">
        <f>IFERROR(__xludf.DUMMYFUNCTION("""COMPUTED_VALUE"""),"Historia")</f>
        <v>Historia</v>
      </c>
      <c r="D64" s="1" t="str">
        <f>IFERROR(__xludf.DUMMYFUNCTION("""COMPUTED_VALUE"""),"Mensuel")</f>
        <v>Mensuel</v>
      </c>
      <c r="E64" s="1" t="str">
        <f>IFERROR(__xludf.DUMMYFUNCTION("""COMPUTED_VALUE"""),"2024-2025")</f>
        <v>2024-2025</v>
      </c>
      <c r="F64" s="1" t="str">
        <f>IFERROR(__xludf.DUMMYFUNCTION("""COMPUTED_VALUE"""),"DSH")</f>
        <v>DSH</v>
      </c>
      <c r="G64" s="1" t="str">
        <f>IFERROR(__xludf.DUMMYFUNCTION("""COMPUTED_VALUE"""),"50 423")</f>
        <v>50 423</v>
      </c>
      <c r="H64" s="1" t="str">
        <f>IFERROR(__xludf.DUMMYFUNCTION("""COMPUTED_VALUE"""),"2,18%")</f>
        <v>2,18%</v>
      </c>
    </row>
    <row r="65">
      <c r="A65" s="1">
        <f>IFERROR(__xludf.DUMMYFUNCTION("""COMPUTED_VALUE"""),50.0)</f>
        <v>50</v>
      </c>
      <c r="B65" s="1"/>
      <c r="C65" s="1" t="str">
        <f>IFERROR(__xludf.DUMMYFUNCTION("""COMPUTED_VALUE"""),"Ici Paris")</f>
        <v>Ici Paris</v>
      </c>
      <c r="D65" s="1" t="str">
        <f>IFERROR(__xludf.DUMMYFUNCTION("""COMPUTED_VALUE"""),"Hebdomadaire")</f>
        <v>Hebdomadaire</v>
      </c>
      <c r="E65" s="1" t="str">
        <f>IFERROR(__xludf.DUMMYFUNCTION("""COMPUTED_VALUE"""),"2024-2025")</f>
        <v>2024-2025</v>
      </c>
      <c r="F65" s="1" t="str">
        <f>IFERROR(__xludf.DUMMYFUNCTION("""COMPUTED_VALUE"""),"DSH")</f>
        <v>DSH</v>
      </c>
      <c r="G65" s="1" t="str">
        <f>IFERROR(__xludf.DUMMYFUNCTION("""COMPUTED_VALUE"""),"141 738")</f>
        <v>141 738</v>
      </c>
      <c r="H65" s="1" t="str">
        <f>IFERROR(__xludf.DUMMYFUNCTION("""COMPUTED_VALUE"""),"-12,88%")</f>
        <v>-12,88%</v>
      </c>
    </row>
    <row r="66">
      <c r="A66" s="1">
        <f>IFERROR(__xludf.DUMMYFUNCTION("""COMPUTED_VALUE"""),152.0)</f>
        <v>152</v>
      </c>
      <c r="B66" s="1"/>
      <c r="C66" s="1" t="str">
        <f>IFERROR(__xludf.DUMMYFUNCTION("""COMPUTED_VALUE"""),"Idéat")</f>
        <v>Idéat</v>
      </c>
      <c r="D66" s="1" t="str">
        <f>IFERROR(__xludf.DUMMYFUNCTION("""COMPUTED_VALUE"""),"Bimestriel")</f>
        <v>Bimestriel</v>
      </c>
      <c r="E66" s="1" t="str">
        <f>IFERROR(__xludf.DUMMYFUNCTION("""COMPUTED_VALUE"""),"2024-2025")</f>
        <v>2024-2025</v>
      </c>
      <c r="F66" s="1" t="str">
        <f>IFERROR(__xludf.DUMMYFUNCTION("""COMPUTED_VALUE"""),"DSH")</f>
        <v>DSH</v>
      </c>
      <c r="G66" s="1" t="str">
        <f>IFERROR(__xludf.DUMMYFUNCTION("""COMPUTED_VALUE"""),"27 839")</f>
        <v>27 839</v>
      </c>
      <c r="H66" s="1" t="str">
        <f>IFERROR(__xludf.DUMMYFUNCTION("""COMPUTED_VALUE"""),"-14,54%")</f>
        <v>-14,54%</v>
      </c>
    </row>
    <row r="67">
      <c r="A67" s="1">
        <f>IFERROR(__xludf.DUMMYFUNCTION("""COMPUTED_VALUE"""),130.0)</f>
        <v>130</v>
      </c>
      <c r="B67" s="1"/>
      <c r="C67" s="1" t="str">
        <f>IFERROR(__xludf.DUMMYFUNCTION("""COMPUTED_VALUE"""),"Images Doc")</f>
        <v>Images Doc</v>
      </c>
      <c r="D67" s="1" t="str">
        <f>IFERROR(__xludf.DUMMYFUNCTION("""COMPUTED_VALUE"""),"Mensuel")</f>
        <v>Mensuel</v>
      </c>
      <c r="E67" s="1" t="str">
        <f>IFERROR(__xludf.DUMMYFUNCTION("""COMPUTED_VALUE"""),"2024-2025")</f>
        <v>2024-2025</v>
      </c>
      <c r="F67" s="1" t="str">
        <f>IFERROR(__xludf.DUMMYFUNCTION("""COMPUTED_VALUE"""),"DSH")</f>
        <v>DSH</v>
      </c>
      <c r="G67" s="1" t="str">
        <f>IFERROR(__xludf.DUMMYFUNCTION("""COMPUTED_VALUE"""),"41 839")</f>
        <v>41 839</v>
      </c>
      <c r="H67" s="1" t="str">
        <f>IFERROR(__xludf.DUMMYFUNCTION("""COMPUTED_VALUE"""),"-9,46%")</f>
        <v>-9,46%</v>
      </c>
    </row>
    <row r="68">
      <c r="A68" s="1">
        <f>IFERROR(__xludf.DUMMYFUNCTION("""COMPUTED_VALUE"""),165.0)</f>
        <v>165</v>
      </c>
      <c r="B68" s="1"/>
      <c r="C68" s="1" t="str">
        <f>IFERROR(__xludf.DUMMYFUNCTION("""COMPUTED_VALUE"""),"Les Inrockuptibles")</f>
        <v>Les Inrockuptibles</v>
      </c>
      <c r="D68" s="1" t="str">
        <f>IFERROR(__xludf.DUMMYFUNCTION("""COMPUTED_VALUE"""),"Mensuel")</f>
        <v>Mensuel</v>
      </c>
      <c r="E68" s="1" t="str">
        <f>IFERROR(__xludf.DUMMYFUNCTION("""COMPUTED_VALUE"""),"2024-2025")</f>
        <v>2024-2025</v>
      </c>
      <c r="F68" s="1" t="str">
        <f>IFERROR(__xludf.DUMMYFUNCTION("""COMPUTED_VALUE"""),"DSH")</f>
        <v>DSH</v>
      </c>
      <c r="G68" s="1" t="str">
        <f>IFERROR(__xludf.DUMMYFUNCTION("""COMPUTED_VALUE"""),"22 919")</f>
        <v>22 919</v>
      </c>
      <c r="H68" s="1" t="str">
        <f>IFERROR(__xludf.DUMMYFUNCTION("""COMPUTED_VALUE"""),"-19,87%")</f>
        <v>-19,87%</v>
      </c>
    </row>
    <row r="69">
      <c r="A69" s="1">
        <f>IFERROR(__xludf.DUMMYFUNCTION("""COMPUTED_VALUE"""),96.0)</f>
        <v>96</v>
      </c>
      <c r="B69" s="1"/>
      <c r="C69" s="1" t="str">
        <f>IFERROR(__xludf.DUMMYFUNCTION("""COMPUTED_VALUE"""),"Investir, Le journal des finances")</f>
        <v>Investir, Le journal des finances</v>
      </c>
      <c r="D69" s="1" t="str">
        <f>IFERROR(__xludf.DUMMYFUNCTION("""COMPUTED_VALUE"""),"Hebdomadaire")</f>
        <v>Hebdomadaire</v>
      </c>
      <c r="E69" s="1" t="str">
        <f>IFERROR(__xludf.DUMMYFUNCTION("""COMPUTED_VALUE"""),"2024-2025")</f>
        <v>2024-2025</v>
      </c>
      <c r="F69" s="1" t="str">
        <f>IFERROR(__xludf.DUMMYFUNCTION("""COMPUTED_VALUE"""),"DSH")</f>
        <v>DSH</v>
      </c>
      <c r="G69" s="1" t="str">
        <f>IFERROR(__xludf.DUMMYFUNCTION("""COMPUTED_VALUE"""),"65 527")</f>
        <v>65 527</v>
      </c>
      <c r="H69" s="1" t="str">
        <f>IFERROR(__xludf.DUMMYFUNCTION("""COMPUTED_VALUE"""),"0,81%")</f>
        <v>0,81%</v>
      </c>
    </row>
    <row r="70">
      <c r="A70" s="1">
        <f>IFERROR(__xludf.DUMMYFUNCTION("""COMPUTED_VALUE"""),55.0)</f>
        <v>55</v>
      </c>
      <c r="B70" s="1"/>
      <c r="C70" s="1" t="str">
        <f>IFERROR(__xludf.DUMMYFUNCTION("""COMPUTED_VALUE"""),"J'Aime Lire")</f>
        <v>J'Aime Lire</v>
      </c>
      <c r="D70" s="1" t="str">
        <f>IFERROR(__xludf.DUMMYFUNCTION("""COMPUTED_VALUE"""),"Mensuel")</f>
        <v>Mensuel</v>
      </c>
      <c r="E70" s="1" t="str">
        <f>IFERROR(__xludf.DUMMYFUNCTION("""COMPUTED_VALUE"""),"2024-2025")</f>
        <v>2024-2025</v>
      </c>
      <c r="F70" s="1" t="str">
        <f>IFERROR(__xludf.DUMMYFUNCTION("""COMPUTED_VALUE"""),"DSH")</f>
        <v>DSH</v>
      </c>
      <c r="G70" s="1" t="str">
        <f>IFERROR(__xludf.DUMMYFUNCTION("""COMPUTED_VALUE"""),"129 673")</f>
        <v>129 673</v>
      </c>
      <c r="H70" s="1" t="str">
        <f>IFERROR(__xludf.DUMMYFUNCTION("""COMPUTED_VALUE"""),"-5,87%")</f>
        <v>-5,87%</v>
      </c>
    </row>
    <row r="71">
      <c r="A71" s="1">
        <f>IFERROR(__xludf.DUMMYFUNCTION("""COMPUTED_VALUE"""),150.0)</f>
        <v>150</v>
      </c>
      <c r="B71" s="1"/>
      <c r="C71" s="1" t="str">
        <f>IFERROR(__xludf.DUMMYFUNCTION("""COMPUTED_VALUE"""),"J'Apprends à Lire")</f>
        <v>J'Apprends à Lire</v>
      </c>
      <c r="D71" s="1" t="str">
        <f>IFERROR(__xludf.DUMMYFUNCTION("""COMPUTED_VALUE"""),"Mensuel")</f>
        <v>Mensuel</v>
      </c>
      <c r="E71" s="1" t="str">
        <f>IFERROR(__xludf.DUMMYFUNCTION("""COMPUTED_VALUE"""),"2024-2025")</f>
        <v>2024-2025</v>
      </c>
      <c r="F71" s="1" t="str">
        <f>IFERROR(__xludf.DUMMYFUNCTION("""COMPUTED_VALUE"""),"DSH")</f>
        <v>DSH</v>
      </c>
      <c r="G71" s="1" t="str">
        <f>IFERROR(__xludf.DUMMYFUNCTION("""COMPUTED_VALUE"""),"28 428")</f>
        <v>28 428</v>
      </c>
      <c r="H71" s="1" t="str">
        <f>IFERROR(__xludf.DUMMYFUNCTION("""COMPUTED_VALUE"""),"-5,72%")</f>
        <v>-5,72%</v>
      </c>
    </row>
    <row r="72">
      <c r="A72" s="1">
        <f>IFERROR(__xludf.DUMMYFUNCTION("""COMPUTED_VALUE"""),47.0)</f>
        <v>47</v>
      </c>
      <c r="B72" s="1"/>
      <c r="C72" s="1" t="str">
        <f>IFERROR(__xludf.DUMMYFUNCTION("""COMPUTED_VALUE"""),"JDNEWS")</f>
        <v>JDNEWS</v>
      </c>
      <c r="D72" s="1" t="str">
        <f>IFERROR(__xludf.DUMMYFUNCTION("""COMPUTED_VALUE"""),"Hebdomadaire")</f>
        <v>Hebdomadaire</v>
      </c>
      <c r="E72" s="1" t="str">
        <f>IFERROR(__xludf.DUMMYFUNCTION("""COMPUTED_VALUE"""),"2024-2025")</f>
        <v>2024-2025</v>
      </c>
      <c r="F72" s="1" t="str">
        <f>IFERROR(__xludf.DUMMYFUNCTION("""COMPUTED_VALUE"""),"DSH")</f>
        <v>DSH</v>
      </c>
      <c r="G72" s="1" t="str">
        <f>IFERROR(__xludf.DUMMYFUNCTION("""COMPUTED_VALUE"""),"147 091")</f>
        <v>147 091</v>
      </c>
      <c r="H72" s="1" t="str">
        <f>IFERROR(__xludf.DUMMYFUNCTION("""COMPUTED_VALUE"""),"NA")</f>
        <v>NA</v>
      </c>
    </row>
    <row r="73">
      <c r="A73" s="1">
        <f>IFERROR(__xludf.DUMMYFUNCTION("""COMPUTED_VALUE"""),103.0)</f>
        <v>103</v>
      </c>
      <c r="B73" s="1"/>
      <c r="C73" s="1" t="str">
        <f>IFERROR(__xludf.DUMMYFUNCTION("""COMPUTED_VALUE"""),"Le Journal de la Maison")</f>
        <v>Le Journal de la Maison</v>
      </c>
      <c r="D73" s="1" t="str">
        <f>IFERROR(__xludf.DUMMYFUNCTION("""COMPUTED_VALUE"""),"Mensuel")</f>
        <v>Mensuel</v>
      </c>
      <c r="E73" s="1" t="str">
        <f>IFERROR(__xludf.DUMMYFUNCTION("""COMPUTED_VALUE"""),"2024-2025")</f>
        <v>2024-2025</v>
      </c>
      <c r="F73" s="1" t="str">
        <f>IFERROR(__xludf.DUMMYFUNCTION("""COMPUTED_VALUE"""),"DSH")</f>
        <v>DSH</v>
      </c>
      <c r="G73" s="1" t="str">
        <f>IFERROR(__xludf.DUMMYFUNCTION("""COMPUTED_VALUE"""),"56 088")</f>
        <v>56 088</v>
      </c>
      <c r="H73" s="1" t="str">
        <f>IFERROR(__xludf.DUMMYFUNCTION("""COMPUTED_VALUE"""),"-5,49%")</f>
        <v>-5,49%</v>
      </c>
    </row>
    <row r="74">
      <c r="A74" s="1">
        <f>IFERROR(__xludf.DUMMYFUNCTION("""COMPUTED_VALUE"""),115.0)</f>
        <v>115</v>
      </c>
      <c r="B74" s="1"/>
      <c r="C74" s="1" t="str">
        <f>IFERROR(__xludf.DUMMYFUNCTION("""COMPUTED_VALUE"""),"Le Journal de Mickey")</f>
        <v>Le Journal de Mickey</v>
      </c>
      <c r="D74" s="1" t="str">
        <f>IFERROR(__xludf.DUMMYFUNCTION("""COMPUTED_VALUE"""),"Bimensuel")</f>
        <v>Bimensuel</v>
      </c>
      <c r="E74" s="1" t="str">
        <f>IFERROR(__xludf.DUMMYFUNCTION("""COMPUTED_VALUE"""),"2024-2025")</f>
        <v>2024-2025</v>
      </c>
      <c r="F74" s="1" t="str">
        <f>IFERROR(__xludf.DUMMYFUNCTION("""COMPUTED_VALUE"""),"DSH")</f>
        <v>DSH</v>
      </c>
      <c r="G74" s="1" t="str">
        <f>IFERROR(__xludf.DUMMYFUNCTION("""COMPUTED_VALUE"""),"49 775")</f>
        <v>49 775</v>
      </c>
      <c r="H74" s="1" t="str">
        <f>IFERROR(__xludf.DUMMYFUNCTION("""COMPUTED_VALUE"""),"-6,61%")</f>
        <v>-6,61%</v>
      </c>
    </row>
    <row r="75">
      <c r="A75" s="1">
        <f>IFERROR(__xludf.DUMMYFUNCTION("""COMPUTED_VALUE"""),154.0)</f>
        <v>154</v>
      </c>
      <c r="B75" s="1"/>
      <c r="C75" s="1" t="str">
        <f>IFERROR(__xludf.DUMMYFUNCTION("""COMPUTED_VALUE"""),"Julie")</f>
        <v>Julie</v>
      </c>
      <c r="D75" s="1" t="str">
        <f>IFERROR(__xludf.DUMMYFUNCTION("""COMPUTED_VALUE"""),"Mensuel")</f>
        <v>Mensuel</v>
      </c>
      <c r="E75" s="1" t="str">
        <f>IFERROR(__xludf.DUMMYFUNCTION("""COMPUTED_VALUE"""),"2024-2025")</f>
        <v>2024-2025</v>
      </c>
      <c r="F75" s="1" t="str">
        <f>IFERROR(__xludf.DUMMYFUNCTION("""COMPUTED_VALUE"""),"DSH")</f>
        <v>DSH</v>
      </c>
      <c r="G75" s="1" t="str">
        <f>IFERROR(__xludf.DUMMYFUNCTION("""COMPUTED_VALUE"""),"27 147")</f>
        <v>27 147</v>
      </c>
      <c r="H75" s="1" t="str">
        <f>IFERROR(__xludf.DUMMYFUNCTION("""COMPUTED_VALUE"""),"-5,89%")</f>
        <v>-5,89%</v>
      </c>
    </row>
    <row r="76">
      <c r="A76" s="1">
        <f>IFERROR(__xludf.DUMMYFUNCTION("""COMPUTED_VALUE"""),149.0)</f>
        <v>149</v>
      </c>
      <c r="B76" s="1"/>
      <c r="C76" s="1" t="str">
        <f>IFERROR(__xludf.DUMMYFUNCTION("""COMPUTED_VALUE"""),"Lire Magazine")</f>
        <v>Lire Magazine</v>
      </c>
      <c r="D76" s="1" t="str">
        <f>IFERROR(__xludf.DUMMYFUNCTION("""COMPUTED_VALUE"""),"Mensuel")</f>
        <v>Mensuel</v>
      </c>
      <c r="E76" s="1" t="str">
        <f>IFERROR(__xludf.DUMMYFUNCTION("""COMPUTED_VALUE"""),"2024-2025")</f>
        <v>2024-2025</v>
      </c>
      <c r="F76" s="1" t="str">
        <f>IFERROR(__xludf.DUMMYFUNCTION("""COMPUTED_VALUE"""),"DSH")</f>
        <v>DSH</v>
      </c>
      <c r="G76" s="1" t="str">
        <f>IFERROR(__xludf.DUMMYFUNCTION("""COMPUTED_VALUE"""),"28 553")</f>
        <v>28 553</v>
      </c>
      <c r="H76" s="1" t="str">
        <f>IFERROR(__xludf.DUMMYFUNCTION("""COMPUTED_VALUE"""),"-4,77%")</f>
        <v>-4,77%</v>
      </c>
    </row>
    <row r="77">
      <c r="A77" s="1">
        <f>IFERROR(__xludf.DUMMYFUNCTION("""COMPUTED_VALUE"""),7.0)</f>
        <v>7</v>
      </c>
      <c r="B77" s="1"/>
      <c r="C77" s="1" t="str">
        <f>IFERROR(__xludf.DUMMYFUNCTION("""COMPUTED_VALUE"""),"M Le Magazine du Monde")</f>
        <v>M Le Magazine du Monde</v>
      </c>
      <c r="D77" s="1" t="str">
        <f>IFERROR(__xludf.DUMMYFUNCTION("""COMPUTED_VALUE"""),"Hebdomadaire")</f>
        <v>Hebdomadaire</v>
      </c>
      <c r="E77" s="1" t="str">
        <f>IFERROR(__xludf.DUMMYFUNCTION("""COMPUTED_VALUE"""),"2024-2025")</f>
        <v>2024-2025</v>
      </c>
      <c r="F77" s="1" t="str">
        <f>IFERROR(__xludf.DUMMYFUNCTION("""COMPUTED_VALUE"""),"PV")</f>
        <v>PV</v>
      </c>
      <c r="G77" s="1" t="str">
        <f>IFERROR(__xludf.DUMMYFUNCTION("""COMPUTED_VALUE"""),"555 583")</f>
        <v>555 583</v>
      </c>
      <c r="H77" s="1" t="str">
        <f>IFERROR(__xludf.DUMMYFUNCTION("""COMPUTED_VALUE"""),"9,48%")</f>
        <v>9,48%</v>
      </c>
    </row>
    <row r="78">
      <c r="A78" s="1">
        <f>IFERROR(__xludf.DUMMYFUNCTION("""COMPUTED_VALUE"""),17.0)</f>
        <v>17</v>
      </c>
      <c r="B78" s="1"/>
      <c r="C78" s="1" t="str">
        <f>IFERROR(__xludf.DUMMYFUNCTION("""COMPUTED_VALUE"""),"Madame Figaro")</f>
        <v>Madame Figaro</v>
      </c>
      <c r="D78" s="1" t="str">
        <f>IFERROR(__xludf.DUMMYFUNCTION("""COMPUTED_VALUE"""),"Hebdomadaire")</f>
        <v>Hebdomadaire</v>
      </c>
      <c r="E78" s="1" t="str">
        <f>IFERROR(__xludf.DUMMYFUNCTION("""COMPUTED_VALUE"""),"2024-2025")</f>
        <v>2024-2025</v>
      </c>
      <c r="F78" s="1" t="str">
        <f>IFERROR(__xludf.DUMMYFUNCTION("""COMPUTED_VALUE"""),"DSH")</f>
        <v>DSH</v>
      </c>
      <c r="G78" s="1" t="str">
        <f>IFERROR(__xludf.DUMMYFUNCTION("""COMPUTED_VALUE"""),"392 671")</f>
        <v>392 671</v>
      </c>
      <c r="H78" s="1" t="str">
        <f>IFERROR(__xludf.DUMMYFUNCTION("""COMPUTED_VALUE"""),"1,26%")</f>
        <v>1,26%</v>
      </c>
    </row>
    <row r="79">
      <c r="A79" s="1">
        <f>IFERROR(__xludf.DUMMYFUNCTION("""COMPUTED_VALUE"""),34.0)</f>
        <v>34</v>
      </c>
      <c r="B79" s="1"/>
      <c r="C79" s="1" t="str">
        <f>IFERROR(__xludf.DUMMYFUNCTION("""COMPUTED_VALUE"""),"Maison Créative")</f>
        <v>Maison Créative</v>
      </c>
      <c r="D79" s="1" t="str">
        <f>IFERROR(__xludf.DUMMYFUNCTION("""COMPUTED_VALUE"""),"Bimestriel")</f>
        <v>Bimestriel</v>
      </c>
      <c r="E79" s="1" t="str">
        <f>IFERROR(__xludf.DUMMYFUNCTION("""COMPUTED_VALUE"""),"2024-2025")</f>
        <v>2024-2025</v>
      </c>
      <c r="F79" s="1" t="str">
        <f>IFERROR(__xludf.DUMMYFUNCTION("""COMPUTED_VALUE"""),"DSH")</f>
        <v>DSH</v>
      </c>
      <c r="G79" s="1" t="str">
        <f>IFERROR(__xludf.DUMMYFUNCTION("""COMPUTED_VALUE"""),"194 710")</f>
        <v>194 710</v>
      </c>
      <c r="H79" s="1" t="str">
        <f>IFERROR(__xludf.DUMMYFUNCTION("""COMPUTED_VALUE"""),"-6,49%")</f>
        <v>-6,49%</v>
      </c>
    </row>
    <row r="80">
      <c r="A80" s="1">
        <f>IFERROR(__xludf.DUMMYFUNCTION("""COMPUTED_VALUE"""),123.0)</f>
        <v>123</v>
      </c>
      <c r="B80" s="1"/>
      <c r="C80" s="1" t="str">
        <f>IFERROR(__xludf.DUMMYFUNCTION("""COMPUTED_VALUE"""),"Maison &amp; Travaux")</f>
        <v>Maison &amp; Travaux</v>
      </c>
      <c r="D80" s="1" t="str">
        <f>IFERROR(__xludf.DUMMYFUNCTION("""COMPUTED_VALUE"""),"Mensuel")</f>
        <v>Mensuel</v>
      </c>
      <c r="E80" s="1" t="str">
        <f>IFERROR(__xludf.DUMMYFUNCTION("""COMPUTED_VALUE"""),"2024-2025")</f>
        <v>2024-2025</v>
      </c>
      <c r="F80" s="1" t="str">
        <f>IFERROR(__xludf.DUMMYFUNCTION("""COMPUTED_VALUE"""),"DSH")</f>
        <v>DSH</v>
      </c>
      <c r="G80" s="1" t="str">
        <f>IFERROR(__xludf.DUMMYFUNCTION("""COMPUTED_VALUE"""),"45 970")</f>
        <v>45 970</v>
      </c>
      <c r="H80" s="1" t="str">
        <f>IFERROR(__xludf.DUMMYFUNCTION("""COMPUTED_VALUE"""),"-5,42%")</f>
        <v>-5,42%</v>
      </c>
    </row>
    <row r="81">
      <c r="A81" s="1">
        <f>IFERROR(__xludf.DUMMYFUNCTION("""COMPUTED_VALUE"""),174.0)</f>
        <v>174</v>
      </c>
      <c r="B81" s="1"/>
      <c r="C81" s="1" t="str">
        <f>IFERROR(__xludf.DUMMYFUNCTION("""COMPUTED_VALUE"""),"Maisons Côté Est")</f>
        <v>Maisons Côté Est</v>
      </c>
      <c r="D81" s="1" t="str">
        <f>IFERROR(__xludf.DUMMYFUNCTION("""COMPUTED_VALUE"""),"Semestriel")</f>
        <v>Semestriel</v>
      </c>
      <c r="E81" s="1" t="str">
        <f>IFERROR(__xludf.DUMMYFUNCTION("""COMPUTED_VALUE"""),"2024-2025")</f>
        <v>2024-2025</v>
      </c>
      <c r="F81" s="1" t="str">
        <f>IFERROR(__xludf.DUMMYFUNCTION("""COMPUTED_VALUE"""),"DSH")</f>
        <v>DSH</v>
      </c>
      <c r="G81" s="1" t="str">
        <f>IFERROR(__xludf.DUMMYFUNCTION("""COMPUTED_VALUE"""),"18 969")</f>
        <v>18 969</v>
      </c>
      <c r="H81" s="1" t="str">
        <f>IFERROR(__xludf.DUMMYFUNCTION("""COMPUTED_VALUE"""),"0,55%")</f>
        <v>0,55%</v>
      </c>
    </row>
    <row r="82">
      <c r="A82" s="1">
        <f>IFERROR(__xludf.DUMMYFUNCTION("""COMPUTED_VALUE"""),106.0)</f>
        <v>106</v>
      </c>
      <c r="B82" s="1"/>
      <c r="C82" s="1" t="str">
        <f>IFERROR(__xludf.DUMMYFUNCTION("""COMPUTED_VALUE"""),"Maisons Côté Ouest")</f>
        <v>Maisons Côté Ouest</v>
      </c>
      <c r="D82" s="1" t="str">
        <f>IFERROR(__xludf.DUMMYFUNCTION("""COMPUTED_VALUE"""),"Bimestriel")</f>
        <v>Bimestriel</v>
      </c>
      <c r="E82" s="1" t="str">
        <f>IFERROR(__xludf.DUMMYFUNCTION("""COMPUTED_VALUE"""),"2024-2025")</f>
        <v>2024-2025</v>
      </c>
      <c r="F82" s="1" t="str">
        <f>IFERROR(__xludf.DUMMYFUNCTION("""COMPUTED_VALUE"""),"DSH")</f>
        <v>DSH</v>
      </c>
      <c r="G82" s="1" t="str">
        <f>IFERROR(__xludf.DUMMYFUNCTION("""COMPUTED_VALUE"""),"53 348")</f>
        <v>53 348</v>
      </c>
      <c r="H82" s="1" t="str">
        <f>IFERROR(__xludf.DUMMYFUNCTION("""COMPUTED_VALUE"""),"1,72%")</f>
        <v>1,72%</v>
      </c>
    </row>
    <row r="83">
      <c r="A83" s="1">
        <f>IFERROR(__xludf.DUMMYFUNCTION("""COMPUTED_VALUE"""),105.0)</f>
        <v>105</v>
      </c>
      <c r="B83" s="1"/>
      <c r="C83" s="1" t="str">
        <f>IFERROR(__xludf.DUMMYFUNCTION("""COMPUTED_VALUE"""),"Maisons Côté Sud")</f>
        <v>Maisons Côté Sud</v>
      </c>
      <c r="D83" s="1" t="str">
        <f>IFERROR(__xludf.DUMMYFUNCTION("""COMPUTED_VALUE"""),"Bimestriel")</f>
        <v>Bimestriel</v>
      </c>
      <c r="E83" s="1" t="str">
        <f>IFERROR(__xludf.DUMMYFUNCTION("""COMPUTED_VALUE"""),"2024-2025")</f>
        <v>2024-2025</v>
      </c>
      <c r="F83" s="1" t="str">
        <f>IFERROR(__xludf.DUMMYFUNCTION("""COMPUTED_VALUE"""),"DSH")</f>
        <v>DSH</v>
      </c>
      <c r="G83" s="1" t="str">
        <f>IFERROR(__xludf.DUMMYFUNCTION("""COMPUTED_VALUE"""),"54 236")</f>
        <v>54 236</v>
      </c>
      <c r="H83" s="1" t="str">
        <f>IFERROR(__xludf.DUMMYFUNCTION("""COMPUTED_VALUE"""),"-1,44%")</f>
        <v>-1,44%</v>
      </c>
    </row>
    <row r="84">
      <c r="A84" s="1">
        <f>IFERROR(__xludf.DUMMYFUNCTION("""COMPUTED_VALUE"""),162.0)</f>
        <v>162</v>
      </c>
      <c r="B84" s="1"/>
      <c r="C84" s="1" t="str">
        <f>IFERROR(__xludf.DUMMYFUNCTION("""COMPUTED_VALUE"""),"Manière de Voir")</f>
        <v>Manière de Voir</v>
      </c>
      <c r="D84" s="1" t="str">
        <f>IFERROR(__xludf.DUMMYFUNCTION("""COMPUTED_VALUE"""),"Bimestriel")</f>
        <v>Bimestriel</v>
      </c>
      <c r="E84" s="1" t="str">
        <f>IFERROR(__xludf.DUMMYFUNCTION("""COMPUTED_VALUE"""),"2024-2025")</f>
        <v>2024-2025</v>
      </c>
      <c r="F84" s="1" t="str">
        <f>IFERROR(__xludf.DUMMYFUNCTION("""COMPUTED_VALUE"""),"DSH")</f>
        <v>DSH</v>
      </c>
      <c r="G84" s="1" t="str">
        <f>IFERROR(__xludf.DUMMYFUNCTION("""COMPUTED_VALUE"""),"23 454")</f>
        <v>23 454</v>
      </c>
      <c r="H84" s="1" t="str">
        <f>IFERROR(__xludf.DUMMYFUNCTION("""COMPUTED_VALUE"""),"3,24%")</f>
        <v>3,24%</v>
      </c>
    </row>
    <row r="85">
      <c r="A85" s="1">
        <f>IFERROR(__xludf.DUMMYFUNCTION("""COMPUTED_VALUE"""),181.0)</f>
        <v>181</v>
      </c>
      <c r="B85" s="1"/>
      <c r="C85" s="1" t="str">
        <f>IFERROR(__xludf.DUMMYFUNCTION("""COMPUTED_VALUE"""),"Manon")</f>
        <v>Manon</v>
      </c>
      <c r="D85" s="1" t="str">
        <f>IFERROR(__xludf.DUMMYFUNCTION("""COMPUTED_VALUE"""),"Mensuel")</f>
        <v>Mensuel</v>
      </c>
      <c r="E85" s="1" t="str">
        <f>IFERROR(__xludf.DUMMYFUNCTION("""COMPUTED_VALUE"""),"2024-2025")</f>
        <v>2024-2025</v>
      </c>
      <c r="F85" s="1" t="str">
        <f>IFERROR(__xludf.DUMMYFUNCTION("""COMPUTED_VALUE"""),"DSH")</f>
        <v>DSH</v>
      </c>
      <c r="G85" s="1" t="str">
        <f>IFERROR(__xludf.DUMMYFUNCTION("""COMPUTED_VALUE"""),"12 990")</f>
        <v>12 990</v>
      </c>
      <c r="H85" s="1" t="str">
        <f>IFERROR(__xludf.DUMMYFUNCTION("""COMPUTED_VALUE"""),"-10,48%")</f>
        <v>-10,48%</v>
      </c>
    </row>
    <row r="86">
      <c r="A86" s="1">
        <f>IFERROR(__xludf.DUMMYFUNCTION("""COMPUTED_VALUE"""),63.0)</f>
        <v>63</v>
      </c>
      <c r="B86" s="1"/>
      <c r="C86" s="1" t="str">
        <f>IFERROR(__xludf.DUMMYFUNCTION("""COMPUTED_VALUE"""),"Marianne")</f>
        <v>Marianne</v>
      </c>
      <c r="D86" s="1" t="str">
        <f>IFERROR(__xludf.DUMMYFUNCTION("""COMPUTED_VALUE"""),"Hebdomadaire")</f>
        <v>Hebdomadaire</v>
      </c>
      <c r="E86" s="1" t="str">
        <f>IFERROR(__xludf.DUMMYFUNCTION("""COMPUTED_VALUE"""),"2024-2025")</f>
        <v>2024-2025</v>
      </c>
      <c r="F86" s="1" t="str">
        <f>IFERROR(__xludf.DUMMYFUNCTION("""COMPUTED_VALUE"""),"DSH")</f>
        <v>DSH</v>
      </c>
      <c r="G86" s="1" t="str">
        <f>IFERROR(__xludf.DUMMYFUNCTION("""COMPUTED_VALUE"""),"116 914")</f>
        <v>116 914</v>
      </c>
      <c r="H86" s="1" t="str">
        <f>IFERROR(__xludf.DUMMYFUNCTION("""COMPUTED_VALUE"""),"-9,80%")</f>
        <v>-9,80%</v>
      </c>
    </row>
    <row r="87">
      <c r="A87" s="1">
        <f>IFERROR(__xludf.DUMMYFUNCTION("""COMPUTED_VALUE"""),22.0)</f>
        <v>22</v>
      </c>
      <c r="B87" s="1"/>
      <c r="C87" s="1" t="str">
        <f>IFERROR(__xludf.DUMMYFUNCTION("""COMPUTED_VALUE"""),"Marie Claire")</f>
        <v>Marie Claire</v>
      </c>
      <c r="D87" s="1" t="str">
        <f>IFERROR(__xludf.DUMMYFUNCTION("""COMPUTED_VALUE"""),"Mensuel")</f>
        <v>Mensuel</v>
      </c>
      <c r="E87" s="1" t="str">
        <f>IFERROR(__xludf.DUMMYFUNCTION("""COMPUTED_VALUE"""),"2024-2025")</f>
        <v>2024-2025</v>
      </c>
      <c r="F87" s="1" t="str">
        <f>IFERROR(__xludf.DUMMYFUNCTION("""COMPUTED_VALUE"""),"DSH")</f>
        <v>DSH</v>
      </c>
      <c r="G87" s="1" t="str">
        <f>IFERROR(__xludf.DUMMYFUNCTION("""COMPUTED_VALUE"""),"256 838")</f>
        <v>256 838</v>
      </c>
      <c r="H87" s="1" t="str">
        <f>IFERROR(__xludf.DUMMYFUNCTION("""COMPUTED_VALUE"""),"-5,35%")</f>
        <v>-5,35%</v>
      </c>
    </row>
    <row r="88">
      <c r="A88" s="1">
        <f>IFERROR(__xludf.DUMMYFUNCTION("""COMPUTED_VALUE"""),78.0)</f>
        <v>78</v>
      </c>
      <c r="B88" s="1"/>
      <c r="C88" s="1" t="str">
        <f>IFERROR(__xludf.DUMMYFUNCTION("""COMPUTED_VALUE"""),"Marie Claire Idées")</f>
        <v>Marie Claire Idées</v>
      </c>
      <c r="D88" s="1" t="str">
        <f>IFERROR(__xludf.DUMMYFUNCTION("""COMPUTED_VALUE"""),"Bimestriel")</f>
        <v>Bimestriel</v>
      </c>
      <c r="E88" s="1" t="str">
        <f>IFERROR(__xludf.DUMMYFUNCTION("""COMPUTED_VALUE"""),"2024-2025")</f>
        <v>2024-2025</v>
      </c>
      <c r="F88" s="1" t="str">
        <f>IFERROR(__xludf.DUMMYFUNCTION("""COMPUTED_VALUE"""),"DSH")</f>
        <v>DSH</v>
      </c>
      <c r="G88" s="1" t="str">
        <f>IFERROR(__xludf.DUMMYFUNCTION("""COMPUTED_VALUE"""),"85 223")</f>
        <v>85 223</v>
      </c>
      <c r="H88" s="1" t="str">
        <f>IFERROR(__xludf.DUMMYFUNCTION("""COMPUTED_VALUE"""),"-7,83%")</f>
        <v>-7,83%</v>
      </c>
    </row>
    <row r="89">
      <c r="A89" s="1">
        <f>IFERROR(__xludf.DUMMYFUNCTION("""COMPUTED_VALUE"""),85.0)</f>
        <v>85</v>
      </c>
      <c r="B89" s="1"/>
      <c r="C89" s="1" t="str">
        <f>IFERROR(__xludf.DUMMYFUNCTION("""COMPUTED_VALUE"""),"Marie Claire Maison")</f>
        <v>Marie Claire Maison</v>
      </c>
      <c r="D89" s="1" t="str">
        <f>IFERROR(__xludf.DUMMYFUNCTION("""COMPUTED_VALUE"""),"Mensuel")</f>
        <v>Mensuel</v>
      </c>
      <c r="E89" s="1" t="str">
        <f>IFERROR(__xludf.DUMMYFUNCTION("""COMPUTED_VALUE"""),"2024-2025")</f>
        <v>2024-2025</v>
      </c>
      <c r="F89" s="1" t="str">
        <f>IFERROR(__xludf.DUMMYFUNCTION("""COMPUTED_VALUE"""),"DSH")</f>
        <v>DSH</v>
      </c>
      <c r="G89" s="1" t="str">
        <f>IFERROR(__xludf.DUMMYFUNCTION("""COMPUTED_VALUE"""),"75 826")</f>
        <v>75 826</v>
      </c>
      <c r="H89" s="1" t="str">
        <f>IFERROR(__xludf.DUMMYFUNCTION("""COMPUTED_VALUE"""),"-3,53%")</f>
        <v>-3,53%</v>
      </c>
    </row>
    <row r="90">
      <c r="A90" s="1">
        <f>IFERROR(__xludf.DUMMYFUNCTION("""COMPUTED_VALUE"""),126.0)</f>
        <v>126</v>
      </c>
      <c r="B90" s="1"/>
      <c r="C90" s="1" t="str">
        <f>IFERROR(__xludf.DUMMYFUNCTION("""COMPUTED_VALUE"""),"Marie France")</f>
        <v>Marie France</v>
      </c>
      <c r="D90" s="1" t="str">
        <f>IFERROR(__xludf.DUMMYFUNCTION("""COMPUTED_VALUE"""),"Mensuel")</f>
        <v>Mensuel</v>
      </c>
      <c r="E90" s="1" t="str">
        <f>IFERROR(__xludf.DUMMYFUNCTION("""COMPUTED_VALUE"""),"2024-2025")</f>
        <v>2024-2025</v>
      </c>
      <c r="F90" s="1" t="str">
        <f>IFERROR(__xludf.DUMMYFUNCTION("""COMPUTED_VALUE"""),"DSH")</f>
        <v>DSH</v>
      </c>
      <c r="G90" s="1" t="str">
        <f>IFERROR(__xludf.DUMMYFUNCTION("""COMPUTED_VALUE"""),"44 212")</f>
        <v>44 212</v>
      </c>
      <c r="H90" s="1" t="str">
        <f>IFERROR(__xludf.DUMMYFUNCTION("""COMPUTED_VALUE"""),"-9,46%")</f>
        <v>-9,46%</v>
      </c>
    </row>
    <row r="91">
      <c r="A91" s="1">
        <f>IFERROR(__xludf.DUMMYFUNCTION("""COMPUTED_VALUE"""),76.0)</f>
        <v>76</v>
      </c>
      <c r="B91" s="1"/>
      <c r="C91" s="1" t="str">
        <f>IFERROR(__xludf.DUMMYFUNCTION("""COMPUTED_VALUE"""),"Marmiton")</f>
        <v>Marmiton</v>
      </c>
      <c r="D91" s="1" t="str">
        <f>IFERROR(__xludf.DUMMYFUNCTION("""COMPUTED_VALUE"""),"Bimestriel")</f>
        <v>Bimestriel</v>
      </c>
      <c r="E91" s="1" t="str">
        <f>IFERROR(__xludf.DUMMYFUNCTION("""COMPUTED_VALUE"""),"2024-2025")</f>
        <v>2024-2025</v>
      </c>
      <c r="F91" s="1" t="str">
        <f>IFERROR(__xludf.DUMMYFUNCTION("""COMPUTED_VALUE"""),"DSH")</f>
        <v>DSH</v>
      </c>
      <c r="G91" s="1" t="str">
        <f>IFERROR(__xludf.DUMMYFUNCTION("""COMPUTED_VALUE"""),"86 192")</f>
        <v>86 192</v>
      </c>
      <c r="H91" s="1" t="str">
        <f>IFERROR(__xludf.DUMMYFUNCTION("""COMPUTED_VALUE"""),"6,02%")</f>
        <v>6,02%</v>
      </c>
    </row>
    <row r="92">
      <c r="A92" s="1">
        <f>IFERROR(__xludf.DUMMYFUNCTION("""COMPUTED_VALUE"""),192.0)</f>
        <v>192</v>
      </c>
      <c r="B92" s="1"/>
      <c r="C92" s="1" t="str">
        <f>IFERROR(__xludf.DUMMYFUNCTION("""COMPUTED_VALUE"""),"Massif Central Magazine")</f>
        <v>Massif Central Magazine</v>
      </c>
      <c r="D92" s="1" t="str">
        <f>IFERROR(__xludf.DUMMYFUNCTION("""COMPUTED_VALUE"""),"Trimestriel")</f>
        <v>Trimestriel</v>
      </c>
      <c r="E92" s="1" t="str">
        <f>IFERROR(__xludf.DUMMYFUNCTION("""COMPUTED_VALUE"""),"2024-2025")</f>
        <v>2024-2025</v>
      </c>
      <c r="F92" s="1" t="str">
        <f>IFERROR(__xludf.DUMMYFUNCTION("""COMPUTED_VALUE"""),"DSH")</f>
        <v>DSH</v>
      </c>
      <c r="G92" s="1" t="str">
        <f>IFERROR(__xludf.DUMMYFUNCTION("""COMPUTED_VALUE"""),"3 887")</f>
        <v>3 887</v>
      </c>
      <c r="H92" s="1" t="str">
        <f>IFERROR(__xludf.DUMMYFUNCTION("""COMPUTED_VALUE"""),"-11,13%")</f>
        <v>-11,13%</v>
      </c>
    </row>
    <row r="93">
      <c r="A93" s="1">
        <f>IFERROR(__xludf.DUMMYFUNCTION("""COMPUTED_VALUE"""),23.0)</f>
        <v>23</v>
      </c>
      <c r="B93" s="1"/>
      <c r="C93" s="1" t="str">
        <f>IFERROR(__xludf.DUMMYFUNCTION("""COMPUTED_VALUE"""),"Maxi")</f>
        <v>Maxi</v>
      </c>
      <c r="D93" s="1" t="str">
        <f>IFERROR(__xludf.DUMMYFUNCTION("""COMPUTED_VALUE"""),"Hebdomadaire")</f>
        <v>Hebdomadaire</v>
      </c>
      <c r="E93" s="1" t="str">
        <f>IFERROR(__xludf.DUMMYFUNCTION("""COMPUTED_VALUE"""),"2024-2025")</f>
        <v>2024-2025</v>
      </c>
      <c r="F93" s="1" t="str">
        <f>IFERROR(__xludf.DUMMYFUNCTION("""COMPUTED_VALUE"""),"DSH")</f>
        <v>DSH</v>
      </c>
      <c r="G93" s="1" t="str">
        <f>IFERROR(__xludf.DUMMYFUNCTION("""COMPUTED_VALUE"""),"244 621")</f>
        <v>244 621</v>
      </c>
      <c r="H93" s="1" t="str">
        <f>IFERROR(__xludf.DUMMYFUNCTION("""COMPUTED_VALUE"""),"-3,30%")</f>
        <v>-3,30%</v>
      </c>
    </row>
    <row r="94">
      <c r="A94" s="1">
        <f>IFERROR(__xludf.DUMMYFUNCTION("""COMPUTED_VALUE"""),75.0)</f>
        <v>75</v>
      </c>
      <c r="B94" s="1"/>
      <c r="C94" s="1" t="str">
        <f>IFERROR(__xludf.DUMMYFUNCTION("""COMPUTED_VALUE"""),"Maxi Cuisine")</f>
        <v>Maxi Cuisine</v>
      </c>
      <c r="D94" s="1" t="str">
        <f>IFERROR(__xludf.DUMMYFUNCTION("""COMPUTED_VALUE"""),"Mensuel")</f>
        <v>Mensuel</v>
      </c>
      <c r="E94" s="1" t="str">
        <f>IFERROR(__xludf.DUMMYFUNCTION("""COMPUTED_VALUE"""),"2024-2025")</f>
        <v>2024-2025</v>
      </c>
      <c r="F94" s="1" t="str">
        <f>IFERROR(__xludf.DUMMYFUNCTION("""COMPUTED_VALUE"""),"DSH")</f>
        <v>DSH</v>
      </c>
      <c r="G94" s="1" t="str">
        <f>IFERROR(__xludf.DUMMYFUNCTION("""COMPUTED_VALUE"""),"86 316")</f>
        <v>86 316</v>
      </c>
      <c r="H94" s="1" t="str">
        <f>IFERROR(__xludf.DUMMYFUNCTION("""COMPUTED_VALUE"""),"-8,57%")</f>
        <v>-8,57%</v>
      </c>
    </row>
    <row r="95">
      <c r="A95" s="1">
        <f>IFERROR(__xludf.DUMMYFUNCTION("""COMPUTED_VALUE"""),3.0)</f>
        <v>3</v>
      </c>
      <c r="B95" s="1"/>
      <c r="C95" s="1" t="str">
        <f>IFERROR(__xludf.DUMMYFUNCTION("""COMPUTED_VALUE"""),"Merci pour l'Info")</f>
        <v>Merci pour l'Info</v>
      </c>
      <c r="D95" s="1" t="str">
        <f>IFERROR(__xludf.DUMMYFUNCTION("""COMPUTED_VALUE"""),"Mensuel")</f>
        <v>Mensuel</v>
      </c>
      <c r="E95" s="1" t="str">
        <f>IFERROR(__xludf.DUMMYFUNCTION("""COMPUTED_VALUE"""),"2024-2025")</f>
        <v>2024-2025</v>
      </c>
      <c r="F95" s="1" t="str">
        <f>IFERROR(__xludf.DUMMYFUNCTION("""COMPUTED_VALUE"""),"DSH")</f>
        <v>DSH</v>
      </c>
      <c r="G95" s="1" t="str">
        <f>IFERROR(__xludf.DUMMYFUNCTION("""COMPUTED_VALUE"""),"1 732 261")</f>
        <v>1 732 261</v>
      </c>
      <c r="H95" s="1" t="str">
        <f>IFERROR(__xludf.DUMMYFUNCTION("""COMPUTED_VALUE"""),"23,31%")</f>
        <v>23,31%</v>
      </c>
    </row>
    <row r="96">
      <c r="A96" s="1">
        <f>IFERROR(__xludf.DUMMYFUNCTION("""COMPUTED_VALUE"""),194.0)</f>
        <v>194</v>
      </c>
      <c r="B96" s="1"/>
      <c r="C96" s="1" t="str">
        <f>IFERROR(__xludf.DUMMYFUNCTION("""COMPUTED_VALUE"""),"Merci pour l'Info #Expert")</f>
        <v>Merci pour l'Info #Expert</v>
      </c>
      <c r="D96" s="1" t="str">
        <f>IFERROR(__xludf.DUMMYFUNCTION("""COMPUTED_VALUE"""),"Trimestriel")</f>
        <v>Trimestriel</v>
      </c>
      <c r="E96" s="1" t="str">
        <f>IFERROR(__xludf.DUMMYFUNCTION("""COMPUTED_VALUE"""),"2024-2025")</f>
        <v>2024-2025</v>
      </c>
      <c r="F96" s="1" t="str">
        <f>IFERROR(__xludf.DUMMYFUNCTION("""COMPUTED_VALUE"""),"DSH")</f>
        <v>DSH</v>
      </c>
      <c r="G96" s="1" t="str">
        <f>IFERROR(__xludf.DUMMYFUNCTION("""COMPUTED_VALUE"""),"2 230")</f>
        <v>2 230</v>
      </c>
      <c r="H96" s="1" t="str">
        <f>IFERROR(__xludf.DUMMYFUNCTION("""COMPUTED_VALUE"""),"-14,53%")</f>
        <v>-14,53%</v>
      </c>
    </row>
    <row r="97">
      <c r="A97" s="1">
        <f>IFERROR(__xludf.DUMMYFUNCTION("""COMPUTED_VALUE"""),141.0)</f>
        <v>141</v>
      </c>
      <c r="B97" s="1"/>
      <c r="C97" s="1" t="str">
        <f>IFERROR(__xludf.DUMMYFUNCTION("""COMPUTED_VALUE"""),"Mickey Junior")</f>
        <v>Mickey Junior</v>
      </c>
      <c r="D97" s="1" t="str">
        <f>IFERROR(__xludf.DUMMYFUNCTION("""COMPUTED_VALUE"""),"Mensuel")</f>
        <v>Mensuel</v>
      </c>
      <c r="E97" s="1" t="str">
        <f>IFERROR(__xludf.DUMMYFUNCTION("""COMPUTED_VALUE"""),"2024-2025")</f>
        <v>2024-2025</v>
      </c>
      <c r="F97" s="1" t="str">
        <f>IFERROR(__xludf.DUMMYFUNCTION("""COMPUTED_VALUE"""),"DSH")</f>
        <v>DSH</v>
      </c>
      <c r="G97" s="1" t="str">
        <f>IFERROR(__xludf.DUMMYFUNCTION("""COMPUTED_VALUE"""),"36 007")</f>
        <v>36 007</v>
      </c>
      <c r="H97" s="1" t="str">
        <f>IFERROR(__xludf.DUMMYFUNCTION("""COMPUTED_VALUE"""),"-15,65%")</f>
        <v>-15,65%</v>
      </c>
    </row>
    <row r="98">
      <c r="A98" s="1">
        <f>IFERROR(__xludf.DUMMYFUNCTION("""COMPUTED_VALUE"""),117.0)</f>
        <v>117</v>
      </c>
      <c r="B98" s="1"/>
      <c r="C98" s="1" t="str">
        <f>IFERROR(__xludf.DUMMYFUNCTION("""COMPUTED_VALUE"""),"Midi Olympique Lundi - Rouge")</f>
        <v>Midi Olympique Lundi - Rouge</v>
      </c>
      <c r="D98" s="1" t="str">
        <f>IFERROR(__xludf.DUMMYFUNCTION("""COMPUTED_VALUE"""),"Hebdomadaire")</f>
        <v>Hebdomadaire</v>
      </c>
      <c r="E98" s="1" t="str">
        <f>IFERROR(__xludf.DUMMYFUNCTION("""COMPUTED_VALUE"""),"2024-2025")</f>
        <v>2024-2025</v>
      </c>
      <c r="F98" s="1" t="str">
        <f>IFERROR(__xludf.DUMMYFUNCTION("""COMPUTED_VALUE"""),"DSH")</f>
        <v>DSH</v>
      </c>
      <c r="G98" s="1" t="str">
        <f>IFERROR(__xludf.DUMMYFUNCTION("""COMPUTED_VALUE"""),"48 516")</f>
        <v>48 516</v>
      </c>
      <c r="H98" s="1" t="str">
        <f>IFERROR(__xludf.DUMMYFUNCTION("""COMPUTED_VALUE"""),"9,68%")</f>
        <v>9,68%</v>
      </c>
    </row>
    <row r="99">
      <c r="A99" s="1">
        <f>IFERROR(__xludf.DUMMYFUNCTION("""COMPUTED_VALUE"""),140.0)</f>
        <v>140</v>
      </c>
      <c r="B99" s="1"/>
      <c r="C99" s="1" t="str">
        <f>IFERROR(__xludf.DUMMYFUNCTION("""COMPUTED_VALUE"""),"Midi Olympique Magazine")</f>
        <v>Midi Olympique Magazine</v>
      </c>
      <c r="D99" s="1" t="str">
        <f>IFERROR(__xludf.DUMMYFUNCTION("""COMPUTED_VALUE"""),"Mensuel")</f>
        <v>Mensuel</v>
      </c>
      <c r="E99" s="1" t="str">
        <f>IFERROR(__xludf.DUMMYFUNCTION("""COMPUTED_VALUE"""),"2024-2025")</f>
        <v>2024-2025</v>
      </c>
      <c r="F99" s="1" t="str">
        <f>IFERROR(__xludf.DUMMYFUNCTION("""COMPUTED_VALUE"""),"DSH")</f>
        <v>DSH</v>
      </c>
      <c r="G99" s="1" t="str">
        <f>IFERROR(__xludf.DUMMYFUNCTION("""COMPUTED_VALUE"""),"36 390")</f>
        <v>36 390</v>
      </c>
      <c r="H99" s="1" t="str">
        <f>IFERROR(__xludf.DUMMYFUNCTION("""COMPUTED_VALUE"""),"-6,09%")</f>
        <v>-6,09%</v>
      </c>
    </row>
    <row r="100">
      <c r="A100" s="1">
        <f>IFERROR(__xludf.DUMMYFUNCTION("""COMPUTED_VALUE"""),145.0)</f>
        <v>145</v>
      </c>
      <c r="B100" s="1"/>
      <c r="C100" s="1" t="str">
        <f>IFERROR(__xludf.DUMMYFUNCTION("""COMPUTED_VALUE"""),"Midi Olympique Vendredi - Vert")</f>
        <v>Midi Olympique Vendredi - Vert</v>
      </c>
      <c r="D100" s="1" t="str">
        <f>IFERROR(__xludf.DUMMYFUNCTION("""COMPUTED_VALUE"""),"Hebdomadaire")</f>
        <v>Hebdomadaire</v>
      </c>
      <c r="E100" s="1" t="str">
        <f>IFERROR(__xludf.DUMMYFUNCTION("""COMPUTED_VALUE"""),"2024-2025")</f>
        <v>2024-2025</v>
      </c>
      <c r="F100" s="1" t="str">
        <f>IFERROR(__xludf.DUMMYFUNCTION("""COMPUTED_VALUE"""),"DSH")</f>
        <v>DSH</v>
      </c>
      <c r="G100" s="1" t="str">
        <f>IFERROR(__xludf.DUMMYFUNCTION("""COMPUTED_VALUE"""),"35 003")</f>
        <v>35 003</v>
      </c>
      <c r="H100" s="1" t="str">
        <f>IFERROR(__xludf.DUMMYFUNCTION("""COMPUTED_VALUE"""),"13,74%")</f>
        <v>13,74%</v>
      </c>
    </row>
    <row r="101">
      <c r="A101" s="1">
        <f>IFERROR(__xludf.DUMMYFUNCTION("""COMPUTED_VALUE"""),70.0)</f>
        <v>70</v>
      </c>
      <c r="B101" s="1"/>
      <c r="C101" s="1" t="str">
        <f>IFERROR(__xludf.DUMMYFUNCTION("""COMPUTED_VALUE"""),"Mieux Vivre Votre Argent")</f>
        <v>Mieux Vivre Votre Argent</v>
      </c>
      <c r="D101" s="1" t="str">
        <f>IFERROR(__xludf.DUMMYFUNCTION("""COMPUTED_VALUE"""),"Mensuel")</f>
        <v>Mensuel</v>
      </c>
      <c r="E101" s="1" t="str">
        <f>IFERROR(__xludf.DUMMYFUNCTION("""COMPUTED_VALUE"""),"2024-2025")</f>
        <v>2024-2025</v>
      </c>
      <c r="F101" s="1" t="str">
        <f>IFERROR(__xludf.DUMMYFUNCTION("""COMPUTED_VALUE"""),"DSH")</f>
        <v>DSH</v>
      </c>
      <c r="G101" s="1" t="str">
        <f>IFERROR(__xludf.DUMMYFUNCTION("""COMPUTED_VALUE"""),"91 918")</f>
        <v>91 918</v>
      </c>
      <c r="H101" s="1" t="str">
        <f>IFERROR(__xludf.DUMMYFUNCTION("""COMPUTED_VALUE"""),"3,40%")</f>
        <v>3,40%</v>
      </c>
    </row>
    <row r="102">
      <c r="A102" s="1">
        <f>IFERROR(__xludf.DUMMYFUNCTION("""COMPUTED_VALUE"""),48.0)</f>
        <v>48</v>
      </c>
      <c r="B102" s="1"/>
      <c r="C102" s="1" t="str">
        <f>IFERROR(__xludf.DUMMYFUNCTION("""COMPUTED_VALUE"""),"Modes &amp; Travaux")</f>
        <v>Modes &amp; Travaux</v>
      </c>
      <c r="D102" s="1" t="str">
        <f>IFERROR(__xludf.DUMMYFUNCTION("""COMPUTED_VALUE"""),"Mensuel")</f>
        <v>Mensuel</v>
      </c>
      <c r="E102" s="1" t="str">
        <f>IFERROR(__xludf.DUMMYFUNCTION("""COMPUTED_VALUE"""),"2024-2025")</f>
        <v>2024-2025</v>
      </c>
      <c r="F102" s="1" t="str">
        <f>IFERROR(__xludf.DUMMYFUNCTION("""COMPUTED_VALUE"""),"DSH")</f>
        <v>DSH</v>
      </c>
      <c r="G102" s="1" t="str">
        <f>IFERROR(__xludf.DUMMYFUNCTION("""COMPUTED_VALUE"""),"146 037")</f>
        <v>146 037</v>
      </c>
      <c r="H102" s="1" t="str">
        <f>IFERROR(__xludf.DUMMYFUNCTION("""COMPUTED_VALUE"""),"-6,95%")</f>
        <v>-6,95%</v>
      </c>
    </row>
    <row r="103">
      <c r="A103" s="1">
        <f>IFERROR(__xludf.DUMMYFUNCTION("""COMPUTED_VALUE"""),94.0)</f>
        <v>94</v>
      </c>
      <c r="B103" s="1"/>
      <c r="C103" s="1" t="str">
        <f>IFERROR(__xludf.DUMMYFUNCTION("""COMPUTED_VALUE"""),"Mon Jardin &amp; Ma Maison")</f>
        <v>Mon Jardin &amp; Ma Maison</v>
      </c>
      <c r="D103" s="1" t="str">
        <f>IFERROR(__xludf.DUMMYFUNCTION("""COMPUTED_VALUE"""),"Mensuel")</f>
        <v>Mensuel</v>
      </c>
      <c r="E103" s="1" t="str">
        <f>IFERROR(__xludf.DUMMYFUNCTION("""COMPUTED_VALUE"""),"2024-2025")</f>
        <v>2024-2025</v>
      </c>
      <c r="F103" s="1" t="str">
        <f>IFERROR(__xludf.DUMMYFUNCTION("""COMPUTED_VALUE"""),"DSH")</f>
        <v>DSH</v>
      </c>
      <c r="G103" s="1" t="str">
        <f>IFERROR(__xludf.DUMMYFUNCTION("""COMPUTED_VALUE"""),"65 742")</f>
        <v>65 742</v>
      </c>
      <c r="H103" s="1" t="str">
        <f>IFERROR(__xludf.DUMMYFUNCTION("""COMPUTED_VALUE"""),"-10,59%")</f>
        <v>-10,59%</v>
      </c>
    </row>
    <row r="104">
      <c r="A104" s="1">
        <f>IFERROR(__xludf.DUMMYFUNCTION("""COMPUTED_VALUE"""),169.0)</f>
        <v>169</v>
      </c>
      <c r="B104" s="1"/>
      <c r="C104" s="1" t="str">
        <f>IFERROR(__xludf.DUMMYFUNCTION("""COMPUTED_VALUE"""),"Mon Quotidien")</f>
        <v>Mon Quotidien</v>
      </c>
      <c r="D104" s="1" t="str">
        <f>IFERROR(__xludf.DUMMYFUNCTION("""COMPUTED_VALUE"""),"Quotidien")</f>
        <v>Quotidien</v>
      </c>
      <c r="E104" s="1" t="str">
        <f>IFERROR(__xludf.DUMMYFUNCTION("""COMPUTED_VALUE"""),"2024-2025")</f>
        <v>2024-2025</v>
      </c>
      <c r="F104" s="1" t="str">
        <f>IFERROR(__xludf.DUMMYFUNCTION("""COMPUTED_VALUE"""),"DSH")</f>
        <v>DSH</v>
      </c>
      <c r="G104" s="1" t="str">
        <f>IFERROR(__xludf.DUMMYFUNCTION("""COMPUTED_VALUE"""),"20 310")</f>
        <v>20 310</v>
      </c>
      <c r="H104" s="1" t="str">
        <f>IFERROR(__xludf.DUMMYFUNCTION("""COMPUTED_VALUE"""),"-0,46%")</f>
        <v>-0,46%</v>
      </c>
    </row>
    <row r="105">
      <c r="A105" s="1">
        <f>IFERROR(__xludf.DUMMYFUNCTION("""COMPUTED_VALUE"""),178.0)</f>
        <v>178</v>
      </c>
      <c r="B105" s="1"/>
      <c r="C105" s="1" t="str">
        <f>IFERROR(__xludf.DUMMYFUNCTION("""COMPUTED_VALUE"""),"Le Monde des Ados")</f>
        <v>Le Monde des Ados</v>
      </c>
      <c r="D105" s="1" t="str">
        <f>IFERROR(__xludf.DUMMYFUNCTION("""COMPUTED_VALUE"""),"Bimensuel")</f>
        <v>Bimensuel</v>
      </c>
      <c r="E105" s="1" t="str">
        <f>IFERROR(__xludf.DUMMYFUNCTION("""COMPUTED_VALUE"""),"2024-2025")</f>
        <v>2024-2025</v>
      </c>
      <c r="F105" s="1" t="str">
        <f>IFERROR(__xludf.DUMMYFUNCTION("""COMPUTED_VALUE"""),"DSH")</f>
        <v>DSH</v>
      </c>
      <c r="G105" s="1" t="str">
        <f>IFERROR(__xludf.DUMMYFUNCTION("""COMPUTED_VALUE"""),"15 908")</f>
        <v>15 908</v>
      </c>
      <c r="H105" s="1" t="str">
        <f>IFERROR(__xludf.DUMMYFUNCTION("""COMPUTED_VALUE"""),"-13,97%")</f>
        <v>-13,97%</v>
      </c>
    </row>
    <row r="106">
      <c r="A106" s="1">
        <f>IFERROR(__xludf.DUMMYFUNCTION("""COMPUTED_VALUE"""),51.0)</f>
        <v>51</v>
      </c>
      <c r="B106" s="1"/>
      <c r="C106" s="1" t="str">
        <f>IFERROR(__xludf.DUMMYFUNCTION("""COMPUTED_VALUE"""),"Le Monde Diplomatique")</f>
        <v>Le Monde Diplomatique</v>
      </c>
      <c r="D106" s="1" t="str">
        <f>IFERROR(__xludf.DUMMYFUNCTION("""COMPUTED_VALUE"""),"Mensuel")</f>
        <v>Mensuel</v>
      </c>
      <c r="E106" s="1" t="str">
        <f>IFERROR(__xludf.DUMMYFUNCTION("""COMPUTED_VALUE"""),"2024-2025")</f>
        <v>2024-2025</v>
      </c>
      <c r="F106" s="1" t="str">
        <f>IFERROR(__xludf.DUMMYFUNCTION("""COMPUTED_VALUE"""),"DSH")</f>
        <v>DSH</v>
      </c>
      <c r="G106" s="1" t="str">
        <f>IFERROR(__xludf.DUMMYFUNCTION("""COMPUTED_VALUE"""),"141 011")</f>
        <v>141 011</v>
      </c>
      <c r="H106" s="1" t="str">
        <f>IFERROR(__xludf.DUMMYFUNCTION("""COMPUTED_VALUE"""),"-0,03%")</f>
        <v>-0,03%</v>
      </c>
    </row>
    <row r="107">
      <c r="A107" s="1">
        <f>IFERROR(__xludf.DUMMYFUNCTION("""COMPUTED_VALUE"""),187.0)</f>
        <v>187</v>
      </c>
      <c r="B107" s="1"/>
      <c r="C107" s="1" t="str">
        <f>IFERROR(__xludf.DUMMYFUNCTION("""COMPUTED_VALUE"""),"La Montagne &amp; Alpinisme")</f>
        <v>La Montagne &amp; Alpinisme</v>
      </c>
      <c r="D107" s="1" t="str">
        <f>IFERROR(__xludf.DUMMYFUNCTION("""COMPUTED_VALUE"""),"Trimestriel")</f>
        <v>Trimestriel</v>
      </c>
      <c r="E107" s="1" t="str">
        <f>IFERROR(__xludf.DUMMYFUNCTION("""COMPUTED_VALUE"""),"2024-2025")</f>
        <v>2024-2025</v>
      </c>
      <c r="F107" s="1" t="str">
        <f>IFERROR(__xludf.DUMMYFUNCTION("""COMPUTED_VALUE"""),"DSH")</f>
        <v>DSH</v>
      </c>
      <c r="G107" s="1" t="str">
        <f>IFERROR(__xludf.DUMMYFUNCTION("""COMPUTED_VALUE"""),"9 471")</f>
        <v>9 471</v>
      </c>
      <c r="H107" s="1" t="str">
        <f>IFERROR(__xludf.DUMMYFUNCTION("""COMPUTED_VALUE"""),"1,49%")</f>
        <v>1,49%</v>
      </c>
    </row>
    <row r="108">
      <c r="A108" s="1">
        <f>IFERROR(__xludf.DUMMYFUNCTION("""COMPUTED_VALUE"""),171.0)</f>
        <v>171</v>
      </c>
      <c r="B108" s="1"/>
      <c r="C108" s="1" t="str">
        <f>IFERROR(__xludf.DUMMYFUNCTION("""COMPUTED_VALUE"""),"MordeLire")</f>
        <v>MordeLire</v>
      </c>
      <c r="D108" s="1" t="str">
        <f>IFERROR(__xludf.DUMMYFUNCTION("""COMPUTED_VALUE"""),"Mensuel")</f>
        <v>Mensuel</v>
      </c>
      <c r="E108" s="1" t="str">
        <f>IFERROR(__xludf.DUMMYFUNCTION("""COMPUTED_VALUE"""),"2024-2025")</f>
        <v>2024-2025</v>
      </c>
      <c r="F108" s="1" t="str">
        <f>IFERROR(__xludf.DUMMYFUNCTION("""COMPUTED_VALUE"""),"DSH")</f>
        <v>DSH</v>
      </c>
      <c r="G108" s="1" t="str">
        <f>IFERROR(__xludf.DUMMYFUNCTION("""COMPUTED_VALUE"""),"19 515")</f>
        <v>19 515</v>
      </c>
      <c r="H108" s="1" t="str">
        <f>IFERROR(__xludf.DUMMYFUNCTION("""COMPUTED_VALUE"""),"-7,52%")</f>
        <v>-7,52%</v>
      </c>
    </row>
    <row r="109">
      <c r="A109" s="1">
        <f>IFERROR(__xludf.DUMMYFUNCTION("""COMPUTED_VALUE"""),173.0)</f>
        <v>173</v>
      </c>
      <c r="B109" s="1"/>
      <c r="C109" s="1" t="str">
        <f>IFERROR(__xludf.DUMMYFUNCTION("""COMPUTED_VALUE"""),"Moto Journal")</f>
        <v>Moto Journal</v>
      </c>
      <c r="D109" s="1" t="str">
        <f>IFERROR(__xludf.DUMMYFUNCTION("""COMPUTED_VALUE"""),"Mensuel")</f>
        <v>Mensuel</v>
      </c>
      <c r="E109" s="1" t="str">
        <f>IFERROR(__xludf.DUMMYFUNCTION("""COMPUTED_VALUE"""),"2024-2025")</f>
        <v>2024-2025</v>
      </c>
      <c r="F109" s="1" t="str">
        <f>IFERROR(__xludf.DUMMYFUNCTION("""COMPUTED_VALUE"""),"DSH")</f>
        <v>DSH</v>
      </c>
      <c r="G109" s="1" t="str">
        <f>IFERROR(__xludf.DUMMYFUNCTION("""COMPUTED_VALUE"""),"19 171")</f>
        <v>19 171</v>
      </c>
      <c r="H109" s="1" t="str">
        <f>IFERROR(__xludf.DUMMYFUNCTION("""COMPUTED_VALUE"""),"0,51%")</f>
        <v>0,51%</v>
      </c>
    </row>
    <row r="110">
      <c r="A110" s="1">
        <f>IFERROR(__xludf.DUMMYFUNCTION("""COMPUTED_VALUE"""),143.0)</f>
        <v>143</v>
      </c>
      <c r="B110" s="1"/>
      <c r="C110" s="1" t="str">
        <f>IFERROR(__xludf.DUMMYFUNCTION("""COMPUTED_VALUE"""),"Moto Magazine")</f>
        <v>Moto Magazine</v>
      </c>
      <c r="D110" s="1" t="str">
        <f>IFERROR(__xludf.DUMMYFUNCTION("""COMPUTED_VALUE"""),"Mensuel")</f>
        <v>Mensuel</v>
      </c>
      <c r="E110" s="1" t="str">
        <f>IFERROR(__xludf.DUMMYFUNCTION("""COMPUTED_VALUE"""),"2024-2025")</f>
        <v>2024-2025</v>
      </c>
      <c r="F110" s="1" t="str">
        <f>IFERROR(__xludf.DUMMYFUNCTION("""COMPUTED_VALUE"""),"DSH")</f>
        <v>DSH</v>
      </c>
      <c r="G110" s="1" t="str">
        <f>IFERROR(__xludf.DUMMYFUNCTION("""COMPUTED_VALUE"""),"35 518")</f>
        <v>35 518</v>
      </c>
      <c r="H110" s="1" t="str">
        <f>IFERROR(__xludf.DUMMYFUNCTION("""COMPUTED_VALUE"""),"-7,08%")</f>
        <v>-7,08%</v>
      </c>
    </row>
    <row r="111">
      <c r="A111" s="1">
        <f>IFERROR(__xludf.DUMMYFUNCTION("""COMPUTED_VALUE"""),184.0)</f>
        <v>184</v>
      </c>
      <c r="B111" s="1"/>
      <c r="C111" s="1" t="str">
        <f>IFERROR(__xludf.DUMMYFUNCTION("""COMPUTED_VALUE"""),"Moto Magazine Hors-Série")</f>
        <v>Moto Magazine Hors-Série</v>
      </c>
      <c r="D111" s="1" t="str">
        <f>IFERROR(__xludf.DUMMYFUNCTION("""COMPUTED_VALUE"""),"Trimestriel")</f>
        <v>Trimestriel</v>
      </c>
      <c r="E111" s="1" t="str">
        <f>IFERROR(__xludf.DUMMYFUNCTION("""COMPUTED_VALUE"""),"2024-2025")</f>
        <v>2024-2025</v>
      </c>
      <c r="F111" s="1" t="str">
        <f>IFERROR(__xludf.DUMMYFUNCTION("""COMPUTED_VALUE"""),"DSH")</f>
        <v>DSH</v>
      </c>
      <c r="G111" s="1" t="str">
        <f>IFERROR(__xludf.DUMMYFUNCTION("""COMPUTED_VALUE"""),"12 037")</f>
        <v>12 037</v>
      </c>
      <c r="H111" s="1" t="str">
        <f>IFERROR(__xludf.DUMMYFUNCTION("""COMPUTED_VALUE"""),"0,68%")</f>
        <v>0,68%</v>
      </c>
    </row>
    <row r="112">
      <c r="A112" s="1">
        <f>IFERROR(__xludf.DUMMYFUNCTION("""COMPUTED_VALUE"""),182.0)</f>
        <v>182</v>
      </c>
      <c r="B112" s="1"/>
      <c r="C112" s="1" t="str">
        <f>IFERROR(__xludf.DUMMYFUNCTION("""COMPUTED_VALUE"""),"Moto Revue")</f>
        <v>Moto Revue</v>
      </c>
      <c r="D112" s="1" t="str">
        <f>IFERROR(__xludf.DUMMYFUNCTION("""COMPUTED_VALUE"""),"Mensuel")</f>
        <v>Mensuel</v>
      </c>
      <c r="E112" s="1" t="str">
        <f>IFERROR(__xludf.DUMMYFUNCTION("""COMPUTED_VALUE"""),"2024-2025")</f>
        <v>2024-2025</v>
      </c>
      <c r="F112" s="1" t="str">
        <f>IFERROR(__xludf.DUMMYFUNCTION("""COMPUTED_VALUE"""),"DSH")</f>
        <v>DSH</v>
      </c>
      <c r="G112" s="1" t="str">
        <f>IFERROR(__xludf.DUMMYFUNCTION("""COMPUTED_VALUE"""),"12 471")</f>
        <v>12 471</v>
      </c>
      <c r="H112" s="1" t="str">
        <f>IFERROR(__xludf.DUMMYFUNCTION("""COMPUTED_VALUE"""),"-6,81%")</f>
        <v>-6,81%</v>
      </c>
    </row>
    <row r="113">
      <c r="A113" s="1">
        <f>IFERROR(__xludf.DUMMYFUNCTION("""COMPUTED_VALUE"""),157.0)</f>
        <v>157</v>
      </c>
      <c r="B113" s="1"/>
      <c r="C113" s="1" t="str">
        <f>IFERROR(__xludf.DUMMYFUNCTION("""COMPUTED_VALUE"""),"National Geographic")</f>
        <v>National Geographic</v>
      </c>
      <c r="D113" s="1" t="str">
        <f>IFERROR(__xludf.DUMMYFUNCTION("""COMPUTED_VALUE"""),"Mensuel")</f>
        <v>Mensuel</v>
      </c>
      <c r="E113" s="1" t="str">
        <f>IFERROR(__xludf.DUMMYFUNCTION("""COMPUTED_VALUE"""),"2024-2025")</f>
        <v>2024-2025</v>
      </c>
      <c r="F113" s="1" t="str">
        <f>IFERROR(__xludf.DUMMYFUNCTION("""COMPUTED_VALUE"""),"DSH")</f>
        <v>DSH</v>
      </c>
      <c r="G113" s="1" t="str">
        <f>IFERROR(__xludf.DUMMYFUNCTION("""COMPUTED_VALUE"""),"25 636")</f>
        <v>25 636</v>
      </c>
      <c r="H113" s="1" t="str">
        <f>IFERROR(__xludf.DUMMYFUNCTION("""COMPUTED_VALUE"""),"-11,30%")</f>
        <v>-11,30%</v>
      </c>
    </row>
    <row r="114">
      <c r="A114" s="1">
        <f>IFERROR(__xludf.DUMMYFUNCTION("""COMPUTED_VALUE"""),189.0)</f>
        <v>189</v>
      </c>
      <c r="B114" s="1"/>
      <c r="C114" s="1" t="str">
        <f>IFERROR(__xludf.DUMMYFUNCTION("""COMPUTED_VALUE"""),"Nature Trail")</f>
        <v>Nature Trail</v>
      </c>
      <c r="D114" s="1" t="str">
        <f>IFERROR(__xludf.DUMMYFUNCTION("""COMPUTED_VALUE"""),"Trimestriel")</f>
        <v>Trimestriel</v>
      </c>
      <c r="E114" s="1" t="str">
        <f>IFERROR(__xludf.DUMMYFUNCTION("""COMPUTED_VALUE"""),"2024-2025")</f>
        <v>2024-2025</v>
      </c>
      <c r="F114" s="1" t="str">
        <f>IFERROR(__xludf.DUMMYFUNCTION("""COMPUTED_VALUE"""),"DSH")</f>
        <v>DSH</v>
      </c>
      <c r="G114" s="1" t="str">
        <f>IFERROR(__xludf.DUMMYFUNCTION("""COMPUTED_VALUE"""),"7 815")</f>
        <v>7 815</v>
      </c>
      <c r="H114" s="1" t="str">
        <f>IFERROR(__xludf.DUMMYFUNCTION("""COMPUTED_VALUE"""),"-5,39%")</f>
        <v>-5,39%</v>
      </c>
    </row>
    <row r="115">
      <c r="A115" s="1">
        <f>IFERROR(__xludf.DUMMYFUNCTION("""COMPUTED_VALUE"""),12.0)</f>
        <v>12</v>
      </c>
      <c r="B115" s="1"/>
      <c r="C115" s="1" t="str">
        <f>IFERROR(__xludf.DUMMYFUNCTION("""COMPUTED_VALUE"""),"Notre Temps")</f>
        <v>Notre Temps</v>
      </c>
      <c r="D115" s="1" t="str">
        <f>IFERROR(__xludf.DUMMYFUNCTION("""COMPUTED_VALUE"""),"Mensuel")</f>
        <v>Mensuel</v>
      </c>
      <c r="E115" s="1" t="str">
        <f>IFERROR(__xludf.DUMMYFUNCTION("""COMPUTED_VALUE"""),"2024-2025")</f>
        <v>2024-2025</v>
      </c>
      <c r="F115" s="1" t="str">
        <f>IFERROR(__xludf.DUMMYFUNCTION("""COMPUTED_VALUE"""),"DSH")</f>
        <v>DSH</v>
      </c>
      <c r="G115" s="1" t="str">
        <f>IFERROR(__xludf.DUMMYFUNCTION("""COMPUTED_VALUE"""),"427 966")</f>
        <v>427 966</v>
      </c>
      <c r="H115" s="1" t="str">
        <f>IFERROR(__xludf.DUMMYFUNCTION("""COMPUTED_VALUE"""),"-11,83%")</f>
        <v>-11,83%</v>
      </c>
    </row>
    <row r="116">
      <c r="A116" s="1">
        <f>IFERROR(__xludf.DUMMYFUNCTION("""COMPUTED_VALUE"""),110.0)</f>
        <v>110</v>
      </c>
      <c r="B116" s="1"/>
      <c r="C116" s="1" t="str">
        <f>IFERROR(__xludf.DUMMYFUNCTION("""COMPUTED_VALUE"""),"Notre Temps Santé &amp; Bien-Etre")</f>
        <v>Notre Temps Santé &amp; Bien-Etre</v>
      </c>
      <c r="D116" s="1" t="str">
        <f>IFERROR(__xludf.DUMMYFUNCTION("""COMPUTED_VALUE"""),"Trimestriel")</f>
        <v>Trimestriel</v>
      </c>
      <c r="E116" s="1" t="str">
        <f>IFERROR(__xludf.DUMMYFUNCTION("""COMPUTED_VALUE"""),"2024-2025")</f>
        <v>2024-2025</v>
      </c>
      <c r="F116" s="1" t="str">
        <f>IFERROR(__xludf.DUMMYFUNCTION("""COMPUTED_VALUE"""),"DSH")</f>
        <v>DSH</v>
      </c>
      <c r="G116" s="1" t="str">
        <f>IFERROR(__xludf.DUMMYFUNCTION("""COMPUTED_VALUE"""),"50 768")</f>
        <v>50 768</v>
      </c>
      <c r="H116" s="1" t="str">
        <f>IFERROR(__xludf.DUMMYFUNCTION("""COMPUTED_VALUE"""),"-12,84%")</f>
        <v>-12,84%</v>
      </c>
    </row>
    <row r="117">
      <c r="A117" s="1">
        <f>IFERROR(__xludf.DUMMYFUNCTION("""COMPUTED_VALUE"""),62.0)</f>
        <v>62</v>
      </c>
      <c r="B117" s="1"/>
      <c r="C117" s="1" t="str">
        <f>IFERROR(__xludf.DUMMYFUNCTION("""COMPUTED_VALUE"""),"Nous Deux")</f>
        <v>Nous Deux</v>
      </c>
      <c r="D117" s="1" t="str">
        <f>IFERROR(__xludf.DUMMYFUNCTION("""COMPUTED_VALUE"""),"Hebdomadaire")</f>
        <v>Hebdomadaire</v>
      </c>
      <c r="E117" s="1" t="str">
        <f>IFERROR(__xludf.DUMMYFUNCTION("""COMPUTED_VALUE"""),"2024-2025")</f>
        <v>2024-2025</v>
      </c>
      <c r="F117" s="1" t="str">
        <f>IFERROR(__xludf.DUMMYFUNCTION("""COMPUTED_VALUE"""),"DSH")</f>
        <v>DSH</v>
      </c>
      <c r="G117" s="1" t="str">
        <f>IFERROR(__xludf.DUMMYFUNCTION("""COMPUTED_VALUE"""),"119 143")</f>
        <v>119 143</v>
      </c>
      <c r="H117" s="1" t="str">
        <f>IFERROR(__xludf.DUMMYFUNCTION("""COMPUTED_VALUE"""),"-7,93%")</f>
        <v>-7,93%</v>
      </c>
    </row>
    <row r="118">
      <c r="A118" s="1">
        <f>IFERROR(__xludf.DUMMYFUNCTION("""COMPUTED_VALUE"""),93.0)</f>
        <v>93</v>
      </c>
      <c r="B118" s="1"/>
      <c r="C118" s="1" t="str">
        <f>IFERROR(__xludf.DUMMYFUNCTION("""COMPUTED_VALUE"""),"Le Nouveau Détective")</f>
        <v>Le Nouveau Détective</v>
      </c>
      <c r="D118" s="1" t="str">
        <f>IFERROR(__xludf.DUMMYFUNCTION("""COMPUTED_VALUE"""),"Hebdomadaire")</f>
        <v>Hebdomadaire</v>
      </c>
      <c r="E118" s="1" t="str">
        <f>IFERROR(__xludf.DUMMYFUNCTION("""COMPUTED_VALUE"""),"2024-2025")</f>
        <v>2024-2025</v>
      </c>
      <c r="F118" s="1" t="str">
        <f>IFERROR(__xludf.DUMMYFUNCTION("""COMPUTED_VALUE"""),"DSH")</f>
        <v>DSH</v>
      </c>
      <c r="G118" s="1" t="str">
        <f>IFERROR(__xludf.DUMMYFUNCTION("""COMPUTED_VALUE"""),"66 646")</f>
        <v>66 646</v>
      </c>
      <c r="H118" s="1" t="str">
        <f>IFERROR(__xludf.DUMMYFUNCTION("""COMPUTED_VALUE"""),"-12,32%")</f>
        <v>-12,32%</v>
      </c>
    </row>
    <row r="119">
      <c r="A119" s="1">
        <f>IFERROR(__xludf.DUMMYFUNCTION("""COMPUTED_VALUE"""),38.0)</f>
        <v>38</v>
      </c>
      <c r="B119" s="1"/>
      <c r="C119" s="1" t="str">
        <f>IFERROR(__xludf.DUMMYFUNCTION("""COMPUTED_VALUE"""),"Le Nouvel Obs")</f>
        <v>Le Nouvel Obs</v>
      </c>
      <c r="D119" s="1" t="str">
        <f>IFERROR(__xludf.DUMMYFUNCTION("""COMPUTED_VALUE"""),"Hebdomadaire")</f>
        <v>Hebdomadaire</v>
      </c>
      <c r="E119" s="1" t="str">
        <f>IFERROR(__xludf.DUMMYFUNCTION("""COMPUTED_VALUE"""),"2024-2025")</f>
        <v>2024-2025</v>
      </c>
      <c r="F119" s="1" t="str">
        <f>IFERROR(__xludf.DUMMYFUNCTION("""COMPUTED_VALUE"""),"PV")</f>
        <v>PV</v>
      </c>
      <c r="G119" s="1" t="str">
        <f>IFERROR(__xludf.DUMMYFUNCTION("""COMPUTED_VALUE"""),"171 768")</f>
        <v>171 768</v>
      </c>
      <c r="H119" s="1" t="str">
        <f>IFERROR(__xludf.DUMMYFUNCTION("""COMPUTED_VALUE"""),"-6,45%")</f>
        <v>-6,45%</v>
      </c>
    </row>
    <row r="120">
      <c r="A120" s="1">
        <f>IFERROR(__xludf.DUMMYFUNCTION("""COMPUTED_VALUE"""),185.0)</f>
        <v>185</v>
      </c>
      <c r="B120" s="1"/>
      <c r="C120" s="1" t="str">
        <f>IFERROR(__xludf.DUMMYFUNCTION("""COMPUTED_VALUE"""),"L'Officiel des Spectacles")</f>
        <v>L'Officiel des Spectacles</v>
      </c>
      <c r="D120" s="1" t="str">
        <f>IFERROR(__xludf.DUMMYFUNCTION("""COMPUTED_VALUE"""),"Hebdomadaire")</f>
        <v>Hebdomadaire</v>
      </c>
      <c r="E120" s="1" t="str">
        <f>IFERROR(__xludf.DUMMYFUNCTION("""COMPUTED_VALUE"""),"2024-2025")</f>
        <v>2024-2025</v>
      </c>
      <c r="F120" s="1" t="str">
        <f>IFERROR(__xludf.DUMMYFUNCTION("""COMPUTED_VALUE"""),"DSH")</f>
        <v>DSH</v>
      </c>
      <c r="G120" s="1" t="str">
        <f>IFERROR(__xludf.DUMMYFUNCTION("""COMPUTED_VALUE"""),"11 586")</f>
        <v>11 586</v>
      </c>
      <c r="H120" s="1" t="str">
        <f>IFERROR(__xludf.DUMMYFUNCTION("""COMPUTED_VALUE"""),"-11,13%")</f>
        <v>-11,13%</v>
      </c>
    </row>
    <row r="121">
      <c r="A121" s="1">
        <f>IFERROR(__xludf.DUMMYFUNCTION("""COMPUTED_VALUE"""),136.0)</f>
        <v>136</v>
      </c>
      <c r="B121" s="1"/>
      <c r="C121" s="1" t="str">
        <f>IFERROR(__xludf.DUMMYFUNCTION("""COMPUTED_VALUE"""),"Okapi")</f>
        <v>Okapi</v>
      </c>
      <c r="D121" s="1" t="str">
        <f>IFERROR(__xludf.DUMMYFUNCTION("""COMPUTED_VALUE"""),"Bimensuel")</f>
        <v>Bimensuel</v>
      </c>
      <c r="E121" s="1" t="str">
        <f>IFERROR(__xludf.DUMMYFUNCTION("""COMPUTED_VALUE"""),"2024-2025")</f>
        <v>2024-2025</v>
      </c>
      <c r="F121" s="1" t="str">
        <f>IFERROR(__xludf.DUMMYFUNCTION("""COMPUTED_VALUE"""),"DSH")</f>
        <v>DSH</v>
      </c>
      <c r="G121" s="1" t="str">
        <f>IFERROR(__xludf.DUMMYFUNCTION("""COMPUTED_VALUE"""),"38 612")</f>
        <v>38 612</v>
      </c>
      <c r="H121" s="1" t="str">
        <f>IFERROR(__xludf.DUMMYFUNCTION("""COMPUTED_VALUE"""),"-7,68%")</f>
        <v>-7,68%</v>
      </c>
    </row>
    <row r="122">
      <c r="A122" s="1">
        <f>IFERROR(__xludf.DUMMYFUNCTION("""COMPUTED_VALUE"""),142.0)</f>
        <v>142</v>
      </c>
      <c r="B122" s="1"/>
      <c r="C122" s="1" t="str">
        <f>IFERROR(__xludf.DUMMYFUNCTION("""COMPUTED_VALUE"""),"Parents")</f>
        <v>Parents</v>
      </c>
      <c r="D122" s="1" t="str">
        <f>IFERROR(__xludf.DUMMYFUNCTION("""COMPUTED_VALUE"""),"Bimestriel")</f>
        <v>Bimestriel</v>
      </c>
      <c r="E122" s="1" t="str">
        <f>IFERROR(__xludf.DUMMYFUNCTION("""COMPUTED_VALUE"""),"2024-2025")</f>
        <v>2024-2025</v>
      </c>
      <c r="F122" s="1" t="str">
        <f>IFERROR(__xludf.DUMMYFUNCTION("""COMPUTED_VALUE"""),"DSH")</f>
        <v>DSH</v>
      </c>
      <c r="G122" s="1" t="str">
        <f>IFERROR(__xludf.DUMMYFUNCTION("""COMPUTED_VALUE"""),"35 816")</f>
        <v>35 816</v>
      </c>
      <c r="H122" s="1" t="str">
        <f>IFERROR(__xludf.DUMMYFUNCTION("""COMPUTED_VALUE"""),"NA")</f>
        <v>NA</v>
      </c>
    </row>
    <row r="123">
      <c r="A123" s="1">
        <f>IFERROR(__xludf.DUMMYFUNCTION("""COMPUTED_VALUE"""),15.0)</f>
        <v>15</v>
      </c>
      <c r="B123" s="1"/>
      <c r="C123" s="1" t="str">
        <f>IFERROR(__xludf.DUMMYFUNCTION("""COMPUTED_VALUE"""),"Paris Match")</f>
        <v>Paris Match</v>
      </c>
      <c r="D123" s="1" t="str">
        <f>IFERROR(__xludf.DUMMYFUNCTION("""COMPUTED_VALUE"""),"Hebdomadaire")</f>
        <v>Hebdomadaire</v>
      </c>
      <c r="E123" s="1" t="str">
        <f>IFERROR(__xludf.DUMMYFUNCTION("""COMPUTED_VALUE"""),"2024-2025")</f>
        <v>2024-2025</v>
      </c>
      <c r="F123" s="1" t="str">
        <f>IFERROR(__xludf.DUMMYFUNCTION("""COMPUTED_VALUE"""),"DSH")</f>
        <v>DSH</v>
      </c>
      <c r="G123" s="1" t="str">
        <f>IFERROR(__xludf.DUMMYFUNCTION("""COMPUTED_VALUE"""),"417 937")</f>
        <v>417 937</v>
      </c>
      <c r="H123" s="1" t="str">
        <f>IFERROR(__xludf.DUMMYFUNCTION("""COMPUTED_VALUE"""),"-5,60%")</f>
        <v>-5,60%</v>
      </c>
    </row>
    <row r="124">
      <c r="A124" s="1">
        <f>IFERROR(__xludf.DUMMYFUNCTION("""COMPUTED_VALUE"""),30.0)</f>
        <v>30</v>
      </c>
      <c r="B124" s="1"/>
      <c r="C124" s="1" t="str">
        <f>IFERROR(__xludf.DUMMYFUNCTION("""COMPUTED_VALUE"""),"Le Parisien/Aujourd'hui en France Week-End")</f>
        <v>Le Parisien/Aujourd'hui en France Week-End</v>
      </c>
      <c r="D124" s="1" t="str">
        <f>IFERROR(__xludf.DUMMYFUNCTION("""COMPUTED_VALUE"""),"Hebdomadaire")</f>
        <v>Hebdomadaire</v>
      </c>
      <c r="E124" s="1" t="str">
        <f>IFERROR(__xludf.DUMMYFUNCTION("""COMPUTED_VALUE"""),"2024-2025")</f>
        <v>2024-2025</v>
      </c>
      <c r="F124" s="1" t="str">
        <f>IFERROR(__xludf.DUMMYFUNCTION("""COMPUTED_VALUE"""),"PV")</f>
        <v>PV</v>
      </c>
      <c r="G124" s="1" t="str">
        <f>IFERROR(__xludf.DUMMYFUNCTION("""COMPUTED_VALUE"""),"220 122")</f>
        <v>220 122</v>
      </c>
      <c r="H124" s="1" t="str">
        <f>IFERROR(__xludf.DUMMYFUNCTION("""COMPUTED_VALUE"""),"-2,04%")</f>
        <v>-2,04%</v>
      </c>
    </row>
    <row r="125">
      <c r="A125" s="1">
        <f>IFERROR(__xludf.DUMMYFUNCTION("""COMPUTED_VALUE"""),25.0)</f>
        <v>25</v>
      </c>
      <c r="B125" s="1"/>
      <c r="C125" s="1" t="str">
        <f>IFERROR(__xludf.DUMMYFUNCTION("""COMPUTED_VALUE"""),"Le Particulier")</f>
        <v>Le Particulier</v>
      </c>
      <c r="D125" s="1" t="str">
        <f>IFERROR(__xludf.DUMMYFUNCTION("""COMPUTED_VALUE"""),"Mensuel")</f>
        <v>Mensuel</v>
      </c>
      <c r="E125" s="1" t="str">
        <f>IFERROR(__xludf.DUMMYFUNCTION("""COMPUTED_VALUE"""),"2024-2025")</f>
        <v>2024-2025</v>
      </c>
      <c r="F125" s="1" t="str">
        <f>IFERROR(__xludf.DUMMYFUNCTION("""COMPUTED_VALUE"""),"DSH")</f>
        <v>DSH</v>
      </c>
      <c r="G125" s="1" t="str">
        <f>IFERROR(__xludf.DUMMYFUNCTION("""COMPUTED_VALUE"""),"233 159")</f>
        <v>233 159</v>
      </c>
      <c r="H125" s="1" t="str">
        <f>IFERROR(__xludf.DUMMYFUNCTION("""COMPUTED_VALUE"""),"-6,31%")</f>
        <v>-6,31%</v>
      </c>
    </row>
    <row r="126">
      <c r="A126" s="1">
        <f>IFERROR(__xludf.DUMMYFUNCTION("""COMPUTED_VALUE"""),84.0)</f>
        <v>84</v>
      </c>
      <c r="B126" s="1"/>
      <c r="C126" s="1" t="str">
        <f>IFERROR(__xludf.DUMMYFUNCTION("""COMPUTED_VALUE"""),"Le Pèlerin")</f>
        <v>Le Pèlerin</v>
      </c>
      <c r="D126" s="1" t="str">
        <f>IFERROR(__xludf.DUMMYFUNCTION("""COMPUTED_VALUE"""),"Hebdomadaire")</f>
        <v>Hebdomadaire</v>
      </c>
      <c r="E126" s="1" t="str">
        <f>IFERROR(__xludf.DUMMYFUNCTION("""COMPUTED_VALUE"""),"2024-2025")</f>
        <v>2024-2025</v>
      </c>
      <c r="F126" s="1" t="str">
        <f>IFERROR(__xludf.DUMMYFUNCTION("""COMPUTED_VALUE"""),"DSH")</f>
        <v>DSH</v>
      </c>
      <c r="G126" s="1" t="str">
        <f>IFERROR(__xludf.DUMMYFUNCTION("""COMPUTED_VALUE"""),"77 453")</f>
        <v>77 453</v>
      </c>
      <c r="H126" s="1" t="str">
        <f>IFERROR(__xludf.DUMMYFUNCTION("""COMPUTED_VALUE"""),"-9,45%")</f>
        <v>-9,45%</v>
      </c>
    </row>
    <row r="127">
      <c r="A127" s="1">
        <f>IFERROR(__xludf.DUMMYFUNCTION("""COMPUTED_VALUE"""),159.0)</f>
        <v>159</v>
      </c>
      <c r="B127" s="1"/>
      <c r="C127" s="1" t="str">
        <f>IFERROR(__xludf.DUMMYFUNCTION("""COMPUTED_VALUE"""),"Le Petit Quotidien")</f>
        <v>Le Petit Quotidien</v>
      </c>
      <c r="D127" s="1" t="str">
        <f>IFERROR(__xludf.DUMMYFUNCTION("""COMPUTED_VALUE"""),"Quotidien")</f>
        <v>Quotidien</v>
      </c>
      <c r="E127" s="1" t="str">
        <f>IFERROR(__xludf.DUMMYFUNCTION("""COMPUTED_VALUE"""),"2024-2025")</f>
        <v>2024-2025</v>
      </c>
      <c r="F127" s="1" t="str">
        <f>IFERROR(__xludf.DUMMYFUNCTION("""COMPUTED_VALUE"""),"DSH")</f>
        <v>DSH</v>
      </c>
      <c r="G127" s="1" t="str">
        <f>IFERROR(__xludf.DUMMYFUNCTION("""COMPUTED_VALUE"""),"23 975")</f>
        <v>23 975</v>
      </c>
      <c r="H127" s="1" t="str">
        <f>IFERROR(__xludf.DUMMYFUNCTION("""COMPUTED_VALUE"""),"8,94%")</f>
        <v>8,94%</v>
      </c>
    </row>
    <row r="128">
      <c r="A128" s="1">
        <f>IFERROR(__xludf.DUMMYFUNCTION("""COMPUTED_VALUE"""),179.0)</f>
        <v>179</v>
      </c>
      <c r="B128" s="1"/>
      <c r="C128" s="1" t="str">
        <f>IFERROR(__xludf.DUMMYFUNCTION("""COMPUTED_VALUE"""),"Les Petites Princesses")</f>
        <v>Les Petites Princesses</v>
      </c>
      <c r="D128" s="1" t="str">
        <f>IFERROR(__xludf.DUMMYFUNCTION("""COMPUTED_VALUE"""),"Mensuel")</f>
        <v>Mensuel</v>
      </c>
      <c r="E128" s="1" t="str">
        <f>IFERROR(__xludf.DUMMYFUNCTION("""COMPUTED_VALUE"""),"2024-2025")</f>
        <v>2024-2025</v>
      </c>
      <c r="F128" s="1" t="str">
        <f>IFERROR(__xludf.DUMMYFUNCTION("""COMPUTED_VALUE"""),"DSH")</f>
        <v>DSH</v>
      </c>
      <c r="G128" s="1" t="str">
        <f>IFERROR(__xludf.DUMMYFUNCTION("""COMPUTED_VALUE"""),"15 540")</f>
        <v>15 540</v>
      </c>
      <c r="H128" s="1" t="str">
        <f>IFERROR(__xludf.DUMMYFUNCTION("""COMPUTED_VALUE"""),"-12,30%")</f>
        <v>-12,30%</v>
      </c>
    </row>
    <row r="129">
      <c r="A129" s="1">
        <f>IFERROR(__xludf.DUMMYFUNCTION("""COMPUTED_VALUE"""),79.0)</f>
        <v>79</v>
      </c>
      <c r="B129" s="1"/>
      <c r="C129" s="1" t="str">
        <f>IFERROR(__xludf.DUMMYFUNCTION("""COMPUTED_VALUE"""),"Les Petits Plats de Laurent Mariotte")</f>
        <v>Les Petits Plats de Laurent Mariotte</v>
      </c>
      <c r="D129" s="1" t="str">
        <f>IFERROR(__xludf.DUMMYFUNCTION("""COMPUTED_VALUE"""),"Bimestriel")</f>
        <v>Bimestriel</v>
      </c>
      <c r="E129" s="1" t="str">
        <f>IFERROR(__xludf.DUMMYFUNCTION("""COMPUTED_VALUE"""),"2024-2025")</f>
        <v>2024-2025</v>
      </c>
      <c r="F129" s="1" t="str">
        <f>IFERROR(__xludf.DUMMYFUNCTION("""COMPUTED_VALUE"""),"DSH")</f>
        <v>DSH</v>
      </c>
      <c r="G129" s="1" t="str">
        <f>IFERROR(__xludf.DUMMYFUNCTION("""COMPUTED_VALUE"""),"85 154")</f>
        <v>85 154</v>
      </c>
      <c r="H129" s="1" t="str">
        <f>IFERROR(__xludf.DUMMYFUNCTION("""COMPUTED_VALUE"""),"-2,58%")</f>
        <v>-2,58%</v>
      </c>
    </row>
    <row r="130">
      <c r="A130" s="1">
        <f>IFERROR(__xludf.DUMMYFUNCTION("""COMPUTED_VALUE"""),144.0)</f>
        <v>144</v>
      </c>
      <c r="B130" s="1"/>
      <c r="C130" s="1" t="str">
        <f>IFERROR(__xludf.DUMMYFUNCTION("""COMPUTED_VALUE"""),"Philosophie Magazine")</f>
        <v>Philosophie Magazine</v>
      </c>
      <c r="D130" s="1" t="str">
        <f>IFERROR(__xludf.DUMMYFUNCTION("""COMPUTED_VALUE"""),"Mensuel")</f>
        <v>Mensuel</v>
      </c>
      <c r="E130" s="1" t="str">
        <f>IFERROR(__xludf.DUMMYFUNCTION("""COMPUTED_VALUE"""),"2024-2025")</f>
        <v>2024-2025</v>
      </c>
      <c r="F130" s="1" t="str">
        <f>IFERROR(__xludf.DUMMYFUNCTION("""COMPUTED_VALUE"""),"DSH")</f>
        <v>DSH</v>
      </c>
      <c r="G130" s="1" t="str">
        <f>IFERROR(__xludf.DUMMYFUNCTION("""COMPUTED_VALUE"""),"35 091")</f>
        <v>35 091</v>
      </c>
      <c r="H130" s="1" t="str">
        <f>IFERROR(__xludf.DUMMYFUNCTION("""COMPUTED_VALUE"""),"2,07%")</f>
        <v>2,07%</v>
      </c>
    </row>
    <row r="131">
      <c r="A131" s="1">
        <f>IFERROR(__xludf.DUMMYFUNCTION("""COMPUTED_VALUE"""),196.0)</f>
        <v>196</v>
      </c>
      <c r="B131" s="1"/>
      <c r="C131" s="1" t="str">
        <f>IFERROR(__xludf.DUMMYFUNCTION("""COMPUTED_VALUE"""),"Phosphore")</f>
        <v>Phosphore</v>
      </c>
      <c r="D131" s="1" t="str">
        <f>IFERROR(__xludf.DUMMYFUNCTION("""COMPUTED_VALUE"""),"Bimensuel")</f>
        <v>Bimensuel</v>
      </c>
      <c r="E131" s="1" t="str">
        <f>IFERROR(__xludf.DUMMYFUNCTION("""COMPUTED_VALUE"""),"2024-2025")</f>
        <v>2024-2025</v>
      </c>
      <c r="F131" s="1" t="str">
        <f>IFERROR(__xludf.DUMMYFUNCTION("""COMPUTED_VALUE"""),"-")</f>
        <v>-</v>
      </c>
      <c r="G131" s="1" t="str">
        <f>IFERROR(__xludf.DUMMYFUNCTION("""COMPUTED_VALUE"""),"NC")</f>
        <v>NC</v>
      </c>
      <c r="H131" s="1" t="str">
        <f>IFERROR(__xludf.DUMMYFUNCTION("""COMPUTED_VALUE"""),"NC")</f>
        <v>NC</v>
      </c>
    </row>
    <row r="132">
      <c r="A132" s="1">
        <f>IFERROR(__xludf.DUMMYFUNCTION("""COMPUTED_VALUE"""),161.0)</f>
        <v>161</v>
      </c>
      <c r="B132" s="1"/>
      <c r="C132" s="1" t="str">
        <f>IFERROR(__xludf.DUMMYFUNCTION("""COMPUTED_VALUE"""),"Picoti")</f>
        <v>Picoti</v>
      </c>
      <c r="D132" s="1" t="str">
        <f>IFERROR(__xludf.DUMMYFUNCTION("""COMPUTED_VALUE"""),"Mensuel")</f>
        <v>Mensuel</v>
      </c>
      <c r="E132" s="1" t="str">
        <f>IFERROR(__xludf.DUMMYFUNCTION("""COMPUTED_VALUE"""),"2024-2025")</f>
        <v>2024-2025</v>
      </c>
      <c r="F132" s="1" t="str">
        <f>IFERROR(__xludf.DUMMYFUNCTION("""COMPUTED_VALUE"""),"DSH")</f>
        <v>DSH</v>
      </c>
      <c r="G132" s="1" t="str">
        <f>IFERROR(__xludf.DUMMYFUNCTION("""COMPUTED_VALUE"""),"23 537")</f>
        <v>23 537</v>
      </c>
      <c r="H132" s="1" t="str">
        <f>IFERROR(__xludf.DUMMYFUNCTION("""COMPUTED_VALUE"""),"-11,81%")</f>
        <v>-11,81%</v>
      </c>
    </row>
    <row r="133">
      <c r="A133" s="1">
        <f>IFERROR(__xludf.DUMMYFUNCTION("""COMPUTED_VALUE"""),91.0)</f>
        <v>91</v>
      </c>
      <c r="B133" s="1"/>
      <c r="C133" s="1" t="str">
        <f>IFERROR(__xludf.DUMMYFUNCTION("""COMPUTED_VALUE"""),"Picsou Magazine")</f>
        <v>Picsou Magazine</v>
      </c>
      <c r="D133" s="1" t="str">
        <f>IFERROR(__xludf.DUMMYFUNCTION("""COMPUTED_VALUE"""),"Mensuel")</f>
        <v>Mensuel</v>
      </c>
      <c r="E133" s="1" t="str">
        <f>IFERROR(__xludf.DUMMYFUNCTION("""COMPUTED_VALUE"""),"2024-2025")</f>
        <v>2024-2025</v>
      </c>
      <c r="F133" s="1" t="str">
        <f>IFERROR(__xludf.DUMMYFUNCTION("""COMPUTED_VALUE"""),"DSH")</f>
        <v>DSH</v>
      </c>
      <c r="G133" s="1" t="str">
        <f>IFERROR(__xludf.DUMMYFUNCTION("""COMPUTED_VALUE"""),"67 095")</f>
        <v>67 095</v>
      </c>
      <c r="H133" s="1" t="str">
        <f>IFERROR(__xludf.DUMMYFUNCTION("""COMPUTED_VALUE"""),"-4,36%")</f>
        <v>-4,36%</v>
      </c>
    </row>
    <row r="134">
      <c r="A134" s="1">
        <f>IFERROR(__xludf.DUMMYFUNCTION("""COMPUTED_VALUE"""),19.0)</f>
        <v>19</v>
      </c>
      <c r="B134" s="1"/>
      <c r="C134" s="1" t="str">
        <f>IFERROR(__xludf.DUMMYFUNCTION("""COMPUTED_VALUE"""),"Pleine Vie")</f>
        <v>Pleine Vie</v>
      </c>
      <c r="D134" s="1" t="str">
        <f>IFERROR(__xludf.DUMMYFUNCTION("""COMPUTED_VALUE"""),"Mensuel")</f>
        <v>Mensuel</v>
      </c>
      <c r="E134" s="1" t="str">
        <f>IFERROR(__xludf.DUMMYFUNCTION("""COMPUTED_VALUE"""),"2024-2025")</f>
        <v>2024-2025</v>
      </c>
      <c r="F134" s="1" t="str">
        <f>IFERROR(__xludf.DUMMYFUNCTION("""COMPUTED_VALUE"""),"DSH")</f>
        <v>DSH</v>
      </c>
      <c r="G134" s="1" t="str">
        <f>IFERROR(__xludf.DUMMYFUNCTION("""COMPUTED_VALUE"""),"300 382")</f>
        <v>300 382</v>
      </c>
      <c r="H134" s="1" t="str">
        <f>IFERROR(__xludf.DUMMYFUNCTION("""COMPUTED_VALUE"""),"-5,78%")</f>
        <v>-5,78%</v>
      </c>
    </row>
    <row r="135">
      <c r="A135" s="1">
        <f>IFERROR(__xludf.DUMMYFUNCTION("""COMPUTED_VALUE"""),49.0)</f>
        <v>49</v>
      </c>
      <c r="B135" s="1"/>
      <c r="C135" s="1" t="str">
        <f>IFERROR(__xludf.DUMMYFUNCTION("""COMPUTED_VALUE"""),"Plus de Pep's")</f>
        <v>Plus de Pep's</v>
      </c>
      <c r="D135" s="1" t="str">
        <f>IFERROR(__xludf.DUMMYFUNCTION("""COMPUTED_VALUE"""),"Bimestriel")</f>
        <v>Bimestriel</v>
      </c>
      <c r="E135" s="1" t="str">
        <f>IFERROR(__xludf.DUMMYFUNCTION("""COMPUTED_VALUE"""),"2024-2025")</f>
        <v>2024-2025</v>
      </c>
      <c r="F135" s="1" t="str">
        <f>IFERROR(__xludf.DUMMYFUNCTION("""COMPUTED_VALUE"""),"DSH")</f>
        <v>DSH</v>
      </c>
      <c r="G135" s="1" t="str">
        <f>IFERROR(__xludf.DUMMYFUNCTION("""COMPUTED_VALUE"""),"144 851")</f>
        <v>144 851</v>
      </c>
      <c r="H135" s="1" t="str">
        <f>IFERROR(__xludf.DUMMYFUNCTION("""COMPUTED_VALUE"""),"-3,48%")</f>
        <v>-3,48%</v>
      </c>
    </row>
    <row r="136">
      <c r="A136" s="1">
        <f>IFERROR(__xludf.DUMMYFUNCTION("""COMPUTED_VALUE"""),21.0)</f>
        <v>21</v>
      </c>
      <c r="B136" s="1"/>
      <c r="C136" s="1" t="str">
        <f>IFERROR(__xludf.DUMMYFUNCTION("""COMPUTED_VALUE"""),"Le Point")</f>
        <v>Le Point</v>
      </c>
      <c r="D136" s="1" t="str">
        <f>IFERROR(__xludf.DUMMYFUNCTION("""COMPUTED_VALUE"""),"Hebdomadaire")</f>
        <v>Hebdomadaire</v>
      </c>
      <c r="E136" s="1" t="str">
        <f>IFERROR(__xludf.DUMMYFUNCTION("""COMPUTED_VALUE"""),"2024-2025")</f>
        <v>2024-2025</v>
      </c>
      <c r="F136" s="1" t="str">
        <f>IFERROR(__xludf.DUMMYFUNCTION("""COMPUTED_VALUE"""),"PV")</f>
        <v>PV</v>
      </c>
      <c r="G136" s="1" t="str">
        <f>IFERROR(__xludf.DUMMYFUNCTION("""COMPUTED_VALUE"""),"277 217")</f>
        <v>277 217</v>
      </c>
      <c r="H136" s="1" t="str">
        <f>IFERROR(__xludf.DUMMYFUNCTION("""COMPUTED_VALUE"""),"-4,40%")</f>
        <v>-4,40%</v>
      </c>
    </row>
    <row r="137">
      <c r="A137" s="1">
        <f>IFERROR(__xludf.DUMMYFUNCTION("""COMPUTED_VALUE"""),77.0)</f>
        <v>77</v>
      </c>
      <c r="B137" s="1"/>
      <c r="C137" s="1" t="str">
        <f>IFERROR(__xludf.DUMMYFUNCTION("""COMPUTED_VALUE"""),"Point de Vue")</f>
        <v>Point de Vue</v>
      </c>
      <c r="D137" s="1" t="str">
        <f>IFERROR(__xludf.DUMMYFUNCTION("""COMPUTED_VALUE"""),"Hebdomadaire")</f>
        <v>Hebdomadaire</v>
      </c>
      <c r="E137" s="1" t="str">
        <f>IFERROR(__xludf.DUMMYFUNCTION("""COMPUTED_VALUE"""),"2024-2025")</f>
        <v>2024-2025</v>
      </c>
      <c r="F137" s="1" t="str">
        <f>IFERROR(__xludf.DUMMYFUNCTION("""COMPUTED_VALUE"""),"DSH")</f>
        <v>DSH</v>
      </c>
      <c r="G137" s="1" t="str">
        <f>IFERROR(__xludf.DUMMYFUNCTION("""COMPUTED_VALUE"""),"86 053")</f>
        <v>86 053</v>
      </c>
      <c r="H137" s="1" t="str">
        <f>IFERROR(__xludf.DUMMYFUNCTION("""COMPUTED_VALUE"""),"-10,80%")</f>
        <v>-10,80%</v>
      </c>
    </row>
    <row r="138">
      <c r="A138" s="1">
        <f>IFERROR(__xludf.DUMMYFUNCTION("""COMPUTED_VALUE"""),95.0)</f>
        <v>95</v>
      </c>
      <c r="B138" s="1"/>
      <c r="C138" s="1" t="str">
        <f>IFERROR(__xludf.DUMMYFUNCTION("""COMPUTED_VALUE"""),"Pomme d'Api")</f>
        <v>Pomme d'Api</v>
      </c>
      <c r="D138" s="1" t="str">
        <f>IFERROR(__xludf.DUMMYFUNCTION("""COMPUTED_VALUE"""),"Mensuel")</f>
        <v>Mensuel</v>
      </c>
      <c r="E138" s="1" t="str">
        <f>IFERROR(__xludf.DUMMYFUNCTION("""COMPUTED_VALUE"""),"2024-2025")</f>
        <v>2024-2025</v>
      </c>
      <c r="F138" s="1" t="str">
        <f>IFERROR(__xludf.DUMMYFUNCTION("""COMPUTED_VALUE"""),"DSH")</f>
        <v>DSH</v>
      </c>
      <c r="G138" s="1" t="str">
        <f>IFERROR(__xludf.DUMMYFUNCTION("""COMPUTED_VALUE"""),"65 592")</f>
        <v>65 592</v>
      </c>
      <c r="H138" s="1" t="str">
        <f>IFERROR(__xludf.DUMMYFUNCTION("""COMPUTED_VALUE"""),"-11,26%")</f>
        <v>-11,26%</v>
      </c>
    </row>
    <row r="139">
      <c r="A139" s="1">
        <f>IFERROR(__xludf.DUMMYFUNCTION("""COMPUTED_VALUE"""),125.0)</f>
        <v>125</v>
      </c>
      <c r="B139" s="1"/>
      <c r="C139" s="1" t="str">
        <f>IFERROR(__xludf.DUMMYFUNCTION("""COMPUTED_VALUE"""),"Popi")</f>
        <v>Popi</v>
      </c>
      <c r="D139" s="1" t="str">
        <f>IFERROR(__xludf.DUMMYFUNCTION("""COMPUTED_VALUE"""),"Mensuel")</f>
        <v>Mensuel</v>
      </c>
      <c r="E139" s="1" t="str">
        <f>IFERROR(__xludf.DUMMYFUNCTION("""COMPUTED_VALUE"""),"2024-2025")</f>
        <v>2024-2025</v>
      </c>
      <c r="F139" s="1" t="str">
        <f>IFERROR(__xludf.DUMMYFUNCTION("""COMPUTED_VALUE"""),"DSH")</f>
        <v>DSH</v>
      </c>
      <c r="G139" s="1" t="str">
        <f>IFERROR(__xludf.DUMMYFUNCTION("""COMPUTED_VALUE"""),"44 278")</f>
        <v>44 278</v>
      </c>
      <c r="H139" s="1" t="str">
        <f>IFERROR(__xludf.DUMMYFUNCTION("""COMPUTED_VALUE"""),"-9,92%")</f>
        <v>-9,92%</v>
      </c>
    </row>
    <row r="140">
      <c r="A140" s="1">
        <f>IFERROR(__xludf.DUMMYFUNCTION("""COMPUTED_VALUE"""),133.0)</f>
        <v>133</v>
      </c>
      <c r="B140" s="1"/>
      <c r="C140" s="1" t="str">
        <f>IFERROR(__xludf.DUMMYFUNCTION("""COMPUTED_VALUE"""),"Première")</f>
        <v>Première</v>
      </c>
      <c r="D140" s="1" t="str">
        <f>IFERROR(__xludf.DUMMYFUNCTION("""COMPUTED_VALUE"""),"Mensuel")</f>
        <v>Mensuel</v>
      </c>
      <c r="E140" s="1" t="str">
        <f>IFERROR(__xludf.DUMMYFUNCTION("""COMPUTED_VALUE"""),"2024-2025")</f>
        <v>2024-2025</v>
      </c>
      <c r="F140" s="1" t="str">
        <f>IFERROR(__xludf.DUMMYFUNCTION("""COMPUTED_VALUE"""),"DSH")</f>
        <v>DSH</v>
      </c>
      <c r="G140" s="1" t="str">
        <f>IFERROR(__xludf.DUMMYFUNCTION("""COMPUTED_VALUE"""),"40 202")</f>
        <v>40 202</v>
      </c>
      <c r="H140" s="1" t="str">
        <f>IFERROR(__xludf.DUMMYFUNCTION("""COMPUTED_VALUE"""),"-2,60%")</f>
        <v>-2,60%</v>
      </c>
    </row>
    <row r="141">
      <c r="A141" s="1">
        <f>IFERROR(__xludf.DUMMYFUNCTION("""COMPUTED_VALUE"""),31.0)</f>
        <v>31</v>
      </c>
      <c r="B141" s="1"/>
      <c r="C141" s="1" t="str">
        <f>IFERROR(__xludf.DUMMYFUNCTION("""COMPUTED_VALUE"""),"Prima")</f>
        <v>Prima</v>
      </c>
      <c r="D141" s="1" t="str">
        <f>IFERROR(__xludf.DUMMYFUNCTION("""COMPUTED_VALUE"""),"Mensuel")</f>
        <v>Mensuel</v>
      </c>
      <c r="E141" s="1" t="str">
        <f>IFERROR(__xludf.DUMMYFUNCTION("""COMPUTED_VALUE"""),"2024-2025")</f>
        <v>2024-2025</v>
      </c>
      <c r="F141" s="1" t="str">
        <f>IFERROR(__xludf.DUMMYFUNCTION("""COMPUTED_VALUE"""),"DSH")</f>
        <v>DSH</v>
      </c>
      <c r="G141" s="1" t="str">
        <f>IFERROR(__xludf.DUMMYFUNCTION("""COMPUTED_VALUE"""),"217 185")</f>
        <v>217 185</v>
      </c>
      <c r="H141" s="1" t="str">
        <f>IFERROR(__xludf.DUMMYFUNCTION("""COMPUTED_VALUE"""),"-1,99%")</f>
        <v>-1,99%</v>
      </c>
    </row>
    <row r="142">
      <c r="A142" s="1">
        <f>IFERROR(__xludf.DUMMYFUNCTION("""COMPUTED_VALUE"""),58.0)</f>
        <v>58</v>
      </c>
      <c r="B142" s="1"/>
      <c r="C142" s="1" t="str">
        <f>IFERROR(__xludf.DUMMYFUNCTION("""COMPUTED_VALUE"""),"Psychologies")</f>
        <v>Psychologies</v>
      </c>
      <c r="D142" s="1" t="str">
        <f>IFERROR(__xludf.DUMMYFUNCTION("""COMPUTED_VALUE"""),"Mensuel")</f>
        <v>Mensuel</v>
      </c>
      <c r="E142" s="1" t="str">
        <f>IFERROR(__xludf.DUMMYFUNCTION("""COMPUTED_VALUE"""),"2024-2025")</f>
        <v>2024-2025</v>
      </c>
      <c r="F142" s="1" t="str">
        <f>IFERROR(__xludf.DUMMYFUNCTION("""COMPUTED_VALUE"""),"DSH")</f>
        <v>DSH</v>
      </c>
      <c r="G142" s="1" t="str">
        <f>IFERROR(__xludf.DUMMYFUNCTION("""COMPUTED_VALUE"""),"126 807")</f>
        <v>126 807</v>
      </c>
      <c r="H142" s="1" t="str">
        <f>IFERROR(__xludf.DUMMYFUNCTION("""COMPUTED_VALUE"""),"-4,93%")</f>
        <v>-4,93%</v>
      </c>
    </row>
    <row r="143">
      <c r="A143" s="1">
        <f>IFERROR(__xludf.DUMMYFUNCTION("""COMPUTED_VALUE"""),80.0)</f>
        <v>80</v>
      </c>
      <c r="B143" s="1"/>
      <c r="C143" s="1" t="str">
        <f>IFERROR(__xludf.DUMMYFUNCTION("""COMPUTED_VALUE"""),"Public")</f>
        <v>Public</v>
      </c>
      <c r="D143" s="1" t="str">
        <f>IFERROR(__xludf.DUMMYFUNCTION("""COMPUTED_VALUE"""),"Hebdomadaire")</f>
        <v>Hebdomadaire</v>
      </c>
      <c r="E143" s="1" t="str">
        <f>IFERROR(__xludf.DUMMYFUNCTION("""COMPUTED_VALUE"""),"2024-2025")</f>
        <v>2024-2025</v>
      </c>
      <c r="F143" s="1" t="str">
        <f>IFERROR(__xludf.DUMMYFUNCTION("""COMPUTED_VALUE"""),"DSH")</f>
        <v>DSH</v>
      </c>
      <c r="G143" s="1" t="str">
        <f>IFERROR(__xludf.DUMMYFUNCTION("""COMPUTED_VALUE"""),"83 556")</f>
        <v>83 556</v>
      </c>
      <c r="H143" s="1" t="str">
        <f>IFERROR(__xludf.DUMMYFUNCTION("""COMPUTED_VALUE"""),"-3,63%")</f>
        <v>-3,63%</v>
      </c>
    </row>
    <row r="144">
      <c r="A144" s="1">
        <f>IFERROR(__xludf.DUMMYFUNCTION("""COMPUTED_VALUE"""),39.0)</f>
        <v>39</v>
      </c>
      <c r="B144" s="1"/>
      <c r="C144" s="1" t="str">
        <f>IFERROR(__xludf.DUMMYFUNCTION("""COMPUTED_VALUE"""),"Régal")</f>
        <v>Régal</v>
      </c>
      <c r="D144" s="1" t="str">
        <f>IFERROR(__xludf.DUMMYFUNCTION("""COMPUTED_VALUE"""),"Bimestriel")</f>
        <v>Bimestriel</v>
      </c>
      <c r="E144" s="1" t="str">
        <f>IFERROR(__xludf.DUMMYFUNCTION("""COMPUTED_VALUE"""),"2024-2025")</f>
        <v>2024-2025</v>
      </c>
      <c r="F144" s="1" t="str">
        <f>IFERROR(__xludf.DUMMYFUNCTION("""COMPUTED_VALUE"""),"DSH")</f>
        <v>DSH</v>
      </c>
      <c r="G144" s="1" t="str">
        <f>IFERROR(__xludf.DUMMYFUNCTION("""COMPUTED_VALUE"""),"170 309")</f>
        <v>170 309</v>
      </c>
      <c r="H144" s="1" t="str">
        <f>IFERROR(__xludf.DUMMYFUNCTION("""COMPUTED_VALUE"""),"-9,07%")</f>
        <v>-9,07%</v>
      </c>
    </row>
    <row r="145">
      <c r="A145" s="1">
        <f>IFERROR(__xludf.DUMMYFUNCTION("""COMPUTED_VALUE"""),175.0)</f>
        <v>175</v>
      </c>
      <c r="B145" s="1"/>
      <c r="C145" s="1" t="str">
        <f>IFERROR(__xludf.DUMMYFUNCTION("""COMPUTED_VALUE"""),"La Reine des Neiges")</f>
        <v>La Reine des Neiges</v>
      </c>
      <c r="D145" s="1" t="str">
        <f>IFERROR(__xludf.DUMMYFUNCTION("""COMPUTED_VALUE"""),"Bimestriel")</f>
        <v>Bimestriel</v>
      </c>
      <c r="E145" s="1" t="str">
        <f>IFERROR(__xludf.DUMMYFUNCTION("""COMPUTED_VALUE"""),"2024-2025")</f>
        <v>2024-2025</v>
      </c>
      <c r="F145" s="1" t="str">
        <f>IFERROR(__xludf.DUMMYFUNCTION("""COMPUTED_VALUE"""),"DSH")</f>
        <v>DSH</v>
      </c>
      <c r="G145" s="1" t="str">
        <f>IFERROR(__xludf.DUMMYFUNCTION("""COMPUTED_VALUE"""),"17 414")</f>
        <v>17 414</v>
      </c>
      <c r="H145" s="1" t="str">
        <f>IFERROR(__xludf.DUMMYFUNCTION("""COMPUTED_VALUE"""),"-0,16%")</f>
        <v>-0,16%</v>
      </c>
    </row>
    <row r="146">
      <c r="A146" s="1">
        <f>IFERROR(__xludf.DUMMYFUNCTION("""COMPUTED_VALUE"""),147.0)</f>
        <v>147</v>
      </c>
      <c r="B146" s="1"/>
      <c r="C146" s="1" t="str">
        <f>IFERROR(__xludf.DUMMYFUNCTION("""COMPUTED_VALUE"""),"La Revue Nationale de la Chasse")</f>
        <v>La Revue Nationale de la Chasse</v>
      </c>
      <c r="D146" s="1" t="str">
        <f>IFERROR(__xludf.DUMMYFUNCTION("""COMPUTED_VALUE"""),"Mensuel")</f>
        <v>Mensuel</v>
      </c>
      <c r="E146" s="1" t="str">
        <f>IFERROR(__xludf.DUMMYFUNCTION("""COMPUTED_VALUE"""),"2024-2025")</f>
        <v>2024-2025</v>
      </c>
      <c r="F146" s="1" t="str">
        <f>IFERROR(__xludf.DUMMYFUNCTION("""COMPUTED_VALUE"""),"DSH")</f>
        <v>DSH</v>
      </c>
      <c r="G146" s="1" t="str">
        <f>IFERROR(__xludf.DUMMYFUNCTION("""COMPUTED_VALUE"""),"32 301")</f>
        <v>32 301</v>
      </c>
      <c r="H146" s="1" t="str">
        <f>IFERROR(__xludf.DUMMYFUNCTION("""COMPUTED_VALUE"""),"-7,89%")</f>
        <v>-7,89%</v>
      </c>
    </row>
    <row r="147">
      <c r="A147" s="1">
        <f>IFERROR(__xludf.DUMMYFUNCTION("""COMPUTED_VALUE"""),180.0)</f>
        <v>180</v>
      </c>
      <c r="B147" s="1"/>
      <c r="C147" s="1" t="str">
        <f>IFERROR(__xludf.DUMMYFUNCTION("""COMPUTED_VALUE"""),"Rock &amp; Folk")</f>
        <v>Rock &amp; Folk</v>
      </c>
      <c r="D147" s="1" t="str">
        <f>IFERROR(__xludf.DUMMYFUNCTION("""COMPUTED_VALUE"""),"Mensuel")</f>
        <v>Mensuel</v>
      </c>
      <c r="E147" s="1" t="str">
        <f>IFERROR(__xludf.DUMMYFUNCTION("""COMPUTED_VALUE"""),"2024-2025")</f>
        <v>2024-2025</v>
      </c>
      <c r="F147" s="1" t="str">
        <f>IFERROR(__xludf.DUMMYFUNCTION("""COMPUTED_VALUE"""),"DSH")</f>
        <v>DSH</v>
      </c>
      <c r="G147" s="1" t="str">
        <f>IFERROR(__xludf.DUMMYFUNCTION("""COMPUTED_VALUE"""),"15 535")</f>
        <v>15 535</v>
      </c>
      <c r="H147" s="1" t="str">
        <f>IFERROR(__xludf.DUMMYFUNCTION("""COMPUTED_VALUE"""),"-4,62%")</f>
        <v>-4,62%</v>
      </c>
    </row>
    <row r="148">
      <c r="A148" s="1">
        <f>IFERROR(__xludf.DUMMYFUNCTION("""COMPUTED_VALUE"""),66.0)</f>
        <v>66</v>
      </c>
      <c r="B148" s="1"/>
      <c r="C148" s="1" t="str">
        <f>IFERROR(__xludf.DUMMYFUNCTION("""COMPUTED_VALUE"""),"Rustica")</f>
        <v>Rustica</v>
      </c>
      <c r="D148" s="1" t="str">
        <f>IFERROR(__xludf.DUMMYFUNCTION("""COMPUTED_VALUE"""),"Hebdomadaire")</f>
        <v>Hebdomadaire</v>
      </c>
      <c r="E148" s="1" t="str">
        <f>IFERROR(__xludf.DUMMYFUNCTION("""COMPUTED_VALUE"""),"2024-2025")</f>
        <v>2024-2025</v>
      </c>
      <c r="F148" s="1" t="str">
        <f>IFERROR(__xludf.DUMMYFUNCTION("""COMPUTED_VALUE"""),"DSH")</f>
        <v>DSH</v>
      </c>
      <c r="G148" s="1" t="str">
        <f>IFERROR(__xludf.DUMMYFUNCTION("""COMPUTED_VALUE"""),"102 593")</f>
        <v>102 593</v>
      </c>
      <c r="H148" s="1" t="str">
        <f>IFERROR(__xludf.DUMMYFUNCTION("""COMPUTED_VALUE"""),"-10,03%")</f>
        <v>-10,03%</v>
      </c>
    </row>
    <row r="149">
      <c r="A149" s="1">
        <f>IFERROR(__xludf.DUMMYFUNCTION("""COMPUTED_VALUE"""),28.0)</f>
        <v>28</v>
      </c>
      <c r="B149" s="1"/>
      <c r="C149" s="1" t="str">
        <f>IFERROR(__xludf.DUMMYFUNCTION("""COMPUTED_VALUE"""),"Santé Magazine")</f>
        <v>Santé Magazine</v>
      </c>
      <c r="D149" s="1" t="str">
        <f>IFERROR(__xludf.DUMMYFUNCTION("""COMPUTED_VALUE"""),"Mensuel")</f>
        <v>Mensuel</v>
      </c>
      <c r="E149" s="1" t="str">
        <f>IFERROR(__xludf.DUMMYFUNCTION("""COMPUTED_VALUE"""),"2024-2025")</f>
        <v>2024-2025</v>
      </c>
      <c r="F149" s="1" t="str">
        <f>IFERROR(__xludf.DUMMYFUNCTION("""COMPUTED_VALUE"""),"DSH")</f>
        <v>DSH</v>
      </c>
      <c r="G149" s="1" t="str">
        <f>IFERROR(__xludf.DUMMYFUNCTION("""COMPUTED_VALUE"""),"231 617")</f>
        <v>231 617</v>
      </c>
      <c r="H149" s="28">
        <f>IFERROR(__xludf.DUMMYFUNCTION("""COMPUTED_VALUE"""),-0.03)</f>
        <v>-0.03</v>
      </c>
    </row>
    <row r="150">
      <c r="A150" s="1">
        <f>IFERROR(__xludf.DUMMYFUNCTION("""COMPUTED_VALUE"""),118.0)</f>
        <v>118</v>
      </c>
      <c r="B150" s="1"/>
      <c r="C150" s="1" t="str">
        <f>IFERROR(__xludf.DUMMYFUNCTION("""COMPUTED_VALUE"""),"Saveurs")</f>
        <v>Saveurs</v>
      </c>
      <c r="D150" s="1" t="str">
        <f>IFERROR(__xludf.DUMMYFUNCTION("""COMPUTED_VALUE"""),"Mensuel")</f>
        <v>Mensuel</v>
      </c>
      <c r="E150" s="1" t="str">
        <f>IFERROR(__xludf.DUMMYFUNCTION("""COMPUTED_VALUE"""),"2024-2025")</f>
        <v>2024-2025</v>
      </c>
      <c r="F150" s="1" t="str">
        <f>IFERROR(__xludf.DUMMYFUNCTION("""COMPUTED_VALUE"""),"DSH")</f>
        <v>DSH</v>
      </c>
      <c r="G150" s="1" t="str">
        <f>IFERROR(__xludf.DUMMYFUNCTION("""COMPUTED_VALUE"""),"48 148")</f>
        <v>48 148</v>
      </c>
      <c r="H150" s="1" t="str">
        <f>IFERROR(__xludf.DUMMYFUNCTION("""COMPUTED_VALUE"""),"-6,16%")</f>
        <v>-6,16%</v>
      </c>
    </row>
    <row r="151">
      <c r="A151" s="1">
        <f>IFERROR(__xludf.DUMMYFUNCTION("""COMPUTED_VALUE"""),61.0)</f>
        <v>61</v>
      </c>
      <c r="B151" s="1"/>
      <c r="C151" s="1" t="str">
        <f>IFERROR(__xludf.DUMMYFUNCTION("""COMPUTED_VALUE"""),"Science &amp; Vie")</f>
        <v>Science &amp; Vie</v>
      </c>
      <c r="D151" s="1" t="str">
        <f>IFERROR(__xludf.DUMMYFUNCTION("""COMPUTED_VALUE"""),"Mensuel")</f>
        <v>Mensuel</v>
      </c>
      <c r="E151" s="1" t="str">
        <f>IFERROR(__xludf.DUMMYFUNCTION("""COMPUTED_VALUE"""),"2024-2025")</f>
        <v>2024-2025</v>
      </c>
      <c r="F151" s="1" t="str">
        <f>IFERROR(__xludf.DUMMYFUNCTION("""COMPUTED_VALUE"""),"DSH")</f>
        <v>DSH</v>
      </c>
      <c r="G151" s="1" t="str">
        <f>IFERROR(__xludf.DUMMYFUNCTION("""COMPUTED_VALUE"""),"120 990")</f>
        <v>120 990</v>
      </c>
      <c r="H151" s="1" t="str">
        <f>IFERROR(__xludf.DUMMYFUNCTION("""COMPUTED_VALUE"""),"-6,98%")</f>
        <v>-6,98%</v>
      </c>
    </row>
    <row r="152">
      <c r="A152" s="1">
        <f>IFERROR(__xludf.DUMMYFUNCTION("""COMPUTED_VALUE"""),82.0)</f>
        <v>82</v>
      </c>
      <c r="B152" s="1"/>
      <c r="C152" s="1" t="str">
        <f>IFERROR(__xludf.DUMMYFUNCTION("""COMPUTED_VALUE"""),"Science &amp; Vie Junior")</f>
        <v>Science &amp; Vie Junior</v>
      </c>
      <c r="D152" s="1" t="str">
        <f>IFERROR(__xludf.DUMMYFUNCTION("""COMPUTED_VALUE"""),"Mensuel")</f>
        <v>Mensuel</v>
      </c>
      <c r="E152" s="1" t="str">
        <f>IFERROR(__xludf.DUMMYFUNCTION("""COMPUTED_VALUE"""),"2024-2025")</f>
        <v>2024-2025</v>
      </c>
      <c r="F152" s="1" t="str">
        <f>IFERROR(__xludf.DUMMYFUNCTION("""COMPUTED_VALUE"""),"DSH")</f>
        <v>DSH</v>
      </c>
      <c r="G152" s="1" t="str">
        <f>IFERROR(__xludf.DUMMYFUNCTION("""COMPUTED_VALUE"""),"79 399")</f>
        <v>79 399</v>
      </c>
      <c r="H152" s="1" t="str">
        <f>IFERROR(__xludf.DUMMYFUNCTION("""COMPUTED_VALUE"""),"-9,03%")</f>
        <v>-9,03%</v>
      </c>
    </row>
    <row r="153">
      <c r="A153" s="1">
        <f>IFERROR(__xludf.DUMMYFUNCTION("""COMPUTED_VALUE"""),36.0)</f>
        <v>36</v>
      </c>
      <c r="B153" s="1"/>
      <c r="C153" s="1" t="str">
        <f>IFERROR(__xludf.DUMMYFUNCTION("""COMPUTED_VALUE"""),"Sciences et Avenir")</f>
        <v>Sciences et Avenir</v>
      </c>
      <c r="D153" s="1" t="str">
        <f>IFERROR(__xludf.DUMMYFUNCTION("""COMPUTED_VALUE"""),"Mensuel")</f>
        <v>Mensuel</v>
      </c>
      <c r="E153" s="1" t="str">
        <f>IFERROR(__xludf.DUMMYFUNCTION("""COMPUTED_VALUE"""),"2024-2025")</f>
        <v>2024-2025</v>
      </c>
      <c r="F153" s="1" t="str">
        <f>IFERROR(__xludf.DUMMYFUNCTION("""COMPUTED_VALUE"""),"DSH")</f>
        <v>DSH</v>
      </c>
      <c r="G153" s="1" t="str">
        <f>IFERROR(__xludf.DUMMYFUNCTION("""COMPUTED_VALUE"""),"174 826")</f>
        <v>174 826</v>
      </c>
      <c r="H153" s="1" t="str">
        <f>IFERROR(__xludf.DUMMYFUNCTION("""COMPUTED_VALUE"""),"-6,77%")</f>
        <v>-6,77%</v>
      </c>
    </row>
    <row r="154">
      <c r="A154" s="1">
        <f>IFERROR(__xludf.DUMMYFUNCTION("""COMPUTED_VALUE"""),101.0)</f>
        <v>101</v>
      </c>
      <c r="B154" s="1"/>
      <c r="C154" s="1" t="str">
        <f>IFERROR(__xludf.DUMMYFUNCTION("""COMPUTED_VALUE"""),"Silence ça Pousse !")</f>
        <v>Silence ça Pousse !</v>
      </c>
      <c r="D154" s="1" t="str">
        <f>IFERROR(__xludf.DUMMYFUNCTION("""COMPUTED_VALUE"""),"Bimestriel")</f>
        <v>Bimestriel</v>
      </c>
      <c r="E154" s="1" t="str">
        <f>IFERROR(__xludf.DUMMYFUNCTION("""COMPUTED_VALUE"""),"2024-2025")</f>
        <v>2024-2025</v>
      </c>
      <c r="F154" s="1" t="str">
        <f>IFERROR(__xludf.DUMMYFUNCTION("""COMPUTED_VALUE"""),"DSH")</f>
        <v>DSH</v>
      </c>
      <c r="G154" s="1" t="str">
        <f>IFERROR(__xludf.DUMMYFUNCTION("""COMPUTED_VALUE"""),"58 859")</f>
        <v>58 859</v>
      </c>
      <c r="H154" s="1" t="str">
        <f>IFERROR(__xludf.DUMMYFUNCTION("""COMPUTED_VALUE"""),"-9,65%")</f>
        <v>-9,65%</v>
      </c>
    </row>
    <row r="155">
      <c r="A155" s="1">
        <f>IFERROR(__xludf.DUMMYFUNCTION("""COMPUTED_VALUE"""),129.0)</f>
        <v>129</v>
      </c>
      <c r="B155" s="1"/>
      <c r="C155" s="1" t="str">
        <f>IFERROR(__xludf.DUMMYFUNCTION("""COMPUTED_VALUE"""),"So Foot")</f>
        <v>So Foot</v>
      </c>
      <c r="D155" s="1" t="str">
        <f>IFERROR(__xludf.DUMMYFUNCTION("""COMPUTED_VALUE"""),"Mensuel")</f>
        <v>Mensuel</v>
      </c>
      <c r="E155" s="1" t="str">
        <f>IFERROR(__xludf.DUMMYFUNCTION("""COMPUTED_VALUE"""),"2024-2025")</f>
        <v>2024-2025</v>
      </c>
      <c r="F155" s="1" t="str">
        <f>IFERROR(__xludf.DUMMYFUNCTION("""COMPUTED_VALUE"""),"DSH")</f>
        <v>DSH</v>
      </c>
      <c r="G155" s="1" t="str">
        <f>IFERROR(__xludf.DUMMYFUNCTION("""COMPUTED_VALUE"""),"42 394")</f>
        <v>42 394</v>
      </c>
      <c r="H155" s="1" t="str">
        <f>IFERROR(__xludf.DUMMYFUNCTION("""COMPUTED_VALUE"""),"12,57%")</f>
        <v>12,57%</v>
      </c>
    </row>
    <row r="156">
      <c r="A156" s="1">
        <f>IFERROR(__xludf.DUMMYFUNCTION("""COMPUTED_VALUE"""),132.0)</f>
        <v>132</v>
      </c>
      <c r="B156" s="1"/>
      <c r="C156" s="1" t="str">
        <f>IFERROR(__xludf.DUMMYFUNCTION("""COMPUTED_VALUE"""),"Society")</f>
        <v>Society</v>
      </c>
      <c r="D156" s="1" t="str">
        <f>IFERROR(__xludf.DUMMYFUNCTION("""COMPUTED_VALUE"""),"Bimensuel")</f>
        <v>Bimensuel</v>
      </c>
      <c r="E156" s="1" t="str">
        <f>IFERROR(__xludf.DUMMYFUNCTION("""COMPUTED_VALUE"""),"2024-2025")</f>
        <v>2024-2025</v>
      </c>
      <c r="F156" s="1" t="str">
        <f>IFERROR(__xludf.DUMMYFUNCTION("""COMPUTED_VALUE"""),"DSH")</f>
        <v>DSH</v>
      </c>
      <c r="G156" s="1" t="str">
        <f>IFERROR(__xludf.DUMMYFUNCTION("""COMPUTED_VALUE"""),"40 417")</f>
        <v>40 417</v>
      </c>
      <c r="H156" s="1" t="str">
        <f>IFERROR(__xludf.DUMMYFUNCTION("""COMPUTED_VALUE"""),"-1,66%")</f>
        <v>-1,66%</v>
      </c>
    </row>
    <row r="157">
      <c r="A157" s="1">
        <f>IFERROR(__xludf.DUMMYFUNCTION("""COMPUTED_VALUE"""),177.0)</f>
        <v>177</v>
      </c>
      <c r="B157" s="1"/>
      <c r="C157" s="1" t="str">
        <f>IFERROR(__xludf.DUMMYFUNCTION("""COMPUTED_VALUE"""),"Sorcières")</f>
        <v>Sorcières</v>
      </c>
      <c r="D157" s="1" t="str">
        <f>IFERROR(__xludf.DUMMYFUNCTION("""COMPUTED_VALUE"""),"Mensuel")</f>
        <v>Mensuel</v>
      </c>
      <c r="E157" s="1" t="str">
        <f>IFERROR(__xludf.DUMMYFUNCTION("""COMPUTED_VALUE"""),"2024-2025")</f>
        <v>2024-2025</v>
      </c>
      <c r="F157" s="1" t="str">
        <f>IFERROR(__xludf.DUMMYFUNCTION("""COMPUTED_VALUE"""),"DSH")</f>
        <v>DSH</v>
      </c>
      <c r="G157" s="1" t="str">
        <f>IFERROR(__xludf.DUMMYFUNCTION("""COMPUTED_VALUE"""),"16 901")</f>
        <v>16 901</v>
      </c>
      <c r="H157" s="1" t="str">
        <f>IFERROR(__xludf.DUMMYFUNCTION("""COMPUTED_VALUE"""),"-10,39%")</f>
        <v>-10,39%</v>
      </c>
    </row>
    <row r="158">
      <c r="A158" s="1">
        <f>IFERROR(__xludf.DUMMYFUNCTION("""COMPUTED_VALUE"""),164.0)</f>
        <v>164</v>
      </c>
      <c r="B158" s="1"/>
      <c r="C158" s="1" t="str">
        <f>IFERROR(__xludf.DUMMYFUNCTION("""COMPUTED_VALUE"""),"Spirou")</f>
        <v>Spirou</v>
      </c>
      <c r="D158" s="1" t="str">
        <f>IFERROR(__xludf.DUMMYFUNCTION("""COMPUTED_VALUE"""),"Hebdomadaire")</f>
        <v>Hebdomadaire</v>
      </c>
      <c r="E158" s="1" t="str">
        <f>IFERROR(__xludf.DUMMYFUNCTION("""COMPUTED_VALUE"""),"2024-2025")</f>
        <v>2024-2025</v>
      </c>
      <c r="F158" s="1" t="str">
        <f>IFERROR(__xludf.DUMMYFUNCTION("""COMPUTED_VALUE"""),"DSH")</f>
        <v>DSH</v>
      </c>
      <c r="G158" s="1" t="str">
        <f>IFERROR(__xludf.DUMMYFUNCTION("""COMPUTED_VALUE"""),"22 996")</f>
        <v>22 996</v>
      </c>
      <c r="H158" s="1" t="str">
        <f>IFERROR(__xludf.DUMMYFUNCTION("""COMPUTED_VALUE"""),"-7,73%")</f>
        <v>-7,73%</v>
      </c>
    </row>
    <row r="159">
      <c r="A159" s="1">
        <f>IFERROR(__xludf.DUMMYFUNCTION("""COMPUTED_VALUE"""),146.0)</f>
        <v>146</v>
      </c>
      <c r="B159" s="1"/>
      <c r="C159" s="1" t="str">
        <f>IFERROR(__xludf.DUMMYFUNCTION("""COMPUTED_VALUE"""),"Sport Auto")</f>
        <v>Sport Auto</v>
      </c>
      <c r="D159" s="1" t="str">
        <f>IFERROR(__xludf.DUMMYFUNCTION("""COMPUTED_VALUE"""),"Mensuel")</f>
        <v>Mensuel</v>
      </c>
      <c r="E159" s="1" t="str">
        <f>IFERROR(__xludf.DUMMYFUNCTION("""COMPUTED_VALUE"""),"2024-2025")</f>
        <v>2024-2025</v>
      </c>
      <c r="F159" s="1" t="str">
        <f>IFERROR(__xludf.DUMMYFUNCTION("""COMPUTED_VALUE"""),"DSH")</f>
        <v>DSH</v>
      </c>
      <c r="G159" s="1" t="str">
        <f>IFERROR(__xludf.DUMMYFUNCTION("""COMPUTED_VALUE"""),"33 825")</f>
        <v>33 825</v>
      </c>
      <c r="H159" s="1" t="str">
        <f>IFERROR(__xludf.DUMMYFUNCTION("""COMPUTED_VALUE"""),"-4,66%")</f>
        <v>-4,66%</v>
      </c>
    </row>
    <row r="160">
      <c r="A160" s="1">
        <f>IFERROR(__xludf.DUMMYFUNCTION("""COMPUTED_VALUE"""),193.0)</f>
        <v>193</v>
      </c>
      <c r="B160" s="1"/>
      <c r="C160" s="1" t="str">
        <f>IFERROR(__xludf.DUMMYFUNCTION("""COMPUTED_VALUE"""),"Subaqua")</f>
        <v>Subaqua</v>
      </c>
      <c r="D160" s="1" t="str">
        <f>IFERROR(__xludf.DUMMYFUNCTION("""COMPUTED_VALUE"""),"Bimestriel")</f>
        <v>Bimestriel</v>
      </c>
      <c r="E160" s="1" t="str">
        <f>IFERROR(__xludf.DUMMYFUNCTION("""COMPUTED_VALUE"""),"2024-2025")</f>
        <v>2024-2025</v>
      </c>
      <c r="F160" s="1" t="str">
        <f>IFERROR(__xludf.DUMMYFUNCTION("""COMPUTED_VALUE"""),"DSH")</f>
        <v>DSH</v>
      </c>
      <c r="G160" s="1" t="str">
        <f>IFERROR(__xludf.DUMMYFUNCTION("""COMPUTED_VALUE"""),"2 730")</f>
        <v>2 730</v>
      </c>
      <c r="H160" s="1" t="str">
        <f>IFERROR(__xludf.DUMMYFUNCTION("""COMPUTED_VALUE"""),"-6,63%")</f>
        <v>-6,63%</v>
      </c>
    </row>
    <row r="161">
      <c r="A161" s="1">
        <f>IFERROR(__xludf.DUMMYFUNCTION("""COMPUTED_VALUE"""),116.0)</f>
        <v>116</v>
      </c>
      <c r="B161" s="1"/>
      <c r="C161" s="1" t="str">
        <f>IFERROR(__xludf.DUMMYFUNCTION("""COMPUTED_VALUE"""),"Super Picsou Géant")</f>
        <v>Super Picsou Géant</v>
      </c>
      <c r="D161" s="1" t="str">
        <f>IFERROR(__xludf.DUMMYFUNCTION("""COMPUTED_VALUE"""),"Bimestriel")</f>
        <v>Bimestriel</v>
      </c>
      <c r="E161" s="1" t="str">
        <f>IFERROR(__xludf.DUMMYFUNCTION("""COMPUTED_VALUE"""),"2024-2025")</f>
        <v>2024-2025</v>
      </c>
      <c r="F161" s="1" t="str">
        <f>IFERROR(__xludf.DUMMYFUNCTION("""COMPUTED_VALUE"""),"DSH")</f>
        <v>DSH</v>
      </c>
      <c r="G161" s="1" t="str">
        <f>IFERROR(__xludf.DUMMYFUNCTION("""COMPUTED_VALUE"""),"49 757")</f>
        <v>49 757</v>
      </c>
      <c r="H161" s="1" t="str">
        <f>IFERROR(__xludf.DUMMYFUNCTION("""COMPUTED_VALUE"""),"-13,17%")</f>
        <v>-13,17%</v>
      </c>
    </row>
    <row r="162">
      <c r="A162" s="1">
        <f>IFERROR(__xludf.DUMMYFUNCTION("""COMPUTED_VALUE"""),104.0)</f>
        <v>104</v>
      </c>
      <c r="B162" s="1"/>
      <c r="C162" s="1" t="str">
        <f>IFERROR(__xludf.DUMMYFUNCTION("""COMPUTED_VALUE"""),"Système D")</f>
        <v>Système D</v>
      </c>
      <c r="D162" s="1" t="str">
        <f>IFERROR(__xludf.DUMMYFUNCTION("""COMPUTED_VALUE"""),"Mensuel")</f>
        <v>Mensuel</v>
      </c>
      <c r="E162" s="1" t="str">
        <f>IFERROR(__xludf.DUMMYFUNCTION("""COMPUTED_VALUE"""),"2024-2025")</f>
        <v>2024-2025</v>
      </c>
      <c r="F162" s="1" t="str">
        <f>IFERROR(__xludf.DUMMYFUNCTION("""COMPUTED_VALUE"""),"DSH")</f>
        <v>DSH</v>
      </c>
      <c r="G162" s="1" t="str">
        <f>IFERROR(__xludf.DUMMYFUNCTION("""COMPUTED_VALUE"""),"55 314")</f>
        <v>55 314</v>
      </c>
      <c r="H162" s="1" t="str">
        <f>IFERROR(__xludf.DUMMYFUNCTION("""COMPUTED_VALUE"""),"-12,15%")</f>
        <v>-12,15%</v>
      </c>
    </row>
    <row r="163">
      <c r="A163" s="1">
        <f>IFERROR(__xludf.DUMMYFUNCTION("""COMPUTED_VALUE"""),33.0)</f>
        <v>33</v>
      </c>
      <c r="B163" s="1"/>
      <c r="C163" s="1" t="str">
        <f>IFERROR(__xludf.DUMMYFUNCTION("""COMPUTED_VALUE"""),"Télé 15 jours")</f>
        <v>Télé 15 jours</v>
      </c>
      <c r="D163" s="1" t="str">
        <f>IFERROR(__xludf.DUMMYFUNCTION("""COMPUTED_VALUE"""),"Bimensuel")</f>
        <v>Bimensuel</v>
      </c>
      <c r="E163" s="1" t="str">
        <f>IFERROR(__xludf.DUMMYFUNCTION("""COMPUTED_VALUE"""),"2024-2025")</f>
        <v>2024-2025</v>
      </c>
      <c r="F163" s="1" t="str">
        <f>IFERROR(__xludf.DUMMYFUNCTION("""COMPUTED_VALUE"""),"DSH")</f>
        <v>DSH</v>
      </c>
      <c r="G163" s="1" t="str">
        <f>IFERROR(__xludf.DUMMYFUNCTION("""COMPUTED_VALUE"""),"197 945")</f>
        <v>197 945</v>
      </c>
      <c r="H163" s="1" t="str">
        <f>IFERROR(__xludf.DUMMYFUNCTION("""COMPUTED_VALUE"""),"14,74%")</f>
        <v>14,74%</v>
      </c>
    </row>
    <row r="164">
      <c r="A164" s="1">
        <f>IFERROR(__xludf.DUMMYFUNCTION("""COMPUTED_VALUE"""),11.0)</f>
        <v>11</v>
      </c>
      <c r="B164" s="1"/>
      <c r="C164" s="1" t="str">
        <f>IFERROR(__xludf.DUMMYFUNCTION("""COMPUTED_VALUE"""),"Télé 2 Semaines")</f>
        <v>Télé 2 Semaines</v>
      </c>
      <c r="D164" s="1" t="str">
        <f>IFERROR(__xludf.DUMMYFUNCTION("""COMPUTED_VALUE"""),"Bimensuel")</f>
        <v>Bimensuel</v>
      </c>
      <c r="E164" s="1" t="str">
        <f>IFERROR(__xludf.DUMMYFUNCTION("""COMPUTED_VALUE"""),"2024-2025")</f>
        <v>2024-2025</v>
      </c>
      <c r="F164" s="1" t="str">
        <f>IFERROR(__xludf.DUMMYFUNCTION("""COMPUTED_VALUE"""),"DSH")</f>
        <v>DSH</v>
      </c>
      <c r="G164" s="1" t="str">
        <f>IFERROR(__xludf.DUMMYFUNCTION("""COMPUTED_VALUE"""),"442 655")</f>
        <v>442 655</v>
      </c>
      <c r="H164" s="1" t="str">
        <f>IFERROR(__xludf.DUMMYFUNCTION("""COMPUTED_VALUE"""),"-7,29%")</f>
        <v>-7,29%</v>
      </c>
    </row>
    <row r="165">
      <c r="A165" s="1">
        <f>IFERROR(__xludf.DUMMYFUNCTION("""COMPUTED_VALUE"""),83.0)</f>
        <v>83</v>
      </c>
      <c r="B165" s="1"/>
      <c r="C165" s="1" t="str">
        <f>IFERROR(__xludf.DUMMYFUNCTION("""COMPUTED_VALUE"""),"Télé 7 Jeux")</f>
        <v>Télé 7 Jeux</v>
      </c>
      <c r="D165" s="1" t="str">
        <f>IFERROR(__xludf.DUMMYFUNCTION("""COMPUTED_VALUE"""),"Mensuel")</f>
        <v>Mensuel</v>
      </c>
      <c r="E165" s="1" t="str">
        <f>IFERROR(__xludf.DUMMYFUNCTION("""COMPUTED_VALUE"""),"2024-2025")</f>
        <v>2024-2025</v>
      </c>
      <c r="F165" s="1" t="str">
        <f>IFERROR(__xludf.DUMMYFUNCTION("""COMPUTED_VALUE"""),"DSH")</f>
        <v>DSH</v>
      </c>
      <c r="G165" s="1" t="str">
        <f>IFERROR(__xludf.DUMMYFUNCTION("""COMPUTED_VALUE"""),"79 305")</f>
        <v>79 305</v>
      </c>
      <c r="H165" s="1" t="str">
        <f>IFERROR(__xludf.DUMMYFUNCTION("""COMPUTED_VALUE"""),"-7,59%")</f>
        <v>-7,59%</v>
      </c>
    </row>
    <row r="166">
      <c r="A166" s="1">
        <f>IFERROR(__xludf.DUMMYFUNCTION("""COMPUTED_VALUE"""),5.0)</f>
        <v>5</v>
      </c>
      <c r="B166" s="1"/>
      <c r="C166" s="1" t="str">
        <f>IFERROR(__xludf.DUMMYFUNCTION("""COMPUTED_VALUE"""),"Télé 7 Jours")</f>
        <v>Télé 7 Jours</v>
      </c>
      <c r="D166" s="1" t="str">
        <f>IFERROR(__xludf.DUMMYFUNCTION("""COMPUTED_VALUE"""),"Hebdomadaire")</f>
        <v>Hebdomadaire</v>
      </c>
      <c r="E166" s="1" t="str">
        <f>IFERROR(__xludf.DUMMYFUNCTION("""COMPUTED_VALUE"""),"2024-2025")</f>
        <v>2024-2025</v>
      </c>
      <c r="F166" s="1" t="str">
        <f>IFERROR(__xludf.DUMMYFUNCTION("""COMPUTED_VALUE"""),"DSH")</f>
        <v>DSH</v>
      </c>
      <c r="G166" s="1" t="str">
        <f>IFERROR(__xludf.DUMMYFUNCTION("""COMPUTED_VALUE"""),"660 415")</f>
        <v>660 415</v>
      </c>
      <c r="H166" s="1" t="str">
        <f>IFERROR(__xludf.DUMMYFUNCTION("""COMPUTED_VALUE"""),"-8,12%")</f>
        <v>-8,12%</v>
      </c>
    </row>
    <row r="167">
      <c r="A167" s="1">
        <f>IFERROR(__xludf.DUMMYFUNCTION("""COMPUTED_VALUE"""),113.0)</f>
        <v>113</v>
      </c>
      <c r="B167" s="1"/>
      <c r="C167" s="1" t="str">
        <f>IFERROR(__xludf.DUMMYFUNCTION("""COMPUTED_VALUE"""),"Télé 7 Jours Jeux")</f>
        <v>Télé 7 Jours Jeux</v>
      </c>
      <c r="D167" s="1" t="str">
        <f>IFERROR(__xludf.DUMMYFUNCTION("""COMPUTED_VALUE"""),"Bimestriel")</f>
        <v>Bimestriel</v>
      </c>
      <c r="E167" s="1" t="str">
        <f>IFERROR(__xludf.DUMMYFUNCTION("""COMPUTED_VALUE"""),"2024-2025")</f>
        <v>2024-2025</v>
      </c>
      <c r="F167" s="1" t="str">
        <f>IFERROR(__xludf.DUMMYFUNCTION("""COMPUTED_VALUE"""),"DSH")</f>
        <v>DSH</v>
      </c>
      <c r="G167" s="1" t="str">
        <f>IFERROR(__xludf.DUMMYFUNCTION("""COMPUTED_VALUE"""),"50 146")</f>
        <v>50 146</v>
      </c>
      <c r="H167" s="1" t="str">
        <f>IFERROR(__xludf.DUMMYFUNCTION("""COMPUTED_VALUE"""),"-8,82%")</f>
        <v>-8,82%</v>
      </c>
    </row>
    <row r="168">
      <c r="A168" s="1">
        <f>IFERROR(__xludf.DUMMYFUNCTION("""COMPUTED_VALUE"""),13.0)</f>
        <v>13</v>
      </c>
      <c r="B168" s="1"/>
      <c r="C168" s="1" t="str">
        <f>IFERROR(__xludf.DUMMYFUNCTION("""COMPUTED_VALUE"""),"Télé Loisirs")</f>
        <v>Télé Loisirs</v>
      </c>
      <c r="D168" s="1" t="str">
        <f>IFERROR(__xludf.DUMMYFUNCTION("""COMPUTED_VALUE"""),"Hebdomadaire")</f>
        <v>Hebdomadaire</v>
      </c>
      <c r="E168" s="1" t="str">
        <f>IFERROR(__xludf.DUMMYFUNCTION("""COMPUTED_VALUE"""),"2024-2025")</f>
        <v>2024-2025</v>
      </c>
      <c r="F168" s="1" t="str">
        <f>IFERROR(__xludf.DUMMYFUNCTION("""COMPUTED_VALUE"""),"DSH")</f>
        <v>DSH</v>
      </c>
      <c r="G168" s="1" t="str">
        <f>IFERROR(__xludf.DUMMYFUNCTION("""COMPUTED_VALUE"""),"418 807")</f>
        <v>418 807</v>
      </c>
      <c r="H168" s="1" t="str">
        <f>IFERROR(__xludf.DUMMYFUNCTION("""COMPUTED_VALUE"""),"-6,39%")</f>
        <v>-6,39%</v>
      </c>
    </row>
    <row r="169">
      <c r="A169" s="1">
        <f>IFERROR(__xludf.DUMMYFUNCTION("""COMPUTED_VALUE"""),81.0)</f>
        <v>81</v>
      </c>
      <c r="B169" s="1"/>
      <c r="C169" s="1" t="str">
        <f>IFERROR(__xludf.DUMMYFUNCTION("""COMPUTED_VALUE"""),"Télé Magazine")</f>
        <v>Télé Magazine</v>
      </c>
      <c r="D169" s="1" t="str">
        <f>IFERROR(__xludf.DUMMYFUNCTION("""COMPUTED_VALUE"""),"Hebdomadaire")</f>
        <v>Hebdomadaire</v>
      </c>
      <c r="E169" s="1" t="str">
        <f>IFERROR(__xludf.DUMMYFUNCTION("""COMPUTED_VALUE"""),"2024-2025")</f>
        <v>2024-2025</v>
      </c>
      <c r="F169" s="1" t="str">
        <f>IFERROR(__xludf.DUMMYFUNCTION("""COMPUTED_VALUE"""),"DSH")</f>
        <v>DSH</v>
      </c>
      <c r="G169" s="1" t="str">
        <f>IFERROR(__xludf.DUMMYFUNCTION("""COMPUTED_VALUE"""),"80 378")</f>
        <v>80 378</v>
      </c>
      <c r="H169" s="1" t="str">
        <f>IFERROR(__xludf.DUMMYFUNCTION("""COMPUTED_VALUE"""),"-6,68%")</f>
        <v>-6,68%</v>
      </c>
    </row>
    <row r="170">
      <c r="A170" s="1">
        <f>IFERROR(__xludf.DUMMYFUNCTION("""COMPUTED_VALUE"""),26.0)</f>
        <v>26</v>
      </c>
      <c r="B170" s="1"/>
      <c r="C170" s="1" t="str">
        <f>IFERROR(__xludf.DUMMYFUNCTION("""COMPUTED_VALUE"""),"Télé Poche")</f>
        <v>Télé Poche</v>
      </c>
      <c r="D170" s="1" t="str">
        <f>IFERROR(__xludf.DUMMYFUNCTION("""COMPUTED_VALUE"""),"Hebdomadaire")</f>
        <v>Hebdomadaire</v>
      </c>
      <c r="E170" s="1" t="str">
        <f>IFERROR(__xludf.DUMMYFUNCTION("""COMPUTED_VALUE"""),"2024-2025")</f>
        <v>2024-2025</v>
      </c>
      <c r="F170" s="1" t="str">
        <f>IFERROR(__xludf.DUMMYFUNCTION("""COMPUTED_VALUE"""),"DSH")</f>
        <v>DSH</v>
      </c>
      <c r="G170" s="1" t="str">
        <f>IFERROR(__xludf.DUMMYFUNCTION("""COMPUTED_VALUE"""),"232 416")</f>
        <v>232 416</v>
      </c>
      <c r="H170" s="1" t="str">
        <f>IFERROR(__xludf.DUMMYFUNCTION("""COMPUTED_VALUE"""),"-6,82%")</f>
        <v>-6,82%</v>
      </c>
    </row>
    <row r="171">
      <c r="A171" s="1">
        <f>IFERROR(__xludf.DUMMYFUNCTION("""COMPUTED_VALUE"""),43.0)</f>
        <v>43</v>
      </c>
      <c r="B171" s="1"/>
      <c r="C171" s="1" t="str">
        <f>IFERROR(__xludf.DUMMYFUNCTION("""COMPUTED_VALUE"""),"Télé Programmes")</f>
        <v>Télé Programmes</v>
      </c>
      <c r="D171" s="1" t="str">
        <f>IFERROR(__xludf.DUMMYFUNCTION("""COMPUTED_VALUE"""),"Bimensuel")</f>
        <v>Bimensuel</v>
      </c>
      <c r="E171" s="1" t="str">
        <f>IFERROR(__xludf.DUMMYFUNCTION("""COMPUTED_VALUE"""),"2024-2025")</f>
        <v>2024-2025</v>
      </c>
      <c r="F171" s="1" t="str">
        <f>IFERROR(__xludf.DUMMYFUNCTION("""COMPUTED_VALUE"""),"DSH")</f>
        <v>DSH</v>
      </c>
      <c r="G171" s="1" t="str">
        <f>IFERROR(__xludf.DUMMYFUNCTION("""COMPUTED_VALUE"""),"160 991")</f>
        <v>160 991</v>
      </c>
      <c r="H171" s="1" t="str">
        <f>IFERROR(__xludf.DUMMYFUNCTION("""COMPUTED_VALUE"""),"3,86%")</f>
        <v>3,86%</v>
      </c>
    </row>
    <row r="172">
      <c r="A172" s="1">
        <f>IFERROR(__xludf.DUMMYFUNCTION("""COMPUTED_VALUE"""),10.0)</f>
        <v>10</v>
      </c>
      <c r="B172" s="1"/>
      <c r="C172" s="1" t="str">
        <f>IFERROR(__xludf.DUMMYFUNCTION("""COMPUTED_VALUE"""),"Télé Star")</f>
        <v>Télé Star</v>
      </c>
      <c r="D172" s="1" t="str">
        <f>IFERROR(__xludf.DUMMYFUNCTION("""COMPUTED_VALUE"""),"Hebdomadaire")</f>
        <v>Hebdomadaire</v>
      </c>
      <c r="E172" s="1" t="str">
        <f>IFERROR(__xludf.DUMMYFUNCTION("""COMPUTED_VALUE"""),"2024-2025")</f>
        <v>2024-2025</v>
      </c>
      <c r="F172" s="1" t="str">
        <f>IFERROR(__xludf.DUMMYFUNCTION("""COMPUTED_VALUE"""),"DSH")</f>
        <v>DSH</v>
      </c>
      <c r="G172" s="1" t="str">
        <f>IFERROR(__xludf.DUMMYFUNCTION("""COMPUTED_VALUE"""),"467 644")</f>
        <v>467 644</v>
      </c>
      <c r="H172" s="1" t="str">
        <f>IFERROR(__xludf.DUMMYFUNCTION("""COMPUTED_VALUE"""),"-7,70%")</f>
        <v>-7,70%</v>
      </c>
    </row>
    <row r="173">
      <c r="A173" s="1">
        <f>IFERROR(__xludf.DUMMYFUNCTION("""COMPUTED_VALUE"""),6.0)</f>
        <v>6</v>
      </c>
      <c r="B173" s="1"/>
      <c r="C173" s="1" t="str">
        <f>IFERROR(__xludf.DUMMYFUNCTION("""COMPUTED_VALUE"""),"Télé Z")</f>
        <v>Télé Z</v>
      </c>
      <c r="D173" s="1" t="str">
        <f>IFERROR(__xludf.DUMMYFUNCTION("""COMPUTED_VALUE"""),"Hebdomadaire")</f>
        <v>Hebdomadaire</v>
      </c>
      <c r="E173" s="1" t="str">
        <f>IFERROR(__xludf.DUMMYFUNCTION("""COMPUTED_VALUE"""),"2024-2025")</f>
        <v>2024-2025</v>
      </c>
      <c r="F173" s="1" t="str">
        <f>IFERROR(__xludf.DUMMYFUNCTION("""COMPUTED_VALUE"""),"DSH")</f>
        <v>DSH</v>
      </c>
      <c r="G173" s="1" t="str">
        <f>IFERROR(__xludf.DUMMYFUNCTION("""COMPUTED_VALUE"""),"563 159")</f>
        <v>563 159</v>
      </c>
      <c r="H173" s="1" t="str">
        <f>IFERROR(__xludf.DUMMYFUNCTION("""COMPUTED_VALUE"""),"-6,93%")</f>
        <v>-6,93%</v>
      </c>
    </row>
    <row r="174">
      <c r="A174" s="1">
        <f>IFERROR(__xludf.DUMMYFUNCTION("""COMPUTED_VALUE"""),16.0)</f>
        <v>16</v>
      </c>
      <c r="B174" s="1"/>
      <c r="C174" s="1" t="str">
        <f>IFERROR(__xludf.DUMMYFUNCTION("""COMPUTED_VALUE"""),"Télécable Sat Hebdo")</f>
        <v>Télécable Sat Hebdo</v>
      </c>
      <c r="D174" s="1" t="str">
        <f>IFERROR(__xludf.DUMMYFUNCTION("""COMPUTED_VALUE"""),"Hebdomadaire")</f>
        <v>Hebdomadaire</v>
      </c>
      <c r="E174" s="1" t="str">
        <f>IFERROR(__xludf.DUMMYFUNCTION("""COMPUTED_VALUE"""),"2024-2025")</f>
        <v>2024-2025</v>
      </c>
      <c r="F174" s="1" t="str">
        <f>IFERROR(__xludf.DUMMYFUNCTION("""COMPUTED_VALUE"""),"DSH")</f>
        <v>DSH</v>
      </c>
      <c r="G174" s="1" t="str">
        <f>IFERROR(__xludf.DUMMYFUNCTION("""COMPUTED_VALUE"""),"393 598")</f>
        <v>393 598</v>
      </c>
      <c r="H174" s="1" t="str">
        <f>IFERROR(__xludf.DUMMYFUNCTION("""COMPUTED_VALUE"""),"-1,81%")</f>
        <v>-1,81%</v>
      </c>
    </row>
    <row r="175">
      <c r="A175" s="1">
        <f>IFERROR(__xludf.DUMMYFUNCTION("""COMPUTED_VALUE"""),14.0)</f>
        <v>14</v>
      </c>
      <c r="B175" s="1"/>
      <c r="C175" s="1" t="str">
        <f>IFERROR(__xludf.DUMMYFUNCTION("""COMPUTED_VALUE"""),"Télérama")</f>
        <v>Télérama</v>
      </c>
      <c r="D175" s="1" t="str">
        <f>IFERROR(__xludf.DUMMYFUNCTION("""COMPUTED_VALUE"""),"Hebdomadaire")</f>
        <v>Hebdomadaire</v>
      </c>
      <c r="E175" s="1" t="str">
        <f>IFERROR(__xludf.DUMMYFUNCTION("""COMPUTED_VALUE"""),"2024-2025")</f>
        <v>2024-2025</v>
      </c>
      <c r="F175" s="1" t="str">
        <f>IFERROR(__xludf.DUMMYFUNCTION("""COMPUTED_VALUE"""),"PV")</f>
        <v>PV</v>
      </c>
      <c r="G175" s="1" t="str">
        <f>IFERROR(__xludf.DUMMYFUNCTION("""COMPUTED_VALUE"""),"418 648")</f>
        <v>418 648</v>
      </c>
      <c r="H175" s="1" t="str">
        <f>IFERROR(__xludf.DUMMYFUNCTION("""COMPUTED_VALUE"""),"-1,30%")</f>
        <v>-1,30%</v>
      </c>
    </row>
    <row r="176">
      <c r="A176" s="1">
        <f>IFERROR(__xludf.DUMMYFUNCTION("""COMPUTED_VALUE"""),176.0)</f>
        <v>176</v>
      </c>
      <c r="B176" s="1"/>
      <c r="C176" s="1" t="str">
        <f>IFERROR(__xludf.DUMMYFUNCTION("""COMPUTED_VALUE"""),"Toboggan")</f>
        <v>Toboggan</v>
      </c>
      <c r="D176" s="1" t="str">
        <f>IFERROR(__xludf.DUMMYFUNCTION("""COMPUTED_VALUE"""),"Mensuel")</f>
        <v>Mensuel</v>
      </c>
      <c r="E176" s="1" t="str">
        <f>IFERROR(__xludf.DUMMYFUNCTION("""COMPUTED_VALUE"""),"2024-2025")</f>
        <v>2024-2025</v>
      </c>
      <c r="F176" s="1" t="str">
        <f>IFERROR(__xludf.DUMMYFUNCTION("""COMPUTED_VALUE"""),"DSH")</f>
        <v>DSH</v>
      </c>
      <c r="G176" s="1" t="str">
        <f>IFERROR(__xludf.DUMMYFUNCTION("""COMPUTED_VALUE"""),"17 064")</f>
        <v>17 064</v>
      </c>
      <c r="H176" s="1" t="str">
        <f>IFERROR(__xludf.DUMMYFUNCTION("""COMPUTED_VALUE"""),"-20,90%")</f>
        <v>-20,90%</v>
      </c>
    </row>
    <row r="177">
      <c r="A177" s="1">
        <f>IFERROR(__xludf.DUMMYFUNCTION("""COMPUTED_VALUE"""),40.0)</f>
        <v>40</v>
      </c>
      <c r="B177" s="1"/>
      <c r="C177" s="1" t="str">
        <f>IFERROR(__xludf.DUMMYFUNCTION("""COMPUTED_VALUE"""),"Top Santé")</f>
        <v>Top Santé</v>
      </c>
      <c r="D177" s="1" t="str">
        <f>IFERROR(__xludf.DUMMYFUNCTION("""COMPUTED_VALUE"""),"Mensuel")</f>
        <v>Mensuel</v>
      </c>
      <c r="E177" s="1" t="str">
        <f>IFERROR(__xludf.DUMMYFUNCTION("""COMPUTED_VALUE"""),"2024-2025")</f>
        <v>2024-2025</v>
      </c>
      <c r="F177" s="1" t="str">
        <f>IFERROR(__xludf.DUMMYFUNCTION("""COMPUTED_VALUE"""),"DSH")</f>
        <v>DSH</v>
      </c>
      <c r="G177" s="1" t="str">
        <f>IFERROR(__xludf.DUMMYFUNCTION("""COMPUTED_VALUE"""),"167 562")</f>
        <v>167 562</v>
      </c>
      <c r="H177" s="1" t="str">
        <f>IFERROR(__xludf.DUMMYFUNCTION("""COMPUTED_VALUE"""),"-0,52%")</f>
        <v>-0,52%</v>
      </c>
    </row>
    <row r="178">
      <c r="A178" s="1">
        <f>IFERROR(__xludf.DUMMYFUNCTION("""COMPUTED_VALUE"""),153.0)</f>
        <v>153</v>
      </c>
      <c r="B178" s="1"/>
      <c r="C178" s="1" t="str">
        <f>IFERROR(__xludf.DUMMYFUNCTION("""COMPUTED_VALUE"""),"Toupie")</f>
        <v>Toupie</v>
      </c>
      <c r="D178" s="1" t="str">
        <f>IFERROR(__xludf.DUMMYFUNCTION("""COMPUTED_VALUE"""),"Mensuel")</f>
        <v>Mensuel</v>
      </c>
      <c r="E178" s="1" t="str">
        <f>IFERROR(__xludf.DUMMYFUNCTION("""COMPUTED_VALUE"""),"2024-2025")</f>
        <v>2024-2025</v>
      </c>
      <c r="F178" s="1" t="str">
        <f>IFERROR(__xludf.DUMMYFUNCTION("""COMPUTED_VALUE"""),"DSH")</f>
        <v>DSH</v>
      </c>
      <c r="G178" s="1" t="str">
        <f>IFERROR(__xludf.DUMMYFUNCTION("""COMPUTED_VALUE"""),"27 513")</f>
        <v>27 513</v>
      </c>
      <c r="H178" s="1" t="str">
        <f>IFERROR(__xludf.DUMMYFUNCTION("""COMPUTED_VALUE"""),"-13,44%")</f>
        <v>-13,44%</v>
      </c>
    </row>
    <row r="179">
      <c r="A179" s="1">
        <f>IFERROR(__xludf.DUMMYFUNCTION("""COMPUTED_VALUE"""),148.0)</f>
        <v>148</v>
      </c>
      <c r="B179" s="1"/>
      <c r="C179" s="1" t="str">
        <f>IFERROR(__xludf.DUMMYFUNCTION("""COMPUTED_VALUE"""),"Tout Comprendre Junior")</f>
        <v>Tout Comprendre Junior</v>
      </c>
      <c r="D179" s="1" t="str">
        <f>IFERROR(__xludf.DUMMYFUNCTION("""COMPUTED_VALUE"""),"Mensuel")</f>
        <v>Mensuel</v>
      </c>
      <c r="E179" s="1" t="str">
        <f>IFERROR(__xludf.DUMMYFUNCTION("""COMPUTED_VALUE"""),"2024-2025")</f>
        <v>2024-2025</v>
      </c>
      <c r="F179" s="1" t="str">
        <f>IFERROR(__xludf.DUMMYFUNCTION("""COMPUTED_VALUE"""),"DSH")</f>
        <v>DSH</v>
      </c>
      <c r="G179" s="1" t="str">
        <f>IFERROR(__xludf.DUMMYFUNCTION("""COMPUTED_VALUE"""),"30 206")</f>
        <v>30 206</v>
      </c>
      <c r="H179" s="1" t="str">
        <f>IFERROR(__xludf.DUMMYFUNCTION("""COMPUTED_VALUE"""),"8,38%")</f>
        <v>8,38%</v>
      </c>
    </row>
    <row r="180">
      <c r="A180" s="1">
        <f>IFERROR(__xludf.DUMMYFUNCTION("""COMPUTED_VALUE"""),9.0)</f>
        <v>9</v>
      </c>
      <c r="B180" s="1"/>
      <c r="C180" s="1" t="str">
        <f>IFERROR(__xludf.DUMMYFUNCTION("""COMPUTED_VALUE"""),"TV Grandes Chaînes")</f>
        <v>TV Grandes Chaînes</v>
      </c>
      <c r="D180" s="1" t="str">
        <f>IFERROR(__xludf.DUMMYFUNCTION("""COMPUTED_VALUE"""),"Bimensuel")</f>
        <v>Bimensuel</v>
      </c>
      <c r="E180" s="1" t="str">
        <f>IFERROR(__xludf.DUMMYFUNCTION("""COMPUTED_VALUE"""),"2024-2025")</f>
        <v>2024-2025</v>
      </c>
      <c r="F180" s="1" t="str">
        <f>IFERROR(__xludf.DUMMYFUNCTION("""COMPUTED_VALUE"""),"DSH")</f>
        <v>DSH</v>
      </c>
      <c r="G180" s="1" t="str">
        <f>IFERROR(__xludf.DUMMYFUNCTION("""COMPUTED_VALUE"""),"470 923")</f>
        <v>470 923</v>
      </c>
      <c r="H180" s="1" t="str">
        <f>IFERROR(__xludf.DUMMYFUNCTION("""COMPUTED_VALUE"""),"-6,99%")</f>
        <v>-6,99%</v>
      </c>
    </row>
    <row r="181">
      <c r="A181" s="1">
        <f>IFERROR(__xludf.DUMMYFUNCTION("""COMPUTED_VALUE"""),8.0)</f>
        <v>8</v>
      </c>
      <c r="B181" s="1"/>
      <c r="C181" s="1" t="str">
        <f>IFERROR(__xludf.DUMMYFUNCTION("""COMPUTED_VALUE"""),"TV Magazine")</f>
        <v>TV Magazine</v>
      </c>
      <c r="D181" s="1" t="str">
        <f>IFERROR(__xludf.DUMMYFUNCTION("""COMPUTED_VALUE"""),"Hebdomadaire")</f>
        <v>Hebdomadaire</v>
      </c>
      <c r="E181" s="1" t="str">
        <f>IFERROR(__xludf.DUMMYFUNCTION("""COMPUTED_VALUE"""),"2024-2025")</f>
        <v>2024-2025</v>
      </c>
      <c r="F181" s="1" t="str">
        <f>IFERROR(__xludf.DUMMYFUNCTION("""COMPUTED_VALUE"""),"DSH")</f>
        <v>DSH</v>
      </c>
      <c r="G181" s="1" t="str">
        <f>IFERROR(__xludf.DUMMYFUNCTION("""COMPUTED_VALUE"""),"527 169")</f>
        <v>527 169</v>
      </c>
      <c r="H181" s="1" t="str">
        <f>IFERROR(__xludf.DUMMYFUNCTION("""COMPUTED_VALUE"""),"0,72%")</f>
        <v>0,72%</v>
      </c>
    </row>
    <row r="182">
      <c r="A182" s="1">
        <f>IFERROR(__xludf.DUMMYFUNCTION("""COMPUTED_VALUE"""),128.0)</f>
        <v>128</v>
      </c>
      <c r="B182" s="1"/>
      <c r="C182" s="1" t="str">
        <f>IFERROR(__xludf.DUMMYFUNCTION("""COMPUTED_VALUE"""),"L'US - L'Université Syndicaliste")</f>
        <v>L'US - L'Université Syndicaliste</v>
      </c>
      <c r="D182" s="1" t="str">
        <f>IFERROR(__xludf.DUMMYFUNCTION("""COMPUTED_VALUE"""),"Mensuel")</f>
        <v>Mensuel</v>
      </c>
      <c r="E182" s="1" t="str">
        <f>IFERROR(__xludf.DUMMYFUNCTION("""COMPUTED_VALUE"""),"2024-2025")</f>
        <v>2024-2025</v>
      </c>
      <c r="F182" s="1" t="str">
        <f>IFERROR(__xludf.DUMMYFUNCTION("""COMPUTED_VALUE"""),"DSH")</f>
        <v>DSH</v>
      </c>
      <c r="G182" s="1" t="str">
        <f>IFERROR(__xludf.DUMMYFUNCTION("""COMPUTED_VALUE"""),"43 364")</f>
        <v>43 364</v>
      </c>
      <c r="H182" s="1" t="str">
        <f>IFERROR(__xludf.DUMMYFUNCTION("""COMPUTED_VALUE"""),"-12,65%")</f>
        <v>-12,65%</v>
      </c>
    </row>
    <row r="183">
      <c r="A183" s="1">
        <f>IFERROR(__xludf.DUMMYFUNCTION("""COMPUTED_VALUE"""),87.0)</f>
        <v>87</v>
      </c>
      <c r="B183" s="1"/>
      <c r="C183" s="1" t="str">
        <f>IFERROR(__xludf.DUMMYFUNCTION("""COMPUTED_VALUE"""),"Valeurs Actuelles")</f>
        <v>Valeurs Actuelles</v>
      </c>
      <c r="D183" s="1" t="str">
        <f>IFERROR(__xludf.DUMMYFUNCTION("""COMPUTED_VALUE"""),"Hebdomadaire")</f>
        <v>Hebdomadaire</v>
      </c>
      <c r="E183" s="1" t="str">
        <f>IFERROR(__xludf.DUMMYFUNCTION("""COMPUTED_VALUE"""),"2024-2025")</f>
        <v>2024-2025</v>
      </c>
      <c r="F183" s="1" t="str">
        <f>IFERROR(__xludf.DUMMYFUNCTION("""COMPUTED_VALUE"""),"PV")</f>
        <v>PV</v>
      </c>
      <c r="G183" s="1" t="str">
        <f>IFERROR(__xludf.DUMMYFUNCTION("""COMPUTED_VALUE"""),"73 073")</f>
        <v>73 073</v>
      </c>
      <c r="H183" s="1" t="str">
        <f>IFERROR(__xludf.DUMMYFUNCTION("""COMPUTED_VALUE"""),"-21,65%")</f>
        <v>-21,65%</v>
      </c>
    </row>
    <row r="184">
      <c r="A184" s="1">
        <f>IFERROR(__xludf.DUMMYFUNCTION("""COMPUTED_VALUE"""),139.0)</f>
        <v>139</v>
      </c>
      <c r="B184" s="1"/>
      <c r="C184" s="1" t="str">
        <f>IFERROR(__xludf.DUMMYFUNCTION("""COMPUTED_VALUE"""),"Vanity Fair")</f>
        <v>Vanity Fair</v>
      </c>
      <c r="D184" s="1" t="str">
        <f>IFERROR(__xludf.DUMMYFUNCTION("""COMPUTED_VALUE"""),"Mensuel")</f>
        <v>Mensuel</v>
      </c>
      <c r="E184" s="1" t="str">
        <f>IFERROR(__xludf.DUMMYFUNCTION("""COMPUTED_VALUE"""),"2024-2025")</f>
        <v>2024-2025</v>
      </c>
      <c r="F184" s="1" t="str">
        <f>IFERROR(__xludf.DUMMYFUNCTION("""COMPUTED_VALUE"""),"DSH")</f>
        <v>DSH</v>
      </c>
      <c r="G184" s="1" t="str">
        <f>IFERROR(__xludf.DUMMYFUNCTION("""COMPUTED_VALUE"""),"36 476")</f>
        <v>36 476</v>
      </c>
      <c r="H184" s="1" t="str">
        <f>IFERROR(__xludf.DUMMYFUNCTION("""COMPUTED_VALUE"""),"-10,09%")</f>
        <v>-10,09%</v>
      </c>
    </row>
    <row r="185">
      <c r="A185" s="1">
        <f>IFERROR(__xludf.DUMMYFUNCTION("""COMPUTED_VALUE"""),135.0)</f>
        <v>135</v>
      </c>
      <c r="B185" s="1"/>
      <c r="C185" s="1" t="str">
        <f>IFERROR(__xludf.DUMMYFUNCTION("""COMPUTED_VALUE"""),"Vélo Magazine")</f>
        <v>Vélo Magazine</v>
      </c>
      <c r="D185" s="1" t="str">
        <f>IFERROR(__xludf.DUMMYFUNCTION("""COMPUTED_VALUE"""),"Mensuel")</f>
        <v>Mensuel</v>
      </c>
      <c r="E185" s="1" t="str">
        <f>IFERROR(__xludf.DUMMYFUNCTION("""COMPUTED_VALUE"""),"2024-2025")</f>
        <v>2024-2025</v>
      </c>
      <c r="F185" s="1" t="str">
        <f>IFERROR(__xludf.DUMMYFUNCTION("""COMPUTED_VALUE"""),"DSH")</f>
        <v>DSH</v>
      </c>
      <c r="G185" s="1" t="str">
        <f>IFERROR(__xludf.DUMMYFUNCTION("""COMPUTED_VALUE"""),"38 710")</f>
        <v>38 710</v>
      </c>
      <c r="H185" s="1" t="str">
        <f>IFERROR(__xludf.DUMMYFUNCTION("""COMPUTED_VALUE"""),"2,64%")</f>
        <v>2,64%</v>
      </c>
    </row>
    <row r="186">
      <c r="A186" s="1">
        <f>IFERROR(__xludf.DUMMYFUNCTION("""COMPUTED_VALUE"""),2.0)</f>
        <v>2</v>
      </c>
      <c r="B186" s="1"/>
      <c r="C186" s="1" t="str">
        <f>IFERROR(__xludf.DUMMYFUNCTION("""COMPUTED_VALUE"""),"Version Femina")</f>
        <v>Version Femina</v>
      </c>
      <c r="D186" s="1" t="str">
        <f>IFERROR(__xludf.DUMMYFUNCTION("""COMPUTED_VALUE"""),"Hebdomadaire")</f>
        <v>Hebdomadaire</v>
      </c>
      <c r="E186" s="1" t="str">
        <f>IFERROR(__xludf.DUMMYFUNCTION("""COMPUTED_VALUE"""),"2024-2025")</f>
        <v>2024-2025</v>
      </c>
      <c r="F186" s="1" t="str">
        <f>IFERROR(__xludf.DUMMYFUNCTION("""COMPUTED_VALUE"""),"DSH")</f>
        <v>DSH</v>
      </c>
      <c r="G186" s="1" t="str">
        <f>IFERROR(__xludf.DUMMYFUNCTION("""COMPUTED_VALUE"""),"1 843 235")</f>
        <v>1 843 235</v>
      </c>
      <c r="H186" s="1" t="str">
        <f>IFERROR(__xludf.DUMMYFUNCTION("""COMPUTED_VALUE"""),"-3,66%")</f>
        <v>-3,66%</v>
      </c>
    </row>
    <row r="187">
      <c r="A187" s="1">
        <f>IFERROR(__xludf.DUMMYFUNCTION("""COMPUTED_VALUE"""),108.0)</f>
        <v>108</v>
      </c>
      <c r="B187" s="1"/>
      <c r="C187" s="1" t="str">
        <f>IFERROR(__xludf.DUMMYFUNCTION("""COMPUTED_VALUE"""),"La Vie")</f>
        <v>La Vie</v>
      </c>
      <c r="D187" s="1" t="str">
        <f>IFERROR(__xludf.DUMMYFUNCTION("""COMPUTED_VALUE"""),"Hebdomadaire")</f>
        <v>Hebdomadaire</v>
      </c>
      <c r="E187" s="1" t="str">
        <f>IFERROR(__xludf.DUMMYFUNCTION("""COMPUTED_VALUE"""),"2024-2025")</f>
        <v>2024-2025</v>
      </c>
      <c r="F187" s="1" t="str">
        <f>IFERROR(__xludf.DUMMYFUNCTION("""COMPUTED_VALUE"""),"DSH")</f>
        <v>DSH</v>
      </c>
      <c r="G187" s="1" t="str">
        <f>IFERROR(__xludf.DUMMYFUNCTION("""COMPUTED_VALUE"""),"52 363")</f>
        <v>52 363</v>
      </c>
      <c r="H187" s="28">
        <f>IFERROR(__xludf.DUMMYFUNCTION("""COMPUTED_VALUE"""),-0.06)</f>
        <v>-0.06</v>
      </c>
    </row>
    <row r="188">
      <c r="A188" s="1">
        <f>IFERROR(__xludf.DUMMYFUNCTION("""COMPUTED_VALUE"""),163.0)</f>
        <v>163</v>
      </c>
      <c r="B188" s="1"/>
      <c r="C188" s="1" t="str">
        <f>IFERROR(__xludf.DUMMYFUNCTION("""COMPUTED_VALUE"""),"La Vie du Jardin et des Jardiniers")</f>
        <v>La Vie du Jardin et des Jardiniers</v>
      </c>
      <c r="D188" s="1" t="str">
        <f>IFERROR(__xludf.DUMMYFUNCTION("""COMPUTED_VALUE"""),"Bimestriel")</f>
        <v>Bimestriel</v>
      </c>
      <c r="E188" s="1" t="str">
        <f>IFERROR(__xludf.DUMMYFUNCTION("""COMPUTED_VALUE"""),"2024-2025")</f>
        <v>2024-2025</v>
      </c>
      <c r="F188" s="1" t="str">
        <f>IFERROR(__xludf.DUMMYFUNCTION("""COMPUTED_VALUE"""),"DSH")</f>
        <v>DSH</v>
      </c>
      <c r="G188" s="1" t="str">
        <f>IFERROR(__xludf.DUMMYFUNCTION("""COMPUTED_VALUE"""),"23 423")</f>
        <v>23 423</v>
      </c>
      <c r="H188" s="1" t="str">
        <f>IFERROR(__xludf.DUMMYFUNCTION("""COMPUTED_VALUE"""),"-6,59%")</f>
        <v>-6,59%</v>
      </c>
    </row>
    <row r="189">
      <c r="A189" s="1">
        <f>IFERROR(__xludf.DUMMYFUNCTION("""COMPUTED_VALUE"""),151.0)</f>
        <v>151</v>
      </c>
      <c r="B189" s="1"/>
      <c r="C189" s="1" t="str">
        <f>IFERROR(__xludf.DUMMYFUNCTION("""COMPUTED_VALUE"""),"Vivre Côté Paris")</f>
        <v>Vivre Côté Paris</v>
      </c>
      <c r="D189" s="1" t="str">
        <f>IFERROR(__xludf.DUMMYFUNCTION("""COMPUTED_VALUE"""),"Bimestriel")</f>
        <v>Bimestriel</v>
      </c>
      <c r="E189" s="1" t="str">
        <f>IFERROR(__xludf.DUMMYFUNCTION("""COMPUTED_VALUE"""),"2024-2025")</f>
        <v>2024-2025</v>
      </c>
      <c r="F189" s="1" t="str">
        <f>IFERROR(__xludf.DUMMYFUNCTION("""COMPUTED_VALUE"""),"DSH")</f>
        <v>DSH</v>
      </c>
      <c r="G189" s="1" t="str">
        <f>IFERROR(__xludf.DUMMYFUNCTION("""COMPUTED_VALUE"""),"28 370")</f>
        <v>28 370</v>
      </c>
      <c r="H189" s="1" t="str">
        <f>IFERROR(__xludf.DUMMYFUNCTION("""COMPUTED_VALUE"""),"-2,19%")</f>
        <v>-2,19%</v>
      </c>
    </row>
    <row r="190">
      <c r="A190" s="1">
        <f>IFERROR(__xludf.DUMMYFUNCTION("""COMPUTED_VALUE"""),190.0)</f>
        <v>190</v>
      </c>
      <c r="B190" s="1"/>
      <c r="C190" s="1" t="str">
        <f>IFERROR(__xludf.DUMMYFUNCTION("""COMPUTED_VALUE"""),"Vocable Allemand")</f>
        <v>Vocable Allemand</v>
      </c>
      <c r="D190" s="1" t="str">
        <f>IFERROR(__xludf.DUMMYFUNCTION("""COMPUTED_VALUE"""),"Mensuel")</f>
        <v>Mensuel</v>
      </c>
      <c r="E190" s="1" t="str">
        <f>IFERROR(__xludf.DUMMYFUNCTION("""COMPUTED_VALUE"""),"2024-2025")</f>
        <v>2024-2025</v>
      </c>
      <c r="F190" s="1" t="str">
        <f>IFERROR(__xludf.DUMMYFUNCTION("""COMPUTED_VALUE"""),"DSH")</f>
        <v>DSH</v>
      </c>
      <c r="G190" s="1" t="str">
        <f>IFERROR(__xludf.DUMMYFUNCTION("""COMPUTED_VALUE"""),"6 096")</f>
        <v>6 096</v>
      </c>
      <c r="H190" s="1" t="str">
        <f>IFERROR(__xludf.DUMMYFUNCTION("""COMPUTED_VALUE"""),"-2,21%")</f>
        <v>-2,21%</v>
      </c>
    </row>
    <row r="191">
      <c r="A191" s="1">
        <f>IFERROR(__xludf.DUMMYFUNCTION("""COMPUTED_VALUE"""),158.0)</f>
        <v>158</v>
      </c>
      <c r="B191" s="1"/>
      <c r="C191" s="1" t="str">
        <f>IFERROR(__xludf.DUMMYFUNCTION("""COMPUTED_VALUE"""),"Vocable Anglais")</f>
        <v>Vocable Anglais</v>
      </c>
      <c r="D191" s="1" t="str">
        <f>IFERROR(__xludf.DUMMYFUNCTION("""COMPUTED_VALUE"""),"Mensuel")</f>
        <v>Mensuel</v>
      </c>
      <c r="E191" s="1" t="str">
        <f>IFERROR(__xludf.DUMMYFUNCTION("""COMPUTED_VALUE"""),"2024-2025")</f>
        <v>2024-2025</v>
      </c>
      <c r="F191" s="1" t="str">
        <f>IFERROR(__xludf.DUMMYFUNCTION("""COMPUTED_VALUE"""),"DSH")</f>
        <v>DSH</v>
      </c>
      <c r="G191" s="1" t="str">
        <f>IFERROR(__xludf.DUMMYFUNCTION("""COMPUTED_VALUE"""),"25 286")</f>
        <v>25 286</v>
      </c>
      <c r="H191" s="1" t="str">
        <f>IFERROR(__xludf.DUMMYFUNCTION("""COMPUTED_VALUE"""),"-1,55%")</f>
        <v>-1,55%</v>
      </c>
    </row>
    <row r="192">
      <c r="A192" s="1">
        <f>IFERROR(__xludf.DUMMYFUNCTION("""COMPUTED_VALUE"""),183.0)</f>
        <v>183</v>
      </c>
      <c r="B192" s="1"/>
      <c r="C192" s="1" t="str">
        <f>IFERROR(__xludf.DUMMYFUNCTION("""COMPUTED_VALUE"""),"Vocable Espagnol")</f>
        <v>Vocable Espagnol</v>
      </c>
      <c r="D192" s="1" t="str">
        <f>IFERROR(__xludf.DUMMYFUNCTION("""COMPUTED_VALUE"""),"Mensuel")</f>
        <v>Mensuel</v>
      </c>
      <c r="E192" s="1" t="str">
        <f>IFERROR(__xludf.DUMMYFUNCTION("""COMPUTED_VALUE"""),"2024-2025")</f>
        <v>2024-2025</v>
      </c>
      <c r="F192" s="1" t="str">
        <f>IFERROR(__xludf.DUMMYFUNCTION("""COMPUTED_VALUE"""),"DSH")</f>
        <v>DSH</v>
      </c>
      <c r="G192" s="1" t="str">
        <f>IFERROR(__xludf.DUMMYFUNCTION("""COMPUTED_VALUE"""),"12 073")</f>
        <v>12 073</v>
      </c>
      <c r="H192" s="1" t="str">
        <f>IFERROR(__xludf.DUMMYFUNCTION("""COMPUTED_VALUE"""),"-0,98%")</f>
        <v>-0,98%</v>
      </c>
    </row>
    <row r="193">
      <c r="A193" s="1">
        <f>IFERROR(__xludf.DUMMYFUNCTION("""COMPUTED_VALUE"""),74.0)</f>
        <v>74</v>
      </c>
      <c r="B193" s="1"/>
      <c r="C193" s="1" t="str">
        <f>IFERROR(__xludf.DUMMYFUNCTION("""COMPUTED_VALUE"""),"Vogue France")</f>
        <v>Vogue France</v>
      </c>
      <c r="D193" s="1" t="str">
        <f>IFERROR(__xludf.DUMMYFUNCTION("""COMPUTED_VALUE"""),"Mensuel")</f>
        <v>Mensuel</v>
      </c>
      <c r="E193" s="1" t="str">
        <f>IFERROR(__xludf.DUMMYFUNCTION("""COMPUTED_VALUE"""),"2024-2025")</f>
        <v>2024-2025</v>
      </c>
      <c r="F193" s="1" t="str">
        <f>IFERROR(__xludf.DUMMYFUNCTION("""COMPUTED_VALUE"""),"DSH")</f>
        <v>DSH</v>
      </c>
      <c r="G193" s="1" t="str">
        <f>IFERROR(__xludf.DUMMYFUNCTION("""COMPUTED_VALUE"""),"86 399")</f>
        <v>86 399</v>
      </c>
      <c r="H193" s="1" t="str">
        <f>IFERROR(__xludf.DUMMYFUNCTION("""COMPUTED_VALUE"""),"4,71%")</f>
        <v>4,71%</v>
      </c>
    </row>
    <row r="194">
      <c r="A194" s="1">
        <f>IFERROR(__xludf.DUMMYFUNCTION("""COMPUTED_VALUE"""),53.0)</f>
        <v>53</v>
      </c>
      <c r="B194" s="1"/>
      <c r="C194" s="1" t="str">
        <f>IFERROR(__xludf.DUMMYFUNCTION("""COMPUTED_VALUE"""),"Voici")</f>
        <v>Voici</v>
      </c>
      <c r="D194" s="1" t="str">
        <f>IFERROR(__xludf.DUMMYFUNCTION("""COMPUTED_VALUE"""),"Hebdomadaire")</f>
        <v>Hebdomadaire</v>
      </c>
      <c r="E194" s="1" t="str">
        <f>IFERROR(__xludf.DUMMYFUNCTION("""COMPUTED_VALUE"""),"2024-2025")</f>
        <v>2024-2025</v>
      </c>
      <c r="F194" s="1" t="str">
        <f>IFERROR(__xludf.DUMMYFUNCTION("""COMPUTED_VALUE"""),"DSH")</f>
        <v>DSH</v>
      </c>
      <c r="G194" s="1" t="str">
        <f>IFERROR(__xludf.DUMMYFUNCTION("""COMPUTED_VALUE"""),"137 182")</f>
        <v>137 182</v>
      </c>
      <c r="H194" s="1" t="str">
        <f>IFERROR(__xludf.DUMMYFUNCTION("""COMPUTED_VALUE"""),"-13,74%")</f>
        <v>-13,74%</v>
      </c>
    </row>
    <row r="195">
      <c r="A195" s="1">
        <f>IFERROR(__xludf.DUMMYFUNCTION("""COMPUTED_VALUE"""),155.0)</f>
        <v>155</v>
      </c>
      <c r="B195" s="1"/>
      <c r="C195" s="1" t="str">
        <f>IFERROR(__xludf.DUMMYFUNCTION("""COMPUTED_VALUE"""),"Voiles et Voiliers")</f>
        <v>Voiles et Voiliers</v>
      </c>
      <c r="D195" s="1" t="str">
        <f>IFERROR(__xludf.DUMMYFUNCTION("""COMPUTED_VALUE"""),"Mensuel")</f>
        <v>Mensuel</v>
      </c>
      <c r="E195" s="1" t="str">
        <f>IFERROR(__xludf.DUMMYFUNCTION("""COMPUTED_VALUE"""),"2024-2025")</f>
        <v>2024-2025</v>
      </c>
      <c r="F195" s="1" t="str">
        <f>IFERROR(__xludf.DUMMYFUNCTION("""COMPUTED_VALUE"""),"DSH")</f>
        <v>DSH</v>
      </c>
      <c r="G195" s="1" t="str">
        <f>IFERROR(__xludf.DUMMYFUNCTION("""COMPUTED_VALUE"""),"26 110")</f>
        <v>26 110</v>
      </c>
      <c r="H195" s="1" t="str">
        <f>IFERROR(__xludf.DUMMYFUNCTION("""COMPUTED_VALUE"""),"1,73%")</f>
        <v>1,73%</v>
      </c>
    </row>
    <row r="196">
      <c r="A196" s="1">
        <f>IFERROR(__xludf.DUMMYFUNCTION("""COMPUTED_VALUE"""),188.0)</f>
        <v>188</v>
      </c>
      <c r="B196" s="1"/>
      <c r="C196" s="1" t="str">
        <f>IFERROR(__xludf.DUMMYFUNCTION("""COMPUTED_VALUE"""),"La Voix des Sports")</f>
        <v>La Voix des Sports</v>
      </c>
      <c r="D196" s="1" t="str">
        <f>IFERROR(__xludf.DUMMYFUNCTION("""COMPUTED_VALUE"""),"Hebdomadaire")</f>
        <v>Hebdomadaire</v>
      </c>
      <c r="E196" s="1" t="str">
        <f>IFERROR(__xludf.DUMMYFUNCTION("""COMPUTED_VALUE"""),"2024-2025")</f>
        <v>2024-2025</v>
      </c>
      <c r="F196" s="1" t="str">
        <f>IFERROR(__xludf.DUMMYFUNCTION("""COMPUTED_VALUE"""),"DSH")</f>
        <v>DSH</v>
      </c>
      <c r="G196" s="1" t="str">
        <f>IFERROR(__xludf.DUMMYFUNCTION("""COMPUTED_VALUE"""),"8 852")</f>
        <v>8 852</v>
      </c>
      <c r="H196" s="1" t="str">
        <f>IFERROR(__xludf.DUMMYFUNCTION("""COMPUTED_VALUE"""),"-6,41%")</f>
        <v>-6,41%</v>
      </c>
    </row>
    <row r="197">
      <c r="A197" s="1">
        <f>IFERROR(__xludf.DUMMYFUNCTION("""COMPUTED_VALUE"""),69.0)</f>
        <v>69</v>
      </c>
      <c r="B197" s="1"/>
      <c r="C197" s="1" t="str">
        <f>IFERROR(__xludf.DUMMYFUNCTION("""COMPUTED_VALUE"""),"La Voix du Combattant")</f>
        <v>La Voix du Combattant</v>
      </c>
      <c r="D197" s="1" t="str">
        <f>IFERROR(__xludf.DUMMYFUNCTION("""COMPUTED_VALUE"""),"Mensuel")</f>
        <v>Mensuel</v>
      </c>
      <c r="E197" s="1" t="str">
        <f>IFERROR(__xludf.DUMMYFUNCTION("""COMPUTED_VALUE"""),"2024-2025")</f>
        <v>2024-2025</v>
      </c>
      <c r="F197" s="1" t="str">
        <f>IFERROR(__xludf.DUMMYFUNCTION("""COMPUTED_VALUE"""),"DSH")</f>
        <v>DSH</v>
      </c>
      <c r="G197" s="1" t="str">
        <f>IFERROR(__xludf.DUMMYFUNCTION("""COMPUTED_VALUE"""),"100 268")</f>
        <v>100 268</v>
      </c>
      <c r="H197" s="1" t="str">
        <f>IFERROR(__xludf.DUMMYFUNCTION("""COMPUTED_VALUE"""),"-8,52%")</f>
        <v>-8,52%</v>
      </c>
    </row>
    <row r="198">
      <c r="A198" s="1">
        <f>IFERROR(__xludf.DUMMYFUNCTION("""COMPUTED_VALUE"""),160.0)</f>
        <v>160</v>
      </c>
      <c r="B198" s="1"/>
      <c r="C198" s="1" t="str">
        <f>IFERROR(__xludf.DUMMYFUNCTION("""COMPUTED_VALUE"""),"Wakou")</f>
        <v>Wakou</v>
      </c>
      <c r="D198" s="1" t="str">
        <f>IFERROR(__xludf.DUMMYFUNCTION("""COMPUTED_VALUE"""),"Mensuel")</f>
        <v>Mensuel</v>
      </c>
      <c r="E198" s="1" t="str">
        <f>IFERROR(__xludf.DUMMYFUNCTION("""COMPUTED_VALUE"""),"2024-2025")</f>
        <v>2024-2025</v>
      </c>
      <c r="F198" s="1" t="str">
        <f>IFERROR(__xludf.DUMMYFUNCTION("""COMPUTED_VALUE"""),"DSH")</f>
        <v>DSH</v>
      </c>
      <c r="G198" s="1" t="str">
        <f>IFERROR(__xludf.DUMMYFUNCTION("""COMPUTED_VALUE"""),"23 967")</f>
        <v>23 967</v>
      </c>
      <c r="H198" s="1" t="str">
        <f>IFERROR(__xludf.DUMMYFUNCTION("""COMPUTED_VALUE"""),"-14,78%")</f>
        <v>-14,78%</v>
      </c>
    </row>
    <row r="199">
      <c r="A199" s="1">
        <f>IFERROR(__xludf.DUMMYFUNCTION("""COMPUTED_VALUE"""),137.0)</f>
        <v>137</v>
      </c>
      <c r="B199" s="1"/>
      <c r="C199" s="1" t="str">
        <f>IFERROR(__xludf.DUMMYFUNCTION("""COMPUTED_VALUE"""),"Wapiti")</f>
        <v>Wapiti</v>
      </c>
      <c r="D199" s="1" t="str">
        <f>IFERROR(__xludf.DUMMYFUNCTION("""COMPUTED_VALUE"""),"Mensuel")</f>
        <v>Mensuel</v>
      </c>
      <c r="E199" s="1" t="str">
        <f>IFERROR(__xludf.DUMMYFUNCTION("""COMPUTED_VALUE"""),"2024-2025")</f>
        <v>2024-2025</v>
      </c>
      <c r="F199" s="1" t="str">
        <f>IFERROR(__xludf.DUMMYFUNCTION("""COMPUTED_VALUE"""),"DSH")</f>
        <v>DSH</v>
      </c>
      <c r="G199" s="1" t="str">
        <f>IFERROR(__xludf.DUMMYFUNCTION("""COMPUTED_VALUE"""),"38 233")</f>
        <v>38 233</v>
      </c>
      <c r="H199" s="1" t="str">
        <f>IFERROR(__xludf.DUMMYFUNCTION("""COMPUTED_VALUE"""),"-14,28%")</f>
        <v>-14,28%</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IFERROR(__xludf.DUMMYFUNCTION("IMPORTHTML(""https://fr.wikipedia.org/wiki/Mod%C3%A8le:Donn%C3%A9es_de_la_pand%C3%A9mie_de_Covid-19"",""table"")"),"Lieux")</f>
        <v>Lieux</v>
      </c>
      <c r="B1" s="1"/>
      <c r="C1" s="1" t="str">
        <f>IFERROR(__xludf.DUMMYFUNCTION("""COMPUTED_VALUE"""),"Confirmés")</f>
        <v>Confirmés</v>
      </c>
      <c r="D1" s="1" t="str">
        <f>IFERROR(__xludf.DUMMYFUNCTION("""COMPUTED_VALUE"""),"Décès")</f>
        <v>Décès</v>
      </c>
      <c r="E1" s="1" t="str">
        <f>IFERROR(__xludf.DUMMYFUNCTION("""COMPUTED_VALUE"""),"Morts par
million hab.")</f>
        <v>Morts par
million hab.</v>
      </c>
      <c r="F1" s="1" t="str">
        <f>IFERROR(__xludf.DUMMYFUNCTION("""COMPUTED_VALUE"""),"Population")</f>
        <v>Population</v>
      </c>
      <c r="J1" s="29"/>
      <c r="K1" s="29"/>
      <c r="L1" s="29"/>
      <c r="M1" s="29"/>
      <c r="N1" s="29"/>
      <c r="O1" s="29"/>
      <c r="P1" s="29"/>
      <c r="Q1" s="29"/>
      <c r="R1" s="29"/>
      <c r="S1" s="29"/>
      <c r="T1" s="29"/>
      <c r="U1" s="29"/>
      <c r="V1" s="29"/>
      <c r="W1" s="29"/>
      <c r="X1" s="29"/>
      <c r="Y1" s="29"/>
      <c r="Z1" s="29"/>
    </row>
    <row r="2">
      <c r="A2" s="1"/>
      <c r="B2" s="1" t="str">
        <f>IFERROR(__xludf.DUMMYFUNCTION("""COMPUTED_VALUE"""),"Monde[note 1]")</f>
        <v>Monde[note 1]</v>
      </c>
      <c r="C2" s="1" t="str">
        <f>IFERROR(__xludf.DUMMYFUNCTION("""COMPUTED_VALUE"""),"778 971 624")</f>
        <v>778 971 624</v>
      </c>
      <c r="D2" s="1" t="str">
        <f>IFERROR(__xludf.DUMMYFUNCTION("""COMPUTED_VALUE"""),"7 107 739")</f>
        <v>7 107 739</v>
      </c>
      <c r="E2" s="1">
        <f>IFERROR(__xludf.DUMMYFUNCTION("""COMPUTED_VALUE"""),893.0)</f>
        <v>893</v>
      </c>
      <c r="F2" s="1" t="str">
        <f>IFERROR(__xludf.DUMMYFUNCTION("""COMPUTED_VALUE"""),"8 021 407 196")</f>
        <v>8 021 407 196</v>
      </c>
      <c r="J2" s="29"/>
      <c r="K2" s="29"/>
      <c r="L2" s="29"/>
      <c r="M2" s="29"/>
      <c r="N2" s="29"/>
      <c r="O2" s="29"/>
      <c r="P2" s="29"/>
      <c r="Q2" s="29"/>
      <c r="R2" s="29"/>
      <c r="S2" s="29"/>
      <c r="T2" s="29"/>
      <c r="U2" s="29"/>
      <c r="V2" s="29"/>
      <c r="W2" s="29"/>
      <c r="X2" s="29"/>
      <c r="Y2" s="29"/>
      <c r="Z2" s="29"/>
    </row>
    <row r="3">
      <c r="A3" s="1"/>
      <c r="B3" s="1" t="str">
        <f>IFERROR(__xludf.DUMMYFUNCTION("""COMPUTED_VALUE"""),"Union européenne[note 2]")</f>
        <v>Union européenne[note 2]</v>
      </c>
      <c r="C3" s="1" t="str">
        <f>IFERROR(__xludf.DUMMYFUNCTION("""COMPUTED_VALUE"""),"186 934 581")</f>
        <v>186 934 581</v>
      </c>
      <c r="D3" s="1" t="str">
        <f>IFERROR(__xludf.DUMMYFUNCTION("""COMPUTED_VALUE"""),"1 269 845")</f>
        <v>1 269 845</v>
      </c>
      <c r="E3" s="1" t="str">
        <f>IFERROR(__xludf.DUMMYFUNCTION("""COMPUTED_VALUE"""),"2 829")</f>
        <v>2 829</v>
      </c>
      <c r="F3" s="1" t="str">
        <f>IFERROR(__xludf.DUMMYFUNCTION("""COMPUTED_VALUE"""),"449 113 463")</f>
        <v>449 113 463</v>
      </c>
      <c r="J3" s="29"/>
      <c r="K3" s="29"/>
      <c r="L3" s="29"/>
      <c r="M3" s="29"/>
      <c r="N3" s="29"/>
      <c r="O3" s="29"/>
      <c r="P3" s="29"/>
      <c r="Q3" s="29"/>
      <c r="R3" s="29"/>
      <c r="S3" s="29"/>
      <c r="T3" s="29"/>
      <c r="U3" s="29"/>
      <c r="V3" s="29"/>
      <c r="W3" s="29"/>
      <c r="X3" s="29"/>
      <c r="Y3" s="29"/>
      <c r="Z3" s="29"/>
    </row>
    <row r="4">
      <c r="A4" s="1"/>
      <c r="B4" s="1" t="str">
        <f>IFERROR(__xludf.DUMMYFUNCTION("""COMPUTED_VALUE"""),"États-Unis")</f>
        <v>États-Unis</v>
      </c>
      <c r="C4" s="1" t="str">
        <f>IFERROR(__xludf.DUMMYFUNCTION("""COMPUTED_VALUE"""),"103 436 829")</f>
        <v>103 436 829</v>
      </c>
      <c r="D4" s="1" t="str">
        <f>IFERROR(__xludf.DUMMYFUNCTION("""COMPUTED_VALUE"""),"1 232 898")</f>
        <v>1 232 898</v>
      </c>
      <c r="E4" s="1" t="str">
        <f>IFERROR(__xludf.DUMMYFUNCTION("""COMPUTED_VALUE"""),"3 609")</f>
        <v>3 609</v>
      </c>
      <c r="F4" s="1" t="str">
        <f>IFERROR(__xludf.DUMMYFUNCTION("""COMPUTED_VALUE"""),"341 534 041")</f>
        <v>341 534 041</v>
      </c>
      <c r="J4" s="29"/>
      <c r="K4" s="29"/>
      <c r="L4" s="29"/>
      <c r="M4" s="29"/>
      <c r="N4" s="29"/>
      <c r="O4" s="29"/>
      <c r="P4" s="29"/>
      <c r="Q4" s="29"/>
      <c r="R4" s="29"/>
      <c r="S4" s="29"/>
      <c r="T4" s="29"/>
      <c r="U4" s="29"/>
      <c r="V4" s="29"/>
      <c r="W4" s="29"/>
      <c r="X4" s="29"/>
      <c r="Y4" s="29"/>
      <c r="Z4" s="29"/>
    </row>
    <row r="5">
      <c r="A5" s="1"/>
      <c r="B5" s="1" t="str">
        <f>IFERROR(__xludf.DUMMYFUNCTION("""COMPUTED_VALUE"""),"Chine[note 3]")</f>
        <v>Chine[note 3]</v>
      </c>
      <c r="C5" s="1" t="str">
        <f>IFERROR(__xludf.DUMMYFUNCTION("""COMPUTED_VALUE"""),"99 381 761")</f>
        <v>99 381 761</v>
      </c>
      <c r="D5" s="1" t="str">
        <f>IFERROR(__xludf.DUMMYFUNCTION("""COMPUTED_VALUE"""),"122 398")</f>
        <v>122 398</v>
      </c>
      <c r="E5" s="1">
        <f>IFERROR(__xludf.DUMMYFUNCTION("""COMPUTED_VALUE"""),85.0)</f>
        <v>85</v>
      </c>
      <c r="F5" s="1" t="str">
        <f>IFERROR(__xludf.DUMMYFUNCTION("""COMPUTED_VALUE"""),"1 425 179 562")</f>
        <v>1 425 179 562</v>
      </c>
      <c r="J5" s="29"/>
      <c r="K5" s="29"/>
      <c r="L5" s="29"/>
      <c r="M5" s="29"/>
      <c r="N5" s="29"/>
      <c r="O5" s="29"/>
      <c r="P5" s="29"/>
      <c r="Q5" s="29"/>
      <c r="R5" s="29"/>
      <c r="S5" s="29"/>
      <c r="T5" s="29"/>
      <c r="U5" s="29"/>
      <c r="V5" s="29"/>
      <c r="W5" s="29"/>
      <c r="X5" s="29"/>
      <c r="Y5" s="29"/>
      <c r="Z5" s="29"/>
    </row>
    <row r="6">
      <c r="A6" s="1"/>
      <c r="B6" s="1" t="str">
        <f>IFERROR(__xludf.DUMMYFUNCTION("""COMPUTED_VALUE"""),"Inde")</f>
        <v>Inde</v>
      </c>
      <c r="C6" s="1" t="str">
        <f>IFERROR(__xludf.DUMMYFUNCTION("""COMPUTED_VALUE"""),"45 056 126")</f>
        <v>45 056 126</v>
      </c>
      <c r="D6" s="1" t="str">
        <f>IFERROR(__xludf.DUMMYFUNCTION("""COMPUTED_VALUE"""),"533 847")</f>
        <v>533 847</v>
      </c>
      <c r="E6" s="1">
        <f>IFERROR(__xludf.DUMMYFUNCTION("""COMPUTED_VALUE"""),374.0)</f>
        <v>374</v>
      </c>
      <c r="F6" s="1" t="str">
        <f>IFERROR(__xludf.DUMMYFUNCTION("""COMPUTED_VALUE"""),"1 425 423 209")</f>
        <v>1 425 423 209</v>
      </c>
      <c r="J6" s="29"/>
      <c r="K6" s="29"/>
      <c r="L6" s="29"/>
      <c r="M6" s="29"/>
      <c r="N6" s="29"/>
      <c r="O6" s="29"/>
      <c r="P6" s="29"/>
      <c r="Q6" s="29"/>
      <c r="R6" s="29"/>
      <c r="S6" s="29"/>
      <c r="T6" s="29"/>
      <c r="U6" s="29"/>
      <c r="V6" s="29"/>
      <c r="W6" s="29"/>
      <c r="X6" s="29"/>
      <c r="Y6" s="29"/>
      <c r="Z6" s="29"/>
    </row>
    <row r="7">
      <c r="A7" s="1"/>
      <c r="B7" s="1" t="str">
        <f>IFERROR(__xludf.DUMMYFUNCTION("""COMPUTED_VALUE"""),"France")</f>
        <v>France</v>
      </c>
      <c r="C7" s="1" t="str">
        <f>IFERROR(__xludf.DUMMYFUNCTION("""COMPUTED_VALUE"""),"39 056 169")</f>
        <v>39 056 169</v>
      </c>
      <c r="D7" s="1" t="str">
        <f>IFERROR(__xludf.DUMMYFUNCTION("""COMPUTED_VALUE"""),"168 193")</f>
        <v>168 193</v>
      </c>
      <c r="E7" s="1" t="str">
        <f>IFERROR(__xludf.DUMMYFUNCTION("""COMPUTED_VALUE"""),"2 616")</f>
        <v>2 616</v>
      </c>
      <c r="F7" s="1" t="str">
        <f>IFERROR(__xludf.DUMMYFUNCTION("""COMPUTED_VALUE"""),"66 277 412")</f>
        <v>66 277 412</v>
      </c>
      <c r="J7" s="29"/>
      <c r="K7" s="29"/>
      <c r="L7" s="29"/>
      <c r="M7" s="29"/>
      <c r="N7" s="29"/>
      <c r="O7" s="29"/>
      <c r="P7" s="29"/>
      <c r="Q7" s="29"/>
      <c r="R7" s="29"/>
      <c r="S7" s="29"/>
      <c r="T7" s="29"/>
      <c r="U7" s="29"/>
      <c r="V7" s="29"/>
      <c r="W7" s="29"/>
      <c r="X7" s="29"/>
      <c r="Y7" s="29"/>
      <c r="Z7" s="29"/>
    </row>
    <row r="8">
      <c r="A8" s="1"/>
      <c r="B8" s="1" t="str">
        <f>IFERROR(__xludf.DUMMYFUNCTION("""COMPUTED_VALUE"""),"Allemagne")</f>
        <v>Allemagne</v>
      </c>
      <c r="C8" s="1" t="str">
        <f>IFERROR(__xludf.DUMMYFUNCTION("""COMPUTED_VALUE"""),"38 437 941")</f>
        <v>38 437 941</v>
      </c>
      <c r="D8" s="1" t="str">
        <f>IFERROR(__xludf.DUMMYFUNCTION("""COMPUTED_VALUE"""),"174 979")</f>
        <v>174 979</v>
      </c>
      <c r="E8" s="1" t="str">
        <f>IFERROR(__xludf.DUMMYFUNCTION("""COMPUTED_VALUE"""),"2 080")</f>
        <v>2 080</v>
      </c>
      <c r="F8" s="1" t="str">
        <f>IFERROR(__xludf.DUMMYFUNCTION("""COMPUTED_VALUE"""),"84 086 227")</f>
        <v>84 086 227</v>
      </c>
      <c r="J8" s="29"/>
      <c r="K8" s="29"/>
      <c r="L8" s="29"/>
      <c r="M8" s="29"/>
      <c r="N8" s="29"/>
      <c r="O8" s="29"/>
      <c r="P8" s="29"/>
      <c r="Q8" s="29"/>
      <c r="R8" s="29"/>
      <c r="S8" s="29"/>
      <c r="T8" s="29"/>
      <c r="U8" s="29"/>
      <c r="V8" s="29"/>
      <c r="W8" s="29"/>
      <c r="X8" s="29"/>
      <c r="Y8" s="29"/>
      <c r="Z8" s="29"/>
    </row>
    <row r="9">
      <c r="A9" s="1"/>
      <c r="B9" s="1" t="str">
        <f>IFERROR(__xludf.DUMMYFUNCTION("""COMPUTED_VALUE"""),"Brésil")</f>
        <v>Brésil</v>
      </c>
      <c r="C9" s="1" t="str">
        <f>IFERROR(__xludf.DUMMYFUNCTION("""COMPUTED_VALUE"""),"37 944 353")</f>
        <v>37 944 353</v>
      </c>
      <c r="D9" s="1" t="str">
        <f>IFERROR(__xludf.DUMMYFUNCTION("""COMPUTED_VALUE"""),"703 681")</f>
        <v>703 681</v>
      </c>
      <c r="E9" s="1" t="str">
        <f>IFERROR(__xludf.DUMMYFUNCTION("""COMPUTED_VALUE"""),"3 345")</f>
        <v>3 345</v>
      </c>
      <c r="F9" s="1" t="str">
        <f>IFERROR(__xludf.DUMMYFUNCTION("""COMPUTED_VALUE"""),"210 306 411")</f>
        <v>210 306 411</v>
      </c>
      <c r="J9" s="29"/>
      <c r="K9" s="29"/>
      <c r="L9" s="29"/>
      <c r="M9" s="29"/>
      <c r="N9" s="29"/>
      <c r="O9" s="29"/>
      <c r="P9" s="29"/>
      <c r="Q9" s="29"/>
      <c r="R9" s="29"/>
      <c r="S9" s="29"/>
      <c r="T9" s="29"/>
      <c r="U9" s="29"/>
      <c r="V9" s="29"/>
      <c r="W9" s="29"/>
      <c r="X9" s="29"/>
      <c r="Y9" s="29"/>
      <c r="Z9" s="29"/>
    </row>
    <row r="10">
      <c r="A10" s="1"/>
      <c r="B10" s="1" t="str">
        <f>IFERROR(__xludf.DUMMYFUNCTION("""COMPUTED_VALUE"""),"Corée du Sud")</f>
        <v>Corée du Sud</v>
      </c>
      <c r="C10" s="1" t="str">
        <f>IFERROR(__xludf.DUMMYFUNCTION("""COMPUTED_VALUE"""),"34 571 873")</f>
        <v>34 571 873</v>
      </c>
      <c r="D10" s="1" t="str">
        <f>IFERROR(__xludf.DUMMYFUNCTION("""COMPUTED_VALUE"""),"35 934")</f>
        <v>35 934</v>
      </c>
      <c r="E10" s="1">
        <f>IFERROR(__xludf.DUMMYFUNCTION("""COMPUTED_VALUE"""),693.0)</f>
        <v>693</v>
      </c>
      <c r="F10" s="1" t="str">
        <f>IFERROR(__xludf.DUMMYFUNCTION("""COMPUTED_VALUE"""),"51 782 515")</f>
        <v>51 782 515</v>
      </c>
      <c r="J10" s="29"/>
      <c r="K10" s="29"/>
      <c r="L10" s="29"/>
      <c r="M10" s="29"/>
      <c r="N10" s="29"/>
      <c r="O10" s="29"/>
      <c r="P10" s="29"/>
      <c r="Q10" s="29"/>
      <c r="R10" s="29"/>
      <c r="S10" s="29"/>
      <c r="T10" s="29"/>
      <c r="U10" s="29"/>
      <c r="V10" s="29"/>
      <c r="W10" s="29"/>
      <c r="X10" s="29"/>
      <c r="Y10" s="29"/>
      <c r="Z10" s="29"/>
    </row>
    <row r="11">
      <c r="A11" s="1"/>
      <c r="B11" s="1" t="str">
        <f>IFERROR(__xludf.DUMMYFUNCTION("""COMPUTED_VALUE"""),"Japon")</f>
        <v>Japon</v>
      </c>
      <c r="C11" s="1" t="str">
        <f>IFERROR(__xludf.DUMMYFUNCTION("""COMPUTED_VALUE"""),"33 803 572")</f>
        <v>33 803 572</v>
      </c>
      <c r="D11" s="1" t="str">
        <f>IFERROR(__xludf.DUMMYFUNCTION("""COMPUTED_VALUE"""),"74 694")</f>
        <v>74 694</v>
      </c>
      <c r="E11" s="1">
        <f>IFERROR(__xludf.DUMMYFUNCTION("""COMPUTED_VALUE"""),597.0)</f>
        <v>597</v>
      </c>
      <c r="F11" s="1" t="str">
        <f>IFERROR(__xludf.DUMMYFUNCTION("""COMPUTED_VALUE"""),"124 997 585")</f>
        <v>124 997 585</v>
      </c>
      <c r="J11" s="29"/>
      <c r="K11" s="29"/>
      <c r="L11" s="29"/>
      <c r="M11" s="29"/>
      <c r="N11" s="29"/>
      <c r="O11" s="29"/>
      <c r="P11" s="29"/>
      <c r="Q11" s="29"/>
      <c r="R11" s="29"/>
      <c r="S11" s="29"/>
      <c r="T11" s="29"/>
      <c r="U11" s="29"/>
      <c r="V11" s="29"/>
      <c r="W11" s="29"/>
      <c r="X11" s="29"/>
      <c r="Y11" s="29"/>
      <c r="Z11" s="29"/>
    </row>
    <row r="12">
      <c r="A12" s="1"/>
      <c r="B12" s="1" t="str">
        <f>IFERROR(__xludf.DUMMYFUNCTION("""COMPUTED_VALUE"""),"Italie")</f>
        <v>Italie</v>
      </c>
      <c r="C12" s="1" t="str">
        <f>IFERROR(__xludf.DUMMYFUNCTION("""COMPUTED_VALUE"""),"26 969 621")</f>
        <v>26 969 621</v>
      </c>
      <c r="D12" s="1" t="str">
        <f>IFERROR(__xludf.DUMMYFUNCTION("""COMPUTED_VALUE"""),"198 523")</f>
        <v>198 523</v>
      </c>
      <c r="E12" s="1" t="str">
        <f>IFERROR(__xludf.DUMMYFUNCTION("""COMPUTED_VALUE"""),"3 329")</f>
        <v>3 329</v>
      </c>
      <c r="F12" s="1" t="str">
        <f>IFERROR(__xludf.DUMMYFUNCTION("""COMPUTED_VALUE"""),"59 619 106")</f>
        <v>59 619 106</v>
      </c>
      <c r="J12" s="29"/>
      <c r="K12" s="29"/>
      <c r="L12" s="29"/>
      <c r="M12" s="29"/>
      <c r="N12" s="29"/>
      <c r="O12" s="29"/>
      <c r="P12" s="29"/>
      <c r="Q12" s="29"/>
      <c r="R12" s="29"/>
      <c r="S12" s="29"/>
      <c r="T12" s="29"/>
      <c r="U12" s="29"/>
      <c r="V12" s="29"/>
      <c r="W12" s="29"/>
      <c r="X12" s="29"/>
      <c r="Y12" s="29"/>
      <c r="Z12" s="29"/>
    </row>
    <row r="13">
      <c r="A13" s="1"/>
      <c r="B13" s="1" t="str">
        <f>IFERROR(__xludf.DUMMYFUNCTION("""COMPUTED_VALUE"""),"Royaume-Uni")</f>
        <v>Royaume-Uni</v>
      </c>
      <c r="C13" s="1" t="str">
        <f>IFERROR(__xludf.DUMMYFUNCTION("""COMPUTED_VALUE"""),"25 104 476")</f>
        <v>25 104 476</v>
      </c>
      <c r="D13" s="1" t="str">
        <f>IFERROR(__xludf.DUMMYFUNCTION("""COMPUTED_VALUE"""),"232 112")</f>
        <v>232 112</v>
      </c>
      <c r="E13" s="1" t="str">
        <f>IFERROR(__xludf.DUMMYFUNCTION("""COMPUTED_VALUE"""),"3 404")</f>
        <v>3 404</v>
      </c>
      <c r="F13" s="1" t="str">
        <f>IFERROR(__xludf.DUMMYFUNCTION("""COMPUTED_VALUE"""),"68 179 315")</f>
        <v>68 179 315</v>
      </c>
      <c r="J13" s="29"/>
      <c r="K13" s="29"/>
      <c r="L13" s="29"/>
      <c r="M13" s="29"/>
      <c r="N13" s="29"/>
      <c r="O13" s="29"/>
      <c r="P13" s="29"/>
      <c r="Q13" s="29"/>
      <c r="R13" s="29"/>
      <c r="S13" s="29"/>
      <c r="T13" s="29"/>
      <c r="U13" s="29"/>
      <c r="V13" s="29"/>
      <c r="W13" s="29"/>
      <c r="X13" s="29"/>
      <c r="Y13" s="29"/>
      <c r="Z13" s="29"/>
    </row>
    <row r="14">
      <c r="A14" s="1"/>
      <c r="B14" s="1" t="str">
        <f>IFERROR(__xludf.DUMMYFUNCTION("""COMPUTED_VALUE"""),"Russie")</f>
        <v>Russie</v>
      </c>
      <c r="C14" s="1" t="str">
        <f>IFERROR(__xludf.DUMMYFUNCTION("""COMPUTED_VALUE"""),"24 901 467")</f>
        <v>24 901 467</v>
      </c>
      <c r="D14" s="1" t="str">
        <f>IFERROR(__xludf.DUMMYFUNCTION("""COMPUTED_VALUE"""),"404 290")</f>
        <v>404 290</v>
      </c>
      <c r="E14" s="1" t="str">
        <f>IFERROR(__xludf.DUMMYFUNCTION("""COMPUTED_VALUE"""),"2 777")</f>
        <v>2 777</v>
      </c>
      <c r="F14" s="1" t="str">
        <f>IFERROR(__xludf.DUMMYFUNCTION("""COMPUTED_VALUE"""),"145 579 889")</f>
        <v>145 579 889</v>
      </c>
      <c r="J14" s="29"/>
      <c r="K14" s="29"/>
      <c r="L14" s="29"/>
      <c r="M14" s="29"/>
      <c r="N14" s="29"/>
      <c r="O14" s="29"/>
      <c r="P14" s="29"/>
      <c r="Q14" s="29"/>
      <c r="R14" s="29"/>
      <c r="S14" s="29"/>
      <c r="T14" s="29"/>
      <c r="U14" s="29"/>
      <c r="V14" s="29"/>
      <c r="W14" s="29"/>
      <c r="X14" s="29"/>
      <c r="Y14" s="29"/>
      <c r="Z14" s="29"/>
    </row>
    <row r="15">
      <c r="A15" s="1"/>
      <c r="B15" s="1" t="str">
        <f>IFERROR(__xludf.DUMMYFUNCTION("""COMPUTED_VALUE"""),"Turquie")</f>
        <v>Turquie</v>
      </c>
      <c r="C15" s="1" t="str">
        <f>IFERROR(__xludf.DUMMYFUNCTION("""COMPUTED_VALUE"""),"17 004 725")</f>
        <v>17 004 725</v>
      </c>
      <c r="D15" s="1" t="str">
        <f>IFERROR(__xludf.DUMMYFUNCTION("""COMPUTED_VALUE"""),"101 419")</f>
        <v>101 419</v>
      </c>
      <c r="E15" s="1" t="str">
        <f>IFERROR(__xludf.DUMMYFUNCTION("""COMPUTED_VALUE"""),"1 164")</f>
        <v>1 164</v>
      </c>
      <c r="F15" s="1" t="str">
        <f>IFERROR(__xludf.DUMMYFUNCTION("""COMPUTED_VALUE"""),"87 058 469")</f>
        <v>87 058 469</v>
      </c>
      <c r="J15" s="29"/>
      <c r="K15" s="29"/>
      <c r="L15" s="29"/>
      <c r="M15" s="29"/>
      <c r="N15" s="29"/>
      <c r="O15" s="29"/>
      <c r="P15" s="29"/>
      <c r="Q15" s="29"/>
      <c r="R15" s="29"/>
      <c r="S15" s="29"/>
      <c r="T15" s="29"/>
      <c r="U15" s="29"/>
      <c r="V15" s="29"/>
      <c r="W15" s="29"/>
      <c r="X15" s="29"/>
      <c r="Y15" s="29"/>
      <c r="Z15" s="29"/>
    </row>
    <row r="16">
      <c r="A16" s="1"/>
      <c r="B16" s="1" t="str">
        <f>IFERROR(__xludf.DUMMYFUNCTION("""COMPUTED_VALUE"""),"Espagne")</f>
        <v>Espagne</v>
      </c>
      <c r="C16" s="1" t="str">
        <f>IFERROR(__xludf.DUMMYFUNCTION("""COMPUTED_VALUE"""),"13 980 340")</f>
        <v>13 980 340</v>
      </c>
      <c r="D16" s="1" t="str">
        <f>IFERROR(__xludf.DUMMYFUNCTION("""COMPUTED_VALUE"""),"121 880")</f>
        <v>121 880</v>
      </c>
      <c r="E16" s="1" t="str">
        <f>IFERROR(__xludf.DUMMYFUNCTION("""COMPUTED_VALUE"""),"2 548")</f>
        <v>2 548</v>
      </c>
      <c r="F16" s="1" t="str">
        <f>IFERROR(__xludf.DUMMYFUNCTION("""COMPUTED_VALUE"""),"47 828 386")</f>
        <v>47 828 386</v>
      </c>
      <c r="J16" s="29"/>
      <c r="K16" s="29"/>
      <c r="L16" s="29"/>
      <c r="M16" s="29"/>
      <c r="N16" s="29"/>
      <c r="O16" s="29"/>
      <c r="P16" s="29"/>
      <c r="Q16" s="29"/>
      <c r="R16" s="29"/>
      <c r="S16" s="29"/>
      <c r="T16" s="29"/>
      <c r="U16" s="29"/>
      <c r="V16" s="29"/>
      <c r="W16" s="29"/>
      <c r="X16" s="29"/>
      <c r="Y16" s="29"/>
      <c r="Z16" s="29"/>
    </row>
    <row r="17">
      <c r="A17" s="1"/>
      <c r="B17" s="1" t="str">
        <f>IFERROR(__xludf.DUMMYFUNCTION("""COMPUTED_VALUE"""),"Australie")</f>
        <v>Australie</v>
      </c>
      <c r="C17" s="1" t="str">
        <f>IFERROR(__xludf.DUMMYFUNCTION("""COMPUTED_VALUE"""),"11 861 161")</f>
        <v>11 861 161</v>
      </c>
      <c r="D17" s="1" t="str">
        <f>IFERROR(__xludf.DUMMYFUNCTION("""COMPUTED_VALUE"""),"25 236")</f>
        <v>25 236</v>
      </c>
      <c r="E17" s="1">
        <f>IFERROR(__xludf.DUMMYFUNCTION("""COMPUTED_VALUE"""),963.0)</f>
        <v>963</v>
      </c>
      <c r="F17" s="1" t="str">
        <f>IFERROR(__xludf.DUMMYFUNCTION("""COMPUTED_VALUE"""),"26 200 987")</f>
        <v>26 200 987</v>
      </c>
      <c r="J17" s="29"/>
      <c r="K17" s="29"/>
      <c r="L17" s="29"/>
      <c r="M17" s="29"/>
      <c r="N17" s="29"/>
      <c r="O17" s="29"/>
      <c r="P17" s="29"/>
      <c r="Q17" s="29"/>
      <c r="R17" s="29"/>
      <c r="S17" s="29"/>
      <c r="T17" s="29"/>
      <c r="U17" s="29"/>
      <c r="V17" s="29"/>
      <c r="W17" s="29"/>
      <c r="X17" s="29"/>
      <c r="Y17" s="29"/>
      <c r="Z17" s="29"/>
    </row>
    <row r="18">
      <c r="A18" s="1"/>
      <c r="B18" s="1" t="str">
        <f>IFERROR(__xludf.DUMMYFUNCTION("""COMPUTED_VALUE"""),"Viêt Nam")</f>
        <v>Viêt Nam</v>
      </c>
      <c r="C18" s="1" t="str">
        <f>IFERROR(__xludf.DUMMYFUNCTION("""COMPUTED_VALUE"""),"11 624 000")</f>
        <v>11 624 000</v>
      </c>
      <c r="D18" s="1" t="str">
        <f>IFERROR(__xludf.DUMMYFUNCTION("""COMPUTED_VALUE"""),"43 206")</f>
        <v>43 206</v>
      </c>
      <c r="E18" s="1">
        <f>IFERROR(__xludf.DUMMYFUNCTION("""COMPUTED_VALUE"""),433.0)</f>
        <v>433</v>
      </c>
      <c r="F18" s="1" t="str">
        <f>IFERROR(__xludf.DUMMYFUNCTION("""COMPUTED_VALUE"""),"99 680 656")</f>
        <v>99 680 656</v>
      </c>
      <c r="J18" s="29"/>
      <c r="K18" s="29"/>
      <c r="L18" s="29"/>
      <c r="M18" s="29"/>
      <c r="N18" s="29"/>
      <c r="O18" s="29"/>
      <c r="P18" s="29"/>
      <c r="Q18" s="29"/>
      <c r="R18" s="29"/>
      <c r="S18" s="29"/>
      <c r="T18" s="29"/>
      <c r="U18" s="29"/>
      <c r="V18" s="29"/>
      <c r="W18" s="29"/>
      <c r="X18" s="29"/>
      <c r="Y18" s="29"/>
      <c r="Z18" s="29"/>
    </row>
    <row r="19">
      <c r="A19" s="1"/>
      <c r="B19" s="1" t="str">
        <f>IFERROR(__xludf.DUMMYFUNCTION("""COMPUTED_VALUE"""),"Argentine")</f>
        <v>Argentine</v>
      </c>
      <c r="C19" s="1" t="str">
        <f>IFERROR(__xludf.DUMMYFUNCTION("""COMPUTED_VALUE"""),"10 118 539")</f>
        <v>10 118 539</v>
      </c>
      <c r="D19" s="1" t="str">
        <f>IFERROR(__xludf.DUMMYFUNCTION("""COMPUTED_VALUE"""),"130 829")</f>
        <v>130 829</v>
      </c>
      <c r="E19" s="1" t="str">
        <f>IFERROR(__xludf.DUMMYFUNCTION("""COMPUTED_VALUE"""),"2 881")</f>
        <v>2 881</v>
      </c>
      <c r="F19" s="1" t="str">
        <f>IFERROR(__xludf.DUMMYFUNCTION("""COMPUTED_VALUE"""),"45 407 904")</f>
        <v>45 407 904</v>
      </c>
      <c r="J19" s="29"/>
      <c r="K19" s="29"/>
      <c r="L19" s="29"/>
      <c r="M19" s="29"/>
      <c r="N19" s="29"/>
      <c r="O19" s="29"/>
      <c r="P19" s="29"/>
      <c r="Q19" s="29"/>
      <c r="R19" s="29"/>
      <c r="S19" s="29"/>
      <c r="T19" s="29"/>
      <c r="U19" s="29"/>
      <c r="V19" s="29"/>
      <c r="W19" s="29"/>
      <c r="X19" s="29"/>
      <c r="Y19" s="29"/>
      <c r="Z19" s="29"/>
    </row>
    <row r="20">
      <c r="A20" s="1"/>
      <c r="B20" s="1" t="str">
        <f>IFERROR(__xludf.DUMMYFUNCTION("""COMPUTED_VALUE"""),"Taïwan")</f>
        <v>Taïwan</v>
      </c>
      <c r="C20" s="1" t="str">
        <f>IFERROR(__xludf.DUMMYFUNCTION("""COMPUTED_VALUE"""),"9 970 937")</f>
        <v>9 970 937</v>
      </c>
      <c r="D20" s="1" t="str">
        <f>IFERROR(__xludf.DUMMYFUNCTION("""COMPUTED_VALUE"""),"17 672")</f>
        <v>17 672</v>
      </c>
      <c r="E20" s="1">
        <f>IFERROR(__xludf.DUMMYFUNCTION("""COMPUTED_VALUE"""),739.0)</f>
        <v>739</v>
      </c>
      <c r="F20" s="1" t="str">
        <f>IFERROR(__xludf.DUMMYFUNCTION("""COMPUTED_VALUE"""),"23 420 107")</f>
        <v>23 420 107</v>
      </c>
      <c r="J20" s="29"/>
      <c r="K20" s="29"/>
      <c r="L20" s="29"/>
      <c r="M20" s="29"/>
      <c r="N20" s="29"/>
      <c r="O20" s="29"/>
      <c r="P20" s="29"/>
      <c r="Q20" s="29"/>
      <c r="R20" s="29"/>
      <c r="S20" s="29"/>
      <c r="T20" s="29"/>
      <c r="U20" s="29"/>
      <c r="V20" s="29"/>
      <c r="W20" s="29"/>
      <c r="X20" s="29"/>
      <c r="Y20" s="29"/>
      <c r="Z20" s="29"/>
    </row>
    <row r="21">
      <c r="A21" s="1"/>
      <c r="B21" s="1" t="str">
        <f>IFERROR(__xludf.DUMMYFUNCTION("""COMPUTED_VALUE"""),"Pays-Bas[note 4]")</f>
        <v>Pays-Bas[note 4]</v>
      </c>
      <c r="C21" s="1" t="str">
        <f>IFERROR(__xludf.DUMMYFUNCTION("""COMPUTED_VALUE"""),"8 656 452")</f>
        <v>8 656 452</v>
      </c>
      <c r="D21" s="1" t="str">
        <f>IFERROR(__xludf.DUMMYFUNCTION("""COMPUTED_VALUE"""),"22 986")</f>
        <v>22 986</v>
      </c>
      <c r="E21" s="1" t="str">
        <f>IFERROR(__xludf.DUMMYFUNCTION("""COMPUTED_VALUE"""),"1 283")</f>
        <v>1 283</v>
      </c>
      <c r="F21" s="1" t="str">
        <f>IFERROR(__xludf.DUMMYFUNCTION("""COMPUTED_VALUE"""),"17 904 421")</f>
        <v>17 904 421</v>
      </c>
      <c r="J21" s="29"/>
      <c r="K21" s="29"/>
      <c r="L21" s="29"/>
      <c r="M21" s="29"/>
      <c r="N21" s="29"/>
      <c r="O21" s="29"/>
      <c r="P21" s="29"/>
      <c r="Q21" s="29"/>
      <c r="R21" s="29"/>
      <c r="S21" s="29"/>
      <c r="T21" s="29"/>
      <c r="U21" s="29"/>
      <c r="V21" s="29"/>
      <c r="W21" s="29"/>
      <c r="X21" s="29"/>
      <c r="Y21" s="29"/>
      <c r="Z21" s="29"/>
    </row>
    <row r="22">
      <c r="A22" s="1"/>
      <c r="B22" s="1" t="str">
        <f>IFERROR(__xludf.DUMMYFUNCTION("""COMPUTED_VALUE"""),"Mexique")</f>
        <v>Mexique</v>
      </c>
      <c r="C22" s="1" t="str">
        <f>IFERROR(__xludf.DUMMYFUNCTION("""COMPUTED_VALUE"""),"7 629 738")</f>
        <v>7 629 738</v>
      </c>
      <c r="D22" s="1" t="str">
        <f>IFERROR(__xludf.DUMMYFUNCTION("""COMPUTED_VALUE"""),"335 090")</f>
        <v>335 090</v>
      </c>
      <c r="E22" s="1" t="str">
        <f>IFERROR(__xludf.DUMMYFUNCTION("""COMPUTED_VALUE"""),"2 605")</f>
        <v>2 605</v>
      </c>
      <c r="F22" s="1" t="str">
        <f>IFERROR(__xludf.DUMMYFUNCTION("""COMPUTED_VALUE"""),"128 613 116")</f>
        <v>128 613 116</v>
      </c>
      <c r="J22" s="29"/>
      <c r="K22" s="29"/>
      <c r="L22" s="29"/>
      <c r="M22" s="29"/>
      <c r="N22" s="29"/>
      <c r="O22" s="29"/>
      <c r="P22" s="29"/>
      <c r="Q22" s="29"/>
      <c r="R22" s="29"/>
      <c r="S22" s="29"/>
      <c r="T22" s="29"/>
      <c r="U22" s="29"/>
      <c r="V22" s="29"/>
      <c r="W22" s="29"/>
      <c r="X22" s="29"/>
      <c r="Y22" s="29"/>
      <c r="Z22" s="29"/>
    </row>
    <row r="23">
      <c r="A23" s="1"/>
      <c r="B23" s="1" t="str">
        <f>IFERROR(__xludf.DUMMYFUNCTION("""COMPUTED_VALUE"""),"Iran")</f>
        <v>Iran</v>
      </c>
      <c r="C23" s="1" t="str">
        <f>IFERROR(__xludf.DUMMYFUNCTION("""COMPUTED_VALUE"""),"7 627 863")</f>
        <v>7 627 863</v>
      </c>
      <c r="D23" s="1" t="str">
        <f>IFERROR(__xludf.DUMMYFUNCTION("""COMPUTED_VALUE"""),"146 837")</f>
        <v>146 837</v>
      </c>
      <c r="E23" s="1" t="str">
        <f>IFERROR(__xludf.DUMMYFUNCTION("""COMPUTED_VALUE"""),"1 640")</f>
        <v>1 640</v>
      </c>
      <c r="F23" s="1" t="str">
        <f>IFERROR(__xludf.DUMMYFUNCTION("""COMPUTED_VALUE"""),"89 524 247")</f>
        <v>89 524 247</v>
      </c>
      <c r="I23" s="29"/>
      <c r="J23" s="29"/>
      <c r="K23" s="29"/>
      <c r="L23" s="29"/>
      <c r="M23" s="29"/>
      <c r="N23" s="29"/>
      <c r="O23" s="29"/>
      <c r="P23" s="29"/>
      <c r="Q23" s="29"/>
      <c r="R23" s="29"/>
      <c r="S23" s="29"/>
      <c r="T23" s="29"/>
      <c r="U23" s="29"/>
      <c r="V23" s="29"/>
      <c r="W23" s="29"/>
      <c r="X23" s="29"/>
      <c r="Y23" s="29"/>
      <c r="Z23" s="29"/>
    </row>
    <row r="24">
      <c r="A24" s="1"/>
      <c r="B24" s="1" t="str">
        <f>IFERROR(__xludf.DUMMYFUNCTION("""COMPUTED_VALUE"""),"Pologne")</f>
        <v>Pologne</v>
      </c>
      <c r="C24" s="1" t="str">
        <f>IFERROR(__xludf.DUMMYFUNCTION("""COMPUTED_VALUE"""),"6 835 017")</f>
        <v>6 835 017</v>
      </c>
      <c r="D24" s="1" t="str">
        <f>IFERROR(__xludf.DUMMYFUNCTION("""COMPUTED_VALUE"""),"120 982")</f>
        <v>120 982</v>
      </c>
      <c r="E24" s="1" t="str">
        <f>IFERROR(__xludf.DUMMYFUNCTION("""COMPUTED_VALUE"""),"3 151")</f>
        <v>3 151</v>
      </c>
      <c r="F24" s="1" t="str">
        <f>IFERROR(__xludf.DUMMYFUNCTION("""COMPUTED_VALUE"""),"38 385 734")</f>
        <v>38 385 734</v>
      </c>
      <c r="I24" s="29"/>
      <c r="J24" s="29"/>
      <c r="K24" s="29"/>
      <c r="L24" s="29"/>
      <c r="M24" s="29"/>
      <c r="N24" s="29"/>
      <c r="O24" s="29"/>
      <c r="P24" s="29"/>
      <c r="Q24" s="29"/>
      <c r="R24" s="29"/>
      <c r="S24" s="29"/>
      <c r="T24" s="29"/>
      <c r="U24" s="29"/>
      <c r="V24" s="29"/>
      <c r="W24" s="29"/>
      <c r="X24" s="29"/>
      <c r="Y24" s="29"/>
      <c r="Z24" s="29"/>
    </row>
    <row r="25">
      <c r="A25" s="1"/>
      <c r="B25" s="1" t="str">
        <f>IFERROR(__xludf.DUMMYFUNCTION("""COMPUTED_VALUE"""),"Indonésie")</f>
        <v>Indonésie</v>
      </c>
      <c r="C25" s="1" t="str">
        <f>IFERROR(__xludf.DUMMYFUNCTION("""COMPUTED_VALUE"""),"6 830 274")</f>
        <v>6 830 274</v>
      </c>
      <c r="D25" s="1" t="str">
        <f>IFERROR(__xludf.DUMMYFUNCTION("""COMPUTED_VALUE"""),"162 059")</f>
        <v>162 059</v>
      </c>
      <c r="E25" s="1">
        <f>IFERROR(__xludf.DUMMYFUNCTION("""COMPUTED_VALUE"""),581.0)</f>
        <v>581</v>
      </c>
      <c r="F25" s="1" t="str">
        <f>IFERROR(__xludf.DUMMYFUNCTION("""COMPUTED_VALUE"""),"278 830 527")</f>
        <v>278 830 527</v>
      </c>
      <c r="I25" s="29"/>
      <c r="J25" s="29"/>
      <c r="K25" s="29"/>
      <c r="L25" s="29"/>
      <c r="M25" s="29"/>
      <c r="N25" s="29"/>
      <c r="O25" s="29"/>
      <c r="P25" s="29"/>
      <c r="Q25" s="29"/>
      <c r="R25" s="29"/>
      <c r="S25" s="29"/>
      <c r="T25" s="29"/>
      <c r="U25" s="29"/>
      <c r="V25" s="29"/>
      <c r="W25" s="29"/>
      <c r="X25" s="29"/>
      <c r="Y25" s="29"/>
      <c r="Z25" s="29"/>
    </row>
    <row r="26">
      <c r="A26" s="1"/>
      <c r="B26" s="1" t="str">
        <f>IFERROR(__xludf.DUMMYFUNCTION("""COMPUTED_VALUE"""),"Colombie")</f>
        <v>Colombie</v>
      </c>
      <c r="C26" s="1" t="str">
        <f>IFERROR(__xludf.DUMMYFUNCTION("""COMPUTED_VALUE"""),"6 402 502")</f>
        <v>6 402 502</v>
      </c>
      <c r="D26" s="1" t="str">
        <f>IFERROR(__xludf.DUMMYFUNCTION("""COMPUTED_VALUE"""),"142 802")</f>
        <v>142 802</v>
      </c>
      <c r="E26" s="1" t="str">
        <f>IFERROR(__xludf.DUMMYFUNCTION("""COMPUTED_VALUE"""),"2 760")</f>
        <v>2 760</v>
      </c>
      <c r="F26" s="1" t="str">
        <f>IFERROR(__xludf.DUMMYFUNCTION("""COMPUTED_VALUE"""),"51 737 944")</f>
        <v>51 737 944</v>
      </c>
      <c r="I26" s="29"/>
      <c r="J26" s="29"/>
      <c r="K26" s="29"/>
      <c r="L26" s="29"/>
      <c r="M26" s="29"/>
      <c r="N26" s="29"/>
      <c r="O26" s="29"/>
      <c r="P26" s="29"/>
      <c r="Q26" s="29"/>
      <c r="R26" s="29"/>
      <c r="S26" s="29"/>
      <c r="T26" s="29"/>
      <c r="U26" s="29"/>
      <c r="V26" s="29"/>
      <c r="W26" s="29"/>
      <c r="X26" s="29"/>
      <c r="Y26" s="29"/>
      <c r="Z26" s="29"/>
    </row>
    <row r="27">
      <c r="A27" s="1"/>
      <c r="B27" s="1" t="str">
        <f>IFERROR(__xludf.DUMMYFUNCTION("""COMPUTED_VALUE"""),"Autriche")</f>
        <v>Autriche</v>
      </c>
      <c r="C27" s="1" t="str">
        <f>IFERROR(__xludf.DUMMYFUNCTION("""COMPUTED_VALUE"""),"6 083 699")</f>
        <v>6 083 699</v>
      </c>
      <c r="D27" s="1" t="str">
        <f>IFERROR(__xludf.DUMMYFUNCTION("""COMPUTED_VALUE"""),"22 534")</f>
        <v>22 534</v>
      </c>
      <c r="E27" s="1" t="str">
        <f>IFERROR(__xludf.DUMMYFUNCTION("""COMPUTED_VALUE"""),"2 485")</f>
        <v>2 485</v>
      </c>
      <c r="F27" s="1" t="str">
        <f>IFERROR(__xludf.DUMMYFUNCTION("""COMPUTED_VALUE"""),"9 064 678")</f>
        <v>9 064 678</v>
      </c>
      <c r="I27" s="29"/>
      <c r="J27" s="29"/>
      <c r="K27" s="29"/>
      <c r="L27" s="29"/>
      <c r="M27" s="29"/>
      <c r="N27" s="29"/>
      <c r="O27" s="29"/>
      <c r="P27" s="29"/>
      <c r="Q27" s="29"/>
      <c r="R27" s="29"/>
      <c r="S27" s="29"/>
      <c r="T27" s="29"/>
      <c r="U27" s="29"/>
      <c r="V27" s="29"/>
      <c r="W27" s="29"/>
      <c r="X27" s="29"/>
      <c r="Y27" s="29"/>
      <c r="Z27" s="29"/>
    </row>
    <row r="28">
      <c r="A28" s="1"/>
      <c r="B28" s="1" t="str">
        <f>IFERROR(__xludf.DUMMYFUNCTION("""COMPUTED_VALUE"""),"Grèce")</f>
        <v>Grèce</v>
      </c>
      <c r="C28" s="1" t="str">
        <f>IFERROR(__xludf.DUMMYFUNCTION("""COMPUTED_VALUE"""),"5 847 612")</f>
        <v>5 847 612</v>
      </c>
      <c r="D28" s="1" t="str">
        <f>IFERROR(__xludf.DUMMYFUNCTION("""COMPUTED_VALUE"""),"40 186")</f>
        <v>40 186</v>
      </c>
      <c r="E28" s="1" t="str">
        <f>IFERROR(__xludf.DUMMYFUNCTION("""COMPUTED_VALUE"""),"3 859")</f>
        <v>3 859</v>
      </c>
      <c r="F28" s="1" t="str">
        <f>IFERROR(__xludf.DUMMYFUNCTION("""COMPUTED_VALUE"""),"10 412 481")</f>
        <v>10 412 481</v>
      </c>
      <c r="I28" s="29"/>
      <c r="J28" s="29"/>
      <c r="K28" s="29"/>
      <c r="L28" s="29"/>
      <c r="M28" s="29"/>
      <c r="N28" s="29"/>
      <c r="O28" s="29"/>
      <c r="P28" s="29"/>
      <c r="Q28" s="29"/>
      <c r="R28" s="29"/>
      <c r="S28" s="29"/>
      <c r="T28" s="29"/>
      <c r="U28" s="29"/>
      <c r="V28" s="29"/>
      <c r="W28" s="29"/>
      <c r="X28" s="29"/>
      <c r="Y28" s="29"/>
      <c r="Z28" s="29"/>
    </row>
    <row r="29">
      <c r="A29" s="1"/>
      <c r="B29" s="1" t="str">
        <f>IFERROR(__xludf.DUMMYFUNCTION("""COMPUTED_VALUE"""),"Portugal")</f>
        <v>Portugal</v>
      </c>
      <c r="C29" s="1" t="str">
        <f>IFERROR(__xludf.DUMMYFUNCTION("""COMPUTED_VALUE"""),"5 671 586")</f>
        <v>5 671 586</v>
      </c>
      <c r="D29" s="1" t="str">
        <f>IFERROR(__xludf.DUMMYFUNCTION("""COMPUTED_VALUE"""),"29 626")</f>
        <v>29 626</v>
      </c>
      <c r="E29" s="1" t="str">
        <f>IFERROR(__xludf.DUMMYFUNCTION("""COMPUTED_VALUE"""),"2 843")</f>
        <v>2 843</v>
      </c>
      <c r="F29" s="1" t="str">
        <f>IFERROR(__xludf.DUMMYFUNCTION("""COMPUTED_VALUE"""),"10 417 074")</f>
        <v>10 417 074</v>
      </c>
      <c r="I29" s="29"/>
      <c r="J29" s="29"/>
      <c r="K29" s="29"/>
      <c r="L29" s="29"/>
      <c r="M29" s="29"/>
      <c r="N29" s="29"/>
      <c r="O29" s="29"/>
      <c r="P29" s="29"/>
      <c r="Q29" s="29"/>
      <c r="R29" s="29"/>
      <c r="S29" s="29"/>
      <c r="T29" s="29"/>
      <c r="U29" s="29"/>
      <c r="V29" s="29"/>
      <c r="W29" s="29"/>
      <c r="X29" s="29"/>
      <c r="Y29" s="29"/>
      <c r="Z29" s="29"/>
    </row>
    <row r="30">
      <c r="A30" s="1"/>
      <c r="B30" s="1" t="str">
        <f>IFERROR(__xludf.DUMMYFUNCTION("""COMPUTED_VALUE"""),"Ukraine")</f>
        <v>Ukraine</v>
      </c>
      <c r="C30" s="1" t="str">
        <f>IFERROR(__xludf.DUMMYFUNCTION("""COMPUTED_VALUE"""),"5 554 752")</f>
        <v>5 554 752</v>
      </c>
      <c r="D30" s="1" t="str">
        <f>IFERROR(__xludf.DUMMYFUNCTION("""COMPUTED_VALUE"""),"109 936")</f>
        <v>109 936</v>
      </c>
      <c r="E30" s="1" t="str">
        <f>IFERROR(__xludf.DUMMYFUNCTION("""COMPUTED_VALUE"""),"2 678")</f>
        <v>2 678</v>
      </c>
      <c r="F30" s="1" t="str">
        <f>IFERROR(__xludf.DUMMYFUNCTION("""COMPUTED_VALUE"""),"41 048 768")</f>
        <v>41 048 768</v>
      </c>
      <c r="I30" s="29"/>
      <c r="J30" s="29"/>
      <c r="K30" s="29"/>
      <c r="L30" s="29"/>
      <c r="M30" s="29"/>
      <c r="N30" s="29"/>
      <c r="O30" s="29"/>
      <c r="P30" s="29"/>
      <c r="Q30" s="29"/>
      <c r="R30" s="29"/>
      <c r="S30" s="29"/>
      <c r="T30" s="29"/>
      <c r="U30" s="29"/>
      <c r="V30" s="29"/>
      <c r="W30" s="29"/>
      <c r="X30" s="29"/>
      <c r="Y30" s="29"/>
      <c r="Z30" s="29"/>
    </row>
    <row r="31">
      <c r="A31" s="1"/>
      <c r="B31" s="1" t="str">
        <f>IFERROR(__xludf.DUMMYFUNCTION("""COMPUTED_VALUE"""),"Thaïlande")</f>
        <v>Thaïlande</v>
      </c>
      <c r="C31" s="1" t="str">
        <f>IFERROR(__xludf.DUMMYFUNCTION("""COMPUTED_VALUE"""),"5 419 906")</f>
        <v>5 419 906</v>
      </c>
      <c r="D31" s="1" t="str">
        <f>IFERROR(__xludf.DUMMYFUNCTION("""COMPUTED_VALUE"""),"34 993")</f>
        <v>34 993</v>
      </c>
      <c r="E31" s="1">
        <f>IFERROR(__xludf.DUMMYFUNCTION("""COMPUTED_VALUE"""),487.0)</f>
        <v>487</v>
      </c>
      <c r="F31" s="1" t="str">
        <f>IFERROR(__xludf.DUMMYFUNCTION("""COMPUTED_VALUE"""),"71 735 321")</f>
        <v>71 735 321</v>
      </c>
      <c r="I31" s="29"/>
      <c r="J31" s="29"/>
      <c r="K31" s="29"/>
      <c r="L31" s="29"/>
      <c r="M31" s="29"/>
      <c r="N31" s="29"/>
      <c r="O31" s="29"/>
      <c r="P31" s="29"/>
      <c r="Q31" s="29"/>
      <c r="R31" s="29"/>
      <c r="S31" s="29"/>
      <c r="T31" s="29"/>
      <c r="U31" s="29"/>
      <c r="V31" s="29"/>
      <c r="W31" s="29"/>
      <c r="X31" s="29"/>
      <c r="Y31" s="29"/>
      <c r="Z31" s="29"/>
    </row>
    <row r="32">
      <c r="A32" s="1"/>
      <c r="B32" s="1" t="str">
        <f>IFERROR(__xludf.DUMMYFUNCTION("""COMPUTED_VALUE"""),"Chili")</f>
        <v>Chili</v>
      </c>
      <c r="C32" s="1" t="str">
        <f>IFERROR(__xludf.DUMMYFUNCTION("""COMPUTED_VALUE"""),"5 410 380")</f>
        <v>5 410 380</v>
      </c>
      <c r="D32" s="1" t="str">
        <f>IFERROR(__xludf.DUMMYFUNCTION("""COMPUTED_VALUE"""),"64 497")</f>
        <v>64 497</v>
      </c>
      <c r="E32" s="1" t="str">
        <f>IFERROR(__xludf.DUMMYFUNCTION("""COMPUTED_VALUE"""),"3 298")</f>
        <v>3 298</v>
      </c>
      <c r="F32" s="1" t="str">
        <f>IFERROR(__xludf.DUMMYFUNCTION("""COMPUTED_VALUE"""),"19 553 033")</f>
        <v>19 553 033</v>
      </c>
      <c r="I32" s="29"/>
      <c r="J32" s="29"/>
      <c r="K32" s="29"/>
      <c r="L32" s="29"/>
      <c r="M32" s="29"/>
      <c r="N32" s="29"/>
      <c r="O32" s="29"/>
      <c r="P32" s="29"/>
      <c r="Q32" s="29"/>
      <c r="R32" s="29"/>
      <c r="S32" s="29"/>
      <c r="T32" s="29"/>
      <c r="U32" s="29"/>
      <c r="V32" s="29"/>
      <c r="W32" s="29"/>
      <c r="X32" s="29"/>
      <c r="Y32" s="29"/>
      <c r="Z32" s="29"/>
    </row>
    <row r="33">
      <c r="A33" s="1"/>
      <c r="B33" s="1" t="str">
        <f>IFERROR(__xludf.DUMMYFUNCTION("""COMPUTED_VALUE"""),"Malaisie")</f>
        <v>Malaisie</v>
      </c>
      <c r="C33" s="1" t="str">
        <f>IFERROR(__xludf.DUMMYFUNCTION("""COMPUTED_VALUE"""),"5 329 836")</f>
        <v>5 329 836</v>
      </c>
      <c r="D33" s="1" t="str">
        <f>IFERROR(__xludf.DUMMYFUNCTION("""COMPUTED_VALUE"""),"37 351")</f>
        <v>37 351</v>
      </c>
      <c r="E33" s="1" t="str">
        <f>IFERROR(__xludf.DUMMYFUNCTION("""COMPUTED_VALUE"""),"1 076")</f>
        <v>1 076</v>
      </c>
      <c r="F33" s="1" t="str">
        <f>IFERROR(__xludf.DUMMYFUNCTION("""COMPUTED_VALUE"""),"34 695 494")</f>
        <v>34 695 494</v>
      </c>
      <c r="I33" s="29"/>
      <c r="J33" s="29"/>
      <c r="K33" s="29"/>
      <c r="L33" s="29"/>
      <c r="M33" s="29"/>
      <c r="N33" s="29"/>
      <c r="O33" s="29"/>
      <c r="P33" s="29"/>
      <c r="Q33" s="29"/>
      <c r="R33" s="29"/>
      <c r="S33" s="29"/>
      <c r="T33" s="29"/>
      <c r="U33" s="29"/>
      <c r="V33" s="29"/>
      <c r="W33" s="29"/>
      <c r="X33" s="29"/>
      <c r="Y33" s="29"/>
      <c r="Z33" s="29"/>
    </row>
    <row r="34">
      <c r="A34" s="1"/>
      <c r="B34" s="1" t="str">
        <f>IFERROR(__xludf.DUMMYFUNCTION("""COMPUTED_VALUE"""),"Belgique")</f>
        <v>Belgique</v>
      </c>
      <c r="C34" s="1" t="str">
        <f>IFERROR(__xludf.DUMMYFUNCTION("""COMPUTED_VALUE"""),"4 904 652")</f>
        <v>4 904 652</v>
      </c>
      <c r="D34" s="1" t="str">
        <f>IFERROR(__xludf.DUMMYFUNCTION("""COMPUTED_VALUE"""),"34 339")</f>
        <v>34 339</v>
      </c>
      <c r="E34" s="1" t="str">
        <f>IFERROR(__xludf.DUMMYFUNCTION("""COMPUTED_VALUE"""),"2 949")</f>
        <v>2 949</v>
      </c>
      <c r="F34" s="1" t="str">
        <f>IFERROR(__xludf.DUMMYFUNCTION("""COMPUTED_VALUE"""),"11 641 814")</f>
        <v>11 641 814</v>
      </c>
      <c r="I34" s="29"/>
      <c r="J34" s="29"/>
      <c r="K34" s="29"/>
      <c r="L34" s="29"/>
      <c r="M34" s="29"/>
      <c r="N34" s="29"/>
      <c r="O34" s="29"/>
      <c r="P34" s="29"/>
      <c r="Q34" s="29"/>
      <c r="R34" s="29"/>
      <c r="S34" s="29"/>
      <c r="T34" s="29"/>
      <c r="U34" s="29"/>
      <c r="V34" s="29"/>
      <c r="W34" s="29"/>
      <c r="X34" s="29"/>
      <c r="Y34" s="29"/>
      <c r="Z34" s="29"/>
    </row>
    <row r="35">
      <c r="A35" s="1"/>
      <c r="B35" s="1" t="str">
        <f>IFERROR(__xludf.DUMMYFUNCTION("""COMPUTED_VALUE"""),"Tchéquie")</f>
        <v>Tchéquie</v>
      </c>
      <c r="C35" s="1" t="str">
        <f>IFERROR(__xludf.DUMMYFUNCTION("""COMPUTED_VALUE"""),"4 882 916")</f>
        <v>4 882 916</v>
      </c>
      <c r="D35" s="1" t="str">
        <f>IFERROR(__xludf.DUMMYFUNCTION("""COMPUTED_VALUE"""),"43 906")</f>
        <v>43 906</v>
      </c>
      <c r="E35" s="1" t="str">
        <f>IFERROR(__xludf.DUMMYFUNCTION("""COMPUTED_VALUE"""),"4 113")</f>
        <v>4 113</v>
      </c>
      <c r="F35" s="1" t="str">
        <f>IFERROR(__xludf.DUMMYFUNCTION("""COMPUTED_VALUE"""),"10 673 216")</f>
        <v>10 673 216</v>
      </c>
      <c r="I35" s="29"/>
      <c r="J35" s="29"/>
      <c r="K35" s="29"/>
      <c r="L35" s="29"/>
      <c r="M35" s="29"/>
      <c r="N35" s="29"/>
      <c r="O35" s="29"/>
      <c r="P35" s="29"/>
      <c r="Q35" s="29"/>
      <c r="R35" s="29"/>
      <c r="S35" s="29"/>
      <c r="T35" s="29"/>
      <c r="U35" s="29"/>
      <c r="V35" s="29"/>
      <c r="W35" s="29"/>
      <c r="X35" s="29"/>
      <c r="Y35" s="29"/>
      <c r="Z35" s="29"/>
    </row>
    <row r="36">
      <c r="A36" s="1"/>
      <c r="B36" s="1" t="str">
        <f>IFERROR(__xludf.DUMMYFUNCTION("""COMPUTED_VALUE"""),"Israël")</f>
        <v>Israël</v>
      </c>
      <c r="C36" s="1" t="str">
        <f>IFERROR(__xludf.DUMMYFUNCTION("""COMPUTED_VALUE"""),"4 841 680")</f>
        <v>4 841 680</v>
      </c>
      <c r="D36" s="1" t="str">
        <f>IFERROR(__xludf.DUMMYFUNCTION("""COMPUTED_VALUE"""),"12 707")</f>
        <v>12 707</v>
      </c>
      <c r="E36" s="1" t="str">
        <f>IFERROR(__xludf.DUMMYFUNCTION("""COMPUTED_VALUE"""),"1 395")</f>
        <v>1 395</v>
      </c>
      <c r="F36" s="1" t="str">
        <f>IFERROR(__xludf.DUMMYFUNCTION("""COMPUTED_VALUE"""),"9 103 143")</f>
        <v>9 103 143</v>
      </c>
      <c r="I36" s="29"/>
      <c r="J36" s="29"/>
      <c r="K36" s="29"/>
      <c r="L36" s="29"/>
      <c r="M36" s="29"/>
      <c r="N36" s="29"/>
      <c r="O36" s="29"/>
      <c r="P36" s="29"/>
      <c r="Q36" s="29"/>
      <c r="R36" s="29"/>
      <c r="S36" s="29"/>
      <c r="T36" s="29"/>
      <c r="U36" s="29"/>
      <c r="V36" s="29"/>
      <c r="W36" s="29"/>
      <c r="X36" s="29"/>
      <c r="Y36" s="29"/>
      <c r="Z36" s="29"/>
    </row>
    <row r="37">
      <c r="A37" s="1"/>
      <c r="B37" s="1" t="str">
        <f>IFERROR(__xludf.DUMMYFUNCTION("""COMPUTED_VALUE"""),"Canada")</f>
        <v>Canada</v>
      </c>
      <c r="C37" s="1" t="str">
        <f>IFERROR(__xludf.DUMMYFUNCTION("""COMPUTED_VALUE"""),"4 819 055")</f>
        <v>4 819 055</v>
      </c>
      <c r="D37" s="1" t="str">
        <f>IFERROR(__xludf.DUMMYFUNCTION("""COMPUTED_VALUE"""),"55 282")</f>
        <v>55 282</v>
      </c>
      <c r="E37" s="1" t="str">
        <f>IFERROR(__xludf.DUMMYFUNCTION("""COMPUTED_VALUE"""),"1 424")</f>
        <v>1 424</v>
      </c>
      <c r="F37" s="1" t="str">
        <f>IFERROR(__xludf.DUMMYFUNCTION("""COMPUTED_VALUE"""),"38 821 259")</f>
        <v>38 821 259</v>
      </c>
      <c r="I37" s="29"/>
      <c r="J37" s="29"/>
      <c r="K37" s="29"/>
      <c r="L37" s="29"/>
      <c r="M37" s="29"/>
      <c r="N37" s="29"/>
      <c r="O37" s="29"/>
      <c r="P37" s="29"/>
      <c r="Q37" s="29"/>
      <c r="R37" s="29"/>
      <c r="S37" s="29"/>
      <c r="T37" s="29"/>
      <c r="U37" s="29"/>
      <c r="V37" s="29"/>
      <c r="W37" s="29"/>
      <c r="X37" s="29"/>
      <c r="Y37" s="29"/>
      <c r="Z37" s="29"/>
    </row>
    <row r="38">
      <c r="A38" s="1"/>
      <c r="B38" s="1" t="str">
        <f>IFERROR(__xludf.DUMMYFUNCTION("""COMPUTED_VALUE"""),"Pérou")</f>
        <v>Pérou</v>
      </c>
      <c r="C38" s="1" t="str">
        <f>IFERROR(__xludf.DUMMYFUNCTION("""COMPUTED_VALUE"""),"4 533 436")</f>
        <v>4 533 436</v>
      </c>
      <c r="D38" s="1" t="str">
        <f>IFERROR(__xludf.DUMMYFUNCTION("""COMPUTED_VALUE"""),"221 067")</f>
        <v>221 067</v>
      </c>
      <c r="E38" s="1" t="str">
        <f>IFERROR(__xludf.DUMMYFUNCTION("""COMPUTED_VALUE"""),"6 603")</f>
        <v>6 603</v>
      </c>
      <c r="F38" s="1" t="str">
        <f>IFERROR(__xludf.DUMMYFUNCTION("""COMPUTED_VALUE"""),"33 475 436")</f>
        <v>33 475 436</v>
      </c>
      <c r="I38" s="29"/>
      <c r="J38" s="29"/>
      <c r="K38" s="29"/>
      <c r="L38" s="29"/>
      <c r="M38" s="29"/>
      <c r="N38" s="29"/>
      <c r="O38" s="29"/>
      <c r="P38" s="29"/>
      <c r="Q38" s="29"/>
      <c r="R38" s="29"/>
      <c r="S38" s="29"/>
      <c r="T38" s="29"/>
      <c r="U38" s="29"/>
      <c r="V38" s="29"/>
      <c r="W38" s="29"/>
      <c r="X38" s="29"/>
      <c r="Y38" s="29"/>
      <c r="Z38" s="29"/>
    </row>
    <row r="39">
      <c r="A39" s="1"/>
      <c r="B39" s="1" t="str">
        <f>IFERROR(__xludf.DUMMYFUNCTION("""COMPUTED_VALUE"""),"Suisse")</f>
        <v>Suisse</v>
      </c>
      <c r="C39" s="1" t="str">
        <f>IFERROR(__xludf.DUMMYFUNCTION("""COMPUTED_VALUE"""),"4 489 821")</f>
        <v>4 489 821</v>
      </c>
      <c r="D39" s="1" t="str">
        <f>IFERROR(__xludf.DUMMYFUNCTION("""COMPUTED_VALUE"""),"14 170")</f>
        <v>14 170</v>
      </c>
      <c r="E39" s="1" t="str">
        <f>IFERROR(__xludf.DUMMYFUNCTION("""COMPUTED_VALUE"""),"1 611")</f>
        <v>1 611</v>
      </c>
      <c r="F39" s="1" t="str">
        <f>IFERROR(__xludf.DUMMYFUNCTION("""COMPUTED_VALUE"""),"8 792 180")</f>
        <v>8 792 180</v>
      </c>
      <c r="I39" s="29"/>
      <c r="J39" s="29"/>
      <c r="K39" s="29"/>
      <c r="L39" s="29"/>
      <c r="M39" s="29"/>
      <c r="N39" s="29"/>
      <c r="O39" s="29"/>
      <c r="P39" s="29"/>
      <c r="Q39" s="29"/>
      <c r="R39" s="29"/>
      <c r="S39" s="29"/>
      <c r="T39" s="29"/>
      <c r="U39" s="29"/>
      <c r="V39" s="29"/>
      <c r="W39" s="29"/>
      <c r="X39" s="29"/>
      <c r="Y39" s="29"/>
      <c r="Z39" s="29"/>
    </row>
    <row r="40">
      <c r="A40" s="1"/>
      <c r="B40" s="1" t="str">
        <f>IFERROR(__xludf.DUMMYFUNCTION("""COMPUTED_VALUE"""),"Philippines")</f>
        <v>Philippines</v>
      </c>
      <c r="C40" s="1" t="str">
        <f>IFERROR(__xludf.DUMMYFUNCTION("""COMPUTED_VALUE"""),"4 173 631")</f>
        <v>4 173 631</v>
      </c>
      <c r="D40" s="1" t="str">
        <f>IFERROR(__xludf.DUMMYFUNCTION("""COMPUTED_VALUE"""),"66 864")</f>
        <v>66 864</v>
      </c>
      <c r="E40" s="1">
        <f>IFERROR(__xludf.DUMMYFUNCTION("""COMPUTED_VALUE"""),586.0)</f>
        <v>586</v>
      </c>
      <c r="F40" s="1" t="str">
        <f>IFERROR(__xludf.DUMMYFUNCTION("""COMPUTED_VALUE"""),"113 964 343")</f>
        <v>113 964 343</v>
      </c>
      <c r="I40" s="29"/>
      <c r="J40" s="29"/>
      <c r="K40" s="29"/>
      <c r="L40" s="29"/>
      <c r="M40" s="29"/>
      <c r="N40" s="29"/>
      <c r="O40" s="29"/>
      <c r="P40" s="29"/>
      <c r="Q40" s="29"/>
      <c r="R40" s="29"/>
      <c r="S40" s="29"/>
      <c r="T40" s="29"/>
      <c r="U40" s="29"/>
      <c r="V40" s="29"/>
      <c r="W40" s="29"/>
      <c r="X40" s="29"/>
      <c r="Y40" s="29"/>
      <c r="Z40" s="29"/>
    </row>
    <row r="41">
      <c r="A41" s="1"/>
      <c r="B41" s="1" t="str">
        <f>IFERROR(__xludf.DUMMYFUNCTION("""COMPUTED_VALUE"""),"Afrique du Sud")</f>
        <v>Afrique du Sud</v>
      </c>
      <c r="C41" s="1" t="str">
        <f>IFERROR(__xludf.DUMMYFUNCTION("""COMPUTED_VALUE"""),"4 073 151")</f>
        <v>4 073 151</v>
      </c>
      <c r="D41" s="1" t="str">
        <f>IFERROR(__xludf.DUMMYFUNCTION("""COMPUTED_VALUE"""),"102 595")</f>
        <v>102 595</v>
      </c>
      <c r="E41" s="1" t="str">
        <f>IFERROR(__xludf.DUMMYFUNCTION("""COMPUTED_VALUE"""),"1 644")</f>
        <v>1 644</v>
      </c>
      <c r="F41" s="1" t="str">
        <f>IFERROR(__xludf.DUMMYFUNCTION("""COMPUTED_VALUE"""),"62 378 417")</f>
        <v>62 378 417</v>
      </c>
      <c r="I41" s="29"/>
      <c r="J41" s="29"/>
      <c r="K41" s="29"/>
      <c r="L41" s="29"/>
      <c r="M41" s="29"/>
      <c r="N41" s="29"/>
      <c r="O41" s="29"/>
      <c r="P41" s="29"/>
      <c r="Q41" s="29"/>
      <c r="R41" s="29"/>
      <c r="S41" s="29"/>
      <c r="T41" s="29"/>
      <c r="U41" s="29"/>
      <c r="V41" s="29"/>
      <c r="W41" s="29"/>
      <c r="X41" s="29"/>
      <c r="Y41" s="29"/>
      <c r="Z41" s="29"/>
    </row>
    <row r="42">
      <c r="A42" s="1"/>
      <c r="B42" s="1" t="str">
        <f>IFERROR(__xludf.DUMMYFUNCTION("""COMPUTED_VALUE"""),"Roumanie")</f>
        <v>Roumanie</v>
      </c>
      <c r="C42" s="1" t="str">
        <f>IFERROR(__xludf.DUMMYFUNCTION("""COMPUTED_VALUE"""),"3 603 460")</f>
        <v>3 603 460</v>
      </c>
      <c r="D42" s="1" t="str">
        <f>IFERROR(__xludf.DUMMYFUNCTION("""COMPUTED_VALUE"""),"69 090")</f>
        <v>69 090</v>
      </c>
      <c r="E42" s="1" t="str">
        <f>IFERROR(__xludf.DUMMYFUNCTION("""COMPUTED_VALUE"""),"3 604")</f>
        <v>3 604</v>
      </c>
      <c r="F42" s="1" t="str">
        <f>IFERROR(__xludf.DUMMYFUNCTION("""COMPUTED_VALUE"""),"19 166 776")</f>
        <v>19 166 776</v>
      </c>
      <c r="I42" s="29"/>
      <c r="J42" s="29"/>
      <c r="K42" s="29"/>
      <c r="L42" s="29"/>
      <c r="M42" s="29"/>
      <c r="N42" s="29"/>
      <c r="O42" s="29"/>
      <c r="P42" s="29"/>
      <c r="Q42" s="29"/>
      <c r="R42" s="29"/>
      <c r="S42" s="29"/>
      <c r="T42" s="29"/>
      <c r="U42" s="29"/>
      <c r="V42" s="29"/>
      <c r="W42" s="29"/>
      <c r="X42" s="29"/>
      <c r="Y42" s="29"/>
      <c r="Z42" s="29"/>
    </row>
    <row r="43">
      <c r="A43" s="1"/>
      <c r="B43" s="1" t="str">
        <f>IFERROR(__xludf.DUMMYFUNCTION("""COMPUTED_VALUE"""),"Danemark[note 5]")</f>
        <v>Danemark[note 5]</v>
      </c>
      <c r="C43" s="1" t="str">
        <f>IFERROR(__xludf.DUMMYFUNCTION("""COMPUTED_VALUE"""),"3 446 970")</f>
        <v>3 446 970</v>
      </c>
      <c r="D43" s="1" t="str">
        <f>IFERROR(__xludf.DUMMYFUNCTION("""COMPUTED_VALUE"""),"10 012")</f>
        <v>10 012</v>
      </c>
      <c r="E43" s="1" t="str">
        <f>IFERROR(__xludf.DUMMYFUNCTION("""COMPUTED_VALUE"""),"1 696")</f>
        <v>1 696</v>
      </c>
      <c r="F43" s="1" t="str">
        <f>IFERROR(__xludf.DUMMYFUNCTION("""COMPUTED_VALUE"""),"5 902 901")</f>
        <v>5 902 901</v>
      </c>
      <c r="I43" s="29"/>
      <c r="J43" s="29"/>
      <c r="K43" s="29"/>
      <c r="L43" s="29"/>
      <c r="M43" s="29"/>
      <c r="N43" s="29"/>
      <c r="O43" s="29"/>
      <c r="P43" s="29"/>
      <c r="Q43" s="29"/>
      <c r="R43" s="29"/>
      <c r="S43" s="29"/>
      <c r="T43" s="29"/>
      <c r="U43" s="29"/>
      <c r="V43" s="29"/>
      <c r="W43" s="29"/>
      <c r="X43" s="29"/>
      <c r="Y43" s="29"/>
      <c r="Z43" s="29"/>
    </row>
    <row r="44">
      <c r="A44" s="1"/>
      <c r="B44" s="1" t="str">
        <f>IFERROR(__xludf.DUMMYFUNCTION("""COMPUTED_VALUE"""),"Singapour")</f>
        <v>Singapour</v>
      </c>
      <c r="C44" s="1" t="str">
        <f>IFERROR(__xludf.DUMMYFUNCTION("""COMPUTED_VALUE"""),"3 006 155")</f>
        <v>3 006 155</v>
      </c>
      <c r="D44" s="1" t="str">
        <f>IFERROR(__xludf.DUMMYFUNCTION("""COMPUTED_VALUE"""),"2 024")</f>
        <v>2 024</v>
      </c>
      <c r="E44" s="1">
        <f>IFERROR(__xludf.DUMMYFUNCTION("""COMPUTED_VALUE"""),358.0)</f>
        <v>358</v>
      </c>
      <c r="F44" s="1" t="str">
        <f>IFERROR(__xludf.DUMMYFUNCTION("""COMPUTED_VALUE"""),"5 649 888")</f>
        <v>5 649 888</v>
      </c>
      <c r="I44" s="29"/>
      <c r="J44" s="29"/>
      <c r="K44" s="29"/>
      <c r="L44" s="29"/>
      <c r="M44" s="29"/>
      <c r="N44" s="29"/>
      <c r="O44" s="29"/>
      <c r="P44" s="29"/>
      <c r="Q44" s="29"/>
      <c r="R44" s="29"/>
      <c r="S44" s="29"/>
      <c r="T44" s="29"/>
      <c r="U44" s="29"/>
      <c r="V44" s="29"/>
      <c r="W44" s="29"/>
      <c r="X44" s="29"/>
      <c r="Y44" s="29"/>
      <c r="Z44" s="29"/>
    </row>
    <row r="45">
      <c r="A45" s="1"/>
      <c r="B45" s="1" t="str">
        <f>IFERROR(__xludf.DUMMYFUNCTION("""COMPUTED_VALUE"""),"Hong Kong")</f>
        <v>Hong Kong</v>
      </c>
      <c r="C45" s="1" t="str">
        <f>IFERROR(__xludf.DUMMYFUNCTION("""COMPUTED_VALUE"""),"2 876 106")</f>
        <v>2 876 106</v>
      </c>
      <c r="D45" s="1" t="str">
        <f>IFERROR(__xludf.DUMMYFUNCTION("""COMPUTED_VALUE"""),"13 466")</f>
        <v>13 466</v>
      </c>
      <c r="E45" s="1" t="str">
        <f>IFERROR(__xludf.DUMMYFUNCTION("""COMPUTED_VALUE"""),"1 798")</f>
        <v>1 798</v>
      </c>
      <c r="F45" s="1" t="str">
        <f>IFERROR(__xludf.DUMMYFUNCTION("""COMPUTED_VALUE"""),"7 465 913")</f>
        <v>7 465 913</v>
      </c>
      <c r="I45" s="29"/>
      <c r="J45" s="29"/>
      <c r="K45" s="29"/>
      <c r="L45" s="29"/>
      <c r="M45" s="29"/>
      <c r="N45" s="29"/>
      <c r="O45" s="29"/>
      <c r="P45" s="29"/>
      <c r="Q45" s="29"/>
      <c r="R45" s="29"/>
      <c r="S45" s="29"/>
      <c r="T45" s="29"/>
      <c r="U45" s="29"/>
      <c r="V45" s="29"/>
      <c r="W45" s="29"/>
      <c r="X45" s="29"/>
      <c r="Y45" s="29"/>
      <c r="Z45" s="29"/>
    </row>
    <row r="46">
      <c r="A46" s="1"/>
      <c r="B46" s="1" t="str">
        <f>IFERROR(__xludf.DUMMYFUNCTION("""COMPUTED_VALUE"""),"Suède")</f>
        <v>Suède</v>
      </c>
      <c r="C46" s="1" t="str">
        <f>IFERROR(__xludf.DUMMYFUNCTION("""COMPUTED_VALUE"""),"2 783 438")</f>
        <v>2 783 438</v>
      </c>
      <c r="D46" s="1" t="str">
        <f>IFERROR(__xludf.DUMMYFUNCTION("""COMPUTED_VALUE"""),"29 189")</f>
        <v>29 189</v>
      </c>
      <c r="E46" s="1" t="str">
        <f>IFERROR(__xludf.DUMMYFUNCTION("""COMPUTED_VALUE"""),"2 783")</f>
        <v>2 783</v>
      </c>
      <c r="F46" s="1" t="str">
        <f>IFERROR(__xludf.DUMMYFUNCTION("""COMPUTED_VALUE"""),"10 487 335")</f>
        <v>10 487 335</v>
      </c>
      <c r="I46" s="29"/>
      <c r="J46" s="29"/>
      <c r="K46" s="29"/>
      <c r="L46" s="29"/>
      <c r="M46" s="29"/>
      <c r="N46" s="29"/>
      <c r="O46" s="29"/>
      <c r="P46" s="29"/>
      <c r="Q46" s="29"/>
      <c r="R46" s="29"/>
      <c r="S46" s="29"/>
      <c r="T46" s="29"/>
      <c r="U46" s="29"/>
      <c r="V46" s="29"/>
      <c r="W46" s="29"/>
      <c r="X46" s="29"/>
      <c r="Y46" s="29"/>
      <c r="Z46" s="29"/>
    </row>
    <row r="47">
      <c r="A47" s="1"/>
      <c r="B47" s="1" t="str">
        <f>IFERROR(__xludf.DUMMYFUNCTION("""COMPUTED_VALUE"""),"Nouvelle-Zélande")</f>
        <v>Nouvelle-Zélande</v>
      </c>
      <c r="C47" s="1" t="str">
        <f>IFERROR(__xludf.DUMMYFUNCTION("""COMPUTED_VALUE"""),"2 668 236")</f>
        <v>2 668 236</v>
      </c>
      <c r="D47" s="1" t="str">
        <f>IFERROR(__xludf.DUMMYFUNCTION("""COMPUTED_VALUE"""),"4 538")</f>
        <v>4 538</v>
      </c>
      <c r="E47" s="1">
        <f>IFERROR(__xludf.DUMMYFUNCTION("""COMPUTED_VALUE"""),884.0)</f>
        <v>884</v>
      </c>
      <c r="F47" s="1" t="str">
        <f>IFERROR(__xludf.DUMMYFUNCTION("""COMPUTED_VALUE"""),"5 131 731")</f>
        <v>5 131 731</v>
      </c>
      <c r="I47" s="29"/>
      <c r="J47" s="29"/>
      <c r="K47" s="29"/>
      <c r="L47" s="29"/>
      <c r="M47" s="29"/>
      <c r="N47" s="29"/>
      <c r="O47" s="29"/>
      <c r="P47" s="29"/>
      <c r="Q47" s="29"/>
      <c r="R47" s="29"/>
      <c r="S47" s="29"/>
      <c r="T47" s="29"/>
      <c r="U47" s="29"/>
      <c r="V47" s="29"/>
      <c r="W47" s="29"/>
      <c r="X47" s="29"/>
      <c r="Y47" s="29"/>
      <c r="Z47" s="29"/>
    </row>
    <row r="48">
      <c r="A48" s="1"/>
      <c r="B48" s="1" t="str">
        <f>IFERROR(__xludf.DUMMYFUNCTION("""COMPUTED_VALUE"""),"Serbie")</f>
        <v>Serbie</v>
      </c>
      <c r="C48" s="1" t="str">
        <f>IFERROR(__xludf.DUMMYFUNCTION("""COMPUTED_VALUE"""),"2 568 003")</f>
        <v>2 568 003</v>
      </c>
      <c r="D48" s="1" t="str">
        <f>IFERROR(__xludf.DUMMYFUNCTION("""COMPUTED_VALUE"""),"18 057")</f>
        <v>18 057</v>
      </c>
      <c r="E48" s="1" t="str">
        <f>IFERROR(__xludf.DUMMYFUNCTION("""COMPUTED_VALUE"""),"2 658")</f>
        <v>2 658</v>
      </c>
      <c r="F48" s="1" t="str">
        <f>IFERROR(__xludf.DUMMYFUNCTION("""COMPUTED_VALUE"""),"6 791 215")</f>
        <v>6 791 215</v>
      </c>
      <c r="I48" s="29"/>
      <c r="J48" s="29"/>
      <c r="K48" s="29"/>
      <c r="L48" s="29"/>
      <c r="M48" s="29"/>
      <c r="N48" s="29"/>
      <c r="O48" s="29"/>
      <c r="P48" s="29"/>
      <c r="Q48" s="29"/>
      <c r="R48" s="29"/>
      <c r="S48" s="29"/>
      <c r="T48" s="29"/>
      <c r="U48" s="29"/>
      <c r="V48" s="29"/>
      <c r="W48" s="29"/>
      <c r="X48" s="29"/>
      <c r="Y48" s="29"/>
      <c r="Z48" s="29"/>
    </row>
    <row r="49">
      <c r="A49" s="1"/>
      <c r="B49" s="1" t="str">
        <f>IFERROR(__xludf.DUMMYFUNCTION("""COMPUTED_VALUE"""),"Irak")</f>
        <v>Irak</v>
      </c>
      <c r="C49" s="1" t="str">
        <f>IFERROR(__xludf.DUMMYFUNCTION("""COMPUTED_VALUE"""),"2 465 545")</f>
        <v>2 465 545</v>
      </c>
      <c r="D49" s="1" t="str">
        <f>IFERROR(__xludf.DUMMYFUNCTION("""COMPUTED_VALUE"""),"25 375")</f>
        <v>25 375</v>
      </c>
      <c r="E49" s="1">
        <f>IFERROR(__xludf.DUMMYFUNCTION("""COMPUTED_VALUE"""),575.0)</f>
        <v>575</v>
      </c>
      <c r="F49" s="1" t="str">
        <f>IFERROR(__xludf.DUMMYFUNCTION("""COMPUTED_VALUE"""),"44 070 556")</f>
        <v>44 070 556</v>
      </c>
      <c r="I49" s="29"/>
      <c r="J49" s="29"/>
      <c r="K49" s="29"/>
      <c r="L49" s="29"/>
      <c r="M49" s="29"/>
      <c r="N49" s="29"/>
      <c r="O49" s="29"/>
      <c r="P49" s="29"/>
      <c r="Q49" s="29"/>
      <c r="R49" s="29"/>
      <c r="S49" s="29"/>
      <c r="T49" s="29"/>
      <c r="U49" s="29"/>
      <c r="V49" s="29"/>
      <c r="W49" s="29"/>
      <c r="X49" s="29"/>
      <c r="Y49" s="29"/>
      <c r="Z49" s="29"/>
    </row>
    <row r="50">
      <c r="A50" s="1"/>
      <c r="B50" s="1" t="str">
        <f>IFERROR(__xludf.DUMMYFUNCTION("""COMPUTED_VALUE"""),"Hongrie")</f>
        <v>Hongrie</v>
      </c>
      <c r="C50" s="1" t="str">
        <f>IFERROR(__xludf.DUMMYFUNCTION("""COMPUTED_VALUE"""),"2 240 252")</f>
        <v>2 240 252</v>
      </c>
      <c r="D50" s="1" t="str">
        <f>IFERROR(__xludf.DUMMYFUNCTION("""COMPUTED_VALUE"""),"49 124")</f>
        <v>49 124</v>
      </c>
      <c r="E50" s="1" t="str">
        <f>IFERROR(__xludf.DUMMYFUNCTION("""COMPUTED_VALUE"""),"5 072")</f>
        <v>5 072</v>
      </c>
      <c r="F50" s="1" t="str">
        <f>IFERROR(__xludf.DUMMYFUNCTION("""COMPUTED_VALUE"""),"9 684 308")</f>
        <v>9 684 308</v>
      </c>
      <c r="I50" s="29"/>
      <c r="J50" s="29"/>
      <c r="K50" s="29"/>
      <c r="L50" s="29"/>
      <c r="M50" s="29"/>
      <c r="N50" s="29"/>
      <c r="O50" s="29"/>
      <c r="P50" s="29"/>
      <c r="Q50" s="29"/>
      <c r="R50" s="29"/>
      <c r="S50" s="29"/>
      <c r="T50" s="29"/>
      <c r="U50" s="29"/>
      <c r="V50" s="29"/>
      <c r="W50" s="29"/>
      <c r="X50" s="29"/>
      <c r="Y50" s="29"/>
      <c r="Z50" s="29"/>
    </row>
    <row r="51">
      <c r="A51" s="1"/>
      <c r="B51" s="1" t="str">
        <f>IFERROR(__xludf.DUMMYFUNCTION("""COMPUTED_VALUE"""),"Bangladesh")</f>
        <v>Bangladesh</v>
      </c>
      <c r="C51" s="1" t="str">
        <f>IFERROR(__xludf.DUMMYFUNCTION("""COMPUTED_VALUE"""),"2 052 275")</f>
        <v>2 052 275</v>
      </c>
      <c r="D51" s="1" t="str">
        <f>IFERROR(__xludf.DUMMYFUNCTION("""COMPUTED_VALUE"""),"29 531")</f>
        <v>29 531</v>
      </c>
      <c r="E51" s="1">
        <f>IFERROR(__xludf.DUMMYFUNCTION("""COMPUTED_VALUE"""),174.0)</f>
        <v>174</v>
      </c>
      <c r="F51" s="1" t="str">
        <f>IFERROR(__xludf.DUMMYFUNCTION("""COMPUTED_VALUE"""),"169 384 891")</f>
        <v>169 384 891</v>
      </c>
      <c r="I51" s="29"/>
      <c r="J51" s="29"/>
      <c r="K51" s="29"/>
      <c r="L51" s="29"/>
      <c r="M51" s="29"/>
      <c r="N51" s="29"/>
      <c r="O51" s="29"/>
      <c r="P51" s="29"/>
      <c r="Q51" s="29"/>
      <c r="R51" s="29"/>
      <c r="S51" s="29"/>
      <c r="T51" s="29"/>
      <c r="U51" s="29"/>
      <c r="V51" s="29"/>
      <c r="W51" s="29"/>
      <c r="X51" s="29"/>
      <c r="Y51" s="29"/>
      <c r="Z51" s="29"/>
    </row>
    <row r="52">
      <c r="A52" s="1"/>
      <c r="B52" s="1" t="str">
        <f>IFERROR(__xludf.DUMMYFUNCTION("""COMPUTED_VALUE"""),"Slovaquie")</f>
        <v>Slovaquie</v>
      </c>
      <c r="C52" s="1" t="str">
        <f>IFERROR(__xludf.DUMMYFUNCTION("""COMPUTED_VALUE"""),"1 889 280")</f>
        <v>1 889 280</v>
      </c>
      <c r="D52" s="1" t="str">
        <f>IFERROR(__xludf.DUMMYFUNCTION("""COMPUTED_VALUE"""),"21 310")</f>
        <v>21 310</v>
      </c>
      <c r="E52" s="1" t="str">
        <f>IFERROR(__xludf.DUMMYFUNCTION("""COMPUTED_VALUE"""),"3 893")</f>
        <v>3 893</v>
      </c>
      <c r="F52" s="1" t="str">
        <f>IFERROR(__xludf.DUMMYFUNCTION("""COMPUTED_VALUE"""),"5 473 195")</f>
        <v>5 473 195</v>
      </c>
      <c r="I52" s="29"/>
      <c r="J52" s="29"/>
      <c r="K52" s="29"/>
      <c r="L52" s="29"/>
      <c r="M52" s="29"/>
      <c r="N52" s="29"/>
      <c r="O52" s="29"/>
      <c r="P52" s="29"/>
      <c r="Q52" s="29"/>
      <c r="R52" s="29"/>
      <c r="S52" s="29"/>
      <c r="T52" s="29"/>
      <c r="U52" s="29"/>
      <c r="V52" s="29"/>
      <c r="W52" s="29"/>
      <c r="X52" s="29"/>
      <c r="Y52" s="29"/>
      <c r="Z52" s="29"/>
    </row>
    <row r="53">
      <c r="A53" s="1"/>
      <c r="B53" s="1" t="str">
        <f>IFERROR(__xludf.DUMMYFUNCTION("""COMPUTED_VALUE"""),"Géorgie")</f>
        <v>Géorgie</v>
      </c>
      <c r="C53" s="1" t="str">
        <f>IFERROR(__xludf.DUMMYFUNCTION("""COMPUTED_VALUE"""),"1 864 386")</f>
        <v>1 864 386</v>
      </c>
      <c r="D53" s="1" t="str">
        <f>IFERROR(__xludf.DUMMYFUNCTION("""COMPUTED_VALUE"""),"17 151")</f>
        <v>17 151</v>
      </c>
      <c r="E53" s="1" t="str">
        <f>IFERROR(__xludf.DUMMYFUNCTION("""COMPUTED_VALUE"""),"4 519")</f>
        <v>4 519</v>
      </c>
      <c r="F53" s="1" t="str">
        <f>IFERROR(__xludf.DUMMYFUNCTION("""COMPUTED_VALUE"""),"3 794 782")</f>
        <v>3 794 782</v>
      </c>
      <c r="I53" s="29"/>
      <c r="J53" s="29"/>
      <c r="K53" s="29"/>
      <c r="L53" s="29"/>
      <c r="M53" s="29"/>
      <c r="N53" s="29"/>
      <c r="O53" s="29"/>
      <c r="P53" s="29"/>
      <c r="Q53" s="29"/>
      <c r="R53" s="29"/>
      <c r="S53" s="29"/>
      <c r="T53" s="29"/>
      <c r="U53" s="29"/>
      <c r="V53" s="29"/>
      <c r="W53" s="29"/>
      <c r="X53" s="29"/>
      <c r="Y53" s="29"/>
      <c r="Z53" s="29"/>
    </row>
    <row r="54">
      <c r="A54" s="1"/>
      <c r="B54" s="1" t="str">
        <f>IFERROR(__xludf.DUMMYFUNCTION("""COMPUTED_VALUE"""),"Irlande")</f>
        <v>Irlande</v>
      </c>
      <c r="C54" s="1" t="str">
        <f>IFERROR(__xludf.DUMMYFUNCTION("""COMPUTED_VALUE"""),"1 765 212")</f>
        <v>1 765 212</v>
      </c>
      <c r="D54" s="1" t="str">
        <f>IFERROR(__xludf.DUMMYFUNCTION("""COMPUTED_VALUE"""),"9 753")</f>
        <v>9 753</v>
      </c>
      <c r="E54" s="1" t="str">
        <f>IFERROR(__xludf.DUMMYFUNCTION("""COMPUTED_VALUE"""),"1 908")</f>
        <v>1 908</v>
      </c>
      <c r="F54" s="1" t="str">
        <f>IFERROR(__xludf.DUMMYFUNCTION("""COMPUTED_VALUE"""),"5 110 015")</f>
        <v>5 110 015</v>
      </c>
      <c r="I54" s="29"/>
      <c r="J54" s="29"/>
      <c r="K54" s="29"/>
      <c r="L54" s="29"/>
      <c r="M54" s="29"/>
      <c r="N54" s="29"/>
      <c r="O54" s="29"/>
      <c r="P54" s="29"/>
      <c r="Q54" s="29"/>
      <c r="R54" s="29"/>
      <c r="S54" s="29"/>
      <c r="T54" s="29"/>
      <c r="U54" s="29"/>
      <c r="V54" s="29"/>
      <c r="W54" s="29"/>
      <c r="X54" s="29"/>
      <c r="Y54" s="29"/>
      <c r="Z54" s="29"/>
    </row>
    <row r="55">
      <c r="A55" s="1"/>
      <c r="B55" s="1" t="str">
        <f>IFERROR(__xludf.DUMMYFUNCTION("""COMPUTED_VALUE"""),"Jordanie")</f>
        <v>Jordanie</v>
      </c>
      <c r="C55" s="1" t="str">
        <f>IFERROR(__xludf.DUMMYFUNCTION("""COMPUTED_VALUE"""),"1 746 997")</f>
        <v>1 746 997</v>
      </c>
      <c r="D55" s="1" t="str">
        <f>IFERROR(__xludf.DUMMYFUNCTION("""COMPUTED_VALUE"""),"14 122")</f>
        <v>14 122</v>
      </c>
      <c r="E55" s="1" t="str">
        <f>IFERROR(__xludf.DUMMYFUNCTION("""COMPUTED_VALUE"""),"1 254")</f>
        <v>1 254</v>
      </c>
      <c r="F55" s="1" t="str">
        <f>IFERROR(__xludf.DUMMYFUNCTION("""COMPUTED_VALUE"""),"11 256 269")</f>
        <v>11 256 269</v>
      </c>
      <c r="I55" s="29"/>
      <c r="J55" s="29"/>
      <c r="K55" s="29"/>
      <c r="L55" s="29"/>
      <c r="M55" s="29"/>
      <c r="N55" s="29"/>
      <c r="O55" s="29"/>
      <c r="P55" s="29"/>
      <c r="Q55" s="29"/>
      <c r="R55" s="29"/>
      <c r="S55" s="29"/>
      <c r="T55" s="29"/>
      <c r="U55" s="29"/>
      <c r="V55" s="29"/>
      <c r="W55" s="29"/>
      <c r="X55" s="29"/>
      <c r="Y55" s="29"/>
      <c r="Z55" s="29"/>
    </row>
    <row r="56">
      <c r="A56" s="1"/>
      <c r="B56" s="1" t="str">
        <f>IFERROR(__xludf.DUMMYFUNCTION("""COMPUTED_VALUE"""),"Pakistan")</f>
        <v>Pakistan</v>
      </c>
      <c r="C56" s="1" t="str">
        <f>IFERROR(__xludf.DUMMYFUNCTION("""COMPUTED_VALUE"""),"1 580 631")</f>
        <v>1 580 631</v>
      </c>
      <c r="D56" s="1" t="str">
        <f>IFERROR(__xludf.DUMMYFUNCTION("""COMPUTED_VALUE"""),"30 656")</f>
        <v>30 656</v>
      </c>
      <c r="E56" s="1">
        <f>IFERROR(__xludf.DUMMYFUNCTION("""COMPUTED_VALUE"""),125.0)</f>
        <v>125</v>
      </c>
      <c r="F56" s="1" t="str">
        <f>IFERROR(__xludf.DUMMYFUNCTION("""COMPUTED_VALUE"""),"243 700 667")</f>
        <v>243 700 667</v>
      </c>
      <c r="I56" s="29"/>
      <c r="J56" s="29"/>
      <c r="K56" s="29"/>
      <c r="L56" s="29"/>
      <c r="M56" s="29"/>
      <c r="N56" s="29"/>
      <c r="O56" s="29"/>
      <c r="P56" s="29"/>
      <c r="Q56" s="29"/>
      <c r="R56" s="29"/>
      <c r="S56" s="29"/>
      <c r="T56" s="29"/>
      <c r="U56" s="29"/>
      <c r="V56" s="29"/>
      <c r="W56" s="29"/>
      <c r="X56" s="29"/>
      <c r="Y56" s="29"/>
      <c r="Z56" s="29"/>
    </row>
    <row r="57">
      <c r="A57" s="1"/>
      <c r="B57" s="1" t="str">
        <f>IFERROR(__xludf.DUMMYFUNCTION("""COMPUTED_VALUE"""),"Norvège")</f>
        <v>Norvège</v>
      </c>
      <c r="C57" s="1" t="str">
        <f>IFERROR(__xludf.DUMMYFUNCTION("""COMPUTED_VALUE"""),"1 548 930")</f>
        <v>1 548 930</v>
      </c>
      <c r="D57" s="1" t="str">
        <f>IFERROR(__xludf.DUMMYFUNCTION("""COMPUTED_VALUE"""),"5 732")</f>
        <v>5 732</v>
      </c>
      <c r="E57" s="1" t="str">
        <f>IFERROR(__xludf.DUMMYFUNCTION("""COMPUTED_VALUE"""),"1 050")</f>
        <v>1 050</v>
      </c>
      <c r="F57" s="1" t="str">
        <f>IFERROR(__xludf.DUMMYFUNCTION("""COMPUTED_VALUE"""),"5 456 796")</f>
        <v>5 456 796</v>
      </c>
      <c r="I57" s="29"/>
      <c r="J57" s="29"/>
      <c r="K57" s="29"/>
      <c r="L57" s="29"/>
      <c r="M57" s="29"/>
      <c r="N57" s="29"/>
      <c r="O57" s="29"/>
      <c r="P57" s="29"/>
      <c r="Q57" s="29"/>
      <c r="R57" s="29"/>
      <c r="S57" s="29"/>
      <c r="T57" s="29"/>
      <c r="U57" s="29"/>
      <c r="V57" s="29"/>
      <c r="W57" s="29"/>
      <c r="X57" s="29"/>
      <c r="Y57" s="29"/>
      <c r="Z57" s="29"/>
    </row>
    <row r="58">
      <c r="A58" s="1"/>
      <c r="B58" s="1" t="str">
        <f>IFERROR(__xludf.DUMMYFUNCTION("""COMPUTED_VALUE"""),"Finlande")</f>
        <v>Finlande</v>
      </c>
      <c r="C58" s="1" t="str">
        <f>IFERROR(__xludf.DUMMYFUNCTION("""COMPUTED_VALUE"""),"1 516 132")</f>
        <v>1 516 132</v>
      </c>
      <c r="D58" s="1" t="str">
        <f>IFERROR(__xludf.DUMMYFUNCTION("""COMPUTED_VALUE"""),"11 466")</f>
        <v>11 466</v>
      </c>
      <c r="E58" s="1" t="str">
        <f>IFERROR(__xludf.DUMMYFUNCTION("""COMPUTED_VALUE"""),"2 058")</f>
        <v>2 058</v>
      </c>
      <c r="F58" s="1" t="str">
        <f>IFERROR(__xludf.DUMMYFUNCTION("""COMPUTED_VALUE"""),"5 569 300")</f>
        <v>5 569 300</v>
      </c>
      <c r="I58" s="29"/>
      <c r="J58" s="29"/>
      <c r="K58" s="29"/>
      <c r="L58" s="29"/>
      <c r="M58" s="29"/>
      <c r="N58" s="29"/>
      <c r="O58" s="29"/>
      <c r="P58" s="29"/>
      <c r="Q58" s="29"/>
      <c r="R58" s="29"/>
      <c r="S58" s="29"/>
      <c r="T58" s="29"/>
      <c r="U58" s="29"/>
      <c r="V58" s="29"/>
      <c r="W58" s="29"/>
      <c r="X58" s="29"/>
      <c r="Y58" s="29"/>
      <c r="Z58" s="29"/>
    </row>
    <row r="59">
      <c r="A59" s="1"/>
      <c r="B59" s="1" t="str">
        <f>IFERROR(__xludf.DUMMYFUNCTION("""COMPUTED_VALUE"""),"Kazakhstan")</f>
        <v>Kazakhstan</v>
      </c>
      <c r="C59" s="1" t="str">
        <f>IFERROR(__xludf.DUMMYFUNCTION("""COMPUTED_VALUE"""),"1 504 370")</f>
        <v>1 504 370</v>
      </c>
      <c r="D59" s="1" t="str">
        <f>IFERROR(__xludf.DUMMYFUNCTION("""COMPUTED_VALUE"""),"19 072")</f>
        <v>19 072</v>
      </c>
      <c r="E59" s="1">
        <f>IFERROR(__xludf.DUMMYFUNCTION("""COMPUTED_VALUE"""),951.0)</f>
        <v>951</v>
      </c>
      <c r="F59" s="1" t="str">
        <f>IFERROR(__xludf.DUMMYFUNCTION("""COMPUTED_VALUE"""),"20 034 612")</f>
        <v>20 034 612</v>
      </c>
      <c r="I59" s="29"/>
      <c r="J59" s="29"/>
      <c r="K59" s="29"/>
      <c r="L59" s="29"/>
      <c r="M59" s="29"/>
      <c r="N59" s="29"/>
      <c r="O59" s="29"/>
      <c r="P59" s="29"/>
      <c r="Q59" s="29"/>
      <c r="R59" s="29"/>
      <c r="S59" s="29"/>
      <c r="T59" s="29"/>
      <c r="U59" s="29"/>
      <c r="V59" s="29"/>
      <c r="W59" s="29"/>
      <c r="X59" s="29"/>
      <c r="Y59" s="29"/>
      <c r="Z59" s="29"/>
    </row>
    <row r="60">
      <c r="A60" s="1"/>
      <c r="B60" s="1" t="str">
        <f>IFERROR(__xludf.DUMMYFUNCTION("""COMPUTED_VALUE"""),"Lituanie")</f>
        <v>Lituanie</v>
      </c>
      <c r="C60" s="1" t="str">
        <f>IFERROR(__xludf.DUMMYFUNCTION("""COMPUTED_VALUE"""),"1 447 141")</f>
        <v>1 447 141</v>
      </c>
      <c r="D60" s="1" t="str">
        <f>IFERROR(__xludf.DUMMYFUNCTION("""COMPUTED_VALUE"""),"9 913")</f>
        <v>9 913</v>
      </c>
      <c r="E60" s="1" t="str">
        <f>IFERROR(__xludf.DUMMYFUNCTION("""COMPUTED_VALUE"""),"3 519")</f>
        <v>3 519</v>
      </c>
      <c r="F60" s="1" t="str">
        <f>IFERROR(__xludf.DUMMYFUNCTION("""COMPUTED_VALUE"""),"2 816 923")</f>
        <v>2 816 923</v>
      </c>
      <c r="I60" s="29"/>
      <c r="J60" s="29"/>
      <c r="K60" s="29"/>
      <c r="L60" s="29"/>
      <c r="M60" s="29"/>
      <c r="N60" s="29"/>
      <c r="O60" s="29"/>
      <c r="P60" s="29"/>
      <c r="Q60" s="29"/>
      <c r="R60" s="29"/>
      <c r="S60" s="29"/>
      <c r="T60" s="29"/>
      <c r="U60" s="29"/>
      <c r="V60" s="29"/>
      <c r="W60" s="29"/>
      <c r="X60" s="29"/>
      <c r="Y60" s="29"/>
      <c r="Z60" s="29"/>
    </row>
    <row r="61">
      <c r="A61" s="1"/>
      <c r="B61" s="1" t="str">
        <f>IFERROR(__xludf.DUMMYFUNCTION("""COMPUTED_VALUE"""),"Croatie")</f>
        <v>Croatie</v>
      </c>
      <c r="C61" s="1" t="str">
        <f>IFERROR(__xludf.DUMMYFUNCTION("""COMPUTED_VALUE"""),"1 370 811")</f>
        <v>1 370 811</v>
      </c>
      <c r="D61" s="1" t="str">
        <f>IFERROR(__xludf.DUMMYFUNCTION("""COMPUTED_VALUE"""),"18 803")</f>
        <v>18 803</v>
      </c>
      <c r="E61" s="1" t="str">
        <f>IFERROR(__xludf.DUMMYFUNCTION("""COMPUTED_VALUE"""),"4 812")</f>
        <v>4 812</v>
      </c>
      <c r="F61" s="1" t="str">
        <f>IFERROR(__xludf.DUMMYFUNCTION("""COMPUTED_VALUE"""),"3 907 031")</f>
        <v>3 907 031</v>
      </c>
      <c r="I61" s="29"/>
      <c r="J61" s="29"/>
      <c r="K61" s="29"/>
      <c r="L61" s="29"/>
      <c r="M61" s="29"/>
      <c r="N61" s="29"/>
      <c r="O61" s="29"/>
      <c r="P61" s="29"/>
      <c r="Q61" s="29"/>
      <c r="R61" s="29"/>
      <c r="S61" s="29"/>
      <c r="T61" s="29"/>
      <c r="U61" s="29"/>
      <c r="V61" s="29"/>
      <c r="W61" s="29"/>
      <c r="X61" s="29"/>
      <c r="Y61" s="29"/>
      <c r="Z61" s="29"/>
    </row>
    <row r="62">
      <c r="A62" s="1"/>
      <c r="B62" s="1" t="str">
        <f>IFERROR(__xludf.DUMMYFUNCTION("""COMPUTED_VALUE"""),"Slovénie")</f>
        <v>Slovénie</v>
      </c>
      <c r="C62" s="1" t="str">
        <f>IFERROR(__xludf.DUMMYFUNCTION("""COMPUTED_VALUE"""),"1 366 392")</f>
        <v>1 366 392</v>
      </c>
      <c r="D62" s="1" t="str">
        <f>IFERROR(__xludf.DUMMYFUNCTION("""COMPUTED_VALUE"""),"9 914")</f>
        <v>9 914</v>
      </c>
      <c r="E62" s="1" t="str">
        <f>IFERROR(__xludf.DUMMYFUNCTION("""COMPUTED_VALUE"""),"4 686")</f>
        <v>4 686</v>
      </c>
      <c r="F62" s="1" t="str">
        <f>IFERROR(__xludf.DUMMYFUNCTION("""COMPUTED_VALUE"""),"2 115 231")</f>
        <v>2 115 231</v>
      </c>
      <c r="I62" s="29"/>
      <c r="J62" s="29"/>
      <c r="K62" s="29"/>
      <c r="L62" s="29"/>
      <c r="M62" s="29"/>
      <c r="N62" s="29"/>
      <c r="O62" s="29"/>
      <c r="P62" s="29"/>
      <c r="Q62" s="29"/>
      <c r="R62" s="29"/>
      <c r="S62" s="29"/>
      <c r="T62" s="29"/>
      <c r="U62" s="29"/>
      <c r="V62" s="29"/>
      <c r="W62" s="29"/>
      <c r="X62" s="29"/>
      <c r="Y62" s="29"/>
      <c r="Z62" s="29"/>
    </row>
    <row r="63">
      <c r="A63" s="1"/>
      <c r="B63" s="1" t="str">
        <f>IFERROR(__xludf.DUMMYFUNCTION("""COMPUTED_VALUE"""),"Bulgarie")</f>
        <v>Bulgarie</v>
      </c>
      <c r="C63" s="1" t="str">
        <f>IFERROR(__xludf.DUMMYFUNCTION("""COMPUTED_VALUE"""),"1 340 835")</f>
        <v>1 340 835</v>
      </c>
      <c r="D63" s="1" t="str">
        <f>IFERROR(__xludf.DUMMYFUNCTION("""COMPUTED_VALUE"""),"38 775")</f>
        <v>38 775</v>
      </c>
      <c r="E63" s="1" t="str">
        <f>IFERROR(__xludf.DUMMYFUNCTION("""COMPUTED_VALUE"""),"5 680")</f>
        <v>5 680</v>
      </c>
      <c r="F63" s="1" t="str">
        <f>IFERROR(__xludf.DUMMYFUNCTION("""COMPUTED_VALUE"""),"6 825 862")</f>
        <v>6 825 862</v>
      </c>
      <c r="I63" s="29"/>
      <c r="J63" s="29"/>
      <c r="K63" s="29"/>
      <c r="L63" s="29"/>
      <c r="M63" s="29"/>
      <c r="N63" s="29"/>
      <c r="O63" s="29"/>
      <c r="P63" s="29"/>
      <c r="Q63" s="29"/>
      <c r="R63" s="29"/>
      <c r="S63" s="29"/>
      <c r="T63" s="29"/>
      <c r="U63" s="29"/>
      <c r="V63" s="29"/>
      <c r="W63" s="29"/>
      <c r="X63" s="29"/>
      <c r="Y63" s="29"/>
      <c r="Z63" s="29"/>
    </row>
    <row r="64">
      <c r="A64" s="1"/>
      <c r="B64" s="1" t="str">
        <f>IFERROR(__xludf.DUMMYFUNCTION("""COMPUTED_VALUE"""),"Maroc")</f>
        <v>Maroc</v>
      </c>
      <c r="C64" s="1" t="str">
        <f>IFERROR(__xludf.DUMMYFUNCTION("""COMPUTED_VALUE"""),"1 279 115")</f>
        <v>1 279 115</v>
      </c>
      <c r="D64" s="1" t="str">
        <f>IFERROR(__xludf.DUMMYFUNCTION("""COMPUTED_VALUE"""),"16 305")</f>
        <v>16 305</v>
      </c>
      <c r="E64" s="1">
        <f>IFERROR(__xludf.DUMMYFUNCTION("""COMPUTED_VALUE"""),436.0)</f>
        <v>436</v>
      </c>
      <c r="F64" s="1" t="str">
        <f>IFERROR(__xludf.DUMMYFUNCTION("""COMPUTED_VALUE"""),"37 329 068")</f>
        <v>37 329 068</v>
      </c>
      <c r="I64" s="29"/>
      <c r="J64" s="29"/>
      <c r="K64" s="29"/>
      <c r="L64" s="29"/>
      <c r="M64" s="29"/>
      <c r="N64" s="29"/>
      <c r="O64" s="29"/>
      <c r="P64" s="29"/>
      <c r="Q64" s="29"/>
      <c r="R64" s="29"/>
      <c r="S64" s="29"/>
      <c r="T64" s="29"/>
      <c r="U64" s="29"/>
      <c r="V64" s="29"/>
      <c r="W64" s="29"/>
      <c r="X64" s="29"/>
      <c r="Y64" s="29"/>
      <c r="Z64" s="29"/>
    </row>
    <row r="65">
      <c r="A65" s="1"/>
      <c r="B65" s="1" t="str">
        <f>IFERROR(__xludf.DUMMYFUNCTION("""COMPUTED_VALUE"""),"Guatemala")</f>
        <v>Guatemala</v>
      </c>
      <c r="C65" s="1" t="str">
        <f>IFERROR(__xludf.DUMMYFUNCTION("""COMPUTED_VALUE"""),"1 255 166")</f>
        <v>1 255 166</v>
      </c>
      <c r="D65" s="1" t="str">
        <f>IFERROR(__xludf.DUMMYFUNCTION("""COMPUTED_VALUE"""),"20 205")</f>
        <v>20 205</v>
      </c>
      <c r="E65" s="1" t="str">
        <f>IFERROR(__xludf.DUMMYFUNCTION("""COMPUTED_VALUE"""),"1 132")</f>
        <v>1 132</v>
      </c>
      <c r="F65" s="1" t="str">
        <f>IFERROR(__xludf.DUMMYFUNCTION("""COMPUTED_VALUE"""),"17 847 877")</f>
        <v>17 847 877</v>
      </c>
      <c r="I65" s="29"/>
      <c r="J65" s="29"/>
      <c r="K65" s="29"/>
      <c r="L65" s="29"/>
      <c r="M65" s="29"/>
      <c r="N65" s="29"/>
      <c r="O65" s="29"/>
      <c r="P65" s="29"/>
      <c r="Q65" s="29"/>
      <c r="R65" s="29"/>
      <c r="S65" s="29"/>
      <c r="T65" s="29"/>
      <c r="U65" s="29"/>
      <c r="V65" s="29"/>
      <c r="W65" s="29"/>
      <c r="X65" s="29"/>
      <c r="Y65" s="29"/>
      <c r="Z65" s="29"/>
    </row>
    <row r="66">
      <c r="A66" s="1"/>
      <c r="B66" s="1" t="str">
        <f>IFERROR(__xludf.DUMMYFUNCTION("""COMPUTED_VALUE"""),"Costa Rica")</f>
        <v>Costa Rica</v>
      </c>
      <c r="C66" s="1" t="str">
        <f>IFERROR(__xludf.DUMMYFUNCTION("""COMPUTED_VALUE"""),"1 241 702")</f>
        <v>1 241 702</v>
      </c>
      <c r="D66" s="1" t="str">
        <f>IFERROR(__xludf.DUMMYFUNCTION("""COMPUTED_VALUE"""),"9 394")</f>
        <v>9 394</v>
      </c>
      <c r="E66" s="1" t="str">
        <f>IFERROR(__xludf.DUMMYFUNCTION("""COMPUTED_VALUE"""),"1 848")</f>
        <v>1 848</v>
      </c>
      <c r="F66" s="1" t="str">
        <f>IFERROR(__xludf.DUMMYFUNCTION("""COMPUTED_VALUE"""),"5 081 764")</f>
        <v>5 081 764</v>
      </c>
      <c r="I66" s="29"/>
      <c r="J66" s="29"/>
      <c r="K66" s="29"/>
      <c r="L66" s="29"/>
      <c r="M66" s="29"/>
      <c r="N66" s="29"/>
      <c r="O66" s="29"/>
      <c r="P66" s="29"/>
      <c r="Q66" s="29"/>
      <c r="R66" s="29"/>
      <c r="S66" s="29"/>
      <c r="T66" s="29"/>
      <c r="U66" s="29"/>
      <c r="V66" s="29"/>
      <c r="W66" s="29"/>
      <c r="X66" s="29"/>
      <c r="Y66" s="29"/>
      <c r="Z66" s="29"/>
    </row>
    <row r="67">
      <c r="A67" s="1"/>
      <c r="B67" s="1" t="str">
        <f>IFERROR(__xludf.DUMMYFUNCTION("""COMPUTED_VALUE"""),"Liban")</f>
        <v>Liban</v>
      </c>
      <c r="C67" s="1" t="str">
        <f>IFERROR(__xludf.DUMMYFUNCTION("""COMPUTED_VALUE"""),"1 239 904")</f>
        <v>1 239 904</v>
      </c>
      <c r="D67" s="1" t="str">
        <f>IFERROR(__xludf.DUMMYFUNCTION("""COMPUTED_VALUE"""),"10 947")</f>
        <v>10 947</v>
      </c>
      <c r="E67" s="1" t="str">
        <f>IFERROR(__xludf.DUMMYFUNCTION("""COMPUTED_VALUE"""),"1 905")</f>
        <v>1 905</v>
      </c>
      <c r="F67" s="1" t="str">
        <f>IFERROR(__xludf.DUMMYFUNCTION("""COMPUTED_VALUE"""),"5 744 492")</f>
        <v>5 744 492</v>
      </c>
      <c r="I67" s="29"/>
      <c r="J67" s="29"/>
      <c r="K67" s="29"/>
      <c r="L67" s="29"/>
      <c r="M67" s="29"/>
      <c r="N67" s="29"/>
      <c r="O67" s="29"/>
      <c r="P67" s="29"/>
      <c r="Q67" s="29"/>
      <c r="R67" s="29"/>
      <c r="S67" s="29"/>
      <c r="T67" s="29"/>
      <c r="U67" s="29"/>
      <c r="V67" s="29"/>
      <c r="W67" s="29"/>
      <c r="X67" s="29"/>
      <c r="Y67" s="29"/>
      <c r="Z67" s="29"/>
    </row>
    <row r="68">
      <c r="A68" s="1"/>
      <c r="B68" s="1" t="str">
        <f>IFERROR(__xludf.DUMMYFUNCTION("""COMPUTED_VALUE"""),"Bolivie")</f>
        <v>Bolivie</v>
      </c>
      <c r="C68" s="1" t="str">
        <f>IFERROR(__xludf.DUMMYFUNCTION("""COMPUTED_VALUE"""),"1 212 180")</f>
        <v>1 212 180</v>
      </c>
      <c r="D68" s="1" t="str">
        <f>IFERROR(__xludf.DUMMYFUNCTION("""COMPUTED_VALUE"""),"22 389")</f>
        <v>22 389</v>
      </c>
      <c r="E68" s="1" t="str">
        <f>IFERROR(__xludf.DUMMYFUNCTION("""COMPUTED_VALUE"""),"1 853")</f>
        <v>1 853</v>
      </c>
      <c r="F68" s="1" t="str">
        <f>IFERROR(__xludf.DUMMYFUNCTION("""COMPUTED_VALUE"""),"12 077 156")</f>
        <v>12 077 156</v>
      </c>
      <c r="I68" s="29"/>
      <c r="J68" s="29"/>
      <c r="K68" s="29"/>
      <c r="L68" s="29"/>
      <c r="M68" s="29"/>
      <c r="N68" s="29"/>
      <c r="O68" s="29"/>
      <c r="P68" s="29"/>
      <c r="Q68" s="29"/>
      <c r="R68" s="29"/>
      <c r="S68" s="29"/>
      <c r="T68" s="29"/>
      <c r="U68" s="29"/>
      <c r="V68" s="29"/>
      <c r="W68" s="29"/>
      <c r="X68" s="29"/>
      <c r="Y68" s="29"/>
      <c r="Z68" s="29"/>
    </row>
    <row r="69">
      <c r="A69" s="1"/>
      <c r="B69" s="1" t="str">
        <f>IFERROR(__xludf.DUMMYFUNCTION("""COMPUTED_VALUE"""),"Tunisie")</f>
        <v>Tunisie</v>
      </c>
      <c r="C69" s="1" t="str">
        <f>IFERROR(__xludf.DUMMYFUNCTION("""COMPUTED_VALUE"""),"1 153 361")</f>
        <v>1 153 361</v>
      </c>
      <c r="D69" s="1" t="str">
        <f>IFERROR(__xludf.DUMMYFUNCTION("""COMPUTED_VALUE"""),"29 423")</f>
        <v>29 423</v>
      </c>
      <c r="E69" s="1" t="str">
        <f>IFERROR(__xludf.DUMMYFUNCTION("""COMPUTED_VALUE"""),"2 427")</f>
        <v>2 427</v>
      </c>
      <c r="F69" s="1" t="str">
        <f>IFERROR(__xludf.DUMMYFUNCTION("""COMPUTED_VALUE"""),"12 119 338")</f>
        <v>12 119 338</v>
      </c>
      <c r="I69" s="29"/>
      <c r="J69" s="29"/>
      <c r="K69" s="29"/>
      <c r="L69" s="29"/>
      <c r="M69" s="29"/>
      <c r="N69" s="29"/>
      <c r="O69" s="29"/>
      <c r="P69" s="29"/>
      <c r="Q69" s="29"/>
      <c r="R69" s="29"/>
      <c r="S69" s="29"/>
      <c r="T69" s="29"/>
      <c r="U69" s="29"/>
      <c r="V69" s="29"/>
      <c r="W69" s="29"/>
      <c r="X69" s="29"/>
      <c r="Y69" s="29"/>
      <c r="Z69" s="29"/>
    </row>
    <row r="70">
      <c r="A70" s="1"/>
      <c r="B70" s="1" t="str">
        <f>IFERROR(__xludf.DUMMYFUNCTION("""COMPUTED_VALUE"""),"Cuba")</f>
        <v>Cuba</v>
      </c>
      <c r="C70" s="1" t="str">
        <f>IFERROR(__xludf.DUMMYFUNCTION("""COMPUTED_VALUE"""),"1 113 832")</f>
        <v>1 113 832</v>
      </c>
      <c r="D70" s="1" t="str">
        <f>IFERROR(__xludf.DUMMYFUNCTION("""COMPUTED_VALUE"""),"8 530")</f>
        <v>8 530</v>
      </c>
      <c r="E70" s="1">
        <f>IFERROR(__xludf.DUMMYFUNCTION("""COMPUTED_VALUE"""),771.0)</f>
        <v>771</v>
      </c>
      <c r="F70" s="1" t="str">
        <f>IFERROR(__xludf.DUMMYFUNCTION("""COMPUTED_VALUE"""),"11 059 822")</f>
        <v>11 059 822</v>
      </c>
      <c r="I70" s="29"/>
      <c r="J70" s="29"/>
      <c r="K70" s="29"/>
      <c r="L70" s="29"/>
      <c r="M70" s="29"/>
      <c r="N70" s="29"/>
      <c r="O70" s="29"/>
      <c r="P70" s="29"/>
      <c r="Q70" s="29"/>
      <c r="R70" s="29"/>
      <c r="S70" s="29"/>
      <c r="T70" s="29"/>
      <c r="U70" s="29"/>
      <c r="V70" s="29"/>
      <c r="W70" s="29"/>
      <c r="X70" s="29"/>
      <c r="Y70" s="29"/>
      <c r="Z70" s="29"/>
    </row>
    <row r="71">
      <c r="A71" s="1"/>
      <c r="B71" s="1" t="str">
        <f>IFERROR(__xludf.DUMMYFUNCTION("""COMPUTED_VALUE"""),"Équateur")</f>
        <v>Équateur</v>
      </c>
      <c r="C71" s="1" t="str">
        <f>IFERROR(__xludf.DUMMYFUNCTION("""COMPUTED_VALUE"""),"1 081 867")</f>
        <v>1 081 867</v>
      </c>
      <c r="D71" s="1" t="str">
        <f>IFERROR(__xludf.DUMMYFUNCTION("""COMPUTED_VALUE"""),"36 064")</f>
        <v>36 064</v>
      </c>
      <c r="E71" s="1" t="str">
        <f>IFERROR(__xludf.DUMMYFUNCTION("""COMPUTED_VALUE"""),"2 023")</f>
        <v>2 023</v>
      </c>
      <c r="F71" s="1" t="str">
        <f>IFERROR(__xludf.DUMMYFUNCTION("""COMPUTED_VALUE"""),"17 823 900")</f>
        <v>17 823 900</v>
      </c>
      <c r="I71" s="29"/>
      <c r="J71" s="29"/>
      <c r="K71" s="29"/>
      <c r="L71" s="29"/>
      <c r="M71" s="29"/>
      <c r="N71" s="29"/>
      <c r="O71" s="29"/>
      <c r="P71" s="29"/>
      <c r="Q71" s="29"/>
      <c r="R71" s="29"/>
      <c r="S71" s="29"/>
      <c r="T71" s="29"/>
      <c r="U71" s="29"/>
      <c r="V71" s="29"/>
      <c r="W71" s="29"/>
      <c r="X71" s="29"/>
      <c r="Y71" s="29"/>
      <c r="Z71" s="29"/>
    </row>
    <row r="72">
      <c r="A72" s="1"/>
      <c r="B72" s="1" t="str">
        <f>IFERROR(__xludf.DUMMYFUNCTION("""COMPUTED_VALUE"""),"Émirats arabes unis")</f>
        <v>Émirats arabes unis</v>
      </c>
      <c r="C72" s="1" t="str">
        <f>IFERROR(__xludf.DUMMYFUNCTION("""COMPUTED_VALUE"""),"1 067 030")</f>
        <v>1 067 030</v>
      </c>
      <c r="D72" s="1" t="str">
        <f>IFERROR(__xludf.DUMMYFUNCTION("""COMPUTED_VALUE"""),"2 349")</f>
        <v>2 349</v>
      </c>
      <c r="E72" s="1">
        <f>IFERROR(__xludf.DUMMYFUNCTION("""COMPUTED_VALUE"""),229.0)</f>
        <v>229</v>
      </c>
      <c r="F72" s="1" t="str">
        <f>IFERROR(__xludf.DUMMYFUNCTION("""COMPUTED_VALUE"""),"10 242 085")</f>
        <v>10 242 085</v>
      </c>
      <c r="I72" s="29"/>
      <c r="J72" s="29"/>
      <c r="K72" s="29"/>
      <c r="L72" s="29"/>
      <c r="M72" s="29"/>
      <c r="N72" s="29"/>
      <c r="O72" s="29"/>
      <c r="P72" s="29"/>
      <c r="Q72" s="29"/>
      <c r="R72" s="29"/>
      <c r="S72" s="29"/>
      <c r="T72" s="29"/>
      <c r="U72" s="29"/>
      <c r="V72" s="29"/>
      <c r="W72" s="29"/>
      <c r="X72" s="29"/>
      <c r="Y72" s="29"/>
      <c r="Z72" s="29"/>
    </row>
    <row r="73">
      <c r="A73" s="1"/>
      <c r="B73" s="1" t="str">
        <f>IFERROR(__xludf.DUMMYFUNCTION("""COMPUTED_VALUE"""),"Panama")</f>
        <v>Panama</v>
      </c>
      <c r="C73" s="1" t="str">
        <f>IFERROR(__xludf.DUMMYFUNCTION("""COMPUTED_VALUE"""),"1 045 652")</f>
        <v>1 045 652</v>
      </c>
      <c r="D73" s="1" t="str">
        <f>IFERROR(__xludf.DUMMYFUNCTION("""COMPUTED_VALUE"""),"8 830")</f>
        <v>8 830</v>
      </c>
      <c r="E73" s="1" t="str">
        <f>IFERROR(__xludf.DUMMYFUNCTION("""COMPUTED_VALUE"""),"2 006")</f>
        <v>2 006</v>
      </c>
      <c r="F73" s="1" t="str">
        <f>IFERROR(__xludf.DUMMYFUNCTION("""COMPUTED_VALUE"""),"4 400 775")</f>
        <v>4 400 775</v>
      </c>
      <c r="I73" s="29"/>
      <c r="J73" s="29"/>
      <c r="K73" s="29"/>
      <c r="L73" s="29"/>
      <c r="M73" s="29"/>
      <c r="N73" s="29"/>
      <c r="O73" s="29"/>
      <c r="P73" s="29"/>
      <c r="Q73" s="29"/>
      <c r="R73" s="29"/>
      <c r="S73" s="29"/>
      <c r="T73" s="29"/>
      <c r="U73" s="29"/>
      <c r="V73" s="29"/>
      <c r="W73" s="29"/>
      <c r="X73" s="29"/>
      <c r="Y73" s="29"/>
      <c r="Z73" s="29"/>
    </row>
    <row r="74">
      <c r="A74" s="1"/>
      <c r="B74" s="1" t="str">
        <f>IFERROR(__xludf.DUMMYFUNCTION("""COMPUTED_VALUE"""),"Uruguay")</f>
        <v>Uruguay</v>
      </c>
      <c r="C74" s="1" t="str">
        <f>IFERROR(__xludf.DUMMYFUNCTION("""COMPUTED_VALUE"""),"1 043 200")</f>
        <v>1 043 200</v>
      </c>
      <c r="D74" s="1" t="str">
        <f>IFERROR(__xludf.DUMMYFUNCTION("""COMPUTED_VALUE"""),"7 696")</f>
        <v>7 696</v>
      </c>
      <c r="E74" s="1" t="str">
        <f>IFERROR(__xludf.DUMMYFUNCTION("""COMPUTED_VALUE"""),"2 269")</f>
        <v>2 269</v>
      </c>
      <c r="F74" s="1" t="str">
        <f>IFERROR(__xludf.DUMMYFUNCTION("""COMPUTED_VALUE"""),"3 390 913")</f>
        <v>3 390 913</v>
      </c>
      <c r="I74" s="29"/>
      <c r="J74" s="29"/>
      <c r="K74" s="29"/>
      <c r="L74" s="29"/>
      <c r="M74" s="29"/>
      <c r="N74" s="29"/>
      <c r="O74" s="29"/>
      <c r="P74" s="29"/>
      <c r="Q74" s="29"/>
      <c r="R74" s="29"/>
      <c r="S74" s="29"/>
      <c r="T74" s="29"/>
      <c r="U74" s="29"/>
      <c r="V74" s="29"/>
      <c r="W74" s="29"/>
      <c r="X74" s="29"/>
      <c r="Y74" s="29"/>
      <c r="Z74" s="29"/>
    </row>
    <row r="75">
      <c r="A75" s="1"/>
      <c r="B75" s="1" t="str">
        <f>IFERROR(__xludf.DUMMYFUNCTION("""COMPUTED_VALUE"""),"Mongolie")</f>
        <v>Mongolie</v>
      </c>
      <c r="C75" s="1" t="str">
        <f>IFERROR(__xludf.DUMMYFUNCTION("""COMPUTED_VALUE"""),"1 011 489")</f>
        <v>1 011 489</v>
      </c>
      <c r="D75" s="1" t="str">
        <f>IFERROR(__xludf.DUMMYFUNCTION("""COMPUTED_VALUE"""),"2 136")</f>
        <v>2 136</v>
      </c>
      <c r="E75" s="1">
        <f>IFERROR(__xludf.DUMMYFUNCTION("""COMPUTED_VALUE"""),630.0)</f>
        <v>630</v>
      </c>
      <c r="F75" s="1" t="str">
        <f>IFERROR(__xludf.DUMMYFUNCTION("""COMPUTED_VALUE"""),"3 386 015")</f>
        <v>3 386 015</v>
      </c>
      <c r="I75" s="29"/>
      <c r="J75" s="29"/>
      <c r="K75" s="29"/>
      <c r="L75" s="29"/>
      <c r="M75" s="29"/>
      <c r="N75" s="29"/>
      <c r="O75" s="29"/>
      <c r="P75" s="29"/>
      <c r="Q75" s="29"/>
      <c r="R75" s="29"/>
      <c r="S75" s="29"/>
      <c r="T75" s="29"/>
      <c r="U75" s="29"/>
      <c r="V75" s="29"/>
      <c r="W75" s="29"/>
      <c r="X75" s="29"/>
      <c r="Y75" s="29"/>
      <c r="Z75" s="29"/>
    </row>
    <row r="76">
      <c r="A76" s="1"/>
      <c r="B76" s="1" t="str">
        <f>IFERROR(__xludf.DUMMYFUNCTION("""COMPUTED_VALUE"""),"Népal")</f>
        <v>Népal</v>
      </c>
      <c r="C76" s="1" t="str">
        <f>IFERROR(__xludf.DUMMYFUNCTION("""COMPUTED_VALUE"""),"1 003 946")</f>
        <v>1 003 946</v>
      </c>
      <c r="D76" s="1" t="str">
        <f>IFERROR(__xludf.DUMMYFUNCTION("""COMPUTED_VALUE"""),"12 034")</f>
        <v>12 034</v>
      </c>
      <c r="E76" s="1">
        <f>IFERROR(__xludf.DUMMYFUNCTION("""COMPUTED_VALUE"""),404.0)</f>
        <v>404</v>
      </c>
      <c r="F76" s="1" t="str">
        <f>IFERROR(__xludf.DUMMYFUNCTION("""COMPUTED_VALUE"""),"29 715 435")</f>
        <v>29 715 435</v>
      </c>
      <c r="I76" s="29"/>
      <c r="J76" s="29"/>
      <c r="K76" s="29"/>
      <c r="L76" s="29"/>
      <c r="M76" s="29"/>
      <c r="N76" s="29"/>
      <c r="O76" s="29"/>
      <c r="P76" s="29"/>
      <c r="Q76" s="29"/>
      <c r="R76" s="29"/>
      <c r="S76" s="29"/>
      <c r="T76" s="29"/>
      <c r="U76" s="29"/>
      <c r="V76" s="29"/>
      <c r="W76" s="29"/>
      <c r="X76" s="29"/>
      <c r="Y76" s="29"/>
      <c r="Z76" s="29"/>
    </row>
    <row r="77">
      <c r="A77" s="1"/>
      <c r="B77" s="1" t="str">
        <f>IFERROR(__xludf.DUMMYFUNCTION("""COMPUTED_VALUE"""),"Biélorussie")</f>
        <v>Biélorussie</v>
      </c>
      <c r="C77" s="1" t="str">
        <f>IFERROR(__xludf.DUMMYFUNCTION("""COMPUTED_VALUE"""),"994 073")</f>
        <v>994 073</v>
      </c>
      <c r="D77" s="1" t="str">
        <f>IFERROR(__xludf.DUMMYFUNCTION("""COMPUTED_VALUE"""),"7 118")</f>
        <v>7 118</v>
      </c>
      <c r="E77" s="1">
        <f>IFERROR(__xludf.DUMMYFUNCTION("""COMPUTED_VALUE"""),775.0)</f>
        <v>775</v>
      </c>
      <c r="F77" s="1" t="str">
        <f>IFERROR(__xludf.DUMMYFUNCTION("""COMPUTED_VALUE"""),"9 173 240")</f>
        <v>9 173 240</v>
      </c>
      <c r="I77" s="29"/>
      <c r="J77" s="29"/>
      <c r="K77" s="29"/>
      <c r="L77" s="29"/>
      <c r="M77" s="29"/>
      <c r="N77" s="29"/>
      <c r="O77" s="29"/>
      <c r="P77" s="29"/>
      <c r="Q77" s="29"/>
      <c r="R77" s="29"/>
      <c r="S77" s="29"/>
      <c r="T77" s="29"/>
      <c r="U77" s="29"/>
      <c r="V77" s="29"/>
      <c r="W77" s="29"/>
      <c r="X77" s="29"/>
      <c r="Y77" s="29"/>
      <c r="Z77" s="29"/>
    </row>
    <row r="78">
      <c r="A78" s="1"/>
      <c r="B78" s="1" t="str">
        <f>IFERROR(__xludf.DUMMYFUNCTION("""COMPUTED_VALUE"""),"Lettonie")</f>
        <v>Lettonie</v>
      </c>
      <c r="C78" s="1" t="str">
        <f>IFERROR(__xludf.DUMMYFUNCTION("""COMPUTED_VALUE"""),"977 790")</f>
        <v>977 790</v>
      </c>
      <c r="D78" s="1" t="str">
        <f>IFERROR(__xludf.DUMMYFUNCTION("""COMPUTED_VALUE"""),"7 682")</f>
        <v>7 682</v>
      </c>
      <c r="E78" s="1" t="str">
        <f>IFERROR(__xludf.DUMMYFUNCTION("""COMPUTED_VALUE"""),"4 083")</f>
        <v>4 083</v>
      </c>
      <c r="F78" s="1" t="str">
        <f>IFERROR(__xludf.DUMMYFUNCTION("""COMPUTED_VALUE"""),"1 881 059")</f>
        <v>1 881 059</v>
      </c>
      <c r="I78" s="29"/>
      <c r="J78" s="29"/>
      <c r="K78" s="29"/>
      <c r="L78" s="29"/>
      <c r="M78" s="29"/>
      <c r="N78" s="29"/>
      <c r="O78" s="29"/>
      <c r="P78" s="29"/>
      <c r="Q78" s="29"/>
      <c r="R78" s="29"/>
      <c r="S78" s="29"/>
      <c r="T78" s="29"/>
      <c r="U78" s="29"/>
      <c r="V78" s="29"/>
      <c r="W78" s="29"/>
      <c r="X78" s="29"/>
      <c r="Y78" s="29"/>
      <c r="Z78" s="29"/>
    </row>
    <row r="79">
      <c r="A79" s="1"/>
      <c r="B79" s="1" t="str">
        <f>IFERROR(__xludf.DUMMYFUNCTION("""COMPUTED_VALUE"""),"Chypre du Nord")</f>
        <v>Chypre du Nord</v>
      </c>
      <c r="C79" s="1" t="str">
        <f>IFERROR(__xludf.DUMMYFUNCTION("""COMPUTED_VALUE"""),"—")</f>
        <v>—</v>
      </c>
      <c r="D79" s="1" t="str">
        <f>IFERROR(__xludf.DUMMYFUNCTION("""COMPUTED_VALUE"""),"—")</f>
        <v>—</v>
      </c>
      <c r="E79" s="1" t="str">
        <f>IFERROR(__xludf.DUMMYFUNCTION("""COMPUTED_VALUE"""),"—")</f>
        <v>—</v>
      </c>
      <c r="F79" s="1" t="str">
        <f>IFERROR(__xludf.DUMMYFUNCTION("""COMPUTED_VALUE"""),"382 836")</f>
        <v>382 836</v>
      </c>
      <c r="I79" s="29"/>
      <c r="J79" s="29"/>
      <c r="K79" s="29"/>
      <c r="L79" s="29"/>
      <c r="M79" s="29"/>
      <c r="N79" s="29"/>
      <c r="O79" s="29"/>
      <c r="P79" s="29"/>
      <c r="Q79" s="29"/>
      <c r="R79" s="29"/>
      <c r="S79" s="29"/>
      <c r="T79" s="29"/>
      <c r="U79" s="29"/>
      <c r="V79" s="29"/>
      <c r="W79" s="29"/>
      <c r="X79" s="29"/>
      <c r="Y79" s="29"/>
      <c r="Z79" s="29"/>
    </row>
    <row r="80">
      <c r="A80" s="1"/>
      <c r="B80" s="1" t="str">
        <f>IFERROR(__xludf.DUMMYFUNCTION("""COMPUTED_VALUE"""),"Arabie saoudite")</f>
        <v>Arabie saoudite</v>
      </c>
      <c r="C80" s="1" t="str">
        <f>IFERROR(__xludf.DUMMYFUNCTION("""COMPUTED_VALUE"""),"841 469")</f>
        <v>841 469</v>
      </c>
      <c r="D80" s="1" t="str">
        <f>IFERROR(__xludf.DUMMYFUNCTION("""COMPUTED_VALUE"""),"9 646")</f>
        <v>9 646</v>
      </c>
      <c r="E80" s="1">
        <f>IFERROR(__xludf.DUMMYFUNCTION("""COMPUTED_VALUE"""),299.0)</f>
        <v>299</v>
      </c>
      <c r="F80" s="1" t="str">
        <f>IFERROR(__xludf.DUMMYFUNCTION("""COMPUTED_VALUE"""),"32 175 351")</f>
        <v>32 175 351</v>
      </c>
      <c r="I80" s="29"/>
      <c r="J80" s="29"/>
      <c r="K80" s="29"/>
      <c r="L80" s="29"/>
      <c r="M80" s="29"/>
      <c r="N80" s="29"/>
      <c r="O80" s="29"/>
      <c r="P80" s="29"/>
      <c r="Q80" s="29"/>
      <c r="R80" s="29"/>
      <c r="S80" s="29"/>
      <c r="T80" s="29"/>
      <c r="U80" s="29"/>
      <c r="V80" s="29"/>
      <c r="W80" s="29"/>
      <c r="X80" s="29"/>
      <c r="Y80" s="29"/>
      <c r="Z80" s="29"/>
    </row>
    <row r="81">
      <c r="A81" s="1"/>
      <c r="B81" s="1" t="str">
        <f>IFERROR(__xludf.DUMMYFUNCTION("""COMPUTED_VALUE"""),"Azerbaïdjan")</f>
        <v>Azerbaïdjan</v>
      </c>
      <c r="C81" s="1" t="str">
        <f>IFERROR(__xludf.DUMMYFUNCTION("""COMPUTED_VALUE"""),"836 510")</f>
        <v>836 510</v>
      </c>
      <c r="D81" s="1" t="str">
        <f>IFERROR(__xludf.DUMMYFUNCTION("""COMPUTED_VALUE"""),"10 353")</f>
        <v>10 353</v>
      </c>
      <c r="E81" s="1" t="str">
        <f>IFERROR(__xludf.DUMMYFUNCTION("""COMPUTED_VALUE"""),"1 005")</f>
        <v>1 005</v>
      </c>
      <c r="F81" s="1" t="str">
        <f>IFERROR(__xludf.DUMMYFUNCTION("""COMPUTED_VALUE"""),"10 295 307")</f>
        <v>10 295 307</v>
      </c>
      <c r="I81" s="29"/>
      <c r="J81" s="29"/>
      <c r="K81" s="29"/>
      <c r="L81" s="29"/>
      <c r="M81" s="29"/>
      <c r="N81" s="29"/>
      <c r="O81" s="29"/>
      <c r="P81" s="29"/>
      <c r="Q81" s="29"/>
      <c r="R81" s="29"/>
      <c r="S81" s="29"/>
      <c r="T81" s="29"/>
      <c r="U81" s="29"/>
      <c r="V81" s="29"/>
      <c r="W81" s="29"/>
      <c r="X81" s="29"/>
      <c r="Y81" s="29"/>
      <c r="Z81" s="29"/>
    </row>
    <row r="82">
      <c r="A82" s="1"/>
      <c r="B82" s="1" t="str">
        <f>IFERROR(__xludf.DUMMYFUNCTION("""COMPUTED_VALUE"""),"Paraguay")</f>
        <v>Paraguay</v>
      </c>
      <c r="C82" s="1" t="str">
        <f>IFERROR(__xludf.DUMMYFUNCTION("""COMPUTED_VALUE"""),"735 759")</f>
        <v>735 759</v>
      </c>
      <c r="D82" s="1" t="str">
        <f>IFERROR(__xludf.DUMMYFUNCTION("""COMPUTED_VALUE"""),"19 880")</f>
        <v>19 880</v>
      </c>
      <c r="E82" s="1" t="str">
        <f>IFERROR(__xludf.DUMMYFUNCTION("""COMPUTED_VALUE"""),"2 940")</f>
        <v>2 940</v>
      </c>
      <c r="F82" s="1" t="str">
        <f>IFERROR(__xludf.DUMMYFUNCTION("""COMPUTED_VALUE"""),"6 760 460")</f>
        <v>6 760 460</v>
      </c>
      <c r="I82" s="29"/>
      <c r="J82" s="29"/>
      <c r="K82" s="29"/>
      <c r="L82" s="29"/>
      <c r="M82" s="29"/>
      <c r="N82" s="29"/>
      <c r="O82" s="29"/>
      <c r="P82" s="29"/>
      <c r="Q82" s="29"/>
      <c r="R82" s="29"/>
      <c r="S82" s="29"/>
      <c r="T82" s="29"/>
      <c r="U82" s="29"/>
      <c r="V82" s="29"/>
      <c r="W82" s="29"/>
      <c r="X82" s="29"/>
      <c r="Y82" s="29"/>
      <c r="Z82" s="29"/>
    </row>
    <row r="83">
      <c r="A83" s="1"/>
      <c r="B83" s="1" t="str">
        <f>IFERROR(__xludf.DUMMYFUNCTION("""COMPUTED_VALUE"""),"Chypre")</f>
        <v>Chypre</v>
      </c>
      <c r="C83" s="1" t="str">
        <f>IFERROR(__xludf.DUMMYFUNCTION("""COMPUTED_VALUE"""),"718 147")</f>
        <v>718 147</v>
      </c>
      <c r="D83" s="1" t="str">
        <f>IFERROR(__xludf.DUMMYFUNCTION("""COMPUTED_VALUE"""),"1 364")</f>
        <v>1 364</v>
      </c>
      <c r="E83" s="1" t="str">
        <f>IFERROR(__xludf.DUMMYFUNCTION("""COMPUTED_VALUE"""),"1 450")</f>
        <v>1 450</v>
      </c>
      <c r="F83" s="1" t="str">
        <f>IFERROR(__xludf.DUMMYFUNCTION("""COMPUTED_VALUE"""),"1 331 376")</f>
        <v>1 331 376</v>
      </c>
      <c r="I83" s="29"/>
      <c r="J83" s="29"/>
      <c r="K83" s="29"/>
      <c r="L83" s="29"/>
      <c r="M83" s="29"/>
      <c r="N83" s="29"/>
      <c r="O83" s="29"/>
      <c r="P83" s="29"/>
      <c r="Q83" s="29"/>
      <c r="R83" s="29"/>
      <c r="S83" s="29"/>
      <c r="T83" s="29"/>
      <c r="U83" s="29"/>
      <c r="V83" s="29"/>
      <c r="W83" s="29"/>
      <c r="X83" s="29"/>
      <c r="Y83" s="29"/>
      <c r="Z83" s="29"/>
    </row>
    <row r="84">
      <c r="A84" s="1"/>
      <c r="B84" s="1" t="str">
        <f>IFERROR(__xludf.DUMMYFUNCTION("""COMPUTED_VALUE"""),"Palestine (État)")</f>
        <v>Palestine (État)</v>
      </c>
      <c r="C84" s="1" t="str">
        <f>IFERROR(__xludf.DUMMYFUNCTION("""COMPUTED_VALUE"""),"703 228")</f>
        <v>703 228</v>
      </c>
      <c r="D84" s="1" t="str">
        <f>IFERROR(__xludf.DUMMYFUNCTION("""COMPUTED_VALUE"""),"5 708")</f>
        <v>5 708</v>
      </c>
      <c r="E84" s="1" t="str">
        <f>IFERROR(__xludf.DUMMYFUNCTION("""COMPUTED_VALUE"""),"1 075")</f>
        <v>1 075</v>
      </c>
      <c r="F84" s="1" t="str">
        <f>IFERROR(__xludf.DUMMYFUNCTION("""COMPUTED_VALUE"""),"5 305 274")</f>
        <v>5 305 274</v>
      </c>
      <c r="I84" s="29"/>
      <c r="J84" s="29"/>
      <c r="K84" s="29"/>
      <c r="L84" s="29"/>
      <c r="M84" s="29"/>
      <c r="N84" s="29"/>
      <c r="O84" s="29"/>
      <c r="P84" s="29"/>
      <c r="Q84" s="29"/>
      <c r="R84" s="29"/>
      <c r="S84" s="29"/>
      <c r="T84" s="29"/>
      <c r="U84" s="29"/>
      <c r="V84" s="29"/>
      <c r="W84" s="29"/>
      <c r="X84" s="29"/>
      <c r="Y84" s="29"/>
      <c r="Z84" s="29"/>
    </row>
    <row r="85">
      <c r="A85" s="1"/>
      <c r="B85" s="1" t="str">
        <f>IFERROR(__xludf.DUMMYFUNCTION("""COMPUTED_VALUE"""),"Bahreïn")</f>
        <v>Bahreïn</v>
      </c>
      <c r="C85" s="1" t="str">
        <f>IFERROR(__xludf.DUMMYFUNCTION("""COMPUTED_VALUE"""),"696 614")</f>
        <v>696 614</v>
      </c>
      <c r="D85" s="1" t="str">
        <f>IFERROR(__xludf.DUMMYFUNCTION("""COMPUTED_VALUE"""),"1 536")</f>
        <v>1 536</v>
      </c>
      <c r="E85" s="1" t="str">
        <f>IFERROR(__xludf.DUMMYFUNCTION("""COMPUTED_VALUE"""),"1 001")</f>
        <v>1 001</v>
      </c>
      <c r="F85" s="1" t="str">
        <f>IFERROR(__xludf.DUMMYFUNCTION("""COMPUTED_VALUE"""),"1 533 460")</f>
        <v>1 533 460</v>
      </c>
      <c r="I85" s="29"/>
      <c r="J85" s="29"/>
      <c r="K85" s="29"/>
      <c r="L85" s="29"/>
      <c r="M85" s="29"/>
      <c r="N85" s="29"/>
      <c r="O85" s="29"/>
      <c r="P85" s="29"/>
      <c r="Q85" s="29"/>
      <c r="R85" s="29"/>
      <c r="S85" s="29"/>
      <c r="T85" s="29"/>
      <c r="U85" s="29"/>
      <c r="V85" s="29"/>
      <c r="W85" s="29"/>
      <c r="X85" s="29"/>
      <c r="Y85" s="29"/>
      <c r="Z85" s="29"/>
    </row>
    <row r="86">
      <c r="A86" s="1"/>
      <c r="B86" s="1" t="str">
        <f>IFERROR(__xludf.DUMMYFUNCTION("""COMPUTED_VALUE"""),"Sri Lanka")</f>
        <v>Sri Lanka</v>
      </c>
      <c r="C86" s="1" t="str">
        <f>IFERROR(__xludf.DUMMYFUNCTION("""COMPUTED_VALUE"""),"672 812")</f>
        <v>672 812</v>
      </c>
      <c r="D86" s="1" t="str">
        <f>IFERROR(__xludf.DUMMYFUNCTION("""COMPUTED_VALUE"""),"16 907")</f>
        <v>16 907</v>
      </c>
      <c r="E86" s="1">
        <f>IFERROR(__xludf.DUMMYFUNCTION("""COMPUTED_VALUE"""),740.0)</f>
        <v>740</v>
      </c>
      <c r="F86" s="1" t="str">
        <f>IFERROR(__xludf.DUMMYFUNCTION("""COMPUTED_VALUE"""),"22 834 965")</f>
        <v>22 834 965</v>
      </c>
      <c r="I86" s="29"/>
      <c r="J86" s="29"/>
      <c r="K86" s="29"/>
      <c r="L86" s="29"/>
      <c r="M86" s="29"/>
      <c r="N86" s="29"/>
      <c r="O86" s="29"/>
      <c r="P86" s="29"/>
      <c r="Q86" s="29"/>
      <c r="R86" s="29"/>
      <c r="S86" s="29"/>
      <c r="T86" s="29"/>
      <c r="U86" s="29"/>
      <c r="V86" s="29"/>
      <c r="W86" s="29"/>
      <c r="X86" s="29"/>
      <c r="Y86" s="29"/>
      <c r="Z86" s="29"/>
    </row>
    <row r="87">
      <c r="A87" s="1"/>
      <c r="B87" s="1" t="str">
        <f>IFERROR(__xludf.DUMMYFUNCTION("""COMPUTED_VALUE"""),"Koweït")</f>
        <v>Koweït</v>
      </c>
      <c r="C87" s="1" t="str">
        <f>IFERROR(__xludf.DUMMYFUNCTION("""COMPUTED_VALUE"""),"667 290")</f>
        <v>667 290</v>
      </c>
      <c r="D87" s="1" t="str">
        <f>IFERROR(__xludf.DUMMYFUNCTION("""COMPUTED_VALUE"""),"2 570")</f>
        <v>2 570</v>
      </c>
      <c r="E87" s="1">
        <f>IFERROR(__xludf.DUMMYFUNCTION("""COMPUTED_VALUE"""),559.0)</f>
        <v>559</v>
      </c>
      <c r="F87" s="1" t="str">
        <f>IFERROR(__xludf.DUMMYFUNCTION("""COMPUTED_VALUE"""),"4 589 514")</f>
        <v>4 589 514</v>
      </c>
      <c r="I87" s="29"/>
      <c r="J87" s="29"/>
      <c r="K87" s="29"/>
      <c r="L87" s="29"/>
      <c r="M87" s="29"/>
      <c r="N87" s="29"/>
      <c r="O87" s="29"/>
      <c r="P87" s="29"/>
      <c r="Q87" s="29"/>
      <c r="R87" s="29"/>
      <c r="S87" s="29"/>
      <c r="T87" s="29"/>
      <c r="U87" s="29"/>
      <c r="V87" s="29"/>
      <c r="W87" s="29"/>
      <c r="X87" s="29"/>
      <c r="Y87" s="29"/>
      <c r="Z87" s="29"/>
    </row>
    <row r="88">
      <c r="A88" s="1"/>
      <c r="B88" s="1" t="str">
        <f>IFERROR(__xludf.DUMMYFUNCTION("""COMPUTED_VALUE"""),"République dominicaine")</f>
        <v>République dominicaine</v>
      </c>
      <c r="C88" s="1" t="str">
        <f>IFERROR(__xludf.DUMMYFUNCTION("""COMPUTED_VALUE"""),"661 103")</f>
        <v>661 103</v>
      </c>
      <c r="D88" s="1" t="str">
        <f>IFERROR(__xludf.DUMMYFUNCTION("""COMPUTED_VALUE"""),"4 384")</f>
        <v>4 384</v>
      </c>
      <c r="E88" s="1">
        <f>IFERROR(__xludf.DUMMYFUNCTION("""COMPUTED_VALUE"""),390.0)</f>
        <v>390</v>
      </c>
      <c r="F88" s="1" t="str">
        <f>IFERROR(__xludf.DUMMYFUNCTION("""COMPUTED_VALUE"""),"11 230 734")</f>
        <v>11 230 734</v>
      </c>
      <c r="I88" s="29"/>
      <c r="J88" s="29"/>
      <c r="K88" s="29"/>
      <c r="L88" s="29"/>
      <c r="M88" s="29"/>
      <c r="N88" s="29"/>
      <c r="O88" s="29"/>
      <c r="P88" s="29"/>
      <c r="Q88" s="29"/>
      <c r="R88" s="29"/>
      <c r="S88" s="29"/>
      <c r="T88" s="29"/>
      <c r="U88" s="29"/>
      <c r="V88" s="29"/>
      <c r="W88" s="29"/>
      <c r="X88" s="29"/>
      <c r="Y88" s="29"/>
      <c r="Z88" s="29"/>
    </row>
    <row r="89">
      <c r="A89" s="1"/>
      <c r="B89" s="1" t="str">
        <f>IFERROR(__xludf.DUMMYFUNCTION("""COMPUTED_VALUE"""),"Moldavie")</f>
        <v>Moldavie</v>
      </c>
      <c r="C89" s="1" t="str">
        <f>IFERROR(__xludf.DUMMYFUNCTION("""COMPUTED_VALUE"""),"656 454")</f>
        <v>656 454</v>
      </c>
      <c r="D89" s="1" t="str">
        <f>IFERROR(__xludf.DUMMYFUNCTION("""COMPUTED_VALUE"""),"12 290")</f>
        <v>12 290</v>
      </c>
      <c r="E89" s="1" t="str">
        <f>IFERROR(__xludf.DUMMYFUNCTION("""COMPUTED_VALUE"""),"4 042")</f>
        <v>4 042</v>
      </c>
      <c r="F89" s="1" t="str">
        <f>IFERROR(__xludf.DUMMYFUNCTION("""COMPUTED_VALUE"""),"3 039 986")</f>
        <v>3 039 986</v>
      </c>
      <c r="I89" s="29"/>
      <c r="J89" s="29"/>
      <c r="K89" s="29"/>
      <c r="L89" s="29"/>
      <c r="M89" s="29"/>
      <c r="N89" s="29"/>
      <c r="O89" s="29"/>
      <c r="P89" s="29"/>
      <c r="Q89" s="29"/>
      <c r="R89" s="29"/>
      <c r="S89" s="29"/>
      <c r="T89" s="29"/>
      <c r="U89" s="29"/>
      <c r="V89" s="29"/>
      <c r="W89" s="29"/>
      <c r="X89" s="29"/>
      <c r="Y89" s="29"/>
      <c r="Z89" s="29"/>
    </row>
    <row r="90">
      <c r="A90" s="1"/>
      <c r="B90" s="1" t="str">
        <f>IFERROR(__xludf.DUMMYFUNCTION("""COMPUTED_VALUE"""),"Birmanie")</f>
        <v>Birmanie</v>
      </c>
      <c r="C90" s="1" t="str">
        <f>IFERROR(__xludf.DUMMYFUNCTION("""COMPUTED_VALUE"""),"643 401")</f>
        <v>643 401</v>
      </c>
      <c r="D90" s="1" t="str">
        <f>IFERROR(__xludf.DUMMYFUNCTION("""COMPUTED_VALUE"""),"19 494")</f>
        <v>19 494</v>
      </c>
      <c r="E90" s="1">
        <f>IFERROR(__xludf.DUMMYFUNCTION("""COMPUTED_VALUE"""),362.0)</f>
        <v>362</v>
      </c>
      <c r="F90" s="1" t="str">
        <f>IFERROR(__xludf.DUMMYFUNCTION("""COMPUTED_VALUE"""),"53 756 791")</f>
        <v>53 756 791</v>
      </c>
      <c r="I90" s="29"/>
      <c r="J90" s="29"/>
      <c r="K90" s="29"/>
      <c r="L90" s="29"/>
      <c r="M90" s="29"/>
      <c r="N90" s="29"/>
      <c r="O90" s="29"/>
      <c r="P90" s="29"/>
      <c r="Q90" s="29"/>
      <c r="R90" s="29"/>
      <c r="S90" s="29"/>
      <c r="T90" s="29"/>
      <c r="U90" s="29"/>
      <c r="V90" s="29"/>
      <c r="W90" s="29"/>
      <c r="X90" s="29"/>
      <c r="Y90" s="29"/>
      <c r="Z90" s="29"/>
    </row>
    <row r="91">
      <c r="A91" s="1"/>
      <c r="B91" s="1" t="str">
        <f>IFERROR(__xludf.DUMMYFUNCTION("""COMPUTED_VALUE"""),"Estonie")</f>
        <v>Estonie</v>
      </c>
      <c r="C91" s="1" t="str">
        <f>IFERROR(__xludf.DUMMYFUNCTION("""COMPUTED_VALUE"""),"616 423")</f>
        <v>616 423</v>
      </c>
      <c r="D91" s="1" t="str">
        <f>IFERROR(__xludf.DUMMYFUNCTION("""COMPUTED_VALUE"""),"3 200")</f>
        <v>3 200</v>
      </c>
      <c r="E91" s="1" t="str">
        <f>IFERROR(__xludf.DUMMYFUNCTION("""COMPUTED_VALUE"""),"2 370")</f>
        <v>2 370</v>
      </c>
      <c r="F91" s="1" t="str">
        <f>IFERROR(__xludf.DUMMYFUNCTION("""COMPUTED_VALUE"""),"1 350 093")</f>
        <v>1 350 093</v>
      </c>
      <c r="I91" s="29"/>
      <c r="J91" s="29"/>
      <c r="K91" s="29"/>
      <c r="L91" s="29"/>
      <c r="M91" s="29"/>
      <c r="N91" s="29"/>
      <c r="O91" s="29"/>
      <c r="P91" s="29"/>
      <c r="Q91" s="29"/>
      <c r="R91" s="29"/>
      <c r="S91" s="29"/>
      <c r="T91" s="29"/>
      <c r="U91" s="29"/>
      <c r="V91" s="29"/>
      <c r="W91" s="29"/>
      <c r="X91" s="29"/>
      <c r="Y91" s="29"/>
      <c r="Z91" s="29"/>
    </row>
    <row r="92">
      <c r="A92" s="1"/>
      <c r="B92" s="1" t="str">
        <f>IFERROR(__xludf.DUMMYFUNCTION("""COMPUTED_VALUE"""),"Venezuela")</f>
        <v>Venezuela</v>
      </c>
      <c r="C92" s="1" t="str">
        <f>IFERROR(__xludf.DUMMYFUNCTION("""COMPUTED_VALUE"""),"552 743")</f>
        <v>552 743</v>
      </c>
      <c r="D92" s="1" t="str">
        <f>IFERROR(__xludf.DUMMYFUNCTION("""COMPUTED_VALUE"""),"5 856")</f>
        <v>5 856</v>
      </c>
      <c r="E92" s="1">
        <f>IFERROR(__xludf.DUMMYFUNCTION("""COMPUTED_VALUE"""),207.0)</f>
        <v>207</v>
      </c>
      <c r="F92" s="1" t="str">
        <f>IFERROR(__xludf.DUMMYFUNCTION("""COMPUTED_VALUE"""),"28 213 015")</f>
        <v>28 213 015</v>
      </c>
      <c r="I92" s="29"/>
      <c r="J92" s="29"/>
      <c r="K92" s="29"/>
      <c r="L92" s="29"/>
      <c r="M92" s="29"/>
      <c r="N92" s="29"/>
      <c r="O92" s="29"/>
      <c r="P92" s="29"/>
      <c r="Q92" s="29"/>
      <c r="R92" s="29"/>
      <c r="S92" s="29"/>
      <c r="T92" s="29"/>
      <c r="U92" s="29"/>
      <c r="V92" s="29"/>
      <c r="W92" s="29"/>
      <c r="X92" s="29"/>
      <c r="Y92" s="29"/>
      <c r="Z92" s="29"/>
    </row>
    <row r="93">
      <c r="A93" s="1"/>
      <c r="B93" s="1" t="str">
        <f>IFERROR(__xludf.DUMMYFUNCTION("""COMPUTED_VALUE"""),"Égypte")</f>
        <v>Égypte</v>
      </c>
      <c r="C93" s="1" t="str">
        <f>IFERROR(__xludf.DUMMYFUNCTION("""COMPUTED_VALUE"""),"516 023")</f>
        <v>516 023</v>
      </c>
      <c r="D93" s="1" t="str">
        <f>IFERROR(__xludf.DUMMYFUNCTION("""COMPUTED_VALUE"""),"24 830")</f>
        <v>24 830</v>
      </c>
      <c r="E93" s="1">
        <f>IFERROR(__xludf.DUMMYFUNCTION("""COMPUTED_VALUE"""),220.0)</f>
        <v>220</v>
      </c>
      <c r="F93" s="1" t="str">
        <f>IFERROR(__xludf.DUMMYFUNCTION("""COMPUTED_VALUE"""),"112 618 252")</f>
        <v>112 618 252</v>
      </c>
      <c r="I93" s="29"/>
      <c r="J93" s="29"/>
      <c r="K93" s="29"/>
      <c r="L93" s="29"/>
      <c r="M93" s="29"/>
      <c r="N93" s="29"/>
      <c r="O93" s="29"/>
      <c r="P93" s="29"/>
      <c r="Q93" s="29"/>
      <c r="R93" s="29"/>
      <c r="S93" s="29"/>
      <c r="T93" s="29"/>
      <c r="U93" s="29"/>
      <c r="V93" s="29"/>
      <c r="W93" s="29"/>
      <c r="X93" s="29"/>
      <c r="Y93" s="29"/>
      <c r="Z93" s="29"/>
    </row>
    <row r="94">
      <c r="A94" s="1"/>
      <c r="B94" s="1" t="str">
        <f>IFERROR(__xludf.DUMMYFUNCTION("""COMPUTED_VALUE"""),"Qatar")</f>
        <v>Qatar</v>
      </c>
      <c r="C94" s="1" t="str">
        <f>IFERROR(__xludf.DUMMYFUNCTION("""COMPUTED_VALUE"""),"514 524")</f>
        <v>514 524</v>
      </c>
      <c r="D94" s="1">
        <f>IFERROR(__xludf.DUMMYFUNCTION("""COMPUTED_VALUE"""),690.0)</f>
        <v>690</v>
      </c>
      <c r="E94" s="1">
        <f>IFERROR(__xludf.DUMMYFUNCTION("""COMPUTED_VALUE"""),238.0)</f>
        <v>238</v>
      </c>
      <c r="F94" s="1" t="str">
        <f>IFERROR(__xludf.DUMMYFUNCTION("""COMPUTED_VALUE"""),"2 892 466")</f>
        <v>2 892 466</v>
      </c>
      <c r="I94" s="29"/>
      <c r="J94" s="29"/>
      <c r="K94" s="29"/>
      <c r="L94" s="29"/>
      <c r="M94" s="29"/>
      <c r="N94" s="29"/>
      <c r="O94" s="29"/>
      <c r="P94" s="29"/>
      <c r="Q94" s="29"/>
      <c r="R94" s="29"/>
      <c r="S94" s="29"/>
      <c r="T94" s="29"/>
      <c r="U94" s="29"/>
      <c r="V94" s="29"/>
      <c r="W94" s="29"/>
      <c r="X94" s="29"/>
      <c r="Y94" s="29"/>
      <c r="Z94" s="29"/>
    </row>
    <row r="95">
      <c r="A95" s="1"/>
      <c r="B95" s="1" t="str">
        <f>IFERROR(__xludf.DUMMYFUNCTION("""COMPUTED_VALUE"""),"Libye")</f>
        <v>Libye</v>
      </c>
      <c r="C95" s="1" t="str">
        <f>IFERROR(__xludf.DUMMYFUNCTION("""COMPUTED_VALUE"""),"507 269")</f>
        <v>507 269</v>
      </c>
      <c r="D95" s="1" t="str">
        <f>IFERROR(__xludf.DUMMYFUNCTION("""COMPUTED_VALUE"""),"6 437")</f>
        <v>6 437</v>
      </c>
      <c r="E95" s="1">
        <f>IFERROR(__xludf.DUMMYFUNCTION("""COMPUTED_VALUE"""),891.0)</f>
        <v>891</v>
      </c>
      <c r="F95" s="1" t="str">
        <f>IFERROR(__xludf.DUMMYFUNCTION("""COMPUTED_VALUE"""),"7 223 804")</f>
        <v>7 223 804</v>
      </c>
      <c r="I95" s="29"/>
      <c r="J95" s="29"/>
      <c r="K95" s="29"/>
      <c r="L95" s="29"/>
      <c r="M95" s="29"/>
      <c r="N95" s="29"/>
      <c r="O95" s="29"/>
      <c r="P95" s="29"/>
      <c r="Q95" s="29"/>
      <c r="R95" s="29"/>
      <c r="S95" s="29"/>
      <c r="T95" s="29"/>
      <c r="U95" s="29"/>
      <c r="V95" s="29"/>
      <c r="W95" s="29"/>
      <c r="X95" s="29"/>
      <c r="Y95" s="29"/>
      <c r="Z95" s="29"/>
    </row>
    <row r="96">
      <c r="A96" s="1"/>
      <c r="B96" s="1" t="str">
        <f>IFERROR(__xludf.DUMMYFUNCTION("""COMPUTED_VALUE"""),"Éthiopie")</f>
        <v>Éthiopie</v>
      </c>
      <c r="C96" s="1" t="str">
        <f>IFERROR(__xludf.DUMMYFUNCTION("""COMPUTED_VALUE"""),"501 324")</f>
        <v>501 324</v>
      </c>
      <c r="D96" s="1" t="str">
        <f>IFERROR(__xludf.DUMMYFUNCTION("""COMPUTED_VALUE"""),"7 574")</f>
        <v>7 574</v>
      </c>
      <c r="E96" s="1">
        <f>IFERROR(__xludf.DUMMYFUNCTION("""COMPUTED_VALUE"""),60.0)</f>
        <v>60</v>
      </c>
      <c r="F96" s="1" t="str">
        <f>IFERROR(__xludf.DUMMYFUNCTION("""COMPUTED_VALUE"""),"125 384 285")</f>
        <v>125 384 285</v>
      </c>
      <c r="I96" s="29"/>
      <c r="J96" s="29"/>
      <c r="K96" s="29"/>
      <c r="L96" s="29"/>
      <c r="M96" s="29"/>
      <c r="N96" s="29"/>
      <c r="O96" s="29"/>
      <c r="P96" s="29"/>
      <c r="Q96" s="29"/>
      <c r="R96" s="29"/>
      <c r="S96" s="29"/>
      <c r="T96" s="29"/>
      <c r="U96" s="29"/>
      <c r="V96" s="29"/>
      <c r="W96" s="29"/>
      <c r="X96" s="29"/>
      <c r="Y96" s="29"/>
      <c r="Z96" s="29"/>
    </row>
    <row r="97">
      <c r="A97" s="1"/>
      <c r="B97" s="1" t="str">
        <f>IFERROR(__xludf.DUMMYFUNCTION("""COMPUTED_VALUE"""),"La Réunion")</f>
        <v>La Réunion</v>
      </c>
      <c r="C97" s="1" t="str">
        <f>IFERROR(__xludf.DUMMYFUNCTION("""COMPUTED_VALUE"""),"494 595")</f>
        <v>494 595</v>
      </c>
      <c r="D97" s="1">
        <f>IFERROR(__xludf.DUMMYFUNCTION("""COMPUTED_VALUE"""),921.0)</f>
        <v>921</v>
      </c>
      <c r="E97" s="1" t="str">
        <f>IFERROR(__xludf.DUMMYFUNCTION("""COMPUTED_VALUE"""),"1 056")</f>
        <v>1 056</v>
      </c>
      <c r="F97" s="1" t="str">
        <f>IFERROR(__xludf.DUMMYFUNCTION("""COMPUTED_VALUE"""),"871 543")</f>
        <v>871 543</v>
      </c>
      <c r="I97" s="29"/>
      <c r="J97" s="29"/>
      <c r="K97" s="29"/>
      <c r="L97" s="29"/>
      <c r="M97" s="29"/>
      <c r="N97" s="29"/>
      <c r="O97" s="29"/>
      <c r="P97" s="29"/>
      <c r="Q97" s="29"/>
      <c r="R97" s="29"/>
      <c r="S97" s="29"/>
      <c r="T97" s="29"/>
      <c r="U97" s="29"/>
      <c r="V97" s="29"/>
      <c r="W97" s="29"/>
      <c r="X97" s="29"/>
      <c r="Y97" s="29"/>
      <c r="Z97" s="29"/>
    </row>
    <row r="98">
      <c r="A98" s="1"/>
      <c r="B98" s="1" t="str">
        <f>IFERROR(__xludf.DUMMYFUNCTION("""COMPUTED_VALUE"""),"Honduras")</f>
        <v>Honduras</v>
      </c>
      <c r="C98" s="1" t="str">
        <f>IFERROR(__xludf.DUMMYFUNCTION("""COMPUTED_VALUE"""),"473 040")</f>
        <v>473 040</v>
      </c>
      <c r="D98" s="1" t="str">
        <f>IFERROR(__xludf.DUMMYFUNCTION("""COMPUTED_VALUE"""),"11 114")</f>
        <v>11 114</v>
      </c>
      <c r="E98" s="1" t="str">
        <f>IFERROR(__xludf.DUMMYFUNCTION("""COMPUTED_VALUE"""),"1 062")</f>
        <v>1 062</v>
      </c>
      <c r="F98" s="1" t="str">
        <f>IFERROR(__xludf.DUMMYFUNCTION("""COMPUTED_VALUE"""),"10 463 880")</f>
        <v>10 463 880</v>
      </c>
      <c r="I98" s="29"/>
      <c r="J98" s="29"/>
      <c r="K98" s="29"/>
      <c r="L98" s="29"/>
      <c r="M98" s="29"/>
      <c r="N98" s="29"/>
      <c r="O98" s="29"/>
      <c r="P98" s="29"/>
      <c r="Q98" s="29"/>
      <c r="R98" s="29"/>
      <c r="S98" s="29"/>
      <c r="T98" s="29"/>
      <c r="U98" s="29"/>
      <c r="V98" s="29"/>
      <c r="W98" s="29"/>
      <c r="X98" s="29"/>
      <c r="Y98" s="29"/>
      <c r="Z98" s="29"/>
    </row>
    <row r="99">
      <c r="A99" s="1"/>
      <c r="B99" s="1" t="str">
        <f>IFERROR(__xludf.DUMMYFUNCTION("""COMPUTED_VALUE"""),"Arménie")</f>
        <v>Arménie</v>
      </c>
      <c r="C99" s="1" t="str">
        <f>IFERROR(__xludf.DUMMYFUNCTION("""COMPUTED_VALUE"""),"454 865")</f>
        <v>454 865</v>
      </c>
      <c r="D99" s="1" t="str">
        <f>IFERROR(__xludf.DUMMYFUNCTION("""COMPUTED_VALUE"""),"8 785")</f>
        <v>8 785</v>
      </c>
      <c r="E99" s="1" t="str">
        <f>IFERROR(__xludf.DUMMYFUNCTION("""COMPUTED_VALUE"""),"3 049")</f>
        <v>3 049</v>
      </c>
      <c r="F99" s="1" t="str">
        <f>IFERROR(__xludf.DUMMYFUNCTION("""COMPUTED_VALUE"""),"2 880 880")</f>
        <v>2 880 880</v>
      </c>
      <c r="I99" s="29"/>
      <c r="J99" s="29"/>
      <c r="K99" s="29"/>
      <c r="L99" s="29"/>
      <c r="M99" s="29"/>
      <c r="N99" s="29"/>
      <c r="O99" s="29"/>
      <c r="P99" s="29"/>
      <c r="Q99" s="29"/>
      <c r="R99" s="29"/>
      <c r="S99" s="29"/>
      <c r="T99" s="29"/>
      <c r="U99" s="29"/>
      <c r="V99" s="29"/>
      <c r="W99" s="29"/>
      <c r="X99" s="29"/>
      <c r="Y99" s="29"/>
      <c r="Z99" s="29"/>
    </row>
    <row r="100">
      <c r="A100" s="1"/>
      <c r="B100" s="1" t="str">
        <f>IFERROR(__xludf.DUMMYFUNCTION("""COMPUTED_VALUE"""),"Bosnie-Herzégovine")</f>
        <v>Bosnie-Herzégovine</v>
      </c>
      <c r="C100" s="1" t="str">
        <f>IFERROR(__xludf.DUMMYFUNCTION("""COMPUTED_VALUE"""),"404 289")</f>
        <v>404 289</v>
      </c>
      <c r="D100" s="1" t="str">
        <f>IFERROR(__xludf.DUMMYFUNCTION("""COMPUTED_VALUE"""),"16 407")</f>
        <v>16 407</v>
      </c>
      <c r="E100" s="1" t="str">
        <f>IFERROR(__xludf.DUMMYFUNCTION("""COMPUTED_VALUE"""),"5 119")</f>
        <v>5 119</v>
      </c>
      <c r="F100" s="1" t="str">
        <f>IFERROR(__xludf.DUMMYFUNCTION("""COMPUTED_VALUE"""),"3 204 802")</f>
        <v>3 204 802</v>
      </c>
      <c r="I100" s="29"/>
      <c r="J100" s="29"/>
      <c r="K100" s="29"/>
      <c r="L100" s="29"/>
      <c r="M100" s="29"/>
      <c r="N100" s="29"/>
      <c r="O100" s="29"/>
      <c r="P100" s="29"/>
      <c r="Q100" s="29"/>
      <c r="R100" s="29"/>
      <c r="S100" s="29"/>
      <c r="T100" s="29"/>
      <c r="U100" s="29"/>
      <c r="V100" s="29"/>
      <c r="W100" s="29"/>
      <c r="X100" s="29"/>
      <c r="Y100" s="29"/>
      <c r="Z100" s="29"/>
    </row>
    <row r="101">
      <c r="A101" s="1"/>
      <c r="B101" s="1" t="str">
        <f>IFERROR(__xludf.DUMMYFUNCTION("""COMPUTED_VALUE"""),"Luxembourg")</f>
        <v>Luxembourg</v>
      </c>
      <c r="C101" s="1" t="str">
        <f>IFERROR(__xludf.DUMMYFUNCTION("""COMPUTED_VALUE"""),"401 013")</f>
        <v>401 013</v>
      </c>
      <c r="D101" s="1" t="str">
        <f>IFERROR(__xludf.DUMMYFUNCTION("""COMPUTED_VALUE"""),"1 000")</f>
        <v>1 000</v>
      </c>
      <c r="E101" s="1" t="str">
        <f>IFERROR(__xludf.DUMMYFUNCTION("""COMPUTED_VALUE"""),"1 530")</f>
        <v>1 530</v>
      </c>
      <c r="F101" s="1" t="str">
        <f>IFERROR(__xludf.DUMMYFUNCTION("""COMPUTED_VALUE"""),"653 315")</f>
        <v>653 315</v>
      </c>
      <c r="I101" s="29"/>
      <c r="J101" s="29"/>
      <c r="K101" s="29"/>
      <c r="L101" s="29"/>
      <c r="M101" s="29"/>
      <c r="N101" s="29"/>
      <c r="O101" s="29"/>
      <c r="P101" s="29"/>
      <c r="Q101" s="29"/>
      <c r="R101" s="29"/>
      <c r="S101" s="29"/>
      <c r="T101" s="29"/>
      <c r="U101" s="29"/>
      <c r="V101" s="29"/>
      <c r="W101" s="29"/>
      <c r="X101" s="29"/>
      <c r="Y101" s="29"/>
      <c r="Z101" s="29"/>
    </row>
    <row r="102">
      <c r="A102" s="1"/>
      <c r="B102" s="1" t="str">
        <f>IFERROR(__xludf.DUMMYFUNCTION("""COMPUTED_VALUE"""),"Oman")</f>
        <v>Oman</v>
      </c>
      <c r="C102" s="1" t="str">
        <f>IFERROR(__xludf.DUMMYFUNCTION("""COMPUTED_VALUE"""),"399 449")</f>
        <v>399 449</v>
      </c>
      <c r="D102" s="1" t="str">
        <f>IFERROR(__xludf.DUMMYFUNCTION("""COMPUTED_VALUE"""),"4 628")</f>
        <v>4 628</v>
      </c>
      <c r="E102" s="1">
        <f>IFERROR(__xludf.DUMMYFUNCTION("""COMPUTED_VALUE"""),978.0)</f>
        <v>978</v>
      </c>
      <c r="F102" s="1" t="str">
        <f>IFERROR(__xludf.DUMMYFUNCTION("""COMPUTED_VALUE"""),"4 730 229")</f>
        <v>4 730 229</v>
      </c>
      <c r="I102" s="29"/>
      <c r="J102" s="29"/>
      <c r="K102" s="29"/>
      <c r="L102" s="29"/>
      <c r="M102" s="29"/>
      <c r="N102" s="29"/>
      <c r="O102" s="29"/>
      <c r="P102" s="29"/>
      <c r="Q102" s="29"/>
      <c r="R102" s="29"/>
      <c r="S102" s="29"/>
      <c r="T102" s="29"/>
      <c r="U102" s="29"/>
      <c r="V102" s="29"/>
      <c r="W102" s="29"/>
      <c r="X102" s="29"/>
      <c r="Y102" s="29"/>
      <c r="Z102" s="29"/>
    </row>
    <row r="103">
      <c r="A103" s="1"/>
      <c r="B103" s="1" t="str">
        <f>IFERROR(__xludf.DUMMYFUNCTION("""COMPUTED_VALUE"""),"Macédoine du Nord")</f>
        <v>Macédoine du Nord</v>
      </c>
      <c r="C103" s="1" t="str">
        <f>IFERROR(__xludf.DUMMYFUNCTION("""COMPUTED_VALUE"""),"352 093")</f>
        <v>352 093</v>
      </c>
      <c r="D103" s="1" t="str">
        <f>IFERROR(__xludf.DUMMYFUNCTION("""COMPUTED_VALUE"""),"9 991")</f>
        <v>9 991</v>
      </c>
      <c r="E103" s="1" t="str">
        <f>IFERROR(__xludf.DUMMYFUNCTION("""COMPUTED_VALUE"""),"5 429")</f>
        <v>5 429</v>
      </c>
      <c r="F103" s="1" t="str">
        <f>IFERROR(__xludf.DUMMYFUNCTION("""COMPUTED_VALUE"""),"1 840 236")</f>
        <v>1 840 236</v>
      </c>
      <c r="I103" s="29"/>
      <c r="J103" s="29"/>
      <c r="K103" s="29"/>
      <c r="L103" s="29"/>
      <c r="M103" s="29"/>
      <c r="N103" s="29"/>
      <c r="O103" s="29"/>
      <c r="P103" s="29"/>
      <c r="Q103" s="29"/>
      <c r="R103" s="29"/>
      <c r="S103" s="29"/>
      <c r="T103" s="29"/>
      <c r="U103" s="29"/>
      <c r="V103" s="29"/>
      <c r="W103" s="29"/>
      <c r="X103" s="29"/>
      <c r="Y103" s="29"/>
      <c r="Z103" s="29"/>
    </row>
    <row r="104">
      <c r="A104" s="1"/>
      <c r="B104" s="1" t="str">
        <f>IFERROR(__xludf.DUMMYFUNCTION("""COMPUTED_VALUE"""),"Brunei")</f>
        <v>Brunei</v>
      </c>
      <c r="C104" s="1" t="str">
        <f>IFERROR(__xludf.DUMMYFUNCTION("""COMPUTED_VALUE"""),"350 550")</f>
        <v>350 550</v>
      </c>
      <c r="D104" s="1">
        <f>IFERROR(__xludf.DUMMYFUNCTION("""COMPUTED_VALUE"""),182.0)</f>
        <v>182</v>
      </c>
      <c r="E104" s="1">
        <f>IFERROR(__xludf.DUMMYFUNCTION("""COMPUTED_VALUE"""),399.0)</f>
        <v>399</v>
      </c>
      <c r="F104" s="1" t="str">
        <f>IFERROR(__xludf.DUMMYFUNCTION("""COMPUTED_VALUE"""),"455 374")</f>
        <v>455 374</v>
      </c>
      <c r="I104" s="29"/>
      <c r="J104" s="29"/>
      <c r="K104" s="29"/>
      <c r="L104" s="29"/>
      <c r="M104" s="29"/>
      <c r="N104" s="29"/>
      <c r="O104" s="29"/>
      <c r="P104" s="29"/>
      <c r="Q104" s="29"/>
      <c r="R104" s="29"/>
      <c r="S104" s="29"/>
      <c r="T104" s="29"/>
      <c r="U104" s="29"/>
      <c r="V104" s="29"/>
      <c r="W104" s="29"/>
      <c r="X104" s="29"/>
      <c r="Y104" s="29"/>
      <c r="Z104" s="29"/>
    </row>
    <row r="105">
      <c r="A105" s="1"/>
      <c r="B105" s="1" t="str">
        <f>IFERROR(__xludf.DUMMYFUNCTION("""COMPUTED_VALUE"""),"Zambie")</f>
        <v>Zambie</v>
      </c>
      <c r="C105" s="1" t="str">
        <f>IFERROR(__xludf.DUMMYFUNCTION("""COMPUTED_VALUE"""),"349 892")</f>
        <v>349 892</v>
      </c>
      <c r="D105" s="1" t="str">
        <f>IFERROR(__xludf.DUMMYFUNCTION("""COMPUTED_VALUE"""),"4 078")</f>
        <v>4 078</v>
      </c>
      <c r="E105" s="1">
        <f>IFERROR(__xludf.DUMMYFUNCTION("""COMPUTED_VALUE"""),202.0)</f>
        <v>202</v>
      </c>
      <c r="F105" s="1" t="str">
        <f>IFERROR(__xludf.DUMMYFUNCTION("""COMPUTED_VALUE"""),"20 152 935")</f>
        <v>20 152 935</v>
      </c>
      <c r="I105" s="29"/>
      <c r="J105" s="29"/>
      <c r="K105" s="29"/>
      <c r="L105" s="29"/>
      <c r="M105" s="29"/>
      <c r="N105" s="29"/>
      <c r="O105" s="29"/>
      <c r="P105" s="29"/>
      <c r="Q105" s="29"/>
      <c r="R105" s="29"/>
      <c r="S105" s="29"/>
      <c r="T105" s="29"/>
      <c r="U105" s="29"/>
      <c r="V105" s="29"/>
      <c r="W105" s="29"/>
      <c r="X105" s="29"/>
      <c r="Y105" s="29"/>
      <c r="Z105" s="29"/>
    </row>
    <row r="106">
      <c r="A106" s="1"/>
      <c r="B106" s="1" t="str">
        <f>IFERROR(__xludf.DUMMYFUNCTION("""COMPUTED_VALUE"""),"Kenya")</f>
        <v>Kenya</v>
      </c>
      <c r="C106" s="1" t="str">
        <f>IFERROR(__xludf.DUMMYFUNCTION("""COMPUTED_VALUE"""),"344 140")</f>
        <v>344 140</v>
      </c>
      <c r="D106" s="1" t="str">
        <f>IFERROR(__xludf.DUMMYFUNCTION("""COMPUTED_VALUE"""),"5 689")</f>
        <v>5 689</v>
      </c>
      <c r="E106" s="1">
        <f>IFERROR(__xludf.DUMMYFUNCTION("""COMPUTED_VALUE"""),104.0)</f>
        <v>104</v>
      </c>
      <c r="F106" s="1" t="str">
        <f>IFERROR(__xludf.DUMMYFUNCTION("""COMPUTED_VALUE"""),"54 252 458")</f>
        <v>54 252 458</v>
      </c>
      <c r="I106" s="29"/>
      <c r="J106" s="29"/>
      <c r="K106" s="29"/>
      <c r="L106" s="29"/>
      <c r="M106" s="29"/>
      <c r="N106" s="29"/>
      <c r="O106" s="29"/>
      <c r="P106" s="29"/>
      <c r="Q106" s="29"/>
      <c r="R106" s="29"/>
      <c r="S106" s="29"/>
      <c r="T106" s="29"/>
      <c r="U106" s="29"/>
      <c r="V106" s="29"/>
      <c r="W106" s="29"/>
      <c r="X106" s="29"/>
      <c r="Y106" s="29"/>
      <c r="Z106" s="29"/>
    </row>
    <row r="107">
      <c r="A107" s="1"/>
      <c r="B107" s="1" t="str">
        <f>IFERROR(__xludf.DUMMYFUNCTION("""COMPUTED_VALUE"""),"Albanie")</f>
        <v>Albanie</v>
      </c>
      <c r="C107" s="1" t="str">
        <f>IFERROR(__xludf.DUMMYFUNCTION("""COMPUTED_VALUE"""),"337 234")</f>
        <v>337 234</v>
      </c>
      <c r="D107" s="1" t="str">
        <f>IFERROR(__xludf.DUMMYFUNCTION("""COMPUTED_VALUE"""),"3 608")</f>
        <v>3 608</v>
      </c>
      <c r="E107" s="1" t="str">
        <f>IFERROR(__xludf.DUMMYFUNCTION("""COMPUTED_VALUE"""),"1 275")</f>
        <v>1 275</v>
      </c>
      <c r="F107" s="1" t="str">
        <f>IFERROR(__xludf.DUMMYFUNCTION("""COMPUTED_VALUE"""),"2 827 614")</f>
        <v>2 827 614</v>
      </c>
      <c r="I107" s="29"/>
      <c r="J107" s="29"/>
      <c r="K107" s="29"/>
      <c r="L107" s="29"/>
      <c r="M107" s="29"/>
      <c r="N107" s="29"/>
      <c r="O107" s="29"/>
      <c r="P107" s="29"/>
      <c r="Q107" s="29"/>
      <c r="R107" s="29"/>
      <c r="S107" s="29"/>
      <c r="T107" s="29"/>
      <c r="U107" s="29"/>
      <c r="V107" s="29"/>
      <c r="W107" s="29"/>
      <c r="X107" s="29"/>
      <c r="Y107" s="29"/>
      <c r="Z107" s="29"/>
    </row>
    <row r="108">
      <c r="A108" s="1"/>
      <c r="B108" s="1" t="str">
        <f>IFERROR(__xludf.DUMMYFUNCTION("""COMPUTED_VALUE"""),"Maurice")</f>
        <v>Maurice</v>
      </c>
      <c r="C108" s="1" t="str">
        <f>IFERROR(__xludf.DUMMYFUNCTION("""COMPUTED_VALUE"""),"332 105")</f>
        <v>332 105</v>
      </c>
      <c r="D108" s="1" t="str">
        <f>IFERROR(__xludf.DUMMYFUNCTION("""COMPUTED_VALUE"""),"1 074")</f>
        <v>1 074</v>
      </c>
      <c r="E108" s="1">
        <f>IFERROR(__xludf.DUMMYFUNCTION("""COMPUTED_VALUE"""),841.0)</f>
        <v>841</v>
      </c>
      <c r="F108" s="1" t="str">
        <f>IFERROR(__xludf.DUMMYFUNCTION("""COMPUTED_VALUE"""),"1 276 134")</f>
        <v>1 276 134</v>
      </c>
      <c r="I108" s="29"/>
      <c r="J108" s="29"/>
      <c r="K108" s="29"/>
      <c r="L108" s="29"/>
      <c r="M108" s="29"/>
      <c r="N108" s="29"/>
      <c r="O108" s="29"/>
      <c r="P108" s="29"/>
      <c r="Q108" s="29"/>
      <c r="R108" s="29"/>
      <c r="S108" s="29"/>
      <c r="T108" s="29"/>
      <c r="U108" s="29"/>
      <c r="V108" s="29"/>
      <c r="W108" s="29"/>
      <c r="X108" s="29"/>
      <c r="Y108" s="29"/>
      <c r="Z108" s="29"/>
    </row>
    <row r="109">
      <c r="A109" s="1"/>
      <c r="B109" s="1" t="str">
        <f>IFERROR(__xludf.DUMMYFUNCTION("""COMPUTED_VALUE"""),"Botswana")</f>
        <v>Botswana</v>
      </c>
      <c r="C109" s="1" t="str">
        <f>IFERROR(__xludf.DUMMYFUNCTION("""COMPUTED_VALUE"""),"330 699")</f>
        <v>330 699</v>
      </c>
      <c r="D109" s="1" t="str">
        <f>IFERROR(__xludf.DUMMYFUNCTION("""COMPUTED_VALUE"""),"2 801")</f>
        <v>2 801</v>
      </c>
      <c r="E109" s="1" t="str">
        <f>IFERROR(__xludf.DUMMYFUNCTION("""COMPUTED_VALUE"""),"1 148")</f>
        <v>1 148</v>
      </c>
      <c r="F109" s="1" t="str">
        <f>IFERROR(__xludf.DUMMYFUNCTION("""COMPUTED_VALUE"""),"2 439 895")</f>
        <v>2 439 895</v>
      </c>
      <c r="I109" s="29"/>
      <c r="J109" s="29"/>
      <c r="K109" s="29"/>
      <c r="L109" s="29"/>
      <c r="M109" s="29"/>
      <c r="N109" s="29"/>
      <c r="O109" s="29"/>
      <c r="P109" s="29"/>
      <c r="Q109" s="29"/>
      <c r="R109" s="29"/>
      <c r="S109" s="29"/>
      <c r="T109" s="29"/>
      <c r="U109" s="29"/>
      <c r="V109" s="29"/>
      <c r="W109" s="29"/>
      <c r="X109" s="29"/>
      <c r="Y109" s="29"/>
      <c r="Z109" s="29"/>
    </row>
    <row r="110">
      <c r="A110" s="1"/>
      <c r="B110" s="1" t="str">
        <f>IFERROR(__xludf.DUMMYFUNCTION("""COMPUTED_VALUE"""),"Kosovo")</f>
        <v>Kosovo</v>
      </c>
      <c r="C110" s="1" t="str">
        <f>IFERROR(__xludf.DUMMYFUNCTION("""COMPUTED_VALUE"""),"274 279")</f>
        <v>274 279</v>
      </c>
      <c r="D110" s="1" t="str">
        <f>IFERROR(__xludf.DUMMYFUNCTION("""COMPUTED_VALUE"""),"3 212")</f>
        <v>3 212</v>
      </c>
      <c r="E110" s="1" t="str">
        <f>IFERROR(__xludf.DUMMYFUNCTION("""COMPUTED_VALUE"""),"1 869")</f>
        <v>1 869</v>
      </c>
      <c r="F110" s="1" t="str">
        <f>IFERROR(__xludf.DUMMYFUNCTION("""COMPUTED_VALUE"""),"1 717 950")</f>
        <v>1 717 950</v>
      </c>
      <c r="I110" s="29"/>
      <c r="J110" s="29"/>
      <c r="K110" s="29"/>
      <c r="L110" s="29"/>
      <c r="M110" s="29"/>
      <c r="N110" s="29"/>
      <c r="O110" s="29"/>
      <c r="P110" s="29"/>
      <c r="Q110" s="29"/>
      <c r="R110" s="29"/>
      <c r="S110" s="29"/>
      <c r="T110" s="29"/>
      <c r="U110" s="29"/>
      <c r="V110" s="29"/>
      <c r="W110" s="29"/>
      <c r="X110" s="29"/>
      <c r="Y110" s="29"/>
      <c r="Z110" s="29"/>
    </row>
    <row r="111">
      <c r="A111" s="1"/>
      <c r="B111" s="1" t="str">
        <f>IFERROR(__xludf.DUMMYFUNCTION("""COMPUTED_VALUE"""),"Algérie")</f>
        <v>Algérie</v>
      </c>
      <c r="C111" s="1" t="str">
        <f>IFERROR(__xludf.DUMMYFUNCTION("""COMPUTED_VALUE"""),"272 435")</f>
        <v>272 435</v>
      </c>
      <c r="D111" s="1" t="str">
        <f>IFERROR(__xludf.DUMMYFUNCTION("""COMPUTED_VALUE"""),"6 881")</f>
        <v>6 881</v>
      </c>
      <c r="E111" s="1">
        <f>IFERROR(__xludf.DUMMYFUNCTION("""COMPUTED_VALUE"""),151.0)</f>
        <v>151</v>
      </c>
      <c r="F111" s="1" t="str">
        <f>IFERROR(__xludf.DUMMYFUNCTION("""COMPUTED_VALUE"""),"45 477 391")</f>
        <v>45 477 391</v>
      </c>
      <c r="I111" s="29"/>
      <c r="J111" s="29"/>
      <c r="K111" s="29"/>
      <c r="L111" s="29"/>
      <c r="M111" s="29"/>
      <c r="N111" s="29"/>
      <c r="O111" s="29"/>
      <c r="P111" s="29"/>
      <c r="Q111" s="29"/>
      <c r="R111" s="29"/>
      <c r="S111" s="29"/>
      <c r="T111" s="29"/>
      <c r="U111" s="29"/>
      <c r="V111" s="29"/>
      <c r="W111" s="29"/>
      <c r="X111" s="29"/>
      <c r="Y111" s="29"/>
      <c r="Z111" s="29"/>
    </row>
    <row r="112">
      <c r="A112" s="1"/>
      <c r="B112" s="1" t="str">
        <f>IFERROR(__xludf.DUMMYFUNCTION("""COMPUTED_VALUE"""),"Nigeria")</f>
        <v>Nigeria</v>
      </c>
      <c r="C112" s="1" t="str">
        <f>IFERROR(__xludf.DUMMYFUNCTION("""COMPUTED_VALUE"""),"267 229")</f>
        <v>267 229</v>
      </c>
      <c r="D112" s="1" t="str">
        <f>IFERROR(__xludf.DUMMYFUNCTION("""COMPUTED_VALUE"""),"3 155")</f>
        <v>3 155</v>
      </c>
      <c r="E112" s="1">
        <f>IFERROR(__xludf.DUMMYFUNCTION("""COMPUTED_VALUE"""),14.0)</f>
        <v>14</v>
      </c>
      <c r="F112" s="1" t="str">
        <f>IFERROR(__xludf.DUMMYFUNCTION("""COMPUTED_VALUE"""),"223 150 906")</f>
        <v>223 150 906</v>
      </c>
      <c r="I112" s="29"/>
      <c r="J112" s="29"/>
      <c r="K112" s="29"/>
      <c r="L112" s="29"/>
      <c r="M112" s="29"/>
      <c r="N112" s="29"/>
      <c r="O112" s="29"/>
      <c r="P112" s="29"/>
      <c r="Q112" s="29"/>
      <c r="R112" s="29"/>
      <c r="S112" s="29"/>
      <c r="T112" s="29"/>
      <c r="U112" s="29"/>
      <c r="V112" s="29"/>
      <c r="W112" s="29"/>
      <c r="X112" s="29"/>
      <c r="Y112" s="29"/>
      <c r="Z112" s="29"/>
    </row>
    <row r="113">
      <c r="A113" s="1"/>
      <c r="B113" s="1" t="str">
        <f>IFERROR(__xludf.DUMMYFUNCTION("""COMPUTED_VALUE"""),"Zimbabwe")</f>
        <v>Zimbabwe</v>
      </c>
      <c r="C113" s="1" t="str">
        <f>IFERROR(__xludf.DUMMYFUNCTION("""COMPUTED_VALUE"""),"266 436")</f>
        <v>266 436</v>
      </c>
      <c r="D113" s="1" t="str">
        <f>IFERROR(__xludf.DUMMYFUNCTION("""COMPUTED_VALUE"""),"5 740")</f>
        <v>5 740</v>
      </c>
      <c r="E113" s="1">
        <f>IFERROR(__xludf.DUMMYFUNCTION("""COMPUTED_VALUE"""),357.0)</f>
        <v>357</v>
      </c>
      <c r="F113" s="1" t="str">
        <f>IFERROR(__xludf.DUMMYFUNCTION("""COMPUTED_VALUE"""),"16 069 061")</f>
        <v>16 069 061</v>
      </c>
      <c r="I113" s="29"/>
      <c r="J113" s="29"/>
      <c r="K113" s="29"/>
      <c r="L113" s="29"/>
      <c r="M113" s="29"/>
      <c r="N113" s="29"/>
      <c r="O113" s="29"/>
      <c r="P113" s="29"/>
      <c r="Q113" s="29"/>
      <c r="R113" s="29"/>
      <c r="S113" s="29"/>
      <c r="T113" s="29"/>
      <c r="U113" s="29"/>
      <c r="V113" s="29"/>
      <c r="W113" s="29"/>
      <c r="X113" s="29"/>
      <c r="Y113" s="29"/>
      <c r="Z113" s="29"/>
    </row>
    <row r="114">
      <c r="A114" s="1"/>
      <c r="B114" s="1" t="str">
        <f>IFERROR(__xludf.DUMMYFUNCTION("""COMPUTED_VALUE"""),"Monténégro")</f>
        <v>Monténégro</v>
      </c>
      <c r="C114" s="1" t="str">
        <f>IFERROR(__xludf.DUMMYFUNCTION("""COMPUTED_VALUE"""),"251 280")</f>
        <v>251 280</v>
      </c>
      <c r="D114" s="1" t="str">
        <f>IFERROR(__xludf.DUMMYFUNCTION("""COMPUTED_VALUE"""),"2 654")</f>
        <v>2 654</v>
      </c>
      <c r="E114" s="1" t="str">
        <f>IFERROR(__xludf.DUMMYFUNCTION("""COMPUTED_VALUE"""),"4 317")</f>
        <v>4 317</v>
      </c>
      <c r="F114" s="1" t="str">
        <f>IFERROR(__xludf.DUMMYFUNCTION("""COMPUTED_VALUE"""),"614 649")</f>
        <v>614 649</v>
      </c>
      <c r="I114" s="29"/>
      <c r="J114" s="29"/>
      <c r="K114" s="29"/>
      <c r="L114" s="29"/>
      <c r="M114" s="29"/>
      <c r="N114" s="29"/>
      <c r="O114" s="29"/>
      <c r="P114" s="29"/>
      <c r="Q114" s="29"/>
      <c r="R114" s="29"/>
      <c r="S114" s="29"/>
      <c r="T114" s="29"/>
      <c r="U114" s="29"/>
      <c r="V114" s="29"/>
      <c r="W114" s="29"/>
      <c r="X114" s="29"/>
      <c r="Y114" s="29"/>
      <c r="Z114" s="29"/>
    </row>
    <row r="115">
      <c r="A115" s="1"/>
      <c r="B115" s="1" t="str">
        <f>IFERROR(__xludf.DUMMYFUNCTION("""COMPUTED_VALUE"""),"Afghanistan")</f>
        <v>Afghanistan</v>
      </c>
      <c r="C115" s="1" t="str">
        <f>IFERROR(__xludf.DUMMYFUNCTION("""COMPUTED_VALUE"""),"235 214")</f>
        <v>235 214</v>
      </c>
      <c r="D115" s="1" t="str">
        <f>IFERROR(__xludf.DUMMYFUNCTION("""COMPUTED_VALUE"""),"7 998")</f>
        <v>7 998</v>
      </c>
      <c r="E115" s="1">
        <f>IFERROR(__xludf.DUMMYFUNCTION("""COMPUTED_VALUE"""),197.0)</f>
        <v>197</v>
      </c>
      <c r="F115" s="1" t="str">
        <f>IFERROR(__xludf.DUMMYFUNCTION("""COMPUTED_VALUE"""),"40 578 847")</f>
        <v>40 578 847</v>
      </c>
      <c r="I115" s="29"/>
      <c r="J115" s="29"/>
      <c r="K115" s="29"/>
      <c r="L115" s="29"/>
      <c r="M115" s="29"/>
      <c r="N115" s="29"/>
      <c r="O115" s="29"/>
      <c r="P115" s="29"/>
      <c r="Q115" s="29"/>
      <c r="R115" s="29"/>
      <c r="S115" s="29"/>
      <c r="T115" s="29"/>
      <c r="U115" s="29"/>
      <c r="V115" s="29"/>
      <c r="W115" s="29"/>
      <c r="X115" s="29"/>
      <c r="Y115" s="29"/>
      <c r="Z115" s="29"/>
    </row>
    <row r="116">
      <c r="A116" s="1"/>
      <c r="B116" s="1" t="str">
        <f>IFERROR(__xludf.DUMMYFUNCTION("""COMPUTED_VALUE"""),"Mozambique")</f>
        <v>Mozambique</v>
      </c>
      <c r="C116" s="1" t="str">
        <f>IFERROR(__xludf.DUMMYFUNCTION("""COMPUTED_VALUE"""),"233 927")</f>
        <v>233 927</v>
      </c>
      <c r="D116" s="1" t="str">
        <f>IFERROR(__xludf.DUMMYFUNCTION("""COMPUTED_VALUE"""),"2 252")</f>
        <v>2 252</v>
      </c>
      <c r="E116" s="1">
        <f>IFERROR(__xludf.DUMMYFUNCTION("""COMPUTED_VALUE"""),68.0)</f>
        <v>68</v>
      </c>
      <c r="F116" s="1" t="str">
        <f>IFERROR(__xludf.DUMMYFUNCTION("""COMPUTED_VALUE"""),"32 656 242")</f>
        <v>32 656 242</v>
      </c>
      <c r="I116" s="29"/>
      <c r="J116" s="29"/>
      <c r="K116" s="29"/>
      <c r="L116" s="29"/>
      <c r="M116" s="29"/>
      <c r="N116" s="29"/>
      <c r="O116" s="29"/>
      <c r="P116" s="29"/>
      <c r="Q116" s="29"/>
      <c r="R116" s="29"/>
      <c r="S116" s="29"/>
      <c r="T116" s="29"/>
      <c r="U116" s="29"/>
      <c r="V116" s="29"/>
      <c r="W116" s="29"/>
      <c r="X116" s="29"/>
      <c r="Y116" s="29"/>
      <c r="Z116" s="29"/>
    </row>
    <row r="117">
      <c r="A117" s="1"/>
      <c r="B117" s="1" t="str">
        <f>IFERROR(__xludf.DUMMYFUNCTION("""COMPUTED_VALUE"""),"Martinique")</f>
        <v>Martinique</v>
      </c>
      <c r="C117" s="1" t="str">
        <f>IFERROR(__xludf.DUMMYFUNCTION("""COMPUTED_VALUE"""),"230 354")</f>
        <v>230 354</v>
      </c>
      <c r="D117" s="1" t="str">
        <f>IFERROR(__xludf.DUMMYFUNCTION("""COMPUTED_VALUE"""),"1 104")</f>
        <v>1 104</v>
      </c>
      <c r="E117" s="1" t="str">
        <f>IFERROR(__xludf.DUMMYFUNCTION("""COMPUTED_VALUE"""),"3 159")</f>
        <v>3 159</v>
      </c>
      <c r="F117" s="1" t="str">
        <f>IFERROR(__xludf.DUMMYFUNCTION("""COMPUTED_VALUE"""),"349 462")</f>
        <v>349 462</v>
      </c>
      <c r="I117" s="29"/>
      <c r="J117" s="29"/>
      <c r="K117" s="29"/>
      <c r="L117" s="29"/>
      <c r="M117" s="29"/>
      <c r="N117" s="29"/>
      <c r="O117" s="29"/>
      <c r="P117" s="29"/>
      <c r="Q117" s="29"/>
      <c r="R117" s="29"/>
      <c r="S117" s="29"/>
      <c r="T117" s="29"/>
      <c r="U117" s="29"/>
      <c r="V117" s="29"/>
      <c r="W117" s="29"/>
      <c r="X117" s="29"/>
      <c r="Y117" s="29"/>
      <c r="Z117" s="29"/>
    </row>
    <row r="118">
      <c r="A118" s="1"/>
      <c r="B118" s="1" t="str">
        <f>IFERROR(__xludf.DUMMYFUNCTION("""COMPUTED_VALUE"""),"Laos")</f>
        <v>Laos</v>
      </c>
      <c r="C118" s="1" t="str">
        <f>IFERROR(__xludf.DUMMYFUNCTION("""COMPUTED_VALUE"""),"219 060")</f>
        <v>219 060</v>
      </c>
      <c r="D118" s="1">
        <f>IFERROR(__xludf.DUMMYFUNCTION("""COMPUTED_VALUE"""),671.0)</f>
        <v>671</v>
      </c>
      <c r="E118" s="1">
        <f>IFERROR(__xludf.DUMMYFUNCTION("""COMPUTED_VALUE"""),88.0)</f>
        <v>88</v>
      </c>
      <c r="F118" s="1" t="str">
        <f>IFERROR(__xludf.DUMMYFUNCTION("""COMPUTED_VALUE"""),"7 559 008")</f>
        <v>7 559 008</v>
      </c>
      <c r="I118" s="29"/>
      <c r="J118" s="29"/>
      <c r="K118" s="29"/>
      <c r="L118" s="29"/>
      <c r="M118" s="29"/>
      <c r="N118" s="29"/>
      <c r="O118" s="29"/>
      <c r="P118" s="29"/>
      <c r="Q118" s="29"/>
      <c r="R118" s="29"/>
      <c r="S118" s="29"/>
      <c r="T118" s="29"/>
      <c r="U118" s="29"/>
      <c r="V118" s="29"/>
      <c r="W118" s="29"/>
      <c r="X118" s="29"/>
      <c r="Y118" s="29"/>
      <c r="Z118" s="29"/>
    </row>
    <row r="119">
      <c r="A119" s="1"/>
      <c r="B119" s="1" t="str">
        <f>IFERROR(__xludf.DUMMYFUNCTION("""COMPUTED_VALUE"""),"Islande")</f>
        <v>Islande</v>
      </c>
      <c r="C119" s="1" t="str">
        <f>IFERROR(__xludf.DUMMYFUNCTION("""COMPUTED_VALUE"""),"211 179")</f>
        <v>211 179</v>
      </c>
      <c r="D119" s="1">
        <f>IFERROR(__xludf.DUMMYFUNCTION("""COMPUTED_VALUE"""),186.0)</f>
        <v>186</v>
      </c>
      <c r="E119" s="1">
        <f>IFERROR(__xludf.DUMMYFUNCTION("""COMPUTED_VALUE"""),489.0)</f>
        <v>489</v>
      </c>
      <c r="F119" s="1" t="str">
        <f>IFERROR(__xludf.DUMMYFUNCTION("""COMPUTED_VALUE"""),"380 368")</f>
        <v>380 368</v>
      </c>
      <c r="I119" s="29"/>
      <c r="J119" s="29"/>
      <c r="K119" s="29"/>
      <c r="L119" s="29"/>
      <c r="M119" s="29"/>
      <c r="N119" s="29"/>
      <c r="O119" s="29"/>
      <c r="P119" s="29"/>
      <c r="Q119" s="29"/>
      <c r="R119" s="29"/>
      <c r="S119" s="29"/>
      <c r="T119" s="29"/>
      <c r="U119" s="29"/>
      <c r="V119" s="29"/>
      <c r="W119" s="29"/>
      <c r="X119" s="29"/>
      <c r="Y119" s="29"/>
      <c r="Z119" s="29"/>
    </row>
    <row r="120">
      <c r="A120" s="1"/>
      <c r="B120" s="1" t="str">
        <f>IFERROR(__xludf.DUMMYFUNCTION("""COMPUTED_VALUE"""),"Guadeloupe")</f>
        <v>Guadeloupe</v>
      </c>
      <c r="C120" s="1" t="str">
        <f>IFERROR(__xludf.DUMMYFUNCTION("""COMPUTED_VALUE"""),"203 235")</f>
        <v>203 235</v>
      </c>
      <c r="D120" s="1" t="str">
        <f>IFERROR(__xludf.DUMMYFUNCTION("""COMPUTED_VALUE"""),"1 021")</f>
        <v>1 021</v>
      </c>
      <c r="E120" s="1" t="str">
        <f>IFERROR(__xludf.DUMMYFUNCTION("""COMPUTED_VALUE"""),"2 654")</f>
        <v>2 654</v>
      </c>
      <c r="F120" s="1" t="str">
        <f>IFERROR(__xludf.DUMMYFUNCTION("""COMPUTED_VALUE"""),"384 702")</f>
        <v>384 702</v>
      </c>
      <c r="I120" s="29"/>
      <c r="J120" s="29"/>
      <c r="K120" s="29"/>
      <c r="L120" s="29"/>
      <c r="M120" s="29"/>
      <c r="N120" s="29"/>
      <c r="O120" s="29"/>
      <c r="P120" s="29"/>
      <c r="Q120" s="29"/>
      <c r="R120" s="29"/>
      <c r="S120" s="29"/>
      <c r="T120" s="29"/>
      <c r="U120" s="29"/>
      <c r="V120" s="29"/>
      <c r="W120" s="29"/>
      <c r="X120" s="29"/>
      <c r="Y120" s="29"/>
      <c r="Z120" s="29"/>
    </row>
    <row r="121">
      <c r="A121" s="1"/>
      <c r="B121" s="1" t="str">
        <f>IFERROR(__xludf.DUMMYFUNCTION("""COMPUTED_VALUE"""),"Salvador")</f>
        <v>Salvador</v>
      </c>
      <c r="C121" s="1" t="str">
        <f>IFERROR(__xludf.DUMMYFUNCTION("""COMPUTED_VALUE"""),"202 066")</f>
        <v>202 066</v>
      </c>
      <c r="D121" s="1" t="str">
        <f>IFERROR(__xludf.DUMMYFUNCTION("""COMPUTED_VALUE"""),"4 230")</f>
        <v>4 230</v>
      </c>
      <c r="E121" s="1">
        <f>IFERROR(__xludf.DUMMYFUNCTION("""COMPUTED_VALUE"""),673.0)</f>
        <v>673</v>
      </c>
      <c r="F121" s="1" t="str">
        <f>IFERROR(__xludf.DUMMYFUNCTION("""COMPUTED_VALUE"""),"6 280 316")</f>
        <v>6 280 316</v>
      </c>
      <c r="I121" s="29"/>
      <c r="J121" s="29"/>
      <c r="K121" s="29"/>
      <c r="L121" s="29"/>
      <c r="M121" s="29"/>
      <c r="N121" s="29"/>
      <c r="O121" s="29"/>
      <c r="P121" s="29"/>
      <c r="Q121" s="29"/>
      <c r="R121" s="29"/>
      <c r="S121" s="29"/>
      <c r="T121" s="29"/>
      <c r="U121" s="29"/>
      <c r="V121" s="29"/>
      <c r="W121" s="29"/>
      <c r="X121" s="29"/>
      <c r="Y121" s="29"/>
      <c r="Z121" s="29"/>
    </row>
    <row r="122">
      <c r="A122" s="1"/>
      <c r="B122" s="1" t="str">
        <f>IFERROR(__xludf.DUMMYFUNCTION("""COMPUTED_VALUE"""),"Trinité-et-Tobago")</f>
        <v>Trinité-et-Tobago</v>
      </c>
      <c r="C122" s="1" t="str">
        <f>IFERROR(__xludf.DUMMYFUNCTION("""COMPUTED_VALUE"""),"191 496")</f>
        <v>191 496</v>
      </c>
      <c r="D122" s="1" t="str">
        <f>IFERROR(__xludf.DUMMYFUNCTION("""COMPUTED_VALUE"""),"4 390")</f>
        <v>4 390</v>
      </c>
      <c r="E122" s="1" t="str">
        <f>IFERROR(__xludf.DUMMYFUNCTION("""COMPUTED_VALUE"""),"2 934")</f>
        <v>2 934</v>
      </c>
      <c r="F122" s="1" t="str">
        <f>IFERROR(__xludf.DUMMYFUNCTION("""COMPUTED_VALUE"""),"1 495 923")</f>
        <v>1 495 923</v>
      </c>
      <c r="I122" s="29"/>
      <c r="J122" s="29"/>
      <c r="K122" s="29"/>
      <c r="L122" s="29"/>
      <c r="M122" s="29"/>
      <c r="N122" s="29"/>
      <c r="O122" s="29"/>
      <c r="P122" s="29"/>
      <c r="Q122" s="29"/>
      <c r="R122" s="29"/>
      <c r="S122" s="29"/>
      <c r="T122" s="29"/>
      <c r="U122" s="29"/>
      <c r="V122" s="29"/>
      <c r="W122" s="29"/>
      <c r="X122" s="29"/>
      <c r="Y122" s="29"/>
      <c r="Z122" s="29"/>
    </row>
    <row r="123">
      <c r="A123" s="1"/>
      <c r="B123" s="1" t="str">
        <f>IFERROR(__xludf.DUMMYFUNCTION("""COMPUTED_VALUE"""),"Maldives")</f>
        <v>Maldives</v>
      </c>
      <c r="C123" s="1" t="str">
        <f>IFERROR(__xludf.DUMMYFUNCTION("""COMPUTED_VALUE"""),"186 694")</f>
        <v>186 694</v>
      </c>
      <c r="D123" s="1">
        <f>IFERROR(__xludf.DUMMYFUNCTION("""COMPUTED_VALUE"""),316.0)</f>
        <v>316</v>
      </c>
      <c r="E123" s="1">
        <f>IFERROR(__xludf.DUMMYFUNCTION("""COMPUTED_VALUE"""),602.0)</f>
        <v>602</v>
      </c>
      <c r="F123" s="1" t="str">
        <f>IFERROR(__xludf.DUMMYFUNCTION("""COMPUTED_VALUE"""),"524 116")</f>
        <v>524 116</v>
      </c>
      <c r="I123" s="29"/>
      <c r="J123" s="29"/>
      <c r="K123" s="29"/>
      <c r="L123" s="29"/>
      <c r="M123" s="29"/>
      <c r="N123" s="29"/>
      <c r="O123" s="29"/>
      <c r="P123" s="29"/>
      <c r="Q123" s="29"/>
      <c r="R123" s="29"/>
      <c r="S123" s="29"/>
      <c r="T123" s="29"/>
      <c r="U123" s="29"/>
      <c r="V123" s="29"/>
      <c r="W123" s="29"/>
      <c r="X123" s="29"/>
      <c r="Y123" s="29"/>
      <c r="Z123" s="29"/>
    </row>
    <row r="124">
      <c r="A124" s="1"/>
      <c r="B124" s="1" t="str">
        <f>IFERROR(__xludf.DUMMYFUNCTION("""COMPUTED_VALUE"""),"Ouzbékistan")</f>
        <v>Ouzbékistan</v>
      </c>
      <c r="C124" s="1" t="str">
        <f>IFERROR(__xludf.DUMMYFUNCTION("""COMPUTED_VALUE"""),"175 158")</f>
        <v>175 158</v>
      </c>
      <c r="D124" s="1" t="str">
        <f>IFERROR(__xludf.DUMMYFUNCTION("""COMPUTED_VALUE"""),"1 016")</f>
        <v>1 016</v>
      </c>
      <c r="E124" s="1">
        <f>IFERROR(__xludf.DUMMYFUNCTION("""COMPUTED_VALUE"""),29.0)</f>
        <v>29</v>
      </c>
      <c r="F124" s="1" t="str">
        <f>IFERROR(__xludf.DUMMYFUNCTION("""COMPUTED_VALUE"""),"34 938 953")</f>
        <v>34 938 953</v>
      </c>
      <c r="I124" s="29"/>
      <c r="J124" s="29"/>
      <c r="K124" s="29"/>
      <c r="L124" s="29"/>
      <c r="M124" s="29"/>
      <c r="N124" s="29"/>
      <c r="O124" s="29"/>
      <c r="P124" s="29"/>
      <c r="Q124" s="29"/>
      <c r="R124" s="29"/>
      <c r="S124" s="29"/>
      <c r="T124" s="29"/>
      <c r="U124" s="29"/>
      <c r="V124" s="29"/>
      <c r="W124" s="29"/>
      <c r="X124" s="29"/>
      <c r="Y124" s="29"/>
      <c r="Z124" s="29"/>
    </row>
    <row r="125">
      <c r="A125" s="1"/>
      <c r="B125" s="1" t="str">
        <f>IFERROR(__xludf.DUMMYFUNCTION("""COMPUTED_VALUE"""),"Ghana")</f>
        <v>Ghana</v>
      </c>
      <c r="C125" s="1" t="str">
        <f>IFERROR(__xludf.DUMMYFUNCTION("""COMPUTED_VALUE"""),"172 779")</f>
        <v>172 779</v>
      </c>
      <c r="D125" s="1" t="str">
        <f>IFERROR(__xludf.DUMMYFUNCTION("""COMPUTED_VALUE"""),"1 463")</f>
        <v>1 463</v>
      </c>
      <c r="E125" s="1">
        <f>IFERROR(__xludf.DUMMYFUNCTION("""COMPUTED_VALUE"""),44.0)</f>
        <v>44</v>
      </c>
      <c r="F125" s="1" t="str">
        <f>IFERROR(__xludf.DUMMYFUNCTION("""COMPUTED_VALUE"""),"33 149 152")</f>
        <v>33 149 152</v>
      </c>
      <c r="I125" s="29"/>
      <c r="J125" s="29"/>
      <c r="K125" s="29"/>
      <c r="L125" s="29"/>
      <c r="M125" s="29"/>
      <c r="N125" s="29"/>
      <c r="O125" s="29"/>
      <c r="P125" s="29"/>
      <c r="Q125" s="29"/>
      <c r="R125" s="29"/>
      <c r="S125" s="29"/>
      <c r="T125" s="29"/>
      <c r="U125" s="29"/>
      <c r="V125" s="29"/>
      <c r="W125" s="29"/>
      <c r="X125" s="29"/>
      <c r="Y125" s="29"/>
      <c r="Z125" s="29"/>
    </row>
    <row r="126">
      <c r="A126" s="1"/>
      <c r="B126" s="1" t="str">
        <f>IFERROR(__xludf.DUMMYFUNCTION("""COMPUTED_VALUE"""),"Namibie")</f>
        <v>Namibie</v>
      </c>
      <c r="C126" s="1" t="str">
        <f>IFERROR(__xludf.DUMMYFUNCTION("""COMPUTED_VALUE"""),"172 557")</f>
        <v>172 557</v>
      </c>
      <c r="D126" s="1" t="str">
        <f>IFERROR(__xludf.DUMMYFUNCTION("""COMPUTED_VALUE"""),"4 110")</f>
        <v>4 110</v>
      </c>
      <c r="E126" s="1" t="str">
        <f>IFERROR(__xludf.DUMMYFUNCTION("""COMPUTED_VALUE"""),"1 422")</f>
        <v>1 422</v>
      </c>
      <c r="F126" s="1" t="str">
        <f>IFERROR(__xludf.DUMMYFUNCTION("""COMPUTED_VALUE"""),"2 889 668")</f>
        <v>2 889 668</v>
      </c>
      <c r="I126" s="29"/>
      <c r="J126" s="29"/>
      <c r="K126" s="29"/>
      <c r="L126" s="29"/>
      <c r="M126" s="29"/>
      <c r="N126" s="29"/>
      <c r="O126" s="29"/>
      <c r="P126" s="29"/>
      <c r="Q126" s="29"/>
      <c r="R126" s="29"/>
      <c r="S126" s="29"/>
      <c r="T126" s="29"/>
      <c r="U126" s="29"/>
      <c r="V126" s="29"/>
      <c r="W126" s="29"/>
      <c r="X126" s="29"/>
      <c r="Y126" s="29"/>
      <c r="Z126" s="29"/>
    </row>
    <row r="127">
      <c r="A127" s="1"/>
      <c r="B127" s="1" t="str">
        <f>IFERROR(__xludf.DUMMYFUNCTION("""COMPUTED_VALUE"""),"Ouganda")</f>
        <v>Ouganda</v>
      </c>
      <c r="C127" s="1" t="str">
        <f>IFERROR(__xludf.DUMMYFUNCTION("""COMPUTED_VALUE"""),"172 222")</f>
        <v>172 222</v>
      </c>
      <c r="D127" s="1" t="str">
        <f>IFERROR(__xludf.DUMMYFUNCTION("""COMPUTED_VALUE"""),"3 632")</f>
        <v>3 632</v>
      </c>
      <c r="E127" s="1">
        <f>IFERROR(__xludf.DUMMYFUNCTION("""COMPUTED_VALUE"""),76.0)</f>
        <v>76</v>
      </c>
      <c r="F127" s="1" t="str">
        <f>IFERROR(__xludf.DUMMYFUNCTION("""COMPUTED_VALUE"""),"47 312 718")</f>
        <v>47 312 718</v>
      </c>
      <c r="I127" s="29"/>
      <c r="J127" s="29"/>
      <c r="K127" s="29"/>
      <c r="L127" s="29"/>
      <c r="M127" s="29"/>
      <c r="N127" s="29"/>
      <c r="O127" s="29"/>
      <c r="P127" s="29"/>
      <c r="Q127" s="29"/>
      <c r="R127" s="29"/>
      <c r="S127" s="29"/>
      <c r="T127" s="29"/>
      <c r="U127" s="29"/>
      <c r="V127" s="29"/>
      <c r="W127" s="29"/>
      <c r="X127" s="29"/>
      <c r="Y127" s="29"/>
      <c r="Z127" s="29"/>
    </row>
    <row r="128">
      <c r="A128" s="1"/>
      <c r="B128" s="1" t="str">
        <f>IFERROR(__xludf.DUMMYFUNCTION("""COMPUTED_VALUE"""),"Jamaïque")</f>
        <v>Jamaïque</v>
      </c>
      <c r="C128" s="1" t="str">
        <f>IFERROR(__xludf.DUMMYFUNCTION("""COMPUTED_VALUE"""),"157 664")</f>
        <v>157 664</v>
      </c>
      <c r="D128" s="1" t="str">
        <f>IFERROR(__xludf.DUMMYFUNCTION("""COMPUTED_VALUE"""),"3 634")</f>
        <v>3 634</v>
      </c>
      <c r="E128" s="1" t="str">
        <f>IFERROR(__xludf.DUMMYFUNCTION("""COMPUTED_VALUE"""),"1 279")</f>
        <v>1 279</v>
      </c>
      <c r="F128" s="1" t="str">
        <f>IFERROR(__xludf.DUMMYFUNCTION("""COMPUTED_VALUE"""),"2 839 150")</f>
        <v>2 839 150</v>
      </c>
      <c r="I128" s="29"/>
      <c r="J128" s="29"/>
      <c r="K128" s="29"/>
      <c r="L128" s="29"/>
      <c r="M128" s="29"/>
      <c r="N128" s="29"/>
      <c r="O128" s="29"/>
      <c r="P128" s="29"/>
      <c r="Q128" s="29"/>
      <c r="R128" s="29"/>
      <c r="S128" s="29"/>
      <c r="T128" s="29"/>
      <c r="U128" s="29"/>
      <c r="V128" s="29"/>
      <c r="W128" s="29"/>
      <c r="X128" s="29"/>
      <c r="Y128" s="29"/>
      <c r="Z128" s="29"/>
    </row>
    <row r="129">
      <c r="A129" s="1"/>
      <c r="B129" s="1" t="str">
        <f>IFERROR(__xludf.DUMMYFUNCTION("""COMPUTED_VALUE"""),"Cambodge")</f>
        <v>Cambodge</v>
      </c>
      <c r="C129" s="1" t="str">
        <f>IFERROR(__xludf.DUMMYFUNCTION("""COMPUTED_VALUE"""),"139 326")</f>
        <v>139 326</v>
      </c>
      <c r="D129" s="1" t="str">
        <f>IFERROR(__xludf.DUMMYFUNCTION("""COMPUTED_VALUE"""),"3 056")</f>
        <v>3 056</v>
      </c>
      <c r="E129" s="1">
        <f>IFERROR(__xludf.DUMMYFUNCTION("""COMPUTED_VALUE"""),177.0)</f>
        <v>177</v>
      </c>
      <c r="F129" s="1" t="str">
        <f>IFERROR(__xludf.DUMMYFUNCTION("""COMPUTED_VALUE"""),"17 201 721")</f>
        <v>17 201 721</v>
      </c>
      <c r="I129" s="29"/>
      <c r="J129" s="29"/>
      <c r="K129" s="29"/>
      <c r="L129" s="29"/>
      <c r="M129" s="29"/>
      <c r="N129" s="29"/>
      <c r="O129" s="29"/>
      <c r="P129" s="29"/>
      <c r="Q129" s="29"/>
      <c r="R129" s="29"/>
      <c r="S129" s="29"/>
      <c r="T129" s="29"/>
      <c r="U129" s="29"/>
      <c r="V129" s="29"/>
      <c r="W129" s="29"/>
      <c r="X129" s="29"/>
      <c r="Y129" s="29"/>
      <c r="Z129" s="29"/>
    </row>
    <row r="130">
      <c r="A130" s="1"/>
      <c r="B130" s="1" t="str">
        <f>IFERROR(__xludf.DUMMYFUNCTION("""COMPUTED_VALUE"""),"Rwanda")</f>
        <v>Rwanda</v>
      </c>
      <c r="C130" s="1" t="str">
        <f>IFERROR(__xludf.DUMMYFUNCTION("""COMPUTED_VALUE"""),"133 274")</f>
        <v>133 274</v>
      </c>
      <c r="D130" s="1" t="str">
        <f>IFERROR(__xludf.DUMMYFUNCTION("""COMPUTED_VALUE"""),"1 468")</f>
        <v>1 468</v>
      </c>
      <c r="E130" s="1">
        <f>IFERROR(__xludf.DUMMYFUNCTION("""COMPUTED_VALUE"""),107.0)</f>
        <v>107</v>
      </c>
      <c r="F130" s="1" t="str">
        <f>IFERROR(__xludf.DUMMYFUNCTION("""COMPUTED_VALUE"""),"13 651 025")</f>
        <v>13 651 025</v>
      </c>
      <c r="I130" s="29"/>
      <c r="J130" s="29"/>
      <c r="K130" s="29"/>
      <c r="L130" s="29"/>
      <c r="M130" s="29"/>
      <c r="N130" s="29"/>
      <c r="O130" s="29"/>
      <c r="P130" s="29"/>
      <c r="Q130" s="29"/>
      <c r="R130" s="29"/>
      <c r="S130" s="29"/>
      <c r="T130" s="29"/>
      <c r="U130" s="29"/>
      <c r="V130" s="29"/>
      <c r="W130" s="29"/>
      <c r="X130" s="29"/>
      <c r="Y130" s="29"/>
      <c r="Z130" s="29"/>
    </row>
    <row r="131">
      <c r="A131" s="1"/>
      <c r="B131" s="1" t="str">
        <f>IFERROR(__xludf.DUMMYFUNCTION("""COMPUTED_VALUE"""),"Cameroun")</f>
        <v>Cameroun</v>
      </c>
      <c r="C131" s="1" t="str">
        <f>IFERROR(__xludf.DUMMYFUNCTION("""COMPUTED_VALUE"""),"125 320")</f>
        <v>125 320</v>
      </c>
      <c r="D131" s="1" t="str">
        <f>IFERROR(__xludf.DUMMYFUNCTION("""COMPUTED_VALUE"""),"1 974")</f>
        <v>1 974</v>
      </c>
      <c r="E131" s="1">
        <f>IFERROR(__xludf.DUMMYFUNCTION("""COMPUTED_VALUE"""),71.0)</f>
        <v>71</v>
      </c>
      <c r="F131" s="1" t="str">
        <f>IFERROR(__xludf.DUMMYFUNCTION("""COMPUTED_VALUE"""),"27 632 770")</f>
        <v>27 632 770</v>
      </c>
      <c r="I131" s="29"/>
      <c r="J131" s="29"/>
      <c r="K131" s="29"/>
      <c r="L131" s="29"/>
      <c r="M131" s="29"/>
      <c r="N131" s="29"/>
      <c r="O131" s="29"/>
      <c r="P131" s="29"/>
      <c r="Q131" s="29"/>
      <c r="R131" s="29"/>
      <c r="S131" s="29"/>
      <c r="T131" s="29"/>
      <c r="U131" s="29"/>
      <c r="V131" s="29"/>
      <c r="W131" s="29"/>
      <c r="X131" s="29"/>
      <c r="Y131" s="29"/>
      <c r="Z131" s="29"/>
    </row>
    <row r="132">
      <c r="A132" s="1"/>
      <c r="B132" s="1" t="str">
        <f>IFERROR(__xludf.DUMMYFUNCTION("""COMPUTED_VALUE"""),"Malte")</f>
        <v>Malte</v>
      </c>
      <c r="C132" s="1" t="str">
        <f>IFERROR(__xludf.DUMMYFUNCTION("""COMPUTED_VALUE"""),"125 280")</f>
        <v>125 280</v>
      </c>
      <c r="D132" s="1" t="str">
        <f>IFERROR(__xludf.DUMMYFUNCTION("""COMPUTED_VALUE"""),"1 116")</f>
        <v>1 116</v>
      </c>
      <c r="E132" s="1" t="str">
        <f>IFERROR(__xludf.DUMMYFUNCTION("""COMPUTED_VALUE"""),"2 112")</f>
        <v>2 112</v>
      </c>
      <c r="F132" s="1" t="str">
        <f>IFERROR(__xludf.DUMMYFUNCTION("""COMPUTED_VALUE"""),"528 194")</f>
        <v>528 194</v>
      </c>
      <c r="I132" s="29"/>
      <c r="J132" s="29"/>
      <c r="K132" s="29"/>
      <c r="L132" s="29"/>
      <c r="M132" s="29"/>
      <c r="N132" s="29"/>
      <c r="O132" s="29"/>
      <c r="P132" s="29"/>
      <c r="Q132" s="29"/>
      <c r="R132" s="29"/>
      <c r="S132" s="29"/>
      <c r="T132" s="29"/>
      <c r="U132" s="29"/>
      <c r="V132" s="29"/>
      <c r="W132" s="29"/>
      <c r="X132" s="29"/>
      <c r="Y132" s="29"/>
      <c r="Z132" s="29"/>
    </row>
    <row r="133">
      <c r="A133" s="1"/>
      <c r="B133" s="1" t="str">
        <f>IFERROR(__xludf.DUMMYFUNCTION("""COMPUTED_VALUE"""),"Barbade")</f>
        <v>Barbade</v>
      </c>
      <c r="C133" s="1" t="str">
        <f>IFERROR(__xludf.DUMMYFUNCTION("""COMPUTED_VALUE"""),"109 141")</f>
        <v>109 141</v>
      </c>
      <c r="D133" s="1">
        <f>IFERROR(__xludf.DUMMYFUNCTION("""COMPUTED_VALUE"""),593.0)</f>
        <v>593</v>
      </c>
      <c r="E133" s="1" t="str">
        <f>IFERROR(__xludf.DUMMYFUNCTION("""COMPUTED_VALUE"""),"2 100")</f>
        <v>2 100</v>
      </c>
      <c r="F133" s="1" t="str">
        <f>IFERROR(__xludf.DUMMYFUNCTION("""COMPUTED_VALUE"""),"282 324")</f>
        <v>282 324</v>
      </c>
      <c r="I133" s="29"/>
      <c r="J133" s="29"/>
      <c r="K133" s="29"/>
      <c r="L133" s="29"/>
      <c r="M133" s="29"/>
      <c r="N133" s="29"/>
      <c r="O133" s="29"/>
      <c r="P133" s="29"/>
      <c r="Q133" s="29"/>
      <c r="R133" s="29"/>
      <c r="S133" s="29"/>
      <c r="T133" s="29"/>
      <c r="U133" s="29"/>
      <c r="V133" s="29"/>
      <c r="W133" s="29"/>
      <c r="X133" s="29"/>
      <c r="Y133" s="29"/>
      <c r="Z133" s="29"/>
    </row>
    <row r="134">
      <c r="A134" s="1"/>
      <c r="B134" s="1" t="str">
        <f>IFERROR(__xludf.DUMMYFUNCTION("""COMPUTED_VALUE"""),"Angola")</f>
        <v>Angola</v>
      </c>
      <c r="C134" s="1" t="str">
        <f>IFERROR(__xludf.DUMMYFUNCTION("""COMPUTED_VALUE"""),"107 487")</f>
        <v>107 487</v>
      </c>
      <c r="D134" s="1" t="str">
        <f>IFERROR(__xludf.DUMMYFUNCTION("""COMPUTED_VALUE"""),"1 937")</f>
        <v>1 937</v>
      </c>
      <c r="E134" s="1">
        <f>IFERROR(__xludf.DUMMYFUNCTION("""COMPUTED_VALUE"""),54.0)</f>
        <v>54</v>
      </c>
      <c r="F134" s="1" t="str">
        <f>IFERROR(__xludf.DUMMYFUNCTION("""COMPUTED_VALUE"""),"35 635 028")</f>
        <v>35 635 028</v>
      </c>
      <c r="I134" s="29"/>
      <c r="J134" s="29"/>
      <c r="K134" s="29"/>
      <c r="L134" s="29"/>
      <c r="M134" s="29"/>
      <c r="N134" s="29"/>
      <c r="O134" s="29"/>
      <c r="P134" s="29"/>
      <c r="Q134" s="29"/>
      <c r="R134" s="29"/>
      <c r="S134" s="29"/>
      <c r="T134" s="29"/>
      <c r="U134" s="29"/>
      <c r="V134" s="29"/>
      <c r="W134" s="29"/>
      <c r="X134" s="29"/>
      <c r="Y134" s="29"/>
      <c r="Z134" s="29"/>
    </row>
    <row r="135">
      <c r="A135" s="1"/>
      <c r="B135" s="1" t="str">
        <f>IFERROR(__xludf.DUMMYFUNCTION("""COMPUTED_VALUE"""),"République démocratique du Congo")</f>
        <v>République démocratique du Congo</v>
      </c>
      <c r="C135" s="1" t="str">
        <f>IFERROR(__xludf.DUMMYFUNCTION("""COMPUTED_VALUE"""),"101 010")</f>
        <v>101 010</v>
      </c>
      <c r="D135" s="1" t="str">
        <f>IFERROR(__xludf.DUMMYFUNCTION("""COMPUTED_VALUE"""),"1 474")</f>
        <v>1 474</v>
      </c>
      <c r="E135" s="1">
        <f>IFERROR(__xludf.DUMMYFUNCTION("""COMPUTED_VALUE"""),14.0)</f>
        <v>14</v>
      </c>
      <c r="F135" s="1" t="str">
        <f>IFERROR(__xludf.DUMMYFUNCTION("""COMPUTED_VALUE"""),"102 396 974")</f>
        <v>102 396 974</v>
      </c>
      <c r="I135" s="29"/>
      <c r="J135" s="29"/>
      <c r="K135" s="29"/>
      <c r="L135" s="29"/>
      <c r="M135" s="29"/>
      <c r="N135" s="29"/>
      <c r="O135" s="29"/>
      <c r="P135" s="29"/>
      <c r="Q135" s="29"/>
      <c r="R135" s="29"/>
      <c r="S135" s="29"/>
      <c r="T135" s="29"/>
      <c r="U135" s="29"/>
      <c r="V135" s="29"/>
      <c r="W135" s="29"/>
      <c r="X135" s="29"/>
      <c r="Y135" s="29"/>
      <c r="Z135" s="29"/>
    </row>
    <row r="136">
      <c r="A136" s="1"/>
      <c r="B136" s="1" t="str">
        <f>IFERROR(__xludf.DUMMYFUNCTION("""COMPUTED_VALUE"""),"Guyane")</f>
        <v>Guyane</v>
      </c>
      <c r="C136" s="1" t="str">
        <f>IFERROR(__xludf.DUMMYFUNCTION("""COMPUTED_VALUE"""),"98 041")</f>
        <v>98 041</v>
      </c>
      <c r="D136" s="1">
        <f>IFERROR(__xludf.DUMMYFUNCTION("""COMPUTED_VALUE"""),413.0)</f>
        <v>413</v>
      </c>
      <c r="E136" s="1" t="str">
        <f>IFERROR(__xludf.DUMMYFUNCTION("""COMPUTED_VALUE"""),"1 384")</f>
        <v>1 384</v>
      </c>
      <c r="F136" s="1" t="str">
        <f>IFERROR(__xludf.DUMMYFUNCTION("""COMPUTED_VALUE"""),"298 319")</f>
        <v>298 319</v>
      </c>
      <c r="I136" s="29"/>
      <c r="J136" s="29"/>
      <c r="K136" s="29"/>
      <c r="L136" s="29"/>
      <c r="M136" s="29"/>
      <c r="N136" s="29"/>
      <c r="O136" s="29"/>
      <c r="P136" s="29"/>
      <c r="Q136" s="29"/>
      <c r="R136" s="29"/>
      <c r="S136" s="29"/>
      <c r="T136" s="29"/>
      <c r="U136" s="29"/>
      <c r="V136" s="29"/>
      <c r="W136" s="29"/>
      <c r="X136" s="29"/>
      <c r="Y136" s="29"/>
      <c r="Z136" s="29"/>
    </row>
    <row r="137">
      <c r="A137" s="1"/>
      <c r="B137" s="1" t="str">
        <f>IFERROR(__xludf.DUMMYFUNCTION("""COMPUTED_VALUE"""),"Sénégal")</f>
        <v>Sénégal</v>
      </c>
      <c r="C137" s="1" t="str">
        <f>IFERROR(__xludf.DUMMYFUNCTION("""COMPUTED_VALUE"""),"89 437")</f>
        <v>89 437</v>
      </c>
      <c r="D137" s="1" t="str">
        <f>IFERROR(__xludf.DUMMYFUNCTION("""COMPUTED_VALUE"""),"1 972")</f>
        <v>1 972</v>
      </c>
      <c r="E137" s="1">
        <f>IFERROR(__xludf.DUMMYFUNCTION("""COMPUTED_VALUE"""),111.0)</f>
        <v>111</v>
      </c>
      <c r="F137" s="1" t="str">
        <f>IFERROR(__xludf.DUMMYFUNCTION("""COMPUTED_VALUE"""),"17 651 099")</f>
        <v>17 651 099</v>
      </c>
      <c r="I137" s="29"/>
      <c r="J137" s="29"/>
      <c r="K137" s="29"/>
      <c r="L137" s="29"/>
      <c r="M137" s="29"/>
      <c r="N137" s="29"/>
      <c r="O137" s="29"/>
      <c r="P137" s="29"/>
      <c r="Q137" s="29"/>
      <c r="R137" s="29"/>
      <c r="S137" s="29"/>
      <c r="T137" s="29"/>
      <c r="U137" s="29"/>
      <c r="V137" s="29"/>
      <c r="W137" s="29"/>
      <c r="X137" s="29"/>
      <c r="Y137" s="29"/>
      <c r="Z137" s="29"/>
    </row>
    <row r="138">
      <c r="A138" s="1"/>
      <c r="B138" s="1" t="str">
        <f>IFERROR(__xludf.DUMMYFUNCTION("""COMPUTED_VALUE"""),"Malawi")</f>
        <v>Malawi</v>
      </c>
      <c r="C138" s="1" t="str">
        <f>IFERROR(__xludf.DUMMYFUNCTION("""COMPUTED_VALUE"""),"89 168")</f>
        <v>89 168</v>
      </c>
      <c r="D138" s="1" t="str">
        <f>IFERROR(__xludf.DUMMYFUNCTION("""COMPUTED_VALUE"""),"2 686")</f>
        <v>2 686</v>
      </c>
      <c r="E138" s="1">
        <f>IFERROR(__xludf.DUMMYFUNCTION("""COMPUTED_VALUE"""),130.0)</f>
        <v>130</v>
      </c>
      <c r="F138" s="1" t="str">
        <f>IFERROR(__xludf.DUMMYFUNCTION("""COMPUTED_VALUE"""),"20 568 731")</f>
        <v>20 568 731</v>
      </c>
      <c r="I138" s="29"/>
      <c r="J138" s="29"/>
      <c r="K138" s="29"/>
      <c r="L138" s="29"/>
      <c r="M138" s="29"/>
      <c r="N138" s="29"/>
      <c r="O138" s="29"/>
      <c r="P138" s="29"/>
      <c r="Q138" s="29"/>
      <c r="R138" s="29"/>
      <c r="S138" s="29"/>
      <c r="T138" s="29"/>
      <c r="U138" s="29"/>
      <c r="V138" s="29"/>
      <c r="W138" s="29"/>
      <c r="X138" s="29"/>
      <c r="Y138" s="29"/>
      <c r="Z138" s="29"/>
    </row>
    <row r="139">
      <c r="A139" s="1"/>
      <c r="B139" s="1" t="str">
        <f>IFERROR(__xludf.DUMMYFUNCTION("""COMPUTED_VALUE"""),"Kirghizistan")</f>
        <v>Kirghizistan</v>
      </c>
      <c r="C139" s="1" t="str">
        <f>IFERROR(__xludf.DUMMYFUNCTION("""COMPUTED_VALUE"""),"88 953")</f>
        <v>88 953</v>
      </c>
      <c r="D139" s="1" t="str">
        <f>IFERROR(__xludf.DUMMYFUNCTION("""COMPUTED_VALUE"""),"1 024")</f>
        <v>1 024</v>
      </c>
      <c r="E139" s="1">
        <f>IFERROR(__xludf.DUMMYFUNCTION("""COMPUTED_VALUE"""),147.0)</f>
        <v>147</v>
      </c>
      <c r="F139" s="1" t="str">
        <f>IFERROR(__xludf.DUMMYFUNCTION("""COMPUTED_VALUE"""),"6 955 792")</f>
        <v>6 955 792</v>
      </c>
      <c r="I139" s="29"/>
      <c r="J139" s="29"/>
      <c r="K139" s="29"/>
      <c r="L139" s="29"/>
      <c r="M139" s="29"/>
      <c r="N139" s="29"/>
      <c r="O139" s="29"/>
      <c r="P139" s="29"/>
      <c r="Q139" s="29"/>
      <c r="R139" s="29"/>
      <c r="S139" s="29"/>
      <c r="T139" s="29"/>
      <c r="U139" s="29"/>
      <c r="V139" s="29"/>
      <c r="W139" s="29"/>
      <c r="X139" s="29"/>
      <c r="Y139" s="29"/>
      <c r="Z139" s="29"/>
    </row>
    <row r="140">
      <c r="A140" s="1"/>
      <c r="B140" s="1" t="str">
        <f>IFERROR(__xludf.DUMMYFUNCTION("""COMPUTED_VALUE"""),"Côte d'Ivoire")</f>
        <v>Côte d'Ivoire</v>
      </c>
      <c r="C140" s="1" t="str">
        <f>IFERROR(__xludf.DUMMYFUNCTION("""COMPUTED_VALUE"""),"88 434")</f>
        <v>88 434</v>
      </c>
      <c r="D140" s="1">
        <f>IFERROR(__xludf.DUMMYFUNCTION("""COMPUTED_VALUE"""),835.0)</f>
        <v>835</v>
      </c>
      <c r="E140" s="1">
        <f>IFERROR(__xludf.DUMMYFUNCTION("""COMPUTED_VALUE"""),27.0)</f>
        <v>27</v>
      </c>
      <c r="F140" s="1" t="str">
        <f>IFERROR(__xludf.DUMMYFUNCTION("""COMPUTED_VALUE"""),"30 395 004")</f>
        <v>30 395 004</v>
      </c>
      <c r="I140" s="29"/>
      <c r="J140" s="29"/>
      <c r="K140" s="29"/>
      <c r="L140" s="29"/>
      <c r="M140" s="29"/>
      <c r="N140" s="29"/>
      <c r="O140" s="29"/>
      <c r="P140" s="29"/>
      <c r="Q140" s="29"/>
      <c r="R140" s="29"/>
      <c r="S140" s="29"/>
      <c r="T140" s="29"/>
      <c r="U140" s="29"/>
      <c r="V140" s="29"/>
      <c r="W140" s="29"/>
      <c r="X140" s="29"/>
      <c r="Y140" s="29"/>
      <c r="Z140" s="29"/>
    </row>
    <row r="141">
      <c r="A141" s="1"/>
      <c r="B141" s="1" t="str">
        <f>IFERROR(__xludf.DUMMYFUNCTION("""COMPUTED_VALUE"""),"Suriname")</f>
        <v>Suriname</v>
      </c>
      <c r="C141" s="1" t="str">
        <f>IFERROR(__xludf.DUMMYFUNCTION("""COMPUTED_VALUE"""),"82 516")</f>
        <v>82 516</v>
      </c>
      <c r="D141" s="1" t="str">
        <f>IFERROR(__xludf.DUMMYFUNCTION("""COMPUTED_VALUE"""),"1 406")</f>
        <v>1 406</v>
      </c>
      <c r="E141" s="1" t="str">
        <f>IFERROR(__xludf.DUMMYFUNCTION("""COMPUTED_VALUE"""),"2 256")</f>
        <v>2 256</v>
      </c>
      <c r="F141" s="1" t="str">
        <f>IFERROR(__xludf.DUMMYFUNCTION("""COMPUTED_VALUE"""),"623 172")</f>
        <v>623 172</v>
      </c>
      <c r="I141" s="29"/>
      <c r="J141" s="29"/>
      <c r="K141" s="29"/>
      <c r="L141" s="29"/>
      <c r="M141" s="29"/>
      <c r="N141" s="29"/>
      <c r="O141" s="29"/>
      <c r="P141" s="29"/>
      <c r="Q141" s="29"/>
      <c r="R141" s="29"/>
      <c r="S141" s="29"/>
      <c r="T141" s="29"/>
      <c r="U141" s="29"/>
      <c r="V141" s="29"/>
      <c r="W141" s="29"/>
      <c r="X141" s="29"/>
      <c r="Y141" s="29"/>
      <c r="Z141" s="29"/>
    </row>
    <row r="142">
      <c r="A142" s="1"/>
      <c r="B142" s="1" t="str">
        <f>IFERROR(__xludf.DUMMYFUNCTION("""COMPUTED_VALUE"""),"Nouvelle-Calédonie")</f>
        <v>Nouvelle-Calédonie</v>
      </c>
      <c r="C142" s="1" t="str">
        <f>IFERROR(__xludf.DUMMYFUNCTION("""COMPUTED_VALUE"""),"80 203")</f>
        <v>80 203</v>
      </c>
      <c r="D142" s="1">
        <f>IFERROR(__xludf.DUMMYFUNCTION("""COMPUTED_VALUE"""),314.0)</f>
        <v>314</v>
      </c>
      <c r="E142" s="1" t="str">
        <f>IFERROR(__xludf.DUMMYFUNCTION("""COMPUTED_VALUE"""),"1 093")</f>
        <v>1 093</v>
      </c>
      <c r="F142" s="1" t="str">
        <f>IFERROR(__xludf.DUMMYFUNCTION("""COMPUTED_VALUE"""),"287 130")</f>
        <v>287 130</v>
      </c>
      <c r="I142" s="29"/>
      <c r="J142" s="29"/>
      <c r="K142" s="29"/>
      <c r="L142" s="29"/>
      <c r="M142" s="29"/>
      <c r="N142" s="29"/>
      <c r="O142" s="29"/>
      <c r="P142" s="29"/>
      <c r="Q142" s="29"/>
      <c r="R142" s="29"/>
      <c r="S142" s="29"/>
      <c r="T142" s="29"/>
      <c r="U142" s="29"/>
      <c r="V142" s="29"/>
      <c r="W142" s="29"/>
      <c r="X142" s="29"/>
      <c r="Y142" s="29"/>
      <c r="Z142" s="29"/>
    </row>
    <row r="143">
      <c r="A143" s="1"/>
      <c r="B143" s="1" t="str">
        <f>IFERROR(__xludf.DUMMYFUNCTION("""COMPUTED_VALUE"""),"Polynésie française")</f>
        <v>Polynésie française</v>
      </c>
      <c r="C143" s="1" t="str">
        <f>IFERROR(__xludf.DUMMYFUNCTION("""COMPUTED_VALUE"""),"79 451")</f>
        <v>79 451</v>
      </c>
      <c r="D143" s="1">
        <f>IFERROR(__xludf.DUMMYFUNCTION("""COMPUTED_VALUE"""),650.0)</f>
        <v>650</v>
      </c>
      <c r="E143" s="1" t="str">
        <f>IFERROR(__xludf.DUMMYFUNCTION("""COMPUTED_VALUE"""),"2 318")</f>
        <v>2 318</v>
      </c>
      <c r="F143" s="1" t="str">
        <f>IFERROR(__xludf.DUMMYFUNCTION("""COMPUTED_VALUE"""),"280 388")</f>
        <v>280 388</v>
      </c>
      <c r="I143" s="29"/>
      <c r="J143" s="29"/>
      <c r="K143" s="29"/>
      <c r="L143" s="29"/>
      <c r="M143" s="29"/>
      <c r="N143" s="29"/>
      <c r="O143" s="29"/>
      <c r="P143" s="29"/>
      <c r="Q143" s="29"/>
      <c r="R143" s="29"/>
      <c r="S143" s="29"/>
      <c r="T143" s="29"/>
      <c r="U143" s="29"/>
      <c r="V143" s="29"/>
      <c r="W143" s="29"/>
      <c r="X143" s="29"/>
      <c r="Y143" s="29"/>
      <c r="Z143" s="29"/>
    </row>
    <row r="144">
      <c r="A144" s="1"/>
      <c r="B144" s="1" t="str">
        <f>IFERROR(__xludf.DUMMYFUNCTION("""COMPUTED_VALUE"""),"Guyana")</f>
        <v>Guyana</v>
      </c>
      <c r="C144" s="1" t="str">
        <f>IFERROR(__xludf.DUMMYFUNCTION("""COMPUTED_VALUE"""),"75 520")</f>
        <v>75 520</v>
      </c>
      <c r="D144" s="1" t="str">
        <f>IFERROR(__xludf.DUMMYFUNCTION("""COMPUTED_VALUE"""),"1 312")</f>
        <v>1 312</v>
      </c>
      <c r="E144" s="1" t="str">
        <f>IFERROR(__xludf.DUMMYFUNCTION("""COMPUTED_VALUE"""),"1 596")</f>
        <v>1 596</v>
      </c>
      <c r="F144" s="1" t="str">
        <f>IFERROR(__xludf.DUMMYFUNCTION("""COMPUTED_VALUE"""),"821 638")</f>
        <v>821 638</v>
      </c>
      <c r="I144" s="29"/>
      <c r="J144" s="29"/>
      <c r="K144" s="29"/>
      <c r="L144" s="29"/>
      <c r="M144" s="29"/>
      <c r="N144" s="29"/>
      <c r="O144" s="29"/>
      <c r="P144" s="29"/>
      <c r="Q144" s="29"/>
      <c r="R144" s="29"/>
      <c r="S144" s="29"/>
      <c r="T144" s="29"/>
      <c r="U144" s="29"/>
      <c r="V144" s="29"/>
      <c r="W144" s="29"/>
      <c r="X144" s="29"/>
      <c r="Y144" s="29"/>
      <c r="Z144" s="29"/>
    </row>
    <row r="145">
      <c r="A145" s="1"/>
      <c r="B145" s="1" t="str">
        <f>IFERROR(__xludf.DUMMYFUNCTION("""COMPUTED_VALUE"""),"Eswatini")</f>
        <v>Eswatini</v>
      </c>
      <c r="C145" s="1" t="str">
        <f>IFERROR(__xludf.DUMMYFUNCTION("""COMPUTED_VALUE"""),"75 356")</f>
        <v>75 356</v>
      </c>
      <c r="D145" s="1" t="str">
        <f>IFERROR(__xludf.DUMMYFUNCTION("""COMPUTED_VALUE"""),"1 427")</f>
        <v>1 427</v>
      </c>
      <c r="E145" s="1" t="str">
        <f>IFERROR(__xludf.DUMMYFUNCTION("""COMPUTED_VALUE"""),"1 170")</f>
        <v>1 170</v>
      </c>
      <c r="F145" s="1" t="str">
        <f>IFERROR(__xludf.DUMMYFUNCTION("""COMPUTED_VALUE"""),"1 218 921")</f>
        <v>1 218 921</v>
      </c>
      <c r="I145" s="29"/>
      <c r="J145" s="29"/>
      <c r="K145" s="29"/>
      <c r="L145" s="29"/>
      <c r="M145" s="29"/>
      <c r="N145" s="29"/>
      <c r="O145" s="29"/>
      <c r="P145" s="29"/>
      <c r="Q145" s="29"/>
      <c r="R145" s="29"/>
      <c r="S145" s="29"/>
      <c r="T145" s="29"/>
      <c r="U145" s="29"/>
      <c r="V145" s="29"/>
      <c r="W145" s="29"/>
      <c r="X145" s="29"/>
      <c r="Y145" s="29"/>
      <c r="Z145" s="29"/>
    </row>
    <row r="146">
      <c r="A146" s="1"/>
      <c r="B146" s="1" t="str">
        <f>IFERROR(__xludf.DUMMYFUNCTION("""COMPUTED_VALUE"""),"Belize")</f>
        <v>Belize</v>
      </c>
      <c r="C146" s="1" t="str">
        <f>IFERROR(__xludf.DUMMYFUNCTION("""COMPUTED_VALUE"""),"71 493")</f>
        <v>71 493</v>
      </c>
      <c r="D146" s="1">
        <f>IFERROR(__xludf.DUMMYFUNCTION("""COMPUTED_VALUE"""),688.0)</f>
        <v>688</v>
      </c>
      <c r="E146" s="1" t="str">
        <f>IFERROR(__xludf.DUMMYFUNCTION("""COMPUTED_VALUE"""),"1 708")</f>
        <v>1 708</v>
      </c>
      <c r="F146" s="1" t="str">
        <f>IFERROR(__xludf.DUMMYFUNCTION("""COMPUTED_VALUE"""),"402 741")</f>
        <v>402 741</v>
      </c>
      <c r="I146" s="29"/>
      <c r="J146" s="29"/>
      <c r="K146" s="29"/>
      <c r="L146" s="29"/>
      <c r="M146" s="29"/>
      <c r="N146" s="29"/>
      <c r="O146" s="29"/>
      <c r="P146" s="29"/>
      <c r="Q146" s="29"/>
      <c r="R146" s="29"/>
      <c r="S146" s="29"/>
      <c r="T146" s="29"/>
      <c r="U146" s="29"/>
      <c r="V146" s="29"/>
      <c r="W146" s="29"/>
      <c r="X146" s="29"/>
      <c r="Y146" s="29"/>
      <c r="Z146" s="29"/>
    </row>
    <row r="147">
      <c r="A147" s="1"/>
      <c r="B147" s="1" t="str">
        <f>IFERROR(__xludf.DUMMYFUNCTION("""COMPUTED_VALUE"""),"Fidji")</f>
        <v>Fidji</v>
      </c>
      <c r="C147" s="1" t="str">
        <f>IFERROR(__xludf.DUMMYFUNCTION("""COMPUTED_VALUE"""),"69 047")</f>
        <v>69 047</v>
      </c>
      <c r="D147" s="1">
        <f>IFERROR(__xludf.DUMMYFUNCTION("""COMPUTED_VALUE"""),885.0)</f>
        <v>885</v>
      </c>
      <c r="E147" s="1">
        <f>IFERROR(__xludf.DUMMYFUNCTION("""COMPUTED_VALUE"""),962.0)</f>
        <v>962</v>
      </c>
      <c r="F147" s="1" t="str">
        <f>IFERROR(__xludf.DUMMYFUNCTION("""COMPUTED_VALUE"""),"919 428")</f>
        <v>919 428</v>
      </c>
      <c r="I147" s="29"/>
      <c r="J147" s="29"/>
      <c r="K147" s="29"/>
      <c r="L147" s="29"/>
      <c r="M147" s="29"/>
      <c r="N147" s="29"/>
      <c r="O147" s="29"/>
      <c r="P147" s="29"/>
      <c r="Q147" s="29"/>
      <c r="R147" s="29"/>
      <c r="S147" s="29"/>
      <c r="T147" s="29"/>
      <c r="U147" s="29"/>
      <c r="V147" s="29"/>
      <c r="W147" s="29"/>
      <c r="X147" s="29"/>
      <c r="Y147" s="29"/>
      <c r="Z147" s="29"/>
    </row>
    <row r="148">
      <c r="A148" s="1"/>
      <c r="B148" s="1" t="str">
        <f>IFERROR(__xludf.DUMMYFUNCTION("""COMPUTED_VALUE"""),"Madagascar")</f>
        <v>Madagascar</v>
      </c>
      <c r="C148" s="1" t="str">
        <f>IFERROR(__xludf.DUMMYFUNCTION("""COMPUTED_VALUE"""),"68 733")</f>
        <v>68 733</v>
      </c>
      <c r="D148" s="1" t="str">
        <f>IFERROR(__xludf.DUMMYFUNCTION("""COMPUTED_VALUE"""),"1 428")</f>
        <v>1 428</v>
      </c>
      <c r="E148" s="1">
        <f>IFERROR(__xludf.DUMMYFUNCTION("""COMPUTED_VALUE"""),46.0)</f>
        <v>46</v>
      </c>
      <c r="F148" s="1" t="str">
        <f>IFERROR(__xludf.DUMMYFUNCTION("""COMPUTED_VALUE"""),"30 437 261")</f>
        <v>30 437 261</v>
      </c>
      <c r="I148" s="29"/>
      <c r="J148" s="29"/>
      <c r="K148" s="29"/>
      <c r="L148" s="29"/>
      <c r="M148" s="29"/>
      <c r="N148" s="29"/>
      <c r="O148" s="29"/>
      <c r="P148" s="29"/>
      <c r="Q148" s="29"/>
      <c r="R148" s="29"/>
      <c r="S148" s="29"/>
      <c r="T148" s="29"/>
      <c r="U148" s="29"/>
      <c r="V148" s="29"/>
      <c r="W148" s="29"/>
      <c r="X148" s="29"/>
      <c r="Y148" s="29"/>
      <c r="Z148" s="29"/>
    </row>
    <row r="149">
      <c r="A149" s="1"/>
      <c r="B149" s="1" t="str">
        <f>IFERROR(__xludf.DUMMYFUNCTION("""COMPUTED_VALUE"""),"Jersey")</f>
        <v>Jersey</v>
      </c>
      <c r="C149" s="1" t="str">
        <f>IFERROR(__xludf.DUMMYFUNCTION("""COMPUTED_VALUE"""),"66 391")</f>
        <v>66 391</v>
      </c>
      <c r="D149" s="1">
        <f>IFERROR(__xludf.DUMMYFUNCTION("""COMPUTED_VALUE"""),161.0)</f>
        <v>161</v>
      </c>
      <c r="E149" s="1" t="str">
        <f>IFERROR(__xludf.DUMMYFUNCTION("""COMPUTED_VALUE"""),"1 555")</f>
        <v>1 555</v>
      </c>
      <c r="F149" s="1" t="str">
        <f>IFERROR(__xludf.DUMMYFUNCTION("""COMPUTED_VALUE"""),"103 493")</f>
        <v>103 493</v>
      </c>
      <c r="I149" s="29"/>
      <c r="J149" s="29"/>
      <c r="K149" s="29"/>
      <c r="L149" s="29"/>
      <c r="M149" s="29"/>
      <c r="N149" s="29"/>
      <c r="O149" s="29"/>
      <c r="P149" s="29"/>
      <c r="Q149" s="29"/>
      <c r="R149" s="29"/>
      <c r="S149" s="29"/>
      <c r="T149" s="29"/>
      <c r="U149" s="29"/>
      <c r="V149" s="29"/>
      <c r="W149" s="29"/>
      <c r="X149" s="29"/>
      <c r="Y149" s="29"/>
      <c r="Z149" s="29"/>
    </row>
    <row r="150">
      <c r="A150" s="1"/>
      <c r="B150" s="1" t="str">
        <f>IFERROR(__xludf.DUMMYFUNCTION("""COMPUTED_VALUE"""),"Cap-Vert")</f>
        <v>Cap-Vert</v>
      </c>
      <c r="C150" s="1" t="str">
        <f>IFERROR(__xludf.DUMMYFUNCTION("""COMPUTED_VALUE"""),"64 550")</f>
        <v>64 550</v>
      </c>
      <c r="D150" s="1">
        <f>IFERROR(__xludf.DUMMYFUNCTION("""COMPUTED_VALUE"""),417.0)</f>
        <v>417</v>
      </c>
      <c r="E150" s="1">
        <f>IFERROR(__xludf.DUMMYFUNCTION("""COMPUTED_VALUE"""),802.0)</f>
        <v>802</v>
      </c>
      <c r="F150" s="1" t="str">
        <f>IFERROR(__xludf.DUMMYFUNCTION("""COMPUTED_VALUE"""),"519 750")</f>
        <v>519 750</v>
      </c>
      <c r="I150" s="29"/>
      <c r="J150" s="29"/>
      <c r="K150" s="29"/>
      <c r="L150" s="29"/>
      <c r="M150" s="29"/>
      <c r="N150" s="29"/>
      <c r="O150" s="29"/>
      <c r="P150" s="29"/>
      <c r="Q150" s="29"/>
      <c r="R150" s="29"/>
      <c r="S150" s="29"/>
      <c r="T150" s="29"/>
      <c r="U150" s="29"/>
      <c r="V150" s="29"/>
      <c r="W150" s="29"/>
      <c r="X150" s="29"/>
      <c r="Y150" s="29"/>
      <c r="Z150" s="29"/>
    </row>
    <row r="151">
      <c r="A151" s="1"/>
      <c r="B151" s="1" t="str">
        <f>IFERROR(__xludf.DUMMYFUNCTION("""COMPUTED_VALUE"""),"Soudan")</f>
        <v>Soudan</v>
      </c>
      <c r="C151" s="1" t="str">
        <f>IFERROR(__xludf.DUMMYFUNCTION("""COMPUTED_VALUE"""),"63 993")</f>
        <v>63 993</v>
      </c>
      <c r="D151" s="1" t="str">
        <f>IFERROR(__xludf.DUMMYFUNCTION("""COMPUTED_VALUE"""),"5 046")</f>
        <v>5 046</v>
      </c>
      <c r="E151" s="1">
        <f>IFERROR(__xludf.DUMMYFUNCTION("""COMPUTED_VALUE"""),102.0)</f>
        <v>102</v>
      </c>
      <c r="F151" s="1" t="str">
        <f>IFERROR(__xludf.DUMMYFUNCTION("""COMPUTED_VALUE"""),"49 383 344")</f>
        <v>49 383 344</v>
      </c>
      <c r="I151" s="29"/>
      <c r="J151" s="29"/>
      <c r="K151" s="29"/>
      <c r="L151" s="29"/>
      <c r="M151" s="29"/>
      <c r="N151" s="29"/>
      <c r="O151" s="29"/>
      <c r="P151" s="29"/>
      <c r="Q151" s="29"/>
      <c r="R151" s="29"/>
      <c r="S151" s="29"/>
      <c r="T151" s="29"/>
      <c r="U151" s="29"/>
      <c r="V151" s="29"/>
      <c r="W151" s="29"/>
      <c r="X151" s="29"/>
      <c r="Y151" s="29"/>
      <c r="Z151" s="29"/>
    </row>
    <row r="152">
      <c r="A152" s="1"/>
      <c r="B152" s="1" t="str">
        <f>IFERROR(__xludf.DUMMYFUNCTION("""COMPUTED_VALUE"""),"Mauritanie")</f>
        <v>Mauritanie</v>
      </c>
      <c r="C152" s="1" t="str">
        <f>IFERROR(__xludf.DUMMYFUNCTION("""COMPUTED_VALUE"""),"63 891")</f>
        <v>63 891</v>
      </c>
      <c r="D152" s="1">
        <f>IFERROR(__xludf.DUMMYFUNCTION("""COMPUTED_VALUE"""),997.0)</f>
        <v>997</v>
      </c>
      <c r="E152" s="1">
        <f>IFERROR(__xludf.DUMMYFUNCTION("""COMPUTED_VALUE"""),204.0)</f>
        <v>204</v>
      </c>
      <c r="F152" s="1" t="str">
        <f>IFERROR(__xludf.DUMMYFUNCTION("""COMPUTED_VALUE"""),"4 875 644")</f>
        <v>4 875 644</v>
      </c>
      <c r="I152" s="29"/>
      <c r="J152" s="29"/>
      <c r="K152" s="29"/>
      <c r="L152" s="29"/>
      <c r="M152" s="29"/>
      <c r="N152" s="29"/>
      <c r="O152" s="29"/>
      <c r="P152" s="29"/>
      <c r="Q152" s="29"/>
      <c r="R152" s="29"/>
      <c r="S152" s="29"/>
      <c r="T152" s="29"/>
      <c r="U152" s="29"/>
      <c r="V152" s="29"/>
      <c r="W152" s="29"/>
      <c r="X152" s="29"/>
      <c r="Y152" s="29"/>
      <c r="Z152" s="29"/>
    </row>
    <row r="153">
      <c r="A153" s="1"/>
      <c r="B153" s="1" t="str">
        <f>IFERROR(__xludf.DUMMYFUNCTION("""COMPUTED_VALUE"""),"Bhoutan")</f>
        <v>Bhoutan</v>
      </c>
      <c r="C153" s="1" t="str">
        <f>IFERROR(__xludf.DUMMYFUNCTION("""COMPUTED_VALUE"""),"63 193")</f>
        <v>63 193</v>
      </c>
      <c r="D153" s="1">
        <f>IFERROR(__xludf.DUMMYFUNCTION("""COMPUTED_VALUE"""),21.0)</f>
        <v>21</v>
      </c>
      <c r="E153" s="1">
        <f>IFERROR(__xludf.DUMMYFUNCTION("""COMPUTED_VALUE"""),26.0)</f>
        <v>26</v>
      </c>
      <c r="F153" s="1" t="str">
        <f>IFERROR(__xludf.DUMMYFUNCTION("""COMPUTED_VALUE"""),"780 921")</f>
        <v>780 921</v>
      </c>
      <c r="I153" s="29"/>
      <c r="J153" s="29"/>
      <c r="K153" s="29"/>
      <c r="L153" s="29"/>
      <c r="M153" s="29"/>
      <c r="N153" s="29"/>
      <c r="O153" s="29"/>
      <c r="P153" s="29"/>
      <c r="Q153" s="29"/>
      <c r="R153" s="29"/>
      <c r="S153" s="29"/>
      <c r="T153" s="29"/>
      <c r="U153" s="29"/>
      <c r="V153" s="29"/>
      <c r="W153" s="29"/>
      <c r="X153" s="29"/>
      <c r="Y153" s="29"/>
      <c r="Z153" s="29"/>
    </row>
    <row r="154">
      <c r="A154" s="1"/>
      <c r="B154" s="1" t="str">
        <f>IFERROR(__xludf.DUMMYFUNCTION("""COMPUTED_VALUE"""),"Syrie")</f>
        <v>Syrie</v>
      </c>
      <c r="C154" s="1" t="str">
        <f>IFERROR(__xludf.DUMMYFUNCTION("""COMPUTED_VALUE"""),"57 423")</f>
        <v>57 423</v>
      </c>
      <c r="D154" s="1" t="str">
        <f>IFERROR(__xludf.DUMMYFUNCTION("""COMPUTED_VALUE"""),"3 163")</f>
        <v>3 163</v>
      </c>
      <c r="E154" s="1">
        <f>IFERROR(__xludf.DUMMYFUNCTION("""COMPUTED_VALUE"""),140.0)</f>
        <v>140</v>
      </c>
      <c r="F154" s="1" t="str">
        <f>IFERROR(__xludf.DUMMYFUNCTION("""COMPUTED_VALUE"""),"22 462 170")</f>
        <v>22 462 170</v>
      </c>
      <c r="I154" s="29"/>
      <c r="J154" s="29"/>
      <c r="K154" s="29"/>
      <c r="L154" s="29"/>
      <c r="M154" s="29"/>
      <c r="N154" s="29"/>
      <c r="O154" s="29"/>
      <c r="P154" s="29"/>
      <c r="Q154" s="29"/>
      <c r="R154" s="29"/>
      <c r="S154" s="29"/>
      <c r="T154" s="29"/>
      <c r="U154" s="29"/>
      <c r="V154" s="29"/>
      <c r="W154" s="29"/>
      <c r="X154" s="29"/>
      <c r="Y154" s="29"/>
      <c r="Z154" s="29"/>
    </row>
    <row r="155">
      <c r="A155" s="1"/>
      <c r="B155" s="1" t="str">
        <f>IFERROR(__xludf.DUMMYFUNCTION("""COMPUTED_VALUE"""),"Burundi")</f>
        <v>Burundi</v>
      </c>
      <c r="C155" s="1" t="str">
        <f>IFERROR(__xludf.DUMMYFUNCTION("""COMPUTED_VALUE"""),"54 569")</f>
        <v>54 569</v>
      </c>
      <c r="D155" s="1">
        <f>IFERROR(__xludf.DUMMYFUNCTION("""COMPUTED_VALUE"""),15.0)</f>
        <v>15</v>
      </c>
      <c r="E155" s="1">
        <f>IFERROR(__xludf.DUMMYFUNCTION("""COMPUTED_VALUE"""),1.0)</f>
        <v>1</v>
      </c>
      <c r="F155" s="1" t="str">
        <f>IFERROR(__xludf.DUMMYFUNCTION("""COMPUTED_VALUE"""),"13 321 102")</f>
        <v>13 321 102</v>
      </c>
      <c r="I155" s="29"/>
      <c r="J155" s="29"/>
      <c r="K155" s="29"/>
      <c r="L155" s="29"/>
      <c r="M155" s="29"/>
      <c r="N155" s="29"/>
      <c r="O155" s="29"/>
      <c r="P155" s="29"/>
      <c r="Q155" s="29"/>
      <c r="R155" s="29"/>
      <c r="S155" s="29"/>
      <c r="T155" s="29"/>
      <c r="U155" s="29"/>
      <c r="V155" s="29"/>
      <c r="W155" s="29"/>
      <c r="X155" s="29"/>
      <c r="Y155" s="29"/>
      <c r="Z155" s="29"/>
    </row>
    <row r="156">
      <c r="A156" s="1"/>
      <c r="B156" s="1" t="str">
        <f>IFERROR(__xludf.DUMMYFUNCTION("""COMPUTED_VALUE"""),"Guam")</f>
        <v>Guam</v>
      </c>
      <c r="C156" s="1" t="str">
        <f>IFERROR(__xludf.DUMMYFUNCTION("""COMPUTED_VALUE"""),"52 287")</f>
        <v>52 287</v>
      </c>
      <c r="D156" s="1">
        <f>IFERROR(__xludf.DUMMYFUNCTION("""COMPUTED_VALUE"""),419.0)</f>
        <v>419</v>
      </c>
      <c r="E156" s="1" t="str">
        <f>IFERROR(__xludf.DUMMYFUNCTION("""COMPUTED_VALUE"""),"2 536")</f>
        <v>2 536</v>
      </c>
      <c r="F156" s="1" t="str">
        <f>IFERROR(__xludf.DUMMYFUNCTION("""COMPUTED_VALUE"""),"165 193")</f>
        <v>165 193</v>
      </c>
      <c r="I156" s="29"/>
      <c r="J156" s="29"/>
      <c r="K156" s="29"/>
      <c r="L156" s="29"/>
      <c r="M156" s="29"/>
      <c r="N156" s="29"/>
      <c r="O156" s="29"/>
      <c r="P156" s="29"/>
      <c r="Q156" s="29"/>
      <c r="R156" s="29"/>
      <c r="S156" s="29"/>
      <c r="T156" s="29"/>
      <c r="U156" s="29"/>
      <c r="V156" s="29"/>
      <c r="W156" s="29"/>
      <c r="X156" s="29"/>
      <c r="Y156" s="29"/>
      <c r="Z156" s="29"/>
    </row>
    <row r="157">
      <c r="A157" s="1"/>
      <c r="B157" s="1" t="str">
        <f>IFERROR(__xludf.DUMMYFUNCTION("""COMPUTED_VALUE"""),"Seychelles")</f>
        <v>Seychelles</v>
      </c>
      <c r="C157" s="1" t="str">
        <f>IFERROR(__xludf.DUMMYFUNCTION("""COMPUTED_VALUE"""),"51 899")</f>
        <v>51 899</v>
      </c>
      <c r="D157" s="1">
        <f>IFERROR(__xludf.DUMMYFUNCTION("""COMPUTED_VALUE"""),172.0)</f>
        <v>172</v>
      </c>
      <c r="E157" s="1" t="str">
        <f>IFERROR(__xludf.DUMMYFUNCTION("""COMPUTED_VALUE"""),"1 370")</f>
        <v>1 370</v>
      </c>
      <c r="F157" s="1" t="str">
        <f>IFERROR(__xludf.DUMMYFUNCTION("""COMPUTED_VALUE"""),"125 533")</f>
        <v>125 533</v>
      </c>
      <c r="I157" s="29"/>
      <c r="J157" s="29"/>
      <c r="K157" s="29"/>
      <c r="L157" s="29"/>
      <c r="M157" s="29"/>
      <c r="N157" s="29"/>
      <c r="O157" s="29"/>
      <c r="P157" s="29"/>
      <c r="Q157" s="29"/>
      <c r="R157" s="29"/>
      <c r="S157" s="29"/>
      <c r="T157" s="29"/>
      <c r="U157" s="29"/>
      <c r="V157" s="29"/>
      <c r="W157" s="29"/>
      <c r="X157" s="29"/>
      <c r="Y157" s="29"/>
      <c r="Z157" s="29"/>
    </row>
    <row r="158">
      <c r="A158" s="1"/>
      <c r="B158" s="1" t="str">
        <f>IFERROR(__xludf.DUMMYFUNCTION("""COMPUTED_VALUE"""),"Gabon")</f>
        <v>Gabon</v>
      </c>
      <c r="C158" s="1" t="str">
        <f>IFERROR(__xludf.DUMMYFUNCTION("""COMPUTED_VALUE"""),"49 069")</f>
        <v>49 069</v>
      </c>
      <c r="D158" s="1">
        <f>IFERROR(__xludf.DUMMYFUNCTION("""COMPUTED_VALUE"""),307.0)</f>
        <v>307</v>
      </c>
      <c r="E158" s="1">
        <f>IFERROR(__xludf.DUMMYFUNCTION("""COMPUTED_VALUE"""),126.0)</f>
        <v>126</v>
      </c>
      <c r="F158" s="1" t="str">
        <f>IFERROR(__xludf.DUMMYFUNCTION("""COMPUTED_VALUE"""),"2 430 750")</f>
        <v>2 430 750</v>
      </c>
      <c r="I158" s="29"/>
      <c r="J158" s="29"/>
      <c r="K158" s="29"/>
      <c r="L158" s="29"/>
      <c r="M158" s="29"/>
      <c r="N158" s="29"/>
      <c r="O158" s="29"/>
      <c r="P158" s="29"/>
      <c r="Q158" s="29"/>
      <c r="R158" s="29"/>
      <c r="S158" s="29"/>
      <c r="T158" s="29"/>
      <c r="U158" s="29"/>
      <c r="V158" s="29"/>
      <c r="W158" s="29"/>
      <c r="X158" s="29"/>
      <c r="Y158" s="29"/>
      <c r="Z158" s="29"/>
    </row>
    <row r="159">
      <c r="A159" s="1"/>
      <c r="B159" s="1" t="str">
        <f>IFERROR(__xludf.DUMMYFUNCTION("""COMPUTED_VALUE"""),"Andorre")</f>
        <v>Andorre</v>
      </c>
      <c r="C159" s="1" t="str">
        <f>IFERROR(__xludf.DUMMYFUNCTION("""COMPUTED_VALUE"""),"48 015")</f>
        <v>48 015</v>
      </c>
      <c r="D159" s="1">
        <f>IFERROR(__xludf.DUMMYFUNCTION("""COMPUTED_VALUE"""),159.0)</f>
        <v>159</v>
      </c>
      <c r="E159" s="1" t="str">
        <f>IFERROR(__xludf.DUMMYFUNCTION("""COMPUTED_VALUE"""),"1 994")</f>
        <v>1 994</v>
      </c>
      <c r="F159" s="1" t="str">
        <f>IFERROR(__xludf.DUMMYFUNCTION("""COMPUTED_VALUE"""),"79 722")</f>
        <v>79 722</v>
      </c>
      <c r="I159" s="29"/>
      <c r="J159" s="29"/>
      <c r="K159" s="29"/>
      <c r="L159" s="29"/>
      <c r="M159" s="29"/>
      <c r="N159" s="29"/>
      <c r="O159" s="29"/>
      <c r="P159" s="29"/>
      <c r="Q159" s="29"/>
      <c r="R159" s="29"/>
      <c r="S159" s="29"/>
      <c r="T159" s="29"/>
      <c r="U159" s="29"/>
      <c r="V159" s="29"/>
      <c r="W159" s="29"/>
      <c r="X159" s="29"/>
      <c r="Y159" s="29"/>
      <c r="Z159" s="29"/>
    </row>
    <row r="160">
      <c r="A160" s="1"/>
      <c r="B160" s="1" t="str">
        <f>IFERROR(__xludf.DUMMYFUNCTION("""COMPUTED_VALUE"""),"Papouasie-Nouvelle-Guinée")</f>
        <v>Papouasie-Nouvelle-Guinée</v>
      </c>
      <c r="C160" s="1" t="str">
        <f>IFERROR(__xludf.DUMMYFUNCTION("""COMPUTED_VALUE"""),"46 864")</f>
        <v>46 864</v>
      </c>
      <c r="D160" s="1">
        <f>IFERROR(__xludf.DUMMYFUNCTION("""COMPUTED_VALUE"""),670.0)</f>
        <v>670</v>
      </c>
      <c r="E160" s="1">
        <f>IFERROR(__xludf.DUMMYFUNCTION("""COMPUTED_VALUE"""),65.0)</f>
        <v>65</v>
      </c>
      <c r="F160" s="1" t="str">
        <f>IFERROR(__xludf.DUMMYFUNCTION("""COMPUTED_VALUE"""),"10 203 177")</f>
        <v>10 203 177</v>
      </c>
      <c r="I160" s="29"/>
      <c r="J160" s="29"/>
      <c r="K160" s="29"/>
      <c r="L160" s="29"/>
      <c r="M160" s="29"/>
      <c r="N160" s="29"/>
      <c r="O160" s="29"/>
      <c r="P160" s="29"/>
      <c r="Q160" s="29"/>
      <c r="R160" s="29"/>
      <c r="S160" s="29"/>
      <c r="T160" s="29"/>
      <c r="U160" s="29"/>
      <c r="V160" s="29"/>
      <c r="W160" s="29"/>
      <c r="X160" s="29"/>
      <c r="Y160" s="29"/>
      <c r="Z160" s="29"/>
    </row>
    <row r="161">
      <c r="A161" s="1"/>
      <c r="B161" s="1" t="str">
        <f>IFERROR(__xludf.DUMMYFUNCTION("""COMPUTED_VALUE"""),"Curaçao")</f>
        <v>Curaçao</v>
      </c>
      <c r="C161" s="1" t="str">
        <f>IFERROR(__xludf.DUMMYFUNCTION("""COMPUTED_VALUE"""),"45 883")</f>
        <v>45 883</v>
      </c>
      <c r="D161" s="1">
        <f>IFERROR(__xludf.DUMMYFUNCTION("""COMPUTED_VALUE"""),305.0)</f>
        <v>305</v>
      </c>
      <c r="E161" s="1" t="str">
        <f>IFERROR(__xludf.DUMMYFUNCTION("""COMPUTED_VALUE"""),"1 645")</f>
        <v>1 645</v>
      </c>
      <c r="F161" s="1" t="str">
        <f>IFERROR(__xludf.DUMMYFUNCTION("""COMPUTED_VALUE"""),"185 350")</f>
        <v>185 350</v>
      </c>
      <c r="I161" s="29"/>
      <c r="J161" s="29"/>
      <c r="K161" s="29"/>
      <c r="L161" s="29"/>
      <c r="M161" s="29"/>
      <c r="N161" s="29"/>
      <c r="O161" s="29"/>
      <c r="P161" s="29"/>
      <c r="Q161" s="29"/>
      <c r="R161" s="29"/>
      <c r="S161" s="29"/>
      <c r="T161" s="29"/>
      <c r="U161" s="29"/>
      <c r="V161" s="29"/>
      <c r="W161" s="29"/>
      <c r="X161" s="29"/>
      <c r="Y161" s="29"/>
      <c r="Z161" s="29"/>
    </row>
    <row r="162">
      <c r="A162" s="1"/>
      <c r="B162" s="1" t="str">
        <f>IFERROR(__xludf.DUMMYFUNCTION("""COMPUTED_VALUE"""),"Aruba")</f>
        <v>Aruba</v>
      </c>
      <c r="C162" s="1" t="str">
        <f>IFERROR(__xludf.DUMMYFUNCTION("""COMPUTED_VALUE"""),"44 224")</f>
        <v>44 224</v>
      </c>
      <c r="D162" s="1">
        <f>IFERROR(__xludf.DUMMYFUNCTION("""COMPUTED_VALUE"""),292.0)</f>
        <v>292</v>
      </c>
      <c r="E162" s="1" t="str">
        <f>IFERROR(__xludf.DUMMYFUNCTION("""COMPUTED_VALUE"""),"2 708")</f>
        <v>2 708</v>
      </c>
      <c r="F162" s="1" t="str">
        <f>IFERROR(__xludf.DUMMYFUNCTION("""COMPUTED_VALUE"""),"107 792")</f>
        <v>107 792</v>
      </c>
      <c r="I162" s="29"/>
      <c r="J162" s="29"/>
      <c r="K162" s="29"/>
      <c r="L162" s="29"/>
      <c r="M162" s="29"/>
      <c r="N162" s="29"/>
      <c r="O162" s="29"/>
      <c r="P162" s="29"/>
      <c r="Q162" s="29"/>
      <c r="R162" s="29"/>
      <c r="S162" s="29"/>
      <c r="T162" s="29"/>
      <c r="U162" s="29"/>
      <c r="V162" s="29"/>
      <c r="W162" s="29"/>
      <c r="X162" s="29"/>
      <c r="Y162" s="29"/>
      <c r="Z162" s="29"/>
    </row>
    <row r="163">
      <c r="A163" s="1"/>
      <c r="B163" s="1" t="str">
        <f>IFERROR(__xludf.DUMMYFUNCTION("""COMPUTED_VALUE"""),"Tanzanie")</f>
        <v>Tanzanie</v>
      </c>
      <c r="C163" s="1" t="str">
        <f>IFERROR(__xludf.DUMMYFUNCTION("""COMPUTED_VALUE"""),"43 606")</f>
        <v>43 606</v>
      </c>
      <c r="D163" s="1">
        <f>IFERROR(__xludf.DUMMYFUNCTION("""COMPUTED_VALUE"""),846.0)</f>
        <v>846</v>
      </c>
      <c r="E163" s="1">
        <f>IFERROR(__xludf.DUMMYFUNCTION("""COMPUTED_VALUE"""),13.0)</f>
        <v>13</v>
      </c>
      <c r="F163" s="1" t="str">
        <f>IFERROR(__xludf.DUMMYFUNCTION("""COMPUTED_VALUE"""),"64 711 822")</f>
        <v>64 711 822</v>
      </c>
      <c r="I163" s="29"/>
      <c r="J163" s="29"/>
      <c r="K163" s="29"/>
      <c r="L163" s="29"/>
      <c r="M163" s="29"/>
      <c r="N163" s="29"/>
      <c r="O163" s="29"/>
      <c r="P163" s="29"/>
      <c r="Q163" s="29"/>
      <c r="R163" s="29"/>
      <c r="S163" s="29"/>
      <c r="T163" s="29"/>
      <c r="U163" s="29"/>
      <c r="V163" s="29"/>
      <c r="W163" s="29"/>
      <c r="X163" s="29"/>
      <c r="Y163" s="29"/>
      <c r="Z163" s="29"/>
    </row>
    <row r="164">
      <c r="A164" s="1"/>
      <c r="B164" s="1" t="str">
        <f>IFERROR(__xludf.DUMMYFUNCTION("""COMPUTED_VALUE"""),"Mayotte")</f>
        <v>Mayotte</v>
      </c>
      <c r="C164" s="1" t="str">
        <f>IFERROR(__xludf.DUMMYFUNCTION("""COMPUTED_VALUE"""),"42 027")</f>
        <v>42 027</v>
      </c>
      <c r="D164" s="1">
        <f>IFERROR(__xludf.DUMMYFUNCTION("""COMPUTED_VALUE"""),187.0)</f>
        <v>187</v>
      </c>
      <c r="E164" s="1">
        <f>IFERROR(__xludf.DUMMYFUNCTION("""COMPUTED_VALUE"""),612.0)</f>
        <v>612</v>
      </c>
      <c r="F164" s="1" t="str">
        <f>IFERROR(__xludf.DUMMYFUNCTION("""COMPUTED_VALUE"""),"305 279")</f>
        <v>305 279</v>
      </c>
      <c r="I164" s="29"/>
      <c r="J164" s="29"/>
      <c r="K164" s="29"/>
      <c r="L164" s="29"/>
      <c r="M164" s="29"/>
      <c r="N164" s="29"/>
      <c r="O164" s="29"/>
      <c r="P164" s="29"/>
      <c r="Q164" s="29"/>
      <c r="R164" s="29"/>
      <c r="S164" s="29"/>
      <c r="T164" s="29"/>
      <c r="U164" s="29"/>
      <c r="V164" s="29"/>
      <c r="W164" s="29"/>
      <c r="X164" s="29"/>
      <c r="Y164" s="29"/>
      <c r="Z164" s="29"/>
    </row>
    <row r="165">
      <c r="A165" s="1"/>
      <c r="B165" s="1" t="str">
        <f>IFERROR(__xludf.DUMMYFUNCTION("""COMPUTED_VALUE"""),"Togo")</f>
        <v>Togo</v>
      </c>
      <c r="C165" s="1" t="str">
        <f>IFERROR(__xludf.DUMMYFUNCTION("""COMPUTED_VALUE"""),"39 553")</f>
        <v>39 553</v>
      </c>
      <c r="D165" s="1">
        <f>IFERROR(__xludf.DUMMYFUNCTION("""COMPUTED_VALUE"""),290.0)</f>
        <v>290</v>
      </c>
      <c r="E165" s="1">
        <f>IFERROR(__xludf.DUMMYFUNCTION("""COMPUTED_VALUE"""),31.0)</f>
        <v>31</v>
      </c>
      <c r="F165" s="1" t="str">
        <f>IFERROR(__xludf.DUMMYFUNCTION("""COMPUTED_VALUE"""),"9 089 742")</f>
        <v>9 089 742</v>
      </c>
      <c r="I165" s="29"/>
      <c r="J165" s="29"/>
      <c r="K165" s="29"/>
      <c r="L165" s="29"/>
      <c r="M165" s="29"/>
      <c r="N165" s="29"/>
      <c r="O165" s="29"/>
      <c r="P165" s="29"/>
      <c r="Q165" s="29"/>
      <c r="R165" s="29"/>
      <c r="S165" s="29"/>
      <c r="T165" s="29"/>
      <c r="U165" s="29"/>
      <c r="V165" s="29"/>
      <c r="W165" s="29"/>
      <c r="X165" s="29"/>
      <c r="Y165" s="29"/>
      <c r="Z165" s="29"/>
    </row>
    <row r="166">
      <c r="A166" s="1"/>
      <c r="B166" s="1" t="str">
        <f>IFERROR(__xludf.DUMMYFUNCTION("""COMPUTED_VALUE"""),"Bahamas")</f>
        <v>Bahamas</v>
      </c>
      <c r="C166" s="1" t="str">
        <f>IFERROR(__xludf.DUMMYFUNCTION("""COMPUTED_VALUE"""),"39 127")</f>
        <v>39 127</v>
      </c>
      <c r="D166" s="1">
        <f>IFERROR(__xludf.DUMMYFUNCTION("""COMPUTED_VALUE"""),849.0)</f>
        <v>849</v>
      </c>
      <c r="E166" s="1" t="str">
        <f>IFERROR(__xludf.DUMMYFUNCTION("""COMPUTED_VALUE"""),"2 135")</f>
        <v>2 135</v>
      </c>
      <c r="F166" s="1" t="str">
        <f>IFERROR(__xludf.DUMMYFUNCTION("""COMPUTED_VALUE"""),"397 542")</f>
        <v>397 542</v>
      </c>
      <c r="I166" s="29"/>
      <c r="J166" s="29"/>
      <c r="K166" s="29"/>
      <c r="L166" s="29"/>
      <c r="M166" s="29"/>
      <c r="N166" s="29"/>
      <c r="O166" s="29"/>
      <c r="P166" s="29"/>
      <c r="Q166" s="29"/>
      <c r="R166" s="29"/>
      <c r="S166" s="29"/>
      <c r="T166" s="29"/>
      <c r="U166" s="29"/>
      <c r="V166" s="29"/>
      <c r="W166" s="29"/>
      <c r="X166" s="29"/>
      <c r="Y166" s="29"/>
      <c r="Z166" s="29"/>
    </row>
    <row r="167">
      <c r="A167" s="1"/>
      <c r="B167" s="1" t="str">
        <f>IFERROR(__xludf.DUMMYFUNCTION("""COMPUTED_VALUE"""),"Guinée")</f>
        <v>Guinée</v>
      </c>
      <c r="C167" s="1" t="str">
        <f>IFERROR(__xludf.DUMMYFUNCTION("""COMPUTED_VALUE"""),"38 593")</f>
        <v>38 593</v>
      </c>
      <c r="D167" s="1">
        <f>IFERROR(__xludf.DUMMYFUNCTION("""COMPUTED_VALUE"""),468.0)</f>
        <v>468</v>
      </c>
      <c r="E167" s="1">
        <f>IFERROR(__xludf.DUMMYFUNCTION("""COMPUTED_VALUE"""),33.0)</f>
        <v>33</v>
      </c>
      <c r="F167" s="1" t="str">
        <f>IFERROR(__xludf.DUMMYFUNCTION("""COMPUTED_VALUE"""),"14 055 136")</f>
        <v>14 055 136</v>
      </c>
      <c r="I167" s="29"/>
      <c r="J167" s="29"/>
      <c r="K167" s="29"/>
      <c r="L167" s="29"/>
      <c r="M167" s="29"/>
      <c r="N167" s="29"/>
      <c r="O167" s="29"/>
      <c r="P167" s="29"/>
      <c r="Q167" s="29"/>
      <c r="R167" s="29"/>
      <c r="S167" s="29"/>
      <c r="T167" s="29"/>
      <c r="U167" s="29"/>
      <c r="V167" s="29"/>
      <c r="W167" s="29"/>
      <c r="X167" s="29"/>
      <c r="Y167" s="29"/>
      <c r="Z167" s="29"/>
    </row>
    <row r="168">
      <c r="A168" s="1"/>
      <c r="B168" s="1" t="str">
        <f>IFERROR(__xludf.DUMMYFUNCTION("""COMPUTED_VALUE"""),"Île de Man")</f>
        <v>Île de Man</v>
      </c>
      <c r="C168" s="1" t="str">
        <f>IFERROR(__xludf.DUMMYFUNCTION("""COMPUTED_VALUE"""),"38 008")</f>
        <v>38 008</v>
      </c>
      <c r="D168" s="1">
        <f>IFERROR(__xludf.DUMMYFUNCTION("""COMPUTED_VALUE"""),116.0)</f>
        <v>116</v>
      </c>
      <c r="E168" s="1" t="str">
        <f>IFERROR(__xludf.DUMMYFUNCTION("""COMPUTED_VALUE"""),"1 378")</f>
        <v>1 378</v>
      </c>
      <c r="F168" s="1" t="str">
        <f>IFERROR(__xludf.DUMMYFUNCTION("""COMPUTED_VALUE"""),"84 148")</f>
        <v>84 148</v>
      </c>
      <c r="I168" s="29"/>
      <c r="J168" s="29"/>
      <c r="K168" s="29"/>
      <c r="L168" s="29"/>
      <c r="M168" s="29"/>
      <c r="N168" s="29"/>
      <c r="O168" s="29"/>
      <c r="P168" s="29"/>
      <c r="Q168" s="29"/>
      <c r="R168" s="29"/>
      <c r="S168" s="29"/>
      <c r="T168" s="29"/>
      <c r="U168" s="29"/>
      <c r="V168" s="29"/>
      <c r="W168" s="29"/>
      <c r="X168" s="29"/>
      <c r="Y168" s="29"/>
      <c r="Z168" s="29"/>
    </row>
    <row r="169">
      <c r="A169" s="1"/>
      <c r="B169" s="1" t="str">
        <f>IFERROR(__xludf.DUMMYFUNCTION("""COMPUTED_VALUE"""),"Lesotho")</f>
        <v>Lesotho</v>
      </c>
      <c r="C169" s="1" t="str">
        <f>IFERROR(__xludf.DUMMYFUNCTION("""COMPUTED_VALUE"""),"36 140")</f>
        <v>36 140</v>
      </c>
      <c r="D169" s="1">
        <f>IFERROR(__xludf.DUMMYFUNCTION("""COMPUTED_VALUE"""),709.0)</f>
        <v>709</v>
      </c>
      <c r="E169" s="1">
        <f>IFERROR(__xludf.DUMMYFUNCTION("""COMPUTED_VALUE"""),310.0)</f>
        <v>310</v>
      </c>
      <c r="F169" s="1" t="str">
        <f>IFERROR(__xludf.DUMMYFUNCTION("""COMPUTED_VALUE"""),"2 286 112")</f>
        <v>2 286 112</v>
      </c>
      <c r="I169" s="29"/>
      <c r="J169" s="29"/>
      <c r="K169" s="29"/>
      <c r="L169" s="29"/>
      <c r="M169" s="29"/>
      <c r="N169" s="29"/>
      <c r="O169" s="29"/>
      <c r="P169" s="29"/>
      <c r="Q169" s="29"/>
      <c r="R169" s="29"/>
      <c r="S169" s="29"/>
      <c r="T169" s="29"/>
      <c r="U169" s="29"/>
      <c r="V169" s="29"/>
      <c r="W169" s="29"/>
      <c r="X169" s="29"/>
      <c r="Y169" s="29"/>
      <c r="Z169" s="29"/>
    </row>
    <row r="170">
      <c r="A170" s="1"/>
      <c r="B170" s="1" t="str">
        <f>IFERROR(__xludf.DUMMYFUNCTION("""COMPUTED_VALUE"""),"Bailliage de Guernesey")</f>
        <v>Bailliage de Guernesey</v>
      </c>
      <c r="C170" s="1" t="str">
        <f>IFERROR(__xludf.DUMMYFUNCTION("""COMPUTED_VALUE"""),"35 326")</f>
        <v>35 326</v>
      </c>
      <c r="D170" s="1">
        <f>IFERROR(__xludf.DUMMYFUNCTION("""COMPUTED_VALUE"""),67.0)</f>
        <v>67</v>
      </c>
      <c r="E170" s="1" t="str">
        <f>IFERROR(__xludf.DUMMYFUNCTION("""COMPUTED_VALUE"""),"1 050")</f>
        <v>1 050</v>
      </c>
      <c r="F170" s="1" t="str">
        <f>IFERROR(__xludf.DUMMYFUNCTION("""COMPUTED_VALUE"""),"63 750")</f>
        <v>63 750</v>
      </c>
      <c r="I170" s="29"/>
      <c r="J170" s="29"/>
      <c r="K170" s="29"/>
      <c r="L170" s="29"/>
      <c r="M170" s="29"/>
      <c r="N170" s="29"/>
      <c r="O170" s="29"/>
      <c r="P170" s="29"/>
      <c r="Q170" s="29"/>
      <c r="R170" s="29"/>
      <c r="S170" s="29"/>
      <c r="T170" s="29"/>
      <c r="U170" s="29"/>
      <c r="V170" s="29"/>
      <c r="W170" s="29"/>
      <c r="X170" s="29"/>
      <c r="Y170" s="29"/>
      <c r="Z170" s="29"/>
    </row>
    <row r="171">
      <c r="A171" s="1"/>
      <c r="B171" s="1" t="str">
        <f>IFERROR(__xludf.DUMMYFUNCTION("""COMPUTED_VALUE"""),"Haïti")</f>
        <v>Haïti</v>
      </c>
      <c r="C171" s="1" t="str">
        <f>IFERROR(__xludf.DUMMYFUNCTION("""COMPUTED_VALUE"""),"34 901")</f>
        <v>34 901</v>
      </c>
      <c r="D171" s="1">
        <f>IFERROR(__xludf.DUMMYFUNCTION("""COMPUTED_VALUE"""),860.0)</f>
        <v>860</v>
      </c>
      <c r="E171" s="1">
        <f>IFERROR(__xludf.DUMMYFUNCTION("""COMPUTED_VALUE"""),74.0)</f>
        <v>74</v>
      </c>
      <c r="F171" s="1" t="str">
        <f>IFERROR(__xludf.DUMMYFUNCTION("""COMPUTED_VALUE"""),"11 503 603")</f>
        <v>11 503 603</v>
      </c>
      <c r="I171" s="29"/>
      <c r="J171" s="29"/>
      <c r="K171" s="29"/>
      <c r="L171" s="29"/>
      <c r="M171" s="29"/>
      <c r="N171" s="29"/>
      <c r="O171" s="29"/>
      <c r="P171" s="29"/>
      <c r="Q171" s="29"/>
      <c r="R171" s="29"/>
      <c r="S171" s="29"/>
      <c r="T171" s="29"/>
      <c r="U171" s="29"/>
      <c r="V171" s="29"/>
      <c r="W171" s="29"/>
      <c r="X171" s="29"/>
      <c r="Y171" s="29"/>
      <c r="Z171" s="29"/>
    </row>
    <row r="172">
      <c r="A172" s="1"/>
      <c r="B172" s="1" t="str">
        <f>IFERROR(__xludf.DUMMYFUNCTION("""COMPUTED_VALUE"""),"Îles Féroé")</f>
        <v>Îles Féroé</v>
      </c>
      <c r="C172" s="1" t="str">
        <f>IFERROR(__xludf.DUMMYFUNCTION("""COMPUTED_VALUE"""),"34 658")</f>
        <v>34 658</v>
      </c>
      <c r="D172" s="1">
        <f>IFERROR(__xludf.DUMMYFUNCTION("""COMPUTED_VALUE"""),28.0)</f>
        <v>28</v>
      </c>
      <c r="E172" s="1">
        <f>IFERROR(__xludf.DUMMYFUNCTION("""COMPUTED_VALUE"""),518.0)</f>
        <v>518</v>
      </c>
      <c r="F172" s="1" t="str">
        <f>IFERROR(__xludf.DUMMYFUNCTION("""COMPUTED_VALUE"""),"54 039")</f>
        <v>54 039</v>
      </c>
      <c r="I172" s="29"/>
      <c r="J172" s="29"/>
      <c r="K172" s="29"/>
      <c r="L172" s="29"/>
      <c r="M172" s="29"/>
      <c r="N172" s="29"/>
      <c r="O172" s="29"/>
      <c r="P172" s="29"/>
      <c r="Q172" s="29"/>
      <c r="R172" s="29"/>
      <c r="S172" s="29"/>
      <c r="T172" s="29"/>
      <c r="U172" s="29"/>
      <c r="V172" s="29"/>
      <c r="W172" s="29"/>
      <c r="X172" s="29"/>
      <c r="Y172" s="29"/>
      <c r="Z172" s="29"/>
    </row>
    <row r="173">
      <c r="A173" s="1"/>
      <c r="B173" s="1" t="str">
        <f>IFERROR(__xludf.DUMMYFUNCTION("""COMPUTED_VALUE"""),"Mali")</f>
        <v>Mali</v>
      </c>
      <c r="C173" s="1" t="str">
        <f>IFERROR(__xludf.DUMMYFUNCTION("""COMPUTED_VALUE"""),"33 199")</f>
        <v>33 199</v>
      </c>
      <c r="D173" s="1">
        <f>IFERROR(__xludf.DUMMYFUNCTION("""COMPUTED_VALUE"""),743.0)</f>
        <v>743</v>
      </c>
      <c r="E173" s="1">
        <f>IFERROR(__xludf.DUMMYFUNCTION("""COMPUTED_VALUE"""),32.0)</f>
        <v>32</v>
      </c>
      <c r="F173" s="1" t="str">
        <f>IFERROR(__xludf.DUMMYFUNCTION("""COMPUTED_VALUE"""),"23 072 641")</f>
        <v>23 072 641</v>
      </c>
      <c r="I173" s="29"/>
      <c r="J173" s="29"/>
      <c r="K173" s="29"/>
      <c r="L173" s="29"/>
      <c r="M173" s="29"/>
      <c r="N173" s="29"/>
      <c r="O173" s="29"/>
      <c r="P173" s="29"/>
      <c r="Q173" s="29"/>
      <c r="R173" s="29"/>
      <c r="S173" s="29"/>
      <c r="T173" s="29"/>
      <c r="U173" s="29"/>
      <c r="V173" s="29"/>
      <c r="W173" s="29"/>
      <c r="X173" s="29"/>
      <c r="Y173" s="29"/>
      <c r="Z173" s="29"/>
    </row>
    <row r="174">
      <c r="A174" s="1"/>
      <c r="B174" s="1" t="str">
        <f>IFERROR(__xludf.DUMMYFUNCTION("""COMPUTED_VALUE"""),"États fédérés de Micronésie")</f>
        <v>États fédérés de Micronésie</v>
      </c>
      <c r="C174" s="1" t="str">
        <f>IFERROR(__xludf.DUMMYFUNCTION("""COMPUTED_VALUE"""),"31 765")</f>
        <v>31 765</v>
      </c>
      <c r="D174" s="1">
        <f>IFERROR(__xludf.DUMMYFUNCTION("""COMPUTED_VALUE"""),65.0)</f>
        <v>65</v>
      </c>
      <c r="E174" s="1">
        <f>IFERROR(__xludf.DUMMYFUNCTION("""COMPUTED_VALUE"""),579.0)</f>
        <v>579</v>
      </c>
      <c r="F174" s="1" t="str">
        <f>IFERROR(__xludf.DUMMYFUNCTION("""COMPUTED_VALUE"""),"112 122")</f>
        <v>112 122</v>
      </c>
      <c r="I174" s="29"/>
      <c r="J174" s="29"/>
      <c r="K174" s="29"/>
      <c r="L174" s="29"/>
      <c r="M174" s="29"/>
      <c r="N174" s="29"/>
      <c r="O174" s="29"/>
      <c r="P174" s="29"/>
      <c r="Q174" s="29"/>
      <c r="R174" s="29"/>
      <c r="S174" s="29"/>
      <c r="T174" s="29"/>
      <c r="U174" s="29"/>
      <c r="V174" s="29"/>
      <c r="W174" s="29"/>
      <c r="X174" s="29"/>
      <c r="Y174" s="29"/>
      <c r="Z174" s="29"/>
    </row>
    <row r="175">
      <c r="A175" s="1"/>
      <c r="B175" s="1" t="str">
        <f>IFERROR(__xludf.DUMMYFUNCTION("""COMPUTED_VALUE"""),"Îles Caïmans")</f>
        <v>Îles Caïmans</v>
      </c>
      <c r="C175" s="1" t="str">
        <f>IFERROR(__xludf.DUMMYFUNCTION("""COMPUTED_VALUE"""),"31 472")</f>
        <v>31 472</v>
      </c>
      <c r="D175" s="1">
        <f>IFERROR(__xludf.DUMMYFUNCTION("""COMPUTED_VALUE"""),37.0)</f>
        <v>37</v>
      </c>
      <c r="E175" s="1">
        <f>IFERROR(__xludf.DUMMYFUNCTION("""COMPUTED_VALUE"""),516.0)</f>
        <v>516</v>
      </c>
      <c r="F175" s="1" t="str">
        <f>IFERROR(__xludf.DUMMYFUNCTION("""COMPUTED_VALUE"""),"71 610")</f>
        <v>71 610</v>
      </c>
      <c r="I175" s="29"/>
      <c r="J175" s="29"/>
      <c r="K175" s="29"/>
      <c r="L175" s="29"/>
      <c r="M175" s="29"/>
      <c r="N175" s="29"/>
      <c r="O175" s="29"/>
      <c r="P175" s="29"/>
      <c r="Q175" s="29"/>
      <c r="R175" s="29"/>
      <c r="S175" s="29"/>
      <c r="T175" s="29"/>
      <c r="U175" s="29"/>
      <c r="V175" s="29"/>
      <c r="W175" s="29"/>
      <c r="X175" s="29"/>
      <c r="Y175" s="29"/>
      <c r="Z175" s="29"/>
    </row>
    <row r="176">
      <c r="A176" s="1"/>
      <c r="B176" s="1" t="str">
        <f>IFERROR(__xludf.DUMMYFUNCTION("""COMPUTED_VALUE"""),"Sainte-Lucie")</f>
        <v>Sainte-Lucie</v>
      </c>
      <c r="C176" s="1" t="str">
        <f>IFERROR(__xludf.DUMMYFUNCTION("""COMPUTED_VALUE"""),"30 254")</f>
        <v>30 254</v>
      </c>
      <c r="D176" s="1">
        <f>IFERROR(__xludf.DUMMYFUNCTION("""COMPUTED_VALUE"""),410.0)</f>
        <v>410</v>
      </c>
      <c r="E176" s="1" t="str">
        <f>IFERROR(__xludf.DUMMYFUNCTION("""COMPUTED_VALUE"""),"2 293")</f>
        <v>2 293</v>
      </c>
      <c r="F176" s="1" t="str">
        <f>IFERROR(__xludf.DUMMYFUNCTION("""COMPUTED_VALUE"""),"178 794")</f>
        <v>178 794</v>
      </c>
      <c r="I176" s="29"/>
      <c r="J176" s="29"/>
      <c r="K176" s="29"/>
      <c r="L176" s="29"/>
      <c r="M176" s="29"/>
      <c r="N176" s="29"/>
      <c r="O176" s="29"/>
      <c r="P176" s="29"/>
      <c r="Q176" s="29"/>
      <c r="R176" s="29"/>
      <c r="S176" s="29"/>
      <c r="T176" s="29"/>
      <c r="U176" s="29"/>
      <c r="V176" s="29"/>
      <c r="W176" s="29"/>
      <c r="X176" s="29"/>
      <c r="Y176" s="29"/>
      <c r="Z176" s="29"/>
    </row>
    <row r="177">
      <c r="A177" s="1"/>
      <c r="B177" s="1" t="str">
        <f>IFERROR(__xludf.DUMMYFUNCTION("""COMPUTED_VALUE"""),"Bénin")</f>
        <v>Bénin</v>
      </c>
      <c r="C177" s="1" t="str">
        <f>IFERROR(__xludf.DUMMYFUNCTION("""COMPUTED_VALUE"""),"28 036")</f>
        <v>28 036</v>
      </c>
      <c r="D177" s="1">
        <f>IFERROR(__xludf.DUMMYFUNCTION("""COMPUTED_VALUE"""),163.0)</f>
        <v>163</v>
      </c>
      <c r="E177" s="1">
        <f>IFERROR(__xludf.DUMMYFUNCTION("""COMPUTED_VALUE"""),11.0)</f>
        <v>11</v>
      </c>
      <c r="F177" s="1" t="str">
        <f>IFERROR(__xludf.DUMMYFUNCTION("""COMPUTED_VALUE"""),"13 759 507")</f>
        <v>13 759 507</v>
      </c>
      <c r="I177" s="29"/>
      <c r="J177" s="29"/>
      <c r="K177" s="29"/>
      <c r="L177" s="29"/>
      <c r="M177" s="29"/>
      <c r="N177" s="29"/>
      <c r="O177" s="29"/>
      <c r="P177" s="29"/>
      <c r="Q177" s="29"/>
      <c r="R177" s="29"/>
      <c r="S177" s="29"/>
      <c r="T177" s="29"/>
      <c r="U177" s="29"/>
      <c r="V177" s="29"/>
      <c r="W177" s="29"/>
      <c r="X177" s="29"/>
      <c r="Y177" s="29"/>
      <c r="Z177" s="29"/>
    </row>
    <row r="178">
      <c r="A178" s="1"/>
      <c r="B178" s="1" t="str">
        <f>IFERROR(__xludf.DUMMYFUNCTION("""COMPUTED_VALUE"""),"Somalie")</f>
        <v>Somalie</v>
      </c>
      <c r="C178" s="1" t="str">
        <f>IFERROR(__xludf.DUMMYFUNCTION("""COMPUTED_VALUE"""),"27 334")</f>
        <v>27 334</v>
      </c>
      <c r="D178" s="1" t="str">
        <f>IFERROR(__xludf.DUMMYFUNCTION("""COMPUTED_VALUE"""),"1 361")</f>
        <v>1 361</v>
      </c>
      <c r="E178" s="1">
        <f>IFERROR(__xludf.DUMMYFUNCTION("""COMPUTED_VALUE"""),76.0)</f>
        <v>76</v>
      </c>
      <c r="F178" s="1" t="str">
        <f>IFERROR(__xludf.DUMMYFUNCTION("""COMPUTED_VALUE"""),"17 801 895")</f>
        <v>17 801 895</v>
      </c>
      <c r="I178" s="29"/>
      <c r="J178" s="29"/>
      <c r="K178" s="29"/>
      <c r="L178" s="29"/>
      <c r="M178" s="29"/>
      <c r="N178" s="29"/>
      <c r="O178" s="29"/>
      <c r="P178" s="29"/>
      <c r="Q178" s="29"/>
      <c r="R178" s="29"/>
      <c r="S178" s="29"/>
      <c r="T178" s="29"/>
      <c r="U178" s="29"/>
      <c r="V178" s="29"/>
      <c r="W178" s="29"/>
      <c r="X178" s="29"/>
      <c r="Y178" s="29"/>
      <c r="Z178" s="29"/>
    </row>
    <row r="179">
      <c r="A179" s="1"/>
      <c r="B179" s="1" t="str">
        <f>IFERROR(__xludf.DUMMYFUNCTION("""COMPUTED_VALUE"""),"Îles Salomon")</f>
        <v>Îles Salomon</v>
      </c>
      <c r="C179" s="1" t="str">
        <f>IFERROR(__xludf.DUMMYFUNCTION("""COMPUTED_VALUE"""),"25 954")</f>
        <v>25 954</v>
      </c>
      <c r="D179" s="1">
        <f>IFERROR(__xludf.DUMMYFUNCTION("""COMPUTED_VALUE"""),199.0)</f>
        <v>199</v>
      </c>
      <c r="E179" s="1">
        <f>IFERROR(__xludf.DUMMYFUNCTION("""COMPUTED_VALUE"""),254.0)</f>
        <v>254</v>
      </c>
      <c r="F179" s="1" t="str">
        <f>IFERROR(__xludf.DUMMYFUNCTION("""COMPUTED_VALUE"""),"781 075")</f>
        <v>781 075</v>
      </c>
      <c r="I179" s="29"/>
      <c r="J179" s="29"/>
      <c r="K179" s="29"/>
      <c r="L179" s="29"/>
      <c r="M179" s="29"/>
      <c r="N179" s="29"/>
      <c r="O179" s="29"/>
      <c r="P179" s="29"/>
      <c r="Q179" s="29"/>
      <c r="R179" s="29"/>
      <c r="S179" s="29"/>
      <c r="T179" s="29"/>
      <c r="U179" s="29"/>
      <c r="V179" s="29"/>
      <c r="W179" s="29"/>
      <c r="X179" s="29"/>
      <c r="Y179" s="29"/>
      <c r="Z179" s="29"/>
    </row>
    <row r="180">
      <c r="A180" s="1"/>
      <c r="B180" s="1" t="str">
        <f>IFERROR(__xludf.DUMMYFUNCTION("""COMPUTED_VALUE"""),"Saint-Marin")</f>
        <v>Saint-Marin</v>
      </c>
      <c r="C180" s="1" t="str">
        <f>IFERROR(__xludf.DUMMYFUNCTION("""COMPUTED_VALUE"""),"25 292")</f>
        <v>25 292</v>
      </c>
      <c r="D180" s="1">
        <f>IFERROR(__xludf.DUMMYFUNCTION("""COMPUTED_VALUE"""),126.0)</f>
        <v>126</v>
      </c>
      <c r="E180" s="1" t="str">
        <f>IFERROR(__xludf.DUMMYFUNCTION("""COMPUTED_VALUE"""),"3 693")</f>
        <v>3 693</v>
      </c>
      <c r="F180" s="1" t="str">
        <f>IFERROR(__xludf.DUMMYFUNCTION("""COMPUTED_VALUE"""),"34 113")</f>
        <v>34 113</v>
      </c>
      <c r="I180" s="29"/>
      <c r="J180" s="29"/>
      <c r="K180" s="29"/>
      <c r="L180" s="29"/>
      <c r="M180" s="29"/>
      <c r="N180" s="29"/>
      <c r="O180" s="29"/>
      <c r="P180" s="29"/>
      <c r="Q180" s="29"/>
      <c r="R180" s="29"/>
      <c r="S180" s="29"/>
      <c r="T180" s="29"/>
      <c r="U180" s="29"/>
      <c r="V180" s="29"/>
      <c r="W180" s="29"/>
      <c r="X180" s="29"/>
      <c r="Y180" s="29"/>
      <c r="Z180" s="29"/>
    </row>
    <row r="181">
      <c r="A181" s="1"/>
      <c r="B181" s="1" t="str">
        <f>IFERROR(__xludf.DUMMYFUNCTION("""COMPUTED_VALUE"""),"République du Congo")</f>
        <v>République du Congo</v>
      </c>
      <c r="C181" s="1" t="str">
        <f>IFERROR(__xludf.DUMMYFUNCTION("""COMPUTED_VALUE"""),"25 234")</f>
        <v>25 234</v>
      </c>
      <c r="D181" s="1">
        <f>IFERROR(__xludf.DUMMYFUNCTION("""COMPUTED_VALUE"""),389.0)</f>
        <v>389</v>
      </c>
      <c r="E181" s="1">
        <f>IFERROR(__xludf.DUMMYFUNCTION("""COMPUTED_VALUE"""),64.0)</f>
        <v>64</v>
      </c>
      <c r="F181" s="1" t="str">
        <f>IFERROR(__xludf.DUMMYFUNCTION("""COMPUTED_VALUE"""),"6 035 104")</f>
        <v>6 035 104</v>
      </c>
      <c r="I181" s="29"/>
      <c r="J181" s="29"/>
      <c r="K181" s="29"/>
      <c r="L181" s="29"/>
      <c r="M181" s="29"/>
      <c r="N181" s="29"/>
      <c r="O181" s="29"/>
      <c r="P181" s="29"/>
      <c r="Q181" s="29"/>
      <c r="R181" s="29"/>
      <c r="S181" s="29"/>
      <c r="T181" s="29"/>
      <c r="U181" s="29"/>
      <c r="V181" s="29"/>
      <c r="W181" s="29"/>
      <c r="X181" s="29"/>
      <c r="Y181" s="29"/>
      <c r="Z181" s="29"/>
    </row>
    <row r="182">
      <c r="A182" s="1"/>
      <c r="B182" s="1" t="str">
        <f>IFERROR(__xludf.DUMMYFUNCTION("""COMPUTED_VALUE"""),"Timor oriental")</f>
        <v>Timor oriental</v>
      </c>
      <c r="C182" s="1" t="str">
        <f>IFERROR(__xludf.DUMMYFUNCTION("""COMPUTED_VALUE"""),"23 460")</f>
        <v>23 460</v>
      </c>
      <c r="D182" s="1">
        <f>IFERROR(__xludf.DUMMYFUNCTION("""COMPUTED_VALUE"""),138.0)</f>
        <v>138</v>
      </c>
      <c r="E182" s="1">
        <f>IFERROR(__xludf.DUMMYFUNCTION("""COMPUTED_VALUE"""),100.0)</f>
        <v>100</v>
      </c>
      <c r="F182" s="1" t="str">
        <f>IFERROR(__xludf.DUMMYFUNCTION("""COMPUTED_VALUE"""),"1 369 299")</f>
        <v>1 369 299</v>
      </c>
      <c r="I182" s="29"/>
      <c r="J182" s="29"/>
      <c r="K182" s="29"/>
      <c r="L182" s="29"/>
      <c r="M182" s="29"/>
      <c r="N182" s="29"/>
      <c r="O182" s="29"/>
      <c r="P182" s="29"/>
      <c r="Q182" s="29"/>
      <c r="R182" s="29"/>
      <c r="S182" s="29"/>
      <c r="T182" s="29"/>
      <c r="U182" s="29"/>
      <c r="V182" s="29"/>
      <c r="W182" s="29"/>
      <c r="X182" s="29"/>
      <c r="Y182" s="29"/>
      <c r="Z182" s="29"/>
    </row>
    <row r="183">
      <c r="A183" s="1"/>
      <c r="B183" s="1" t="str">
        <f>IFERROR(__xludf.DUMMYFUNCTION("""COMPUTED_VALUE"""),"Burkina Faso")</f>
        <v>Burkina Faso</v>
      </c>
      <c r="C183" s="1" t="str">
        <f>IFERROR(__xludf.DUMMYFUNCTION("""COMPUTED_VALUE"""),"22 217")</f>
        <v>22 217</v>
      </c>
      <c r="D183" s="1">
        <f>IFERROR(__xludf.DUMMYFUNCTION("""COMPUTED_VALUE"""),400.0)</f>
        <v>400</v>
      </c>
      <c r="E183" s="1">
        <f>IFERROR(__xludf.DUMMYFUNCTION("""COMPUTED_VALUE"""),17.0)</f>
        <v>17</v>
      </c>
      <c r="F183" s="1" t="str">
        <f>IFERROR(__xludf.DUMMYFUNCTION("""COMPUTED_VALUE"""),"22 509 038")</f>
        <v>22 509 038</v>
      </c>
      <c r="I183" s="29"/>
      <c r="J183" s="29"/>
      <c r="K183" s="29"/>
      <c r="L183" s="29"/>
      <c r="M183" s="29"/>
      <c r="N183" s="29"/>
      <c r="O183" s="29"/>
      <c r="P183" s="29"/>
      <c r="Q183" s="29"/>
      <c r="R183" s="29"/>
      <c r="S183" s="29"/>
      <c r="T183" s="29"/>
      <c r="U183" s="29"/>
      <c r="V183" s="29"/>
      <c r="W183" s="29"/>
      <c r="X183" s="29"/>
      <c r="Y183" s="29"/>
      <c r="Z183" s="29"/>
    </row>
    <row r="184">
      <c r="A184" s="1"/>
      <c r="B184" s="1" t="str">
        <f>IFERROR(__xludf.DUMMYFUNCTION("""COMPUTED_VALUE"""),"Liechtenstein")</f>
        <v>Liechtenstein</v>
      </c>
      <c r="C184" s="1" t="str">
        <f>IFERROR(__xludf.DUMMYFUNCTION("""COMPUTED_VALUE"""),"21 649")</f>
        <v>21 649</v>
      </c>
      <c r="D184" s="1">
        <f>IFERROR(__xludf.DUMMYFUNCTION("""COMPUTED_VALUE"""),89.0)</f>
        <v>89</v>
      </c>
      <c r="E184" s="1" t="str">
        <f>IFERROR(__xludf.DUMMYFUNCTION("""COMPUTED_VALUE"""),"2 262")</f>
        <v>2 262</v>
      </c>
      <c r="F184" s="1" t="str">
        <f>IFERROR(__xludf.DUMMYFUNCTION("""COMPUTED_VALUE"""),"39 338")</f>
        <v>39 338</v>
      </c>
      <c r="I184" s="29"/>
      <c r="J184" s="29"/>
      <c r="K184" s="29"/>
      <c r="L184" s="29"/>
      <c r="M184" s="29"/>
      <c r="N184" s="29"/>
      <c r="O184" s="29"/>
      <c r="P184" s="29"/>
      <c r="Q184" s="29"/>
      <c r="R184" s="29"/>
      <c r="S184" s="29"/>
      <c r="T184" s="29"/>
      <c r="U184" s="29"/>
      <c r="V184" s="29"/>
      <c r="W184" s="29"/>
      <c r="X184" s="29"/>
      <c r="Y184" s="29"/>
      <c r="Z184" s="29"/>
    </row>
    <row r="185">
      <c r="A185" s="1"/>
      <c r="B185" s="1" t="str">
        <f>IFERROR(__xludf.DUMMYFUNCTION("""COMPUTED_VALUE"""),"Gibraltar")</f>
        <v>Gibraltar</v>
      </c>
      <c r="C185" s="1" t="str">
        <f>IFERROR(__xludf.DUMMYFUNCTION("""COMPUTED_VALUE"""),"20 550")</f>
        <v>20 550</v>
      </c>
      <c r="D185" s="1">
        <f>IFERROR(__xludf.DUMMYFUNCTION("""COMPUTED_VALUE"""),113.0)</f>
        <v>113</v>
      </c>
      <c r="E185" s="1" t="str">
        <f>IFERROR(__xludf.DUMMYFUNCTION("""COMPUTED_VALUE"""),"3 002")</f>
        <v>3 002</v>
      </c>
      <c r="F185" s="1" t="str">
        <f>IFERROR(__xludf.DUMMYFUNCTION("""COMPUTED_VALUE"""),"37 631")</f>
        <v>37 631</v>
      </c>
      <c r="I185" s="29"/>
      <c r="J185" s="29"/>
      <c r="K185" s="29"/>
      <c r="L185" s="29"/>
      <c r="M185" s="29"/>
      <c r="N185" s="29"/>
      <c r="O185" s="29"/>
      <c r="P185" s="29"/>
      <c r="Q185" s="29"/>
      <c r="R185" s="29"/>
      <c r="S185" s="29"/>
      <c r="T185" s="29"/>
      <c r="U185" s="29"/>
      <c r="V185" s="29"/>
      <c r="W185" s="29"/>
      <c r="X185" s="29"/>
      <c r="Y185" s="29"/>
      <c r="Z185" s="29"/>
    </row>
    <row r="186">
      <c r="A186" s="1"/>
      <c r="B186" s="1" t="str">
        <f>IFERROR(__xludf.DUMMYFUNCTION("""COMPUTED_VALUE"""),"Grenade")</f>
        <v>Grenade</v>
      </c>
      <c r="C186" s="1" t="str">
        <f>IFERROR(__xludf.DUMMYFUNCTION("""COMPUTED_VALUE"""),"19 693")</f>
        <v>19 693</v>
      </c>
      <c r="D186" s="1">
        <f>IFERROR(__xludf.DUMMYFUNCTION("""COMPUTED_VALUE"""),238.0)</f>
        <v>238</v>
      </c>
      <c r="E186" s="1" t="str">
        <f>IFERROR(__xludf.DUMMYFUNCTION("""COMPUTED_VALUE"""),"2 035")</f>
        <v>2 035</v>
      </c>
      <c r="F186" s="1" t="str">
        <f>IFERROR(__xludf.DUMMYFUNCTION("""COMPUTED_VALUE"""),"116 928")</f>
        <v>116 928</v>
      </c>
      <c r="I186" s="29"/>
      <c r="J186" s="29"/>
      <c r="K186" s="29"/>
      <c r="L186" s="29"/>
      <c r="M186" s="29"/>
      <c r="N186" s="29"/>
      <c r="O186" s="29"/>
      <c r="P186" s="29"/>
      <c r="Q186" s="29"/>
      <c r="R186" s="29"/>
      <c r="S186" s="29"/>
      <c r="T186" s="29"/>
      <c r="U186" s="29"/>
      <c r="V186" s="29"/>
      <c r="W186" s="29"/>
      <c r="X186" s="29"/>
      <c r="Y186" s="29"/>
      <c r="Z186" s="29"/>
    </row>
    <row r="187">
      <c r="A187" s="1"/>
      <c r="B187" s="1" t="str">
        <f>IFERROR(__xludf.DUMMYFUNCTION("""COMPUTED_VALUE"""),"Soudan du Sud")</f>
        <v>Soudan du Sud</v>
      </c>
      <c r="C187" s="1" t="str">
        <f>IFERROR(__xludf.DUMMYFUNCTION("""COMPUTED_VALUE"""),"18 873")</f>
        <v>18 873</v>
      </c>
      <c r="D187" s="1">
        <f>IFERROR(__xludf.DUMMYFUNCTION("""COMPUTED_VALUE"""),147.0)</f>
        <v>147</v>
      </c>
      <c r="E187" s="1">
        <f>IFERROR(__xludf.DUMMYFUNCTION("""COMPUTED_VALUE"""),13.0)</f>
        <v>13</v>
      </c>
      <c r="F187" s="1" t="str">
        <f>IFERROR(__xludf.DUMMYFUNCTION("""COMPUTED_VALUE"""),"11 021 175")</f>
        <v>11 021 175</v>
      </c>
      <c r="I187" s="29"/>
      <c r="J187" s="29"/>
      <c r="K187" s="29"/>
      <c r="L187" s="29"/>
      <c r="M187" s="29"/>
      <c r="N187" s="29"/>
      <c r="O187" s="29"/>
      <c r="P187" s="29"/>
      <c r="Q187" s="29"/>
      <c r="R187" s="29"/>
      <c r="S187" s="29"/>
      <c r="T187" s="29"/>
      <c r="U187" s="29"/>
      <c r="V187" s="29"/>
      <c r="W187" s="29"/>
      <c r="X187" s="29"/>
      <c r="Y187" s="29"/>
      <c r="Z187" s="29"/>
    </row>
    <row r="188">
      <c r="A188" s="1"/>
      <c r="B188" s="1" t="str">
        <f>IFERROR(__xludf.DUMMYFUNCTION("""COMPUTED_VALUE"""),"Bermudes")</f>
        <v>Bermudes</v>
      </c>
      <c r="C188" s="1" t="str">
        <f>IFERROR(__xludf.DUMMYFUNCTION("""COMPUTED_VALUE"""),"18 860")</f>
        <v>18 860</v>
      </c>
      <c r="D188" s="1">
        <f>IFERROR(__xludf.DUMMYFUNCTION("""COMPUTED_VALUE"""),165.0)</f>
        <v>165</v>
      </c>
      <c r="E188" s="1" t="str">
        <f>IFERROR(__xludf.DUMMYFUNCTION("""COMPUTED_VALUE"""),"2 547")</f>
        <v>2 547</v>
      </c>
      <c r="F188" s="1" t="str">
        <f>IFERROR(__xludf.DUMMYFUNCTION("""COMPUTED_VALUE"""),"64 772")</f>
        <v>64 772</v>
      </c>
      <c r="I188" s="29"/>
      <c r="J188" s="29"/>
      <c r="K188" s="29"/>
      <c r="L188" s="29"/>
      <c r="M188" s="29"/>
      <c r="N188" s="29"/>
      <c r="O188" s="29"/>
      <c r="P188" s="29"/>
      <c r="Q188" s="29"/>
      <c r="R188" s="29"/>
      <c r="S188" s="29"/>
      <c r="T188" s="29"/>
      <c r="U188" s="29"/>
      <c r="V188" s="29"/>
      <c r="W188" s="29"/>
      <c r="X188" s="29"/>
      <c r="Y188" s="29"/>
      <c r="Z188" s="29"/>
    </row>
    <row r="189">
      <c r="A189" s="1"/>
      <c r="B189" s="1" t="str">
        <f>IFERROR(__xludf.DUMMYFUNCTION("""COMPUTED_VALUE"""),"Tadjikistan")</f>
        <v>Tadjikistan</v>
      </c>
      <c r="C189" s="1" t="str">
        <f>IFERROR(__xludf.DUMMYFUNCTION("""COMPUTED_VALUE"""),"17 786")</f>
        <v>17 786</v>
      </c>
      <c r="D189" s="1">
        <f>IFERROR(__xludf.DUMMYFUNCTION("""COMPUTED_VALUE"""),125.0)</f>
        <v>125</v>
      </c>
      <c r="E189" s="1">
        <f>IFERROR(__xludf.DUMMYFUNCTION("""COMPUTED_VALUE"""),12.0)</f>
        <v>12</v>
      </c>
      <c r="F189" s="1" t="str">
        <f>IFERROR(__xludf.DUMMYFUNCTION("""COMPUTED_VALUE"""),"10 182 228")</f>
        <v>10 182 228</v>
      </c>
      <c r="I189" s="29"/>
      <c r="J189" s="29"/>
      <c r="K189" s="29"/>
      <c r="L189" s="29"/>
      <c r="M189" s="29"/>
      <c r="N189" s="29"/>
      <c r="O189" s="29"/>
      <c r="P189" s="29"/>
      <c r="Q189" s="29"/>
      <c r="R189" s="29"/>
      <c r="S189" s="29"/>
      <c r="T189" s="29"/>
      <c r="U189" s="29"/>
      <c r="V189" s="29"/>
      <c r="W189" s="29"/>
      <c r="X189" s="29"/>
      <c r="Y189" s="29"/>
      <c r="Z189" s="29"/>
    </row>
    <row r="190">
      <c r="A190" s="1"/>
      <c r="B190" s="1" t="str">
        <f>IFERROR(__xludf.DUMMYFUNCTION("""COMPUTED_VALUE"""),"Monaco")</f>
        <v>Monaco</v>
      </c>
      <c r="C190" s="1" t="str">
        <f>IFERROR(__xludf.DUMMYFUNCTION("""COMPUTED_VALUE"""),"17 181")</f>
        <v>17 181</v>
      </c>
      <c r="D190" s="1">
        <f>IFERROR(__xludf.DUMMYFUNCTION("""COMPUTED_VALUE"""),67.0)</f>
        <v>67</v>
      </c>
      <c r="E190" s="1" t="str">
        <f>IFERROR(__xludf.DUMMYFUNCTION("""COMPUTED_VALUE"""),"1 720")</f>
        <v>1 720</v>
      </c>
      <c r="F190" s="1" t="str">
        <f>IFERROR(__xludf.DUMMYFUNCTION("""COMPUTED_VALUE"""),"38 950")</f>
        <v>38 950</v>
      </c>
      <c r="I190" s="29"/>
      <c r="J190" s="29"/>
      <c r="K190" s="29"/>
      <c r="L190" s="29"/>
      <c r="M190" s="29"/>
      <c r="N190" s="29"/>
      <c r="O190" s="29"/>
      <c r="P190" s="29"/>
      <c r="Q190" s="29"/>
      <c r="R190" s="29"/>
      <c r="S190" s="29"/>
      <c r="T190" s="29"/>
      <c r="U190" s="29"/>
      <c r="V190" s="29"/>
      <c r="W190" s="29"/>
      <c r="X190" s="29"/>
      <c r="Y190" s="29"/>
      <c r="Z190" s="29"/>
    </row>
    <row r="191">
      <c r="A191" s="1"/>
      <c r="B191" s="1" t="str">
        <f>IFERROR(__xludf.DUMMYFUNCTION("""COMPUTED_VALUE"""),"Guinée équatoriale")</f>
        <v>Guinée équatoriale</v>
      </c>
      <c r="C191" s="1" t="str">
        <f>IFERROR(__xludf.DUMMYFUNCTION("""COMPUTED_VALUE"""),"17 130")</f>
        <v>17 130</v>
      </c>
      <c r="D191" s="1">
        <f>IFERROR(__xludf.DUMMYFUNCTION("""COMPUTED_VALUE"""),183.0)</f>
        <v>183</v>
      </c>
      <c r="E191" s="1">
        <f>IFERROR(__xludf.DUMMYFUNCTION("""COMPUTED_VALUE"""),101.0)</f>
        <v>101</v>
      </c>
      <c r="F191" s="1" t="str">
        <f>IFERROR(__xludf.DUMMYFUNCTION("""COMPUTED_VALUE"""),"1 803 549")</f>
        <v>1 803 549</v>
      </c>
      <c r="I191" s="29"/>
      <c r="J191" s="29"/>
      <c r="K191" s="29"/>
      <c r="L191" s="29"/>
      <c r="M191" s="29"/>
      <c r="N191" s="29"/>
      <c r="O191" s="29"/>
      <c r="P191" s="29"/>
      <c r="Q191" s="29"/>
      <c r="R191" s="29"/>
      <c r="S191" s="29"/>
      <c r="T191" s="29"/>
      <c r="U191" s="29"/>
      <c r="V191" s="29"/>
      <c r="W191" s="29"/>
      <c r="X191" s="29"/>
      <c r="Y191" s="29"/>
      <c r="Z191" s="29"/>
    </row>
    <row r="192">
      <c r="A192" s="1"/>
      <c r="B192" s="1" t="str">
        <f>IFERROR(__xludf.DUMMYFUNCTION("""COMPUTED_VALUE"""),"Samoa")</f>
        <v>Samoa</v>
      </c>
      <c r="C192" s="1" t="str">
        <f>IFERROR(__xludf.DUMMYFUNCTION("""COMPUTED_VALUE"""),"17 057")</f>
        <v>17 057</v>
      </c>
      <c r="D192" s="1">
        <f>IFERROR(__xludf.DUMMYFUNCTION("""COMPUTED_VALUE"""),31.0)</f>
        <v>31</v>
      </c>
      <c r="E192" s="1">
        <f>IFERROR(__xludf.DUMMYFUNCTION("""COMPUTED_VALUE"""),144.0)</f>
        <v>144</v>
      </c>
      <c r="F192" s="1" t="str">
        <f>IFERROR(__xludf.DUMMYFUNCTION("""COMPUTED_VALUE"""),"215 270")</f>
        <v>215 270</v>
      </c>
      <c r="I192" s="29"/>
      <c r="J192" s="29"/>
      <c r="K192" s="29"/>
      <c r="L192" s="29"/>
      <c r="M192" s="29"/>
      <c r="N192" s="29"/>
      <c r="O192" s="29"/>
      <c r="P192" s="29"/>
      <c r="Q192" s="29"/>
      <c r="R192" s="29"/>
      <c r="S192" s="29"/>
      <c r="T192" s="29"/>
      <c r="U192" s="29"/>
      <c r="V192" s="29"/>
      <c r="W192" s="29"/>
      <c r="X192" s="29"/>
      <c r="Y192" s="29"/>
      <c r="Z192" s="29"/>
    </row>
    <row r="193">
      <c r="A193" s="1"/>
      <c r="B193" s="1" t="str">
        <f>IFERROR(__xludf.DUMMYFUNCTION("""COMPUTED_VALUE"""),"Tonga")</f>
        <v>Tonga</v>
      </c>
      <c r="C193" s="1" t="str">
        <f>IFERROR(__xludf.DUMMYFUNCTION("""COMPUTED_VALUE"""),"16 992")</f>
        <v>16 992</v>
      </c>
      <c r="D193" s="1">
        <f>IFERROR(__xludf.DUMMYFUNCTION("""COMPUTED_VALUE"""),13.0)</f>
        <v>13</v>
      </c>
      <c r="E193" s="1">
        <f>IFERROR(__xludf.DUMMYFUNCTION("""COMPUTED_VALUE"""),123.0)</f>
        <v>123</v>
      </c>
      <c r="F193" s="1" t="str">
        <f>IFERROR(__xludf.DUMMYFUNCTION("""COMPUTED_VALUE"""),"105 053")</f>
        <v>105 053</v>
      </c>
      <c r="I193" s="29"/>
      <c r="J193" s="29"/>
      <c r="K193" s="29"/>
      <c r="L193" s="29"/>
      <c r="M193" s="29"/>
      <c r="N193" s="29"/>
      <c r="O193" s="29"/>
      <c r="P193" s="29"/>
      <c r="Q193" s="29"/>
      <c r="R193" s="29"/>
      <c r="S193" s="29"/>
      <c r="T193" s="29"/>
      <c r="U193" s="29"/>
      <c r="V193" s="29"/>
      <c r="W193" s="29"/>
      <c r="X193" s="29"/>
      <c r="Y193" s="29"/>
      <c r="Z193" s="29"/>
    </row>
    <row r="194">
      <c r="A194" s="1"/>
      <c r="B194" s="1" t="str">
        <f>IFERROR(__xludf.DUMMYFUNCTION("""COMPUTED_VALUE"""),"Nicaragua")</f>
        <v>Nicaragua</v>
      </c>
      <c r="C194" s="1" t="str">
        <f>IFERROR(__xludf.DUMMYFUNCTION("""COMPUTED_VALUE"""),"16 803")</f>
        <v>16 803</v>
      </c>
      <c r="D194" s="1">
        <f>IFERROR(__xludf.DUMMYFUNCTION("""COMPUTED_VALUE"""),245.0)</f>
        <v>245</v>
      </c>
      <c r="E194" s="1">
        <f>IFERROR(__xludf.DUMMYFUNCTION("""COMPUTED_VALUE"""),36.0)</f>
        <v>36</v>
      </c>
      <c r="F194" s="1" t="str">
        <f>IFERROR(__xludf.DUMMYFUNCTION("""COMPUTED_VALUE"""),"6 730 662")</f>
        <v>6 730 662</v>
      </c>
      <c r="I194" s="29"/>
      <c r="J194" s="29"/>
      <c r="K194" s="29"/>
      <c r="L194" s="29"/>
      <c r="M194" s="29"/>
      <c r="N194" s="29"/>
      <c r="O194" s="29"/>
      <c r="P194" s="29"/>
      <c r="Q194" s="29"/>
      <c r="R194" s="29"/>
      <c r="S194" s="29"/>
      <c r="T194" s="29"/>
      <c r="U194" s="29"/>
      <c r="V194" s="29"/>
      <c r="W194" s="29"/>
      <c r="X194" s="29"/>
      <c r="Y194" s="29"/>
      <c r="Z194" s="29"/>
    </row>
    <row r="195">
      <c r="A195" s="1"/>
      <c r="B195" s="1" t="str">
        <f>IFERROR(__xludf.DUMMYFUNCTION("""COMPUTED_VALUE"""),"Îles Marshall")</f>
        <v>Îles Marshall</v>
      </c>
      <c r="C195" s="1" t="str">
        <f>IFERROR(__xludf.DUMMYFUNCTION("""COMPUTED_VALUE"""),"16 297")</f>
        <v>16 297</v>
      </c>
      <c r="D195" s="1">
        <f>IFERROR(__xludf.DUMMYFUNCTION("""COMPUTED_VALUE"""),17.0)</f>
        <v>17</v>
      </c>
      <c r="E195" s="1">
        <f>IFERROR(__xludf.DUMMYFUNCTION("""COMPUTED_VALUE"""),424.0)</f>
        <v>424</v>
      </c>
      <c r="F195" s="1" t="str">
        <f>IFERROR(__xludf.DUMMYFUNCTION("""COMPUTED_VALUE"""),"40 094")</f>
        <v>40 094</v>
      </c>
      <c r="I195" s="29"/>
      <c r="J195" s="29"/>
      <c r="K195" s="29"/>
      <c r="L195" s="29"/>
      <c r="M195" s="29"/>
      <c r="N195" s="29"/>
      <c r="O195" s="29"/>
      <c r="P195" s="29"/>
      <c r="Q195" s="29"/>
      <c r="R195" s="29"/>
      <c r="S195" s="29"/>
      <c r="T195" s="29"/>
      <c r="U195" s="29"/>
      <c r="V195" s="29"/>
      <c r="W195" s="29"/>
      <c r="X195" s="29"/>
      <c r="Y195" s="29"/>
      <c r="Z195" s="29"/>
    </row>
    <row r="196">
      <c r="A196" s="1"/>
      <c r="B196" s="1" t="str">
        <f>IFERROR(__xludf.DUMMYFUNCTION("""COMPUTED_VALUE"""),"Dominique")</f>
        <v>Dominique</v>
      </c>
      <c r="C196" s="1" t="str">
        <f>IFERROR(__xludf.DUMMYFUNCTION("""COMPUTED_VALUE"""),"16 047")</f>
        <v>16 047</v>
      </c>
      <c r="D196" s="1">
        <f>IFERROR(__xludf.DUMMYFUNCTION("""COMPUTED_VALUE"""),74.0)</f>
        <v>74</v>
      </c>
      <c r="E196" s="1" t="str">
        <f>IFERROR(__xludf.DUMMYFUNCTION("""COMPUTED_VALUE"""),"1 107")</f>
        <v>1 107</v>
      </c>
      <c r="F196" s="1" t="str">
        <f>IFERROR(__xludf.DUMMYFUNCTION("""COMPUTED_VALUE"""),"66 847")</f>
        <v>66 847</v>
      </c>
      <c r="I196" s="29"/>
      <c r="J196" s="29"/>
      <c r="K196" s="29"/>
      <c r="L196" s="29"/>
      <c r="M196" s="29"/>
      <c r="N196" s="29"/>
      <c r="O196" s="29"/>
      <c r="P196" s="29"/>
      <c r="Q196" s="29"/>
      <c r="R196" s="29"/>
      <c r="S196" s="29"/>
      <c r="T196" s="29"/>
      <c r="U196" s="29"/>
      <c r="V196" s="29"/>
      <c r="W196" s="29"/>
      <c r="X196" s="29"/>
      <c r="Y196" s="29"/>
      <c r="Z196" s="29"/>
    </row>
    <row r="197">
      <c r="A197" s="1"/>
      <c r="B197" s="1" t="str">
        <f>IFERROR(__xludf.DUMMYFUNCTION("""COMPUTED_VALUE"""),"Djibouti")</f>
        <v>Djibouti</v>
      </c>
      <c r="C197" s="1" t="str">
        <f>IFERROR(__xludf.DUMMYFUNCTION("""COMPUTED_VALUE"""),"15 690")</f>
        <v>15 690</v>
      </c>
      <c r="D197" s="1">
        <f>IFERROR(__xludf.DUMMYFUNCTION("""COMPUTED_VALUE"""),189.0)</f>
        <v>189</v>
      </c>
      <c r="E197" s="1">
        <f>IFERROR(__xludf.DUMMYFUNCTION("""COMPUTED_VALUE"""),166.0)</f>
        <v>166</v>
      </c>
      <c r="F197" s="1" t="str">
        <f>IFERROR(__xludf.DUMMYFUNCTION("""COMPUTED_VALUE"""),"1 137 101")</f>
        <v>1 137 101</v>
      </c>
      <c r="I197" s="29"/>
      <c r="J197" s="29"/>
      <c r="K197" s="29"/>
      <c r="L197" s="29"/>
      <c r="M197" s="29"/>
      <c r="N197" s="29"/>
      <c r="O197" s="29"/>
      <c r="P197" s="29"/>
      <c r="Q197" s="29"/>
      <c r="R197" s="29"/>
      <c r="S197" s="29"/>
      <c r="T197" s="29"/>
      <c r="U197" s="29"/>
      <c r="V197" s="29"/>
      <c r="W197" s="29"/>
      <c r="X197" s="29"/>
      <c r="Y197" s="29"/>
      <c r="Z197" s="29"/>
    </row>
    <row r="198">
      <c r="A198" s="1"/>
      <c r="B198" s="1" t="str">
        <f>IFERROR(__xludf.DUMMYFUNCTION("""COMPUTED_VALUE"""),"République centrafricaine")</f>
        <v>République centrafricaine</v>
      </c>
      <c r="C198" s="1" t="str">
        <f>IFERROR(__xludf.DUMMYFUNCTION("""COMPUTED_VALUE"""),"15 492")</f>
        <v>15 492</v>
      </c>
      <c r="D198" s="1">
        <f>IFERROR(__xludf.DUMMYFUNCTION("""COMPUTED_VALUE"""),113.0)</f>
        <v>113</v>
      </c>
      <c r="E198" s="1">
        <f>IFERROR(__xludf.DUMMYFUNCTION("""COMPUTED_VALUE"""),22.0)</f>
        <v>22</v>
      </c>
      <c r="F198" s="1" t="str">
        <f>IFERROR(__xludf.DUMMYFUNCTION("""COMPUTED_VALUE"""),"5 098 038")</f>
        <v>5 098 038</v>
      </c>
      <c r="I198" s="29"/>
      <c r="J198" s="29"/>
      <c r="K198" s="29"/>
      <c r="L198" s="29"/>
      <c r="M198" s="29"/>
      <c r="N198" s="29"/>
      <c r="O198" s="29"/>
      <c r="P198" s="29"/>
      <c r="Q198" s="29"/>
      <c r="R198" s="29"/>
      <c r="S198" s="29"/>
      <c r="T198" s="29"/>
      <c r="U198" s="29"/>
      <c r="V198" s="29"/>
      <c r="W198" s="29"/>
      <c r="X198" s="29"/>
      <c r="Y198" s="29"/>
      <c r="Z198" s="29"/>
    </row>
    <row r="199">
      <c r="A199" s="1"/>
      <c r="B199" s="1" t="str">
        <f>IFERROR(__xludf.DUMMYFUNCTION("""COMPUTED_VALUE"""),"Îles Mariannes du Nord")</f>
        <v>Îles Mariannes du Nord</v>
      </c>
      <c r="C199" s="1" t="str">
        <f>IFERROR(__xludf.DUMMYFUNCTION("""COMPUTED_VALUE"""),"14 985")</f>
        <v>14 985</v>
      </c>
      <c r="D199" s="1">
        <f>IFERROR(__xludf.DUMMYFUNCTION("""COMPUTED_VALUE"""),41.0)</f>
        <v>41</v>
      </c>
      <c r="E199" s="1">
        <f>IFERROR(__xludf.DUMMYFUNCTION("""COMPUTED_VALUE"""),889.0)</f>
        <v>889</v>
      </c>
      <c r="F199" s="1" t="str">
        <f>IFERROR(__xludf.DUMMYFUNCTION("""COMPUTED_VALUE"""),"46 101")</f>
        <v>46 101</v>
      </c>
      <c r="I199" s="29"/>
      <c r="J199" s="29"/>
      <c r="K199" s="29"/>
      <c r="L199" s="29"/>
      <c r="M199" s="29"/>
      <c r="N199" s="29"/>
      <c r="O199" s="29"/>
      <c r="P199" s="29"/>
      <c r="Q199" s="29"/>
      <c r="R199" s="29"/>
      <c r="S199" s="29"/>
      <c r="T199" s="29"/>
      <c r="U199" s="29"/>
      <c r="V199" s="29"/>
      <c r="W199" s="29"/>
      <c r="X199" s="29"/>
      <c r="Y199" s="29"/>
      <c r="Z199" s="29"/>
    </row>
    <row r="200">
      <c r="A200" s="1"/>
      <c r="B200" s="1" t="str">
        <f>IFERROR(__xludf.DUMMYFUNCTION("""COMPUTED_VALUE"""),"Gambie")</f>
        <v>Gambie</v>
      </c>
      <c r="C200" s="1" t="str">
        <f>IFERROR(__xludf.DUMMYFUNCTION("""COMPUTED_VALUE"""),"12 627")</f>
        <v>12 627</v>
      </c>
      <c r="D200" s="1">
        <f>IFERROR(__xludf.DUMMYFUNCTION("""COMPUTED_VALUE"""),372.0)</f>
        <v>372</v>
      </c>
      <c r="E200" s="1">
        <f>IFERROR(__xludf.DUMMYFUNCTION("""COMPUTED_VALUE"""),141.0)</f>
        <v>141</v>
      </c>
      <c r="F200" s="1" t="str">
        <f>IFERROR(__xludf.DUMMYFUNCTION("""COMPUTED_VALUE"""),"2 636 472")</f>
        <v>2 636 472</v>
      </c>
      <c r="I200" s="29"/>
      <c r="J200" s="29"/>
      <c r="K200" s="29"/>
      <c r="L200" s="29"/>
      <c r="M200" s="29"/>
      <c r="N200" s="29"/>
      <c r="O200" s="29"/>
      <c r="P200" s="29"/>
      <c r="Q200" s="29"/>
      <c r="R200" s="29"/>
      <c r="S200" s="29"/>
      <c r="T200" s="29"/>
      <c r="U200" s="29"/>
      <c r="V200" s="29"/>
      <c r="W200" s="29"/>
      <c r="X200" s="29"/>
      <c r="Y200" s="29"/>
      <c r="Z200" s="29"/>
    </row>
    <row r="201">
      <c r="A201" s="1"/>
      <c r="B201" s="1" t="str">
        <f>IFERROR(__xludf.DUMMYFUNCTION("""COMPUTED_VALUE"""),"Martinique")</f>
        <v>Martinique</v>
      </c>
      <c r="C201" s="1" t="str">
        <f>IFERROR(__xludf.DUMMYFUNCTION("""COMPUTED_VALUE"""),"12 324")</f>
        <v>12 324</v>
      </c>
      <c r="D201" s="1">
        <f>IFERROR(__xludf.DUMMYFUNCTION("""COMPUTED_VALUE"""),46.0)</f>
        <v>46</v>
      </c>
      <c r="E201" s="1" t="str">
        <f>IFERROR(__xludf.DUMMYFUNCTION("""COMPUTED_VALUE"""),"1 591")</f>
        <v>1 591</v>
      </c>
      <c r="F201" s="1" t="str">
        <f>IFERROR(__xludf.DUMMYFUNCTION("""COMPUTED_VALUE"""),"28 899")</f>
        <v>28 899</v>
      </c>
      <c r="I201" s="29"/>
      <c r="J201" s="29"/>
      <c r="K201" s="29"/>
      <c r="L201" s="29"/>
      <c r="M201" s="29"/>
      <c r="N201" s="29"/>
      <c r="O201" s="29"/>
      <c r="P201" s="29"/>
      <c r="Q201" s="29"/>
      <c r="R201" s="29"/>
      <c r="S201" s="29"/>
      <c r="T201" s="29"/>
      <c r="U201" s="29"/>
      <c r="V201" s="29"/>
      <c r="W201" s="29"/>
      <c r="X201" s="29"/>
      <c r="Y201" s="29"/>
      <c r="Z201" s="29"/>
    </row>
    <row r="202">
      <c r="A202" s="1"/>
      <c r="B202" s="1" t="str">
        <f>IFERROR(__xludf.DUMMYFUNCTION("""COMPUTED_VALUE"""),"Vanuatu")</f>
        <v>Vanuatu</v>
      </c>
      <c r="C202" s="1" t="str">
        <f>IFERROR(__xludf.DUMMYFUNCTION("""COMPUTED_VALUE"""),"12 019")</f>
        <v>12 019</v>
      </c>
      <c r="D202" s="1">
        <f>IFERROR(__xludf.DUMMYFUNCTION("""COMPUTED_VALUE"""),14.0)</f>
        <v>14</v>
      </c>
      <c r="E202" s="1">
        <f>IFERROR(__xludf.DUMMYFUNCTION("""COMPUTED_VALUE"""),44.0)</f>
        <v>44</v>
      </c>
      <c r="F202" s="1" t="str">
        <f>IFERROR(__xludf.DUMMYFUNCTION("""COMPUTED_VALUE"""),"313 061")</f>
        <v>313 061</v>
      </c>
      <c r="I202" s="29"/>
      <c r="J202" s="29"/>
      <c r="K202" s="29"/>
      <c r="L202" s="29"/>
      <c r="M202" s="29"/>
      <c r="N202" s="29"/>
      <c r="O202" s="29"/>
      <c r="P202" s="29"/>
      <c r="Q202" s="29"/>
      <c r="R202" s="29"/>
      <c r="S202" s="29"/>
      <c r="T202" s="29"/>
      <c r="U202" s="29"/>
      <c r="V202" s="29"/>
      <c r="W202" s="29"/>
      <c r="X202" s="29"/>
      <c r="Y202" s="29"/>
      <c r="Z202" s="29"/>
    </row>
    <row r="203">
      <c r="A203" s="1"/>
      <c r="B203" s="1" t="str">
        <f>IFERROR(__xludf.DUMMYFUNCTION("""COMPUTED_VALUE"""),"Groenland")</f>
        <v>Groenland</v>
      </c>
      <c r="C203" s="1" t="str">
        <f>IFERROR(__xludf.DUMMYFUNCTION("""COMPUTED_VALUE"""),"11 971")</f>
        <v>11 971</v>
      </c>
      <c r="D203" s="1">
        <f>IFERROR(__xludf.DUMMYFUNCTION("""COMPUTED_VALUE"""),21.0)</f>
        <v>21</v>
      </c>
      <c r="E203" s="1">
        <f>IFERROR(__xludf.DUMMYFUNCTION("""COMPUTED_VALUE"""),374.0)</f>
        <v>374</v>
      </c>
      <c r="F203" s="1" t="str">
        <f>IFERROR(__xludf.DUMMYFUNCTION("""COMPUTED_VALUE"""),"56 014")</f>
        <v>56 014</v>
      </c>
      <c r="I203" s="29"/>
      <c r="J203" s="29"/>
      <c r="K203" s="29"/>
      <c r="L203" s="29"/>
      <c r="M203" s="29"/>
      <c r="N203" s="29"/>
      <c r="O203" s="29"/>
      <c r="P203" s="29"/>
      <c r="Q203" s="29"/>
      <c r="R203" s="29"/>
      <c r="S203" s="29"/>
      <c r="T203" s="29"/>
      <c r="U203" s="29"/>
      <c r="V203" s="29"/>
      <c r="W203" s="29"/>
      <c r="X203" s="29"/>
      <c r="Y203" s="29"/>
      <c r="Z203" s="29"/>
    </row>
    <row r="204">
      <c r="A204" s="1"/>
      <c r="B204" s="1" t="str">
        <f>IFERROR(__xludf.DUMMYFUNCTION("""COMPUTED_VALUE"""),"Yémen")</f>
        <v>Yémen</v>
      </c>
      <c r="C204" s="1" t="str">
        <f>IFERROR(__xludf.DUMMYFUNCTION("""COMPUTED_VALUE"""),"11 945")</f>
        <v>11 945</v>
      </c>
      <c r="D204" s="1" t="str">
        <f>IFERROR(__xludf.DUMMYFUNCTION("""COMPUTED_VALUE"""),"2 159")</f>
        <v>2 159</v>
      </c>
      <c r="E204" s="1">
        <f>IFERROR(__xludf.DUMMYFUNCTION("""COMPUTED_VALUE"""),56.0)</f>
        <v>56</v>
      </c>
      <c r="F204" s="1" t="str">
        <f>IFERROR(__xludf.DUMMYFUNCTION("""COMPUTED_VALUE"""),"38 222 878")</f>
        <v>38 222 878</v>
      </c>
      <c r="I204" s="29"/>
      <c r="J204" s="29"/>
      <c r="K204" s="29"/>
      <c r="L204" s="29"/>
      <c r="M204" s="29"/>
      <c r="N204" s="29"/>
      <c r="O204" s="29"/>
      <c r="P204" s="29"/>
      <c r="Q204" s="29"/>
      <c r="R204" s="29"/>
      <c r="S204" s="29"/>
      <c r="T204" s="29"/>
      <c r="U204" s="29"/>
      <c r="V204" s="29"/>
      <c r="W204" s="29"/>
      <c r="X204" s="29"/>
      <c r="Y204" s="29"/>
      <c r="Z204" s="29"/>
    </row>
    <row r="205">
      <c r="A205" s="1"/>
      <c r="B205" s="1" t="str">
        <f>IFERROR(__xludf.DUMMYFUNCTION("""COMPUTED_VALUE"""),"Pays-Bas caribéens")</f>
        <v>Pays-Bas caribéens</v>
      </c>
      <c r="C205" s="1" t="str">
        <f>IFERROR(__xludf.DUMMYFUNCTION("""COMPUTED_VALUE"""),"11 922")</f>
        <v>11 922</v>
      </c>
      <c r="D205" s="1">
        <f>IFERROR(__xludf.DUMMYFUNCTION("""COMPUTED_VALUE"""),41.0)</f>
        <v>41</v>
      </c>
      <c r="E205" s="1" t="str">
        <f>IFERROR(__xludf.DUMMYFUNCTION("""COMPUTED_VALUE"""),"1 430")</f>
        <v>1 430</v>
      </c>
      <c r="F205" s="1" t="str">
        <f>IFERROR(__xludf.DUMMYFUNCTION("""COMPUTED_VALUE"""),"28 654")</f>
        <v>28 654</v>
      </c>
      <c r="I205" s="29"/>
      <c r="J205" s="29"/>
      <c r="K205" s="29"/>
      <c r="L205" s="29"/>
      <c r="M205" s="29"/>
      <c r="N205" s="29"/>
      <c r="O205" s="29"/>
      <c r="P205" s="29"/>
      <c r="Q205" s="29"/>
      <c r="R205" s="29"/>
      <c r="S205" s="29"/>
      <c r="T205" s="29"/>
      <c r="U205" s="29"/>
      <c r="V205" s="29"/>
      <c r="W205" s="29"/>
      <c r="X205" s="29"/>
      <c r="Y205" s="29"/>
      <c r="Z205" s="29"/>
    </row>
    <row r="206">
      <c r="A206" s="1"/>
      <c r="B206" s="1" t="str">
        <f>IFERROR(__xludf.DUMMYFUNCTION("""COMPUTED_VALUE"""),"Saint-Martin (royaume des Pays-Bas)")</f>
        <v>Saint-Martin (royaume des Pays-Bas)</v>
      </c>
      <c r="C206" s="1" t="str">
        <f>IFERROR(__xludf.DUMMYFUNCTION("""COMPUTED_VALUE"""),"11 051")</f>
        <v>11 051</v>
      </c>
      <c r="D206" s="1">
        <f>IFERROR(__xludf.DUMMYFUNCTION("""COMPUTED_VALUE"""),92.0)</f>
        <v>92</v>
      </c>
      <c r="E206" s="1" t="str">
        <f>IFERROR(__xludf.DUMMYFUNCTION("""COMPUTED_VALUE"""),"2 182")</f>
        <v>2 182</v>
      </c>
      <c r="F206" s="1" t="str">
        <f>IFERROR(__xludf.DUMMYFUNCTION("""COMPUTED_VALUE"""),"42 163")</f>
        <v>42 163</v>
      </c>
      <c r="I206" s="29"/>
      <c r="J206" s="29"/>
      <c r="K206" s="29"/>
      <c r="L206" s="29"/>
      <c r="M206" s="29"/>
      <c r="N206" s="29"/>
      <c r="O206" s="29"/>
      <c r="P206" s="29"/>
      <c r="Q206" s="29"/>
      <c r="R206" s="29"/>
      <c r="S206" s="29"/>
      <c r="T206" s="29"/>
      <c r="U206" s="29"/>
      <c r="V206" s="29"/>
      <c r="W206" s="29"/>
      <c r="X206" s="29"/>
      <c r="Y206" s="29"/>
      <c r="Z206" s="29"/>
    </row>
    <row r="207">
      <c r="A207" s="1"/>
      <c r="B207" s="1" t="str">
        <f>IFERROR(__xludf.DUMMYFUNCTION("""COMPUTED_VALUE"""),"Érythrée")</f>
        <v>Érythrée</v>
      </c>
      <c r="C207" s="1" t="str">
        <f>IFERROR(__xludf.DUMMYFUNCTION("""COMPUTED_VALUE"""),"10 189")</f>
        <v>10 189</v>
      </c>
      <c r="D207" s="1">
        <f>IFERROR(__xludf.DUMMYFUNCTION("""COMPUTED_VALUE"""),103.0)</f>
        <v>103</v>
      </c>
      <c r="E207" s="1">
        <f>IFERROR(__xludf.DUMMYFUNCTION("""COMPUTED_VALUE"""),30.0)</f>
        <v>30</v>
      </c>
      <c r="F207" s="1" t="str">
        <f>IFERROR(__xludf.DUMMYFUNCTION("""COMPUTED_VALUE"""),"3 409 450")</f>
        <v>3 409 450</v>
      </c>
      <c r="I207" s="29"/>
      <c r="J207" s="29"/>
      <c r="K207" s="29"/>
      <c r="L207" s="29"/>
      <c r="M207" s="29"/>
      <c r="N207" s="29"/>
      <c r="O207" s="29"/>
      <c r="P207" s="29"/>
      <c r="Q207" s="29"/>
      <c r="R207" s="29"/>
      <c r="S207" s="29"/>
      <c r="T207" s="29"/>
      <c r="U207" s="29"/>
      <c r="V207" s="29"/>
      <c r="W207" s="29"/>
      <c r="X207" s="29"/>
      <c r="Y207" s="29"/>
      <c r="Z207" s="29"/>
    </row>
    <row r="208">
      <c r="A208" s="1"/>
      <c r="B208" s="1" t="str">
        <f>IFERROR(__xludf.DUMMYFUNCTION("""COMPUTED_VALUE"""),"Saint-Vincent-et-les-Grenadines")</f>
        <v>Saint-Vincent-et-les-Grenadines</v>
      </c>
      <c r="C208" s="1" t="str">
        <f>IFERROR(__xludf.DUMMYFUNCTION("""COMPUTED_VALUE"""),"9 674")</f>
        <v>9 674</v>
      </c>
      <c r="D208" s="1">
        <f>IFERROR(__xludf.DUMMYFUNCTION("""COMPUTED_VALUE"""),124.0)</f>
        <v>124</v>
      </c>
      <c r="E208" s="1" t="str">
        <f>IFERROR(__xludf.DUMMYFUNCTION("""COMPUTED_VALUE"""),"1 214")</f>
        <v>1 214</v>
      </c>
      <c r="F208" s="1" t="str">
        <f>IFERROR(__xludf.DUMMYFUNCTION("""COMPUTED_VALUE"""),"102 063")</f>
        <v>102 063</v>
      </c>
      <c r="I208" s="29"/>
      <c r="J208" s="29"/>
      <c r="K208" s="29"/>
      <c r="L208" s="29"/>
      <c r="M208" s="29"/>
      <c r="N208" s="29"/>
      <c r="O208" s="29"/>
      <c r="P208" s="29"/>
      <c r="Q208" s="29"/>
      <c r="R208" s="29"/>
      <c r="S208" s="29"/>
      <c r="T208" s="29"/>
      <c r="U208" s="29"/>
      <c r="V208" s="29"/>
      <c r="W208" s="29"/>
      <c r="X208" s="29"/>
      <c r="Y208" s="29"/>
      <c r="Z208" s="29"/>
    </row>
    <row r="209">
      <c r="A209" s="1"/>
      <c r="B209" s="1" t="str">
        <f>IFERROR(__xludf.DUMMYFUNCTION("""COMPUTED_VALUE"""),"Guinée-Bissau")</f>
        <v>Guinée-Bissau</v>
      </c>
      <c r="C209" s="1" t="str">
        <f>IFERROR(__xludf.DUMMYFUNCTION("""COMPUTED_VALUE"""),"9 614")</f>
        <v>9 614</v>
      </c>
      <c r="D209" s="1">
        <f>IFERROR(__xludf.DUMMYFUNCTION("""COMPUTED_VALUE"""),177.0)</f>
        <v>177</v>
      </c>
      <c r="E209" s="1">
        <f>IFERROR(__xludf.DUMMYFUNCTION("""COMPUTED_VALUE"""),84.0)</f>
        <v>84</v>
      </c>
      <c r="F209" s="1" t="str">
        <f>IFERROR(__xludf.DUMMYFUNCTION("""COMPUTED_VALUE"""),"2 105 535")</f>
        <v>2 105 535</v>
      </c>
      <c r="I209" s="29"/>
      <c r="J209" s="29"/>
      <c r="K209" s="29"/>
      <c r="L209" s="29"/>
      <c r="M209" s="29"/>
      <c r="N209" s="29"/>
      <c r="O209" s="29"/>
      <c r="P209" s="29"/>
      <c r="Q209" s="29"/>
      <c r="R209" s="29"/>
      <c r="S209" s="29"/>
      <c r="T209" s="29"/>
      <c r="U209" s="29"/>
      <c r="V209" s="29"/>
      <c r="W209" s="29"/>
      <c r="X209" s="29"/>
      <c r="Y209" s="29"/>
      <c r="Z209" s="29"/>
    </row>
    <row r="210">
      <c r="A210" s="1"/>
      <c r="B210" s="1" t="str">
        <f>IFERROR(__xludf.DUMMYFUNCTION("""COMPUTED_VALUE"""),"Niger")</f>
        <v>Niger</v>
      </c>
      <c r="C210" s="1" t="str">
        <f>IFERROR(__xludf.DUMMYFUNCTION("""COMPUTED_VALUE"""),"9 573")</f>
        <v>9 573</v>
      </c>
      <c r="D210" s="1">
        <f>IFERROR(__xludf.DUMMYFUNCTION("""COMPUTED_VALUE"""),315.0)</f>
        <v>315</v>
      </c>
      <c r="E210" s="1">
        <f>IFERROR(__xludf.DUMMYFUNCTION("""COMPUTED_VALUE"""),12.0)</f>
        <v>12</v>
      </c>
      <c r="F210" s="1" t="str">
        <f>IFERROR(__xludf.DUMMYFUNCTION("""COMPUTED_VALUE"""),"25 311 978")</f>
        <v>25 311 978</v>
      </c>
      <c r="I210" s="29"/>
      <c r="J210" s="29"/>
      <c r="K210" s="29"/>
      <c r="L210" s="29"/>
      <c r="M210" s="29"/>
      <c r="N210" s="29"/>
      <c r="O210" s="29"/>
      <c r="P210" s="29"/>
      <c r="Q210" s="29"/>
      <c r="R210" s="29"/>
      <c r="S210" s="29"/>
      <c r="T210" s="29"/>
      <c r="U210" s="29"/>
      <c r="V210" s="29"/>
      <c r="W210" s="29"/>
      <c r="X210" s="29"/>
      <c r="Y210" s="29"/>
      <c r="Z210" s="29"/>
    </row>
    <row r="211">
      <c r="A211" s="1"/>
      <c r="B211" s="1" t="str">
        <f>IFERROR(__xludf.DUMMYFUNCTION("""COMPUTED_VALUE"""),"Comores")</f>
        <v>Comores</v>
      </c>
      <c r="C211" s="1" t="str">
        <f>IFERROR(__xludf.DUMMYFUNCTION("""COMPUTED_VALUE"""),"9 109")</f>
        <v>9 109</v>
      </c>
      <c r="D211" s="1">
        <f>IFERROR(__xludf.DUMMYFUNCTION("""COMPUTED_VALUE"""),161.0)</f>
        <v>161</v>
      </c>
      <c r="E211" s="1">
        <f>IFERROR(__xludf.DUMMYFUNCTION("""COMPUTED_VALUE"""),193.0)</f>
        <v>193</v>
      </c>
      <c r="F211" s="1" t="str">
        <f>IFERROR(__xludf.DUMMYFUNCTION("""COMPUTED_VALUE"""),"834 191")</f>
        <v>834 191</v>
      </c>
      <c r="I211" s="29"/>
      <c r="J211" s="29"/>
      <c r="K211" s="29"/>
      <c r="L211" s="29"/>
      <c r="M211" s="29"/>
      <c r="N211" s="29"/>
      <c r="O211" s="29"/>
      <c r="P211" s="29"/>
      <c r="Q211" s="29"/>
      <c r="R211" s="29"/>
      <c r="S211" s="29"/>
      <c r="T211" s="29"/>
      <c r="U211" s="29"/>
      <c r="V211" s="29"/>
      <c r="W211" s="29"/>
      <c r="X211" s="29"/>
      <c r="Y211" s="29"/>
      <c r="Z211" s="29"/>
    </row>
    <row r="212">
      <c r="A212" s="1"/>
      <c r="B212" s="1" t="str">
        <f>IFERROR(__xludf.DUMMYFUNCTION("""COMPUTED_VALUE"""),"Antigua-et-Barbuda")</f>
        <v>Antigua-et-Barbuda</v>
      </c>
      <c r="C212" s="1" t="str">
        <f>IFERROR(__xludf.DUMMYFUNCTION("""COMPUTED_VALUE"""),"9 106")</f>
        <v>9 106</v>
      </c>
      <c r="D212" s="1">
        <f>IFERROR(__xludf.DUMMYFUNCTION("""COMPUTED_VALUE"""),146.0)</f>
        <v>146</v>
      </c>
      <c r="E212" s="1" t="str">
        <f>IFERROR(__xludf.DUMMYFUNCTION("""COMPUTED_VALUE"""),"1 572")</f>
        <v>1 572</v>
      </c>
      <c r="F212" s="1" t="str">
        <f>IFERROR(__xludf.DUMMYFUNCTION("""COMPUTED_VALUE"""),"92 850")</f>
        <v>92 850</v>
      </c>
      <c r="I212" s="29"/>
      <c r="J212" s="29"/>
      <c r="K212" s="29"/>
      <c r="L212" s="29"/>
      <c r="M212" s="29"/>
      <c r="N212" s="29"/>
      <c r="O212" s="29"/>
      <c r="P212" s="29"/>
      <c r="Q212" s="29"/>
      <c r="R212" s="29"/>
      <c r="S212" s="29"/>
      <c r="T212" s="29"/>
      <c r="U212" s="29"/>
      <c r="V212" s="29"/>
      <c r="W212" s="29"/>
      <c r="X212" s="29"/>
      <c r="Y212" s="29"/>
      <c r="Z212" s="29"/>
    </row>
    <row r="213">
      <c r="A213" s="1"/>
      <c r="B213" s="1" t="str">
        <f>IFERROR(__xludf.DUMMYFUNCTION("""COMPUTED_VALUE"""),"Samoa américaines")</f>
        <v>Samoa américaines</v>
      </c>
      <c r="C213" s="1" t="str">
        <f>IFERROR(__xludf.DUMMYFUNCTION("""COMPUTED_VALUE"""),"8 359")</f>
        <v>8 359</v>
      </c>
      <c r="D213" s="1">
        <f>IFERROR(__xludf.DUMMYFUNCTION("""COMPUTED_VALUE"""),34.0)</f>
        <v>34</v>
      </c>
      <c r="E213" s="1">
        <f>IFERROR(__xludf.DUMMYFUNCTION("""COMPUTED_VALUE"""),702.0)</f>
        <v>702</v>
      </c>
      <c r="F213" s="1" t="str">
        <f>IFERROR(__xludf.DUMMYFUNCTION("""COMPUTED_VALUE"""),"48 365")</f>
        <v>48 365</v>
      </c>
      <c r="I213" s="29"/>
      <c r="J213" s="29"/>
      <c r="K213" s="29"/>
      <c r="L213" s="29"/>
      <c r="M213" s="29"/>
      <c r="N213" s="29"/>
      <c r="O213" s="29"/>
      <c r="P213" s="29"/>
      <c r="Q213" s="29"/>
      <c r="R213" s="29"/>
      <c r="S213" s="29"/>
      <c r="T213" s="29"/>
      <c r="U213" s="29"/>
      <c r="V213" s="29"/>
      <c r="W213" s="29"/>
      <c r="X213" s="29"/>
      <c r="Y213" s="29"/>
      <c r="Z213" s="29"/>
    </row>
    <row r="214">
      <c r="A214" s="1"/>
      <c r="B214" s="1" t="str">
        <f>IFERROR(__xludf.DUMMYFUNCTION("""COMPUTED_VALUE"""),"Liberia")</f>
        <v>Liberia</v>
      </c>
      <c r="C214" s="1" t="str">
        <f>IFERROR(__xludf.DUMMYFUNCTION("""COMPUTED_VALUE"""),"8 090")</f>
        <v>8 090</v>
      </c>
      <c r="D214" s="1">
        <f>IFERROR(__xludf.DUMMYFUNCTION("""COMPUTED_VALUE"""),294.0)</f>
        <v>294</v>
      </c>
      <c r="E214" s="1">
        <f>IFERROR(__xludf.DUMMYFUNCTION("""COMPUTED_VALUE"""),54.0)</f>
        <v>54</v>
      </c>
      <c r="F214" s="1" t="str">
        <f>IFERROR(__xludf.DUMMYFUNCTION("""COMPUTED_VALUE"""),"5 373 297")</f>
        <v>5 373 297</v>
      </c>
      <c r="I214" s="29"/>
      <c r="J214" s="29"/>
      <c r="K214" s="29"/>
      <c r="L214" s="29"/>
      <c r="M214" s="29"/>
      <c r="N214" s="29"/>
      <c r="O214" s="29"/>
      <c r="P214" s="29"/>
      <c r="Q214" s="29"/>
      <c r="R214" s="29"/>
      <c r="S214" s="29"/>
      <c r="T214" s="29"/>
      <c r="U214" s="29"/>
      <c r="V214" s="29"/>
      <c r="W214" s="29"/>
      <c r="X214" s="29"/>
      <c r="Y214" s="29"/>
      <c r="Z214" s="29"/>
    </row>
    <row r="215">
      <c r="A215" s="1"/>
      <c r="B215" s="1" t="str">
        <f>IFERROR(__xludf.DUMMYFUNCTION("""COMPUTED_VALUE"""),"Sierra Leone")</f>
        <v>Sierra Leone</v>
      </c>
      <c r="C215" s="1" t="str">
        <f>IFERROR(__xludf.DUMMYFUNCTION("""COMPUTED_VALUE"""),"7 985")</f>
        <v>7 985</v>
      </c>
      <c r="D215" s="1">
        <f>IFERROR(__xludf.DUMMYFUNCTION("""COMPUTED_VALUE"""),126.0)</f>
        <v>126</v>
      </c>
      <c r="E215" s="1">
        <f>IFERROR(__xludf.DUMMYFUNCTION("""COMPUTED_VALUE"""),15.0)</f>
        <v>15</v>
      </c>
      <c r="F215" s="1" t="str">
        <f>IFERROR(__xludf.DUMMYFUNCTION("""COMPUTED_VALUE"""),"8 276 809")</f>
        <v>8 276 809</v>
      </c>
      <c r="I215" s="29"/>
      <c r="J215" s="29"/>
      <c r="K215" s="29"/>
      <c r="L215" s="29"/>
      <c r="M215" s="29"/>
      <c r="N215" s="29"/>
      <c r="O215" s="29"/>
      <c r="P215" s="29"/>
      <c r="Q215" s="29"/>
      <c r="R215" s="29"/>
      <c r="S215" s="29"/>
      <c r="T215" s="29"/>
      <c r="U215" s="29"/>
      <c r="V215" s="29"/>
      <c r="W215" s="29"/>
      <c r="X215" s="29"/>
      <c r="Y215" s="29"/>
      <c r="Z215" s="29"/>
    </row>
    <row r="216">
      <c r="A216" s="1"/>
      <c r="B216" s="1" t="str">
        <f>IFERROR(__xludf.DUMMYFUNCTION("""COMPUTED_VALUE"""),"Tchad")</f>
        <v>Tchad</v>
      </c>
      <c r="C216" s="1" t="str">
        <f>IFERROR(__xludf.DUMMYFUNCTION("""COMPUTED_VALUE"""),"7 702")</f>
        <v>7 702</v>
      </c>
      <c r="D216" s="1">
        <f>IFERROR(__xludf.DUMMYFUNCTION("""COMPUTED_VALUE"""),194.0)</f>
        <v>194</v>
      </c>
      <c r="E216" s="1">
        <f>IFERROR(__xludf.DUMMYFUNCTION("""COMPUTED_VALUE"""),10.0)</f>
        <v>10</v>
      </c>
      <c r="F216" s="1" t="str">
        <f>IFERROR(__xludf.DUMMYFUNCTION("""COMPUTED_VALUE"""),"18 455 319")</f>
        <v>18 455 319</v>
      </c>
      <c r="I216" s="29"/>
      <c r="J216" s="29"/>
      <c r="K216" s="29"/>
      <c r="L216" s="29"/>
      <c r="M216" s="29"/>
      <c r="N216" s="29"/>
      <c r="O216" s="29"/>
      <c r="P216" s="29"/>
      <c r="Q216" s="29"/>
      <c r="R216" s="29"/>
      <c r="S216" s="29"/>
      <c r="T216" s="29"/>
      <c r="U216" s="29"/>
      <c r="V216" s="29"/>
      <c r="W216" s="29"/>
      <c r="X216" s="29"/>
      <c r="Y216" s="29"/>
      <c r="Z216" s="29"/>
    </row>
    <row r="217">
      <c r="A217" s="1"/>
      <c r="B217" s="1" t="str">
        <f>IFERROR(__xludf.DUMMYFUNCTION("""COMPUTED_VALUE"""),"Îles Vierges britanniques")</f>
        <v>Îles Vierges britanniques</v>
      </c>
      <c r="C217" s="1" t="str">
        <f>IFERROR(__xludf.DUMMYFUNCTION("""COMPUTED_VALUE"""),"7 661")</f>
        <v>7 661</v>
      </c>
      <c r="D217" s="1">
        <f>IFERROR(__xludf.DUMMYFUNCTION("""COMPUTED_VALUE"""),64.0)</f>
        <v>64</v>
      </c>
      <c r="E217" s="1" t="str">
        <f>IFERROR(__xludf.DUMMYFUNCTION("""COMPUTED_VALUE"""),"1 669")</f>
        <v>1 669</v>
      </c>
      <c r="F217" s="1" t="str">
        <f>IFERROR(__xludf.DUMMYFUNCTION("""COMPUTED_VALUE"""),"38 346")</f>
        <v>38 346</v>
      </c>
      <c r="I217" s="29"/>
      <c r="J217" s="29"/>
      <c r="K217" s="29"/>
      <c r="L217" s="29"/>
      <c r="M217" s="29"/>
      <c r="N217" s="29"/>
      <c r="O217" s="29"/>
      <c r="P217" s="29"/>
      <c r="Q217" s="29"/>
      <c r="R217" s="29"/>
      <c r="S217" s="29"/>
      <c r="T217" s="29"/>
      <c r="U217" s="29"/>
      <c r="V217" s="29"/>
      <c r="W217" s="29"/>
      <c r="X217" s="29"/>
      <c r="Y217" s="29"/>
      <c r="Z217" s="29"/>
    </row>
    <row r="218">
      <c r="A218" s="1"/>
      <c r="B218" s="1" t="str">
        <f>IFERROR(__xludf.DUMMYFUNCTION("""COMPUTED_VALUE"""),"Îles Cook")</f>
        <v>Îles Cook</v>
      </c>
      <c r="C218" s="1" t="str">
        <f>IFERROR(__xludf.DUMMYFUNCTION("""COMPUTED_VALUE"""),"7 375")</f>
        <v>7 375</v>
      </c>
      <c r="D218" s="1">
        <f>IFERROR(__xludf.DUMMYFUNCTION("""COMPUTED_VALUE"""),2.0)</f>
        <v>2</v>
      </c>
      <c r="E218" s="1">
        <f>IFERROR(__xludf.DUMMYFUNCTION("""COMPUTED_VALUE"""),135.0)</f>
        <v>135</v>
      </c>
      <c r="F218" s="1" t="str">
        <f>IFERROR(__xludf.DUMMYFUNCTION("""COMPUTED_VALUE"""),"14 747")</f>
        <v>14 747</v>
      </c>
      <c r="I218" s="29"/>
      <c r="J218" s="29"/>
      <c r="K218" s="29"/>
      <c r="L218" s="29"/>
      <c r="M218" s="29"/>
      <c r="N218" s="29"/>
      <c r="O218" s="29"/>
      <c r="P218" s="29"/>
      <c r="Q218" s="29"/>
      <c r="R218" s="29"/>
      <c r="S218" s="29"/>
      <c r="T218" s="29"/>
      <c r="U218" s="29"/>
      <c r="V218" s="29"/>
      <c r="W218" s="29"/>
      <c r="X218" s="29"/>
      <c r="Y218" s="29"/>
      <c r="Z218" s="29"/>
    </row>
    <row r="219">
      <c r="A219" s="1"/>
      <c r="B219" s="1" t="str">
        <f>IFERROR(__xludf.DUMMYFUNCTION("""COMPUTED_VALUE"""),"Îles Turques-et-Caïques")</f>
        <v>Îles Turques-et-Caïques</v>
      </c>
      <c r="C219" s="1" t="str">
        <f>IFERROR(__xludf.DUMMYFUNCTION("""COMPUTED_VALUE"""),"6 931")</f>
        <v>6 931</v>
      </c>
      <c r="D219" s="1">
        <f>IFERROR(__xludf.DUMMYFUNCTION("""COMPUTED_VALUE"""),41.0)</f>
        <v>41</v>
      </c>
      <c r="E219" s="1">
        <f>IFERROR(__xludf.DUMMYFUNCTION("""COMPUTED_VALUE"""),893.0)</f>
        <v>893</v>
      </c>
      <c r="F219" s="1" t="str">
        <f>IFERROR(__xludf.DUMMYFUNCTION("""COMPUTED_VALUE"""),"45 869")</f>
        <v>45 869</v>
      </c>
      <c r="I219" s="29"/>
      <c r="J219" s="29"/>
      <c r="K219" s="29"/>
      <c r="L219" s="29"/>
      <c r="M219" s="29"/>
      <c r="N219" s="29"/>
      <c r="O219" s="29"/>
      <c r="P219" s="29"/>
      <c r="Q219" s="29"/>
      <c r="R219" s="29"/>
      <c r="S219" s="29"/>
      <c r="T219" s="29"/>
      <c r="U219" s="29"/>
      <c r="V219" s="29"/>
      <c r="W219" s="29"/>
      <c r="X219" s="29"/>
      <c r="Y219" s="29"/>
      <c r="Z219" s="29"/>
    </row>
    <row r="220">
      <c r="A220" s="1"/>
      <c r="B220" s="1" t="str">
        <f>IFERROR(__xludf.DUMMYFUNCTION("""COMPUTED_VALUE"""),"Sao Tomé-et-Principe")</f>
        <v>Sao Tomé-et-Principe</v>
      </c>
      <c r="C220" s="1" t="str">
        <f>IFERROR(__xludf.DUMMYFUNCTION("""COMPUTED_VALUE"""),"6 771")</f>
        <v>6 771</v>
      </c>
      <c r="D220" s="1">
        <f>IFERROR(__xludf.DUMMYFUNCTION("""COMPUTED_VALUE"""),80.0)</f>
        <v>80</v>
      </c>
      <c r="E220" s="1">
        <f>IFERROR(__xludf.DUMMYFUNCTION("""COMPUTED_VALUE"""),353.0)</f>
        <v>353</v>
      </c>
      <c r="F220" s="1" t="str">
        <f>IFERROR(__xludf.DUMMYFUNCTION("""COMPUTED_VALUE"""),"226 313")</f>
        <v>226 313</v>
      </c>
      <c r="I220" s="29"/>
      <c r="J220" s="29"/>
      <c r="K220" s="29"/>
      <c r="L220" s="29"/>
      <c r="M220" s="29"/>
      <c r="N220" s="29"/>
      <c r="O220" s="29"/>
      <c r="P220" s="29"/>
      <c r="Q220" s="29"/>
      <c r="R220" s="29"/>
      <c r="S220" s="29"/>
      <c r="T220" s="29"/>
      <c r="U220" s="29"/>
      <c r="V220" s="29"/>
      <c r="W220" s="29"/>
      <c r="X220" s="29"/>
      <c r="Y220" s="29"/>
      <c r="Z220" s="29"/>
    </row>
    <row r="221">
      <c r="A221" s="1"/>
      <c r="B221" s="1" t="str">
        <f>IFERROR(__xludf.DUMMYFUNCTION("""COMPUTED_VALUE"""),"Saint-Christophe-et-Niévès")</f>
        <v>Saint-Christophe-et-Niévès</v>
      </c>
      <c r="C221" s="1" t="str">
        <f>IFERROR(__xludf.DUMMYFUNCTION("""COMPUTED_VALUE"""),"6 607")</f>
        <v>6 607</v>
      </c>
      <c r="D221" s="1">
        <f>IFERROR(__xludf.DUMMYFUNCTION("""COMPUTED_VALUE"""),46.0)</f>
        <v>46</v>
      </c>
      <c r="E221" s="1">
        <f>IFERROR(__xludf.DUMMYFUNCTION("""COMPUTED_VALUE"""),984.0)</f>
        <v>984</v>
      </c>
      <c r="F221" s="1" t="str">
        <f>IFERROR(__xludf.DUMMYFUNCTION("""COMPUTED_VALUE"""),"46 732")</f>
        <v>46 732</v>
      </c>
      <c r="I221" s="29"/>
      <c r="J221" s="29"/>
      <c r="K221" s="29"/>
      <c r="L221" s="29"/>
      <c r="M221" s="29"/>
      <c r="N221" s="29"/>
      <c r="O221" s="29"/>
      <c r="P221" s="29"/>
      <c r="Q221" s="29"/>
      <c r="R221" s="29"/>
      <c r="S221" s="29"/>
      <c r="T221" s="29"/>
      <c r="U221" s="29"/>
      <c r="V221" s="29"/>
      <c r="W221" s="29"/>
      <c r="X221" s="29"/>
      <c r="Y221" s="29"/>
      <c r="Z221" s="29"/>
    </row>
    <row r="222">
      <c r="A222" s="1"/>
      <c r="B222" s="1" t="str">
        <f>IFERROR(__xludf.DUMMYFUNCTION("""COMPUTED_VALUE"""),"Palaos")</f>
        <v>Palaos</v>
      </c>
      <c r="C222" s="1" t="str">
        <f>IFERROR(__xludf.DUMMYFUNCTION("""COMPUTED_VALUE"""),"6 372")</f>
        <v>6 372</v>
      </c>
      <c r="D222" s="1">
        <f>IFERROR(__xludf.DUMMYFUNCTION("""COMPUTED_VALUE"""),10.0)</f>
        <v>10</v>
      </c>
      <c r="E222" s="1">
        <f>IFERROR(__xludf.DUMMYFUNCTION("""COMPUTED_VALUE"""),562.0)</f>
        <v>562</v>
      </c>
      <c r="F222" s="1" t="str">
        <f>IFERROR(__xludf.DUMMYFUNCTION("""COMPUTED_VALUE"""),"17 784")</f>
        <v>17 784</v>
      </c>
      <c r="I222" s="29"/>
      <c r="J222" s="29"/>
      <c r="K222" s="29"/>
      <c r="L222" s="29"/>
      <c r="M222" s="29"/>
      <c r="N222" s="29"/>
      <c r="O222" s="29"/>
      <c r="P222" s="29"/>
      <c r="Q222" s="29"/>
      <c r="R222" s="29"/>
      <c r="S222" s="29"/>
      <c r="T222" s="29"/>
      <c r="U222" s="29"/>
      <c r="V222" s="29"/>
      <c r="W222" s="29"/>
      <c r="X222" s="29"/>
      <c r="Y222" s="29"/>
      <c r="Z222" s="29"/>
    </row>
    <row r="223">
      <c r="A223" s="1"/>
      <c r="B223" s="1" t="str">
        <f>IFERROR(__xludf.DUMMYFUNCTION("""COMPUTED_VALUE"""),"Saint-Barthélemy (Antilles françaises)")</f>
        <v>Saint-Barthélemy (Antilles françaises)</v>
      </c>
      <c r="C223" s="1" t="str">
        <f>IFERROR(__xludf.DUMMYFUNCTION("""COMPUTED_VALUE"""),"5 507")</f>
        <v>5 507</v>
      </c>
      <c r="D223" s="1">
        <f>IFERROR(__xludf.DUMMYFUNCTION("""COMPUTED_VALUE"""),5.0)</f>
        <v>5</v>
      </c>
      <c r="E223" s="1">
        <f>IFERROR(__xludf.DUMMYFUNCTION("""COMPUTED_VALUE"""),456.0)</f>
        <v>456</v>
      </c>
      <c r="F223" s="1" t="str">
        <f>IFERROR(__xludf.DUMMYFUNCTION("""COMPUTED_VALUE"""),"10 948")</f>
        <v>10 948</v>
      </c>
      <c r="I223" s="29"/>
      <c r="J223" s="29"/>
      <c r="K223" s="29"/>
      <c r="L223" s="29"/>
      <c r="M223" s="29"/>
      <c r="N223" s="29"/>
      <c r="O223" s="29"/>
      <c r="P223" s="29"/>
      <c r="Q223" s="29"/>
      <c r="R223" s="29"/>
      <c r="S223" s="29"/>
      <c r="T223" s="29"/>
      <c r="U223" s="29"/>
      <c r="V223" s="29"/>
      <c r="W223" s="29"/>
      <c r="X223" s="29"/>
      <c r="Y223" s="29"/>
      <c r="Z223" s="29"/>
    </row>
    <row r="224">
      <c r="A224" s="1"/>
      <c r="B224" s="1" t="str">
        <f>IFERROR(__xludf.DUMMYFUNCTION("""COMPUTED_VALUE"""),"Nauru")</f>
        <v>Nauru</v>
      </c>
      <c r="C224" s="1" t="str">
        <f>IFERROR(__xludf.DUMMYFUNCTION("""COMPUTED_VALUE"""),"5 393")</f>
        <v>5 393</v>
      </c>
      <c r="D224" s="1">
        <f>IFERROR(__xludf.DUMMYFUNCTION("""COMPUTED_VALUE"""),1.0)</f>
        <v>1</v>
      </c>
      <c r="E224" s="1">
        <f>IFERROR(__xludf.DUMMYFUNCTION("""COMPUTED_VALUE"""),84.0)</f>
        <v>84</v>
      </c>
      <c r="F224" s="1" t="str">
        <f>IFERROR(__xludf.DUMMYFUNCTION("""COMPUTED_VALUE"""),"11 822")</f>
        <v>11 822</v>
      </c>
      <c r="I224" s="29"/>
      <c r="J224" s="29"/>
      <c r="K224" s="29"/>
      <c r="L224" s="29"/>
      <c r="M224" s="29"/>
      <c r="N224" s="29"/>
      <c r="O224" s="29"/>
      <c r="P224" s="29"/>
      <c r="Q224" s="29"/>
      <c r="R224" s="29"/>
      <c r="S224" s="29"/>
      <c r="T224" s="29"/>
      <c r="U224" s="29"/>
      <c r="V224" s="29"/>
      <c r="W224" s="29"/>
      <c r="X224" s="29"/>
      <c r="Y224" s="29"/>
      <c r="Z224" s="29"/>
    </row>
    <row r="225">
      <c r="A225" s="1"/>
      <c r="B225" s="1" t="str">
        <f>IFERROR(__xludf.DUMMYFUNCTION("""COMPUTED_VALUE"""),"Kiribati")</f>
        <v>Kiribati</v>
      </c>
      <c r="C225" s="1" t="str">
        <f>IFERROR(__xludf.DUMMYFUNCTION("""COMPUTED_VALUE"""),"5 085")</f>
        <v>5 085</v>
      </c>
      <c r="D225" s="1">
        <f>IFERROR(__xludf.DUMMYFUNCTION("""COMPUTED_VALUE"""),24.0)</f>
        <v>24</v>
      </c>
      <c r="E225" s="1">
        <f>IFERROR(__xludf.DUMMYFUNCTION("""COMPUTED_VALUE"""),183.0)</f>
        <v>183</v>
      </c>
      <c r="F225" s="1" t="str">
        <f>IFERROR(__xludf.DUMMYFUNCTION("""COMPUTED_VALUE"""),"130 483")</f>
        <v>130 483</v>
      </c>
      <c r="I225" s="29"/>
      <c r="J225" s="29"/>
      <c r="K225" s="29"/>
      <c r="L225" s="29"/>
      <c r="M225" s="29"/>
      <c r="N225" s="29"/>
      <c r="O225" s="29"/>
      <c r="P225" s="29"/>
      <c r="Q225" s="29"/>
      <c r="R225" s="29"/>
      <c r="S225" s="29"/>
      <c r="T225" s="29"/>
      <c r="U225" s="29"/>
      <c r="V225" s="29"/>
      <c r="W225" s="29"/>
      <c r="X225" s="29"/>
      <c r="Y225" s="29"/>
      <c r="Z225" s="29"/>
    </row>
    <row r="226">
      <c r="A226" s="1"/>
      <c r="B226" s="1" t="str">
        <f>IFERROR(__xludf.DUMMYFUNCTION("""COMPUTED_VALUE"""),"Anguilla")</f>
        <v>Anguilla</v>
      </c>
      <c r="C226" s="1" t="str">
        <f>IFERROR(__xludf.DUMMYFUNCTION("""COMPUTED_VALUE"""),"3 904")</f>
        <v>3 904</v>
      </c>
      <c r="D226" s="1">
        <f>IFERROR(__xludf.DUMMYFUNCTION("""COMPUTED_VALUE"""),12.0)</f>
        <v>12</v>
      </c>
      <c r="E226" s="1">
        <f>IFERROR(__xludf.DUMMYFUNCTION("""COMPUTED_VALUE"""),844.0)</f>
        <v>844</v>
      </c>
      <c r="F226" s="1" t="str">
        <f>IFERROR(__xludf.DUMMYFUNCTION("""COMPUTED_VALUE"""),"14 202")</f>
        <v>14 202</v>
      </c>
      <c r="I226" s="29"/>
      <c r="J226" s="29"/>
      <c r="K226" s="29"/>
      <c r="L226" s="29"/>
      <c r="M226" s="29"/>
      <c r="N226" s="29"/>
      <c r="O226" s="29"/>
      <c r="P226" s="29"/>
      <c r="Q226" s="29"/>
      <c r="R226" s="29"/>
      <c r="S226" s="29"/>
      <c r="T226" s="29"/>
      <c r="U226" s="29"/>
      <c r="V226" s="29"/>
      <c r="W226" s="29"/>
      <c r="X226" s="29"/>
      <c r="Y226" s="29"/>
      <c r="Z226" s="29"/>
    </row>
    <row r="227">
      <c r="A227" s="1"/>
      <c r="B227" s="1" t="str">
        <f>IFERROR(__xludf.DUMMYFUNCTION("""COMPUTED_VALUE"""),"Wallis-et-Futuna")</f>
        <v>Wallis-et-Futuna</v>
      </c>
      <c r="C227" s="1" t="str">
        <f>IFERROR(__xludf.DUMMYFUNCTION("""COMPUTED_VALUE"""),"3 760")</f>
        <v>3 760</v>
      </c>
      <c r="D227" s="1">
        <f>IFERROR(__xludf.DUMMYFUNCTION("""COMPUTED_VALUE"""),9.0)</f>
        <v>9</v>
      </c>
      <c r="E227" s="1">
        <f>IFERROR(__xludf.DUMMYFUNCTION("""COMPUTED_VALUE"""),782.0)</f>
        <v>782</v>
      </c>
      <c r="F227" s="1" t="str">
        <f>IFERROR(__xludf.DUMMYFUNCTION("""COMPUTED_VALUE"""),"11 501")</f>
        <v>11 501</v>
      </c>
      <c r="I227" s="29"/>
      <c r="J227" s="29"/>
      <c r="K227" s="29"/>
      <c r="L227" s="29"/>
      <c r="M227" s="29"/>
      <c r="N227" s="29"/>
      <c r="O227" s="29"/>
      <c r="P227" s="29"/>
      <c r="Q227" s="29"/>
      <c r="R227" s="29"/>
      <c r="S227" s="29"/>
      <c r="T227" s="29"/>
      <c r="U227" s="29"/>
      <c r="V227" s="29"/>
      <c r="W227" s="29"/>
      <c r="X227" s="29"/>
      <c r="Y227" s="29"/>
      <c r="Z227" s="29"/>
    </row>
    <row r="228">
      <c r="A228" s="1"/>
      <c r="B228" s="1" t="str">
        <f>IFERROR(__xludf.DUMMYFUNCTION("""COMPUTED_VALUE"""),"Macao")</f>
        <v>Macao</v>
      </c>
      <c r="C228" s="1" t="str">
        <f>IFERROR(__xludf.DUMMYFUNCTION("""COMPUTED_VALUE"""),"3 514")</f>
        <v>3 514</v>
      </c>
      <c r="D228" s="1">
        <f>IFERROR(__xludf.DUMMYFUNCTION("""COMPUTED_VALUE"""),121.0)</f>
        <v>121</v>
      </c>
      <c r="E228" s="1">
        <f>IFERROR(__xludf.DUMMYFUNCTION("""COMPUTED_VALUE"""),174.0)</f>
        <v>174</v>
      </c>
      <c r="F228" s="1" t="str">
        <f>IFERROR(__xludf.DUMMYFUNCTION("""COMPUTED_VALUE"""),"704 360")</f>
        <v>704 360</v>
      </c>
      <c r="I228" s="29"/>
      <c r="J228" s="29"/>
      <c r="K228" s="29"/>
      <c r="L228" s="29"/>
      <c r="M228" s="29"/>
      <c r="N228" s="29"/>
      <c r="O228" s="29"/>
      <c r="P228" s="29"/>
      <c r="Q228" s="29"/>
      <c r="R228" s="29"/>
      <c r="S228" s="29"/>
      <c r="T228" s="29"/>
      <c r="U228" s="29"/>
      <c r="V228" s="29"/>
      <c r="W228" s="29"/>
      <c r="X228" s="29"/>
      <c r="Y228" s="29"/>
      <c r="Z228" s="29"/>
    </row>
    <row r="229">
      <c r="A229" s="1"/>
      <c r="B229" s="1" t="str">
        <f>IFERROR(__xludf.DUMMYFUNCTION("""COMPUTED_VALUE"""),"Saint-Pierre-et-Miquelon")</f>
        <v>Saint-Pierre-et-Miquelon</v>
      </c>
      <c r="C229" s="1" t="str">
        <f>IFERROR(__xludf.DUMMYFUNCTION("""COMPUTED_VALUE"""),"3 426")</f>
        <v>3 426</v>
      </c>
      <c r="D229" s="1">
        <f>IFERROR(__xludf.DUMMYFUNCTION("""COMPUTED_VALUE"""),2.0)</f>
        <v>2</v>
      </c>
      <c r="E229" s="1">
        <f>IFERROR(__xludf.DUMMYFUNCTION("""COMPUTED_VALUE"""),347.0)</f>
        <v>347</v>
      </c>
      <c r="F229" s="1" t="str">
        <f>IFERROR(__xludf.DUMMYFUNCTION("""COMPUTED_VALUE"""),"5 760")</f>
        <v>5 760</v>
      </c>
      <c r="I229" s="29"/>
      <c r="J229" s="29"/>
      <c r="K229" s="29"/>
      <c r="L229" s="29"/>
      <c r="M229" s="29"/>
      <c r="N229" s="29"/>
      <c r="O229" s="29"/>
      <c r="P229" s="29"/>
      <c r="Q229" s="29"/>
      <c r="R229" s="29"/>
      <c r="S229" s="29"/>
      <c r="T229" s="29"/>
      <c r="U229" s="29"/>
      <c r="V229" s="29"/>
      <c r="W229" s="29"/>
      <c r="X229" s="29"/>
      <c r="Y229" s="29"/>
      <c r="Z229" s="29"/>
    </row>
    <row r="230">
      <c r="A230" s="1"/>
      <c r="B230" s="1" t="str">
        <f>IFERROR(__xludf.DUMMYFUNCTION("""COMPUTED_VALUE"""),"Tuvalu")</f>
        <v>Tuvalu</v>
      </c>
      <c r="C230" s="1" t="str">
        <f>IFERROR(__xludf.DUMMYFUNCTION("""COMPUTED_VALUE"""),"2 943")</f>
        <v>2 943</v>
      </c>
      <c r="D230" s="1">
        <f>IFERROR(__xludf.DUMMYFUNCTION("""COMPUTED_VALUE"""),1.0)</f>
        <v>1</v>
      </c>
      <c r="E230" s="1">
        <f>IFERROR(__xludf.DUMMYFUNCTION("""COMPUTED_VALUE"""),99.0)</f>
        <v>99</v>
      </c>
      <c r="F230" s="1" t="str">
        <f>IFERROR(__xludf.DUMMYFUNCTION("""COMPUTED_VALUE"""),"10 012")</f>
        <v>10 012</v>
      </c>
      <c r="I230" s="29"/>
      <c r="J230" s="29"/>
      <c r="K230" s="29"/>
      <c r="L230" s="29"/>
      <c r="M230" s="29"/>
      <c r="N230" s="29"/>
      <c r="O230" s="29"/>
      <c r="P230" s="29"/>
      <c r="Q230" s="29"/>
      <c r="R230" s="29"/>
      <c r="S230" s="29"/>
      <c r="T230" s="29"/>
      <c r="U230" s="29"/>
      <c r="V230" s="29"/>
      <c r="W230" s="29"/>
      <c r="X230" s="29"/>
      <c r="Y230" s="29"/>
      <c r="Z230" s="29"/>
    </row>
    <row r="231">
      <c r="A231" s="29"/>
      <c r="B231" s="29" t="str">
        <f>IFERROR(__xludf.DUMMYFUNCTION("""COMPUTED_VALUE"""),"Sainte-Hélène, Ascension et Tristan da Cunha")</f>
        <v>Sainte-Hélène, Ascension et Tristan da Cunha</v>
      </c>
      <c r="C231" s="29" t="str">
        <f>IFERROR(__xludf.DUMMYFUNCTION("""COMPUTED_VALUE"""),"2 166")</f>
        <v>2 166</v>
      </c>
      <c r="D231" s="29">
        <f>IFERROR(__xludf.DUMMYFUNCTION("""COMPUTED_VALUE"""),0.0)</f>
        <v>0</v>
      </c>
      <c r="E231" s="29">
        <f>IFERROR(__xludf.DUMMYFUNCTION("""COMPUTED_VALUE"""),0.0)</f>
        <v>0</v>
      </c>
      <c r="F231" s="29" t="str">
        <f>IFERROR(__xludf.DUMMYFUNCTION("""COMPUTED_VALUE"""),"5 369")</f>
        <v>5 369</v>
      </c>
      <c r="G231" s="29"/>
      <c r="H231" s="29"/>
      <c r="I231" s="29"/>
      <c r="J231" s="29"/>
      <c r="K231" s="29"/>
      <c r="L231" s="29"/>
      <c r="M231" s="29"/>
      <c r="N231" s="29"/>
      <c r="O231" s="29"/>
      <c r="P231" s="29"/>
      <c r="Q231" s="29"/>
      <c r="R231" s="29"/>
      <c r="S231" s="29"/>
      <c r="T231" s="29"/>
      <c r="U231" s="29"/>
      <c r="V231" s="29"/>
      <c r="W231" s="29"/>
      <c r="X231" s="29"/>
      <c r="Y231" s="29"/>
      <c r="Z231" s="29"/>
    </row>
    <row r="232">
      <c r="A232" s="29"/>
      <c r="B232" s="29" t="str">
        <f>IFERROR(__xludf.DUMMYFUNCTION("""COMPUTED_VALUE"""),"Îles Malouines")</f>
        <v>Îles Malouines</v>
      </c>
      <c r="C232" s="29" t="str">
        <f>IFERROR(__xludf.DUMMYFUNCTION("""COMPUTED_VALUE"""),"1 923")</f>
        <v>1 923</v>
      </c>
      <c r="D232" s="29">
        <f>IFERROR(__xludf.DUMMYFUNCTION("""COMPUTED_VALUE"""),0.0)</f>
        <v>0</v>
      </c>
      <c r="E232" s="29">
        <f>IFERROR(__xludf.DUMMYFUNCTION("""COMPUTED_VALUE"""),0.0)</f>
        <v>0</v>
      </c>
      <c r="F232" s="29" t="str">
        <f>IFERROR(__xludf.DUMMYFUNCTION("""COMPUTED_VALUE"""),"3 515")</f>
        <v>3 515</v>
      </c>
      <c r="G232" s="29"/>
      <c r="H232" s="29"/>
      <c r="I232" s="29"/>
      <c r="J232" s="29"/>
      <c r="K232" s="29"/>
      <c r="L232" s="29"/>
      <c r="M232" s="29"/>
      <c r="N232" s="29"/>
      <c r="O232" s="29"/>
      <c r="P232" s="29"/>
      <c r="Q232" s="29"/>
      <c r="R232" s="29"/>
      <c r="S232" s="29"/>
      <c r="T232" s="29"/>
      <c r="U232" s="29"/>
      <c r="V232" s="29"/>
      <c r="W232" s="29"/>
      <c r="X232" s="29"/>
      <c r="Y232" s="29"/>
      <c r="Z232" s="29"/>
    </row>
    <row r="233">
      <c r="A233" s="29"/>
      <c r="B233" s="29" t="str">
        <f>IFERROR(__xludf.DUMMYFUNCTION("""COMPUTED_VALUE"""),"Montserrat (Antilles)")</f>
        <v>Montserrat (Antilles)</v>
      </c>
      <c r="C233" s="29" t="str">
        <f>IFERROR(__xludf.DUMMYFUNCTION("""COMPUTED_VALUE"""),"1 403")</f>
        <v>1 403</v>
      </c>
      <c r="D233" s="29">
        <f>IFERROR(__xludf.DUMMYFUNCTION("""COMPUTED_VALUE"""),8.0)</f>
        <v>8</v>
      </c>
      <c r="E233" s="29" t="str">
        <f>IFERROR(__xludf.DUMMYFUNCTION("""COMPUTED_VALUE"""),"1 787")</f>
        <v>1 787</v>
      </c>
      <c r="F233" s="29" t="str">
        <f>IFERROR(__xludf.DUMMYFUNCTION("""COMPUTED_VALUE"""),"4 476")</f>
        <v>4 476</v>
      </c>
      <c r="G233" s="29"/>
      <c r="H233" s="29"/>
      <c r="I233" s="29"/>
      <c r="J233" s="29"/>
      <c r="K233" s="29"/>
      <c r="L233" s="29"/>
      <c r="M233" s="29"/>
      <c r="N233" s="29"/>
      <c r="O233" s="29"/>
      <c r="P233" s="29"/>
      <c r="Q233" s="29"/>
      <c r="R233" s="29"/>
      <c r="S233" s="29"/>
      <c r="T233" s="29"/>
      <c r="U233" s="29"/>
      <c r="V233" s="29"/>
      <c r="W233" s="29"/>
      <c r="X233" s="29"/>
      <c r="Y233" s="29"/>
      <c r="Z233" s="29"/>
    </row>
    <row r="234">
      <c r="A234" s="29"/>
      <c r="B234" s="29" t="str">
        <f>IFERROR(__xludf.DUMMYFUNCTION("""COMPUTED_VALUE"""),"Niue")</f>
        <v>Niue</v>
      </c>
      <c r="C234" s="29" t="str">
        <f>IFERROR(__xludf.DUMMYFUNCTION("""COMPUTED_VALUE"""),"1 092")</f>
        <v>1 092</v>
      </c>
      <c r="D234" s="29">
        <f>IFERROR(__xludf.DUMMYFUNCTION("""COMPUTED_VALUE"""),0.0)</f>
        <v>0</v>
      </c>
      <c r="E234" s="29">
        <f>IFERROR(__xludf.DUMMYFUNCTION("""COMPUTED_VALUE"""),0.0)</f>
        <v>0</v>
      </c>
      <c r="F234" s="29" t="str">
        <f>IFERROR(__xludf.DUMMYFUNCTION("""COMPUTED_VALUE"""),"1 844")</f>
        <v>1 844</v>
      </c>
      <c r="G234" s="29"/>
      <c r="H234" s="29"/>
      <c r="I234" s="29"/>
      <c r="J234" s="29"/>
      <c r="K234" s="29"/>
      <c r="L234" s="29"/>
      <c r="M234" s="29"/>
      <c r="N234" s="29"/>
      <c r="O234" s="29"/>
      <c r="P234" s="29"/>
      <c r="Q234" s="29"/>
      <c r="R234" s="29"/>
      <c r="S234" s="29"/>
      <c r="T234" s="29"/>
      <c r="U234" s="29"/>
      <c r="V234" s="29"/>
      <c r="W234" s="29"/>
      <c r="X234" s="29"/>
      <c r="Y234" s="29"/>
      <c r="Z234" s="29"/>
    </row>
    <row r="235">
      <c r="A235" s="29"/>
      <c r="B235" s="29" t="str">
        <f>IFERROR(__xludf.DUMMYFUNCTION("""COMPUTED_VALUE"""),"Tokelau")</f>
        <v>Tokelau</v>
      </c>
      <c r="C235" s="29">
        <f>IFERROR(__xludf.DUMMYFUNCTION("""COMPUTED_VALUE"""),80.0)</f>
        <v>80</v>
      </c>
      <c r="D235" s="29">
        <f>IFERROR(__xludf.DUMMYFUNCTION("""COMPUTED_VALUE"""),0.0)</f>
        <v>0</v>
      </c>
      <c r="E235" s="29">
        <f>IFERROR(__xludf.DUMMYFUNCTION("""COMPUTED_VALUE"""),0.0)</f>
        <v>0</v>
      </c>
      <c r="F235" s="29" t="str">
        <f>IFERROR(__xludf.DUMMYFUNCTION("""COMPUTED_VALUE"""),"2 312")</f>
        <v>2 312</v>
      </c>
      <c r="G235" s="29"/>
      <c r="H235" s="29"/>
      <c r="I235" s="29"/>
      <c r="J235" s="29"/>
      <c r="K235" s="29"/>
      <c r="L235" s="29"/>
      <c r="M235" s="29"/>
      <c r="N235" s="29"/>
      <c r="O235" s="29"/>
      <c r="P235" s="29"/>
      <c r="Q235" s="29"/>
      <c r="R235" s="29"/>
      <c r="S235" s="29"/>
      <c r="T235" s="29"/>
      <c r="U235" s="29"/>
      <c r="V235" s="29"/>
      <c r="W235" s="29"/>
      <c r="X235" s="29"/>
      <c r="Y235" s="29"/>
      <c r="Z235" s="29"/>
    </row>
    <row r="236">
      <c r="A236" s="29"/>
      <c r="B236" s="29" t="str">
        <f>IFERROR(__xludf.DUMMYFUNCTION("""COMPUTED_VALUE"""),"Vatican")</f>
        <v>Vatican</v>
      </c>
      <c r="C236" s="29">
        <f>IFERROR(__xludf.DUMMYFUNCTION("""COMPUTED_VALUE"""),26.0)</f>
        <v>26</v>
      </c>
      <c r="D236" s="29">
        <f>IFERROR(__xludf.DUMMYFUNCTION("""COMPUTED_VALUE"""),0.0)</f>
        <v>0</v>
      </c>
      <c r="E236" s="29">
        <f>IFERROR(__xludf.DUMMYFUNCTION("""COMPUTED_VALUE"""),0.0)</f>
        <v>0</v>
      </c>
      <c r="F236" s="29">
        <f>IFERROR(__xludf.DUMMYFUNCTION("""COMPUTED_VALUE"""),513.0)</f>
        <v>513</v>
      </c>
      <c r="G236" s="29"/>
      <c r="H236" s="29"/>
      <c r="I236" s="29"/>
      <c r="J236" s="29"/>
      <c r="K236" s="29"/>
      <c r="L236" s="29"/>
      <c r="M236" s="29"/>
      <c r="N236" s="29"/>
      <c r="O236" s="29"/>
      <c r="P236" s="29"/>
      <c r="Q236" s="29"/>
      <c r="R236" s="29"/>
      <c r="S236" s="29"/>
      <c r="T236" s="29"/>
      <c r="U236" s="29"/>
      <c r="V236" s="29"/>
      <c r="W236" s="29"/>
      <c r="X236" s="29"/>
      <c r="Y236" s="29"/>
      <c r="Z236" s="29"/>
    </row>
    <row r="237">
      <c r="A237" s="29"/>
      <c r="B237" s="29" t="str">
        <f>IFERROR(__xludf.DUMMYFUNCTION("""COMPUTED_VALUE"""),"Îles Pitcairn")</f>
        <v>Îles Pitcairn</v>
      </c>
      <c r="C237" s="29">
        <f>IFERROR(__xludf.DUMMYFUNCTION("""COMPUTED_VALUE"""),4.0)</f>
        <v>4</v>
      </c>
      <c r="D237" s="29">
        <f>IFERROR(__xludf.DUMMYFUNCTION("""COMPUTED_VALUE"""),0.0)</f>
        <v>0</v>
      </c>
      <c r="E237" s="29">
        <f>IFERROR(__xludf.DUMMYFUNCTION("""COMPUTED_VALUE"""),0.0)</f>
        <v>0</v>
      </c>
      <c r="F237" s="29">
        <f>IFERROR(__xludf.DUMMYFUNCTION("""COMPUTED_VALUE"""),47.0)</f>
        <v>47</v>
      </c>
      <c r="G237" s="29"/>
      <c r="H237" s="29"/>
      <c r="I237" s="29"/>
      <c r="J237" s="29"/>
      <c r="K237" s="29"/>
      <c r="L237" s="29"/>
      <c r="M237" s="29"/>
      <c r="N237" s="29"/>
      <c r="O237" s="29"/>
      <c r="P237" s="29"/>
      <c r="Q237" s="29"/>
      <c r="R237" s="29"/>
      <c r="S237" s="29"/>
      <c r="T237" s="29"/>
      <c r="U237" s="29"/>
      <c r="V237" s="29"/>
      <c r="W237" s="29"/>
      <c r="X237" s="29"/>
      <c r="Y237" s="29"/>
      <c r="Z237" s="29"/>
    </row>
    <row r="238">
      <c r="A238" s="29"/>
      <c r="B238" s="29" t="str">
        <f>IFERROR(__xludf.DUMMYFUNCTION("""COMPUTED_VALUE"""),"Sahara occidental")</f>
        <v>Sahara occidental</v>
      </c>
      <c r="C238" s="29" t="str">
        <f>IFERROR(__xludf.DUMMYFUNCTION("""COMPUTED_VALUE"""),"—")</f>
        <v>—</v>
      </c>
      <c r="D238" s="29" t="str">
        <f>IFERROR(__xludf.DUMMYFUNCTION("""COMPUTED_VALUE"""),"—")</f>
        <v>—</v>
      </c>
      <c r="E238" s="29" t="str">
        <f>IFERROR(__xludf.DUMMYFUNCTION("""COMPUTED_VALUE"""),"—")</f>
        <v>—</v>
      </c>
      <c r="F238" s="29" t="str">
        <f>IFERROR(__xludf.DUMMYFUNCTION("""COMPUTED_VALUE"""),"568 746")</f>
        <v>568 746</v>
      </c>
      <c r="G238" s="29"/>
      <c r="H238" s="29"/>
      <c r="I238" s="29"/>
      <c r="J238" s="29"/>
      <c r="K238" s="29"/>
      <c r="L238" s="29"/>
      <c r="M238" s="29"/>
      <c r="N238" s="29"/>
      <c r="O238" s="29"/>
      <c r="P238" s="29"/>
      <c r="Q238" s="29"/>
      <c r="R238" s="29"/>
      <c r="S238" s="29"/>
      <c r="T238" s="29"/>
      <c r="U238" s="29"/>
      <c r="V238" s="29"/>
      <c r="W238" s="29"/>
      <c r="X238" s="29"/>
      <c r="Y238" s="29"/>
      <c r="Z238" s="29"/>
    </row>
    <row r="239">
      <c r="A239" s="29"/>
      <c r="B239" s="29" t="str">
        <f>IFERROR(__xludf.DUMMYFUNCTION("""COMPUTED_VALUE"""),"Corée du Nord")</f>
        <v>Corée du Nord</v>
      </c>
      <c r="C239" s="29">
        <f>IFERROR(__xludf.DUMMYFUNCTION("""COMPUTED_VALUE"""),0.0)</f>
        <v>0</v>
      </c>
      <c r="D239" s="29">
        <f>IFERROR(__xludf.DUMMYFUNCTION("""COMPUTED_VALUE"""),0.0)</f>
        <v>0</v>
      </c>
      <c r="E239" s="29">
        <f>IFERROR(__xludf.DUMMYFUNCTION("""COMPUTED_VALUE"""),0.0)</f>
        <v>0</v>
      </c>
      <c r="F239" s="29" t="str">
        <f>IFERROR(__xludf.DUMMYFUNCTION("""COMPUTED_VALUE"""),"26 328 843")</f>
        <v>26 328 843</v>
      </c>
      <c r="G239" s="29"/>
      <c r="H239" s="29"/>
      <c r="I239" s="29"/>
      <c r="J239" s="29"/>
      <c r="K239" s="29"/>
      <c r="L239" s="29"/>
      <c r="M239" s="29"/>
      <c r="N239" s="29"/>
      <c r="O239" s="29"/>
      <c r="P239" s="29"/>
      <c r="Q239" s="29"/>
      <c r="R239" s="29"/>
      <c r="S239" s="29"/>
      <c r="T239" s="29"/>
      <c r="U239" s="29"/>
      <c r="V239" s="29"/>
      <c r="W239" s="29"/>
      <c r="X239" s="29"/>
      <c r="Y239" s="29"/>
      <c r="Z239" s="29"/>
    </row>
    <row r="240">
      <c r="A240" s="29"/>
      <c r="B240" s="29" t="str">
        <f>IFERROR(__xludf.DUMMYFUNCTION("""COMPUTED_VALUE"""),"Turkménistan")</f>
        <v>Turkménistan</v>
      </c>
      <c r="C240" s="29">
        <f>IFERROR(__xludf.DUMMYFUNCTION("""COMPUTED_VALUE"""),0.0)</f>
        <v>0</v>
      </c>
      <c r="D240" s="29">
        <f>IFERROR(__xludf.DUMMYFUNCTION("""COMPUTED_VALUE"""),0.0)</f>
        <v>0</v>
      </c>
      <c r="E240" s="29">
        <f>IFERROR(__xludf.DUMMYFUNCTION("""COMPUTED_VALUE"""),0.0)</f>
        <v>0</v>
      </c>
      <c r="F240" s="29" t="str">
        <f>IFERROR(__xludf.DUMMYFUNCTION("""COMPUTED_VALUE"""),"7 230 197")</f>
        <v>7 230 197</v>
      </c>
      <c r="G240" s="29"/>
      <c r="H240" s="29"/>
      <c r="I240" s="29"/>
      <c r="J240" s="29"/>
      <c r="K240" s="29"/>
      <c r="L240" s="29"/>
      <c r="M240" s="29"/>
      <c r="N240" s="29"/>
      <c r="O240" s="29"/>
      <c r="P240" s="29"/>
      <c r="Q240" s="29"/>
      <c r="R240" s="29"/>
      <c r="S240" s="29"/>
      <c r="T240" s="29"/>
      <c r="U240" s="29"/>
      <c r="V240" s="29"/>
      <c r="W240" s="29"/>
      <c r="X240" s="29"/>
      <c r="Y240" s="29"/>
      <c r="Z240" s="29"/>
    </row>
    <row r="241">
      <c r="A241" s="29" t="str">
        <f>IFERROR(__xludf.DUMMYFUNCTION("""COMPUTED_VALUE"""),"1. ↑Les pays qui ne fournissent pas d'informations pour une colonne 
   donnée ne sont pas comptés dans le total mondial de la colonne en question.
   2. ↑Les données des États membres de l'Union européenne figurent 
   individuellement, et font l'objet d"&amp;"e sous-totaux pour information. Elles ne 
   sont pas comptées deux fois dans les totaux mondiaux.
   3. ↑N'inclut pas les régions administratives spéciales (Hong Kong et 
   Macao) ni Taïwan.
   4. ↑Concerne le pays constitutif.
   5. ↑Concerne le pays c"&amp;"onstitutif.")</f>
        <v>1. ↑Les pays qui ne fournissent pas d'informations pour une colonne 
   donnée ne sont pas comptés dans le total mondial de la colonne en question.
   2. ↑Les données des États membres de l'Union européenne figurent 
   individuellement, et font l'objet de sous-totaux pour information. Elles ne 
   sont pas comptées deux fois dans les totaux mondiaux.
   3. ↑N'inclut pas les régions administratives spéciales (Hong Kong et 
   Macao) ni Taïwan.
   4. ↑Concerne le pays constitutif.
   5. ↑Concerne le pays constitutif.</v>
      </c>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2" t="s">
        <v>3213</v>
      </c>
    </row>
    <row r="2">
      <c r="C2" s="2"/>
    </row>
    <row r="4">
      <c r="J4" s="1" t="str">
        <f>IFERROR(__xludf.DUMMYFUNCTION("IMPORTHTML(""https://fr.wikipedia.org/wiki/Coupe_du_monde_de_football"",""table"")"),"Édition")</f>
        <v>Édition</v>
      </c>
      <c r="K4" s="1" t="str">
        <f>IFERROR(__xludf.DUMMYFUNCTION("""COMPUTED_VALUE"""),"Année")</f>
        <v>Année</v>
      </c>
      <c r="L4" s="1" t="str">
        <f>IFERROR(__xludf.DUMMYFUNCTION("""COMPUTED_VALUE"""),"Vainqueur")</f>
        <v>Vainqueur</v>
      </c>
      <c r="M4" s="1" t="str">
        <f>IFERROR(__xludf.DUMMYFUNCTION("""COMPUTED_VALUE"""),"Score")</f>
        <v>Score</v>
      </c>
      <c r="N4" s="1" t="str">
        <f>IFERROR(__xludf.DUMMYFUNCTION("""COMPUTED_VALUE"""),"Finaliste")</f>
        <v>Finaliste</v>
      </c>
      <c r="O4" s="1" t="str">
        <f>IFERROR(__xludf.DUMMYFUNCTION("""COMPUTED_VALUE"""),"Troisième")</f>
        <v>Troisième</v>
      </c>
    </row>
    <row r="5">
      <c r="J5" s="1" t="str">
        <f>IFERROR(__xludf.DUMMYFUNCTION("""COMPUTED_VALUE"""),"1re")</f>
        <v>1re</v>
      </c>
      <c r="K5" s="1">
        <f>IFERROR(__xludf.DUMMYFUNCTION("""COMPUTED_VALUE"""),1930.0)</f>
        <v>1930</v>
      </c>
      <c r="L5" s="1" t="str">
        <f>IFERROR(__xludf.DUMMYFUNCTION("""COMPUTED_VALUE"""),"*Uruguay*(1)")</f>
        <v>*Uruguay*(1)</v>
      </c>
      <c r="M5" s="1" t="str">
        <f>IFERROR(__xludf.DUMMYFUNCTION("""COMPUTED_VALUE"""),"4 - 2")</f>
        <v>4 - 2</v>
      </c>
      <c r="N5" s="1" t="str">
        <f>IFERROR(__xludf.DUMMYFUNCTION("""COMPUTED_VALUE"""),"Argentine")</f>
        <v>Argentine</v>
      </c>
      <c r="O5" s="1" t="str">
        <f>IFERROR(__xludf.DUMMYFUNCTION("""COMPUTED_VALUE"""),"États-Unis[70]")</f>
        <v>États-Unis[70]</v>
      </c>
      <c r="P5" s="1" t="str">
        <f>IFERROR(__xludf.DUMMYFUNCTION("SPLIT(M5:M25,""–"")"),"4 - 2")</f>
        <v>4 - 2</v>
      </c>
    </row>
    <row r="6">
      <c r="J6" s="1" t="str">
        <f>IFERROR(__xludf.DUMMYFUNCTION("""COMPUTED_VALUE"""),"2e")</f>
        <v>2e</v>
      </c>
      <c r="K6" s="1">
        <f>IFERROR(__xludf.DUMMYFUNCTION("""COMPUTED_VALUE"""),1934.0)</f>
        <v>1934</v>
      </c>
      <c r="L6" s="1" t="str">
        <f>IFERROR(__xludf.DUMMYFUNCTION("""COMPUTED_VALUE"""),"*Italie*(1)")</f>
        <v>*Italie*(1)</v>
      </c>
      <c r="M6" s="1" t="str">
        <f>IFERROR(__xludf.DUMMYFUNCTION("""COMPUTED_VALUE"""),"2 - 1 (ap)")</f>
        <v>2 - 1 (ap)</v>
      </c>
      <c r="N6" s="1" t="str">
        <f>IFERROR(__xludf.DUMMYFUNCTION("""COMPUTED_VALUE"""),"Tchécoslovaquie")</f>
        <v>Tchécoslovaquie</v>
      </c>
      <c r="O6" s="1" t="str">
        <f>IFERROR(__xludf.DUMMYFUNCTION("""COMPUTED_VALUE"""),"Allemagne[d],[5]")</f>
        <v>Allemagne[d],[5]</v>
      </c>
      <c r="P6" s="1" t="str">
        <f>IFERROR(__xludf.DUMMYFUNCTION("SPLIT(M6:M26,""–"")"),"2 - 1 (ap)")</f>
        <v>2 - 1 (ap)</v>
      </c>
    </row>
    <row r="7">
      <c r="J7" s="1" t="str">
        <f>IFERROR(__xludf.DUMMYFUNCTION("""COMPUTED_VALUE"""),"3e")</f>
        <v>3e</v>
      </c>
      <c r="K7" s="1">
        <f>IFERROR(__xludf.DUMMYFUNCTION("""COMPUTED_VALUE"""),1938.0)</f>
        <v>1938</v>
      </c>
      <c r="L7" s="1" t="str">
        <f>IFERROR(__xludf.DUMMYFUNCTION("""COMPUTED_VALUE"""),"*Italie*(2)")</f>
        <v>*Italie*(2)</v>
      </c>
      <c r="M7" s="1" t="str">
        <f>IFERROR(__xludf.DUMMYFUNCTION("""COMPUTED_VALUE"""),"4 - 2")</f>
        <v>4 - 2</v>
      </c>
      <c r="N7" s="1" t="str">
        <f>IFERROR(__xludf.DUMMYFUNCTION("""COMPUTED_VALUE"""),"Hongrie")</f>
        <v>Hongrie</v>
      </c>
      <c r="O7" s="1" t="str">
        <f>IFERROR(__xludf.DUMMYFUNCTION("""COMPUTED_VALUE"""),"Brésil")</f>
        <v>Brésil</v>
      </c>
      <c r="P7" s="1" t="str">
        <f>IFERROR(__xludf.DUMMYFUNCTION("SPLIT(M7:M27,""–"")"),"4 - 2")</f>
        <v>4 - 2</v>
      </c>
    </row>
    <row r="8">
      <c r="J8" s="1" t="str">
        <f>IFERROR(__xludf.DUMMYFUNCTION("""COMPUTED_VALUE"""),"4e")</f>
        <v>4e</v>
      </c>
      <c r="K8" s="1">
        <f>IFERROR(__xludf.DUMMYFUNCTION("""COMPUTED_VALUE"""),1950.0)</f>
        <v>1950</v>
      </c>
      <c r="L8" s="1" t="str">
        <f>IFERROR(__xludf.DUMMYFUNCTION("""COMPUTED_VALUE"""),"*Uruguay*(2)")</f>
        <v>*Uruguay*(2)</v>
      </c>
      <c r="M8" s="1" t="str">
        <f>IFERROR(__xludf.DUMMYFUNCTION("""COMPUTED_VALUE"""),"2 - 1[e]")</f>
        <v>2 - 1[e]</v>
      </c>
      <c r="N8" s="1" t="str">
        <f>IFERROR(__xludf.DUMMYFUNCTION("""COMPUTED_VALUE"""),"Brésil")</f>
        <v>Brésil</v>
      </c>
      <c r="O8" s="1" t="str">
        <f>IFERROR(__xludf.DUMMYFUNCTION("""COMPUTED_VALUE"""),"Suède")</f>
        <v>Suède</v>
      </c>
      <c r="P8" s="1" t="str">
        <f>IFERROR(__xludf.DUMMYFUNCTION("SPLIT(M8:M28,""–"")"),"2 - 1[e]")</f>
        <v>2 - 1[e]</v>
      </c>
    </row>
    <row r="9">
      <c r="J9" s="1" t="str">
        <f>IFERROR(__xludf.DUMMYFUNCTION("""COMPUTED_VALUE"""),"5e")</f>
        <v>5e</v>
      </c>
      <c r="K9" s="1">
        <f>IFERROR(__xludf.DUMMYFUNCTION("""COMPUTED_VALUE"""),1954.0)</f>
        <v>1954</v>
      </c>
      <c r="L9" s="1" t="str">
        <f>IFERROR(__xludf.DUMMYFUNCTION("""COMPUTED_VALUE"""),"*Allemagne de l'Ouest*(1)")</f>
        <v>*Allemagne de l'Ouest*(1)</v>
      </c>
      <c r="M9" s="1" t="str">
        <f>IFERROR(__xludf.DUMMYFUNCTION("""COMPUTED_VALUE"""),"3 - 2")</f>
        <v>3 - 2</v>
      </c>
      <c r="N9" s="1" t="str">
        <f>IFERROR(__xludf.DUMMYFUNCTION("""COMPUTED_VALUE"""),"Hongrie")</f>
        <v>Hongrie</v>
      </c>
      <c r="O9" s="1" t="str">
        <f>IFERROR(__xludf.DUMMYFUNCTION("""COMPUTED_VALUE"""),"Autriche")</f>
        <v>Autriche</v>
      </c>
      <c r="P9" s="1" t="str">
        <f>IFERROR(__xludf.DUMMYFUNCTION("SPLIT(M9:M29,""–"")"),"3 - 2")</f>
        <v>3 - 2</v>
      </c>
    </row>
    <row r="10">
      <c r="J10" s="1" t="str">
        <f>IFERROR(__xludf.DUMMYFUNCTION("""COMPUTED_VALUE"""),"6e")</f>
        <v>6e</v>
      </c>
      <c r="K10" s="1">
        <f>IFERROR(__xludf.DUMMYFUNCTION("""COMPUTED_VALUE"""),1958.0)</f>
        <v>1958</v>
      </c>
      <c r="L10" s="1" t="str">
        <f>IFERROR(__xludf.DUMMYFUNCTION("""COMPUTED_VALUE"""),"*Brésil*(1)")</f>
        <v>*Brésil*(1)</v>
      </c>
      <c r="M10" s="1" t="str">
        <f>IFERROR(__xludf.DUMMYFUNCTION("""COMPUTED_VALUE"""),"5 - 2")</f>
        <v>5 - 2</v>
      </c>
      <c r="N10" s="1" t="str">
        <f>IFERROR(__xludf.DUMMYFUNCTION("""COMPUTED_VALUE"""),"Suède")</f>
        <v>Suède</v>
      </c>
      <c r="O10" s="1" t="str">
        <f>IFERROR(__xludf.DUMMYFUNCTION("""COMPUTED_VALUE"""),"France")</f>
        <v>France</v>
      </c>
      <c r="P10" s="1" t="str">
        <f>IFERROR(__xludf.DUMMYFUNCTION("SPLIT(M10:M30,""–"")"),"5 - 2")</f>
        <v>5 - 2</v>
      </c>
    </row>
    <row r="11">
      <c r="J11" s="1" t="str">
        <f>IFERROR(__xludf.DUMMYFUNCTION("""COMPUTED_VALUE"""),"7e")</f>
        <v>7e</v>
      </c>
      <c r="K11" s="1">
        <f>IFERROR(__xludf.DUMMYFUNCTION("""COMPUTED_VALUE"""),1962.0)</f>
        <v>1962</v>
      </c>
      <c r="L11" s="1" t="str">
        <f>IFERROR(__xludf.DUMMYFUNCTION("""COMPUTED_VALUE"""),"*Brésil*(2)")</f>
        <v>*Brésil*(2)</v>
      </c>
      <c r="M11" s="1" t="str">
        <f>IFERROR(__xludf.DUMMYFUNCTION("""COMPUTED_VALUE"""),"3 - 1")</f>
        <v>3 - 1</v>
      </c>
      <c r="N11" s="1" t="str">
        <f>IFERROR(__xludf.DUMMYFUNCTION("""COMPUTED_VALUE"""),"Tchécoslovaquie")</f>
        <v>Tchécoslovaquie</v>
      </c>
      <c r="O11" s="1" t="str">
        <f>IFERROR(__xludf.DUMMYFUNCTION("""COMPUTED_VALUE"""),"Chili")</f>
        <v>Chili</v>
      </c>
      <c r="P11" s="1" t="str">
        <f>IFERROR(__xludf.DUMMYFUNCTION("SPLIT(M11:M31,""–"")"),"3 - 1")</f>
        <v>3 - 1</v>
      </c>
    </row>
    <row r="12">
      <c r="J12" s="1" t="str">
        <f>IFERROR(__xludf.DUMMYFUNCTION("""COMPUTED_VALUE"""),"8e")</f>
        <v>8e</v>
      </c>
      <c r="K12" s="1">
        <f>IFERROR(__xludf.DUMMYFUNCTION("""COMPUTED_VALUE"""),1966.0)</f>
        <v>1966</v>
      </c>
      <c r="L12" s="1" t="str">
        <f>IFERROR(__xludf.DUMMYFUNCTION("""COMPUTED_VALUE"""),"*Angleterre*(1)")</f>
        <v>*Angleterre*(1)</v>
      </c>
      <c r="M12" s="1" t="str">
        <f>IFERROR(__xludf.DUMMYFUNCTION("""COMPUTED_VALUE"""),"4 - 2 (ap)")</f>
        <v>4 - 2 (ap)</v>
      </c>
      <c r="N12" s="1" t="str">
        <f>IFERROR(__xludf.DUMMYFUNCTION("""COMPUTED_VALUE"""),"Allemagne de l'Ouest")</f>
        <v>Allemagne de l'Ouest</v>
      </c>
      <c r="O12" s="1" t="str">
        <f>IFERROR(__xludf.DUMMYFUNCTION("""COMPUTED_VALUE"""),"Portugal")</f>
        <v>Portugal</v>
      </c>
      <c r="P12" s="1" t="str">
        <f>IFERROR(__xludf.DUMMYFUNCTION("SPLIT(M12:M32,""–"")"),"4 - 2 (ap)")</f>
        <v>4 - 2 (ap)</v>
      </c>
    </row>
    <row r="13">
      <c r="J13" s="1" t="str">
        <f>IFERROR(__xludf.DUMMYFUNCTION("""COMPUTED_VALUE"""),"9e")</f>
        <v>9e</v>
      </c>
      <c r="K13" s="1">
        <f>IFERROR(__xludf.DUMMYFUNCTION("""COMPUTED_VALUE"""),1970.0)</f>
        <v>1970</v>
      </c>
      <c r="L13" s="1" t="str">
        <f>IFERROR(__xludf.DUMMYFUNCTION("""COMPUTED_VALUE"""),"*Brésil*(3)")</f>
        <v>*Brésil*(3)</v>
      </c>
      <c r="M13" s="1" t="str">
        <f>IFERROR(__xludf.DUMMYFUNCTION("""COMPUTED_VALUE"""),"4 - 1")</f>
        <v>4 - 1</v>
      </c>
      <c r="N13" s="1" t="str">
        <f>IFERROR(__xludf.DUMMYFUNCTION("""COMPUTED_VALUE"""),"Italie")</f>
        <v>Italie</v>
      </c>
      <c r="O13" s="1" t="str">
        <f>IFERROR(__xludf.DUMMYFUNCTION("""COMPUTED_VALUE"""),"Allemagne de l'Ouest")</f>
        <v>Allemagne de l'Ouest</v>
      </c>
      <c r="P13" s="1" t="str">
        <f>IFERROR(__xludf.DUMMYFUNCTION("SPLIT(M13:M33,""–"")"),"4 - 1")</f>
        <v>4 - 1</v>
      </c>
    </row>
    <row r="14">
      <c r="J14" s="1" t="str">
        <f>IFERROR(__xludf.DUMMYFUNCTION("""COMPUTED_VALUE"""),"10e")</f>
        <v>10e</v>
      </c>
      <c r="K14" s="1">
        <f>IFERROR(__xludf.DUMMYFUNCTION("""COMPUTED_VALUE"""),1974.0)</f>
        <v>1974</v>
      </c>
      <c r="L14" s="1" t="str">
        <f>IFERROR(__xludf.DUMMYFUNCTION("""COMPUTED_VALUE"""),"*Allemagne de l'Ouest*(2)")</f>
        <v>*Allemagne de l'Ouest*(2)</v>
      </c>
      <c r="M14" s="1" t="str">
        <f>IFERROR(__xludf.DUMMYFUNCTION("""COMPUTED_VALUE"""),"2 - 1")</f>
        <v>2 - 1</v>
      </c>
      <c r="N14" s="1" t="str">
        <f>IFERROR(__xludf.DUMMYFUNCTION("""COMPUTED_VALUE"""),"Pays-Bas")</f>
        <v>Pays-Bas</v>
      </c>
      <c r="O14" s="1" t="str">
        <f>IFERROR(__xludf.DUMMYFUNCTION("""COMPUTED_VALUE"""),"Pologne")</f>
        <v>Pologne</v>
      </c>
      <c r="P14" s="1" t="str">
        <f>IFERROR(__xludf.DUMMYFUNCTION("SPLIT(M14:M34,""–"")"),"2 - 1")</f>
        <v>2 - 1</v>
      </c>
      <c r="T14" s="1">
        <f>COUNTIF(P5:P25, "Pays-Bas")</f>
        <v>0</v>
      </c>
    </row>
    <row r="15">
      <c r="J15" s="1" t="str">
        <f>IFERROR(__xludf.DUMMYFUNCTION("""COMPUTED_VALUE"""),"11e")</f>
        <v>11e</v>
      </c>
      <c r="K15" s="1">
        <f>IFERROR(__xludf.DUMMYFUNCTION("""COMPUTED_VALUE"""),1978.0)</f>
        <v>1978</v>
      </c>
      <c r="L15" s="1" t="str">
        <f>IFERROR(__xludf.DUMMYFUNCTION("""COMPUTED_VALUE"""),"*Argentine*(1)")</f>
        <v>*Argentine*(1)</v>
      </c>
      <c r="M15" s="1" t="str">
        <f>IFERROR(__xludf.DUMMYFUNCTION("""COMPUTED_VALUE"""),"3 - 1 (ap)")</f>
        <v>3 - 1 (ap)</v>
      </c>
      <c r="N15" s="1" t="str">
        <f>IFERROR(__xludf.DUMMYFUNCTION("""COMPUTED_VALUE"""),"Pays-Bas")</f>
        <v>Pays-Bas</v>
      </c>
      <c r="O15" s="1" t="str">
        <f>IFERROR(__xludf.DUMMYFUNCTION("""COMPUTED_VALUE"""),"Brésil")</f>
        <v>Brésil</v>
      </c>
      <c r="P15" s="1" t="str">
        <f>IFERROR(__xludf.DUMMYFUNCTION("SPLIT(M15:M35,""–"")"),"3 - 1 (ap)")</f>
        <v>3 - 1 (ap)</v>
      </c>
    </row>
    <row r="16">
      <c r="J16" s="1" t="str">
        <f>IFERROR(__xludf.DUMMYFUNCTION("""COMPUTED_VALUE"""),"12e")</f>
        <v>12e</v>
      </c>
      <c r="K16" s="1">
        <f>IFERROR(__xludf.DUMMYFUNCTION("""COMPUTED_VALUE"""),1982.0)</f>
        <v>1982</v>
      </c>
      <c r="L16" s="1" t="str">
        <f>IFERROR(__xludf.DUMMYFUNCTION("""COMPUTED_VALUE"""),"*Italie*(3)")</f>
        <v>*Italie*(3)</v>
      </c>
      <c r="M16" s="1" t="str">
        <f>IFERROR(__xludf.DUMMYFUNCTION("""COMPUTED_VALUE"""),"3 - 1")</f>
        <v>3 - 1</v>
      </c>
      <c r="N16" s="1" t="str">
        <f>IFERROR(__xludf.DUMMYFUNCTION("""COMPUTED_VALUE"""),"Allemagne de l'Ouest")</f>
        <v>Allemagne de l'Ouest</v>
      </c>
      <c r="O16" s="1" t="str">
        <f>IFERROR(__xludf.DUMMYFUNCTION("""COMPUTED_VALUE"""),"Pologne")</f>
        <v>Pologne</v>
      </c>
      <c r="P16" s="1" t="str">
        <f>IFERROR(__xludf.DUMMYFUNCTION("SPLIT(M16:M36,""–"")"),"3 - 1")</f>
        <v>3 - 1</v>
      </c>
    </row>
    <row r="17">
      <c r="J17" s="1" t="str">
        <f>IFERROR(__xludf.DUMMYFUNCTION("""COMPUTED_VALUE"""),"13e")</f>
        <v>13e</v>
      </c>
      <c r="K17" s="1">
        <f>IFERROR(__xludf.DUMMYFUNCTION("""COMPUTED_VALUE"""),1986.0)</f>
        <v>1986</v>
      </c>
      <c r="L17" s="1" t="str">
        <f>IFERROR(__xludf.DUMMYFUNCTION("""COMPUTED_VALUE"""),"*Argentine*(2)")</f>
        <v>*Argentine*(2)</v>
      </c>
      <c r="M17" s="1" t="str">
        <f>IFERROR(__xludf.DUMMYFUNCTION("""COMPUTED_VALUE"""),"3 - 2")</f>
        <v>3 - 2</v>
      </c>
      <c r="N17" s="1" t="str">
        <f>IFERROR(__xludf.DUMMYFUNCTION("""COMPUTED_VALUE"""),"Allemagne de l'Ouest")</f>
        <v>Allemagne de l'Ouest</v>
      </c>
      <c r="O17" s="1" t="str">
        <f>IFERROR(__xludf.DUMMYFUNCTION("""COMPUTED_VALUE"""),"France")</f>
        <v>France</v>
      </c>
      <c r="P17" s="1" t="str">
        <f>IFERROR(__xludf.DUMMYFUNCTION("SPLIT(M17:M37,""–"")"),"3 - 2")</f>
        <v>3 - 2</v>
      </c>
    </row>
    <row r="18">
      <c r="J18" s="1" t="str">
        <f>IFERROR(__xludf.DUMMYFUNCTION("""COMPUTED_VALUE"""),"14e")</f>
        <v>14e</v>
      </c>
      <c r="K18" s="1">
        <f>IFERROR(__xludf.DUMMYFUNCTION("""COMPUTED_VALUE"""),1990.0)</f>
        <v>1990</v>
      </c>
      <c r="L18" s="1" t="str">
        <f>IFERROR(__xludf.DUMMYFUNCTION("""COMPUTED_VALUE"""),"*Allemagne de l'Ouest*(3)")</f>
        <v>*Allemagne de l'Ouest*(3)</v>
      </c>
      <c r="M18" s="1" t="str">
        <f>IFERROR(__xludf.DUMMYFUNCTION("""COMPUTED_VALUE"""),"1 - 0")</f>
        <v>1 - 0</v>
      </c>
      <c r="N18" s="1" t="str">
        <f>IFERROR(__xludf.DUMMYFUNCTION("""COMPUTED_VALUE"""),"Argentine")</f>
        <v>Argentine</v>
      </c>
      <c r="O18" s="1" t="str">
        <f>IFERROR(__xludf.DUMMYFUNCTION("""COMPUTED_VALUE"""),"Italie")</f>
        <v>Italie</v>
      </c>
      <c r="P18" s="1" t="str">
        <f>IFERROR(__xludf.DUMMYFUNCTION("SPLIT(M18:M38,""–"")"),"1 - 0")</f>
        <v>1 - 0</v>
      </c>
    </row>
    <row r="19">
      <c r="J19" s="1" t="str">
        <f>IFERROR(__xludf.DUMMYFUNCTION("""COMPUTED_VALUE"""),"15e")</f>
        <v>15e</v>
      </c>
      <c r="K19" s="1">
        <f>IFERROR(__xludf.DUMMYFUNCTION("""COMPUTED_VALUE"""),1994.0)</f>
        <v>1994</v>
      </c>
      <c r="L19" s="1" t="str">
        <f>IFERROR(__xludf.DUMMYFUNCTION("""COMPUTED_VALUE"""),"*Brésil*(4)")</f>
        <v>*Brésil*(4)</v>
      </c>
      <c r="M19" s="1" t="str">
        <f>IFERROR(__xludf.DUMMYFUNCTION("""COMPUTED_VALUE"""),"0 - 0 (ap)
(3-2 tab)")</f>
        <v>0 - 0 (ap)
(3-2 tab)</v>
      </c>
      <c r="N19" s="1" t="str">
        <f>IFERROR(__xludf.DUMMYFUNCTION("""COMPUTED_VALUE"""),"Italie")</f>
        <v>Italie</v>
      </c>
      <c r="O19" s="1" t="str">
        <f>IFERROR(__xludf.DUMMYFUNCTION("""COMPUTED_VALUE"""),"Suède")</f>
        <v>Suède</v>
      </c>
      <c r="P19" s="1" t="str">
        <f>IFERROR(__xludf.DUMMYFUNCTION("SPLIT(M19:M39,""–"")"),"0 - 0 (ap)
(3-2 tab)")</f>
        <v>0 - 0 (ap)
(3-2 tab)</v>
      </c>
    </row>
    <row r="20">
      <c r="J20" s="1" t="str">
        <f>IFERROR(__xludf.DUMMYFUNCTION("""COMPUTED_VALUE"""),"16e")</f>
        <v>16e</v>
      </c>
      <c r="K20" s="1">
        <f>IFERROR(__xludf.DUMMYFUNCTION("""COMPUTED_VALUE"""),1998.0)</f>
        <v>1998</v>
      </c>
      <c r="L20" s="1" t="str">
        <f>IFERROR(__xludf.DUMMYFUNCTION("""COMPUTED_VALUE"""),"*France*(1)")</f>
        <v>*France*(1)</v>
      </c>
      <c r="M20" s="1" t="str">
        <f>IFERROR(__xludf.DUMMYFUNCTION("""COMPUTED_VALUE"""),"3 - 0")</f>
        <v>3 - 0</v>
      </c>
      <c r="N20" s="1" t="str">
        <f>IFERROR(__xludf.DUMMYFUNCTION("""COMPUTED_VALUE"""),"Brésil")</f>
        <v>Brésil</v>
      </c>
      <c r="O20" s="1" t="str">
        <f>IFERROR(__xludf.DUMMYFUNCTION("""COMPUTED_VALUE"""),"Croatie")</f>
        <v>Croatie</v>
      </c>
      <c r="P20" s="1" t="str">
        <f>IFERROR(__xludf.DUMMYFUNCTION("SPLIT(M20:M40,""–"")"),"3 - 0")</f>
        <v>3 - 0</v>
      </c>
    </row>
    <row r="21">
      <c r="J21" s="1" t="str">
        <f>IFERROR(__xludf.DUMMYFUNCTION("""COMPUTED_VALUE"""),"17e")</f>
        <v>17e</v>
      </c>
      <c r="K21" s="1">
        <f>IFERROR(__xludf.DUMMYFUNCTION("""COMPUTED_VALUE"""),2002.0)</f>
        <v>2002</v>
      </c>
      <c r="L21" s="1" t="str">
        <f>IFERROR(__xludf.DUMMYFUNCTION("""COMPUTED_VALUE"""),"*Brésil*(5)")</f>
        <v>*Brésil*(5)</v>
      </c>
      <c r="M21" s="1" t="str">
        <f>IFERROR(__xludf.DUMMYFUNCTION("""COMPUTED_VALUE"""),"2 - 0")</f>
        <v>2 - 0</v>
      </c>
      <c r="N21" s="1" t="str">
        <f>IFERROR(__xludf.DUMMYFUNCTION("""COMPUTED_VALUE"""),"Allemagne")</f>
        <v>Allemagne</v>
      </c>
      <c r="O21" s="1" t="str">
        <f>IFERROR(__xludf.DUMMYFUNCTION("""COMPUTED_VALUE"""),"Turquie")</f>
        <v>Turquie</v>
      </c>
      <c r="P21" s="1" t="str">
        <f>IFERROR(__xludf.DUMMYFUNCTION("SPLIT(M21:M41,""–"")"),"2 - 0")</f>
        <v>2 - 0</v>
      </c>
    </row>
    <row r="22">
      <c r="J22" s="1" t="str">
        <f>IFERROR(__xludf.DUMMYFUNCTION("""COMPUTED_VALUE"""),"18e")</f>
        <v>18e</v>
      </c>
      <c r="K22" s="1">
        <f>IFERROR(__xludf.DUMMYFUNCTION("""COMPUTED_VALUE"""),2006.0)</f>
        <v>2006</v>
      </c>
      <c r="L22" s="1" t="str">
        <f>IFERROR(__xludf.DUMMYFUNCTION("""COMPUTED_VALUE"""),"*Italie*(4)")</f>
        <v>*Italie*(4)</v>
      </c>
      <c r="M22" s="1" t="str">
        <f>IFERROR(__xludf.DUMMYFUNCTION("""COMPUTED_VALUE"""),"1 - 1 (ap)
(5-3 tab)")</f>
        <v>1 - 1 (ap)
(5-3 tab)</v>
      </c>
      <c r="N22" s="1" t="str">
        <f>IFERROR(__xludf.DUMMYFUNCTION("""COMPUTED_VALUE"""),"France")</f>
        <v>France</v>
      </c>
      <c r="O22" s="1" t="str">
        <f>IFERROR(__xludf.DUMMYFUNCTION("""COMPUTED_VALUE"""),"Allemagne")</f>
        <v>Allemagne</v>
      </c>
      <c r="P22" s="1" t="str">
        <f>IFERROR(__xludf.DUMMYFUNCTION("SPLIT(M22:M42,""–"")"),"1 - 1 (ap)
(5-3 tab)")</f>
        <v>1 - 1 (ap)
(5-3 tab)</v>
      </c>
    </row>
    <row r="23">
      <c r="J23" s="1" t="str">
        <f>IFERROR(__xludf.DUMMYFUNCTION("""COMPUTED_VALUE"""),"19e")</f>
        <v>19e</v>
      </c>
      <c r="K23" s="1">
        <f>IFERROR(__xludf.DUMMYFUNCTION("""COMPUTED_VALUE"""),2010.0)</f>
        <v>2010</v>
      </c>
      <c r="L23" s="1" t="str">
        <f>IFERROR(__xludf.DUMMYFUNCTION("""COMPUTED_VALUE"""),"*Espagne*(1)")</f>
        <v>*Espagne*(1)</v>
      </c>
      <c r="M23" s="1" t="str">
        <f>IFERROR(__xludf.DUMMYFUNCTION("""COMPUTED_VALUE"""),"1 - 0 (ap)")</f>
        <v>1 - 0 (ap)</v>
      </c>
      <c r="N23" s="1" t="str">
        <f>IFERROR(__xludf.DUMMYFUNCTION("""COMPUTED_VALUE"""),"Pays-Bas")</f>
        <v>Pays-Bas</v>
      </c>
      <c r="O23" s="1" t="str">
        <f>IFERROR(__xludf.DUMMYFUNCTION("""COMPUTED_VALUE"""),"Allemagne")</f>
        <v>Allemagne</v>
      </c>
      <c r="P23" s="1" t="str">
        <f>IFERROR(__xludf.DUMMYFUNCTION("SPLIT(M23:M43,""–"")"),"1 - 0 (ap)")</f>
        <v>1 - 0 (ap)</v>
      </c>
    </row>
    <row r="24">
      <c r="J24" s="1" t="str">
        <f>IFERROR(__xludf.DUMMYFUNCTION("""COMPUTED_VALUE"""),"20e")</f>
        <v>20e</v>
      </c>
      <c r="K24" s="1">
        <f>IFERROR(__xludf.DUMMYFUNCTION("""COMPUTED_VALUE"""),2014.0)</f>
        <v>2014</v>
      </c>
      <c r="L24" s="1" t="str">
        <f>IFERROR(__xludf.DUMMYFUNCTION("""COMPUTED_VALUE"""),"*Allemagne*(4)")</f>
        <v>*Allemagne*(4)</v>
      </c>
      <c r="M24" s="1" t="str">
        <f>IFERROR(__xludf.DUMMYFUNCTION("""COMPUTED_VALUE"""),"1 - 0 (ap)")</f>
        <v>1 - 0 (ap)</v>
      </c>
      <c r="N24" s="1" t="str">
        <f>IFERROR(__xludf.DUMMYFUNCTION("""COMPUTED_VALUE"""),"Argentine")</f>
        <v>Argentine</v>
      </c>
      <c r="O24" s="1" t="str">
        <f>IFERROR(__xludf.DUMMYFUNCTION("""COMPUTED_VALUE"""),"Pays-Bas")</f>
        <v>Pays-Bas</v>
      </c>
      <c r="P24" s="1" t="str">
        <f>IFERROR(__xludf.DUMMYFUNCTION("SPLIT(M24:M44,""–"")"),"1 - 0 (ap)")</f>
        <v>1 - 0 (ap)</v>
      </c>
    </row>
    <row r="25">
      <c r="J25" s="1" t="str">
        <f>IFERROR(__xludf.DUMMYFUNCTION("""COMPUTED_VALUE"""),"21e")</f>
        <v>21e</v>
      </c>
      <c r="K25" s="1">
        <f>IFERROR(__xludf.DUMMYFUNCTION("""COMPUTED_VALUE"""),2018.0)</f>
        <v>2018</v>
      </c>
      <c r="L25" s="1" t="str">
        <f>IFERROR(__xludf.DUMMYFUNCTION("""COMPUTED_VALUE"""),"*France*(2)")</f>
        <v>*France*(2)</v>
      </c>
      <c r="M25" s="1" t="str">
        <f>IFERROR(__xludf.DUMMYFUNCTION("""COMPUTED_VALUE"""),"4 - 2")</f>
        <v>4 - 2</v>
      </c>
      <c r="N25" s="1" t="str">
        <f>IFERROR(__xludf.DUMMYFUNCTION("""COMPUTED_VALUE"""),"Croatie")</f>
        <v>Croatie</v>
      </c>
      <c r="O25" s="1" t="str">
        <f>IFERROR(__xludf.DUMMYFUNCTION("""COMPUTED_VALUE"""),"Belgique")</f>
        <v>Belgique</v>
      </c>
      <c r="P25" s="1" t="str">
        <f>IFERROR(__xludf.DUMMYFUNCTION("SPLIT(M25:M45,""–"")"),"4 - 2")</f>
        <v>4 - 2</v>
      </c>
    </row>
    <row r="26">
      <c r="J26" s="1" t="str">
        <f>IFERROR(__xludf.DUMMYFUNCTION("""COMPUTED_VALUE"""),"22e")</f>
        <v>22e</v>
      </c>
      <c r="K26" s="1">
        <f>IFERROR(__xludf.DUMMYFUNCTION("""COMPUTED_VALUE"""),2022.0)</f>
        <v>2022</v>
      </c>
      <c r="L26" s="1" t="str">
        <f>IFERROR(__xludf.DUMMYFUNCTION("""COMPUTED_VALUE"""),"*Argentine*(3)")</f>
        <v>*Argentine*(3)</v>
      </c>
      <c r="M26" s="1" t="str">
        <f>IFERROR(__xludf.DUMMYFUNCTION("""COMPUTED_VALUE"""),"3 - 3 (ap)
(4-2 tab)")</f>
        <v>3 - 3 (ap)
(4-2 tab)</v>
      </c>
      <c r="N26" s="1" t="str">
        <f>IFERROR(__xludf.DUMMYFUNCTION("""COMPUTED_VALUE"""),"France")</f>
        <v>France</v>
      </c>
      <c r="O26" s="1" t="str">
        <f>IFERROR(__xludf.DUMMYFUNCTION("""COMPUTED_VALUE"""),"Croatie")</f>
        <v>Croatie</v>
      </c>
    </row>
    <row r="27">
      <c r="J27" s="1" t="str">
        <f>IFERROR(__xludf.DUMMYFUNCTION("""COMPUTED_VALUE"""),"23e")</f>
        <v>23e</v>
      </c>
      <c r="K27" s="1">
        <f>IFERROR(__xludf.DUMMYFUNCTION("""COMPUTED_VALUE"""),2026.0)</f>
        <v>2026</v>
      </c>
      <c r="L27" s="1"/>
      <c r="M27" s="1"/>
      <c r="N27" s="1"/>
      <c r="O27" s="1"/>
    </row>
    <row r="28">
      <c r="J28" s="1" t="str">
        <f>IFERROR(__xludf.DUMMYFUNCTION("""COMPUTED_VALUE"""),"24e")</f>
        <v>24e</v>
      </c>
      <c r="K28" s="1" t="str">
        <f>IFERROR(__xludf.DUMMYFUNCTION("""COMPUTED_VALUE"""),"(MO) 
(PF) 2030")</f>
        <v>(MO) 
(PF) 2030</v>
      </c>
      <c r="L28" s="1"/>
      <c r="M28" s="1"/>
      <c r="N28" s="1"/>
      <c r="O28" s="1"/>
    </row>
    <row r="29">
      <c r="J29" s="1" t="str">
        <f>IFERROR(__xludf.DUMMYFUNCTION("""COMPUTED_VALUE"""),"25e")</f>
        <v>25e</v>
      </c>
      <c r="K29" s="1">
        <f>IFERROR(__xludf.DUMMYFUNCTION("""COMPUTED_VALUE"""),2034.0)</f>
        <v>2034</v>
      </c>
      <c r="L29" s="1"/>
      <c r="M29" s="1"/>
      <c r="N29" s="1"/>
      <c r="O29" s="1"/>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IFERROR(__xludf.DUMMYFUNCTION("IMPORTHTML(""https://fr.wikipedia.org/wiki/%C3%89lection_pr%C3%A9sidentielle_br%C3%A9silienne_de_2022"",""table"")"),"[TABLE]")</f>
        <v>[TABLE]</v>
      </c>
      <c r="B1" s="1"/>
      <c r="C1" s="1"/>
      <c r="D1" s="1"/>
      <c r="E1" s="1"/>
      <c r="F1" s="1"/>
    </row>
    <row r="2">
      <c r="A2" s="1"/>
      <c r="B2" s="1"/>
      <c r="C2" s="1"/>
      <c r="D2" s="1"/>
      <c r="E2" s="1"/>
      <c r="F2" s="1"/>
    </row>
    <row r="3">
      <c r="A3" s="1" t="str">
        <f>IFERROR(__xludf.DUMMYFUNCTION("""COMPUTED_VALUE"""),"Élection présidentielle brésilienne de 2022")</f>
        <v>Élection présidentielle brésilienne de 2022</v>
      </c>
      <c r="B3" s="1"/>
      <c r="C3" s="1"/>
      <c r="D3" s="1"/>
      <c r="E3" s="1"/>
      <c r="F3" s="1"/>
    </row>
    <row r="4">
      <c r="A4" s="1" t="str">
        <f>IFERROR(__xludf.DUMMYFUNCTION("""COMPUTED_VALUE"""),"*2octobre2022(1er tour)30octobre2022(2d tour)*")</f>
        <v>*2octobre2022(1er tour)30octobre2022(2d tour)*</v>
      </c>
      <c r="B4" s="1"/>
      <c r="C4" s="1"/>
      <c r="D4" s="1"/>
      <c r="E4" s="1"/>
      <c r="F4" s="1"/>
    </row>
    <row r="5">
      <c r="A5" s="1" t="str">
        <f>IFERROR(__xludf.DUMMYFUNCTION("""COMPUTED_VALUE"""),"Corps électoral et résultats")</f>
        <v>Corps électoral et résultats</v>
      </c>
      <c r="B5" s="1"/>
      <c r="C5" s="1"/>
      <c r="D5" s="1"/>
      <c r="E5" s="1"/>
      <c r="F5" s="1"/>
    </row>
    <row r="6">
      <c r="A6" s="1"/>
      <c r="B6" s="1"/>
      <c r="C6" s="1"/>
      <c r="D6" s="1"/>
      <c r="E6" s="1"/>
      <c r="F6" s="1"/>
    </row>
    <row r="7">
      <c r="A7" s="1" t="str">
        <f>IFERROR(__xludf.DUMMYFUNCTION("""COMPUTED_VALUE"""),"Inscrits")</f>
        <v>Inscrits</v>
      </c>
      <c r="B7" s="1"/>
      <c r="C7" s="1"/>
      <c r="D7" s="1"/>
      <c r="E7" s="1" t="str">
        <f>IFERROR(__xludf.DUMMYFUNCTION("""COMPUTED_VALUE"""),"156 453 354")</f>
        <v>156 453 354</v>
      </c>
      <c r="F7" s="1"/>
    </row>
    <row r="8">
      <c r="A8" s="1" t="str">
        <f>IFERROR(__xludf.DUMMYFUNCTION("""COMPUTED_VALUE"""),"Votants au 1er tour")</f>
        <v>Votants au 1er tour</v>
      </c>
      <c r="B8" s="1"/>
      <c r="C8" s="1"/>
      <c r="D8" s="1"/>
      <c r="E8" s="1" t="str">
        <f>IFERROR(__xludf.DUMMYFUNCTION("""COMPUTED_VALUE"""),"123 682 372")</f>
        <v>123 682 372</v>
      </c>
      <c r="F8" s="1"/>
    </row>
    <row r="9">
      <c r="A9" s="1"/>
      <c r="B9" s="1"/>
      <c r="C9" s="1"/>
      <c r="D9" s="1"/>
      <c r="E9" s="1" t="str">
        <f>IFERROR(__xludf.DUMMYFUNCTION("""COMPUTED_VALUE"""),"79,05 %  0,6")</f>
        <v>79,05 %  0,6</v>
      </c>
      <c r="F9" s="1"/>
    </row>
    <row r="10">
      <c r="A10" s="1" t="str">
        <f>IFERROR(__xludf.DUMMYFUNCTION("""COMPUTED_VALUE"""),"Votes exprimés au 1er tour")</f>
        <v>Votes exprimés au 1er tour</v>
      </c>
      <c r="B10" s="1"/>
      <c r="C10" s="1"/>
      <c r="D10" s="1"/>
      <c r="E10" s="1" t="str">
        <f>IFERROR(__xludf.DUMMYFUNCTION("""COMPUTED_VALUE"""),"118 229 719")</f>
        <v>118 229 719</v>
      </c>
      <c r="F10" s="1"/>
    </row>
    <row r="11">
      <c r="A11" s="1" t="str">
        <f>IFERROR(__xludf.DUMMYFUNCTION("""COMPUTED_VALUE"""),"Blancs et nuls au 1er tour")</f>
        <v>Blancs et nuls au 1er tour</v>
      </c>
      <c r="B11" s="1"/>
      <c r="C11" s="1"/>
      <c r="D11" s="1"/>
      <c r="E11" s="1" t="str">
        <f>IFERROR(__xludf.DUMMYFUNCTION("""COMPUTED_VALUE"""),"5 452 653")</f>
        <v>5 452 653</v>
      </c>
      <c r="F11" s="1"/>
    </row>
    <row r="12">
      <c r="A12" s="1" t="str">
        <f>IFERROR(__xludf.DUMMYFUNCTION("""COMPUTED_VALUE"""),"Votants au 2d tour")</f>
        <v>Votants au 2d tour</v>
      </c>
      <c r="B12" s="1"/>
      <c r="C12" s="1"/>
      <c r="D12" s="1"/>
      <c r="E12" s="1" t="str">
        <f>IFERROR(__xludf.DUMMYFUNCTION("""COMPUTED_VALUE"""),"124 252 796")</f>
        <v>124 252 796</v>
      </c>
      <c r="F12" s="1"/>
    </row>
    <row r="13">
      <c r="A13" s="1"/>
      <c r="B13" s="1"/>
      <c r="C13" s="1"/>
      <c r="D13" s="1"/>
      <c r="E13" s="1" t="str">
        <f>IFERROR(__xludf.DUMMYFUNCTION("""COMPUTED_VALUE"""),"79,42 %  0,7")</f>
        <v>79,42 %  0,7</v>
      </c>
      <c r="F13" s="1"/>
    </row>
    <row r="14">
      <c r="A14" s="1" t="str">
        <f>IFERROR(__xludf.DUMMYFUNCTION("""COMPUTED_VALUE"""),"Votes exprimés au 2d tour")</f>
        <v>Votes exprimés au 2d tour</v>
      </c>
      <c r="B14" s="1"/>
      <c r="C14" s="1"/>
      <c r="D14" s="1"/>
      <c r="E14" s="1" t="str">
        <f>IFERROR(__xludf.DUMMYFUNCTION("""COMPUTED_VALUE"""),"118 552 353")</f>
        <v>118 552 353</v>
      </c>
      <c r="F14" s="1"/>
    </row>
    <row r="15">
      <c r="A15" s="1" t="str">
        <f>IFERROR(__xludf.DUMMYFUNCTION("""COMPUTED_VALUE"""),"Blancs et nuls au 2d tour")</f>
        <v>Blancs et nuls au 2d tour</v>
      </c>
      <c r="B15" s="1"/>
      <c r="C15" s="1"/>
      <c r="D15" s="1"/>
      <c r="E15" s="1" t="str">
        <f>IFERROR(__xludf.DUMMYFUNCTION("""COMPUTED_VALUE"""),"5 700 443")</f>
        <v>5 700 443</v>
      </c>
      <c r="F15" s="1"/>
    </row>
    <row r="16">
      <c r="A16" s="1"/>
      <c r="B16" s="1"/>
      <c r="C16" s="1"/>
      <c r="D16" s="1"/>
      <c r="E16" s="1"/>
      <c r="F16" s="1"/>
    </row>
    <row r="17">
      <c r="A17" s="1"/>
      <c r="B17" s="1" t="str">
        <f>IFERROR(__xludf.DUMMYFUNCTION("""COMPUTED_VALUE"""),"*Luiz Inácio Lula da Silva* – *PT*
Colistier : Geraldo Alckmin")</f>
        <v>*Luiz Inácio Lula da Silva* – *PT*
Colistier : Geraldo Alckmin</v>
      </c>
      <c r="C17" s="1"/>
      <c r="D17" s="1"/>
      <c r="E17" s="1"/>
      <c r="F17" s="1"/>
    </row>
    <row r="18">
      <c r="A18" s="1"/>
      <c r="B18" s="1" t="str">
        <f>IFERROR(__xludf.DUMMYFUNCTION("""COMPUTED_VALUE"""),"Voix au 1er tour")</f>
        <v>Voix au 1er tour</v>
      </c>
      <c r="C18" s="1"/>
      <c r="D18" s="1"/>
      <c r="E18" s="1" t="str">
        <f>IFERROR(__xludf.DUMMYFUNCTION("""COMPUTED_VALUE"""),"57 259 504")</f>
        <v>57 259 504</v>
      </c>
      <c r="F18" s="1"/>
    </row>
    <row r="19">
      <c r="A19" s="1"/>
      <c r="B19" s="1" t="str">
        <f>IFERROR(__xludf.DUMMYFUNCTION("""COMPUTED_VALUE"""),"48,43 %
 ")</f>
        <v>48,43 %
 </v>
      </c>
      <c r="C19" s="1"/>
      <c r="D19" s="1"/>
      <c r="E19" s="1"/>
      <c r="F19" s="1" t="str">
        <f>IFERROR(__xludf.DUMMYFUNCTION("""COMPUTED_VALUE"""),"19,2")</f>
        <v>19,2</v>
      </c>
    </row>
    <row r="20">
      <c r="A20" s="1"/>
      <c r="B20" s="1" t="str">
        <f>IFERROR(__xludf.DUMMYFUNCTION("""COMPUTED_VALUE"""),"Voix au 2e tour")</f>
        <v>Voix au 2e tour</v>
      </c>
      <c r="C20" s="1"/>
      <c r="D20" s="1"/>
      <c r="E20" s="1" t="str">
        <f>IFERROR(__xludf.DUMMYFUNCTION("""COMPUTED_VALUE"""),"60 345 999")</f>
        <v>60 345 999</v>
      </c>
      <c r="F20" s="1"/>
    </row>
    <row r="21">
      <c r="A21" s="1"/>
      <c r="B21" s="1" t="str">
        <f>IFERROR(__xludf.DUMMYFUNCTION("""COMPUTED_VALUE"""),"50,90 %
 ")</f>
        <v>50,90 %
 </v>
      </c>
      <c r="C21" s="1"/>
      <c r="D21" s="1"/>
      <c r="E21" s="1"/>
      <c r="F21" s="1">
        <f>IFERROR(__xludf.DUMMYFUNCTION("""COMPUTED_VALUE"""),6.0)</f>
        <v>6</v>
      </c>
    </row>
    <row r="22">
      <c r="A22" s="1"/>
      <c r="B22" s="1"/>
      <c r="C22" s="1"/>
      <c r="D22" s="1"/>
      <c r="E22" s="1"/>
      <c r="F22" s="1"/>
    </row>
    <row r="23">
      <c r="A23" s="1"/>
      <c r="B23" s="1" t="str">
        <f>IFERROR(__xludf.DUMMYFUNCTION("""COMPUTED_VALUE"""),"*Jair Bolsonaro* – *PL*
Colistier : Walter Braga Netto")</f>
        <v>*Jair Bolsonaro* – *PL*
Colistier : Walter Braga Netto</v>
      </c>
      <c r="C23" s="1"/>
      <c r="D23" s="1"/>
      <c r="E23" s="1"/>
      <c r="F23" s="1"/>
    </row>
    <row r="24">
      <c r="A24" s="1"/>
      <c r="B24" s="1" t="str">
        <f>IFERROR(__xludf.DUMMYFUNCTION("""COMPUTED_VALUE"""),"Voix au 1er tour")</f>
        <v>Voix au 1er tour</v>
      </c>
      <c r="C24" s="1"/>
      <c r="D24" s="1"/>
      <c r="E24" s="1" t="str">
        <f>IFERROR(__xludf.DUMMYFUNCTION("""COMPUTED_VALUE"""),"51 072 345")</f>
        <v>51 072 345</v>
      </c>
      <c r="F24" s="1"/>
    </row>
    <row r="25">
      <c r="A25" s="1"/>
      <c r="B25" s="1" t="str">
        <f>IFERROR(__xludf.DUMMYFUNCTION("""COMPUTED_VALUE"""),"43,20 %
 ")</f>
        <v>43,20 %
 </v>
      </c>
      <c r="C25" s="1"/>
      <c r="D25" s="1"/>
      <c r="E25" s="1"/>
      <c r="F25" s="1" t="str">
        <f>IFERROR(__xludf.DUMMYFUNCTION("""COMPUTED_VALUE"""),"2,8")</f>
        <v>2,8</v>
      </c>
    </row>
    <row r="26">
      <c r="A26" s="1"/>
      <c r="B26" s="1" t="str">
        <f>IFERROR(__xludf.DUMMYFUNCTION("""COMPUTED_VALUE"""),"Voix au 2e tour")</f>
        <v>Voix au 2e tour</v>
      </c>
      <c r="C26" s="1"/>
      <c r="D26" s="1"/>
      <c r="E26" s="1" t="str">
        <f>IFERROR(__xludf.DUMMYFUNCTION("""COMPUTED_VALUE"""),"58 206 354")</f>
        <v>58 206 354</v>
      </c>
      <c r="F26" s="1"/>
    </row>
    <row r="27">
      <c r="A27" s="1"/>
      <c r="B27" s="1" t="str">
        <f>IFERROR(__xludf.DUMMYFUNCTION("""COMPUTED_VALUE"""),"49,10 %
 ")</f>
        <v>49,10 %
 </v>
      </c>
      <c r="C27" s="1"/>
      <c r="D27" s="1"/>
      <c r="E27" s="1"/>
      <c r="F27" s="1">
        <f>IFERROR(__xludf.DUMMYFUNCTION("""COMPUTED_VALUE"""),6.0)</f>
        <v>6</v>
      </c>
    </row>
    <row r="28">
      <c r="A28" s="1" t="str">
        <f>IFERROR(__xludf.DUMMYFUNCTION("""COMPUTED_VALUE"""),"Vainqueur par État")</f>
        <v>Vainqueur par État</v>
      </c>
      <c r="B28" s="1"/>
      <c r="C28" s="1"/>
      <c r="D28" s="1"/>
      <c r="E28" s="1"/>
      <c r="F28" s="1"/>
    </row>
    <row r="29">
      <c r="A29" s="1"/>
      <c r="B29" s="1"/>
      <c r="C29" s="1"/>
      <c r="D29" s="1"/>
      <c r="E29" s="1"/>
      <c r="F29" s="1"/>
    </row>
    <row r="30">
      <c r="A30" s="1" t="str">
        <f>IFERROR(__xludf.DUMMYFUNCTION("""COMPUTED_VALUE"""),"Président de la république fédérative du Brésil")</f>
        <v>Président de la république fédérative du Brésil</v>
      </c>
      <c r="B30" s="1"/>
      <c r="C30" s="1"/>
      <c r="D30" s="1"/>
      <c r="E30" s="1"/>
      <c r="F30" s="1"/>
    </row>
    <row r="31">
      <c r="A31" s="1"/>
      <c r="B31" s="1"/>
      <c r="C31" s="1"/>
      <c r="D31" s="1"/>
      <c r="E31" s="1"/>
      <c r="F31" s="1"/>
    </row>
    <row r="32">
      <c r="A32" s="1" t="str">
        <f>IFERROR(__xludf.DUMMYFUNCTION("""COMPUTED_VALUE"""),"*Sortant*")</f>
        <v>*Sortant*</v>
      </c>
      <c r="B32" s="1"/>
      <c r="C32" s="1"/>
      <c r="D32" s="1" t="str">
        <f>IFERROR(__xludf.DUMMYFUNCTION("""COMPUTED_VALUE"""),"*Élu*")</f>
        <v>*Élu*</v>
      </c>
      <c r="E32" s="1"/>
      <c r="F32" s="1"/>
    </row>
    <row r="33">
      <c r="A33" s="1" t="str">
        <f>IFERROR(__xludf.DUMMYFUNCTION("""COMPUTED_VALUE"""),"Jair Bolsonaro
PL")</f>
        <v>Jair Bolsonaro
PL</v>
      </c>
      <c r="B33" s="1"/>
      <c r="C33" s="1"/>
      <c r="D33" s="1" t="str">
        <f>IFERROR(__xludf.DUMMYFUNCTION("""COMPUTED_VALUE"""),"Luiz Inácio Lula da Silva
PT")</f>
        <v>Luiz Inácio Lula da Silva
PT</v>
      </c>
      <c r="E33" s="1"/>
      <c r="F33" s="1"/>
    </row>
    <row r="34">
      <c r="A34" s="1" t="str">
        <f>IFERROR(__xludf.DUMMYFUNCTION("""COMPUTED_VALUE"""),"modifier - modifier le code - voir Wikidata")</f>
        <v>modifier - modifier le code - voir Wikidata</v>
      </c>
      <c r="B34" s="1"/>
      <c r="C34" s="1"/>
      <c r="D34" s="1"/>
      <c r="E34" s="1"/>
      <c r="F34" s="1"/>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3214</v>
      </c>
    </row>
    <row r="5">
      <c r="B5" s="1" t="str">
        <f>IFERROR(__xludf.DUMMYFUNCTION("(IMPORTHTML(""https://fr.wikipedia.org/wiki/Coupe_du_monde_de_football"", ""table""))"),"Édition")</f>
        <v>Édition</v>
      </c>
      <c r="C5" s="1" t="str">
        <f>IFERROR(__xludf.DUMMYFUNCTION("""COMPUTED_VALUE"""),"Année")</f>
        <v>Année</v>
      </c>
      <c r="D5" s="1" t="str">
        <f>IFERROR(__xludf.DUMMYFUNCTION("""COMPUTED_VALUE"""),"Vainqueur")</f>
        <v>Vainqueur</v>
      </c>
      <c r="E5" s="1" t="str">
        <f>IFERROR(__xludf.DUMMYFUNCTION("""COMPUTED_VALUE"""),"Score")</f>
        <v>Score</v>
      </c>
      <c r="F5" s="1" t="str">
        <f>IFERROR(__xludf.DUMMYFUNCTION("""COMPUTED_VALUE"""),"Finaliste")</f>
        <v>Finaliste</v>
      </c>
      <c r="G5" s="1" t="str">
        <f>IFERROR(__xludf.DUMMYFUNCTION("""COMPUTED_VALUE"""),"Troisième")</f>
        <v>Troisième</v>
      </c>
    </row>
    <row r="6">
      <c r="B6" s="1" t="str">
        <f>IFERROR(__xludf.DUMMYFUNCTION("""COMPUTED_VALUE"""),"1re")</f>
        <v>1re</v>
      </c>
      <c r="C6" s="1">
        <f>IFERROR(__xludf.DUMMYFUNCTION("""COMPUTED_VALUE"""),1930.0)</f>
        <v>1930</v>
      </c>
      <c r="D6" s="1" t="str">
        <f>IFERROR(__xludf.DUMMYFUNCTION("""COMPUTED_VALUE"""),"*Uruguay*(1)")</f>
        <v>*Uruguay*(1)</v>
      </c>
      <c r="E6" s="1" t="str">
        <f>IFERROR(__xludf.DUMMYFUNCTION("""COMPUTED_VALUE"""),"4 - 2")</f>
        <v>4 - 2</v>
      </c>
      <c r="F6" s="1" t="str">
        <f>IFERROR(__xludf.DUMMYFUNCTION("""COMPUTED_VALUE"""),"Argentine")</f>
        <v>Argentine</v>
      </c>
      <c r="G6" s="1" t="str">
        <f>IFERROR(__xludf.DUMMYFUNCTION("""COMPUTED_VALUE"""),"États-Unis[70]")</f>
        <v>États-Unis[70]</v>
      </c>
    </row>
    <row r="7">
      <c r="B7" s="1" t="str">
        <f>IFERROR(__xludf.DUMMYFUNCTION("""COMPUTED_VALUE"""),"2e")</f>
        <v>2e</v>
      </c>
      <c r="C7" s="1">
        <f>IFERROR(__xludf.DUMMYFUNCTION("""COMPUTED_VALUE"""),1934.0)</f>
        <v>1934</v>
      </c>
      <c r="D7" s="1" t="str">
        <f>IFERROR(__xludf.DUMMYFUNCTION("""COMPUTED_VALUE"""),"*Italie*(1)")</f>
        <v>*Italie*(1)</v>
      </c>
      <c r="E7" s="1" t="str">
        <f>IFERROR(__xludf.DUMMYFUNCTION("""COMPUTED_VALUE"""),"2 - 1 (ap)")</f>
        <v>2 - 1 (ap)</v>
      </c>
      <c r="F7" s="1" t="str">
        <f>IFERROR(__xludf.DUMMYFUNCTION("""COMPUTED_VALUE"""),"Tchécoslovaquie")</f>
        <v>Tchécoslovaquie</v>
      </c>
      <c r="G7" s="1" t="str">
        <f>IFERROR(__xludf.DUMMYFUNCTION("""COMPUTED_VALUE"""),"Allemagne[d],[5]")</f>
        <v>Allemagne[d],[5]</v>
      </c>
    </row>
    <row r="8">
      <c r="B8" s="1" t="str">
        <f>IFERROR(__xludf.DUMMYFUNCTION("""COMPUTED_VALUE"""),"3e")</f>
        <v>3e</v>
      </c>
      <c r="C8" s="1">
        <f>IFERROR(__xludf.DUMMYFUNCTION("""COMPUTED_VALUE"""),1938.0)</f>
        <v>1938</v>
      </c>
      <c r="D8" s="1" t="str">
        <f>IFERROR(__xludf.DUMMYFUNCTION("""COMPUTED_VALUE"""),"*Italie*(2)")</f>
        <v>*Italie*(2)</v>
      </c>
      <c r="E8" s="1" t="str">
        <f>IFERROR(__xludf.DUMMYFUNCTION("""COMPUTED_VALUE"""),"4 - 2")</f>
        <v>4 - 2</v>
      </c>
      <c r="F8" s="1" t="str">
        <f>IFERROR(__xludf.DUMMYFUNCTION("""COMPUTED_VALUE"""),"Hongrie")</f>
        <v>Hongrie</v>
      </c>
      <c r="G8" s="1" t="str">
        <f>IFERROR(__xludf.DUMMYFUNCTION("""COMPUTED_VALUE"""),"Brésil")</f>
        <v>Brésil</v>
      </c>
    </row>
    <row r="9">
      <c r="B9" s="1" t="str">
        <f>IFERROR(__xludf.DUMMYFUNCTION("""COMPUTED_VALUE"""),"4e")</f>
        <v>4e</v>
      </c>
      <c r="C9" s="1">
        <f>IFERROR(__xludf.DUMMYFUNCTION("""COMPUTED_VALUE"""),1950.0)</f>
        <v>1950</v>
      </c>
      <c r="D9" s="1" t="str">
        <f>IFERROR(__xludf.DUMMYFUNCTION("""COMPUTED_VALUE"""),"*Uruguay*(2)")</f>
        <v>*Uruguay*(2)</v>
      </c>
      <c r="E9" s="1" t="str">
        <f>IFERROR(__xludf.DUMMYFUNCTION("""COMPUTED_VALUE"""),"2 - 1[e]")</f>
        <v>2 - 1[e]</v>
      </c>
      <c r="F9" s="1" t="str">
        <f>IFERROR(__xludf.DUMMYFUNCTION("""COMPUTED_VALUE"""),"Brésil")</f>
        <v>Brésil</v>
      </c>
      <c r="G9" s="1" t="str">
        <f>IFERROR(__xludf.DUMMYFUNCTION("""COMPUTED_VALUE"""),"Suède")</f>
        <v>Suède</v>
      </c>
    </row>
    <row r="10">
      <c r="B10" s="1" t="str">
        <f>IFERROR(__xludf.DUMMYFUNCTION("""COMPUTED_VALUE"""),"5e")</f>
        <v>5e</v>
      </c>
      <c r="C10" s="1">
        <f>IFERROR(__xludf.DUMMYFUNCTION("""COMPUTED_VALUE"""),1954.0)</f>
        <v>1954</v>
      </c>
      <c r="D10" s="1" t="str">
        <f>IFERROR(__xludf.DUMMYFUNCTION("""COMPUTED_VALUE"""),"*Allemagne de l'Ouest*(1)")</f>
        <v>*Allemagne de l'Ouest*(1)</v>
      </c>
      <c r="E10" s="1" t="str">
        <f>IFERROR(__xludf.DUMMYFUNCTION("""COMPUTED_VALUE"""),"3 - 2")</f>
        <v>3 - 2</v>
      </c>
      <c r="F10" s="1" t="str">
        <f>IFERROR(__xludf.DUMMYFUNCTION("""COMPUTED_VALUE"""),"Hongrie")</f>
        <v>Hongrie</v>
      </c>
      <c r="G10" s="1" t="str">
        <f>IFERROR(__xludf.DUMMYFUNCTION("""COMPUTED_VALUE"""),"Autriche")</f>
        <v>Autriche</v>
      </c>
    </row>
    <row r="11">
      <c r="B11" s="1" t="str">
        <f>IFERROR(__xludf.DUMMYFUNCTION("""COMPUTED_VALUE"""),"6e")</f>
        <v>6e</v>
      </c>
      <c r="C11" s="1">
        <f>IFERROR(__xludf.DUMMYFUNCTION("""COMPUTED_VALUE"""),1958.0)</f>
        <v>1958</v>
      </c>
      <c r="D11" s="1" t="str">
        <f>IFERROR(__xludf.DUMMYFUNCTION("""COMPUTED_VALUE"""),"*Brésil*(1)")</f>
        <v>*Brésil*(1)</v>
      </c>
      <c r="E11" s="1" t="str">
        <f>IFERROR(__xludf.DUMMYFUNCTION("""COMPUTED_VALUE"""),"5 - 2")</f>
        <v>5 - 2</v>
      </c>
      <c r="F11" s="1" t="str">
        <f>IFERROR(__xludf.DUMMYFUNCTION("""COMPUTED_VALUE"""),"Suède")</f>
        <v>Suède</v>
      </c>
      <c r="G11" s="1" t="str">
        <f>IFERROR(__xludf.DUMMYFUNCTION("""COMPUTED_VALUE"""),"France")</f>
        <v>France</v>
      </c>
    </row>
    <row r="12">
      <c r="B12" s="1" t="str">
        <f>IFERROR(__xludf.DUMMYFUNCTION("""COMPUTED_VALUE"""),"7e")</f>
        <v>7e</v>
      </c>
      <c r="C12" s="1">
        <f>IFERROR(__xludf.DUMMYFUNCTION("""COMPUTED_VALUE"""),1962.0)</f>
        <v>1962</v>
      </c>
      <c r="D12" s="1" t="str">
        <f>IFERROR(__xludf.DUMMYFUNCTION("""COMPUTED_VALUE"""),"*Brésil*(2)")</f>
        <v>*Brésil*(2)</v>
      </c>
      <c r="E12" s="1" t="str">
        <f>IFERROR(__xludf.DUMMYFUNCTION("""COMPUTED_VALUE"""),"3 - 1")</f>
        <v>3 - 1</v>
      </c>
      <c r="F12" s="1" t="str">
        <f>IFERROR(__xludf.DUMMYFUNCTION("""COMPUTED_VALUE"""),"Tchécoslovaquie")</f>
        <v>Tchécoslovaquie</v>
      </c>
      <c r="G12" s="1" t="str">
        <f>IFERROR(__xludf.DUMMYFUNCTION("""COMPUTED_VALUE"""),"Chili")</f>
        <v>Chili</v>
      </c>
    </row>
    <row r="13">
      <c r="B13" s="1" t="str">
        <f>IFERROR(__xludf.DUMMYFUNCTION("""COMPUTED_VALUE"""),"8e")</f>
        <v>8e</v>
      </c>
      <c r="C13" s="1">
        <f>IFERROR(__xludf.DUMMYFUNCTION("""COMPUTED_VALUE"""),1966.0)</f>
        <v>1966</v>
      </c>
      <c r="D13" s="1" t="str">
        <f>IFERROR(__xludf.DUMMYFUNCTION("""COMPUTED_VALUE"""),"*Angleterre*(1)")</f>
        <v>*Angleterre*(1)</v>
      </c>
      <c r="E13" s="1" t="str">
        <f>IFERROR(__xludf.DUMMYFUNCTION("""COMPUTED_VALUE"""),"4 - 2 (ap)")</f>
        <v>4 - 2 (ap)</v>
      </c>
      <c r="F13" s="1" t="str">
        <f>IFERROR(__xludf.DUMMYFUNCTION("""COMPUTED_VALUE"""),"Allemagne de l'Ouest")</f>
        <v>Allemagne de l'Ouest</v>
      </c>
      <c r="G13" s="1" t="str">
        <f>IFERROR(__xludf.DUMMYFUNCTION("""COMPUTED_VALUE"""),"Portugal")</f>
        <v>Portugal</v>
      </c>
    </row>
    <row r="14">
      <c r="B14" s="1" t="str">
        <f>IFERROR(__xludf.DUMMYFUNCTION("""COMPUTED_VALUE"""),"9e")</f>
        <v>9e</v>
      </c>
      <c r="C14" s="1">
        <f>IFERROR(__xludf.DUMMYFUNCTION("""COMPUTED_VALUE"""),1970.0)</f>
        <v>1970</v>
      </c>
      <c r="D14" s="1" t="str">
        <f>IFERROR(__xludf.DUMMYFUNCTION("""COMPUTED_VALUE"""),"*Brésil*(3)")</f>
        <v>*Brésil*(3)</v>
      </c>
      <c r="E14" s="1" t="str">
        <f>IFERROR(__xludf.DUMMYFUNCTION("""COMPUTED_VALUE"""),"4 - 1")</f>
        <v>4 - 1</v>
      </c>
      <c r="F14" s="1" t="str">
        <f>IFERROR(__xludf.DUMMYFUNCTION("""COMPUTED_VALUE"""),"Italie")</f>
        <v>Italie</v>
      </c>
      <c r="G14" s="1" t="str">
        <f>IFERROR(__xludf.DUMMYFUNCTION("""COMPUTED_VALUE"""),"Allemagne de l'Ouest")</f>
        <v>Allemagne de l'Ouest</v>
      </c>
    </row>
    <row r="15">
      <c r="B15" s="1" t="str">
        <f>IFERROR(__xludf.DUMMYFUNCTION("""COMPUTED_VALUE"""),"10e")</f>
        <v>10e</v>
      </c>
      <c r="C15" s="1">
        <f>IFERROR(__xludf.DUMMYFUNCTION("""COMPUTED_VALUE"""),1974.0)</f>
        <v>1974</v>
      </c>
      <c r="D15" s="1" t="str">
        <f>IFERROR(__xludf.DUMMYFUNCTION("""COMPUTED_VALUE"""),"*Allemagne de l'Ouest*(2)")</f>
        <v>*Allemagne de l'Ouest*(2)</v>
      </c>
      <c r="E15" s="1" t="str">
        <f>IFERROR(__xludf.DUMMYFUNCTION("""COMPUTED_VALUE"""),"2 - 1")</f>
        <v>2 - 1</v>
      </c>
      <c r="F15" s="1" t="str">
        <f>IFERROR(__xludf.DUMMYFUNCTION("""COMPUTED_VALUE"""),"Pays-Bas")</f>
        <v>Pays-Bas</v>
      </c>
      <c r="G15" s="1" t="str">
        <f>IFERROR(__xludf.DUMMYFUNCTION("""COMPUTED_VALUE"""),"Pologne")</f>
        <v>Pologne</v>
      </c>
    </row>
    <row r="16">
      <c r="B16" s="1" t="str">
        <f>IFERROR(__xludf.DUMMYFUNCTION("""COMPUTED_VALUE"""),"11e")</f>
        <v>11e</v>
      </c>
      <c r="C16" s="1">
        <f>IFERROR(__xludf.DUMMYFUNCTION("""COMPUTED_VALUE"""),1978.0)</f>
        <v>1978</v>
      </c>
      <c r="D16" s="1" t="str">
        <f>IFERROR(__xludf.DUMMYFUNCTION("""COMPUTED_VALUE"""),"*Argentine*(1)")</f>
        <v>*Argentine*(1)</v>
      </c>
      <c r="E16" s="1" t="str">
        <f>IFERROR(__xludf.DUMMYFUNCTION("""COMPUTED_VALUE"""),"3 - 1 (ap)")</f>
        <v>3 - 1 (ap)</v>
      </c>
      <c r="F16" s="1" t="str">
        <f>IFERROR(__xludf.DUMMYFUNCTION("""COMPUTED_VALUE"""),"Pays-Bas")</f>
        <v>Pays-Bas</v>
      </c>
      <c r="G16" s="1" t="str">
        <f>IFERROR(__xludf.DUMMYFUNCTION("""COMPUTED_VALUE"""),"Brésil")</f>
        <v>Brésil</v>
      </c>
    </row>
    <row r="17">
      <c r="B17" s="1" t="str">
        <f>IFERROR(__xludf.DUMMYFUNCTION("""COMPUTED_VALUE"""),"12e")</f>
        <v>12e</v>
      </c>
      <c r="C17" s="1">
        <f>IFERROR(__xludf.DUMMYFUNCTION("""COMPUTED_VALUE"""),1982.0)</f>
        <v>1982</v>
      </c>
      <c r="D17" s="1" t="str">
        <f>IFERROR(__xludf.DUMMYFUNCTION("""COMPUTED_VALUE"""),"*Italie*(3)")</f>
        <v>*Italie*(3)</v>
      </c>
      <c r="E17" s="1" t="str">
        <f>IFERROR(__xludf.DUMMYFUNCTION("""COMPUTED_VALUE"""),"3 - 1")</f>
        <v>3 - 1</v>
      </c>
      <c r="F17" s="1" t="str">
        <f>IFERROR(__xludf.DUMMYFUNCTION("""COMPUTED_VALUE"""),"Allemagne de l'Ouest")</f>
        <v>Allemagne de l'Ouest</v>
      </c>
      <c r="G17" s="1" t="str">
        <f>IFERROR(__xludf.DUMMYFUNCTION("""COMPUTED_VALUE"""),"Pologne")</f>
        <v>Pologne</v>
      </c>
    </row>
    <row r="18">
      <c r="B18" s="1" t="str">
        <f>IFERROR(__xludf.DUMMYFUNCTION("""COMPUTED_VALUE"""),"13e")</f>
        <v>13e</v>
      </c>
      <c r="C18" s="1">
        <f>IFERROR(__xludf.DUMMYFUNCTION("""COMPUTED_VALUE"""),1986.0)</f>
        <v>1986</v>
      </c>
      <c r="D18" s="1" t="str">
        <f>IFERROR(__xludf.DUMMYFUNCTION("""COMPUTED_VALUE"""),"*Argentine*(2)")</f>
        <v>*Argentine*(2)</v>
      </c>
      <c r="E18" s="1" t="str">
        <f>IFERROR(__xludf.DUMMYFUNCTION("""COMPUTED_VALUE"""),"3 - 2")</f>
        <v>3 - 2</v>
      </c>
      <c r="F18" s="1" t="str">
        <f>IFERROR(__xludf.DUMMYFUNCTION("""COMPUTED_VALUE"""),"Allemagne de l'Ouest")</f>
        <v>Allemagne de l'Ouest</v>
      </c>
      <c r="G18" s="1" t="str">
        <f>IFERROR(__xludf.DUMMYFUNCTION("""COMPUTED_VALUE"""),"France")</f>
        <v>France</v>
      </c>
    </row>
    <row r="19">
      <c r="B19" s="1" t="str">
        <f>IFERROR(__xludf.DUMMYFUNCTION("""COMPUTED_VALUE"""),"14e")</f>
        <v>14e</v>
      </c>
      <c r="C19" s="1">
        <f>IFERROR(__xludf.DUMMYFUNCTION("""COMPUTED_VALUE"""),1990.0)</f>
        <v>1990</v>
      </c>
      <c r="D19" s="1" t="str">
        <f>IFERROR(__xludf.DUMMYFUNCTION("""COMPUTED_VALUE"""),"*Allemagne de l'Ouest*(3)")</f>
        <v>*Allemagne de l'Ouest*(3)</v>
      </c>
      <c r="E19" s="1" t="str">
        <f>IFERROR(__xludf.DUMMYFUNCTION("""COMPUTED_VALUE"""),"1 - 0")</f>
        <v>1 - 0</v>
      </c>
      <c r="F19" s="1" t="str">
        <f>IFERROR(__xludf.DUMMYFUNCTION("""COMPUTED_VALUE"""),"Argentine")</f>
        <v>Argentine</v>
      </c>
      <c r="G19" s="1" t="str">
        <f>IFERROR(__xludf.DUMMYFUNCTION("""COMPUTED_VALUE"""),"Italie")</f>
        <v>Italie</v>
      </c>
    </row>
    <row r="20">
      <c r="B20" s="1" t="str">
        <f>IFERROR(__xludf.DUMMYFUNCTION("""COMPUTED_VALUE"""),"15e")</f>
        <v>15e</v>
      </c>
      <c r="C20" s="1">
        <f>IFERROR(__xludf.DUMMYFUNCTION("""COMPUTED_VALUE"""),1994.0)</f>
        <v>1994</v>
      </c>
      <c r="D20" s="1" t="str">
        <f>IFERROR(__xludf.DUMMYFUNCTION("""COMPUTED_VALUE"""),"*Brésil*(4)")</f>
        <v>*Brésil*(4)</v>
      </c>
      <c r="E20" s="1" t="str">
        <f>IFERROR(__xludf.DUMMYFUNCTION("""COMPUTED_VALUE"""),"0 - 0 (ap)
(3-2 tab)")</f>
        <v>0 - 0 (ap)
(3-2 tab)</v>
      </c>
      <c r="F20" s="1" t="str">
        <f>IFERROR(__xludf.DUMMYFUNCTION("""COMPUTED_VALUE"""),"Italie")</f>
        <v>Italie</v>
      </c>
      <c r="G20" s="1" t="str">
        <f>IFERROR(__xludf.DUMMYFUNCTION("""COMPUTED_VALUE"""),"Suède")</f>
        <v>Suède</v>
      </c>
    </row>
    <row r="21">
      <c r="B21" s="1" t="str">
        <f>IFERROR(__xludf.DUMMYFUNCTION("""COMPUTED_VALUE"""),"16e")</f>
        <v>16e</v>
      </c>
      <c r="C21" s="1">
        <f>IFERROR(__xludf.DUMMYFUNCTION("""COMPUTED_VALUE"""),1998.0)</f>
        <v>1998</v>
      </c>
      <c r="D21" s="1" t="str">
        <f>IFERROR(__xludf.DUMMYFUNCTION("""COMPUTED_VALUE"""),"*France*(1)")</f>
        <v>*France*(1)</v>
      </c>
      <c r="E21" s="1" t="str">
        <f>IFERROR(__xludf.DUMMYFUNCTION("""COMPUTED_VALUE"""),"3 - 0")</f>
        <v>3 - 0</v>
      </c>
      <c r="F21" s="1" t="str">
        <f>IFERROR(__xludf.DUMMYFUNCTION("""COMPUTED_VALUE"""),"Brésil")</f>
        <v>Brésil</v>
      </c>
      <c r="G21" s="1" t="str">
        <f>IFERROR(__xludf.DUMMYFUNCTION("""COMPUTED_VALUE"""),"Croatie")</f>
        <v>Croatie</v>
      </c>
    </row>
    <row r="22">
      <c r="B22" s="1" t="str">
        <f>IFERROR(__xludf.DUMMYFUNCTION("""COMPUTED_VALUE"""),"17e")</f>
        <v>17e</v>
      </c>
      <c r="C22" s="1">
        <f>IFERROR(__xludf.DUMMYFUNCTION("""COMPUTED_VALUE"""),2002.0)</f>
        <v>2002</v>
      </c>
      <c r="D22" s="1" t="str">
        <f>IFERROR(__xludf.DUMMYFUNCTION("""COMPUTED_VALUE"""),"*Brésil*(5)")</f>
        <v>*Brésil*(5)</v>
      </c>
      <c r="E22" s="1" t="str">
        <f>IFERROR(__xludf.DUMMYFUNCTION("""COMPUTED_VALUE"""),"2 - 0")</f>
        <v>2 - 0</v>
      </c>
      <c r="F22" s="1" t="str">
        <f>IFERROR(__xludf.DUMMYFUNCTION("""COMPUTED_VALUE"""),"Allemagne")</f>
        <v>Allemagne</v>
      </c>
      <c r="G22" s="1" t="str">
        <f>IFERROR(__xludf.DUMMYFUNCTION("""COMPUTED_VALUE"""),"Turquie")</f>
        <v>Turquie</v>
      </c>
    </row>
    <row r="23">
      <c r="B23" s="1" t="str">
        <f>IFERROR(__xludf.DUMMYFUNCTION("""COMPUTED_VALUE"""),"18e")</f>
        <v>18e</v>
      </c>
      <c r="C23" s="1">
        <f>IFERROR(__xludf.DUMMYFUNCTION("""COMPUTED_VALUE"""),2006.0)</f>
        <v>2006</v>
      </c>
      <c r="D23" s="1" t="str">
        <f>IFERROR(__xludf.DUMMYFUNCTION("""COMPUTED_VALUE"""),"*Italie*(4)")</f>
        <v>*Italie*(4)</v>
      </c>
      <c r="E23" s="1" t="str">
        <f>IFERROR(__xludf.DUMMYFUNCTION("""COMPUTED_VALUE"""),"1 - 1 (ap)
(5-3 tab)")</f>
        <v>1 - 1 (ap)
(5-3 tab)</v>
      </c>
      <c r="F23" s="1" t="str">
        <f>IFERROR(__xludf.DUMMYFUNCTION("""COMPUTED_VALUE"""),"France")</f>
        <v>France</v>
      </c>
      <c r="G23" s="1" t="str">
        <f>IFERROR(__xludf.DUMMYFUNCTION("""COMPUTED_VALUE"""),"Allemagne")</f>
        <v>Allemagne</v>
      </c>
    </row>
    <row r="24">
      <c r="B24" s="1" t="str">
        <f>IFERROR(__xludf.DUMMYFUNCTION("""COMPUTED_VALUE"""),"19e")</f>
        <v>19e</v>
      </c>
      <c r="C24" s="1">
        <f>IFERROR(__xludf.DUMMYFUNCTION("""COMPUTED_VALUE"""),2010.0)</f>
        <v>2010</v>
      </c>
      <c r="D24" s="1" t="str">
        <f>IFERROR(__xludf.DUMMYFUNCTION("""COMPUTED_VALUE"""),"*Espagne*(1)")</f>
        <v>*Espagne*(1)</v>
      </c>
      <c r="E24" s="1" t="str">
        <f>IFERROR(__xludf.DUMMYFUNCTION("""COMPUTED_VALUE"""),"1 - 0 (ap)")</f>
        <v>1 - 0 (ap)</v>
      </c>
      <c r="F24" s="1" t="str">
        <f>IFERROR(__xludf.DUMMYFUNCTION("""COMPUTED_VALUE"""),"Pays-Bas")</f>
        <v>Pays-Bas</v>
      </c>
      <c r="G24" s="1" t="str">
        <f>IFERROR(__xludf.DUMMYFUNCTION("""COMPUTED_VALUE"""),"Allemagne")</f>
        <v>Allemagne</v>
      </c>
    </row>
    <row r="25">
      <c r="B25" s="1" t="str">
        <f>IFERROR(__xludf.DUMMYFUNCTION("""COMPUTED_VALUE"""),"20e")</f>
        <v>20e</v>
      </c>
      <c r="C25" s="1">
        <f>IFERROR(__xludf.DUMMYFUNCTION("""COMPUTED_VALUE"""),2014.0)</f>
        <v>2014</v>
      </c>
      <c r="D25" s="1" t="str">
        <f>IFERROR(__xludf.DUMMYFUNCTION("""COMPUTED_VALUE"""),"*Allemagne*(4)")</f>
        <v>*Allemagne*(4)</v>
      </c>
      <c r="E25" s="1" t="str">
        <f>IFERROR(__xludf.DUMMYFUNCTION("""COMPUTED_VALUE"""),"1 - 0 (ap)")</f>
        <v>1 - 0 (ap)</v>
      </c>
      <c r="F25" s="1" t="str">
        <f>IFERROR(__xludf.DUMMYFUNCTION("""COMPUTED_VALUE"""),"Argentine")</f>
        <v>Argentine</v>
      </c>
      <c r="G25" s="1" t="str">
        <f>IFERROR(__xludf.DUMMYFUNCTION("""COMPUTED_VALUE"""),"Pays-Bas")</f>
        <v>Pays-Bas</v>
      </c>
    </row>
    <row r="26">
      <c r="B26" s="1" t="str">
        <f>IFERROR(__xludf.DUMMYFUNCTION("""COMPUTED_VALUE"""),"21e")</f>
        <v>21e</v>
      </c>
      <c r="C26" s="1">
        <f>IFERROR(__xludf.DUMMYFUNCTION("""COMPUTED_VALUE"""),2018.0)</f>
        <v>2018</v>
      </c>
      <c r="D26" s="1" t="str">
        <f>IFERROR(__xludf.DUMMYFUNCTION("""COMPUTED_VALUE"""),"*France*(2)")</f>
        <v>*France*(2)</v>
      </c>
      <c r="E26" s="1" t="str">
        <f>IFERROR(__xludf.DUMMYFUNCTION("""COMPUTED_VALUE"""),"4 - 2")</f>
        <v>4 - 2</v>
      </c>
      <c r="F26" s="1" t="str">
        <f>IFERROR(__xludf.DUMMYFUNCTION("""COMPUTED_VALUE"""),"Croatie")</f>
        <v>Croatie</v>
      </c>
      <c r="G26" s="1" t="str">
        <f>IFERROR(__xludf.DUMMYFUNCTION("""COMPUTED_VALUE"""),"Belgique")</f>
        <v>Belgique</v>
      </c>
    </row>
    <row r="27">
      <c r="B27" s="1" t="str">
        <f>IFERROR(__xludf.DUMMYFUNCTION("""COMPUTED_VALUE"""),"22e")</f>
        <v>22e</v>
      </c>
      <c r="C27" s="1">
        <f>IFERROR(__xludf.DUMMYFUNCTION("""COMPUTED_VALUE"""),2022.0)</f>
        <v>2022</v>
      </c>
      <c r="D27" s="1" t="str">
        <f>IFERROR(__xludf.DUMMYFUNCTION("""COMPUTED_VALUE"""),"*Argentine*(3)")</f>
        <v>*Argentine*(3)</v>
      </c>
      <c r="E27" s="1" t="str">
        <f>IFERROR(__xludf.DUMMYFUNCTION("""COMPUTED_VALUE"""),"3 - 3 (ap)
(4-2 tab)")</f>
        <v>3 - 3 (ap)
(4-2 tab)</v>
      </c>
      <c r="F27" s="1" t="str">
        <f>IFERROR(__xludf.DUMMYFUNCTION("""COMPUTED_VALUE"""),"France")</f>
        <v>France</v>
      </c>
      <c r="G27" s="1" t="str">
        <f>IFERROR(__xludf.DUMMYFUNCTION("""COMPUTED_VALUE"""),"Croatie")</f>
        <v>Croatie</v>
      </c>
    </row>
    <row r="28">
      <c r="B28" s="1" t="str">
        <f>IFERROR(__xludf.DUMMYFUNCTION("""COMPUTED_VALUE"""),"23e")</f>
        <v>23e</v>
      </c>
      <c r="C28" s="1">
        <f>IFERROR(__xludf.DUMMYFUNCTION("""COMPUTED_VALUE"""),2026.0)</f>
        <v>2026</v>
      </c>
      <c r="D28" s="1"/>
      <c r="E28" s="1"/>
      <c r="F28" s="1"/>
      <c r="G28" s="1"/>
    </row>
    <row r="29">
      <c r="B29" s="1" t="str">
        <f>IFERROR(__xludf.DUMMYFUNCTION("""COMPUTED_VALUE"""),"24e")</f>
        <v>24e</v>
      </c>
      <c r="C29" s="1" t="str">
        <f>IFERROR(__xludf.DUMMYFUNCTION("""COMPUTED_VALUE"""),"(MO) 
(PF) 2030")</f>
        <v>(MO) 
(PF) 2030</v>
      </c>
      <c r="D29" s="1"/>
      <c r="E29" s="1"/>
      <c r="F29" s="1"/>
      <c r="G29" s="1"/>
    </row>
    <row r="30">
      <c r="B30" s="1" t="str">
        <f>IFERROR(__xludf.DUMMYFUNCTION("""COMPUTED_VALUE"""),"25e")</f>
        <v>25e</v>
      </c>
      <c r="C30" s="1">
        <f>IFERROR(__xludf.DUMMYFUNCTION("""COMPUTED_VALUE"""),2034.0)</f>
        <v>2034</v>
      </c>
      <c r="D30" s="1"/>
      <c r="E30" s="1"/>
      <c r="F30" s="1"/>
      <c r="G30" s="1"/>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8</v>
      </c>
      <c r="B2" s="1">
        <v>1930.0</v>
      </c>
      <c r="C2" s="1" t="s">
        <v>9</v>
      </c>
      <c r="D2" s="1" t="s">
        <v>10</v>
      </c>
      <c r="E2" s="1" t="s">
        <v>11</v>
      </c>
      <c r="F2" s="1" t="s">
        <v>12</v>
      </c>
      <c r="G2" s="2">
        <f>IFERROR(__xludf.DUMMYFUNCTION("(SPLIT(D2, ""–""))"),4.0)</f>
        <v>4</v>
      </c>
      <c r="H2" s="1">
        <f>IFERROR(__xludf.DUMMYFUNCTION("""COMPUTED_VALUE"""),2.0)</f>
        <v>2</v>
      </c>
    </row>
    <row r="3">
      <c r="A3" s="1" t="s">
        <v>13</v>
      </c>
      <c r="B3" s="1">
        <v>1934.0</v>
      </c>
      <c r="C3" s="1" t="s">
        <v>14</v>
      </c>
      <c r="D3" s="1" t="s">
        <v>15</v>
      </c>
      <c r="E3" s="1" t="s">
        <v>16</v>
      </c>
      <c r="F3" s="1" t="s">
        <v>17</v>
      </c>
      <c r="G3" s="1">
        <f>IFERROR(__xludf.DUMMYFUNCTION("(SPLIT(D3, ""–""))"),2.0)</f>
        <v>2</v>
      </c>
      <c r="H3" s="1" t="str">
        <f>IFERROR(__xludf.DUMMYFUNCTION("""COMPUTED_VALUE""")," 1 (ap)")</f>
        <v> 1 (ap)</v>
      </c>
    </row>
    <row r="4">
      <c r="A4" s="1" t="s">
        <v>18</v>
      </c>
      <c r="B4" s="1">
        <v>1938.0</v>
      </c>
      <c r="C4" s="1" t="s">
        <v>19</v>
      </c>
      <c r="D4" s="1" t="s">
        <v>10</v>
      </c>
      <c r="E4" s="1" t="s">
        <v>20</v>
      </c>
      <c r="F4" s="1" t="s">
        <v>21</v>
      </c>
      <c r="G4" s="1">
        <f>IFERROR(__xludf.DUMMYFUNCTION("SPLIT(D4, ""–"")"),4.0)</f>
        <v>4</v>
      </c>
      <c r="H4" s="1">
        <f>IFERROR(__xludf.DUMMYFUNCTION("""COMPUTED_VALUE"""),2.0)</f>
        <v>2</v>
      </c>
    </row>
    <row r="5">
      <c r="A5" s="1" t="s">
        <v>22</v>
      </c>
      <c r="B5" s="1">
        <v>1950.0</v>
      </c>
      <c r="C5" s="1" t="s">
        <v>23</v>
      </c>
      <c r="D5" s="1" t="s">
        <v>24</v>
      </c>
      <c r="E5" s="1" t="s">
        <v>21</v>
      </c>
      <c r="F5" s="1" t="s">
        <v>25</v>
      </c>
      <c r="G5" s="1" t="str">
        <f>IFERROR(__xludf.DUMMYFUNCTION("SPLIT(D5, ""–"")"),"*2 - 1*[f]")</f>
        <v>*2 - 1*[f]</v>
      </c>
    </row>
    <row r="6">
      <c r="A6" s="1" t="s">
        <v>26</v>
      </c>
      <c r="B6" s="1">
        <v>1954.0</v>
      </c>
      <c r="C6" s="1" t="s">
        <v>27</v>
      </c>
      <c r="D6" s="1" t="s">
        <v>28</v>
      </c>
      <c r="E6" s="1" t="s">
        <v>20</v>
      </c>
      <c r="F6" s="1" t="s">
        <v>29</v>
      </c>
      <c r="G6" s="1">
        <f>IFERROR(__xludf.DUMMYFUNCTION("SPLIT(D6, ""–"")"),3.0)</f>
        <v>3</v>
      </c>
      <c r="H6" s="1">
        <f>IFERROR(__xludf.DUMMYFUNCTION("""COMPUTED_VALUE"""),2.0)</f>
        <v>2</v>
      </c>
    </row>
    <row r="7">
      <c r="A7" s="1" t="s">
        <v>30</v>
      </c>
      <c r="B7" s="1">
        <v>1958.0</v>
      </c>
      <c r="C7" s="1" t="s">
        <v>31</v>
      </c>
      <c r="D7" s="1" t="s">
        <v>32</v>
      </c>
      <c r="E7" s="1" t="s">
        <v>25</v>
      </c>
      <c r="F7" s="1" t="s">
        <v>33</v>
      </c>
      <c r="G7" s="1">
        <f>IFERROR(__xludf.DUMMYFUNCTION("SPLIT(D7, ""–"")"),5.0)</f>
        <v>5</v>
      </c>
      <c r="H7" s="1">
        <f>IFERROR(__xludf.DUMMYFUNCTION("""COMPUTED_VALUE"""),2.0)</f>
        <v>2</v>
      </c>
    </row>
    <row r="8">
      <c r="A8" s="1" t="s">
        <v>34</v>
      </c>
      <c r="B8" s="1">
        <v>1962.0</v>
      </c>
      <c r="C8" s="1" t="s">
        <v>35</v>
      </c>
      <c r="D8" s="1" t="s">
        <v>36</v>
      </c>
      <c r="E8" s="1" t="s">
        <v>16</v>
      </c>
      <c r="F8" s="1" t="s">
        <v>37</v>
      </c>
      <c r="G8" s="1">
        <f>IFERROR(__xludf.DUMMYFUNCTION("SPLIT(D8, ""–"")"),3.0)</f>
        <v>3</v>
      </c>
      <c r="H8" s="1">
        <f>IFERROR(__xludf.DUMMYFUNCTION("""COMPUTED_VALUE"""),1.0)</f>
        <v>1</v>
      </c>
    </row>
    <row r="9">
      <c r="A9" s="1" t="s">
        <v>38</v>
      </c>
      <c r="B9" s="1">
        <v>1966.0</v>
      </c>
      <c r="C9" s="1" t="s">
        <v>39</v>
      </c>
      <c r="D9" s="1" t="s">
        <v>40</v>
      </c>
      <c r="E9" s="1" t="s">
        <v>41</v>
      </c>
      <c r="F9" s="1" t="s">
        <v>42</v>
      </c>
      <c r="G9" s="1">
        <f>IFERROR(__xludf.DUMMYFUNCTION("SPLIT(D9, ""–"")"),4.0)</f>
        <v>4</v>
      </c>
      <c r="H9" s="1" t="str">
        <f>IFERROR(__xludf.DUMMYFUNCTION("""COMPUTED_VALUE""")," 2 (ap)")</f>
        <v> 2 (ap)</v>
      </c>
    </row>
    <row r="10">
      <c r="A10" s="1" t="s">
        <v>43</v>
      </c>
      <c r="B10" s="1">
        <v>1970.0</v>
      </c>
      <c r="C10" s="1" t="s">
        <v>44</v>
      </c>
      <c r="D10" s="1" t="s">
        <v>45</v>
      </c>
      <c r="E10" s="1" t="s">
        <v>46</v>
      </c>
      <c r="F10" s="1" t="s">
        <v>41</v>
      </c>
      <c r="G10" s="1">
        <f>IFERROR(__xludf.DUMMYFUNCTION("SPLIT(D10, ""–"")"),4.0)</f>
        <v>4</v>
      </c>
      <c r="H10" s="1">
        <f>IFERROR(__xludf.DUMMYFUNCTION("""COMPUTED_VALUE"""),1.0)</f>
        <v>1</v>
      </c>
    </row>
    <row r="11">
      <c r="A11" s="1" t="s">
        <v>47</v>
      </c>
      <c r="B11" s="1">
        <v>1974.0</v>
      </c>
      <c r="C11" s="1" t="s">
        <v>48</v>
      </c>
      <c r="D11" s="1" t="s">
        <v>49</v>
      </c>
      <c r="E11" s="1" t="s">
        <v>50</v>
      </c>
      <c r="F11" s="1" t="s">
        <v>51</v>
      </c>
      <c r="G11" s="1">
        <f>IFERROR(__xludf.DUMMYFUNCTION("SPLIT(D11, ""–"")"),2.0)</f>
        <v>2</v>
      </c>
      <c r="H11" s="1">
        <f>IFERROR(__xludf.DUMMYFUNCTION("""COMPUTED_VALUE"""),1.0)</f>
        <v>1</v>
      </c>
    </row>
    <row r="12">
      <c r="A12" s="1" t="s">
        <v>52</v>
      </c>
      <c r="B12" s="1">
        <v>1978.0</v>
      </c>
      <c r="C12" s="1" t="s">
        <v>53</v>
      </c>
      <c r="D12" s="1" t="s">
        <v>54</v>
      </c>
      <c r="E12" s="1" t="s">
        <v>50</v>
      </c>
      <c r="F12" s="1" t="s">
        <v>21</v>
      </c>
      <c r="G12" s="1">
        <f>IFERROR(__xludf.DUMMYFUNCTION("SPLIT(D12, ""–"")"),3.0)</f>
        <v>3</v>
      </c>
      <c r="H12" s="1" t="str">
        <f>IFERROR(__xludf.DUMMYFUNCTION("""COMPUTED_VALUE""")," 1 (ap)")</f>
        <v> 1 (ap)</v>
      </c>
    </row>
    <row r="13">
      <c r="A13" s="1" t="s">
        <v>55</v>
      </c>
      <c r="B13" s="1">
        <v>1982.0</v>
      </c>
      <c r="C13" s="1" t="s">
        <v>56</v>
      </c>
      <c r="D13" s="1" t="s">
        <v>36</v>
      </c>
      <c r="E13" s="1" t="s">
        <v>41</v>
      </c>
      <c r="F13" s="1" t="s">
        <v>51</v>
      </c>
      <c r="G13" s="1">
        <f>IFERROR(__xludf.DUMMYFUNCTION("SPLIT(D13, ""–"")"),3.0)</f>
        <v>3</v>
      </c>
      <c r="H13" s="1">
        <f>IFERROR(__xludf.DUMMYFUNCTION("""COMPUTED_VALUE"""),1.0)</f>
        <v>1</v>
      </c>
    </row>
    <row r="14">
      <c r="A14" s="1" t="s">
        <v>57</v>
      </c>
      <c r="B14" s="1">
        <v>1986.0</v>
      </c>
      <c r="C14" s="1" t="s">
        <v>58</v>
      </c>
      <c r="D14" s="1" t="s">
        <v>28</v>
      </c>
      <c r="E14" s="1" t="s">
        <v>41</v>
      </c>
      <c r="F14" s="1" t="s">
        <v>33</v>
      </c>
      <c r="G14" s="1">
        <f>IFERROR(__xludf.DUMMYFUNCTION("SPLIT(D14, ""–"")"),3.0)</f>
        <v>3</v>
      </c>
      <c r="H14" s="1">
        <f>IFERROR(__xludf.DUMMYFUNCTION("""COMPUTED_VALUE"""),2.0)</f>
        <v>2</v>
      </c>
    </row>
    <row r="15">
      <c r="A15" s="1" t="s">
        <v>59</v>
      </c>
      <c r="B15" s="1">
        <v>1990.0</v>
      </c>
      <c r="C15" s="1" t="s">
        <v>60</v>
      </c>
      <c r="D15" s="1" t="s">
        <v>61</v>
      </c>
      <c r="E15" s="1" t="s">
        <v>11</v>
      </c>
      <c r="F15" s="1" t="s">
        <v>46</v>
      </c>
      <c r="G15" s="1">
        <f>IFERROR(__xludf.DUMMYFUNCTION("SPLIT(D15, ""–"")"),1.0)</f>
        <v>1</v>
      </c>
      <c r="H15" s="1">
        <f>IFERROR(__xludf.DUMMYFUNCTION("""COMPUTED_VALUE"""),0.0)</f>
        <v>0</v>
      </c>
    </row>
    <row r="16">
      <c r="A16" s="1" t="s">
        <v>62</v>
      </c>
      <c r="B16" s="1">
        <v>1994.0</v>
      </c>
      <c r="C16" s="1" t="s">
        <v>63</v>
      </c>
      <c r="D16" s="1" t="s">
        <v>64</v>
      </c>
      <c r="E16" s="1" t="s">
        <v>46</v>
      </c>
      <c r="F16" s="1" t="s">
        <v>25</v>
      </c>
      <c r="G16" s="1">
        <f>IFERROR(__xludf.DUMMYFUNCTION("SPLIT(D16, ""–"")"),0.0)</f>
        <v>0</v>
      </c>
      <c r="H16" s="1" t="str">
        <f>IFERROR(__xludf.DUMMYFUNCTION("""COMPUTED_VALUE""")," 0 (3-2)")</f>
        <v> 0 (3-2)</v>
      </c>
    </row>
    <row r="17">
      <c r="A17" s="1" t="s">
        <v>65</v>
      </c>
      <c r="B17" s="1">
        <v>1998.0</v>
      </c>
      <c r="C17" s="1" t="s">
        <v>66</v>
      </c>
      <c r="D17" s="1" t="s">
        <v>67</v>
      </c>
      <c r="E17" s="1" t="s">
        <v>21</v>
      </c>
      <c r="F17" s="1" t="s">
        <v>68</v>
      </c>
      <c r="G17" s="1">
        <f>IFERROR(__xludf.DUMMYFUNCTION("SPLIT(D17, ""–"")"),3.0)</f>
        <v>3</v>
      </c>
      <c r="H17" s="1">
        <f>IFERROR(__xludf.DUMMYFUNCTION("""COMPUTED_VALUE"""),0.0)</f>
        <v>0</v>
      </c>
    </row>
    <row r="18">
      <c r="A18" s="1" t="s">
        <v>69</v>
      </c>
      <c r="B18" s="1">
        <v>2002.0</v>
      </c>
      <c r="C18" s="1" t="s">
        <v>70</v>
      </c>
      <c r="D18" s="1" t="s">
        <v>71</v>
      </c>
      <c r="E18" s="1" t="s">
        <v>72</v>
      </c>
      <c r="F18" s="1" t="s">
        <v>73</v>
      </c>
      <c r="G18" s="1">
        <f>IFERROR(__xludf.DUMMYFUNCTION("SPLIT(D18, ""–"")"),2.0)</f>
        <v>2</v>
      </c>
      <c r="H18" s="1">
        <f>IFERROR(__xludf.DUMMYFUNCTION("""COMPUTED_VALUE"""),0.0)</f>
        <v>0</v>
      </c>
    </row>
    <row r="19">
      <c r="A19" s="1" t="s">
        <v>74</v>
      </c>
      <c r="B19" s="1">
        <v>2006.0</v>
      </c>
      <c r="C19" s="1" t="s">
        <v>75</v>
      </c>
      <c r="D19" s="1" t="s">
        <v>76</v>
      </c>
      <c r="E19" s="1" t="s">
        <v>33</v>
      </c>
      <c r="F19" s="1" t="s">
        <v>72</v>
      </c>
      <c r="G19" s="1">
        <f>IFERROR(__xludf.DUMMYFUNCTION("SPLIT(D19, ""–"")"),1.0)</f>
        <v>1</v>
      </c>
      <c r="H19" s="1" t="str">
        <f>IFERROR(__xludf.DUMMYFUNCTION("""COMPUTED_VALUE""")," 1 (5-3)")</f>
        <v> 1 (5-3)</v>
      </c>
    </row>
    <row r="20">
      <c r="A20" s="1" t="s">
        <v>77</v>
      </c>
      <c r="B20" s="1">
        <v>2010.0</v>
      </c>
      <c r="C20" s="1" t="s">
        <v>78</v>
      </c>
      <c r="D20" s="1" t="s">
        <v>79</v>
      </c>
      <c r="E20" s="1" t="s">
        <v>50</v>
      </c>
      <c r="F20" s="1" t="s">
        <v>72</v>
      </c>
      <c r="G20" s="1">
        <f>IFERROR(__xludf.DUMMYFUNCTION("SPLIT(D20, ""–"")"),1.0)</f>
        <v>1</v>
      </c>
      <c r="H20" s="1" t="str">
        <f>IFERROR(__xludf.DUMMYFUNCTION("""COMPUTED_VALUE""")," 0 (ap)")</f>
        <v> 0 (ap)</v>
      </c>
    </row>
    <row r="21">
      <c r="A21" s="1" t="s">
        <v>80</v>
      </c>
      <c r="B21" s="1">
        <v>2014.0</v>
      </c>
      <c r="C21" s="1" t="s">
        <v>81</v>
      </c>
      <c r="D21" s="1" t="s">
        <v>79</v>
      </c>
      <c r="E21" s="1" t="s">
        <v>11</v>
      </c>
      <c r="F21" s="1" t="s">
        <v>50</v>
      </c>
      <c r="G21" s="1">
        <f>IFERROR(__xludf.DUMMYFUNCTION("SPLIT(D21, ""–"")"),1.0)</f>
        <v>1</v>
      </c>
      <c r="H21" s="1" t="str">
        <f>IFERROR(__xludf.DUMMYFUNCTION("""COMPUTED_VALUE""")," 0 (ap)")</f>
        <v> 0 (ap)</v>
      </c>
    </row>
    <row r="22">
      <c r="A22" s="1" t="s">
        <v>82</v>
      </c>
      <c r="B22" s="1">
        <v>2018.0</v>
      </c>
      <c r="C22" s="1" t="s">
        <v>83</v>
      </c>
      <c r="D22" s="1" t="s">
        <v>10</v>
      </c>
      <c r="E22" s="1" t="s">
        <v>68</v>
      </c>
      <c r="F22" s="1" t="s">
        <v>84</v>
      </c>
      <c r="G22" s="1">
        <f>IFERROR(__xludf.DUMMYFUNCTION("SPLIT(D22, ""–"")"),4.0)</f>
        <v>4</v>
      </c>
      <c r="H22" s="1">
        <f>IFERROR(__xludf.DUMMYFUNCTION("""COMPUTED_VALUE"""),2.0)</f>
        <v>2</v>
      </c>
    </row>
    <row r="23">
      <c r="A23" s="1" t="s">
        <v>85</v>
      </c>
      <c r="B23" s="1">
        <v>2022.0</v>
      </c>
    </row>
    <row r="24">
      <c r="A24" s="1" t="s">
        <v>86</v>
      </c>
      <c r="B24" s="1">
        <v>2026.0</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IFERROR(__xludf.DUMMYFUNCTION("IMPORTHTML(""https://fr.wikipedia.org/wiki/Palmar%C3%A8s_des_nations_%C3%A0_la_Coupe_du_monde_de_football"", ""table"", ""1"")"),"Édition")</f>
        <v>Édition</v>
      </c>
      <c r="B1" s="1"/>
      <c r="C1" s="1" t="str">
        <f>IFERROR(__xludf.DUMMYFUNCTION("""COMPUTED_VALUE"""),"Pays hôte(s)")</f>
        <v>Pays hôte(s)</v>
      </c>
      <c r="D1" s="1"/>
      <c r="E1" s="1" t="str">
        <f>IFERROR(__xludf.DUMMYFUNCTION("""COMPUTED_VALUE"""),"Finale")</f>
        <v>Finale</v>
      </c>
      <c r="F1" s="1"/>
      <c r="G1" s="1"/>
      <c r="H1" s="1"/>
      <c r="I1" s="1" t="str">
        <f>IFERROR(__xludf.DUMMYFUNCTION("""COMPUTED_VALUE"""),"Petite finale")</f>
        <v>Petite finale</v>
      </c>
      <c r="J1" s="1"/>
      <c r="K1" s="1"/>
    </row>
    <row r="2">
      <c r="A2" s="1" t="str">
        <f>IFERROR(__xludf.DUMMYFUNCTION("""COMPUTED_VALUE"""),"no")</f>
        <v>no</v>
      </c>
      <c r="B2" s="1" t="str">
        <f>IFERROR(__xludf.DUMMYFUNCTION("""COMPUTED_VALUE"""),"Année")</f>
        <v>Année</v>
      </c>
      <c r="C2" s="1"/>
      <c r="D2" s="1"/>
      <c r="E2" s="1" t="str">
        <f>IFERROR(__xludf.DUMMYFUNCTION("""COMPUTED_VALUE"""),"Champion")</f>
        <v>Champion</v>
      </c>
      <c r="F2" s="1" t="str">
        <f>IFERROR(__xludf.DUMMYFUNCTION("""COMPUTED_VALUE"""),"Score")</f>
        <v>Score</v>
      </c>
      <c r="G2" s="1" t="str">
        <f>IFERROR(__xludf.DUMMYFUNCTION("""COMPUTED_VALUE"""),"Finaliste")</f>
        <v>Finaliste</v>
      </c>
      <c r="H2" s="1"/>
      <c r="I2" s="1" t="str">
        <f>IFERROR(__xludf.DUMMYFUNCTION("""COMPUTED_VALUE"""),"Troisième")</f>
        <v>Troisième</v>
      </c>
      <c r="J2" s="1" t="str">
        <f>IFERROR(__xludf.DUMMYFUNCTION("""COMPUTED_VALUE"""),"Score")</f>
        <v>Score</v>
      </c>
      <c r="K2" s="1" t="str">
        <f>IFERROR(__xludf.DUMMYFUNCTION("""COMPUTED_VALUE"""),"Quatrième")</f>
        <v>Quatrième</v>
      </c>
    </row>
    <row r="3">
      <c r="A3" s="1" t="str">
        <f>IFERROR(__xludf.DUMMYFUNCTION("""COMPUTED_VALUE"""),"1re")</f>
        <v>1re</v>
      </c>
      <c r="B3" s="1" t="str">
        <f>IFERROR(__xludf.DUMMYFUNCTION("""COMPUTED_VALUE"""),"*1930*")</f>
        <v>*1930*</v>
      </c>
      <c r="C3" s="1" t="str">
        <f>IFERROR(__xludf.DUMMYFUNCTION("""COMPUTED_VALUE"""),"Uruguay")</f>
        <v>Uruguay</v>
      </c>
      <c r="D3" s="1"/>
      <c r="E3" s="1" t="str">
        <f>IFERROR(__xludf.DUMMYFUNCTION("""COMPUTED_VALUE"""),"*Uruguay*")</f>
        <v>*Uruguay*</v>
      </c>
      <c r="F3" s="1" t="str">
        <f>IFERROR(__xludf.DUMMYFUNCTION("""COMPUTED_VALUE"""),"*4* – 2")</f>
        <v>*4* – 2</v>
      </c>
      <c r="G3" s="1" t="str">
        <f>IFERROR(__xludf.DUMMYFUNCTION("""COMPUTED_VALUE"""),"Argentine")</f>
        <v>Argentine</v>
      </c>
      <c r="H3" s="1"/>
      <c r="I3" s="1" t="str">
        <f>IFERROR(__xludf.DUMMYFUNCTION("""COMPUTED_VALUE"""),"États-Unis")</f>
        <v>États-Unis</v>
      </c>
      <c r="J3" s="1" t="str">
        <f>IFERROR(__xludf.DUMMYFUNCTION("""COMPUTED_VALUE"""),"[a]")</f>
        <v>[a]</v>
      </c>
      <c r="K3" s="1" t="str">
        <f>IFERROR(__xludf.DUMMYFUNCTION("""COMPUTED_VALUE"""),"Yougoslavie")</f>
        <v>Yougoslavie</v>
      </c>
    </row>
    <row r="4">
      <c r="A4" s="1" t="str">
        <f>IFERROR(__xludf.DUMMYFUNCTION("""COMPUTED_VALUE"""),"2e")</f>
        <v>2e</v>
      </c>
      <c r="B4" s="1" t="str">
        <f>IFERROR(__xludf.DUMMYFUNCTION("""COMPUTED_VALUE"""),"*1934*")</f>
        <v>*1934*</v>
      </c>
      <c r="C4" s="1" t="str">
        <f>IFERROR(__xludf.DUMMYFUNCTION("""COMPUTED_VALUE"""),"Italie")</f>
        <v>Italie</v>
      </c>
      <c r="D4" s="1"/>
      <c r="E4" s="1" t="str">
        <f>IFERROR(__xludf.DUMMYFUNCTION("""COMPUTED_VALUE"""),"*Italie*")</f>
        <v>*Italie*</v>
      </c>
      <c r="F4" s="1" t="str">
        <f>IFERROR(__xludf.DUMMYFUNCTION("""COMPUTED_VALUE"""),"*2* – 1(a.p)")</f>
        <v>*2* – 1(a.p)</v>
      </c>
      <c r="G4" s="1" t="str">
        <f>IFERROR(__xludf.DUMMYFUNCTION("""COMPUTED_VALUE"""),"Tchécoslovaquie")</f>
        <v>Tchécoslovaquie</v>
      </c>
      <c r="H4" s="1"/>
      <c r="I4" s="1" t="str">
        <f>IFERROR(__xludf.DUMMYFUNCTION("""COMPUTED_VALUE"""),"Allemagne")</f>
        <v>Allemagne</v>
      </c>
      <c r="J4" s="1" t="str">
        <f>IFERROR(__xludf.DUMMYFUNCTION("""COMPUTED_VALUE"""),"*3* – 2")</f>
        <v>*3* – 2</v>
      </c>
      <c r="K4" s="1" t="str">
        <f>IFERROR(__xludf.DUMMYFUNCTION("""COMPUTED_VALUE"""),"Autriche")</f>
        <v>Autriche</v>
      </c>
    </row>
    <row r="5">
      <c r="A5" s="1" t="str">
        <f>IFERROR(__xludf.DUMMYFUNCTION("""COMPUTED_VALUE"""),"3e")</f>
        <v>3e</v>
      </c>
      <c r="B5" s="1" t="str">
        <f>IFERROR(__xludf.DUMMYFUNCTION("""COMPUTED_VALUE"""),"*1938*")</f>
        <v>*1938*</v>
      </c>
      <c r="C5" s="1" t="str">
        <f>IFERROR(__xludf.DUMMYFUNCTION("""COMPUTED_VALUE"""),"France")</f>
        <v>France</v>
      </c>
      <c r="D5" s="1"/>
      <c r="E5" s="1" t="str">
        <f>IFERROR(__xludf.DUMMYFUNCTION("""COMPUTED_VALUE"""),"*Italie*")</f>
        <v>*Italie*</v>
      </c>
      <c r="F5" s="1" t="str">
        <f>IFERROR(__xludf.DUMMYFUNCTION("""COMPUTED_VALUE"""),"*4* – 2")</f>
        <v>*4* – 2</v>
      </c>
      <c r="G5" s="1" t="str">
        <f>IFERROR(__xludf.DUMMYFUNCTION("""COMPUTED_VALUE"""),"Hongrie")</f>
        <v>Hongrie</v>
      </c>
      <c r="H5" s="1"/>
      <c r="I5" s="1" t="str">
        <f>IFERROR(__xludf.DUMMYFUNCTION("""COMPUTED_VALUE"""),"Brésil")</f>
        <v>Brésil</v>
      </c>
      <c r="J5" s="1" t="str">
        <f>IFERROR(__xludf.DUMMYFUNCTION("""COMPUTED_VALUE"""),"*4* – 2")</f>
        <v>*4* – 2</v>
      </c>
      <c r="K5" s="1" t="str">
        <f>IFERROR(__xludf.DUMMYFUNCTION("""COMPUTED_VALUE"""),"Suède")</f>
        <v>Suède</v>
      </c>
    </row>
    <row r="6">
      <c r="A6" s="1" t="str">
        <f>IFERROR(__xludf.DUMMYFUNCTION("""COMPUTED_VALUE"""),"4e")</f>
        <v>4e</v>
      </c>
      <c r="B6" s="1" t="str">
        <f>IFERROR(__xludf.DUMMYFUNCTION("""COMPUTED_VALUE"""),"*1950*")</f>
        <v>*1950*</v>
      </c>
      <c r="C6" s="1" t="str">
        <f>IFERROR(__xludf.DUMMYFUNCTION("""COMPUTED_VALUE"""),"Brésil")</f>
        <v>Brésil</v>
      </c>
      <c r="D6" s="1"/>
      <c r="E6" s="1" t="str">
        <f>IFERROR(__xludf.DUMMYFUNCTION("""COMPUTED_VALUE"""),"*Uruguay*")</f>
        <v>*Uruguay*</v>
      </c>
      <c r="F6" s="1" t="str">
        <f>IFERROR(__xludf.DUMMYFUNCTION("""COMPUTED_VALUE"""),"*2* – 1")</f>
        <v>*2* – 1</v>
      </c>
      <c r="G6" s="1" t="str">
        <f>IFERROR(__xludf.DUMMYFUNCTION("""COMPUTED_VALUE"""),"Brésil")</f>
        <v>Brésil</v>
      </c>
      <c r="H6" s="1"/>
      <c r="I6" s="1" t="str">
        <f>IFERROR(__xludf.DUMMYFUNCTION("""COMPUTED_VALUE"""),"Suède")</f>
        <v>Suède</v>
      </c>
      <c r="J6" s="1" t="str">
        <f>IFERROR(__xludf.DUMMYFUNCTION("""COMPUTED_VALUE"""),"*3* – 1")</f>
        <v>*3* – 1</v>
      </c>
      <c r="K6" s="1" t="str">
        <f>IFERROR(__xludf.DUMMYFUNCTION("""COMPUTED_VALUE"""),"Espagne")</f>
        <v>Espagne</v>
      </c>
    </row>
    <row r="7">
      <c r="A7" s="1" t="str">
        <f>IFERROR(__xludf.DUMMYFUNCTION("""COMPUTED_VALUE"""),"5e")</f>
        <v>5e</v>
      </c>
      <c r="B7" s="1" t="str">
        <f>IFERROR(__xludf.DUMMYFUNCTION("""COMPUTED_VALUE"""),"*1954*")</f>
        <v>*1954*</v>
      </c>
      <c r="C7" s="1" t="str">
        <f>IFERROR(__xludf.DUMMYFUNCTION("""COMPUTED_VALUE"""),"Suisse")</f>
        <v>Suisse</v>
      </c>
      <c r="D7" s="1"/>
      <c r="E7" s="1" t="str">
        <f>IFERROR(__xludf.DUMMYFUNCTION("""COMPUTED_VALUE"""),"*Allemagne de l'Ouest*")</f>
        <v>*Allemagne de l'Ouest*</v>
      </c>
      <c r="F7" s="1" t="str">
        <f>IFERROR(__xludf.DUMMYFUNCTION("""COMPUTED_VALUE"""),"*3* – 2")</f>
        <v>*3* – 2</v>
      </c>
      <c r="G7" s="1" t="str">
        <f>IFERROR(__xludf.DUMMYFUNCTION("""COMPUTED_VALUE"""),"Hongrie")</f>
        <v>Hongrie</v>
      </c>
      <c r="H7" s="1"/>
      <c r="I7" s="1" t="str">
        <f>IFERROR(__xludf.DUMMYFUNCTION("""COMPUTED_VALUE"""),"Autriche")</f>
        <v>Autriche</v>
      </c>
      <c r="J7" s="1" t="str">
        <f>IFERROR(__xludf.DUMMYFUNCTION("""COMPUTED_VALUE"""),"*3* – 1")</f>
        <v>*3* – 1</v>
      </c>
      <c r="K7" s="1" t="str">
        <f>IFERROR(__xludf.DUMMYFUNCTION("""COMPUTED_VALUE"""),"Uruguay")</f>
        <v>Uruguay</v>
      </c>
    </row>
    <row r="8">
      <c r="A8" s="1" t="str">
        <f>IFERROR(__xludf.DUMMYFUNCTION("""COMPUTED_VALUE"""),"6e")</f>
        <v>6e</v>
      </c>
      <c r="B8" s="1" t="str">
        <f>IFERROR(__xludf.DUMMYFUNCTION("""COMPUTED_VALUE"""),"*1958*")</f>
        <v>*1958*</v>
      </c>
      <c r="C8" s="1" t="str">
        <f>IFERROR(__xludf.DUMMYFUNCTION("""COMPUTED_VALUE"""),"Suède")</f>
        <v>Suède</v>
      </c>
      <c r="D8" s="1"/>
      <c r="E8" s="1" t="str">
        <f>IFERROR(__xludf.DUMMYFUNCTION("""COMPUTED_VALUE"""),"*Brésil*")</f>
        <v>*Brésil*</v>
      </c>
      <c r="F8" s="1" t="str">
        <f>IFERROR(__xludf.DUMMYFUNCTION("""COMPUTED_VALUE"""),"*5* – 2")</f>
        <v>*5* – 2</v>
      </c>
      <c r="G8" s="1" t="str">
        <f>IFERROR(__xludf.DUMMYFUNCTION("""COMPUTED_VALUE"""),"Suède")</f>
        <v>Suède</v>
      </c>
      <c r="H8" s="1"/>
      <c r="I8" s="1" t="str">
        <f>IFERROR(__xludf.DUMMYFUNCTION("""COMPUTED_VALUE"""),"France")</f>
        <v>France</v>
      </c>
      <c r="J8" s="1" t="str">
        <f>IFERROR(__xludf.DUMMYFUNCTION("""COMPUTED_VALUE"""),"*6* – 3")</f>
        <v>*6* – 3</v>
      </c>
      <c r="K8" s="1" t="str">
        <f>IFERROR(__xludf.DUMMYFUNCTION("""COMPUTED_VALUE"""),"Allemagne de l'Ouest")</f>
        <v>Allemagne de l'Ouest</v>
      </c>
    </row>
    <row r="9">
      <c r="A9" s="1" t="str">
        <f>IFERROR(__xludf.DUMMYFUNCTION("""COMPUTED_VALUE"""),"7e")</f>
        <v>7e</v>
      </c>
      <c r="B9" s="1" t="str">
        <f>IFERROR(__xludf.DUMMYFUNCTION("""COMPUTED_VALUE"""),"*1962*")</f>
        <v>*1962*</v>
      </c>
      <c r="C9" s="1" t="str">
        <f>IFERROR(__xludf.DUMMYFUNCTION("""COMPUTED_VALUE"""),"Chili")</f>
        <v>Chili</v>
      </c>
      <c r="D9" s="1"/>
      <c r="E9" s="1" t="str">
        <f>IFERROR(__xludf.DUMMYFUNCTION("""COMPUTED_VALUE"""),"*Brésil*")</f>
        <v>*Brésil*</v>
      </c>
      <c r="F9" s="1" t="str">
        <f>IFERROR(__xludf.DUMMYFUNCTION("""COMPUTED_VALUE"""),"*3* – 1")</f>
        <v>*3* – 1</v>
      </c>
      <c r="G9" s="1" t="str">
        <f>IFERROR(__xludf.DUMMYFUNCTION("""COMPUTED_VALUE"""),"Tchécoslovaquie")</f>
        <v>Tchécoslovaquie</v>
      </c>
      <c r="H9" s="1"/>
      <c r="I9" s="1" t="str">
        <f>IFERROR(__xludf.DUMMYFUNCTION("""COMPUTED_VALUE"""),"Chili")</f>
        <v>Chili</v>
      </c>
      <c r="J9" s="1" t="str">
        <f>IFERROR(__xludf.DUMMYFUNCTION("""COMPUTED_VALUE"""),"*1* – 0")</f>
        <v>*1* – 0</v>
      </c>
      <c r="K9" s="1" t="str">
        <f>IFERROR(__xludf.DUMMYFUNCTION("""COMPUTED_VALUE"""),"Yougoslavie")</f>
        <v>Yougoslavie</v>
      </c>
    </row>
    <row r="10">
      <c r="A10" s="1" t="str">
        <f>IFERROR(__xludf.DUMMYFUNCTION("""COMPUTED_VALUE"""),"8e")</f>
        <v>8e</v>
      </c>
      <c r="B10" s="1" t="str">
        <f>IFERROR(__xludf.DUMMYFUNCTION("""COMPUTED_VALUE"""),"*1966*")</f>
        <v>*1966*</v>
      </c>
      <c r="C10" s="1" t="str">
        <f>IFERROR(__xludf.DUMMYFUNCTION("""COMPUTED_VALUE"""),"Angleterre")</f>
        <v>Angleterre</v>
      </c>
      <c r="D10" s="1"/>
      <c r="E10" s="1" t="str">
        <f>IFERROR(__xludf.DUMMYFUNCTION("""COMPUTED_VALUE"""),"*Angleterre*")</f>
        <v>*Angleterre*</v>
      </c>
      <c r="F10" s="1" t="str">
        <f>IFERROR(__xludf.DUMMYFUNCTION("""COMPUTED_VALUE"""),"*4* – 2(a.p)")</f>
        <v>*4* – 2(a.p)</v>
      </c>
      <c r="G10" s="1" t="str">
        <f>IFERROR(__xludf.DUMMYFUNCTION("""COMPUTED_VALUE"""),"Allemagne de l'Ouest")</f>
        <v>Allemagne de l'Ouest</v>
      </c>
      <c r="H10" s="1"/>
      <c r="I10" s="1" t="str">
        <f>IFERROR(__xludf.DUMMYFUNCTION("""COMPUTED_VALUE"""),"Portugal")</f>
        <v>Portugal</v>
      </c>
      <c r="J10" s="1" t="str">
        <f>IFERROR(__xludf.DUMMYFUNCTION("""COMPUTED_VALUE"""),"*2* – 1")</f>
        <v>*2* – 1</v>
      </c>
      <c r="K10" s="1" t="str">
        <f>IFERROR(__xludf.DUMMYFUNCTION("""COMPUTED_VALUE"""),"Union soviétique")</f>
        <v>Union soviétique</v>
      </c>
    </row>
    <row r="11">
      <c r="A11" s="1" t="str">
        <f>IFERROR(__xludf.DUMMYFUNCTION("""COMPUTED_VALUE"""),"9e")</f>
        <v>9e</v>
      </c>
      <c r="B11" s="1" t="str">
        <f>IFERROR(__xludf.DUMMYFUNCTION("""COMPUTED_VALUE"""),"*1970*")</f>
        <v>*1970*</v>
      </c>
      <c r="C11" s="1" t="str">
        <f>IFERROR(__xludf.DUMMYFUNCTION("""COMPUTED_VALUE"""),"Mexique")</f>
        <v>Mexique</v>
      </c>
      <c r="D11" s="1"/>
      <c r="E11" s="1" t="str">
        <f>IFERROR(__xludf.DUMMYFUNCTION("""COMPUTED_VALUE"""),"*Brésil*")</f>
        <v>*Brésil*</v>
      </c>
      <c r="F11" s="1" t="str">
        <f>IFERROR(__xludf.DUMMYFUNCTION("""COMPUTED_VALUE"""),"*4* – 1")</f>
        <v>*4* – 1</v>
      </c>
      <c r="G11" s="1" t="str">
        <f>IFERROR(__xludf.DUMMYFUNCTION("""COMPUTED_VALUE"""),"Italie")</f>
        <v>Italie</v>
      </c>
      <c r="H11" s="1"/>
      <c r="I11" s="1" t="str">
        <f>IFERROR(__xludf.DUMMYFUNCTION("""COMPUTED_VALUE"""),"Allemagne de l'Ouest")</f>
        <v>Allemagne de l'Ouest</v>
      </c>
      <c r="J11" s="1" t="str">
        <f>IFERROR(__xludf.DUMMYFUNCTION("""COMPUTED_VALUE"""),"*1* – 0")</f>
        <v>*1* – 0</v>
      </c>
      <c r="K11" s="1" t="str">
        <f>IFERROR(__xludf.DUMMYFUNCTION("""COMPUTED_VALUE"""),"Uruguay")</f>
        <v>Uruguay</v>
      </c>
    </row>
    <row r="12">
      <c r="A12" s="1" t="str">
        <f>IFERROR(__xludf.DUMMYFUNCTION("""COMPUTED_VALUE"""),"10e")</f>
        <v>10e</v>
      </c>
      <c r="B12" s="1" t="str">
        <f>IFERROR(__xludf.DUMMYFUNCTION("""COMPUTED_VALUE"""),"*1974*")</f>
        <v>*1974*</v>
      </c>
      <c r="C12" s="1" t="str">
        <f>IFERROR(__xludf.DUMMYFUNCTION("""COMPUTED_VALUE"""),"Allemagne de l'Ouest")</f>
        <v>Allemagne de l'Ouest</v>
      </c>
      <c r="D12" s="1"/>
      <c r="E12" s="1" t="str">
        <f>IFERROR(__xludf.DUMMYFUNCTION("""COMPUTED_VALUE"""),"*Allemagne de l'Ouest*")</f>
        <v>*Allemagne de l'Ouest*</v>
      </c>
      <c r="F12" s="1" t="str">
        <f>IFERROR(__xludf.DUMMYFUNCTION("""COMPUTED_VALUE"""),"*2* – 1")</f>
        <v>*2* – 1</v>
      </c>
      <c r="G12" s="1" t="str">
        <f>IFERROR(__xludf.DUMMYFUNCTION("""COMPUTED_VALUE"""),"Pays-Bas")</f>
        <v>Pays-Bas</v>
      </c>
      <c r="H12" s="1"/>
      <c r="I12" s="1" t="str">
        <f>IFERROR(__xludf.DUMMYFUNCTION("""COMPUTED_VALUE"""),"Pologne")</f>
        <v>Pologne</v>
      </c>
      <c r="J12" s="1" t="str">
        <f>IFERROR(__xludf.DUMMYFUNCTION("""COMPUTED_VALUE"""),"*1* – 0")</f>
        <v>*1* – 0</v>
      </c>
      <c r="K12" s="1" t="str">
        <f>IFERROR(__xludf.DUMMYFUNCTION("""COMPUTED_VALUE"""),"Brésil")</f>
        <v>Brésil</v>
      </c>
    </row>
    <row r="13">
      <c r="A13" s="1" t="str">
        <f>IFERROR(__xludf.DUMMYFUNCTION("""COMPUTED_VALUE"""),"11e")</f>
        <v>11e</v>
      </c>
      <c r="B13" s="1" t="str">
        <f>IFERROR(__xludf.DUMMYFUNCTION("""COMPUTED_VALUE"""),"*1978*")</f>
        <v>*1978*</v>
      </c>
      <c r="C13" s="1" t="str">
        <f>IFERROR(__xludf.DUMMYFUNCTION("""COMPUTED_VALUE"""),"Argentine")</f>
        <v>Argentine</v>
      </c>
      <c r="D13" s="1"/>
      <c r="E13" s="1" t="str">
        <f>IFERROR(__xludf.DUMMYFUNCTION("""COMPUTED_VALUE"""),"*Argentine*")</f>
        <v>*Argentine*</v>
      </c>
      <c r="F13" s="1" t="str">
        <f>IFERROR(__xludf.DUMMYFUNCTION("""COMPUTED_VALUE"""),"*3* – 1(a.p)")</f>
        <v>*3* – 1(a.p)</v>
      </c>
      <c r="G13" s="1" t="str">
        <f>IFERROR(__xludf.DUMMYFUNCTION("""COMPUTED_VALUE"""),"Pays-Bas")</f>
        <v>Pays-Bas</v>
      </c>
      <c r="H13" s="1"/>
      <c r="I13" s="1" t="str">
        <f>IFERROR(__xludf.DUMMYFUNCTION("""COMPUTED_VALUE"""),"Brésil")</f>
        <v>Brésil</v>
      </c>
      <c r="J13" s="1" t="str">
        <f>IFERROR(__xludf.DUMMYFUNCTION("""COMPUTED_VALUE"""),"*2* – 1")</f>
        <v>*2* – 1</v>
      </c>
      <c r="K13" s="1" t="str">
        <f>IFERROR(__xludf.DUMMYFUNCTION("""COMPUTED_VALUE"""),"Italie")</f>
        <v>Italie</v>
      </c>
    </row>
    <row r="14">
      <c r="A14" s="1" t="str">
        <f>IFERROR(__xludf.DUMMYFUNCTION("""COMPUTED_VALUE"""),"12e")</f>
        <v>12e</v>
      </c>
      <c r="B14" s="1" t="str">
        <f>IFERROR(__xludf.DUMMYFUNCTION("""COMPUTED_VALUE"""),"*1982*")</f>
        <v>*1982*</v>
      </c>
      <c r="C14" s="1" t="str">
        <f>IFERROR(__xludf.DUMMYFUNCTION("""COMPUTED_VALUE"""),"Espagne")</f>
        <v>Espagne</v>
      </c>
      <c r="D14" s="1"/>
      <c r="E14" s="1" t="str">
        <f>IFERROR(__xludf.DUMMYFUNCTION("""COMPUTED_VALUE"""),"*Italie*")</f>
        <v>*Italie*</v>
      </c>
      <c r="F14" s="1" t="str">
        <f>IFERROR(__xludf.DUMMYFUNCTION("""COMPUTED_VALUE"""),"*3* – 1")</f>
        <v>*3* – 1</v>
      </c>
      <c r="G14" s="1" t="str">
        <f>IFERROR(__xludf.DUMMYFUNCTION("""COMPUTED_VALUE"""),"Allemagne de l'Ouest")</f>
        <v>Allemagne de l'Ouest</v>
      </c>
      <c r="H14" s="1"/>
      <c r="I14" s="1" t="str">
        <f>IFERROR(__xludf.DUMMYFUNCTION("""COMPUTED_VALUE"""),"Pologne")</f>
        <v>Pologne</v>
      </c>
      <c r="J14" s="1" t="str">
        <f>IFERROR(__xludf.DUMMYFUNCTION("""COMPUTED_VALUE"""),"*3* – 2")</f>
        <v>*3* – 2</v>
      </c>
      <c r="K14" s="1" t="str">
        <f>IFERROR(__xludf.DUMMYFUNCTION("""COMPUTED_VALUE"""),"France")</f>
        <v>France</v>
      </c>
    </row>
    <row r="15">
      <c r="A15" s="1" t="str">
        <f>IFERROR(__xludf.DUMMYFUNCTION("""COMPUTED_VALUE"""),"13e")</f>
        <v>13e</v>
      </c>
      <c r="B15" s="1" t="str">
        <f>IFERROR(__xludf.DUMMYFUNCTION("""COMPUTED_VALUE"""),"*1986*")</f>
        <v>*1986*</v>
      </c>
      <c r="C15" s="1" t="str">
        <f>IFERROR(__xludf.DUMMYFUNCTION("""COMPUTED_VALUE"""),"Mexique")</f>
        <v>Mexique</v>
      </c>
      <c r="D15" s="1"/>
      <c r="E15" s="1" t="str">
        <f>IFERROR(__xludf.DUMMYFUNCTION("""COMPUTED_VALUE"""),"*Argentine*")</f>
        <v>*Argentine*</v>
      </c>
      <c r="F15" s="1" t="str">
        <f>IFERROR(__xludf.DUMMYFUNCTION("""COMPUTED_VALUE"""),"*3* – 2")</f>
        <v>*3* – 2</v>
      </c>
      <c r="G15" s="1" t="str">
        <f>IFERROR(__xludf.DUMMYFUNCTION("""COMPUTED_VALUE"""),"Allemagne de l'Ouest")</f>
        <v>Allemagne de l'Ouest</v>
      </c>
      <c r="H15" s="1"/>
      <c r="I15" s="1" t="str">
        <f>IFERROR(__xludf.DUMMYFUNCTION("""COMPUTED_VALUE"""),"France")</f>
        <v>France</v>
      </c>
      <c r="J15" s="1" t="str">
        <f>IFERROR(__xludf.DUMMYFUNCTION("""COMPUTED_VALUE"""),"*4* – 2 (a.p)")</f>
        <v>*4* – 2 (a.p)</v>
      </c>
      <c r="K15" s="1" t="str">
        <f>IFERROR(__xludf.DUMMYFUNCTION("""COMPUTED_VALUE"""),"Belgique")</f>
        <v>Belgique</v>
      </c>
    </row>
    <row r="16">
      <c r="A16" s="1" t="str">
        <f>IFERROR(__xludf.DUMMYFUNCTION("""COMPUTED_VALUE"""),"14e")</f>
        <v>14e</v>
      </c>
      <c r="B16" s="1" t="str">
        <f>IFERROR(__xludf.DUMMYFUNCTION("""COMPUTED_VALUE"""),"*1990*")</f>
        <v>*1990*</v>
      </c>
      <c r="C16" s="1" t="str">
        <f>IFERROR(__xludf.DUMMYFUNCTION("""COMPUTED_VALUE"""),"Italie")</f>
        <v>Italie</v>
      </c>
      <c r="D16" s="1"/>
      <c r="E16" s="1" t="str">
        <f>IFERROR(__xludf.DUMMYFUNCTION("""COMPUTED_VALUE"""),"*Allemagne de l'Ouest*")</f>
        <v>*Allemagne de l'Ouest*</v>
      </c>
      <c r="F16" s="1" t="str">
        <f>IFERROR(__xludf.DUMMYFUNCTION("""COMPUTED_VALUE"""),"*1* – 0")</f>
        <v>*1* – 0</v>
      </c>
      <c r="G16" s="1" t="str">
        <f>IFERROR(__xludf.DUMMYFUNCTION("""COMPUTED_VALUE"""),"Argentine")</f>
        <v>Argentine</v>
      </c>
      <c r="H16" s="1"/>
      <c r="I16" s="1" t="str">
        <f>IFERROR(__xludf.DUMMYFUNCTION("""COMPUTED_VALUE"""),"Italie")</f>
        <v>Italie</v>
      </c>
      <c r="J16" s="1" t="str">
        <f>IFERROR(__xludf.DUMMYFUNCTION("""COMPUTED_VALUE"""),"*2* – 1")</f>
        <v>*2* – 1</v>
      </c>
      <c r="K16" s="1" t="str">
        <f>IFERROR(__xludf.DUMMYFUNCTION("""COMPUTED_VALUE"""),"Angleterre")</f>
        <v>Angleterre</v>
      </c>
    </row>
    <row r="17">
      <c r="A17" s="1" t="str">
        <f>IFERROR(__xludf.DUMMYFUNCTION("""COMPUTED_VALUE"""),"15e")</f>
        <v>15e</v>
      </c>
      <c r="B17" s="1" t="str">
        <f>IFERROR(__xludf.DUMMYFUNCTION("""COMPUTED_VALUE"""),"*1994*")</f>
        <v>*1994*</v>
      </c>
      <c r="C17" s="1" t="str">
        <f>IFERROR(__xludf.DUMMYFUNCTION("""COMPUTED_VALUE"""),"États-Unis")</f>
        <v>États-Unis</v>
      </c>
      <c r="D17" s="1"/>
      <c r="E17" s="1" t="str">
        <f>IFERROR(__xludf.DUMMYFUNCTION("""COMPUTED_VALUE"""),"*Brésil*")</f>
        <v>*Brésil*</v>
      </c>
      <c r="F17" s="1" t="str">
        <f>IFERROR(__xludf.DUMMYFUNCTION("""COMPUTED_VALUE"""),"0 – 0(a.p)
(t.a.b : *3* - 2)")</f>
        <v>0 – 0(a.p)
(t.a.b : *3* - 2)</v>
      </c>
      <c r="G17" s="1" t="str">
        <f>IFERROR(__xludf.DUMMYFUNCTION("""COMPUTED_VALUE"""),"Italie")</f>
        <v>Italie</v>
      </c>
      <c r="H17" s="1"/>
      <c r="I17" s="1" t="str">
        <f>IFERROR(__xludf.DUMMYFUNCTION("""COMPUTED_VALUE"""),"Suède")</f>
        <v>Suède</v>
      </c>
      <c r="J17" s="1" t="str">
        <f>IFERROR(__xludf.DUMMYFUNCTION("""COMPUTED_VALUE"""),"*4* – 0")</f>
        <v>*4* – 0</v>
      </c>
      <c r="K17" s="1" t="str">
        <f>IFERROR(__xludf.DUMMYFUNCTION("""COMPUTED_VALUE"""),"Bulgarie")</f>
        <v>Bulgarie</v>
      </c>
    </row>
    <row r="18">
      <c r="A18" s="1" t="str">
        <f>IFERROR(__xludf.DUMMYFUNCTION("""COMPUTED_VALUE"""),"16e")</f>
        <v>16e</v>
      </c>
      <c r="B18" s="1" t="str">
        <f>IFERROR(__xludf.DUMMYFUNCTION("""COMPUTED_VALUE"""),"*1998*")</f>
        <v>*1998*</v>
      </c>
      <c r="C18" s="1" t="str">
        <f>IFERROR(__xludf.DUMMYFUNCTION("""COMPUTED_VALUE"""),"France")</f>
        <v>France</v>
      </c>
      <c r="D18" s="1"/>
      <c r="E18" s="1" t="str">
        <f>IFERROR(__xludf.DUMMYFUNCTION("""COMPUTED_VALUE"""),"*France*")</f>
        <v>*France*</v>
      </c>
      <c r="F18" s="1" t="str">
        <f>IFERROR(__xludf.DUMMYFUNCTION("""COMPUTED_VALUE"""),"*3* – 0")</f>
        <v>*3* – 0</v>
      </c>
      <c r="G18" s="1" t="str">
        <f>IFERROR(__xludf.DUMMYFUNCTION("""COMPUTED_VALUE"""),"Brésil")</f>
        <v>Brésil</v>
      </c>
      <c r="H18" s="1"/>
      <c r="I18" s="1" t="str">
        <f>IFERROR(__xludf.DUMMYFUNCTION("""COMPUTED_VALUE"""),"Croatie")</f>
        <v>Croatie</v>
      </c>
      <c r="J18" s="1" t="str">
        <f>IFERROR(__xludf.DUMMYFUNCTION("""COMPUTED_VALUE"""),"*2* – 1")</f>
        <v>*2* – 1</v>
      </c>
      <c r="K18" s="1" t="str">
        <f>IFERROR(__xludf.DUMMYFUNCTION("""COMPUTED_VALUE"""),"Pays-Bas")</f>
        <v>Pays-Bas</v>
      </c>
    </row>
    <row r="19">
      <c r="A19" s="1" t="str">
        <f>IFERROR(__xludf.DUMMYFUNCTION("""COMPUTED_VALUE"""),"17e")</f>
        <v>17e</v>
      </c>
      <c r="B19" s="1" t="str">
        <f>IFERROR(__xludf.DUMMYFUNCTION("""COMPUTED_VALUE"""),"*2002*")</f>
        <v>*2002*</v>
      </c>
      <c r="C19" s="1" t="str">
        <f>IFERROR(__xludf.DUMMYFUNCTION("""COMPUTED_VALUE"""),"Corée du Sud et Japon")</f>
        <v>Corée du Sud et Japon</v>
      </c>
      <c r="D19" s="1"/>
      <c r="E19" s="1" t="str">
        <f>IFERROR(__xludf.DUMMYFUNCTION("""COMPUTED_VALUE"""),"*Brésil*")</f>
        <v>*Brésil*</v>
      </c>
      <c r="F19" s="1" t="str">
        <f>IFERROR(__xludf.DUMMYFUNCTION("""COMPUTED_VALUE"""),"*2* – 0")</f>
        <v>*2* – 0</v>
      </c>
      <c r="G19" s="1" t="str">
        <f>IFERROR(__xludf.DUMMYFUNCTION("""COMPUTED_VALUE"""),"Allemagne")</f>
        <v>Allemagne</v>
      </c>
      <c r="H19" s="1"/>
      <c r="I19" s="1" t="str">
        <f>IFERROR(__xludf.DUMMYFUNCTION("""COMPUTED_VALUE"""),"Turquie")</f>
        <v>Turquie</v>
      </c>
      <c r="J19" s="1" t="str">
        <f>IFERROR(__xludf.DUMMYFUNCTION("""COMPUTED_VALUE"""),"*3* – 2")</f>
        <v>*3* – 2</v>
      </c>
      <c r="K19" s="1" t="str">
        <f>IFERROR(__xludf.DUMMYFUNCTION("""COMPUTED_VALUE"""),"Corée du Sud")</f>
        <v>Corée du Sud</v>
      </c>
    </row>
    <row r="20">
      <c r="A20" s="1" t="str">
        <f>IFERROR(__xludf.DUMMYFUNCTION("""COMPUTED_VALUE"""),"18e")</f>
        <v>18e</v>
      </c>
      <c r="B20" s="1" t="str">
        <f>IFERROR(__xludf.DUMMYFUNCTION("""COMPUTED_VALUE"""),"*2006*")</f>
        <v>*2006*</v>
      </c>
      <c r="C20" s="1" t="str">
        <f>IFERROR(__xludf.DUMMYFUNCTION("""COMPUTED_VALUE"""),"Allemagne")</f>
        <v>Allemagne</v>
      </c>
      <c r="D20" s="1"/>
      <c r="E20" s="1" t="str">
        <f>IFERROR(__xludf.DUMMYFUNCTION("""COMPUTED_VALUE"""),"*Italie*")</f>
        <v>*Italie*</v>
      </c>
      <c r="F20" s="1" t="str">
        <f>IFERROR(__xludf.DUMMYFUNCTION("""COMPUTED_VALUE"""),"1 – 1(a.p)
(t.a.b : *5* - 3)")</f>
        <v>1 – 1(a.p)
(t.a.b : *5* - 3)</v>
      </c>
      <c r="G20" s="1" t="str">
        <f>IFERROR(__xludf.DUMMYFUNCTION("""COMPUTED_VALUE"""),"France")</f>
        <v>France</v>
      </c>
      <c r="H20" s="1"/>
      <c r="I20" s="1" t="str">
        <f>IFERROR(__xludf.DUMMYFUNCTION("""COMPUTED_VALUE"""),"Allemagne")</f>
        <v>Allemagne</v>
      </c>
      <c r="J20" s="1" t="str">
        <f>IFERROR(__xludf.DUMMYFUNCTION("""COMPUTED_VALUE"""),"*3* – 1")</f>
        <v>*3* – 1</v>
      </c>
      <c r="K20" s="1" t="str">
        <f>IFERROR(__xludf.DUMMYFUNCTION("""COMPUTED_VALUE"""),"Portugal")</f>
        <v>Portugal</v>
      </c>
    </row>
    <row r="21">
      <c r="A21" s="1" t="str">
        <f>IFERROR(__xludf.DUMMYFUNCTION("""COMPUTED_VALUE"""),"19e")</f>
        <v>19e</v>
      </c>
      <c r="B21" s="1" t="str">
        <f>IFERROR(__xludf.DUMMYFUNCTION("""COMPUTED_VALUE"""),"*2010*")</f>
        <v>*2010*</v>
      </c>
      <c r="C21" s="1" t="str">
        <f>IFERROR(__xludf.DUMMYFUNCTION("""COMPUTED_VALUE"""),"Afrique du Sud")</f>
        <v>Afrique du Sud</v>
      </c>
      <c r="D21" s="1"/>
      <c r="E21" s="1" t="str">
        <f>IFERROR(__xludf.DUMMYFUNCTION("""COMPUTED_VALUE"""),"*Espagne*")</f>
        <v>*Espagne*</v>
      </c>
      <c r="F21" s="1" t="str">
        <f>IFERROR(__xludf.DUMMYFUNCTION("""COMPUTED_VALUE"""),"*1* – 0(a.p)")</f>
        <v>*1* – 0(a.p)</v>
      </c>
      <c r="G21" s="1" t="str">
        <f>IFERROR(__xludf.DUMMYFUNCTION("""COMPUTED_VALUE"""),"Pays-Bas")</f>
        <v>Pays-Bas</v>
      </c>
      <c r="H21" s="1"/>
      <c r="I21" s="1" t="str">
        <f>IFERROR(__xludf.DUMMYFUNCTION("""COMPUTED_VALUE"""),"Allemagne")</f>
        <v>Allemagne</v>
      </c>
      <c r="J21" s="1" t="str">
        <f>IFERROR(__xludf.DUMMYFUNCTION("""COMPUTED_VALUE"""),"*3* – 2")</f>
        <v>*3* – 2</v>
      </c>
      <c r="K21" s="1" t="str">
        <f>IFERROR(__xludf.DUMMYFUNCTION("""COMPUTED_VALUE"""),"Uruguay")</f>
        <v>Uruguay</v>
      </c>
    </row>
    <row r="22">
      <c r="A22" s="1" t="str">
        <f>IFERROR(__xludf.DUMMYFUNCTION("""COMPUTED_VALUE"""),"20e")</f>
        <v>20e</v>
      </c>
      <c r="B22" s="1" t="str">
        <f>IFERROR(__xludf.DUMMYFUNCTION("""COMPUTED_VALUE"""),"*2014*")</f>
        <v>*2014*</v>
      </c>
      <c r="C22" s="1" t="str">
        <f>IFERROR(__xludf.DUMMYFUNCTION("""COMPUTED_VALUE"""),"Brésil")</f>
        <v>Brésil</v>
      </c>
      <c r="D22" s="1"/>
      <c r="E22" s="1" t="str">
        <f>IFERROR(__xludf.DUMMYFUNCTION("""COMPUTED_VALUE"""),"*Allemagne*")</f>
        <v>*Allemagne*</v>
      </c>
      <c r="F22" s="1" t="str">
        <f>IFERROR(__xludf.DUMMYFUNCTION("""COMPUTED_VALUE"""),"*1* – 0(a.p)")</f>
        <v>*1* – 0(a.p)</v>
      </c>
      <c r="G22" s="1" t="str">
        <f>IFERROR(__xludf.DUMMYFUNCTION("""COMPUTED_VALUE"""),"Argentine")</f>
        <v>Argentine</v>
      </c>
      <c r="H22" s="1"/>
      <c r="I22" s="1" t="str">
        <f>IFERROR(__xludf.DUMMYFUNCTION("""COMPUTED_VALUE"""),"Pays-Bas")</f>
        <v>Pays-Bas</v>
      </c>
      <c r="J22" s="1" t="str">
        <f>IFERROR(__xludf.DUMMYFUNCTION("""COMPUTED_VALUE"""),"*3* – 0")</f>
        <v>*3* – 0</v>
      </c>
      <c r="K22" s="1" t="str">
        <f>IFERROR(__xludf.DUMMYFUNCTION("""COMPUTED_VALUE"""),"Brésil")</f>
        <v>Brésil</v>
      </c>
    </row>
    <row r="23">
      <c r="A23" s="1" t="str">
        <f>IFERROR(__xludf.DUMMYFUNCTION("""COMPUTED_VALUE"""),"21e")</f>
        <v>21e</v>
      </c>
      <c r="B23" s="1" t="str">
        <f>IFERROR(__xludf.DUMMYFUNCTION("""COMPUTED_VALUE"""),"*2018*")</f>
        <v>*2018*</v>
      </c>
      <c r="C23" s="1" t="str">
        <f>IFERROR(__xludf.DUMMYFUNCTION("""COMPUTED_VALUE"""),"Russie")</f>
        <v>Russie</v>
      </c>
      <c r="D23" s="1"/>
      <c r="E23" s="1" t="str">
        <f>IFERROR(__xludf.DUMMYFUNCTION("""COMPUTED_VALUE"""),"*France*")</f>
        <v>*France*</v>
      </c>
      <c r="F23" s="1" t="str">
        <f>IFERROR(__xludf.DUMMYFUNCTION("""COMPUTED_VALUE"""),"*4* – 2")</f>
        <v>*4* – 2</v>
      </c>
      <c r="G23" s="1" t="str">
        <f>IFERROR(__xludf.DUMMYFUNCTION("""COMPUTED_VALUE"""),"Croatie")</f>
        <v>Croatie</v>
      </c>
      <c r="H23" s="1"/>
      <c r="I23" s="1" t="str">
        <f>IFERROR(__xludf.DUMMYFUNCTION("""COMPUTED_VALUE"""),"Belgique")</f>
        <v>Belgique</v>
      </c>
      <c r="J23" s="1" t="str">
        <f>IFERROR(__xludf.DUMMYFUNCTION("""COMPUTED_VALUE"""),"*2* – 0")</f>
        <v>*2* – 0</v>
      </c>
      <c r="K23" s="1" t="str">
        <f>IFERROR(__xludf.DUMMYFUNCTION("""COMPUTED_VALUE"""),"Angleterre")</f>
        <v>Angleterre</v>
      </c>
    </row>
    <row r="24">
      <c r="A24" s="1" t="str">
        <f>IFERROR(__xludf.DUMMYFUNCTION("""COMPUTED_VALUE"""),"22e")</f>
        <v>22e</v>
      </c>
      <c r="B24" s="1" t="str">
        <f>IFERROR(__xludf.DUMMYFUNCTION("""COMPUTED_VALUE"""),"*2022*")</f>
        <v>*2022*</v>
      </c>
      <c r="C24" s="1" t="str">
        <f>IFERROR(__xludf.DUMMYFUNCTION("""COMPUTED_VALUE"""),"Qatar")</f>
        <v>Qatar</v>
      </c>
      <c r="D24" s="1"/>
      <c r="E24" s="1" t="str">
        <f>IFERROR(__xludf.DUMMYFUNCTION("""COMPUTED_VALUE"""),"*Argentine*")</f>
        <v>*Argentine*</v>
      </c>
      <c r="F24" s="1" t="str">
        <f>IFERROR(__xludf.DUMMYFUNCTION("""COMPUTED_VALUE"""),"3 – 3(a.p)
(t.a.b : *4* - 2)")</f>
        <v>3 – 3(a.p)
(t.a.b : *4* - 2)</v>
      </c>
      <c r="G24" s="1" t="str">
        <f>IFERROR(__xludf.DUMMYFUNCTION("""COMPUTED_VALUE"""),"France")</f>
        <v>France</v>
      </c>
      <c r="H24" s="1"/>
      <c r="I24" s="1" t="str">
        <f>IFERROR(__xludf.DUMMYFUNCTION("""COMPUTED_VALUE"""),"Croatie")</f>
        <v>Croatie</v>
      </c>
      <c r="J24" s="1" t="str">
        <f>IFERROR(__xludf.DUMMYFUNCTION("""COMPUTED_VALUE"""),"*2* – 1")</f>
        <v>*2* – 1</v>
      </c>
      <c r="K24" s="1" t="str">
        <f>IFERROR(__xludf.DUMMYFUNCTION("""COMPUTED_VALUE"""),"Maroc")</f>
        <v>Maroc</v>
      </c>
    </row>
    <row r="25">
      <c r="A25" s="1" t="str">
        <f>IFERROR(__xludf.DUMMYFUNCTION("""COMPUTED_VALUE"""),"*23e*")</f>
        <v>*23e*</v>
      </c>
      <c r="B25" s="1" t="str">
        <f>IFERROR(__xludf.DUMMYFUNCTION("""COMPUTED_VALUE"""),"*2026*")</f>
        <v>*2026*</v>
      </c>
      <c r="C25" s="1" t="str">
        <f>IFERROR(__xludf.DUMMYFUNCTION("""COMPUTED_VALUE"""),"Canada, États-Unis et Mexique")</f>
        <v>Canada, États-Unis et Mexique</v>
      </c>
      <c r="D25" s="1"/>
      <c r="E25" s="1"/>
      <c r="F25" s="1"/>
      <c r="G25" s="1"/>
      <c r="H25" s="1"/>
      <c r="I25" s="1"/>
      <c r="J25" s="1"/>
      <c r="K25" s="1"/>
    </row>
    <row r="26">
      <c r="A26" s="1" t="str">
        <f>IFERROR(__xludf.DUMMYFUNCTION("""COMPUTED_VALUE"""),"*24e*")</f>
        <v>*24e*</v>
      </c>
      <c r="B26" s="1" t="str">
        <f>IFERROR(__xludf.DUMMYFUNCTION("""COMPUTED_VALUE"""),"*2030*")</f>
        <v>*2030*</v>
      </c>
      <c r="C26" s="1" t="str">
        <f>IFERROR(__xludf.DUMMYFUNCTION("""COMPUTED_VALUE"""),"Espagne, Portugal et Maroc")</f>
        <v>Espagne, Portugal et Maroc</v>
      </c>
      <c r="D26" s="1"/>
      <c r="E26" s="1"/>
      <c r="F26" s="1"/>
      <c r="G26" s="1"/>
      <c r="H26" s="1"/>
      <c r="I26" s="1"/>
      <c r="J26" s="1"/>
      <c r="K26" s="1"/>
    </row>
    <row r="27">
      <c r="A27" s="1" t="str">
        <f>IFERROR(__xludf.DUMMYFUNCTION("""COMPUTED_VALUE"""),"*25e*")</f>
        <v>*25e*</v>
      </c>
      <c r="B27" s="1" t="str">
        <f>IFERROR(__xludf.DUMMYFUNCTION("""COMPUTED_VALUE"""),"*2034*")</f>
        <v>*2034*</v>
      </c>
      <c r="C27" s="1" t="str">
        <f>IFERROR(__xludf.DUMMYFUNCTION("""COMPUTED_VALUE"""),"Arabie Saoudite")</f>
        <v>Arabie Saoudite</v>
      </c>
      <c r="D27" s="1"/>
      <c r="E27" s="1"/>
      <c r="F27" s="1"/>
      <c r="G27" s="1"/>
      <c r="H27" s="1"/>
      <c r="I27" s="1"/>
      <c r="J27" s="1"/>
      <c r="K27" s="1"/>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3140</v>
      </c>
      <c r="D1" s="1" t="s">
        <v>3141</v>
      </c>
      <c r="H1" s="1" t="s">
        <v>3142</v>
      </c>
    </row>
    <row r="2">
      <c r="D2" s="1" t="s">
        <v>3144</v>
      </c>
      <c r="E2" s="1" t="s">
        <v>3</v>
      </c>
      <c r="F2" s="1" t="s">
        <v>4</v>
      </c>
      <c r="H2" s="1" t="s">
        <v>5</v>
      </c>
      <c r="I2" s="1" t="s">
        <v>3</v>
      </c>
      <c r="J2" s="1" t="s">
        <v>3145</v>
      </c>
    </row>
    <row r="3">
      <c r="A3" s="1" t="s">
        <v>3146</v>
      </c>
      <c r="B3" s="1" t="s">
        <v>3147</v>
      </c>
      <c r="D3" s="1" t="s">
        <v>3148</v>
      </c>
      <c r="E3" s="1" t="s">
        <v>3149</v>
      </c>
      <c r="F3" s="1" t="s">
        <v>11</v>
      </c>
      <c r="H3" s="1" t="s">
        <v>3150</v>
      </c>
      <c r="I3" s="1" t="s">
        <v>3151</v>
      </c>
      <c r="J3" s="1" t="s">
        <v>3152</v>
      </c>
    </row>
    <row r="4">
      <c r="A4" s="1" t="s">
        <v>3153</v>
      </c>
      <c r="B4" s="1" t="s">
        <v>46</v>
      </c>
      <c r="D4" s="1" t="s">
        <v>3154</v>
      </c>
      <c r="E4" s="1" t="s">
        <v>3155</v>
      </c>
      <c r="F4" s="1" t="s">
        <v>16</v>
      </c>
      <c r="H4" s="1" t="s">
        <v>72</v>
      </c>
      <c r="I4" s="1" t="s">
        <v>3156</v>
      </c>
      <c r="J4" s="1" t="s">
        <v>29</v>
      </c>
    </row>
    <row r="5">
      <c r="A5" s="1" t="s">
        <v>3157</v>
      </c>
      <c r="B5" s="1" t="s">
        <v>33</v>
      </c>
      <c r="D5" s="1" t="s">
        <v>3154</v>
      </c>
      <c r="E5" s="1" t="s">
        <v>3149</v>
      </c>
      <c r="F5" s="1" t="s">
        <v>20</v>
      </c>
      <c r="H5" s="1" t="s">
        <v>21</v>
      </c>
      <c r="I5" s="1" t="s">
        <v>3149</v>
      </c>
      <c r="J5" s="1" t="s">
        <v>25</v>
      </c>
    </row>
    <row r="6">
      <c r="A6" s="1" t="s">
        <v>3158</v>
      </c>
      <c r="B6" s="1" t="s">
        <v>21</v>
      </c>
      <c r="D6" s="1" t="s">
        <v>3148</v>
      </c>
      <c r="E6" s="1" t="s">
        <v>3159</v>
      </c>
      <c r="F6" s="1" t="s">
        <v>21</v>
      </c>
      <c r="H6" s="1" t="s">
        <v>25</v>
      </c>
      <c r="I6" s="1" t="s">
        <v>3160</v>
      </c>
      <c r="J6" s="1" t="s">
        <v>78</v>
      </c>
    </row>
    <row r="7">
      <c r="A7" s="1" t="s">
        <v>3161</v>
      </c>
      <c r="B7" s="1" t="s">
        <v>3162</v>
      </c>
      <c r="D7" s="1" t="s">
        <v>3163</v>
      </c>
      <c r="E7" s="1" t="s">
        <v>3156</v>
      </c>
      <c r="F7" s="1" t="s">
        <v>20</v>
      </c>
      <c r="H7" s="1" t="s">
        <v>29</v>
      </c>
      <c r="I7" s="1" t="s">
        <v>3160</v>
      </c>
      <c r="J7" s="1" t="s">
        <v>3147</v>
      </c>
    </row>
    <row r="8">
      <c r="A8" s="1" t="s">
        <v>3164</v>
      </c>
      <c r="B8" s="1" t="s">
        <v>25</v>
      </c>
      <c r="D8" s="1" t="s">
        <v>3165</v>
      </c>
      <c r="E8" s="1" t="s">
        <v>3166</v>
      </c>
      <c r="F8" s="1" t="s">
        <v>25</v>
      </c>
      <c r="H8" s="1" t="s">
        <v>33</v>
      </c>
      <c r="I8" s="1" t="s">
        <v>3167</v>
      </c>
      <c r="J8" s="1" t="s">
        <v>41</v>
      </c>
    </row>
    <row r="9">
      <c r="A9" s="1" t="s">
        <v>3168</v>
      </c>
      <c r="B9" s="1" t="s">
        <v>37</v>
      </c>
      <c r="D9" s="1" t="s">
        <v>3165</v>
      </c>
      <c r="E9" s="1" t="s">
        <v>3160</v>
      </c>
      <c r="F9" s="1" t="s">
        <v>16</v>
      </c>
      <c r="H9" s="1" t="s">
        <v>37</v>
      </c>
      <c r="I9" s="1" t="s">
        <v>3169</v>
      </c>
      <c r="J9" s="1" t="s">
        <v>3152</v>
      </c>
    </row>
    <row r="10">
      <c r="A10" s="1" t="s">
        <v>3170</v>
      </c>
      <c r="B10" s="1" t="s">
        <v>39</v>
      </c>
      <c r="D10" s="1" t="s">
        <v>3171</v>
      </c>
      <c r="E10" s="1" t="s">
        <v>3172</v>
      </c>
      <c r="F10" s="1" t="s">
        <v>41</v>
      </c>
      <c r="H10" s="1" t="s">
        <v>42</v>
      </c>
      <c r="I10" s="1" t="s">
        <v>3159</v>
      </c>
      <c r="J10" s="1" t="s">
        <v>3173</v>
      </c>
    </row>
    <row r="11">
      <c r="A11" s="1" t="s">
        <v>3174</v>
      </c>
      <c r="B11" s="1" t="s">
        <v>3175</v>
      </c>
      <c r="D11" s="1" t="s">
        <v>3165</v>
      </c>
      <c r="E11" s="1" t="s">
        <v>3176</v>
      </c>
      <c r="F11" s="1" t="s">
        <v>46</v>
      </c>
      <c r="H11" s="1" t="s">
        <v>41</v>
      </c>
      <c r="I11" s="1" t="s">
        <v>3169</v>
      </c>
      <c r="J11" s="1" t="s">
        <v>3147</v>
      </c>
    </row>
    <row r="12">
      <c r="A12" s="1" t="s">
        <v>3177</v>
      </c>
      <c r="B12" s="1" t="s">
        <v>41</v>
      </c>
      <c r="D12" s="1" t="s">
        <v>3163</v>
      </c>
      <c r="E12" s="1" t="s">
        <v>3159</v>
      </c>
      <c r="F12" s="1" t="s">
        <v>50</v>
      </c>
      <c r="H12" s="1" t="s">
        <v>51</v>
      </c>
      <c r="I12" s="1" t="s">
        <v>3169</v>
      </c>
      <c r="J12" s="1" t="s">
        <v>21</v>
      </c>
    </row>
    <row r="13">
      <c r="A13" s="1" t="s">
        <v>3178</v>
      </c>
      <c r="B13" s="1" t="s">
        <v>11</v>
      </c>
      <c r="D13" s="1" t="s">
        <v>3179</v>
      </c>
      <c r="E13" s="1" t="s">
        <v>3180</v>
      </c>
      <c r="F13" s="1" t="s">
        <v>50</v>
      </c>
      <c r="H13" s="1" t="s">
        <v>21</v>
      </c>
      <c r="I13" s="1" t="s">
        <v>3159</v>
      </c>
      <c r="J13" s="1" t="s">
        <v>46</v>
      </c>
    </row>
    <row r="14">
      <c r="A14" s="1" t="s">
        <v>3181</v>
      </c>
      <c r="B14" s="1" t="s">
        <v>78</v>
      </c>
      <c r="D14" s="1" t="s">
        <v>3154</v>
      </c>
      <c r="E14" s="1" t="s">
        <v>3160</v>
      </c>
      <c r="F14" s="1" t="s">
        <v>41</v>
      </c>
      <c r="H14" s="1" t="s">
        <v>51</v>
      </c>
      <c r="I14" s="1" t="s">
        <v>3156</v>
      </c>
      <c r="J14" s="1" t="s">
        <v>33</v>
      </c>
    </row>
    <row r="15">
      <c r="A15" s="1" t="s">
        <v>3182</v>
      </c>
      <c r="B15" s="1" t="s">
        <v>3175</v>
      </c>
      <c r="D15" s="1" t="s">
        <v>3179</v>
      </c>
      <c r="E15" s="1" t="s">
        <v>3156</v>
      </c>
      <c r="F15" s="1" t="s">
        <v>41</v>
      </c>
      <c r="H15" s="1" t="s">
        <v>33</v>
      </c>
      <c r="I15" s="1" t="s">
        <v>3183</v>
      </c>
      <c r="J15" s="1" t="s">
        <v>84</v>
      </c>
    </row>
    <row r="16">
      <c r="A16" s="1" t="s">
        <v>3184</v>
      </c>
      <c r="B16" s="1" t="s">
        <v>46</v>
      </c>
      <c r="D16" s="1" t="s">
        <v>3163</v>
      </c>
      <c r="E16" s="1" t="s">
        <v>3169</v>
      </c>
      <c r="F16" s="1" t="s">
        <v>11</v>
      </c>
      <c r="H16" s="1" t="s">
        <v>46</v>
      </c>
      <c r="I16" s="1" t="s">
        <v>3159</v>
      </c>
      <c r="J16" s="1" t="s">
        <v>39</v>
      </c>
    </row>
    <row r="17">
      <c r="A17" s="1" t="s">
        <v>3185</v>
      </c>
      <c r="B17" s="1" t="s">
        <v>3150</v>
      </c>
      <c r="D17" s="1" t="s">
        <v>3165</v>
      </c>
      <c r="E17" s="1" t="s">
        <v>3186</v>
      </c>
      <c r="F17" s="1" t="s">
        <v>46</v>
      </c>
      <c r="H17" s="1" t="s">
        <v>25</v>
      </c>
      <c r="I17" s="1" t="s">
        <v>3187</v>
      </c>
      <c r="J17" s="1" t="s">
        <v>3188</v>
      </c>
    </row>
    <row r="18">
      <c r="A18" s="1" t="s">
        <v>3189</v>
      </c>
      <c r="B18" s="1" t="s">
        <v>33</v>
      </c>
      <c r="D18" s="1" t="s">
        <v>3190</v>
      </c>
      <c r="E18" s="1" t="s">
        <v>3191</v>
      </c>
      <c r="F18" s="1" t="s">
        <v>21</v>
      </c>
      <c r="H18" s="1" t="s">
        <v>68</v>
      </c>
      <c r="I18" s="1" t="s">
        <v>3159</v>
      </c>
      <c r="J18" s="1" t="s">
        <v>50</v>
      </c>
    </row>
    <row r="19">
      <c r="A19" s="1" t="s">
        <v>3192</v>
      </c>
      <c r="B19" s="1" t="s">
        <v>3193</v>
      </c>
      <c r="D19" s="1" t="s">
        <v>3165</v>
      </c>
      <c r="E19" s="1" t="s">
        <v>3194</v>
      </c>
      <c r="F19" s="1" t="s">
        <v>72</v>
      </c>
      <c r="H19" s="1" t="s">
        <v>73</v>
      </c>
      <c r="I19" s="1" t="s">
        <v>3156</v>
      </c>
      <c r="J19" s="1" t="s">
        <v>3195</v>
      </c>
    </row>
    <row r="20">
      <c r="A20" s="1" t="s">
        <v>3196</v>
      </c>
      <c r="B20" s="1" t="s">
        <v>72</v>
      </c>
      <c r="D20" s="1" t="s">
        <v>3154</v>
      </c>
      <c r="E20" s="1" t="s">
        <v>3197</v>
      </c>
      <c r="F20" s="1" t="s">
        <v>33</v>
      </c>
      <c r="H20" s="1" t="s">
        <v>72</v>
      </c>
      <c r="I20" s="1" t="s">
        <v>3160</v>
      </c>
      <c r="J20" s="1" t="s">
        <v>42</v>
      </c>
    </row>
    <row r="21">
      <c r="A21" s="1" t="s">
        <v>3198</v>
      </c>
      <c r="B21" s="1" t="s">
        <v>3199</v>
      </c>
      <c r="D21" s="1" t="s">
        <v>3200</v>
      </c>
      <c r="E21" s="1" t="s">
        <v>3201</v>
      </c>
      <c r="F21" s="1" t="s">
        <v>50</v>
      </c>
      <c r="H21" s="1" t="s">
        <v>72</v>
      </c>
      <c r="I21" s="1" t="s">
        <v>3156</v>
      </c>
      <c r="J21" s="1" t="s">
        <v>3147</v>
      </c>
    </row>
    <row r="22">
      <c r="A22" s="1" t="s">
        <v>3202</v>
      </c>
      <c r="B22" s="1" t="s">
        <v>21</v>
      </c>
      <c r="D22" s="1" t="s">
        <v>3203</v>
      </c>
      <c r="E22" s="1" t="s">
        <v>3201</v>
      </c>
      <c r="F22" s="1" t="s">
        <v>11</v>
      </c>
      <c r="H22" s="1" t="s">
        <v>50</v>
      </c>
      <c r="I22" s="1" t="s">
        <v>3191</v>
      </c>
      <c r="J22" s="1" t="s">
        <v>21</v>
      </c>
    </row>
    <row r="23">
      <c r="A23" s="1" t="s">
        <v>3204</v>
      </c>
      <c r="B23" s="1" t="s">
        <v>3205</v>
      </c>
      <c r="D23" s="1" t="s">
        <v>3190</v>
      </c>
      <c r="E23" s="1" t="s">
        <v>3149</v>
      </c>
      <c r="F23" s="1" t="s">
        <v>68</v>
      </c>
      <c r="H23" s="1" t="s">
        <v>84</v>
      </c>
      <c r="I23" s="1" t="s">
        <v>3194</v>
      </c>
      <c r="J23" s="1" t="s">
        <v>39</v>
      </c>
    </row>
    <row r="24">
      <c r="A24" s="1" t="s">
        <v>3206</v>
      </c>
      <c r="B24" s="1" t="s">
        <v>3207</v>
      </c>
      <c r="E24" s="1" t="s">
        <v>3208</v>
      </c>
      <c r="I24" s="1" t="s">
        <v>3208</v>
      </c>
    </row>
    <row r="25">
      <c r="A25" s="1" t="s">
        <v>3210</v>
      </c>
      <c r="B25" s="1" t="s">
        <v>3211</v>
      </c>
      <c r="D25" s="1" t="s">
        <v>3212</v>
      </c>
      <c r="H25" s="1" t="s">
        <v>3212</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3140</v>
      </c>
      <c r="D1" s="1" t="s">
        <v>3141</v>
      </c>
      <c r="H1" s="1" t="s">
        <v>3142</v>
      </c>
    </row>
    <row r="2">
      <c r="D2" s="1" t="s">
        <v>3144</v>
      </c>
      <c r="E2" s="1" t="s">
        <v>3</v>
      </c>
      <c r="F2" s="1" t="s">
        <v>4</v>
      </c>
      <c r="H2" s="1" t="s">
        <v>5</v>
      </c>
      <c r="I2" s="1" t="s">
        <v>3</v>
      </c>
      <c r="J2" s="1" t="s">
        <v>3145</v>
      </c>
    </row>
    <row r="3">
      <c r="A3" s="1" t="s">
        <v>3146</v>
      </c>
      <c r="B3" s="1" t="s">
        <v>3147</v>
      </c>
      <c r="D3" s="1" t="s">
        <v>3148</v>
      </c>
      <c r="E3" s="1" t="s">
        <v>3149</v>
      </c>
      <c r="F3" s="1" t="s">
        <v>11</v>
      </c>
      <c r="H3" s="1" t="s">
        <v>3150</v>
      </c>
      <c r="I3" s="1" t="s">
        <v>3151</v>
      </c>
      <c r="J3" s="1" t="s">
        <v>3152</v>
      </c>
      <c r="K3" s="1" t="str">
        <f>IFERROR(__xludf.DUMMYFUNCTION("SPLIT(E3,""–"")"),"*4* ")</f>
        <v>*4* </v>
      </c>
      <c r="L3" s="1">
        <f>IFERROR(__xludf.DUMMYFUNCTION("""COMPUTED_VALUE"""),2.0)</f>
        <v>2</v>
      </c>
    </row>
    <row r="4">
      <c r="A4" s="1" t="s">
        <v>3153</v>
      </c>
      <c r="B4" s="1" t="s">
        <v>46</v>
      </c>
      <c r="D4" s="1" t="s">
        <v>3154</v>
      </c>
      <c r="E4" s="1" t="s">
        <v>3155</v>
      </c>
      <c r="F4" s="1" t="s">
        <v>16</v>
      </c>
      <c r="H4" s="1" t="s">
        <v>72</v>
      </c>
      <c r="I4" s="1" t="s">
        <v>3156</v>
      </c>
      <c r="J4" s="1" t="s">
        <v>29</v>
      </c>
      <c r="K4" s="1" t="str">
        <f>IFERROR(__xludf.DUMMYFUNCTION("SPLIT(E4,""–"")"),"*2* ")</f>
        <v>*2* </v>
      </c>
      <c r="L4" s="1" t="str">
        <f>IFERROR(__xludf.DUMMYFUNCTION("""COMPUTED_VALUE""")," 1(a.p)")</f>
        <v> 1(a.p)</v>
      </c>
    </row>
    <row r="5">
      <c r="A5" s="1" t="s">
        <v>3157</v>
      </c>
      <c r="B5" s="1" t="s">
        <v>33</v>
      </c>
      <c r="D5" s="1" t="s">
        <v>3154</v>
      </c>
      <c r="E5" s="1" t="s">
        <v>3149</v>
      </c>
      <c r="F5" s="1" t="s">
        <v>20</v>
      </c>
      <c r="H5" s="1" t="s">
        <v>21</v>
      </c>
      <c r="I5" s="1" t="s">
        <v>3149</v>
      </c>
      <c r="J5" s="1" t="s">
        <v>25</v>
      </c>
      <c r="K5" s="1" t="str">
        <f>IFERROR(__xludf.DUMMYFUNCTION("SPLIT(E5,""–"")"),"*4* ")</f>
        <v>*4* </v>
      </c>
      <c r="L5" s="1">
        <f>IFERROR(__xludf.DUMMYFUNCTION("""COMPUTED_VALUE"""),2.0)</f>
        <v>2</v>
      </c>
    </row>
    <row r="6">
      <c r="A6" s="1" t="s">
        <v>3158</v>
      </c>
      <c r="B6" s="1" t="s">
        <v>21</v>
      </c>
      <c r="D6" s="1" t="s">
        <v>3148</v>
      </c>
      <c r="E6" s="1" t="s">
        <v>3159</v>
      </c>
      <c r="F6" s="1" t="s">
        <v>21</v>
      </c>
      <c r="H6" s="1" t="s">
        <v>25</v>
      </c>
      <c r="I6" s="1" t="s">
        <v>3160</v>
      </c>
      <c r="J6" s="1" t="s">
        <v>78</v>
      </c>
      <c r="K6" s="1" t="str">
        <f>IFERROR(__xludf.DUMMYFUNCTION("SPLIT(E6,""–"")"),"*2* ")</f>
        <v>*2* </v>
      </c>
      <c r="L6" s="1">
        <f>IFERROR(__xludf.DUMMYFUNCTION("""COMPUTED_VALUE"""),1.0)</f>
        <v>1</v>
      </c>
    </row>
    <row r="7">
      <c r="A7" s="1" t="s">
        <v>3161</v>
      </c>
      <c r="B7" s="1" t="s">
        <v>3162</v>
      </c>
      <c r="D7" s="1" t="s">
        <v>3163</v>
      </c>
      <c r="E7" s="1" t="s">
        <v>3156</v>
      </c>
      <c r="F7" s="1" t="s">
        <v>20</v>
      </c>
      <c r="H7" s="1" t="s">
        <v>29</v>
      </c>
      <c r="I7" s="1" t="s">
        <v>3160</v>
      </c>
      <c r="J7" s="1" t="s">
        <v>3147</v>
      </c>
      <c r="K7" s="1" t="str">
        <f>IFERROR(__xludf.DUMMYFUNCTION("SPLIT(E7,""–"")"),"*3* ")</f>
        <v>*3* </v>
      </c>
      <c r="L7" s="1">
        <f>IFERROR(__xludf.DUMMYFUNCTION("""COMPUTED_VALUE"""),2.0)</f>
        <v>2</v>
      </c>
    </row>
    <row r="8">
      <c r="A8" s="1" t="s">
        <v>3164</v>
      </c>
      <c r="B8" s="1" t="s">
        <v>25</v>
      </c>
      <c r="D8" s="1" t="s">
        <v>3165</v>
      </c>
      <c r="E8" s="1" t="s">
        <v>3166</v>
      </c>
      <c r="F8" s="1" t="s">
        <v>25</v>
      </c>
      <c r="H8" s="1" t="s">
        <v>33</v>
      </c>
      <c r="I8" s="1" t="s">
        <v>3167</v>
      </c>
      <c r="J8" s="1" t="s">
        <v>41</v>
      </c>
      <c r="K8" s="1" t="str">
        <f>IFERROR(__xludf.DUMMYFUNCTION("SPLIT(E8,""–"")"),"*5* ")</f>
        <v>*5* </v>
      </c>
      <c r="L8" s="1">
        <f>IFERROR(__xludf.DUMMYFUNCTION("""COMPUTED_VALUE"""),2.0)</f>
        <v>2</v>
      </c>
    </row>
    <row r="9">
      <c r="A9" s="1" t="s">
        <v>3168</v>
      </c>
      <c r="B9" s="1" t="s">
        <v>37</v>
      </c>
      <c r="D9" s="1" t="s">
        <v>3165</v>
      </c>
      <c r="E9" s="1" t="s">
        <v>3160</v>
      </c>
      <c r="F9" s="1" t="s">
        <v>16</v>
      </c>
      <c r="H9" s="1" t="s">
        <v>37</v>
      </c>
      <c r="I9" s="1" t="s">
        <v>3169</v>
      </c>
      <c r="J9" s="1" t="s">
        <v>3152</v>
      </c>
      <c r="K9" s="1" t="str">
        <f>IFERROR(__xludf.DUMMYFUNCTION("SPLIT(E9,""–"")"),"*3* ")</f>
        <v>*3* </v>
      </c>
      <c r="L9" s="1">
        <f>IFERROR(__xludf.DUMMYFUNCTION("""COMPUTED_VALUE"""),1.0)</f>
        <v>1</v>
      </c>
    </row>
    <row r="10">
      <c r="A10" s="1" t="s">
        <v>3170</v>
      </c>
      <c r="B10" s="1" t="s">
        <v>39</v>
      </c>
      <c r="D10" s="1" t="s">
        <v>3171</v>
      </c>
      <c r="E10" s="1" t="s">
        <v>3172</v>
      </c>
      <c r="F10" s="1" t="s">
        <v>41</v>
      </c>
      <c r="H10" s="1" t="s">
        <v>42</v>
      </c>
      <c r="I10" s="1" t="s">
        <v>3159</v>
      </c>
      <c r="J10" s="1" t="s">
        <v>3173</v>
      </c>
      <c r="K10" s="1" t="str">
        <f>IFERROR(__xludf.DUMMYFUNCTION("SPLIT(E10,""–"")"),"*4* ")</f>
        <v>*4* </v>
      </c>
      <c r="L10" s="1" t="str">
        <f>IFERROR(__xludf.DUMMYFUNCTION("""COMPUTED_VALUE""")," 2(a.p)")</f>
        <v> 2(a.p)</v>
      </c>
    </row>
    <row r="11">
      <c r="A11" s="1" t="s">
        <v>3174</v>
      </c>
      <c r="B11" s="1" t="s">
        <v>3175</v>
      </c>
      <c r="D11" s="1" t="s">
        <v>3165</v>
      </c>
      <c r="E11" s="1" t="s">
        <v>3176</v>
      </c>
      <c r="F11" s="1" t="s">
        <v>46</v>
      </c>
      <c r="H11" s="1" t="s">
        <v>41</v>
      </c>
      <c r="I11" s="1" t="s">
        <v>3169</v>
      </c>
      <c r="J11" s="1" t="s">
        <v>3147</v>
      </c>
      <c r="K11" s="1" t="str">
        <f>IFERROR(__xludf.DUMMYFUNCTION("SPLIT(E11,""–"")"),"*4* ")</f>
        <v>*4* </v>
      </c>
      <c r="L11" s="1">
        <f>IFERROR(__xludf.DUMMYFUNCTION("""COMPUTED_VALUE"""),1.0)</f>
        <v>1</v>
      </c>
    </row>
    <row r="12">
      <c r="A12" s="1" t="s">
        <v>3177</v>
      </c>
      <c r="B12" s="1" t="s">
        <v>41</v>
      </c>
      <c r="D12" s="1" t="s">
        <v>3163</v>
      </c>
      <c r="E12" s="1" t="s">
        <v>3159</v>
      </c>
      <c r="F12" s="1" t="s">
        <v>50</v>
      </c>
      <c r="H12" s="1" t="s">
        <v>51</v>
      </c>
      <c r="I12" s="1" t="s">
        <v>3169</v>
      </c>
      <c r="J12" s="1" t="s">
        <v>21</v>
      </c>
      <c r="K12" s="1" t="str">
        <f>IFERROR(__xludf.DUMMYFUNCTION("SPLIT(E12,""–"")"),"*2* ")</f>
        <v>*2* </v>
      </c>
      <c r="L12" s="1">
        <f>IFERROR(__xludf.DUMMYFUNCTION("""COMPUTED_VALUE"""),1.0)</f>
        <v>1</v>
      </c>
    </row>
    <row r="13">
      <c r="A13" s="1" t="s">
        <v>3178</v>
      </c>
      <c r="B13" s="1" t="s">
        <v>11</v>
      </c>
      <c r="D13" s="1" t="s">
        <v>3179</v>
      </c>
      <c r="E13" s="1" t="s">
        <v>3180</v>
      </c>
      <c r="F13" s="1" t="s">
        <v>50</v>
      </c>
      <c r="H13" s="1" t="s">
        <v>21</v>
      </c>
      <c r="I13" s="1" t="s">
        <v>3159</v>
      </c>
      <c r="J13" s="1" t="s">
        <v>46</v>
      </c>
      <c r="K13" s="1" t="str">
        <f>IFERROR(__xludf.DUMMYFUNCTION("SPLIT(E13,""–"")"),"*3* ")</f>
        <v>*3* </v>
      </c>
      <c r="L13" s="1" t="str">
        <f>IFERROR(__xludf.DUMMYFUNCTION("""COMPUTED_VALUE""")," 1(a.p)")</f>
        <v> 1(a.p)</v>
      </c>
    </row>
    <row r="14">
      <c r="A14" s="1" t="s">
        <v>3181</v>
      </c>
      <c r="B14" s="1" t="s">
        <v>78</v>
      </c>
      <c r="D14" s="1" t="s">
        <v>3154</v>
      </c>
      <c r="E14" s="1" t="s">
        <v>3160</v>
      </c>
      <c r="F14" s="1" t="s">
        <v>41</v>
      </c>
      <c r="H14" s="1" t="s">
        <v>51</v>
      </c>
      <c r="I14" s="1" t="s">
        <v>3156</v>
      </c>
      <c r="J14" s="1" t="s">
        <v>33</v>
      </c>
      <c r="K14" s="1" t="str">
        <f>IFERROR(__xludf.DUMMYFUNCTION("SPLIT(E14,""–"")"),"*3* ")</f>
        <v>*3* </v>
      </c>
      <c r="L14" s="1">
        <f>IFERROR(__xludf.DUMMYFUNCTION("""COMPUTED_VALUE"""),1.0)</f>
        <v>1</v>
      </c>
    </row>
    <row r="15">
      <c r="A15" s="1" t="s">
        <v>3182</v>
      </c>
      <c r="B15" s="1" t="s">
        <v>3175</v>
      </c>
      <c r="D15" s="1" t="s">
        <v>3179</v>
      </c>
      <c r="E15" s="1" t="s">
        <v>3156</v>
      </c>
      <c r="F15" s="1" t="s">
        <v>41</v>
      </c>
      <c r="H15" s="1" t="s">
        <v>33</v>
      </c>
      <c r="I15" s="1" t="s">
        <v>3183</v>
      </c>
      <c r="J15" s="1" t="s">
        <v>84</v>
      </c>
      <c r="K15" s="1" t="str">
        <f>IFERROR(__xludf.DUMMYFUNCTION("SPLIT(E15,""–"")"),"*3* ")</f>
        <v>*3* </v>
      </c>
      <c r="L15" s="1">
        <f>IFERROR(__xludf.DUMMYFUNCTION("""COMPUTED_VALUE"""),2.0)</f>
        <v>2</v>
      </c>
    </row>
    <row r="16">
      <c r="A16" s="1" t="s">
        <v>3184</v>
      </c>
      <c r="B16" s="1" t="s">
        <v>46</v>
      </c>
      <c r="D16" s="1" t="s">
        <v>3163</v>
      </c>
      <c r="E16" s="1" t="s">
        <v>3169</v>
      </c>
      <c r="F16" s="1" t="s">
        <v>11</v>
      </c>
      <c r="H16" s="1" t="s">
        <v>46</v>
      </c>
      <c r="I16" s="1" t="s">
        <v>3159</v>
      </c>
      <c r="J16" s="1" t="s">
        <v>39</v>
      </c>
      <c r="K16" s="1" t="str">
        <f>IFERROR(__xludf.DUMMYFUNCTION("SPLIT(E16,""–"")"),"*1* ")</f>
        <v>*1* </v>
      </c>
      <c r="L16" s="1">
        <f>IFERROR(__xludf.DUMMYFUNCTION("""COMPUTED_VALUE"""),0.0)</f>
        <v>0</v>
      </c>
    </row>
    <row r="17">
      <c r="A17" s="1" t="s">
        <v>3185</v>
      </c>
      <c r="B17" s="1" t="s">
        <v>3150</v>
      </c>
      <c r="D17" s="1" t="s">
        <v>3165</v>
      </c>
      <c r="E17" s="1" t="s">
        <v>3186</v>
      </c>
      <c r="F17" s="1" t="s">
        <v>46</v>
      </c>
      <c r="H17" s="1" t="s">
        <v>25</v>
      </c>
      <c r="I17" s="1" t="s">
        <v>3187</v>
      </c>
      <c r="J17" s="1" t="s">
        <v>3188</v>
      </c>
      <c r="K17" s="1">
        <f>IFERROR(__xludf.DUMMYFUNCTION("SPLIT(E17,""–"")"),0.0)</f>
        <v>0</v>
      </c>
      <c r="L17" s="1" t="str">
        <f>IFERROR(__xludf.DUMMYFUNCTION("""COMPUTED_VALUE""")," 0(a.p)
(t.a.b : *3* - 2)")</f>
        <v> 0(a.p)
(t.a.b : *3* - 2)</v>
      </c>
    </row>
    <row r="18">
      <c r="A18" s="1" t="s">
        <v>3189</v>
      </c>
      <c r="B18" s="1" t="s">
        <v>33</v>
      </c>
      <c r="D18" s="1" t="s">
        <v>3190</v>
      </c>
      <c r="E18" s="1" t="s">
        <v>3191</v>
      </c>
      <c r="F18" s="1" t="s">
        <v>21</v>
      </c>
      <c r="H18" s="1" t="s">
        <v>68</v>
      </c>
      <c r="I18" s="1" t="s">
        <v>3159</v>
      </c>
      <c r="J18" s="1" t="s">
        <v>50</v>
      </c>
      <c r="K18" s="1" t="str">
        <f>IFERROR(__xludf.DUMMYFUNCTION("SPLIT(E18,""–"")"),"*3* ")</f>
        <v>*3* </v>
      </c>
      <c r="L18" s="1">
        <f>IFERROR(__xludf.DUMMYFUNCTION("""COMPUTED_VALUE"""),0.0)</f>
        <v>0</v>
      </c>
    </row>
    <row r="19">
      <c r="A19" s="1" t="s">
        <v>3192</v>
      </c>
      <c r="B19" s="1" t="s">
        <v>3193</v>
      </c>
      <c r="D19" s="1" t="s">
        <v>3165</v>
      </c>
      <c r="E19" s="1" t="s">
        <v>3194</v>
      </c>
      <c r="F19" s="1" t="s">
        <v>72</v>
      </c>
      <c r="H19" s="1" t="s">
        <v>73</v>
      </c>
      <c r="I19" s="1" t="s">
        <v>3156</v>
      </c>
      <c r="J19" s="1" t="s">
        <v>3195</v>
      </c>
      <c r="K19" s="1" t="str">
        <f>IFERROR(__xludf.DUMMYFUNCTION("SPLIT(E19,""–"")"),"*2* ")</f>
        <v>*2* </v>
      </c>
      <c r="L19" s="1">
        <f>IFERROR(__xludf.DUMMYFUNCTION("""COMPUTED_VALUE"""),0.0)</f>
        <v>0</v>
      </c>
    </row>
    <row r="20">
      <c r="A20" s="1" t="s">
        <v>3196</v>
      </c>
      <c r="B20" s="1" t="s">
        <v>72</v>
      </c>
      <c r="D20" s="1" t="s">
        <v>3154</v>
      </c>
      <c r="E20" s="1" t="s">
        <v>3197</v>
      </c>
      <c r="F20" s="1" t="s">
        <v>33</v>
      </c>
      <c r="H20" s="1" t="s">
        <v>72</v>
      </c>
      <c r="I20" s="1" t="s">
        <v>3160</v>
      </c>
      <c r="J20" s="1" t="s">
        <v>42</v>
      </c>
      <c r="K20" s="1">
        <f>IFERROR(__xludf.DUMMYFUNCTION("SPLIT(E20,""–"")"),1.0)</f>
        <v>1</v>
      </c>
      <c r="L20" s="1" t="str">
        <f>IFERROR(__xludf.DUMMYFUNCTION("""COMPUTED_VALUE""")," 1(a.p)
(t.a.b : *5* - 3)")</f>
        <v> 1(a.p)
(t.a.b : *5* - 3)</v>
      </c>
    </row>
    <row r="21">
      <c r="A21" s="1" t="s">
        <v>3198</v>
      </c>
      <c r="B21" s="1" t="s">
        <v>3199</v>
      </c>
      <c r="D21" s="1" t="s">
        <v>3200</v>
      </c>
      <c r="E21" s="1" t="s">
        <v>3201</v>
      </c>
      <c r="F21" s="1" t="s">
        <v>50</v>
      </c>
      <c r="H21" s="1" t="s">
        <v>72</v>
      </c>
      <c r="I21" s="1" t="s">
        <v>3156</v>
      </c>
      <c r="J21" s="1" t="s">
        <v>3147</v>
      </c>
      <c r="K21" s="1" t="str">
        <f>IFERROR(__xludf.DUMMYFUNCTION("SPLIT(E21,""–"")"),"*1* ")</f>
        <v>*1* </v>
      </c>
      <c r="L21" s="1" t="str">
        <f>IFERROR(__xludf.DUMMYFUNCTION("""COMPUTED_VALUE""")," 0(a.p)")</f>
        <v> 0(a.p)</v>
      </c>
    </row>
    <row r="22">
      <c r="A22" s="1" t="s">
        <v>3202</v>
      </c>
      <c r="B22" s="1" t="s">
        <v>21</v>
      </c>
      <c r="D22" s="1" t="s">
        <v>3203</v>
      </c>
      <c r="E22" s="1" t="s">
        <v>3201</v>
      </c>
      <c r="F22" s="1" t="s">
        <v>11</v>
      </c>
      <c r="H22" s="1" t="s">
        <v>50</v>
      </c>
      <c r="I22" s="1" t="s">
        <v>3191</v>
      </c>
      <c r="J22" s="1" t="s">
        <v>21</v>
      </c>
      <c r="K22" s="1" t="str">
        <f>IFERROR(__xludf.DUMMYFUNCTION("SPLIT(E22,""–"")"),"*1* ")</f>
        <v>*1* </v>
      </c>
      <c r="L22" s="1" t="str">
        <f>IFERROR(__xludf.DUMMYFUNCTION("""COMPUTED_VALUE""")," 0(a.p)")</f>
        <v> 0(a.p)</v>
      </c>
    </row>
    <row r="23">
      <c r="A23" s="1" t="s">
        <v>3204</v>
      </c>
      <c r="B23" s="1" t="s">
        <v>3205</v>
      </c>
      <c r="D23" s="1" t="s">
        <v>3190</v>
      </c>
      <c r="E23" s="1" t="s">
        <v>3149</v>
      </c>
      <c r="F23" s="1" t="s">
        <v>68</v>
      </c>
      <c r="H23" s="1" t="s">
        <v>84</v>
      </c>
      <c r="I23" s="1" t="s">
        <v>3194</v>
      </c>
      <c r="J23" s="1" t="s">
        <v>39</v>
      </c>
      <c r="K23" s="1" t="str">
        <f>IFERROR(__xludf.DUMMYFUNCTION("SPLIT(E23,""–"")"),"*4* ")</f>
        <v>*4* </v>
      </c>
      <c r="L23" s="1">
        <f>IFERROR(__xludf.DUMMYFUNCTION("""COMPUTED_VALUE"""),2.0)</f>
        <v>2</v>
      </c>
    </row>
    <row r="24">
      <c r="A24" s="1" t="s">
        <v>3206</v>
      </c>
      <c r="B24" s="1" t="s">
        <v>3207</v>
      </c>
      <c r="E24" s="1" t="s">
        <v>3208</v>
      </c>
      <c r="I24" s="1" t="s">
        <v>3208</v>
      </c>
    </row>
    <row r="25">
      <c r="A25" s="1" t="s">
        <v>3210</v>
      </c>
      <c r="B25" s="1" t="s">
        <v>3211</v>
      </c>
      <c r="D25" s="1" t="s">
        <v>3212</v>
      </c>
      <c r="H25" s="1" t="s">
        <v>3212</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IFERROR(__xludf.DUMMYFUNCTION("IMPORTHTML(""https://fr.wikipedia.org/wiki/Box-office_France_2022"",""table"", ""5"")"),"#")</f>
        <v>#</v>
      </c>
      <c r="B1" s="1" t="str">
        <f>IFERROR(__xludf.DUMMYFUNCTION("""COMPUTED_VALUE"""),"Date 
(à partir du)")</f>
        <v>Date 
(à partir du)</v>
      </c>
      <c r="C1" s="1" t="str">
        <f>IFERROR(__xludf.DUMMYFUNCTION("""COMPUTED_VALUE"""),"Film no 1[5]")</f>
        <v>Film no 1[5]</v>
      </c>
      <c r="D1" s="1" t="str">
        <f>IFERROR(__xludf.DUMMYFUNCTION("""COMPUTED_VALUE"""),"Pays")</f>
        <v>Pays</v>
      </c>
      <c r="E1" s="1" t="str">
        <f>IFERROR(__xludf.DUMMYFUNCTION("""COMPUTED_VALUE"""),"Entrées")</f>
        <v>Entrées</v>
      </c>
    </row>
    <row r="2">
      <c r="A2" s="1">
        <f>IFERROR(__xludf.DUMMYFUNCTION("""COMPUTED_VALUE"""),1.0)</f>
        <v>1</v>
      </c>
      <c r="B2" s="1" t="str">
        <f>IFERROR(__xludf.DUMMYFUNCTION("""COMPUTED_VALUE"""),"5 janvier2022")</f>
        <v>5 janvier2022</v>
      </c>
      <c r="C2" s="1" t="str">
        <f>IFERROR(__xludf.DUMMYFUNCTION("""COMPUTED_VALUE"""),"*Spider-Man: No Way Home*")</f>
        <v>*Spider-Man: No Way Home*</v>
      </c>
      <c r="D2" s="1"/>
      <c r="E2" s="1" t="str">
        <f>IFERROR(__xludf.DUMMYFUNCTION("""COMPUTED_VALUE"""),"516 117")</f>
        <v>516 117</v>
      </c>
    </row>
    <row r="3">
      <c r="A3" s="1">
        <f>IFERROR(__xludf.DUMMYFUNCTION("""COMPUTED_VALUE"""),2.0)</f>
        <v>2</v>
      </c>
      <c r="B3" s="1" t="str">
        <f>IFERROR(__xludf.DUMMYFUNCTION("""COMPUTED_VALUE"""),"12 janvier2022")</f>
        <v>12 janvier2022</v>
      </c>
      <c r="C3" s="1"/>
      <c r="D3" s="1"/>
      <c r="E3" s="1" t="str">
        <f>IFERROR(__xludf.DUMMYFUNCTION("""COMPUTED_VALUE"""),"310 286")</f>
        <v>310 286</v>
      </c>
    </row>
    <row r="4">
      <c r="A4" s="1">
        <f>IFERROR(__xludf.DUMMYFUNCTION("""COMPUTED_VALUE"""),3.0)</f>
        <v>3</v>
      </c>
      <c r="B4" s="1" t="str">
        <f>IFERROR(__xludf.DUMMYFUNCTION("""COMPUTED_VALUE"""),"19 janvier2022")</f>
        <v>19 janvier2022</v>
      </c>
      <c r="C4" s="1"/>
      <c r="D4" s="1"/>
      <c r="E4" s="1" t="str">
        <f>IFERROR(__xludf.DUMMYFUNCTION("""COMPUTED_VALUE"""),"208 524")</f>
        <v>208 524</v>
      </c>
    </row>
    <row r="5">
      <c r="A5" s="1">
        <f>IFERROR(__xludf.DUMMYFUNCTION("""COMPUTED_VALUE"""),4.0)</f>
        <v>4</v>
      </c>
      <c r="B5" s="1" t="str">
        <f>IFERROR(__xludf.DUMMYFUNCTION("""COMPUTED_VALUE"""),"26 janvier2022")</f>
        <v>26 janvier2022</v>
      </c>
      <c r="C5" s="1" t="str">
        <f>IFERROR(__xludf.DUMMYFUNCTION("""COMPUTED_VALUE"""),"*Presque*")</f>
        <v>*Presque*</v>
      </c>
      <c r="D5" s="1"/>
      <c r="E5" s="1" t="str">
        <f>IFERROR(__xludf.DUMMYFUNCTION("""COMPUTED_VALUE"""),"151 276")</f>
        <v>151 276</v>
      </c>
    </row>
    <row r="6">
      <c r="A6" s="1">
        <f>IFERROR(__xludf.DUMMYFUNCTION("""COMPUTED_VALUE"""),5.0)</f>
        <v>5</v>
      </c>
      <c r="B6" s="1" t="str">
        <f>IFERROR(__xludf.DUMMYFUNCTION("""COMPUTED_VALUE"""),"2 février2022")</f>
        <v>2 février2022</v>
      </c>
      <c r="C6" s="1" t="str">
        <f>IFERROR(__xludf.DUMMYFUNCTION("""COMPUTED_VALUE"""),"*Super-héros malgré lui*")</f>
        <v>*Super-héros malgré lui*</v>
      </c>
      <c r="D6" s="1"/>
      <c r="E6" s="1" t="str">
        <f>IFERROR(__xludf.DUMMYFUNCTION("""COMPUTED_VALUE"""),"576 138")</f>
        <v>576 138</v>
      </c>
    </row>
    <row r="7">
      <c r="A7" s="1">
        <f>IFERROR(__xludf.DUMMYFUNCTION("""COMPUTED_VALUE"""),6.0)</f>
        <v>6</v>
      </c>
      <c r="B7" s="1" t="str">
        <f>IFERROR(__xludf.DUMMYFUNCTION("""COMPUTED_VALUE"""),"9 février2022")</f>
        <v>9 février2022</v>
      </c>
      <c r="C7" s="1"/>
      <c r="D7" s="1"/>
      <c r="E7" s="1" t="str">
        <f>IFERROR(__xludf.DUMMYFUNCTION("""COMPUTED_VALUE"""),"482 265")</f>
        <v>482 265</v>
      </c>
    </row>
    <row r="8">
      <c r="A8" s="1">
        <f>IFERROR(__xludf.DUMMYFUNCTION("""COMPUTED_VALUE"""),7.0)</f>
        <v>7</v>
      </c>
      <c r="B8" s="1" t="str">
        <f>IFERROR(__xludf.DUMMYFUNCTION("""COMPUTED_VALUE"""),"16 février2022")</f>
        <v>16 février2022</v>
      </c>
      <c r="C8" s="1" t="str">
        <f>IFERROR(__xludf.DUMMYFUNCTION("""COMPUTED_VALUE"""),"*Uncharted*")</f>
        <v>*Uncharted*</v>
      </c>
      <c r="D8" s="1"/>
      <c r="E8" s="1" t="str">
        <f>IFERROR(__xludf.DUMMYFUNCTION("""COMPUTED_VALUE"""),"955 650")</f>
        <v>955 650</v>
      </c>
    </row>
    <row r="9">
      <c r="A9" s="1">
        <f>IFERROR(__xludf.DUMMYFUNCTION("""COMPUTED_VALUE"""),8.0)</f>
        <v>8</v>
      </c>
      <c r="B9" s="1" t="str">
        <f>IFERROR(__xludf.DUMMYFUNCTION("""COMPUTED_VALUE"""),"23 février2022")</f>
        <v>23 février2022</v>
      </c>
      <c r="C9" s="1"/>
      <c r="D9" s="1"/>
      <c r="E9" s="1" t="str">
        <f>IFERROR(__xludf.DUMMYFUNCTION("""COMPUTED_VALUE"""),"551 715")</f>
        <v>551 715</v>
      </c>
    </row>
    <row r="10">
      <c r="A10" s="1">
        <f>IFERROR(__xludf.DUMMYFUNCTION("""COMPUTED_VALUE"""),9.0)</f>
        <v>9</v>
      </c>
      <c r="B10" s="1" t="str">
        <f>IFERROR(__xludf.DUMMYFUNCTION("""COMPUTED_VALUE"""),"2 mars2022")</f>
        <v>2 mars2022</v>
      </c>
      <c r="C10" s="1" t="str">
        <f>IFERROR(__xludf.DUMMYFUNCTION("""COMPUTED_VALUE"""),"*The Batman*")</f>
        <v>*The Batman*</v>
      </c>
      <c r="D10" s="1"/>
      <c r="E10" s="1" t="str">
        <f>IFERROR(__xludf.DUMMYFUNCTION("""COMPUTED_VALUE"""),"1 165 588")</f>
        <v>1 165 588</v>
      </c>
    </row>
    <row r="11">
      <c r="A11" s="1">
        <f>IFERROR(__xludf.DUMMYFUNCTION("""COMPUTED_VALUE"""),10.0)</f>
        <v>10</v>
      </c>
      <c r="B11" s="1" t="str">
        <f>IFERROR(__xludf.DUMMYFUNCTION("""COMPUTED_VALUE"""),"9 mars2022")</f>
        <v>9 mars2022</v>
      </c>
      <c r="C11" s="1"/>
      <c r="D11" s="1"/>
      <c r="E11" s="1" t="str">
        <f>IFERROR(__xludf.DUMMYFUNCTION("""COMPUTED_VALUE"""),"635 144")</f>
        <v>635 144</v>
      </c>
    </row>
    <row r="12">
      <c r="A12" s="1">
        <f>IFERROR(__xludf.DUMMYFUNCTION("""COMPUTED_VALUE"""),11.0)</f>
        <v>11</v>
      </c>
      <c r="B12" s="1" t="str">
        <f>IFERROR(__xludf.DUMMYFUNCTION("""COMPUTED_VALUE"""),"16 mars2022")</f>
        <v>16 mars2022</v>
      </c>
      <c r="C12" s="1"/>
      <c r="D12" s="1"/>
      <c r="E12" s="1" t="str">
        <f>IFERROR(__xludf.DUMMYFUNCTION("""COMPUTED_VALUE"""),"607 350")</f>
        <v>607 350</v>
      </c>
    </row>
    <row r="13">
      <c r="A13" s="1">
        <f>IFERROR(__xludf.DUMMYFUNCTION("""COMPUTED_VALUE"""),12.0)</f>
        <v>12</v>
      </c>
      <c r="B13" s="1" t="str">
        <f>IFERROR(__xludf.DUMMYFUNCTION("""COMPUTED_VALUE"""),"23 mars2022")</f>
        <v>23 mars2022</v>
      </c>
      <c r="C13" s="1"/>
      <c r="D13" s="1"/>
      <c r="E13" s="1" t="str">
        <f>IFERROR(__xludf.DUMMYFUNCTION("""COMPUTED_VALUE"""),"237 474")</f>
        <v>237 474</v>
      </c>
    </row>
    <row r="14">
      <c r="A14" s="1">
        <f>IFERROR(__xludf.DUMMYFUNCTION("""COMPUTED_VALUE"""),13.0)</f>
        <v>13</v>
      </c>
      <c r="B14" s="1" t="str">
        <f>IFERROR(__xludf.DUMMYFUNCTION("""COMPUTED_VALUE"""),"30 mars2022")</f>
        <v>30 mars2022</v>
      </c>
      <c r="C14" s="1" t="str">
        <f>IFERROR(__xludf.DUMMYFUNCTION("""COMPUTED_VALUE"""),"*Sonic 2, le film*")</f>
        <v>*Sonic 2, le film*</v>
      </c>
      <c r="D14" s="1"/>
      <c r="E14" s="1" t="str">
        <f>IFERROR(__xludf.DUMMYFUNCTION("""COMPUTED_VALUE"""),"749 372")</f>
        <v>749 372</v>
      </c>
    </row>
    <row r="15">
      <c r="A15" s="1">
        <f>IFERROR(__xludf.DUMMYFUNCTION("""COMPUTED_VALUE"""),14.0)</f>
        <v>14</v>
      </c>
      <c r="B15" s="1" t="str">
        <f>IFERROR(__xludf.DUMMYFUNCTION("""COMPUTED_VALUE"""),"6 avril2022")</f>
        <v>6 avril2022</v>
      </c>
      <c r="C15" s="1" t="str">
        <f>IFERROR(__xludf.DUMMYFUNCTION("""COMPUTED_VALUE"""),"*Qu'est-ce qu'on a tous fait au Bon Dieu ?*")</f>
        <v>*Qu'est-ce qu'on a tous fait au Bon Dieu ?*</v>
      </c>
      <c r="D15" s="1"/>
      <c r="E15" s="1" t="str">
        <f>IFERROR(__xludf.DUMMYFUNCTION("""COMPUTED_VALUE"""),"874 683")</f>
        <v>874 683</v>
      </c>
    </row>
    <row r="16">
      <c r="A16" s="1">
        <f>IFERROR(__xludf.DUMMYFUNCTION("""COMPUTED_VALUE"""),15.0)</f>
        <v>15</v>
      </c>
      <c r="B16" s="1" t="str">
        <f>IFERROR(__xludf.DUMMYFUNCTION("""COMPUTED_VALUE"""),"13 avril2022")</f>
        <v>13 avril2022</v>
      </c>
      <c r="C16" s="1" t="str">
        <f>IFERROR(__xludf.DUMMYFUNCTION("""COMPUTED_VALUE"""),"*Les Animaux fantastiques : Les Secrets de Dumbledore*")</f>
        <v>*Les Animaux fantastiques : Les Secrets de Dumbledore*</v>
      </c>
      <c r="D16" s="1"/>
      <c r="E16" s="1" t="str">
        <f>IFERROR(__xludf.DUMMYFUNCTION("""COMPUTED_VALUE"""),"1 132 062")</f>
        <v>1 132 062</v>
      </c>
    </row>
    <row r="17">
      <c r="A17" s="1">
        <f>IFERROR(__xludf.DUMMYFUNCTION("""COMPUTED_VALUE"""),16.0)</f>
        <v>16</v>
      </c>
      <c r="B17" s="1" t="str">
        <f>IFERROR(__xludf.DUMMYFUNCTION("""COMPUTED_VALUE"""),"20 avril2022")</f>
        <v>20 avril2022</v>
      </c>
      <c r="C17" s="1"/>
      <c r="D17" s="1"/>
      <c r="E17" s="1" t="str">
        <f>IFERROR(__xludf.DUMMYFUNCTION("""COMPUTED_VALUE"""),"719 811")</f>
        <v>719 811</v>
      </c>
    </row>
    <row r="18">
      <c r="A18" s="1">
        <f>IFERROR(__xludf.DUMMYFUNCTION("""COMPUTED_VALUE"""),17.0)</f>
        <v>17</v>
      </c>
      <c r="B18" s="1" t="str">
        <f>IFERROR(__xludf.DUMMYFUNCTION("""COMPUTED_VALUE"""),"27 avril2022")</f>
        <v>27 avril2022</v>
      </c>
      <c r="C18" s="1"/>
      <c r="D18" s="1"/>
      <c r="E18" s="1" t="str">
        <f>IFERROR(__xludf.DUMMYFUNCTION("""COMPUTED_VALUE"""),"377 762")</f>
        <v>377 762</v>
      </c>
    </row>
    <row r="19">
      <c r="A19" s="1">
        <f>IFERROR(__xludf.DUMMYFUNCTION("""COMPUTED_VALUE"""),18.0)</f>
        <v>18</v>
      </c>
      <c r="B19" s="1" t="str">
        <f>IFERROR(__xludf.DUMMYFUNCTION("""COMPUTED_VALUE"""),"4 mai2022")</f>
        <v>4 mai2022</v>
      </c>
      <c r="C19" s="1" t="str">
        <f>IFERROR(__xludf.DUMMYFUNCTION("""COMPUTED_VALUE"""),"*Doctor Strange in the Multiverse of Madness*")</f>
        <v>*Doctor Strange in the Multiverse of Madness*</v>
      </c>
      <c r="D19" s="1"/>
      <c r="E19" s="1" t="str">
        <f>IFERROR(__xludf.DUMMYFUNCTION("""COMPUTED_VALUE"""),"1 438 287")</f>
        <v>1 438 287</v>
      </c>
    </row>
    <row r="20">
      <c r="A20" s="1">
        <f>IFERROR(__xludf.DUMMYFUNCTION("""COMPUTED_VALUE"""),19.0)</f>
        <v>19</v>
      </c>
      <c r="B20" s="1" t="str">
        <f>IFERROR(__xludf.DUMMYFUNCTION("""COMPUTED_VALUE"""),"11 mai2022")</f>
        <v>11 mai2022</v>
      </c>
      <c r="C20" s="1"/>
      <c r="D20" s="1"/>
      <c r="E20" s="1" t="str">
        <f>IFERROR(__xludf.DUMMYFUNCTION("""COMPUTED_VALUE"""),"614 958")</f>
        <v>614 958</v>
      </c>
    </row>
    <row r="21">
      <c r="A21" s="1">
        <f>IFERROR(__xludf.DUMMYFUNCTION("""COMPUTED_VALUE"""),20.0)</f>
        <v>20</v>
      </c>
      <c r="B21" s="1" t="str">
        <f>IFERROR(__xludf.DUMMYFUNCTION("""COMPUTED_VALUE"""),"18 mai2022")</f>
        <v>18 mai2022</v>
      </c>
      <c r="C21" s="1"/>
      <c r="D21" s="1"/>
      <c r="E21" s="1" t="str">
        <f>IFERROR(__xludf.DUMMYFUNCTION("""COMPUTED_VALUE"""),"374 405")</f>
        <v>374 405</v>
      </c>
    </row>
    <row r="22">
      <c r="A22" s="1">
        <f>IFERROR(__xludf.DUMMYFUNCTION("""COMPUTED_VALUE"""),21.0)</f>
        <v>21</v>
      </c>
      <c r="B22" s="1" t="str">
        <f>IFERROR(__xludf.DUMMYFUNCTION("""COMPUTED_VALUE"""),"25 mai2022")</f>
        <v>25 mai2022</v>
      </c>
      <c r="C22" s="1" t="str">
        <f>IFERROR(__xludf.DUMMYFUNCTION("""COMPUTED_VALUE"""),"*Top Gun : Maverick*")</f>
        <v>*Top Gun : Maverick*</v>
      </c>
      <c r="D22" s="1"/>
      <c r="E22" s="1" t="str">
        <f>IFERROR(__xludf.DUMMYFUNCTION("""COMPUTED_VALUE"""),"1 529 608")</f>
        <v>1 529 608</v>
      </c>
    </row>
    <row r="23">
      <c r="A23" s="1">
        <f>IFERROR(__xludf.DUMMYFUNCTION("""COMPUTED_VALUE"""),22.0)</f>
        <v>22</v>
      </c>
      <c r="B23" s="1" t="str">
        <f>IFERROR(__xludf.DUMMYFUNCTION("""COMPUTED_VALUE"""),"1 juin2022")</f>
        <v>1 juin2022</v>
      </c>
      <c r="C23" s="1"/>
      <c r="D23" s="1"/>
      <c r="E23" s="1" t="str">
        <f>IFERROR(__xludf.DUMMYFUNCTION("""COMPUTED_VALUE"""),"1 188 176")</f>
        <v>1 188 176</v>
      </c>
    </row>
    <row r="24">
      <c r="A24" s="1">
        <f>IFERROR(__xludf.DUMMYFUNCTION("""COMPUTED_VALUE"""),23.0)</f>
        <v>23</v>
      </c>
      <c r="B24" s="1" t="str">
        <f>IFERROR(__xludf.DUMMYFUNCTION("""COMPUTED_VALUE"""),"8 juin2022")</f>
        <v>8 juin2022</v>
      </c>
      <c r="C24" s="1" t="str">
        <f>IFERROR(__xludf.DUMMYFUNCTION("""COMPUTED_VALUE"""),"*Jurassic World : Le Monde d'après*")</f>
        <v>*Jurassic World : Le Monde d'après*</v>
      </c>
      <c r="D24" s="1"/>
      <c r="E24" s="1" t="str">
        <f>IFERROR(__xludf.DUMMYFUNCTION("""COMPUTED_VALUE"""),"1 299 065")</f>
        <v>1 299 065</v>
      </c>
    </row>
    <row r="25">
      <c r="A25" s="1">
        <f>IFERROR(__xludf.DUMMYFUNCTION("""COMPUTED_VALUE"""),24.0)</f>
        <v>24</v>
      </c>
      <c r="B25" s="1" t="str">
        <f>IFERROR(__xludf.DUMMYFUNCTION("""COMPUTED_VALUE"""),"15 juin2022")</f>
        <v>15 juin2022</v>
      </c>
      <c r="C25" s="1"/>
      <c r="D25" s="1"/>
      <c r="E25" s="1" t="str">
        <f>IFERROR(__xludf.DUMMYFUNCTION("""COMPUTED_VALUE"""),"627 968")</f>
        <v>627 968</v>
      </c>
    </row>
    <row r="26">
      <c r="A26" s="1">
        <f>IFERROR(__xludf.DUMMYFUNCTION("""COMPUTED_VALUE"""),25.0)</f>
        <v>25</v>
      </c>
      <c r="B26" s="1" t="str">
        <f>IFERROR(__xludf.DUMMYFUNCTION("""COMPUTED_VALUE"""),"22 juin2022")</f>
        <v>22 juin2022</v>
      </c>
      <c r="C26" s="1" t="str">
        <f>IFERROR(__xludf.DUMMYFUNCTION("""COMPUTED_VALUE"""),"*Buzz l'Éclair*")</f>
        <v>*Buzz l'Éclair*</v>
      </c>
      <c r="D26" s="1"/>
      <c r="E26" s="1" t="str">
        <f>IFERROR(__xludf.DUMMYFUNCTION("""COMPUTED_VALUE"""),"482 715")</f>
        <v>482 715</v>
      </c>
    </row>
    <row r="27">
      <c r="A27" s="1">
        <f>IFERROR(__xludf.DUMMYFUNCTION("""COMPUTED_VALUE"""),26.0)</f>
        <v>26</v>
      </c>
      <c r="B27" s="1" t="str">
        <f>IFERROR(__xludf.DUMMYFUNCTION("""COMPUTED_VALUE"""),"29 juin2022")</f>
        <v>29 juin2022</v>
      </c>
      <c r="C27" s="1" t="str">
        <f>IFERROR(__xludf.DUMMYFUNCTION("""COMPUTED_VALUE"""),"*Top Gun : Maverick*")</f>
        <v>*Top Gun : Maverick*</v>
      </c>
      <c r="D27" s="1"/>
      <c r="E27" s="1" t="str">
        <f>IFERROR(__xludf.DUMMYFUNCTION("""COMPUTED_VALUE"""),"537 878")</f>
        <v>537 878</v>
      </c>
    </row>
    <row r="28">
      <c r="A28" s="1">
        <f>IFERROR(__xludf.DUMMYFUNCTION("""COMPUTED_VALUE"""),27.0)</f>
        <v>27</v>
      </c>
      <c r="B28" s="1" t="str">
        <f>IFERROR(__xludf.DUMMYFUNCTION("""COMPUTED_VALUE"""),"6 juillet2022")</f>
        <v>6 juillet2022</v>
      </c>
      <c r="C28" s="1" t="str">
        <f>IFERROR(__xludf.DUMMYFUNCTION("""COMPUTED_VALUE"""),"*Les Minions 2 : Il était une fois Gru*")</f>
        <v>*Les Minions 2 : Il était une fois Gru*</v>
      </c>
      <c r="D28" s="1"/>
      <c r="E28" s="1" t="str">
        <f>IFERROR(__xludf.DUMMYFUNCTION("""COMPUTED_VALUE"""),"1 360 765")</f>
        <v>1 360 765</v>
      </c>
    </row>
    <row r="29">
      <c r="A29" s="1">
        <f>IFERROR(__xludf.DUMMYFUNCTION("""COMPUTED_VALUE"""),28.0)</f>
        <v>28</v>
      </c>
      <c r="B29" s="1" t="str">
        <f>IFERROR(__xludf.DUMMYFUNCTION("""COMPUTED_VALUE"""),"13 juillet2022")</f>
        <v>13 juillet2022</v>
      </c>
      <c r="C29" s="1" t="str">
        <f>IFERROR(__xludf.DUMMYFUNCTION("""COMPUTED_VALUE"""),"*Thor: Love and Thunder*")</f>
        <v>*Thor: Love and Thunder*</v>
      </c>
      <c r="D29" s="1"/>
      <c r="E29" s="1" t="str">
        <f>IFERROR(__xludf.DUMMYFUNCTION("""COMPUTED_VALUE"""),"1 150 926")</f>
        <v>1 150 926</v>
      </c>
    </row>
    <row r="30">
      <c r="A30" s="1">
        <f>IFERROR(__xludf.DUMMYFUNCTION("""COMPUTED_VALUE"""),29.0)</f>
        <v>29</v>
      </c>
      <c r="B30" s="1" t="str">
        <f>IFERROR(__xludf.DUMMYFUNCTION("""COMPUTED_VALUE"""),"20 juillet2022")</f>
        <v>20 juillet2022</v>
      </c>
      <c r="C30" s="1"/>
      <c r="D30" s="1"/>
      <c r="E30" s="1" t="str">
        <f>IFERROR(__xludf.DUMMYFUNCTION("""COMPUTED_VALUE"""),"573 326")</f>
        <v>573 326</v>
      </c>
    </row>
    <row r="31">
      <c r="A31" s="1">
        <f>IFERROR(__xludf.DUMMYFUNCTION("""COMPUTED_VALUE"""),30.0)</f>
        <v>30</v>
      </c>
      <c r="B31" s="1" t="str">
        <f>IFERROR(__xludf.DUMMYFUNCTION("""COMPUTED_VALUE"""),"27 juillet2022")</f>
        <v>27 juillet2022</v>
      </c>
      <c r="C31" s="1"/>
      <c r="D31" s="1"/>
      <c r="E31" s="1" t="str">
        <f>IFERROR(__xludf.DUMMYFUNCTION("""COMPUTED_VALUE"""),"404 765")</f>
        <v>404 765</v>
      </c>
    </row>
    <row r="32">
      <c r="A32" s="1">
        <f>IFERROR(__xludf.DUMMYFUNCTION("""COMPUTED_VALUE"""),31.0)</f>
        <v>31</v>
      </c>
      <c r="B32" s="1" t="str">
        <f>IFERROR(__xludf.DUMMYFUNCTION("""COMPUTED_VALUE"""),"3 août2022")</f>
        <v>3 août2022</v>
      </c>
      <c r="C32" s="1" t="str">
        <f>IFERROR(__xludf.DUMMYFUNCTION("""COMPUTED_VALUE"""),"*Bullet Train*")</f>
        <v>*Bullet Train*</v>
      </c>
      <c r="D32" s="1"/>
      <c r="E32" s="1" t="str">
        <f>IFERROR(__xludf.DUMMYFUNCTION("""COMPUTED_VALUE"""),"460 136")</f>
        <v>460 136</v>
      </c>
    </row>
    <row r="33">
      <c r="A33" s="1">
        <f>IFERROR(__xludf.DUMMYFUNCTION("""COMPUTED_VALUE"""),32.0)</f>
        <v>32</v>
      </c>
      <c r="B33" s="1" t="str">
        <f>IFERROR(__xludf.DUMMYFUNCTION("""COMPUTED_VALUE"""),"10 août2022")</f>
        <v>10 août2022</v>
      </c>
      <c r="C33" s="1" t="str">
        <f>IFERROR(__xludf.DUMMYFUNCTION("""COMPUTED_VALUE"""),"*One Piece Film: Red*")</f>
        <v>*One Piece Film: Red*</v>
      </c>
      <c r="D33" s="1"/>
      <c r="E33" s="1" t="str">
        <f>IFERROR(__xludf.DUMMYFUNCTION("""COMPUTED_VALUE"""),"575 182")</f>
        <v>575 182</v>
      </c>
    </row>
    <row r="34">
      <c r="A34" s="1">
        <f>IFERROR(__xludf.DUMMYFUNCTION("""COMPUTED_VALUE"""),33.0)</f>
        <v>33</v>
      </c>
      <c r="B34" s="1" t="str">
        <f>IFERROR(__xludf.DUMMYFUNCTION("""COMPUTED_VALUE"""),"17 août2022")</f>
        <v>17 août2022</v>
      </c>
      <c r="C34" s="1" t="str">
        <f>IFERROR(__xludf.DUMMYFUNCTION("""COMPUTED_VALUE"""),"*Bullet Train*")</f>
        <v>*Bullet Train*</v>
      </c>
      <c r="D34" s="1"/>
      <c r="E34" s="1" t="str">
        <f>IFERROR(__xludf.DUMMYFUNCTION("""COMPUTED_VALUE"""),"249 658")</f>
        <v>249 658</v>
      </c>
    </row>
    <row r="35">
      <c r="A35" s="1">
        <f>IFERROR(__xludf.DUMMYFUNCTION("""COMPUTED_VALUE"""),34.0)</f>
        <v>34</v>
      </c>
      <c r="B35" s="1" t="str">
        <f>IFERROR(__xludf.DUMMYFUNCTION("""COMPUTED_VALUE"""),"24 août2022")</f>
        <v>24 août2022</v>
      </c>
      <c r="C35" s="1" t="str">
        <f>IFERROR(__xludf.DUMMYFUNCTION("""COMPUTED_VALUE"""),"*Tad l'explorateur et la table d'émeraude*")</f>
        <v>*Tad l'explorateur et la table d'émeraude*</v>
      </c>
      <c r="D35" s="1"/>
      <c r="E35" s="1" t="str">
        <f>IFERROR(__xludf.DUMMYFUNCTION("""COMPUTED_VALUE"""),"204 164")</f>
        <v>204 164</v>
      </c>
    </row>
    <row r="36">
      <c r="A36" s="1">
        <f>IFERROR(__xludf.DUMMYFUNCTION("""COMPUTED_VALUE"""),35.0)</f>
        <v>35</v>
      </c>
      <c r="B36" s="1" t="str">
        <f>IFERROR(__xludf.DUMMYFUNCTION("""COMPUTED_VALUE"""),"31 août2022")</f>
        <v>31 août2022</v>
      </c>
      <c r="C36" s="1" t="str">
        <f>IFERROR(__xludf.DUMMYFUNCTION("""COMPUTED_VALUE"""),"*Everything Everywhere All at Once*")</f>
        <v>*Everything Everywhere All at Once*</v>
      </c>
      <c r="D36" s="1"/>
      <c r="E36" s="1" t="str">
        <f>IFERROR(__xludf.DUMMYFUNCTION("""COMPUTED_VALUE"""),"132 121")</f>
        <v>132 121</v>
      </c>
    </row>
    <row r="37">
      <c r="A37" s="1">
        <f>IFERROR(__xludf.DUMMYFUNCTION("""COMPUTED_VALUE"""),36.0)</f>
        <v>36</v>
      </c>
      <c r="B37" s="1" t="str">
        <f>IFERROR(__xludf.DUMMYFUNCTION("""COMPUTED_VALUE"""),"7 septembre2022")</f>
        <v>7 septembre2022</v>
      </c>
      <c r="C37" s="1" t="str">
        <f>IFERROR(__xludf.DUMMYFUNCTION("""COMPUTED_VALUE"""),"*Kompromat*")</f>
        <v>*Kompromat*</v>
      </c>
      <c r="D37" s="1"/>
      <c r="E37" s="1" t="str">
        <f>IFERROR(__xludf.DUMMYFUNCTION("""COMPUTED_VALUE"""),"205 447")</f>
        <v>205 447</v>
      </c>
    </row>
    <row r="38">
      <c r="A38" s="1">
        <f>IFERROR(__xludf.DUMMYFUNCTION("""COMPUTED_VALUE"""),37.0)</f>
        <v>37</v>
      </c>
      <c r="B38" s="1" t="str">
        <f>IFERROR(__xludf.DUMMYFUNCTION("""COMPUTED_VALUE"""),"14 septembre2022")</f>
        <v>14 septembre2022</v>
      </c>
      <c r="C38" s="1"/>
      <c r="D38" s="1"/>
      <c r="E38" s="1" t="str">
        <f>IFERROR(__xludf.DUMMYFUNCTION("""COMPUTED_VALUE"""),"136 417")</f>
        <v>136 417</v>
      </c>
    </row>
    <row r="39">
      <c r="A39" s="1">
        <f>IFERROR(__xludf.DUMMYFUNCTION("""COMPUTED_VALUE"""),38.0)</f>
        <v>38</v>
      </c>
      <c r="B39" s="1" t="str">
        <f>IFERROR(__xludf.DUMMYFUNCTION("""COMPUTED_VALUE"""),"21 septembre2022")</f>
        <v>21 septembre2022</v>
      </c>
      <c r="C39" s="1" t="str">
        <f>IFERROR(__xludf.DUMMYFUNCTION("""COMPUTED_VALUE"""),"*Avatar* (ressortie remasterisée)")</f>
        <v>*Avatar* (ressortie remasterisée)</v>
      </c>
      <c r="D39" s="1"/>
      <c r="E39" s="1" t="str">
        <f>IFERROR(__xludf.DUMMYFUNCTION("""COMPUTED_VALUE"""),"335 539")</f>
        <v>335 539</v>
      </c>
    </row>
    <row r="40">
      <c r="A40" s="1">
        <f>IFERROR(__xludf.DUMMYFUNCTION("""COMPUTED_VALUE"""),39.0)</f>
        <v>39</v>
      </c>
      <c r="B40" s="1" t="str">
        <f>IFERROR(__xludf.DUMMYFUNCTION("""COMPUTED_VALUE"""),"28 septembre2022")</f>
        <v>28 septembre2022</v>
      </c>
      <c r="C40" s="1"/>
      <c r="D40" s="1"/>
      <c r="E40" s="1" t="str">
        <f>IFERROR(__xludf.DUMMYFUNCTION("""COMPUTED_VALUE"""),"229 620")</f>
        <v>229 620</v>
      </c>
    </row>
    <row r="41">
      <c r="A41" s="1">
        <f>IFERROR(__xludf.DUMMYFUNCTION("""COMPUTED_VALUE"""),40.0)</f>
        <v>40</v>
      </c>
      <c r="B41" s="1" t="str">
        <f>IFERROR(__xludf.DUMMYFUNCTION("""COMPUTED_VALUE"""),"5 octobre2022")</f>
        <v>5 octobre2022</v>
      </c>
      <c r="C41" s="1" t="str">
        <f>IFERROR(__xludf.DUMMYFUNCTION("""COMPUTED_VALUE"""),"*Novembre*")</f>
        <v>*Novembre*</v>
      </c>
      <c r="D41" s="1"/>
      <c r="E41" s="1" t="str">
        <f>IFERROR(__xludf.DUMMYFUNCTION("""COMPUTED_VALUE"""),"592 681")</f>
        <v>592 681</v>
      </c>
    </row>
    <row r="42">
      <c r="A42" s="1">
        <f>IFERROR(__xludf.DUMMYFUNCTION("""COMPUTED_VALUE"""),41.0)</f>
        <v>41</v>
      </c>
      <c r="B42" s="1" t="str">
        <f>IFERROR(__xludf.DUMMYFUNCTION("""COMPUTED_VALUE"""),"12 octobre2022")</f>
        <v>12 octobre2022</v>
      </c>
      <c r="C42" s="1" t="str">
        <f>IFERROR(__xludf.DUMMYFUNCTION("""COMPUTED_VALUE"""),"*Simone, le voyage du siècle*")</f>
        <v>*Simone, le voyage du siècle*</v>
      </c>
      <c r="D42" s="1"/>
      <c r="E42" s="1" t="str">
        <f>IFERROR(__xludf.DUMMYFUNCTION("""COMPUTED_VALUE"""),"486 242")</f>
        <v>486 242</v>
      </c>
    </row>
    <row r="43">
      <c r="A43" s="1">
        <f>IFERROR(__xludf.DUMMYFUNCTION("""COMPUTED_VALUE"""),42.0)</f>
        <v>42</v>
      </c>
      <c r="B43" s="1" t="str">
        <f>IFERROR(__xludf.DUMMYFUNCTION("""COMPUTED_VALUE"""),"19 octobre2022")</f>
        <v>19 octobre2022</v>
      </c>
      <c r="C43" s="1" t="str">
        <f>IFERROR(__xludf.DUMMYFUNCTION("""COMPUTED_VALUE"""),"*Black Adam*")</f>
        <v>*Black Adam*</v>
      </c>
      <c r="D43" s="1"/>
      <c r="E43" s="1" t="str">
        <f>IFERROR(__xludf.DUMMYFUNCTION("""COMPUTED_VALUE"""),"713 308")</f>
        <v>713 308</v>
      </c>
    </row>
    <row r="44">
      <c r="A44" s="1">
        <f>IFERROR(__xludf.DUMMYFUNCTION("""COMPUTED_VALUE"""),43.0)</f>
        <v>43</v>
      </c>
      <c r="B44" s="1" t="str">
        <f>IFERROR(__xludf.DUMMYFUNCTION("""COMPUTED_VALUE"""),"26 octobre2022")</f>
        <v>26 octobre2022</v>
      </c>
      <c r="C44" s="1"/>
      <c r="D44" s="1"/>
      <c r="E44" s="1" t="str">
        <f>IFERROR(__xludf.DUMMYFUNCTION("""COMPUTED_VALUE"""),"657 103")</f>
        <v>657 103</v>
      </c>
    </row>
    <row r="45">
      <c r="A45" s="1">
        <f>IFERROR(__xludf.DUMMYFUNCTION("""COMPUTED_VALUE"""),44.0)</f>
        <v>44</v>
      </c>
      <c r="B45" s="1" t="str">
        <f>IFERROR(__xludf.DUMMYFUNCTION("""COMPUTED_VALUE"""),"2 novembre2022")</f>
        <v>2 novembre2022</v>
      </c>
      <c r="C45" s="1"/>
      <c r="D45" s="1"/>
      <c r="E45" s="1" t="str">
        <f>IFERROR(__xludf.DUMMYFUNCTION("""COMPUTED_VALUE"""),"400 433")</f>
        <v>400 433</v>
      </c>
    </row>
    <row r="46">
      <c r="A46" s="1">
        <f>IFERROR(__xludf.DUMMYFUNCTION("""COMPUTED_VALUE"""),45.0)</f>
        <v>45</v>
      </c>
      <c r="B46" s="1" t="str">
        <f>IFERROR(__xludf.DUMMYFUNCTION("""COMPUTED_VALUE"""),"9 novembre2022")</f>
        <v>9 novembre2022</v>
      </c>
      <c r="C46" s="1" t="str">
        <f>IFERROR(__xludf.DUMMYFUNCTION("""COMPUTED_VALUE"""),"*Black Panther: Wakanda Forever*")</f>
        <v>*Black Panther: Wakanda Forever*</v>
      </c>
      <c r="D46" s="1"/>
      <c r="E46" s="1" t="str">
        <f>IFERROR(__xludf.DUMMYFUNCTION("""COMPUTED_VALUE"""),"1 692 183")</f>
        <v>1 692 183</v>
      </c>
    </row>
    <row r="47">
      <c r="A47" s="1">
        <f>IFERROR(__xludf.DUMMYFUNCTION("""COMPUTED_VALUE"""),46.0)</f>
        <v>46</v>
      </c>
      <c r="B47" s="1" t="str">
        <f>IFERROR(__xludf.DUMMYFUNCTION("""COMPUTED_VALUE"""),"16 novembre2022")</f>
        <v>16 novembre2022</v>
      </c>
      <c r="C47" s="1"/>
      <c r="D47" s="1"/>
      <c r="E47" s="1" t="str">
        <f>IFERROR(__xludf.DUMMYFUNCTION("""COMPUTED_VALUE"""),"725 543")</f>
        <v>725 543</v>
      </c>
    </row>
    <row r="48">
      <c r="A48" s="1">
        <f>IFERROR(__xludf.DUMMYFUNCTION("""COMPUTED_VALUE"""),47.0)</f>
        <v>47</v>
      </c>
      <c r="B48" s="1" t="str">
        <f>IFERROR(__xludf.DUMMYFUNCTION("""COMPUTED_VALUE"""),"23 novembre2022")</f>
        <v>23 novembre2022</v>
      </c>
      <c r="C48" s="1"/>
      <c r="D48" s="1"/>
      <c r="E48" s="1" t="str">
        <f>IFERROR(__xludf.DUMMYFUNCTION("""COMPUTED_VALUE"""),"392 564")</f>
        <v>392 564</v>
      </c>
    </row>
    <row r="49">
      <c r="A49" s="1">
        <f>IFERROR(__xludf.DUMMYFUNCTION("""COMPUTED_VALUE"""),48.0)</f>
        <v>48</v>
      </c>
      <c r="B49" s="1" t="str">
        <f>IFERROR(__xludf.DUMMYFUNCTION("""COMPUTED_VALUE"""),"30 novembre2022")</f>
        <v>30 novembre2022</v>
      </c>
      <c r="C49" s="1"/>
      <c r="D49" s="1"/>
      <c r="E49" s="1" t="str">
        <f>IFERROR(__xludf.DUMMYFUNCTION("""COMPUTED_VALUE"""),"241 476")</f>
        <v>241 476</v>
      </c>
    </row>
    <row r="50">
      <c r="A50" s="1">
        <f>IFERROR(__xludf.DUMMYFUNCTION("""COMPUTED_VALUE"""),49.0)</f>
        <v>49</v>
      </c>
      <c r="B50" s="1" t="str">
        <f>IFERROR(__xludf.DUMMYFUNCTION("""COMPUTED_VALUE"""),"7 décembre2022")</f>
        <v>7 décembre2022</v>
      </c>
      <c r="C50" s="1" t="str">
        <f>IFERROR(__xludf.DUMMYFUNCTION("""COMPUTED_VALUE"""),"*Le Chat potté 2 : La Dernière Quête*")</f>
        <v>*Le Chat potté 2 : La Dernière Quête*</v>
      </c>
      <c r="D50" s="1"/>
      <c r="E50" s="1" t="str">
        <f>IFERROR(__xludf.DUMMYFUNCTION("""COMPUTED_VALUE"""),"495 040")</f>
        <v>495 040</v>
      </c>
    </row>
    <row r="51">
      <c r="A51" s="1">
        <f>IFERROR(__xludf.DUMMYFUNCTION("""COMPUTED_VALUE"""),50.0)</f>
        <v>50</v>
      </c>
      <c r="B51" s="1" t="str">
        <f>IFERROR(__xludf.DUMMYFUNCTION("""COMPUTED_VALUE"""),"14 décembre2022")</f>
        <v>14 décembre2022</v>
      </c>
      <c r="C51" s="1" t="str">
        <f>IFERROR(__xludf.DUMMYFUNCTION("""COMPUTED_VALUE"""),"*Avatar : La Voie de l'eau*")</f>
        <v>*Avatar : La Voie de l'eau*</v>
      </c>
      <c r="D51" s="1"/>
      <c r="E51" s="1" t="str">
        <f>IFERROR(__xludf.DUMMYFUNCTION("""COMPUTED_VALUE"""),"2 739 848")</f>
        <v>2 739 848</v>
      </c>
    </row>
    <row r="52">
      <c r="A52" s="1">
        <f>IFERROR(__xludf.DUMMYFUNCTION("""COMPUTED_VALUE"""),51.0)</f>
        <v>51</v>
      </c>
      <c r="B52" s="1" t="str">
        <f>IFERROR(__xludf.DUMMYFUNCTION("""COMPUTED_VALUE"""),"21 décembre2022")</f>
        <v>21 décembre2022</v>
      </c>
      <c r="C52" s="1"/>
      <c r="D52" s="1"/>
      <c r="E52" s="1" t="str">
        <f>IFERROR(__xludf.DUMMYFUNCTION("""COMPUTED_VALUE"""),"3 010 310")</f>
        <v>3 010 310</v>
      </c>
    </row>
    <row r="53">
      <c r="A53" s="1">
        <f>IFERROR(__xludf.DUMMYFUNCTION("""COMPUTED_VALUE"""),52.0)</f>
        <v>52</v>
      </c>
      <c r="B53" s="1" t="str">
        <f>IFERROR(__xludf.DUMMYFUNCTION("""COMPUTED_VALUE"""),"28 décembre2022")</f>
        <v>28 décembre2022</v>
      </c>
      <c r="C53" s="1"/>
      <c r="D53" s="1"/>
      <c r="E53" s="1" t="str">
        <f>IFERROR(__xludf.DUMMYFUNCTION("""COMPUTED_VALUE"""),"2 943 711")</f>
        <v>2 943 711</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3215</v>
      </c>
      <c r="B1" s="1" t="s">
        <v>3216</v>
      </c>
      <c r="C1" s="1" t="s">
        <v>3217</v>
      </c>
      <c r="D1" s="1" t="s">
        <v>3218</v>
      </c>
      <c r="E1" s="1" t="s">
        <v>3219</v>
      </c>
    </row>
    <row r="2">
      <c r="A2" s="1">
        <v>1.0</v>
      </c>
      <c r="B2" s="1" t="s">
        <v>3220</v>
      </c>
      <c r="C2" s="1" t="s">
        <v>3221</v>
      </c>
      <c r="E2" s="1" t="s">
        <v>3222</v>
      </c>
    </row>
    <row r="3">
      <c r="A3" s="1">
        <v>2.0</v>
      </c>
      <c r="B3" s="1" t="s">
        <v>3223</v>
      </c>
      <c r="C3" s="1" t="s">
        <v>3221</v>
      </c>
      <c r="E3" s="1" t="s">
        <v>3224</v>
      </c>
    </row>
    <row r="4">
      <c r="A4" s="1">
        <v>3.0</v>
      </c>
      <c r="B4" s="1" t="s">
        <v>3225</v>
      </c>
      <c r="C4" s="1" t="s">
        <v>3221</v>
      </c>
      <c r="E4" s="1" t="s">
        <v>3226</v>
      </c>
    </row>
    <row r="5">
      <c r="A5" s="1">
        <v>4.0</v>
      </c>
      <c r="B5" s="1" t="s">
        <v>3227</v>
      </c>
      <c r="C5" s="1" t="s">
        <v>3228</v>
      </c>
      <c r="E5" s="1" t="s">
        <v>3229</v>
      </c>
    </row>
    <row r="6">
      <c r="A6" s="1">
        <v>5.0</v>
      </c>
      <c r="B6" s="1" t="s">
        <v>3230</v>
      </c>
      <c r="C6" s="1" t="s">
        <v>3231</v>
      </c>
      <c r="E6" s="1" t="s">
        <v>3232</v>
      </c>
    </row>
    <row r="7">
      <c r="A7" s="1">
        <v>6.0</v>
      </c>
      <c r="B7" s="1" t="s">
        <v>3233</v>
      </c>
      <c r="C7" s="1" t="s">
        <v>3231</v>
      </c>
      <c r="E7" s="1" t="s">
        <v>3234</v>
      </c>
    </row>
    <row r="8">
      <c r="A8" s="1">
        <v>7.0</v>
      </c>
      <c r="B8" s="1" t="s">
        <v>3235</v>
      </c>
      <c r="C8" s="1" t="s">
        <v>3236</v>
      </c>
      <c r="E8" s="1" t="s">
        <v>3237</v>
      </c>
    </row>
    <row r="9">
      <c r="A9" s="1">
        <v>8.0</v>
      </c>
      <c r="B9" s="1" t="s">
        <v>3238</v>
      </c>
      <c r="C9" s="1" t="s">
        <v>3236</v>
      </c>
      <c r="E9" s="1" t="s">
        <v>3239</v>
      </c>
    </row>
    <row r="10">
      <c r="A10" s="1">
        <v>9.0</v>
      </c>
      <c r="B10" s="1" t="s">
        <v>3240</v>
      </c>
      <c r="C10" s="1" t="s">
        <v>3241</v>
      </c>
      <c r="E10" s="1" t="s">
        <v>3242</v>
      </c>
    </row>
    <row r="11">
      <c r="A11" s="1">
        <v>10.0</v>
      </c>
      <c r="B11" s="1" t="s">
        <v>3243</v>
      </c>
      <c r="C11" s="1" t="s">
        <v>3241</v>
      </c>
      <c r="E11" s="1" t="s">
        <v>3244</v>
      </c>
    </row>
    <row r="12">
      <c r="A12" s="1">
        <v>11.0</v>
      </c>
      <c r="B12" s="1" t="s">
        <v>3245</v>
      </c>
      <c r="C12" s="1" t="s">
        <v>3241</v>
      </c>
      <c r="E12" s="1" t="s">
        <v>3246</v>
      </c>
    </row>
    <row r="13">
      <c r="A13" s="1">
        <v>12.0</v>
      </c>
      <c r="B13" s="1" t="s">
        <v>3247</v>
      </c>
      <c r="C13" s="1" t="s">
        <v>3241</v>
      </c>
      <c r="E13" s="1" t="s">
        <v>3248</v>
      </c>
    </row>
    <row r="14">
      <c r="A14" s="1">
        <v>13.0</v>
      </c>
      <c r="B14" s="1" t="s">
        <v>3249</v>
      </c>
      <c r="C14" s="1" t="s">
        <v>3250</v>
      </c>
      <c r="E14" s="1" t="s">
        <v>3251</v>
      </c>
    </row>
    <row r="15">
      <c r="A15" s="1">
        <v>14.0</v>
      </c>
      <c r="B15" s="1" t="s">
        <v>3252</v>
      </c>
      <c r="C15" s="1" t="s">
        <v>3253</v>
      </c>
      <c r="E15" s="1" t="s">
        <v>3254</v>
      </c>
    </row>
    <row r="16">
      <c r="A16" s="1">
        <v>15.0</v>
      </c>
      <c r="B16" s="1" t="s">
        <v>3255</v>
      </c>
      <c r="C16" s="1" t="s">
        <v>3256</v>
      </c>
      <c r="E16" s="1" t="s">
        <v>3257</v>
      </c>
    </row>
    <row r="17">
      <c r="A17" s="1">
        <v>16.0</v>
      </c>
      <c r="B17" s="1" t="s">
        <v>3258</v>
      </c>
      <c r="C17" s="1" t="s">
        <v>3256</v>
      </c>
      <c r="E17" s="1" t="s">
        <v>3259</v>
      </c>
    </row>
    <row r="18">
      <c r="A18" s="1">
        <v>17.0</v>
      </c>
      <c r="B18" s="1" t="s">
        <v>3260</v>
      </c>
      <c r="C18" s="1" t="s">
        <v>3256</v>
      </c>
      <c r="E18" s="1" t="s">
        <v>3261</v>
      </c>
    </row>
    <row r="19">
      <c r="A19" s="1">
        <v>18.0</v>
      </c>
      <c r="B19" s="1" t="s">
        <v>3262</v>
      </c>
      <c r="C19" s="1" t="s">
        <v>3263</v>
      </c>
      <c r="E19" s="1" t="s">
        <v>3264</v>
      </c>
    </row>
    <row r="20">
      <c r="A20" s="1">
        <v>19.0</v>
      </c>
      <c r="B20" s="1" t="s">
        <v>3265</v>
      </c>
      <c r="C20" s="1" t="s">
        <v>3263</v>
      </c>
      <c r="E20" s="1" t="s">
        <v>3266</v>
      </c>
    </row>
    <row r="21">
      <c r="A21" s="1">
        <v>20.0</v>
      </c>
      <c r="B21" s="1" t="s">
        <v>3267</v>
      </c>
      <c r="C21" s="1" t="s">
        <v>3263</v>
      </c>
      <c r="E21" s="1" t="s">
        <v>3268</v>
      </c>
    </row>
    <row r="22">
      <c r="A22" s="1">
        <v>21.0</v>
      </c>
      <c r="B22" s="1" t="s">
        <v>3269</v>
      </c>
      <c r="C22" s="1" t="s">
        <v>3270</v>
      </c>
      <c r="E22" s="1" t="s">
        <v>3271</v>
      </c>
    </row>
    <row r="23">
      <c r="A23" s="1">
        <v>22.0</v>
      </c>
      <c r="B23" s="1" t="s">
        <v>3272</v>
      </c>
      <c r="C23" s="1" t="s">
        <v>3270</v>
      </c>
      <c r="E23" s="1" t="s">
        <v>3273</v>
      </c>
    </row>
    <row r="24">
      <c r="A24" s="1">
        <v>23.0</v>
      </c>
      <c r="B24" s="1" t="s">
        <v>3274</v>
      </c>
      <c r="C24" s="1" t="s">
        <v>3275</v>
      </c>
      <c r="E24" s="1" t="s">
        <v>3276</v>
      </c>
    </row>
    <row r="25">
      <c r="A25" s="1">
        <v>24.0</v>
      </c>
      <c r="B25" s="1" t="s">
        <v>3277</v>
      </c>
      <c r="C25" s="1" t="s">
        <v>3275</v>
      </c>
      <c r="E25" s="1" t="s">
        <v>3278</v>
      </c>
    </row>
    <row r="26">
      <c r="A26" s="1">
        <v>25.0</v>
      </c>
      <c r="B26" s="1" t="s">
        <v>3279</v>
      </c>
      <c r="C26" s="1" t="s">
        <v>3280</v>
      </c>
      <c r="E26" s="1" t="s">
        <v>3281</v>
      </c>
    </row>
    <row r="27">
      <c r="A27" s="1">
        <v>26.0</v>
      </c>
      <c r="B27" s="1" t="s">
        <v>3282</v>
      </c>
      <c r="C27" s="1" t="s">
        <v>3270</v>
      </c>
      <c r="E27" s="1" t="s">
        <v>3283</v>
      </c>
    </row>
    <row r="28">
      <c r="A28" s="1">
        <v>27.0</v>
      </c>
      <c r="B28" s="1" t="s">
        <v>3284</v>
      </c>
      <c r="C28" s="1" t="s">
        <v>3285</v>
      </c>
      <c r="E28" s="1" t="s">
        <v>3286</v>
      </c>
    </row>
    <row r="29">
      <c r="A29" s="1">
        <v>28.0</v>
      </c>
      <c r="B29" s="1" t="s">
        <v>3287</v>
      </c>
      <c r="C29" s="1" t="s">
        <v>3288</v>
      </c>
      <c r="E29" s="1" t="s">
        <v>3289</v>
      </c>
    </row>
    <row r="30">
      <c r="A30" s="1">
        <v>29.0</v>
      </c>
      <c r="B30" s="1" t="s">
        <v>3290</v>
      </c>
      <c r="C30" s="1" t="s">
        <v>3288</v>
      </c>
      <c r="E30" s="1" t="s">
        <v>3291</v>
      </c>
    </row>
    <row r="31">
      <c r="A31" s="1">
        <v>30.0</v>
      </c>
      <c r="B31" s="1" t="s">
        <v>3292</v>
      </c>
      <c r="C31" s="1" t="s">
        <v>3288</v>
      </c>
      <c r="E31" s="1" t="s">
        <v>3293</v>
      </c>
    </row>
    <row r="32">
      <c r="A32" s="1">
        <v>31.0</v>
      </c>
      <c r="B32" s="1" t="s">
        <v>3294</v>
      </c>
      <c r="C32" s="1" t="s">
        <v>3295</v>
      </c>
      <c r="E32" s="1" t="s">
        <v>3296</v>
      </c>
    </row>
    <row r="33">
      <c r="A33" s="1">
        <v>32.0</v>
      </c>
      <c r="B33" s="1" t="s">
        <v>3297</v>
      </c>
      <c r="C33" s="1" t="s">
        <v>3298</v>
      </c>
      <c r="E33" s="1" t="s">
        <v>3299</v>
      </c>
    </row>
    <row r="34">
      <c r="A34" s="1">
        <v>33.0</v>
      </c>
      <c r="B34" s="1" t="s">
        <v>3300</v>
      </c>
      <c r="C34" s="1" t="s">
        <v>3295</v>
      </c>
      <c r="E34" s="1" t="s">
        <v>3301</v>
      </c>
    </row>
    <row r="35">
      <c r="A35" s="1">
        <v>34.0</v>
      </c>
      <c r="B35" s="1" t="s">
        <v>3302</v>
      </c>
      <c r="C35" s="1" t="s">
        <v>3303</v>
      </c>
      <c r="E35" s="1" t="s">
        <v>3304</v>
      </c>
    </row>
    <row r="36">
      <c r="A36" s="1">
        <v>35.0</v>
      </c>
      <c r="B36" s="1" t="s">
        <v>3305</v>
      </c>
      <c r="C36" s="1" t="s">
        <v>3306</v>
      </c>
      <c r="E36" s="1" t="s">
        <v>3307</v>
      </c>
    </row>
    <row r="37">
      <c r="A37" s="1">
        <v>36.0</v>
      </c>
      <c r="B37" s="1" t="s">
        <v>3308</v>
      </c>
      <c r="C37" s="1" t="s">
        <v>3309</v>
      </c>
      <c r="E37" s="1" t="s">
        <v>3310</v>
      </c>
    </row>
    <row r="38">
      <c r="A38" s="1">
        <v>37.0</v>
      </c>
      <c r="B38" s="1" t="s">
        <v>3311</v>
      </c>
      <c r="C38" s="1" t="s">
        <v>3309</v>
      </c>
      <c r="E38" s="1" t="s">
        <v>3312</v>
      </c>
    </row>
    <row r="39">
      <c r="A39" s="1">
        <v>38.0</v>
      </c>
      <c r="B39" s="1" t="s">
        <v>3313</v>
      </c>
      <c r="C39" s="1" t="s">
        <v>3314</v>
      </c>
      <c r="E39" s="1" t="s">
        <v>3315</v>
      </c>
    </row>
    <row r="40">
      <c r="A40" s="1">
        <v>39.0</v>
      </c>
      <c r="B40" s="1" t="s">
        <v>3316</v>
      </c>
      <c r="C40" s="1" t="s">
        <v>3314</v>
      </c>
      <c r="E40" s="1" t="s">
        <v>3317</v>
      </c>
    </row>
    <row r="41">
      <c r="A41" s="1">
        <v>40.0</v>
      </c>
      <c r="B41" s="1" t="s">
        <v>3318</v>
      </c>
      <c r="C41" s="1" t="s">
        <v>3319</v>
      </c>
      <c r="E41" s="1" t="s">
        <v>3320</v>
      </c>
    </row>
    <row r="42">
      <c r="A42" s="1">
        <v>41.0</v>
      </c>
      <c r="B42" s="1" t="s">
        <v>3321</v>
      </c>
      <c r="C42" s="1" t="s">
        <v>3322</v>
      </c>
      <c r="E42" s="1" t="s">
        <v>3323</v>
      </c>
    </row>
    <row r="43">
      <c r="A43" s="1">
        <v>42.0</v>
      </c>
      <c r="B43" s="1" t="s">
        <v>3324</v>
      </c>
      <c r="C43" s="1" t="s">
        <v>3325</v>
      </c>
      <c r="E43" s="1" t="s">
        <v>3326</v>
      </c>
    </row>
    <row r="44">
      <c r="A44" s="1">
        <v>43.0</v>
      </c>
      <c r="B44" s="1" t="s">
        <v>3327</v>
      </c>
      <c r="C44" s="1" t="s">
        <v>3325</v>
      </c>
      <c r="E44" s="1" t="s">
        <v>3328</v>
      </c>
    </row>
    <row r="45">
      <c r="A45" s="1">
        <v>44.0</v>
      </c>
      <c r="B45" s="1" t="s">
        <v>3329</v>
      </c>
      <c r="C45" s="1" t="s">
        <v>3325</v>
      </c>
      <c r="E45" s="1" t="s">
        <v>3330</v>
      </c>
    </row>
    <row r="46">
      <c r="A46" s="1">
        <v>45.0</v>
      </c>
      <c r="B46" s="1" t="s">
        <v>3331</v>
      </c>
      <c r="C46" s="1" t="s">
        <v>3332</v>
      </c>
      <c r="E46" s="1" t="s">
        <v>3333</v>
      </c>
    </row>
    <row r="47">
      <c r="A47" s="1">
        <v>46.0</v>
      </c>
      <c r="B47" s="1" t="s">
        <v>3334</v>
      </c>
      <c r="C47" s="1" t="s">
        <v>3332</v>
      </c>
      <c r="E47" s="1" t="s">
        <v>3335</v>
      </c>
    </row>
    <row r="48">
      <c r="A48" s="1">
        <v>47.0</v>
      </c>
      <c r="B48" s="1" t="s">
        <v>3336</v>
      </c>
      <c r="C48" s="1" t="s">
        <v>3332</v>
      </c>
      <c r="E48" s="1" t="s">
        <v>3337</v>
      </c>
    </row>
    <row r="49">
      <c r="A49" s="1">
        <v>48.0</v>
      </c>
      <c r="B49" s="1" t="s">
        <v>3338</v>
      </c>
    </row>
    <row r="50">
      <c r="A50" s="1">
        <v>49.0</v>
      </c>
      <c r="B50" s="1" t="s">
        <v>3339</v>
      </c>
    </row>
    <row r="51">
      <c r="A51" s="1">
        <v>50.0</v>
      </c>
      <c r="B51" s="1" t="s">
        <v>3340</v>
      </c>
    </row>
    <row r="52">
      <c r="A52" s="1">
        <v>51.0</v>
      </c>
      <c r="B52" s="1" t="s">
        <v>3341</v>
      </c>
    </row>
    <row r="53">
      <c r="A53" s="1">
        <v>52.0</v>
      </c>
      <c r="B53" s="1" t="s">
        <v>3342</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3343</v>
      </c>
    </row>
    <row r="2">
      <c r="A2" s="2" t="str">
        <f>IFERROR(__xludf.DUMMYFUNCTION("IMPORTHTML(""https://www.interieur.gouv.fr/Elections/Les-resultats/Presidentielles/elecresult__presidentielle-2022/(path)/presidentielle-2022/032/062/index.html"",""table"",3)"),"#N/A")</f>
        <v>#N/A</v>
      </c>
    </row>
    <row r="16">
      <c r="D16" s="1" t="str">
        <f>IFERROR(__xludf.DUMMYFUNCTION("SPLIT('Léa'!E24)"),"#N/A")</f>
        <v>#N/A</v>
      </c>
    </row>
    <row r="17">
      <c r="D17" s="6">
        <v>44652.0</v>
      </c>
      <c r="E17" s="1">
        <f>IFERROR(__xludf.DUMMYFUNCTION("SPLIT(D17,""-"")"),4.0)</f>
        <v>4</v>
      </c>
      <c r="F17" s="1">
        <f>IFERROR(__xludf.DUMMYFUNCTION("""COMPUTED_VALUE"""),1.0)</f>
        <v>1</v>
      </c>
    </row>
    <row r="18">
      <c r="D18" s="2" t="str">
        <f>DIVIDE(D3,C3)</f>
        <v>#DIV/0!</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IFERROR(__xludf.DUMMYFUNCTION("IMPORTHTML(""https://www.lefigaro.fr/sports/basket/nba/classement"",""table"",1)"),"Pos.
Position dans le classement")</f>
        <v>Pos.
Position dans le classement</v>
      </c>
      <c r="B1" s="1"/>
      <c r="C1" s="1" t="str">
        <f>IFERROR(__xludf.DUMMYFUNCTION("""COMPUTED_VALUE"""),"Conférence Est")</f>
        <v>Conférence Est</v>
      </c>
      <c r="D1" s="1" t="str">
        <f>IFERROR(__xludf.DUMMYFUNCTION("""COMPUTED_VALUE"""),"%
Pourcentage de victoire")</f>
        <v>%
Pourcentage de victoire</v>
      </c>
      <c r="E1" s="1" t="str">
        <f>IFERROR(__xludf.DUMMYFUNCTION("""COMPUTED_VALUE"""),"GB
Games behind")</f>
        <v>GB
Games behind</v>
      </c>
      <c r="F1" s="1" t="str">
        <f>IFERROR(__xludf.DUMMYFUNCTION("""COMPUTED_VALUE"""),"J
Nombre de matches joués")</f>
        <v>J
Nombre de matches joués</v>
      </c>
      <c r="G1" s="1" t="str">
        <f>IFERROR(__xludf.DUMMYFUNCTION("""COMPUTED_VALUE"""),"V
Nombre de victoires")</f>
        <v>V
Nombre de victoires</v>
      </c>
      <c r="H1" s="1" t="str">
        <f>IFERROR(__xludf.DUMMYFUNCTION("""COMPUTED_VALUE"""),"D
Nombre de défaites")</f>
        <v>D
Nombre de défaites</v>
      </c>
      <c r="I1" s="1" t="str">
        <f>IFERROR(__xludf.DUMMYFUNCTION("""COMPUTED_VALUE"""),"Série
Série en cours")</f>
        <v>Série
Série en cours</v>
      </c>
      <c r="J1" s="1" t="str">
        <f>IFERROR(__xludf.DUMMYFUNCTION("""COMPUTED_VALUE"""),"Dom.
Résultats à domicile")</f>
        <v>Dom.
Résultats à domicile</v>
      </c>
      <c r="K1" s="1" t="str">
        <f>IFERROR(__xludf.DUMMYFUNCTION("""COMPUTED_VALUE"""),"Ext.
Résultats à l’extérieur")</f>
        <v>Ext.
Résultats à l’extérieur</v>
      </c>
      <c r="L1" s="1" t="str">
        <f>IFERROR(__xludf.DUMMYFUNCTION("""COMPUTED_VALUE"""),"Conf.
Résultats en conférence")</f>
        <v>Conf.
Résultats en conférence</v>
      </c>
      <c r="M1" s="1" t="str">
        <f>IFERROR(__xludf.DUMMYFUNCTION("""COMPUTED_VALUE"""),"Div.
Résultats en division")</f>
        <v>Div.
Résultats en division</v>
      </c>
    </row>
    <row r="2">
      <c r="A2" s="2">
        <f>IFERROR(__xludf.DUMMYFUNCTION("""COMPUTED_VALUE"""),1.0)</f>
        <v>1</v>
      </c>
      <c r="B2" s="1"/>
      <c r="C2" s="1" t="str">
        <f>IFERROR(__xludf.DUMMYFUNCTION("""COMPUTED_VALUE"""),"Detroit")</f>
        <v>Detroit</v>
      </c>
      <c r="D2" s="1">
        <f>IFERROR(__xludf.DUMMYFUNCTION("""COMPUTED_VALUE"""),75.0)</f>
        <v>75</v>
      </c>
      <c r="E2" s="1">
        <f>IFERROR(__xludf.DUMMYFUNCTION("""COMPUTED_VALUE"""),0.0)</f>
        <v>0</v>
      </c>
      <c r="F2" s="1">
        <f>IFERROR(__xludf.DUMMYFUNCTION("""COMPUTED_VALUE"""),48.0)</f>
        <v>48</v>
      </c>
      <c r="G2" s="1">
        <f>IFERROR(__xludf.DUMMYFUNCTION("""COMPUTED_VALUE"""),36.0)</f>
        <v>36</v>
      </c>
      <c r="H2" s="1">
        <f>IFERROR(__xludf.DUMMYFUNCTION("""COMPUTED_VALUE"""),12.0)</f>
        <v>12</v>
      </c>
      <c r="I2" s="1" t="str">
        <f>IFERROR(__xludf.DUMMYFUNCTION("""COMPUTED_VALUE"""),"V2")</f>
        <v>V2</v>
      </c>
      <c r="J2" s="1" t="str">
        <f>IFERROR(__xludf.DUMMYFUNCTION("""COMPUTED_VALUE"""),"19 - 5")</f>
        <v>19 - 5</v>
      </c>
      <c r="K2" s="1" t="str">
        <f>IFERROR(__xludf.DUMMYFUNCTION("""COMPUTED_VALUE"""),"16 - 7")</f>
        <v>16 - 7</v>
      </c>
      <c r="L2" s="1" t="str">
        <f>IFERROR(__xludf.DUMMYFUNCTION("""COMPUTED_VALUE"""),"23 - 6")</f>
        <v>23 - 6</v>
      </c>
      <c r="M2" s="1" t="str">
        <f>IFERROR(__xludf.DUMMYFUNCTION("""COMPUTED_VALUE"""),"8 - 3")</f>
        <v>8 - 3</v>
      </c>
    </row>
    <row r="3">
      <c r="A3" s="2">
        <f>IFERROR(__xludf.DUMMYFUNCTION("""COMPUTED_VALUE"""),2.0)</f>
        <v>2</v>
      </c>
      <c r="B3" s="1"/>
      <c r="C3" s="1" t="str">
        <f>IFERROR(__xludf.DUMMYFUNCTION("""COMPUTED_VALUE"""),"Boston")</f>
        <v>Boston</v>
      </c>
      <c r="D3" s="1">
        <f>IFERROR(__xludf.DUMMYFUNCTION("""COMPUTED_VALUE"""),63.3)</f>
        <v>63.3</v>
      </c>
      <c r="E3" s="1">
        <f>IFERROR(__xludf.DUMMYFUNCTION("""COMPUTED_VALUE"""),5.0)</f>
        <v>5</v>
      </c>
      <c r="F3" s="1">
        <f>IFERROR(__xludf.DUMMYFUNCTION("""COMPUTED_VALUE"""),49.0)</f>
        <v>49</v>
      </c>
      <c r="G3" s="1">
        <f>IFERROR(__xludf.DUMMYFUNCTION("""COMPUTED_VALUE"""),31.0)</f>
        <v>31</v>
      </c>
      <c r="H3" s="1">
        <f>IFERROR(__xludf.DUMMYFUNCTION("""COMPUTED_VALUE"""),18.0)</f>
        <v>18</v>
      </c>
      <c r="I3" s="1" t="str">
        <f>IFERROR(__xludf.DUMMYFUNCTION("""COMPUTED_VALUE"""),"V2")</f>
        <v>V2</v>
      </c>
      <c r="J3" s="1" t="str">
        <f>IFERROR(__xludf.DUMMYFUNCTION("""COMPUTED_VALUE"""),"16 - 8")</f>
        <v>16 - 8</v>
      </c>
      <c r="K3" s="1" t="str">
        <f>IFERROR(__xludf.DUMMYFUNCTION("""COMPUTED_VALUE"""),"15 - 10")</f>
        <v>15 - 10</v>
      </c>
      <c r="L3" s="1" t="str">
        <f>IFERROR(__xludf.DUMMYFUNCTION("""COMPUTED_VALUE"""),"22 - 12")</f>
        <v>22 - 12</v>
      </c>
      <c r="M3" s="1" t="str">
        <f>IFERROR(__xludf.DUMMYFUNCTION("""COMPUTED_VALUE"""),"7 - 4")</f>
        <v>7 - 4</v>
      </c>
    </row>
    <row r="4">
      <c r="A4" s="1">
        <f>IFERROR(__xludf.DUMMYFUNCTION("""COMPUTED_VALUE"""),2.0)</f>
        <v>2</v>
      </c>
      <c r="B4" s="1"/>
      <c r="C4" s="1" t="str">
        <f>IFERROR(__xludf.DUMMYFUNCTION("""COMPUTED_VALUE"""),"New York")</f>
        <v>New York</v>
      </c>
      <c r="D4" s="1">
        <f>IFERROR(__xludf.DUMMYFUNCTION("""COMPUTED_VALUE"""),63.3)</f>
        <v>63.3</v>
      </c>
      <c r="E4" s="1">
        <f>IFERROR(__xludf.DUMMYFUNCTION("""COMPUTED_VALUE"""),5.0)</f>
        <v>5</v>
      </c>
      <c r="F4" s="1">
        <f>IFERROR(__xludf.DUMMYFUNCTION("""COMPUTED_VALUE"""),49.0)</f>
        <v>49</v>
      </c>
      <c r="G4" s="1">
        <f>IFERROR(__xludf.DUMMYFUNCTION("""COMPUTED_VALUE"""),31.0)</f>
        <v>31</v>
      </c>
      <c r="H4" s="1">
        <f>IFERROR(__xludf.DUMMYFUNCTION("""COMPUTED_VALUE"""),18.0)</f>
        <v>18</v>
      </c>
      <c r="I4" s="1" t="str">
        <f>IFERROR(__xludf.DUMMYFUNCTION("""COMPUTED_VALUE"""),"V6")</f>
        <v>V6</v>
      </c>
      <c r="J4" s="1" t="str">
        <f>IFERROR(__xludf.DUMMYFUNCTION("""COMPUTED_VALUE"""),"20 - 6")</f>
        <v>20 - 6</v>
      </c>
      <c r="K4" s="1" t="str">
        <f>IFERROR(__xludf.DUMMYFUNCTION("""COMPUTED_VALUE"""),"10 - 12")</f>
        <v>10 - 12</v>
      </c>
      <c r="L4" s="1" t="str">
        <f>IFERROR(__xludf.DUMMYFUNCTION("""COMPUTED_VALUE"""),"21 - 11")</f>
        <v>21 - 11</v>
      </c>
      <c r="M4" s="1" t="str">
        <f>IFERROR(__xludf.DUMMYFUNCTION("""COMPUTED_VALUE"""),"8 - 3")</f>
        <v>8 - 3</v>
      </c>
    </row>
    <row r="5">
      <c r="A5" s="1">
        <f>IFERROR(__xludf.DUMMYFUNCTION("""COMPUTED_VALUE"""),4.0)</f>
        <v>4</v>
      </c>
      <c r="B5" s="1"/>
      <c r="C5" s="1" t="str">
        <f>IFERROR(__xludf.DUMMYFUNCTION("""COMPUTED_VALUE"""),"Toronto")</f>
        <v>Toronto</v>
      </c>
      <c r="D5" s="1">
        <f>IFERROR(__xludf.DUMMYFUNCTION("""COMPUTED_VALUE"""),58.8)</f>
        <v>58.8</v>
      </c>
      <c r="E5" s="1">
        <f>IFERROR(__xludf.DUMMYFUNCTION("""COMPUTED_VALUE"""),7.0)</f>
        <v>7</v>
      </c>
      <c r="F5" s="1">
        <f>IFERROR(__xludf.DUMMYFUNCTION("""COMPUTED_VALUE"""),51.0)</f>
        <v>51</v>
      </c>
      <c r="G5" s="1">
        <f>IFERROR(__xludf.DUMMYFUNCTION("""COMPUTED_VALUE"""),30.0)</f>
        <v>30</v>
      </c>
      <c r="H5" s="1">
        <f>IFERROR(__xludf.DUMMYFUNCTION("""COMPUTED_VALUE"""),21.0)</f>
        <v>21</v>
      </c>
      <c r="I5" s="1" t="str">
        <f>IFERROR(__xludf.DUMMYFUNCTION("""COMPUTED_VALUE"""),"V1")</f>
        <v>V1</v>
      </c>
      <c r="J5" s="1" t="str">
        <f>IFERROR(__xludf.DUMMYFUNCTION("""COMPUTED_VALUE"""),"14 - 11")</f>
        <v>14 - 11</v>
      </c>
      <c r="K5" s="1" t="str">
        <f>IFERROR(__xludf.DUMMYFUNCTION("""COMPUTED_VALUE"""),"16 - 10")</f>
        <v>16 - 10</v>
      </c>
      <c r="L5" s="1" t="str">
        <f>IFERROR(__xludf.DUMMYFUNCTION("""COMPUTED_VALUE"""),"22 - 14")</f>
        <v>22 - 14</v>
      </c>
      <c r="M5" s="1" t="str">
        <f>IFERROR(__xludf.DUMMYFUNCTION("""COMPUTED_VALUE"""),"4 - 9")</f>
        <v>4 - 9</v>
      </c>
    </row>
    <row r="6">
      <c r="A6" s="1">
        <f>IFERROR(__xludf.DUMMYFUNCTION("""COMPUTED_VALUE"""),4.0)</f>
        <v>4</v>
      </c>
      <c r="B6" s="1"/>
      <c r="C6" s="1" t="str">
        <f>IFERROR(__xludf.DUMMYFUNCTION("""COMPUTED_VALUE"""),"Cleveland")</f>
        <v>Cleveland</v>
      </c>
      <c r="D6" s="1">
        <f>IFERROR(__xludf.DUMMYFUNCTION("""COMPUTED_VALUE"""),58.8)</f>
        <v>58.8</v>
      </c>
      <c r="E6" s="1">
        <f>IFERROR(__xludf.DUMMYFUNCTION("""COMPUTED_VALUE"""),7.0)</f>
        <v>7</v>
      </c>
      <c r="F6" s="1">
        <f>IFERROR(__xludf.DUMMYFUNCTION("""COMPUTED_VALUE"""),51.0)</f>
        <v>51</v>
      </c>
      <c r="G6" s="1">
        <f>IFERROR(__xludf.DUMMYFUNCTION("""COMPUTED_VALUE"""),30.0)</f>
        <v>30</v>
      </c>
      <c r="H6" s="1">
        <f>IFERROR(__xludf.DUMMYFUNCTION("""COMPUTED_VALUE"""),21.0)</f>
        <v>21</v>
      </c>
      <c r="I6" s="1" t="str">
        <f>IFERROR(__xludf.DUMMYFUNCTION("""COMPUTED_VALUE"""),"V1")</f>
        <v>V1</v>
      </c>
      <c r="J6" s="1" t="str">
        <f>IFERROR(__xludf.DUMMYFUNCTION("""COMPUTED_VALUE"""),"17 - 11")</f>
        <v>17 - 11</v>
      </c>
      <c r="K6" s="1" t="str">
        <f>IFERROR(__xludf.DUMMYFUNCTION("""COMPUTED_VALUE"""),"13 - 10")</f>
        <v>13 - 10</v>
      </c>
      <c r="L6" s="1" t="str">
        <f>IFERROR(__xludf.DUMMYFUNCTION("""COMPUTED_VALUE"""),"19 - 13")</f>
        <v>19 - 13</v>
      </c>
      <c r="M6" s="1" t="str">
        <f>IFERROR(__xludf.DUMMYFUNCTION("""COMPUTED_VALUE"""),"7 - 3")</f>
        <v>7 - 3</v>
      </c>
    </row>
    <row r="7">
      <c r="A7" s="1">
        <f>IFERROR(__xludf.DUMMYFUNCTION("""COMPUTED_VALUE"""),6.0)</f>
        <v>6</v>
      </c>
      <c r="B7" s="1"/>
      <c r="C7" s="1" t="str">
        <f>IFERROR(__xludf.DUMMYFUNCTION("""COMPUTED_VALUE"""),"Philadelphie")</f>
        <v>Philadelphie</v>
      </c>
      <c r="D7" s="1">
        <f>IFERROR(__xludf.DUMMYFUNCTION("""COMPUTED_VALUE"""),57.1)</f>
        <v>57.1</v>
      </c>
      <c r="E7" s="1">
        <f>IFERROR(__xludf.DUMMYFUNCTION("""COMPUTED_VALUE"""),8.0)</f>
        <v>8</v>
      </c>
      <c r="F7" s="1">
        <f>IFERROR(__xludf.DUMMYFUNCTION("""COMPUTED_VALUE"""),49.0)</f>
        <v>49</v>
      </c>
      <c r="G7" s="1">
        <f>IFERROR(__xludf.DUMMYFUNCTION("""COMPUTED_VALUE"""),28.0)</f>
        <v>28</v>
      </c>
      <c r="H7" s="1">
        <f>IFERROR(__xludf.DUMMYFUNCTION("""COMPUTED_VALUE"""),21.0)</f>
        <v>21</v>
      </c>
      <c r="I7" s="1" t="str">
        <f>IFERROR(__xludf.DUMMYFUNCTION("""COMPUTED_VALUE"""),"V4")</f>
        <v>V4</v>
      </c>
      <c r="J7" s="1" t="str">
        <f>IFERROR(__xludf.DUMMYFUNCTION("""COMPUTED_VALUE"""),"15 - 13")</f>
        <v>15 - 13</v>
      </c>
      <c r="K7" s="1" t="str">
        <f>IFERROR(__xludf.DUMMYFUNCTION("""COMPUTED_VALUE"""),"13 - 8")</f>
        <v>13 - 8</v>
      </c>
      <c r="L7" s="1" t="str">
        <f>IFERROR(__xludf.DUMMYFUNCTION("""COMPUTED_VALUE"""),"19 - 17")</f>
        <v>19 - 17</v>
      </c>
      <c r="M7" s="1" t="str">
        <f>IFERROR(__xludf.DUMMYFUNCTION("""COMPUTED_VALUE"""),"8 - 5")</f>
        <v>8 - 5</v>
      </c>
    </row>
    <row r="8">
      <c r="A8" s="1">
        <f>IFERROR(__xludf.DUMMYFUNCTION("""COMPUTED_VALUE"""),7.0)</f>
        <v>7</v>
      </c>
      <c r="B8" s="1"/>
      <c r="C8" s="1" t="str">
        <f>IFERROR(__xludf.DUMMYFUNCTION("""COMPUTED_VALUE"""),"Miami")</f>
        <v>Miami</v>
      </c>
      <c r="D8" s="1">
        <f>IFERROR(__xludf.DUMMYFUNCTION("""COMPUTED_VALUE"""),52.9)</f>
        <v>52.9</v>
      </c>
      <c r="E8" s="1">
        <f>IFERROR(__xludf.DUMMYFUNCTION("""COMPUTED_VALUE"""),10.0)</f>
        <v>10</v>
      </c>
      <c r="F8" s="1">
        <f>IFERROR(__xludf.DUMMYFUNCTION("""COMPUTED_VALUE"""),51.0)</f>
        <v>51</v>
      </c>
      <c r="G8" s="1">
        <f>IFERROR(__xludf.DUMMYFUNCTION("""COMPUTED_VALUE"""),27.0)</f>
        <v>27</v>
      </c>
      <c r="H8" s="1">
        <f>IFERROR(__xludf.DUMMYFUNCTION("""COMPUTED_VALUE"""),24.0)</f>
        <v>24</v>
      </c>
      <c r="I8" s="1" t="str">
        <f>IFERROR(__xludf.DUMMYFUNCTION("""COMPUTED_VALUE"""),"V1")</f>
        <v>V1</v>
      </c>
      <c r="J8" s="1" t="str">
        <f>IFERROR(__xludf.DUMMYFUNCTION("""COMPUTED_VALUE"""),"16 - 9")</f>
        <v>16 - 9</v>
      </c>
      <c r="K8" s="1" t="str">
        <f>IFERROR(__xludf.DUMMYFUNCTION("""COMPUTED_VALUE"""),"11 - 15")</f>
        <v>11 - 15</v>
      </c>
      <c r="L8" s="1" t="str">
        <f>IFERROR(__xludf.DUMMYFUNCTION("""COMPUTED_VALUE"""),"14 - 14")</f>
        <v>14 - 14</v>
      </c>
      <c r="M8" s="1" t="str">
        <f>IFERROR(__xludf.DUMMYFUNCTION("""COMPUTED_VALUE"""),"3 - 4")</f>
        <v>3 - 4</v>
      </c>
    </row>
    <row r="9">
      <c r="A9" s="1">
        <f>IFERROR(__xludf.DUMMYFUNCTION("""COMPUTED_VALUE"""),8.0)</f>
        <v>8</v>
      </c>
      <c r="B9" s="1"/>
      <c r="C9" s="1" t="str">
        <f>IFERROR(__xludf.DUMMYFUNCTION("""COMPUTED_VALUE"""),"Orlando")</f>
        <v>Orlando</v>
      </c>
      <c r="D9" s="1">
        <f>IFERROR(__xludf.DUMMYFUNCTION("""COMPUTED_VALUE"""),52.1)</f>
        <v>52.1</v>
      </c>
      <c r="E9" s="1">
        <f>IFERROR(__xludf.DUMMYFUNCTION("""COMPUTED_VALUE"""),11.0)</f>
        <v>11</v>
      </c>
      <c r="F9" s="1">
        <f>IFERROR(__xludf.DUMMYFUNCTION("""COMPUTED_VALUE"""),48.0)</f>
        <v>48</v>
      </c>
      <c r="G9" s="1">
        <f>IFERROR(__xludf.DUMMYFUNCTION("""COMPUTED_VALUE"""),25.0)</f>
        <v>25</v>
      </c>
      <c r="H9" s="1">
        <f>IFERROR(__xludf.DUMMYFUNCTION("""COMPUTED_VALUE"""),23.0)</f>
        <v>23</v>
      </c>
      <c r="I9" s="1" t="str">
        <f>IFERROR(__xludf.DUMMYFUNCTION("""COMPUTED_VALUE"""),"D1")</f>
        <v>D1</v>
      </c>
      <c r="J9" s="1" t="str">
        <f>IFERROR(__xludf.DUMMYFUNCTION("""COMPUTED_VALUE"""),"14 - 8")</f>
        <v>14 - 8</v>
      </c>
      <c r="K9" s="1" t="str">
        <f>IFERROR(__xludf.DUMMYFUNCTION("""COMPUTED_VALUE"""),"10 - 13")</f>
        <v>10 - 13</v>
      </c>
      <c r="L9" s="1" t="str">
        <f>IFERROR(__xludf.DUMMYFUNCTION("""COMPUTED_VALUE"""),"17 - 17")</f>
        <v>17 - 17</v>
      </c>
      <c r="M9" s="1" t="str">
        <f>IFERROR(__xludf.DUMMYFUNCTION("""COMPUTED_VALUE"""),"6 - 5")</f>
        <v>6 - 5</v>
      </c>
    </row>
    <row r="10">
      <c r="A10" s="1">
        <f>IFERROR(__xludf.DUMMYFUNCTION("""COMPUTED_VALUE"""),9.0)</f>
        <v>9</v>
      </c>
      <c r="B10" s="1"/>
      <c r="C10" s="1" t="str">
        <f>IFERROR(__xludf.DUMMYFUNCTION("""COMPUTED_VALUE"""),"Chicago")</f>
        <v>Chicago</v>
      </c>
      <c r="D10" s="1">
        <f>IFERROR(__xludf.DUMMYFUNCTION("""COMPUTED_VALUE"""),48.0)</f>
        <v>48</v>
      </c>
      <c r="E10" s="1">
        <f>IFERROR(__xludf.DUMMYFUNCTION("""COMPUTED_VALUE"""),13.0)</f>
        <v>13</v>
      </c>
      <c r="F10" s="1">
        <f>IFERROR(__xludf.DUMMYFUNCTION("""COMPUTED_VALUE"""),50.0)</f>
        <v>50</v>
      </c>
      <c r="G10" s="1">
        <f>IFERROR(__xludf.DUMMYFUNCTION("""COMPUTED_VALUE"""),24.0)</f>
        <v>24</v>
      </c>
      <c r="H10" s="1">
        <f>IFERROR(__xludf.DUMMYFUNCTION("""COMPUTED_VALUE"""),26.0)</f>
        <v>26</v>
      </c>
      <c r="I10" s="1" t="str">
        <f>IFERROR(__xludf.DUMMYFUNCTION("""COMPUTED_VALUE"""),"D1")</f>
        <v>D1</v>
      </c>
      <c r="J10" s="1" t="str">
        <f>IFERROR(__xludf.DUMMYFUNCTION("""COMPUTED_VALUE"""),"15 - 11")</f>
        <v>15 - 11</v>
      </c>
      <c r="K10" s="1" t="str">
        <f>IFERROR(__xludf.DUMMYFUNCTION("""COMPUTED_VALUE"""),"9 - 15")</f>
        <v>9 - 15</v>
      </c>
      <c r="L10" s="1" t="str">
        <f>IFERROR(__xludf.DUMMYFUNCTION("""COMPUTED_VALUE"""),"16 - 18")</f>
        <v>16 - 18</v>
      </c>
      <c r="M10" s="1" t="str">
        <f>IFERROR(__xludf.DUMMYFUNCTION("""COMPUTED_VALUE"""),"3 - 8")</f>
        <v>3 - 8</v>
      </c>
    </row>
    <row r="11">
      <c r="A11" s="1">
        <f>IFERROR(__xludf.DUMMYFUNCTION("""COMPUTED_VALUE"""),10.0)</f>
        <v>10</v>
      </c>
      <c r="B11" s="1"/>
      <c r="C11" s="1" t="str">
        <f>IFERROR(__xludf.DUMMYFUNCTION("""COMPUTED_VALUE"""),"Atlanta")</f>
        <v>Atlanta</v>
      </c>
      <c r="D11" s="1">
        <f>IFERROR(__xludf.DUMMYFUNCTION("""COMPUTED_VALUE"""),47.1)</f>
        <v>47.1</v>
      </c>
      <c r="E11" s="1">
        <f>IFERROR(__xludf.DUMMYFUNCTION("""COMPUTED_VALUE"""),13.0)</f>
        <v>13</v>
      </c>
      <c r="F11" s="1">
        <f>IFERROR(__xludf.DUMMYFUNCTION("""COMPUTED_VALUE"""),51.0)</f>
        <v>51</v>
      </c>
      <c r="G11" s="1">
        <f>IFERROR(__xludf.DUMMYFUNCTION("""COMPUTED_VALUE"""),24.0)</f>
        <v>24</v>
      </c>
      <c r="H11" s="1">
        <f>IFERROR(__xludf.DUMMYFUNCTION("""COMPUTED_VALUE"""),27.0)</f>
        <v>27</v>
      </c>
      <c r="I11" s="1" t="str">
        <f>IFERROR(__xludf.DUMMYFUNCTION("""COMPUTED_VALUE"""),"D2")</f>
        <v>D2</v>
      </c>
      <c r="J11" s="1" t="str">
        <f>IFERROR(__xludf.DUMMYFUNCTION("""COMPUTED_VALUE"""),"9 - 14")</f>
        <v>9 - 14</v>
      </c>
      <c r="K11" s="1" t="str">
        <f>IFERROR(__xludf.DUMMYFUNCTION("""COMPUTED_VALUE"""),"15 - 13")</f>
        <v>15 - 13</v>
      </c>
      <c r="L11" s="1" t="str">
        <f>IFERROR(__xludf.DUMMYFUNCTION("""COMPUTED_VALUE"""),"12 - 18")</f>
        <v>12 - 18</v>
      </c>
      <c r="M11" s="1" t="str">
        <f>IFERROR(__xludf.DUMMYFUNCTION("""COMPUTED_VALUE"""),"4 - 3")</f>
        <v>4 - 3</v>
      </c>
    </row>
    <row r="12">
      <c r="A12" s="1">
        <f>IFERROR(__xludf.DUMMYFUNCTION("""COMPUTED_VALUE"""),11.0)</f>
        <v>11</v>
      </c>
      <c r="B12" s="1"/>
      <c r="C12" s="1" t="str">
        <f>IFERROR(__xludf.DUMMYFUNCTION("""COMPUTED_VALUE"""),"Charlotte")</f>
        <v>Charlotte</v>
      </c>
      <c r="D12" s="1">
        <f>IFERROR(__xludf.DUMMYFUNCTION("""COMPUTED_VALUE"""),45.1)</f>
        <v>45.1</v>
      </c>
      <c r="E12" s="1">
        <f>IFERROR(__xludf.DUMMYFUNCTION("""COMPUTED_VALUE"""),14.0)</f>
        <v>14</v>
      </c>
      <c r="F12" s="1">
        <f>IFERROR(__xludf.DUMMYFUNCTION("""COMPUTED_VALUE"""),51.0)</f>
        <v>51</v>
      </c>
      <c r="G12" s="1">
        <f>IFERROR(__xludf.DUMMYFUNCTION("""COMPUTED_VALUE"""),23.0)</f>
        <v>23</v>
      </c>
      <c r="H12" s="1">
        <f>IFERROR(__xludf.DUMMYFUNCTION("""COMPUTED_VALUE"""),28.0)</f>
        <v>28</v>
      </c>
      <c r="I12" s="1" t="str">
        <f>IFERROR(__xludf.DUMMYFUNCTION("""COMPUTED_VALUE"""),"V7")</f>
        <v>V7</v>
      </c>
      <c r="J12" s="1" t="str">
        <f>IFERROR(__xludf.DUMMYFUNCTION("""COMPUTED_VALUE"""),"11 - 13")</f>
        <v>11 - 13</v>
      </c>
      <c r="K12" s="1" t="str">
        <f>IFERROR(__xludf.DUMMYFUNCTION("""COMPUTED_VALUE"""),"12 - 15")</f>
        <v>12 - 15</v>
      </c>
      <c r="L12" s="1" t="str">
        <f>IFERROR(__xludf.DUMMYFUNCTION("""COMPUTED_VALUE"""),"14 - 19")</f>
        <v>14 - 19</v>
      </c>
      <c r="M12" s="1" t="str">
        <f>IFERROR(__xludf.DUMMYFUNCTION("""COMPUTED_VALUE"""),"6 - 4")</f>
        <v>6 - 4</v>
      </c>
    </row>
    <row r="13">
      <c r="A13" s="1">
        <f>IFERROR(__xludf.DUMMYFUNCTION("""COMPUTED_VALUE"""),12.0)</f>
        <v>12</v>
      </c>
      <c r="B13" s="1"/>
      <c r="C13" s="1" t="str">
        <f>IFERROR(__xludf.DUMMYFUNCTION("""COMPUTED_VALUE"""),"Milwaukee")</f>
        <v>Milwaukee</v>
      </c>
      <c r="D13" s="1">
        <f>IFERROR(__xludf.DUMMYFUNCTION("""COMPUTED_VALUE"""),38.3)</f>
        <v>38.3</v>
      </c>
      <c r="E13" s="1">
        <f>IFERROR(__xludf.DUMMYFUNCTION("""COMPUTED_VALUE"""),17.0)</f>
        <v>17</v>
      </c>
      <c r="F13" s="1">
        <f>IFERROR(__xludf.DUMMYFUNCTION("""COMPUTED_VALUE"""),47.0)</f>
        <v>47</v>
      </c>
      <c r="G13" s="1">
        <f>IFERROR(__xludf.DUMMYFUNCTION("""COMPUTED_VALUE"""),18.0)</f>
        <v>18</v>
      </c>
      <c r="H13" s="1">
        <f>IFERROR(__xludf.DUMMYFUNCTION("""COMPUTED_VALUE"""),29.0)</f>
        <v>29</v>
      </c>
      <c r="I13" s="1" t="str">
        <f>IFERROR(__xludf.DUMMYFUNCTION("""COMPUTED_VALUE"""),"D5")</f>
        <v>D5</v>
      </c>
      <c r="J13" s="1" t="str">
        <f>IFERROR(__xludf.DUMMYFUNCTION("""COMPUTED_VALUE"""),"9 - 12")</f>
        <v>9 - 12</v>
      </c>
      <c r="K13" s="1" t="str">
        <f>IFERROR(__xludf.DUMMYFUNCTION("""COMPUTED_VALUE"""),"9 - 17")</f>
        <v>9 - 17</v>
      </c>
      <c r="L13" s="1" t="str">
        <f>IFERROR(__xludf.DUMMYFUNCTION("""COMPUTED_VALUE"""),"14 - 17")</f>
        <v>14 - 17</v>
      </c>
      <c r="M13" s="1" t="str">
        <f>IFERROR(__xludf.DUMMYFUNCTION("""COMPUTED_VALUE"""),"5 - 4")</f>
        <v>5 - 4</v>
      </c>
    </row>
    <row r="14">
      <c r="A14" s="1">
        <f>IFERROR(__xludf.DUMMYFUNCTION("""COMPUTED_VALUE"""),13.0)</f>
        <v>13</v>
      </c>
      <c r="B14" s="1"/>
      <c r="C14" s="1" t="str">
        <f>IFERROR(__xludf.DUMMYFUNCTION("""COMPUTED_VALUE"""),"Brooklyn")</f>
        <v>Brooklyn</v>
      </c>
      <c r="D14" s="1">
        <f>IFERROR(__xludf.DUMMYFUNCTION("""COMPUTED_VALUE"""),27.1)</f>
        <v>27.1</v>
      </c>
      <c r="E14" s="1">
        <f>IFERROR(__xludf.DUMMYFUNCTION("""COMPUTED_VALUE"""),23.0)</f>
        <v>23</v>
      </c>
      <c r="F14" s="1">
        <f>IFERROR(__xludf.DUMMYFUNCTION("""COMPUTED_VALUE"""),48.0)</f>
        <v>48</v>
      </c>
      <c r="G14" s="1">
        <f>IFERROR(__xludf.DUMMYFUNCTION("""COMPUTED_VALUE"""),13.0)</f>
        <v>13</v>
      </c>
      <c r="H14" s="1">
        <f>IFERROR(__xludf.DUMMYFUNCTION("""COMPUTED_VALUE"""),35.0)</f>
        <v>35</v>
      </c>
      <c r="I14" s="1" t="str">
        <f>IFERROR(__xludf.DUMMYFUNCTION("""COMPUTED_VALUE"""),"D1")</f>
        <v>D1</v>
      </c>
      <c r="J14" s="1" t="str">
        <f>IFERROR(__xludf.DUMMYFUNCTION("""COMPUTED_VALUE"""),"6 - 17")</f>
        <v>6 - 17</v>
      </c>
      <c r="K14" s="1" t="str">
        <f>IFERROR(__xludf.DUMMYFUNCTION("""COMPUTED_VALUE"""),"7 - 18")</f>
        <v>7 - 18</v>
      </c>
      <c r="L14" s="1" t="str">
        <f>IFERROR(__xludf.DUMMYFUNCTION("""COMPUTED_VALUE"""),"9 - 20")</f>
        <v>9 - 20</v>
      </c>
      <c r="M14" s="1" t="str">
        <f>IFERROR(__xludf.DUMMYFUNCTION("""COMPUTED_VALUE"""),"3 - 9")</f>
        <v>3 - 9</v>
      </c>
    </row>
    <row r="15">
      <c r="A15" s="1">
        <f>IFERROR(__xludf.DUMMYFUNCTION("""COMPUTED_VALUE"""),13.0)</f>
        <v>13</v>
      </c>
      <c r="B15" s="1"/>
      <c r="C15" s="1" t="str">
        <f>IFERROR(__xludf.DUMMYFUNCTION("""COMPUTED_VALUE"""),"Washington")</f>
        <v>Washington</v>
      </c>
      <c r="D15" s="1">
        <f>IFERROR(__xludf.DUMMYFUNCTION("""COMPUTED_VALUE"""),27.1)</f>
        <v>27.1</v>
      </c>
      <c r="E15" s="1">
        <f>IFERROR(__xludf.DUMMYFUNCTION("""COMPUTED_VALUE"""),23.0)</f>
        <v>23</v>
      </c>
      <c r="F15" s="1">
        <f>IFERROR(__xludf.DUMMYFUNCTION("""COMPUTED_VALUE"""),48.0)</f>
        <v>48</v>
      </c>
      <c r="G15" s="1">
        <f>IFERROR(__xludf.DUMMYFUNCTION("""COMPUTED_VALUE"""),13.0)</f>
        <v>13</v>
      </c>
      <c r="H15" s="1">
        <f>IFERROR(__xludf.DUMMYFUNCTION("""COMPUTED_VALUE"""),35.0)</f>
        <v>35</v>
      </c>
      <c r="I15" s="1" t="str">
        <f>IFERROR(__xludf.DUMMYFUNCTION("""COMPUTED_VALUE"""),"V1")</f>
        <v>V1</v>
      </c>
      <c r="J15" s="1" t="str">
        <f>IFERROR(__xludf.DUMMYFUNCTION("""COMPUTED_VALUE"""),"9 - 16")</f>
        <v>9 - 16</v>
      </c>
      <c r="K15" s="1" t="str">
        <f>IFERROR(__xludf.DUMMYFUNCTION("""COMPUTED_VALUE"""),"4 - 19")</f>
        <v>4 - 19</v>
      </c>
      <c r="L15" s="1" t="str">
        <f>IFERROR(__xludf.DUMMYFUNCTION("""COMPUTED_VALUE"""),"8 - 19")</f>
        <v>8 - 19</v>
      </c>
      <c r="M15" s="1" t="str">
        <f>IFERROR(__xludf.DUMMYFUNCTION("""COMPUTED_VALUE"""),"2 - 5")</f>
        <v>2 - 5</v>
      </c>
    </row>
    <row r="16">
      <c r="A16" s="1">
        <f>IFERROR(__xludf.DUMMYFUNCTION("""COMPUTED_VALUE"""),15.0)</f>
        <v>15</v>
      </c>
      <c r="B16" s="1"/>
      <c r="C16" s="1" t="str">
        <f>IFERROR(__xludf.DUMMYFUNCTION("""COMPUTED_VALUE"""),"Indiana")</f>
        <v>Indiana</v>
      </c>
      <c r="D16" s="1">
        <f>IFERROR(__xludf.DUMMYFUNCTION("""COMPUTED_VALUE"""),26.0)</f>
        <v>26</v>
      </c>
      <c r="E16" s="1">
        <f>IFERROR(__xludf.DUMMYFUNCTION("""COMPUTED_VALUE"""),24.0)</f>
        <v>24</v>
      </c>
      <c r="F16" s="1">
        <f>IFERROR(__xludf.DUMMYFUNCTION("""COMPUTED_VALUE"""),50.0)</f>
        <v>50</v>
      </c>
      <c r="G16" s="1">
        <f>IFERROR(__xludf.DUMMYFUNCTION("""COMPUTED_VALUE"""),13.0)</f>
        <v>13</v>
      </c>
      <c r="H16" s="1">
        <f>IFERROR(__xludf.DUMMYFUNCTION("""COMPUTED_VALUE"""),37.0)</f>
        <v>37</v>
      </c>
      <c r="I16" s="1" t="str">
        <f>IFERROR(__xludf.DUMMYFUNCTION("""COMPUTED_VALUE"""),"D1")</f>
        <v>D1</v>
      </c>
      <c r="J16" s="1" t="str">
        <f>IFERROR(__xludf.DUMMYFUNCTION("""COMPUTED_VALUE"""),"10 - 17")</f>
        <v>10 - 17</v>
      </c>
      <c r="K16" s="1" t="str">
        <f>IFERROR(__xludf.DUMMYFUNCTION("""COMPUTED_VALUE"""),"3 - 20")</f>
        <v>3 - 20</v>
      </c>
      <c r="L16" s="1" t="str">
        <f>IFERROR(__xludf.DUMMYFUNCTION("""COMPUTED_VALUE"""),"9 - 24")</f>
        <v>9 - 24</v>
      </c>
      <c r="M16" s="1" t="str">
        <f>IFERROR(__xludf.DUMMYFUNCTION("""COMPUTED_VALUE"""),"3 - 8")</f>
        <v>3 - 8</v>
      </c>
    </row>
    <row r="18">
      <c r="A18" s="1" t="str">
        <f>IFERROR(__xludf.DUMMYFUNCTION("IMPORTHTML(""https://fr.global.nba.com/standings/"",""table"",1)"),"#N/A")</f>
        <v>#N/A</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13"/>
  </cols>
  <sheetData>
    <row r="1">
      <c r="A1" s="1" t="str">
        <f>IFERROR(__xludf.DUMMYFUNCTION("IMPORTHTML(""https://fr.wikipedia.org/wiki/Liste_des_villes_par_produit_intérieur_brut"",""table"", 1, ""en_US"")"),"Rang")</f>
        <v>Rang</v>
      </c>
      <c r="B1" s="1" t="str">
        <f>IFERROR(__xludf.DUMMYFUNCTION("""COMPUTED_VALUE"""),"Ville")</f>
        <v>Ville</v>
      </c>
      <c r="C1" s="1" t="str">
        <f>IFERROR(__xludf.DUMMYFUNCTION("""COMPUTED_VALUE"""),"Pays")</f>
        <v>Pays</v>
      </c>
      <c r="D1" s="1" t="str">
        <f>IFERROR(__xludf.DUMMYFUNCTION("""COMPUTED_VALUE"""),"PIB
en 2008 (Mds $)[1]")</f>
        <v>PIB
en 2008 (Mds $)[1]</v>
      </c>
      <c r="H1" s="1" t="s">
        <v>3344</v>
      </c>
      <c r="I1" s="1" t="s">
        <v>3218</v>
      </c>
      <c r="J1" s="1" t="s">
        <v>3345</v>
      </c>
      <c r="K1" s="1" t="s">
        <v>3346</v>
      </c>
    </row>
    <row r="2">
      <c r="A2" s="1">
        <f>IFERROR(__xludf.DUMMYFUNCTION("""COMPUTED_VALUE"""),1.0)</f>
        <v>1</v>
      </c>
      <c r="B2" s="1" t="str">
        <f>IFERROR(__xludf.DUMMYFUNCTION("""COMPUTED_VALUE"""),"Tokyo")</f>
        <v>Tokyo</v>
      </c>
      <c r="C2" s="1" t="str">
        <f>IFERROR(__xludf.DUMMYFUNCTION("""COMPUTED_VALUE"""),"Japon")</f>
        <v>Japon</v>
      </c>
      <c r="D2" s="1" t="str">
        <f>IFERROR(__xludf.DUMMYFUNCTION("""COMPUTED_VALUE"""),"1 479")</f>
        <v>1 479</v>
      </c>
      <c r="H2" s="1" t="s">
        <v>3347</v>
      </c>
      <c r="I2" s="1" t="s">
        <v>3150</v>
      </c>
      <c r="J2" s="1">
        <v>211.0</v>
      </c>
      <c r="K2" s="1" t="s">
        <v>3348</v>
      </c>
      <c r="M2" s="1" t="str">
        <f>IFERROR(__xludf.DUMMYFUNCTION("SPLIT(K2,""-"",""%"")"),"#VALUE!")</f>
        <v>#VALUE!</v>
      </c>
      <c r="O2" s="2" t="s">
        <v>166</v>
      </c>
      <c r="P2" s="1">
        <f>IFERROR(__xludf.DUMMYFUNCTION("SPLIT(O2, ""-"",)"),4.0)</f>
        <v>4</v>
      </c>
      <c r="Q2" s="1">
        <f>IFERROR(__xludf.DUMMYFUNCTION("""COMPUTED_VALUE"""),2.0)</f>
        <v>2</v>
      </c>
    </row>
    <row r="3">
      <c r="A3" s="1">
        <f>IFERROR(__xludf.DUMMYFUNCTION("""COMPUTED_VALUE"""),2.0)</f>
        <v>2</v>
      </c>
      <c r="B3" s="1" t="str">
        <f>IFERROR(__xludf.DUMMYFUNCTION("""COMPUTED_VALUE"""),"New York")</f>
        <v>New York</v>
      </c>
      <c r="C3" s="1" t="str">
        <f>IFERROR(__xludf.DUMMYFUNCTION("""COMPUTED_VALUE"""),"États-Unis")</f>
        <v>États-Unis</v>
      </c>
      <c r="D3" s="1" t="str">
        <f>IFERROR(__xludf.DUMMYFUNCTION("""COMPUTED_VALUE"""),"1 403")</f>
        <v>1 403</v>
      </c>
      <c r="H3" s="1" t="s">
        <v>3349</v>
      </c>
      <c r="I3" s="1" t="s">
        <v>21</v>
      </c>
      <c r="J3" s="1">
        <v>177.0</v>
      </c>
      <c r="K3" s="1" t="s">
        <v>3350</v>
      </c>
      <c r="O3" s="2" t="s">
        <v>3351</v>
      </c>
      <c r="P3" s="1">
        <f>IFERROR(__xludf.DUMMYFUNCTION("SPLIT(O3, ""-"",)"),5.0)</f>
        <v>5</v>
      </c>
      <c r="Q3" s="1">
        <f>IFERROR(__xludf.DUMMYFUNCTION("""COMPUTED_VALUE"""),3.0)</f>
        <v>3</v>
      </c>
    </row>
    <row r="4">
      <c r="A4" s="1">
        <f>IFERROR(__xludf.DUMMYFUNCTION("""COMPUTED_VALUE"""),3.0)</f>
        <v>3</v>
      </c>
      <c r="B4" s="1" t="str">
        <f>IFERROR(__xludf.DUMMYFUNCTION("""COMPUTED_VALUE"""),"Los Angeles")</f>
        <v>Los Angeles</v>
      </c>
      <c r="C4" s="1" t="str">
        <f>IFERROR(__xludf.DUMMYFUNCTION("""COMPUTED_VALUE"""),"États-Unis")</f>
        <v>États-Unis</v>
      </c>
      <c r="D4" s="1">
        <f>IFERROR(__xludf.DUMMYFUNCTION("""COMPUTED_VALUE"""),792.0)</f>
        <v>792</v>
      </c>
      <c r="H4" s="1" t="s">
        <v>3352</v>
      </c>
      <c r="I4" s="1" t="s">
        <v>3150</v>
      </c>
      <c r="J4" s="1">
        <v>202.0</v>
      </c>
      <c r="K4" s="1" t="s">
        <v>3353</v>
      </c>
      <c r="O4" s="2" t="s">
        <v>3354</v>
      </c>
      <c r="P4" s="1">
        <f>IFERROR(__xludf.DUMMYFUNCTION("SPLIT(O4, ""-"",)"),2.0)</f>
        <v>2</v>
      </c>
      <c r="Q4" s="1">
        <f>IFERROR(__xludf.DUMMYFUNCTION("""COMPUTED_VALUE"""),1.0)</f>
        <v>1</v>
      </c>
    </row>
    <row r="5">
      <c r="A5" s="1">
        <f>IFERROR(__xludf.DUMMYFUNCTION("""COMPUTED_VALUE"""),4.0)</f>
        <v>4</v>
      </c>
      <c r="B5" s="1" t="str">
        <f>IFERROR(__xludf.DUMMYFUNCTION("""COMPUTED_VALUE"""),"Chicago")</f>
        <v>Chicago</v>
      </c>
      <c r="C5" s="1" t="str">
        <f>IFERROR(__xludf.DUMMYFUNCTION("""COMPUTED_VALUE"""),"États-Unis")</f>
        <v>États-Unis</v>
      </c>
      <c r="D5" s="1">
        <f>IFERROR(__xludf.DUMMYFUNCTION("""COMPUTED_VALUE"""),574.0)</f>
        <v>574</v>
      </c>
      <c r="H5" s="1" t="s">
        <v>3355</v>
      </c>
      <c r="I5" s="1" t="s">
        <v>3150</v>
      </c>
      <c r="J5" s="1">
        <v>346.0</v>
      </c>
      <c r="K5" s="1" t="s">
        <v>3356</v>
      </c>
    </row>
    <row r="6">
      <c r="A6" s="1">
        <f>IFERROR(__xludf.DUMMYFUNCTION("""COMPUTED_VALUE"""),5.0)</f>
        <v>5</v>
      </c>
      <c r="B6" s="1" t="str">
        <f>IFERROR(__xludf.DUMMYFUNCTION("""COMPUTED_VALUE"""),"Londres")</f>
        <v>Londres</v>
      </c>
      <c r="C6" s="1" t="str">
        <f>IFERROR(__xludf.DUMMYFUNCTION("""COMPUTED_VALUE"""),"Royaume-Uni")</f>
        <v>Royaume-Uni</v>
      </c>
      <c r="D6" s="1">
        <f>IFERROR(__xludf.DUMMYFUNCTION("""COMPUTED_VALUE"""),565.0)</f>
        <v>565</v>
      </c>
      <c r="H6" s="1" t="s">
        <v>3357</v>
      </c>
      <c r="I6" s="1" t="s">
        <v>3150</v>
      </c>
      <c r="J6" s="1">
        <v>331.0</v>
      </c>
      <c r="K6" s="1" t="s">
        <v>3356</v>
      </c>
    </row>
    <row r="7">
      <c r="A7" s="1">
        <f>IFERROR(__xludf.DUMMYFUNCTION("""COMPUTED_VALUE"""),6.0)</f>
        <v>6</v>
      </c>
      <c r="B7" s="1" t="str">
        <f>IFERROR(__xludf.DUMMYFUNCTION("""COMPUTED_VALUE"""),"Paris")</f>
        <v>Paris</v>
      </c>
      <c r="C7" s="1" t="str">
        <f>IFERROR(__xludf.DUMMYFUNCTION("""COMPUTED_VALUE"""),"France")</f>
        <v>France</v>
      </c>
      <c r="D7" s="1">
        <f>IFERROR(__xludf.DUMMYFUNCTION("""COMPUTED_VALUE"""),564.0)</f>
        <v>564</v>
      </c>
      <c r="H7" s="1" t="s">
        <v>3358</v>
      </c>
      <c r="I7" s="1" t="s">
        <v>46</v>
      </c>
      <c r="J7" s="1">
        <v>312.0</v>
      </c>
      <c r="K7" s="1" t="s">
        <v>3356</v>
      </c>
    </row>
    <row r="8">
      <c r="A8" s="1">
        <f>IFERROR(__xludf.DUMMYFUNCTION("""COMPUTED_VALUE"""),7.0)</f>
        <v>7</v>
      </c>
      <c r="B8" s="1" t="str">
        <f>IFERROR(__xludf.DUMMYFUNCTION("""COMPUTED_VALUE"""),"Osaka")</f>
        <v>Osaka</v>
      </c>
      <c r="C8" s="1" t="str">
        <f>IFERROR(__xludf.DUMMYFUNCTION("""COMPUTED_VALUE"""),"Japon")</f>
        <v>Japon</v>
      </c>
      <c r="D8" s="1">
        <f>IFERROR(__xludf.DUMMYFUNCTION("""COMPUTED_VALUE"""),417.0)</f>
        <v>417</v>
      </c>
      <c r="H8" s="1" t="s">
        <v>3359</v>
      </c>
      <c r="I8" s="1" t="s">
        <v>3360</v>
      </c>
      <c r="J8" s="1">
        <v>307.0</v>
      </c>
      <c r="K8" s="1" t="s">
        <v>3356</v>
      </c>
    </row>
    <row r="9">
      <c r="A9" s="1">
        <f>IFERROR(__xludf.DUMMYFUNCTION("""COMPUTED_VALUE"""),8.0)</f>
        <v>8</v>
      </c>
      <c r="B9" s="1" t="str">
        <f>IFERROR(__xludf.DUMMYFUNCTION("""COMPUTED_VALUE"""),"Mexico")</f>
        <v>Mexico</v>
      </c>
      <c r="C9" s="1" t="str">
        <f>IFERROR(__xludf.DUMMYFUNCTION("""COMPUTED_VALUE"""),"Mexique")</f>
        <v>Mexique</v>
      </c>
      <c r="D9" s="1">
        <f>IFERROR(__xludf.DUMMYFUNCTION("""COMPUTED_VALUE"""),390.0)</f>
        <v>390</v>
      </c>
      <c r="H9" s="1" t="s">
        <v>3361</v>
      </c>
      <c r="I9" s="1" t="s">
        <v>3150</v>
      </c>
      <c r="J9" s="1">
        <v>263.0</v>
      </c>
      <c r="K9" s="1" t="s">
        <v>3356</v>
      </c>
    </row>
    <row r="10">
      <c r="A10" s="1">
        <f>IFERROR(__xludf.DUMMYFUNCTION("""COMPUTED_VALUE"""),9.0)</f>
        <v>9</v>
      </c>
      <c r="B10" s="1" t="str">
        <f>IFERROR(__xludf.DUMMYFUNCTION("""COMPUTED_VALUE"""),"Philadelphie")</f>
        <v>Philadelphie</v>
      </c>
      <c r="C10" s="1" t="str">
        <f>IFERROR(__xludf.DUMMYFUNCTION("""COMPUTED_VALUE"""),"États-Unis")</f>
        <v>États-Unis</v>
      </c>
      <c r="D10" s="1">
        <f>IFERROR(__xludf.DUMMYFUNCTION("""COMPUTED_VALUE"""),388.0)</f>
        <v>388</v>
      </c>
      <c r="H10" s="1" t="s">
        <v>3362</v>
      </c>
      <c r="I10" s="1" t="s">
        <v>21</v>
      </c>
      <c r="J10" s="1">
        <v>142.0</v>
      </c>
      <c r="K10" s="1" t="s">
        <v>3363</v>
      </c>
    </row>
    <row r="11">
      <c r="A11" s="1">
        <f>IFERROR(__xludf.DUMMYFUNCTION("""COMPUTED_VALUE"""),10.0)</f>
        <v>10</v>
      </c>
      <c r="B11" s="1" t="str">
        <f>IFERROR(__xludf.DUMMYFUNCTION("""COMPUTED_VALUE"""),"São Paulo")</f>
        <v>São Paulo</v>
      </c>
      <c r="C11" s="1" t="str">
        <f>IFERROR(__xludf.DUMMYFUNCTION("""COMPUTED_VALUE"""),"Brésil")</f>
        <v>Brésil</v>
      </c>
      <c r="D11" s="1">
        <f>IFERROR(__xludf.DUMMYFUNCTION("""COMPUTED_VALUE"""),388.0)</f>
        <v>388</v>
      </c>
      <c r="H11" s="1" t="s">
        <v>3364</v>
      </c>
      <c r="I11" s="1" t="s">
        <v>46</v>
      </c>
      <c r="J11" s="1">
        <v>163.0</v>
      </c>
      <c r="K11" s="1" t="s">
        <v>3365</v>
      </c>
    </row>
    <row r="12">
      <c r="A12" s="1">
        <f>IFERROR(__xludf.DUMMYFUNCTION("""COMPUTED_VALUE"""),11.0)</f>
        <v>11</v>
      </c>
      <c r="B12" s="1" t="str">
        <f>IFERROR(__xludf.DUMMYFUNCTION("""COMPUTED_VALUE"""),"Washington")</f>
        <v>Washington</v>
      </c>
      <c r="C12" s="1" t="str">
        <f>IFERROR(__xludf.DUMMYFUNCTION("""COMPUTED_VALUE"""),"États-Unis")</f>
        <v>États-Unis</v>
      </c>
      <c r="D12" s="1">
        <f>IFERROR(__xludf.DUMMYFUNCTION("""COMPUTED_VALUE"""),375.0)</f>
        <v>375</v>
      </c>
      <c r="H12" s="1" t="s">
        <v>3366</v>
      </c>
      <c r="I12" s="1" t="s">
        <v>3150</v>
      </c>
      <c r="J12" s="1">
        <v>442.0</v>
      </c>
      <c r="K12" s="1" t="s">
        <v>3367</v>
      </c>
    </row>
    <row r="13">
      <c r="A13" s="1">
        <f>IFERROR(__xludf.DUMMYFUNCTION("""COMPUTED_VALUE"""),12.0)</f>
        <v>12</v>
      </c>
      <c r="B13" s="1" t="str">
        <f>IFERROR(__xludf.DUMMYFUNCTION("""COMPUTED_VALUE"""),"Boston")</f>
        <v>Boston</v>
      </c>
      <c r="C13" s="1" t="str">
        <f>IFERROR(__xludf.DUMMYFUNCTION("""COMPUTED_VALUE"""),"États-Unis")</f>
        <v>États-Unis</v>
      </c>
      <c r="D13" s="1">
        <f>IFERROR(__xludf.DUMMYFUNCTION("""COMPUTED_VALUE"""),363.0)</f>
        <v>363</v>
      </c>
      <c r="H13" s="1" t="s">
        <v>3368</v>
      </c>
      <c r="I13" s="1" t="s">
        <v>21</v>
      </c>
      <c r="J13" s="1">
        <v>430.0</v>
      </c>
      <c r="K13" s="1" t="s">
        <v>3367</v>
      </c>
    </row>
    <row r="14">
      <c r="A14" s="1">
        <f>IFERROR(__xludf.DUMMYFUNCTION("""COMPUTED_VALUE"""),13.0)</f>
        <v>13</v>
      </c>
      <c r="B14" s="1" t="str">
        <f>IFERROR(__xludf.DUMMYFUNCTION("""COMPUTED_VALUE"""),"Buenos Aires")</f>
        <v>Buenos Aires</v>
      </c>
      <c r="C14" s="1" t="str">
        <f>IFERROR(__xludf.DUMMYFUNCTION("""COMPUTED_VALUE"""),"Argentine")</f>
        <v>Argentine</v>
      </c>
      <c r="D14" s="1">
        <f>IFERROR(__xludf.DUMMYFUNCTION("""COMPUTED_VALUE"""),362.0)</f>
        <v>362</v>
      </c>
      <c r="H14" s="1" t="s">
        <v>3369</v>
      </c>
      <c r="I14" s="1" t="s">
        <v>3150</v>
      </c>
      <c r="J14" s="1">
        <v>141.0</v>
      </c>
      <c r="K14" s="1" t="s">
        <v>3370</v>
      </c>
    </row>
    <row r="15">
      <c r="A15" s="1">
        <f>IFERROR(__xludf.DUMMYFUNCTION("""COMPUTED_VALUE"""),14.0)</f>
        <v>14</v>
      </c>
      <c r="B15" s="1" t="str">
        <f>IFERROR(__xludf.DUMMYFUNCTION("""COMPUTED_VALUE"""),"Dallas")</f>
        <v>Dallas</v>
      </c>
      <c r="C15" s="1" t="str">
        <f>IFERROR(__xludf.DUMMYFUNCTION("""COMPUTED_VALUE"""),"États-Unis")</f>
        <v>États-Unis</v>
      </c>
      <c r="D15" s="1">
        <f>IFERROR(__xludf.DUMMYFUNCTION("""COMPUTED_VALUE"""),338.0)</f>
        <v>338</v>
      </c>
      <c r="H15" s="1" t="s">
        <v>3371</v>
      </c>
      <c r="I15" s="1" t="s">
        <v>11</v>
      </c>
      <c r="J15" s="1">
        <v>316.0</v>
      </c>
      <c r="K15" s="1" t="s">
        <v>3372</v>
      </c>
    </row>
    <row r="16">
      <c r="A16" s="1">
        <f>IFERROR(__xludf.DUMMYFUNCTION("""COMPUTED_VALUE"""),15.0)</f>
        <v>15</v>
      </c>
      <c r="B16" s="1" t="str">
        <f>IFERROR(__xludf.DUMMYFUNCTION("""COMPUTED_VALUE"""),"Moscou")</f>
        <v>Moscou</v>
      </c>
      <c r="C16" s="1" t="str">
        <f>IFERROR(__xludf.DUMMYFUNCTION("""COMPUTED_VALUE"""),"Russie")</f>
        <v>Russie</v>
      </c>
      <c r="D16" s="1">
        <f>IFERROR(__xludf.DUMMYFUNCTION("""COMPUTED_VALUE"""),321.0)</f>
        <v>321</v>
      </c>
      <c r="H16" s="1" t="s">
        <v>3373</v>
      </c>
      <c r="I16" s="1" t="s">
        <v>3205</v>
      </c>
      <c r="J16" s="1">
        <v>553.0</v>
      </c>
      <c r="K16" s="1" t="s">
        <v>3374</v>
      </c>
    </row>
    <row r="17">
      <c r="A17" s="1">
        <f>IFERROR(__xludf.DUMMYFUNCTION("""COMPUTED_VALUE"""),16.0)</f>
        <v>16</v>
      </c>
      <c r="B17" s="1" t="str">
        <f>IFERROR(__xludf.DUMMYFUNCTION("""COMPUTED_VALUE"""),"Hong Kong")</f>
        <v>Hong Kong</v>
      </c>
      <c r="C17" s="1" t="str">
        <f>IFERROR(__xludf.DUMMYFUNCTION("""COMPUTED_VALUE"""),"Chine")</f>
        <v>Chine</v>
      </c>
      <c r="D17" s="1">
        <f>IFERROR(__xludf.DUMMYFUNCTION("""COMPUTED_VALUE"""),320.0)</f>
        <v>320</v>
      </c>
      <c r="H17" s="1" t="s">
        <v>3375</v>
      </c>
      <c r="I17" s="1" t="s">
        <v>3150</v>
      </c>
      <c r="J17" s="1">
        <v>138.0</v>
      </c>
      <c r="K17" s="1" t="s">
        <v>3374</v>
      </c>
    </row>
    <row r="18">
      <c r="A18" s="1">
        <f>IFERROR(__xludf.DUMMYFUNCTION("""COMPUTED_VALUE"""),17.0)</f>
        <v>17</v>
      </c>
      <c r="B18" s="1" t="str">
        <f>IFERROR(__xludf.DUMMYFUNCTION("""COMPUTED_VALUE"""),"Atlanta")</f>
        <v>Atlanta</v>
      </c>
      <c r="C18" s="1" t="str">
        <f>IFERROR(__xludf.DUMMYFUNCTION("""COMPUTED_VALUE"""),"États-Unis")</f>
        <v>États-Unis</v>
      </c>
      <c r="D18" s="1">
        <f>IFERROR(__xludf.DUMMYFUNCTION("""COMPUTED_VALUE"""),304.0)</f>
        <v>304</v>
      </c>
      <c r="H18" s="1" t="s">
        <v>3376</v>
      </c>
      <c r="I18" s="1" t="s">
        <v>3150</v>
      </c>
      <c r="J18" s="1">
        <v>1403.0</v>
      </c>
      <c r="K18" s="1" t="s">
        <v>3377</v>
      </c>
    </row>
    <row r="19">
      <c r="A19" s="1">
        <f>IFERROR(__xludf.DUMMYFUNCTION("""COMPUTED_VALUE"""),18.0)</f>
        <v>18</v>
      </c>
      <c r="B19" s="1" t="str">
        <f>IFERROR(__xludf.DUMMYFUNCTION("""COMPUTED_VALUE"""),"San Francisco")</f>
        <v>San Francisco</v>
      </c>
      <c r="C19" s="1" t="str">
        <f>IFERROR(__xludf.DUMMYFUNCTION("""COMPUTED_VALUE"""),"États-Unis")</f>
        <v>États-Unis</v>
      </c>
      <c r="D19" s="1">
        <f>IFERROR(__xludf.DUMMYFUNCTION("""COMPUTED_VALUE"""),301.0)</f>
        <v>301</v>
      </c>
      <c r="H19" s="1" t="s">
        <v>3378</v>
      </c>
      <c r="I19" s="1" t="s">
        <v>3150</v>
      </c>
      <c r="J19" s="1">
        <v>860.0</v>
      </c>
      <c r="K19" s="1" t="s">
        <v>3377</v>
      </c>
    </row>
    <row r="20">
      <c r="A20" s="1">
        <f>IFERROR(__xludf.DUMMYFUNCTION("""COMPUTED_VALUE"""),19.0)</f>
        <v>19</v>
      </c>
      <c r="B20" s="1" t="str">
        <f>IFERROR(__xludf.DUMMYFUNCTION("""COMPUTED_VALUE"""),"Houston")</f>
        <v>Houston</v>
      </c>
      <c r="C20" s="1" t="str">
        <f>IFERROR(__xludf.DUMMYFUNCTION("""COMPUTED_VALUE"""),"États-Unis")</f>
        <v>États-Unis</v>
      </c>
      <c r="D20" s="1">
        <f>IFERROR(__xludf.DUMMYFUNCTION("""COMPUTED_VALUE"""),297.0)</f>
        <v>297</v>
      </c>
      <c r="H20" s="1" t="s">
        <v>3379</v>
      </c>
      <c r="I20" s="1" t="s">
        <v>3150</v>
      </c>
      <c r="J20" s="1">
        <v>267.0</v>
      </c>
      <c r="K20" s="1" t="s">
        <v>3377</v>
      </c>
    </row>
    <row r="21">
      <c r="A21" s="1">
        <f>IFERROR(__xludf.DUMMYFUNCTION("""COMPUTED_VALUE"""),20.0)</f>
        <v>20</v>
      </c>
      <c r="B21" s="1" t="str">
        <f>IFERROR(__xludf.DUMMYFUNCTION("""COMPUTED_VALUE"""),"Miami")</f>
        <v>Miami</v>
      </c>
      <c r="C21" s="1" t="str">
        <f>IFERROR(__xludf.DUMMYFUNCTION("""COMPUTED_VALUE"""),"États-Unis")</f>
        <v>États-Unis</v>
      </c>
      <c r="D21" s="1">
        <f>IFERROR(__xludf.DUMMYFUNCTION("""COMPUTED_VALUE"""),292.0)</f>
        <v>292</v>
      </c>
      <c r="H21" s="1" t="s">
        <v>3380</v>
      </c>
      <c r="I21" s="1" t="s">
        <v>3150</v>
      </c>
      <c r="J21" s="1">
        <v>160.0</v>
      </c>
      <c r="K21" s="1" t="s">
        <v>3381</v>
      </c>
    </row>
    <row r="22">
      <c r="A22" s="1">
        <f>IFERROR(__xludf.DUMMYFUNCTION("""COMPUTED_VALUE"""),21.0)</f>
        <v>21</v>
      </c>
      <c r="B22" s="1" t="str">
        <f>IFERROR(__xludf.DUMMYFUNCTION("""COMPUTED_VALUE"""),"Séoul")</f>
        <v>Séoul</v>
      </c>
      <c r="C22" s="1" t="str">
        <f>IFERROR(__xludf.DUMMYFUNCTION("""COMPUTED_VALUE"""),"Corée du Sud")</f>
        <v>Corée du Sud</v>
      </c>
      <c r="D22" s="1">
        <f>IFERROR(__xludf.DUMMYFUNCTION("""COMPUTED_VALUE"""),291.0)</f>
        <v>291</v>
      </c>
      <c r="H22" s="1" t="s">
        <v>3382</v>
      </c>
      <c r="I22" s="1" t="s">
        <v>3150</v>
      </c>
      <c r="J22" s="1">
        <v>155.0</v>
      </c>
      <c r="K22" s="1" t="s">
        <v>3381</v>
      </c>
    </row>
    <row r="23">
      <c r="A23" s="1">
        <f>IFERROR(__xludf.DUMMYFUNCTION("""COMPUTED_VALUE"""),22.0)</f>
        <v>22</v>
      </c>
      <c r="B23" s="1" t="str">
        <f>IFERROR(__xludf.DUMMYFUNCTION("""COMPUTED_VALUE"""),"Toronto")</f>
        <v>Toronto</v>
      </c>
      <c r="C23" s="1" t="str">
        <f>IFERROR(__xludf.DUMMYFUNCTION("""COMPUTED_VALUE"""),"Canada")</f>
        <v>Canada</v>
      </c>
      <c r="D23" s="1">
        <f>IFERROR(__xludf.DUMMYFUNCTION("""COMPUTED_VALUE"""),253.0)</f>
        <v>253</v>
      </c>
      <c r="H23" s="1" t="s">
        <v>3383</v>
      </c>
      <c r="I23" s="1" t="s">
        <v>33</v>
      </c>
      <c r="J23" s="1">
        <v>715.0</v>
      </c>
      <c r="K23" s="1" t="s">
        <v>3384</v>
      </c>
    </row>
    <row r="24">
      <c r="A24" s="1">
        <f>IFERROR(__xludf.DUMMYFUNCTION("""COMPUTED_VALUE"""),23.0)</f>
        <v>23</v>
      </c>
      <c r="B24" s="1" t="str">
        <f>IFERROR(__xludf.DUMMYFUNCTION("""COMPUTED_VALUE"""),"Détroit")</f>
        <v>Détroit</v>
      </c>
      <c r="C24" s="1" t="str">
        <f>IFERROR(__xludf.DUMMYFUNCTION("""COMPUTED_VALUE"""),"États-Unis")</f>
        <v>États-Unis</v>
      </c>
      <c r="D24" s="1">
        <f>IFERROR(__xludf.DUMMYFUNCTION("""COMPUTED_VALUE"""),253.0)</f>
        <v>253</v>
      </c>
      <c r="H24" s="1" t="s">
        <v>3385</v>
      </c>
      <c r="I24" s="1" t="s">
        <v>50</v>
      </c>
      <c r="J24" s="1">
        <v>321.0</v>
      </c>
      <c r="K24" s="1" t="s">
        <v>3384</v>
      </c>
    </row>
    <row r="25">
      <c r="A25" s="1">
        <f>IFERROR(__xludf.DUMMYFUNCTION("""COMPUTED_VALUE"""),24.0)</f>
        <v>24</v>
      </c>
      <c r="B25" s="1" t="str">
        <f>IFERROR(__xludf.DUMMYFUNCTION("""COMPUTED_VALUE"""),"Seattle")</f>
        <v>Seattle</v>
      </c>
      <c r="C25" s="1" t="str">
        <f>IFERROR(__xludf.DUMMYFUNCTION("""COMPUTED_VALUE"""),"États-Unis")</f>
        <v>États-Unis</v>
      </c>
      <c r="D25" s="1">
        <f>IFERROR(__xludf.DUMMYFUNCTION("""COMPUTED_VALUE"""),235.0)</f>
        <v>235</v>
      </c>
      <c r="H25" s="1" t="s">
        <v>3386</v>
      </c>
      <c r="I25" s="1" t="s">
        <v>3387</v>
      </c>
      <c r="J25" s="1">
        <v>178.0</v>
      </c>
      <c r="K25" s="1" t="s">
        <v>3384</v>
      </c>
    </row>
    <row r="26">
      <c r="A26" s="1">
        <f>IFERROR(__xludf.DUMMYFUNCTION("""COMPUTED_VALUE"""),25.0)</f>
        <v>25</v>
      </c>
      <c r="B26" s="1" t="str">
        <f>IFERROR(__xludf.DUMMYFUNCTION("""COMPUTED_VALUE"""),"Shanghai")</f>
        <v>Shanghai</v>
      </c>
      <c r="C26" s="1" t="str">
        <f>IFERROR(__xludf.DUMMYFUNCTION("""COMPUTED_VALUE"""),"Chine")</f>
        <v>Chine</v>
      </c>
      <c r="D26" s="1">
        <f>IFERROR(__xludf.DUMMYFUNCTION("""COMPUTED_VALUE"""),233.0)</f>
        <v>233</v>
      </c>
      <c r="H26" s="1" t="s">
        <v>3388</v>
      </c>
      <c r="I26" s="1" t="s">
        <v>84</v>
      </c>
      <c r="J26" s="1">
        <v>254.0</v>
      </c>
      <c r="K26" s="1" t="s">
        <v>3389</v>
      </c>
    </row>
    <row r="27">
      <c r="A27" s="1">
        <f>IFERROR(__xludf.DUMMYFUNCTION("""COMPUTED_VALUE"""),26.0)</f>
        <v>26</v>
      </c>
      <c r="B27" s="1" t="str">
        <f>IFERROR(__xludf.DUMMYFUNCTION("""COMPUTED_VALUE"""),"Madrid")</f>
        <v>Madrid</v>
      </c>
      <c r="C27" s="1" t="str">
        <f>IFERROR(__xludf.DUMMYFUNCTION("""COMPUTED_VALUE"""),"Espagne")</f>
        <v>Espagne</v>
      </c>
      <c r="D27" s="1">
        <f>IFERROR(__xludf.DUMMYFUNCTION("""COMPUTED_VALUE"""),230.0)</f>
        <v>230</v>
      </c>
      <c r="H27" s="1" t="s">
        <v>3390</v>
      </c>
      <c r="I27" s="1" t="s">
        <v>3150</v>
      </c>
      <c r="J27" s="1">
        <v>360.0</v>
      </c>
      <c r="K27" s="1" t="s">
        <v>3391</v>
      </c>
    </row>
    <row r="28">
      <c r="A28" s="1">
        <f>IFERROR(__xludf.DUMMYFUNCTION("""COMPUTED_VALUE"""),27.0)</f>
        <v>27</v>
      </c>
      <c r="B28" s="1" t="str">
        <f>IFERROR(__xludf.DUMMYFUNCTION("""COMPUTED_VALUE"""),"Singapour")</f>
        <v>Singapour</v>
      </c>
      <c r="C28" s="1" t="str">
        <f>IFERROR(__xludf.DUMMYFUNCTION("""COMPUTED_VALUE"""),"Singapour")</f>
        <v>Singapour</v>
      </c>
      <c r="D28" s="1">
        <f>IFERROR(__xludf.DUMMYFUNCTION("""COMPUTED_VALUE"""),215.0)</f>
        <v>215</v>
      </c>
      <c r="H28" s="1" t="s">
        <v>3392</v>
      </c>
      <c r="I28" s="1" t="s">
        <v>3393</v>
      </c>
      <c r="J28" s="1">
        <v>671.0</v>
      </c>
      <c r="K28" s="1" t="s">
        <v>3394</v>
      </c>
    </row>
    <row r="29">
      <c r="A29" s="1">
        <f>IFERROR(__xludf.DUMMYFUNCTION("""COMPUTED_VALUE"""),28.0)</f>
        <v>28</v>
      </c>
      <c r="B29" s="1" t="str">
        <f>IFERROR(__xludf.DUMMYFUNCTION("""COMPUTED_VALUE"""),"Sydney")</f>
        <v>Sydney</v>
      </c>
      <c r="C29" s="1" t="str">
        <f>IFERROR(__xludf.DUMMYFUNCTION("""COMPUTED_VALUE"""),"Australie")</f>
        <v>Australie</v>
      </c>
      <c r="D29" s="1">
        <f>IFERROR(__xludf.DUMMYFUNCTION("""COMPUTED_VALUE"""),213.0)</f>
        <v>213</v>
      </c>
      <c r="H29" s="1" t="s">
        <v>3395</v>
      </c>
      <c r="I29" s="1" t="s">
        <v>29</v>
      </c>
      <c r="J29" s="1">
        <v>184.0</v>
      </c>
      <c r="K29" s="1" t="s">
        <v>3394</v>
      </c>
    </row>
    <row r="30">
      <c r="A30" s="1">
        <f>IFERROR(__xludf.DUMMYFUNCTION("""COMPUTED_VALUE"""),29.0)</f>
        <v>29</v>
      </c>
      <c r="B30" s="1" t="str">
        <f>IFERROR(__xludf.DUMMYFUNCTION("""COMPUTED_VALUE"""),"Bombay")</f>
        <v>Bombay</v>
      </c>
      <c r="C30" s="1" t="str">
        <f>IFERROR(__xludf.DUMMYFUNCTION("""COMPUTED_VALUE"""),"Inde")</f>
        <v>Inde</v>
      </c>
      <c r="D30" s="1">
        <f>IFERROR(__xludf.DUMMYFUNCTION("""COMPUTED_VALUE"""),209.0)</f>
        <v>209</v>
      </c>
      <c r="H30" s="1" t="s">
        <v>3396</v>
      </c>
      <c r="I30" s="1" t="s">
        <v>3396</v>
      </c>
      <c r="J30" s="1">
        <v>166.0</v>
      </c>
      <c r="K30" s="1" t="s">
        <v>3394</v>
      </c>
    </row>
    <row r="31">
      <c r="A31" s="1">
        <f>IFERROR(__xludf.DUMMYFUNCTION("""COMPUTED_VALUE"""),30.0)</f>
        <v>30</v>
      </c>
      <c r="B31" s="1" t="str">
        <f>IFERROR(__xludf.DUMMYFUNCTION("""COMPUTED_VALUE"""),"Rio de Janeiro")</f>
        <v>Rio de Janeiro</v>
      </c>
      <c r="C31" s="1" t="str">
        <f>IFERROR(__xludf.DUMMYFUNCTION("""COMPUTED_VALUE"""),"Brésil")</f>
        <v>Brésil</v>
      </c>
      <c r="D31" s="1">
        <f>IFERROR(__xludf.DUMMYFUNCTION("""COMPUTED_VALUE"""),201.0)</f>
        <v>201</v>
      </c>
      <c r="H31" s="1" t="s">
        <v>3397</v>
      </c>
      <c r="I31" s="1" t="s">
        <v>3150</v>
      </c>
      <c r="J31" s="1">
        <v>159.0</v>
      </c>
      <c r="K31" s="1" t="s">
        <v>3394</v>
      </c>
    </row>
    <row r="32">
      <c r="A32" s="1">
        <f>IFERROR(__xludf.DUMMYFUNCTION("""COMPUTED_VALUE"""),31.0)</f>
        <v>31</v>
      </c>
      <c r="B32" s="1" t="str">
        <f>IFERROR(__xludf.DUMMYFUNCTION("""COMPUTED_VALUE"""),"Phoenix")</f>
        <v>Phoenix</v>
      </c>
      <c r="C32" s="1" t="str">
        <f>IFERROR(__xludf.DUMMYFUNCTION("""COMPUTED_VALUE"""),"États-Unis")</f>
        <v>États-Unis</v>
      </c>
      <c r="D32" s="1">
        <f>IFERROR(__xludf.DUMMYFUNCTION("""COMPUTED_VALUE"""),200.0)</f>
        <v>200</v>
      </c>
      <c r="H32" s="1" t="s">
        <v>3398</v>
      </c>
      <c r="I32" s="1" t="s">
        <v>3393</v>
      </c>
      <c r="J32" s="1">
        <v>1617.0</v>
      </c>
      <c r="K32" s="1" t="s">
        <v>3399</v>
      </c>
    </row>
    <row r="33">
      <c r="A33" s="1">
        <f>IFERROR(__xludf.DUMMYFUNCTION("""COMPUTED_VALUE"""),32.0)</f>
        <v>32</v>
      </c>
      <c r="B33" s="1" t="str">
        <f>IFERROR(__xludf.DUMMYFUNCTION("""COMPUTED_VALUE"""),"Minneapolis")</f>
        <v>Minneapolis</v>
      </c>
      <c r="C33" s="1" t="str">
        <f>IFERROR(__xludf.DUMMYFUNCTION("""COMPUTED_VALUE"""),"États-Unis")</f>
        <v>États-Unis</v>
      </c>
      <c r="D33" s="1">
        <f>IFERROR(__xludf.DUMMYFUNCTION("""COMPUTED_VALUE"""),194.0)</f>
        <v>194</v>
      </c>
      <c r="H33" s="1" t="s">
        <v>3400</v>
      </c>
      <c r="I33" s="1" t="s">
        <v>3150</v>
      </c>
      <c r="J33" s="1">
        <v>563.0</v>
      </c>
      <c r="K33" s="1" t="s">
        <v>3399</v>
      </c>
    </row>
    <row r="34">
      <c r="A34" s="1">
        <f>IFERROR(__xludf.DUMMYFUNCTION("""COMPUTED_VALUE"""),33.0)</f>
        <v>33</v>
      </c>
      <c r="B34" s="1" t="str">
        <f>IFERROR(__xludf.DUMMYFUNCTION("""COMPUTED_VALUE"""),"San Diego")</f>
        <v>San Diego</v>
      </c>
      <c r="C34" s="1" t="str">
        <f>IFERROR(__xludf.DUMMYFUNCTION("""COMPUTED_VALUE"""),"États-Unis")</f>
        <v>États-Unis</v>
      </c>
      <c r="D34" s="1">
        <f>IFERROR(__xludf.DUMMYFUNCTION("""COMPUTED_VALUE"""),191.0)</f>
        <v>191</v>
      </c>
      <c r="H34" s="1" t="s">
        <v>3401</v>
      </c>
      <c r="I34" s="1" t="s">
        <v>72</v>
      </c>
      <c r="J34" s="1">
        <v>230.0</v>
      </c>
      <c r="K34" s="1" t="s">
        <v>3399</v>
      </c>
    </row>
    <row r="35">
      <c r="A35" s="1">
        <f>IFERROR(__xludf.DUMMYFUNCTION("""COMPUTED_VALUE"""),34.0)</f>
        <v>34</v>
      </c>
      <c r="B35" s="1" t="str">
        <f>IFERROR(__xludf.DUMMYFUNCTION("""COMPUTED_VALUE"""),"Istanbul")</f>
        <v>Istanbul</v>
      </c>
      <c r="C35" s="1" t="str">
        <f>IFERROR(__xludf.DUMMYFUNCTION("""COMPUTED_VALUE"""),"Turquie")</f>
        <v>Turquie</v>
      </c>
      <c r="D35" s="1">
        <f>IFERROR(__xludf.DUMMYFUNCTION("""COMPUTED_VALUE"""),182.0)</f>
        <v>182</v>
      </c>
      <c r="H35" s="1" t="s">
        <v>3402</v>
      </c>
      <c r="I35" s="1" t="s">
        <v>3150</v>
      </c>
      <c r="J35" s="1">
        <v>207.0</v>
      </c>
      <c r="K35" s="1" t="s">
        <v>3399</v>
      </c>
    </row>
    <row r="36">
      <c r="A36" s="1">
        <f>IFERROR(__xludf.DUMMYFUNCTION("""COMPUTED_VALUE"""),35.0)</f>
        <v>35</v>
      </c>
      <c r="B36" s="1" t="str">
        <f>IFERROR(__xludf.DUMMYFUNCTION("""COMPUTED_VALUE"""),"Barcelone")</f>
        <v>Barcelone</v>
      </c>
      <c r="C36" s="1" t="str">
        <f>IFERROR(__xludf.DUMMYFUNCTION("""COMPUTED_VALUE"""),"Espagne")</f>
        <v>Espagne</v>
      </c>
      <c r="D36" s="1">
        <f>IFERROR(__xludf.DUMMYFUNCTION("""COMPUTED_VALUE"""),177.0)</f>
        <v>177</v>
      </c>
      <c r="H36" s="1" t="s">
        <v>3403</v>
      </c>
      <c r="I36" s="1" t="s">
        <v>3404</v>
      </c>
      <c r="J36" s="1">
        <v>156.0</v>
      </c>
      <c r="K36" s="1" t="s">
        <v>3399</v>
      </c>
    </row>
    <row r="37">
      <c r="A37" s="1">
        <f>IFERROR(__xludf.DUMMYFUNCTION("""COMPUTED_VALUE"""),36.0)</f>
        <v>36</v>
      </c>
      <c r="B37" s="1" t="str">
        <f>IFERROR(__xludf.DUMMYFUNCTION("""COMPUTED_VALUE"""),"Melbourne")</f>
        <v>Melbourne</v>
      </c>
      <c r="C37" s="1" t="str">
        <f>IFERROR(__xludf.DUMMYFUNCTION("""COMPUTED_VALUE"""),"Australie")</f>
        <v>Australie</v>
      </c>
      <c r="D37" s="1">
        <f>IFERROR(__xludf.DUMMYFUNCTION("""COMPUTED_VALUE"""),172.0)</f>
        <v>172</v>
      </c>
      <c r="H37" s="1" t="s">
        <v>3405</v>
      </c>
      <c r="I37" s="1" t="s">
        <v>3150</v>
      </c>
      <c r="J37" s="1">
        <v>413.0</v>
      </c>
      <c r="K37" s="1" t="s">
        <v>3406</v>
      </c>
    </row>
    <row r="38">
      <c r="A38" s="1">
        <f>IFERROR(__xludf.DUMMYFUNCTION("""COMPUTED_VALUE"""),37.0)</f>
        <v>37</v>
      </c>
      <c r="B38" s="1" t="str">
        <f>IFERROR(__xludf.DUMMYFUNCTION("""COMPUTED_VALUE"""),"Delhi")</f>
        <v>Delhi</v>
      </c>
      <c r="C38" s="1" t="str">
        <f>IFERROR(__xludf.DUMMYFUNCTION("""COMPUTED_VALUE"""),"Inde")</f>
        <v>Inde</v>
      </c>
      <c r="D38" s="1">
        <f>IFERROR(__xludf.DUMMYFUNCTION("""COMPUTED_VALUE"""),167.0)</f>
        <v>167</v>
      </c>
      <c r="H38" s="1" t="s">
        <v>3407</v>
      </c>
      <c r="I38" s="1" t="s">
        <v>3150</v>
      </c>
      <c r="J38" s="1">
        <v>208.0</v>
      </c>
      <c r="K38" s="1" t="s">
        <v>3406</v>
      </c>
    </row>
    <row r="39">
      <c r="A39" s="1">
        <f>IFERROR(__xludf.DUMMYFUNCTION("""COMPUTED_VALUE"""),38.0)</f>
        <v>38</v>
      </c>
      <c r="B39" s="1" t="str">
        <f>IFERROR(__xludf.DUMMYFUNCTION("""COMPUTED_VALUE"""),"Pékin")</f>
        <v>Pékin</v>
      </c>
      <c r="C39" s="1" t="str">
        <f>IFERROR(__xludf.DUMMYFUNCTION("""COMPUTED_VALUE"""),"Chine")</f>
        <v>Chine</v>
      </c>
      <c r="D39" s="1">
        <f>IFERROR(__xludf.DUMMYFUNCTION("""COMPUTED_VALUE"""),166.0)</f>
        <v>166</v>
      </c>
      <c r="H39" s="1" t="s">
        <v>3408</v>
      </c>
      <c r="I39" s="1" t="s">
        <v>3150</v>
      </c>
      <c r="J39" s="1">
        <v>170.0</v>
      </c>
      <c r="K39" s="1" t="s">
        <v>3406</v>
      </c>
    </row>
    <row r="40">
      <c r="A40" s="1">
        <f>IFERROR(__xludf.DUMMYFUNCTION("""COMPUTED_VALUE"""),39.0)</f>
        <v>39</v>
      </c>
      <c r="B40" s="1" t="str">
        <f>IFERROR(__xludf.DUMMYFUNCTION("""COMPUTED_VALUE"""),"Denver")</f>
        <v>Denver</v>
      </c>
      <c r="C40" s="1" t="str">
        <f>IFERROR(__xludf.DUMMYFUNCTION("""COMPUTED_VALUE"""),"États-Unis")</f>
        <v>États-Unis</v>
      </c>
      <c r="D40" s="1">
        <f>IFERROR(__xludf.DUMMYFUNCTION("""COMPUTED_VALUE"""),165.0)</f>
        <v>165</v>
      </c>
      <c r="H40" s="1" t="s">
        <v>3409</v>
      </c>
      <c r="I40" s="1" t="s">
        <v>72</v>
      </c>
      <c r="J40" s="1">
        <v>161.0</v>
      </c>
      <c r="K40" s="1" t="s">
        <v>3406</v>
      </c>
    </row>
    <row r="41">
      <c r="A41" s="1">
        <f>IFERROR(__xludf.DUMMYFUNCTION("""COMPUTED_VALUE"""),40.0)</f>
        <v>40</v>
      </c>
      <c r="B41" s="1" t="str">
        <f>IFERROR(__xludf.DUMMYFUNCTION("""COMPUTED_VALUE"""),"Metro Manila")</f>
        <v>Metro Manila</v>
      </c>
      <c r="C41" s="1" t="str">
        <f>IFERROR(__xludf.DUMMYFUNCTION("""COMPUTED_VALUE"""),"Philippines")</f>
        <v>Philippines</v>
      </c>
      <c r="D41" s="1">
        <f>IFERROR(__xludf.DUMMYFUNCTION("""COMPUTED_VALUE"""),149.0)</f>
        <v>149</v>
      </c>
      <c r="H41" s="1" t="s">
        <v>3410</v>
      </c>
      <c r="I41" s="1" t="s">
        <v>42</v>
      </c>
      <c r="J41" s="1">
        <v>131.0</v>
      </c>
      <c r="K41" s="1" t="s">
        <v>3406</v>
      </c>
    </row>
    <row r="42">
      <c r="A42" s="1">
        <f>IFERROR(__xludf.DUMMYFUNCTION("""COMPUTED_VALUE"""),41.0)</f>
        <v>41</v>
      </c>
      <c r="B42" s="1" t="str">
        <f>IFERROR(__xludf.DUMMYFUNCTION("""COMPUTED_VALUE"""),"Montréal")</f>
        <v>Montréal</v>
      </c>
      <c r="C42" s="1" t="str">
        <f>IFERROR(__xludf.DUMMYFUNCTION("""COMPUTED_VALUE"""),"Canada")</f>
        <v>Canada</v>
      </c>
      <c r="D42" s="1">
        <f>IFERROR(__xludf.DUMMYFUNCTION("""COMPUTED_VALUE"""),148.0)</f>
        <v>148</v>
      </c>
      <c r="H42" s="1" t="s">
        <v>3411</v>
      </c>
      <c r="I42" s="1" t="s">
        <v>72</v>
      </c>
      <c r="J42" s="1">
        <v>220.0</v>
      </c>
      <c r="K42" s="1" t="s">
        <v>3412</v>
      </c>
    </row>
    <row r="43">
      <c r="A43" s="1">
        <f>IFERROR(__xludf.DUMMYFUNCTION("""COMPUTED_VALUE"""),42.0)</f>
        <v>42</v>
      </c>
      <c r="B43" s="1" t="str">
        <f>IFERROR(__xludf.DUMMYFUNCTION("""COMPUTED_VALUE"""),"Le Caire")</f>
        <v>Le Caire</v>
      </c>
      <c r="C43" s="1" t="str">
        <f>IFERROR(__xludf.DUMMYFUNCTION("""COMPUTED_VALUE"""),"Égypte")</f>
        <v>Égypte</v>
      </c>
      <c r="D43" s="1">
        <f>IFERROR(__xludf.DUMMYFUNCTION("""COMPUTED_VALUE"""),145.0)</f>
        <v>145</v>
      </c>
      <c r="H43" s="1" t="s">
        <v>3413</v>
      </c>
      <c r="I43" s="1" t="s">
        <v>3393</v>
      </c>
      <c r="J43" s="1">
        <v>193.0</v>
      </c>
      <c r="K43" s="1" t="s">
        <v>3412</v>
      </c>
    </row>
    <row r="44">
      <c r="A44" s="1">
        <f>IFERROR(__xludf.DUMMYFUNCTION("""COMPUTED_VALUE"""),43.0)</f>
        <v>43</v>
      </c>
      <c r="B44" s="1" t="str">
        <f>IFERROR(__xludf.DUMMYFUNCTION("""COMPUTED_VALUE"""),"Rome")</f>
        <v>Rome</v>
      </c>
      <c r="C44" s="1" t="str">
        <f>IFERROR(__xludf.DUMMYFUNCTION("""COMPUTED_VALUE"""),"Italie")</f>
        <v>Italie</v>
      </c>
      <c r="D44" s="1">
        <f>IFERROR(__xludf.DUMMYFUNCTION("""COMPUTED_VALUE"""),144.0)</f>
        <v>144</v>
      </c>
      <c r="H44" s="1" t="s">
        <v>3414</v>
      </c>
      <c r="I44" s="1" t="s">
        <v>25</v>
      </c>
      <c r="J44" s="1">
        <v>143.0</v>
      </c>
      <c r="K44" s="1" t="s">
        <v>3412</v>
      </c>
    </row>
    <row r="45">
      <c r="A45" s="1">
        <f>IFERROR(__xludf.DUMMYFUNCTION("""COMPUTED_VALUE"""),44.0)</f>
        <v>44</v>
      </c>
      <c r="B45" s="1" t="str">
        <f>IFERROR(__xludf.DUMMYFUNCTION("""COMPUTED_VALUE"""),"Guangzhou")</f>
        <v>Guangzhou</v>
      </c>
      <c r="C45" s="1" t="str">
        <f>IFERROR(__xludf.DUMMYFUNCTION("""COMPUTED_VALUE"""),"Chine")</f>
        <v>Chine</v>
      </c>
      <c r="D45" s="1">
        <f>IFERROR(__xludf.DUMMYFUNCTION("""COMPUTED_VALUE"""),143.0)</f>
        <v>143</v>
      </c>
      <c r="H45" s="1" t="s">
        <v>3415</v>
      </c>
      <c r="I45" s="1" t="s">
        <v>72</v>
      </c>
      <c r="J45" s="1">
        <v>485.0</v>
      </c>
      <c r="K45" s="1" t="s">
        <v>3416</v>
      </c>
    </row>
    <row r="46">
      <c r="A46" s="1">
        <f>IFERROR(__xludf.DUMMYFUNCTION("""COMPUTED_VALUE"""),45.0)</f>
        <v>45</v>
      </c>
      <c r="B46" s="1" t="str">
        <f>IFERROR(__xludf.DUMMYFUNCTION("""COMPUTED_VALUE"""),"Baltimore")</f>
        <v>Baltimore</v>
      </c>
      <c r="C46" s="1" t="str">
        <f>IFERROR(__xludf.DUMMYFUNCTION("""COMPUTED_VALUE"""),"États-Unis")</f>
        <v>États-Unis</v>
      </c>
      <c r="D46" s="1">
        <f>IFERROR(__xludf.DUMMYFUNCTION("""COMPUTED_VALUE"""),137.0)</f>
        <v>137</v>
      </c>
      <c r="H46" s="1" t="s">
        <v>3417</v>
      </c>
      <c r="I46" s="1" t="s">
        <v>3393</v>
      </c>
      <c r="J46" s="1">
        <v>364.0</v>
      </c>
      <c r="K46" s="1" t="s">
        <v>3416</v>
      </c>
    </row>
    <row r="47">
      <c r="A47" s="1">
        <f>IFERROR(__xludf.DUMMYFUNCTION("""COMPUTED_VALUE"""),46.0)</f>
        <v>46</v>
      </c>
      <c r="B47" s="1" t="str">
        <f>IFERROR(__xludf.DUMMYFUNCTION("""COMPUTED_VALUE"""),"Milan")</f>
        <v>Milan</v>
      </c>
      <c r="C47" s="1" t="str">
        <f>IFERROR(__xludf.DUMMYFUNCTION("""COMPUTED_VALUE"""),"Italie")</f>
        <v>Italie</v>
      </c>
      <c r="D47" s="1">
        <f>IFERROR(__xludf.DUMMYFUNCTION("""COMPUTED_VALUE"""),136.0)</f>
        <v>136</v>
      </c>
      <c r="H47" s="1" t="s">
        <v>3418</v>
      </c>
      <c r="I47" s="1" t="s">
        <v>3150</v>
      </c>
      <c r="J47" s="1">
        <v>174.0</v>
      </c>
      <c r="K47" s="1" t="s">
        <v>3416</v>
      </c>
    </row>
    <row r="48">
      <c r="A48" s="1">
        <f>IFERROR(__xludf.DUMMYFUNCTION("""COMPUTED_VALUE"""),47.0)</f>
        <v>47</v>
      </c>
      <c r="B48" s="1" t="str">
        <f>IFERROR(__xludf.DUMMYFUNCTION("""COMPUTED_VALUE"""),"Téhéran")</f>
        <v>Téhéran</v>
      </c>
      <c r="C48" s="1" t="str">
        <f>IFERROR(__xludf.DUMMYFUNCTION("""COMPUTED_VALUE"""),"Iran")</f>
        <v>Iran</v>
      </c>
      <c r="D48" s="1">
        <f>IFERROR(__xludf.DUMMYFUNCTION("""COMPUTED_VALUE"""),127.0)</f>
        <v>127</v>
      </c>
      <c r="H48" s="1" t="s">
        <v>3419</v>
      </c>
      <c r="I48" s="1" t="s">
        <v>3420</v>
      </c>
      <c r="J48" s="1">
        <v>178.0</v>
      </c>
      <c r="K48" s="1" t="s">
        <v>3421</v>
      </c>
    </row>
    <row r="49">
      <c r="A49" s="1">
        <f>IFERROR(__xludf.DUMMYFUNCTION("""COMPUTED_VALUE"""),48.0)</f>
        <v>48</v>
      </c>
      <c r="B49" s="1" t="str">
        <f>IFERROR(__xludf.DUMMYFUNCTION("""COMPUTED_VALUE"""),"Saint-Louis")</f>
        <v>Saint-Louis</v>
      </c>
      <c r="C49" s="1" t="str">
        <f>IFERROR(__xludf.DUMMYFUNCTION("""COMPUTED_VALUE"""),"États-Unis")</f>
        <v>États-Unis</v>
      </c>
      <c r="D49" s="1">
        <f>IFERROR(__xludf.DUMMYFUNCTION("""COMPUTED_VALUE"""),126.0)</f>
        <v>126</v>
      </c>
      <c r="H49" s="1" t="s">
        <v>3422</v>
      </c>
      <c r="I49" s="1" t="s">
        <v>72</v>
      </c>
      <c r="J49" s="1">
        <v>158.0</v>
      </c>
      <c r="K49" s="1" t="s">
        <v>3421</v>
      </c>
    </row>
    <row r="50">
      <c r="A50" s="1">
        <f>IFERROR(__xludf.DUMMYFUNCTION("""COMPUTED_VALUE"""),49.0)</f>
        <v>49</v>
      </c>
      <c r="B50" s="1" t="str">
        <f>IFERROR(__xludf.DUMMYFUNCTION("""COMPUTED_VALUE"""),"Tampa")</f>
        <v>Tampa</v>
      </c>
      <c r="C50" s="1" t="str">
        <f>IFERROR(__xludf.DUMMYFUNCTION("""COMPUTED_VALUE"""),"États-Unis")</f>
        <v>États-Unis</v>
      </c>
      <c r="D50" s="1">
        <f>IFERROR(__xludf.DUMMYFUNCTION("""COMPUTED_VALUE"""),123.0)</f>
        <v>123</v>
      </c>
      <c r="H50" s="1" t="s">
        <v>3423</v>
      </c>
      <c r="I50" s="1" t="s">
        <v>72</v>
      </c>
      <c r="J50" s="1">
        <v>158.0</v>
      </c>
      <c r="K50" s="1" t="s">
        <v>3421</v>
      </c>
    </row>
    <row r="51">
      <c r="A51" s="1">
        <f>IFERROR(__xludf.DUMMYFUNCTION("""COMPUTED_VALUE"""),50.0)</f>
        <v>50</v>
      </c>
      <c r="B51" s="1" t="str">
        <f>IFERROR(__xludf.DUMMYFUNCTION("""COMPUTED_VALUE"""),"Vienne")</f>
        <v>Vienne</v>
      </c>
      <c r="C51" s="1" t="str">
        <f>IFERROR(__xludf.DUMMYFUNCTION("""COMPUTED_VALUE"""),"Autriche")</f>
        <v>Autriche</v>
      </c>
      <c r="D51" s="1">
        <f>IFERROR(__xludf.DUMMYFUNCTION("""COMPUTED_VALUE"""),122.0)</f>
        <v>122</v>
      </c>
      <c r="H51" s="1" t="s">
        <v>3424</v>
      </c>
      <c r="I51" s="1" t="s">
        <v>3425</v>
      </c>
      <c r="J51" s="1">
        <v>416.0</v>
      </c>
      <c r="K51" s="1" t="s">
        <v>3426</v>
      </c>
    </row>
    <row r="52">
      <c r="A52" s="1">
        <f>IFERROR(__xludf.DUMMYFUNCTION("""COMPUTED_VALUE"""),51.0)</f>
        <v>51</v>
      </c>
      <c r="B52" s="1" t="str">
        <f>IFERROR(__xludf.DUMMYFUNCTION("""COMPUTED_VALUE"""),"Tel Aviv")</f>
        <v>Tel Aviv</v>
      </c>
      <c r="C52" s="1" t="str">
        <f>IFERROR(__xludf.DUMMYFUNCTION("""COMPUTED_VALUE"""),"Israël")</f>
        <v>Israël</v>
      </c>
      <c r="D52" s="1">
        <f>IFERROR(__xludf.DUMMYFUNCTION("""COMPUTED_VALUE"""),122.0)</f>
        <v>122</v>
      </c>
      <c r="H52" s="1" t="s">
        <v>3427</v>
      </c>
      <c r="I52" s="1" t="s">
        <v>37</v>
      </c>
      <c r="J52" s="1">
        <v>171.0</v>
      </c>
      <c r="K52" s="1" t="s">
        <v>3426</v>
      </c>
    </row>
    <row r="53">
      <c r="A53" s="1">
        <f>IFERROR(__xludf.DUMMYFUNCTION("""COMPUTED_VALUE"""),52.0)</f>
        <v>52</v>
      </c>
      <c r="B53" s="1" t="str">
        <f>IFERROR(__xludf.DUMMYFUNCTION("""COMPUTED_VALUE"""),"Pusan")</f>
        <v>Pusan</v>
      </c>
      <c r="C53" s="1" t="str">
        <f>IFERROR(__xludf.DUMMYFUNCTION("""COMPUTED_VALUE"""),"Corée du Sud")</f>
        <v>Corée du Sud</v>
      </c>
      <c r="D53" s="1">
        <f>IFERROR(__xludf.DUMMYFUNCTION("""COMPUTED_VALUE"""),121.0)</f>
        <v>121</v>
      </c>
      <c r="H53" s="1" t="s">
        <v>3428</v>
      </c>
      <c r="I53" s="1" t="s">
        <v>78</v>
      </c>
      <c r="J53" s="1">
        <v>171.0</v>
      </c>
      <c r="K53" s="1" t="s">
        <v>3426</v>
      </c>
    </row>
    <row r="54">
      <c r="A54" s="1">
        <f>IFERROR(__xludf.DUMMYFUNCTION("""COMPUTED_VALUE"""),53.0)</f>
        <v>53</v>
      </c>
      <c r="B54" s="1" t="str">
        <f>IFERROR(__xludf.DUMMYFUNCTION("""COMPUTED_VALUE"""),"Santiago")</f>
        <v>Santiago</v>
      </c>
      <c r="C54" s="1" t="str">
        <f>IFERROR(__xludf.DUMMYFUNCTION("""COMPUTED_VALUE"""),"Chili")</f>
        <v>Chili</v>
      </c>
      <c r="D54" s="1">
        <f>IFERROR(__xludf.DUMMYFUNCTION("""COMPUTED_VALUE"""),120.0)</f>
        <v>120</v>
      </c>
      <c r="H54" s="1" t="s">
        <v>3429</v>
      </c>
      <c r="I54" s="1" t="s">
        <v>72</v>
      </c>
      <c r="J54" s="1">
        <v>137.0</v>
      </c>
      <c r="K54" s="1" t="s">
        <v>3426</v>
      </c>
    </row>
    <row r="55">
      <c r="A55" s="1">
        <f>IFERROR(__xludf.DUMMYFUNCTION("""COMPUTED_VALUE"""),54.0)</f>
        <v>54</v>
      </c>
      <c r="B55" s="1" t="str">
        <f>IFERROR(__xludf.DUMMYFUNCTION("""COMPUTED_VALUE"""),"Bangkok")</f>
        <v>Bangkok</v>
      </c>
      <c r="C55" s="1" t="str">
        <f>IFERROR(__xludf.DUMMYFUNCTION("""COMPUTED_VALUE"""),"Thaïlande")</f>
        <v>Thaïlande</v>
      </c>
      <c r="D55" s="1">
        <f>IFERROR(__xludf.DUMMYFUNCTION("""COMPUTED_VALUE"""),119.0)</f>
        <v>119</v>
      </c>
      <c r="H55" s="1" t="s">
        <v>3430</v>
      </c>
      <c r="I55" s="1" t="s">
        <v>3404</v>
      </c>
      <c r="J55" s="1">
        <v>276.0</v>
      </c>
      <c r="K55" s="1" t="s">
        <v>3431</v>
      </c>
    </row>
    <row r="56">
      <c r="A56" s="1">
        <f>IFERROR(__xludf.DUMMYFUNCTION("""COMPUTED_VALUE"""),55.0)</f>
        <v>55</v>
      </c>
      <c r="B56" s="1" t="str">
        <f>IFERROR(__xludf.DUMMYFUNCTION("""COMPUTED_VALUE"""),"Cleveland")</f>
        <v>Cleveland</v>
      </c>
      <c r="C56" s="1" t="str">
        <f>IFERROR(__xludf.DUMMYFUNCTION("""COMPUTED_VALUE"""),"États-Unis")</f>
        <v>États-Unis</v>
      </c>
      <c r="D56" s="1">
        <f>IFERROR(__xludf.DUMMYFUNCTION("""COMPUTED_VALUE"""),112.0)</f>
        <v>112</v>
      </c>
      <c r="H56" s="1" t="s">
        <v>3432</v>
      </c>
      <c r="I56" s="1" t="s">
        <v>78</v>
      </c>
      <c r="J56" s="1">
        <v>262.0</v>
      </c>
      <c r="K56" s="1" t="s">
        <v>3431</v>
      </c>
    </row>
    <row r="57">
      <c r="A57" s="1">
        <f>IFERROR(__xludf.DUMMYFUNCTION("""COMPUTED_VALUE"""),56.0)</f>
        <v>56</v>
      </c>
      <c r="B57" s="1" t="str">
        <f>IFERROR(__xludf.DUMMYFUNCTION("""COMPUTED_VALUE"""),"Brasilia")</f>
        <v>Brasilia</v>
      </c>
      <c r="C57" s="1" t="str">
        <f>IFERROR(__xludf.DUMMYFUNCTION("""COMPUTED_VALUE"""),"Brésil")</f>
        <v>Brésil</v>
      </c>
      <c r="D57" s="1">
        <f>IFERROR(__xludf.DUMMYFUNCTION("""COMPUTED_VALUE"""),110.0)</f>
        <v>110</v>
      </c>
      <c r="H57" s="1" t="s">
        <v>3433</v>
      </c>
      <c r="I57" s="1" t="s">
        <v>3420</v>
      </c>
      <c r="J57" s="1">
        <v>223.0</v>
      </c>
      <c r="K57" s="1" t="s">
        <v>3431</v>
      </c>
    </row>
    <row r="58">
      <c r="A58" s="1">
        <f>IFERROR(__xludf.DUMMYFUNCTION("""COMPUTED_VALUE"""),57.0)</f>
        <v>57</v>
      </c>
      <c r="B58" s="1" t="str">
        <f>IFERROR(__xludf.DUMMYFUNCTION("""COMPUTED_VALUE"""),"Portland")</f>
        <v>Portland</v>
      </c>
      <c r="C58" s="1" t="str">
        <f>IFERROR(__xludf.DUMMYFUNCTION("""COMPUTED_VALUE"""),"États-Unis")</f>
        <v>États-Unis</v>
      </c>
      <c r="D58" s="1">
        <f>IFERROR(__xludf.DUMMYFUNCTION("""COMPUTED_VALUE"""),110.0)</f>
        <v>110</v>
      </c>
      <c r="H58" s="1" t="s">
        <v>3434</v>
      </c>
      <c r="I58" s="1" t="s">
        <v>3435</v>
      </c>
      <c r="J58" s="1">
        <v>153.0</v>
      </c>
      <c r="K58" s="1" t="s">
        <v>3431</v>
      </c>
    </row>
    <row r="59">
      <c r="A59" s="1">
        <f>IFERROR(__xludf.DUMMYFUNCTION("""COMPUTED_VALUE"""),58.0)</f>
        <v>58</v>
      </c>
      <c r="B59" s="1" t="str">
        <f>IFERROR(__xludf.DUMMYFUNCTION("""COMPUTED_VALUE"""),"Johannesburg")</f>
        <v>Johannesburg</v>
      </c>
      <c r="C59" s="1" t="str">
        <f>IFERROR(__xludf.DUMMYFUNCTION("""COMPUTED_VALUE"""),"Afrique du Sud")</f>
        <v>Afrique du Sud</v>
      </c>
      <c r="D59" s="1">
        <f>IFERROR(__xludf.DUMMYFUNCTION("""COMPUTED_VALUE"""),110.0)</f>
        <v>110</v>
      </c>
      <c r="H59" s="1" t="s">
        <v>3436</v>
      </c>
      <c r="I59" s="1" t="s">
        <v>3150</v>
      </c>
      <c r="J59" s="1">
        <v>294.0</v>
      </c>
      <c r="K59" s="1" t="s">
        <v>3437</v>
      </c>
    </row>
    <row r="60">
      <c r="A60" s="1">
        <f>IFERROR(__xludf.DUMMYFUNCTION("""COMPUTED_VALUE"""),59.0)</f>
        <v>59</v>
      </c>
      <c r="B60" s="1" t="str">
        <f>IFERROR(__xludf.DUMMYFUNCTION("""COMPUTED_VALUE"""),"Lima")</f>
        <v>Lima</v>
      </c>
      <c r="C60" s="1" t="str">
        <f>IFERROR(__xludf.DUMMYFUNCTION("""COMPUTED_VALUE"""),"Pérou")</f>
        <v>Pérou</v>
      </c>
      <c r="D60" s="1">
        <f>IFERROR(__xludf.DUMMYFUNCTION("""COMPUTED_VALUE"""),109.0)</f>
        <v>109</v>
      </c>
      <c r="H60" s="1" t="s">
        <v>3438</v>
      </c>
      <c r="I60" s="1" t="s">
        <v>3150</v>
      </c>
      <c r="J60" s="1">
        <v>483.0</v>
      </c>
      <c r="K60" s="1" t="s">
        <v>3439</v>
      </c>
    </row>
    <row r="61">
      <c r="A61" s="1">
        <f>IFERROR(__xludf.DUMMYFUNCTION("""COMPUTED_VALUE"""),60.0)</f>
        <v>60</v>
      </c>
      <c r="B61" s="1" t="str">
        <f>IFERROR(__xludf.DUMMYFUNCTION("""COMPUTED_VALUE"""),"Riyad")</f>
        <v>Riyad</v>
      </c>
      <c r="C61" s="1" t="str">
        <f>IFERROR(__xludf.DUMMYFUNCTION("""COMPUTED_VALUE"""),"Arabie saoudite")</f>
        <v>Arabie saoudite</v>
      </c>
      <c r="D61" s="1">
        <f>IFERROR(__xludf.DUMMYFUNCTION("""COMPUTED_VALUE"""),107.0)</f>
        <v>107</v>
      </c>
      <c r="H61" s="1" t="s">
        <v>3440</v>
      </c>
      <c r="I61" s="1" t="s">
        <v>3175</v>
      </c>
      <c r="J61" s="1">
        <v>404.0</v>
      </c>
      <c r="K61" s="1" t="s">
        <v>3439</v>
      </c>
    </row>
    <row r="62">
      <c r="A62" s="1">
        <f>IFERROR(__xludf.DUMMYFUNCTION("""COMPUTED_VALUE"""),61.0)</f>
        <v>61</v>
      </c>
      <c r="B62" s="1" t="str">
        <f>IFERROR(__xludf.DUMMYFUNCTION("""COMPUTED_VALUE"""),"Kolkata")</f>
        <v>Kolkata</v>
      </c>
      <c r="C62" s="1" t="str">
        <f>IFERROR(__xludf.DUMMYFUNCTION("""COMPUTED_VALUE"""),"Inde")</f>
        <v>Inde</v>
      </c>
      <c r="D62" s="1">
        <f>IFERROR(__xludf.DUMMYFUNCTION("""COMPUTED_VALUE"""),104.0)</f>
        <v>104</v>
      </c>
      <c r="H62" s="1" t="s">
        <v>3441</v>
      </c>
      <c r="I62" s="1" t="s">
        <v>3441</v>
      </c>
      <c r="J62" s="1">
        <v>366.0</v>
      </c>
      <c r="K62" s="1" t="s">
        <v>3442</v>
      </c>
    </row>
    <row r="63">
      <c r="A63" s="1">
        <f>IFERROR(__xludf.DUMMYFUNCTION("""COMPUTED_VALUE"""),62.0)</f>
        <v>62</v>
      </c>
      <c r="B63" s="1" t="str">
        <f>IFERROR(__xludf.DUMMYFUNCTION("""COMPUTED_VALUE"""),"Le Cap")</f>
        <v>Le Cap</v>
      </c>
      <c r="C63" s="1" t="str">
        <f>IFERROR(__xludf.DUMMYFUNCTION("""COMPUTED_VALUE"""),"Afrique du Sud")</f>
        <v>Afrique du Sud</v>
      </c>
      <c r="D63" s="1">
        <f>IFERROR(__xludf.DUMMYFUNCTION("""COMPUTED_VALUE"""),103.0)</f>
        <v>103</v>
      </c>
      <c r="H63" s="1" t="s">
        <v>3443</v>
      </c>
      <c r="I63" s="1" t="s">
        <v>3444</v>
      </c>
      <c r="J63" s="1">
        <v>163.0</v>
      </c>
      <c r="K63" s="1" t="s">
        <v>3445</v>
      </c>
    </row>
    <row r="64">
      <c r="A64" s="1">
        <f>IFERROR(__xludf.DUMMYFUNCTION("""COMPUTED_VALUE"""),63.0)</f>
        <v>63</v>
      </c>
      <c r="B64" s="1" t="str">
        <f>IFERROR(__xludf.DUMMYFUNCTION("""COMPUTED_VALUE"""),"Monterrey")</f>
        <v>Monterrey</v>
      </c>
      <c r="C64" s="1" t="str">
        <f>IFERROR(__xludf.DUMMYFUNCTION("""COMPUTED_VALUE"""),"Mexique")</f>
        <v>Mexique</v>
      </c>
      <c r="D64" s="1">
        <f>IFERROR(__xludf.DUMMYFUNCTION("""COMPUTED_VALUE"""),102.0)</f>
        <v>102</v>
      </c>
      <c r="H64" s="1" t="s">
        <v>3446</v>
      </c>
      <c r="I64" s="1" t="s">
        <v>51</v>
      </c>
      <c r="J64" s="1">
        <v>141.0</v>
      </c>
      <c r="K64" s="1" t="s">
        <v>3445</v>
      </c>
    </row>
    <row r="65">
      <c r="A65" s="1">
        <f>IFERROR(__xludf.DUMMYFUNCTION("""COMPUTED_VALUE"""),64.0)</f>
        <v>64</v>
      </c>
      <c r="B65" s="1" t="str">
        <f>IFERROR(__xludf.DUMMYFUNCTION("""COMPUTED_VALUE"""),"Bogota")</f>
        <v>Bogota</v>
      </c>
      <c r="C65" s="1" t="str">
        <f>IFERROR(__xludf.DUMMYFUNCTION("""COMPUTED_VALUE"""),"Colombie")</f>
        <v>Colombie</v>
      </c>
      <c r="D65" s="1">
        <f>IFERROR(__xludf.DUMMYFUNCTION("""COMPUTED_VALUE"""),100.0)</f>
        <v>100</v>
      </c>
      <c r="H65" s="1" t="s">
        <v>3447</v>
      </c>
      <c r="I65" s="1" t="s">
        <v>73</v>
      </c>
      <c r="J65" s="1">
        <v>349.0</v>
      </c>
      <c r="K65" s="1" t="s">
        <v>3448</v>
      </c>
    </row>
    <row r="66">
      <c r="A66" s="1">
        <f>IFERROR(__xludf.DUMMYFUNCTION("""COMPUTED_VALUE"""),65.0)</f>
        <v>65</v>
      </c>
      <c r="B66" s="1" t="str">
        <f>IFERROR(__xludf.DUMMYFUNCTION("""COMPUTED_VALUE"""),"Pittsburgh")</f>
        <v>Pittsburgh</v>
      </c>
      <c r="C66" s="1" t="str">
        <f>IFERROR(__xludf.DUMMYFUNCTION("""COMPUTED_VALUE"""),"États-Unis")</f>
        <v>États-Unis</v>
      </c>
      <c r="D66" s="1">
        <f>IFERROR(__xludf.DUMMYFUNCTION("""COMPUTED_VALUE"""),99.0)</f>
        <v>99</v>
      </c>
      <c r="H66" s="1" t="s">
        <v>3449</v>
      </c>
      <c r="I66" s="1" t="s">
        <v>3444</v>
      </c>
      <c r="J66" s="1">
        <v>161.0</v>
      </c>
      <c r="K66" s="1" t="s">
        <v>3450</v>
      </c>
    </row>
    <row r="67">
      <c r="A67" s="1">
        <f>IFERROR(__xludf.DUMMYFUNCTION("""COMPUTED_VALUE"""),66.0)</f>
        <v>66</v>
      </c>
      <c r="B67" s="1" t="str">
        <f>IFERROR(__xludf.DUMMYFUNCTION("""COMPUTED_VALUE"""),"Lisbonne")</f>
        <v>Lisbonne</v>
      </c>
      <c r="C67" s="1" t="str">
        <f>IFERROR(__xludf.DUMMYFUNCTION("""COMPUTED_VALUE"""),"Portugal")</f>
        <v>Portugal</v>
      </c>
      <c r="D67" s="1">
        <f>IFERROR(__xludf.DUMMYFUNCTION("""COMPUTED_VALUE"""),98.0)</f>
        <v>98</v>
      </c>
      <c r="H67" s="1" t="s">
        <v>3451</v>
      </c>
      <c r="I67" s="1" t="s">
        <v>3452</v>
      </c>
      <c r="J67" s="1">
        <v>836.0</v>
      </c>
      <c r="K67" s="1" t="s">
        <v>3453</v>
      </c>
    </row>
    <row r="68">
      <c r="A68" s="1">
        <f>IFERROR(__xludf.DUMMYFUNCTION("""COMPUTED_VALUE"""),67.0)</f>
        <v>67</v>
      </c>
      <c r="B68" s="1" t="str">
        <f>IFERROR(__xludf.DUMMYFUNCTION("""COMPUTED_VALUE"""),"Athènes")</f>
        <v>Athènes</v>
      </c>
      <c r="C68" s="1" t="str">
        <f>IFERROR(__xludf.DUMMYFUNCTION("""COMPUTED_VALUE"""),"Grèce")</f>
        <v>Grèce</v>
      </c>
      <c r="D68" s="1">
        <f>IFERROR(__xludf.DUMMYFUNCTION("""COMPUTED_VALUE"""),96.0)</f>
        <v>96</v>
      </c>
      <c r="H68" s="1" t="s">
        <v>3454</v>
      </c>
      <c r="I68" s="1" t="s">
        <v>3195</v>
      </c>
      <c r="J68" s="1">
        <v>846.0</v>
      </c>
      <c r="K68" s="1" t="s">
        <v>3455</v>
      </c>
    </row>
    <row r="69">
      <c r="A69" s="1">
        <f>IFERROR(__xludf.DUMMYFUNCTION("""COMPUTED_VALUE"""),68.0)</f>
        <v>68</v>
      </c>
      <c r="B69" s="1" t="str">
        <f>IFERROR(__xludf.DUMMYFUNCTION("""COMPUTED_VALUE"""),"Vancouver")</f>
        <v>Vancouver</v>
      </c>
      <c r="C69" s="1" t="str">
        <f>IFERROR(__xludf.DUMMYFUNCTION("""COMPUTED_VALUE"""),"Canada")</f>
        <v>Canada</v>
      </c>
      <c r="D69" s="1">
        <f>IFERROR(__xludf.DUMMYFUNCTION("""COMPUTED_VALUE"""),95.0)</f>
        <v>95</v>
      </c>
      <c r="H69" s="1" t="s">
        <v>3456</v>
      </c>
      <c r="I69" s="1" t="s">
        <v>3195</v>
      </c>
      <c r="J69" s="1">
        <v>297.0</v>
      </c>
      <c r="K69" s="1" t="s">
        <v>3457</v>
      </c>
    </row>
    <row r="70">
      <c r="A70" s="1">
        <f>IFERROR(__xludf.DUMMYFUNCTION("""COMPUTED_VALUE"""),69.0)</f>
        <v>69</v>
      </c>
      <c r="B70" s="1" t="str">
        <f>IFERROR(__xludf.DUMMYFUNCTION("""COMPUTED_VALUE"""),"Berlin")</f>
        <v>Berlin</v>
      </c>
      <c r="C70" s="1" t="str">
        <f>IFERROR(__xludf.DUMMYFUNCTION("""COMPUTED_VALUE"""),"Allemagne")</f>
        <v>Allemagne</v>
      </c>
      <c r="D70" s="1">
        <f>IFERROR(__xludf.DUMMYFUNCTION("""COMPUTED_VALUE"""),95.0)</f>
        <v>95</v>
      </c>
      <c r="H70" s="1" t="s">
        <v>3458</v>
      </c>
      <c r="I70" s="1" t="s">
        <v>3459</v>
      </c>
      <c r="J70" s="1">
        <v>327.0</v>
      </c>
      <c r="K70" s="1" t="s">
        <v>3460</v>
      </c>
    </row>
    <row r="71">
      <c r="A71" s="1">
        <f>IFERROR(__xludf.DUMMYFUNCTION("""COMPUTED_VALUE"""),70.0)</f>
        <v>70</v>
      </c>
      <c r="B71" s="1" t="str">
        <f>IFERROR(__xludf.DUMMYFUNCTION("""COMPUTED_VALUE"""),"Jakarta")</f>
        <v>Jakarta</v>
      </c>
      <c r="C71" s="1" t="str">
        <f>IFERROR(__xludf.DUMMYFUNCTION("""COMPUTED_VALUE"""),"Indonésie")</f>
        <v>Indonésie</v>
      </c>
      <c r="D71" s="1">
        <f>IFERROR(__xludf.DUMMYFUNCTION("""COMPUTED_VALUE"""),92.0)</f>
        <v>92</v>
      </c>
      <c r="H71" s="1" t="s">
        <v>3461</v>
      </c>
      <c r="I71" s="1" t="s">
        <v>3462</v>
      </c>
      <c r="J71" s="1">
        <v>176.0</v>
      </c>
      <c r="K71" s="1" t="s">
        <v>3460</v>
      </c>
    </row>
    <row r="72">
      <c r="A72" s="1">
        <f>IFERROR(__xludf.DUMMYFUNCTION("""COMPUTED_VALUE"""),71.0)</f>
        <v>71</v>
      </c>
      <c r="B72" s="1" t="str">
        <f>IFERROR(__xludf.DUMMYFUNCTION("""COMPUTED_VALUE"""),"Saint-Pétersbourg")</f>
        <v>Saint-Pétersbourg</v>
      </c>
      <c r="C72" s="1" t="str">
        <f>IFERROR(__xludf.DUMMYFUNCTION("""COMPUTED_VALUE"""),"Russie")</f>
        <v>Russie</v>
      </c>
      <c r="D72" s="1">
        <f>IFERROR(__xludf.DUMMYFUNCTION("""COMPUTED_VALUE"""),91.0)</f>
        <v>91</v>
      </c>
      <c r="H72" s="1" t="s">
        <v>3463</v>
      </c>
      <c r="I72" s="1" t="s">
        <v>3464</v>
      </c>
      <c r="J72" s="1">
        <v>160.0</v>
      </c>
      <c r="K72" s="1" t="s">
        <v>3465</v>
      </c>
    </row>
    <row r="73">
      <c r="A73" s="1">
        <f>IFERROR(__xludf.DUMMYFUNCTION("""COMPUTED_VALUE"""),72.0)</f>
        <v>72</v>
      </c>
      <c r="B73" s="1" t="str">
        <f>IFERROR(__xludf.DUMMYFUNCTION("""COMPUTED_VALUE"""),"Birmingham")</f>
        <v>Birmingham</v>
      </c>
      <c r="C73" s="1" t="str">
        <f>IFERROR(__xludf.DUMMYFUNCTION("""COMPUTED_VALUE"""),"Royaume-Uni")</f>
        <v>Royaume-Uni</v>
      </c>
      <c r="D73" s="1">
        <f>IFERROR(__xludf.DUMMYFUNCTION("""COMPUTED_VALUE"""),90.0)</f>
        <v>90</v>
      </c>
      <c r="H73" s="1" t="s">
        <v>3466</v>
      </c>
      <c r="I73" s="1" t="s">
        <v>3425</v>
      </c>
      <c r="J73" s="1">
        <v>372.0</v>
      </c>
      <c r="K73" s="1" t="s">
        <v>3467</v>
      </c>
    </row>
    <row r="74">
      <c r="A74" s="1">
        <f>IFERROR(__xludf.DUMMYFUNCTION("""COMPUTED_VALUE"""),73.0)</f>
        <v>73</v>
      </c>
      <c r="B74" s="1" t="str">
        <f>IFERROR(__xludf.DUMMYFUNCTION("""COMPUTED_VALUE"""),"Fukuoka")</f>
        <v>Fukuoka</v>
      </c>
      <c r="C74" s="1" t="str">
        <f>IFERROR(__xludf.DUMMYFUNCTION("""COMPUTED_VALUE"""),"Japon")</f>
        <v>Japon</v>
      </c>
      <c r="D74" s="1">
        <f>IFERROR(__xludf.DUMMYFUNCTION("""COMPUTED_VALUE"""),88.0)</f>
        <v>88</v>
      </c>
      <c r="H74" s="1" t="s">
        <v>3468</v>
      </c>
      <c r="I74" s="1" t="s">
        <v>3420</v>
      </c>
      <c r="J74" s="1">
        <v>134.0</v>
      </c>
      <c r="K74" s="1" t="s">
        <v>3469</v>
      </c>
    </row>
    <row r="75">
      <c r="A75" s="1">
        <f>IFERROR(__xludf.DUMMYFUNCTION("""COMPUTED_VALUE"""),74.0)</f>
        <v>74</v>
      </c>
      <c r="B75" s="1" t="str">
        <f>IFERROR(__xludf.DUMMYFUNCTION("""COMPUTED_VALUE"""),"Manchester")</f>
        <v>Manchester</v>
      </c>
      <c r="C75" s="1" t="str">
        <f>IFERROR(__xludf.DUMMYFUNCTION("""COMPUTED_VALUE"""),"Royaume-Uni")</f>
        <v>Royaume-Uni</v>
      </c>
      <c r="D75" s="1">
        <f>IFERROR(__xludf.DUMMYFUNCTION("""COMPUTED_VALUE"""),85.0)</f>
        <v>85</v>
      </c>
      <c r="H75" s="1" t="s">
        <v>3470</v>
      </c>
      <c r="I75" s="1" t="s">
        <v>3471</v>
      </c>
      <c r="J75" s="1">
        <v>183.0</v>
      </c>
      <c r="K75" s="1" t="s">
        <v>3472</v>
      </c>
    </row>
    <row r="76">
      <c r="A76" s="1">
        <f>IFERROR(__xludf.DUMMYFUNCTION("""COMPUTED_VALUE"""),75.0)</f>
        <v>75</v>
      </c>
      <c r="B76" s="1" t="str">
        <f>IFERROR(__xludf.DUMMYFUNCTION("""COMPUTED_VALUE"""),"Bruxelles")</f>
        <v>Bruxelles</v>
      </c>
      <c r="C76" s="1" t="str">
        <f>IFERROR(__xludf.DUMMYFUNCTION("""COMPUTED_VALUE"""),"Belgique")</f>
        <v>Belgique</v>
      </c>
      <c r="D76" s="1">
        <f>IFERROR(__xludf.DUMMYFUNCTION("""COMPUTED_VALUE"""),83.0)</f>
        <v>83</v>
      </c>
      <c r="H76" s="1" t="s">
        <v>3473</v>
      </c>
      <c r="I76" s="1" t="s">
        <v>3474</v>
      </c>
      <c r="J76" s="1">
        <v>172.0</v>
      </c>
      <c r="K76" s="1" t="s">
        <v>3472</v>
      </c>
    </row>
    <row r="77">
      <c r="A77" s="1">
        <f>IFERROR(__xludf.DUMMYFUNCTION("""COMPUTED_VALUE"""),76.0)</f>
        <v>76</v>
      </c>
      <c r="B77" s="1" t="str">
        <f>IFERROR(__xludf.DUMMYFUNCTION("""COMPUTED_VALUE"""),"Guadalajara")</f>
        <v>Guadalajara</v>
      </c>
      <c r="C77" s="1" t="str">
        <f>IFERROR(__xludf.DUMMYFUNCTION("""COMPUTED_VALUE"""),"Mexique")</f>
        <v>Mexique</v>
      </c>
      <c r="D77" s="1">
        <f>IFERROR(__xludf.DUMMYFUNCTION("""COMPUTED_VALUE"""),81.0)</f>
        <v>81</v>
      </c>
      <c r="H77" s="1" t="s">
        <v>3475</v>
      </c>
      <c r="I77" s="1" t="s">
        <v>3476</v>
      </c>
      <c r="J77" s="1">
        <v>321.0</v>
      </c>
      <c r="K77" s="1" t="s">
        <v>3477</v>
      </c>
    </row>
    <row r="78">
      <c r="A78" s="1">
        <f>IFERROR(__xludf.DUMMYFUNCTION("""COMPUTED_VALUE"""),77.0)</f>
        <v>77</v>
      </c>
      <c r="B78" s="1" t="str">
        <f>IFERROR(__xludf.DUMMYFUNCTION("""COMPUTED_VALUE"""),"Dhaka")</f>
        <v>Dhaka</v>
      </c>
      <c r="C78" s="1" t="str">
        <f>IFERROR(__xludf.DUMMYFUNCTION("""COMPUTED_VALUE"""),"Bangladesh")</f>
        <v>Bangladesh</v>
      </c>
      <c r="D78" s="1">
        <f>IFERROR(__xludf.DUMMYFUNCTION("""COMPUTED_VALUE"""),78.0)</f>
        <v>78</v>
      </c>
      <c r="H78" s="1" t="s">
        <v>3478</v>
      </c>
      <c r="I78" s="1" t="s">
        <v>3479</v>
      </c>
      <c r="J78" s="1">
        <v>294.0</v>
      </c>
      <c r="K78" s="1" t="s">
        <v>3480</v>
      </c>
    </row>
    <row r="79">
      <c r="A79" s="1">
        <f>IFERROR(__xludf.DUMMYFUNCTION("""COMPUTED_VALUE"""),78.0)</f>
        <v>78</v>
      </c>
      <c r="B79" s="1" t="str">
        <f>IFERROR(__xludf.DUMMYFUNCTION("""COMPUTED_VALUE"""),"Karachi")</f>
        <v>Karachi</v>
      </c>
      <c r="C79" s="1" t="str">
        <f>IFERROR(__xludf.DUMMYFUNCTION("""COMPUTED_VALUE"""),"Pakistan")</f>
        <v>Pakistan</v>
      </c>
      <c r="D79" s="1">
        <f>IFERROR(__xludf.DUMMYFUNCTION("""COMPUTED_VALUE"""),78.0)</f>
        <v>78</v>
      </c>
      <c r="H79" s="1" t="s">
        <v>3481</v>
      </c>
      <c r="I79" s="1" t="s">
        <v>3479</v>
      </c>
      <c r="J79" s="1">
        <v>151.0</v>
      </c>
      <c r="K79" s="1" t="s">
        <v>3482</v>
      </c>
    </row>
    <row r="80">
      <c r="A80" s="1">
        <f>IFERROR(__xludf.DUMMYFUNCTION("""COMPUTED_VALUE"""),79.0)</f>
        <v>79</v>
      </c>
      <c r="B80" s="1" t="str">
        <f>IFERROR(__xludf.DUMMYFUNCTION("""COMPUTED_VALUE"""),"Hambourg")</f>
        <v>Hambourg</v>
      </c>
      <c r="C80" s="1" t="str">
        <f>IFERROR(__xludf.DUMMYFUNCTION("""COMPUTED_VALUE"""),"Allemagne")</f>
        <v>Allemagne</v>
      </c>
      <c r="D80" s="1">
        <f>IFERROR(__xludf.DUMMYFUNCTION("""COMPUTED_VALUE"""),74.0)</f>
        <v>74</v>
      </c>
      <c r="H80" s="1" t="s">
        <v>3483</v>
      </c>
      <c r="I80" s="1" t="s">
        <v>3425</v>
      </c>
      <c r="J80" s="1">
        <v>506.0</v>
      </c>
      <c r="K80" s="1" t="s">
        <v>3484</v>
      </c>
    </row>
    <row r="81">
      <c r="A81" s="1">
        <f>IFERROR(__xludf.DUMMYFUNCTION("""COMPUTED_VALUE"""),80.0)</f>
        <v>80</v>
      </c>
      <c r="B81" s="1" t="str">
        <f>IFERROR(__xludf.DUMMYFUNCTION("""COMPUTED_VALUE"""),"Tianjin")</f>
        <v>Tianjin</v>
      </c>
      <c r="C81" s="1" t="str">
        <f>IFERROR(__xludf.DUMMYFUNCTION("""COMPUTED_VALUE"""),"Chine")</f>
        <v>Chine</v>
      </c>
      <c r="D81" s="1">
        <f>IFERROR(__xludf.DUMMYFUNCTION("""COMPUTED_VALUE"""),74.0)</f>
        <v>74</v>
      </c>
      <c r="H81" s="1" t="s">
        <v>3485</v>
      </c>
      <c r="I81" s="1" t="s">
        <v>3425</v>
      </c>
      <c r="J81" s="1">
        <v>380.0</v>
      </c>
      <c r="K81" s="1" t="s">
        <v>3486</v>
      </c>
    </row>
    <row r="82">
      <c r="A82" s="1">
        <f>IFERROR(__xludf.DUMMYFUNCTION("""COMPUTED_VALUE"""),81.0)</f>
        <v>81</v>
      </c>
      <c r="B82" s="1" t="str">
        <f>IFERROR(__xludf.DUMMYFUNCTION("""COMPUTED_VALUE"""),"Djeddah")</f>
        <v>Djeddah</v>
      </c>
      <c r="C82" s="1" t="str">
        <f>IFERROR(__xludf.DUMMYFUNCTION("""COMPUTED_VALUE"""),"Arabie saoudite")</f>
        <v>Arabie saoudite</v>
      </c>
      <c r="D82" s="1">
        <f>IFERROR(__xludf.DUMMYFUNCTION("""COMPUTED_VALUE"""),72.0)</f>
        <v>72</v>
      </c>
      <c r="H82" s="1" t="s">
        <v>3487</v>
      </c>
      <c r="I82" s="1" t="s">
        <v>3425</v>
      </c>
      <c r="J82" s="1">
        <v>363.0</v>
      </c>
      <c r="K82" s="1" t="s">
        <v>3488</v>
      </c>
    </row>
    <row r="83">
      <c r="A83" s="1">
        <f>IFERROR(__xludf.DUMMYFUNCTION("""COMPUTED_VALUE"""),82.0)</f>
        <v>82</v>
      </c>
      <c r="B83" s="1" t="str">
        <f>IFERROR(__xludf.DUMMYFUNCTION("""COMPUTED_VALUE"""),"Stockholm")</f>
        <v>Stockholm</v>
      </c>
      <c r="C83" s="1" t="str">
        <f>IFERROR(__xludf.DUMMYFUNCTION("""COMPUTED_VALUE"""),"Suède")</f>
        <v>Suède</v>
      </c>
      <c r="D83" s="1">
        <f>IFERROR(__xludf.DUMMYFUNCTION("""COMPUTED_VALUE"""),70.0)</f>
        <v>70</v>
      </c>
      <c r="H83" s="1" t="s">
        <v>3489</v>
      </c>
      <c r="I83" s="1" t="s">
        <v>3425</v>
      </c>
      <c r="J83" s="1">
        <v>594.0</v>
      </c>
      <c r="K83" s="1" t="s">
        <v>3490</v>
      </c>
    </row>
    <row r="84">
      <c r="A84" s="1">
        <f>IFERROR(__xludf.DUMMYFUNCTION("""COMPUTED_VALUE"""),83.0)</f>
        <v>83</v>
      </c>
      <c r="B84" s="1" t="str">
        <f>IFERROR(__xludf.DUMMYFUNCTION("""COMPUTED_VALUE"""),"Lyon")</f>
        <v>Lyon</v>
      </c>
      <c r="C84" s="1" t="str">
        <f>IFERROR(__xludf.DUMMYFUNCTION("""COMPUTED_VALUE"""),"France")</f>
        <v>France</v>
      </c>
      <c r="D84" s="1">
        <f>IFERROR(__xludf.DUMMYFUNCTION("""COMPUTED_VALUE"""),69.0)</f>
        <v>69</v>
      </c>
      <c r="H84" s="1" t="s">
        <v>3491</v>
      </c>
      <c r="I84" s="1" t="s">
        <v>3425</v>
      </c>
      <c r="J84" s="1">
        <v>141.0</v>
      </c>
      <c r="K84" s="1" t="s">
        <v>3490</v>
      </c>
    </row>
    <row r="85">
      <c r="A85" s="1">
        <f>IFERROR(__xludf.DUMMYFUNCTION("""COMPUTED_VALUE"""),84.0)</f>
        <v>84</v>
      </c>
      <c r="B85" s="1" t="str">
        <f>IFERROR(__xludf.DUMMYFUNCTION("""COMPUTED_VALUE"""),"Bangalore")</f>
        <v>Bangalore</v>
      </c>
      <c r="C85" s="1" t="str">
        <f>IFERROR(__xludf.DUMMYFUNCTION("""COMPUTED_VALUE"""),"Inde")</f>
        <v>Inde</v>
      </c>
      <c r="D85" s="1">
        <f>IFERROR(__xludf.DUMMYFUNCTION("""COMPUTED_VALUE"""),69.0)</f>
        <v>69</v>
      </c>
      <c r="H85" s="1" t="s">
        <v>3492</v>
      </c>
      <c r="I85" s="1" t="s">
        <v>3425</v>
      </c>
      <c r="J85" s="1">
        <v>185.0</v>
      </c>
      <c r="K85" s="1" t="s">
        <v>3493</v>
      </c>
    </row>
    <row r="86">
      <c r="A86" s="1">
        <f>IFERROR(__xludf.DUMMYFUNCTION("""COMPUTED_VALUE"""),85.0)</f>
        <v>85</v>
      </c>
      <c r="B86" s="1" t="str">
        <f>IFERROR(__xludf.DUMMYFUNCTION("""COMPUTED_VALUE"""),"Varsovie")</f>
        <v>Varsovie</v>
      </c>
      <c r="C86" s="1" t="str">
        <f>IFERROR(__xludf.DUMMYFUNCTION("""COMPUTED_VALUE"""),"Pologne")</f>
        <v>Pologne</v>
      </c>
      <c r="D86" s="1">
        <f>IFERROR(__xludf.DUMMYFUNCTION("""COMPUTED_VALUE"""),68.0)</f>
        <v>68</v>
      </c>
      <c r="H86" s="1" t="s">
        <v>3494</v>
      </c>
      <c r="I86" s="1" t="s">
        <v>3425</v>
      </c>
      <c r="J86" s="1">
        <v>211.0</v>
      </c>
      <c r="K86" s="1" t="s">
        <v>3495</v>
      </c>
    </row>
    <row r="87">
      <c r="A87" s="1">
        <f>IFERROR(__xludf.DUMMYFUNCTION("""COMPUTED_VALUE"""),86.0)</f>
        <v>86</v>
      </c>
      <c r="B87" s="1" t="str">
        <f>IFERROR(__xludf.DUMMYFUNCTION("""COMPUTED_VALUE"""),"Turin")</f>
        <v>Turin</v>
      </c>
      <c r="C87" s="1" t="str">
        <f>IFERROR(__xludf.DUMMYFUNCTION("""COMPUTED_VALUE"""),"Italie")</f>
        <v>Italie</v>
      </c>
      <c r="D87" s="1">
        <f>IFERROR(__xludf.DUMMYFUNCTION("""COMPUTED_VALUE"""),68.0)</f>
        <v>68</v>
      </c>
      <c r="H87" s="1" t="s">
        <v>3496</v>
      </c>
      <c r="I87" s="1" t="s">
        <v>3425</v>
      </c>
      <c r="J87" s="1">
        <v>203.0</v>
      </c>
      <c r="K87" s="1" t="s">
        <v>3497</v>
      </c>
    </row>
    <row r="88">
      <c r="A88" s="1">
        <f>IFERROR(__xludf.DUMMYFUNCTION("""COMPUTED_VALUE"""),87.0)</f>
        <v>87</v>
      </c>
      <c r="B88" s="1" t="str">
        <f>IFERROR(__xludf.DUMMYFUNCTION("""COMPUTED_VALUE"""),"Chennai")</f>
        <v>Chennai</v>
      </c>
      <c r="C88" s="1" t="str">
        <f>IFERROR(__xludf.DUMMYFUNCTION("""COMPUTED_VALUE"""),"Inde")</f>
        <v>Inde</v>
      </c>
      <c r="D88" s="1">
        <f>IFERROR(__xludf.DUMMYFUNCTION("""COMPUTED_VALUE"""),66.0)</f>
        <v>66</v>
      </c>
      <c r="H88" s="1" t="s">
        <v>3498</v>
      </c>
      <c r="I88" s="1" t="s">
        <v>3425</v>
      </c>
      <c r="J88" s="1">
        <v>198.0</v>
      </c>
      <c r="K88" s="1" t="s">
        <v>3497</v>
      </c>
    </row>
    <row r="89">
      <c r="A89" s="1">
        <f>IFERROR(__xludf.DUMMYFUNCTION("""COMPUTED_VALUE"""),88.0)</f>
        <v>88</v>
      </c>
      <c r="B89" s="1" t="str">
        <f>IFERROR(__xludf.DUMMYFUNCTION("""COMPUTED_VALUE"""),"Porto Alegre")</f>
        <v>Porto Alegre</v>
      </c>
      <c r="C89" s="1" t="str">
        <f>IFERROR(__xludf.DUMMYFUNCTION("""COMPUTED_VALUE"""),"Brésil")</f>
        <v>Brésil</v>
      </c>
      <c r="D89" s="1">
        <f>IFERROR(__xludf.DUMMYFUNCTION("""COMPUTED_VALUE"""),66.0)</f>
        <v>66</v>
      </c>
      <c r="H89" s="1" t="s">
        <v>3499</v>
      </c>
      <c r="I89" s="1" t="s">
        <v>3425</v>
      </c>
      <c r="J89" s="1">
        <v>339.0</v>
      </c>
      <c r="K89" s="1" t="s">
        <v>3500</v>
      </c>
    </row>
    <row r="90">
      <c r="A90" s="1">
        <f>IFERROR(__xludf.DUMMYFUNCTION("""COMPUTED_VALUE"""),89.0)</f>
        <v>89</v>
      </c>
      <c r="B90" s="1" t="str">
        <f>IFERROR(__xludf.DUMMYFUNCTION("""COMPUTED_VALUE"""),"Munich")</f>
        <v>Munich</v>
      </c>
      <c r="C90" s="1" t="str">
        <f>IFERROR(__xludf.DUMMYFUNCTION("""COMPUTED_VALUE"""),"Allemagne")</f>
        <v>Allemagne</v>
      </c>
      <c r="D90" s="1">
        <f>IFERROR(__xludf.DUMMYFUNCTION("""COMPUTED_VALUE"""),64.0)</f>
        <v>64</v>
      </c>
      <c r="H90" s="1" t="s">
        <v>3501</v>
      </c>
      <c r="I90" s="1" t="s">
        <v>3425</v>
      </c>
      <c r="J90" s="1">
        <v>189.0</v>
      </c>
      <c r="K90" s="1" t="s">
        <v>3500</v>
      </c>
    </row>
    <row r="91">
      <c r="A91" s="1">
        <f>IFERROR(__xludf.DUMMYFUNCTION("""COMPUTED_VALUE"""),90.0)</f>
        <v>90</v>
      </c>
      <c r="B91" s="1" t="str">
        <f>IFERROR(__xludf.DUMMYFUNCTION("""COMPUTED_VALUE"""),"Belo Horizonte")</f>
        <v>Belo Horizonte</v>
      </c>
      <c r="C91" s="1" t="str">
        <f>IFERROR(__xludf.DUMMYFUNCTION("""COMPUTED_VALUE"""),"Brésil")</f>
        <v>Brésil</v>
      </c>
      <c r="D91" s="1">
        <f>IFERROR(__xludf.DUMMYFUNCTION("""COMPUTED_VALUE"""),61.0)</f>
        <v>61</v>
      </c>
      <c r="H91" s="1" t="s">
        <v>3502</v>
      </c>
      <c r="I91" s="1" t="s">
        <v>3425</v>
      </c>
      <c r="J91" s="1">
        <v>179.0</v>
      </c>
      <c r="K91" s="1" t="s">
        <v>3503</v>
      </c>
    </row>
    <row r="92">
      <c r="A92" s="1">
        <f>IFERROR(__xludf.DUMMYFUNCTION("""COMPUTED_VALUE"""),91.0)</f>
        <v>91</v>
      </c>
      <c r="B92" s="1" t="str">
        <f>IFERROR(__xludf.DUMMYFUNCTION("""COMPUTED_VALUE"""),"Dublin")</f>
        <v>Dublin</v>
      </c>
      <c r="C92" s="1" t="str">
        <f>IFERROR(__xludf.DUMMYFUNCTION("""COMPUTED_VALUE"""),"Irlande")</f>
        <v>Irlande</v>
      </c>
      <c r="D92" s="1">
        <f>IFERROR(__xludf.DUMMYFUNCTION("""COMPUTED_VALUE"""),61.0)</f>
        <v>61</v>
      </c>
      <c r="H92" s="1" t="s">
        <v>3504</v>
      </c>
      <c r="I92" s="1" t="s">
        <v>3425</v>
      </c>
      <c r="J92" s="1">
        <v>149.0</v>
      </c>
      <c r="K92" s="1" t="s">
        <v>3503</v>
      </c>
    </row>
    <row r="93">
      <c r="A93" s="1">
        <f>IFERROR(__xludf.DUMMYFUNCTION("""COMPUTED_VALUE"""),92.0)</f>
        <v>92</v>
      </c>
      <c r="B93" s="1" t="str">
        <f>IFERROR(__xludf.DUMMYFUNCTION("""COMPUTED_VALUE"""),"Leeds")</f>
        <v>Leeds</v>
      </c>
      <c r="C93" s="1" t="str">
        <f>IFERROR(__xludf.DUMMYFUNCTION("""COMPUTED_VALUE"""),"Royaume-Uni")</f>
        <v>Royaume-Uni</v>
      </c>
      <c r="D93" s="1">
        <f>IFERROR(__xludf.DUMMYFUNCTION("""COMPUTED_VALUE"""),60.0)</f>
        <v>60</v>
      </c>
      <c r="H93" s="1" t="s">
        <v>3505</v>
      </c>
      <c r="I93" s="1" t="s">
        <v>3425</v>
      </c>
      <c r="J93" s="1">
        <v>162.0</v>
      </c>
      <c r="K93" s="1" t="s">
        <v>3506</v>
      </c>
    </row>
    <row r="94">
      <c r="A94" s="1">
        <f>IFERROR(__xludf.DUMMYFUNCTION("""COMPUTED_VALUE"""),93.0)</f>
        <v>93</v>
      </c>
      <c r="B94" s="1" t="str">
        <f>IFERROR(__xludf.DUMMYFUNCTION("""COMPUTED_VALUE"""),"Hyderâbâd")</f>
        <v>Hyderâbâd</v>
      </c>
      <c r="C94" s="1" t="str">
        <f>IFERROR(__xludf.DUMMYFUNCTION("""COMPUTED_VALUE"""),"Inde")</f>
        <v>Inde</v>
      </c>
      <c r="D94" s="1">
        <f>IFERROR(__xludf.DUMMYFUNCTION("""COMPUTED_VALUE"""),60.0)</f>
        <v>60</v>
      </c>
      <c r="H94" s="1" t="s">
        <v>3507</v>
      </c>
      <c r="I94" s="1" t="s">
        <v>3425</v>
      </c>
      <c r="J94" s="1">
        <v>220.0</v>
      </c>
      <c r="K94" s="1" t="s">
        <v>3508</v>
      </c>
    </row>
    <row r="95">
      <c r="A95" s="1">
        <f>IFERROR(__xludf.DUMMYFUNCTION("""COMPUTED_VALUE"""),94.0)</f>
        <v>94</v>
      </c>
      <c r="B95" s="1" t="str">
        <f>IFERROR(__xludf.DUMMYFUNCTION("""COMPUTED_VALUE"""),"Ankara")</f>
        <v>Ankara</v>
      </c>
      <c r="C95" s="1" t="str">
        <f>IFERROR(__xludf.DUMMYFUNCTION("""COMPUTED_VALUE"""),"Turquie")</f>
        <v>Turquie</v>
      </c>
      <c r="D95" s="1" t="str">
        <f>IFERROR(__xludf.DUMMYFUNCTION("""COMPUTED_VALUE"""),"*58*")</f>
        <v>*58*</v>
      </c>
      <c r="H95" s="1" t="s">
        <v>3509</v>
      </c>
      <c r="I95" s="1" t="s">
        <v>3425</v>
      </c>
      <c r="J95" s="1">
        <v>209.0</v>
      </c>
      <c r="K95" s="1" t="s">
        <v>3510</v>
      </c>
    </row>
    <row r="96">
      <c r="A96" s="1">
        <f>IFERROR(__xludf.DUMMYFUNCTION("""COMPUTED_VALUE"""),95.0)</f>
        <v>95</v>
      </c>
      <c r="B96" s="1" t="str">
        <f>IFERROR(__xludf.DUMMYFUNCTION("""COMPUTED_VALUE"""),"Hô-Chi-Minh-Ville")</f>
        <v>Hô-Chi-Minh-Ville</v>
      </c>
      <c r="C96" s="1" t="str">
        <f>IFERROR(__xludf.DUMMYFUNCTION("""COMPUTED_VALUE"""),"Vietnam")</f>
        <v>Vietnam</v>
      </c>
      <c r="D96" s="1">
        <f>IFERROR(__xludf.DUMMYFUNCTION("""COMPUTED_VALUE"""),58.0)</f>
        <v>58</v>
      </c>
      <c r="H96" s="1" t="s">
        <v>3511</v>
      </c>
      <c r="I96" s="1" t="s">
        <v>3425</v>
      </c>
      <c r="J96" s="1">
        <v>137.0</v>
      </c>
      <c r="K96" s="1" t="s">
        <v>3510</v>
      </c>
    </row>
    <row r="97">
      <c r="A97" s="1">
        <f>IFERROR(__xludf.DUMMYFUNCTION("""COMPUTED_VALUE"""),96.0)</f>
        <v>96</v>
      </c>
      <c r="B97" s="1" t="str">
        <f>IFERROR(__xludf.DUMMYFUNCTION("""COMPUTED_VALUE"""),"Helsinki")</f>
        <v>Helsinki</v>
      </c>
      <c r="C97" s="1" t="str">
        <f>IFERROR(__xludf.DUMMYFUNCTION("""COMPUTED_VALUE"""),"Finlande")</f>
        <v>Finlande</v>
      </c>
      <c r="D97" s="1">
        <f>IFERROR(__xludf.DUMMYFUNCTION("""COMPUTED_VALUE"""),58.0)</f>
        <v>58</v>
      </c>
      <c r="H97" s="1" t="s">
        <v>3512</v>
      </c>
      <c r="I97" s="1" t="s">
        <v>3425</v>
      </c>
      <c r="J97" s="1">
        <v>316.0</v>
      </c>
      <c r="K97" s="1" t="s">
        <v>3513</v>
      </c>
    </row>
    <row r="98">
      <c r="A98" s="1">
        <f>IFERROR(__xludf.DUMMYFUNCTION("""COMPUTED_VALUE"""),97.0)</f>
        <v>97</v>
      </c>
      <c r="B98" s="1" t="str">
        <f>IFERROR(__xludf.DUMMYFUNCTION("""COMPUTED_VALUE"""),"Chongqing")</f>
        <v>Chongqing</v>
      </c>
      <c r="C98" s="1" t="str">
        <f>IFERROR(__xludf.DUMMYFUNCTION("""COMPUTED_VALUE"""),"Chine")</f>
        <v>Chine</v>
      </c>
      <c r="D98" s="1">
        <f>IFERROR(__xludf.DUMMYFUNCTION("""COMPUTED_VALUE"""),57.0)</f>
        <v>57</v>
      </c>
      <c r="H98" s="1" t="s">
        <v>3514</v>
      </c>
      <c r="I98" s="1" t="s">
        <v>3425</v>
      </c>
      <c r="J98" s="1">
        <v>156.0</v>
      </c>
      <c r="K98" s="1" t="s">
        <v>3515</v>
      </c>
    </row>
    <row r="99">
      <c r="A99" s="1">
        <f>IFERROR(__xludf.DUMMYFUNCTION("""COMPUTED_VALUE"""),98.0)</f>
        <v>98</v>
      </c>
      <c r="B99" s="1" t="str">
        <f>IFERROR(__xludf.DUMMYFUNCTION("""COMPUTED_VALUE"""),"Auckland")</f>
        <v>Auckland</v>
      </c>
      <c r="C99" s="1" t="str">
        <f>IFERROR(__xludf.DUMMYFUNCTION("""COMPUTED_VALUE"""),"Nouvelle-Zélande")</f>
        <v>Nouvelle-Zélande</v>
      </c>
      <c r="D99" s="1">
        <f>IFERROR(__xludf.DUMMYFUNCTION("""COMPUTED_VALUE"""),55.0)</f>
        <v>55</v>
      </c>
      <c r="H99" s="1" t="s">
        <v>3516</v>
      </c>
      <c r="I99" s="1" t="s">
        <v>3425</v>
      </c>
      <c r="J99" s="1">
        <v>233.0</v>
      </c>
      <c r="K99" s="1" t="s">
        <v>3517</v>
      </c>
    </row>
    <row r="100">
      <c r="A100" s="1">
        <f>IFERROR(__xludf.DUMMYFUNCTION("""COMPUTED_VALUE"""),99.0)</f>
        <v>99</v>
      </c>
      <c r="B100" s="1" t="str">
        <f>IFERROR(__xludf.DUMMYFUNCTION("""COMPUTED_VALUE"""),"East Rand")</f>
        <v>East Rand</v>
      </c>
      <c r="C100" s="1" t="str">
        <f>IFERROR(__xludf.DUMMYFUNCTION("""COMPUTED_VALUE"""),"Afrique du Sud")</f>
        <v>Afrique du Sud</v>
      </c>
      <c r="D100" s="1">
        <f>IFERROR(__xludf.DUMMYFUNCTION("""COMPUTED_VALUE"""),54.0)</f>
        <v>54</v>
      </c>
      <c r="H100" s="1" t="s">
        <v>3518</v>
      </c>
      <c r="I100" s="1" t="s">
        <v>3425</v>
      </c>
      <c r="J100" s="1">
        <v>186.0</v>
      </c>
      <c r="K100" s="1" t="s">
        <v>3519</v>
      </c>
    </row>
    <row r="101">
      <c r="A101" s="1">
        <f>IFERROR(__xludf.DUMMYFUNCTION("""COMPUTED_VALUE"""),100.0)</f>
        <v>100</v>
      </c>
      <c r="B101" s="1" t="str">
        <f>IFERROR(__xludf.DUMMYFUNCTION("""COMPUTED_VALUE"""),"Budapest")</f>
        <v>Budapest</v>
      </c>
      <c r="C101" s="1" t="str">
        <f>IFERROR(__xludf.DUMMYFUNCTION("""COMPUTED_VALUE"""),"Hongrie")</f>
        <v>Hongrie</v>
      </c>
      <c r="D101" s="1">
        <f>IFERROR(__xludf.DUMMYFUNCTION("""COMPUTED_VALUE"""),53.0)</f>
        <v>53</v>
      </c>
      <c r="H101" s="1" t="s">
        <v>3520</v>
      </c>
      <c r="I101" s="1" t="s">
        <v>3425</v>
      </c>
      <c r="J101" s="1">
        <v>232.0</v>
      </c>
      <c r="K101" s="1" t="s">
        <v>3521</v>
      </c>
    </row>
    <row r="102">
      <c r="A102" s="1" t="str">
        <f>IFERROR(__xludf.DUMMYFUNCTION("""COMPUTED_VALUE"""),"H.C.")</f>
        <v>H.C.</v>
      </c>
      <c r="B102" s="1" t="str">
        <f>IFERROR(__xludf.DUMMYFUNCTION("""COMPUTED_VALUE"""),"Francfort")</f>
        <v>Francfort</v>
      </c>
      <c r="C102" s="1" t="str">
        <f>IFERROR(__xludf.DUMMYFUNCTION("""COMPUTED_VALUE"""),"Allemagne")</f>
        <v>Allemagne</v>
      </c>
      <c r="D102" s="1" t="str">
        <f>IFERROR(__xludf.DUMMYFUNCTION("""COMPUTED_VALUE"""),"200[2]")</f>
        <v>200[2]</v>
      </c>
    </row>
  </sheetData>
  <drawing r:id="rId1"/>
</worksheet>
</file>
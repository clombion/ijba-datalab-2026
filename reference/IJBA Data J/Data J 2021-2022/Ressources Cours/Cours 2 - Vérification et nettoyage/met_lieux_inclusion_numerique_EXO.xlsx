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met_lieux_inclusion_num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<sst xmlns="http://schemas.openxmlformats.org/spreadsheetml/2006/main" count="1222" uniqueCount="568">
  <si>
    <t>nom</t>
  </si>
  <si>
    <t>structure_porteuse</t>
  </si>
  <si>
    <t xml:space="preserve"> </t>
  </si>
  <si>
    <t>type_lieu</t>
  </si>
  <si>
    <t>statut</t>
  </si>
  <si>
    <t>nature_juridique</t>
  </si>
  <si>
    <t>siret</t>
  </si>
  <si>
    <t>adresse_brut</t>
  </si>
  <si>
    <t>adresse_code_postal</t>
  </si>
  <si>
    <t>adresse_code_insee</t>
  </si>
  <si>
    <t>adresse_commune</t>
  </si>
  <si>
    <t>departement_region</t>
  </si>
  <si>
    <t>latitude</t>
  </si>
  <si>
    <t>longitude</t>
  </si>
  <si>
    <t>CCAS Carbon-Blanc</t>
  </si>
  <si>
    <t>Commune (Ville, CCAS, Centre Culturel…)</t>
  </si>
  <si>
    <t>Public</t>
  </si>
  <si>
    <t>Collectivité locale ou territoriale</t>
  </si>
  <si>
    <t>Maison pour tous Parc Favols</t>
  </si>
  <si>
    <t>Carbon-Blanc</t>
  </si>
  <si>
    <t>Gironde Nouvelle Aquitaine</t>
  </si>
  <si>
    <t>' N</t>
  </si>
  <si>
    <t>' W</t>
  </si>
  <si>
    <t>Infos Jeunes Rennes</t>
  </si>
  <si>
    <t>Mairie de Rennes</t>
  </si>
  <si>
    <t>Rue Lenée</t>
  </si>
  <si>
    <t>Rennes</t>
  </si>
  <si>
    <t>Île-et-Vilaine Bretagne</t>
  </si>
  <si>
    <t>48.1100504' N</t>
  </si>
  <si>
    <t>1.691005' W</t>
  </si>
  <si>
    <t>Pôle Emploi Gironde - Bordeaux Mériadeck</t>
  </si>
  <si>
    <t>Pôle Emploi</t>
  </si>
  <si>
    <t>Autre</t>
  </si>
  <si>
    <t>1 Terrasse du Front du Médoc</t>
  </si>
  <si>
    <t>Bordeaux</t>
  </si>
  <si>
    <t>44.838066640169' N</t>
  </si>
  <si>
    <t>-0.588190718004337' W</t>
  </si>
  <si>
    <t>Bibliothèque François Mitterrand</t>
  </si>
  <si>
    <t>Mairie de Bordeaux</t>
  </si>
  <si>
    <t>Bibliothèque / Médiathèque</t>
  </si>
  <si>
    <t>9 rue Edmond Fabulation</t>
  </si>
  <si>
    <t>Ambarès-et-Lagrave</t>
  </si>
  <si>
    <t>Lormont Informatique Association</t>
  </si>
  <si>
    <t>Association</t>
  </si>
  <si>
    <t>Privé</t>
  </si>
  <si>
    <t>aucun local</t>
  </si>
  <si>
    <t>Lormont</t>
  </si>
  <si>
    <t>Médiathèque Jean Degoul d'Eysines</t>
  </si>
  <si>
    <t>Mairie d'Eysines</t>
  </si>
  <si>
    <t>2 rue de l’Église</t>
  </si>
  <si>
    <t>Eysines</t>
  </si>
  <si>
    <t>Emmaüs Connect</t>
  </si>
  <si>
    <t>38 cours des Aubiers</t>
  </si>
  <si>
    <t>44.8729813595829' N</t>
  </si>
  <si>
    <t>-0.57225924758073' W</t>
  </si>
  <si>
    <t>L'Atelier de No Working Bordeaux Bacalan</t>
  </si>
  <si>
    <t>Autre / Inconnu</t>
  </si>
  <si>
    <t>Société par Actions Simplifiée (SAS)</t>
  </si>
  <si>
    <t>19 rue Achard</t>
  </si>
  <si>
    <t>44.8655620407963' N</t>
  </si>
  <si>
    <t>-0.549216592052866' W</t>
  </si>
  <si>
    <t>Pôle Emploi Gironde - Bordeaux Nord</t>
  </si>
  <si>
    <t>5 place Ravezies</t>
  </si>
  <si>
    <t>44.8373274551188' N</t>
  </si>
  <si>
    <t>-0.572872104001035' W</t>
  </si>
  <si>
    <t>Chantecler Bordeaux</t>
  </si>
  <si>
    <t>impasse Ste Elisabeth</t>
  </si>
  <si>
    <t>44.8541256031603' N</t>
  </si>
  <si>
    <t>-0.57673879988569' W</t>
  </si>
  <si>
    <t>Foyer Fraternel Centre Social</t>
  </si>
  <si>
    <t>Centre social</t>
  </si>
  <si>
    <t>23 rue Gouffrand</t>
  </si>
  <si>
    <t>44.8558462446764' N</t>
  </si>
  <si>
    <t>-0.572110842345362' W</t>
  </si>
  <si>
    <t>Bibliothèque Mériadeck</t>
  </si>
  <si>
    <t>85 cours du Maréchal Juin</t>
  </si>
  <si>
    <t>44.8351168280552' N</t>
  </si>
  <si>
    <t>-0.586759237213544' W</t>
  </si>
  <si>
    <t>CRIJ Nouvelle Aquitaine</t>
  </si>
  <si>
    <t>125 Cours Alsace Lorraine</t>
  </si>
  <si>
    <t>44.8374899117795' N</t>
  </si>
  <si>
    <t>-0.575839282860387' W</t>
  </si>
  <si>
    <t>Le Nom Lieu</t>
  </si>
  <si>
    <t>Tiers-lieu / Coworking / FabLab / Hackerspace</t>
  </si>
  <si>
    <t>Le Node 12 rue des faussets</t>
  </si>
  <si>
    <t>44.840415176588' N</t>
  </si>
  <si>
    <t>-0.570517578425619' W</t>
  </si>
  <si>
    <t>Oxygène</t>
  </si>
  <si>
    <t>27-29 quai Richelieu</t>
  </si>
  <si>
    <t>44.8386536722948' N</t>
  </si>
  <si>
    <t>-0.568043900826017' W</t>
  </si>
  <si>
    <t>Philomathique de Bordeaux</t>
  </si>
  <si>
    <t>66 rue Abbé de l'Epée</t>
  </si>
  <si>
    <t>44.8421776416482' N</t>
  </si>
  <si>
    <t>-0.582816427120468' W</t>
  </si>
  <si>
    <t>Abracodabra</t>
  </si>
  <si>
    <t>Société à responsabilité limitée (SARL)</t>
  </si>
  <si>
    <t>77 rue Lecocq</t>
  </si>
  <si>
    <t>44.8342970402626' N</t>
  </si>
  <si>
    <t>-0.586211937760128' W</t>
  </si>
  <si>
    <t>Bibliothèque Capucins / St Michel</t>
  </si>
  <si>
    <t>10-12 place des Capucins</t>
  </si>
  <si>
    <t>44.8308018716672' N</t>
  </si>
  <si>
    <t>-0.567016016608649' W</t>
  </si>
  <si>
    <t>Bibliothèque Flora Tristan</t>
  </si>
  <si>
    <t>1 place d'Armagnac</t>
  </si>
  <si>
    <t>44.8212741540285' N</t>
  </si>
  <si>
    <t>-0.550768072761059' W</t>
  </si>
  <si>
    <t>Bibliothèque Pierre Veilletet</t>
  </si>
  <si>
    <t>21 rue Domion</t>
  </si>
  <si>
    <t>44.8576510865659' N</t>
  </si>
  <si>
    <t>-0.623685335493888' W</t>
  </si>
  <si>
    <t>Ligue de l'enseignement – Fédération de la Gironde</t>
  </si>
  <si>
    <t>château BétailheBètailhe , 72 avenue de l'Eglise romane</t>
  </si>
  <si>
    <t>Artigues-près-Bordeaux</t>
  </si>
  <si>
    <t>44.8587549498054' N</t>
  </si>
  <si>
    <t>-0.497308676329456' W</t>
  </si>
  <si>
    <t>Le Pixel Relai numérique de Cenon</t>
  </si>
  <si>
    <t>Mairie de Cenon</t>
  </si>
  <si>
    <t>Maison des Associations 11 rue du 8 Mai 1945</t>
  </si>
  <si>
    <t>Cenon</t>
  </si>
  <si>
    <t>44.8521127117729' N</t>
  </si>
  <si>
    <t>-0.513358806912427' W</t>
  </si>
  <si>
    <t>Centre d'animation Bois Fleuri</t>
  </si>
  <si>
    <t>5 Rue des Arts</t>
  </si>
  <si>
    <t>44.8756415415234' N</t>
  </si>
  <si>
    <t>-0.520124802867933' W</t>
  </si>
  <si>
    <t>CLAP Sud-Ouest</t>
  </si>
  <si>
    <t>1 bis, rue des Arts</t>
  </si>
  <si>
    <t>44.875605745008' N</t>
  </si>
  <si>
    <t>-0.519866584630024' W</t>
  </si>
  <si>
    <t>Alter Egaux</t>
  </si>
  <si>
    <t>12 rue du Marechal Joffre</t>
  </si>
  <si>
    <t>Bègles</t>
  </si>
  <si>
    <t>44.8065018752672' N</t>
  </si>
  <si>
    <t>-0.549419830942252' W</t>
  </si>
  <si>
    <t>Bureau Information Jeunesse de Bègles</t>
  </si>
  <si>
    <t>21 rue Calixte Camelle</t>
  </si>
  <si>
    <t>44.8076435408269' N</t>
  </si>
  <si>
    <t>-0.547586500721045' W</t>
  </si>
  <si>
    <t>FabLab BEN (BORDEAUX ECOLE NUMÉRIQUE)</t>
  </si>
  <si>
    <t>09 Av du Prof BERGONIE</t>
  </si>
  <si>
    <t>44.8028048793341' N</t>
  </si>
  <si>
    <t>-0.546547422017029' W</t>
  </si>
  <si>
    <t>Fablab Cohabit</t>
  </si>
  <si>
    <t>IUT de Bordeaux 15 rue Naudet, bât 10a</t>
  </si>
  <si>
    <t>Gradignan</t>
  </si>
  <si>
    <t>44.7889887374992' N</t>
  </si>
  <si>
    <t>-0.612368967969213' W</t>
  </si>
  <si>
    <t>PLIE Portes du Sud</t>
  </si>
  <si>
    <t>7 avenue jean larrieu</t>
  </si>
  <si>
    <t>44.7736456578647' N</t>
  </si>
  <si>
    <t>-0.615701455140657' W</t>
  </si>
  <si>
    <t>Bibliothèque Pablo Neruda</t>
  </si>
  <si>
    <t>Mairie de Pessac</t>
  </si>
  <si>
    <t>16 bis allée des mimosas</t>
  </si>
  <si>
    <t>Pessac</t>
  </si>
  <si>
    <t>44.7905690650944' N</t>
  </si>
  <si>
    <t>-0.631374521566855' W</t>
  </si>
  <si>
    <t>Médiathèque de Thouars</t>
  </si>
  <si>
    <t>Mairie de Talence</t>
  </si>
  <si>
    <t>Le Dôme 221 avenue de Thouars</t>
  </si>
  <si>
    <t>Talence</t>
  </si>
  <si>
    <t>44.7921533785375' N</t>
  </si>
  <si>
    <t>-0.591619437817714' W</t>
  </si>
  <si>
    <t>Association Le Relais Talençais</t>
  </si>
  <si>
    <t>25 rue du 19 Mars  Tour Chateaubriand, Appt 33</t>
  </si>
  <si>
    <t>44.7966261639296' N</t>
  </si>
  <si>
    <t>-0.59542433449458' W</t>
  </si>
  <si>
    <t>Centre socioculturel Les Terrasses</t>
  </si>
  <si>
    <t>14 Avenue de Verdun Cedex 15</t>
  </si>
  <si>
    <t>Martignas-sur-Jalle</t>
  </si>
  <si>
    <t>44.8423719486755' N</t>
  </si>
  <si>
    <t>-0.779397321153063' W</t>
  </si>
  <si>
    <t>Le Puzzle</t>
  </si>
  <si>
    <t>Rue Jean Giono</t>
  </si>
  <si>
    <t>Mérignac</t>
  </si>
  <si>
    <t>44.8517186438456' N</t>
  </si>
  <si>
    <t>-0.649471556771519' W</t>
  </si>
  <si>
    <t>Association Socioculturelle de l'Ouest (ASCO)</t>
  </si>
  <si>
    <t>104 avenue Anatole France</t>
  </si>
  <si>
    <t>Saint-Médard-en-Jalles</t>
  </si>
  <si>
    <t>44.8939099455002' N</t>
  </si>
  <si>
    <t>-0.749362859460567' W</t>
  </si>
  <si>
    <t>Atelier Remuménage</t>
  </si>
  <si>
    <t>5 cours de l'Yser</t>
  </si>
  <si>
    <t>44.8296189183359' N</t>
  </si>
  <si>
    <t>-0.568234732775661' W</t>
  </si>
  <si>
    <t>Centre d'animation Bacalan</t>
  </si>
  <si>
    <t>139 rue Joseph Brunet</t>
  </si>
  <si>
    <t>44.8795887016774' N</t>
  </si>
  <si>
    <t>-0.543182251350188' W</t>
  </si>
  <si>
    <t>Maison des femmes de Bordeaux</t>
  </si>
  <si>
    <t>27 cours Alsace Lorraine</t>
  </si>
  <si>
    <t>44.8379529077461' N</t>
  </si>
  <si>
    <t>-0.569515586992977' W</t>
  </si>
  <si>
    <t>Amicale Laïque de Bacalan</t>
  </si>
  <si>
    <t>5 rue Joseph Brunet</t>
  </si>
  <si>
    <t>44.8740305391211' N</t>
  </si>
  <si>
    <t>-0.546146638400272' W</t>
  </si>
  <si>
    <t>Bibliothèque Bacalan</t>
  </si>
  <si>
    <t>196 rue Achard</t>
  </si>
  <si>
    <t>44.873133961464' N</t>
  </si>
  <si>
    <t>-0.546282394370516' W</t>
  </si>
  <si>
    <t>Centre d'animation Bordeaux Lac</t>
  </si>
  <si>
    <t>79 cours des Aubiers</t>
  </si>
  <si>
    <t>44.8725467917707' N</t>
  </si>
  <si>
    <t>-0.572518333173997' W</t>
  </si>
  <si>
    <t>Centre social et familial Bordeaux Nord</t>
  </si>
  <si>
    <t>58 rue Joséphine</t>
  </si>
  <si>
    <t>44.8602284600313' N</t>
  </si>
  <si>
    <t>-0.562106192547505' W</t>
  </si>
  <si>
    <t>Bibliothèque Grand Parc</t>
  </si>
  <si>
    <t>34 rue Pierre Trébod</t>
  </si>
  <si>
    <t>44.839435124121' N</t>
  </si>
  <si>
    <t>-0.593256789357832' W</t>
  </si>
  <si>
    <t>CCAS de Bordeaux</t>
  </si>
  <si>
    <t>4 rue Claude Bonnier</t>
  </si>
  <si>
    <t>44.8382043106635' N</t>
  </si>
  <si>
    <t>-0.582316627110537' W</t>
  </si>
  <si>
    <t>GEM Grain de Café</t>
  </si>
  <si>
    <t>6 rue Ausone</t>
  </si>
  <si>
    <t>44.8384732018026' N</t>
  </si>
  <si>
    <t>-0.568542188054494' W</t>
  </si>
  <si>
    <t>La Ressourcerie</t>
  </si>
  <si>
    <t>21 Cours du Chapeau Rouge</t>
  </si>
  <si>
    <t>44.8424830956179' N</t>
  </si>
  <si>
    <t>-0.572462929593069' W</t>
  </si>
  <si>
    <t>Groupement des Intellectuels Aveugles ou Amblyopes</t>
  </si>
  <si>
    <t>14 rue de la Réole</t>
  </si>
  <si>
    <t>44.8222816066295' N</t>
  </si>
  <si>
    <t>-0.566530287678929' W</t>
  </si>
  <si>
    <t>Pôle Emploi Gironde - Bordeaux St Jean</t>
  </si>
  <si>
    <t>4 rue Bac Ninh</t>
  </si>
  <si>
    <t>44.8271058055701' N</t>
  </si>
  <si>
    <t>-0.554196479441024' W</t>
  </si>
  <si>
    <t>Pôle Emploi Gironde - Bordeaux Bastide</t>
  </si>
  <si>
    <t>4 rue René Buthaut</t>
  </si>
  <si>
    <t>44.8380460348437' N</t>
  </si>
  <si>
    <t>-0.555132098171409' W</t>
  </si>
  <si>
    <t>APF France handicap Délégation Gironde</t>
  </si>
  <si>
    <t>30 rue Delacroix</t>
  </si>
  <si>
    <t>44.855371825466' N</t>
  </si>
  <si>
    <t>-0.632757573764835' W</t>
  </si>
  <si>
    <t>MJC CL2V</t>
  </si>
  <si>
    <t>11 rue Erik Satie</t>
  </si>
  <si>
    <t>44.8454470154606' N</t>
  </si>
  <si>
    <t>-0.630545305706131' W</t>
  </si>
  <si>
    <t>Médiathèque François Mitterrand</t>
  </si>
  <si>
    <t>Mairie d'Ambès</t>
  </si>
  <si>
    <t>5 avenue du Dr Gustave Couaillac</t>
  </si>
  <si>
    <t>Ambès</t>
  </si>
  <si>
    <t>45.0117542940425' N</t>
  </si>
  <si>
    <t>-0.532699085742132' W</t>
  </si>
  <si>
    <t>CCAS de la Ville d'Artigues-près-Bordeaux</t>
  </si>
  <si>
    <t>château Bétailhe, 72 avenue de l'Eglise romane</t>
  </si>
  <si>
    <t>Unisphères</t>
  </si>
  <si>
    <t>Château de Palmer - Rue Aristide Briand</t>
  </si>
  <si>
    <t>44.8588687967202' N</t>
  </si>
  <si>
    <t>-0.524002976837326' W</t>
  </si>
  <si>
    <t>Fabrique Citoyenne</t>
  </si>
  <si>
    <t>Mairie de Floirac</t>
  </si>
  <si>
    <t>CC de Dravemont Rue Salvador Allende</t>
  </si>
  <si>
    <t>Floirac</t>
  </si>
  <si>
    <t>44.8463369112469' N</t>
  </si>
  <si>
    <t>-0.51028293977931' W</t>
  </si>
  <si>
    <t>LESCAN</t>
  </si>
  <si>
    <t>rue Marcel Cerdan</t>
  </si>
  <si>
    <t>44.8376047991885' N</t>
  </si>
  <si>
    <t>-0.507394294243189' W</t>
  </si>
  <si>
    <t>M.270</t>
  </si>
  <si>
    <t>11 Avenue Pierre Curie</t>
  </si>
  <si>
    <t>44.8364247769704' N</t>
  </si>
  <si>
    <t>-0.531707590720176' W</t>
  </si>
  <si>
    <t>UNIRE Centre Social</t>
  </si>
  <si>
    <t>1 rue Voltaire</t>
  </si>
  <si>
    <t>44.8444830123419' N</t>
  </si>
  <si>
    <t>-0.509406242522894' W</t>
  </si>
  <si>
    <t>DIDEE - Centre social et culturel Carriet</t>
  </si>
  <si>
    <t>4, rue Jacques Thibaud</t>
  </si>
  <si>
    <t>44.8827468615767' N</t>
  </si>
  <si>
    <t>-0.525437555691245' W</t>
  </si>
  <si>
    <t>Médiathèque du Bois Fleuri</t>
  </si>
  <si>
    <t>Marie de Lormont</t>
  </si>
  <si>
    <t>1 rue Lavergne</t>
  </si>
  <si>
    <t>44.8766038808015' N</t>
  </si>
  <si>
    <t>-0.521938633678236' W</t>
  </si>
  <si>
    <t>Bibliothèque de Bègles</t>
  </si>
  <si>
    <t>Mairie de Bègles</t>
  </si>
  <si>
    <t>58 avenue du Maréchal de Lattre de Tassigny</t>
  </si>
  <si>
    <t>44.8056800277814' N</t>
  </si>
  <si>
    <t>-0.543079531580383' W</t>
  </si>
  <si>
    <t>ASTI-Pessac (Association de Solidarité avec Tous les Immigrés</t>
  </si>
  <si>
    <t>Maison municipale de saige - allée des mimosas</t>
  </si>
  <si>
    <t>44.7904094346285' N</t>
  </si>
  <si>
    <t>-0.631189597161964' W</t>
  </si>
  <si>
    <t>ADAV33</t>
  </si>
  <si>
    <t>91 Rue de la République</t>
  </si>
  <si>
    <t>44.8177376513979' N</t>
  </si>
  <si>
    <t>-0.580674541287163' W</t>
  </si>
  <si>
    <t>CCAS de Talence</t>
  </si>
  <si>
    <t>Rue du Professeur Arnozan</t>
  </si>
  <si>
    <t>44.8089936315001' N</t>
  </si>
  <si>
    <t>-0.587922987815969' W</t>
  </si>
  <si>
    <t>Service Municipal Emploi Ville de Talence</t>
  </si>
  <si>
    <t>23 Avenue Espeleta</t>
  </si>
  <si>
    <t>44.8104067328905' N</t>
  </si>
  <si>
    <t>-0.589569364962254' W</t>
  </si>
  <si>
    <t>L'Eycho du Bourg M3E</t>
  </si>
  <si>
    <t>2 avenue de Verdun</t>
  </si>
  <si>
    <t>44.8858595676289' N</t>
  </si>
  <si>
    <t>-0.650427802085846' W</t>
  </si>
  <si>
    <t>L'Eycho de la Forêt</t>
  </si>
  <si>
    <t>10 rue Marguerite Duras</t>
  </si>
  <si>
    <t>44.8637608719417' N</t>
  </si>
  <si>
    <t>-0.643801653753086' W</t>
  </si>
  <si>
    <t>Ricochet</t>
  </si>
  <si>
    <t>8 rue Condorcet</t>
  </si>
  <si>
    <t>Le Bouscat</t>
  </si>
  <si>
    <t>44.8691056484179' N</t>
  </si>
  <si>
    <t>-0.578416104725714' W</t>
  </si>
  <si>
    <t>Centre Socioculturel La Source</t>
  </si>
  <si>
    <t>58 rue Edmond Rostand</t>
  </si>
  <si>
    <t>Le Haillan</t>
  </si>
  <si>
    <t>44.8636131735727' N</t>
  </si>
  <si>
    <t>-0.671097076611717' W</t>
  </si>
  <si>
    <t>Médiathèque du Taillan-Médoc</t>
  </si>
  <si>
    <t>Mairie du Taillan-Médoc</t>
  </si>
  <si>
    <t>8 rue de Calavet</t>
  </si>
  <si>
    <t>Le Taillan-Médoc</t>
  </si>
  <si>
    <t>44.9114663819495' N</t>
  </si>
  <si>
    <t>-0.681306588097497' W</t>
  </si>
  <si>
    <t>AGIRabcd (Association Générale des Intervenants Retraités actions de bénévoles de coopération et de développement)</t>
  </si>
  <si>
    <t>55 avenue du Maréchal de Lattre de Tassigny</t>
  </si>
  <si>
    <t>44.8458005622477' N</t>
  </si>
  <si>
    <t>-0.65471965686926' W</t>
  </si>
  <si>
    <t>Arts et Loisirs d'Arlac - Centre Socioculturel</t>
  </si>
  <si>
    <t>14 rue Marcel</t>
  </si>
  <si>
    <t>44.8232334870555' N</t>
  </si>
  <si>
    <t>-0.62372669315055' W</t>
  </si>
  <si>
    <t>Bureau Information Jeunesse Mérignac</t>
  </si>
  <si>
    <t>Place Charles de Gaulle</t>
  </si>
  <si>
    <t>Mérignac Cedex</t>
  </si>
  <si>
    <t>44.842035341258' N</t>
  </si>
  <si>
    <t>-0.646547467595936' W</t>
  </si>
  <si>
    <t>ConfluenceS</t>
  </si>
  <si>
    <t>11 rue du Commandant Charcot</t>
  </si>
  <si>
    <t>44.864356090348' N</t>
  </si>
  <si>
    <t>-0.725727940959489' W</t>
  </si>
  <si>
    <t>La Ruche – ConfluenceS</t>
  </si>
  <si>
    <t>23 rue Henri Martin</t>
  </si>
  <si>
    <t>44.8934245841448' N</t>
  </si>
  <si>
    <t>-0.714179885020223' W</t>
  </si>
  <si>
    <t>Médiathèque de Saint-Médard-en-Jalles</t>
  </si>
  <si>
    <t>Mairie de Saint-Médard-en-Jalles</t>
  </si>
  <si>
    <t>Place de la République</t>
  </si>
  <si>
    <t>44.8926963614846' N</t>
  </si>
  <si>
    <t>-0.71496582302561' W</t>
  </si>
  <si>
    <t>Maison de quartier Feydit</t>
  </si>
  <si>
    <t>Maison de quartier</t>
  </si>
  <si>
    <t>60 route de Feydit</t>
  </si>
  <si>
    <t>44.8697194156193' N</t>
  </si>
  <si>
    <t>-0.70281075287073' W</t>
  </si>
  <si>
    <t>Atelier Giono</t>
  </si>
  <si>
    <t>Maison Polyvalente Coeur de Bastide 13 allée Jean Giono</t>
  </si>
  <si>
    <t>44.845486732478' N</t>
  </si>
  <si>
    <t>-0.562919208432608' W</t>
  </si>
  <si>
    <t>Ludo-Médiathèque de Saint-Médard-en-Jalles</t>
  </si>
  <si>
    <t>26, rue Aurel Chazeau</t>
  </si>
  <si>
    <t>44.9002627879429' N</t>
  </si>
  <si>
    <t>-0.744992912932955' W</t>
  </si>
  <si>
    <t>L'Eycho du Vigean</t>
  </si>
  <si>
    <t>Grand Caillou, Bât 11</t>
  </si>
  <si>
    <t>44.8806485493299' N</t>
  </si>
  <si>
    <t>-0.635387067744235' W</t>
  </si>
  <si>
    <t>UDAF de la Gironde</t>
  </si>
  <si>
    <t>25 rue Francis Martin</t>
  </si>
  <si>
    <t>44.8496866967274' N</t>
  </si>
  <si>
    <t>-0.582296016292285' W</t>
  </si>
  <si>
    <t>Bibliothèque Bordeaux Lac</t>
  </si>
  <si>
    <t>Place Ginette Neveu</t>
  </si>
  <si>
    <t>44.8738197515941' N</t>
  </si>
  <si>
    <t>-0.572357500735627' W</t>
  </si>
  <si>
    <t>Cap Sciences / Fab Lab du 127°</t>
  </si>
  <si>
    <t>quai de Bacalan</t>
  </si>
  <si>
    <t>44.8596742548768' N</t>
  </si>
  <si>
    <t>-0.554840941922581' W</t>
  </si>
  <si>
    <t>176, rue Achard Bât D</t>
  </si>
  <si>
    <t>44.8712538348828' N</t>
  </si>
  <si>
    <t>-0.5471219312627' W</t>
  </si>
  <si>
    <t>CPAM de la Gironde - Europe</t>
  </si>
  <si>
    <t>Organisme de sécurité sociale (CAF, CPAM, CARSAT, MSA…)</t>
  </si>
  <si>
    <t>Public-privé</t>
  </si>
  <si>
    <t>Place de l'Europe</t>
  </si>
  <si>
    <t>44.8598419227794' N</t>
  </si>
  <si>
    <t>-0.579596200925825' W</t>
  </si>
  <si>
    <t>GP Inten6t</t>
  </si>
  <si>
    <t>Maison de l'emploi de Bordeaux</t>
  </si>
  <si>
    <t>127 avenue Emile Counord</t>
  </si>
  <si>
    <t>44.860192189202' N</t>
  </si>
  <si>
    <t>-0.575155274726418' W</t>
  </si>
  <si>
    <t>CAIO</t>
  </si>
  <si>
    <t>7 rue Ausone</t>
  </si>
  <si>
    <t>44.8383939284361' N</t>
  </si>
  <si>
    <t>-0.568611215892525' W</t>
  </si>
  <si>
    <t>Centre d'animation Saint Pierre</t>
  </si>
  <si>
    <t>4 rue du Mulet</t>
  </si>
  <si>
    <t>44.8395865762102' N</t>
  </si>
  <si>
    <t>-0.572861035491858' W</t>
  </si>
  <si>
    <t>Astrolab’</t>
  </si>
  <si>
    <t>40 rue Laffiteau</t>
  </si>
  <si>
    <t>44.8246991659039' N</t>
  </si>
  <si>
    <t>-0.551960065362746' W</t>
  </si>
  <si>
    <t>Bibliothèque Jean de la Ville de Mirmont</t>
  </si>
  <si>
    <t>Place de l'Eglise Saint-Augustin</t>
  </si>
  <si>
    <t>44.8321917073071' N</t>
  </si>
  <si>
    <t>-0.610899292845509' W</t>
  </si>
  <si>
    <t>UNADEV (Union Nationale des Aveugles et Déficients Visuels)</t>
  </si>
  <si>
    <t>12 rue de Cursol</t>
  </si>
  <si>
    <t>44.8349144689267' N</t>
  </si>
  <si>
    <t>-0.576043795226171' W</t>
  </si>
  <si>
    <t>CPAM de la Gironde - Pelleport</t>
  </si>
  <si>
    <t>232 Rue Pelleport</t>
  </si>
  <si>
    <t>44.8205132178248' N</t>
  </si>
  <si>
    <t>-0.568085077455168' W</t>
  </si>
  <si>
    <t>FAits de Coeur’S</t>
  </si>
  <si>
    <t>45 rue Son Tay</t>
  </si>
  <si>
    <t>44.8250662993679' N</t>
  </si>
  <si>
    <t>-0.551851435413458' W</t>
  </si>
  <si>
    <t>La Halle des Douves</t>
  </si>
  <si>
    <t>4 bis rue des Douves</t>
  </si>
  <si>
    <t>44.8306264205286' N</t>
  </si>
  <si>
    <t>-0.566204732923668' W</t>
  </si>
  <si>
    <t>PIMMS de Bordeaux</t>
  </si>
  <si>
    <t>Point Information Médiation Multi Services (PIMMS)</t>
  </si>
  <si>
    <t>213 bis cours de la Marne</t>
  </si>
  <si>
    <t>44.8275310350376' N</t>
  </si>
  <si>
    <t>-0.558820401540681' W</t>
  </si>
  <si>
    <t>Sesame</t>
  </si>
  <si>
    <t>Bordeaux Métropole</t>
  </si>
  <si>
    <t>Espace Public Numérique (EPN)</t>
  </si>
  <si>
    <t>13 place Canteloup</t>
  </si>
  <si>
    <t>44.8337909140404' N</t>
  </si>
  <si>
    <t>-0.565754451572799' W</t>
  </si>
  <si>
    <t>Bibliothèque La Bastide</t>
  </si>
  <si>
    <t xml:space="preserve"> Bordeaux</t>
  </si>
  <si>
    <t>18-22 rue Alexander Fleming</t>
  </si>
  <si>
    <t>44.8441359166854' N</t>
  </si>
  <si>
    <t>-0.542196720968236' W</t>
  </si>
  <si>
    <t>Centre socioculturel Danielle Mitterrand / MSAP</t>
  </si>
  <si>
    <t>Maison de Service au Public (MSAP)</t>
  </si>
  <si>
    <t>1 rue Louis Massina</t>
  </si>
  <si>
    <t>44.9277930802108' N</t>
  </si>
  <si>
    <t>-0.488512977996998' W</t>
  </si>
  <si>
    <t>Pôle Culturel Evasion</t>
  </si>
  <si>
    <t>Mairie de Ambarès-et-Lagrave</t>
  </si>
  <si>
    <t>place de la République</t>
  </si>
  <si>
    <t>44.9264558802494' N</t>
  </si>
  <si>
    <t>-0.488479333307143' W</t>
  </si>
  <si>
    <t>Médiathèque municipale de Bassens</t>
  </si>
  <si>
    <t>Mairie de Bassens</t>
  </si>
  <si>
    <t>rue 8 mai 1945</t>
  </si>
  <si>
    <t>Bassens</t>
  </si>
  <si>
    <t>44.8996031552278' N</t>
  </si>
  <si>
    <t>-0.516190784702733' W</t>
  </si>
  <si>
    <t>Médiathèque de Carbon-Blanc</t>
  </si>
  <si>
    <t>Mairie de Carbon-Blanc</t>
  </si>
  <si>
    <t>17 Avenue Vignau Anglade BP 30</t>
  </si>
  <si>
    <t>44.8958988624813' N</t>
  </si>
  <si>
    <t>-0.514769766938758' W</t>
  </si>
  <si>
    <t>Centre social et culturel La Colline</t>
  </si>
  <si>
    <t>2 rue Stéphane Mallarmé</t>
  </si>
  <si>
    <t>44.856408823067' N</t>
  </si>
  <si>
    <t>-0.520666850365824' W</t>
  </si>
  <si>
    <t>PIMMS de Cenon</t>
  </si>
  <si>
    <t>89 avenue Jean Jaurès</t>
  </si>
  <si>
    <t>44.8570117421531' N</t>
  </si>
  <si>
    <t>-0.532118545204031' W</t>
  </si>
  <si>
    <t>Rocher de Palmer I Musiques de Nuit Diffusion</t>
  </si>
  <si>
    <t>1 rue Aristide Briand</t>
  </si>
  <si>
    <t>44.8621455642501' N</t>
  </si>
  <si>
    <t>-0.52400296271831' W</t>
  </si>
  <si>
    <t>DEFI</t>
  </si>
  <si>
    <t>18 Rue Henri DUNANT esplanade Saint-Hilaire</t>
  </si>
  <si>
    <t>44.8714835662089' N</t>
  </si>
  <si>
    <t>-0.51433540137424' W</t>
  </si>
  <si>
    <t>Mediatheque Jean Vautrin</t>
  </si>
  <si>
    <t>Mairie de Gradignan</t>
  </si>
  <si>
    <t>32 route de léognan</t>
  </si>
  <si>
    <t>44.7680067313461' N</t>
  </si>
  <si>
    <t>-0.611460715625453' W</t>
  </si>
  <si>
    <t>EPI'SOL Pessac</t>
  </si>
  <si>
    <t>8 place germaine tillion</t>
  </si>
  <si>
    <t>44.8052764816374' N</t>
  </si>
  <si>
    <t>-0.632860320910708' W</t>
  </si>
  <si>
    <t>Espace Social et d'Animation Alain Coudert</t>
  </si>
  <si>
    <t>68 rue de l'horloge</t>
  </si>
  <si>
    <t>44.7911631632469' N</t>
  </si>
  <si>
    <t>-0.628702414403621' W</t>
  </si>
  <si>
    <t>Centre Social de Bagatelle</t>
  </si>
  <si>
    <t>203 Route de Toulouse</t>
  </si>
  <si>
    <t>44.8085123457487' N</t>
  </si>
  <si>
    <t>-0.573962965955822' W</t>
  </si>
  <si>
    <t>Médiathèque Castagnéra</t>
  </si>
  <si>
    <t>1 allée Peixotto</t>
  </si>
  <si>
    <t>44.8073646003272' N</t>
  </si>
  <si>
    <t>-0.590091761879263' W</t>
  </si>
  <si>
    <t>Médiathèque d'Ornon</t>
  </si>
  <si>
    <t>Mairie de Villenave-d'Ornon</t>
  </si>
  <si>
    <t>46 bis rue Jean-Jacques Rousseau</t>
  </si>
  <si>
    <t>Villenave-d'Ornon</t>
  </si>
  <si>
    <t>44.7647467798463' N</t>
  </si>
  <si>
    <t>-0.584067604517552' W</t>
  </si>
  <si>
    <t>Médiathèque Les Etoiles</t>
  </si>
  <si>
    <t>7 rue Colette Besson</t>
  </si>
  <si>
    <t>44.776760132855' N</t>
  </si>
  <si>
    <t>-0.532773266803185' W</t>
  </si>
  <si>
    <t>Service Municipal Emploi de Villenave d'Ornon</t>
  </si>
  <si>
    <t>Domaine Jacques Brel, 45 Avenue du Marechal Leclerc</t>
  </si>
  <si>
    <t>44.778427104317' N</t>
  </si>
  <si>
    <t>-0.573094593051273' W</t>
  </si>
  <si>
    <t>Médiathèque Assia Djebar</t>
  </si>
  <si>
    <t>Mairie de Blanquefort</t>
  </si>
  <si>
    <t>4 rue du Docteur Castéra</t>
  </si>
  <si>
    <t>Blanquefort</t>
  </si>
  <si>
    <t>44.9104983923576' N</t>
  </si>
  <si>
    <t>-0.632884204441594' W</t>
  </si>
  <si>
    <t>Bibliothèque du Haillan</t>
  </si>
  <si>
    <t>Mairie du Haillan</t>
  </si>
  <si>
    <t>30 rue de Los Heros</t>
  </si>
  <si>
    <t>44.8739005905383' N</t>
  </si>
  <si>
    <t>-0.675935112261396' W</t>
  </si>
  <si>
    <t>CCAS de Mérignac</t>
  </si>
  <si>
    <t>60 Avenue Maréchal de Lattre de Tassigny</t>
  </si>
  <si>
    <t>44.8461771954759' N</t>
  </si>
  <si>
    <t>-0.656229041984005' W</t>
  </si>
  <si>
    <t>Le Vivier des Partages</t>
  </si>
  <si>
    <t>Espace Public Numérique de Beaudésert : Réseau des Médiathèques de Mérignac</t>
  </si>
  <si>
    <t>Mairie de Mérignac</t>
  </si>
  <si>
    <t>74  avenue des marronniers</t>
  </si>
  <si>
    <t>44.8437159703148' N</t>
  </si>
  <si>
    <t>-0.679598329225639' W</t>
  </si>
  <si>
    <t>Médiathèque Michel Sainte-Marie Espace Public Numérique</t>
  </si>
  <si>
    <t>19 place Charles de Gaulle</t>
  </si>
  <si>
    <t>44.8423693794038' N</t>
  </si>
  <si>
    <t>-0.646640984989363' W</t>
  </si>
  <si>
    <t>Mission Locale Technowest</t>
  </si>
  <si>
    <t>9 rue Montgolfier</t>
  </si>
  <si>
    <t>44.8550175341636' N</t>
  </si>
  <si>
    <t>-0.65310983538959' W</t>
  </si>
  <si>
    <t>Atelier Brach</t>
  </si>
  <si>
    <t>33 rue de Brach</t>
  </si>
  <si>
    <t>44.8389866834739' N</t>
  </si>
  <si>
    <t>-0.594572270945236' W</t>
  </si>
  <si>
    <t>Centre d'animation Monséjour</t>
  </si>
  <si>
    <t>rue François Coppée</t>
  </si>
  <si>
    <t>44.8541855653373' N</t>
  </si>
  <si>
    <t>-0.629699824219564' W</t>
  </si>
  <si>
    <t>Espace de vie sociale Barthez</t>
  </si>
  <si>
    <t>20 bis bd malartic  residence barthez</t>
  </si>
  <si>
    <t>44.7708750360885' N</t>
  </si>
  <si>
    <t>-0.600367778910753' W</t>
  </si>
  <si>
    <t>Eysines France Services</t>
  </si>
  <si>
    <t>Place du Rouillaou</t>
  </si>
  <si>
    <t>44.8798847142447' N</t>
  </si>
  <si>
    <t>-0.636249034327296' W</t>
  </si>
  <si>
    <t>COUNTA of structure_porteuse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</si>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</sst>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ont="1">
      <alignment shrinkToFit="0" wrapText="1"/>
    </xf>
    <xf borderId="0" fillId="3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26" sheet="Copy of met_lieux_inclusion_num"/>
  </cacheSource>
  <cacheFields>
    <cacheField name="nom" numFmtId="0">
      <sharedItems>
        <s v="CCAS Carbon-Blanc"/>
        <s v="Infos Jeunes Rennes"/>
        <s v="Pôle Emploi Gironde - Bordeaux Mériadeck"/>
        <s v="Bibliothèque François Mitterrand"/>
        <s v="Lormont Informatique Association"/>
        <s v="Médiathèque Jean Degoul d'Eysines"/>
        <s v="Emmaüs Connect"/>
        <s v="L'Atelier de No Working Bordeaux Bacalan"/>
        <s v="Pôle Emploi Gironde - Bordeaux Nord"/>
        <s v="Chantecler Bordeaux"/>
        <s v="Foyer Fraternel Centre Social"/>
        <s v="Bibliothèque Mériadeck"/>
        <s v="CRIJ Nouvelle Aquitaine"/>
        <s v="Le Nom Lieu"/>
        <s v="Oxygène"/>
        <s v="Philomathique de Bordeaux"/>
        <s v="Abracodabra"/>
        <s v="Bibliothèque Capucins / St Michel"/>
        <s v="Bibliothèque Flora Tristan"/>
        <s v="Bibliothèque Pierre Veilletet"/>
        <s v="Ligue de l'enseignement – Fédération de la Gironde"/>
        <s v="Le Pixel Relai numérique de Cenon"/>
        <s v="Centre d'animation Bois Fleuri"/>
        <s v="CLAP Sud-Ouest"/>
        <s v="Alter Egaux"/>
        <s v="Bureau Information Jeunesse de Bègles"/>
        <s v="FabLab BEN (BORDEAUX ECOLE NUMÉRIQUE)"/>
        <s v="Fablab Cohabit"/>
        <s v="PLIE Portes du Sud"/>
        <s v="Bibliothèque Pablo Neruda"/>
        <s v="Médiathèque de Thouars"/>
        <s v="Association Le Relais Talençais"/>
        <s v="Centre socioculturel Les Terrasses"/>
        <s v="Le Puzzle"/>
        <s v="Association Socioculturelle de l'Ouest (ASCO)"/>
        <s v="Atelier Remuménage"/>
        <s v="Centre d'animation Bacalan"/>
        <s v="Maison des femmes de Bordeaux"/>
        <s v="Amicale Laïque de Bacalan"/>
        <s v="Bibliothèque Bacalan"/>
        <s v="Centre d'animation Bordeaux Lac"/>
        <s v="Centre social et familial Bordeaux Nord"/>
        <s v="Bibliothèque Grand Parc"/>
        <s v="CCAS de Bordeaux"/>
        <s v="GEM Grain de Café"/>
        <s v="La Ressourcerie"/>
        <s v="Groupement des Intellectuels Aveugles ou Amblyopes"/>
        <s v="Pôle Emploi Gironde - Bordeaux St Jean"/>
        <s v="Pôle Emploi Gironde - Bordeaux Bastide"/>
        <s v="APF France handicap Délégation Gironde"/>
        <s v="MJC CL2V"/>
        <s v="Médiathèque François Mitterrand"/>
        <s v="CCAS de la Ville d'Artigues-près-Bordeaux"/>
        <s v="Unisphères"/>
        <s v="Fabrique Citoyenne"/>
        <s v="LESCAN"/>
        <s v="M.270"/>
        <s v="UNIRE Centre Social"/>
        <s v="DIDEE - Centre social et culturel Carriet"/>
        <s v="Médiathèque du Bois Fleuri"/>
        <s v="Bibliothèque de Bègles"/>
        <s v="ASTI-Pessac (Association de Solidarité avec Tous les Immigrés"/>
        <s v="ADAV33"/>
        <s v="CCAS de Talence"/>
        <s v="Service Municipal Emploi Ville de Talence"/>
        <s v="L'Eycho du Bourg M3E"/>
        <s v="L'Eycho de la Forêt"/>
        <s v="Ricochet"/>
        <s v="Centre Socioculturel La Source"/>
        <s v="Médiathèque du Taillan-Médoc"/>
        <s v="AGIRabcd (Association Générale des Intervenants Retraités actions de bénévoles de coopération et de développement)"/>
        <s v="Arts et Loisirs d'Arlac - Centre Socioculturel"/>
        <s v="Bureau Information Jeunesse Mérignac"/>
        <s v="ConfluenceS"/>
        <s v="La Ruche – ConfluenceS"/>
        <s v="Médiathèque de Saint-Médard-en-Jalles"/>
        <s v="Maison de quartier Feydit"/>
        <s v="Atelier Giono"/>
        <s v="Ludo-Médiathèque de Saint-Médard-en-Jalles"/>
        <s v="L'Eycho du Vigean"/>
        <s v="UDAF de la Gironde"/>
        <s v="Bibliothèque Bordeaux Lac"/>
        <s v="Cap Sciences / Fab Lab du 127°"/>
        <s v="CPAM de la Gironde - Europe"/>
        <s v="GP Inten6t"/>
        <s v="Maison de l'emploi de Bordeaux"/>
        <s v="CAIO"/>
        <s v="Centre d'animation Saint Pierre"/>
        <s v="Astrolab’"/>
        <s v="Bibliothèque Jean de la Ville de Mirmont"/>
        <s v="UNADEV (Union Nationale des Aveugles et Déficients Visuels)"/>
        <s v="CPAM de la Gironde - Pelleport"/>
        <s v="FAits de Coeur’S"/>
        <s v="La Halle des Douves"/>
        <s v="PIMMS de Bordeaux"/>
        <s v="Sesame"/>
        <s v="Bibliothèque La Bastide"/>
        <s v="Centre socioculturel Danielle Mitterrand / MSAP"/>
        <s v="Pôle Culturel Evasion"/>
        <s v="Médiathèque municipale de Bassens"/>
        <s v="Médiathèque de Carbon-Blanc"/>
        <s v="Centre social et culturel La Colline"/>
        <s v="PIMMS de Cenon"/>
        <s v="Rocher de Palmer I Musiques de Nuit Diffusion"/>
        <s v="DEFI"/>
        <s v="Mediatheque Jean Vautrin"/>
        <s v="EPI'SOL Pessac"/>
        <s v="Espace Social et d'Animation Alain Coudert"/>
        <s v="Centre Social de Bagatelle"/>
        <s v="Médiathèque Castagnéra"/>
        <s v="Médiathèque d'Ornon"/>
        <s v="Médiathèque Les Etoiles"/>
        <s v="Service Municipal Emploi de Villenave d'Ornon"/>
        <s v="Médiathèque Assia Djebar"/>
        <s v="Bibliothèque du Haillan"/>
        <s v="CCAS de Mérignac"/>
        <s v="Le Vivier des Partages"/>
        <s v="Espace Public Numérique de Beaudésert : Réseau des Médiathèques de Mérignac"/>
        <s v="Médiathèque Michel Sainte-Marie Espace Public Numérique"/>
        <s v="Mission Locale Technowest"/>
        <s v="Atelier Brach"/>
        <s v="Centre d'animation Monséjour"/>
        <s v="Espace de vie sociale Barthez"/>
        <s v="Eysines France Services"/>
      </sharedItems>
    </cacheField>
    <cacheField name="structure_porteuse" numFmtId="0">
      <sharedItems containsBlank="1">
        <m/>
        <s v="Mairie de Rennes"/>
        <s v="Pôle Emploi"/>
        <s v="Mairie de Bordeaux"/>
        <s v="Mairie d'Eysines"/>
        <s v="Mairie de Cenon"/>
        <s v="Mairie de Pessac"/>
        <s v="Mairie de Talence"/>
        <s v="Mairie d'Ambès"/>
        <s v="Mairie de Floirac"/>
        <s v="Marie de Lormont"/>
        <s v="Mairie de Bègles"/>
        <s v="Mairie du Taillan-Médoc"/>
        <s v="Mairie de Saint-Médard-en-Jalles"/>
        <s v="Bordeaux Métropole"/>
        <s v=" Bordeaux"/>
        <s v="Mairie de Ambarès-et-Lagrave"/>
        <s v="Mairie de Bassens"/>
        <s v="Mairie de Carbon-Blanc"/>
        <s v="Mairie de Gradignan"/>
        <s v="Mairie de Villenave-d'Ornon"/>
        <s v="Mairie de Blanquefort"/>
        <s v="Mairie du Haillan"/>
        <s v="Mairie de Mérignac"/>
      </sharedItems>
    </cacheField>
    <cacheField name=" " numFmtId="0">
      <sharedItems containsBlank="1">
        <m/>
        <s v="Mairie de Rennes"/>
        <s v="Pôle Emploi"/>
        <s v="Mairie de Bordeaux"/>
        <s v="Mairie d'Eysines"/>
        <s v="Mairie de Cenon"/>
        <s v="Mairie de Pessac"/>
        <s v="Mairie de Talence"/>
        <s v="Mairie d'Ambès"/>
        <s v="Mairie de Floirac"/>
        <s v="Marie de Lormont"/>
        <s v="Mairie de Bègles"/>
        <s v="Mairie du Taillan-Médoc"/>
        <s v="Mairie de Saint-Médard-en-Jalles"/>
        <s v="Bordeaux Métropole"/>
        <s v="Mairie de Ambarès-et-Lagrave"/>
        <s v="Mairie de Bassens"/>
        <s v="Mairie de Carbon-Blanc"/>
        <s v="Mairie de Gradignan"/>
        <s v="Mairie de Villenave-d'Ornon"/>
        <s v="Mairie de Blanquefort"/>
        <s v="Mairie du Haillan"/>
        <s v="Mairie de Mérignac"/>
      </sharedItems>
    </cacheField>
    <cacheField name="type_lieu" numFmtId="0">
      <sharedItems>
        <s v="Commune (Ville, CCAS, Centre Culturel…)"/>
        <s v="Pôle Emploi"/>
        <s v="Bibliothèque / Médiathèque"/>
        <s v="Association"/>
        <s v="Autre / Inconnu"/>
        <s v="Centre social"/>
        <s v="Tiers-lieu / Coworking / FabLab / Hackerspace"/>
        <s v="Maison de quartier"/>
        <s v="Organisme de sécurité sociale (CAF, CPAM, CARSAT, MSA…)"/>
        <s v="Point Information Médiation Multi Services (PIMMS)"/>
        <s v="Espace Public Numérique (EPN)"/>
        <s v="Maison de Service au Public (MSAP)"/>
      </sharedItems>
    </cacheField>
    <cacheField name="statut" numFmtId="0">
      <sharedItems>
        <s v="Public"/>
        <s v="Privé"/>
        <s v="Public-privé"/>
      </sharedItems>
    </cacheField>
    <cacheField name="nature_juridique" numFmtId="0">
      <sharedItems>
        <s v="Collectivité locale ou territoriale"/>
        <s v="Autre"/>
        <s v="Association"/>
        <s v="Société par Actions Simplifiée (SAS)"/>
        <s v="Société à responsabilité limitée (SARL)"/>
      </sharedItems>
    </cacheField>
    <cacheField name="siret" numFmtId="0">
      <sharedItems containsString="0" containsBlank="1" containsNumber="1" containsInteger="1">
        <m/>
        <n v="7.92E13"/>
        <n v="2.13E13"/>
        <n v="7.82E13"/>
        <n v="4.0E13"/>
      </sharedItems>
    </cacheField>
    <cacheField name="adresse_brut" numFmtId="0">
      <sharedItems>
        <s v="Maison pour tous Parc Favols"/>
        <s v="Rue Lenée"/>
        <s v="1 Terrasse du Front du Médoc"/>
        <s v="9 rue Edmond Fabulation"/>
        <s v="aucun local"/>
        <s v="2 rue de l’Église"/>
        <s v="38 cours des Aubiers"/>
        <s v="19 rue Achard"/>
        <s v="5 place Ravezies"/>
        <s v="impasse Ste Elisabeth"/>
        <s v="23 rue Gouffrand"/>
        <s v="85 cours du Maréchal Juin"/>
        <s v="125 Cours Alsace Lorraine"/>
        <s v="Le Node 12 rue des faussets"/>
        <s v="27-29 quai Richelieu"/>
        <s v="66 rue Abbé de l'Epée"/>
        <s v="77 rue Lecocq"/>
        <s v="10-12 place des Capucins"/>
        <s v="1 place d'Armagnac"/>
        <s v="21 rue Domion"/>
        <s v="château BétailheBètailhe , 72 avenue de l'Eglise romane"/>
        <s v="Maison des Associations 11 rue du 8 Mai 1945"/>
        <s v="5 Rue des Arts"/>
        <s v="1 bis, rue des Arts"/>
        <s v="12 rue du Marechal Joffre"/>
        <s v="21 rue Calixte Camelle"/>
        <s v="09 Av du Prof BERGONIE"/>
        <s v="IUT de Bordeaux 15 rue Naudet, bât 10a"/>
        <s v="7 avenue jean larrieu"/>
        <s v="16 bis allée des mimosas"/>
        <s v="Le Dôme 221 avenue de Thouars"/>
        <s v="25 rue du 19 Mars  Tour Chateaubriand, Appt 33"/>
        <s v="14 Avenue de Verdun Cedex 15"/>
        <s v="Rue Jean Giono"/>
        <s v="104 avenue Anatole France"/>
        <s v="5 cours de l'Yser"/>
        <s v="139 rue Joseph Brunet"/>
        <s v="27 cours Alsace Lorraine"/>
        <s v="5 rue Joseph Brunet"/>
        <s v="196 rue Achard"/>
        <s v="79 cours des Aubiers"/>
        <s v="58 rue Joséphine"/>
        <s v="34 rue Pierre Trébod"/>
        <s v="4 rue Claude Bonnier"/>
        <s v="6 rue Ausone"/>
        <s v="21 Cours du Chapeau Rouge"/>
        <s v="14 rue de la Réole"/>
        <s v="4 rue Bac Ninh"/>
        <s v="4 rue René Buthaut"/>
        <s v="30 rue Delacroix"/>
        <s v="11 rue Erik Satie"/>
        <s v="5 avenue du Dr Gustave Couaillac"/>
        <s v="château Bétailhe, 72 avenue de l'Eglise romane"/>
        <s v="Château de Palmer - Rue Aristide Briand"/>
        <s v="CC de Dravemont Rue Salvador Allende"/>
        <s v="rue Marcel Cerdan"/>
        <s v="11 Avenue Pierre Curie"/>
        <s v="1 rue Voltaire"/>
        <s v="4, rue Jacques Thibaud"/>
        <s v="1 rue Lavergne"/>
        <s v="58 avenue du Maréchal de Lattre de Tassigny"/>
        <s v="Maison municipale de saige - allée des mimosas"/>
        <s v="91 Rue de la République"/>
        <s v="Rue du Professeur Arnozan"/>
        <s v="23 Avenue Espeleta"/>
        <s v="2 avenue de Verdun"/>
        <s v="10 rue Marguerite Duras"/>
        <s v="8 rue Condorcet"/>
        <s v="58 rue Edmond Rostand"/>
        <s v="8 rue de Calavet"/>
        <s v="55 avenue du Maréchal de Lattre de Tassigny"/>
        <s v="14 rue Marcel"/>
        <s v="Place Charles de Gaulle"/>
        <s v="11 rue du Commandant Charcot"/>
        <s v="23 rue Henri Martin"/>
        <s v="Place de la République"/>
        <s v="60 route de Feydit"/>
        <s v="Maison Polyvalente Coeur de Bastide 13 allée Jean Giono"/>
        <s v="26, rue Aurel Chazeau"/>
        <s v="Grand Caillou, Bât 11"/>
        <s v="25 rue Francis Martin"/>
        <s v="Place Ginette Neveu"/>
        <s v="quai de Bacalan"/>
        <s v="176, rue Achard Bât D"/>
        <s v="Place de l'Europe"/>
        <s v="127 avenue Emile Counord"/>
        <s v="7 rue Ausone"/>
        <s v="4 rue du Mulet"/>
        <s v="40 rue Laffiteau"/>
        <s v="Place de l'Eglise Saint-Augustin"/>
        <s v="12 rue de Cursol"/>
        <s v="232 Rue Pelleport"/>
        <s v="45 rue Son Tay"/>
        <s v="4 bis rue des Douves"/>
        <s v="213 bis cours de la Marne"/>
        <s v="13 place Canteloup"/>
        <s v="18-22 rue Alexander Fleming"/>
        <s v="1 rue Louis Massina"/>
        <s v="rue 8 mai 1945"/>
        <s v="17 Avenue Vignau Anglade BP 30"/>
        <s v="2 rue Stéphane Mallarmé"/>
        <s v="89 avenue Jean Jaurès"/>
        <s v="1 rue Aristide Briand"/>
        <s v="18 Rue Henri DUNANT esplanade Saint-Hilaire"/>
        <s v="32 route de léognan"/>
        <s v="8 place germaine tillion"/>
        <s v="68 rue de l'horloge"/>
        <s v="203 Route de Toulouse"/>
        <s v="1 allée Peixotto"/>
        <s v="46 bis rue Jean-Jacques Rousseau"/>
        <s v="7 rue Colette Besson"/>
        <s v="Domaine Jacques Brel, 45 Avenue du Marechal Leclerc"/>
        <s v="4 rue du Docteur Castéra"/>
        <s v="30 rue de Los Heros"/>
        <s v="60 Avenue Maréchal de Lattre de Tassigny"/>
        <s v="74  avenue des marronniers"/>
        <s v="19 place Charles de Gaulle"/>
        <s v="9 rue Montgolfier"/>
        <s v="33 rue de Brach"/>
        <s v="rue François Coppée"/>
        <s v="20 bis bd malartic  residence barthez"/>
        <s v="Place du Rouillaou"/>
      </sharedItems>
    </cacheField>
    <cacheField name="adresse_code_postal" numFmtId="0">
      <sharedItems containsSemiMixedTypes="0" containsString="0" containsNumber="1" containsInteger="1">
        <n v="33560.0"/>
        <n v="35200.0"/>
        <n v="3076.0"/>
        <n v="33440.0"/>
        <n v="33310.0"/>
        <n v="33320.0"/>
        <n v="33300.0"/>
        <n v="33000.0"/>
        <n v="33800.0"/>
        <n v="33200.0"/>
        <n v="33370.0"/>
        <n v="33150.0"/>
        <n v="33130.0"/>
        <n v="33170.0"/>
        <n v="33600.0"/>
        <n v="33400.0"/>
        <n v="33127.0"/>
        <n v="33700.0"/>
        <n v="33160.0"/>
        <n v="33100.0"/>
        <n v="33810.0"/>
        <n v="33270.0"/>
        <n v="33110.0"/>
        <n v="33185.0"/>
        <n v="33697.0"/>
        <n v="33079.0"/>
        <n v="33530.0"/>
        <n v="33564.0"/>
        <n v="33140.0"/>
        <n v="33290.0"/>
      </sharedItems>
    </cacheField>
    <cacheField name="adresse_code_insee" numFmtId="0">
      <sharedItems containsString="0" containsBlank="1" containsNumber="1" containsInteger="1">
        <m/>
        <n v="35200.0"/>
        <n v="33063.0"/>
        <n v="33013.0"/>
        <n v="33119.0"/>
        <n v="33249.0"/>
        <n v="33039.0"/>
        <n v="33192.0"/>
        <n v="33318.0"/>
        <n v="33522.0"/>
        <n v="33273.0"/>
        <n v="33281.0"/>
        <n v="33449.0"/>
        <n v="33004.0"/>
        <n v="33167.0"/>
        <n v="33162.0"/>
        <n v="33069.0"/>
        <n v="33200.0"/>
        <n v="33519.0"/>
        <n v="33003.0"/>
        <n v="33032.0"/>
        <n v="33096.0"/>
        <n v="33550.0"/>
        <n v="33056.0"/>
      </sharedItems>
    </cacheField>
    <cacheField name="adresse_commune" numFmtId="0">
      <sharedItems>
        <s v="Carbon-Blanc"/>
        <s v="Rennes"/>
        <s v="Bordeaux"/>
        <s v="Ambarès-et-Lagrave"/>
        <s v="Lormont"/>
        <s v="Eysines"/>
        <s v="Artigues-près-Bordeaux"/>
        <s v="Cenon"/>
        <s v="Bègles"/>
        <s v="Gradignan"/>
        <s v="Pessac"/>
        <s v="Talence"/>
        <s v="Martignas-sur-Jalle"/>
        <s v="Mérignac"/>
        <s v="Saint-Médard-en-Jalles"/>
        <s v="Ambès"/>
        <s v="Floirac"/>
        <s v="Le Bouscat"/>
        <s v="Le Haillan"/>
        <s v="Le Taillan-Médoc"/>
        <s v="Mérignac Cedex"/>
        <s v="Bassens"/>
        <s v="Villenave-d'Ornon"/>
        <s v="Blanquefort"/>
      </sharedItems>
    </cacheField>
    <cacheField name="departement_region" numFmtId="0">
      <sharedItems>
        <s v="Gironde Nouvelle Aquitaine"/>
        <s v="Île-et-Vilaine Bretagne"/>
      </sharedItems>
    </cacheField>
    <cacheField name=" 2" numFmtId="0">
      <sharedItems>
        <s v="Gironde"/>
        <s v="Île-et-Vilaine"/>
      </sharedItems>
    </cacheField>
    <cacheField name=" 3" numFmtId="0">
      <sharedItems>
        <s v="Nouvelle Aquitaine"/>
        <s v="Bretagne"/>
      </sharedItems>
    </cacheField>
    <cacheField name=" 4" numFmtId="0">
      <sharedItems containsString="0" containsBlank="1">
        <m/>
      </sharedItems>
    </cacheField>
    <cacheField name="latitude" numFmtId="0">
      <sharedItems>
        <s v="' N"/>
        <s v="48.1100504' N"/>
        <s v="44.838066640169' N"/>
        <s v="44.8729813595829' N"/>
        <s v="44.8655620407963' N"/>
        <s v="44.8373274551188' N"/>
        <s v="44.8541256031603' N"/>
        <s v="44.8558462446764' N"/>
        <s v="44.8351168280552' N"/>
        <s v="44.8374899117795' N"/>
        <s v="44.840415176588' N"/>
        <s v="44.8386536722948' N"/>
        <s v="44.8421776416482' N"/>
        <s v="44.8342970402626' N"/>
        <s v="44.8308018716672' N"/>
        <s v="44.8212741540285' N"/>
        <s v="44.8576510865659' N"/>
        <s v="44.8587549498054' N"/>
        <s v="44.8521127117729' N"/>
        <s v="44.8756415415234' N"/>
        <s v="44.875605745008' N"/>
        <s v="44.8065018752672' N"/>
        <s v="44.8076435408269' N"/>
        <s v="44.8028048793341' N"/>
        <s v="44.7889887374992' N"/>
        <s v="44.7736456578647' N"/>
        <s v="44.7905690650944' N"/>
        <s v="44.7921533785375' N"/>
        <s v="44.7966261639296' N"/>
        <s v="44.8423719486755' N"/>
        <s v="44.8517186438456' N"/>
        <s v="44.8939099455002' N"/>
        <s v="44.8296189183359' N"/>
        <s v="44.8795887016774' N"/>
        <s v="44.8379529077461' N"/>
        <s v="44.8740305391211' N"/>
        <s v="44.873133961464' N"/>
        <s v="44.8725467917707' N"/>
        <s v="44.8602284600313' N"/>
        <s v="44.839435124121' N"/>
        <s v="44.8382043106635' N"/>
        <s v="44.8384732018026' N"/>
        <s v="44.8424830956179' N"/>
        <s v="44.8222816066295' N"/>
        <s v="44.8271058055701' N"/>
        <s v="44.8380460348437' N"/>
        <s v="44.855371825466' N"/>
        <s v="44.8454470154606' N"/>
        <s v="45.0117542940425' N"/>
        <s v="44.8588687967202' N"/>
        <s v="44.8463369112469' N"/>
        <s v="44.8376047991885' N"/>
        <s v="44.8364247769704' N"/>
        <s v="44.8444830123419' N"/>
        <s v="44.8827468615767' N"/>
        <s v="44.8766038808015' N"/>
        <s v="44.8056800277814' N"/>
        <s v="44.7904094346285' N"/>
        <s v="44.8177376513979' N"/>
        <s v="44.8089936315001' N"/>
        <s v="44.8104067328905' N"/>
        <s v="44.8858595676289' N"/>
        <s v="44.8637608719417' N"/>
        <s v="44.8691056484179' N"/>
        <s v="44.8636131735727' N"/>
        <s v="44.9114663819495' N"/>
        <s v="44.8458005622477' N"/>
        <s v="44.8232334870555' N"/>
        <s v="44.842035341258' N"/>
        <s v="44.864356090348' N"/>
        <s v="44.8934245841448' N"/>
        <s v="44.8926963614846' N"/>
        <s v="44.8697194156193' N"/>
        <s v="44.845486732478' N"/>
        <s v="44.9002627879429' N"/>
        <s v="44.8806485493299' N"/>
        <s v="44.8496866967274' N"/>
        <s v="44.8738197515941' N"/>
        <s v="44.8596742548768' N"/>
        <s v="44.8712538348828' N"/>
        <s v="44.8598419227794' N"/>
        <s v="44.860192189202' N"/>
        <s v="44.8383939284361' N"/>
        <s v="44.8395865762102' N"/>
        <s v="44.8246991659039' N"/>
        <s v="44.8321917073071' N"/>
        <s v="44.8349144689267' N"/>
        <s v="44.8205132178248' N"/>
        <s v="44.8250662993679' N"/>
        <s v="44.8306264205286' N"/>
        <s v="44.8275310350376' N"/>
        <s v="44.8337909140404' N"/>
        <s v="44.8441359166854' N"/>
        <s v="44.9277930802108' N"/>
        <s v="44.9264558802494' N"/>
        <s v="44.8996031552278' N"/>
        <s v="44.8958988624813' N"/>
        <s v="44.856408823067' N"/>
        <s v="44.8570117421531' N"/>
        <s v="44.8621455642501' N"/>
        <s v="44.8714835662089' N"/>
        <s v="44.7680067313461' N"/>
        <s v="44.8052764816374' N"/>
        <s v="44.7911631632469' N"/>
        <s v="44.8085123457487' N"/>
        <s v="44.8073646003272' N"/>
        <s v="44.7647467798463' N"/>
        <s v="44.776760132855' N"/>
        <s v="44.778427104317' N"/>
        <s v="44.9104983923576' N"/>
        <s v="44.8739005905383' N"/>
        <s v="44.8461771954759' N"/>
        <s v="44.8437159703148' N"/>
        <s v="44.8423693794038' N"/>
        <s v="44.8550175341636' N"/>
        <s v="44.8389866834739' N"/>
        <s v="44.8541855653373' N"/>
        <s v="44.7708750360885' N"/>
        <s v="44.8798847142447' N"/>
      </sharedItems>
    </cacheField>
    <cacheField name=" 5" numFmtId="0">
      <sharedItems>
        <s v=" "/>
        <s v="48.1100504 "/>
        <s v="44.838066640169 "/>
        <s v="44.8729813595829 "/>
        <s v="44.8655620407963 "/>
        <s v="44.8373274551188 "/>
        <s v="44.8541256031603 "/>
        <s v="44.8558462446764 "/>
        <s v="44.8351168280552 "/>
        <s v="44.8374899117795 "/>
        <s v="44.840415176588 "/>
        <s v="44.8386536722948 "/>
        <s v="44.8421776416482 "/>
        <s v="44.8342970402626 "/>
        <s v="44.8308018716672 "/>
        <s v="44.8212741540285 "/>
        <s v="44.8576510865659 "/>
        <s v="44.8587549498054 "/>
        <s v="44.8521127117729 "/>
        <s v="44.8756415415234 "/>
        <s v="44.875605745008 "/>
        <s v="44.8065018752672 "/>
        <s v="44.8076435408269 "/>
        <s v="44.8028048793341 "/>
        <s v="44.7889887374992 "/>
        <s v="44.7736456578647 "/>
        <s v="44.7905690650944 "/>
        <s v="44.7921533785375 "/>
        <s v="44.7966261639296 "/>
        <s v="44.8423719486755 "/>
        <s v="44.8517186438456 "/>
        <s v="44.8939099455002 "/>
        <s v="44.8296189183359 "/>
        <s v="44.8795887016774 "/>
        <s v="44.8379529077461 "/>
        <s v="44.8740305391211 "/>
        <s v="44.873133961464 "/>
        <s v="44.8725467917707 "/>
        <s v="44.8602284600313 "/>
        <s v="44.839435124121 "/>
        <s v="44.8382043106635 "/>
        <s v="44.8384732018026 "/>
        <s v="44.8424830956179 "/>
        <s v="44.8222816066295 "/>
        <s v="44.8271058055701 "/>
        <s v="44.8380460348437 "/>
        <s v="44.855371825466 "/>
        <s v="44.8454470154606 "/>
        <s v="45.0117542940425 "/>
        <s v="44.8588687967202 "/>
        <s v="44.8463369112469 "/>
        <s v="44.8376047991885 "/>
        <s v="44.8364247769704 "/>
        <s v="44.8444830123419 "/>
        <s v="44.8827468615767 "/>
        <s v="44.8766038808015 "/>
        <s v="44.8056800277814 "/>
        <s v="44.7904094346285 "/>
        <s v="44.8177376513979 "/>
        <s v="44.8089936315001 "/>
        <s v="44.8104067328905 "/>
        <s v="44.8858595676289 "/>
        <s v="44.8637608719417 "/>
        <s v="44.8691056484179 "/>
        <s v="44.8636131735727 "/>
        <s v="44.9114663819495 "/>
        <s v="44.8458005622477 "/>
        <s v="44.8232334870555 "/>
        <s v="44.842035341258 "/>
        <s v="44.864356090348 "/>
        <s v="44.8934245841448 "/>
        <s v="44.8926963614846 "/>
        <s v="44.8697194156193 "/>
        <s v="44.845486732478 "/>
        <s v="44.9002627879429 "/>
        <s v="44.8806485493299 "/>
        <s v="44.8496866967274 "/>
        <s v="44.8738197515941 "/>
        <s v="44.8596742548768 "/>
        <s v="44.8712538348828 "/>
        <s v="44.8598419227794 "/>
        <s v="44.860192189202 "/>
        <s v="44.8383939284361 "/>
        <s v="44.8395865762102 "/>
        <s v="44.8246991659039 "/>
        <s v="44.8321917073071 "/>
        <s v="44.8349144689267 "/>
        <s v="44.8205132178248 "/>
        <s v="44.8250662993679 "/>
        <s v="44.8306264205286 "/>
        <s v="44.8275310350376 "/>
        <s v="44.8337909140404 "/>
        <s v="44.8441359166854 "/>
        <s v="44.9277930802108 "/>
        <s v="44.9264558802494 "/>
        <s v="44.8996031552278 "/>
        <s v="44.8958988624813 "/>
        <s v="44.856408823067 "/>
        <s v="44.8570117421531 "/>
        <s v="44.8621455642501 "/>
        <s v="44.8714835662089 "/>
        <s v="44.7680067313461 "/>
        <s v="44.8052764816374 "/>
        <s v="44.7911631632469 "/>
        <s v="44.8085123457487 "/>
        <s v="44.8073646003272 "/>
        <s v="44.7647467798463 "/>
        <s v="44.776760132855 "/>
        <s v="44.778427104317 "/>
        <s v="44.9104983923576 "/>
        <s v="44.8739005905383 "/>
        <s v="44.8461771954759 "/>
        <s v="44.8437159703148 "/>
        <s v="44.8423693794038 "/>
        <s v="44.8550175341636 "/>
        <s v="44.8389866834739 "/>
        <s v="44.8541855653373 "/>
        <s v="44.7708750360885 "/>
        <s v="44.8798847142447 "/>
      </sharedItems>
    </cacheField>
    <cacheField name="longitude" numFmtId="0">
      <sharedItems>
        <s v="' W"/>
        <s v="1.691005' W"/>
        <s v="-0.588190718004337' W"/>
        <s v="-0.57225924758073' W"/>
        <s v="-0.549216592052866' W"/>
        <s v="-0.572872104001035' W"/>
        <s v="-0.57673879988569' W"/>
        <s v="-0.572110842345362' W"/>
        <s v="-0.586759237213544' W"/>
        <s v="-0.575839282860387' W"/>
        <s v="-0.570517578425619' W"/>
        <s v="-0.568043900826017' W"/>
        <s v="-0.582816427120468' W"/>
        <s v="-0.586211937760128' W"/>
        <s v="-0.567016016608649' W"/>
        <s v="-0.550768072761059' W"/>
        <s v="-0.623685335493888' W"/>
        <s v="-0.497308676329456' W"/>
        <s v="-0.513358806912427' W"/>
        <s v="-0.520124802867933' W"/>
        <s v="-0.519866584630024' W"/>
        <s v="-0.549419830942252' W"/>
        <s v="-0.547586500721045' W"/>
        <s v="-0.546547422017029' W"/>
        <s v="-0.612368967969213' W"/>
        <s v="-0.615701455140657' W"/>
        <s v="-0.631374521566855' W"/>
        <s v="-0.591619437817714' W"/>
        <s v="-0.59542433449458' W"/>
        <s v="-0.779397321153063' W"/>
        <s v="-0.649471556771519' W"/>
        <s v="-0.749362859460567' W"/>
        <s v="-0.568234732775661' W"/>
        <s v="-0.543182251350188' W"/>
        <s v="-0.569515586992977' W"/>
        <s v="-0.546146638400272' W"/>
        <s v="-0.546282394370516' W"/>
        <s v="-0.572518333173997' W"/>
        <s v="-0.562106192547505' W"/>
        <s v="-0.593256789357832' W"/>
        <s v="-0.582316627110537' W"/>
        <s v="-0.568542188054494' W"/>
        <s v="-0.572462929593069' W"/>
        <s v="-0.566530287678929' W"/>
        <s v="-0.554196479441024' W"/>
        <s v="-0.555132098171409' W"/>
        <s v="-0.632757573764835' W"/>
        <s v="-0.630545305706131' W"/>
        <s v="-0.532699085742132' W"/>
        <s v="-0.524002976837326' W"/>
        <s v="-0.51028293977931' W"/>
        <s v="-0.507394294243189' W"/>
        <s v="-0.531707590720176' W"/>
        <s v="-0.509406242522894' W"/>
        <s v="-0.525437555691245' W"/>
        <s v="-0.521938633678236' W"/>
        <s v="-0.543079531580383' W"/>
        <s v="-0.631189597161964' W"/>
        <s v="-0.580674541287163' W"/>
        <s v="-0.587922987815969' W"/>
        <s v="-0.589569364962254' W"/>
        <s v="-0.650427802085846' W"/>
        <s v="-0.643801653753086' W"/>
        <s v="-0.578416104725714' W"/>
        <s v="-0.671097076611717' W"/>
        <s v="-0.681306588097497' W"/>
        <s v="-0.65471965686926' W"/>
        <s v="-0.62372669315055' W"/>
        <s v="-0.646547467595936' W"/>
        <s v="-0.725727940959489' W"/>
        <s v="-0.714179885020223' W"/>
        <s v="-0.71496582302561' W"/>
        <s v="-0.70281075287073' W"/>
        <s v="-0.562919208432608' W"/>
        <s v="-0.744992912932955' W"/>
        <s v="-0.635387067744235' W"/>
        <s v="-0.582296016292285' W"/>
        <s v="-0.572357500735627' W"/>
        <s v="-0.554840941922581' W"/>
        <s v="-0.5471219312627' W"/>
        <s v="-0.579596200925825' W"/>
        <s v="-0.575155274726418' W"/>
        <s v="-0.568611215892525' W"/>
        <s v="-0.572861035491858' W"/>
        <s v="-0.551960065362746' W"/>
        <s v="-0.610899292845509' W"/>
        <s v="-0.576043795226171' W"/>
        <s v="-0.568085077455168' W"/>
        <s v="-0.551851435413458' W"/>
        <s v="-0.566204732923668' W"/>
        <s v="-0.558820401540681' W"/>
        <s v="-0.565754451572799' W"/>
        <s v="-0.542196720968236' W"/>
        <s v="-0.488512977996998' W"/>
        <s v="-0.488479333307143' W"/>
        <s v="-0.516190784702733' W"/>
        <s v="-0.514769766938758' W"/>
        <s v="-0.520666850365824' W"/>
        <s v="-0.532118545204031' W"/>
        <s v="-0.52400296271831' W"/>
        <s v="-0.51433540137424' W"/>
        <s v="-0.611460715625453' W"/>
        <s v="-0.632860320910708' W"/>
        <s v="-0.628702414403621' W"/>
        <s v="-0.573962965955822' W"/>
        <s v="-0.590091761879263' W"/>
        <s v="-0.584067604517552' W"/>
        <s v="-0.532773266803185' W"/>
        <s v="-0.573094593051273' W"/>
        <s v="-0.632884204441594' W"/>
        <s v="-0.675935112261396' W"/>
        <s v="-0.656229041984005' W"/>
        <s v="-0.679598329225639' W"/>
        <s v="-0.646640984989363' W"/>
        <s v="-0.65310983538959' W"/>
        <s v="-0.594572270945236' W"/>
        <s v="-0.629699824219564' W"/>
        <s v="-0.600367778910753' W"/>
        <s v="-0.636249034327296' 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27" firstHeaderRow="0" firstDataRow="1" firstDataCol="1"/>
  <pivotFields>
    <pivotField name="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structure_porteuse" axis="axisRow" dataField="1" compact="0" outline="0" multipleItemSelectionAllowed="1" showAll="0" sortType="ascending">
      <items>
        <item x="0"/>
        <item x="15"/>
        <item x="14"/>
        <item x="8"/>
        <item x="4"/>
        <item x="16"/>
        <item x="17"/>
        <item x="11"/>
        <item x="21"/>
        <item x="3"/>
        <item x="18"/>
        <item x="5"/>
        <item x="9"/>
        <item x="19"/>
        <item x="23"/>
        <item x="6"/>
        <item x="1"/>
        <item x="13"/>
        <item x="7"/>
        <item x="20"/>
        <item x="22"/>
        <item x="12"/>
        <item x="10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ype_lie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ut" axis="axisCol" compact="0" outline="0" multipleItemSelectionAllowed="1" showAll="0" sortType="ascending">
      <items>
        <item x="1"/>
        <item x="0"/>
        <item x="2"/>
        <item t="default"/>
      </items>
    </pivotField>
    <pivotField name="nature_juridiqu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r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resse_b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adresse_code_pos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dresse_code_ins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dresse_commu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epartement_region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x="1"/>
        <item t="default"/>
      </items>
    </pivotField>
    <pivotField name=" 3" compact="0" outline="0" multipleItemSelectionAllowed="1" showAll="0">
      <items>
        <item x="0"/>
        <item x="1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1"/>
  </rowFields>
  <colFields>
    <field x="4"/>
  </colFields>
  <dataFields>
    <dataField name="COUNTA of structure_porteus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  <col customWidth="1" min="2" max="3" width="26.88"/>
    <col customWidth="1" min="4" max="4" width="30.0"/>
    <col customWidth="1" min="6" max="6" width="22.88"/>
    <col customWidth="1" min="8" max="8" width="18.0"/>
    <col customWidth="1" min="12" max="12" width="27.13"/>
    <col customWidth="1" min="13" max="16" width="18.38"/>
    <col customWidth="1" min="17" max="19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</v>
      </c>
      <c r="N1" s="1" t="s">
        <v>2</v>
      </c>
      <c r="O1" s="1" t="s">
        <v>2</v>
      </c>
      <c r="P1" s="1" t="s">
        <v>12</v>
      </c>
      <c r="Q1" s="1" t="s">
        <v>2</v>
      </c>
      <c r="R1" s="1" t="s">
        <v>13</v>
      </c>
      <c r="S1" s="2"/>
    </row>
    <row r="2">
      <c r="A2" s="3" t="s">
        <v>14</v>
      </c>
      <c r="B2" s="4"/>
      <c r="C2" s="4" t="str">
        <f t="shared" ref="C2:C126" si="1">IF(B2=" Bordeaux","Mairie de Bordeaux",B2)</f>
        <v/>
      </c>
      <c r="D2" s="3" t="s">
        <v>15</v>
      </c>
      <c r="E2" s="3" t="s">
        <v>16</v>
      </c>
      <c r="F2" s="3" t="s">
        <v>17</v>
      </c>
      <c r="G2" s="4"/>
      <c r="H2" s="3" t="s">
        <v>18</v>
      </c>
      <c r="I2" s="3">
        <v>33560.0</v>
      </c>
      <c r="J2" s="4"/>
      <c r="K2" s="3" t="s">
        <v>19</v>
      </c>
      <c r="L2" s="4" t="s">
        <v>20</v>
      </c>
      <c r="M2" s="3" t="str">
        <f>IFERROR(__xludf.DUMMYFUNCTION("SPLIT(SUBSTITUTE(L2,"" "",""?"",1),""?"")"),"Gironde")</f>
        <v>Gironde</v>
      </c>
      <c r="N2" s="3" t="str">
        <f>IFERROR(__xludf.DUMMYFUNCTION("""COMPUTED_VALUE"""),"Nouvelle Aquitaine")</f>
        <v>Nouvelle Aquitaine</v>
      </c>
      <c r="O2" s="3"/>
      <c r="P2" s="3" t="s">
        <v>21</v>
      </c>
      <c r="Q2" s="3" t="str">
        <f t="shared" ref="Q2:Q126" si="2">SUBSTITUTE(P2,"' N"," ")</f>
        <v> </v>
      </c>
      <c r="R2" s="3" t="s">
        <v>22</v>
      </c>
      <c r="S2" s="5" t="str">
        <f t="shared" ref="S2:S126" si="3">SUBSTITUTE(R2,"' W","")</f>
        <v/>
      </c>
    </row>
    <row r="3">
      <c r="A3" s="3" t="s">
        <v>23</v>
      </c>
      <c r="B3" s="3" t="s">
        <v>24</v>
      </c>
      <c r="C3" s="4" t="str">
        <f t="shared" si="1"/>
        <v>Mairie de Rennes</v>
      </c>
      <c r="D3" s="3" t="s">
        <v>15</v>
      </c>
      <c r="E3" s="3" t="s">
        <v>16</v>
      </c>
      <c r="F3" s="3" t="s">
        <v>17</v>
      </c>
      <c r="G3" s="4"/>
      <c r="H3" s="3" t="s">
        <v>25</v>
      </c>
      <c r="I3" s="3">
        <v>35200.0</v>
      </c>
      <c r="J3" s="3">
        <v>35200.0</v>
      </c>
      <c r="K3" s="3" t="s">
        <v>26</v>
      </c>
      <c r="L3" s="4" t="s">
        <v>27</v>
      </c>
      <c r="M3" s="3" t="str">
        <f>IFERROR(__xludf.DUMMYFUNCTION("SPLIT(SUBSTITUTE(L3,"" "",""?"",1),""?"")"),"Île-et-Vilaine")</f>
        <v>Île-et-Vilaine</v>
      </c>
      <c r="N3" s="3" t="str">
        <f>IFERROR(__xludf.DUMMYFUNCTION("""COMPUTED_VALUE"""),"Bretagne")</f>
        <v>Bretagne</v>
      </c>
      <c r="O3" s="3"/>
      <c r="P3" s="3" t="s">
        <v>28</v>
      </c>
      <c r="Q3" s="3" t="str">
        <f t="shared" si="2"/>
        <v>48.1100504 </v>
      </c>
      <c r="R3" s="3" t="s">
        <v>29</v>
      </c>
      <c r="S3" s="5" t="str">
        <f t="shared" si="3"/>
        <v>1.691005</v>
      </c>
    </row>
    <row r="4">
      <c r="A4" s="3" t="s">
        <v>30</v>
      </c>
      <c r="B4" s="3" t="s">
        <v>31</v>
      </c>
      <c r="C4" s="4" t="str">
        <f t="shared" si="1"/>
        <v>Pôle Emploi</v>
      </c>
      <c r="D4" s="3" t="s">
        <v>31</v>
      </c>
      <c r="E4" s="3" t="s">
        <v>16</v>
      </c>
      <c r="F4" s="3" t="s">
        <v>32</v>
      </c>
      <c r="G4" s="4"/>
      <c r="H4" s="3" t="s">
        <v>33</v>
      </c>
      <c r="I4" s="3">
        <v>3076.0</v>
      </c>
      <c r="J4" s="3">
        <v>33063.0</v>
      </c>
      <c r="K4" s="3" t="s">
        <v>34</v>
      </c>
      <c r="L4" s="4" t="s">
        <v>20</v>
      </c>
      <c r="M4" s="3" t="str">
        <f>IFERROR(__xludf.DUMMYFUNCTION("SPLIT(SUBSTITUTE(L4,"" "",""?"",1),""?"")"),"Gironde")</f>
        <v>Gironde</v>
      </c>
      <c r="N4" s="3" t="str">
        <f>IFERROR(__xludf.DUMMYFUNCTION("""COMPUTED_VALUE"""),"Nouvelle Aquitaine")</f>
        <v>Nouvelle Aquitaine</v>
      </c>
      <c r="O4" s="3"/>
      <c r="P4" s="3" t="s">
        <v>35</v>
      </c>
      <c r="Q4" s="3" t="str">
        <f t="shared" si="2"/>
        <v>44.838066640169 </v>
      </c>
      <c r="R4" s="3" t="s">
        <v>36</v>
      </c>
      <c r="S4" s="5" t="str">
        <f t="shared" si="3"/>
        <v>-0.588190718004337</v>
      </c>
    </row>
    <row r="5">
      <c r="A5" s="3" t="s">
        <v>37</v>
      </c>
      <c r="B5" s="3" t="s">
        <v>38</v>
      </c>
      <c r="C5" s="4" t="str">
        <f t="shared" si="1"/>
        <v>Mairie de Bordeaux</v>
      </c>
      <c r="D5" s="3" t="s">
        <v>39</v>
      </c>
      <c r="E5" s="3" t="s">
        <v>16</v>
      </c>
      <c r="F5" s="3" t="s">
        <v>17</v>
      </c>
      <c r="G5" s="4"/>
      <c r="H5" s="3" t="s">
        <v>40</v>
      </c>
      <c r="I5" s="3">
        <v>33440.0</v>
      </c>
      <c r="J5" s="4"/>
      <c r="K5" s="3" t="s">
        <v>41</v>
      </c>
      <c r="L5" s="4" t="s">
        <v>20</v>
      </c>
      <c r="M5" s="3" t="str">
        <f>IFERROR(__xludf.DUMMYFUNCTION("SPLIT(SUBSTITUTE(L5,"" "",""?"",1),""?"")"),"Gironde")</f>
        <v>Gironde</v>
      </c>
      <c r="N5" s="3" t="str">
        <f>IFERROR(__xludf.DUMMYFUNCTION("""COMPUTED_VALUE"""),"Nouvelle Aquitaine")</f>
        <v>Nouvelle Aquitaine</v>
      </c>
      <c r="O5" s="3"/>
      <c r="P5" s="3" t="s">
        <v>21</v>
      </c>
      <c r="Q5" s="3" t="str">
        <f t="shared" si="2"/>
        <v> </v>
      </c>
      <c r="R5" s="3" t="s">
        <v>22</v>
      </c>
      <c r="S5" s="5" t="str">
        <f t="shared" si="3"/>
        <v/>
      </c>
    </row>
    <row r="6">
      <c r="A6" s="3" t="s">
        <v>42</v>
      </c>
      <c r="B6" s="4"/>
      <c r="C6" s="4" t="str">
        <f t="shared" si="1"/>
        <v/>
      </c>
      <c r="D6" s="3" t="s">
        <v>43</v>
      </c>
      <c r="E6" s="3" t="s">
        <v>44</v>
      </c>
      <c r="F6" s="3" t="s">
        <v>43</v>
      </c>
      <c r="G6" s="4"/>
      <c r="H6" s="3" t="s">
        <v>45</v>
      </c>
      <c r="I6" s="3">
        <v>33310.0</v>
      </c>
      <c r="J6" s="4"/>
      <c r="K6" s="3" t="s">
        <v>46</v>
      </c>
      <c r="L6" s="4" t="s">
        <v>20</v>
      </c>
      <c r="M6" s="3" t="str">
        <f>IFERROR(__xludf.DUMMYFUNCTION("SPLIT(SUBSTITUTE(L6,"" "",""?"",1),""?"")"),"Gironde")</f>
        <v>Gironde</v>
      </c>
      <c r="N6" s="3" t="str">
        <f>IFERROR(__xludf.DUMMYFUNCTION("""COMPUTED_VALUE"""),"Nouvelle Aquitaine")</f>
        <v>Nouvelle Aquitaine</v>
      </c>
      <c r="O6" s="3"/>
      <c r="P6" s="3" t="s">
        <v>21</v>
      </c>
      <c r="Q6" s="3" t="str">
        <f t="shared" si="2"/>
        <v> </v>
      </c>
      <c r="R6" s="3" t="s">
        <v>22</v>
      </c>
      <c r="S6" s="5" t="str">
        <f t="shared" si="3"/>
        <v/>
      </c>
    </row>
    <row r="7">
      <c r="A7" s="3" t="s">
        <v>47</v>
      </c>
      <c r="B7" s="3" t="s">
        <v>48</v>
      </c>
      <c r="C7" s="4" t="str">
        <f t="shared" si="1"/>
        <v>Mairie d'Eysines</v>
      </c>
      <c r="D7" s="3" t="s">
        <v>39</v>
      </c>
      <c r="E7" s="3" t="s">
        <v>16</v>
      </c>
      <c r="F7" s="3" t="s">
        <v>17</v>
      </c>
      <c r="G7" s="4"/>
      <c r="H7" s="3" t="s">
        <v>49</v>
      </c>
      <c r="I7" s="3">
        <v>33320.0</v>
      </c>
      <c r="J7" s="4"/>
      <c r="K7" s="3" t="s">
        <v>50</v>
      </c>
      <c r="L7" s="4" t="s">
        <v>20</v>
      </c>
      <c r="M7" s="3" t="str">
        <f>IFERROR(__xludf.DUMMYFUNCTION("SPLIT(SUBSTITUTE(L7,"" "",""?"",1),""?"")"),"Gironde")</f>
        <v>Gironde</v>
      </c>
      <c r="N7" s="3" t="str">
        <f>IFERROR(__xludf.DUMMYFUNCTION("""COMPUTED_VALUE"""),"Nouvelle Aquitaine")</f>
        <v>Nouvelle Aquitaine</v>
      </c>
      <c r="O7" s="3"/>
      <c r="P7" s="3" t="s">
        <v>21</v>
      </c>
      <c r="Q7" s="3" t="str">
        <f t="shared" si="2"/>
        <v> </v>
      </c>
      <c r="R7" s="3" t="s">
        <v>22</v>
      </c>
      <c r="S7" s="5" t="str">
        <f t="shared" si="3"/>
        <v/>
      </c>
    </row>
    <row r="8">
      <c r="A8" s="6" t="s">
        <v>51</v>
      </c>
      <c r="B8" s="7"/>
      <c r="C8" s="4" t="str">
        <f t="shared" si="1"/>
        <v/>
      </c>
      <c r="D8" s="6" t="s">
        <v>43</v>
      </c>
      <c r="E8" s="6" t="s">
        <v>44</v>
      </c>
      <c r="F8" s="6" t="s">
        <v>43</v>
      </c>
      <c r="G8" s="6">
        <v>7.92E13</v>
      </c>
      <c r="H8" s="6" t="s">
        <v>52</v>
      </c>
      <c r="I8" s="6">
        <v>33300.0</v>
      </c>
      <c r="J8" s="6">
        <v>33063.0</v>
      </c>
      <c r="K8" s="6" t="s">
        <v>34</v>
      </c>
      <c r="L8" s="7" t="s">
        <v>20</v>
      </c>
      <c r="M8" s="3" t="str">
        <f>IFERROR(__xludf.DUMMYFUNCTION("SPLIT(SUBSTITUTE(L8,"" "",""?"",1),""?"")"),"Gironde")</f>
        <v>Gironde</v>
      </c>
      <c r="N8" s="6" t="str">
        <f>IFERROR(__xludf.DUMMYFUNCTION("""COMPUTED_VALUE"""),"Nouvelle Aquitaine")</f>
        <v>Nouvelle Aquitaine</v>
      </c>
      <c r="O8" s="6"/>
      <c r="P8" s="6" t="s">
        <v>53</v>
      </c>
      <c r="Q8" s="3" t="str">
        <f t="shared" si="2"/>
        <v>44.8729813595829 </v>
      </c>
      <c r="R8" s="6" t="s">
        <v>54</v>
      </c>
      <c r="S8" s="5" t="str">
        <f t="shared" si="3"/>
        <v>-0.57225924758073</v>
      </c>
    </row>
    <row r="9">
      <c r="A9" s="6" t="s">
        <v>55</v>
      </c>
      <c r="B9" s="7"/>
      <c r="C9" s="4" t="str">
        <f t="shared" si="1"/>
        <v/>
      </c>
      <c r="D9" s="6" t="s">
        <v>56</v>
      </c>
      <c r="E9" s="6" t="s">
        <v>44</v>
      </c>
      <c r="F9" s="6" t="s">
        <v>57</v>
      </c>
      <c r="G9" s="7"/>
      <c r="H9" s="6" t="s">
        <v>58</v>
      </c>
      <c r="I9" s="6">
        <v>33300.0</v>
      </c>
      <c r="J9" s="6">
        <v>33063.0</v>
      </c>
      <c r="K9" s="6" t="s">
        <v>34</v>
      </c>
      <c r="L9" s="7" t="s">
        <v>20</v>
      </c>
      <c r="M9" s="3" t="str">
        <f>IFERROR(__xludf.DUMMYFUNCTION("SPLIT(SUBSTITUTE(L9,"" "",""?"",1),""?"")"),"Gironde")</f>
        <v>Gironde</v>
      </c>
      <c r="N9" s="6" t="str">
        <f>IFERROR(__xludf.DUMMYFUNCTION("""COMPUTED_VALUE"""),"Nouvelle Aquitaine")</f>
        <v>Nouvelle Aquitaine</v>
      </c>
      <c r="O9" s="6"/>
      <c r="P9" s="6" t="s">
        <v>59</v>
      </c>
      <c r="Q9" s="3" t="str">
        <f t="shared" si="2"/>
        <v>44.8655620407963 </v>
      </c>
      <c r="R9" s="6" t="s">
        <v>60</v>
      </c>
      <c r="S9" s="5" t="str">
        <f t="shared" si="3"/>
        <v>-0.549216592052866</v>
      </c>
    </row>
    <row r="10">
      <c r="A10" s="6" t="s">
        <v>61</v>
      </c>
      <c r="B10" s="6" t="s">
        <v>31</v>
      </c>
      <c r="C10" s="4" t="str">
        <f t="shared" si="1"/>
        <v>Pôle Emploi</v>
      </c>
      <c r="D10" s="6" t="s">
        <v>31</v>
      </c>
      <c r="E10" s="6" t="s">
        <v>16</v>
      </c>
      <c r="F10" s="6" t="s">
        <v>32</v>
      </c>
      <c r="G10" s="7"/>
      <c r="H10" s="6" t="s">
        <v>62</v>
      </c>
      <c r="I10" s="6">
        <v>33000.0</v>
      </c>
      <c r="J10" s="6">
        <v>33063.0</v>
      </c>
      <c r="K10" s="6" t="s">
        <v>34</v>
      </c>
      <c r="L10" s="7" t="s">
        <v>20</v>
      </c>
      <c r="M10" s="3" t="str">
        <f>IFERROR(__xludf.DUMMYFUNCTION("SPLIT(SUBSTITUTE(L10,"" "",""?"",1),""?"")"),"Gironde")</f>
        <v>Gironde</v>
      </c>
      <c r="N10" s="6" t="str">
        <f>IFERROR(__xludf.DUMMYFUNCTION("""COMPUTED_VALUE"""),"Nouvelle Aquitaine")</f>
        <v>Nouvelle Aquitaine</v>
      </c>
      <c r="O10" s="6"/>
      <c r="P10" s="6" t="s">
        <v>63</v>
      </c>
      <c r="Q10" s="3" t="str">
        <f t="shared" si="2"/>
        <v>44.8373274551188 </v>
      </c>
      <c r="R10" s="6" t="s">
        <v>64</v>
      </c>
      <c r="S10" s="5" t="str">
        <f t="shared" si="3"/>
        <v>-0.572872104001035</v>
      </c>
    </row>
    <row r="11">
      <c r="A11" s="6" t="s">
        <v>65</v>
      </c>
      <c r="B11" s="7"/>
      <c r="C11" s="4" t="str">
        <f t="shared" si="1"/>
        <v/>
      </c>
      <c r="D11" s="6" t="s">
        <v>43</v>
      </c>
      <c r="E11" s="6" t="s">
        <v>44</v>
      </c>
      <c r="F11" s="6" t="s">
        <v>43</v>
      </c>
      <c r="G11" s="7"/>
      <c r="H11" s="6" t="s">
        <v>66</v>
      </c>
      <c r="I11" s="6">
        <v>33000.0</v>
      </c>
      <c r="J11" s="6">
        <v>33063.0</v>
      </c>
      <c r="K11" s="6" t="s">
        <v>34</v>
      </c>
      <c r="L11" s="7" t="s">
        <v>20</v>
      </c>
      <c r="M11" s="3" t="str">
        <f>IFERROR(__xludf.DUMMYFUNCTION("SPLIT(SUBSTITUTE(L11,"" "",""?"",1),""?"")"),"Gironde")</f>
        <v>Gironde</v>
      </c>
      <c r="N11" s="6" t="str">
        <f>IFERROR(__xludf.DUMMYFUNCTION("""COMPUTED_VALUE"""),"Nouvelle Aquitaine")</f>
        <v>Nouvelle Aquitaine</v>
      </c>
      <c r="O11" s="6"/>
      <c r="P11" s="6" t="s">
        <v>67</v>
      </c>
      <c r="Q11" s="3" t="str">
        <f t="shared" si="2"/>
        <v>44.8541256031603 </v>
      </c>
      <c r="R11" s="6" t="s">
        <v>68</v>
      </c>
      <c r="S11" s="5" t="str">
        <f t="shared" si="3"/>
        <v>-0.57673879988569</v>
      </c>
    </row>
    <row r="12">
      <c r="A12" s="6" t="s">
        <v>69</v>
      </c>
      <c r="B12" s="7"/>
      <c r="C12" s="4" t="str">
        <f t="shared" si="1"/>
        <v/>
      </c>
      <c r="D12" s="6" t="s">
        <v>70</v>
      </c>
      <c r="E12" s="6" t="s">
        <v>44</v>
      </c>
      <c r="F12" s="6" t="s">
        <v>43</v>
      </c>
      <c r="G12" s="7"/>
      <c r="H12" s="6" t="s">
        <v>71</v>
      </c>
      <c r="I12" s="6">
        <v>33300.0</v>
      </c>
      <c r="J12" s="6">
        <v>33063.0</v>
      </c>
      <c r="K12" s="6" t="s">
        <v>34</v>
      </c>
      <c r="L12" s="7" t="s">
        <v>20</v>
      </c>
      <c r="M12" s="3" t="str">
        <f>IFERROR(__xludf.DUMMYFUNCTION("SPLIT(SUBSTITUTE(L12,"" "",""?"",1),""?"")"),"Gironde")</f>
        <v>Gironde</v>
      </c>
      <c r="N12" s="6" t="str">
        <f>IFERROR(__xludf.DUMMYFUNCTION("""COMPUTED_VALUE"""),"Nouvelle Aquitaine")</f>
        <v>Nouvelle Aquitaine</v>
      </c>
      <c r="O12" s="6"/>
      <c r="P12" s="6" t="s">
        <v>72</v>
      </c>
      <c r="Q12" s="3" t="str">
        <f t="shared" si="2"/>
        <v>44.8558462446764 </v>
      </c>
      <c r="R12" s="6" t="s">
        <v>73</v>
      </c>
      <c r="S12" s="5" t="str">
        <f t="shared" si="3"/>
        <v>-0.572110842345362</v>
      </c>
    </row>
    <row r="13">
      <c r="A13" s="6" t="s">
        <v>74</v>
      </c>
      <c r="B13" s="6" t="s">
        <v>38</v>
      </c>
      <c r="C13" s="4" t="str">
        <f t="shared" si="1"/>
        <v>Mairie de Bordeaux</v>
      </c>
      <c r="D13" s="6" t="s">
        <v>39</v>
      </c>
      <c r="E13" s="6" t="s">
        <v>16</v>
      </c>
      <c r="F13" s="6" t="s">
        <v>17</v>
      </c>
      <c r="G13" s="6">
        <v>2.13E13</v>
      </c>
      <c r="H13" s="6" t="s">
        <v>75</v>
      </c>
      <c r="I13" s="6">
        <v>33000.0</v>
      </c>
      <c r="J13" s="6">
        <v>33063.0</v>
      </c>
      <c r="K13" s="6" t="s">
        <v>34</v>
      </c>
      <c r="L13" s="7" t="s">
        <v>20</v>
      </c>
      <c r="M13" s="3" t="str">
        <f>IFERROR(__xludf.DUMMYFUNCTION("SPLIT(SUBSTITUTE(L13,"" "",""?"",1),""?"")"),"Gironde")</f>
        <v>Gironde</v>
      </c>
      <c r="N13" s="6" t="str">
        <f>IFERROR(__xludf.DUMMYFUNCTION("""COMPUTED_VALUE"""),"Nouvelle Aquitaine")</f>
        <v>Nouvelle Aquitaine</v>
      </c>
      <c r="O13" s="6"/>
      <c r="P13" s="6" t="s">
        <v>76</v>
      </c>
      <c r="Q13" s="3" t="str">
        <f t="shared" si="2"/>
        <v>44.8351168280552 </v>
      </c>
      <c r="R13" s="6" t="s">
        <v>77</v>
      </c>
      <c r="S13" s="5" t="str">
        <f t="shared" si="3"/>
        <v>-0.586759237213544</v>
      </c>
    </row>
    <row r="14">
      <c r="A14" s="6" t="s">
        <v>78</v>
      </c>
      <c r="B14" s="7"/>
      <c r="C14" s="4" t="str">
        <f t="shared" si="1"/>
        <v/>
      </c>
      <c r="D14" s="6" t="s">
        <v>43</v>
      </c>
      <c r="E14" s="6" t="s">
        <v>44</v>
      </c>
      <c r="F14" s="6" t="s">
        <v>43</v>
      </c>
      <c r="G14" s="7"/>
      <c r="H14" s="6" t="s">
        <v>79</v>
      </c>
      <c r="I14" s="6">
        <v>33000.0</v>
      </c>
      <c r="J14" s="6">
        <v>33063.0</v>
      </c>
      <c r="K14" s="6" t="s">
        <v>34</v>
      </c>
      <c r="L14" s="7" t="s">
        <v>20</v>
      </c>
      <c r="M14" s="3" t="str">
        <f>IFERROR(__xludf.DUMMYFUNCTION("SPLIT(SUBSTITUTE(L14,"" "",""?"",1),""?"")"),"Gironde")</f>
        <v>Gironde</v>
      </c>
      <c r="N14" s="6" t="str">
        <f>IFERROR(__xludf.DUMMYFUNCTION("""COMPUTED_VALUE"""),"Nouvelle Aquitaine")</f>
        <v>Nouvelle Aquitaine</v>
      </c>
      <c r="O14" s="6"/>
      <c r="P14" s="6" t="s">
        <v>80</v>
      </c>
      <c r="Q14" s="3" t="str">
        <f t="shared" si="2"/>
        <v>44.8374899117795 </v>
      </c>
      <c r="R14" s="6" t="s">
        <v>81</v>
      </c>
      <c r="S14" s="5" t="str">
        <f t="shared" si="3"/>
        <v>-0.575839282860387</v>
      </c>
    </row>
    <row r="15">
      <c r="A15" s="6" t="s">
        <v>82</v>
      </c>
      <c r="B15" s="7"/>
      <c r="C15" s="4" t="str">
        <f t="shared" si="1"/>
        <v/>
      </c>
      <c r="D15" s="6" t="s">
        <v>83</v>
      </c>
      <c r="E15" s="6" t="s">
        <v>44</v>
      </c>
      <c r="F15" s="6" t="s">
        <v>43</v>
      </c>
      <c r="G15" s="7"/>
      <c r="H15" s="6" t="s">
        <v>84</v>
      </c>
      <c r="I15" s="6">
        <v>33000.0</v>
      </c>
      <c r="J15" s="6">
        <v>33063.0</v>
      </c>
      <c r="K15" s="6" t="s">
        <v>34</v>
      </c>
      <c r="L15" s="7" t="s">
        <v>20</v>
      </c>
      <c r="M15" s="3" t="str">
        <f>IFERROR(__xludf.DUMMYFUNCTION("SPLIT(SUBSTITUTE(L15,"" "",""?"",1),""?"")"),"Gironde")</f>
        <v>Gironde</v>
      </c>
      <c r="N15" s="6" t="str">
        <f>IFERROR(__xludf.DUMMYFUNCTION("""COMPUTED_VALUE"""),"Nouvelle Aquitaine")</f>
        <v>Nouvelle Aquitaine</v>
      </c>
      <c r="O15" s="6"/>
      <c r="P15" s="6" t="s">
        <v>85</v>
      </c>
      <c r="Q15" s="3" t="str">
        <f t="shared" si="2"/>
        <v>44.840415176588 </v>
      </c>
      <c r="R15" s="6" t="s">
        <v>86</v>
      </c>
      <c r="S15" s="5" t="str">
        <f t="shared" si="3"/>
        <v>-0.570517578425619</v>
      </c>
    </row>
    <row r="16">
      <c r="A16" s="6" t="s">
        <v>87</v>
      </c>
      <c r="B16" s="7"/>
      <c r="C16" s="4" t="str">
        <f t="shared" si="1"/>
        <v/>
      </c>
      <c r="D16" s="6" t="s">
        <v>43</v>
      </c>
      <c r="E16" s="6" t="s">
        <v>44</v>
      </c>
      <c r="F16" s="6" t="s">
        <v>43</v>
      </c>
      <c r="G16" s="7"/>
      <c r="H16" s="6" t="s">
        <v>88</v>
      </c>
      <c r="I16" s="6">
        <v>33000.0</v>
      </c>
      <c r="J16" s="6">
        <v>33063.0</v>
      </c>
      <c r="K16" s="6" t="s">
        <v>34</v>
      </c>
      <c r="L16" s="7" t="s">
        <v>20</v>
      </c>
      <c r="M16" s="3" t="str">
        <f>IFERROR(__xludf.DUMMYFUNCTION("SPLIT(SUBSTITUTE(L16,"" "",""?"",1),""?"")"),"Gironde")</f>
        <v>Gironde</v>
      </c>
      <c r="N16" s="6" t="str">
        <f>IFERROR(__xludf.DUMMYFUNCTION("""COMPUTED_VALUE"""),"Nouvelle Aquitaine")</f>
        <v>Nouvelle Aquitaine</v>
      </c>
      <c r="O16" s="6"/>
      <c r="P16" s="6" t="s">
        <v>89</v>
      </c>
      <c r="Q16" s="3" t="str">
        <f t="shared" si="2"/>
        <v>44.8386536722948 </v>
      </c>
      <c r="R16" s="6" t="s">
        <v>90</v>
      </c>
      <c r="S16" s="5" t="str">
        <f t="shared" si="3"/>
        <v>-0.568043900826017</v>
      </c>
    </row>
    <row r="17">
      <c r="A17" s="6" t="s">
        <v>91</v>
      </c>
      <c r="B17" s="7"/>
      <c r="C17" s="4" t="str">
        <f t="shared" si="1"/>
        <v/>
      </c>
      <c r="D17" s="6" t="s">
        <v>43</v>
      </c>
      <c r="E17" s="6" t="s">
        <v>44</v>
      </c>
      <c r="F17" s="6" t="s">
        <v>43</v>
      </c>
      <c r="G17" s="7"/>
      <c r="H17" s="6" t="s">
        <v>92</v>
      </c>
      <c r="I17" s="6">
        <v>33000.0</v>
      </c>
      <c r="J17" s="6">
        <v>33063.0</v>
      </c>
      <c r="K17" s="6" t="s">
        <v>34</v>
      </c>
      <c r="L17" s="7" t="s">
        <v>20</v>
      </c>
      <c r="M17" s="3" t="str">
        <f>IFERROR(__xludf.DUMMYFUNCTION("SPLIT(SUBSTITUTE(L17,"" "",""?"",1),""?"")"),"Gironde")</f>
        <v>Gironde</v>
      </c>
      <c r="N17" s="6" t="str">
        <f>IFERROR(__xludf.DUMMYFUNCTION("""COMPUTED_VALUE"""),"Nouvelle Aquitaine")</f>
        <v>Nouvelle Aquitaine</v>
      </c>
      <c r="O17" s="6"/>
      <c r="P17" s="6" t="s">
        <v>93</v>
      </c>
      <c r="Q17" s="3" t="str">
        <f t="shared" si="2"/>
        <v>44.8421776416482 </v>
      </c>
      <c r="R17" s="6" t="s">
        <v>94</v>
      </c>
      <c r="S17" s="5" t="str">
        <f t="shared" si="3"/>
        <v>-0.582816427120468</v>
      </c>
    </row>
    <row r="18">
      <c r="A18" s="6" t="s">
        <v>95</v>
      </c>
      <c r="B18" s="7"/>
      <c r="C18" s="4" t="str">
        <f t="shared" si="1"/>
        <v/>
      </c>
      <c r="D18" s="6" t="s">
        <v>56</v>
      </c>
      <c r="E18" s="6" t="s">
        <v>44</v>
      </c>
      <c r="F18" s="6" t="s">
        <v>96</v>
      </c>
      <c r="G18" s="7"/>
      <c r="H18" s="6" t="s">
        <v>97</v>
      </c>
      <c r="I18" s="6">
        <v>33000.0</v>
      </c>
      <c r="J18" s="6">
        <v>33063.0</v>
      </c>
      <c r="K18" s="6" t="s">
        <v>34</v>
      </c>
      <c r="L18" s="7" t="s">
        <v>20</v>
      </c>
      <c r="M18" s="3" t="str">
        <f>IFERROR(__xludf.DUMMYFUNCTION("SPLIT(SUBSTITUTE(L18,"" "",""?"",1),""?"")"),"Gironde")</f>
        <v>Gironde</v>
      </c>
      <c r="N18" s="6" t="str">
        <f>IFERROR(__xludf.DUMMYFUNCTION("""COMPUTED_VALUE"""),"Nouvelle Aquitaine")</f>
        <v>Nouvelle Aquitaine</v>
      </c>
      <c r="O18" s="6"/>
      <c r="P18" s="6" t="s">
        <v>98</v>
      </c>
      <c r="Q18" s="3" t="str">
        <f t="shared" si="2"/>
        <v>44.8342970402626 </v>
      </c>
      <c r="R18" s="6" t="s">
        <v>99</v>
      </c>
      <c r="S18" s="5" t="str">
        <f t="shared" si="3"/>
        <v>-0.586211937760128</v>
      </c>
    </row>
    <row r="19">
      <c r="A19" s="6" t="s">
        <v>100</v>
      </c>
      <c r="B19" s="6" t="s">
        <v>38</v>
      </c>
      <c r="C19" s="4" t="str">
        <f t="shared" si="1"/>
        <v>Mairie de Bordeaux</v>
      </c>
      <c r="D19" s="6" t="s">
        <v>39</v>
      </c>
      <c r="E19" s="6" t="s">
        <v>16</v>
      </c>
      <c r="F19" s="6" t="s">
        <v>17</v>
      </c>
      <c r="G19" s="6">
        <v>2.13E13</v>
      </c>
      <c r="H19" s="6" t="s">
        <v>101</v>
      </c>
      <c r="I19" s="6">
        <v>33800.0</v>
      </c>
      <c r="J19" s="6">
        <v>33063.0</v>
      </c>
      <c r="K19" s="6" t="s">
        <v>34</v>
      </c>
      <c r="L19" s="7" t="s">
        <v>20</v>
      </c>
      <c r="M19" s="3" t="str">
        <f>IFERROR(__xludf.DUMMYFUNCTION("SPLIT(SUBSTITUTE(L19,"" "",""?"",1),""?"")"),"Gironde")</f>
        <v>Gironde</v>
      </c>
      <c r="N19" s="6" t="str">
        <f>IFERROR(__xludf.DUMMYFUNCTION("""COMPUTED_VALUE"""),"Nouvelle Aquitaine")</f>
        <v>Nouvelle Aquitaine</v>
      </c>
      <c r="O19" s="6"/>
      <c r="P19" s="6" t="s">
        <v>102</v>
      </c>
      <c r="Q19" s="3" t="str">
        <f t="shared" si="2"/>
        <v>44.8308018716672 </v>
      </c>
      <c r="R19" s="6" t="s">
        <v>103</v>
      </c>
      <c r="S19" s="5" t="str">
        <f t="shared" si="3"/>
        <v>-0.567016016608649</v>
      </c>
    </row>
    <row r="20">
      <c r="A20" s="6" t="s">
        <v>104</v>
      </c>
      <c r="B20" s="6" t="s">
        <v>38</v>
      </c>
      <c r="C20" s="4" t="str">
        <f t="shared" si="1"/>
        <v>Mairie de Bordeaux</v>
      </c>
      <c r="D20" s="6" t="s">
        <v>39</v>
      </c>
      <c r="E20" s="6" t="s">
        <v>16</v>
      </c>
      <c r="F20" s="6" t="s">
        <v>17</v>
      </c>
      <c r="G20" s="6">
        <v>2.13E13</v>
      </c>
      <c r="H20" s="6" t="s">
        <v>105</v>
      </c>
      <c r="I20" s="6">
        <v>33800.0</v>
      </c>
      <c r="J20" s="6">
        <v>33063.0</v>
      </c>
      <c r="K20" s="6" t="s">
        <v>34</v>
      </c>
      <c r="L20" s="7" t="s">
        <v>20</v>
      </c>
      <c r="M20" s="3" t="str">
        <f>IFERROR(__xludf.DUMMYFUNCTION("SPLIT(SUBSTITUTE(L20,"" "",""?"",1),""?"")"),"Gironde")</f>
        <v>Gironde</v>
      </c>
      <c r="N20" s="6" t="str">
        <f>IFERROR(__xludf.DUMMYFUNCTION("""COMPUTED_VALUE"""),"Nouvelle Aquitaine")</f>
        <v>Nouvelle Aquitaine</v>
      </c>
      <c r="O20" s="6"/>
      <c r="P20" s="6" t="s">
        <v>106</v>
      </c>
      <c r="Q20" s="3" t="str">
        <f t="shared" si="2"/>
        <v>44.8212741540285 </v>
      </c>
      <c r="R20" s="6" t="s">
        <v>107</v>
      </c>
      <c r="S20" s="5" t="str">
        <f t="shared" si="3"/>
        <v>-0.550768072761059</v>
      </c>
    </row>
    <row r="21">
      <c r="A21" s="6" t="s">
        <v>108</v>
      </c>
      <c r="B21" s="6" t="s">
        <v>38</v>
      </c>
      <c r="C21" s="4" t="str">
        <f t="shared" si="1"/>
        <v>Mairie de Bordeaux</v>
      </c>
      <c r="D21" s="6" t="s">
        <v>39</v>
      </c>
      <c r="E21" s="6" t="s">
        <v>16</v>
      </c>
      <c r="F21" s="6" t="s">
        <v>17</v>
      </c>
      <c r="G21" s="6">
        <v>2.13E13</v>
      </c>
      <c r="H21" s="6" t="s">
        <v>109</v>
      </c>
      <c r="I21" s="6">
        <v>33200.0</v>
      </c>
      <c r="J21" s="6">
        <v>33063.0</v>
      </c>
      <c r="K21" s="6" t="s">
        <v>34</v>
      </c>
      <c r="L21" s="7" t="s">
        <v>20</v>
      </c>
      <c r="M21" s="3" t="str">
        <f>IFERROR(__xludf.DUMMYFUNCTION("SPLIT(SUBSTITUTE(L21,"" "",""?"",1),""?"")"),"Gironde")</f>
        <v>Gironde</v>
      </c>
      <c r="N21" s="6" t="str">
        <f>IFERROR(__xludf.DUMMYFUNCTION("""COMPUTED_VALUE"""),"Nouvelle Aquitaine")</f>
        <v>Nouvelle Aquitaine</v>
      </c>
      <c r="O21" s="6"/>
      <c r="P21" s="6" t="s">
        <v>110</v>
      </c>
      <c r="Q21" s="3" t="str">
        <f t="shared" si="2"/>
        <v>44.8576510865659 </v>
      </c>
      <c r="R21" s="6" t="s">
        <v>111</v>
      </c>
      <c r="S21" s="5" t="str">
        <f t="shared" si="3"/>
        <v>-0.623685335493888</v>
      </c>
    </row>
    <row r="22">
      <c r="A22" s="6" t="s">
        <v>112</v>
      </c>
      <c r="B22" s="7"/>
      <c r="C22" s="4" t="str">
        <f t="shared" si="1"/>
        <v/>
      </c>
      <c r="D22" s="6" t="s">
        <v>43</v>
      </c>
      <c r="E22" s="6" t="s">
        <v>44</v>
      </c>
      <c r="F22" s="6" t="s">
        <v>43</v>
      </c>
      <c r="G22" s="7"/>
      <c r="H22" s="6" t="s">
        <v>113</v>
      </c>
      <c r="I22" s="6">
        <v>33370.0</v>
      </c>
      <c r="J22" s="6">
        <v>33013.0</v>
      </c>
      <c r="K22" s="6" t="s">
        <v>114</v>
      </c>
      <c r="L22" s="7" t="s">
        <v>20</v>
      </c>
      <c r="M22" s="3" t="str">
        <f>IFERROR(__xludf.DUMMYFUNCTION("SPLIT(SUBSTITUTE(L22,"" "",""?"",1),""?"")"),"Gironde")</f>
        <v>Gironde</v>
      </c>
      <c r="N22" s="6" t="str">
        <f>IFERROR(__xludf.DUMMYFUNCTION("""COMPUTED_VALUE"""),"Nouvelle Aquitaine")</f>
        <v>Nouvelle Aquitaine</v>
      </c>
      <c r="O22" s="6"/>
      <c r="P22" s="6" t="s">
        <v>115</v>
      </c>
      <c r="Q22" s="3" t="str">
        <f t="shared" si="2"/>
        <v>44.8587549498054 </v>
      </c>
      <c r="R22" s="6" t="s">
        <v>116</v>
      </c>
      <c r="S22" s="5" t="str">
        <f t="shared" si="3"/>
        <v>-0.497308676329456</v>
      </c>
    </row>
    <row r="23">
      <c r="A23" s="6" t="s">
        <v>117</v>
      </c>
      <c r="B23" s="6" t="s">
        <v>118</v>
      </c>
      <c r="C23" s="4" t="str">
        <f t="shared" si="1"/>
        <v>Mairie de Cenon</v>
      </c>
      <c r="D23" s="6" t="s">
        <v>15</v>
      </c>
      <c r="E23" s="6" t="s">
        <v>16</v>
      </c>
      <c r="F23" s="6" t="s">
        <v>17</v>
      </c>
      <c r="G23" s="7"/>
      <c r="H23" s="6" t="s">
        <v>119</v>
      </c>
      <c r="I23" s="6">
        <v>33150.0</v>
      </c>
      <c r="J23" s="6">
        <v>33119.0</v>
      </c>
      <c r="K23" s="6" t="s">
        <v>120</v>
      </c>
      <c r="L23" s="7" t="s">
        <v>20</v>
      </c>
      <c r="M23" s="3" t="str">
        <f>IFERROR(__xludf.DUMMYFUNCTION("SPLIT(SUBSTITUTE(L23,"" "",""?"",1),""?"")"),"Gironde")</f>
        <v>Gironde</v>
      </c>
      <c r="N23" s="6" t="str">
        <f>IFERROR(__xludf.DUMMYFUNCTION("""COMPUTED_VALUE"""),"Nouvelle Aquitaine")</f>
        <v>Nouvelle Aquitaine</v>
      </c>
      <c r="O23" s="6"/>
      <c r="P23" s="6" t="s">
        <v>121</v>
      </c>
      <c r="Q23" s="3" t="str">
        <f t="shared" si="2"/>
        <v>44.8521127117729 </v>
      </c>
      <c r="R23" s="6" t="s">
        <v>122</v>
      </c>
      <c r="S23" s="5" t="str">
        <f t="shared" si="3"/>
        <v>-0.513358806912427</v>
      </c>
    </row>
    <row r="24">
      <c r="A24" s="6" t="s">
        <v>123</v>
      </c>
      <c r="B24" s="7"/>
      <c r="C24" s="4" t="str">
        <f t="shared" si="1"/>
        <v/>
      </c>
      <c r="D24" s="6" t="s">
        <v>43</v>
      </c>
      <c r="E24" s="6" t="s">
        <v>44</v>
      </c>
      <c r="F24" s="6" t="s">
        <v>43</v>
      </c>
      <c r="G24" s="7"/>
      <c r="H24" s="6" t="s">
        <v>124</v>
      </c>
      <c r="I24" s="6">
        <v>33310.0</v>
      </c>
      <c r="J24" s="6">
        <v>33249.0</v>
      </c>
      <c r="K24" s="6" t="s">
        <v>46</v>
      </c>
      <c r="L24" s="7" t="s">
        <v>20</v>
      </c>
      <c r="M24" s="3" t="str">
        <f>IFERROR(__xludf.DUMMYFUNCTION("SPLIT(SUBSTITUTE(L24,"" "",""?"",1),""?"")"),"Gironde")</f>
        <v>Gironde</v>
      </c>
      <c r="N24" s="6" t="str">
        <f>IFERROR(__xludf.DUMMYFUNCTION("""COMPUTED_VALUE"""),"Nouvelle Aquitaine")</f>
        <v>Nouvelle Aquitaine</v>
      </c>
      <c r="O24" s="6"/>
      <c r="P24" s="6" t="s">
        <v>125</v>
      </c>
      <c r="Q24" s="3" t="str">
        <f t="shared" si="2"/>
        <v>44.8756415415234 </v>
      </c>
      <c r="R24" s="6" t="s">
        <v>126</v>
      </c>
      <c r="S24" s="5" t="str">
        <f t="shared" si="3"/>
        <v>-0.520124802867933</v>
      </c>
    </row>
    <row r="25">
      <c r="A25" s="6" t="s">
        <v>127</v>
      </c>
      <c r="B25" s="7"/>
      <c r="C25" s="4" t="str">
        <f t="shared" si="1"/>
        <v/>
      </c>
      <c r="D25" s="6" t="s">
        <v>43</v>
      </c>
      <c r="E25" s="6" t="s">
        <v>44</v>
      </c>
      <c r="F25" s="6" t="s">
        <v>43</v>
      </c>
      <c r="G25" s="7"/>
      <c r="H25" s="6" t="s">
        <v>128</v>
      </c>
      <c r="I25" s="6">
        <v>33310.0</v>
      </c>
      <c r="J25" s="6">
        <v>33249.0</v>
      </c>
      <c r="K25" s="6" t="s">
        <v>46</v>
      </c>
      <c r="L25" s="7" t="s">
        <v>20</v>
      </c>
      <c r="M25" s="3" t="str">
        <f>IFERROR(__xludf.DUMMYFUNCTION("SPLIT(SUBSTITUTE(L25,"" "",""?"",1),""?"")"),"Gironde")</f>
        <v>Gironde</v>
      </c>
      <c r="N25" s="6" t="str">
        <f>IFERROR(__xludf.DUMMYFUNCTION("""COMPUTED_VALUE"""),"Nouvelle Aquitaine")</f>
        <v>Nouvelle Aquitaine</v>
      </c>
      <c r="O25" s="6"/>
      <c r="P25" s="6" t="s">
        <v>129</v>
      </c>
      <c r="Q25" s="3" t="str">
        <f t="shared" si="2"/>
        <v>44.875605745008 </v>
      </c>
      <c r="R25" s="6" t="s">
        <v>130</v>
      </c>
      <c r="S25" s="5" t="str">
        <f t="shared" si="3"/>
        <v>-0.519866584630024</v>
      </c>
    </row>
    <row r="26">
      <c r="A26" s="6" t="s">
        <v>131</v>
      </c>
      <c r="B26" s="7"/>
      <c r="C26" s="4" t="str">
        <f t="shared" si="1"/>
        <v/>
      </c>
      <c r="D26" s="6" t="s">
        <v>56</v>
      </c>
      <c r="E26" s="6" t="s">
        <v>44</v>
      </c>
      <c r="F26" s="6" t="s">
        <v>32</v>
      </c>
      <c r="G26" s="7"/>
      <c r="H26" s="6" t="s">
        <v>132</v>
      </c>
      <c r="I26" s="6">
        <v>33130.0</v>
      </c>
      <c r="J26" s="6">
        <v>33039.0</v>
      </c>
      <c r="K26" s="6" t="s">
        <v>133</v>
      </c>
      <c r="L26" s="7" t="s">
        <v>20</v>
      </c>
      <c r="M26" s="3" t="str">
        <f>IFERROR(__xludf.DUMMYFUNCTION("SPLIT(SUBSTITUTE(L26,"" "",""?"",1),""?"")"),"Gironde")</f>
        <v>Gironde</v>
      </c>
      <c r="N26" s="6" t="str">
        <f>IFERROR(__xludf.DUMMYFUNCTION("""COMPUTED_VALUE"""),"Nouvelle Aquitaine")</f>
        <v>Nouvelle Aquitaine</v>
      </c>
      <c r="O26" s="6"/>
      <c r="P26" s="6" t="s">
        <v>134</v>
      </c>
      <c r="Q26" s="3" t="str">
        <f t="shared" si="2"/>
        <v>44.8065018752672 </v>
      </c>
      <c r="R26" s="6" t="s">
        <v>135</v>
      </c>
      <c r="S26" s="5" t="str">
        <f t="shared" si="3"/>
        <v>-0.549419830942252</v>
      </c>
    </row>
    <row r="27">
      <c r="A27" s="6" t="s">
        <v>136</v>
      </c>
      <c r="B27" s="7"/>
      <c r="C27" s="4" t="str">
        <f t="shared" si="1"/>
        <v/>
      </c>
      <c r="D27" s="6" t="s">
        <v>43</v>
      </c>
      <c r="E27" s="6" t="s">
        <v>44</v>
      </c>
      <c r="F27" s="6" t="s">
        <v>43</v>
      </c>
      <c r="G27" s="7"/>
      <c r="H27" s="6" t="s">
        <v>137</v>
      </c>
      <c r="I27" s="6">
        <v>33130.0</v>
      </c>
      <c r="J27" s="6">
        <v>33039.0</v>
      </c>
      <c r="K27" s="6" t="s">
        <v>133</v>
      </c>
      <c r="L27" s="7" t="s">
        <v>20</v>
      </c>
      <c r="M27" s="3" t="str">
        <f>IFERROR(__xludf.DUMMYFUNCTION("SPLIT(SUBSTITUTE(L27,"" "",""?"",1),""?"")"),"Gironde")</f>
        <v>Gironde</v>
      </c>
      <c r="N27" s="6" t="str">
        <f>IFERROR(__xludf.DUMMYFUNCTION("""COMPUTED_VALUE"""),"Nouvelle Aquitaine")</f>
        <v>Nouvelle Aquitaine</v>
      </c>
      <c r="O27" s="6"/>
      <c r="P27" s="6" t="s">
        <v>138</v>
      </c>
      <c r="Q27" s="3" t="str">
        <f t="shared" si="2"/>
        <v>44.8076435408269 </v>
      </c>
      <c r="R27" s="6" t="s">
        <v>139</v>
      </c>
      <c r="S27" s="5" t="str">
        <f t="shared" si="3"/>
        <v>-0.547586500721045</v>
      </c>
    </row>
    <row r="28">
      <c r="A28" s="6" t="s">
        <v>140</v>
      </c>
      <c r="B28" s="7"/>
      <c r="C28" s="4" t="str">
        <f t="shared" si="1"/>
        <v/>
      </c>
      <c r="D28" s="6" t="s">
        <v>83</v>
      </c>
      <c r="E28" s="6" t="s">
        <v>44</v>
      </c>
      <c r="F28" s="6" t="s">
        <v>43</v>
      </c>
      <c r="G28" s="7"/>
      <c r="H28" s="6" t="s">
        <v>141</v>
      </c>
      <c r="I28" s="6">
        <v>33130.0</v>
      </c>
      <c r="J28" s="6">
        <v>33039.0</v>
      </c>
      <c r="K28" s="6" t="s">
        <v>133</v>
      </c>
      <c r="L28" s="7" t="s">
        <v>20</v>
      </c>
      <c r="M28" s="3" t="str">
        <f>IFERROR(__xludf.DUMMYFUNCTION("SPLIT(SUBSTITUTE(L28,"" "",""?"",1),""?"")"),"Gironde")</f>
        <v>Gironde</v>
      </c>
      <c r="N28" s="6" t="str">
        <f>IFERROR(__xludf.DUMMYFUNCTION("""COMPUTED_VALUE"""),"Nouvelle Aquitaine")</f>
        <v>Nouvelle Aquitaine</v>
      </c>
      <c r="O28" s="6"/>
      <c r="P28" s="6" t="s">
        <v>142</v>
      </c>
      <c r="Q28" s="3" t="str">
        <f t="shared" si="2"/>
        <v>44.8028048793341 </v>
      </c>
      <c r="R28" s="6" t="s">
        <v>143</v>
      </c>
      <c r="S28" s="5" t="str">
        <f t="shared" si="3"/>
        <v>-0.546547422017029</v>
      </c>
    </row>
    <row r="29">
      <c r="A29" s="6" t="s">
        <v>144</v>
      </c>
      <c r="B29" s="7"/>
      <c r="C29" s="4" t="str">
        <f t="shared" si="1"/>
        <v/>
      </c>
      <c r="D29" s="6" t="s">
        <v>83</v>
      </c>
      <c r="E29" s="6" t="s">
        <v>44</v>
      </c>
      <c r="F29" s="6" t="s">
        <v>43</v>
      </c>
      <c r="G29" s="7"/>
      <c r="H29" s="6" t="s">
        <v>145</v>
      </c>
      <c r="I29" s="6">
        <v>33170.0</v>
      </c>
      <c r="J29" s="6">
        <v>33192.0</v>
      </c>
      <c r="K29" s="6" t="s">
        <v>146</v>
      </c>
      <c r="L29" s="7" t="s">
        <v>20</v>
      </c>
      <c r="M29" s="3" t="str">
        <f>IFERROR(__xludf.DUMMYFUNCTION("SPLIT(SUBSTITUTE(L29,"" "",""?"",1),""?"")"),"Gironde")</f>
        <v>Gironde</v>
      </c>
      <c r="N29" s="6" t="str">
        <f>IFERROR(__xludf.DUMMYFUNCTION("""COMPUTED_VALUE"""),"Nouvelle Aquitaine")</f>
        <v>Nouvelle Aquitaine</v>
      </c>
      <c r="O29" s="6"/>
      <c r="P29" s="6" t="s">
        <v>147</v>
      </c>
      <c r="Q29" s="3" t="str">
        <f t="shared" si="2"/>
        <v>44.7889887374992 </v>
      </c>
      <c r="R29" s="6" t="s">
        <v>148</v>
      </c>
      <c r="S29" s="5" t="str">
        <f t="shared" si="3"/>
        <v>-0.612368967969213</v>
      </c>
    </row>
    <row r="30">
      <c r="A30" s="6" t="s">
        <v>149</v>
      </c>
      <c r="B30" s="7"/>
      <c r="C30" s="4" t="str">
        <f t="shared" si="1"/>
        <v/>
      </c>
      <c r="D30" s="6" t="s">
        <v>43</v>
      </c>
      <c r="E30" s="6" t="s">
        <v>44</v>
      </c>
      <c r="F30" s="6" t="s">
        <v>43</v>
      </c>
      <c r="G30" s="7"/>
      <c r="H30" s="6" t="s">
        <v>150</v>
      </c>
      <c r="I30" s="6">
        <v>33170.0</v>
      </c>
      <c r="J30" s="6">
        <v>33192.0</v>
      </c>
      <c r="K30" s="6" t="s">
        <v>146</v>
      </c>
      <c r="L30" s="7" t="s">
        <v>20</v>
      </c>
      <c r="M30" s="3" t="str">
        <f>IFERROR(__xludf.DUMMYFUNCTION("SPLIT(SUBSTITUTE(L30,"" "",""?"",1),""?"")"),"Gironde")</f>
        <v>Gironde</v>
      </c>
      <c r="N30" s="6" t="str">
        <f>IFERROR(__xludf.DUMMYFUNCTION("""COMPUTED_VALUE"""),"Nouvelle Aquitaine")</f>
        <v>Nouvelle Aquitaine</v>
      </c>
      <c r="O30" s="6"/>
      <c r="P30" s="6" t="s">
        <v>151</v>
      </c>
      <c r="Q30" s="3" t="str">
        <f t="shared" si="2"/>
        <v>44.7736456578647 </v>
      </c>
      <c r="R30" s="6" t="s">
        <v>152</v>
      </c>
      <c r="S30" s="5" t="str">
        <f t="shared" si="3"/>
        <v>-0.615701455140657</v>
      </c>
    </row>
    <row r="31">
      <c r="A31" s="6" t="s">
        <v>153</v>
      </c>
      <c r="B31" s="6" t="s">
        <v>154</v>
      </c>
      <c r="C31" s="4" t="str">
        <f t="shared" si="1"/>
        <v>Mairie de Pessac</v>
      </c>
      <c r="D31" s="6" t="s">
        <v>39</v>
      </c>
      <c r="E31" s="6" t="s">
        <v>16</v>
      </c>
      <c r="F31" s="6" t="s">
        <v>17</v>
      </c>
      <c r="G31" s="7"/>
      <c r="H31" s="6" t="s">
        <v>155</v>
      </c>
      <c r="I31" s="6">
        <v>33600.0</v>
      </c>
      <c r="J31" s="6">
        <v>33318.0</v>
      </c>
      <c r="K31" s="6" t="s">
        <v>156</v>
      </c>
      <c r="L31" s="7" t="s">
        <v>20</v>
      </c>
      <c r="M31" s="3" t="str">
        <f>IFERROR(__xludf.DUMMYFUNCTION("SPLIT(SUBSTITUTE(L31,"" "",""?"",1),""?"")"),"Gironde")</f>
        <v>Gironde</v>
      </c>
      <c r="N31" s="6" t="str">
        <f>IFERROR(__xludf.DUMMYFUNCTION("""COMPUTED_VALUE"""),"Nouvelle Aquitaine")</f>
        <v>Nouvelle Aquitaine</v>
      </c>
      <c r="O31" s="6"/>
      <c r="P31" s="6" t="s">
        <v>157</v>
      </c>
      <c r="Q31" s="3" t="str">
        <f t="shared" si="2"/>
        <v>44.7905690650944 </v>
      </c>
      <c r="R31" s="6" t="s">
        <v>158</v>
      </c>
      <c r="S31" s="5" t="str">
        <f t="shared" si="3"/>
        <v>-0.631374521566855</v>
      </c>
    </row>
    <row r="32">
      <c r="A32" s="6" t="s">
        <v>159</v>
      </c>
      <c r="B32" s="6" t="s">
        <v>160</v>
      </c>
      <c r="C32" s="4" t="str">
        <f t="shared" si="1"/>
        <v>Mairie de Talence</v>
      </c>
      <c r="D32" s="6" t="s">
        <v>39</v>
      </c>
      <c r="E32" s="6" t="s">
        <v>16</v>
      </c>
      <c r="F32" s="6" t="s">
        <v>17</v>
      </c>
      <c r="G32" s="7"/>
      <c r="H32" s="6" t="s">
        <v>161</v>
      </c>
      <c r="I32" s="6">
        <v>33400.0</v>
      </c>
      <c r="J32" s="6">
        <v>33522.0</v>
      </c>
      <c r="K32" s="6" t="s">
        <v>162</v>
      </c>
      <c r="L32" s="7" t="s">
        <v>20</v>
      </c>
      <c r="M32" s="3" t="str">
        <f>IFERROR(__xludf.DUMMYFUNCTION("SPLIT(SUBSTITUTE(L32,"" "",""?"",1),""?"")"),"Gironde")</f>
        <v>Gironde</v>
      </c>
      <c r="N32" s="6" t="str">
        <f>IFERROR(__xludf.DUMMYFUNCTION("""COMPUTED_VALUE"""),"Nouvelle Aquitaine")</f>
        <v>Nouvelle Aquitaine</v>
      </c>
      <c r="O32" s="6"/>
      <c r="P32" s="6" t="s">
        <v>163</v>
      </c>
      <c r="Q32" s="3" t="str">
        <f t="shared" si="2"/>
        <v>44.7921533785375 </v>
      </c>
      <c r="R32" s="6" t="s">
        <v>164</v>
      </c>
      <c r="S32" s="5" t="str">
        <f t="shared" si="3"/>
        <v>-0.591619437817714</v>
      </c>
    </row>
    <row r="33">
      <c r="A33" s="6" t="s">
        <v>165</v>
      </c>
      <c r="B33" s="7"/>
      <c r="C33" s="4" t="str">
        <f t="shared" si="1"/>
        <v/>
      </c>
      <c r="D33" s="6" t="s">
        <v>43</v>
      </c>
      <c r="E33" s="6" t="s">
        <v>44</v>
      </c>
      <c r="F33" s="6" t="s">
        <v>43</v>
      </c>
      <c r="G33" s="7"/>
      <c r="H33" s="6" t="s">
        <v>166</v>
      </c>
      <c r="I33" s="6">
        <v>33400.0</v>
      </c>
      <c r="J33" s="6">
        <v>33522.0</v>
      </c>
      <c r="K33" s="6" t="s">
        <v>162</v>
      </c>
      <c r="L33" s="7" t="s">
        <v>20</v>
      </c>
      <c r="M33" s="3" t="str">
        <f>IFERROR(__xludf.DUMMYFUNCTION("SPLIT(SUBSTITUTE(L33,"" "",""?"",1),""?"")"),"Gironde")</f>
        <v>Gironde</v>
      </c>
      <c r="N33" s="6" t="str">
        <f>IFERROR(__xludf.DUMMYFUNCTION("""COMPUTED_VALUE"""),"Nouvelle Aquitaine")</f>
        <v>Nouvelle Aquitaine</v>
      </c>
      <c r="O33" s="6"/>
      <c r="P33" s="6" t="s">
        <v>167</v>
      </c>
      <c r="Q33" s="3" t="str">
        <f t="shared" si="2"/>
        <v>44.7966261639296 </v>
      </c>
      <c r="R33" s="6" t="s">
        <v>168</v>
      </c>
      <c r="S33" s="5" t="str">
        <f t="shared" si="3"/>
        <v>-0.59542433449458</v>
      </c>
    </row>
    <row r="34">
      <c r="A34" s="6" t="s">
        <v>169</v>
      </c>
      <c r="B34" s="7"/>
      <c r="C34" s="4" t="str">
        <f t="shared" si="1"/>
        <v/>
      </c>
      <c r="D34" s="6" t="s">
        <v>70</v>
      </c>
      <c r="E34" s="6" t="s">
        <v>44</v>
      </c>
      <c r="F34" s="6" t="s">
        <v>43</v>
      </c>
      <c r="G34" s="7"/>
      <c r="H34" s="6" t="s">
        <v>170</v>
      </c>
      <c r="I34" s="6">
        <v>33127.0</v>
      </c>
      <c r="J34" s="6">
        <v>33273.0</v>
      </c>
      <c r="K34" s="6" t="s">
        <v>171</v>
      </c>
      <c r="L34" s="7" t="s">
        <v>20</v>
      </c>
      <c r="M34" s="3" t="str">
        <f>IFERROR(__xludf.DUMMYFUNCTION("SPLIT(SUBSTITUTE(L34,"" "",""?"",1),""?"")"),"Gironde")</f>
        <v>Gironde</v>
      </c>
      <c r="N34" s="6" t="str">
        <f>IFERROR(__xludf.DUMMYFUNCTION("""COMPUTED_VALUE"""),"Nouvelle Aquitaine")</f>
        <v>Nouvelle Aquitaine</v>
      </c>
      <c r="O34" s="6"/>
      <c r="P34" s="6" t="s">
        <v>172</v>
      </c>
      <c r="Q34" s="3" t="str">
        <f t="shared" si="2"/>
        <v>44.8423719486755 </v>
      </c>
      <c r="R34" s="6" t="s">
        <v>173</v>
      </c>
      <c r="S34" s="5" t="str">
        <f t="shared" si="3"/>
        <v>-0.779397321153063</v>
      </c>
    </row>
    <row r="35">
      <c r="A35" s="6" t="s">
        <v>174</v>
      </c>
      <c r="B35" s="7"/>
      <c r="C35" s="4" t="str">
        <f t="shared" si="1"/>
        <v/>
      </c>
      <c r="D35" s="6" t="s">
        <v>43</v>
      </c>
      <c r="E35" s="6" t="s">
        <v>44</v>
      </c>
      <c r="F35" s="6" t="s">
        <v>43</v>
      </c>
      <c r="G35" s="7"/>
      <c r="H35" s="6" t="s">
        <v>175</v>
      </c>
      <c r="I35" s="6">
        <v>33700.0</v>
      </c>
      <c r="J35" s="6">
        <v>33281.0</v>
      </c>
      <c r="K35" s="6" t="s">
        <v>176</v>
      </c>
      <c r="L35" s="7" t="s">
        <v>20</v>
      </c>
      <c r="M35" s="3" t="str">
        <f>IFERROR(__xludf.DUMMYFUNCTION("SPLIT(SUBSTITUTE(L35,"" "",""?"",1),""?"")"),"Gironde")</f>
        <v>Gironde</v>
      </c>
      <c r="N35" s="6" t="str">
        <f>IFERROR(__xludf.DUMMYFUNCTION("""COMPUTED_VALUE"""),"Nouvelle Aquitaine")</f>
        <v>Nouvelle Aquitaine</v>
      </c>
      <c r="O35" s="6"/>
      <c r="P35" s="6" t="s">
        <v>177</v>
      </c>
      <c r="Q35" s="3" t="str">
        <f t="shared" si="2"/>
        <v>44.8517186438456 </v>
      </c>
      <c r="R35" s="6" t="s">
        <v>178</v>
      </c>
      <c r="S35" s="5" t="str">
        <f t="shared" si="3"/>
        <v>-0.649471556771519</v>
      </c>
    </row>
    <row r="36">
      <c r="A36" s="6" t="s">
        <v>179</v>
      </c>
      <c r="B36" s="7"/>
      <c r="C36" s="4" t="str">
        <f t="shared" si="1"/>
        <v/>
      </c>
      <c r="D36" s="6" t="s">
        <v>43</v>
      </c>
      <c r="E36" s="6" t="s">
        <v>44</v>
      </c>
      <c r="F36" s="6" t="s">
        <v>43</v>
      </c>
      <c r="G36" s="7"/>
      <c r="H36" s="6" t="s">
        <v>180</v>
      </c>
      <c r="I36" s="6">
        <v>33160.0</v>
      </c>
      <c r="J36" s="6">
        <v>33449.0</v>
      </c>
      <c r="K36" s="6" t="s">
        <v>181</v>
      </c>
      <c r="L36" s="7" t="s">
        <v>20</v>
      </c>
      <c r="M36" s="3" t="str">
        <f>IFERROR(__xludf.DUMMYFUNCTION("SPLIT(SUBSTITUTE(L36,"" "",""?"",1),""?"")"),"Gironde")</f>
        <v>Gironde</v>
      </c>
      <c r="N36" s="6" t="str">
        <f>IFERROR(__xludf.DUMMYFUNCTION("""COMPUTED_VALUE"""),"Nouvelle Aquitaine")</f>
        <v>Nouvelle Aquitaine</v>
      </c>
      <c r="O36" s="6"/>
      <c r="P36" s="6" t="s">
        <v>182</v>
      </c>
      <c r="Q36" s="3" t="str">
        <f t="shared" si="2"/>
        <v>44.8939099455002 </v>
      </c>
      <c r="R36" s="6" t="s">
        <v>183</v>
      </c>
      <c r="S36" s="5" t="str">
        <f t="shared" si="3"/>
        <v>-0.749362859460567</v>
      </c>
    </row>
    <row r="37">
      <c r="A37" s="6" t="s">
        <v>184</v>
      </c>
      <c r="B37" s="7"/>
      <c r="C37" s="4" t="str">
        <f t="shared" si="1"/>
        <v/>
      </c>
      <c r="D37" s="6" t="s">
        <v>43</v>
      </c>
      <c r="E37" s="6" t="s">
        <v>44</v>
      </c>
      <c r="F37" s="6" t="s">
        <v>43</v>
      </c>
      <c r="G37" s="7"/>
      <c r="H37" s="6" t="s">
        <v>185</v>
      </c>
      <c r="I37" s="6">
        <v>33800.0</v>
      </c>
      <c r="J37" s="6">
        <v>33063.0</v>
      </c>
      <c r="K37" s="6" t="s">
        <v>34</v>
      </c>
      <c r="L37" s="7" t="s">
        <v>20</v>
      </c>
      <c r="M37" s="3" t="str">
        <f>IFERROR(__xludf.DUMMYFUNCTION("SPLIT(SUBSTITUTE(L37,"" "",""?"",1),""?"")"),"Gironde")</f>
        <v>Gironde</v>
      </c>
      <c r="N37" s="6" t="str">
        <f>IFERROR(__xludf.DUMMYFUNCTION("""COMPUTED_VALUE"""),"Nouvelle Aquitaine")</f>
        <v>Nouvelle Aquitaine</v>
      </c>
      <c r="O37" s="6"/>
      <c r="P37" s="6" t="s">
        <v>186</v>
      </c>
      <c r="Q37" s="3" t="str">
        <f t="shared" si="2"/>
        <v>44.8296189183359 </v>
      </c>
      <c r="R37" s="6" t="s">
        <v>187</v>
      </c>
      <c r="S37" s="5" t="str">
        <f t="shared" si="3"/>
        <v>-0.568234732775661</v>
      </c>
    </row>
    <row r="38">
      <c r="A38" s="6" t="s">
        <v>188</v>
      </c>
      <c r="B38" s="7"/>
      <c r="C38" s="4" t="str">
        <f t="shared" si="1"/>
        <v/>
      </c>
      <c r="D38" s="6" t="s">
        <v>43</v>
      </c>
      <c r="E38" s="6" t="s">
        <v>44</v>
      </c>
      <c r="F38" s="6" t="s">
        <v>43</v>
      </c>
      <c r="G38" s="6">
        <v>7.82E13</v>
      </c>
      <c r="H38" s="6" t="s">
        <v>189</v>
      </c>
      <c r="I38" s="6">
        <v>33300.0</v>
      </c>
      <c r="J38" s="6">
        <v>33063.0</v>
      </c>
      <c r="K38" s="6" t="s">
        <v>34</v>
      </c>
      <c r="L38" s="7" t="s">
        <v>20</v>
      </c>
      <c r="M38" s="3" t="str">
        <f>IFERROR(__xludf.DUMMYFUNCTION("SPLIT(SUBSTITUTE(L38,"" "",""?"",1),""?"")"),"Gironde")</f>
        <v>Gironde</v>
      </c>
      <c r="N38" s="6" t="str">
        <f>IFERROR(__xludf.DUMMYFUNCTION("""COMPUTED_VALUE"""),"Nouvelle Aquitaine")</f>
        <v>Nouvelle Aquitaine</v>
      </c>
      <c r="O38" s="6"/>
      <c r="P38" s="6" t="s">
        <v>190</v>
      </c>
      <c r="Q38" s="3" t="str">
        <f t="shared" si="2"/>
        <v>44.8795887016774 </v>
      </c>
      <c r="R38" s="6" t="s">
        <v>191</v>
      </c>
      <c r="S38" s="5" t="str">
        <f t="shared" si="3"/>
        <v>-0.543182251350188</v>
      </c>
    </row>
    <row r="39">
      <c r="A39" s="6" t="s">
        <v>192</v>
      </c>
      <c r="B39" s="7"/>
      <c r="C39" s="4" t="str">
        <f t="shared" si="1"/>
        <v/>
      </c>
      <c r="D39" s="6" t="s">
        <v>43</v>
      </c>
      <c r="E39" s="6" t="s">
        <v>44</v>
      </c>
      <c r="F39" s="6" t="s">
        <v>43</v>
      </c>
      <c r="G39" s="7"/>
      <c r="H39" s="6" t="s">
        <v>193</v>
      </c>
      <c r="I39" s="6">
        <v>33000.0</v>
      </c>
      <c r="J39" s="6">
        <v>33063.0</v>
      </c>
      <c r="K39" s="6" t="s">
        <v>34</v>
      </c>
      <c r="L39" s="7" t="s">
        <v>20</v>
      </c>
      <c r="M39" s="3" t="str">
        <f>IFERROR(__xludf.DUMMYFUNCTION("SPLIT(SUBSTITUTE(L39,"" "",""?"",1),""?"")"),"Gironde")</f>
        <v>Gironde</v>
      </c>
      <c r="N39" s="6" t="str">
        <f>IFERROR(__xludf.DUMMYFUNCTION("""COMPUTED_VALUE"""),"Nouvelle Aquitaine")</f>
        <v>Nouvelle Aquitaine</v>
      </c>
      <c r="O39" s="6"/>
      <c r="P39" s="6" t="s">
        <v>194</v>
      </c>
      <c r="Q39" s="3" t="str">
        <f t="shared" si="2"/>
        <v>44.8379529077461 </v>
      </c>
      <c r="R39" s="6" t="s">
        <v>195</v>
      </c>
      <c r="S39" s="5" t="str">
        <f t="shared" si="3"/>
        <v>-0.569515586992977</v>
      </c>
    </row>
    <row r="40">
      <c r="A40" s="6" t="s">
        <v>196</v>
      </c>
      <c r="B40" s="7"/>
      <c r="C40" s="4" t="str">
        <f t="shared" si="1"/>
        <v/>
      </c>
      <c r="D40" s="6" t="s">
        <v>43</v>
      </c>
      <c r="E40" s="6" t="s">
        <v>44</v>
      </c>
      <c r="F40" s="6" t="s">
        <v>43</v>
      </c>
      <c r="G40" s="6">
        <v>7.82E13</v>
      </c>
      <c r="H40" s="6" t="s">
        <v>197</v>
      </c>
      <c r="I40" s="6">
        <v>33000.0</v>
      </c>
      <c r="J40" s="6">
        <v>33063.0</v>
      </c>
      <c r="K40" s="6" t="s">
        <v>34</v>
      </c>
      <c r="L40" s="7" t="s">
        <v>20</v>
      </c>
      <c r="M40" s="3" t="str">
        <f>IFERROR(__xludf.DUMMYFUNCTION("SPLIT(SUBSTITUTE(L40,"" "",""?"",1),""?"")"),"Gironde")</f>
        <v>Gironde</v>
      </c>
      <c r="N40" s="6" t="str">
        <f>IFERROR(__xludf.DUMMYFUNCTION("""COMPUTED_VALUE"""),"Nouvelle Aquitaine")</f>
        <v>Nouvelle Aquitaine</v>
      </c>
      <c r="O40" s="6"/>
      <c r="P40" s="6" t="s">
        <v>198</v>
      </c>
      <c r="Q40" s="3" t="str">
        <f t="shared" si="2"/>
        <v>44.8740305391211 </v>
      </c>
      <c r="R40" s="6" t="s">
        <v>199</v>
      </c>
      <c r="S40" s="5" t="str">
        <f t="shared" si="3"/>
        <v>-0.546146638400272</v>
      </c>
    </row>
    <row r="41">
      <c r="A41" s="6" t="s">
        <v>200</v>
      </c>
      <c r="B41" s="6" t="s">
        <v>38</v>
      </c>
      <c r="C41" s="4" t="str">
        <f t="shared" si="1"/>
        <v>Mairie de Bordeaux</v>
      </c>
      <c r="D41" s="6" t="s">
        <v>39</v>
      </c>
      <c r="E41" s="6" t="s">
        <v>44</v>
      </c>
      <c r="F41" s="6" t="s">
        <v>17</v>
      </c>
      <c r="G41" s="6">
        <v>2.13E13</v>
      </c>
      <c r="H41" s="6" t="s">
        <v>201</v>
      </c>
      <c r="I41" s="6">
        <v>33300.0</v>
      </c>
      <c r="J41" s="6">
        <v>33063.0</v>
      </c>
      <c r="K41" s="6" t="s">
        <v>34</v>
      </c>
      <c r="L41" s="7" t="s">
        <v>20</v>
      </c>
      <c r="M41" s="3" t="str">
        <f>IFERROR(__xludf.DUMMYFUNCTION("SPLIT(SUBSTITUTE(L41,"" "",""?"",1),""?"")"),"Gironde")</f>
        <v>Gironde</v>
      </c>
      <c r="N41" s="6" t="str">
        <f>IFERROR(__xludf.DUMMYFUNCTION("""COMPUTED_VALUE"""),"Nouvelle Aquitaine")</f>
        <v>Nouvelle Aquitaine</v>
      </c>
      <c r="O41" s="6"/>
      <c r="P41" s="6" t="s">
        <v>202</v>
      </c>
      <c r="Q41" s="3" t="str">
        <f t="shared" si="2"/>
        <v>44.873133961464 </v>
      </c>
      <c r="R41" s="6" t="s">
        <v>203</v>
      </c>
      <c r="S41" s="5" t="str">
        <f t="shared" si="3"/>
        <v>-0.546282394370516</v>
      </c>
    </row>
    <row r="42">
      <c r="A42" s="6" t="s">
        <v>204</v>
      </c>
      <c r="B42" s="7"/>
      <c r="C42" s="4" t="str">
        <f t="shared" si="1"/>
        <v/>
      </c>
      <c r="D42" s="6" t="s">
        <v>43</v>
      </c>
      <c r="E42" s="6" t="s">
        <v>44</v>
      </c>
      <c r="F42" s="6" t="s">
        <v>43</v>
      </c>
      <c r="G42" s="6">
        <v>7.82E13</v>
      </c>
      <c r="H42" s="6" t="s">
        <v>205</v>
      </c>
      <c r="I42" s="6">
        <v>33300.0</v>
      </c>
      <c r="J42" s="6">
        <v>33063.0</v>
      </c>
      <c r="K42" s="6" t="s">
        <v>34</v>
      </c>
      <c r="L42" s="7" t="s">
        <v>20</v>
      </c>
      <c r="M42" s="3" t="str">
        <f>IFERROR(__xludf.DUMMYFUNCTION("SPLIT(SUBSTITUTE(L42,"" "",""?"",1),""?"")"),"Gironde")</f>
        <v>Gironde</v>
      </c>
      <c r="N42" s="6" t="str">
        <f>IFERROR(__xludf.DUMMYFUNCTION("""COMPUTED_VALUE"""),"Nouvelle Aquitaine")</f>
        <v>Nouvelle Aquitaine</v>
      </c>
      <c r="O42" s="6"/>
      <c r="P42" s="6" t="s">
        <v>206</v>
      </c>
      <c r="Q42" s="3" t="str">
        <f t="shared" si="2"/>
        <v>44.8725467917707 </v>
      </c>
      <c r="R42" s="6" t="s">
        <v>207</v>
      </c>
      <c r="S42" s="5" t="str">
        <f t="shared" si="3"/>
        <v>-0.572518333173997</v>
      </c>
    </row>
    <row r="43">
      <c r="A43" s="6" t="s">
        <v>208</v>
      </c>
      <c r="B43" s="7"/>
      <c r="C43" s="4" t="str">
        <f t="shared" si="1"/>
        <v/>
      </c>
      <c r="D43" s="6" t="s">
        <v>70</v>
      </c>
      <c r="E43" s="6" t="s">
        <v>44</v>
      </c>
      <c r="F43" s="6" t="s">
        <v>43</v>
      </c>
      <c r="G43" s="7"/>
      <c r="H43" s="6" t="s">
        <v>209</v>
      </c>
      <c r="I43" s="6">
        <v>33300.0</v>
      </c>
      <c r="J43" s="6">
        <v>33063.0</v>
      </c>
      <c r="K43" s="6" t="s">
        <v>34</v>
      </c>
      <c r="L43" s="7" t="s">
        <v>20</v>
      </c>
      <c r="M43" s="3" t="str">
        <f>IFERROR(__xludf.DUMMYFUNCTION("SPLIT(SUBSTITUTE(L43,"" "",""?"",1),""?"")"),"Gironde")</f>
        <v>Gironde</v>
      </c>
      <c r="N43" s="6" t="str">
        <f>IFERROR(__xludf.DUMMYFUNCTION("""COMPUTED_VALUE"""),"Nouvelle Aquitaine")</f>
        <v>Nouvelle Aquitaine</v>
      </c>
      <c r="O43" s="6"/>
      <c r="P43" s="6" t="s">
        <v>210</v>
      </c>
      <c r="Q43" s="3" t="str">
        <f t="shared" si="2"/>
        <v>44.8602284600313 </v>
      </c>
      <c r="R43" s="6" t="s">
        <v>211</v>
      </c>
      <c r="S43" s="5" t="str">
        <f t="shared" si="3"/>
        <v>-0.562106192547505</v>
      </c>
    </row>
    <row r="44">
      <c r="A44" s="6" t="s">
        <v>212</v>
      </c>
      <c r="B44" s="6" t="s">
        <v>38</v>
      </c>
      <c r="C44" s="4" t="str">
        <f t="shared" si="1"/>
        <v>Mairie de Bordeaux</v>
      </c>
      <c r="D44" s="6" t="s">
        <v>39</v>
      </c>
      <c r="E44" s="6" t="s">
        <v>16</v>
      </c>
      <c r="F44" s="6" t="s">
        <v>17</v>
      </c>
      <c r="G44" s="6">
        <v>2.13E13</v>
      </c>
      <c r="H44" s="6" t="s">
        <v>213</v>
      </c>
      <c r="I44" s="6">
        <v>33000.0</v>
      </c>
      <c r="J44" s="6">
        <v>33063.0</v>
      </c>
      <c r="K44" s="6" t="s">
        <v>34</v>
      </c>
      <c r="L44" s="7" t="s">
        <v>20</v>
      </c>
      <c r="M44" s="3" t="str">
        <f>IFERROR(__xludf.DUMMYFUNCTION("SPLIT(SUBSTITUTE(L44,"" "",""?"",1),""?"")"),"Gironde")</f>
        <v>Gironde</v>
      </c>
      <c r="N44" s="6" t="str">
        <f>IFERROR(__xludf.DUMMYFUNCTION("""COMPUTED_VALUE"""),"Nouvelle Aquitaine")</f>
        <v>Nouvelle Aquitaine</v>
      </c>
      <c r="O44" s="6"/>
      <c r="P44" s="6" t="s">
        <v>214</v>
      </c>
      <c r="Q44" s="3" t="str">
        <f t="shared" si="2"/>
        <v>44.839435124121 </v>
      </c>
      <c r="R44" s="6" t="s">
        <v>215</v>
      </c>
      <c r="S44" s="5" t="str">
        <f t="shared" si="3"/>
        <v>-0.593256789357832</v>
      </c>
    </row>
    <row r="45">
      <c r="A45" s="6" t="s">
        <v>216</v>
      </c>
      <c r="B45" s="7"/>
      <c r="C45" s="4" t="str">
        <f t="shared" si="1"/>
        <v/>
      </c>
      <c r="D45" s="6" t="s">
        <v>15</v>
      </c>
      <c r="E45" s="6" t="s">
        <v>16</v>
      </c>
      <c r="F45" s="6" t="s">
        <v>17</v>
      </c>
      <c r="G45" s="7"/>
      <c r="H45" s="6" t="s">
        <v>217</v>
      </c>
      <c r="I45" s="6">
        <v>33000.0</v>
      </c>
      <c r="J45" s="6">
        <v>33063.0</v>
      </c>
      <c r="K45" s="6" t="s">
        <v>34</v>
      </c>
      <c r="L45" s="7" t="s">
        <v>20</v>
      </c>
      <c r="M45" s="3" t="str">
        <f>IFERROR(__xludf.DUMMYFUNCTION("SPLIT(SUBSTITUTE(L45,"" "",""?"",1),""?"")"),"Gironde")</f>
        <v>Gironde</v>
      </c>
      <c r="N45" s="6" t="str">
        <f>IFERROR(__xludf.DUMMYFUNCTION("""COMPUTED_VALUE"""),"Nouvelle Aquitaine")</f>
        <v>Nouvelle Aquitaine</v>
      </c>
      <c r="O45" s="6"/>
      <c r="P45" s="6" t="s">
        <v>218</v>
      </c>
      <c r="Q45" s="3" t="str">
        <f t="shared" si="2"/>
        <v>44.8382043106635 </v>
      </c>
      <c r="R45" s="6" t="s">
        <v>219</v>
      </c>
      <c r="S45" s="5" t="str">
        <f t="shared" si="3"/>
        <v>-0.582316627110537</v>
      </c>
    </row>
    <row r="46">
      <c r="A46" s="6" t="s">
        <v>220</v>
      </c>
      <c r="B46" s="7"/>
      <c r="C46" s="4" t="str">
        <f t="shared" si="1"/>
        <v/>
      </c>
      <c r="D46" s="6" t="s">
        <v>43</v>
      </c>
      <c r="E46" s="6" t="s">
        <v>44</v>
      </c>
      <c r="F46" s="6" t="s">
        <v>43</v>
      </c>
      <c r="G46" s="7"/>
      <c r="H46" s="6" t="s">
        <v>221</v>
      </c>
      <c r="I46" s="6">
        <v>33000.0</v>
      </c>
      <c r="J46" s="6">
        <v>33063.0</v>
      </c>
      <c r="K46" s="6" t="s">
        <v>34</v>
      </c>
      <c r="L46" s="7" t="s">
        <v>20</v>
      </c>
      <c r="M46" s="3" t="str">
        <f>IFERROR(__xludf.DUMMYFUNCTION("SPLIT(SUBSTITUTE(L46,"" "",""?"",1),""?"")"),"Gironde")</f>
        <v>Gironde</v>
      </c>
      <c r="N46" s="6" t="str">
        <f>IFERROR(__xludf.DUMMYFUNCTION("""COMPUTED_VALUE"""),"Nouvelle Aquitaine")</f>
        <v>Nouvelle Aquitaine</v>
      </c>
      <c r="O46" s="6"/>
      <c r="P46" s="6" t="s">
        <v>222</v>
      </c>
      <c r="Q46" s="3" t="str">
        <f t="shared" si="2"/>
        <v>44.8384732018026 </v>
      </c>
      <c r="R46" s="6" t="s">
        <v>223</v>
      </c>
      <c r="S46" s="5" t="str">
        <f t="shared" si="3"/>
        <v>-0.568542188054494</v>
      </c>
    </row>
    <row r="47">
      <c r="A47" s="6" t="s">
        <v>224</v>
      </c>
      <c r="B47" s="7"/>
      <c r="C47" s="4" t="str">
        <f t="shared" si="1"/>
        <v/>
      </c>
      <c r="D47" s="6" t="s">
        <v>56</v>
      </c>
      <c r="E47" s="6" t="s">
        <v>44</v>
      </c>
      <c r="F47" s="6" t="s">
        <v>57</v>
      </c>
      <c r="G47" s="7"/>
      <c r="H47" s="6" t="s">
        <v>225</v>
      </c>
      <c r="I47" s="6">
        <v>33000.0</v>
      </c>
      <c r="J47" s="6">
        <v>33063.0</v>
      </c>
      <c r="K47" s="6" t="s">
        <v>34</v>
      </c>
      <c r="L47" s="7" t="s">
        <v>20</v>
      </c>
      <c r="M47" s="3" t="str">
        <f>IFERROR(__xludf.DUMMYFUNCTION("SPLIT(SUBSTITUTE(L47,"" "",""?"",1),""?"")"),"Gironde")</f>
        <v>Gironde</v>
      </c>
      <c r="N47" s="6" t="str">
        <f>IFERROR(__xludf.DUMMYFUNCTION("""COMPUTED_VALUE"""),"Nouvelle Aquitaine")</f>
        <v>Nouvelle Aquitaine</v>
      </c>
      <c r="O47" s="6"/>
      <c r="P47" s="6" t="s">
        <v>226</v>
      </c>
      <c r="Q47" s="3" t="str">
        <f t="shared" si="2"/>
        <v>44.8424830956179 </v>
      </c>
      <c r="R47" s="6" t="s">
        <v>227</v>
      </c>
      <c r="S47" s="5" t="str">
        <f t="shared" si="3"/>
        <v>-0.572462929593069</v>
      </c>
    </row>
    <row r="48">
      <c r="A48" s="6" t="s">
        <v>228</v>
      </c>
      <c r="B48" s="7"/>
      <c r="C48" s="4" t="str">
        <f t="shared" si="1"/>
        <v/>
      </c>
      <c r="D48" s="6" t="s">
        <v>43</v>
      </c>
      <c r="E48" s="6" t="s">
        <v>44</v>
      </c>
      <c r="F48" s="6" t="s">
        <v>43</v>
      </c>
      <c r="G48" s="7"/>
      <c r="H48" s="6" t="s">
        <v>229</v>
      </c>
      <c r="I48" s="6">
        <v>33800.0</v>
      </c>
      <c r="J48" s="6">
        <v>33063.0</v>
      </c>
      <c r="K48" s="6" t="s">
        <v>34</v>
      </c>
      <c r="L48" s="7" t="s">
        <v>20</v>
      </c>
      <c r="M48" s="3" t="str">
        <f>IFERROR(__xludf.DUMMYFUNCTION("SPLIT(SUBSTITUTE(L48,"" "",""?"",1),""?"")"),"Gironde")</f>
        <v>Gironde</v>
      </c>
      <c r="N48" s="6" t="str">
        <f>IFERROR(__xludf.DUMMYFUNCTION("""COMPUTED_VALUE"""),"Nouvelle Aquitaine")</f>
        <v>Nouvelle Aquitaine</v>
      </c>
      <c r="O48" s="6"/>
      <c r="P48" s="6" t="s">
        <v>230</v>
      </c>
      <c r="Q48" s="3" t="str">
        <f t="shared" si="2"/>
        <v>44.8222816066295 </v>
      </c>
      <c r="R48" s="6" t="s">
        <v>231</v>
      </c>
      <c r="S48" s="5" t="str">
        <f t="shared" si="3"/>
        <v>-0.566530287678929</v>
      </c>
    </row>
    <row r="49">
      <c r="A49" s="6" t="s">
        <v>232</v>
      </c>
      <c r="B49" s="6" t="s">
        <v>31</v>
      </c>
      <c r="C49" s="4" t="str">
        <f t="shared" si="1"/>
        <v>Pôle Emploi</v>
      </c>
      <c r="D49" s="6" t="s">
        <v>31</v>
      </c>
      <c r="E49" s="6" t="s">
        <v>16</v>
      </c>
      <c r="F49" s="6" t="s">
        <v>32</v>
      </c>
      <c r="G49" s="7"/>
      <c r="H49" s="6" t="s">
        <v>233</v>
      </c>
      <c r="I49" s="6">
        <v>33800.0</v>
      </c>
      <c r="J49" s="6">
        <v>33063.0</v>
      </c>
      <c r="K49" s="6" t="s">
        <v>34</v>
      </c>
      <c r="L49" s="7" t="s">
        <v>20</v>
      </c>
      <c r="M49" s="3" t="str">
        <f>IFERROR(__xludf.DUMMYFUNCTION("SPLIT(SUBSTITUTE(L49,"" "",""?"",1),""?"")"),"Gironde")</f>
        <v>Gironde</v>
      </c>
      <c r="N49" s="6" t="str">
        <f>IFERROR(__xludf.DUMMYFUNCTION("""COMPUTED_VALUE"""),"Nouvelle Aquitaine")</f>
        <v>Nouvelle Aquitaine</v>
      </c>
      <c r="O49" s="6"/>
      <c r="P49" s="6" t="s">
        <v>234</v>
      </c>
      <c r="Q49" s="3" t="str">
        <f t="shared" si="2"/>
        <v>44.8271058055701 </v>
      </c>
      <c r="R49" s="6" t="s">
        <v>235</v>
      </c>
      <c r="S49" s="5" t="str">
        <f t="shared" si="3"/>
        <v>-0.554196479441024</v>
      </c>
    </row>
    <row r="50">
      <c r="A50" s="6" t="s">
        <v>236</v>
      </c>
      <c r="B50" s="6" t="s">
        <v>31</v>
      </c>
      <c r="C50" s="4" t="str">
        <f t="shared" si="1"/>
        <v>Pôle Emploi</v>
      </c>
      <c r="D50" s="6" t="s">
        <v>31</v>
      </c>
      <c r="E50" s="6" t="s">
        <v>16</v>
      </c>
      <c r="F50" s="6" t="s">
        <v>32</v>
      </c>
      <c r="G50" s="7"/>
      <c r="H50" s="6" t="s">
        <v>237</v>
      </c>
      <c r="I50" s="6">
        <v>33100.0</v>
      </c>
      <c r="J50" s="6">
        <v>33063.0</v>
      </c>
      <c r="K50" s="6" t="s">
        <v>34</v>
      </c>
      <c r="L50" s="7" t="s">
        <v>20</v>
      </c>
      <c r="M50" s="3" t="str">
        <f>IFERROR(__xludf.DUMMYFUNCTION("SPLIT(SUBSTITUTE(L50,"" "",""?"",1),""?"")"),"Gironde")</f>
        <v>Gironde</v>
      </c>
      <c r="N50" s="6" t="str">
        <f>IFERROR(__xludf.DUMMYFUNCTION("""COMPUTED_VALUE"""),"Nouvelle Aquitaine")</f>
        <v>Nouvelle Aquitaine</v>
      </c>
      <c r="O50" s="6"/>
      <c r="P50" s="6" t="s">
        <v>238</v>
      </c>
      <c r="Q50" s="3" t="str">
        <f t="shared" si="2"/>
        <v>44.8380460348437 </v>
      </c>
      <c r="R50" s="6" t="s">
        <v>239</v>
      </c>
      <c r="S50" s="5" t="str">
        <f t="shared" si="3"/>
        <v>-0.555132098171409</v>
      </c>
    </row>
    <row r="51">
      <c r="A51" s="6" t="s">
        <v>240</v>
      </c>
      <c r="B51" s="7"/>
      <c r="C51" s="4" t="str">
        <f t="shared" si="1"/>
        <v/>
      </c>
      <c r="D51" s="6" t="s">
        <v>43</v>
      </c>
      <c r="E51" s="6" t="s">
        <v>44</v>
      </c>
      <c r="F51" s="6" t="s">
        <v>43</v>
      </c>
      <c r="G51" s="7"/>
      <c r="H51" s="6" t="s">
        <v>241</v>
      </c>
      <c r="I51" s="6">
        <v>33200.0</v>
      </c>
      <c r="J51" s="6">
        <v>33063.0</v>
      </c>
      <c r="K51" s="6" t="s">
        <v>34</v>
      </c>
      <c r="L51" s="7" t="s">
        <v>20</v>
      </c>
      <c r="M51" s="3" t="str">
        <f>IFERROR(__xludf.DUMMYFUNCTION("SPLIT(SUBSTITUTE(L51,"" "",""?"",1),""?"")"),"Gironde")</f>
        <v>Gironde</v>
      </c>
      <c r="N51" s="6" t="str">
        <f>IFERROR(__xludf.DUMMYFUNCTION("""COMPUTED_VALUE"""),"Nouvelle Aquitaine")</f>
        <v>Nouvelle Aquitaine</v>
      </c>
      <c r="O51" s="6"/>
      <c r="P51" s="6" t="s">
        <v>242</v>
      </c>
      <c r="Q51" s="3" t="str">
        <f t="shared" si="2"/>
        <v>44.855371825466 </v>
      </c>
      <c r="R51" s="6" t="s">
        <v>243</v>
      </c>
      <c r="S51" s="5" t="str">
        <f t="shared" si="3"/>
        <v>-0.632757573764835</v>
      </c>
    </row>
    <row r="52">
      <c r="A52" s="6" t="s">
        <v>244</v>
      </c>
      <c r="B52" s="7"/>
      <c r="C52" s="4" t="str">
        <f t="shared" si="1"/>
        <v/>
      </c>
      <c r="D52" s="6" t="s">
        <v>43</v>
      </c>
      <c r="E52" s="6" t="s">
        <v>44</v>
      </c>
      <c r="F52" s="6" t="s">
        <v>43</v>
      </c>
      <c r="G52" s="7"/>
      <c r="H52" s="6" t="s">
        <v>245</v>
      </c>
      <c r="I52" s="6">
        <v>33200.0</v>
      </c>
      <c r="J52" s="6">
        <v>33281.0</v>
      </c>
      <c r="K52" s="6" t="s">
        <v>34</v>
      </c>
      <c r="L52" s="7" t="s">
        <v>20</v>
      </c>
      <c r="M52" s="3" t="str">
        <f>IFERROR(__xludf.DUMMYFUNCTION("SPLIT(SUBSTITUTE(L52,"" "",""?"",1),""?"")"),"Gironde")</f>
        <v>Gironde</v>
      </c>
      <c r="N52" s="6" t="str">
        <f>IFERROR(__xludf.DUMMYFUNCTION("""COMPUTED_VALUE"""),"Nouvelle Aquitaine")</f>
        <v>Nouvelle Aquitaine</v>
      </c>
      <c r="O52" s="6"/>
      <c r="P52" s="6" t="s">
        <v>246</v>
      </c>
      <c r="Q52" s="3" t="str">
        <f t="shared" si="2"/>
        <v>44.8454470154606 </v>
      </c>
      <c r="R52" s="6" t="s">
        <v>247</v>
      </c>
      <c r="S52" s="5" t="str">
        <f t="shared" si="3"/>
        <v>-0.630545305706131</v>
      </c>
    </row>
    <row r="53">
      <c r="A53" s="6" t="s">
        <v>248</v>
      </c>
      <c r="B53" s="6" t="s">
        <v>249</v>
      </c>
      <c r="C53" s="4" t="str">
        <f t="shared" si="1"/>
        <v>Mairie d'Ambès</v>
      </c>
      <c r="D53" s="6" t="s">
        <v>39</v>
      </c>
      <c r="E53" s="6" t="s">
        <v>16</v>
      </c>
      <c r="F53" s="6" t="s">
        <v>17</v>
      </c>
      <c r="G53" s="7"/>
      <c r="H53" s="6" t="s">
        <v>250</v>
      </c>
      <c r="I53" s="6">
        <v>33810.0</v>
      </c>
      <c r="J53" s="6">
        <v>33004.0</v>
      </c>
      <c r="K53" s="6" t="s">
        <v>251</v>
      </c>
      <c r="L53" s="7" t="s">
        <v>20</v>
      </c>
      <c r="M53" s="3" t="str">
        <f>IFERROR(__xludf.DUMMYFUNCTION("SPLIT(SUBSTITUTE(L53,"" "",""?"",1),""?"")"),"Gironde")</f>
        <v>Gironde</v>
      </c>
      <c r="N53" s="6" t="str">
        <f>IFERROR(__xludf.DUMMYFUNCTION("""COMPUTED_VALUE"""),"Nouvelle Aquitaine")</f>
        <v>Nouvelle Aquitaine</v>
      </c>
      <c r="O53" s="6"/>
      <c r="P53" s="6" t="s">
        <v>252</v>
      </c>
      <c r="Q53" s="3" t="str">
        <f t="shared" si="2"/>
        <v>45.0117542940425 </v>
      </c>
      <c r="R53" s="6" t="s">
        <v>253</v>
      </c>
      <c r="S53" s="5" t="str">
        <f t="shared" si="3"/>
        <v>-0.532699085742132</v>
      </c>
    </row>
    <row r="54">
      <c r="A54" s="6" t="s">
        <v>254</v>
      </c>
      <c r="B54" s="7"/>
      <c r="C54" s="4" t="str">
        <f t="shared" si="1"/>
        <v/>
      </c>
      <c r="D54" s="6" t="s">
        <v>15</v>
      </c>
      <c r="E54" s="6" t="s">
        <v>16</v>
      </c>
      <c r="F54" s="6" t="s">
        <v>17</v>
      </c>
      <c r="G54" s="7"/>
      <c r="H54" s="6" t="s">
        <v>255</v>
      </c>
      <c r="I54" s="6">
        <v>33370.0</v>
      </c>
      <c r="J54" s="6">
        <v>33013.0</v>
      </c>
      <c r="K54" s="6" t="s">
        <v>114</v>
      </c>
      <c r="L54" s="7" t="s">
        <v>20</v>
      </c>
      <c r="M54" s="3" t="str">
        <f>IFERROR(__xludf.DUMMYFUNCTION("SPLIT(SUBSTITUTE(L54,"" "",""?"",1),""?"")"),"Gironde")</f>
        <v>Gironde</v>
      </c>
      <c r="N54" s="6" t="str">
        <f>IFERROR(__xludf.DUMMYFUNCTION("""COMPUTED_VALUE"""),"Nouvelle Aquitaine")</f>
        <v>Nouvelle Aquitaine</v>
      </c>
      <c r="O54" s="6"/>
      <c r="P54" s="6" t="s">
        <v>115</v>
      </c>
      <c r="Q54" s="3" t="str">
        <f t="shared" si="2"/>
        <v>44.8587549498054 </v>
      </c>
      <c r="R54" s="6" t="s">
        <v>116</v>
      </c>
      <c r="S54" s="5" t="str">
        <f t="shared" si="3"/>
        <v>-0.497308676329456</v>
      </c>
    </row>
    <row r="55">
      <c r="A55" s="6" t="s">
        <v>256</v>
      </c>
      <c r="B55" s="7"/>
      <c r="C55" s="4" t="str">
        <f t="shared" si="1"/>
        <v/>
      </c>
      <c r="D55" s="6" t="s">
        <v>43</v>
      </c>
      <c r="E55" s="6" t="s">
        <v>44</v>
      </c>
      <c r="F55" s="6" t="s">
        <v>43</v>
      </c>
      <c r="G55" s="7"/>
      <c r="H55" s="6" t="s">
        <v>257</v>
      </c>
      <c r="I55" s="6">
        <v>33150.0</v>
      </c>
      <c r="J55" s="6">
        <v>33119.0</v>
      </c>
      <c r="K55" s="6" t="s">
        <v>120</v>
      </c>
      <c r="L55" s="7" t="s">
        <v>20</v>
      </c>
      <c r="M55" s="3" t="str">
        <f>IFERROR(__xludf.DUMMYFUNCTION("SPLIT(SUBSTITUTE(L55,"" "",""?"",1),""?"")"),"Gironde")</f>
        <v>Gironde</v>
      </c>
      <c r="N55" s="6" t="str">
        <f>IFERROR(__xludf.DUMMYFUNCTION("""COMPUTED_VALUE"""),"Nouvelle Aquitaine")</f>
        <v>Nouvelle Aquitaine</v>
      </c>
      <c r="O55" s="6"/>
      <c r="P55" s="6" t="s">
        <v>258</v>
      </c>
      <c r="Q55" s="3" t="str">
        <f t="shared" si="2"/>
        <v>44.8588687967202 </v>
      </c>
      <c r="R55" s="6" t="s">
        <v>259</v>
      </c>
      <c r="S55" s="5" t="str">
        <f t="shared" si="3"/>
        <v>-0.524002976837326</v>
      </c>
    </row>
    <row r="56">
      <c r="A56" s="6" t="s">
        <v>260</v>
      </c>
      <c r="B56" s="6" t="s">
        <v>261</v>
      </c>
      <c r="C56" s="4" t="str">
        <f t="shared" si="1"/>
        <v>Mairie de Floirac</v>
      </c>
      <c r="D56" s="6" t="s">
        <v>15</v>
      </c>
      <c r="E56" s="6" t="s">
        <v>16</v>
      </c>
      <c r="F56" s="6" t="s">
        <v>17</v>
      </c>
      <c r="G56" s="7"/>
      <c r="H56" s="6" t="s">
        <v>262</v>
      </c>
      <c r="I56" s="6">
        <v>33270.0</v>
      </c>
      <c r="J56" s="6">
        <v>33167.0</v>
      </c>
      <c r="K56" s="6" t="s">
        <v>263</v>
      </c>
      <c r="L56" s="7" t="s">
        <v>20</v>
      </c>
      <c r="M56" s="3" t="str">
        <f>IFERROR(__xludf.DUMMYFUNCTION("SPLIT(SUBSTITUTE(L56,"" "",""?"",1),""?"")"),"Gironde")</f>
        <v>Gironde</v>
      </c>
      <c r="N56" s="6" t="str">
        <f>IFERROR(__xludf.DUMMYFUNCTION("""COMPUTED_VALUE"""),"Nouvelle Aquitaine")</f>
        <v>Nouvelle Aquitaine</v>
      </c>
      <c r="O56" s="6"/>
      <c r="P56" s="6" t="s">
        <v>264</v>
      </c>
      <c r="Q56" s="3" t="str">
        <f t="shared" si="2"/>
        <v>44.8463369112469 </v>
      </c>
      <c r="R56" s="6" t="s">
        <v>265</v>
      </c>
      <c r="S56" s="5" t="str">
        <f t="shared" si="3"/>
        <v>-0.51028293977931</v>
      </c>
    </row>
    <row r="57">
      <c r="A57" s="6" t="s">
        <v>266</v>
      </c>
      <c r="B57" s="7"/>
      <c r="C57" s="4" t="str">
        <f t="shared" si="1"/>
        <v/>
      </c>
      <c r="D57" s="6" t="s">
        <v>43</v>
      </c>
      <c r="E57" s="6" t="s">
        <v>44</v>
      </c>
      <c r="F57" s="6" t="s">
        <v>43</v>
      </c>
      <c r="G57" s="7"/>
      <c r="H57" s="6" t="s">
        <v>267</v>
      </c>
      <c r="I57" s="6">
        <v>33270.0</v>
      </c>
      <c r="J57" s="6">
        <v>33167.0</v>
      </c>
      <c r="K57" s="6" t="s">
        <v>263</v>
      </c>
      <c r="L57" s="7" t="s">
        <v>20</v>
      </c>
      <c r="M57" s="3" t="str">
        <f>IFERROR(__xludf.DUMMYFUNCTION("SPLIT(SUBSTITUTE(L57,"" "",""?"",1),""?"")"),"Gironde")</f>
        <v>Gironde</v>
      </c>
      <c r="N57" s="6" t="str">
        <f>IFERROR(__xludf.DUMMYFUNCTION("""COMPUTED_VALUE"""),"Nouvelle Aquitaine")</f>
        <v>Nouvelle Aquitaine</v>
      </c>
      <c r="O57" s="6"/>
      <c r="P57" s="6" t="s">
        <v>268</v>
      </c>
      <c r="Q57" s="3" t="str">
        <f t="shared" si="2"/>
        <v>44.8376047991885 </v>
      </c>
      <c r="R57" s="6" t="s">
        <v>269</v>
      </c>
      <c r="S57" s="5" t="str">
        <f t="shared" si="3"/>
        <v>-0.507394294243189</v>
      </c>
    </row>
    <row r="58">
      <c r="A58" s="6" t="s">
        <v>270</v>
      </c>
      <c r="B58" s="6" t="s">
        <v>261</v>
      </c>
      <c r="C58" s="4" t="str">
        <f t="shared" si="1"/>
        <v>Mairie de Floirac</v>
      </c>
      <c r="D58" s="6" t="s">
        <v>15</v>
      </c>
      <c r="E58" s="6" t="s">
        <v>16</v>
      </c>
      <c r="F58" s="6" t="s">
        <v>17</v>
      </c>
      <c r="G58" s="7"/>
      <c r="H58" s="6" t="s">
        <v>271</v>
      </c>
      <c r="I58" s="6">
        <v>33270.0</v>
      </c>
      <c r="J58" s="6">
        <v>33167.0</v>
      </c>
      <c r="K58" s="6" t="s">
        <v>263</v>
      </c>
      <c r="L58" s="7" t="s">
        <v>20</v>
      </c>
      <c r="M58" s="3" t="str">
        <f>IFERROR(__xludf.DUMMYFUNCTION("SPLIT(SUBSTITUTE(L58,"" "",""?"",1),""?"")"),"Gironde")</f>
        <v>Gironde</v>
      </c>
      <c r="N58" s="6" t="str">
        <f>IFERROR(__xludf.DUMMYFUNCTION("""COMPUTED_VALUE"""),"Nouvelle Aquitaine")</f>
        <v>Nouvelle Aquitaine</v>
      </c>
      <c r="O58" s="6"/>
      <c r="P58" s="6" t="s">
        <v>272</v>
      </c>
      <c r="Q58" s="3" t="str">
        <f t="shared" si="2"/>
        <v>44.8364247769704 </v>
      </c>
      <c r="R58" s="6" t="s">
        <v>273</v>
      </c>
      <c r="S58" s="5" t="str">
        <f t="shared" si="3"/>
        <v>-0.531707590720176</v>
      </c>
    </row>
    <row r="59">
      <c r="A59" s="6" t="s">
        <v>274</v>
      </c>
      <c r="B59" s="7"/>
      <c r="C59" s="4" t="str">
        <f t="shared" si="1"/>
        <v/>
      </c>
      <c r="D59" s="6" t="s">
        <v>43</v>
      </c>
      <c r="E59" s="6" t="s">
        <v>44</v>
      </c>
      <c r="F59" s="6" t="s">
        <v>43</v>
      </c>
      <c r="G59" s="7"/>
      <c r="H59" s="6" t="s">
        <v>275</v>
      </c>
      <c r="I59" s="6">
        <v>33270.0</v>
      </c>
      <c r="J59" s="6">
        <v>33167.0</v>
      </c>
      <c r="K59" s="6" t="s">
        <v>263</v>
      </c>
      <c r="L59" s="7" t="s">
        <v>20</v>
      </c>
      <c r="M59" s="3" t="str">
        <f>IFERROR(__xludf.DUMMYFUNCTION("SPLIT(SUBSTITUTE(L59,"" "",""?"",1),""?"")"),"Gironde")</f>
        <v>Gironde</v>
      </c>
      <c r="N59" s="6" t="str">
        <f>IFERROR(__xludf.DUMMYFUNCTION("""COMPUTED_VALUE"""),"Nouvelle Aquitaine")</f>
        <v>Nouvelle Aquitaine</v>
      </c>
      <c r="O59" s="6"/>
      <c r="P59" s="6" t="s">
        <v>276</v>
      </c>
      <c r="Q59" s="3" t="str">
        <f t="shared" si="2"/>
        <v>44.8444830123419 </v>
      </c>
      <c r="R59" s="6" t="s">
        <v>277</v>
      </c>
      <c r="S59" s="5" t="str">
        <f t="shared" si="3"/>
        <v>-0.509406242522894</v>
      </c>
    </row>
    <row r="60">
      <c r="A60" s="6" t="s">
        <v>278</v>
      </c>
      <c r="B60" s="7"/>
      <c r="C60" s="4" t="str">
        <f t="shared" si="1"/>
        <v/>
      </c>
      <c r="D60" s="6" t="s">
        <v>70</v>
      </c>
      <c r="E60" s="6" t="s">
        <v>44</v>
      </c>
      <c r="F60" s="6" t="s">
        <v>43</v>
      </c>
      <c r="G60" s="7"/>
      <c r="H60" s="6" t="s">
        <v>279</v>
      </c>
      <c r="I60" s="6">
        <v>33310.0</v>
      </c>
      <c r="J60" s="6">
        <v>33249.0</v>
      </c>
      <c r="K60" s="6" t="s">
        <v>46</v>
      </c>
      <c r="L60" s="7" t="s">
        <v>20</v>
      </c>
      <c r="M60" s="3" t="str">
        <f>IFERROR(__xludf.DUMMYFUNCTION("SPLIT(SUBSTITUTE(L60,"" "",""?"",1),""?"")"),"Gironde")</f>
        <v>Gironde</v>
      </c>
      <c r="N60" s="6" t="str">
        <f>IFERROR(__xludf.DUMMYFUNCTION("""COMPUTED_VALUE"""),"Nouvelle Aquitaine")</f>
        <v>Nouvelle Aquitaine</v>
      </c>
      <c r="O60" s="6"/>
      <c r="P60" s="6" t="s">
        <v>280</v>
      </c>
      <c r="Q60" s="3" t="str">
        <f t="shared" si="2"/>
        <v>44.8827468615767 </v>
      </c>
      <c r="R60" s="6" t="s">
        <v>281</v>
      </c>
      <c r="S60" s="5" t="str">
        <f t="shared" si="3"/>
        <v>-0.525437555691245</v>
      </c>
    </row>
    <row r="61">
      <c r="A61" s="6" t="s">
        <v>282</v>
      </c>
      <c r="B61" s="6" t="s">
        <v>283</v>
      </c>
      <c r="C61" s="4" t="str">
        <f t="shared" si="1"/>
        <v>Marie de Lormont</v>
      </c>
      <c r="D61" s="6" t="s">
        <v>39</v>
      </c>
      <c r="E61" s="6" t="s">
        <v>16</v>
      </c>
      <c r="F61" s="6" t="s">
        <v>17</v>
      </c>
      <c r="G61" s="7"/>
      <c r="H61" s="6" t="s">
        <v>284</v>
      </c>
      <c r="I61" s="6">
        <v>33310.0</v>
      </c>
      <c r="J61" s="6">
        <v>33249.0</v>
      </c>
      <c r="K61" s="6" t="s">
        <v>46</v>
      </c>
      <c r="L61" s="7" t="s">
        <v>20</v>
      </c>
      <c r="M61" s="3" t="str">
        <f>IFERROR(__xludf.DUMMYFUNCTION("SPLIT(SUBSTITUTE(L61,"" "",""?"",1),""?"")"),"Gironde")</f>
        <v>Gironde</v>
      </c>
      <c r="N61" s="6" t="str">
        <f>IFERROR(__xludf.DUMMYFUNCTION("""COMPUTED_VALUE"""),"Nouvelle Aquitaine")</f>
        <v>Nouvelle Aquitaine</v>
      </c>
      <c r="O61" s="6"/>
      <c r="P61" s="6" t="s">
        <v>285</v>
      </c>
      <c r="Q61" s="3" t="str">
        <f t="shared" si="2"/>
        <v>44.8766038808015 </v>
      </c>
      <c r="R61" s="6" t="s">
        <v>286</v>
      </c>
      <c r="S61" s="5" t="str">
        <f t="shared" si="3"/>
        <v>-0.521938633678236</v>
      </c>
    </row>
    <row r="62">
      <c r="A62" s="6" t="s">
        <v>287</v>
      </c>
      <c r="B62" s="6" t="s">
        <v>288</v>
      </c>
      <c r="C62" s="4" t="str">
        <f t="shared" si="1"/>
        <v>Mairie de Bègles</v>
      </c>
      <c r="D62" s="6" t="s">
        <v>39</v>
      </c>
      <c r="E62" s="6" t="s">
        <v>16</v>
      </c>
      <c r="F62" s="6" t="s">
        <v>17</v>
      </c>
      <c r="G62" s="7"/>
      <c r="H62" s="6" t="s">
        <v>289</v>
      </c>
      <c r="I62" s="6">
        <v>33130.0</v>
      </c>
      <c r="J62" s="6">
        <v>33039.0</v>
      </c>
      <c r="K62" s="6" t="s">
        <v>133</v>
      </c>
      <c r="L62" s="7" t="s">
        <v>20</v>
      </c>
      <c r="M62" s="3" t="str">
        <f>IFERROR(__xludf.DUMMYFUNCTION("SPLIT(SUBSTITUTE(L62,"" "",""?"",1),""?"")"),"Gironde")</f>
        <v>Gironde</v>
      </c>
      <c r="N62" s="6" t="str">
        <f>IFERROR(__xludf.DUMMYFUNCTION("""COMPUTED_VALUE"""),"Nouvelle Aquitaine")</f>
        <v>Nouvelle Aquitaine</v>
      </c>
      <c r="O62" s="6"/>
      <c r="P62" s="6" t="s">
        <v>290</v>
      </c>
      <c r="Q62" s="3" t="str">
        <f t="shared" si="2"/>
        <v>44.8056800277814 </v>
      </c>
      <c r="R62" s="6" t="s">
        <v>291</v>
      </c>
      <c r="S62" s="5" t="str">
        <f t="shared" si="3"/>
        <v>-0.543079531580383</v>
      </c>
    </row>
    <row r="63">
      <c r="A63" s="6" t="s">
        <v>292</v>
      </c>
      <c r="B63" s="7"/>
      <c r="C63" s="4" t="str">
        <f t="shared" si="1"/>
        <v/>
      </c>
      <c r="D63" s="6" t="s">
        <v>43</v>
      </c>
      <c r="E63" s="6" t="s">
        <v>44</v>
      </c>
      <c r="F63" s="6" t="s">
        <v>43</v>
      </c>
      <c r="G63" s="7"/>
      <c r="H63" s="6" t="s">
        <v>293</v>
      </c>
      <c r="I63" s="6">
        <v>33600.0</v>
      </c>
      <c r="J63" s="6">
        <v>33318.0</v>
      </c>
      <c r="K63" s="6" t="s">
        <v>156</v>
      </c>
      <c r="L63" s="7" t="s">
        <v>20</v>
      </c>
      <c r="M63" s="3" t="str">
        <f>IFERROR(__xludf.DUMMYFUNCTION("SPLIT(SUBSTITUTE(L63,"" "",""?"",1),""?"")"),"Gironde")</f>
        <v>Gironde</v>
      </c>
      <c r="N63" s="6" t="str">
        <f>IFERROR(__xludf.DUMMYFUNCTION("""COMPUTED_VALUE"""),"Nouvelle Aquitaine")</f>
        <v>Nouvelle Aquitaine</v>
      </c>
      <c r="O63" s="6"/>
      <c r="P63" s="6" t="s">
        <v>294</v>
      </c>
      <c r="Q63" s="3" t="str">
        <f t="shared" si="2"/>
        <v>44.7904094346285 </v>
      </c>
      <c r="R63" s="6" t="s">
        <v>295</v>
      </c>
      <c r="S63" s="5" t="str">
        <f t="shared" si="3"/>
        <v>-0.631189597161964</v>
      </c>
    </row>
    <row r="64">
      <c r="A64" s="6" t="s">
        <v>296</v>
      </c>
      <c r="B64" s="7"/>
      <c r="C64" s="4" t="str">
        <f t="shared" si="1"/>
        <v/>
      </c>
      <c r="D64" s="6" t="s">
        <v>43</v>
      </c>
      <c r="E64" s="6" t="s">
        <v>44</v>
      </c>
      <c r="F64" s="6" t="s">
        <v>43</v>
      </c>
      <c r="G64" s="7"/>
      <c r="H64" s="6" t="s">
        <v>297</v>
      </c>
      <c r="I64" s="6">
        <v>33400.0</v>
      </c>
      <c r="J64" s="6">
        <v>33522.0</v>
      </c>
      <c r="K64" s="6" t="s">
        <v>162</v>
      </c>
      <c r="L64" s="7" t="s">
        <v>20</v>
      </c>
      <c r="M64" s="3" t="str">
        <f>IFERROR(__xludf.DUMMYFUNCTION("SPLIT(SUBSTITUTE(L64,"" "",""?"",1),""?"")"),"Gironde")</f>
        <v>Gironde</v>
      </c>
      <c r="N64" s="6" t="str">
        <f>IFERROR(__xludf.DUMMYFUNCTION("""COMPUTED_VALUE"""),"Nouvelle Aquitaine")</f>
        <v>Nouvelle Aquitaine</v>
      </c>
      <c r="O64" s="6"/>
      <c r="P64" s="6" t="s">
        <v>298</v>
      </c>
      <c r="Q64" s="3" t="str">
        <f t="shared" si="2"/>
        <v>44.8177376513979 </v>
      </c>
      <c r="R64" s="6" t="s">
        <v>299</v>
      </c>
      <c r="S64" s="5" t="str">
        <f t="shared" si="3"/>
        <v>-0.580674541287163</v>
      </c>
    </row>
    <row r="65">
      <c r="A65" s="6" t="s">
        <v>300</v>
      </c>
      <c r="B65" s="7"/>
      <c r="C65" s="4" t="str">
        <f t="shared" si="1"/>
        <v/>
      </c>
      <c r="D65" s="6" t="s">
        <v>15</v>
      </c>
      <c r="E65" s="6" t="s">
        <v>16</v>
      </c>
      <c r="F65" s="6" t="s">
        <v>17</v>
      </c>
      <c r="G65" s="7"/>
      <c r="H65" s="6" t="s">
        <v>301</v>
      </c>
      <c r="I65" s="6">
        <v>33400.0</v>
      </c>
      <c r="J65" s="6">
        <v>33522.0</v>
      </c>
      <c r="K65" s="6" t="s">
        <v>162</v>
      </c>
      <c r="L65" s="7" t="s">
        <v>20</v>
      </c>
      <c r="M65" s="3" t="str">
        <f>IFERROR(__xludf.DUMMYFUNCTION("SPLIT(SUBSTITUTE(L65,"" "",""?"",1),""?"")"),"Gironde")</f>
        <v>Gironde</v>
      </c>
      <c r="N65" s="6" t="str">
        <f>IFERROR(__xludf.DUMMYFUNCTION("""COMPUTED_VALUE"""),"Nouvelle Aquitaine")</f>
        <v>Nouvelle Aquitaine</v>
      </c>
      <c r="O65" s="6"/>
      <c r="P65" s="6" t="s">
        <v>302</v>
      </c>
      <c r="Q65" s="3" t="str">
        <f t="shared" si="2"/>
        <v>44.8089936315001 </v>
      </c>
      <c r="R65" s="6" t="s">
        <v>303</v>
      </c>
      <c r="S65" s="5" t="str">
        <f t="shared" si="3"/>
        <v>-0.587922987815969</v>
      </c>
    </row>
    <row r="66">
      <c r="A66" s="6" t="s">
        <v>304</v>
      </c>
      <c r="B66" s="6" t="s">
        <v>160</v>
      </c>
      <c r="C66" s="4" t="str">
        <f t="shared" si="1"/>
        <v>Mairie de Talence</v>
      </c>
      <c r="D66" s="6" t="s">
        <v>15</v>
      </c>
      <c r="E66" s="6" t="s">
        <v>16</v>
      </c>
      <c r="F66" s="6" t="s">
        <v>17</v>
      </c>
      <c r="G66" s="7"/>
      <c r="H66" s="6" t="s">
        <v>305</v>
      </c>
      <c r="I66" s="6">
        <v>33400.0</v>
      </c>
      <c r="J66" s="6">
        <v>33522.0</v>
      </c>
      <c r="K66" s="6" t="s">
        <v>162</v>
      </c>
      <c r="L66" s="7" t="s">
        <v>20</v>
      </c>
      <c r="M66" s="3" t="str">
        <f>IFERROR(__xludf.DUMMYFUNCTION("SPLIT(SUBSTITUTE(L66,"" "",""?"",1),""?"")"),"Gironde")</f>
        <v>Gironde</v>
      </c>
      <c r="N66" s="6" t="str">
        <f>IFERROR(__xludf.DUMMYFUNCTION("""COMPUTED_VALUE"""),"Nouvelle Aquitaine")</f>
        <v>Nouvelle Aquitaine</v>
      </c>
      <c r="O66" s="6"/>
      <c r="P66" s="6" t="s">
        <v>306</v>
      </c>
      <c r="Q66" s="3" t="str">
        <f t="shared" si="2"/>
        <v>44.8104067328905 </v>
      </c>
      <c r="R66" s="6" t="s">
        <v>307</v>
      </c>
      <c r="S66" s="5" t="str">
        <f t="shared" si="3"/>
        <v>-0.589569364962254</v>
      </c>
    </row>
    <row r="67">
      <c r="A67" s="6" t="s">
        <v>308</v>
      </c>
      <c r="B67" s="6" t="s">
        <v>48</v>
      </c>
      <c r="C67" s="4" t="str">
        <f t="shared" si="1"/>
        <v>Mairie d'Eysines</v>
      </c>
      <c r="D67" s="6" t="s">
        <v>15</v>
      </c>
      <c r="E67" s="6" t="s">
        <v>16</v>
      </c>
      <c r="F67" s="6" t="s">
        <v>17</v>
      </c>
      <c r="G67" s="7"/>
      <c r="H67" s="6" t="s">
        <v>309</v>
      </c>
      <c r="I67" s="6">
        <v>33320.0</v>
      </c>
      <c r="J67" s="6">
        <v>33162.0</v>
      </c>
      <c r="K67" s="6" t="s">
        <v>50</v>
      </c>
      <c r="L67" s="7" t="s">
        <v>20</v>
      </c>
      <c r="M67" s="3" t="str">
        <f>IFERROR(__xludf.DUMMYFUNCTION("SPLIT(SUBSTITUTE(L67,"" "",""?"",1),""?"")"),"Gironde")</f>
        <v>Gironde</v>
      </c>
      <c r="N67" s="6" t="str">
        <f>IFERROR(__xludf.DUMMYFUNCTION("""COMPUTED_VALUE"""),"Nouvelle Aquitaine")</f>
        <v>Nouvelle Aquitaine</v>
      </c>
      <c r="O67" s="6"/>
      <c r="P67" s="6" t="s">
        <v>310</v>
      </c>
      <c r="Q67" s="3" t="str">
        <f t="shared" si="2"/>
        <v>44.8858595676289 </v>
      </c>
      <c r="R67" s="6" t="s">
        <v>311</v>
      </c>
      <c r="S67" s="5" t="str">
        <f t="shared" si="3"/>
        <v>-0.650427802085846</v>
      </c>
    </row>
    <row r="68">
      <c r="A68" s="6" t="s">
        <v>312</v>
      </c>
      <c r="B68" s="6" t="s">
        <v>48</v>
      </c>
      <c r="C68" s="4" t="str">
        <f t="shared" si="1"/>
        <v>Mairie d'Eysines</v>
      </c>
      <c r="D68" s="6" t="s">
        <v>15</v>
      </c>
      <c r="E68" s="6" t="s">
        <v>16</v>
      </c>
      <c r="F68" s="6" t="s">
        <v>17</v>
      </c>
      <c r="G68" s="7"/>
      <c r="H68" s="6" t="s">
        <v>313</v>
      </c>
      <c r="I68" s="6">
        <v>33320.0</v>
      </c>
      <c r="J68" s="6">
        <v>33162.0</v>
      </c>
      <c r="K68" s="6" t="s">
        <v>50</v>
      </c>
      <c r="L68" s="7" t="s">
        <v>20</v>
      </c>
      <c r="M68" s="3" t="str">
        <f>IFERROR(__xludf.DUMMYFUNCTION("SPLIT(SUBSTITUTE(L68,"" "",""?"",1),""?"")"),"Gironde")</f>
        <v>Gironde</v>
      </c>
      <c r="N68" s="6" t="str">
        <f>IFERROR(__xludf.DUMMYFUNCTION("""COMPUTED_VALUE"""),"Nouvelle Aquitaine")</f>
        <v>Nouvelle Aquitaine</v>
      </c>
      <c r="O68" s="6"/>
      <c r="P68" s="6" t="s">
        <v>314</v>
      </c>
      <c r="Q68" s="3" t="str">
        <f t="shared" si="2"/>
        <v>44.8637608719417 </v>
      </c>
      <c r="R68" s="6" t="s">
        <v>315</v>
      </c>
      <c r="S68" s="5" t="str">
        <f t="shared" si="3"/>
        <v>-0.643801653753086</v>
      </c>
    </row>
    <row r="69">
      <c r="A69" s="6" t="s">
        <v>316</v>
      </c>
      <c r="B69" s="7"/>
      <c r="C69" s="4" t="str">
        <f t="shared" si="1"/>
        <v/>
      </c>
      <c r="D69" s="6" t="s">
        <v>43</v>
      </c>
      <c r="E69" s="6" t="s">
        <v>44</v>
      </c>
      <c r="F69" s="6" t="s">
        <v>43</v>
      </c>
      <c r="G69" s="7"/>
      <c r="H69" s="6" t="s">
        <v>317</v>
      </c>
      <c r="I69" s="6">
        <v>33110.0</v>
      </c>
      <c r="J69" s="6">
        <v>33069.0</v>
      </c>
      <c r="K69" s="6" t="s">
        <v>318</v>
      </c>
      <c r="L69" s="7" t="s">
        <v>20</v>
      </c>
      <c r="M69" s="3" t="str">
        <f>IFERROR(__xludf.DUMMYFUNCTION("SPLIT(SUBSTITUTE(L69,"" "",""?"",1),""?"")"),"Gironde")</f>
        <v>Gironde</v>
      </c>
      <c r="N69" s="6" t="str">
        <f>IFERROR(__xludf.DUMMYFUNCTION("""COMPUTED_VALUE"""),"Nouvelle Aquitaine")</f>
        <v>Nouvelle Aquitaine</v>
      </c>
      <c r="O69" s="6"/>
      <c r="P69" s="6" t="s">
        <v>319</v>
      </c>
      <c r="Q69" s="3" t="str">
        <f t="shared" si="2"/>
        <v>44.8691056484179 </v>
      </c>
      <c r="R69" s="6" t="s">
        <v>320</v>
      </c>
      <c r="S69" s="5" t="str">
        <f t="shared" si="3"/>
        <v>-0.578416104725714</v>
      </c>
    </row>
    <row r="70">
      <c r="A70" s="6" t="s">
        <v>321</v>
      </c>
      <c r="B70" s="7"/>
      <c r="C70" s="4" t="str">
        <f t="shared" si="1"/>
        <v/>
      </c>
      <c r="D70" s="6" t="s">
        <v>70</v>
      </c>
      <c r="E70" s="6" t="s">
        <v>16</v>
      </c>
      <c r="F70" s="6" t="s">
        <v>17</v>
      </c>
      <c r="G70" s="7"/>
      <c r="H70" s="6" t="s">
        <v>322</v>
      </c>
      <c r="I70" s="6">
        <v>33185.0</v>
      </c>
      <c r="J70" s="6">
        <v>33200.0</v>
      </c>
      <c r="K70" s="6" t="s">
        <v>323</v>
      </c>
      <c r="L70" s="7" t="s">
        <v>20</v>
      </c>
      <c r="M70" s="3" t="str">
        <f>IFERROR(__xludf.DUMMYFUNCTION("SPLIT(SUBSTITUTE(L70,"" "",""?"",1),""?"")"),"Gironde")</f>
        <v>Gironde</v>
      </c>
      <c r="N70" s="6" t="str">
        <f>IFERROR(__xludf.DUMMYFUNCTION("""COMPUTED_VALUE"""),"Nouvelle Aquitaine")</f>
        <v>Nouvelle Aquitaine</v>
      </c>
      <c r="O70" s="6"/>
      <c r="P70" s="6" t="s">
        <v>324</v>
      </c>
      <c r="Q70" s="3" t="str">
        <f t="shared" si="2"/>
        <v>44.8636131735727 </v>
      </c>
      <c r="R70" s="6" t="s">
        <v>325</v>
      </c>
      <c r="S70" s="5" t="str">
        <f t="shared" si="3"/>
        <v>-0.671097076611717</v>
      </c>
    </row>
    <row r="71">
      <c r="A71" s="6" t="s">
        <v>326</v>
      </c>
      <c r="B71" s="6" t="s">
        <v>327</v>
      </c>
      <c r="C71" s="4" t="str">
        <f t="shared" si="1"/>
        <v>Mairie du Taillan-Médoc</v>
      </c>
      <c r="D71" s="6" t="s">
        <v>39</v>
      </c>
      <c r="E71" s="6" t="s">
        <v>44</v>
      </c>
      <c r="F71" s="6" t="s">
        <v>17</v>
      </c>
      <c r="G71" s="7"/>
      <c r="H71" s="6" t="s">
        <v>328</v>
      </c>
      <c r="I71" s="6">
        <v>33320.0</v>
      </c>
      <c r="J71" s="6">
        <v>33519.0</v>
      </c>
      <c r="K71" s="6" t="s">
        <v>329</v>
      </c>
      <c r="L71" s="7" t="s">
        <v>20</v>
      </c>
      <c r="M71" s="3" t="str">
        <f>IFERROR(__xludf.DUMMYFUNCTION("SPLIT(SUBSTITUTE(L71,"" "",""?"",1),""?"")"),"Gironde")</f>
        <v>Gironde</v>
      </c>
      <c r="N71" s="6" t="str">
        <f>IFERROR(__xludf.DUMMYFUNCTION("""COMPUTED_VALUE"""),"Nouvelle Aquitaine")</f>
        <v>Nouvelle Aquitaine</v>
      </c>
      <c r="O71" s="6"/>
      <c r="P71" s="6" t="s">
        <v>330</v>
      </c>
      <c r="Q71" s="3" t="str">
        <f t="shared" si="2"/>
        <v>44.9114663819495 </v>
      </c>
      <c r="R71" s="6" t="s">
        <v>331</v>
      </c>
      <c r="S71" s="5" t="str">
        <f t="shared" si="3"/>
        <v>-0.681306588097497</v>
      </c>
    </row>
    <row r="72">
      <c r="A72" s="6" t="s">
        <v>332</v>
      </c>
      <c r="B72" s="7"/>
      <c r="C72" s="4" t="str">
        <f t="shared" si="1"/>
        <v/>
      </c>
      <c r="D72" s="6" t="s">
        <v>43</v>
      </c>
      <c r="E72" s="6" t="s">
        <v>44</v>
      </c>
      <c r="F72" s="6" t="s">
        <v>43</v>
      </c>
      <c r="G72" s="7"/>
      <c r="H72" s="6" t="s">
        <v>333</v>
      </c>
      <c r="I72" s="6">
        <v>33700.0</v>
      </c>
      <c r="J72" s="6">
        <v>33281.0</v>
      </c>
      <c r="K72" s="6" t="s">
        <v>176</v>
      </c>
      <c r="L72" s="7" t="s">
        <v>20</v>
      </c>
      <c r="M72" s="3" t="str">
        <f>IFERROR(__xludf.DUMMYFUNCTION("SPLIT(SUBSTITUTE(L72,"" "",""?"",1),""?"")"),"Gironde")</f>
        <v>Gironde</v>
      </c>
      <c r="N72" s="6" t="str">
        <f>IFERROR(__xludf.DUMMYFUNCTION("""COMPUTED_VALUE"""),"Nouvelle Aquitaine")</f>
        <v>Nouvelle Aquitaine</v>
      </c>
      <c r="O72" s="6"/>
      <c r="P72" s="6" t="s">
        <v>334</v>
      </c>
      <c r="Q72" s="3" t="str">
        <f t="shared" si="2"/>
        <v>44.8458005622477 </v>
      </c>
      <c r="R72" s="6" t="s">
        <v>335</v>
      </c>
      <c r="S72" s="5" t="str">
        <f t="shared" si="3"/>
        <v>-0.65471965686926</v>
      </c>
    </row>
    <row r="73">
      <c r="A73" s="6" t="s">
        <v>336</v>
      </c>
      <c r="B73" s="7"/>
      <c r="C73" s="4" t="str">
        <f t="shared" si="1"/>
        <v/>
      </c>
      <c r="D73" s="6" t="s">
        <v>70</v>
      </c>
      <c r="E73" s="6" t="s">
        <v>44</v>
      </c>
      <c r="F73" s="6" t="s">
        <v>43</v>
      </c>
      <c r="G73" s="7"/>
      <c r="H73" s="6" t="s">
        <v>337</v>
      </c>
      <c r="I73" s="6">
        <v>33700.0</v>
      </c>
      <c r="J73" s="6">
        <v>33281.0</v>
      </c>
      <c r="K73" s="6" t="s">
        <v>176</v>
      </c>
      <c r="L73" s="7" t="s">
        <v>20</v>
      </c>
      <c r="M73" s="3" t="str">
        <f>IFERROR(__xludf.DUMMYFUNCTION("SPLIT(SUBSTITUTE(L73,"" "",""?"",1),""?"")"),"Gironde")</f>
        <v>Gironde</v>
      </c>
      <c r="N73" s="6" t="str">
        <f>IFERROR(__xludf.DUMMYFUNCTION("""COMPUTED_VALUE"""),"Nouvelle Aquitaine")</f>
        <v>Nouvelle Aquitaine</v>
      </c>
      <c r="O73" s="6"/>
      <c r="P73" s="6" t="s">
        <v>338</v>
      </c>
      <c r="Q73" s="3" t="str">
        <f t="shared" si="2"/>
        <v>44.8232334870555 </v>
      </c>
      <c r="R73" s="6" t="s">
        <v>339</v>
      </c>
      <c r="S73" s="5" t="str">
        <f t="shared" si="3"/>
        <v>-0.62372669315055</v>
      </c>
    </row>
    <row r="74">
      <c r="A74" s="6" t="s">
        <v>340</v>
      </c>
      <c r="B74" s="7"/>
      <c r="C74" s="4" t="str">
        <f t="shared" si="1"/>
        <v/>
      </c>
      <c r="D74" s="6" t="s">
        <v>43</v>
      </c>
      <c r="E74" s="6" t="s">
        <v>44</v>
      </c>
      <c r="F74" s="6" t="s">
        <v>43</v>
      </c>
      <c r="G74" s="7"/>
      <c r="H74" s="6" t="s">
        <v>341</v>
      </c>
      <c r="I74" s="6">
        <v>33697.0</v>
      </c>
      <c r="J74" s="6">
        <v>33281.0</v>
      </c>
      <c r="K74" s="6" t="s">
        <v>342</v>
      </c>
      <c r="L74" s="7" t="s">
        <v>20</v>
      </c>
      <c r="M74" s="3" t="str">
        <f>IFERROR(__xludf.DUMMYFUNCTION("SPLIT(SUBSTITUTE(L74,"" "",""?"",1),""?"")"),"Gironde")</f>
        <v>Gironde</v>
      </c>
      <c r="N74" s="6" t="str">
        <f>IFERROR(__xludf.DUMMYFUNCTION("""COMPUTED_VALUE"""),"Nouvelle Aquitaine")</f>
        <v>Nouvelle Aquitaine</v>
      </c>
      <c r="O74" s="6"/>
      <c r="P74" s="6" t="s">
        <v>343</v>
      </c>
      <c r="Q74" s="3" t="str">
        <f t="shared" si="2"/>
        <v>44.842035341258 </v>
      </c>
      <c r="R74" s="6" t="s">
        <v>344</v>
      </c>
      <c r="S74" s="5" t="str">
        <f t="shared" si="3"/>
        <v>-0.646547467595936</v>
      </c>
    </row>
    <row r="75">
      <c r="A75" s="6" t="s">
        <v>345</v>
      </c>
      <c r="B75" s="7"/>
      <c r="C75" s="4" t="str">
        <f t="shared" si="1"/>
        <v/>
      </c>
      <c r="D75" s="6" t="s">
        <v>43</v>
      </c>
      <c r="E75" s="6" t="s">
        <v>44</v>
      </c>
      <c r="F75" s="6" t="s">
        <v>43</v>
      </c>
      <c r="G75" s="7"/>
      <c r="H75" s="6" t="s">
        <v>346</v>
      </c>
      <c r="I75" s="6">
        <v>33160.0</v>
      </c>
      <c r="J75" s="6">
        <v>33449.0</v>
      </c>
      <c r="K75" s="6" t="s">
        <v>181</v>
      </c>
      <c r="L75" s="7" t="s">
        <v>20</v>
      </c>
      <c r="M75" s="3" t="str">
        <f>IFERROR(__xludf.DUMMYFUNCTION("SPLIT(SUBSTITUTE(L75,"" "",""?"",1),""?"")"),"Gironde")</f>
        <v>Gironde</v>
      </c>
      <c r="N75" s="6" t="str">
        <f>IFERROR(__xludf.DUMMYFUNCTION("""COMPUTED_VALUE"""),"Nouvelle Aquitaine")</f>
        <v>Nouvelle Aquitaine</v>
      </c>
      <c r="O75" s="6"/>
      <c r="P75" s="6" t="s">
        <v>347</v>
      </c>
      <c r="Q75" s="3" t="str">
        <f t="shared" si="2"/>
        <v>44.864356090348 </v>
      </c>
      <c r="R75" s="6" t="s">
        <v>348</v>
      </c>
      <c r="S75" s="5" t="str">
        <f t="shared" si="3"/>
        <v>-0.725727940959489</v>
      </c>
    </row>
    <row r="76">
      <c r="A76" s="6" t="s">
        <v>349</v>
      </c>
      <c r="B76" s="7"/>
      <c r="C76" s="4" t="str">
        <f t="shared" si="1"/>
        <v/>
      </c>
      <c r="D76" s="6" t="s">
        <v>43</v>
      </c>
      <c r="E76" s="6" t="s">
        <v>44</v>
      </c>
      <c r="F76" s="6" t="s">
        <v>43</v>
      </c>
      <c r="G76" s="7"/>
      <c r="H76" s="6" t="s">
        <v>350</v>
      </c>
      <c r="I76" s="6">
        <v>33160.0</v>
      </c>
      <c r="J76" s="6">
        <v>33449.0</v>
      </c>
      <c r="K76" s="6" t="s">
        <v>181</v>
      </c>
      <c r="L76" s="7" t="s">
        <v>20</v>
      </c>
      <c r="M76" s="3" t="str">
        <f>IFERROR(__xludf.DUMMYFUNCTION("SPLIT(SUBSTITUTE(L76,"" "",""?"",1),""?"")"),"Gironde")</f>
        <v>Gironde</v>
      </c>
      <c r="N76" s="6" t="str">
        <f>IFERROR(__xludf.DUMMYFUNCTION("""COMPUTED_VALUE"""),"Nouvelle Aquitaine")</f>
        <v>Nouvelle Aquitaine</v>
      </c>
      <c r="O76" s="6"/>
      <c r="P76" s="6" t="s">
        <v>351</v>
      </c>
      <c r="Q76" s="3" t="str">
        <f t="shared" si="2"/>
        <v>44.8934245841448 </v>
      </c>
      <c r="R76" s="6" t="s">
        <v>352</v>
      </c>
      <c r="S76" s="5" t="str">
        <f t="shared" si="3"/>
        <v>-0.714179885020223</v>
      </c>
    </row>
    <row r="77">
      <c r="A77" s="6" t="s">
        <v>353</v>
      </c>
      <c r="B77" s="6" t="s">
        <v>354</v>
      </c>
      <c r="C77" s="4" t="str">
        <f t="shared" si="1"/>
        <v>Mairie de Saint-Médard-en-Jalles</v>
      </c>
      <c r="D77" s="6" t="s">
        <v>39</v>
      </c>
      <c r="E77" s="6" t="s">
        <v>16</v>
      </c>
      <c r="F77" s="6" t="s">
        <v>17</v>
      </c>
      <c r="G77" s="7"/>
      <c r="H77" s="6" t="s">
        <v>355</v>
      </c>
      <c r="I77" s="6">
        <v>33160.0</v>
      </c>
      <c r="J77" s="6">
        <v>33449.0</v>
      </c>
      <c r="K77" s="6" t="s">
        <v>181</v>
      </c>
      <c r="L77" s="7" t="s">
        <v>20</v>
      </c>
      <c r="M77" s="3" t="str">
        <f>IFERROR(__xludf.DUMMYFUNCTION("SPLIT(SUBSTITUTE(L77,"" "",""?"",1),""?"")"),"Gironde")</f>
        <v>Gironde</v>
      </c>
      <c r="N77" s="6" t="str">
        <f>IFERROR(__xludf.DUMMYFUNCTION("""COMPUTED_VALUE"""),"Nouvelle Aquitaine")</f>
        <v>Nouvelle Aquitaine</v>
      </c>
      <c r="O77" s="6"/>
      <c r="P77" s="6" t="s">
        <v>356</v>
      </c>
      <c r="Q77" s="3" t="str">
        <f t="shared" si="2"/>
        <v>44.8926963614846 </v>
      </c>
      <c r="R77" s="6" t="s">
        <v>357</v>
      </c>
      <c r="S77" s="5" t="str">
        <f t="shared" si="3"/>
        <v>-0.71496582302561</v>
      </c>
    </row>
    <row r="78">
      <c r="A78" s="6" t="s">
        <v>358</v>
      </c>
      <c r="B78" s="7"/>
      <c r="C78" s="4" t="str">
        <f t="shared" si="1"/>
        <v/>
      </c>
      <c r="D78" s="6" t="s">
        <v>359</v>
      </c>
      <c r="E78" s="6" t="s">
        <v>44</v>
      </c>
      <c r="F78" s="6" t="s">
        <v>43</v>
      </c>
      <c r="G78" s="7"/>
      <c r="H78" s="6" t="s">
        <v>360</v>
      </c>
      <c r="I78" s="6">
        <v>33160.0</v>
      </c>
      <c r="J78" s="6">
        <v>33449.0</v>
      </c>
      <c r="K78" s="6" t="s">
        <v>181</v>
      </c>
      <c r="L78" s="7" t="s">
        <v>20</v>
      </c>
      <c r="M78" s="3" t="str">
        <f>IFERROR(__xludf.DUMMYFUNCTION("SPLIT(SUBSTITUTE(L78,"" "",""?"",1),""?"")"),"Gironde")</f>
        <v>Gironde</v>
      </c>
      <c r="N78" s="6" t="str">
        <f>IFERROR(__xludf.DUMMYFUNCTION("""COMPUTED_VALUE"""),"Nouvelle Aquitaine")</f>
        <v>Nouvelle Aquitaine</v>
      </c>
      <c r="O78" s="6"/>
      <c r="P78" s="6" t="s">
        <v>361</v>
      </c>
      <c r="Q78" s="3" t="str">
        <f t="shared" si="2"/>
        <v>44.8697194156193 </v>
      </c>
      <c r="R78" s="6" t="s">
        <v>362</v>
      </c>
      <c r="S78" s="5" t="str">
        <f t="shared" si="3"/>
        <v>-0.70281075287073</v>
      </c>
    </row>
    <row r="79">
      <c r="A79" s="6" t="s">
        <v>363</v>
      </c>
      <c r="B79" s="6" t="s">
        <v>38</v>
      </c>
      <c r="C79" s="4" t="str">
        <f t="shared" si="1"/>
        <v>Mairie de Bordeaux</v>
      </c>
      <c r="D79" s="6" t="s">
        <v>15</v>
      </c>
      <c r="E79" s="6" t="s">
        <v>16</v>
      </c>
      <c r="F79" s="6" t="s">
        <v>17</v>
      </c>
      <c r="G79" s="7"/>
      <c r="H79" s="6" t="s">
        <v>364</v>
      </c>
      <c r="I79" s="6">
        <v>33100.0</v>
      </c>
      <c r="J79" s="6">
        <v>33063.0</v>
      </c>
      <c r="K79" s="6" t="s">
        <v>34</v>
      </c>
      <c r="L79" s="7" t="s">
        <v>20</v>
      </c>
      <c r="M79" s="3" t="str">
        <f>IFERROR(__xludf.DUMMYFUNCTION("SPLIT(SUBSTITUTE(L79,"" "",""?"",1),""?"")"),"Gironde")</f>
        <v>Gironde</v>
      </c>
      <c r="N79" s="6" t="str">
        <f>IFERROR(__xludf.DUMMYFUNCTION("""COMPUTED_VALUE"""),"Nouvelle Aquitaine")</f>
        <v>Nouvelle Aquitaine</v>
      </c>
      <c r="O79" s="6"/>
      <c r="P79" s="6" t="s">
        <v>365</v>
      </c>
      <c r="Q79" s="3" t="str">
        <f t="shared" si="2"/>
        <v>44.845486732478 </v>
      </c>
      <c r="R79" s="6" t="s">
        <v>366</v>
      </c>
      <c r="S79" s="5" t="str">
        <f t="shared" si="3"/>
        <v>-0.562919208432608</v>
      </c>
    </row>
    <row r="80">
      <c r="A80" s="6" t="s">
        <v>367</v>
      </c>
      <c r="B80" s="6" t="s">
        <v>354</v>
      </c>
      <c r="C80" s="4" t="str">
        <f t="shared" si="1"/>
        <v>Mairie de Saint-Médard-en-Jalles</v>
      </c>
      <c r="D80" s="6" t="s">
        <v>39</v>
      </c>
      <c r="E80" s="6" t="s">
        <v>16</v>
      </c>
      <c r="F80" s="6" t="s">
        <v>17</v>
      </c>
      <c r="G80" s="7"/>
      <c r="H80" s="6" t="s">
        <v>368</v>
      </c>
      <c r="I80" s="6">
        <v>33160.0</v>
      </c>
      <c r="J80" s="6">
        <v>33449.0</v>
      </c>
      <c r="K80" s="6" t="s">
        <v>181</v>
      </c>
      <c r="L80" s="7" t="s">
        <v>20</v>
      </c>
      <c r="M80" s="3" t="str">
        <f>IFERROR(__xludf.DUMMYFUNCTION("SPLIT(SUBSTITUTE(L80,"" "",""?"",1),""?"")"),"Gironde")</f>
        <v>Gironde</v>
      </c>
      <c r="N80" s="6" t="str">
        <f>IFERROR(__xludf.DUMMYFUNCTION("""COMPUTED_VALUE"""),"Nouvelle Aquitaine")</f>
        <v>Nouvelle Aquitaine</v>
      </c>
      <c r="O80" s="6"/>
      <c r="P80" s="6" t="s">
        <v>369</v>
      </c>
      <c r="Q80" s="3" t="str">
        <f t="shared" si="2"/>
        <v>44.9002627879429 </v>
      </c>
      <c r="R80" s="6" t="s">
        <v>370</v>
      </c>
      <c r="S80" s="5" t="str">
        <f t="shared" si="3"/>
        <v>-0.744992912932955</v>
      </c>
    </row>
    <row r="81">
      <c r="A81" s="6" t="s">
        <v>371</v>
      </c>
      <c r="B81" s="6" t="s">
        <v>48</v>
      </c>
      <c r="C81" s="4" t="str">
        <f t="shared" si="1"/>
        <v>Mairie d'Eysines</v>
      </c>
      <c r="D81" s="6" t="s">
        <v>15</v>
      </c>
      <c r="E81" s="6" t="s">
        <v>16</v>
      </c>
      <c r="F81" s="6" t="s">
        <v>17</v>
      </c>
      <c r="G81" s="7"/>
      <c r="H81" s="6" t="s">
        <v>372</v>
      </c>
      <c r="I81" s="6">
        <v>33320.0</v>
      </c>
      <c r="J81" s="6">
        <v>33162.0</v>
      </c>
      <c r="K81" s="6" t="s">
        <v>50</v>
      </c>
      <c r="L81" s="7" t="s">
        <v>20</v>
      </c>
      <c r="M81" s="3" t="str">
        <f>IFERROR(__xludf.DUMMYFUNCTION("SPLIT(SUBSTITUTE(L81,"" "",""?"",1),""?"")"),"Gironde")</f>
        <v>Gironde</v>
      </c>
      <c r="N81" s="6" t="str">
        <f>IFERROR(__xludf.DUMMYFUNCTION("""COMPUTED_VALUE"""),"Nouvelle Aquitaine")</f>
        <v>Nouvelle Aquitaine</v>
      </c>
      <c r="O81" s="6"/>
      <c r="P81" s="6" t="s">
        <v>373</v>
      </c>
      <c r="Q81" s="3" t="str">
        <f t="shared" si="2"/>
        <v>44.8806485493299 </v>
      </c>
      <c r="R81" s="6" t="s">
        <v>374</v>
      </c>
      <c r="S81" s="5" t="str">
        <f t="shared" si="3"/>
        <v>-0.635387067744235</v>
      </c>
    </row>
    <row r="82">
      <c r="A82" s="6" t="s">
        <v>375</v>
      </c>
      <c r="B82" s="7"/>
      <c r="C82" s="4" t="str">
        <f t="shared" si="1"/>
        <v/>
      </c>
      <c r="D82" s="6" t="s">
        <v>43</v>
      </c>
      <c r="E82" s="6" t="s">
        <v>44</v>
      </c>
      <c r="F82" s="6" t="s">
        <v>43</v>
      </c>
      <c r="G82" s="7"/>
      <c r="H82" s="6" t="s">
        <v>376</v>
      </c>
      <c r="I82" s="6">
        <v>33300.0</v>
      </c>
      <c r="J82" s="6">
        <v>33063.0</v>
      </c>
      <c r="K82" s="6" t="s">
        <v>34</v>
      </c>
      <c r="L82" s="7" t="s">
        <v>20</v>
      </c>
      <c r="M82" s="3" t="str">
        <f>IFERROR(__xludf.DUMMYFUNCTION("SPLIT(SUBSTITUTE(L82,"" "",""?"",1),""?"")"),"Gironde")</f>
        <v>Gironde</v>
      </c>
      <c r="N82" s="6" t="str">
        <f>IFERROR(__xludf.DUMMYFUNCTION("""COMPUTED_VALUE"""),"Nouvelle Aquitaine")</f>
        <v>Nouvelle Aquitaine</v>
      </c>
      <c r="O82" s="6"/>
      <c r="P82" s="6" t="s">
        <v>377</v>
      </c>
      <c r="Q82" s="3" t="str">
        <f t="shared" si="2"/>
        <v>44.8496866967274 </v>
      </c>
      <c r="R82" s="6" t="s">
        <v>378</v>
      </c>
      <c r="S82" s="5" t="str">
        <f t="shared" si="3"/>
        <v>-0.582296016292285</v>
      </c>
    </row>
    <row r="83">
      <c r="A83" s="6" t="s">
        <v>379</v>
      </c>
      <c r="B83" s="6" t="s">
        <v>38</v>
      </c>
      <c r="C83" s="4" t="str">
        <f t="shared" si="1"/>
        <v>Mairie de Bordeaux</v>
      </c>
      <c r="D83" s="6" t="s">
        <v>39</v>
      </c>
      <c r="E83" s="6" t="s">
        <v>16</v>
      </c>
      <c r="F83" s="6" t="s">
        <v>17</v>
      </c>
      <c r="G83" s="6">
        <v>2.13E13</v>
      </c>
      <c r="H83" s="6" t="s">
        <v>380</v>
      </c>
      <c r="I83" s="6">
        <v>33300.0</v>
      </c>
      <c r="J83" s="6">
        <v>33063.0</v>
      </c>
      <c r="K83" s="6" t="s">
        <v>34</v>
      </c>
      <c r="L83" s="7" t="s">
        <v>20</v>
      </c>
      <c r="M83" s="3" t="str">
        <f>IFERROR(__xludf.DUMMYFUNCTION("SPLIT(SUBSTITUTE(L83,"" "",""?"",1),""?"")"),"Gironde")</f>
        <v>Gironde</v>
      </c>
      <c r="N83" s="6" t="str">
        <f>IFERROR(__xludf.DUMMYFUNCTION("""COMPUTED_VALUE"""),"Nouvelle Aquitaine")</f>
        <v>Nouvelle Aquitaine</v>
      </c>
      <c r="O83" s="6"/>
      <c r="P83" s="6" t="s">
        <v>381</v>
      </c>
      <c r="Q83" s="3" t="str">
        <f t="shared" si="2"/>
        <v>44.8738197515941 </v>
      </c>
      <c r="R83" s="6" t="s">
        <v>382</v>
      </c>
      <c r="S83" s="5" t="str">
        <f t="shared" si="3"/>
        <v>-0.572357500735627</v>
      </c>
    </row>
    <row r="84">
      <c r="A84" s="6" t="s">
        <v>383</v>
      </c>
      <c r="B84" s="7"/>
      <c r="C84" s="4" t="str">
        <f t="shared" si="1"/>
        <v/>
      </c>
      <c r="D84" s="6" t="s">
        <v>83</v>
      </c>
      <c r="E84" s="6" t="s">
        <v>44</v>
      </c>
      <c r="F84" s="6" t="s">
        <v>43</v>
      </c>
      <c r="G84" s="6">
        <v>4.0E13</v>
      </c>
      <c r="H84" s="6" t="s">
        <v>384</v>
      </c>
      <c r="I84" s="6">
        <v>33300.0</v>
      </c>
      <c r="J84" s="6">
        <v>33063.0</v>
      </c>
      <c r="K84" s="6" t="s">
        <v>34</v>
      </c>
      <c r="L84" s="7" t="s">
        <v>20</v>
      </c>
      <c r="M84" s="3" t="str">
        <f>IFERROR(__xludf.DUMMYFUNCTION("SPLIT(SUBSTITUTE(L84,"" "",""?"",1),""?"")"),"Gironde")</f>
        <v>Gironde</v>
      </c>
      <c r="N84" s="6" t="str">
        <f>IFERROR(__xludf.DUMMYFUNCTION("""COMPUTED_VALUE"""),"Nouvelle Aquitaine")</f>
        <v>Nouvelle Aquitaine</v>
      </c>
      <c r="O84" s="6"/>
      <c r="P84" s="6" t="s">
        <v>385</v>
      </c>
      <c r="Q84" s="3" t="str">
        <f t="shared" si="2"/>
        <v>44.8596742548768 </v>
      </c>
      <c r="R84" s="6" t="s">
        <v>386</v>
      </c>
      <c r="S84" s="5" t="str">
        <f t="shared" si="3"/>
        <v>-0.554840941922581</v>
      </c>
    </row>
    <row r="85">
      <c r="A85" s="6" t="s">
        <v>127</v>
      </c>
      <c r="B85" s="7"/>
      <c r="C85" s="4" t="str">
        <f t="shared" si="1"/>
        <v/>
      </c>
      <c r="D85" s="6" t="s">
        <v>43</v>
      </c>
      <c r="E85" s="6" t="s">
        <v>44</v>
      </c>
      <c r="F85" s="6" t="s">
        <v>43</v>
      </c>
      <c r="G85" s="7"/>
      <c r="H85" s="6" t="s">
        <v>387</v>
      </c>
      <c r="I85" s="6">
        <v>33300.0</v>
      </c>
      <c r="J85" s="6">
        <v>33063.0</v>
      </c>
      <c r="K85" s="6" t="s">
        <v>34</v>
      </c>
      <c r="L85" s="7" t="s">
        <v>20</v>
      </c>
      <c r="M85" s="3" t="str">
        <f>IFERROR(__xludf.DUMMYFUNCTION("SPLIT(SUBSTITUTE(L85,"" "",""?"",1),""?"")"),"Gironde")</f>
        <v>Gironde</v>
      </c>
      <c r="N85" s="6" t="str">
        <f>IFERROR(__xludf.DUMMYFUNCTION("""COMPUTED_VALUE"""),"Nouvelle Aquitaine")</f>
        <v>Nouvelle Aquitaine</v>
      </c>
      <c r="O85" s="6"/>
      <c r="P85" s="6" t="s">
        <v>388</v>
      </c>
      <c r="Q85" s="3" t="str">
        <f t="shared" si="2"/>
        <v>44.8712538348828 </v>
      </c>
      <c r="R85" s="6" t="s">
        <v>389</v>
      </c>
      <c r="S85" s="5" t="str">
        <f t="shared" si="3"/>
        <v>-0.5471219312627</v>
      </c>
    </row>
    <row r="86">
      <c r="A86" s="6" t="s">
        <v>390</v>
      </c>
      <c r="B86" s="7"/>
      <c r="C86" s="4" t="str">
        <f t="shared" si="1"/>
        <v/>
      </c>
      <c r="D86" s="6" t="s">
        <v>391</v>
      </c>
      <c r="E86" s="6" t="s">
        <v>392</v>
      </c>
      <c r="F86" s="6" t="s">
        <v>32</v>
      </c>
      <c r="G86" s="7"/>
      <c r="H86" s="6" t="s">
        <v>393</v>
      </c>
      <c r="I86" s="6">
        <v>33300.0</v>
      </c>
      <c r="J86" s="6">
        <v>33063.0</v>
      </c>
      <c r="K86" s="6" t="s">
        <v>34</v>
      </c>
      <c r="L86" s="7" t="s">
        <v>20</v>
      </c>
      <c r="M86" s="3" t="str">
        <f>IFERROR(__xludf.DUMMYFUNCTION("SPLIT(SUBSTITUTE(L86,"" "",""?"",1),""?"")"),"Gironde")</f>
        <v>Gironde</v>
      </c>
      <c r="N86" s="6" t="str">
        <f>IFERROR(__xludf.DUMMYFUNCTION("""COMPUTED_VALUE"""),"Nouvelle Aquitaine")</f>
        <v>Nouvelle Aquitaine</v>
      </c>
      <c r="O86" s="6"/>
      <c r="P86" s="6" t="s">
        <v>394</v>
      </c>
      <c r="Q86" s="3" t="str">
        <f t="shared" si="2"/>
        <v>44.8598419227794 </v>
      </c>
      <c r="R86" s="6" t="s">
        <v>395</v>
      </c>
      <c r="S86" s="5" t="str">
        <f t="shared" si="3"/>
        <v>-0.579596200925825</v>
      </c>
    </row>
    <row r="87">
      <c r="A87" s="6" t="s">
        <v>396</v>
      </c>
      <c r="B87" s="7"/>
      <c r="C87" s="4" t="str">
        <f t="shared" si="1"/>
        <v/>
      </c>
      <c r="D87" s="6" t="s">
        <v>43</v>
      </c>
      <c r="E87" s="6" t="s">
        <v>44</v>
      </c>
      <c r="F87" s="6" t="s">
        <v>43</v>
      </c>
      <c r="G87" s="7"/>
      <c r="H87" s="6" t="s">
        <v>393</v>
      </c>
      <c r="I87" s="6">
        <v>33300.0</v>
      </c>
      <c r="J87" s="6">
        <v>33063.0</v>
      </c>
      <c r="K87" s="6" t="s">
        <v>34</v>
      </c>
      <c r="L87" s="7" t="s">
        <v>20</v>
      </c>
      <c r="M87" s="3" t="str">
        <f>IFERROR(__xludf.DUMMYFUNCTION("SPLIT(SUBSTITUTE(L87,"" "",""?"",1),""?"")"),"Gironde")</f>
        <v>Gironde</v>
      </c>
      <c r="N87" s="6" t="str">
        <f>IFERROR(__xludf.DUMMYFUNCTION("""COMPUTED_VALUE"""),"Nouvelle Aquitaine")</f>
        <v>Nouvelle Aquitaine</v>
      </c>
      <c r="O87" s="6"/>
      <c r="P87" s="6" t="s">
        <v>394</v>
      </c>
      <c r="Q87" s="3" t="str">
        <f t="shared" si="2"/>
        <v>44.8598419227794 </v>
      </c>
      <c r="R87" s="6" t="s">
        <v>395</v>
      </c>
      <c r="S87" s="5" t="str">
        <f t="shared" si="3"/>
        <v>-0.579596200925825</v>
      </c>
    </row>
    <row r="88">
      <c r="A88" s="6" t="s">
        <v>397</v>
      </c>
      <c r="B88" s="7"/>
      <c r="C88" s="4" t="str">
        <f t="shared" si="1"/>
        <v/>
      </c>
      <c r="D88" s="6" t="s">
        <v>43</v>
      </c>
      <c r="E88" s="6" t="s">
        <v>44</v>
      </c>
      <c r="F88" s="6" t="s">
        <v>43</v>
      </c>
      <c r="G88" s="7"/>
      <c r="H88" s="6" t="s">
        <v>398</v>
      </c>
      <c r="I88" s="6">
        <v>33300.0</v>
      </c>
      <c r="J88" s="6">
        <v>33063.0</v>
      </c>
      <c r="K88" s="6" t="s">
        <v>34</v>
      </c>
      <c r="L88" s="7" t="s">
        <v>20</v>
      </c>
      <c r="M88" s="3" t="str">
        <f>IFERROR(__xludf.DUMMYFUNCTION("SPLIT(SUBSTITUTE(L88,"" "",""?"",1),""?"")"),"Gironde")</f>
        <v>Gironde</v>
      </c>
      <c r="N88" s="6" t="str">
        <f>IFERROR(__xludf.DUMMYFUNCTION("""COMPUTED_VALUE"""),"Nouvelle Aquitaine")</f>
        <v>Nouvelle Aquitaine</v>
      </c>
      <c r="O88" s="6"/>
      <c r="P88" s="6" t="s">
        <v>399</v>
      </c>
      <c r="Q88" s="3" t="str">
        <f t="shared" si="2"/>
        <v>44.860192189202 </v>
      </c>
      <c r="R88" s="6" t="s">
        <v>400</v>
      </c>
      <c r="S88" s="5" t="str">
        <f t="shared" si="3"/>
        <v>-0.575155274726418</v>
      </c>
    </row>
    <row r="89">
      <c r="A89" s="6" t="s">
        <v>401</v>
      </c>
      <c r="B89" s="7"/>
      <c r="C89" s="4" t="str">
        <f t="shared" si="1"/>
        <v/>
      </c>
      <c r="D89" s="6" t="s">
        <v>43</v>
      </c>
      <c r="E89" s="6" t="s">
        <v>44</v>
      </c>
      <c r="F89" s="6" t="s">
        <v>43</v>
      </c>
      <c r="G89" s="7"/>
      <c r="H89" s="6" t="s">
        <v>402</v>
      </c>
      <c r="I89" s="6">
        <v>33000.0</v>
      </c>
      <c r="J89" s="6">
        <v>33063.0</v>
      </c>
      <c r="K89" s="6" t="s">
        <v>34</v>
      </c>
      <c r="L89" s="7" t="s">
        <v>20</v>
      </c>
      <c r="M89" s="3" t="str">
        <f>IFERROR(__xludf.DUMMYFUNCTION("SPLIT(SUBSTITUTE(L89,"" "",""?"",1),""?"")"),"Gironde")</f>
        <v>Gironde</v>
      </c>
      <c r="N89" s="6" t="str">
        <f>IFERROR(__xludf.DUMMYFUNCTION("""COMPUTED_VALUE"""),"Nouvelle Aquitaine")</f>
        <v>Nouvelle Aquitaine</v>
      </c>
      <c r="O89" s="6"/>
      <c r="P89" s="6" t="s">
        <v>403</v>
      </c>
      <c r="Q89" s="3" t="str">
        <f t="shared" si="2"/>
        <v>44.8383939284361 </v>
      </c>
      <c r="R89" s="6" t="s">
        <v>404</v>
      </c>
      <c r="S89" s="5" t="str">
        <f t="shared" si="3"/>
        <v>-0.568611215892525</v>
      </c>
    </row>
    <row r="90">
      <c r="A90" s="6" t="s">
        <v>405</v>
      </c>
      <c r="B90" s="7"/>
      <c r="C90" s="4" t="str">
        <f t="shared" si="1"/>
        <v/>
      </c>
      <c r="D90" s="6" t="s">
        <v>43</v>
      </c>
      <c r="E90" s="6" t="s">
        <v>44</v>
      </c>
      <c r="F90" s="6" t="s">
        <v>43</v>
      </c>
      <c r="G90" s="6">
        <v>7.82E13</v>
      </c>
      <c r="H90" s="6" t="s">
        <v>406</v>
      </c>
      <c r="I90" s="6">
        <v>33000.0</v>
      </c>
      <c r="J90" s="6">
        <v>33063.0</v>
      </c>
      <c r="K90" s="6" t="s">
        <v>34</v>
      </c>
      <c r="L90" s="7" t="s">
        <v>20</v>
      </c>
      <c r="M90" s="3" t="str">
        <f>IFERROR(__xludf.DUMMYFUNCTION("SPLIT(SUBSTITUTE(L90,"" "",""?"",1),""?"")"),"Gironde")</f>
        <v>Gironde</v>
      </c>
      <c r="N90" s="6" t="str">
        <f>IFERROR(__xludf.DUMMYFUNCTION("""COMPUTED_VALUE"""),"Nouvelle Aquitaine")</f>
        <v>Nouvelle Aquitaine</v>
      </c>
      <c r="O90" s="6"/>
      <c r="P90" s="6" t="s">
        <v>407</v>
      </c>
      <c r="Q90" s="3" t="str">
        <f t="shared" si="2"/>
        <v>44.8395865762102 </v>
      </c>
      <c r="R90" s="6" t="s">
        <v>408</v>
      </c>
      <c r="S90" s="5" t="str">
        <f t="shared" si="3"/>
        <v>-0.572861035491858</v>
      </c>
    </row>
    <row r="91">
      <c r="A91" s="6" t="s">
        <v>409</v>
      </c>
      <c r="B91" s="7"/>
      <c r="C91" s="4" t="str">
        <f t="shared" si="1"/>
        <v/>
      </c>
      <c r="D91" s="6" t="s">
        <v>43</v>
      </c>
      <c r="E91" s="6" t="s">
        <v>44</v>
      </c>
      <c r="F91" s="6" t="s">
        <v>43</v>
      </c>
      <c r="G91" s="7"/>
      <c r="H91" s="6" t="s">
        <v>410</v>
      </c>
      <c r="I91" s="6">
        <v>33800.0</v>
      </c>
      <c r="J91" s="6">
        <v>33063.0</v>
      </c>
      <c r="K91" s="6" t="s">
        <v>34</v>
      </c>
      <c r="L91" s="7" t="s">
        <v>20</v>
      </c>
      <c r="M91" s="3" t="str">
        <f>IFERROR(__xludf.DUMMYFUNCTION("SPLIT(SUBSTITUTE(L91,"" "",""?"",1),""?"")"),"Gironde")</f>
        <v>Gironde</v>
      </c>
      <c r="N91" s="6" t="str">
        <f>IFERROR(__xludf.DUMMYFUNCTION("""COMPUTED_VALUE"""),"Nouvelle Aquitaine")</f>
        <v>Nouvelle Aquitaine</v>
      </c>
      <c r="O91" s="6"/>
      <c r="P91" s="6" t="s">
        <v>411</v>
      </c>
      <c r="Q91" s="3" t="str">
        <f t="shared" si="2"/>
        <v>44.8246991659039 </v>
      </c>
      <c r="R91" s="6" t="s">
        <v>412</v>
      </c>
      <c r="S91" s="5" t="str">
        <f t="shared" si="3"/>
        <v>-0.551960065362746</v>
      </c>
    </row>
    <row r="92">
      <c r="A92" s="6" t="s">
        <v>413</v>
      </c>
      <c r="B92" s="6" t="s">
        <v>38</v>
      </c>
      <c r="C92" s="4" t="str">
        <f t="shared" si="1"/>
        <v>Mairie de Bordeaux</v>
      </c>
      <c r="D92" s="6" t="s">
        <v>39</v>
      </c>
      <c r="E92" s="6" t="s">
        <v>16</v>
      </c>
      <c r="F92" s="6" t="s">
        <v>17</v>
      </c>
      <c r="G92" s="6">
        <v>2.13E13</v>
      </c>
      <c r="H92" s="6" t="s">
        <v>414</v>
      </c>
      <c r="I92" s="6">
        <v>33000.0</v>
      </c>
      <c r="J92" s="6">
        <v>33063.0</v>
      </c>
      <c r="K92" s="6" t="s">
        <v>34</v>
      </c>
      <c r="L92" s="7" t="s">
        <v>20</v>
      </c>
      <c r="M92" s="3" t="str">
        <f>IFERROR(__xludf.DUMMYFUNCTION("SPLIT(SUBSTITUTE(L92,"" "",""?"",1),""?"")"),"Gironde")</f>
        <v>Gironde</v>
      </c>
      <c r="N92" s="6" t="str">
        <f>IFERROR(__xludf.DUMMYFUNCTION("""COMPUTED_VALUE"""),"Nouvelle Aquitaine")</f>
        <v>Nouvelle Aquitaine</v>
      </c>
      <c r="O92" s="6"/>
      <c r="P92" s="6" t="s">
        <v>415</v>
      </c>
      <c r="Q92" s="3" t="str">
        <f t="shared" si="2"/>
        <v>44.8321917073071 </v>
      </c>
      <c r="R92" s="6" t="s">
        <v>416</v>
      </c>
      <c r="S92" s="5" t="str">
        <f t="shared" si="3"/>
        <v>-0.610899292845509</v>
      </c>
    </row>
    <row r="93">
      <c r="A93" s="6" t="s">
        <v>417</v>
      </c>
      <c r="B93" s="7"/>
      <c r="C93" s="4" t="str">
        <f t="shared" si="1"/>
        <v/>
      </c>
      <c r="D93" s="6" t="s">
        <v>43</v>
      </c>
      <c r="E93" s="6" t="s">
        <v>44</v>
      </c>
      <c r="F93" s="6" t="s">
        <v>43</v>
      </c>
      <c r="G93" s="7"/>
      <c r="H93" s="6" t="s">
        <v>418</v>
      </c>
      <c r="I93" s="6">
        <v>33000.0</v>
      </c>
      <c r="J93" s="6">
        <v>33063.0</v>
      </c>
      <c r="K93" s="6" t="s">
        <v>34</v>
      </c>
      <c r="L93" s="7" t="s">
        <v>20</v>
      </c>
      <c r="M93" s="3" t="str">
        <f>IFERROR(__xludf.DUMMYFUNCTION("SPLIT(SUBSTITUTE(L93,"" "",""?"",1),""?"")"),"Gironde")</f>
        <v>Gironde</v>
      </c>
      <c r="N93" s="6" t="str">
        <f>IFERROR(__xludf.DUMMYFUNCTION("""COMPUTED_VALUE"""),"Nouvelle Aquitaine")</f>
        <v>Nouvelle Aquitaine</v>
      </c>
      <c r="O93" s="6"/>
      <c r="P93" s="6" t="s">
        <v>419</v>
      </c>
      <c r="Q93" s="3" t="str">
        <f t="shared" si="2"/>
        <v>44.8349144689267 </v>
      </c>
      <c r="R93" s="6" t="s">
        <v>420</v>
      </c>
      <c r="S93" s="5" t="str">
        <f t="shared" si="3"/>
        <v>-0.576043795226171</v>
      </c>
    </row>
    <row r="94">
      <c r="A94" s="6" t="s">
        <v>421</v>
      </c>
      <c r="B94" s="7"/>
      <c r="C94" s="4" t="str">
        <f t="shared" si="1"/>
        <v/>
      </c>
      <c r="D94" s="6" t="s">
        <v>391</v>
      </c>
      <c r="E94" s="6" t="s">
        <v>392</v>
      </c>
      <c r="F94" s="6" t="s">
        <v>32</v>
      </c>
      <c r="G94" s="7"/>
      <c r="H94" s="6" t="s">
        <v>422</v>
      </c>
      <c r="I94" s="6">
        <v>33079.0</v>
      </c>
      <c r="J94" s="6">
        <v>33063.0</v>
      </c>
      <c r="K94" s="6" t="s">
        <v>34</v>
      </c>
      <c r="L94" s="7" t="s">
        <v>20</v>
      </c>
      <c r="M94" s="3" t="str">
        <f>IFERROR(__xludf.DUMMYFUNCTION("SPLIT(SUBSTITUTE(L94,"" "",""?"",1),""?"")"),"Gironde")</f>
        <v>Gironde</v>
      </c>
      <c r="N94" s="6" t="str">
        <f>IFERROR(__xludf.DUMMYFUNCTION("""COMPUTED_VALUE"""),"Nouvelle Aquitaine")</f>
        <v>Nouvelle Aquitaine</v>
      </c>
      <c r="O94" s="6"/>
      <c r="P94" s="6" t="s">
        <v>423</v>
      </c>
      <c r="Q94" s="3" t="str">
        <f t="shared" si="2"/>
        <v>44.8205132178248 </v>
      </c>
      <c r="R94" s="6" t="s">
        <v>424</v>
      </c>
      <c r="S94" s="5" t="str">
        <f t="shared" si="3"/>
        <v>-0.568085077455168</v>
      </c>
    </row>
    <row r="95">
      <c r="A95" s="6" t="s">
        <v>425</v>
      </c>
      <c r="B95" s="7"/>
      <c r="C95" s="4" t="str">
        <f t="shared" si="1"/>
        <v/>
      </c>
      <c r="D95" s="6" t="s">
        <v>43</v>
      </c>
      <c r="E95" s="6" t="s">
        <v>44</v>
      </c>
      <c r="F95" s="6" t="s">
        <v>43</v>
      </c>
      <c r="G95" s="7"/>
      <c r="H95" s="6" t="s">
        <v>426</v>
      </c>
      <c r="I95" s="6">
        <v>33800.0</v>
      </c>
      <c r="J95" s="6">
        <v>33063.0</v>
      </c>
      <c r="K95" s="6" t="s">
        <v>34</v>
      </c>
      <c r="L95" s="7" t="s">
        <v>20</v>
      </c>
      <c r="M95" s="3" t="str">
        <f>IFERROR(__xludf.DUMMYFUNCTION("SPLIT(SUBSTITUTE(L95,"" "",""?"",1),""?"")"),"Gironde")</f>
        <v>Gironde</v>
      </c>
      <c r="N95" s="6" t="str">
        <f>IFERROR(__xludf.DUMMYFUNCTION("""COMPUTED_VALUE"""),"Nouvelle Aquitaine")</f>
        <v>Nouvelle Aquitaine</v>
      </c>
      <c r="O95" s="6"/>
      <c r="P95" s="6" t="s">
        <v>427</v>
      </c>
      <c r="Q95" s="3" t="str">
        <f t="shared" si="2"/>
        <v>44.8250662993679 </v>
      </c>
      <c r="R95" s="6" t="s">
        <v>428</v>
      </c>
      <c r="S95" s="5" t="str">
        <f t="shared" si="3"/>
        <v>-0.551851435413458</v>
      </c>
    </row>
    <row r="96">
      <c r="A96" s="6" t="s">
        <v>429</v>
      </c>
      <c r="B96" s="7"/>
      <c r="C96" s="4" t="str">
        <f t="shared" si="1"/>
        <v/>
      </c>
      <c r="D96" s="6" t="s">
        <v>43</v>
      </c>
      <c r="E96" s="6" t="s">
        <v>44</v>
      </c>
      <c r="F96" s="6" t="s">
        <v>43</v>
      </c>
      <c r="G96" s="7"/>
      <c r="H96" s="6" t="s">
        <v>430</v>
      </c>
      <c r="I96" s="6">
        <v>33800.0</v>
      </c>
      <c r="J96" s="6">
        <v>33063.0</v>
      </c>
      <c r="K96" s="6" t="s">
        <v>34</v>
      </c>
      <c r="L96" s="7" t="s">
        <v>20</v>
      </c>
      <c r="M96" s="3" t="str">
        <f>IFERROR(__xludf.DUMMYFUNCTION("SPLIT(SUBSTITUTE(L96,"" "",""?"",1),""?"")"),"Gironde")</f>
        <v>Gironde</v>
      </c>
      <c r="N96" s="6" t="str">
        <f>IFERROR(__xludf.DUMMYFUNCTION("""COMPUTED_VALUE"""),"Nouvelle Aquitaine")</f>
        <v>Nouvelle Aquitaine</v>
      </c>
      <c r="O96" s="6"/>
      <c r="P96" s="6" t="s">
        <v>431</v>
      </c>
      <c r="Q96" s="3" t="str">
        <f t="shared" si="2"/>
        <v>44.8306264205286 </v>
      </c>
      <c r="R96" s="6" t="s">
        <v>432</v>
      </c>
      <c r="S96" s="5" t="str">
        <f t="shared" si="3"/>
        <v>-0.566204732923668</v>
      </c>
    </row>
    <row r="97">
      <c r="A97" s="6" t="s">
        <v>433</v>
      </c>
      <c r="B97" s="7"/>
      <c r="C97" s="4" t="str">
        <f t="shared" si="1"/>
        <v/>
      </c>
      <c r="D97" s="6" t="s">
        <v>434</v>
      </c>
      <c r="E97" s="6" t="s">
        <v>44</v>
      </c>
      <c r="F97" s="6" t="s">
        <v>43</v>
      </c>
      <c r="G97" s="7"/>
      <c r="H97" s="6" t="s">
        <v>435</v>
      </c>
      <c r="I97" s="6">
        <v>33800.0</v>
      </c>
      <c r="J97" s="6">
        <v>33063.0</v>
      </c>
      <c r="K97" s="6" t="s">
        <v>34</v>
      </c>
      <c r="L97" s="7" t="s">
        <v>20</v>
      </c>
      <c r="M97" s="3" t="str">
        <f>IFERROR(__xludf.DUMMYFUNCTION("SPLIT(SUBSTITUTE(L97,"" "",""?"",1),""?"")"),"Gironde")</f>
        <v>Gironde</v>
      </c>
      <c r="N97" s="6" t="str">
        <f>IFERROR(__xludf.DUMMYFUNCTION("""COMPUTED_VALUE"""),"Nouvelle Aquitaine")</f>
        <v>Nouvelle Aquitaine</v>
      </c>
      <c r="O97" s="6"/>
      <c r="P97" s="6" t="s">
        <v>436</v>
      </c>
      <c r="Q97" s="3" t="str">
        <f t="shared" si="2"/>
        <v>44.8275310350376 </v>
      </c>
      <c r="R97" s="6" t="s">
        <v>437</v>
      </c>
      <c r="S97" s="5" t="str">
        <f t="shared" si="3"/>
        <v>-0.558820401540681</v>
      </c>
    </row>
    <row r="98">
      <c r="A98" s="6" t="s">
        <v>438</v>
      </c>
      <c r="B98" s="6" t="s">
        <v>439</v>
      </c>
      <c r="C98" s="4" t="str">
        <f t="shared" si="1"/>
        <v>Bordeaux Métropole</v>
      </c>
      <c r="D98" s="6" t="s">
        <v>440</v>
      </c>
      <c r="E98" s="6" t="s">
        <v>16</v>
      </c>
      <c r="F98" s="6" t="s">
        <v>17</v>
      </c>
      <c r="G98" s="7"/>
      <c r="H98" s="6" t="s">
        <v>441</v>
      </c>
      <c r="I98" s="6">
        <v>33800.0</v>
      </c>
      <c r="J98" s="6">
        <v>33063.0</v>
      </c>
      <c r="K98" s="6" t="s">
        <v>34</v>
      </c>
      <c r="L98" s="7" t="s">
        <v>20</v>
      </c>
      <c r="M98" s="3" t="str">
        <f>IFERROR(__xludf.DUMMYFUNCTION("SPLIT(SUBSTITUTE(L98,"" "",""?"",1),""?"")"),"Gironde")</f>
        <v>Gironde</v>
      </c>
      <c r="N98" s="6" t="str">
        <f>IFERROR(__xludf.DUMMYFUNCTION("""COMPUTED_VALUE"""),"Nouvelle Aquitaine")</f>
        <v>Nouvelle Aquitaine</v>
      </c>
      <c r="O98" s="6"/>
      <c r="P98" s="6" t="s">
        <v>442</v>
      </c>
      <c r="Q98" s="3" t="str">
        <f t="shared" si="2"/>
        <v>44.8337909140404 </v>
      </c>
      <c r="R98" s="6" t="s">
        <v>443</v>
      </c>
      <c r="S98" s="5" t="str">
        <f t="shared" si="3"/>
        <v>-0.565754451572799</v>
      </c>
    </row>
    <row r="99">
      <c r="A99" s="3" t="s">
        <v>444</v>
      </c>
      <c r="B99" s="3" t="s">
        <v>445</v>
      </c>
      <c r="C99" s="4" t="str">
        <f t="shared" si="1"/>
        <v>Mairie de Bordeaux</v>
      </c>
      <c r="D99" s="3" t="s">
        <v>39</v>
      </c>
      <c r="E99" s="3" t="s">
        <v>16</v>
      </c>
      <c r="F99" s="3" t="s">
        <v>17</v>
      </c>
      <c r="G99" s="3">
        <v>2.13E13</v>
      </c>
      <c r="H99" s="3" t="s">
        <v>446</v>
      </c>
      <c r="I99" s="3">
        <v>33100.0</v>
      </c>
      <c r="J99" s="3">
        <v>33063.0</v>
      </c>
      <c r="K99" s="3" t="s">
        <v>34</v>
      </c>
      <c r="L99" s="4" t="s">
        <v>20</v>
      </c>
      <c r="M99" s="3" t="str">
        <f>IFERROR(__xludf.DUMMYFUNCTION("SPLIT(SUBSTITUTE(L99,"" "",""?"",1),""?"")"),"Gironde")</f>
        <v>Gironde</v>
      </c>
      <c r="N99" s="3" t="str">
        <f>IFERROR(__xludf.DUMMYFUNCTION("""COMPUTED_VALUE"""),"Nouvelle Aquitaine")</f>
        <v>Nouvelle Aquitaine</v>
      </c>
      <c r="O99" s="3"/>
      <c r="P99" s="3" t="s">
        <v>447</v>
      </c>
      <c r="Q99" s="3" t="str">
        <f t="shared" si="2"/>
        <v>44.8441359166854 </v>
      </c>
      <c r="R99" s="3" t="s">
        <v>448</v>
      </c>
      <c r="S99" s="5" t="str">
        <f t="shared" si="3"/>
        <v>-0.542196720968236</v>
      </c>
    </row>
    <row r="100">
      <c r="A100" s="6" t="s">
        <v>449</v>
      </c>
      <c r="B100" s="7"/>
      <c r="C100" s="4" t="str">
        <f t="shared" si="1"/>
        <v/>
      </c>
      <c r="D100" s="6" t="s">
        <v>450</v>
      </c>
      <c r="E100" s="6" t="s">
        <v>44</v>
      </c>
      <c r="F100" s="6" t="s">
        <v>43</v>
      </c>
      <c r="G100" s="7"/>
      <c r="H100" s="6" t="s">
        <v>451</v>
      </c>
      <c r="I100" s="6">
        <v>33440.0</v>
      </c>
      <c r="J100" s="6">
        <v>33003.0</v>
      </c>
      <c r="K100" s="6" t="s">
        <v>41</v>
      </c>
      <c r="L100" s="7" t="s">
        <v>20</v>
      </c>
      <c r="M100" s="3" t="str">
        <f>IFERROR(__xludf.DUMMYFUNCTION("SPLIT(SUBSTITUTE(L100,"" "",""?"",1),""?"")"),"Gironde")</f>
        <v>Gironde</v>
      </c>
      <c r="N100" s="6" t="str">
        <f>IFERROR(__xludf.DUMMYFUNCTION("""COMPUTED_VALUE"""),"Nouvelle Aquitaine")</f>
        <v>Nouvelle Aquitaine</v>
      </c>
      <c r="O100" s="6"/>
      <c r="P100" s="6" t="s">
        <v>452</v>
      </c>
      <c r="Q100" s="3" t="str">
        <f t="shared" si="2"/>
        <v>44.9277930802108 </v>
      </c>
      <c r="R100" s="6" t="s">
        <v>453</v>
      </c>
      <c r="S100" s="5" t="str">
        <f t="shared" si="3"/>
        <v>-0.488512977996998</v>
      </c>
    </row>
    <row r="101">
      <c r="A101" s="6" t="s">
        <v>454</v>
      </c>
      <c r="B101" s="6" t="s">
        <v>455</v>
      </c>
      <c r="C101" s="4" t="str">
        <f t="shared" si="1"/>
        <v>Mairie de Ambarès-et-Lagrave</v>
      </c>
      <c r="D101" s="6" t="s">
        <v>15</v>
      </c>
      <c r="E101" s="6" t="s">
        <v>16</v>
      </c>
      <c r="F101" s="6" t="s">
        <v>17</v>
      </c>
      <c r="G101" s="7"/>
      <c r="H101" s="6" t="s">
        <v>456</v>
      </c>
      <c r="I101" s="6">
        <v>33440.0</v>
      </c>
      <c r="J101" s="6">
        <v>33003.0</v>
      </c>
      <c r="K101" s="6" t="s">
        <v>41</v>
      </c>
      <c r="L101" s="7" t="s">
        <v>20</v>
      </c>
      <c r="M101" s="3" t="str">
        <f>IFERROR(__xludf.DUMMYFUNCTION("SPLIT(SUBSTITUTE(L101,"" "",""?"",1),""?"")"),"Gironde")</f>
        <v>Gironde</v>
      </c>
      <c r="N101" s="6" t="str">
        <f>IFERROR(__xludf.DUMMYFUNCTION("""COMPUTED_VALUE"""),"Nouvelle Aquitaine")</f>
        <v>Nouvelle Aquitaine</v>
      </c>
      <c r="O101" s="6"/>
      <c r="P101" s="6" t="s">
        <v>457</v>
      </c>
      <c r="Q101" s="3" t="str">
        <f t="shared" si="2"/>
        <v>44.9264558802494 </v>
      </c>
      <c r="R101" s="6" t="s">
        <v>458</v>
      </c>
      <c r="S101" s="5" t="str">
        <f t="shared" si="3"/>
        <v>-0.488479333307143</v>
      </c>
    </row>
    <row r="102">
      <c r="A102" s="6" t="s">
        <v>459</v>
      </c>
      <c r="B102" s="6" t="s">
        <v>460</v>
      </c>
      <c r="C102" s="4" t="str">
        <f t="shared" si="1"/>
        <v>Mairie de Bassens</v>
      </c>
      <c r="D102" s="6" t="s">
        <v>39</v>
      </c>
      <c r="E102" s="6" t="s">
        <v>16</v>
      </c>
      <c r="F102" s="6" t="s">
        <v>17</v>
      </c>
      <c r="G102" s="7"/>
      <c r="H102" s="6" t="s">
        <v>461</v>
      </c>
      <c r="I102" s="6">
        <v>33530.0</v>
      </c>
      <c r="J102" s="6">
        <v>33032.0</v>
      </c>
      <c r="K102" s="6" t="s">
        <v>462</v>
      </c>
      <c r="L102" s="7" t="s">
        <v>20</v>
      </c>
      <c r="M102" s="3" t="str">
        <f>IFERROR(__xludf.DUMMYFUNCTION("SPLIT(SUBSTITUTE(L102,"" "",""?"",1),""?"")"),"Gironde")</f>
        <v>Gironde</v>
      </c>
      <c r="N102" s="6" t="str">
        <f>IFERROR(__xludf.DUMMYFUNCTION("""COMPUTED_VALUE"""),"Nouvelle Aquitaine")</f>
        <v>Nouvelle Aquitaine</v>
      </c>
      <c r="O102" s="6"/>
      <c r="P102" s="6" t="s">
        <v>463</v>
      </c>
      <c r="Q102" s="3" t="str">
        <f t="shared" si="2"/>
        <v>44.8996031552278 </v>
      </c>
      <c r="R102" s="6" t="s">
        <v>464</v>
      </c>
      <c r="S102" s="5" t="str">
        <f t="shared" si="3"/>
        <v>-0.516190784702733</v>
      </c>
    </row>
    <row r="103">
      <c r="A103" s="6" t="s">
        <v>465</v>
      </c>
      <c r="B103" s="6" t="s">
        <v>466</v>
      </c>
      <c r="C103" s="4" t="str">
        <f t="shared" si="1"/>
        <v>Mairie de Carbon-Blanc</v>
      </c>
      <c r="D103" s="6" t="s">
        <v>39</v>
      </c>
      <c r="E103" s="6" t="s">
        <v>16</v>
      </c>
      <c r="F103" s="6" t="s">
        <v>17</v>
      </c>
      <c r="G103" s="7"/>
      <c r="H103" s="6" t="s">
        <v>467</v>
      </c>
      <c r="I103" s="6">
        <v>33564.0</v>
      </c>
      <c r="J103" s="6">
        <v>33096.0</v>
      </c>
      <c r="K103" s="6" t="s">
        <v>19</v>
      </c>
      <c r="L103" s="7" t="s">
        <v>20</v>
      </c>
      <c r="M103" s="3" t="str">
        <f>IFERROR(__xludf.DUMMYFUNCTION("SPLIT(SUBSTITUTE(L103,"" "",""?"",1),""?"")"),"Gironde")</f>
        <v>Gironde</v>
      </c>
      <c r="N103" s="6" t="str">
        <f>IFERROR(__xludf.DUMMYFUNCTION("""COMPUTED_VALUE"""),"Nouvelle Aquitaine")</f>
        <v>Nouvelle Aquitaine</v>
      </c>
      <c r="O103" s="6"/>
      <c r="P103" s="6" t="s">
        <v>468</v>
      </c>
      <c r="Q103" s="3" t="str">
        <f t="shared" si="2"/>
        <v>44.8958988624813 </v>
      </c>
      <c r="R103" s="6" t="s">
        <v>469</v>
      </c>
      <c r="S103" s="5" t="str">
        <f t="shared" si="3"/>
        <v>-0.514769766938758</v>
      </c>
    </row>
    <row r="104">
      <c r="A104" s="6" t="s">
        <v>470</v>
      </c>
      <c r="B104" s="7"/>
      <c r="C104" s="4" t="str">
        <f t="shared" si="1"/>
        <v/>
      </c>
      <c r="D104" s="6" t="s">
        <v>70</v>
      </c>
      <c r="E104" s="6" t="s">
        <v>44</v>
      </c>
      <c r="F104" s="6" t="s">
        <v>43</v>
      </c>
      <c r="G104" s="7"/>
      <c r="H104" s="6" t="s">
        <v>471</v>
      </c>
      <c r="I104" s="6">
        <v>33150.0</v>
      </c>
      <c r="J104" s="6">
        <v>33119.0</v>
      </c>
      <c r="K104" s="6" t="s">
        <v>120</v>
      </c>
      <c r="L104" s="7" t="s">
        <v>20</v>
      </c>
      <c r="M104" s="3" t="str">
        <f>IFERROR(__xludf.DUMMYFUNCTION("SPLIT(SUBSTITUTE(L104,"" "",""?"",1),""?"")"),"Gironde")</f>
        <v>Gironde</v>
      </c>
      <c r="N104" s="6" t="str">
        <f>IFERROR(__xludf.DUMMYFUNCTION("""COMPUTED_VALUE"""),"Nouvelle Aquitaine")</f>
        <v>Nouvelle Aquitaine</v>
      </c>
      <c r="O104" s="6"/>
      <c r="P104" s="6" t="s">
        <v>472</v>
      </c>
      <c r="Q104" s="3" t="str">
        <f t="shared" si="2"/>
        <v>44.856408823067 </v>
      </c>
      <c r="R104" s="6" t="s">
        <v>473</v>
      </c>
      <c r="S104" s="5" t="str">
        <f t="shared" si="3"/>
        <v>-0.520666850365824</v>
      </c>
    </row>
    <row r="105">
      <c r="A105" s="6" t="s">
        <v>474</v>
      </c>
      <c r="B105" s="7"/>
      <c r="C105" s="4" t="str">
        <f t="shared" si="1"/>
        <v/>
      </c>
      <c r="D105" s="6" t="s">
        <v>434</v>
      </c>
      <c r="E105" s="6" t="s">
        <v>44</v>
      </c>
      <c r="F105" s="6" t="s">
        <v>43</v>
      </c>
      <c r="G105" s="7"/>
      <c r="H105" s="6" t="s">
        <v>475</v>
      </c>
      <c r="I105" s="6">
        <v>33150.0</v>
      </c>
      <c r="J105" s="6">
        <v>33119.0</v>
      </c>
      <c r="K105" s="6" t="s">
        <v>120</v>
      </c>
      <c r="L105" s="7" t="s">
        <v>20</v>
      </c>
      <c r="M105" s="3" t="str">
        <f>IFERROR(__xludf.DUMMYFUNCTION("SPLIT(SUBSTITUTE(L105,"" "",""?"",1),""?"")"),"Gironde")</f>
        <v>Gironde</v>
      </c>
      <c r="N105" s="6" t="str">
        <f>IFERROR(__xludf.DUMMYFUNCTION("""COMPUTED_VALUE"""),"Nouvelle Aquitaine")</f>
        <v>Nouvelle Aquitaine</v>
      </c>
      <c r="O105" s="6"/>
      <c r="P105" s="6" t="s">
        <v>476</v>
      </c>
      <c r="Q105" s="3" t="str">
        <f t="shared" si="2"/>
        <v>44.8570117421531 </v>
      </c>
      <c r="R105" s="6" t="s">
        <v>477</v>
      </c>
      <c r="S105" s="5" t="str">
        <f t="shared" si="3"/>
        <v>-0.532118545204031</v>
      </c>
    </row>
    <row r="106">
      <c r="A106" s="6" t="s">
        <v>478</v>
      </c>
      <c r="B106" s="7"/>
      <c r="C106" s="4" t="str">
        <f t="shared" si="1"/>
        <v/>
      </c>
      <c r="D106" s="6" t="s">
        <v>43</v>
      </c>
      <c r="E106" s="6" t="s">
        <v>44</v>
      </c>
      <c r="F106" s="6" t="s">
        <v>43</v>
      </c>
      <c r="G106" s="7"/>
      <c r="H106" s="6" t="s">
        <v>479</v>
      </c>
      <c r="I106" s="6">
        <v>33150.0</v>
      </c>
      <c r="J106" s="6">
        <v>33119.0</v>
      </c>
      <c r="K106" s="6" t="s">
        <v>120</v>
      </c>
      <c r="L106" s="7" t="s">
        <v>20</v>
      </c>
      <c r="M106" s="3" t="str">
        <f>IFERROR(__xludf.DUMMYFUNCTION("SPLIT(SUBSTITUTE(L106,"" "",""?"",1),""?"")"),"Gironde")</f>
        <v>Gironde</v>
      </c>
      <c r="N106" s="6" t="str">
        <f>IFERROR(__xludf.DUMMYFUNCTION("""COMPUTED_VALUE"""),"Nouvelle Aquitaine")</f>
        <v>Nouvelle Aquitaine</v>
      </c>
      <c r="O106" s="6"/>
      <c r="P106" s="6" t="s">
        <v>480</v>
      </c>
      <c r="Q106" s="3" t="str">
        <f t="shared" si="2"/>
        <v>44.8621455642501 </v>
      </c>
      <c r="R106" s="6" t="s">
        <v>481</v>
      </c>
      <c r="S106" s="5" t="str">
        <f t="shared" si="3"/>
        <v>-0.52400296271831</v>
      </c>
    </row>
    <row r="107">
      <c r="A107" s="6" t="s">
        <v>482</v>
      </c>
      <c r="B107" s="7"/>
      <c r="C107" s="4" t="str">
        <f t="shared" si="1"/>
        <v/>
      </c>
      <c r="D107" s="6" t="s">
        <v>43</v>
      </c>
      <c r="E107" s="6" t="s">
        <v>44</v>
      </c>
      <c r="F107" s="6" t="s">
        <v>43</v>
      </c>
      <c r="G107" s="7"/>
      <c r="H107" s="6" t="s">
        <v>483</v>
      </c>
      <c r="I107" s="6">
        <v>33310.0</v>
      </c>
      <c r="J107" s="6">
        <v>33249.0</v>
      </c>
      <c r="K107" s="6" t="s">
        <v>46</v>
      </c>
      <c r="L107" s="7" t="s">
        <v>20</v>
      </c>
      <c r="M107" s="3" t="str">
        <f>IFERROR(__xludf.DUMMYFUNCTION("SPLIT(SUBSTITUTE(L107,"" "",""?"",1),""?"")"),"Gironde")</f>
        <v>Gironde</v>
      </c>
      <c r="N107" s="6" t="str">
        <f>IFERROR(__xludf.DUMMYFUNCTION("""COMPUTED_VALUE"""),"Nouvelle Aquitaine")</f>
        <v>Nouvelle Aquitaine</v>
      </c>
      <c r="O107" s="6"/>
      <c r="P107" s="6" t="s">
        <v>484</v>
      </c>
      <c r="Q107" s="3" t="str">
        <f t="shared" si="2"/>
        <v>44.8714835662089 </v>
      </c>
      <c r="R107" s="6" t="s">
        <v>485</v>
      </c>
      <c r="S107" s="5" t="str">
        <f t="shared" si="3"/>
        <v>-0.51433540137424</v>
      </c>
    </row>
    <row r="108">
      <c r="A108" s="6" t="s">
        <v>486</v>
      </c>
      <c r="B108" s="6" t="s">
        <v>487</v>
      </c>
      <c r="C108" s="4" t="str">
        <f t="shared" si="1"/>
        <v>Mairie de Gradignan</v>
      </c>
      <c r="D108" s="6" t="s">
        <v>39</v>
      </c>
      <c r="E108" s="6" t="s">
        <v>16</v>
      </c>
      <c r="F108" s="6" t="s">
        <v>17</v>
      </c>
      <c r="G108" s="7"/>
      <c r="H108" s="6" t="s">
        <v>488</v>
      </c>
      <c r="I108" s="6">
        <v>33170.0</v>
      </c>
      <c r="J108" s="6">
        <v>33192.0</v>
      </c>
      <c r="K108" s="6" t="s">
        <v>146</v>
      </c>
      <c r="L108" s="7" t="s">
        <v>20</v>
      </c>
      <c r="M108" s="3" t="str">
        <f>IFERROR(__xludf.DUMMYFUNCTION("SPLIT(SUBSTITUTE(L108,"" "",""?"",1),""?"")"),"Gironde")</f>
        <v>Gironde</v>
      </c>
      <c r="N108" s="6" t="str">
        <f>IFERROR(__xludf.DUMMYFUNCTION("""COMPUTED_VALUE"""),"Nouvelle Aquitaine")</f>
        <v>Nouvelle Aquitaine</v>
      </c>
      <c r="O108" s="6"/>
      <c r="P108" s="6" t="s">
        <v>489</v>
      </c>
      <c r="Q108" s="3" t="str">
        <f t="shared" si="2"/>
        <v>44.7680067313461 </v>
      </c>
      <c r="R108" s="6" t="s">
        <v>490</v>
      </c>
      <c r="S108" s="5" t="str">
        <f t="shared" si="3"/>
        <v>-0.611460715625453</v>
      </c>
    </row>
    <row r="109">
      <c r="A109" s="6" t="s">
        <v>491</v>
      </c>
      <c r="B109" s="7"/>
      <c r="C109" s="4" t="str">
        <f t="shared" si="1"/>
        <v/>
      </c>
      <c r="D109" s="6" t="s">
        <v>43</v>
      </c>
      <c r="E109" s="6" t="s">
        <v>44</v>
      </c>
      <c r="F109" s="6" t="s">
        <v>43</v>
      </c>
      <c r="G109" s="7"/>
      <c r="H109" s="6" t="s">
        <v>492</v>
      </c>
      <c r="I109" s="6">
        <v>33600.0</v>
      </c>
      <c r="J109" s="6">
        <v>33318.0</v>
      </c>
      <c r="K109" s="6" t="s">
        <v>156</v>
      </c>
      <c r="L109" s="7" t="s">
        <v>20</v>
      </c>
      <c r="M109" s="3" t="str">
        <f>IFERROR(__xludf.DUMMYFUNCTION("SPLIT(SUBSTITUTE(L109,"" "",""?"",1),""?"")"),"Gironde")</f>
        <v>Gironde</v>
      </c>
      <c r="N109" s="6" t="str">
        <f>IFERROR(__xludf.DUMMYFUNCTION("""COMPUTED_VALUE"""),"Nouvelle Aquitaine")</f>
        <v>Nouvelle Aquitaine</v>
      </c>
      <c r="O109" s="6"/>
      <c r="P109" s="6" t="s">
        <v>493</v>
      </c>
      <c r="Q109" s="3" t="str">
        <f t="shared" si="2"/>
        <v>44.8052764816374 </v>
      </c>
      <c r="R109" s="6" t="s">
        <v>494</v>
      </c>
      <c r="S109" s="5" t="str">
        <f t="shared" si="3"/>
        <v>-0.632860320910708</v>
      </c>
    </row>
    <row r="110">
      <c r="A110" s="6" t="s">
        <v>495</v>
      </c>
      <c r="B110" s="7"/>
      <c r="C110" s="4" t="str">
        <f t="shared" si="1"/>
        <v/>
      </c>
      <c r="D110" s="6" t="s">
        <v>70</v>
      </c>
      <c r="E110" s="6" t="s">
        <v>44</v>
      </c>
      <c r="F110" s="6" t="s">
        <v>43</v>
      </c>
      <c r="G110" s="7"/>
      <c r="H110" s="6" t="s">
        <v>496</v>
      </c>
      <c r="I110" s="6">
        <v>33600.0</v>
      </c>
      <c r="J110" s="6">
        <v>33318.0</v>
      </c>
      <c r="K110" s="6" t="s">
        <v>156</v>
      </c>
      <c r="L110" s="7" t="s">
        <v>20</v>
      </c>
      <c r="M110" s="3" t="str">
        <f>IFERROR(__xludf.DUMMYFUNCTION("SPLIT(SUBSTITUTE(L110,"" "",""?"",1),""?"")"),"Gironde")</f>
        <v>Gironde</v>
      </c>
      <c r="N110" s="6" t="str">
        <f>IFERROR(__xludf.DUMMYFUNCTION("""COMPUTED_VALUE"""),"Nouvelle Aquitaine")</f>
        <v>Nouvelle Aquitaine</v>
      </c>
      <c r="O110" s="6"/>
      <c r="P110" s="6" t="s">
        <v>497</v>
      </c>
      <c r="Q110" s="3" t="str">
        <f t="shared" si="2"/>
        <v>44.7911631632469 </v>
      </c>
      <c r="R110" s="6" t="s">
        <v>498</v>
      </c>
      <c r="S110" s="5" t="str">
        <f t="shared" si="3"/>
        <v>-0.628702414403621</v>
      </c>
    </row>
    <row r="111">
      <c r="A111" s="6" t="s">
        <v>499</v>
      </c>
      <c r="B111" s="7"/>
      <c r="C111" s="4" t="str">
        <f t="shared" si="1"/>
        <v/>
      </c>
      <c r="D111" s="6" t="s">
        <v>70</v>
      </c>
      <c r="E111" s="6" t="s">
        <v>44</v>
      </c>
      <c r="F111" s="6" t="s">
        <v>43</v>
      </c>
      <c r="G111" s="7"/>
      <c r="H111" s="6" t="s">
        <v>500</v>
      </c>
      <c r="I111" s="6">
        <v>33400.0</v>
      </c>
      <c r="J111" s="6">
        <v>33522.0</v>
      </c>
      <c r="K111" s="6" t="s">
        <v>162</v>
      </c>
      <c r="L111" s="7" t="s">
        <v>20</v>
      </c>
      <c r="M111" s="3" t="str">
        <f>IFERROR(__xludf.DUMMYFUNCTION("SPLIT(SUBSTITUTE(L111,"" "",""?"",1),""?"")"),"Gironde")</f>
        <v>Gironde</v>
      </c>
      <c r="N111" s="6" t="str">
        <f>IFERROR(__xludf.DUMMYFUNCTION("""COMPUTED_VALUE"""),"Nouvelle Aquitaine")</f>
        <v>Nouvelle Aquitaine</v>
      </c>
      <c r="O111" s="6"/>
      <c r="P111" s="6" t="s">
        <v>501</v>
      </c>
      <c r="Q111" s="3" t="str">
        <f t="shared" si="2"/>
        <v>44.8085123457487 </v>
      </c>
      <c r="R111" s="6" t="s">
        <v>502</v>
      </c>
      <c r="S111" s="5" t="str">
        <f t="shared" si="3"/>
        <v>-0.573962965955822</v>
      </c>
    </row>
    <row r="112">
      <c r="A112" s="6" t="s">
        <v>503</v>
      </c>
      <c r="B112" s="6" t="s">
        <v>160</v>
      </c>
      <c r="C112" s="4" t="str">
        <f t="shared" si="1"/>
        <v>Mairie de Talence</v>
      </c>
      <c r="D112" s="6" t="s">
        <v>39</v>
      </c>
      <c r="E112" s="6" t="s">
        <v>16</v>
      </c>
      <c r="F112" s="6" t="s">
        <v>17</v>
      </c>
      <c r="G112" s="7"/>
      <c r="H112" s="6" t="s">
        <v>504</v>
      </c>
      <c r="I112" s="6">
        <v>33400.0</v>
      </c>
      <c r="J112" s="6">
        <v>33522.0</v>
      </c>
      <c r="K112" s="6" t="s">
        <v>162</v>
      </c>
      <c r="L112" s="7" t="s">
        <v>20</v>
      </c>
      <c r="M112" s="3" t="str">
        <f>IFERROR(__xludf.DUMMYFUNCTION("SPLIT(SUBSTITUTE(L112,"" "",""?"",1),""?"")"),"Gironde")</f>
        <v>Gironde</v>
      </c>
      <c r="N112" s="6" t="str">
        <f>IFERROR(__xludf.DUMMYFUNCTION("""COMPUTED_VALUE"""),"Nouvelle Aquitaine")</f>
        <v>Nouvelle Aquitaine</v>
      </c>
      <c r="O112" s="6"/>
      <c r="P112" s="6" t="s">
        <v>505</v>
      </c>
      <c r="Q112" s="3" t="str">
        <f t="shared" si="2"/>
        <v>44.8073646003272 </v>
      </c>
      <c r="R112" s="6" t="s">
        <v>506</v>
      </c>
      <c r="S112" s="5" t="str">
        <f t="shared" si="3"/>
        <v>-0.590091761879263</v>
      </c>
    </row>
    <row r="113">
      <c r="A113" s="6" t="s">
        <v>507</v>
      </c>
      <c r="B113" s="6" t="s">
        <v>508</v>
      </c>
      <c r="C113" s="4" t="str">
        <f t="shared" si="1"/>
        <v>Mairie de Villenave-d'Ornon</v>
      </c>
      <c r="D113" s="6" t="s">
        <v>39</v>
      </c>
      <c r="E113" s="6" t="s">
        <v>16</v>
      </c>
      <c r="F113" s="6" t="s">
        <v>17</v>
      </c>
      <c r="G113" s="7"/>
      <c r="H113" s="6" t="s">
        <v>509</v>
      </c>
      <c r="I113" s="6">
        <v>33140.0</v>
      </c>
      <c r="J113" s="6">
        <v>33550.0</v>
      </c>
      <c r="K113" s="6" t="s">
        <v>510</v>
      </c>
      <c r="L113" s="7" t="s">
        <v>20</v>
      </c>
      <c r="M113" s="3" t="str">
        <f>IFERROR(__xludf.DUMMYFUNCTION("SPLIT(SUBSTITUTE(L113,"" "",""?"",1),""?"")"),"Gironde")</f>
        <v>Gironde</v>
      </c>
      <c r="N113" s="6" t="str">
        <f>IFERROR(__xludf.DUMMYFUNCTION("""COMPUTED_VALUE"""),"Nouvelle Aquitaine")</f>
        <v>Nouvelle Aquitaine</v>
      </c>
      <c r="O113" s="6"/>
      <c r="P113" s="6" t="s">
        <v>511</v>
      </c>
      <c r="Q113" s="3" t="str">
        <f t="shared" si="2"/>
        <v>44.7647467798463 </v>
      </c>
      <c r="R113" s="6" t="s">
        <v>512</v>
      </c>
      <c r="S113" s="5" t="str">
        <f t="shared" si="3"/>
        <v>-0.584067604517552</v>
      </c>
    </row>
    <row r="114">
      <c r="A114" s="6" t="s">
        <v>513</v>
      </c>
      <c r="B114" s="6" t="s">
        <v>508</v>
      </c>
      <c r="C114" s="4" t="str">
        <f t="shared" si="1"/>
        <v>Mairie de Villenave-d'Ornon</v>
      </c>
      <c r="D114" s="6" t="s">
        <v>39</v>
      </c>
      <c r="E114" s="6" t="s">
        <v>16</v>
      </c>
      <c r="F114" s="6" t="s">
        <v>17</v>
      </c>
      <c r="G114" s="7"/>
      <c r="H114" s="6" t="s">
        <v>514</v>
      </c>
      <c r="I114" s="6">
        <v>33140.0</v>
      </c>
      <c r="J114" s="6">
        <v>33550.0</v>
      </c>
      <c r="K114" s="6" t="s">
        <v>510</v>
      </c>
      <c r="L114" s="7" t="s">
        <v>20</v>
      </c>
      <c r="M114" s="3" t="str">
        <f>IFERROR(__xludf.DUMMYFUNCTION("SPLIT(SUBSTITUTE(L114,"" "",""?"",1),""?"")"),"Gironde")</f>
        <v>Gironde</v>
      </c>
      <c r="N114" s="6" t="str">
        <f>IFERROR(__xludf.DUMMYFUNCTION("""COMPUTED_VALUE"""),"Nouvelle Aquitaine")</f>
        <v>Nouvelle Aquitaine</v>
      </c>
      <c r="O114" s="6"/>
      <c r="P114" s="6" t="s">
        <v>515</v>
      </c>
      <c r="Q114" s="3" t="str">
        <f t="shared" si="2"/>
        <v>44.776760132855 </v>
      </c>
      <c r="R114" s="6" t="s">
        <v>516</v>
      </c>
      <c r="S114" s="5" t="str">
        <f t="shared" si="3"/>
        <v>-0.532773266803185</v>
      </c>
    </row>
    <row r="115">
      <c r="A115" s="6" t="s">
        <v>517</v>
      </c>
      <c r="B115" s="6" t="s">
        <v>508</v>
      </c>
      <c r="C115" s="4" t="str">
        <f t="shared" si="1"/>
        <v>Mairie de Villenave-d'Ornon</v>
      </c>
      <c r="D115" s="6" t="s">
        <v>15</v>
      </c>
      <c r="E115" s="6" t="s">
        <v>16</v>
      </c>
      <c r="F115" s="6" t="s">
        <v>17</v>
      </c>
      <c r="G115" s="7"/>
      <c r="H115" s="6" t="s">
        <v>518</v>
      </c>
      <c r="I115" s="6">
        <v>33140.0</v>
      </c>
      <c r="J115" s="6">
        <v>33550.0</v>
      </c>
      <c r="K115" s="6" t="s">
        <v>510</v>
      </c>
      <c r="L115" s="7" t="s">
        <v>20</v>
      </c>
      <c r="M115" s="3" t="str">
        <f>IFERROR(__xludf.DUMMYFUNCTION("SPLIT(SUBSTITUTE(L115,"" "",""?"",1),""?"")"),"Gironde")</f>
        <v>Gironde</v>
      </c>
      <c r="N115" s="6" t="str">
        <f>IFERROR(__xludf.DUMMYFUNCTION("""COMPUTED_VALUE"""),"Nouvelle Aquitaine")</f>
        <v>Nouvelle Aquitaine</v>
      </c>
      <c r="O115" s="6"/>
      <c r="P115" s="6" t="s">
        <v>519</v>
      </c>
      <c r="Q115" s="3" t="str">
        <f t="shared" si="2"/>
        <v>44.778427104317 </v>
      </c>
      <c r="R115" s="6" t="s">
        <v>520</v>
      </c>
      <c r="S115" s="5" t="str">
        <f t="shared" si="3"/>
        <v>-0.573094593051273</v>
      </c>
    </row>
    <row r="116">
      <c r="A116" s="6" t="s">
        <v>521</v>
      </c>
      <c r="B116" s="6" t="s">
        <v>522</v>
      </c>
      <c r="C116" s="4" t="str">
        <f t="shared" si="1"/>
        <v>Mairie de Blanquefort</v>
      </c>
      <c r="D116" s="6" t="s">
        <v>39</v>
      </c>
      <c r="E116" s="6" t="s">
        <v>16</v>
      </c>
      <c r="F116" s="6" t="s">
        <v>17</v>
      </c>
      <c r="G116" s="7"/>
      <c r="H116" s="6" t="s">
        <v>523</v>
      </c>
      <c r="I116" s="6">
        <v>33290.0</v>
      </c>
      <c r="J116" s="6">
        <v>33056.0</v>
      </c>
      <c r="K116" s="6" t="s">
        <v>524</v>
      </c>
      <c r="L116" s="7" t="s">
        <v>20</v>
      </c>
      <c r="M116" s="3" t="str">
        <f>IFERROR(__xludf.DUMMYFUNCTION("SPLIT(SUBSTITUTE(L116,"" "",""?"",1),""?"")"),"Gironde")</f>
        <v>Gironde</v>
      </c>
      <c r="N116" s="6" t="str">
        <f>IFERROR(__xludf.DUMMYFUNCTION("""COMPUTED_VALUE"""),"Nouvelle Aquitaine")</f>
        <v>Nouvelle Aquitaine</v>
      </c>
      <c r="O116" s="6"/>
      <c r="P116" s="6" t="s">
        <v>525</v>
      </c>
      <c r="Q116" s="3" t="str">
        <f t="shared" si="2"/>
        <v>44.9104983923576 </v>
      </c>
      <c r="R116" s="6" t="s">
        <v>526</v>
      </c>
      <c r="S116" s="5" t="str">
        <f t="shared" si="3"/>
        <v>-0.632884204441594</v>
      </c>
    </row>
    <row r="117">
      <c r="A117" s="6" t="s">
        <v>527</v>
      </c>
      <c r="B117" s="6" t="s">
        <v>528</v>
      </c>
      <c r="C117" s="4" t="str">
        <f t="shared" si="1"/>
        <v>Mairie du Haillan</v>
      </c>
      <c r="D117" s="6" t="s">
        <v>39</v>
      </c>
      <c r="E117" s="6" t="s">
        <v>16</v>
      </c>
      <c r="F117" s="6" t="s">
        <v>17</v>
      </c>
      <c r="G117" s="7"/>
      <c r="H117" s="6" t="s">
        <v>529</v>
      </c>
      <c r="I117" s="6">
        <v>33185.0</v>
      </c>
      <c r="J117" s="6">
        <v>33200.0</v>
      </c>
      <c r="K117" s="6" t="s">
        <v>323</v>
      </c>
      <c r="L117" s="7" t="s">
        <v>20</v>
      </c>
      <c r="M117" s="3" t="str">
        <f>IFERROR(__xludf.DUMMYFUNCTION("SPLIT(SUBSTITUTE(L117,"" "",""?"",1),""?"")"),"Gironde")</f>
        <v>Gironde</v>
      </c>
      <c r="N117" s="6" t="str">
        <f>IFERROR(__xludf.DUMMYFUNCTION("""COMPUTED_VALUE"""),"Nouvelle Aquitaine")</f>
        <v>Nouvelle Aquitaine</v>
      </c>
      <c r="O117" s="6"/>
      <c r="P117" s="6" t="s">
        <v>530</v>
      </c>
      <c r="Q117" s="3" t="str">
        <f t="shared" si="2"/>
        <v>44.8739005905383 </v>
      </c>
      <c r="R117" s="6" t="s">
        <v>531</v>
      </c>
      <c r="S117" s="5" t="str">
        <f t="shared" si="3"/>
        <v>-0.675935112261396</v>
      </c>
    </row>
    <row r="118">
      <c r="A118" s="6" t="s">
        <v>532</v>
      </c>
      <c r="B118" s="7"/>
      <c r="C118" s="4" t="str">
        <f t="shared" si="1"/>
        <v/>
      </c>
      <c r="D118" s="6" t="s">
        <v>15</v>
      </c>
      <c r="E118" s="6" t="s">
        <v>16</v>
      </c>
      <c r="F118" s="6" t="s">
        <v>17</v>
      </c>
      <c r="G118" s="7"/>
      <c r="H118" s="6" t="s">
        <v>533</v>
      </c>
      <c r="I118" s="6">
        <v>33700.0</v>
      </c>
      <c r="J118" s="6">
        <v>33281.0</v>
      </c>
      <c r="K118" s="6" t="s">
        <v>176</v>
      </c>
      <c r="L118" s="7" t="s">
        <v>20</v>
      </c>
      <c r="M118" s="3" t="str">
        <f>IFERROR(__xludf.DUMMYFUNCTION("SPLIT(SUBSTITUTE(L118,"" "",""?"",1),""?"")"),"Gironde")</f>
        <v>Gironde</v>
      </c>
      <c r="N118" s="6" t="str">
        <f>IFERROR(__xludf.DUMMYFUNCTION("""COMPUTED_VALUE"""),"Nouvelle Aquitaine")</f>
        <v>Nouvelle Aquitaine</v>
      </c>
      <c r="O118" s="6"/>
      <c r="P118" s="6" t="s">
        <v>534</v>
      </c>
      <c r="Q118" s="3" t="str">
        <f t="shared" si="2"/>
        <v>44.8461771954759 </v>
      </c>
      <c r="R118" s="6" t="s">
        <v>535</v>
      </c>
      <c r="S118" s="5" t="str">
        <f t="shared" si="3"/>
        <v>-0.656229041984005</v>
      </c>
    </row>
    <row r="119">
      <c r="A119" s="6" t="s">
        <v>536</v>
      </c>
      <c r="B119" s="7"/>
      <c r="C119" s="4" t="str">
        <f t="shared" si="1"/>
        <v/>
      </c>
      <c r="D119" s="6" t="s">
        <v>43</v>
      </c>
      <c r="E119" s="6" t="s">
        <v>44</v>
      </c>
      <c r="F119" s="6" t="s">
        <v>43</v>
      </c>
      <c r="G119" s="7"/>
      <c r="H119" s="6" t="s">
        <v>333</v>
      </c>
      <c r="I119" s="6">
        <v>33700.0</v>
      </c>
      <c r="J119" s="6">
        <v>33281.0</v>
      </c>
      <c r="K119" s="6" t="s">
        <v>176</v>
      </c>
      <c r="L119" s="7" t="s">
        <v>20</v>
      </c>
      <c r="M119" s="3" t="str">
        <f>IFERROR(__xludf.DUMMYFUNCTION("SPLIT(SUBSTITUTE(L119,"" "",""?"",1),""?"")"),"Gironde")</f>
        <v>Gironde</v>
      </c>
      <c r="N119" s="6" t="str">
        <f>IFERROR(__xludf.DUMMYFUNCTION("""COMPUTED_VALUE"""),"Nouvelle Aquitaine")</f>
        <v>Nouvelle Aquitaine</v>
      </c>
      <c r="O119" s="6"/>
      <c r="P119" s="6" t="s">
        <v>334</v>
      </c>
      <c r="Q119" s="3" t="str">
        <f t="shared" si="2"/>
        <v>44.8458005622477 </v>
      </c>
      <c r="R119" s="6" t="s">
        <v>335</v>
      </c>
      <c r="S119" s="5" t="str">
        <f t="shared" si="3"/>
        <v>-0.65471965686926</v>
      </c>
    </row>
    <row r="120">
      <c r="A120" s="6" t="s">
        <v>537</v>
      </c>
      <c r="B120" s="6" t="s">
        <v>538</v>
      </c>
      <c r="C120" s="4" t="str">
        <f t="shared" si="1"/>
        <v>Mairie de Mérignac</v>
      </c>
      <c r="D120" s="6" t="s">
        <v>440</v>
      </c>
      <c r="E120" s="6" t="s">
        <v>16</v>
      </c>
      <c r="F120" s="6" t="s">
        <v>17</v>
      </c>
      <c r="G120" s="7"/>
      <c r="H120" s="6" t="s">
        <v>539</v>
      </c>
      <c r="I120" s="6">
        <v>33700.0</v>
      </c>
      <c r="J120" s="6">
        <v>33281.0</v>
      </c>
      <c r="K120" s="6" t="s">
        <v>176</v>
      </c>
      <c r="L120" s="7" t="s">
        <v>20</v>
      </c>
      <c r="M120" s="3" t="str">
        <f>IFERROR(__xludf.DUMMYFUNCTION("SPLIT(SUBSTITUTE(L120,"" "",""?"",1),""?"")"),"Gironde")</f>
        <v>Gironde</v>
      </c>
      <c r="N120" s="6" t="str">
        <f>IFERROR(__xludf.DUMMYFUNCTION("""COMPUTED_VALUE"""),"Nouvelle Aquitaine")</f>
        <v>Nouvelle Aquitaine</v>
      </c>
      <c r="O120" s="6"/>
      <c r="P120" s="6" t="s">
        <v>540</v>
      </c>
      <c r="Q120" s="3" t="str">
        <f t="shared" si="2"/>
        <v>44.8437159703148 </v>
      </c>
      <c r="R120" s="6" t="s">
        <v>541</v>
      </c>
      <c r="S120" s="5" t="str">
        <f t="shared" si="3"/>
        <v>-0.679598329225639</v>
      </c>
    </row>
    <row r="121">
      <c r="A121" s="6" t="s">
        <v>542</v>
      </c>
      <c r="B121" s="6" t="s">
        <v>538</v>
      </c>
      <c r="C121" s="4" t="str">
        <f t="shared" si="1"/>
        <v>Mairie de Mérignac</v>
      </c>
      <c r="D121" s="6" t="s">
        <v>39</v>
      </c>
      <c r="E121" s="6" t="s">
        <v>16</v>
      </c>
      <c r="F121" s="6" t="s">
        <v>17</v>
      </c>
      <c r="G121" s="7"/>
      <c r="H121" s="6" t="s">
        <v>543</v>
      </c>
      <c r="I121" s="6">
        <v>33700.0</v>
      </c>
      <c r="J121" s="6">
        <v>33281.0</v>
      </c>
      <c r="K121" s="6" t="s">
        <v>176</v>
      </c>
      <c r="L121" s="7" t="s">
        <v>20</v>
      </c>
      <c r="M121" s="3" t="str">
        <f>IFERROR(__xludf.DUMMYFUNCTION("SPLIT(SUBSTITUTE(L121,"" "",""?"",1),""?"")"),"Gironde")</f>
        <v>Gironde</v>
      </c>
      <c r="N121" s="6" t="str">
        <f>IFERROR(__xludf.DUMMYFUNCTION("""COMPUTED_VALUE"""),"Nouvelle Aquitaine")</f>
        <v>Nouvelle Aquitaine</v>
      </c>
      <c r="O121" s="6"/>
      <c r="P121" s="6" t="s">
        <v>544</v>
      </c>
      <c r="Q121" s="3" t="str">
        <f t="shared" si="2"/>
        <v>44.8423693794038 </v>
      </c>
      <c r="R121" s="6" t="s">
        <v>545</v>
      </c>
      <c r="S121" s="5" t="str">
        <f t="shared" si="3"/>
        <v>-0.646640984989363</v>
      </c>
    </row>
    <row r="122">
      <c r="A122" s="6" t="s">
        <v>546</v>
      </c>
      <c r="B122" s="7"/>
      <c r="C122" s="4" t="str">
        <f t="shared" si="1"/>
        <v/>
      </c>
      <c r="D122" s="6" t="s">
        <v>43</v>
      </c>
      <c r="E122" s="6" t="s">
        <v>44</v>
      </c>
      <c r="F122" s="6" t="s">
        <v>43</v>
      </c>
      <c r="G122" s="7"/>
      <c r="H122" s="6" t="s">
        <v>547</v>
      </c>
      <c r="I122" s="6">
        <v>33700.0</v>
      </c>
      <c r="J122" s="6">
        <v>33281.0</v>
      </c>
      <c r="K122" s="6" t="s">
        <v>176</v>
      </c>
      <c r="L122" s="7" t="s">
        <v>20</v>
      </c>
      <c r="M122" s="3" t="str">
        <f>IFERROR(__xludf.DUMMYFUNCTION("SPLIT(SUBSTITUTE(L122,"" "",""?"",1),""?"")"),"Gironde")</f>
        <v>Gironde</v>
      </c>
      <c r="N122" s="6" t="str">
        <f>IFERROR(__xludf.DUMMYFUNCTION("""COMPUTED_VALUE"""),"Nouvelle Aquitaine")</f>
        <v>Nouvelle Aquitaine</v>
      </c>
      <c r="O122" s="6"/>
      <c r="P122" s="6" t="s">
        <v>548</v>
      </c>
      <c r="Q122" s="3" t="str">
        <f t="shared" si="2"/>
        <v>44.8550175341636 </v>
      </c>
      <c r="R122" s="6" t="s">
        <v>549</v>
      </c>
      <c r="S122" s="5" t="str">
        <f t="shared" si="3"/>
        <v>-0.65310983538959</v>
      </c>
    </row>
    <row r="123">
      <c r="A123" s="6" t="s">
        <v>550</v>
      </c>
      <c r="B123" s="6" t="s">
        <v>38</v>
      </c>
      <c r="C123" s="4" t="str">
        <f t="shared" si="1"/>
        <v>Mairie de Bordeaux</v>
      </c>
      <c r="D123" s="6" t="s">
        <v>15</v>
      </c>
      <c r="E123" s="6" t="s">
        <v>16</v>
      </c>
      <c r="F123" s="6" t="s">
        <v>17</v>
      </c>
      <c r="G123" s="7"/>
      <c r="H123" s="6" t="s">
        <v>551</v>
      </c>
      <c r="I123" s="6">
        <v>33000.0</v>
      </c>
      <c r="J123" s="6">
        <v>33063.0</v>
      </c>
      <c r="K123" s="6" t="s">
        <v>34</v>
      </c>
      <c r="L123" s="7" t="s">
        <v>20</v>
      </c>
      <c r="M123" s="3" t="str">
        <f>IFERROR(__xludf.DUMMYFUNCTION("SPLIT(SUBSTITUTE(L123,"" "",""?"",1),""?"")"),"Gironde")</f>
        <v>Gironde</v>
      </c>
      <c r="N123" s="6" t="str">
        <f>IFERROR(__xludf.DUMMYFUNCTION("""COMPUTED_VALUE"""),"Nouvelle Aquitaine")</f>
        <v>Nouvelle Aquitaine</v>
      </c>
      <c r="O123" s="6"/>
      <c r="P123" s="6" t="s">
        <v>552</v>
      </c>
      <c r="Q123" s="3" t="str">
        <f t="shared" si="2"/>
        <v>44.8389866834739 </v>
      </c>
      <c r="R123" s="6" t="s">
        <v>553</v>
      </c>
      <c r="S123" s="5" t="str">
        <f t="shared" si="3"/>
        <v>-0.594572270945236</v>
      </c>
    </row>
    <row r="124">
      <c r="A124" s="6" t="s">
        <v>554</v>
      </c>
      <c r="B124" s="7"/>
      <c r="C124" s="4" t="str">
        <f t="shared" si="1"/>
        <v/>
      </c>
      <c r="D124" s="6" t="s">
        <v>43</v>
      </c>
      <c r="E124" s="6" t="s">
        <v>44</v>
      </c>
      <c r="F124" s="6" t="s">
        <v>43</v>
      </c>
      <c r="G124" s="6">
        <v>7.82E13</v>
      </c>
      <c r="H124" s="6" t="s">
        <v>555</v>
      </c>
      <c r="I124" s="6">
        <v>33200.0</v>
      </c>
      <c r="J124" s="6">
        <v>33063.0</v>
      </c>
      <c r="K124" s="6" t="s">
        <v>34</v>
      </c>
      <c r="L124" s="7" t="s">
        <v>20</v>
      </c>
      <c r="M124" s="3" t="str">
        <f>IFERROR(__xludf.DUMMYFUNCTION("SPLIT(SUBSTITUTE(L124,"" "",""?"",1),""?"")"),"Gironde")</f>
        <v>Gironde</v>
      </c>
      <c r="N124" s="6" t="str">
        <f>IFERROR(__xludf.DUMMYFUNCTION("""COMPUTED_VALUE"""),"Nouvelle Aquitaine")</f>
        <v>Nouvelle Aquitaine</v>
      </c>
      <c r="O124" s="6"/>
      <c r="P124" s="6" t="s">
        <v>556</v>
      </c>
      <c r="Q124" s="3" t="str">
        <f t="shared" si="2"/>
        <v>44.8541855653373 </v>
      </c>
      <c r="R124" s="6" t="s">
        <v>557</v>
      </c>
      <c r="S124" s="5" t="str">
        <f t="shared" si="3"/>
        <v>-0.629699824219564</v>
      </c>
    </row>
    <row r="125">
      <c r="A125" s="6" t="s">
        <v>558</v>
      </c>
      <c r="B125" s="6" t="s">
        <v>487</v>
      </c>
      <c r="C125" s="4" t="str">
        <f t="shared" si="1"/>
        <v>Mairie de Gradignan</v>
      </c>
      <c r="D125" s="6" t="s">
        <v>15</v>
      </c>
      <c r="E125" s="6" t="s">
        <v>16</v>
      </c>
      <c r="F125" s="6" t="s">
        <v>17</v>
      </c>
      <c r="G125" s="7"/>
      <c r="H125" s="6" t="s">
        <v>559</v>
      </c>
      <c r="I125" s="6">
        <v>33170.0</v>
      </c>
      <c r="J125" s="6">
        <v>33192.0</v>
      </c>
      <c r="K125" s="6" t="s">
        <v>146</v>
      </c>
      <c r="L125" s="7" t="s">
        <v>20</v>
      </c>
      <c r="M125" s="3" t="str">
        <f>IFERROR(__xludf.DUMMYFUNCTION("SPLIT(SUBSTITUTE(L125,"" "",""?"",1),""?"")"),"Gironde")</f>
        <v>Gironde</v>
      </c>
      <c r="N125" s="6" t="str">
        <f>IFERROR(__xludf.DUMMYFUNCTION("""COMPUTED_VALUE"""),"Nouvelle Aquitaine")</f>
        <v>Nouvelle Aquitaine</v>
      </c>
      <c r="O125" s="6"/>
      <c r="P125" s="6" t="s">
        <v>560</v>
      </c>
      <c r="Q125" s="3" t="str">
        <f t="shared" si="2"/>
        <v>44.7708750360885 </v>
      </c>
      <c r="R125" s="6" t="s">
        <v>561</v>
      </c>
      <c r="S125" s="5" t="str">
        <f t="shared" si="3"/>
        <v>-0.600367778910753</v>
      </c>
    </row>
    <row r="126">
      <c r="A126" s="6" t="s">
        <v>562</v>
      </c>
      <c r="B126" s="6" t="s">
        <v>48</v>
      </c>
      <c r="C126" s="4" t="str">
        <f t="shared" si="1"/>
        <v>Mairie d'Eysines</v>
      </c>
      <c r="D126" s="6" t="s">
        <v>15</v>
      </c>
      <c r="E126" s="6" t="s">
        <v>16</v>
      </c>
      <c r="F126" s="6" t="s">
        <v>17</v>
      </c>
      <c r="G126" s="7"/>
      <c r="H126" s="6" t="s">
        <v>563</v>
      </c>
      <c r="I126" s="6">
        <v>33320.0</v>
      </c>
      <c r="J126" s="6">
        <v>33162.0</v>
      </c>
      <c r="K126" s="6" t="s">
        <v>50</v>
      </c>
      <c r="L126" s="7" t="s">
        <v>20</v>
      </c>
      <c r="M126" s="3" t="str">
        <f>IFERROR(__xludf.DUMMYFUNCTION("SPLIT(SUBSTITUTE(L126,"" "",""?"",1),""?"")"),"Gironde")</f>
        <v>Gironde</v>
      </c>
      <c r="N126" s="6" t="str">
        <f>IFERROR(__xludf.DUMMYFUNCTION("""COMPUTED_VALUE"""),"Nouvelle Aquitaine")</f>
        <v>Nouvelle Aquitaine</v>
      </c>
      <c r="O126" s="6"/>
      <c r="P126" s="6" t="s">
        <v>564</v>
      </c>
      <c r="Q126" s="3" t="str">
        <f t="shared" si="2"/>
        <v>44.8798847142447 </v>
      </c>
      <c r="R126" s="6" t="s">
        <v>565</v>
      </c>
      <c r="S126" s="5" t="str">
        <f t="shared" si="3"/>
        <v>-0.636249034327296</v>
      </c>
    </row>
    <row r="127">
      <c r="A127" s="7"/>
      <c r="B127" s="7"/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8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
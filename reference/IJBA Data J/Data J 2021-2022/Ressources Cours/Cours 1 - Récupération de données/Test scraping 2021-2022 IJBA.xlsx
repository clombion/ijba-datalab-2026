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dric" sheetId="1" r:id="rId4"/>
    <sheet state="visible" name="Aude" sheetId="2" r:id="rId5"/>
    <sheet state="visible" name="Ysé" sheetId="3" r:id="rId6"/>
    <sheet state="visible" name="Romane" sheetId="4" r:id="rId7"/>
    <sheet state="visible" name="Flo" sheetId="5" r:id="rId8"/>
    <sheet state="visible" name="Maud" sheetId="6" r:id="rId9"/>
    <sheet state="visible" name="Noëlle" sheetId="7" r:id="rId10"/>
    <sheet state="visible" name="Ana" sheetId="8" r:id="rId11"/>
    <sheet state="visible" name="Ségo" sheetId="9" r:id="rId12"/>
    <sheet state="visible" name="Feuille 32" sheetId="10" r:id="rId13"/>
    <sheet state="visible" name="Salomé" sheetId="11" r:id="rId14"/>
    <sheet state="visible" name="Feuille 33" sheetId="12" r:id="rId15"/>
    <sheet state="visible" name="Shan" sheetId="13" r:id="rId16"/>
    <sheet state="visible" name="Marthe" sheetId="14" r:id="rId17"/>
    <sheet state="visible" name="Paul" sheetId="15" r:id="rId18"/>
    <sheet state="visible" name="Arnaud" sheetId="16" r:id="rId19"/>
    <sheet state="visible" name="Bastien" sheetId="17" r:id="rId20"/>
    <sheet state="visible" name="Julien " sheetId="18" r:id="rId21"/>
    <sheet state="visible" name="Louis" sheetId="19" r:id="rId22"/>
    <sheet state="visible" name="Vivien" sheetId="20" r:id="rId23"/>
    <sheet state="visible" name="Thomas" sheetId="21" r:id="rId24"/>
    <sheet state="visible" name="Tableau croisé dynamique 2" sheetId="22" r:id="rId25"/>
    <sheet state="visible" name="Candice" sheetId="23" r:id="rId26"/>
    <sheet state="visible" name="Siham" sheetId="24" r:id="rId27"/>
    <sheet state="visible" name="Sarah" sheetId="25" r:id="rId28"/>
    <sheet state="visible" name="Lucas" sheetId="26" r:id="rId29"/>
    <sheet state="visible" name="Roman" sheetId="27" r:id="rId30"/>
    <sheet state="visible" name="cha" sheetId="28" r:id="rId31"/>
    <sheet state="visible" name="Fanny" sheetId="29" r:id="rId32"/>
    <sheet state="visible" name="Pierre" sheetId="30" r:id="rId33"/>
    <sheet state="visible" name="Samuel" sheetId="31" r:id="rId34"/>
    <sheet state="visible" name="Margaux" sheetId="32" r:id="rId35"/>
    <sheet state="visible" name="Hugo" sheetId="33" r:id="rId36"/>
  </sheets>
  <definedNames/>
  <calcPr/>
  <pivotCaches>
    <pivotCache cacheId="0" r:id="rId37"/>
  </pivotCaches>
</workbook>
</file>

<file path=xl/sharedStrings.xml><?xml version="1.0" encoding="utf-8"?>
<sst xmlns="http://schemas.openxmlformats.org/spreadsheetml/2006/main" count="15187" uniqueCount="4200">
  <si>
    <t>Collectivité</t>
  </si>
  <si>
    <t>Nature de l'acte</t>
  </si>
  <si>
    <t>Numéro de l'acte</t>
  </si>
  <si>
    <t>Intitulé de l'acte</t>
  </si>
  <si>
    <t>Date d'affichage</t>
  </si>
  <si>
    <t>Trigramme</t>
  </si>
  <si>
    <t>url_acces_fichier</t>
  </si>
  <si>
    <t>Visualiser l'acte</t>
  </si>
  <si>
    <t>Bordeaux Métrople</t>
  </si>
  <si>
    <t>Arrêté</t>
  </si>
  <si>
    <t>2020-BM0642</t>
  </si>
  <si>
    <t>circulation - modification de l’alignement de bordures et de coulage d’un séparateur double en béton adhérent sur le boulevard des Frères Moga</t>
  </si>
  <si>
    <t>MET</t>
  </si>
  <si>
    <t>https://cdn.scnbdx.fr/web-afresco/BOGAMET/MET_ARR_2020-BM0642.pdf</t>
  </si>
  <si>
    <t>2020-BM0615</t>
  </si>
  <si>
    <t>circulation - Circulation en relation avec les travaux de remplacement de chevalet sur la ligne aérienne 400 kV BRAUD-LE MARQUIS 1 – Ambès</t>
  </si>
  <si>
    <t>https://cdn.scnbdx.fr/web-afresco/BOGAMET/MET_ARR_2020-BM0615.pdf</t>
  </si>
  <si>
    <t>2020-BM0528</t>
  </si>
  <si>
    <t>Transaction attribuant une indemnité suite à un préjudice commercial - Le Bistrot Du Marche</t>
  </si>
  <si>
    <t>https://cdn.scnbdx.fr/web-afresco/BOGAMET/MET_ARR_2020-BM0528.pdf</t>
  </si>
  <si>
    <t>2020-BM0636</t>
  </si>
  <si>
    <t>Délégation de signature - Délégation de signature relative aux arrêtés d'autorisation d'exécution de travaux sur la voirie routière</t>
  </si>
  <si>
    <t>https://cdn.scnbdx.fr/web-afresco/BOGAMET/MET_ARR_2020-BM0636.pdf</t>
  </si>
  <si>
    <t>2020-BM0637</t>
  </si>
  <si>
    <t>Délégation de signature - Délégation de signature pour les bons de commande et les ordres de service relatifs à l'exécution des contrats de la commande publique passés par Bordeaux Métropole</t>
  </si>
  <si>
    <t>https://cdn.scnbdx.fr/web-afresco/BOGAMET/MET_ARR_2020-BM0637.pdf</t>
  </si>
  <si>
    <t>2020-BM0638</t>
  </si>
  <si>
    <t>Délégation de signature - Laurence CHAPPERT</t>
  </si>
  <si>
    <t>https://cdn.scnbdx.fr/web-afresco/BOGAMET/MET_ARR_2020-BM0638.pdf</t>
  </si>
  <si>
    <t>2020-BM0539</t>
  </si>
  <si>
    <t>Exercice des attributions du Conseil Métropolitain - Décision du Président  - Attribution d’une subvention à la Chambre de Commerce et d’Industrie de Bordeaux Gironde (CCIBG) -   Achat de « Kits reprise d’activité C.H.R »</t>
  </si>
  <si>
    <t>https://cdn.scnbdx.fr/web-afresco/BOGAMET/MET_ARR_2020-BM0539.pdf</t>
  </si>
  <si>
    <t>2020-BM0653</t>
  </si>
  <si>
    <t>circulation - Travaux d’entretien de voirie courant sur le Boulevard des Frères Moga</t>
  </si>
  <si>
    <t>https://cdn.scnbdx.fr/web-afresco/BOGAMET/MET_ARR_2020-BM0653.pdf</t>
  </si>
  <si>
    <t>2020-BM0617</t>
  </si>
  <si>
    <t>Autorisation de déversement des eaux usées - SNC VILLA ETCHENIQUE</t>
  </si>
  <si>
    <t>https://cdn.scnbdx.fr/web-afresco/BOGAMET/MET_ARR_2020-BM0617.pdf</t>
  </si>
  <si>
    <t>2020-BM0679</t>
  </si>
  <si>
    <t>circulation  - Travaux de prélèvements de parties métalliques sur la BAU par réalisation de quatre urges pour analyse dans le cadre du passage du futur tramway sur la partie du pont des Jalles dans le sens Lacanau/Le Taillan-Médoc de la route de Lacanau – RD1215</t>
  </si>
  <si>
    <t>https://cdn.scnbdx.fr/web-afresco/BOGAMET/MET_ARR_2020-BM0679.pdf</t>
  </si>
  <si>
    <t>2020-BM0613</t>
  </si>
  <si>
    <t>Exercice des attributions du Conseil Métropolitain - Décision du Président  - Règlement d’attribution d’une subvention pour l’achat d’un vélo à assistance électrique, d’un vélo pliant, d’un vélo-cargo, d’un tricycle pour adultes, ou d’un dispositif d’électrification de vélos standards</t>
  </si>
  <si>
    <t>https://cdn.scnbdx.fr/web-afresco/BOGAMET/MET_ARR_2020-BM0613.pdf</t>
  </si>
  <si>
    <t>2020-BM0688</t>
  </si>
  <si>
    <t>circulation - règlementation de la circulation sur la route de Courmateau</t>
  </si>
  <si>
    <t>https://cdn.scnbdx.fr/web-afresco/BOGAMET/MET_ARR_2020-BM0688.pdf</t>
  </si>
  <si>
    <t>2020-BM0832</t>
  </si>
  <si>
    <t>Délégation de signature - Madame Emmanuelle AJON</t>
  </si>
  <si>
    <t>https://cdn.scnbdx.fr/web-afresco/BOGAMET/MET_ARR_2020-BM0832.pdf</t>
  </si>
  <si>
    <t>2020-BM0836</t>
  </si>
  <si>
    <t>Délégation de signature - Madame Christine BOST</t>
  </si>
  <si>
    <t>https://cdn.scnbdx.fr/web-afresco/BOGAMET/MET_ARR_2020-BM0836.pdf</t>
  </si>
  <si>
    <t>2020-BM0837</t>
  </si>
  <si>
    <t>Délégation de signature - Madame Sylvie CASSOU-SCHOTTE</t>
  </si>
  <si>
    <t>https://cdn.scnbdx.fr/web-afresco/BOGAMET/MET_ARR_2020-BM0837.pdf</t>
  </si>
  <si>
    <t>2020-BM0838</t>
  </si>
  <si>
    <t>Délégation de signature - Madame Béatrice DE FRANCOIS</t>
  </si>
  <si>
    <t>https://cdn.scnbdx.fr/web-afresco/BOGAMET/MET_ARR_2020-BM0838.pdf</t>
  </si>
  <si>
    <t>2020-BM0839</t>
  </si>
  <si>
    <t>Délégation de signature - Monsieur Stéphane DELPEYRAT</t>
  </si>
  <si>
    <t>https://cdn.scnbdx.fr/web-afresco/BOGAMET/MET_ARR_2020-BM0839.pdf</t>
  </si>
  <si>
    <t>2020-BM0840</t>
  </si>
  <si>
    <t>Délégation de signature - Monsieur Jean-François EGRON</t>
  </si>
  <si>
    <t>https://cdn.scnbdx.fr/web-afresco/BOGAMET/MET_ARR_2020-BM0840.pdf</t>
  </si>
  <si>
    <t>2020-BM0842</t>
  </si>
  <si>
    <t>Délégation de signature - Monsieur Alain GARNIER</t>
  </si>
  <si>
    <t>https://cdn.scnbdx.fr/web-afresco/BOGAMET/MET_ARR_2020-BM0842.pdf</t>
  </si>
  <si>
    <t>2020-BM0843</t>
  </si>
  <si>
    <t>Délégation de signature - Monsieur Maxime GHESQUIERE</t>
  </si>
  <si>
    <t>https://cdn.scnbdx.fr/web-afresco/BOGAMET/MET_ARR_2020-BM0843.pdf</t>
  </si>
  <si>
    <t>2020-BM0844</t>
  </si>
  <si>
    <t>Délégation de signature - Monsieur Nordine GUENDEZ</t>
  </si>
  <si>
    <t>https://cdn.scnbdx.fr/web-afresco/BOGAMET/MET_ARR_2020-BM0844.pdf</t>
  </si>
  <si>
    <t>2020-BM0845</t>
  </si>
  <si>
    <t>Délégation de signature - Monsieur Pierre HURMIC</t>
  </si>
  <si>
    <t>https://cdn.scnbdx.fr/web-afresco/BOGAMET/MET_ARR_2020-BM0845.pdf</t>
  </si>
  <si>
    <t>2020-BM0846</t>
  </si>
  <si>
    <t>Délégation de signature - Madame Delphine JAMET</t>
  </si>
  <si>
    <t>https://cdn.scnbdx.fr/web-afresco/BOGAMET/MET_ARR_2020-BM0846.pdf</t>
  </si>
  <si>
    <t>2020-BM0847</t>
  </si>
  <si>
    <t>Délégation de signature - Madame Andréa KISS</t>
  </si>
  <si>
    <t>https://cdn.scnbdx.fr/web-afresco/BOGAMET/MET_ARR_2020-BM0847.pdf</t>
  </si>
  <si>
    <t>2020-BM0853</t>
  </si>
  <si>
    <t>Délégation de signature - Monsieur Jean-Jacques PUYOBRAU</t>
  </si>
  <si>
    <t>https://cdn.scnbdx.fr/web-afresco/BOGAMET/MET_ARR_2020-BM0853.pdf</t>
  </si>
  <si>
    <t>2020-BM0859</t>
  </si>
  <si>
    <t>Délégation de signature - Madame Josiane ZAMBON</t>
  </si>
  <si>
    <t>https://cdn.scnbdx.fr/web-afresco/BOGAMET/MET_ARR_2020-BM0859.pdf</t>
  </si>
  <si>
    <t>2020-BM0865</t>
  </si>
  <si>
    <t>circulation - travaux d'entretien d'un hydrant</t>
  </si>
  <si>
    <t>https://cdn.scnbdx.fr/web-afresco/BOGAMET/MET_ARR_2020-BM0865.pdf</t>
  </si>
  <si>
    <t>2020-BM0866</t>
  </si>
  <si>
    <t>Délégation de signature - intérim durant absence du Président Anziani du 25/7 au 30/8</t>
  </si>
  <si>
    <t>https://cdn.scnbdx.fr/web-afresco/BOGAMET/MET_ARR_2020-BM0866.pdf</t>
  </si>
  <si>
    <t>2020-BM0697</t>
  </si>
  <si>
    <t>circulation - Travaux de pontage de fissures sur l’avenue du Temple, à partir de l’avenue du Lignan jusqu’à la limite de Bordeaux Métropole</t>
  </si>
  <si>
    <t>https://cdn.scnbdx.fr/web-afresco/BOGAMET/MET_ARR_2020-BM0697.pdf</t>
  </si>
  <si>
    <t>2020-BM0714</t>
  </si>
  <si>
    <t>Délégation de signature - Madame Luce GALLIEN (IGS pi)</t>
  </si>
  <si>
    <t>https://cdn.scnbdx.fr/web-afresco/BOGAMET/MET_ARR_2020-BM0714.pdf</t>
  </si>
  <si>
    <t>2020-BM0718</t>
  </si>
  <si>
    <t>Délégation de signature - Madame Catherine SAINT-JOURS</t>
  </si>
  <si>
    <t>https://cdn.scnbdx.fr/web-afresco/BOGAMET/MET_ARR_2020-BM0718.pdf</t>
  </si>
  <si>
    <t>2020-BM0722</t>
  </si>
  <si>
    <t>Délégation de signature - Madame Carine VIGNA LOBIA</t>
  </si>
  <si>
    <t>https://cdn.scnbdx.fr/web-afresco/BOGAMET/MET_ARR_2020-BM0722.pdf</t>
  </si>
  <si>
    <t>2020-BM0771</t>
  </si>
  <si>
    <t>Délégation de signature - Madame Pascale AVARGUES</t>
  </si>
  <si>
    <t>https://cdn.scnbdx.fr/web-afresco/BOGAMET/MET_ARR_2020-BM0771.pdf</t>
  </si>
  <si>
    <t>2020-BM0780</t>
  </si>
  <si>
    <t>Délégation de signature - Madame Isabelle FUCHS</t>
  </si>
  <si>
    <t>https://cdn.scnbdx.fr/web-afresco/BOGAMET/MET_ARR_2020-BM0780.pdf</t>
  </si>
  <si>
    <t>2020-BM0784</t>
  </si>
  <si>
    <t>Délégation de signature - Monsieur Philippe DEL SOCORRO</t>
  </si>
  <si>
    <t>https://cdn.scnbdx.fr/web-afresco/BOGAMET/MET_ARR_2020-BM0784.pdf</t>
  </si>
  <si>
    <t>2020-BM0789</t>
  </si>
  <si>
    <t>Délégation de signature - Madame Virginie BACHE-GABRIELSEN</t>
  </si>
  <si>
    <t>https://cdn.scnbdx.fr/web-afresco/BOGAMET/MET_ARR_2020-BM0789.pdf</t>
  </si>
  <si>
    <t>2020-BM0790</t>
  </si>
  <si>
    <t>Délégation de signature - Madame Caroline BALULA</t>
  </si>
  <si>
    <t>https://cdn.scnbdx.fr/web-afresco/BOGAMET/MET_ARR_2020-BM0790.pdf</t>
  </si>
  <si>
    <t>2020-BM0792</t>
  </si>
  <si>
    <t>Délégation de signature - Madame Nathalie JOBERT-GUALDE</t>
  </si>
  <si>
    <t>https://cdn.scnbdx.fr/web-afresco/BOGAMET/MET_ARR_2020-BM0792.pdf</t>
  </si>
  <si>
    <t>2020-BM0794</t>
  </si>
  <si>
    <t>Délégation de signature - Monsieur Sébastien LESPINASSE</t>
  </si>
  <si>
    <t>https://cdn.scnbdx.fr/web-afresco/BOGAMET/MET_ARR_2020-BM0794.pdf</t>
  </si>
  <si>
    <t>2020-BM0797</t>
  </si>
  <si>
    <t>Délégation de signature - Monsieur Frédéric MARQUET</t>
  </si>
  <si>
    <t>https://cdn.scnbdx.fr/web-afresco/BOGAMET/MET_ARR_2020-BM0797.pdf</t>
  </si>
  <si>
    <t>2020-BM0805</t>
  </si>
  <si>
    <t>Délégation de signature - Monsieur François FREYNET</t>
  </si>
  <si>
    <t>https://cdn.scnbdx.fr/web-afresco/BOGAMET/MET_ARR_2020-BM0805.pdf</t>
  </si>
  <si>
    <t>2020-BM0806</t>
  </si>
  <si>
    <t>Délégation de signature - Madame Catherine BENEVENT</t>
  </si>
  <si>
    <t>https://cdn.scnbdx.fr/web-afresco/BOGAMET/MET_ARR_2020-BM0806.pdf</t>
  </si>
  <si>
    <t>2020-BM0808</t>
  </si>
  <si>
    <t>Délégation de signature - Monsieur Stéphane PEYRICHOU</t>
  </si>
  <si>
    <t>https://cdn.scnbdx.fr/web-afresco/BOGAMET/MET_ARR_2020-BM0808.pdf</t>
  </si>
  <si>
    <t>2020-BM0810</t>
  </si>
  <si>
    <t>Délégation de signature - Madame Stéphanie JUDE</t>
  </si>
  <si>
    <t>https://cdn.scnbdx.fr/web-afresco/BOGAMET/MET_ARR_2020-BM0810.pdf</t>
  </si>
  <si>
    <t>2020-BM0811</t>
  </si>
  <si>
    <t>Délégation de signature - Monsieur Jérôme LIMOUZIN</t>
  </si>
  <si>
    <t>https://cdn.scnbdx.fr/web-afresco/BOGAMET/MET_ARR_2020-BM0811.pdf</t>
  </si>
  <si>
    <t>2020-BM0725</t>
  </si>
  <si>
    <t>Délégation de signature - Madame Karine MABILLON</t>
  </si>
  <si>
    <t>https://cdn.scnbdx.fr/web-afresco/BOGAMET/MET_ARR_2020-BM0725.pdf</t>
  </si>
  <si>
    <t>2020-BM0727</t>
  </si>
  <si>
    <t>Délégation de signature - Monsieur Fabrice LIMARE</t>
  </si>
  <si>
    <t>https://cdn.scnbdx.fr/web-afresco/BOGAMET/MET_ARR_2020-BM0727.pdf</t>
  </si>
  <si>
    <t>2020-BM0729</t>
  </si>
  <si>
    <t>Délégation de signature - Monsieur Arnaud DUROUCHOUX</t>
  </si>
  <si>
    <t>https://cdn.scnbdx.fr/web-afresco/BOGAMET/MET_ARR_2020-BM0729.pdf</t>
  </si>
  <si>
    <t>2020-BM0731</t>
  </si>
  <si>
    <t>Délégation de signature - Madame Laurence CHAPPERT</t>
  </si>
  <si>
    <t>https://cdn.scnbdx.fr/web-afresco/BOGAMET/MET_ARR_2020-BM0731.pdf</t>
  </si>
  <si>
    <t>2020-BM0733</t>
  </si>
  <si>
    <t>Délégation de signature - Monsieur Cédric GHESQUIERES</t>
  </si>
  <si>
    <t>https://cdn.scnbdx.fr/web-afresco/BOGAMET/MET_ARR_2020-BM0733.pdf</t>
  </si>
  <si>
    <t>2020-BM0735</t>
  </si>
  <si>
    <t>Délégation de signature - Monsieur Patrick FAUCHER</t>
  </si>
  <si>
    <t>https://cdn.scnbdx.fr/web-afresco/BOGAMET/MET_ARR_2020-BM0735.pdf</t>
  </si>
  <si>
    <t>2020-BM0736</t>
  </si>
  <si>
    <t>Délégation de signature - Monsieur Nicolas GENDREAU</t>
  </si>
  <si>
    <t>https://cdn.scnbdx.fr/web-afresco/BOGAMET/MET_ARR_2020-BM0736.pdf</t>
  </si>
  <si>
    <t>2020-BM0737</t>
  </si>
  <si>
    <t>Délégation de signature - Monsieur Bertrand BOUCHAUDY</t>
  </si>
  <si>
    <t>https://cdn.scnbdx.fr/web-afresco/BOGAMET/MET_ARR_2020-BM0737.pdf</t>
  </si>
  <si>
    <t>2020-BM0741</t>
  </si>
  <si>
    <t>Délégation de signature - Madame Sonia PAUVIF</t>
  </si>
  <si>
    <t>https://cdn.scnbdx.fr/web-afresco/BOGAMET/MET_ARR_2020-BM0741.pdf</t>
  </si>
  <si>
    <t>2020-BM0746</t>
  </si>
  <si>
    <t>Délégation de signature - Monsieur Yves MIAUD</t>
  </si>
  <si>
    <t>https://cdn.scnbdx.fr/web-afresco/BOGAMET/MET_ARR_2020-BM0746.pdf</t>
  </si>
  <si>
    <t>2020-BM0749</t>
  </si>
  <si>
    <t>Délégation de signature - Monsieur Olivier MAURET</t>
  </si>
  <si>
    <t>https://cdn.scnbdx.fr/web-afresco/BOGAMET/MET_ARR_2020-BM0749.pdf</t>
  </si>
  <si>
    <t>2020-BM0756</t>
  </si>
  <si>
    <t>Délégation de signature - Madame Catherine DELALOY</t>
  </si>
  <si>
    <t>https://cdn.scnbdx.fr/web-afresco/BOGAMET/MET_ARR_2020-BM0756.pdf</t>
  </si>
  <si>
    <t>2020-BM0758</t>
  </si>
  <si>
    <t>Délégation de signature - Monsieur Julien BIRGI</t>
  </si>
  <si>
    <t>https://cdn.scnbdx.fr/web-afresco/BOGAMET/MET_ARR_2020-BM0758.pdf</t>
  </si>
  <si>
    <t>2020-BM0619</t>
  </si>
  <si>
    <t>Autorisation de déversement des eaux usées - VINCI IMMOBILIER RESIDENTIEL</t>
  </si>
  <si>
    <t>https://cdn.scnbdx.fr/web-afresco/BOGAMET/MET_ARR_2020-BM0619.pdf</t>
  </si>
  <si>
    <t>2020-BM0621</t>
  </si>
  <si>
    <t>Autorisation de déversement des eaux usées - société HARRIBEY</t>
  </si>
  <si>
    <t>https://cdn.scnbdx.fr/web-afresco/BOGAMET/MET_ARR_2020-BM0621.pdf</t>
  </si>
  <si>
    <t>2020-BM0682</t>
  </si>
  <si>
    <t>Autorisation de déversement des eaux usées - SCCV Pessac-Cœur de Bersol</t>
  </si>
  <si>
    <t>https://cdn.scnbdx.fr/web-afresco/BOGAMET/MET_ARR_2020-BM0682.pdf</t>
  </si>
  <si>
    <t>2020-BM0683</t>
  </si>
  <si>
    <t>Autorisation de déversement des eaux usées - 51 quai Lawton - Mama Works</t>
  </si>
  <si>
    <t>https://cdn.scnbdx.fr/web-afresco/BOGAMET/MET_ARR_2020-BM0683.pdf</t>
  </si>
  <si>
    <t>2020-BM0709</t>
  </si>
  <si>
    <t>Transaction attribuant une indemnité suite à un préjudice commercial - Saveurs sucrées</t>
  </si>
  <si>
    <t>https://cdn.scnbdx.fr/web-afresco/BOGAMET/MET_ARR_2020-BM0709.pdf</t>
  </si>
  <si>
    <t>2020-BM0901</t>
  </si>
  <si>
    <t>Délégation de signature - Thibault RUFAS</t>
  </si>
  <si>
    <t>https://cdn.scnbdx.fr/web-afresco/BOGAMET/MET_ARR_2020-BM0901.pdf</t>
  </si>
  <si>
    <t>2020-BM0908</t>
  </si>
  <si>
    <t>Délégation de signature - Fabien Ballester</t>
  </si>
  <si>
    <t>https://cdn.scnbdx.fr/web-afresco/BOGAMET/MET_ARR_2020-BM0908.pdf</t>
  </si>
  <si>
    <t>2020-BM0812</t>
  </si>
  <si>
    <t>Délégation de signature - Monsiuer Quentin BRAURE DE CALIGNON</t>
  </si>
  <si>
    <t>https://cdn.scnbdx.fr/web-afresco/BOGAMET/MET_ARR_2020-BM0812.pdf</t>
  </si>
  <si>
    <t>2020-BM0814</t>
  </si>
  <si>
    <t>Délégation de signature - Monsieur Thibaut RUFAS</t>
  </si>
  <si>
    <t>https://cdn.scnbdx.fr/web-afresco/BOGAMET/MET_ARR_2020-BM0814.pdf</t>
  </si>
  <si>
    <t>2020-BM0815</t>
  </si>
  <si>
    <t>Délégation de signature - Madame Isabelle THOMAS</t>
  </si>
  <si>
    <t>https://cdn.scnbdx.fr/web-afresco/BOGAMET/MET_ARR_2020-BM0815.pdf</t>
  </si>
  <si>
    <t>2020-BM0820</t>
  </si>
  <si>
    <t>Délégation de signature - Madame Nathalie PLENARD</t>
  </si>
  <si>
    <t>https://cdn.scnbdx.fr/web-afresco/BOGAMET/MET_ARR_2020-BM0820.pdf</t>
  </si>
  <si>
    <t>2020-BM0827</t>
  </si>
  <si>
    <t>Délégation de signature - Bons de commande et Ordres de services</t>
  </si>
  <si>
    <t>https://cdn.scnbdx.fr/web-afresco/BOGAMET/MET_ARR_2020-BM0827.pdf</t>
  </si>
  <si>
    <t>2020-BM0828</t>
  </si>
  <si>
    <t>Délégation de signature - Documents d'identification  et de suivi des déchets dangereux</t>
  </si>
  <si>
    <t>https://cdn.scnbdx.fr/web-afresco/BOGAMET/MET_ARR_2020-BM0828.pdf</t>
  </si>
  <si>
    <t>2020-BM0829</t>
  </si>
  <si>
    <t>Délégation de signature - Autorisation d'exécution de travaux sur la voirie routière</t>
  </si>
  <si>
    <t>https://cdn.scnbdx.fr/web-afresco/BOGAMET/MET_ARR_2020-BM0829.pdf</t>
  </si>
  <si>
    <t>2020-BM0830</t>
  </si>
  <si>
    <t>Délégation de signature - Avis en matière d'urbanisme et aux arrêtés d'alignement</t>
  </si>
  <si>
    <t>https://cdn.scnbdx.fr/web-afresco/BOGAMET/MET_ARR_2020-BM0830.pdf</t>
  </si>
  <si>
    <t>2020-BM0831</t>
  </si>
  <si>
    <t>Délégation de signature - Circulation et stationnement sur les voiries hors agglomération</t>
  </si>
  <si>
    <t>https://cdn.scnbdx.fr/web-afresco/BOGAMET/MET_ARR_2020-BM0831.pdf</t>
  </si>
  <si>
    <t>2020-BM0864</t>
  </si>
  <si>
    <t>circulation - hydrocurage passes des villes et tuileries</t>
  </si>
  <si>
    <t>https://cdn.scnbdx.fr/web-afresco/BOGAMET/MET_ARR_2020-BM0864.pdf</t>
  </si>
  <si>
    <t>2020-BM0947</t>
  </si>
  <si>
    <t>circulation - Travaux de nettoyage de chaussée sur les avenues Carnot et Kennedy – hors agglo</t>
  </si>
  <si>
    <t>https://cdn.scnbdx.fr/web-afresco/BOGAMET/MET_ARR_2020-BM0947.pdf</t>
  </si>
  <si>
    <t>2020-BM1003</t>
  </si>
  <si>
    <t>circulation - travaux d'ouverture de chambre sur chaussée et accotement pour l'aiguillage et tirage cable optique en souterain sur l'avenue de Branne</t>
  </si>
  <si>
    <t>https://cdn.scnbdx.fr/web-afresco/BOGAMET/MET_ARR_2020-BM1003.pdf</t>
  </si>
  <si>
    <t>2020-BM0949</t>
  </si>
  <si>
    <t>Défense des intérêts de Bordeaux-Métropole - Dossier Madame Azucena Stuppa contre Commune de Pessac</t>
  </si>
  <si>
    <t>https://cdn.scnbdx.fr/web-afresco/BOGAMET/MET_ARR_2020-BM0949.pdf</t>
  </si>
  <si>
    <t>2020-BM0984</t>
  </si>
  <si>
    <t>circulation - rues Lopes et Frappier</t>
  </si>
  <si>
    <t>https://cdn.scnbdx.fr/web-afresco/BOGAMET/MET_ARR_2020-BM0984.pdf</t>
  </si>
  <si>
    <t>2020-BM0986</t>
  </si>
  <si>
    <t>circulation - : interdiction 3,5T Chemin de la vie Nord</t>
  </si>
  <si>
    <t>https://cdn.scnbdx.fr/web-afresco/BOGAMET/MET_ARR_2020-BM0986.pdf</t>
  </si>
  <si>
    <t>2020-BM1066</t>
  </si>
  <si>
    <t>Délégation de signature - Blanc Bernard</t>
  </si>
  <si>
    <t>https://cdn.scnbdx.fr/web-afresco/BOGAMET/MET_ARR_2020-BM1066.pdf</t>
  </si>
  <si>
    <t>2020-BM1067</t>
  </si>
  <si>
    <t>Délégation de signature - Bloch Brigitte</t>
  </si>
  <si>
    <t>https://cdn.scnbdx.fr/web-afresco/BOGAMET/MET_ARR_2020-BM1067.pdf</t>
  </si>
  <si>
    <t>2020-BM1068</t>
  </si>
  <si>
    <t>Délégation de signature - Bost Christine</t>
  </si>
  <si>
    <t>https://cdn.scnbdx.fr/web-afresco/BOGAMET/MET_ARR_2020-BM1068.pdf</t>
  </si>
  <si>
    <t>2020-BM1071</t>
  </si>
  <si>
    <t>Délégation de signature - Delpeyrat Stéphane</t>
  </si>
  <si>
    <t>https://cdn.scnbdx.fr/web-afresco/BOGAMET/MET_ARR_2020-BM1071.pdf</t>
  </si>
  <si>
    <t>2020-BM1073</t>
  </si>
  <si>
    <t>Délégation de signature - Ferreira Véronique</t>
  </si>
  <si>
    <t>https://cdn.scnbdx.fr/web-afresco/BOGAMET/MET_ARR_2020-BM1073.pdf</t>
  </si>
  <si>
    <t>2020-BM1076</t>
  </si>
  <si>
    <t>Délégation de signature - Kiss Andréa</t>
  </si>
  <si>
    <t>https://cdn.scnbdx.fr/web-afresco/BOGAMET/MET_ARR_2020-BM1076.pdf</t>
  </si>
  <si>
    <t>2020-BM1081</t>
  </si>
  <si>
    <t>Délégation de signature - Puyobrau Jean-Jacques</t>
  </si>
  <si>
    <t>https://cdn.scnbdx.fr/web-afresco/BOGAMET/MET_ARR_2020-BM1081.pdf</t>
  </si>
  <si>
    <t>2020-BM1084</t>
  </si>
  <si>
    <t>Délégation de signature - Touzeau Jean</t>
  </si>
  <si>
    <t>https://cdn.scnbdx.fr/web-afresco/BOGAMET/MET_ARR_2020-BM1084.pdf</t>
  </si>
  <si>
    <t>2020-BM0964</t>
  </si>
  <si>
    <t>Autorisation de déversement des eaux usées - "Piscine les bains"</t>
  </si>
  <si>
    <t>https://cdn.scnbdx.fr/web-afresco/BOGAMET/MET_ARR_2020-BM0964.pdf</t>
  </si>
  <si>
    <t>2020-BM1050</t>
  </si>
  <si>
    <t>circulation - Travaux de mise en place de l’emprise de chantier dans le cadre des travaux de voirie de la tête de pont Simone Veil, sur l’ex-A631 au niveau des voies sur Berges et du boulevard des Frères Moga (voirie hors agglomération</t>
  </si>
  <si>
    <t>https://cdn.scnbdx.fr/web-afresco/BOGAMET/MET_ARR_2020-BM1050.pdf</t>
  </si>
  <si>
    <t>2020-BM1062</t>
  </si>
  <si>
    <t>Défense des intérêts de Bordeaux-Métropole - Contentieux MEDICI</t>
  </si>
  <si>
    <t>https://cdn.scnbdx.fr/web-afresco/BOGAMET/MET_ARR_2020-BM1062.pdf</t>
  </si>
  <si>
    <t>2020-BM1210</t>
  </si>
  <si>
    <t>Désignation des représentants  - Désignation du représentant du Président de Bordeaux Métropole au sein de l'association "a'urba"</t>
  </si>
  <si>
    <t>https://cdn.scnbdx.fr/web-afresco/BOGAMET/MET_ARR_2020-BM1210.pdf</t>
  </si>
  <si>
    <t>2020-BM1024</t>
  </si>
  <si>
    <t>classement - allée des Jardins de Villepreux</t>
  </si>
  <si>
    <t>https://cdn.scnbdx.fr/web-afresco/BOGAMET/MET_ARR_2020-BM1024.pdf</t>
  </si>
  <si>
    <t>2020-BM1025</t>
  </si>
  <si>
    <t>classement - rue Jean-Paul Sartre</t>
  </si>
  <si>
    <t>https://cdn.scnbdx.fr/web-afresco/BOGAMET/MET_ARR_2020-BM1025.pdf</t>
  </si>
  <si>
    <t>2020-BM1131</t>
  </si>
  <si>
    <t>circulation - Travaux sur la commune de Saint Médard en Jalles avenue de Martignas D21 partie hors agglo par COLAS</t>
  </si>
  <si>
    <t>https://cdn.scnbdx.fr/web-afresco/BOGAMET/MET_ARR_2020-BM1131.pdf</t>
  </si>
  <si>
    <t>2020-BM1132</t>
  </si>
  <si>
    <t>circulation - Travaux de recalibrage d'une partie du fossé - route de Luens RD211 partie hors agglo</t>
  </si>
  <si>
    <t>https://cdn.scnbdx.fr/web-afresco/BOGAMET/MET_ARR_2020-BM1132.pdf</t>
  </si>
  <si>
    <t>2020-BM1152</t>
  </si>
  <si>
    <t>circulation - Travaux sur la commune de Mérignac-place DAUPHINE- par l’entreprise SOGEA SUD OUEST HYDRAULIQUE</t>
  </si>
  <si>
    <t>https://cdn.scnbdx.fr/web-afresco/BOGAMET/MET_ARR_2020-BM1152.pdf</t>
  </si>
  <si>
    <t>2020-BM1155</t>
  </si>
  <si>
    <t>circulation  - circulation/stationnement en relation avec la reprise de la chaussée par la société GUINTOLI sur le domaine public</t>
  </si>
  <si>
    <t>https://cdn.scnbdx.fr/web-afresco/BOGAMET/MET_ARR_2020-BM1155.pdf</t>
  </si>
  <si>
    <t>2020-BM1243</t>
  </si>
  <si>
    <t>circulation - Travaux sur la commune de Mérignac-rue Marcel ISSARTIER- par les entreprises CHANTIERS D’AQUITAINE et AXEO</t>
  </si>
  <si>
    <t>https://cdn.scnbdx.fr/web-afresco/BOGAMET/MET_ARR_2020-BM1243.pdf</t>
  </si>
  <si>
    <t>2020-BM1249</t>
  </si>
  <si>
    <t>Autorisation de déversement des eaux usées - autres que domestiques "SOBEBO"</t>
  </si>
  <si>
    <t>https://cdn.scnbdx.fr/web-afresco/BOGAMET/MET_ARR_2020-BM1249.pdf</t>
  </si>
  <si>
    <t>2020-BM1250</t>
  </si>
  <si>
    <t>Autorisation de déversement des eaux usées - autres que domestiques "Eiffage construction Nord-Aquitaine"</t>
  </si>
  <si>
    <t>https://cdn.scnbdx.fr/web-afresco/BOGAMET/MET_ARR_2020-BM1250.pdf</t>
  </si>
  <si>
    <t>2020-BM1251</t>
  </si>
  <si>
    <t>Autorisation de déversement des eaux usées - autres que domestiques "Chantier d'Aquitaine"</t>
  </si>
  <si>
    <t>https://cdn.scnbdx.fr/web-afresco/BOGAMET/MET_ARR_2020-BM1251.pdf</t>
  </si>
  <si>
    <t>2020-BM1235</t>
  </si>
  <si>
    <t>Désignation des représentants  - Désignation du représentant du Président de Bordeaux Métropole au sein de l’association « a’urba » abrogeant le 2020-BM1210</t>
  </si>
  <si>
    <t>https://cdn.scnbdx.fr/web-afresco/BOGAMET/MET_ARR_2020-BM1235.pdf</t>
  </si>
  <si>
    <t>2020-BM1148</t>
  </si>
  <si>
    <t>Régie d'avances et de recettes - Modification du montant de l'avance de la régie d'avances "cabinet du Président"</t>
  </si>
  <si>
    <t>https://cdn.scnbdx.fr/web-afresco/BOGAMET/MET_ARR_2020-BM1148.pdf</t>
  </si>
  <si>
    <t>2020-BM1278</t>
  </si>
  <si>
    <t>circulation - travaux avenue de l'argonne par entreprise GEOSAT du 28/10 au 31/10</t>
  </si>
  <si>
    <t>https://cdn.scnbdx.fr/web-afresco/BOGAMET/MET_ARR_2020-BM1278.pdf</t>
  </si>
  <si>
    <t>2020-BM1193</t>
  </si>
  <si>
    <t>Défense des intérêts de Bordeaux-Métropole - STE COLAS SUD-OUEST</t>
  </si>
  <si>
    <t>https://cdn.scnbdx.fr/web-afresco/BOGAMET/MET_ARR_2020-BM1193.pdf</t>
  </si>
  <si>
    <t>2020-BM1297</t>
  </si>
  <si>
    <t>circulation - Inspection détaillée périodique de la passerelle Sud Médoc sur la Route de Lacanau (RD1215) – hors aggl</t>
  </si>
  <si>
    <t>https://cdn.scnbdx.fr/web-afresco/BOGAMET/MET_ARR_2020-BM1297.pdf</t>
  </si>
  <si>
    <t>2020-BM1272</t>
  </si>
  <si>
    <t>Autorisation de déversement des eaux usées - autres que domestiques "SUEZ la FAB"</t>
  </si>
  <si>
    <t>https://cdn.scnbdx.fr/web-afresco/BOGAMET/MET_ARR_2020-BM1272.pdf</t>
  </si>
  <si>
    <t>2020-BM1281</t>
  </si>
  <si>
    <t>Autorisation de déversement des eaux usées - autres que domestiques "ENGIE solutions agence Garonne"</t>
  </si>
  <si>
    <t>https://cdn.scnbdx.fr/web-afresco/BOGAMET/MET_ARR_2020-BM1281.pdf</t>
  </si>
  <si>
    <t>2020-BM1329</t>
  </si>
  <si>
    <t>circulation - Plantation d’arbres sur le terre-plein central et mise en place de bulbes et prairie fleurie au niveau de la nouvelle voie Marcel Dassault _ hors agglo</t>
  </si>
  <si>
    <t>https://cdn.scnbdx.fr/web-afresco/BOGAMET/MET_ARR_2020-BM1329.pdf</t>
  </si>
  <si>
    <t>2020-BM1308</t>
  </si>
  <si>
    <t>Enquête publique - Arrêté modifiant les modalités d’une enquête publique – Enquête publique en vue du classement d’office de la Cité de Vadelaincourt à Bordeaux (modification de l’arrêté n°2020-BM1130 du 23 septembre 2020)</t>
  </si>
  <si>
    <t>https://cdn.scnbdx.fr/web-afresco/BOGAMET/MET_ARR_2020-BM1308.pdf</t>
  </si>
  <si>
    <t>2020-BM1334</t>
  </si>
  <si>
    <t>Autorisation de déversement des eaux usées - SUEZ RR IWS Remediation France</t>
  </si>
  <si>
    <t>https://cdn.scnbdx.fr/web-afresco/BOGAMET/MET_ARR_2020-BM1334.pdf</t>
  </si>
  <si>
    <t>2020-BM1359</t>
  </si>
  <si>
    <t>Autorisation de déversement des eaux usées - autres que domestiques « Mercedes Benz » - Mérignac</t>
  </si>
  <si>
    <t>https://cdn.scnbdx.fr/web-afresco/BOGAMET/MET_ARR_2020-BM1359.pdf</t>
  </si>
  <si>
    <t>2020-BM1360</t>
  </si>
  <si>
    <t>Autorisation de déversement des eaux usées - autres que domestiques « Mercedes Benz » à Bègles</t>
  </si>
  <si>
    <t>https://cdn.scnbdx.fr/web-afresco/BOGAMET/MET_ARR_2020-BM1360.pdf</t>
  </si>
  <si>
    <t>2020-BM1376</t>
  </si>
  <si>
    <t>Autorisation de déversement des eaux usées - société SOPRECO</t>
  </si>
  <si>
    <t>https://cdn.scnbdx.fr/web-afresco/BOGAMET/MET_ARR_2020-BM1376.pdf</t>
  </si>
  <si>
    <t>2020-BM1280</t>
  </si>
  <si>
    <t>Désignation des représentants  - Désignation du représentant du Président de Bordeaux Métropole au sein de la Commission départementale d’information et de sélection des foyers de jeunes travailleurs de la Gironde</t>
  </si>
  <si>
    <t>https://cdn.scnbdx.fr/web-afresco/BOGAMET/MET_ARR_2020-BM1280.pdf</t>
  </si>
  <si>
    <t>2020-BM1404</t>
  </si>
  <si>
    <t>Autorisation de déversement des eaux usées - COLAS</t>
  </si>
  <si>
    <t>https://cdn.scnbdx.fr/web-afresco/BOGAMET/MET_ARR_2020-BM1404.pdf</t>
  </si>
  <si>
    <t>2020-BM1313</t>
  </si>
  <si>
    <t>Défense des intérêts de Bordeaux-Métropole - SAS Aquitaine de Gestion contre la décision de préemption de Bordeaux Métropole du 15 octobre 2020, l’immeuble sis 6 avenue Antoine Becquerel, à PESSAC</t>
  </si>
  <si>
    <t>https://cdn.scnbdx.fr/web-afresco/BOGAMET/MET_ARR_2020-BM1313.pdf</t>
  </si>
  <si>
    <t>2020-BM1413</t>
  </si>
  <si>
    <t>Délégation de signature - Philippe CASENAVE</t>
  </si>
  <si>
    <t>https://cdn.scnbdx.fr/web-afresco/BOGAMET/MET_ARR_2020-BM1413.pdf</t>
  </si>
  <si>
    <t>2020-BM1414</t>
  </si>
  <si>
    <t>Délégation de signature - Pierre-Thomas BLAISE</t>
  </si>
  <si>
    <t>https://cdn.scnbdx.fr/web-afresco/BOGAMET/MET_ARR_2020-BM1414.pdf</t>
  </si>
  <si>
    <t>2020-BM1415</t>
  </si>
  <si>
    <t>Délégation de signature - Philippe DEL SOCORRO</t>
  </si>
  <si>
    <t>https://cdn.scnbdx.fr/web-afresco/BOGAMET/MET_ARR_2020-BM1415.pdf</t>
  </si>
  <si>
    <t>2020-BM1416</t>
  </si>
  <si>
    <t>Délégation de signature - Frédéric LAUX</t>
  </si>
  <si>
    <t>https://cdn.scnbdx.fr/web-afresco/BOGAMET/MET_ARR_2020-BM1416.pdf</t>
  </si>
  <si>
    <t>2020-BM1418</t>
  </si>
  <si>
    <t>Délégation de signature - Stéphane-Emmanuel LEURET</t>
  </si>
  <si>
    <t>https://cdn.scnbdx.fr/web-afresco/BOGAMET/MET_ARR_2020-BM1418.pdf</t>
  </si>
  <si>
    <t>2020-BM1421</t>
  </si>
  <si>
    <t>Délégation de signature - Anne-Florence THIEBAUT-PINON</t>
  </si>
  <si>
    <t>https://cdn.scnbdx.fr/web-afresco/BOGAMET/MET_ARR_2020-BM1421.pdf</t>
  </si>
  <si>
    <t>2020-BM1435</t>
  </si>
  <si>
    <t>Délégation de signature - Patrick DOLO</t>
  </si>
  <si>
    <t>https://cdn.scnbdx.fr/web-afresco/BOGAMET/MET_ARR_2020-BM1435.pdf</t>
  </si>
  <si>
    <t>2020-BM1436</t>
  </si>
  <si>
    <t>Délégation de signature - Sylvie LUNVEN-GEAY</t>
  </si>
  <si>
    <t>https://cdn.scnbdx.fr/web-afresco/BOGAMET/MET_ARR_2020-BM1436.pdf</t>
  </si>
  <si>
    <t>2020-BM1440</t>
  </si>
  <si>
    <t>Délégation de signature - Renaud ROUVIERE</t>
  </si>
  <si>
    <t>https://cdn.scnbdx.fr/web-afresco/BOGAMET/MET_ARR_2020-BM1440.pdf</t>
  </si>
  <si>
    <t>2020-BM1443</t>
  </si>
  <si>
    <t>Délégation de signature - Quentin BRAURE DE CALIGNON</t>
  </si>
  <si>
    <t>https://cdn.scnbdx.fr/web-afresco/BOGAMET/MET_ARR_2020-BM1443.pdf</t>
  </si>
  <si>
    <t>2020-BM1445</t>
  </si>
  <si>
    <t>Délégation de signature - Dominique DANTAN</t>
  </si>
  <si>
    <t>https://cdn.scnbdx.fr/web-afresco/BOGAMET/MET_ARR_2020-BM1445.pdf</t>
  </si>
  <si>
    <t>2020-BM1446</t>
  </si>
  <si>
    <t>Délégation de signature - François FREYNET</t>
  </si>
  <si>
    <t>https://cdn.scnbdx.fr/web-afresco/BOGAMET/MET_ARR_2020-BM1446.pdf</t>
  </si>
  <si>
    <t>2020-BM1447</t>
  </si>
  <si>
    <t>Délégation de signature - Stéphanie JUDE</t>
  </si>
  <si>
    <t>https://cdn.scnbdx.fr/web-afresco/BOGAMET/MET_ARR_2020-BM1447.pdf</t>
  </si>
  <si>
    <t>2020-BM1452</t>
  </si>
  <si>
    <t>Délégation de signature - Hervé MEYER</t>
  </si>
  <si>
    <t>https://cdn.scnbdx.fr/web-afresco/BOGAMET/MET_ARR_2020-BM1452.pdf</t>
  </si>
  <si>
    <t>2020-BM1456</t>
  </si>
  <si>
    <t>Délégation de signature - Nathalie RAYNAL-VOISIN</t>
  </si>
  <si>
    <t>https://cdn.scnbdx.fr/web-afresco/BOGAMET/MET_ARR_2020-BM1456.pdf</t>
  </si>
  <si>
    <t>2020-BM1458</t>
  </si>
  <si>
    <t>Délégation de signature - Isabelle THOMAS</t>
  </si>
  <si>
    <t>https://cdn.scnbdx.fr/web-afresco/BOGAMET/MET_ARR_2020-BM1458.pdf</t>
  </si>
  <si>
    <t>2020-BM1459</t>
  </si>
  <si>
    <t>Délégation de signature - Jérome TOURNE</t>
  </si>
  <si>
    <t>https://cdn.scnbdx.fr/web-afresco/BOGAMET/MET_ARR_2020-BM1459.pdf</t>
  </si>
  <si>
    <t>2020-BM1460</t>
  </si>
  <si>
    <t>Délégation de signature - Marie-Caroline VERMAUT</t>
  </si>
  <si>
    <t>https://cdn.scnbdx.fr/web-afresco/BOGAMET/MET_ARR_2020-BM1460.pdf</t>
  </si>
  <si>
    <t>2020-BM1516</t>
  </si>
  <si>
    <t>Avenant convention - Mise à disposition temporaire d’emprises appartenant au domaine public de Bordeaux Métropole – Boulevard Joliot-Curie à Bordeaux</t>
  </si>
  <si>
    <t>https://cdn.scnbdx.fr/web-afresco/BOGAMET/MET_ARR_2020-BM1516.pdf</t>
  </si>
  <si>
    <t>2021-BM0086</t>
  </si>
  <si>
    <t>Défense des intérêts de Bordeaux-Métropole - devant la juridiction de l'expropriation - SCI ONYX</t>
  </si>
  <si>
    <t>https://cdn.scnbdx.fr/web-afresco/BOGAMET/MET_ARR_2021-BM0086.pdf</t>
  </si>
  <si>
    <t>2021-BM0126</t>
  </si>
  <si>
    <t>circulation - Réalisation des sondages sur accotement et piste cyclable sur l’avenue du 11 novembre, zone Liaiosn Cantinolle / Lille lot 1</t>
  </si>
  <si>
    <t>https://cdn.scnbdx.fr/web-afresco/BOGAMET/MET_ARR_2021-BM0126.pdf</t>
  </si>
  <si>
    <t>2021-BM0135</t>
  </si>
  <si>
    <t>Délégation de signature - Monsieur Baptiste MAURIN</t>
  </si>
  <si>
    <t>https://cdn.scnbdx.fr/web-afresco/BOGAMET/MET_ARR_2021-BM0135.pdf</t>
  </si>
  <si>
    <t>2021-BM0203</t>
  </si>
  <si>
    <t>Cession - levée d'option - passage du Puits</t>
  </si>
  <si>
    <t>https://cdn.scnbdx.fr/web-afresco/BOGAMET/MET_ARR_2021-BM0203.pdf</t>
  </si>
  <si>
    <t>2021-BM0184</t>
  </si>
  <si>
    <t>Autorisation d’occupation temporaire – AOT - 86-90 cours Balguerie Stuttenberg</t>
  </si>
  <si>
    <t>https://cdn.scnbdx.fr/web-afresco/BOGAMET/MET_ARR_2021-BM0184.pdf</t>
  </si>
  <si>
    <t>2020-BM1294</t>
  </si>
  <si>
    <t>Autorisation d’intégration des ouvrages d'assainissement - Lotissement «Les Jardins de Leyran»</t>
  </si>
  <si>
    <t>https://cdn.scnbdx.fr/web-afresco/BOGAMET/MET_ARR_2020-BM1294.pdf</t>
  </si>
  <si>
    <t>2020-BM1571</t>
  </si>
  <si>
    <t>Défense des intérêts de Bordeaux-Métropole - Marché de représentation devant la juridiction judiciaire relatif à une action civile aux fins de voir constater contradictoirement l’état de pollution d’un terrain et de prendre les mesures appropriées</t>
  </si>
  <si>
    <t>https://cdn.scnbdx.fr/web-afresco/BOGAMET/MET_ARR_2020-BM1571.pdf</t>
  </si>
  <si>
    <t>2020-BM1630</t>
  </si>
  <si>
    <t>classement - Allée Cantelaude</t>
  </si>
  <si>
    <t>https://cdn.scnbdx.fr/web-afresco/BOGAMET/MET_ARR_2020-BM1630.pdf</t>
  </si>
  <si>
    <t>2021-BM0244</t>
  </si>
  <si>
    <t>Délégation de signature - Monsieur David Kanfer</t>
  </si>
  <si>
    <t>https://cdn.scnbdx.fr/web-afresco/BOGAMET/MET_ARR_2021-BM0244.pdf</t>
  </si>
  <si>
    <t>2021-BM1413</t>
  </si>
  <si>
    <t>Délégation de signature - Madame Magalie Sabbah</t>
  </si>
  <si>
    <t>https://cdn.scnbdx.fr/web-afresco/BOGAMET/MET_ARR_2021-BM1413.pdf</t>
  </si>
  <si>
    <t>2021-BM1424</t>
  </si>
  <si>
    <t>Délégation de signature - Monsieur Rubio</t>
  </si>
  <si>
    <t>https://cdn.scnbdx.fr/web-afresco/BOGAMET/MET_ARR_2021-BM1424.pdf</t>
  </si>
  <si>
    <t>2021-BM0420</t>
  </si>
  <si>
    <t>Défense des intérêts de Bordeaux-Métropole - SCI SOFIA devant la Cour administrative d’Appel de Bordeaux</t>
  </si>
  <si>
    <t>https://cdn.scnbdx.fr/web-afresco/BOGAMET/MET_ARR_2021-BM0420.pdf</t>
  </si>
  <si>
    <t>2021-BM0198</t>
  </si>
  <si>
    <t>Autorisation d’intégration des ouvrages d'assainissement - LES JARDINS DE CANTE CRIC</t>
  </si>
  <si>
    <t>https://cdn.scnbdx.fr/web-afresco/BOGAMET/MET_ARR_2021-BM0198.pdf</t>
  </si>
  <si>
    <t>2021-BM0220</t>
  </si>
  <si>
    <t>Autorisation d’intégration des ouvrages d'assainissement - lotissement "COTE PARC"</t>
  </si>
  <si>
    <t>https://cdn.scnbdx.fr/web-afresco/BOGAMET/MET_ARR_2021-BM0220.pdf</t>
  </si>
  <si>
    <t>2021-BM0340</t>
  </si>
  <si>
    <t>Désignation de représentant - Conseil d’administration de de l’association Comité des Œuvres sociales de Bordeaux Métropole</t>
  </si>
  <si>
    <t>https://cdn.scnbdx.fr/web-afresco/BOGAMET/MET_ARR_2021-BM0340.pdf</t>
  </si>
  <si>
    <t>2021-BM0017</t>
  </si>
  <si>
    <t>Circulation -  Travaux de réalisation de résine sur le joint de chaussée (chevêtre Pauly), sur les voies sur Berges (A631), à la limite de la commune de Bordeaux (voirie hors agglomération)</t>
  </si>
  <si>
    <t>https://cdn.scnbdx.fr/web-afresco/BOGAMET/MET_ARR_2021-BM0017.pdf</t>
  </si>
  <si>
    <t>2021-BM0230</t>
  </si>
  <si>
    <t>Défense des intérêts de Bordeaux-Métropole - Indemnisation des préjudices suite à accident de service – LE GARREC</t>
  </si>
  <si>
    <t>https://cdn.scnbdx.fr/web-afresco/BOGAMET/MET_ARR_2021-BM0230.pdf</t>
  </si>
  <si>
    <t>2021-BM0277</t>
  </si>
  <si>
    <t>https://cdn.scnbdx.fr/web-afresco/BOGAMET/MET_ARR_2021-BM0277.pdf</t>
  </si>
  <si>
    <t>2021-BM0593</t>
  </si>
  <si>
    <t>circulation - Travaux de câblage aérien pour tirage et raccordement de câbles de fibres optiques au niveau du 314 de l’avenue de l’Argonne</t>
  </si>
  <si>
    <t>https://cdn.scnbdx.fr/web-afresco/BOGAMET/MET_ARR_2021-BM0593.pdf</t>
  </si>
  <si>
    <t>2020-BM1657</t>
  </si>
  <si>
    <t>circulation - Dépannage sur la portion de la voie A631 transférée à Bordeaux Métropole - Prolongation du dispositif</t>
  </si>
  <si>
    <t>https://cdn.scnbdx.fr/web-afresco/BOGAMET/MET_ARR_2020-BM1657.pdf</t>
  </si>
  <si>
    <t>2021-BM0410</t>
  </si>
  <si>
    <t>Autorisation de déversement des eaux usées - SOGEA</t>
  </si>
  <si>
    <t>https://cdn.scnbdx.fr/web-afresco/BOGAMET/MET_ARR_2021-BM0410.pdf</t>
  </si>
  <si>
    <t>2021-BM0429</t>
  </si>
  <si>
    <t>Autorisation de déversement des eaux usées - SCCV 45 CHARTRONS</t>
  </si>
  <si>
    <t>https://cdn.scnbdx.fr/web-afresco/BOGAMET/MET_ARR_2021-BM0429.pdf</t>
  </si>
  <si>
    <t>2021-BM0238</t>
  </si>
  <si>
    <t>Régie d'avances et de recettes - Rajout du chéquier en moyen de paiement de la régie d’avance</t>
  </si>
  <si>
    <t>https://cdn.scnbdx.fr/web-afresco/BOGAMET/MET_ARR_2021-BM0238.pdf</t>
  </si>
  <si>
    <t>2021-BM0386</t>
  </si>
  <si>
    <t>Autorisation de déversement des eaux usées - SUEZ REMEDIATION France</t>
  </si>
  <si>
    <t>https://cdn.scnbdx.fr/web-afresco/BOGAMET/MET_ARR_2021-BM0386.pdf</t>
  </si>
  <si>
    <t>2021-BM0432</t>
  </si>
  <si>
    <t>Défense des intérêts de Bordeaux-Métropole - Usine de la Gamarde située à Saint-Médard-en-Jalles – Pollution des ressources en eaux souterraines de la Gamarde révélée en juin 2009 – Tribunal judiciaire de Bordeaux - Action en responsabilité - Confirmation de la décision d’ester - Marché de représentation en justice</t>
  </si>
  <si>
    <t>https://cdn.scnbdx.fr/web-afresco/BOGAMET/MET_ARR_2021-BM0432.pdf</t>
  </si>
  <si>
    <t>2021-BM0449</t>
  </si>
  <si>
    <t>Défense des intérêts de Bordeaux-Métropole - Recours en annulation indivision MAGAGNA</t>
  </si>
  <si>
    <t>https://cdn.scnbdx.fr/web-afresco/BOGAMET/MET_ARR_2021-BM0449.pdf</t>
  </si>
  <si>
    <t>2021-BM0472</t>
  </si>
  <si>
    <t>Attribution de subvention  - Aménagement du boulevard technologique sur le territoire de l’OIM Bordeaux Aéroparc</t>
  </si>
  <si>
    <t>https://cdn.scnbdx.fr/web-afresco/BOGAMET/MET_ARR_2021-BM0472.pdf</t>
  </si>
  <si>
    <t>2021-BM0392</t>
  </si>
  <si>
    <t>circulation - travaux de pose de garde-corps sur le pont de la Vigie au niveau de la RD107</t>
  </si>
  <si>
    <t>https://cdn.scnbdx.fr/web-afresco/BOGAMET/MET_ARR_2021-BM0392.pdf</t>
  </si>
  <si>
    <t>2021-BM0528</t>
  </si>
  <si>
    <t>Délégation de signature - Philippe Del Socorro DG</t>
  </si>
  <si>
    <t>https://cdn.scnbdx.fr/web-afresco/BOGAMET/MET_ARR_2021-BM0528.pdf</t>
  </si>
  <si>
    <t>2021-BM0529</t>
  </si>
  <si>
    <t>Délégation de signature - Magalie Sabbah, ADG RH</t>
  </si>
  <si>
    <t>https://cdn.scnbdx.fr/web-afresco/BOGAMET/MET_ARR_2021-BM0529.pdf</t>
  </si>
  <si>
    <t>2021-BM0532</t>
  </si>
  <si>
    <t>Délégation de signature - Karen Thomas De Broucker</t>
  </si>
  <si>
    <t>https://cdn.scnbdx.fr/web-afresco/BOGAMET/MET_ARR_2021-BM0532.pdf</t>
  </si>
  <si>
    <t>2021-BM0543</t>
  </si>
  <si>
    <t>Délégation de signature - Olivier Louis</t>
  </si>
  <si>
    <t>https://cdn.scnbdx.fr/web-afresco/BOGAMET/MET_ARR_2021-BM0543.pdf</t>
  </si>
  <si>
    <t>2021-BM0546</t>
  </si>
  <si>
    <t>Délégation de signature - Fabienne Ranc</t>
  </si>
  <si>
    <t>https://cdn.scnbdx.fr/web-afresco/BOGAMET/MET_ARR_2021-BM0546.pdf</t>
  </si>
  <si>
    <t>2021-BM0547</t>
  </si>
  <si>
    <t>Délégation de signature - Richard Latrie</t>
  </si>
  <si>
    <t>https://cdn.scnbdx.fr/web-afresco/BOGAMET/MET_ARR_2021-BM0547.pdf</t>
  </si>
  <si>
    <t>2021-BM0554</t>
  </si>
  <si>
    <t>Délégation de signature - Mathieu Lassalle</t>
  </si>
  <si>
    <t>https://cdn.scnbdx.fr/web-afresco/BOGAMET/MET_ARR_2021-BM0554.pdf</t>
  </si>
  <si>
    <t>2021-BM0066</t>
  </si>
  <si>
    <t>Défense des intérêts de Bordeaux-Métropole - Fontaine place de l’Eglise à Blanquefort</t>
  </si>
  <si>
    <t>https://cdn.scnbdx.fr/web-afresco/BOGAMET/MET_ARR_2021-BM0066.pdf</t>
  </si>
  <si>
    <t>2021-BM0093</t>
  </si>
  <si>
    <t>Autorisation d’occupation temporaire – AOT - Construction d’une dalle de répartition pour restauration d’un immeuble 2, rue Faubourg des Arts angle rue André Darbon</t>
  </si>
  <si>
    <t>https://cdn.scnbdx.fr/web-afresco/BOGAMET/MET_ARR_2021-BM0093.pdf</t>
  </si>
  <si>
    <t>2021-BM0434</t>
  </si>
  <si>
    <t>classement - Cité de Vadelaincourt avec approbation d’un plan d’alignement — Décision — Renonciation</t>
  </si>
  <si>
    <t>https://cdn.scnbdx.fr/web-afresco/BOGAMET/MET_ARR_2021-BM0434.pdf</t>
  </si>
  <si>
    <t>2021-BM0576</t>
  </si>
  <si>
    <t>Autorisation de déversement des eaux usées - FORD AQUITAINE INDUSTRIES</t>
  </si>
  <si>
    <t>https://cdn.scnbdx.fr/web-afresco/BOGAMET/MET_ARR_2021-BM0576.pdf</t>
  </si>
  <si>
    <t>2021-BM0501</t>
  </si>
  <si>
    <t>Défense des intérêts de Bordeaux-Métropole - Travaux d’amélioration en transport en commun sur la commune de Mérignac</t>
  </si>
  <si>
    <t>https://cdn.scnbdx.fr/web-afresco/BOGAMET/MET_ARR_2021-BM0501.pdf</t>
  </si>
  <si>
    <t>2021-BM0481</t>
  </si>
  <si>
    <t>Mise à jour du PLU - 11ème modification du Plan local d’urbanisme (PLU) – Dates et modalités complémentaires de la concertation – Adresse en libre distribution</t>
  </si>
  <si>
    <t>https://cdn.scnbdx.fr/web-afresco/BOGAMET/MET_ARR_2021-BM0481.pdf</t>
  </si>
  <si>
    <t>2021-BM0505</t>
  </si>
  <si>
    <t>circulation - travaux implantation  supports + dépose HTA aérien-mise en service du chantier</t>
  </si>
  <si>
    <t>https://cdn.scnbdx.fr/web-afresco/BOGAMET/MET_ARR_2021-BM0505.pdf</t>
  </si>
  <si>
    <t>2020-BM1476</t>
  </si>
  <si>
    <t>Délégation de signature - Marie-Fanny JACOB</t>
  </si>
  <si>
    <t>https://cdn.scnbdx.fr/web-afresco/BOGAMET/MET_ARR_2020-BM1476.pdf</t>
  </si>
  <si>
    <t>2020-BM1478</t>
  </si>
  <si>
    <t>Délégation de signature - Danièle MAMAN-BENSIMON</t>
  </si>
  <si>
    <t>https://cdn.scnbdx.fr/web-afresco/BOGAMET/MET_ARR_2020-BM1478.pdf</t>
  </si>
  <si>
    <t>2020-BM1480</t>
  </si>
  <si>
    <t>Délégation de signature - Xavier MESSAGER</t>
  </si>
  <si>
    <t>https://cdn.scnbdx.fr/web-afresco/BOGAMET/MET_ARR_2020-BM1480.pdf</t>
  </si>
  <si>
    <t>2020-BM1485</t>
  </si>
  <si>
    <t>Délégation de signature - Mathieu ROUSSENNAC</t>
  </si>
  <si>
    <t>https://cdn.scnbdx.fr/web-afresco/BOGAMET/MET_ARR_2020-BM1485.pdf</t>
  </si>
  <si>
    <t>2020-BM1487</t>
  </si>
  <si>
    <t>Délégation de signature - Ludovic CHABAS</t>
  </si>
  <si>
    <t>https://cdn.scnbdx.fr/web-afresco/BOGAMET/MET_ARR_2020-BM1487.pdf</t>
  </si>
  <si>
    <t>2020-BM1489</t>
  </si>
  <si>
    <t>Délégation de signature - Nicolas GENDREAU</t>
  </si>
  <si>
    <t>https://cdn.scnbdx.fr/web-afresco/BOGAMET/MET_ARR_2020-BM1489.pdf</t>
  </si>
  <si>
    <t>2020-BM1490</t>
  </si>
  <si>
    <t>Délégation de signature - Cédric GHESQUIERES</t>
  </si>
  <si>
    <t>https://cdn.scnbdx.fr/web-afresco/BOGAMET/MET_ARR_2020-BM1490.pdf</t>
  </si>
  <si>
    <t>2020-BM1497</t>
  </si>
  <si>
    <t>Délégation de signature - Emilie REMAZEILLES</t>
  </si>
  <si>
    <t>https://cdn.scnbdx.fr/web-afresco/BOGAMET/MET_ARR_2020-BM1497.pdf</t>
  </si>
  <si>
    <t>2021-BM0389</t>
  </si>
  <si>
    <t>Déclassement - déclassement de la voie interne et des parkings de la RPA Jean Brocas sise 16 rue Roland Dorgelès Enquête publique</t>
  </si>
  <si>
    <t>https://cdn.scnbdx.fr/web-afresco/BOGAMET/MET_ARR_2021-BM0389.pdf</t>
  </si>
  <si>
    <t>2020-BM1500</t>
  </si>
  <si>
    <t>Délégation de signature - AET travaux sur voirie routière</t>
  </si>
  <si>
    <t>https://cdn.scnbdx.fr/web-afresco/BOGAMET/MET_ARR_2020-BM1500.pdf</t>
  </si>
  <si>
    <t>2020-BM1528</t>
  </si>
  <si>
    <t>attribution de subvention - Convergence des systèmes intégrés de gestion des bibliothèques et portails associés – Assistance à maîtrise d’ouvrage complémentaire, acquisition et mise en œuvre de la solution – Demande de subvention</t>
  </si>
  <si>
    <t>https://cdn.scnbdx.fr/web-afresco/BOGAMET/MET_ARR_2020-BM1528.pdf</t>
  </si>
  <si>
    <t>2021-BM0608</t>
  </si>
  <si>
    <t>circulation - Travaux rue Marcel GIRARD et D 213 pour la pose de 2 chambres TELECOM et de 3 fourreaux TELECOM FREE</t>
  </si>
  <si>
    <t>https://cdn.scnbdx.fr/web-afresco/BOGAMET/MET_ARR_2021-BM0608.pdf</t>
  </si>
  <si>
    <t>2020-BM1379</t>
  </si>
  <si>
    <t>circulation - Travaux d’enrobés sur trottoir et de gravillonnage sur l’avenue Toussaint Catros, au niveau du rond-point interceptant la rue Diamant (voirie hors agglomération),</t>
  </si>
  <si>
    <t>https://cdn.scnbdx.fr/web-afresco/BOGAMET/MET_ARR_2020-BM1379.pdf</t>
  </si>
  <si>
    <t>2020-BM1402</t>
  </si>
  <si>
    <t>circulation - Travaux de création d’un accès de chantier au niveau du giratoire de raccordement de la déviation sur le RD1215, Rte de Lacanau _ hors agglo – Le Taillan-Médoc</t>
  </si>
  <si>
    <t>https://cdn.scnbdx.fr/web-afresco/BOGAMET/MET_ARR_2020-BM1402.pdf</t>
  </si>
  <si>
    <t>2020-BM1527</t>
  </si>
  <si>
    <t>circulation - Travaux de débroussaillage et de curage du fossé longeant l’avenue des 4 Ponts – hors agglo - Bruges</t>
  </si>
  <si>
    <t>https://cdn.scnbdx.fr/web-afresco/BOGAMET/MET_ARR_2020-BM1527.pdf</t>
  </si>
  <si>
    <t>2020-BM1544</t>
  </si>
  <si>
    <t>Défense des intérêts de Bordeaux-Métropole - SCI Tribalh contre la décision de préemption de Bordeaux Métropole du 23 octobre 2020 concernant l’immeuble sis 1 avenue de la Résistance à Lormont</t>
  </si>
  <si>
    <t>https://cdn.scnbdx.fr/web-afresco/BOGAMET/MET_ARR_2020-BM1544.pdf</t>
  </si>
  <si>
    <t>2020-BM0899</t>
  </si>
  <si>
    <t>circulation - création d’un arrêt de bus « Cinq Chemins » sur l’avenue Magudas, au niveau de la société Murprote</t>
  </si>
  <si>
    <t>https://cdn.scnbdx.fr/web-afresco/BOGAMET/MET_ARR_2020-BM0899.pdf</t>
  </si>
  <si>
    <t>2020-BM1575</t>
  </si>
  <si>
    <t>Ouverture enquete publique - Evaluation Environnementale concernant le projet de renouvellement urbain du quartier de Dravemont</t>
  </si>
  <si>
    <t>https://cdn.scnbdx.fr/web-afresco/BOGAMET/MET_ARR_2020-BM1575.pdf</t>
  </si>
  <si>
    <t>2020-BM1602</t>
  </si>
  <si>
    <t>circulation - Travaux sous accotement, de dépose d’un poteau d’incendie, de terrassement au droit du poteau et de pose d’une plaque pleine sur le réseau AEP sur l’avenue des 4 Ponts, au niveau du giratoire av 4 Ponts / rue de majolan – dans le sens Blanquefort / Bruges – hors agglo</t>
  </si>
  <si>
    <t>https://cdn.scnbdx.fr/web-afresco/BOGAMET/MET_ARR_2020-BM1602.pdf</t>
  </si>
  <si>
    <t>2021-BM0006</t>
  </si>
  <si>
    <t>Circulation - travaux de pose de collecteurs - avenue des 4 Ponts</t>
  </si>
  <si>
    <t>https://cdn.scnbdx.fr/web-afresco/BOGAMET/MET_ARR_2021-BM0006.pdf</t>
  </si>
  <si>
    <t>2020-BM1569</t>
  </si>
  <si>
    <t>circulation - travaux de remplacement de poteaux FTTH sur trottoir, rue Marcel ISSARTIER</t>
  </si>
  <si>
    <t>https://cdn.scnbdx.fr/web-afresco/BOGAMET/MET_ARR_2020-BM1569.pdf</t>
  </si>
  <si>
    <t>2020-BM1405</t>
  </si>
  <si>
    <t>Désignation des représentants - Représentation du Président de BM au sein de l’association BORDEAUX UNITEC</t>
  </si>
  <si>
    <t>https://cdn.scnbdx.fr/web-afresco/BOGAMET/MET_ARR_2020-BM1405.pdf</t>
  </si>
  <si>
    <t>2020-BM1596</t>
  </si>
  <si>
    <t>circulation - travaux enfouissement de réseaux de fibre optique</t>
  </si>
  <si>
    <t>https://cdn.scnbdx.fr/web-afresco/BOGAMET/MET_ARR_2020-BM1596.pdf</t>
  </si>
  <si>
    <t>2020-BM1601</t>
  </si>
  <si>
    <t>circulation - travaux AIGUILLAGE route de Ford Lajard FOUILLES ET REPARATIONS DE CONDUITES SOUS ACCOTEMENT</t>
  </si>
  <si>
    <t>https://cdn.scnbdx.fr/web-afresco/BOGAMET/MET_ARR_2020-BM1601.pdf</t>
  </si>
  <si>
    <t>2020-BM1605</t>
  </si>
  <si>
    <t>circulation - Travaux de réparation du refoulement d’eaux traitées de l’entreprise Ford suite à son endommagement au cours du chantier, sur l’avenue du Port du Roy – hors agglo</t>
  </si>
  <si>
    <t>https://cdn.scnbdx.fr/web-afresco/BOGAMET/MET_ARR_2020-BM1605.pdf</t>
  </si>
  <si>
    <t>2021-BM0137</t>
  </si>
  <si>
    <t>https://cdn.scnbdx.fr/web-afresco/BOGAMET/MET_ARR_2021-BM0137.pdf</t>
  </si>
  <si>
    <t>2021-BM0138</t>
  </si>
  <si>
    <t>Délégation de signature - Madame Karine MABILLON (DG)</t>
  </si>
  <si>
    <t>https://cdn.scnbdx.fr/web-afresco/BOGAMET/MET_ARR_2021-BM0138.pdf</t>
  </si>
  <si>
    <t>2021-BM0141</t>
  </si>
  <si>
    <t>Délégation de signature - Monsieur Yann TORLASCO</t>
  </si>
  <si>
    <t>https://cdn.scnbdx.fr/web-afresco/BOGAMET/MET_ARR_2021-BM0141.pdf</t>
  </si>
  <si>
    <t>2021-BM0143</t>
  </si>
  <si>
    <t>Délégation de signature - Monsieur Jean-Marc ROUFFET</t>
  </si>
  <si>
    <t>https://cdn.scnbdx.fr/web-afresco/BOGAMET/MET_ARR_2021-BM0143.pdf</t>
  </si>
  <si>
    <t>2021-BM0146</t>
  </si>
  <si>
    <t>Délégation de signature - Monsieur Sébastien DABADIE</t>
  </si>
  <si>
    <t>https://cdn.scnbdx.fr/web-afresco/BOGAMET/MET_ARR_2021-BM0146.pdf</t>
  </si>
  <si>
    <t>2021-BM0147</t>
  </si>
  <si>
    <t>Délégation de signature - Monsieur Arnauld DUROUCHOUX</t>
  </si>
  <si>
    <t>https://cdn.scnbdx.fr/web-afresco/BOGAMET/MET_ARR_2021-BM0147.pdf</t>
  </si>
  <si>
    <t>2021-BM0148</t>
  </si>
  <si>
    <t>Délégation de signature - Monsieur Vincent DE BRISSON DE LAROCHE</t>
  </si>
  <si>
    <t>https://cdn.scnbdx.fr/web-afresco/BOGAMET/MET_ARR_2021-BM0148.pdf</t>
  </si>
  <si>
    <t>2021-BM0023</t>
  </si>
  <si>
    <t>Circulation - – Travaux de création de plates-bandes et de plantation sur espaces enherbés en chantier mobile sur l’avenue François Mitterrand, du carrefour interceptant l’avenue Roland Garros jusqu’au carrefour interceptant la RD106 – hors agglo</t>
  </si>
  <si>
    <t>https://cdn.scnbdx.fr/web-afresco/BOGAMET/MET_ARR_2021-BM0023.pdf</t>
  </si>
  <si>
    <t>2021-BM0152</t>
  </si>
  <si>
    <t>Délégation de signature - Madame Karine GESSNER</t>
  </si>
  <si>
    <t>https://cdn.scnbdx.fr/web-afresco/BOGAMET/MET_ARR_2021-BM0152.pdf</t>
  </si>
  <si>
    <t>2021-BM0149</t>
  </si>
  <si>
    <t>Délégation de signature - Monsieur Emmanuel MAZET</t>
  </si>
  <si>
    <t>https://cdn.scnbdx.fr/web-afresco/BOGAMET/MET_ARR_2021-BM0149.pdf</t>
  </si>
  <si>
    <t>2021-BM0349</t>
  </si>
  <si>
    <t>Autorisation de déversement des eaux usées - OTEIS</t>
  </si>
  <si>
    <t>https://cdn.scnbdx.fr/web-afresco/BOGAMET/MET_ARR_2021-BM0349.pdf</t>
  </si>
  <si>
    <t>2021-BM0353</t>
  </si>
  <si>
    <t>Publication des marchés notifiés durant les mois de - juillet 2020 à février 2021</t>
  </si>
  <si>
    <t>https://cdn.scnbdx.fr/web-afresco/BOGAMET/MET_ARR_2021-BM0353.pdf</t>
  </si>
  <si>
    <t>2021-BM0354</t>
  </si>
  <si>
    <t>Délégation de signature - Nathalie Raynal-Voisin</t>
  </si>
  <si>
    <t>https://cdn.scnbdx.fr/web-afresco/BOGAMET/MET_ARR_2021-BM0354.pdf</t>
  </si>
  <si>
    <t>2021-BM0357</t>
  </si>
  <si>
    <t>Délégation de signature - Bons de commande et ordres de service</t>
  </si>
  <si>
    <t>https://cdn.scnbdx.fr/web-afresco/BOGAMET/MET_ARR_2021-BM0357.pdf</t>
  </si>
  <si>
    <t>2021-BM0160</t>
  </si>
  <si>
    <t>Déclassement - 100 quai de Brazza</t>
  </si>
  <si>
    <t>https://cdn.scnbdx.fr/web-afresco/BOGAMET/MET_ARR_2021-BM0160.pdf</t>
  </si>
  <si>
    <t>2021-BM0178</t>
  </si>
  <si>
    <t>circulation - travaux Remplacement et implantation poteaux</t>
  </si>
  <si>
    <t>https://cdn.scnbdx.fr/web-afresco/BOGAMET/MET_ARR_2021-BM0178.pdf</t>
  </si>
  <si>
    <t>2021-BM0527</t>
  </si>
  <si>
    <t>circulation - Travaux de réparation de conduite avec fouille sur accotement et chaussée avenue Marcel Dassault entre les avenues de Bellevue et de Pagnot</t>
  </si>
  <si>
    <t>https://cdn.scnbdx.fr/web-afresco/BOGAMET/MET_ARR_2021-BM0527.pdf</t>
  </si>
  <si>
    <t>2021-BM0028</t>
  </si>
  <si>
    <t>Circulation - réalisation de travaux de surlargeur enrobé, rue Marcel ISSARTIER</t>
  </si>
  <si>
    <t>https://cdn.scnbdx.fr/web-afresco/BOGAMET/MET_ARR_2021-BM0028.pdf</t>
  </si>
  <si>
    <t>2021-BM0202</t>
  </si>
  <si>
    <t>Défense des intérêts de Bordeaux-Métropole - Medici - Appel</t>
  </si>
  <si>
    <t>https://cdn.scnbdx.fr/web-afresco/BOGAMET/MET_ARR_2021-BM0202.pdf</t>
  </si>
  <si>
    <t>2021-BM0213</t>
  </si>
  <si>
    <t>Défense des intérêts de Bordeaux-Métropole - SAS Brother &amp; Co</t>
  </si>
  <si>
    <t>https://cdn.scnbdx.fr/web-afresco/BOGAMET/MET_ARR_2021-BM0213.pdf</t>
  </si>
  <si>
    <t>2021-BM0214</t>
  </si>
  <si>
    <t>Défense des intérêts de Bordeaux-Métropole - Consorts Gellée / Pommier</t>
  </si>
  <si>
    <t>https://cdn.scnbdx.fr/web-afresco/BOGAMET/MET_ARR_2021-BM0214.pdf</t>
  </si>
  <si>
    <t>2021-BM0173</t>
  </si>
  <si>
    <t>circulation - avenue BELLEVUE- prestation élagage</t>
  </si>
  <si>
    <t>https://cdn.scnbdx.fr/web-afresco/BOGAMET/MET_ARR_2021-BM0173.pdf</t>
  </si>
  <si>
    <t>2021-BM0211</t>
  </si>
  <si>
    <t>circulation - circulation interdite aux véhicules de plus de 3T5 avenue de PYTHAGORE, rue HIPPARQUE et rue ARCHIMEDE</t>
  </si>
  <si>
    <t>https://cdn.scnbdx.fr/web-afresco/BOGAMET/MET_ARR_2021-BM0211.pdf</t>
  </si>
  <si>
    <t>2021-BM0014</t>
  </si>
  <si>
    <t>composition du jury  - Appel à manifestation d’intérêt AIRE 2ème édition - jury de sélection - site de Floirac Gambetta</t>
  </si>
  <si>
    <t>https://cdn.scnbdx.fr/web-afresco/BOGAMET/MET_ARR_2021-BM0014.pdf</t>
  </si>
  <si>
    <t>2021-BM0041</t>
  </si>
  <si>
    <t>Délégation de signature - Charlotte Sorrin et Stéphane Caze-DG par intérim</t>
  </si>
  <si>
    <t>https://cdn.scnbdx.fr/web-afresco/BOGAMET/MET_ARR_2021-BM0041.pdf</t>
  </si>
  <si>
    <t>2021-BM0044</t>
  </si>
  <si>
    <t>Délégation de signature - Yves Miaud</t>
  </si>
  <si>
    <t>https://cdn.scnbdx.fr/web-afresco/BOGAMET/MET_ARR_2021-BM0044.pdf</t>
  </si>
  <si>
    <t>2021-BM0046</t>
  </si>
  <si>
    <t>Délégation de signature - Laurent Hodebar</t>
  </si>
  <si>
    <t>https://cdn.scnbdx.fr/web-afresco/BOGAMET/MET_ARR_2021-BM0046.pdf</t>
  </si>
  <si>
    <t>2021-BM0047</t>
  </si>
  <si>
    <t>Délégation de signature - Olivier Mauret</t>
  </si>
  <si>
    <t>https://cdn.scnbdx.fr/web-afresco/BOGAMET/MET_ARR_2021-BM0047.pdf</t>
  </si>
  <si>
    <t>2021-BM0055</t>
  </si>
  <si>
    <t>Délégation de signature - Danièle Maman-Bensimon</t>
  </si>
  <si>
    <t>https://cdn.scnbdx.fr/web-afresco/BOGAMET/MET_ARR_2021-BM0055.pdf</t>
  </si>
  <si>
    <t>2021-BM0057</t>
  </si>
  <si>
    <t>https://cdn.scnbdx.fr/web-afresco/BOGAMET/MET_ARR_2021-BM0057.pdf</t>
  </si>
  <si>
    <t>2021-BM0309</t>
  </si>
  <si>
    <t>circulation - travaux branchement électrique</t>
  </si>
  <si>
    <t>https://cdn.scnbdx.fr/web-afresco/BOGAMET/MET_ARR_2021-BM0309.pdf</t>
  </si>
  <si>
    <t>2021-BM0439</t>
  </si>
  <si>
    <t>circulation -  travaux réalisation  réfection de la couche de roulement de la rue Paul Bayle a la rue Emile Furte</t>
  </si>
  <si>
    <t>https://cdn.scnbdx.fr/web-afresco/BOGAMET/MET_ARR_2021-BM0439.pdf</t>
  </si>
  <si>
    <t>2021-BM0443</t>
  </si>
  <si>
    <t>circulation - ravaux réalisation réfection de la couche de roulement de la rue Paul Bayle a la rue Emile Furte rue Armand Beraud</t>
  </si>
  <si>
    <t>https://cdn.scnbdx.fr/web-afresco/BOGAMET/MET_ARR_2021-BM0443.pdf</t>
  </si>
  <si>
    <t>2021-BM0447</t>
  </si>
  <si>
    <t>Autorisation d’occupation temporaire – AOT - Construction d’une dalle de répartition pour construction d’un immeuble</t>
  </si>
  <si>
    <t>https://cdn.scnbdx.fr/web-afresco/BOGAMET/MET_ARR_2021-BM0447.pdf</t>
  </si>
  <si>
    <t>2021-BM0104</t>
  </si>
  <si>
    <t>Désignation de jury - représentant spécial du Président pour le jury du concours de maîtrise d’œuvre sur esquisse pour la réhabilitation et l’extension du musée de la création franche</t>
  </si>
  <si>
    <t>https://cdn.scnbdx.fr/web-afresco/BOGAMET/MET_ARR_2021-BM0104.pdf</t>
  </si>
  <si>
    <t>2021-BM0478</t>
  </si>
  <si>
    <t>circulation - travaux avenue PYTHAGORE par l’entreprise GEOSAT</t>
  </si>
  <si>
    <t>https://cdn.scnbdx.fr/web-afresco/BOGAMET/MET_ARR_2021-BM0478.pdf</t>
  </si>
  <si>
    <t>2021-BM0249</t>
  </si>
  <si>
    <t>Délégation de signature - Madame Nathalie Raynal-Voisin</t>
  </si>
  <si>
    <t>https://cdn.scnbdx.fr/web-afresco/BOGAMET/MET_ARR_2021-BM0249.pdf</t>
  </si>
  <si>
    <t>2021-BM0253</t>
  </si>
  <si>
    <t>Délégation de signature - Madame Catherine Benevent</t>
  </si>
  <si>
    <t>https://cdn.scnbdx.fr/web-afresco/BOGAMET/MET_ARR_2021-BM0253.pdf</t>
  </si>
  <si>
    <t>2021-BM0254</t>
  </si>
  <si>
    <t>Délégation de signature - Madame Dominique Dantan</t>
  </si>
  <si>
    <t>https://cdn.scnbdx.fr/web-afresco/BOGAMET/MET_ARR_2021-BM0254.pdf</t>
  </si>
  <si>
    <t>2021-BM0258</t>
  </si>
  <si>
    <t>Délégation de signature - Monsieur Hervé Meyer</t>
  </si>
  <si>
    <t>https://cdn.scnbdx.fr/web-afresco/BOGAMET/MET_ARR_2021-BM0258.pdf</t>
  </si>
  <si>
    <t>2021-BM0471</t>
  </si>
  <si>
    <t>circulation - travaux pose et dépose de cuves sur l’appontement avec une grue mobile Route de Fort  Lajard</t>
  </si>
  <si>
    <t>https://cdn.scnbdx.fr/web-afresco/BOGAMET/MET_ARR_2021-BM0471.pdf</t>
  </si>
  <si>
    <t>2021-BM0264</t>
  </si>
  <si>
    <t>Délégation de signature - Monsieur Quentin Braure de Calignon</t>
  </si>
  <si>
    <t>https://cdn.scnbdx.fr/web-afresco/BOGAMET/MET_ARR_2021-BM0264.pdf</t>
  </si>
  <si>
    <t>2021-BM0268</t>
  </si>
  <si>
    <t>Délégation de signature - Madame Marie-Caroline Vermaut</t>
  </si>
  <si>
    <t>https://cdn.scnbdx.fr/web-afresco/BOGAMET/MET_ARR_2021-BM0268.pdf</t>
  </si>
  <si>
    <t>2021-BM0269</t>
  </si>
  <si>
    <t>Délégation de signature - Monsieur Jérôme Tourne</t>
  </si>
  <si>
    <t>https://cdn.scnbdx.fr/web-afresco/BOGAMET/MET_ARR_2021-BM0269.pdf</t>
  </si>
  <si>
    <t>2021-BM0270</t>
  </si>
  <si>
    <t>Délégation de signature - Madame Joëlle Lopez</t>
  </si>
  <si>
    <t>https://cdn.scnbdx.fr/web-afresco/BOGAMET/MET_ARR_2021-BM0270.pdf</t>
  </si>
  <si>
    <t>2021-BM0371</t>
  </si>
  <si>
    <t>Autorisation de déversement des eaux usées - l’entreprise CANASOUT</t>
  </si>
  <si>
    <t>https://cdn.scnbdx.fr/web-afresco/BOGAMET/MET_ARR_2021-BM0371.pdf</t>
  </si>
  <si>
    <t>2021-BM0035</t>
  </si>
  <si>
    <t>Circulation - travaux d'enfouissement de réseaux au 502 route de Castlenau</t>
  </si>
  <si>
    <t>https://cdn.scnbdx.fr/web-afresco/BOGAMET/MET_ARR_2021-BM0035.pdf</t>
  </si>
  <si>
    <t>2021-BM0040</t>
  </si>
  <si>
    <t>Circulation - Travaux de nuit pour la réalisation du renforcement de la chaussée, Route de Louens (RD211)</t>
  </si>
  <si>
    <t>https://cdn.scnbdx.fr/web-afresco/BOGAMET/MET_ARR_2021-BM0040.pdf</t>
  </si>
  <si>
    <t>2020-BM1514</t>
  </si>
  <si>
    <t>circulation - travaux Réfection enrobée sortie de l’entreprise Entrepôt Pétrolier de la Gironde sur Route du Burck</t>
  </si>
  <si>
    <t>https://cdn.scnbdx.fr/web-afresco/BOGAMET/MET_ARR_2020-BM1514.pdf</t>
  </si>
  <si>
    <t>2020-BM1643</t>
  </si>
  <si>
    <t>circulation - Réparation digue béton (repose existant / reconstitution digue béton / réalisation d’enrobé ).</t>
  </si>
  <si>
    <t>https://cdn.scnbdx.fr/web-afresco/BOGAMET/MET_ARR_2020-BM1643.pdf</t>
  </si>
  <si>
    <t>2020-BM1577</t>
  </si>
  <si>
    <t>Délégation de signature - Mathieu LASSALLE</t>
  </si>
  <si>
    <t>https://cdn.scnbdx.fr/web-afresco/BOGAMET/MET_ARR_2020-BM1577.pdf</t>
  </si>
  <si>
    <t>2020-BM1578</t>
  </si>
  <si>
    <t>Délégation de signature - bons de commande et les ordres de service relatifs à l'exécution des contrats de la commande publique</t>
  </si>
  <si>
    <t>https://cdn.scnbdx.fr/web-afresco/BOGAMET/MET_ARR_2020-BM1578.pdf</t>
  </si>
  <si>
    <t>2021-BM0770</t>
  </si>
  <si>
    <t>Délégation de signature - Monsieur Philippe Casenave</t>
  </si>
  <si>
    <t>https://cdn.scnbdx.fr/web-afresco/BOGAMET/MET_ARR_2021-BM0770.pdf</t>
  </si>
  <si>
    <t>2021-BM1228</t>
  </si>
  <si>
    <t>circulation -  Travaux pour pose d’un collecteur EP en traversée de voie, création d’un branchement, aménagement d’une piste de chantier et d’un fossé  transit des EP sur l’avenue Toussaint Catros, de l’avenue Marcel Dassault à  la rue Diamant (voirie hors agglomération)</t>
  </si>
  <si>
    <t>https://cdn.scnbdx.fr/web-afresco/BOGAMET/MET_ARR_2021-BM1228.pdf</t>
  </si>
  <si>
    <t>2021-BM0752</t>
  </si>
  <si>
    <t>circulation - Travaux sur la commune de Mérignac-rue Marcel ISSARTIER- par l’entreprise SABOM et ses sous-traitants</t>
  </si>
  <si>
    <t>https://cdn.scnbdx.fr/web-afresco/BOGAMET/MET_ARR_2021-BM0752.pdf</t>
  </si>
  <si>
    <t>2021-BM0793</t>
  </si>
  <si>
    <t>Défense des intérêts de Bordeaux-Métropole - Travaux d’amélioration en transport en commun sur la commune de Mérignac - Re-présentation des intérêts de Bordeaux Métropole devant la juridiction de l'expropriation dans le cadre de la procédure d'expropriation - SAPA PLANETE</t>
  </si>
  <si>
    <t>https://cdn.scnbdx.fr/web-afresco/BOGAMET/MET_ARR_2021-BM0793.pdf</t>
  </si>
  <si>
    <t>2021-BM0864</t>
  </si>
  <si>
    <t>circulation - travaux de réparation de conduite, avenue de PYTHAGORE angle avenue Graham BELL</t>
  </si>
  <si>
    <t>https://cdn.scnbdx.fr/web-afresco/BOGAMET/MET_ARR_2021-BM0864.pdf</t>
  </si>
  <si>
    <t>2021-BM0891</t>
  </si>
  <si>
    <t>circulation - travaux de réalisation d’assainissement, de bordures et de réseaux secs de chaussée à l’intersection, de l’avenue Roland Garros et de la rue Avion des Antoinettes</t>
  </si>
  <si>
    <t>https://cdn.scnbdx.fr/web-afresco/BOGAMET/MET_ARR_2021-BM0891.pdf</t>
  </si>
  <si>
    <t>2021-BM1243</t>
  </si>
  <si>
    <t>circulation - Abrogation arrêté permanent 2020-BM0123 du 8.01.2020</t>
  </si>
  <si>
    <t>https://cdn.scnbdx.fr/web-afresco/BOGAMET/MET_ARR_2021-BM1243.pdf</t>
  </si>
  <si>
    <t>2021-BM1159</t>
  </si>
  <si>
    <t>circulation - avenue de l'Argonne, dans sa portion comprise entre le giratoire avec l’avenue de Garros et la rue Marcel ISSATIER - détection et géoréférencement des réseaux - par l’entreprise GEOSAT</t>
  </si>
  <si>
    <t>https://cdn.scnbdx.fr/web-afresco/BOGAMET/MET_ARR_2021-BM1159.pdf</t>
  </si>
  <si>
    <t>2021-BM0884</t>
  </si>
  <si>
    <t>circulation - Travaux sur la commune de Mérignac-avenue de BELLEVUE-Tirage de fibre optique- par l’entreprise TELELEC RESEAUX</t>
  </si>
  <si>
    <t>https://cdn.scnbdx.fr/web-afresco/BOGAMET/MET_ARR_2021-BM0884.pdf</t>
  </si>
  <si>
    <t>2021-BM0849</t>
  </si>
  <si>
    <t>Délégation de signature - Monsieur Arnault Durouchoux</t>
  </si>
  <si>
    <t>https://cdn.scnbdx.fr/web-afresco/BOGAMET/MET_ARR_2021-BM0849.pdf</t>
  </si>
  <si>
    <t>2021-BM0856</t>
  </si>
  <si>
    <t>https://cdn.scnbdx.fr/web-afresco/BOGAMET/MET_ARR_2021-BM0856.pdf</t>
  </si>
  <si>
    <t>2021-BM0857</t>
  </si>
  <si>
    <t>Délégation de signature - Karine Mabillon (DG)</t>
  </si>
  <si>
    <t>https://cdn.scnbdx.fr/web-afresco/BOGAMET/MET_ARR_2021-BM0857.pdf</t>
  </si>
  <si>
    <t>2021-BM0903</t>
  </si>
  <si>
    <t>https://cdn.scnbdx.fr/web-afresco/BOGAMET/MET_ARR_2021-BM0903.pdf</t>
  </si>
  <si>
    <t>2021-BM0918</t>
  </si>
  <si>
    <t>Autorisation d’occupation temporaire – AOT - 58 rue de la Fusterie</t>
  </si>
  <si>
    <t>https://cdn.scnbdx.fr/web-afresco/BOGAMET/MET_ARR_2021-BM0918.pdf</t>
  </si>
  <si>
    <t>2021-BM1339</t>
  </si>
  <si>
    <t>Défense des intérêts de Bordeaux-Métropole - Requalification de l’avenue Edouard Bourlaux – Commune de Gradignan - Représentation des intérêts de Bordeaux Métropole devant la juridiction de l'expropriation dans le cadre de la procédure d'expropriation</t>
  </si>
  <si>
    <t>https://cdn.scnbdx.fr/web-afresco/BOGAMET/MET_ARR_2021-BM1339.pdf</t>
  </si>
  <si>
    <t>2021-BM1404</t>
  </si>
  <si>
    <t>circulation - Travaux de remplacement de poteau FTTH sur accotement sur l’avenue Marcel  Dassault – RD213</t>
  </si>
  <si>
    <t>https://cdn.scnbdx.fr/web-afresco/BOGAMET/MET_ARR_2021-BM1404.pdf</t>
  </si>
  <si>
    <t>2021-BM1311</t>
  </si>
  <si>
    <t>circulation - travaux de déploiement de la fibre optique, chemin du Foin</t>
  </si>
  <si>
    <t>https://cdn.scnbdx.fr/web-afresco/BOGAMET/MET_ARR_2021-BM1311.pdf</t>
  </si>
  <si>
    <t>2021-BM1312</t>
  </si>
  <si>
    <t>circulation - travaux de déploiement de la fibre optique route de Courmateau</t>
  </si>
  <si>
    <t>https://cdn.scnbdx.fr/web-afresco/BOGAMET/MET_ARR_2021-BM1312.pdf</t>
  </si>
  <si>
    <t>2021-BM0963</t>
  </si>
  <si>
    <t>Déclassement - rues Guyart, Son Tay (en partie) et Morin, ainsi qu’une emprise de 23 m2 sur le quai de Paludate à Bordeaux - Versement Indemnité Commissaire Enquêteur suite à enquête publique</t>
  </si>
  <si>
    <t>https://cdn.scnbdx.fr/web-afresco/BOGAMET/MET_ARR_2021-BM0963.pdf</t>
  </si>
  <si>
    <t>2021-BM0797</t>
  </si>
  <si>
    <t>Défense des intérêts de Bordeaux-Métropole - Recours contre l’arrêté de la préfète de la Gironde du 29 mars 2021 déclarant d’utilité publique les travaux de réalisation du bus à haut niveau de service sur les communes de Bordeaux, Mérignac, Eysines, le Haillan, Saint-Médard-en-Jalles, Le Taillan-Médoc et Saint-Aubin-de-Médoc</t>
  </si>
  <si>
    <t>https://cdn.scnbdx.fr/web-afresco/BOGAMET/MET_ARR_2021-BM0797.pdf</t>
  </si>
  <si>
    <t>2021-BM0973</t>
  </si>
  <si>
    <t>Autorisation de déversement des eaux usées - KEOLIS - allée des pins à Bordeaux (Prélèvement en amont du séparateur hydrocarbure), vers la station d’épuration Louis Fargues</t>
  </si>
  <si>
    <t>https://cdn.scnbdx.fr/web-afresco/BOGAMET/MET_ARR_2021-BM0973.pdf</t>
  </si>
  <si>
    <t>2021-BM0979</t>
  </si>
  <si>
    <t>Déclassement - ouvrages d’assainissement du domaine public vers le domaine privé des réseaux situés rue Gutenberg à Pessac - SOVIAGO</t>
  </si>
  <si>
    <t>https://cdn.scnbdx.fr/web-afresco/BOGAMET/MET_ARR_2021-BM0979.pdf</t>
  </si>
  <si>
    <t>2021-BM1097</t>
  </si>
  <si>
    <t>Approbation du plan modificatif d'alignement d'une voie - rue Finlay</t>
  </si>
  <si>
    <t>https://cdn.scnbdx.fr/web-afresco/BOGAMET/MET_ARR_2021-BM1097.pdf</t>
  </si>
  <si>
    <t>2021-BM1106</t>
  </si>
  <si>
    <t>Approbation du plan modificatif d'alignement d'une voie - rue Baillon</t>
  </si>
  <si>
    <t>https://cdn.scnbdx.fr/web-afresco/BOGAMET/MET_ARR_2021-BM1106.pdf</t>
  </si>
  <si>
    <t>2021-BM1107</t>
  </si>
  <si>
    <t>Approbation du plan modificatif d'alignement d'une voie - rue Jeannin</t>
  </si>
  <si>
    <t>https://cdn.scnbdx.fr/web-afresco/BOGAMET/MET_ARR_2021-BM1107.pdf</t>
  </si>
  <si>
    <t>2021-BM1120</t>
  </si>
  <si>
    <t>Approbation du plan modificatif d'alignement d'une voie - rues Clément Thomas et Plantevigne</t>
  </si>
  <si>
    <t>https://cdn.scnbdx.fr/web-afresco/BOGAMET/MET_ARR_2021-BM1120.pdf</t>
  </si>
  <si>
    <t>2021-BM1122</t>
  </si>
  <si>
    <t>Approbation du plan modificatif d'alignement d'une voie - Rue de Rivière</t>
  </si>
  <si>
    <t>https://cdn.scnbdx.fr/web-afresco/BOGAMET/MET_ARR_2021-BM1122.pdf</t>
  </si>
  <si>
    <t>2021-BM0656</t>
  </si>
  <si>
    <t>Défense des intérêts de Bordeaux-Métropole - Martignas sur Jalle - Aménagement du chemin de Monfaucon</t>
  </si>
  <si>
    <t>https://cdn.scnbdx.fr/web-afresco/BOGAMET/MET_ARR_2021-BM0656.pdf</t>
  </si>
  <si>
    <t>2021-BM0600</t>
  </si>
  <si>
    <t>circulation -  Travaux de dérasement d’accotement sur la RD 113 entre le giratoire  interceptant la route de Jourdane et le giratoire interceptant l’avenue des  Industries</t>
  </si>
  <si>
    <t>https://cdn.scnbdx.fr/web-afresco/BOGAMET/MET_ARR_2021-BM0600.pdf</t>
  </si>
  <si>
    <t>2021-BM0659</t>
  </si>
  <si>
    <t>Défense des intérêts de Bordeaux-Métropole - Société SPIE City Networks</t>
  </si>
  <si>
    <t>https://cdn.scnbdx.fr/web-afresco/BOGAMET/MET_ARR_2021-BM0659.pdf</t>
  </si>
  <si>
    <t>2021-BM0785</t>
  </si>
  <si>
    <t>circulation - Travaux de réfection de couches de roulement et de dérasement des accotements, avenue GIRARD à MARTIGNAS SUR JALLE par les entreprises COLAS et EUROVIA</t>
  </si>
  <si>
    <t>https://cdn.scnbdx.fr/web-afresco/BOGAMET/MET_ARR_2021-BM0785.pdf</t>
  </si>
  <si>
    <t>2021-BM0634</t>
  </si>
  <si>
    <t>Délégation de signature - Monsieur Guillaume Singer - DG</t>
  </si>
  <si>
    <t>https://cdn.scnbdx.fr/web-afresco/BOGAMET/MET_ARR_2021-BM0634.pdf</t>
  </si>
  <si>
    <t>2021-BM0636</t>
  </si>
  <si>
    <t>Délégation de signature - Madame Stéphanie Jude (directrice)</t>
  </si>
  <si>
    <t>https://cdn.scnbdx.fr/web-afresco/BOGAMET/MET_ARR_2021-BM0636.pdf</t>
  </si>
  <si>
    <t>2021-BM0637</t>
  </si>
  <si>
    <t>Délégation de signature - Monsieur Jérome Limouzin</t>
  </si>
  <si>
    <t>https://cdn.scnbdx.fr/web-afresco/BOGAMET/MET_ARR_2021-BM0637.pdf</t>
  </si>
  <si>
    <t>2021-BM0638</t>
  </si>
  <si>
    <t>https://cdn.scnbdx.fr/web-afresco/BOGAMET/MET_ARR_2021-BM0638.pdf</t>
  </si>
  <si>
    <t>2021-BM0639</t>
  </si>
  <si>
    <t>Délégation de signature - Arrêtés d'autorisation d'exécution de travaux sur la voirie routière</t>
  </si>
  <si>
    <t>https://cdn.scnbdx.fr/web-afresco/BOGAMET/MET_ARR_2021-BM0639.pdf</t>
  </si>
  <si>
    <t>2021-BM0640</t>
  </si>
  <si>
    <t>Délégation de signature - Documents d'identification et de suivi des déchets dangereux</t>
  </si>
  <si>
    <t>https://cdn.scnbdx.fr/web-afresco/BOGAMET/MET_ARR_2021-BM0640.pdf</t>
  </si>
  <si>
    <t>2021-BM1013</t>
  </si>
  <si>
    <t>Autorisation de déversement des eaux usées - EUROVIA GIRONDE</t>
  </si>
  <si>
    <t>https://cdn.scnbdx.fr/web-afresco/BOGAMET/MET_ARR_2021-BM1013.pdf</t>
  </si>
  <si>
    <t>2021-BM0667</t>
  </si>
  <si>
    <t>Désignation de représentant - Désignation des membres du Comité de suivi du projet relatif au renouvellement de la concession de service de transport urbain de voyageurs et de services de mobilités durables de Bordeaux Métropole</t>
  </si>
  <si>
    <t>https://cdn.scnbdx.fr/web-afresco/BOGAMET/MET_ARR_2021-BM0667.pdf</t>
  </si>
  <si>
    <t>2021-BM0816</t>
  </si>
  <si>
    <t>Mise à jour du PLU 3.1</t>
  </si>
  <si>
    <t>https://cdn.scnbdx.fr/web-afresco/BOGAMET/MET_ARR_2021-BM0816.pdf</t>
  </si>
  <si>
    <t>2021-BM1024</t>
  </si>
  <si>
    <t>Arrêté métropolitain - exploitation des images des caméras du pont Jacques Chaban-Delmas - Convention</t>
  </si>
  <si>
    <t>https://cdn.scnbdx.fr/web-afresco/BOGAMET/MET_ARR_2021-BM1024.pdf</t>
  </si>
  <si>
    <t>2021-BM0989</t>
  </si>
  <si>
    <t>Délégation de signature - Madame Magalie Sabbah (ADG)</t>
  </si>
  <si>
    <t>https://cdn.scnbdx.fr/web-afresco/BOGAMET/MET_ARR_2021-BM0989.pdf</t>
  </si>
  <si>
    <t>2021-BM0990</t>
  </si>
  <si>
    <t>Délégation de signature - Monsieur Thomas Krebs</t>
  </si>
  <si>
    <t>https://cdn.scnbdx.fr/web-afresco/BOGAMET/MET_ARR_2021-BM0990.pdf</t>
  </si>
  <si>
    <t>2021-BM0995</t>
  </si>
  <si>
    <t>Délégation de signature - Monsieur Nicolas Duclos</t>
  </si>
  <si>
    <t>https://cdn.scnbdx.fr/web-afresco/BOGAMET/MET_ARR_2021-BM0995.pdf</t>
  </si>
  <si>
    <t>2021-BM0999</t>
  </si>
  <si>
    <t>Délégation de signature - Madame Karine Mabillon (Directrice pi de l'exploitation)</t>
  </si>
  <si>
    <t>https://cdn.scnbdx.fr/web-afresco/BOGAMET/MET_ARR_2021-BM0999.pdf</t>
  </si>
  <si>
    <t>2021-BM1003</t>
  </si>
  <si>
    <t>Délégation de signature - Monsieur Patrick Dolo</t>
  </si>
  <si>
    <t>https://cdn.scnbdx.fr/web-afresco/BOGAMET/MET_ARR_2021-BM1003.pdf</t>
  </si>
  <si>
    <t>2021-BM1004</t>
  </si>
  <si>
    <t>Délégation de signature - Madame Laure Dorignac</t>
  </si>
  <si>
    <t>https://cdn.scnbdx.fr/web-afresco/BOGAMET/MET_ARR_2021-BM1004.pdf</t>
  </si>
  <si>
    <t>2021-BM1005</t>
  </si>
  <si>
    <t>Délégation de signature - Madame Karine Bonneau</t>
  </si>
  <si>
    <t>https://cdn.scnbdx.fr/web-afresco/BOGAMET/MET_ARR_2021-BM1005.pdf</t>
  </si>
  <si>
    <t>2021-BM1008</t>
  </si>
  <si>
    <t>Délégation de signature - Madame Magali Desperiez</t>
  </si>
  <si>
    <t>https://cdn.scnbdx.fr/web-afresco/BOGAMET/MET_ARR_2021-BM1008.pdf</t>
  </si>
  <si>
    <t>2021-BM0932</t>
  </si>
  <si>
    <t>Délégation de signature - intérim Président BM</t>
  </si>
  <si>
    <t>https://cdn.scnbdx.fr/web-afresco/BOGAMET/MET_ARR_2021-BM0932.pdf</t>
  </si>
  <si>
    <t>2021-BM0935</t>
  </si>
  <si>
    <t>Délégation de signature - Natacha Morel</t>
  </si>
  <si>
    <t>https://cdn.scnbdx.fr/web-afresco/BOGAMET/MET_ARR_2021-BM0935.pdf</t>
  </si>
  <si>
    <t>2021-BM0901</t>
  </si>
  <si>
    <t>Défense des intérêts de Bordeaux-Métropole - Recours indemnitaire de la société MOTER</t>
  </si>
  <si>
    <t>https://cdn.scnbdx.fr/web-afresco/BOGAMET/MET_ARR_2021-BM0901.pdf</t>
  </si>
  <si>
    <t>2021-BM1064</t>
  </si>
  <si>
    <t>Autorisation d'occupation d'un local - entrée D du Parc des Expositions du Lac</t>
  </si>
  <si>
    <t>https://cdn.scnbdx.fr/web-afresco/BOGAMET/MET_ARR_2021-BM1064.pdf</t>
  </si>
  <si>
    <t>2021-BM0301</t>
  </si>
  <si>
    <t>composition de jury - Réalisation pour la construction du nouveau restaurant ainsi que des bureaux des Espaces Verts sur le site de Latule à Bordeaux</t>
  </si>
  <si>
    <t>https://cdn.scnbdx.fr/web-afresco/BOGAMET/MET_ARR_2021-BM0301.pdf</t>
  </si>
  <si>
    <t>2021-BM0940</t>
  </si>
  <si>
    <t>Approbation du CCCT - cession actualisé de l’îlot B075, situé dans la ZAC Bastide Niel</t>
  </si>
  <si>
    <t>https://cdn.scnbdx.fr/web-afresco/BOGAMET/MET_ARR_2021-BM0940.pdf</t>
  </si>
  <si>
    <t>2021-BM0941</t>
  </si>
  <si>
    <t>Approbation du CCCT - cession actualisé des îlots B054 et B064, situé dans la ZAC Bastide Niel</t>
  </si>
  <si>
    <t>https://cdn.scnbdx.fr/web-afresco/BOGAMET/MET_ARR_2021-BM0941.pdf</t>
  </si>
  <si>
    <t>2021-BM1143</t>
  </si>
  <si>
    <t>circulation -  Passage de réseaux de fibre optique, route de Courmateau</t>
  </si>
  <si>
    <t>https://cdn.scnbdx.fr/web-afresco/BOGAMET/MET_ARR_2021-BM1143.pdf</t>
  </si>
  <si>
    <t>2021-BM1231</t>
  </si>
  <si>
    <t>Délégation de signature - Madame Catherine Benevent - DGEP</t>
  </si>
  <si>
    <t>https://cdn.scnbdx.fr/web-afresco/BOGAMET/MET_ARR_2021-BM1231.pdf</t>
  </si>
  <si>
    <t>2021-BM1232</t>
  </si>
  <si>
    <t>Délégation de signature - Madame Catherine Benevent - DDA</t>
  </si>
  <si>
    <t>https://cdn.scnbdx.fr/web-afresco/BOGAMET/MET_ARR_2021-BM1232.pdf</t>
  </si>
  <si>
    <t>2021-BM1233</t>
  </si>
  <si>
    <t>https://cdn.scnbdx.fr/web-afresco/BOGAMET/MET_ARR_2021-BM1233.pdf</t>
  </si>
  <si>
    <t>2021-BM1235</t>
  </si>
  <si>
    <t>Délégation de signature - Madame Elise Le Guiet</t>
  </si>
  <si>
    <t>https://cdn.scnbdx.fr/web-afresco/BOGAMET/MET_ARR_2021-BM1235.pdf</t>
  </si>
  <si>
    <t>2021-BM1237</t>
  </si>
  <si>
    <t>Délégation de signature - Madame Natacha Morel</t>
  </si>
  <si>
    <t>https://cdn.scnbdx.fr/web-afresco/BOGAMET/MET_ARR_2021-BM1237.pdf</t>
  </si>
  <si>
    <t>2021-BM1239</t>
  </si>
  <si>
    <t>Délégation de signature - Autorisation de travaux sur voirie routière</t>
  </si>
  <si>
    <t>https://cdn.scnbdx.fr/web-afresco/BOGAMET/MET_ARR_2021-BM1239.pdf</t>
  </si>
  <si>
    <t>2021-BM1242</t>
  </si>
  <si>
    <t>Délégation de signature - Arrêtés de circulation et de stationnement sur voiries hors agglo</t>
  </si>
  <si>
    <t>https://cdn.scnbdx.fr/web-afresco/BOGAMET/MET_ARR_2021-BM1242.pdf</t>
  </si>
  <si>
    <t>2021-BM1284</t>
  </si>
  <si>
    <t>circulation -  Création du réseau d’eaux pluviales au droit de la zone industrielle du bec d’Ambes</t>
  </si>
  <si>
    <t>https://cdn.scnbdx.fr/web-afresco/BOGAMET/MET_ARR_2021-BM1284.pdf</t>
  </si>
  <si>
    <t>2021-BM1022</t>
  </si>
  <si>
    <t>Défense des intérêts de Bordeaux-Métropole - installation de stockage de dechets interne</t>
  </si>
  <si>
    <t>https://cdn.scnbdx.fr/web-afresco/BOGAMET/MET_ARR_2021-BM1022.pdf</t>
  </si>
  <si>
    <t>2021-BM0682</t>
  </si>
  <si>
    <t>Autorisation d’occupation temporaire – AOT - emprise strictement nécessaire aux travaux préalablement à la cession et à la servitude de la parcelle cadastrée AE n°178</t>
  </si>
  <si>
    <t>https://cdn.scnbdx.fr/web-afresco/BOGAMET/MET_ARR_2021-BM0682.pdf</t>
  </si>
  <si>
    <t>2021-BM0836</t>
  </si>
  <si>
    <t>circulation - nord du camp de Souge- Vitesse limitée à 70 km/h de 6h30 à 9h30- salon militaire camp de Souge</t>
  </si>
  <si>
    <t>https://cdn.scnbdx.fr/web-afresco/BOGAMET/MET_ARR_2021-BM0836.pdf</t>
  </si>
  <si>
    <t>2021-BM0859</t>
  </si>
  <si>
    <t>Autorisation de déversement des eaux usées - Pompage des caveaux du cimetière Saint Martin situé rue des anciens Combattants</t>
  </si>
  <si>
    <t>https://cdn.scnbdx.fr/web-afresco/BOGAMET/MET_ARR_2021-BM0859.pdf</t>
  </si>
  <si>
    <t>2021-BM1074</t>
  </si>
  <si>
    <t>Délégation de signature - Madame Catherine BENEVENT (DDA pi)</t>
  </si>
  <si>
    <t>https://cdn.scnbdx.fr/web-afresco/BOGAMET/MET_ARR_2021-BM1074.pdf</t>
  </si>
  <si>
    <t>2021-BM1076</t>
  </si>
  <si>
    <t>Délégation de signature - Monsieur Stéphane POKORA</t>
  </si>
  <si>
    <t>https://cdn.scnbdx.fr/web-afresco/BOGAMET/MET_ARR_2021-BM1076.pdf</t>
  </si>
  <si>
    <t>2021-BM1079</t>
  </si>
  <si>
    <t>Délégation de signature - Monsieur Michel VAYSSIE (DGS)</t>
  </si>
  <si>
    <t>https://cdn.scnbdx.fr/web-afresco/BOGAMET/MET_ARR_2021-BM1079.pdf</t>
  </si>
  <si>
    <t>2021-BM1082</t>
  </si>
  <si>
    <t>Délégation de signature - Madame Karen THOMAS DE BROUCKER</t>
  </si>
  <si>
    <t>https://cdn.scnbdx.fr/web-afresco/BOGAMET/MET_ARR_2021-BM1082.pdf</t>
  </si>
  <si>
    <t>2021-BM1083</t>
  </si>
  <si>
    <t>Délégation de signature - Monsieur Stéphane-Emmanuel LEURET</t>
  </si>
  <si>
    <t>https://cdn.scnbdx.fr/web-afresco/BOGAMET/MET_ARR_2021-BM1083.pdf</t>
  </si>
  <si>
    <t>2021-BM1085</t>
  </si>
  <si>
    <t>Délégation de signature - Madame Hélène PANAS</t>
  </si>
  <si>
    <t>https://cdn.scnbdx.fr/web-afresco/BOGAMET/MET_ARR_2021-BM1085.pdf</t>
  </si>
  <si>
    <t>2021-BM1086</t>
  </si>
  <si>
    <t>https://cdn.scnbdx.fr/web-afresco/BOGAMET/MET_ARR_2021-BM1086.pdf</t>
  </si>
  <si>
    <t>2021-BM1088</t>
  </si>
  <si>
    <t>Délégation de signature - Monsieur Pierre-Thomas BLAISE</t>
  </si>
  <si>
    <t>https://cdn.scnbdx.fr/web-afresco/BOGAMET/MET_ARR_2021-BM1088.pdf</t>
  </si>
  <si>
    <t>2021-BM1375</t>
  </si>
  <si>
    <t>Délégation de signature - Monsieur Richard Latrie</t>
  </si>
  <si>
    <t>https://cdn.scnbdx.fr/web-afresco/BOGAMET/MET_ARR_2021-BM1375.pdf</t>
  </si>
  <si>
    <t>2021-BM1294</t>
  </si>
  <si>
    <t>Délégation de signature - Madame Anne-Marie Thenaille</t>
  </si>
  <si>
    <t>https://cdn.scnbdx.fr/web-afresco/BOGAMET/MET_ARR_2021-BM1294.pdf</t>
  </si>
  <si>
    <t>2021-BM1300</t>
  </si>
  <si>
    <t>Délégation de signature - Monsieur Mathieu Mauvillain</t>
  </si>
  <si>
    <t>https://cdn.scnbdx.fr/web-afresco/BOGAMET/MET_ARR_2021-BM1300.pdf</t>
  </si>
  <si>
    <t>2021-BM1390</t>
  </si>
  <si>
    <t>Autorisation de déversement des eaux usées - EFS NVAQ</t>
  </si>
  <si>
    <t>https://cdn.scnbdx.fr/web-afresco/BOGAMET/MET_ARR_2021-BM1390.pdf</t>
  </si>
  <si>
    <t>2021-BM1393</t>
  </si>
  <si>
    <t>Autorisation de déversement des eaux usées - Chantier d'Aquitaine</t>
  </si>
  <si>
    <t>https://cdn.scnbdx.fr/web-afresco/BOGAMET/MET_ARR_2021-BM1393.pdf</t>
  </si>
  <si>
    <t>2021-BM0834</t>
  </si>
  <si>
    <t>circulation - Fermeture à la circulation- salon militaire camp de Souge</t>
  </si>
  <si>
    <t>https://cdn.scnbdx.fr/web-afresco/BOGAMET/MET_ARR_2021-BM0834.pdf</t>
  </si>
  <si>
    <t>2021-BM1328</t>
  </si>
  <si>
    <t>Défense des intérêts de Bordeaux-Métropole - SCI Dubois c/Bordeaux Métropole – Droit de préemption</t>
  </si>
  <si>
    <t>https://cdn.scnbdx.fr/web-afresco/BOGAMET/MET_ARR_2021-BM1328.pdf</t>
  </si>
  <si>
    <t>2021-BM1356</t>
  </si>
  <si>
    <t>subvention - Aménagement cyclable crs Mal Juin, Larminat,  Pompidou</t>
  </si>
  <si>
    <t>https://cdn.scnbdx.fr/web-afresco/BOGAMET/MET_ARR_2021-BM1356.pdf</t>
  </si>
  <si>
    <t>2021-BM1382</t>
  </si>
  <si>
    <t>circulation - rue Marcel ISSARTIER</t>
  </si>
  <si>
    <t>https://cdn.scnbdx.fr/web-afresco/BOGAMET/MET_ARR_2021-BM1382.pdf</t>
  </si>
  <si>
    <t>2021-BM1014</t>
  </si>
  <si>
    <t>circulation - Visite d’expertise du pont Rail avec nacelle araignée sur la D257</t>
  </si>
  <si>
    <t>https://cdn.scnbdx.fr/web-afresco/BOGAMET/MET_ARR_2021-BM1014.pdf</t>
  </si>
  <si>
    <t>2021-BM1112</t>
  </si>
  <si>
    <t>circulation - travaux de création d'une entrée sur l'avenue Marcel Dassault au niveau du giratoire Thalès</t>
  </si>
  <si>
    <t>https://cdn.scnbdx.fr/web-afresco/BOGAMET/MET_ARR_2021-BM1112.pdf</t>
  </si>
  <si>
    <t>2021-BM0863</t>
  </si>
  <si>
    <t>circulation -  travaux sondage  ponctuels au droit des industrie dans le cadre du futur travaux d’assainissement</t>
  </si>
  <si>
    <t>https://cdn.scnbdx.fr/web-afresco/BOGAMET/MET_ARR_2021-BM0863.pdf</t>
  </si>
  <si>
    <t>2021-BM0865</t>
  </si>
  <si>
    <t>circulation - Terrassement chaussée et accotement pour raccordement IRVE carrefour</t>
  </si>
  <si>
    <t>https://cdn.scnbdx.fr/web-afresco/BOGAMET/MET_ARR_2021-BM0865.pdf</t>
  </si>
  <si>
    <t>2021-BM1177</t>
  </si>
  <si>
    <t>Autorisation de déversement des eaux usées - SOBEBO, Lot 1 Rue du Dehez, ses cotraitants et sous-traitants, dans le réseau public d’eaux pluviales de bordeaux métropole</t>
  </si>
  <si>
    <t>https://cdn.scnbdx.fr/web-afresco/BOGAMET/MET_ARR_2021-BM1177.pdf</t>
  </si>
  <si>
    <t>2021-BM1180</t>
  </si>
  <si>
    <t>Autorisation de déversement des eaux usées - de l’Etablissement SPAC dans le réseau d’assainissement public EP (Ruisseau d’Ars) de Bordeaux Métropole vers le Milieu Naturel Rue Charles Chaigneau</t>
  </si>
  <si>
    <t>https://cdn.scnbdx.fr/web-afresco/BOGAMET/MET_ARR_2021-BM1180.pdf</t>
  </si>
  <si>
    <t>2021-BM1247</t>
  </si>
  <si>
    <t>circulation -  travaux renouvellement branchement eau</t>
  </si>
  <si>
    <t>https://cdn.scnbdx.fr/web-afresco/BOGAMET/MET_ARR_2021-BM1247.pdf</t>
  </si>
  <si>
    <t>2021-BM1249</t>
  </si>
  <si>
    <t>circulation -  travaux Réfection  en enrobé noir 0/10 sur chaussée sur 1250 40m2 +reprise de la  signalisation au sol sue 2 m2</t>
  </si>
  <si>
    <t>https://cdn.scnbdx.fr/web-afresco/BOGAMET/MET_ARR_2021-BM1249.pdf</t>
  </si>
  <si>
    <t>2021-BM1256</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</si>
  <si>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Décisions d’ester</t>
  </si>
  <si>
    <t>https://cdn.scnbdx.fr/web-afresco/BOGAMET/MET_ARR_2021-BM1256.pdf</t>
  </si>
  <si>
    <t>2021-BM1451</t>
  </si>
  <si>
    <t>Défense des intérêts de Bordeaux-Métropole - Travaux d’aménagement des rues Bensac, Fillon et des Ardillères, voiries connexes au lotis-sement Fontanieu « Clos d’Athéna »</t>
  </si>
  <si>
    <t>https://cdn.scnbdx.fr/web-afresco/BOGAMET/MET_ARR_2021-BM1451.pdf</t>
  </si>
  <si>
    <t>2021-BM1458</t>
  </si>
  <si>
    <t>Défense des intérêts de Bordeaux-Métropole - Constitution d'une réserve foncière, en vue de la réalisation d'une opération d'aménagement sur le secteur du Bourdieu Cassy-Vigney</t>
  </si>
  <si>
    <t>https://cdn.scnbdx.fr/web-afresco/BOGAMET/MET_ARR_2021-BM1458.pdf</t>
  </si>
  <si>
    <t>2021-BM1174</t>
  </si>
  <si>
    <t>Permanent de circulation - Sécurisation de la RD 107 E2</t>
  </si>
  <si>
    <t>https://cdn.scnbdx.fr/web-afresco/BOGAMET/MET_ARR_2021-BM1174.pdf</t>
  </si>
  <si>
    <t>2021-BM1184</t>
  </si>
  <si>
    <t>circulation - travaux de déploiement du réseau fibre optique, ouverture de chambres télécoms existantes pour aiguillages de fourreaux et tirage de câbles optiques, 60-82-112 avenue de l’ARGONNE</t>
  </si>
  <si>
    <t>https://cdn.scnbdx.fr/web-afresco/BOGAMET/MET_ARR_2021-BM1184.pdf</t>
  </si>
  <si>
    <t>2021-BM1197</t>
  </si>
  <si>
    <t>Circulation - Travaux av. de Bellevue / Colas</t>
  </si>
  <si>
    <t>https://cdn.scnbdx.fr/web-afresco/BOGAMET/MET_ARR_2021-BM1197.pdf</t>
  </si>
  <si>
    <t>2021-BM1227</t>
  </si>
  <si>
    <t>Défense des intérêts de Bordeaux-Métropole - Arrêt de la CAA de Bordeaux du 8 avril 2021</t>
  </si>
  <si>
    <t>https://cdn.scnbdx.fr/web-afresco/BOGAMET/MET_ARR_2021-BM1227.pdf</t>
  </si>
  <si>
    <t>2021-BM1358</t>
  </si>
  <si>
    <t>Délégation de signature - Monsieur Franck Descoubes - DG</t>
  </si>
  <si>
    <t>https://cdn.scnbdx.fr/web-afresco/BOGAMET/MET_ARR_2021-BM1358.pdf</t>
  </si>
  <si>
    <t>2021-BM1361</t>
  </si>
  <si>
    <t>Délégation de signature - Madame Valérie Charle</t>
  </si>
  <si>
    <t>https://cdn.scnbdx.fr/web-afresco/BOGAMET/MET_ARR_2021-BM1361.pdf</t>
  </si>
  <si>
    <t>2021-BM1367</t>
  </si>
  <si>
    <t>Délégation de signature - Madame Danièle Maman-Bensimon</t>
  </si>
  <si>
    <t>https://cdn.scnbdx.fr/web-afresco/BOGAMET/MET_ARR_2021-BM1367.pdf</t>
  </si>
  <si>
    <t>2021-BM1370</t>
  </si>
  <si>
    <t>Délégation de signature - Madame Sophie Jeantet</t>
  </si>
  <si>
    <t>https://cdn.scnbdx.fr/web-afresco/BOGAMET/MET_ARR_2021-BM1370.pdf</t>
  </si>
  <si>
    <t>2021-BM1470</t>
  </si>
  <si>
    <t>circulation - Mesures temporaires de circulation et de stationnement liées à l’organisation du  match de football Bdx/PSG le 06/11 ainsi que le match de rugby France/Géorgie le  14/11 – commune de Blanquefort – avenue Port du Roy entre le giratoire  interceptant l’avenue de Labarde et le giratoire interceptant la rue Antoine de  Saint Exupéry – hors agglo</t>
  </si>
  <si>
    <t>https://cdn.scnbdx.fr/web-afresco/BOGAMET/MET_ARR_2021-BM1470.pdf</t>
  </si>
  <si>
    <t>2021-BM1432</t>
  </si>
  <si>
    <t>classement - rue Vert Castel et du tronçon de l’avenue de la Grande Semaine</t>
  </si>
  <si>
    <t>https://cdn.scnbdx.fr/web-afresco/BOGAMET/MET_ARR_2021-BM1432.pdf</t>
  </si>
  <si>
    <t>2021-BM0663</t>
  </si>
  <si>
    <t>Autorisation de déversement des eaux usées - Hôtel Renaissance</t>
  </si>
  <si>
    <t>https://cdn.scnbdx.fr/web-afresco/BOGAMET/MET_ARR_2021-BM0663.pdf</t>
  </si>
  <si>
    <t>2021-BM0676</t>
  </si>
  <si>
    <t>https://cdn.scnbdx.fr/web-afresco/BOGAMET/MET_ARR_2021-BM0676.pdf</t>
  </si>
  <si>
    <t>2021-BM0887</t>
  </si>
  <si>
    <t>classement - l’allée des Bergeronnettes</t>
  </si>
  <si>
    <t>https://cdn.scnbdx.fr/web-afresco/BOGAMET/MET_ARR_2021-BM0887.pdf</t>
  </si>
  <si>
    <t>2021-BM0914</t>
  </si>
  <si>
    <t>Autorisation de déversement des eaux usées - 59 avenue de la libération</t>
  </si>
  <si>
    <t>https://cdn.scnbdx.fr/web-afresco/BOGAMET/MET_ARR_2021-BM0914.pdf</t>
  </si>
  <si>
    <t>2021-BM0915</t>
  </si>
  <si>
    <t>Autorisation de déversement des eaux usées - 40 chemin Lafon</t>
  </si>
  <si>
    <t>https://cdn.scnbdx.fr/web-afresco/BOGAMET/MET_ARR_2021-BM0915.pdf</t>
  </si>
  <si>
    <t>2021-BM1290</t>
  </si>
  <si>
    <t>Délégation de signature - Bernard-Louis BLANC</t>
  </si>
  <si>
    <t>https://cdn.scnbdx.fr/web-afresco/BOGAMET/MET_ARR_2021-BM1290.pdf</t>
  </si>
  <si>
    <t>2021-BM1291</t>
  </si>
  <si>
    <t>Délégation de signature - Alexandre RUBIO</t>
  </si>
  <si>
    <t>https://cdn.scnbdx.fr/web-afresco/BOGAMET/MET_ARR_2021-BM1291.pdf</t>
  </si>
  <si>
    <t>2021-BM1313</t>
  </si>
  <si>
    <t>convention - Convention d'occupation précaire d'une parcelle du domaine public de  la Région Nouvelle Aquitaine</t>
  </si>
  <si>
    <t>https://cdn.scnbdx.fr/web-afresco/BOGAMET/MET_ARR_2021-BM1313.pdf</t>
  </si>
  <si>
    <t>2021-BM0674</t>
  </si>
  <si>
    <t>Arrêté métropolitain - Prêt à usage d’un véhicule électrique - Banque alimentaire</t>
  </si>
  <si>
    <t>https://cdn.scnbdx.fr/web-afresco/BOGAMET/MET_ARR_2021-BM0674.pdf</t>
  </si>
  <si>
    <t>2021-BM0707</t>
  </si>
  <si>
    <t>Délégation de signature - Monsieur Stéphane Peyrichou</t>
  </si>
  <si>
    <t>https://cdn.scnbdx.fr/web-afresco/BOGAMET/MET_ARR_2021-BM0707.pdf</t>
  </si>
  <si>
    <t>2021-BM0708</t>
  </si>
  <si>
    <t>Délégation de signature - Madame Charlotte Sorrin</t>
  </si>
  <si>
    <t>https://cdn.scnbdx.fr/web-afresco/BOGAMET/MET_ARR_2021-BM0708.pdf</t>
  </si>
  <si>
    <t>2021-BM0709</t>
  </si>
  <si>
    <t>Délégation de signature - Monsieur Mathieu Roussenac</t>
  </si>
  <si>
    <t>https://cdn.scnbdx.fr/web-afresco/BOGAMET/MET_ARR_2021-BM0709.pdf</t>
  </si>
  <si>
    <t>2021-BM0710</t>
  </si>
  <si>
    <t>Délégation de signature - Monsieur Olivier Mauret</t>
  </si>
  <si>
    <t>https://cdn.scnbdx.fr/web-afresco/BOGAMET/MET_ARR_2021-BM0710.pdf</t>
  </si>
  <si>
    <t>2021-BM0712</t>
  </si>
  <si>
    <t>Délégation de signature - Monsieur Laurent Hodebar</t>
  </si>
  <si>
    <t>https://cdn.scnbdx.fr/web-afresco/BOGAMET/MET_ARR_2021-BM0712.pdf</t>
  </si>
  <si>
    <t>2021-BM0713</t>
  </si>
  <si>
    <t>Délégation de signature - Madame Yasmine Darmante</t>
  </si>
  <si>
    <t>https://cdn.scnbdx.fr/web-afresco/BOGAMET/MET_ARR_2021-BM0713.pdf</t>
  </si>
  <si>
    <t>2021-BM0717</t>
  </si>
  <si>
    <t>Délégation de signature - Monsieur Etienne Morin</t>
  </si>
  <si>
    <t>https://cdn.scnbdx.fr/web-afresco/BOGAMET/MET_ARR_2021-BM0717.pdf</t>
  </si>
  <si>
    <t>2021-BM0719</t>
  </si>
  <si>
    <t>Délégation de signature - Monsieur Julien Birgi</t>
  </si>
  <si>
    <t>https://cdn.scnbdx.fr/web-afresco/BOGAMET/MET_ARR_2021-BM0719.pdf</t>
  </si>
  <si>
    <t>2021-BM0725</t>
  </si>
  <si>
    <t>Délégation de signature - Monsieur Xavier Messager</t>
  </si>
  <si>
    <t>https://cdn.scnbdx.fr/web-afresco/BOGAMET/MET_ARR_2021-BM0725.pdf</t>
  </si>
  <si>
    <t>2021-BM0726</t>
  </si>
  <si>
    <t>Délégation de signature - Monsieur Pascal Botzung</t>
  </si>
  <si>
    <t>https://cdn.scnbdx.fr/web-afresco/BOGAMET/MET_ARR_2021-BM0726.pdf</t>
  </si>
  <si>
    <t>2021-BM0837</t>
  </si>
  <si>
    <t>Délégation de signature - Monsieur Guillaume Singer</t>
  </si>
  <si>
    <t>https://cdn.scnbdx.fr/web-afresco/BOGAMET/MET_ARR_2021-BM0837.pdf</t>
  </si>
  <si>
    <t>2021-BM0737</t>
  </si>
  <si>
    <t>Délégation de signature - Madame Marina Darpeix</t>
  </si>
  <si>
    <t>https://cdn.scnbdx.fr/web-afresco/BOGAMET/MET_ARR_2021-BM0737.pdf</t>
  </si>
  <si>
    <t>2021-BM0738</t>
  </si>
  <si>
    <t>Délégation de signature - Madame Virginie Bache Gabrielsen</t>
  </si>
  <si>
    <t>https://cdn.scnbdx.fr/web-afresco/BOGAMET/MET_ARR_2021-BM0738.pdf</t>
  </si>
  <si>
    <t>2021-BM0739</t>
  </si>
  <si>
    <t>Délégation de signature - Madame Karen Thomas de Broucker</t>
  </si>
  <si>
    <t>https://cdn.scnbdx.fr/web-afresco/BOGAMET/MET_ARR_2021-BM0739.pdf</t>
  </si>
  <si>
    <t>2021-BM0741</t>
  </si>
  <si>
    <t>Délégation de signature - Monsieur Thierry Lejay</t>
  </si>
  <si>
    <t>https://cdn.scnbdx.fr/web-afresco/BOGAMET/MET_ARR_2021-BM0741.pdf</t>
  </si>
  <si>
    <t>2021-BM0742</t>
  </si>
  <si>
    <t>Délégation de signature - Monsieur Pierre-Thomas Blaise</t>
  </si>
  <si>
    <t>https://cdn.scnbdx.fr/web-afresco/BOGAMET/MET_ARR_2021-BM0742.pdf</t>
  </si>
  <si>
    <t>2021-BM0744</t>
  </si>
  <si>
    <t>Délégation de signature - Monsieur Frédéric Laux</t>
  </si>
  <si>
    <t>https://cdn.scnbdx.fr/web-afresco/BOGAMET/MET_ARR_2021-BM0744.pdf</t>
  </si>
  <si>
    <t>2021-BM0761</t>
  </si>
  <si>
    <t>Désignation de représentant - Président de la Commission de concessions ayant pour objet la passation d’un avenant à la délégation de service public du réseau de chaleur urbain Plaine de Garonne Énergies</t>
  </si>
  <si>
    <t>https://cdn.scnbdx.fr/web-afresco/BOGAMET/MET_ARR_2021-BM0761.pdf</t>
  </si>
  <si>
    <t>2021-BM1521</t>
  </si>
  <si>
    <t>Délégation de signature - Madame Camille Lafabrie-Raymond</t>
  </si>
  <si>
    <t>https://cdn.scnbdx.fr/web-afresco/BOGAMET/MET_ARR_2021-BM1521.pdf</t>
  </si>
  <si>
    <t>2021-BM1522</t>
  </si>
  <si>
    <t>Délégation de signature - Monsieur Vincent Berat</t>
  </si>
  <si>
    <t>https://cdn.scnbdx.fr/web-afresco/BOGAMET/MET_ARR_2021-BM1522.pdf</t>
  </si>
  <si>
    <t>2021-BM1523</t>
  </si>
  <si>
    <t>Délégation de signature - Madame Caroline Lafage</t>
  </si>
  <si>
    <t>https://cdn.scnbdx.fr/web-afresco/BOGAMET/MET_ARR_2021-BM1523.pdf</t>
  </si>
  <si>
    <t>2021-BM1524</t>
  </si>
  <si>
    <t>Délégation de signature - Monsieur Thibaut Rufas</t>
  </si>
  <si>
    <t>https://cdn.scnbdx.fr/web-afresco/BOGAMET/MET_ARR_2021-BM1524.pdf</t>
  </si>
  <si>
    <t>2021-BM1525</t>
  </si>
  <si>
    <t>https://cdn.scnbdx.fr/web-afresco/BOGAMET/MET_ARR_2021-BM1525.pdf</t>
  </si>
  <si>
    <t>2021-BM1586</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</si>
  <si>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BORDAS</t>
  </si>
  <si>
    <t>https://cdn.scnbdx.fr/web-afresco/BOGAMET/MET_ARR_2021-BM1586.pdf</t>
  </si>
  <si>
    <t>2021-BM1587</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</si>
  <si>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SEGUIN Catherine</t>
  </si>
  <si>
    <t>https://cdn.scnbdx.fr/web-afresco/BOGAMET/MET_ARR_2021-BM1587.pdf</t>
  </si>
  <si>
    <t>2021-BM1593</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</si>
  <si>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DAIX CHINCHON</t>
  </si>
  <si>
    <t>https://cdn.scnbdx.fr/web-afresco/BOGAMET/MET_ARR_2021-BM1593.pdf</t>
  </si>
  <si>
    <t>2021-BM1594</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</si>
  <si>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BERGEROT</t>
  </si>
  <si>
    <t>https://cdn.scnbdx.fr/web-afresco/BOGAMET/MET_ARR_2021-BM1594.pdf</t>
  </si>
  <si>
    <t>2021-BM1596</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</si>
  <si>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Ayants droit CAZEAUX</t>
  </si>
  <si>
    <t>https://cdn.scnbdx.fr/web-afresco/BOGAMET/MET_ARR_2021-BM1596.pdf</t>
  </si>
  <si>
    <t>2021-BM1598</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</si>
  <si>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Consorts BERRON ROULET</t>
  </si>
  <si>
    <t>https://cdn.scnbdx.fr/web-afresco/BOGAMET/MET_ARR_2021-BM1598.pdf</t>
  </si>
  <si>
    <t>2021-BM1531</t>
  </si>
  <si>
    <t>circulation - Travaux sur la commune de Mérignac - Avenue de Bellevue - Pose de bâche incendie par l'entreprise SOC</t>
  </si>
  <si>
    <t>https://cdn.scnbdx.fr/web-afresco/BOGAMET/MET_ARR_2021-BM1531.pdf</t>
  </si>
  <si>
    <t>2021-BM1549</t>
  </si>
  <si>
    <t>circulation -  travaux de  réalisation de sondages verticaux de la chausséeroute du  Burck jusqu’à l’intersection rue Bourceau</t>
  </si>
  <si>
    <t>https://cdn.scnbdx.fr/web-afresco/BOGAMET/MET_ARR_2021-BM1549.pdf</t>
  </si>
  <si>
    <t>2021-BM1550</t>
  </si>
  <si>
    <t>circulation -  travaux de  réalisation de sondages verticaux de la chaussée rue  Déportation entre sortie agglomération et ZI des grillons et entrée  agglomération</t>
  </si>
  <si>
    <t>https://cdn.scnbdx.fr/web-afresco/BOGAMET/MET_ARR_2021-BM1550.pdf</t>
  </si>
  <si>
    <t>2021-BM1572</t>
  </si>
  <si>
    <t>Circulation - Travaux de plantations impactant la circulation sur le quai de Brienne, le boulevard des Frères Moga et le quai du Président Wilson jusqu'à la rue Marcel Sembat (voirie horts agglomération), communes de Bordeaux et de Bègles. Mesures de circulation et de stationnement.</t>
  </si>
  <si>
    <t>https://cdn.scnbdx.fr/web-afresco/BOGAMET/MET_ARR_2021-BM1572.pdf</t>
  </si>
  <si>
    <t>2021-BM1575</t>
  </si>
  <si>
    <t>circulation - Circulation/Stationnement en relation avec des travaux de  chaudronnerie.</t>
  </si>
  <si>
    <t>https://cdn.scnbdx.fr/web-afresco/BOGAMET/MET_ARR_2021-BM1575.pdf</t>
  </si>
  <si>
    <t>2021-BM1576</t>
  </si>
  <si>
    <t>Autorisation de déversement des eaux usées - Autorisation de déversement d’eaux usées autres que domestiques de SNC AIRIS MONTESQUIEU, situé 40 Avenue Ariane, 33700 Mérignac, dans le réseau public de Bordeaux Métropole, vers la station d’épuration de Louis Fargue à Bordeaux.</t>
  </si>
  <si>
    <t>https://cdn.scnbdx.fr/web-afresco/BOGAMET/MET_ARR_2021-BM1576.pdf</t>
  </si>
  <si>
    <t>2021-BM1474</t>
  </si>
  <si>
    <t>Désignation de représentant - Désignation des membres de la Commission d'Indemnisation Amiable du préjudice commercial du fait de travaux</t>
  </si>
  <si>
    <t>https://cdn.scnbdx.fr/web-afresco/BOGAMET/MET_ARR_2021-BM1474.pdf</t>
  </si>
  <si>
    <t>2021-BM1494</t>
  </si>
  <si>
    <t>Autorisation de déversement des eaux usées - GTM îlot des Cimes</t>
  </si>
  <si>
    <t>https://cdn.scnbdx.fr/web-afresco/BOGAMET/MET_ARR_2021-BM1494.pdf</t>
  </si>
  <si>
    <t>2021-BM1495</t>
  </si>
  <si>
    <t>Autorisation de déversement des eaux usées - Eiffage route Sud-Ouest</t>
  </si>
  <si>
    <t>https://cdn.scnbdx.fr/web-afresco/BOGAMET/MET_ARR_2021-BM1495.pdf</t>
  </si>
  <si>
    <t>2021-BM1607</t>
  </si>
  <si>
    <t>Déclassement - portions des parcelles GA8, GA7, GA18 – ZAC Saint Jean Belcier – Quai de Paludate</t>
  </si>
  <si>
    <t>https://cdn.scnbdx.fr/web-afresco/BOGAMET/MET_ARR_2021-BM1607.pdf</t>
  </si>
  <si>
    <t>2021-BM1536</t>
  </si>
  <si>
    <t>circulation -  travaux tirage de  câble fibre optique Route de Fort Lajard</t>
  </si>
  <si>
    <t>https://cdn.scnbdx.fr/web-afresco/BOGAMET/MET_ARR_2021-BM1536.pdf</t>
  </si>
  <si>
    <t>2021-BM1436</t>
  </si>
  <si>
    <t>circulation - ouverture de chambres télécom pour passage et raccordement câble fibre optique avenue Marcel DASSAULT</t>
  </si>
  <si>
    <t>https://cdn.scnbdx.fr/web-afresco/BOGAMET/MET_ARR_2021-BM1436.pdf</t>
  </si>
  <si>
    <t>2021-BM1642</t>
  </si>
  <si>
    <t>circulation - Circulation/Stationnement en relation avec des travaux  branchement sur trottoir.</t>
  </si>
  <si>
    <t>https://cdn.scnbdx.fr/web-afresco/BOGAMET/MET_ARR_2021-BM1642.pdf</t>
  </si>
  <si>
    <t>2021-BM1649</t>
  </si>
  <si>
    <t>Déclassement - Bordeaux – PRU des Aubiers / Lac - Déclassement d’une partie du parc de stationnement sis rue de Caumont et rue des Genêts – Décision – Ouverture de l’enquête publique</t>
  </si>
  <si>
    <t>https://cdn.scnbdx.fr/web-afresco/BOGAMET/MET_ARR_2021-BM1649.pdf</t>
  </si>
  <si>
    <t>2021-BM1490</t>
  </si>
  <si>
    <t>Circulation -  travaux réalisation de sondages verticaux</t>
  </si>
  <si>
    <t>https://cdn.scnbdx.fr/web-afresco/BOGAMET/MET_ARR_2021-BM1490.pdf</t>
  </si>
  <si>
    <t>2020-BM0645</t>
  </si>
  <si>
    <t>circulation - Travaux de réfection de la couche de roulement sur la Côte de la Garonne dans le sens descendant vers Bassens</t>
  </si>
  <si>
    <t>https://cdn.scnbdx.fr/web-afresco/BOGAMET/MET_ARR_2020-BM0645.pdf</t>
  </si>
  <si>
    <t>2020-BM0497</t>
  </si>
  <si>
    <t>Défense des intérêts de Bordeaux-Métropole - Recours introduit par le syndicat CFDT Interco 33</t>
  </si>
  <si>
    <t>https://cdn.scnbdx.fr/web-afresco/BOGAMET/MET_ARR_2020-BM0497.pdf</t>
  </si>
  <si>
    <t>2020-BM0498</t>
  </si>
  <si>
    <t>Défense des intérêts de Bordeaux-Métropole - Recours introduit par Monsieur Aurélien Garnung</t>
  </si>
  <si>
    <t>https://cdn.scnbdx.fr/web-afresco/BOGAMET/MET_ARR_2020-BM0498.pdf</t>
  </si>
  <si>
    <t>2020-BM0606</t>
  </si>
  <si>
    <t>circulation - Travaux de terrassement pour la création d’une dalle béton pour la pose d’un équipement de contrôle sur la RD113 (voirie hors agglomération), commune de Martignas-sur-Jalle. Mesures de circulation et de stationnement.</t>
  </si>
  <si>
    <t>https://cdn.scnbdx.fr/web-afresco/BOGAMET/MET_ARR_2020-BM0606.pdf</t>
  </si>
  <si>
    <t>2020-BM0690</t>
  </si>
  <si>
    <t>circulation - Travaux de réfection de la couche de roulement d’une buse de rabey suite à un affaissement de la chaussée sur le Quai de Vial D10</t>
  </si>
  <si>
    <t>https://cdn.scnbdx.fr/web-afresco/BOGAMET/MET_ARR_2020-BM0690.pdf</t>
  </si>
  <si>
    <t>2020-BM0616</t>
  </si>
  <si>
    <t>Autorisation de déversement des eaux usées - société SOLREM</t>
  </si>
  <si>
    <t>https://cdn.scnbdx.fr/web-afresco/BOGAMET/MET_ARR_2020-BM0616.pdf</t>
  </si>
  <si>
    <t>2020-BM0618</t>
  </si>
  <si>
    <t>Autorisation de déversement des eaux usées - SCCV LE CLOS D’ANDORTE</t>
  </si>
  <si>
    <t>https://cdn.scnbdx.fr/web-afresco/BOGAMET/MET_ARR_2020-BM0618.pdf</t>
  </si>
  <si>
    <t>2020-BM0651</t>
  </si>
  <si>
    <t>circulation - Travaux pour le remplacement d’un candélabre accidenté au niveau du rond-point de Martignas, sur l’avenue Marcel Dassault</t>
  </si>
  <si>
    <t>https://cdn.scnbdx.fr/web-afresco/BOGAMET/MET_ARR_2020-BM0651.pdf</t>
  </si>
  <si>
    <t>2020-BM0658</t>
  </si>
  <si>
    <t>circulation - PROLONGATION - Travaux de création d’une entrée provisoire, au droit de la ZAC du Phare, au niveau du Chemin du Phare</t>
  </si>
  <si>
    <t>https://cdn.scnbdx.fr/web-afresco/BOGAMET/MET_ARR_2020-BM0658.pdf</t>
  </si>
  <si>
    <t>2020-BM0660</t>
  </si>
  <si>
    <t>circulation - Travaux de réalisation de trois écrans acoustiques sur le boulevard Jacques Chaban-Delmas, quartier de la Mothe-Daugère au niveau des échangeurs 4 et 5</t>
  </si>
  <si>
    <t>https://cdn.scnbdx.fr/web-afresco/BOGAMET/MET_ARR_2020-BM0660.pdf</t>
  </si>
  <si>
    <t>2020-BM0657</t>
  </si>
  <si>
    <t>circulation - Travaux de réfection de la couche de roulement sur le boulevard Joliot Curie</t>
  </si>
  <si>
    <t>https://cdn.scnbdx.fr/web-afresco/BOGAMET/MET_ARR_2020-BM0657.pdf</t>
  </si>
  <si>
    <t>2020-BM0488</t>
  </si>
  <si>
    <t>Transaction attribuant une indemnité suite à un préjudice commercial - "Aux Jardins d'Hastignan" - 2 rue Delaube</t>
  </si>
  <si>
    <t>https://cdn.scnbdx.fr/web-afresco/BOGAMET/MET_ARR_2020-BM0488.pdf</t>
  </si>
  <si>
    <t>2020-BM0659</t>
  </si>
  <si>
    <t>circulation - Arrêté temporaire hors agglomération-travaux avenue de BELLEVUE à Mérignac- par l’entreprise TELELEC RESEAUX</t>
  </si>
  <si>
    <t>https://cdn.scnbdx.fr/web-afresco/BOGAMET/MET_ARR_2020-BM0659.pdf</t>
  </si>
  <si>
    <t>2020-BM0689</t>
  </si>
  <si>
    <t>circulation - travaux d'enfouissement avenue de Martignas</t>
  </si>
  <si>
    <t>https://cdn.scnbdx.fr/web-afresco/BOGAMET/MET_ARR_2020-BM0689.pdf</t>
  </si>
  <si>
    <t>2020-BM0833</t>
  </si>
  <si>
    <t>Délégation de signature - Madame Claudine BICHET</t>
  </si>
  <si>
    <t>https://cdn.scnbdx.fr/web-afresco/BOGAMET/MET_ARR_2020-BM0833.pdf</t>
  </si>
  <si>
    <t>2020-BM0834</t>
  </si>
  <si>
    <t>Délégation de signature - Monsieur Bernard BLANC</t>
  </si>
  <si>
    <t>https://cdn.scnbdx.fr/web-afresco/BOGAMET/MET_ARR_2020-BM0834.pdf</t>
  </si>
  <si>
    <t>2020-BM0850</t>
  </si>
  <si>
    <t>Délégation de signature - Madame Marie-Claude NOEL</t>
  </si>
  <si>
    <t>https://cdn.scnbdx.fr/web-afresco/BOGAMET/MET_ARR_2020-BM0850.pdf</t>
  </si>
  <si>
    <t>2020-BM0854</t>
  </si>
  <si>
    <t>Délégation de signature - Madame Isabelle RAMI</t>
  </si>
  <si>
    <t>https://cdn.scnbdx.fr/web-afresco/BOGAMET/MET_ARR_2020-BM0854.pdf</t>
  </si>
  <si>
    <t>2020-BM0855</t>
  </si>
  <si>
    <t>Délégation de signature - Monsieur Clément ROSSIGNOL-PUECH</t>
  </si>
  <si>
    <t>https://cdn.scnbdx.fr/web-afresco/BOGAMET/MET_ARR_2020-BM0855.pdf</t>
  </si>
  <si>
    <t>2020-BM0858</t>
  </si>
  <si>
    <t>Délégation de signature - Monsieur Jean TOUZEAU</t>
  </si>
  <si>
    <t>https://cdn.scnbdx.fr/web-afresco/BOGAMET/MET_ARR_2020-BM0858.pdf</t>
  </si>
  <si>
    <t>2020-BM0694</t>
  </si>
  <si>
    <t>circulation - Place Dauphine</t>
  </si>
  <si>
    <t>https://cdn.scnbdx.fr/web-afresco/BOGAMET/MET_ARR_2020-BM0694.pdf</t>
  </si>
  <si>
    <t>2020-BM0715</t>
  </si>
  <si>
    <t>Délégation de signature - Monsieur Philippe CASENAVE</t>
  </si>
  <si>
    <t>https://cdn.scnbdx.fr/web-afresco/BOGAMET/MET_ARR_2020-BM0715.pdf</t>
  </si>
  <si>
    <t>2020-BM0719</t>
  </si>
  <si>
    <t>Délégation de signature - Monsieur Mathieu MAUVILLAIN</t>
  </si>
  <si>
    <t>https://cdn.scnbdx.fr/web-afresco/BOGAMET/MET_ARR_2020-BM0719.pdf</t>
  </si>
  <si>
    <t>2020-BM0721</t>
  </si>
  <si>
    <t>Délégation de signature - Madame Karine MABILLON (DG pi)</t>
  </si>
  <si>
    <t>https://cdn.scnbdx.fr/web-afresco/BOGAMET/MET_ARR_2020-BM0721.pdf</t>
  </si>
  <si>
    <t>2020-BM0861</t>
  </si>
  <si>
    <t>Désignation de répresentants - Association Arc en rêve</t>
  </si>
  <si>
    <t>https://cdn.scnbdx.fr/web-afresco/BOGAMET/MET_ARR_2020-BM0861.pdf</t>
  </si>
  <si>
    <t>2020-BM0772</t>
  </si>
  <si>
    <t>Délégation de signature - Madame Fabienne RANC</t>
  </si>
  <si>
    <t>https://cdn.scnbdx.fr/web-afresco/BOGAMET/MET_ARR_2020-BM0772.pdf</t>
  </si>
  <si>
    <t>2020-BM0773</t>
  </si>
  <si>
    <t>Délégation de signature - Monsieur Mathieu LASSALLE</t>
  </si>
  <si>
    <t>https://cdn.scnbdx.fr/web-afresco/BOGAMET/MET_ARR_2020-BM0773.pdf</t>
  </si>
  <si>
    <t>2020-BM0779</t>
  </si>
  <si>
    <t>Délégation de signature - Madame Cécile LAGARDE</t>
  </si>
  <si>
    <t>https://cdn.scnbdx.fr/web-afresco/BOGAMET/MET_ARR_2020-BM0779.pdf</t>
  </si>
  <si>
    <t>2020-BM0783</t>
  </si>
  <si>
    <t>Délégation de signature - Monsieur Christian MAURY</t>
  </si>
  <si>
    <t>https://cdn.scnbdx.fr/web-afresco/BOGAMET/MET_ARR_2020-BM0783.pdf</t>
  </si>
  <si>
    <t>2020-BM0785</t>
  </si>
  <si>
    <t>Délégation de signature - Madame Anne-Florence THIEBAUT-PINON</t>
  </si>
  <si>
    <t>https://cdn.scnbdx.fr/web-afresco/BOGAMET/MET_ARR_2020-BM0785.pdf</t>
  </si>
  <si>
    <t>2020-BM0786</t>
  </si>
  <si>
    <t>https://cdn.scnbdx.fr/web-afresco/BOGAMET/MET_ARR_2020-BM0786.pdf</t>
  </si>
  <si>
    <t>2020-BM0787</t>
  </si>
  <si>
    <t>https://cdn.scnbdx.fr/web-afresco/BOGAMET/MET_ARR_2020-BM0787.pdf</t>
  </si>
  <si>
    <t>2020-BM0788</t>
  </si>
  <si>
    <t>Délégation de signature - Madame Hélène LEURET-PANAS</t>
  </si>
  <si>
    <t>https://cdn.scnbdx.fr/web-afresco/BOGAMET/MET_ARR_2020-BM0788.pdf</t>
  </si>
  <si>
    <t>2020-BM0791</t>
  </si>
  <si>
    <t>Délégation de signature - Madame Florence ALIBERT</t>
  </si>
  <si>
    <t>https://cdn.scnbdx.fr/web-afresco/BOGAMET/MET_ARR_2020-BM0791.pdf</t>
  </si>
  <si>
    <t>2020-BM0795</t>
  </si>
  <si>
    <t>Délégation de signature - Monsieur Thierry LEJAY</t>
  </si>
  <si>
    <t>https://cdn.scnbdx.fr/web-afresco/BOGAMET/MET_ARR_2020-BM0795.pdf</t>
  </si>
  <si>
    <t>2020-BM0796</t>
  </si>
  <si>
    <t>https://cdn.scnbdx.fr/web-afresco/BOGAMET/MET_ARR_2020-BM0796.pdf</t>
  </si>
  <si>
    <t>2020-BM0801</t>
  </si>
  <si>
    <t>Délégation de signature - Monsieur Philippe MULLER</t>
  </si>
  <si>
    <t>https://cdn.scnbdx.fr/web-afresco/BOGAMET/MET_ARR_2020-BM0801.pdf</t>
  </si>
  <si>
    <t>2020-BM0802</t>
  </si>
  <si>
    <t>Délégation de signature - Madame Nathalie RAYNAL-VOISIN</t>
  </si>
  <si>
    <t>https://cdn.scnbdx.fr/web-afresco/BOGAMET/MET_ARR_2020-BM0802.pdf</t>
  </si>
  <si>
    <t>2020-BM0809</t>
  </si>
  <si>
    <t>Délégation de signature - Monsieur Laurent LEMAITRE</t>
  </si>
  <si>
    <t>https://cdn.scnbdx.fr/web-afresco/BOGAMET/MET_ARR_2020-BM0809.pdf</t>
  </si>
  <si>
    <t>2020-BM0723</t>
  </si>
  <si>
    <t>Délégation de signature - Monsieur François DURQUETY</t>
  </si>
  <si>
    <t>https://cdn.scnbdx.fr/web-afresco/BOGAMET/MET_ARR_2020-BM0723.pdf</t>
  </si>
  <si>
    <t>2020-BM0726</t>
  </si>
  <si>
    <t>https://cdn.scnbdx.fr/web-afresco/BOGAMET/MET_ARR_2020-BM0726.pdf</t>
  </si>
  <si>
    <t>2020-BM0728</t>
  </si>
  <si>
    <t>https://cdn.scnbdx.fr/web-afresco/BOGAMET/MET_ARR_2020-BM0728.pdf</t>
  </si>
  <si>
    <t>2020-BM0734</t>
  </si>
  <si>
    <t>Délégation de signature - Madame Gaëlle MASSON</t>
  </si>
  <si>
    <t>https://cdn.scnbdx.fr/web-afresco/BOGAMET/MET_ARR_2020-BM0734.pdf</t>
  </si>
  <si>
    <t>2020-BM0738</t>
  </si>
  <si>
    <t>Délégation de signature - Monsieur Jean-Jacques CHAUTANT</t>
  </si>
  <si>
    <t>https://cdn.scnbdx.fr/web-afresco/BOGAMET/MET_ARR_2020-BM0738.pdf</t>
  </si>
  <si>
    <t>2020-BM0744</t>
  </si>
  <si>
    <t>Délégation de signature - Madame Charlotte SORRIN</t>
  </si>
  <si>
    <t>https://cdn.scnbdx.fr/web-afresco/BOGAMET/MET_ARR_2020-BM0744.pdf</t>
  </si>
  <si>
    <t>2020-BM0747</t>
  </si>
  <si>
    <t>Délégation de signature - Madame Yasmine DARMANTE</t>
  </si>
  <si>
    <t>https://cdn.scnbdx.fr/web-afresco/BOGAMET/MET_ARR_2020-BM0747.pdf</t>
  </si>
  <si>
    <t>2020-BM0748</t>
  </si>
  <si>
    <t>Délégation de signature - Monsieur Laurent HODEBAR</t>
  </si>
  <si>
    <t>https://cdn.scnbdx.fr/web-afresco/BOGAMET/MET_ARR_2020-BM0748.pdf</t>
  </si>
  <si>
    <t>2020-BM0759</t>
  </si>
  <si>
    <t>Délégation de signature - Monsieur Etienne MORIN</t>
  </si>
  <si>
    <t>https://cdn.scnbdx.fr/web-afresco/BOGAMET/MET_ARR_2020-BM0759.pdf</t>
  </si>
  <si>
    <t>2020-BM0765</t>
  </si>
  <si>
    <t>Délégation de signature - Monsieur Patrick DOLO</t>
  </si>
  <si>
    <t>https://cdn.scnbdx.fr/web-afresco/BOGAMET/MET_ARR_2020-BM0765.pdf</t>
  </si>
  <si>
    <t>2020-BM0766</t>
  </si>
  <si>
    <t>Délégation de signature - Monsieur Renaud ROUVIERE</t>
  </si>
  <si>
    <t>https://cdn.scnbdx.fr/web-afresco/BOGAMET/MET_ARR_2020-BM0766.pdf</t>
  </si>
  <si>
    <t>2020-BM0620</t>
  </si>
  <si>
    <t>Autorisation de déversement des eaux usées - JB LOCATION</t>
  </si>
  <si>
    <t>https://cdn.scnbdx.fr/web-afresco/BOGAMET/MET_ARR_2020-BM0620.pdf</t>
  </si>
  <si>
    <t>2020-BM0684</t>
  </si>
  <si>
    <t>Autorisation de déversement des eaux usées - Citram Bassens</t>
  </si>
  <si>
    <t>https://cdn.scnbdx.fr/web-afresco/BOGAMET/MET_ARR_2020-BM0684.pdf</t>
  </si>
  <si>
    <t>2020-BM0685</t>
  </si>
  <si>
    <t>Autorisation de déversement des eaux usées - SCCV 45 Chartrons Bordeaux</t>
  </si>
  <si>
    <t>https://cdn.scnbdx.fr/web-afresco/BOGAMET/MET_ARR_2020-BM0685.pdf</t>
  </si>
  <si>
    <t>2020-BM0686</t>
  </si>
  <si>
    <t>Autorisation de déversement des eaux usées - Hyper Cosmos</t>
  </si>
  <si>
    <t>https://cdn.scnbdx.fr/web-afresco/BOGAMET/MET_ARR_2020-BM0686.pdf</t>
  </si>
  <si>
    <t>2020-BM0708</t>
  </si>
  <si>
    <t>Transaction attribuant une indemnité suite à un préjudice commercial - La boucherie Mindine</t>
  </si>
  <si>
    <t>https://cdn.scnbdx.fr/web-afresco/BOGAMET/MET_ARR_2020-BM0708.pdf</t>
  </si>
  <si>
    <t>2020-BM0710</t>
  </si>
  <si>
    <t>Transaction attribuant une indemnité suite à un préjudice commercial - Long Hai</t>
  </si>
  <si>
    <t>https://cdn.scnbdx.fr/web-afresco/BOGAMET/MET_ARR_2020-BM0710.pdf</t>
  </si>
  <si>
    <t>2020-BM0888</t>
  </si>
  <si>
    <t>circulation - Passe LUCBERT – implantation des balises de STOP à son intersection avec l’avenue Marcel DASSAULT</t>
  </si>
  <si>
    <t>https://cdn.scnbdx.fr/web-afresco/BOGAMET/MET_ARR_2020-BM0888.pdf</t>
  </si>
  <si>
    <t>2020-BM0907</t>
  </si>
  <si>
    <t>Délégation de signature - Bertrand Dubois</t>
  </si>
  <si>
    <t>https://cdn.scnbdx.fr/web-afresco/BOGAMET/MET_ARR_2020-BM0907.pdf</t>
  </si>
  <si>
    <t>2020-BM0869</t>
  </si>
  <si>
    <t>Autorisation de déversement des eaux usées - société SARP</t>
  </si>
  <si>
    <t>https://cdn.scnbdx.fr/web-afresco/BOGAMET/MET_ARR_2020-BM0869.pdf</t>
  </si>
  <si>
    <t>2020-BM0813</t>
  </si>
  <si>
    <t>Délégation de signature - Madame Joëlle LOPEZ</t>
  </si>
  <si>
    <t>https://cdn.scnbdx.fr/web-afresco/BOGAMET/MET_ARR_2020-BM0813.pdf</t>
  </si>
  <si>
    <t>2020-BM0817</t>
  </si>
  <si>
    <t>Délégation de signature - Monsieur Hervé MEYER</t>
  </si>
  <si>
    <t>https://cdn.scnbdx.fr/web-afresco/BOGAMET/MET_ARR_2020-BM0817.pdf</t>
  </si>
  <si>
    <t>2020-BM0818</t>
  </si>
  <si>
    <t>Délégation de signature - Madame Charlotte CALMELS</t>
  </si>
  <si>
    <t>https://cdn.scnbdx.fr/web-afresco/BOGAMET/MET_ARR_2020-BM0818.pdf</t>
  </si>
  <si>
    <t>2020-BM0823</t>
  </si>
  <si>
    <t>Délégation de signature - Monsieur Jérôme TOURNE</t>
  </si>
  <si>
    <t>https://cdn.scnbdx.fr/web-afresco/BOGAMET/MET_ARR_2020-BM0823.pdf</t>
  </si>
  <si>
    <t>2020-BM0826</t>
  </si>
  <si>
    <t>Délégation de signature - Monsieur Laurent HODEBAR (Régie exploitation équipts fluviaux)</t>
  </si>
  <si>
    <t>https://cdn.scnbdx.fr/web-afresco/BOGAMET/MET_ARR_2020-BM0826.pdf</t>
  </si>
  <si>
    <t>2020-BM0889</t>
  </si>
  <si>
    <t>circulation - Travaux de marquage au sol sur la Côte de Garonne dans le sens descendant vers Bassens</t>
  </si>
  <si>
    <t>https://cdn.scnbdx.fr/web-afresco/BOGAMET/MET_ARR_2020-BM0889.pdf</t>
  </si>
  <si>
    <t>2020-BM0896</t>
  </si>
  <si>
    <t>Autorisation de déversement des eaux usées - l’entreprise EPA Bordeaux Euratlantique</t>
  </si>
  <si>
    <t>https://cdn.scnbdx.fr/web-afresco/BOGAMET/MET_ARR_2020-BM0896.pdf</t>
  </si>
  <si>
    <t>2020-BM0897</t>
  </si>
  <si>
    <t>Autorisation de déversement des eaux usées - société AQUANAL</t>
  </si>
  <si>
    <t>https://cdn.scnbdx.fr/web-afresco/BOGAMET/MET_ARR_2020-BM0897.pdf</t>
  </si>
  <si>
    <t>2020-BM0906</t>
  </si>
  <si>
    <t>Autorisation d’occupation temporaire – AOT - Rue du Tondu - dalle de répartition</t>
  </si>
  <si>
    <t>https://cdn.scnbdx.fr/web-afresco/BOGAMET/MET_ARR_2020-BM0906.pdf</t>
  </si>
  <si>
    <t>2020-BM0936</t>
  </si>
  <si>
    <t>Désignation du représentant du Président en matière de commande publique - Jean-François EGRON</t>
  </si>
  <si>
    <t>https://cdn.scnbdx.fr/web-afresco/BOGAMET/MET_ARR_2020-BM0936.pdf</t>
  </si>
  <si>
    <t>2020-BM0921</t>
  </si>
  <si>
    <t>circulation - Travaux de réparation de conduites sous trottoir – avenue</t>
  </si>
  <si>
    <t>https://cdn.scnbdx.fr/web-afresco/BOGAMET/MET_ARR_2020-BM0921.pdf</t>
  </si>
  <si>
    <t>2020-BM0922</t>
  </si>
  <si>
    <t>circulation - Travaux de création d’un arrêt de bus « Toussaint Catros » sur l’avenue Toussaint Catros dans le sens Sud-Nord</t>
  </si>
  <si>
    <t>https://cdn.scnbdx.fr/web-afresco/BOGAMET/MET_ARR_2020-BM0922.pdf</t>
  </si>
  <si>
    <t>2020-BM0923</t>
  </si>
  <si>
    <t>circulation - Travaux de création d’un arrêt de bus « Toussaint Catros » sur l’avenue Toussaint Catros dans le sens Nord-Sud</t>
  </si>
  <si>
    <t>https://cdn.scnbdx.fr/web-afresco/BOGAMET/MET_ARR_2020-BM0923.pdf</t>
  </si>
  <si>
    <t>2020-BM0924</t>
  </si>
  <si>
    <t>circulation - Travaux de renouvellement de branchement en eau – avenue Labarde – hors agglo</t>
  </si>
  <si>
    <t>https://cdn.scnbdx.fr/web-afresco/BOGAMET/MET_ARR_2020-BM0924.pdf</t>
  </si>
  <si>
    <t>2020-BM0959</t>
  </si>
  <si>
    <t>Cession - Approbation d'un cahier des charges de cession de terrain ZAC Bastide Niel îlot B107</t>
  </si>
  <si>
    <t>https://cdn.scnbdx.fr/web-afresco/BOGAMET/MET_ARR_2020-BM0959.pdf</t>
  </si>
  <si>
    <t>2020-BM0997</t>
  </si>
  <si>
    <t>circulation - travaux de dépose de l'ensemble de platelage du pasage à niveau 5 bis pour constater l'état du travelagequi maintient les plaques "chapsol", travaux de repose de l'ensemble et de remplacement d'une plaque "chapsol" endommagé, sur la voie rapide Bassens/Ambès au niveau dupassage à niveau 5bis</t>
  </si>
  <si>
    <t>https://cdn.scnbdx.fr/web-afresco/BOGAMET/MET_ARR_2020-BM0997.pdf</t>
  </si>
  <si>
    <t>2021-BM1389</t>
  </si>
  <si>
    <t>Autorisation de déversement des eaux usées - Maison Bouey</t>
  </si>
  <si>
    <t>https://cdn.scnbdx.fr/web-afresco/BOGAMET/MET_ARR_2021-BM1389.pdf</t>
  </si>
  <si>
    <t>2020-BM1009</t>
  </si>
  <si>
    <t>circulation - Travaux de réaménagement de l’arrêt de bus « Cinq Chemins » sur la rue Toussaint Catros (voirie hors agglomération</t>
  </si>
  <si>
    <t>https://cdn.scnbdx.fr/web-afresco/BOGAMET/MET_ARR_2020-BM1009.pdf</t>
  </si>
  <si>
    <t>2020-BM1072</t>
  </si>
  <si>
    <t>Délégation de signature - Egron Jean-François</t>
  </si>
  <si>
    <t>https://cdn.scnbdx.fr/web-afresco/BOGAMET/MET_ARR_2020-BM1072.pdf</t>
  </si>
  <si>
    <t>2020-BM1074</t>
  </si>
  <si>
    <t>Délégation de signature - Garnier Alain</t>
  </si>
  <si>
    <t>https://cdn.scnbdx.fr/web-afresco/BOGAMET/MET_ARR_2020-BM1074.pdf</t>
  </si>
  <si>
    <t>2020-BM1080</t>
  </si>
  <si>
    <t>Délégation de signature - Papin Céline</t>
  </si>
  <si>
    <t>https://cdn.scnbdx.fr/web-afresco/BOGAMET/MET_ARR_2020-BM1080.pdf</t>
  </si>
  <si>
    <t>2020-BM1060</t>
  </si>
  <si>
    <t>Déclassement - angle du cours du Raccordement et de la rue Lucien</t>
  </si>
  <si>
    <t>https://cdn.scnbdx.fr/web-afresco/BOGAMET/MET_ARR_2020-BM1060.pdf</t>
  </si>
  <si>
    <t>2020-BM1124</t>
  </si>
  <si>
    <t>circulation - Réalisation de marquages sur chaussée et dalles podotactiles sur bateaux – rue Toussaint Catros (voirie hors agglomération à Le Haillan. Mesures de circulation et de stationnement</t>
  </si>
  <si>
    <t>https://cdn.scnbdx.fr/web-afresco/BOGAMET/MET_ARR_2020-BM1124.pdf</t>
  </si>
  <si>
    <t>2020-BM1151</t>
  </si>
  <si>
    <t>circulation - Travaux de réfection de couche de roulement avenue de Garonne (voirie hors agglomération), sur les communes d’Ambares et de Saint Louis de Montferrand</t>
  </si>
  <si>
    <t>https://cdn.scnbdx.fr/web-afresco/BOGAMET/MET_ARR_2020-BM1151.pdf</t>
  </si>
  <si>
    <t>2020-BM1061</t>
  </si>
  <si>
    <t>Régie d'avances et de recettes - suppression regie archives</t>
  </si>
  <si>
    <t>https://cdn.scnbdx.fr/web-afresco/BOGAMET/MET_ARR_2020-BM1061.pdf</t>
  </si>
  <si>
    <t>2020-BM1153</t>
  </si>
  <si>
    <t>circulation - circulation/stationnement en relation avec la création d'un trottoir par la société GUINTOLI sur le domaine public - AMBES</t>
  </si>
  <si>
    <t>https://cdn.scnbdx.fr/web-afresco/BOGAMET/MET_ARR_2020-BM1153.pdf</t>
  </si>
  <si>
    <t>2020-BM1171</t>
  </si>
  <si>
    <t>Autorisation de déversement des eaux usées - autres que domestiques de Aquitaine Aspiration - 1 avenue Neil Amstrong</t>
  </si>
  <si>
    <t>https://cdn.scnbdx.fr/web-afresco/BOGAMET/MET_ARR_2020-BM1171.pdf</t>
  </si>
  <si>
    <t>2020-BM0588</t>
  </si>
  <si>
    <t>Exercice des attributions du Conseil Métropolitain – Décision du Président - Marché de maîtrise d'œuvre du Pont Simone Veil - Réclamation indemnitaire de la maîtrise d'œuvre - Protocole de médiation - Approbation</t>
  </si>
  <si>
    <t>https://cdn.scnbdx.fr/web-afresco/BOGAMET/MET_ARR_2020-BM0588.pdf</t>
  </si>
  <si>
    <t>2020-BM1186</t>
  </si>
  <si>
    <t>Désignation du Président de la Commission consultative des services publics locaux - Président CCSPL - Clément Rossignol-PUECH</t>
  </si>
  <si>
    <t>https://cdn.scnbdx.fr/web-afresco/BOGAMET/MET_ARR_2020-BM1186.pdf</t>
  </si>
  <si>
    <t>2020-BM1236</t>
  </si>
  <si>
    <t>circulation - en relation avec l'auscultation géophysique avec radar sur le domaine public</t>
  </si>
  <si>
    <t>https://cdn.scnbdx.fr/web-afresco/BOGAMET/MET_ARR_2020-BM1236.pdf</t>
  </si>
  <si>
    <t>2020-BM1215</t>
  </si>
  <si>
    <t>Déclassement - Parcelle AC38 rue de Ségur</t>
  </si>
  <si>
    <t>https://cdn.scnbdx.fr/web-afresco/BOGAMET/MET_ARR_2020-BM1215.pdf</t>
  </si>
  <si>
    <t>2020-BM1247</t>
  </si>
  <si>
    <t>Autorisation de déversement des eaux usées - autres que domestiques "Plaine de Garonne Energie"</t>
  </si>
  <si>
    <t>https://cdn.scnbdx.fr/web-afresco/BOGAMET/MET_ARR_2020-BM1247.pdf</t>
  </si>
  <si>
    <t>2020-BM1248</t>
  </si>
  <si>
    <t>Autorisation de déversement des eaux usées - autres que domestiques "Etablissement Public d'Aménagement  Bordeaux Euratlantique"</t>
  </si>
  <si>
    <t>https://cdn.scnbdx.fr/web-afresco/BOGAMET/MET_ARR_2020-BM1248.pdf</t>
  </si>
  <si>
    <t>2020-BM1218</t>
  </si>
  <si>
    <t>circulation - Suppression d’une file de circulation dans le sens entrant sur Bordeaux-ex A631 – Bld Moga / Bld JJ Bosc (voirie hors agglomération) sur les communes de Bordeaux et Bègles.</t>
  </si>
  <si>
    <t>https://cdn.scnbdx.fr/web-afresco/BOGAMET/MET_ARR_2020-BM1218.pdf</t>
  </si>
  <si>
    <t>2020-BM1229</t>
  </si>
  <si>
    <t>circulation - Réalisation d’un gravillonnage sur trottoir ainsi qu’une modification des passages bateau de part et d’autre du giratoire « Toussaint Catros » sur l’avenue Toussaint Catros, dans le sens Sud-Nord au niveau du giratoire interceptant l’avenue Toussaint Catros et la rue Diamant (voirie hors agglomération), commune du Haillan. Mesures de circulation et de stationnement</t>
  </si>
  <si>
    <t>https://cdn.scnbdx.fr/web-afresco/BOGAMET/MET_ARR_2020-BM1229.pdf</t>
  </si>
  <si>
    <t>2020-BM1253</t>
  </si>
  <si>
    <t>Délégation de signature - intérim Eric Ardouin du 19 octobre au 31 décembre 2020</t>
  </si>
  <si>
    <t>https://cdn.scnbdx.fr/web-afresco/BOGAMET/MET_ARR_2020-BM1253.pdf</t>
  </si>
  <si>
    <t>2020-BM1237</t>
  </si>
  <si>
    <t>Déclassement - du domaine public des parcelles 063 BC 206 et 207 Volume 2 et solde du terrain rue Jardel</t>
  </si>
  <si>
    <t>https://cdn.scnbdx.fr/web-afresco/BOGAMET/MET_ARR_2020-BM1237.pdf</t>
  </si>
  <si>
    <t>2020-BM1230</t>
  </si>
  <si>
    <t>Régie d'avances et de recettes - Modification</t>
  </si>
  <si>
    <t>https://cdn.scnbdx.fr/web-afresco/BOGAMET/MET_ARR_2020-BM1230.pdf</t>
  </si>
  <si>
    <t>2020-BM1252</t>
  </si>
  <si>
    <t>Déclassement - d'une emprise de 1m² - domaine public - 67 avenue Georges Clémenceau</t>
  </si>
  <si>
    <t>https://cdn.scnbdx.fr/web-afresco/BOGAMET/MET_ARR_2020-BM1252.pdf</t>
  </si>
  <si>
    <t>2020-BM1255</t>
  </si>
  <si>
    <t>circulation - prise de cotes de l’enseigne Matmut à l’aide d’une nacelle sur le boulevard André Ricard</t>
  </si>
  <si>
    <t>https://cdn.scnbdx.fr/web-afresco/BOGAMET/MET_ARR_2020-BM1255.pdf</t>
  </si>
  <si>
    <t>2020-BM1299</t>
  </si>
  <si>
    <t>circulation - Création d’un cheminement piétons au droit du giratoire des Girondins , avenue Marcel Dassault</t>
  </si>
  <si>
    <t>https://cdn.scnbdx.fr/web-afresco/BOGAMET/MET_ARR_2020-BM1299.pdf</t>
  </si>
  <si>
    <t>2020-BM1130</t>
  </si>
  <si>
    <t>Enquête publique - Engagement d'une procédure de classement d'office de la Cité de Vadelaincourt avec approbation d'un plan d'alignement</t>
  </si>
  <si>
    <t>https://cdn.scnbdx.fr/web-afresco/BOGAMET/MET_ARR_2020-BM1130.pdf</t>
  </si>
  <si>
    <t>2020-BM1285</t>
  </si>
  <si>
    <t>Autorisation d’intégration des ouvrages d'assainissement - lotissement «Le Domaine de Pelus »</t>
  </si>
  <si>
    <t>https://cdn.scnbdx.fr/web-afresco/BOGAMET/MET_ARR_2020-BM1285.pdf</t>
  </si>
  <si>
    <t>2020-BM1288</t>
  </si>
  <si>
    <t>Autorisation de déversement des eaux usées - SOLREM</t>
  </si>
  <si>
    <t>https://cdn.scnbdx.fr/web-afresco/BOGAMET/MET_ARR_2020-BM1288.pdf</t>
  </si>
  <si>
    <t>2020-BM1291</t>
  </si>
  <si>
    <t>déclassement - avenue Henri Vigneau traversant le parking commercial jusqu’à la rue Didier Pironi - uverture enquête publique</t>
  </si>
  <si>
    <t>https://cdn.scnbdx.fr/web-afresco/BOGAMET/MET_ARR_2020-BM1291.pdf</t>
  </si>
  <si>
    <t>2020-BM1286</t>
  </si>
  <si>
    <t>circulation - Réalisation d’une battue administrative sur l'avenue de Soulac (RD1) entre le giratoire de Louens commune du Pian Médoc et le giratoire chemin de Gelès</t>
  </si>
  <si>
    <t>https://cdn.scnbdx.fr/web-afresco/BOGAMET/MET_ARR_2020-BM1286.pdf</t>
  </si>
  <si>
    <t>2020-BM1311</t>
  </si>
  <si>
    <t>circulation - travaux avenue Marcel DASSAULT et chemin du PHARE- par l’entreprise SOGETREL</t>
  </si>
  <si>
    <t>https://cdn.scnbdx.fr/web-afresco/BOGAMET/MET_ARR_2020-BM1311.pdf</t>
  </si>
  <si>
    <t>2020-BM1346</t>
  </si>
  <si>
    <t>Autorisation de déversement des eaux usées - SAS VIGIER TERRASSEMENT - 72 avenue du château Pichon</t>
  </si>
  <si>
    <t>https://cdn.scnbdx.fr/web-afresco/BOGAMET/MET_ARR_2020-BM1346.pdf</t>
  </si>
  <si>
    <t>2020-BM1350</t>
  </si>
  <si>
    <t>Autorisation de déversement des eaux usées - autres que domestiques « Liaison Lille Cantinolle route de Pauillac »</t>
  </si>
  <si>
    <t>https://cdn.scnbdx.fr/web-afresco/BOGAMET/MET_ARR_2020-BM1350.pdf</t>
  </si>
  <si>
    <t>2020-BM1351</t>
  </si>
  <si>
    <t>circulation - Travaux de pose d’une canalisation d’eau potable au niveau de la sortie de la trémie boulevard des Frères Moga dans le sens rocade vers Bordeaux – hors agglo - Bordeaux</t>
  </si>
  <si>
    <t>https://cdn.scnbdx.fr/web-afresco/BOGAMET/MET_ARR_2020-BM1351.pdf</t>
  </si>
  <si>
    <t>2020-BM1375</t>
  </si>
  <si>
    <t>Autorisation de déversement des eaux usées - Dubreuilh Technobruges</t>
  </si>
  <si>
    <t>https://cdn.scnbdx.fr/web-afresco/BOGAMET/MET_ARR_2020-BM1375.pdf</t>
  </si>
  <si>
    <t>2020-BM1371</t>
  </si>
  <si>
    <t>Défense des intérêts de Bordeaux-Métropole - MEDICI – Rétrogradation</t>
  </si>
  <si>
    <t>https://cdn.scnbdx.fr/web-afresco/BOGAMET/MET_ARR_2020-BM1371.pdf</t>
  </si>
  <si>
    <t>2020-BM1409</t>
  </si>
  <si>
    <t>Délégation de signature - Bertrand DUBOIS</t>
  </si>
  <si>
    <t>https://cdn.scnbdx.fr/web-afresco/BOGAMET/MET_ARR_2020-BM1409.pdf</t>
  </si>
  <si>
    <t>2020-BM1410</t>
  </si>
  <si>
    <t>Délégation de signature - Fabien BALLESTER</t>
  </si>
  <si>
    <t>https://cdn.scnbdx.fr/web-afresco/BOGAMET/MET_ARR_2020-BM1410.pdf</t>
  </si>
  <si>
    <t>2020-BM1412</t>
  </si>
  <si>
    <t>Délégation de signature - Luce GALLIEN</t>
  </si>
  <si>
    <t>https://cdn.scnbdx.fr/web-afresco/BOGAMET/MET_ARR_2020-BM1412.pdf</t>
  </si>
  <si>
    <t>2020-BM1419</t>
  </si>
  <si>
    <t>Délégation de signature - Frédéric MARQUET</t>
  </si>
  <si>
    <t>https://cdn.scnbdx.fr/web-afresco/BOGAMET/MET_ARR_2020-BM1419.pdf</t>
  </si>
  <si>
    <t>2020-BM1420</t>
  </si>
  <si>
    <t>Délégation de signature - Christophe PIETTE</t>
  </si>
  <si>
    <t>https://cdn.scnbdx.fr/web-afresco/BOGAMET/MET_ARR_2020-BM1420.pdf</t>
  </si>
  <si>
    <t>2020-BM1432</t>
  </si>
  <si>
    <t>Délégation de signature - Matthieu GUERLAIN</t>
  </si>
  <si>
    <t>https://cdn.scnbdx.fr/web-afresco/BOGAMET/MET_ARR_2020-BM1432.pdf</t>
  </si>
  <si>
    <t>2020-BM1434</t>
  </si>
  <si>
    <t>Délégation de signature - Nicolas CROS</t>
  </si>
  <si>
    <t>https://cdn.scnbdx.fr/web-afresco/BOGAMET/MET_ARR_2020-BM1434.pdf</t>
  </si>
  <si>
    <t>2020-BM1441</t>
  </si>
  <si>
    <t>Délégation de signature - Catherine BENEVENT</t>
  </si>
  <si>
    <t>https://cdn.scnbdx.fr/web-afresco/BOGAMET/MET_ARR_2020-BM1441.pdf</t>
  </si>
  <si>
    <t>2020-BM1444</t>
  </si>
  <si>
    <t>Délégation de signature - Charlotte CALMELS</t>
  </si>
  <si>
    <t>https://cdn.scnbdx.fr/web-afresco/BOGAMET/MET_ARR_2020-BM1444.pdf</t>
  </si>
  <si>
    <t>2020-BM1455</t>
  </si>
  <si>
    <t>Délégation de signature - Nathalie PLENARD</t>
  </si>
  <si>
    <t>https://cdn.scnbdx.fr/web-afresco/BOGAMET/MET_ARR_2020-BM1455.pdf</t>
  </si>
  <si>
    <t>2021-BM0133</t>
  </si>
  <si>
    <t>Circulation - Réalisation des sondages sur accotement sur le parking de la Réserve Naturelle Avenue des 4 Ponts</t>
  </si>
  <si>
    <t>https://cdn.scnbdx.fr/web-afresco/BOGAMET/MET_ARR_2021-BM0133.pdf</t>
  </si>
  <si>
    <t>2021-BM0180</t>
  </si>
  <si>
    <t>circulation - Travaux de dépose de bordure séparatrice de voie sur 15ml avec substitution par Grave Bitume. Emprise de travaux sur la voie sens sud-nord au droit de la bordure à déposer. Avenue Beaudesert(Voirie hors agglomération)</t>
  </si>
  <si>
    <t>https://cdn.scnbdx.fr/web-afresco/BOGAMET/MET_ARR_2021-BM0180.pdf</t>
  </si>
  <si>
    <t>2021-BM0216</t>
  </si>
  <si>
    <t>Déclassement - rue des marmottes</t>
  </si>
  <si>
    <t>https://cdn.scnbdx.fr/web-afresco/BOGAMET/MET_ARR_2021-BM0216.pdf</t>
  </si>
  <si>
    <t>2021-BM0080</t>
  </si>
  <si>
    <t>classement - avenues Charles Lindbergh, Henri Becquerel, Neil Armstrong et Henry Le Chatelier   les allées Neil Armstrong et Pierre-Gilles de Gennes   les impasses Henry le Chatelier et Rudolph Diesel   ainsi que la rue Paul Deplante, une partie de la rue Rudolf Diesel et des parcelles rue Beaudésert</t>
  </si>
  <si>
    <t>https://cdn.scnbdx.fr/web-afresco/BOGAMET/MET_ARR_2021-BM0080.pdf</t>
  </si>
  <si>
    <t>2021-BM0234</t>
  </si>
  <si>
    <t>Enquête publique - Déclassement des rues Guyart, Son Tay (en partie) et Morin, ainsi qu’une emprise de 23 m2 sur le quai de Paludate</t>
  </si>
  <si>
    <t>https://cdn.scnbdx.fr/web-afresco/BOGAMET/MET_ARR_2021-BM0234.pdf</t>
  </si>
  <si>
    <t>2020-BM1582</t>
  </si>
  <si>
    <t>classement - Allée Niki de Saint Phalle</t>
  </si>
  <si>
    <t>https://cdn.scnbdx.fr/web-afresco/BOGAMET/MET_ARR_2020-BM1582.pdf</t>
  </si>
  <si>
    <t>2021-BM1411</t>
  </si>
  <si>
    <t>https://cdn.scnbdx.fr/web-afresco/BOGAMET/MET_ARR_2021-BM1411.pdf</t>
  </si>
  <si>
    <t>2021-BM1412</t>
  </si>
  <si>
    <t>Délégation de signature - Monsieur Stéphane-Emmanuel Leuret</t>
  </si>
  <si>
    <t>https://cdn.scnbdx.fr/web-afresco/BOGAMET/MET_ARR_2021-BM1412.pdf</t>
  </si>
  <si>
    <t>2021-BM0242</t>
  </si>
  <si>
    <t>Délégation de signature - Madame Florence Legros</t>
  </si>
  <si>
    <t>https://cdn.scnbdx.fr/web-afresco/BOGAMET/MET_ARR_2021-BM0242.pdf</t>
  </si>
  <si>
    <t>2021-BM0271</t>
  </si>
  <si>
    <t>https://cdn.scnbdx.fr/web-afresco/BOGAMET/MET_ARR_2021-BM0271.pdf</t>
  </si>
  <si>
    <t>2021-BM0038</t>
  </si>
  <si>
    <t>Arrêté métropolitain - Modification du Budget 2020</t>
  </si>
  <si>
    <t>https://cdn.scnbdx.fr/web-afresco/BOGAMET/MET_ARR_2021-BM0038.pdf</t>
  </si>
  <si>
    <t>2021-BM0224</t>
  </si>
  <si>
    <t>Autorisation d’intégration des ouvrages d'assainissement - lotissement «Le Clos des 3 Chênes»</t>
  </si>
  <si>
    <t>https://cdn.scnbdx.fr/web-afresco/BOGAMET/MET_ARR_2021-BM0224.pdf</t>
  </si>
  <si>
    <t>2021-BM0196</t>
  </si>
  <si>
    <t>Autorisation d’intégration des ouvrages d'assainissement - Le Clos de Beauséjour</t>
  </si>
  <si>
    <t>https://cdn.scnbdx.fr/web-afresco/BOGAMET/MET_ARR_2021-BM0196.pdf</t>
  </si>
  <si>
    <t>2021-BM0375</t>
  </si>
  <si>
    <t>Attribution de subvention  - Pôle d'échanges multimodal Le Bouscat Sainte Germaine</t>
  </si>
  <si>
    <t>https://cdn.scnbdx.fr/web-afresco/BOGAMET/MET_ARR_2021-BM0375.pdf</t>
  </si>
  <si>
    <t>2021-BM0468</t>
  </si>
  <si>
    <t>Autorisation de déversement des eaux usées - SOGAMA SAS</t>
  </si>
  <si>
    <t>https://cdn.scnbdx.fr/web-afresco/BOGAMET/MET_ARR_2021-BM0468.pdf</t>
  </si>
  <si>
    <t>2021-BM0469</t>
  </si>
  <si>
    <t>Autorisation de déversement des eaux usées - CARI AQUITAINE FAYAT</t>
  </si>
  <si>
    <t>https://cdn.scnbdx.fr/web-afresco/BOGAMET/MET_ARR_2021-BM0469.pdf</t>
  </si>
  <si>
    <t>2021-BM0484</t>
  </si>
  <si>
    <t>Autorisation de déversement des eaux usées - SOGAMA SAS complex immo</t>
  </si>
  <si>
    <t>https://cdn.scnbdx.fr/web-afresco/BOGAMET/MET_ARR_2021-BM0484.pdf</t>
  </si>
  <si>
    <t>2021-BM0489</t>
  </si>
  <si>
    <t>Autorisation d’occupation temporaire – AOT - 114 avenue d’Ares</t>
  </si>
  <si>
    <t>https://cdn.scnbdx.fr/web-afresco/BOGAMET/MET_ARR_2021-BM0489.pdf</t>
  </si>
  <si>
    <t>2021-BM0311</t>
  </si>
  <si>
    <t>Désignation de représentant - Désignation de la Présidente de la Commission de concessions ayant pour objet l’exploitation du réseau de chaleur urbain du Grand Parc</t>
  </si>
  <si>
    <t>https://cdn.scnbdx.fr/web-afresco/BOGAMET/MET_ARR_2021-BM0311.pdf</t>
  </si>
  <si>
    <t>2021-BM0312</t>
  </si>
  <si>
    <t>Délégation de signature - Directrice par intérim responsable de la Direction énergie, écologie et développement durable</t>
  </si>
  <si>
    <t>https://cdn.scnbdx.fr/web-afresco/BOGAMET/MET_ARR_2021-BM0312.pdf</t>
  </si>
  <si>
    <t>2021-BM0313</t>
  </si>
  <si>
    <t>Délégation de signature - Directeur responsable de la Direction des bâtiments</t>
  </si>
  <si>
    <t>https://cdn.scnbdx.fr/web-afresco/BOGAMET/MET_ARR_2021-BM0313.pdf</t>
  </si>
  <si>
    <t>2021-BM0199</t>
  </si>
  <si>
    <t>Autorisation d’intégration des ouvrages d'assainissement - ZAC QUARTIER MAIRIE</t>
  </si>
  <si>
    <t>https://cdn.scnbdx.fr/web-afresco/BOGAMET/MET_ARR_2021-BM0199.pdf</t>
  </si>
  <si>
    <t>2021-BM0445</t>
  </si>
  <si>
    <t>circulation - avenue de l’ARGONNE, du panneau de limite d’agglomération à l’avenue Roland GARROS</t>
  </si>
  <si>
    <t>https://cdn.scnbdx.fr/web-afresco/BOGAMET/MET_ARR_2021-BM0445.pdf</t>
  </si>
  <si>
    <t>2021-BM0400</t>
  </si>
  <si>
    <t>Autorisation de déversement des eaux usées - SARL BOMAS CONSTRUCTION</t>
  </si>
  <si>
    <t>https://cdn.scnbdx.fr/web-afresco/BOGAMET/MET_ARR_2021-BM0400.pdf</t>
  </si>
  <si>
    <t>2021-BM0610</t>
  </si>
  <si>
    <t>circulation - Réalisation d’étude géotechnique pour le projet de Liane 11 comprenant des carottages de structures de chaussée prolongés avec pénétromètre statique, sur l’avenue Marcel Dassault entre le giratoire des Girondins et le giratoire de Marchegay</t>
  </si>
  <si>
    <t>https://cdn.scnbdx.fr/web-afresco/BOGAMET/MET_ARR_2021-BM0610.pdf</t>
  </si>
  <si>
    <t>2021-BM0329</t>
  </si>
  <si>
    <t>Autorisation d’intégration des ouvrages d'assainissement - Lotissement « QUARTIER YVES FARGES »</t>
  </si>
  <si>
    <t>https://cdn.scnbdx.fr/web-afresco/BOGAMET/MET_ARR_2021-BM0329.pdf</t>
  </si>
  <si>
    <t>2021-BM0384</t>
  </si>
  <si>
    <t>Déclassement - parcelle cadastrée 318EH160 donnant au droit du 15 allée des Albatros</t>
  </si>
  <si>
    <t>https://cdn.scnbdx.fr/web-afresco/BOGAMET/MET_ARR_2021-BM0384.pdf</t>
  </si>
  <si>
    <t>2021-BM0388</t>
  </si>
  <si>
    <t>Désignation de jury - modification arrêté 2021-BM0219</t>
  </si>
  <si>
    <t>https://cdn.scnbdx.fr/web-afresco/BOGAMET/MET_ARR_2021-BM0388.pdf</t>
  </si>
  <si>
    <t>2021-BM0431</t>
  </si>
  <si>
    <t>attribution de subvention - Pôle d'échanges multimodal Talence Médoquine – Demande de subvention</t>
  </si>
  <si>
    <t>https://cdn.scnbdx.fr/web-afresco/BOGAMET/MET_ARR_2021-BM0431.pdf</t>
  </si>
  <si>
    <t>2021-BM0470</t>
  </si>
  <si>
    <t>circulation - Travaux de création d’une entrée au droit de la société Hilti sur l’avenue  Marcel Dassault, entre le giratoire interceptant la rue Ferdinand de Lesseps et le  giratoire interceptant l’avenue de la Grange Noire</t>
  </si>
  <si>
    <t>https://cdn.scnbdx.fr/web-afresco/BOGAMET/MET_ARR_2021-BM0470.pdf</t>
  </si>
  <si>
    <t>2021-BM0391</t>
  </si>
  <si>
    <t>circulation - travaux de pose de garde-corps et de réparation de glissières de sécurité sur  l’ouvrage d’art pont des Religieuses, avenue Labarde</t>
  </si>
  <si>
    <t>https://cdn.scnbdx.fr/web-afresco/BOGAMET/MET_ARR_2021-BM0391.pdf</t>
  </si>
  <si>
    <t>2021-BM0530</t>
  </si>
  <si>
    <t>Délégation de signature - Anne-Florence Thiebaut-Pinon</t>
  </si>
  <si>
    <t>https://cdn.scnbdx.fr/web-afresco/BOGAMET/MET_ARR_2021-BM0530.pdf</t>
  </si>
  <si>
    <t>2021-BM0536</t>
  </si>
  <si>
    <t>Délégation de signature - Thierry Lejay</t>
  </si>
  <si>
    <t>https://cdn.scnbdx.fr/web-afresco/BOGAMET/MET_ARR_2021-BM0536.pdf</t>
  </si>
  <si>
    <t>2021-BM0537</t>
  </si>
  <si>
    <t>Délégation de signature - Nathalie Jobert-Gualde</t>
  </si>
  <si>
    <t>https://cdn.scnbdx.fr/web-afresco/BOGAMET/MET_ARR_2021-BM0537.pdf</t>
  </si>
  <si>
    <t>2021-BM0538</t>
  </si>
  <si>
    <t>Délégation de signature - Philippe Latrille</t>
  </si>
  <si>
    <t>https://cdn.scnbdx.fr/web-afresco/BOGAMET/MET_ARR_2021-BM0538.pdf</t>
  </si>
  <si>
    <t>2021-BM0539</t>
  </si>
  <si>
    <t>Délégation de signature - Thibaut Rufas</t>
  </si>
  <si>
    <t>https://cdn.scnbdx.fr/web-afresco/BOGAMET/MET_ARR_2021-BM0539.pdf</t>
  </si>
  <si>
    <t>2021-BM0540</t>
  </si>
  <si>
    <t>Délégation de signature - Sébastien Lespinasse</t>
  </si>
  <si>
    <t>https://cdn.scnbdx.fr/web-afresco/BOGAMET/MET_ARR_2021-BM0540.pdf</t>
  </si>
  <si>
    <t>2021-BM0542</t>
  </si>
  <si>
    <t>Délégation de signature - Bertrand Bouchaudy</t>
  </si>
  <si>
    <t>https://cdn.scnbdx.fr/web-afresco/BOGAMET/MET_ARR_2021-BM0542.pdf</t>
  </si>
  <si>
    <t>2021-BM0548</t>
  </si>
  <si>
    <t>Délégation de signature - Jean-Pierre Sabatier</t>
  </si>
  <si>
    <t>https://cdn.scnbdx.fr/web-afresco/BOGAMET/MET_ARR_2021-BM0548.pdf</t>
  </si>
  <si>
    <t>2021-BM0549</t>
  </si>
  <si>
    <t>Délégation de signature - Catherine Soulié</t>
  </si>
  <si>
    <t>https://cdn.scnbdx.fr/web-afresco/BOGAMET/MET_ARR_2021-BM0549.pdf</t>
  </si>
  <si>
    <t>2021-BM0551</t>
  </si>
  <si>
    <t>Délégation de signature - Isabelle Fuchs</t>
  </si>
  <si>
    <t>https://cdn.scnbdx.fr/web-afresco/BOGAMET/MET_ARR_2021-BM0551.pdf</t>
  </si>
  <si>
    <t>2021-BM0552</t>
  </si>
  <si>
    <t>Délégation de signature - Nicolas Duclos</t>
  </si>
  <si>
    <t>https://cdn.scnbdx.fr/web-afresco/BOGAMET/MET_ARR_2021-BM0552.pdf</t>
  </si>
  <si>
    <t>2021-BM0555</t>
  </si>
  <si>
    <t>Délégation de signature - Karine Bonneau</t>
  </si>
  <si>
    <t>https://cdn.scnbdx.fr/web-afresco/BOGAMET/MET_ARR_2021-BM0555.pdf</t>
  </si>
  <si>
    <t>2021-BM0556</t>
  </si>
  <si>
    <t>Délégation de signature - Thierry Niaussat</t>
  </si>
  <si>
    <t>https://cdn.scnbdx.fr/web-afresco/BOGAMET/MET_ARR_2021-BM0556.pdf</t>
  </si>
  <si>
    <t>2021-BM0559</t>
  </si>
  <si>
    <t>Délégation de signature - Bons de commande et ordres de services</t>
  </si>
  <si>
    <t>https://cdn.scnbdx.fr/web-afresco/BOGAMET/MET_ARR_2021-BM0559.pdf</t>
  </si>
  <si>
    <t>2021-BM0094</t>
  </si>
  <si>
    <t>Autorisation d’occupation temporaire – AOT - Construction d’une dalle de répartition pour restauration d’un immeuble 44-46 rue Faubourg des Arts</t>
  </si>
  <si>
    <t>https://cdn.scnbdx.fr/web-afresco/BOGAMET/MET_ARR_2021-BM0094.pdf</t>
  </si>
  <si>
    <t>2021-BM0416</t>
  </si>
  <si>
    <t>Arrêté métropolitain - arrêté modificatif 2021-BM0288</t>
  </si>
  <si>
    <t>https://cdn.scnbdx.fr/web-afresco/BOGAMET/MET_ARR_2021-BM0416.pdf</t>
  </si>
  <si>
    <t>2021-BM0421</t>
  </si>
  <si>
    <t>circulation - Travaux de réalisation d’un forage dirigé avenue marcel Dassault au niveau du giratoire Dassault perpendiculaire au chemin du Phare</t>
  </si>
  <si>
    <t>https://cdn.scnbdx.fr/web-afresco/BOGAMET/MET_ARR_2021-BM0421.pdf</t>
  </si>
  <si>
    <t>2021-BM0579</t>
  </si>
  <si>
    <t>Attribution de subvention - Extension de la ligne A du tramway</t>
  </si>
  <si>
    <t>https://cdn.scnbdx.fr/web-afresco/BOGAMET/MET_ARR_2021-BM0579.pdf</t>
  </si>
  <si>
    <t>2021-BM0587</t>
  </si>
  <si>
    <t>circulation - travaux branchement avec fosse à compteur</t>
  </si>
  <si>
    <t>https://cdn.scnbdx.fr/web-afresco/BOGAMET/MET_ARR_2021-BM0587.pdf</t>
  </si>
  <si>
    <t>2021-BM0590</t>
  </si>
  <si>
    <t>circulation - travaux pose de  compteur/branchement aux réseaux</t>
  </si>
  <si>
    <t>https://cdn.scnbdx.fr/web-afresco/BOGAMET/MET_ARR_2021-BM0590.pdf</t>
  </si>
  <si>
    <t>2021-BM0589</t>
  </si>
  <si>
    <t>Autorisation de déversement des eaux usées - ARCAS</t>
  </si>
  <si>
    <t>https://cdn.scnbdx.fr/web-afresco/BOGAMET/MET_ARR_2021-BM0589.pdf</t>
  </si>
  <si>
    <t>2021-BM0037</t>
  </si>
  <si>
    <t>désignation de répresentant - Désignation des représentants de l’Administration au Comité Technique</t>
  </si>
  <si>
    <t>https://cdn.scnbdx.fr/web-afresco/BOGAMET/MET_ARR_2021-BM0037.pdf</t>
  </si>
  <si>
    <t>2021-BM0499</t>
  </si>
  <si>
    <t>circulation - travaux Abattage  d’un chêne mort</t>
  </si>
  <si>
    <t>https://cdn.scnbdx.fr/web-afresco/BOGAMET/MET_ARR_2021-BM0499.pdf</t>
  </si>
  <si>
    <t>2020-BM1477</t>
  </si>
  <si>
    <t>Délégation de signature - André LAFARIE</t>
  </si>
  <si>
    <t>https://cdn.scnbdx.fr/web-afresco/BOGAMET/MET_ARR_2020-BM1477.pdf</t>
  </si>
  <si>
    <t>2020-BM1481</t>
  </si>
  <si>
    <t>Délégation de signature - Yves MIAUD</t>
  </si>
  <si>
    <t>https://cdn.scnbdx.fr/web-afresco/BOGAMET/MET_ARR_2020-BM1481.pdf</t>
  </si>
  <si>
    <t>2020-BM1484</t>
  </si>
  <si>
    <t>Délégation de signature - Sylvain ROQUES</t>
  </si>
  <si>
    <t>https://cdn.scnbdx.fr/web-afresco/BOGAMET/MET_ARR_2020-BM1484.pdf</t>
  </si>
  <si>
    <t>2020-BM1486</t>
  </si>
  <si>
    <t>Délégation de signature - Bertrand BOUCHAUDY</t>
  </si>
  <si>
    <t>https://cdn.scnbdx.fr/web-afresco/BOGAMET/MET_ARR_2020-BM1486.pdf</t>
  </si>
  <si>
    <t>2020-BM1488</t>
  </si>
  <si>
    <t>Délégation de signature - Jean-Jacques CHAUTANT</t>
  </si>
  <si>
    <t>https://cdn.scnbdx.fr/web-afresco/BOGAMET/MET_ARR_2020-BM1488.pdf</t>
  </si>
  <si>
    <t>2020-BM1491</t>
  </si>
  <si>
    <t>Délégation de signature - Gaelle MASSON</t>
  </si>
  <si>
    <t>https://cdn.scnbdx.fr/web-afresco/BOGAMET/MET_ARR_2020-BM1491.pdf</t>
  </si>
  <si>
    <t>2020-BM1492</t>
  </si>
  <si>
    <t>Délégation de signature - Nathacha MOREL</t>
  </si>
  <si>
    <t>https://cdn.scnbdx.fr/web-afresco/BOGAMET/MET_ARR_2020-BM1492.pdf</t>
  </si>
  <si>
    <t>2020-BM1493</t>
  </si>
  <si>
    <t>Délégation de signature - Valérie SABERAN</t>
  </si>
  <si>
    <t>https://cdn.scnbdx.fr/web-afresco/BOGAMET/MET_ARR_2020-BM1493.pdf</t>
  </si>
  <si>
    <t>2020-BM1495</t>
  </si>
  <si>
    <t>Délégation de signature - Cyril LOZANO</t>
  </si>
  <si>
    <t>https://cdn.scnbdx.fr/web-afresco/BOGAMET/MET_ARR_2020-BM1495.pdf</t>
  </si>
  <si>
    <t>2020-BM1496</t>
  </si>
  <si>
    <t>Délégation de signature - Mathieu MAUVILLAIN</t>
  </si>
  <si>
    <t>https://cdn.scnbdx.fr/web-afresco/BOGAMET/MET_ARR_2020-BM1496.pdf</t>
  </si>
  <si>
    <t>2020-BM1501</t>
  </si>
  <si>
    <t>https://cdn.scnbdx.fr/web-afresco/BOGAMET/MET_ARR_2020-BM1501.pdf</t>
  </si>
  <si>
    <t>2020-BM1502</t>
  </si>
  <si>
    <t>Délégation de signature - Suivi des déchets dangereux</t>
  </si>
  <si>
    <t>https://cdn.scnbdx.fr/web-afresco/BOGAMET/MET_ARR_2020-BM1502.pdf</t>
  </si>
  <si>
    <t>2020-BM1638</t>
  </si>
  <si>
    <t>circulation - Travaux de pose de collecteurs EU sur accotement côté fossé entre le giratoire rue de Majolan et la réserve naturelle, sur l’avenue des 4 Ponts</t>
  </si>
  <si>
    <t>https://cdn.scnbdx.fr/web-afresco/BOGAMET/MET_ARR_2020-BM1638.pdf</t>
  </si>
  <si>
    <t>2020-BM1331</t>
  </si>
  <si>
    <t>circulation - Travaux de création de plates-bandes et de plantation sur espaces enherbés en chantier mobile sur l’avenue François Mitterrand, du carrefour interceptant l’avenue Roland Garros jusqu’au carrefour interceptant la RD 106 (voirie hors agglomération)</t>
  </si>
  <si>
    <t>https://cdn.scnbdx.fr/web-afresco/BOGAMET/MET_ARR_2020-BM1331.pdf</t>
  </si>
  <si>
    <t>2020-BM1504</t>
  </si>
  <si>
    <t>circulation - Travaux de réalisation de deux puits en paroi pieux sécants sur l’avenue du Port du Roy (voirie hors agglomération)</t>
  </si>
  <si>
    <t>https://cdn.scnbdx.fr/web-afresco/BOGAMET/MET_ARR_2020-BM1504.pdf</t>
  </si>
  <si>
    <t>2020-BM1515</t>
  </si>
  <si>
    <t>Défense des intérêts de Bordeaux-Métropole - Recours contre la 9ème modification du PLU</t>
  </si>
  <si>
    <t>https://cdn.scnbdx.fr/web-afresco/BOGAMET/MET_ARR_2020-BM1515.pdf</t>
  </si>
  <si>
    <t>2020-BM0656</t>
  </si>
  <si>
    <t>circulation - Travaux de création d’une entrée provisoire, au droit de la ZAC du Phare, au niveau du Chemin du Phar</t>
  </si>
  <si>
    <t>https://cdn.scnbdx.fr/web-afresco/BOGAMET/MET_ARR_2020-BM0656.pdf</t>
  </si>
  <si>
    <t>2020-BM1511</t>
  </si>
  <si>
    <t>Règlement intérieur du Crématorium de Bordeaux Métropole</t>
  </si>
  <si>
    <t>https://cdn.scnbdx.fr/web-afresco/BOGAMET/MET_ARR_2020-BM1511.pdf</t>
  </si>
  <si>
    <t>2020-BM1570</t>
  </si>
  <si>
    <t>circulation - travaux sur la ligne HTA route du Bec</t>
  </si>
  <si>
    <t>https://cdn.scnbdx.fr/web-afresco/BOGAMET/MET_ARR_2020-BM1570.pdf</t>
  </si>
  <si>
    <t>2020-BM1579</t>
  </si>
  <si>
    <t>Déclassement - impasse des Platanes</t>
  </si>
  <si>
    <t>https://cdn.scnbdx.fr/web-afresco/BOGAMET/MET_ARR_2020-BM1579.pdf</t>
  </si>
  <si>
    <t>2020-BM1506</t>
  </si>
  <si>
    <t>circulation - Travaux de création d’un accès chantier concernant l’aménagement de la déviation du Taillan, sur la commune de Saint Aubin de Médoc, Route de Louens RD211,</t>
  </si>
  <si>
    <t>https://cdn.scnbdx.fr/web-afresco/BOGAMET/MET_ARR_2020-BM1506.pdf</t>
  </si>
  <si>
    <t>2021-BM0018</t>
  </si>
  <si>
    <t>Circulation - Réalisation d'une battue intercommunale sur la route de Lacanau (RD 1215) entre le giratoire de la commune de Salaunes et le giratoire de Picot (voirie hors agglomération)</t>
  </si>
  <si>
    <t>https://cdn.scnbdx.fr/web-afresco/BOGAMET/MET_ARR_2021-BM0018.pdf</t>
  </si>
  <si>
    <t>2020-BM1588</t>
  </si>
  <si>
    <t>Désignation des représentants - Désignation de la Présidente de la Commission de concessions ayant pour objet le service public des transports urbains et les services  de mobilités durables</t>
  </si>
  <si>
    <t>https://cdn.scnbdx.fr/web-afresco/BOGAMET/MET_ARR_2020-BM1588.pdf</t>
  </si>
  <si>
    <t>2020-BM1566</t>
  </si>
  <si>
    <t>circulation - Travaux de forage dirigé sur l’avenue Marcel Dassault, au niveau du giratoire interceptant le Chemin du Phare (voirie hors agglomération)</t>
  </si>
  <si>
    <t>https://cdn.scnbdx.fr/web-afresco/BOGAMET/MET_ARR_2020-BM1566.pdf</t>
  </si>
  <si>
    <t>2020-BM1573</t>
  </si>
  <si>
    <t>circulation - Travaux de réalisation de résine sur joints de chaussée sur l’A631, voies sur Berges (voirie hors agglomération) au niveau de la limite de Bordeaux,</t>
  </si>
  <si>
    <t>https://cdn.scnbdx.fr/web-afresco/BOGAMET/MET_ARR_2020-BM1573.pdf</t>
  </si>
  <si>
    <t>2020-BM1607</t>
  </si>
  <si>
    <t>circulation - MODIFICATIF du 2020-BM1527 du 23/11/20 – Travaux de débroussaillage et de curage de fossé sur l’avenue des 4 Ponts, au niveau du carrefour de l’avenue des 4 ponts et ZI Campilleau. – hors agglo</t>
  </si>
  <si>
    <t>https://cdn.scnbdx.fr/web-afresco/BOGAMET/MET_ARR_2020-BM1607.pdf</t>
  </si>
  <si>
    <t>2021-BM0065</t>
  </si>
  <si>
    <t>classement - rue de la Chênaie</t>
  </si>
  <si>
    <t>https://cdn.scnbdx.fr/web-afresco/BOGAMET/MET_ARR_2021-BM0065.pdf</t>
  </si>
  <si>
    <t>2021-BM0136</t>
  </si>
  <si>
    <t>https://cdn.scnbdx.fr/web-afresco/BOGAMET/MET_ARR_2021-BM0136.pdf</t>
  </si>
  <si>
    <t>2021-BM0139</t>
  </si>
  <si>
    <t>Délégation de signature - Madame Carine VIGNA-LOBIA</t>
  </si>
  <si>
    <t>https://cdn.scnbdx.fr/web-afresco/BOGAMET/MET_ARR_2021-BM0139.pdf</t>
  </si>
  <si>
    <t>2021-BM0033</t>
  </si>
  <si>
    <t>désignation de répresentant - Désignation de la Présidente de la Commission de concessions ayant pour objet l’exploitation du réseau de chaleur urbain du Grand Parc</t>
  </si>
  <si>
    <t>https://cdn.scnbdx.fr/web-afresco/BOGAMET/MET_ARR_2021-BM0033.pdf</t>
  </si>
  <si>
    <t>2021-BM0151</t>
  </si>
  <si>
    <t>https://cdn.scnbdx.fr/web-afresco/BOGAMET/MET_ARR_2021-BM0151.pdf</t>
  </si>
  <si>
    <t>2021-BM0154</t>
  </si>
  <si>
    <t>https://cdn.scnbdx.fr/web-afresco/BOGAMET/MET_ARR_2021-BM0154.pdf</t>
  </si>
  <si>
    <t>2021-BM0155</t>
  </si>
  <si>
    <t>Délégation de signature - Madame Valérie SABERAN</t>
  </si>
  <si>
    <t>https://cdn.scnbdx.fr/web-afresco/BOGAMET/MET_ARR_2021-BM0155.pdf</t>
  </si>
  <si>
    <t>2021-BM0156</t>
  </si>
  <si>
    <t>Délégation de signature - Monsieur Pascal BOTZUNG</t>
  </si>
  <si>
    <t>https://cdn.scnbdx.fr/web-afresco/BOGAMET/MET_ARR_2021-BM0156.pdf</t>
  </si>
  <si>
    <t>2021-BM0159</t>
  </si>
  <si>
    <t>https://cdn.scnbdx.fr/web-afresco/BOGAMET/MET_ARR_2021-BM0159.pdf</t>
  </si>
  <si>
    <t>2021-BM0350</t>
  </si>
  <si>
    <t>classement - voie dénommée Cité Sauvageon renommée rue Sauvageon - Opposabilité</t>
  </si>
  <si>
    <t>https://cdn.scnbdx.fr/web-afresco/BOGAMET/MET_ARR_2021-BM0350.pdf</t>
  </si>
  <si>
    <t>2021-BM0356</t>
  </si>
  <si>
    <t>Délégation de signature - Fabrice Limare</t>
  </si>
  <si>
    <t>https://cdn.scnbdx.fr/web-afresco/BOGAMET/MET_ARR_2021-BM0356.pdf</t>
  </si>
  <si>
    <t>2021-BM0358</t>
  </si>
  <si>
    <t>Délégation de signature - Désignation Présidente concession gestion abris voyageurs réseau BM</t>
  </si>
  <si>
    <t>https://cdn.scnbdx.fr/web-afresco/BOGAMET/MET_ARR_2021-BM0358.pdf</t>
  </si>
  <si>
    <t>2021-BM0363</t>
  </si>
  <si>
    <t>circulation - Travaux de réfection de la couche de roulement – allée du Bois</t>
  </si>
  <si>
    <t>https://cdn.scnbdx.fr/web-afresco/BOGAMET/MET_ARR_2021-BM0363.pdf</t>
  </si>
  <si>
    <t>2021-BM0075</t>
  </si>
  <si>
    <t>Défense des intérêts de Bordeaux-Métropole - Traité de concession de l’eau</t>
  </si>
  <si>
    <t>https://cdn.scnbdx.fr/web-afresco/BOGAMET/MET_ARR_2021-BM0075.pdf</t>
  </si>
  <si>
    <t>2021-BM0179</t>
  </si>
  <si>
    <t>circulation - travaux inspection télévisuelle du réseau eaux pluviales après nettoyage du collecteur</t>
  </si>
  <si>
    <t>https://cdn.scnbdx.fr/web-afresco/BOGAMET/MET_ARR_2021-BM0179.pdf</t>
  </si>
  <si>
    <t>2021-BM0020</t>
  </si>
  <si>
    <t>Autorisation d’intégration des ouvrages d'assainissement - Lotissement «PLAISANCE»</t>
  </si>
  <si>
    <t>https://cdn.scnbdx.fr/web-afresco/BOGAMET/MET_ARR_2021-BM0020.pdf</t>
  </si>
  <si>
    <t>2021-BM0025</t>
  </si>
  <si>
    <t>Enquête publique - Procédure de classement d’office de la Cité de Vadelaincourt à Bordeaux avec approbation d’un plan d’alignement – Versement de l’indemnité accordée au Commissaire Enquêteur pour la conduite de l’enquête publique</t>
  </si>
  <si>
    <t>https://cdn.scnbdx.fr/web-afresco/BOGAMET/MET_ARR_2021-BM0025.pdf</t>
  </si>
  <si>
    <t>2021-BM0019</t>
  </si>
  <si>
    <t>Circulation - Impasse de BELLEVUE-MERIGNAC-création d’une limitation 30</t>
  </si>
  <si>
    <t>https://cdn.scnbdx.fr/web-afresco/BOGAMET/MET_ARR_2021-BM0019.pdf</t>
  </si>
  <si>
    <t>2021-BM0288</t>
  </si>
  <si>
    <t>Arrêté métropolitain - transfert de gestion à la Ville de Bordeaux des Place René Seilhan, Square Gaviniès, Square Régnier, Place Amélie Raba Léon, Place des Droits de l'Enfant</t>
  </si>
  <si>
    <t>https://cdn.scnbdx.fr/web-afresco/BOGAMET/MET_ARR_2021-BM0288.pdf</t>
  </si>
  <si>
    <t>2021-BM0204</t>
  </si>
  <si>
    <t>circulation - Travaux de rabotage et d'application d'enrobés route de Soulac (RD1) carrefour chemin de Machadey</t>
  </si>
  <si>
    <t>https://cdn.scnbdx.fr/web-afresco/BOGAMET/MET_ARR_2021-BM0204.pdf</t>
  </si>
  <si>
    <t>2021-BM0011</t>
  </si>
  <si>
    <t>composition du jury  - Appel à manifestation d’intérêt AIRE 2ème édition - jury de sélection Bordeaux Cardinal Richaud</t>
  </si>
  <si>
    <t>https://cdn.scnbdx.fr/web-afresco/BOGAMET/MET_ARR_2021-BM0011.pdf</t>
  </si>
  <si>
    <t>2021-BM0013</t>
  </si>
  <si>
    <t>composition du jury  - Appel à manifestation d’intérêt AIRE 2ème édition - jury de sélection - site de Lormont</t>
  </si>
  <si>
    <t>https://cdn.scnbdx.fr/web-afresco/BOGAMET/MET_ARR_2021-BM0013.pdf</t>
  </si>
  <si>
    <t>2021-BM0082</t>
  </si>
  <si>
    <t>circulation - travaux réseau eau potable, place DAUPHINE, Quartier BELLEVUE</t>
  </si>
  <si>
    <t>https://cdn.scnbdx.fr/web-afresco/BOGAMET/MET_ARR_2021-BM0082.pdf</t>
  </si>
  <si>
    <t>2021-BM0048</t>
  </si>
  <si>
    <t>Délégation de signature - Valérie Charle</t>
  </si>
  <si>
    <t>https://cdn.scnbdx.fr/web-afresco/BOGAMET/MET_ARR_2021-BM0048.pdf</t>
  </si>
  <si>
    <t>2021-BM0049</t>
  </si>
  <si>
    <t>Délégation de signature - Karine Gessner</t>
  </si>
  <si>
    <t>https://cdn.scnbdx.fr/web-afresco/BOGAMET/MET_ARR_2021-BM0049.pdf</t>
  </si>
  <si>
    <t>2021-BM0052</t>
  </si>
  <si>
    <t>Délégation de signature - Valérie Pottier</t>
  </si>
  <si>
    <t>https://cdn.scnbdx.fr/web-afresco/BOGAMET/MET_ARR_2021-BM0052.pdf</t>
  </si>
  <si>
    <t>2021-BM0053</t>
  </si>
  <si>
    <t>Délégation de signature - Marie-Fanny Jacob</t>
  </si>
  <si>
    <t>https://cdn.scnbdx.fr/web-afresco/BOGAMET/MET_ARR_2021-BM0053.pdf</t>
  </si>
  <si>
    <t>2021-BM0058</t>
  </si>
  <si>
    <t>https://cdn.scnbdx.fr/web-afresco/BOGAMET/MET_ARR_2021-BM0058.pdf</t>
  </si>
  <si>
    <t>2021-BM0097</t>
  </si>
  <si>
    <t>Circulation - Travaux de remplacement d’un candélabre accidenté sur le giratoire de la RD 121Z5 perpendiculaire au chemin de la Vigne Blanche</t>
  </si>
  <si>
    <t>https://cdn.scnbdx.fr/web-afresco/BOGAMET/MET_ARR_2021-BM0097.pdf</t>
  </si>
  <si>
    <t>2021-BM0286</t>
  </si>
  <si>
    <t>circulation - rue HIPPARQUE et rue ARCHIMEDE- modifie l’arrêté 2021 BM0211</t>
  </si>
  <si>
    <t>https://cdn.scnbdx.fr/web-afresco/BOGAMET/MET_ARR_2021-BM0286.pdf</t>
  </si>
  <si>
    <t>2021-BM0435</t>
  </si>
  <si>
    <t>Déclassement - Impasse des Carmes</t>
  </si>
  <si>
    <t>https://cdn.scnbdx.fr/web-afresco/BOGAMET/MET_ARR_2021-BM0435.pdf</t>
  </si>
  <si>
    <t>2021-BM0316</t>
  </si>
  <si>
    <t>circulation - travaux avenue de l’ ARGONNE - Modifie et prolonge l’arrêté 2020-BM1355 du 06/11/202</t>
  </si>
  <si>
    <t>https://cdn.scnbdx.fr/web-afresco/BOGAMET/MET_ARR_2021-BM0316.pdf</t>
  </si>
  <si>
    <t>2021-BM0108</t>
  </si>
  <si>
    <t>Circulation - travaux sur la commune de Mérignac- rue Thierry</t>
  </si>
  <si>
    <t>https://cdn.scnbdx.fr/web-afresco/BOGAMET/MET_ARR_2021-BM0108.pdf</t>
  </si>
  <si>
    <t>2021-BM0221</t>
  </si>
  <si>
    <t>Désignation de représentant - Présidente de la Commission de concessions ayant pour objet l’exploitation du réseau de chaleur urbain du Grand Parc</t>
  </si>
  <si>
    <t>https://cdn.scnbdx.fr/web-afresco/BOGAMET/MET_ARR_2021-BM0221.pdf</t>
  </si>
  <si>
    <t>2021-BM0436</t>
  </si>
  <si>
    <t>circulation - Travaux de réfection de couches de roulement et de dérasement des accotements, avenue GIRARD</t>
  </si>
  <si>
    <t>https://cdn.scnbdx.fr/web-afresco/BOGAMET/MET_ARR_2021-BM0436.pdf</t>
  </si>
  <si>
    <t>2021-BM0248</t>
  </si>
  <si>
    <t>Délégation de signature - Madame Annabelle Rose</t>
  </si>
  <si>
    <t>https://cdn.scnbdx.fr/web-afresco/BOGAMET/MET_ARR_2021-BM0248.pdf</t>
  </si>
  <si>
    <t>2021-BM0250</t>
  </si>
  <si>
    <t>Délégation de signature - Monsieur Philippe Latrille</t>
  </si>
  <si>
    <t>https://cdn.scnbdx.fr/web-afresco/BOGAMET/MET_ARR_2021-BM0250.pdf</t>
  </si>
  <si>
    <t>2021-BM0256</t>
  </si>
  <si>
    <t>Délégation de signature - Madame Isabelle Thomas</t>
  </si>
  <si>
    <t>https://cdn.scnbdx.fr/web-afresco/BOGAMET/MET_ARR_2021-BM0256.pdf</t>
  </si>
  <si>
    <t>2021-BM0257</t>
  </si>
  <si>
    <t>Délégation de signature - Monsieur Benoit Videau</t>
  </si>
  <si>
    <t>https://cdn.scnbdx.fr/web-afresco/BOGAMET/MET_ARR_2021-BM0257.pdf</t>
  </si>
  <si>
    <t>2021-BM0261</t>
  </si>
  <si>
    <t>Délégation de signature - Monsieur Laurent Lemaitre</t>
  </si>
  <si>
    <t>https://cdn.scnbdx.fr/web-afresco/BOGAMET/MET_ARR_2021-BM0261.pdf</t>
  </si>
  <si>
    <t>2021-BM0265</t>
  </si>
  <si>
    <t>https://cdn.scnbdx.fr/web-afresco/BOGAMET/MET_ARR_2021-BM0265.pdf</t>
  </si>
  <si>
    <t>2021-BM0267</t>
  </si>
  <si>
    <t>Délégation de signature - Monsieur Pascal Besançon</t>
  </si>
  <si>
    <t>https://cdn.scnbdx.fr/web-afresco/BOGAMET/MET_ARR_2021-BM0267.pdf</t>
  </si>
  <si>
    <t>2021-BM0325</t>
  </si>
  <si>
    <t>circulation - Poses de 2 chambres télécom et de 3 fourreaux télécom FREE - travaux D213</t>
  </si>
  <si>
    <t>https://cdn.scnbdx.fr/web-afresco/BOGAMET/MET_ARR_2021-BM0325.pdf</t>
  </si>
  <si>
    <t>2021-BM0240</t>
  </si>
  <si>
    <t>Autorisation de déversement des eaux usées - SNC PALUDATE</t>
  </si>
  <si>
    <t>https://cdn.scnbdx.fr/web-afresco/BOGAMET/MET_ARR_2021-BM0240.pdf</t>
  </si>
  <si>
    <t>2020-BM1553</t>
  </si>
  <si>
    <t>Délégation de signature - Représentation du Président de Bordeaux Métropole  au Conseil d’administration de l’Ecole nationale supérieure  d’architecture et de paysage de Bordeaux (ENSAP BX)</t>
  </si>
  <si>
    <t>https://cdn.scnbdx.fr/web-afresco/BOGAMET/MET_ARR_2020-BM1553.pdf</t>
  </si>
  <si>
    <t>2020-BM1563</t>
  </si>
  <si>
    <t>Autorisation de déversement des eaux usées - Bordeaux Euratlantique</t>
  </si>
  <si>
    <t>https://cdn.scnbdx.fr/web-afresco/BOGAMET/MET_ARR_2020-BM1563.pdf</t>
  </si>
  <si>
    <t>2020-BM1512</t>
  </si>
  <si>
    <t>circulation - travaux de génie civil le long de la voie avenue Armand Béraud</t>
  </si>
  <si>
    <t>https://cdn.scnbdx.fr/web-afresco/BOGAMET/MET_ARR_2020-BM1512.pdf</t>
  </si>
  <si>
    <t>2020-BM1636</t>
  </si>
  <si>
    <t>circulation - réalisation de travaux de terrassement sous accotement pour passage de la fibre, rue Marcel ISSARTIER</t>
  </si>
  <si>
    <t>https://cdn.scnbdx.fr/web-afresco/BOGAMET/MET_ARR_2020-BM1636.pdf</t>
  </si>
  <si>
    <t>2020-BM1658</t>
  </si>
  <si>
    <t>Règlement de la communication des documents conservés aux Archives de Bordeaux Métropole  - portant prolongation des dispositions de l’arrêté 2020BM1121 du 23/09/20 portant modification temporaire de certains articles de l’arrêté 2018BM0185 du 16/02/18</t>
  </si>
  <si>
    <t>https://cdn.scnbdx.fr/web-afresco/BOGAMET/MET_ARR_2020-BM1658.pdf</t>
  </si>
  <si>
    <t>2020-BM1336</t>
  </si>
  <si>
    <t>Régie d'avances et de recettes - Suppression de la régie de recettes et d’avances « Aires des grands passages de Bordeaux-Métropole ».</t>
  </si>
  <si>
    <t>https://cdn.scnbdx.fr/web-afresco/BOGAMET/MET_ARR_2020-BM1336.pdf</t>
  </si>
  <si>
    <t>2020-BM1574</t>
  </si>
  <si>
    <t>Régie d'avances et de recettes - Suppression régie de la logistique et des magasins</t>
  </si>
  <si>
    <t>https://cdn.scnbdx.fr/web-afresco/BOGAMET/MET_ARR_2020-BM1574.pdf</t>
  </si>
  <si>
    <t>2020-BM1170</t>
  </si>
  <si>
    <t>autorisation de signature d'une convention au Président - Convention d’accès à certaines données du Fichier national des accidents corporels de l’Observatoire National Interministériel de la Sécurité Routière (ONISR)</t>
  </si>
  <si>
    <t>https://cdn.scnbdx.fr/web-afresco/BOGAMET/MET_ARR_2020-BM1170.pdf</t>
  </si>
  <si>
    <t>2020-BM1546</t>
  </si>
  <si>
    <t>Cession - Arrêté d’approbation d’un cahier des charges de cession de terrain îlots B085 à B0109</t>
  </si>
  <si>
    <t>https://cdn.scnbdx.fr/web-afresco/BOGAMET/MET_ARR_2020-BM1546.pdf</t>
  </si>
  <si>
    <t>2021-BM0016</t>
  </si>
  <si>
    <t>Défense des intérêts de Bordeaux-Métropole - Ouvrage d’art de franchissement de la rocade par la ligne A du tramway</t>
  </si>
  <si>
    <t>https://cdn.scnbdx.fr/web-afresco/BOGAMET/MET_ARR_2021-BM0016.pdf</t>
  </si>
  <si>
    <t>2021-BM0767</t>
  </si>
  <si>
    <t>Délégation de signature - Monsieur Michel Vayssié</t>
  </si>
  <si>
    <t>https://cdn.scnbdx.fr/web-afresco/BOGAMET/MET_ARR_2021-BM0767.pdf</t>
  </si>
  <si>
    <t>2021-BM0769</t>
  </si>
  <si>
    <t>Délégation de signature - Madame Luce Gallien</t>
  </si>
  <si>
    <t>https://cdn.scnbdx.fr/web-afresco/BOGAMET/MET_ARR_2021-BM0769.pdf</t>
  </si>
  <si>
    <t>2021-BM1102</t>
  </si>
  <si>
    <t>circulation - travaux de détection et de géoréférence des réseaux pour le compte de Bordeaux Métropole aux insersections de voies suivantes : chemin du Phare/avenue marcel Dassault, avenues de Beaudésert/Henrie Becquerel, avenues Roland Garros/de l'Argonne et avenue Marcel Dassault/rue Marc Issartier</t>
  </si>
  <si>
    <t>https://cdn.scnbdx.fr/web-afresco/BOGAMET/MET_ARR_2021-BM1102.pdf</t>
  </si>
  <si>
    <t>2021-BM1216</t>
  </si>
  <si>
    <t>Autorisation d’occupation temporaire – AOT -  ouvrage d’art – Céréma – Particle Vision – Pont Chaban Delmas</t>
  </si>
  <si>
    <t>https://cdn.scnbdx.fr/web-afresco/BOGAMET/MET_ARR_2021-BM1216.pdf</t>
  </si>
  <si>
    <t>2021-BM1221</t>
  </si>
  <si>
    <t>circulation - avenue Marcel DASSAULT- ouverture de chambres télécom pour passage et raccordement câble fibre optique</t>
  </si>
  <si>
    <t>https://cdn.scnbdx.fr/web-afresco/BOGAMET/MET_ARR_2021-BM1221.pdf</t>
  </si>
  <si>
    <t>2021-BM0895</t>
  </si>
  <si>
    <t>circulation - Travaux 62 avenue de l’ARGONNE-création de réseaux télécom- par l’entreprise ERT TECHNOLOGIES</t>
  </si>
  <si>
    <t>https://cdn.scnbdx.fr/web-afresco/BOGAMET/MET_ARR_2021-BM0895.pdf</t>
  </si>
  <si>
    <t>2021-BM0845</t>
  </si>
  <si>
    <t>Délégation de signature - Monsieur Christophe Piette</t>
  </si>
  <si>
    <t>https://cdn.scnbdx.fr/web-afresco/BOGAMET/MET_ARR_2021-BM0845.pdf</t>
  </si>
  <si>
    <t>2021-BM0847</t>
  </si>
  <si>
    <t>Délégation de signature - Madame Karine Mabillon (ADG)</t>
  </si>
  <si>
    <t>https://cdn.scnbdx.fr/web-afresco/BOGAMET/MET_ARR_2021-BM0847.pdf</t>
  </si>
  <si>
    <t>2021-BM0851</t>
  </si>
  <si>
    <t>Délégation de signature - Documents identification et suivi des déchets dangereux</t>
  </si>
  <si>
    <t>https://cdn.scnbdx.fr/web-afresco/BOGAMET/MET_ARR_2021-BM0851.pdf</t>
  </si>
  <si>
    <t>2021-BM0852</t>
  </si>
  <si>
    <t>https://cdn.scnbdx.fr/web-afresco/BOGAMET/MET_ARR_2021-BM0852.pdf</t>
  </si>
  <si>
    <t>2021-BM0875</t>
  </si>
  <si>
    <t>Délégation de signature - Madame Magalie SABBAH (Directrice pi)</t>
  </si>
  <si>
    <t>https://cdn.scnbdx.fr/web-afresco/BOGAMET/MET_ARR_2021-BM0875.pdf</t>
  </si>
  <si>
    <t>2021-BM0898</t>
  </si>
  <si>
    <t>Déclassement - emprises appartenant au domaine public de Bordeaux Métropole - Opération d’aménagement Pontet Sud – Avenue Bougnard</t>
  </si>
  <si>
    <t>https://cdn.scnbdx.fr/web-afresco/BOGAMET/MET_ARR_2021-BM0898.pdf</t>
  </si>
  <si>
    <t>2021-BM0904</t>
  </si>
  <si>
    <t>https://cdn.scnbdx.fr/web-afresco/BOGAMET/MET_ARR_2021-BM0904.pdf</t>
  </si>
  <si>
    <t>2021-BM0931</t>
  </si>
  <si>
    <t>circulation - Travaux de génie civil pour l’enfouissement de réseaux sur l’avenue Léon Blum</t>
  </si>
  <si>
    <t>https://cdn.scnbdx.fr/web-afresco/BOGAMET/MET_ARR_2021-BM0931.pdf</t>
  </si>
  <si>
    <t>2021-BM1373</t>
  </si>
  <si>
    <t>Délégation de signature - Madame Fabienne Ranc</t>
  </si>
  <si>
    <t>https://cdn.scnbdx.fr/web-afresco/BOGAMET/MET_ARR_2021-BM1373.pdf</t>
  </si>
  <si>
    <t>2021-BM1403</t>
  </si>
  <si>
    <t>circulation -  Travaux de VRD (voirie,  murets, éclairage public, espaces verts, réseaux) entre le Quai Wilson et l’A631 – hors agglo</t>
  </si>
  <si>
    <t>https://cdn.scnbdx.fr/web-afresco/BOGAMET/MET_ARR_2021-BM1403.pdf</t>
  </si>
  <si>
    <t>2021-BM1308</t>
  </si>
  <si>
    <t>subvention - Rue Queyries – Demande de subvention</t>
  </si>
  <si>
    <t>https://cdn.scnbdx.fr/web-afresco/BOGAMET/MET_ARR_2021-BM1308.pdf</t>
  </si>
  <si>
    <t>2021-BM1316</t>
  </si>
  <si>
    <t>circulation - Travaux d’aménagement et de création d’un giratoire, route de Louens (RD211</t>
  </si>
  <si>
    <t>https://cdn.scnbdx.fr/web-afresco/BOGAMET/MET_ARR_2021-BM1316.pdf</t>
  </si>
  <si>
    <t>2021-BM0913</t>
  </si>
  <si>
    <t>circulation - travaux sur les communes de Mérignac et du Haillan-rue Marcel ISSARTIER et rue Stéphanie KWOLEK- par le groupement SOGETREL</t>
  </si>
  <si>
    <t>https://cdn.scnbdx.fr/web-afresco/BOGAMET/MET_ARR_2021-BM0913.pdf</t>
  </si>
  <si>
    <t>2021-BM1293</t>
  </si>
  <si>
    <t>circulation - Rue Paul  Bayle</t>
  </si>
  <si>
    <t>https://cdn.scnbdx.fr/web-afresco/BOGAMET/MET_ARR_2021-BM1293.pdf</t>
  </si>
  <si>
    <t>2021-BM1111</t>
  </si>
  <si>
    <t>circulation -  travaux d’inspection  de la conduite de gaz rue Louis  Monteau</t>
  </si>
  <si>
    <t>https://cdn.scnbdx.fr/web-afresco/BOGAMET/MET_ARR_2021-BM1111.pdf</t>
  </si>
  <si>
    <t>2021-BM0974</t>
  </si>
  <si>
    <t>Autorisation de déversement des eaux usées - EIFFAGE - RABATTEMENT DE NAPPE dans le canal du ruisseau d’Ars, situé ZAC Armagnac en face du 108 rue Carle VERNET à Bordeaux, vers le milieu Naturel</t>
  </si>
  <si>
    <t>https://cdn.scnbdx.fr/web-afresco/BOGAMET/MET_ARR_2021-BM0974.pdf</t>
  </si>
  <si>
    <t>2021-BM0975</t>
  </si>
  <si>
    <t>Autorisation de déversement des eaux usées - BOUYGUES - Rabattement Eaux de fond de fouille dans le canal du ruisseau d’Ars, situé ZAC Armagnac 13 rue des Gamins à Bordeaux, vers le Milieu Naturel</t>
  </si>
  <si>
    <t>https://cdn.scnbdx.fr/web-afresco/BOGAMET/MET_ARR_2021-BM0975.pdf</t>
  </si>
  <si>
    <t>2021-BM0978</t>
  </si>
  <si>
    <t>Déclassement - ouvrages d’assainissement du domaine public vers le domaine privé des réseaux situés rue Gutenberg à Pessac - EIFFAGE</t>
  </si>
  <si>
    <t>https://cdn.scnbdx.fr/web-afresco/BOGAMET/MET_ARR_2021-BM0978.pdf</t>
  </si>
  <si>
    <t>2021-BM1246</t>
  </si>
  <si>
    <t>Déclassement -  1, 3 et 5 de la rue Gallieni et située à l’angle de l’avenue Georges Clémenceau</t>
  </si>
  <si>
    <t>https://cdn.scnbdx.fr/web-afresco/BOGAMET/MET_ARR_2021-BM1246.pdf</t>
  </si>
  <si>
    <t>2021-BM0976</t>
  </si>
  <si>
    <t>circulation - Travaux de fauchage des accotements et curage de fossés sur l’avenue François Mitterrand</t>
  </si>
  <si>
    <t>https://cdn.scnbdx.fr/web-afresco/BOGAMET/MET_ARR_2021-BM0976.pdf</t>
  </si>
  <si>
    <t>2021-BM0925</t>
  </si>
  <si>
    <t>circulation - Travaux de reprise du busage de la voie au niveau du n°361 de l'avenue de l'Argonne, au droit du carrefour Chemin des Deux Poteaux E</t>
  </si>
  <si>
    <t>https://cdn.scnbdx.fr/web-afresco/BOGAMET/MET_ARR_2021-BM0925.pdf</t>
  </si>
  <si>
    <t>2021-BM1098</t>
  </si>
  <si>
    <t>Approbation du plan modificatif d'alignement d'une voie - rue Vieillard</t>
  </si>
  <si>
    <t>https://cdn.scnbdx.fr/web-afresco/BOGAMET/MET_ARR_2021-BM1098.pdf</t>
  </si>
  <si>
    <t>2021-BM1114</t>
  </si>
  <si>
    <t>Approbation du plan modificatif d'alignement d'une voie - rue du Grand Lebrun et de la rue du Sacré Cœur</t>
  </si>
  <si>
    <t>https://cdn.scnbdx.fr/web-afresco/BOGAMET/MET_ARR_2021-BM1114.pdf</t>
  </si>
  <si>
    <t>2021-BM1119</t>
  </si>
  <si>
    <t>Approbation du plan modificatif d'alignement d'une voie - impasse des Carmes</t>
  </si>
  <si>
    <t>https://cdn.scnbdx.fr/web-afresco/BOGAMET/MET_ARR_2021-BM1119.pdf</t>
  </si>
  <si>
    <t>2021-BM1123</t>
  </si>
  <si>
    <t>Approbation du plan modificatif d'alignement d'une voie - Rue Pomme d’Or</t>
  </si>
  <si>
    <t>https://cdn.scnbdx.fr/web-afresco/BOGAMET/MET_ARR_2021-BM1123.pdf</t>
  </si>
  <si>
    <t>2021-BM1100</t>
  </si>
  <si>
    <t>circulation - travaux de pose de blocs de béton à proximité de la voie de circulation de la RD113</t>
  </si>
  <si>
    <t>https://cdn.scnbdx.fr/web-afresco/BOGAMET/MET_ARR_2021-BM1100.pdf</t>
  </si>
  <si>
    <t>2021-BM1108</t>
  </si>
  <si>
    <t>classement - impasse des jonquilles</t>
  </si>
  <si>
    <t>https://cdn.scnbdx.fr/web-afresco/BOGAMET/MET_ARR_2021-BM1108.pdf</t>
  </si>
  <si>
    <t>2021-BM0616</t>
  </si>
  <si>
    <t>Défense des intérêts de Bordeaux-Métropole - rejet à se voir attribuer une indemnité compensatrice de repas</t>
  </si>
  <si>
    <t>https://cdn.scnbdx.fr/web-afresco/BOGAMET/MET_ARR_2021-BM0616.pdf</t>
  </si>
  <si>
    <t>2021-BM0632</t>
  </si>
  <si>
    <t>Délégation de signature - Madame Marine Darpeix</t>
  </si>
  <si>
    <t>https://cdn.scnbdx.fr/web-afresco/BOGAMET/MET_ARR_2021-BM0632.pdf</t>
  </si>
  <si>
    <t>2021-BM1015</t>
  </si>
  <si>
    <t>Autorisation de déversement des eaux usées - l’Etablissement SNCF RESEAU dans le canal du ruisseau d’Ars</t>
  </si>
  <si>
    <t>https://cdn.scnbdx.fr/web-afresco/BOGAMET/MET_ARR_2021-BM1015.pdf</t>
  </si>
  <si>
    <t>2021-BM1016</t>
  </si>
  <si>
    <t>Autorisation de déversement des eaux usées - OTV - rue Louis Blériot à Bègles - modificatif n°2021-BM0274</t>
  </si>
  <si>
    <t>https://cdn.scnbdx.fr/web-afresco/BOGAMET/MET_ARR_2021-BM1016.pdf</t>
  </si>
  <si>
    <t>2021-BM0934</t>
  </si>
  <si>
    <t>circulation - Travaux d’ouverture de chambre sur chaussée pour raccordement de client fibre sur l’avenue Marcel Dassault</t>
  </si>
  <si>
    <t>https://cdn.scnbdx.fr/web-afresco/BOGAMET/MET_ARR_2021-BM0934.pdf</t>
  </si>
  <si>
    <t>2021-BM0982</t>
  </si>
  <si>
    <t>circulation - travaux enlèvement de supports et conducteurs HTA Enedis longeant la route du bec</t>
  </si>
  <si>
    <t>https://cdn.scnbdx.fr/web-afresco/BOGAMET/MET_ARR_2021-BM0982.pdf</t>
  </si>
  <si>
    <t>2021-BM0983</t>
  </si>
  <si>
    <t>circulation - travaux visite et expertise du Viaduc maçonné avec nacelle araignée - rue Merleau Ponty</t>
  </si>
  <si>
    <t>https://cdn.scnbdx.fr/web-afresco/BOGAMET/MET_ARR_2021-BM0983.pdf</t>
  </si>
  <si>
    <t>2021-BM1010</t>
  </si>
  <si>
    <t>circulation - Création d’une voie verte du 14 au 112 avenue de l’ARGONNE</t>
  </si>
  <si>
    <t>https://cdn.scnbdx.fr/web-afresco/BOGAMET/MET_ARR_2021-BM1010.pdf</t>
  </si>
  <si>
    <t>2021-BM0991</t>
  </si>
  <si>
    <t>https://cdn.scnbdx.fr/web-afresco/BOGAMET/MET_ARR_2021-BM0991.pdf</t>
  </si>
  <si>
    <t>2021-BM0992</t>
  </si>
  <si>
    <t>https://cdn.scnbdx.fr/web-afresco/BOGAMET/MET_ARR_2021-BM0992.pdf</t>
  </si>
  <si>
    <t>2021-BM0996</t>
  </si>
  <si>
    <t>Délégation de signature - Madame Karine Mabillon (DG)</t>
  </si>
  <si>
    <t>https://cdn.scnbdx.fr/web-afresco/BOGAMET/MET_ARR_2021-BM0996.pdf</t>
  </si>
  <si>
    <t>2021-BM0997</t>
  </si>
  <si>
    <t>Délégation de signature - Monsieur Fabrice Limare (ADG)</t>
  </si>
  <si>
    <t>https://cdn.scnbdx.fr/web-afresco/BOGAMET/MET_ARR_2021-BM0997.pdf</t>
  </si>
  <si>
    <t>2021-BM1009</t>
  </si>
  <si>
    <t>https://cdn.scnbdx.fr/web-afresco/BOGAMET/MET_ARR_2021-BM1009.pdf</t>
  </si>
  <si>
    <t>2021-BM1230</t>
  </si>
  <si>
    <t>https://cdn.scnbdx.fr/web-afresco/BOGAMET/MET_ARR_2021-BM1230.pdf</t>
  </si>
  <si>
    <t>2021-BM1234</t>
  </si>
  <si>
    <t>Délégation de signature - Monsieur Stéphane Caze</t>
  </si>
  <si>
    <t>https://cdn.scnbdx.fr/web-afresco/BOGAMET/MET_ARR_2021-BM1234.pdf</t>
  </si>
  <si>
    <t>2021-BM1238</t>
  </si>
  <si>
    <t>https://cdn.scnbdx.fr/web-afresco/BOGAMET/MET_ARR_2021-BM1238.pdf</t>
  </si>
  <si>
    <t>2021-BM1241</t>
  </si>
  <si>
    <t>https://cdn.scnbdx.fr/web-afresco/BOGAMET/MET_ARR_2021-BM1241.pdf</t>
  </si>
  <si>
    <t>2021-BM1414</t>
  </si>
  <si>
    <t>Défense des intérêts de Bordeaux-Métropole - Lignes directrices de gestion</t>
  </si>
  <si>
    <t>https://cdn.scnbdx.fr/web-afresco/BOGAMET/MET_ARR_2021-BM1414.pdf</t>
  </si>
  <si>
    <t>2021-BM1421</t>
  </si>
  <si>
    <t>Défense des intérêts de Bordeaux-Métropole - Mutation interne dans l’intérêt du service</t>
  </si>
  <si>
    <t>https://cdn.scnbdx.fr/web-afresco/BOGAMET/MET_ARR_2021-BM1421.pdf</t>
  </si>
  <si>
    <t>2021-BM1423</t>
  </si>
  <si>
    <t>Défense des intérêts de Bordeaux-Métropole - Demande de reconnaissance d’une situation de harcèlement et indemnisation du préjudice moral et financier</t>
  </si>
  <si>
    <t>https://cdn.scnbdx.fr/web-afresco/BOGAMET/MET_ARR_2021-BM1423.pdf</t>
  </si>
  <si>
    <t>2021-BM0789</t>
  </si>
  <si>
    <t>circulation - travaux de voirie, Avenue de l'ARGONNE</t>
  </si>
  <si>
    <t>https://cdn.scnbdx.fr/web-afresco/BOGAMET/MET_ARR_2021-BM0789.pdf</t>
  </si>
  <si>
    <t>2021-BM0813</t>
  </si>
  <si>
    <t>circulation - Travaux d’aménagement d’une voie verte et du réseau Inolia sur la commune de Mérignac - du 30 au 70 avenue de l’ARGONNE,</t>
  </si>
  <si>
    <t>https://cdn.scnbdx.fr/web-afresco/BOGAMET/MET_ARR_2021-BM0813.pdf</t>
  </si>
  <si>
    <t>2021-BM0817</t>
  </si>
  <si>
    <t>Autorisation d’intégration des ouvrages d'assainissement - Lotissement «LES ADRYADES»</t>
  </si>
  <si>
    <t>https://cdn.scnbdx.fr/web-afresco/BOGAMET/MET_ARR_2021-BM0817.pdf</t>
  </si>
  <si>
    <t>2021-BM0964</t>
  </si>
  <si>
    <t>Ouverture d'enquête publique - Déclassement d'une emprise d'environ 2300m², rue Jules Verne</t>
  </si>
  <si>
    <t>https://cdn.scnbdx.fr/web-afresco/BOGAMET/MET_ARR_2021-BM0964.pdf</t>
  </si>
  <si>
    <t>2021-BM1073</t>
  </si>
  <si>
    <t>Délégation de signature - Madame Catherine BENEVENT (DGEP)</t>
  </si>
  <si>
    <t>https://cdn.scnbdx.fr/web-afresco/BOGAMET/MET_ARR_2021-BM1073.pdf</t>
  </si>
  <si>
    <t>2021-BM1075</t>
  </si>
  <si>
    <t>Délégation de signature - Monsieur Quentin BRAURE DE CALIGNON</t>
  </si>
  <si>
    <t>https://cdn.scnbdx.fr/web-afresco/BOGAMET/MET_ARR_2021-BM1075.pdf</t>
  </si>
  <si>
    <t>2021-BM1084</t>
  </si>
  <si>
    <t>Délégation de signature - Madame Marina DARPEIX</t>
  </si>
  <si>
    <t>https://cdn.scnbdx.fr/web-afresco/BOGAMET/MET_ARR_2021-BM1084.pdf</t>
  </si>
  <si>
    <t>2021-BM1087</t>
  </si>
  <si>
    <t>Délégation de signature - Monsieur Frédéric LAUX</t>
  </si>
  <si>
    <t>https://cdn.scnbdx.fr/web-afresco/BOGAMET/MET_ARR_2021-BM1087.pdf</t>
  </si>
  <si>
    <t>2021-BM1091</t>
  </si>
  <si>
    <t>Délégation de signature - Monsieur Thierry LEJAY (Directeur)</t>
  </si>
  <si>
    <t>https://cdn.scnbdx.fr/web-afresco/BOGAMET/MET_ARR_2021-BM1091.pdf</t>
  </si>
  <si>
    <t>2021-BM1092</t>
  </si>
  <si>
    <t>Délégation de signature - Monsieur Serge MONIER</t>
  </si>
  <si>
    <t>https://cdn.scnbdx.fr/web-afresco/BOGAMET/MET_ARR_2021-BM1092.pdf</t>
  </si>
  <si>
    <t>2021-BM1374</t>
  </si>
  <si>
    <t>Délégation de signature - Monsieur Antoine Bidegain - ADG</t>
  </si>
  <si>
    <t>https://cdn.scnbdx.fr/web-afresco/BOGAMET/MET_ARR_2021-BM1374.pdf</t>
  </si>
  <si>
    <t>2021-BM1377</t>
  </si>
  <si>
    <t>Délégation de signature - Madame Cécile Lagarde - ADG</t>
  </si>
  <si>
    <t>https://cdn.scnbdx.fr/web-afresco/BOGAMET/MET_ARR_2021-BM1377.pdf</t>
  </si>
  <si>
    <t>2021-BM1378</t>
  </si>
  <si>
    <t>Délégation de signature - Madame Catherine Soulié</t>
  </si>
  <si>
    <t>https://cdn.scnbdx.fr/web-afresco/BOGAMET/MET_ARR_2021-BM1378.pdf</t>
  </si>
  <si>
    <t>2021-BM1380</t>
  </si>
  <si>
    <t>Délégation de signature - Madame Isabelle Fuchs</t>
  </si>
  <si>
    <t>https://cdn.scnbdx.fr/web-afresco/BOGAMET/MET_ARR_2021-BM1380.pdf</t>
  </si>
  <si>
    <t>2021-BM1297</t>
  </si>
  <si>
    <t>Délégation de signature - Madame Valérie Sabéran</t>
  </si>
  <si>
    <t>https://cdn.scnbdx.fr/web-afresco/BOGAMET/MET_ARR_2021-BM1297.pdf</t>
  </si>
  <si>
    <t>2021-BM1203</t>
  </si>
  <si>
    <t>Défense des intérêts de Bordeaux-Métropole - Appel devant la CAA de Bx / DSP Eau potable</t>
  </si>
  <si>
    <t>https://cdn.scnbdx.fr/web-afresco/BOGAMET/MET_ARR_2021-BM1203.pdf</t>
  </si>
  <si>
    <t>2021-BM1270</t>
  </si>
  <si>
    <t>classement - Allée des Bergeronnettes</t>
  </si>
  <si>
    <t>https://cdn.scnbdx.fr/web-afresco/BOGAMET/MET_ARR_2021-BM1270.pdf</t>
  </si>
  <si>
    <t>2021-BM1330</t>
  </si>
  <si>
    <t>Autorisation d’occupation temporaire – AOT -  Grand  Port Maritime de bordeaux – Bordeaux – Bassin à Flot n°1</t>
  </si>
  <si>
    <t>https://cdn.scnbdx.fr/web-afresco/BOGAMET/MET_ARR_2021-BM1330.pdf</t>
  </si>
  <si>
    <t>2021-BM1392</t>
  </si>
  <si>
    <t>Autorisation de déversement des eaux usées - SOC</t>
  </si>
  <si>
    <t>https://cdn.scnbdx.fr/web-afresco/BOGAMET/MET_ARR_2021-BM1392.pdf</t>
  </si>
  <si>
    <t>2021-BM1194</t>
  </si>
  <si>
    <t>Autorisation de déversement des eaux usées - SOGC vers le milieu naturel</t>
  </si>
  <si>
    <t>https://cdn.scnbdx.fr/web-afresco/BOGAMET/MET_ARR_2021-BM1194.pdf</t>
  </si>
  <si>
    <t>2021-BM1336</t>
  </si>
  <si>
    <t>Autorisation d’occupation temporaire – AOT - rue Rodrigues Pereire angle rue Thiac</t>
  </si>
  <si>
    <t>https://cdn.scnbdx.fr/web-afresco/BOGAMET/MET_ARR_2021-BM1336.pdf</t>
  </si>
  <si>
    <t>2021-BM1329</t>
  </si>
  <si>
    <t>Défense des intérêts de Bordeaux-Métropole - SNC Reix c/Bordeaux Métropole – Dommages permanents de travaux publics</t>
  </si>
  <si>
    <t>https://cdn.scnbdx.fr/web-afresco/BOGAMET/MET_ARR_2021-BM1329.pdf</t>
  </si>
  <si>
    <t>2021-BM1101</t>
  </si>
  <si>
    <t>circulation - travaux de pose de portiques, potence et hauts mâts (PPHM) sur le pont Saint Jean entre le boulevard Joliot Curie et le quai de Paludate dans les deux sens</t>
  </si>
  <si>
    <t>https://cdn.scnbdx.fr/web-afresco/BOGAMET/MET_ARR_2021-BM1101.pdf</t>
  </si>
  <si>
    <t>2021-BM1167</t>
  </si>
  <si>
    <t>circulation - travaux d’inspection de la conduite de gaz sur le domaine public routier de la commune</t>
  </si>
  <si>
    <t>https://cdn.scnbdx.fr/web-afresco/BOGAMET/MET_ARR_2021-BM1167.pdf</t>
  </si>
  <si>
    <t>2021-BM1070</t>
  </si>
  <si>
    <t>Concertation - l’opération Bruges Terrefort</t>
  </si>
  <si>
    <t>https://cdn.scnbdx.fr/web-afresco/BOGAMET/MET_ARR_2021-BM1070.pdf</t>
  </si>
  <si>
    <t>2021-BM1055</t>
  </si>
  <si>
    <t>circulation - travaux de curage de fossés rue Paul Bayle</t>
  </si>
  <si>
    <t>https://cdn.scnbdx.fr/web-afresco/BOGAMET/MET_ARR_2021-BM1055.pdf</t>
  </si>
  <si>
    <t>2021-BM1057</t>
  </si>
  <si>
    <t>circulation - travaux de renouvellement de branchement d'eau avenue Princeteau</t>
  </si>
  <si>
    <t>https://cdn.scnbdx.fr/web-afresco/BOGAMET/MET_ARR_2021-BM1057.pdf</t>
  </si>
  <si>
    <t>2021-BM1178</t>
  </si>
  <si>
    <t>Autorisation de déversement des eaux usées - SOBEBO, lot 1 rue Didier Lefevre, ses cotraitants et sous-traitants, dans le réseau public d’eaux pluviales de bordeaux métropole</t>
  </si>
  <si>
    <t>https://cdn.scnbdx.fr/web-afresco/BOGAMET/MET_ARR_2021-BM1178.pdf</t>
  </si>
  <si>
    <t>2021-BM1179</t>
  </si>
  <si>
    <t>Autorisation de déversement des eaux usées - SOBEBO, lot 1 Av Du Port du Roy, ses cotraitants et sous-traitants, dans le réseau public d’eaux pluviales de bordeaux métropole</t>
  </si>
  <si>
    <t>https://cdn.scnbdx.fr/web-afresco/BOGAMET/MET_ARR_2021-BM1179.pdf</t>
  </si>
  <si>
    <t>2021-BM1187</t>
  </si>
  <si>
    <t>Circulation - Travaux de terrassement de puits et de microtunelage sur l'avenue du Port du Roy, entre le giratoire interceptant l'av Labarde et giratoire rue A de Saint Exupéry</t>
  </si>
  <si>
    <t>https://cdn.scnbdx.fr/web-afresco/BOGAMET/MET_ARR_2021-BM1187.pdf</t>
  </si>
  <si>
    <t>2021-BM1164</t>
  </si>
  <si>
    <t>circulation - travaux sur la commune de Mérignac- Voie de desserte du 183 av Marcel Dassault-travaux par SOGETREL</t>
  </si>
  <si>
    <t>https://cdn.scnbdx.fr/web-afresco/BOGAMET/MET_ARR_2021-BM1164.pdf</t>
  </si>
  <si>
    <t>2021-BM1166</t>
  </si>
  <si>
    <t>circulation - Travaux avenue Roland Garros et avenue de l’Argonne-travaux d’aiguillage et tirage de câble pour raccordement fibre et ouverture ponctuelle de chambres télécoms</t>
  </si>
  <si>
    <t>https://cdn.scnbdx.fr/web-afresco/BOGAMET/MET_ARR_2021-BM1166.pdf</t>
  </si>
  <si>
    <t>2021-BM1346</t>
  </si>
  <si>
    <t>circulation -  travaux  rue  Montesquieu et Joel Deschamps implantation de poteaux télécom</t>
  </si>
  <si>
    <t>https://cdn.scnbdx.fr/web-afresco/BOGAMET/MET_ARR_2021-BM1346.pdf</t>
  </si>
  <si>
    <t>2021-BM1386</t>
  </si>
  <si>
    <t>circulation -  travaux reprise de la structure de chaussée rue Pierre Merigon</t>
  </si>
  <si>
    <t>https://cdn.scnbdx.fr/web-afresco/BOGAMET/MET_ARR_2021-BM1386.pdf</t>
  </si>
  <si>
    <t>2021-BM0810</t>
  </si>
  <si>
    <t>convention - Convention d’autorisation d’occupation du domaine public constitutive de droits réels de la décharge en post-exploitation de Pessac - Le Bourgailh – Constatation de la levée des conditions résolutoires</t>
  </si>
  <si>
    <t>https://cdn.scnbdx.fr/web-afresco/BOGAMET/MET_ARR_2021-BM0810.pdf</t>
  </si>
  <si>
    <t>2021-BM1207</t>
  </si>
  <si>
    <t>circulation Voirie hors agglomération - 143 Marcel Dassault - Travaux de pose de conduite</t>
  </si>
  <si>
    <t>https://cdn.scnbdx.fr/web-afresco/BOGAMET/MET_ARR_2021-BM1207.pdf</t>
  </si>
  <si>
    <t>2021-BM1303</t>
  </si>
  <si>
    <t>Délégation de signature - Madame Claire Savary</t>
  </si>
  <si>
    <t>https://cdn.scnbdx.fr/web-afresco/BOGAMET/MET_ARR_2021-BM1303.pdf</t>
  </si>
  <si>
    <t>2021-BM1304</t>
  </si>
  <si>
    <t>https://cdn.scnbdx.fr/web-afresco/BOGAMET/MET_ARR_2021-BM1304.pdf</t>
  </si>
  <si>
    <t>2021-BM1363</t>
  </si>
  <si>
    <t>https://cdn.scnbdx.fr/web-afresco/BOGAMET/MET_ARR_2021-BM1363.pdf</t>
  </si>
  <si>
    <t>2021-BM1364</t>
  </si>
  <si>
    <t>Délégation de signature - Madame Catherine Delaloy</t>
  </si>
  <si>
    <t>https://cdn.scnbdx.fr/web-afresco/BOGAMET/MET_ARR_2021-BM1364.pdf</t>
  </si>
  <si>
    <t>2021-BM1365</t>
  </si>
  <si>
    <t>https://cdn.scnbdx.fr/web-afresco/BOGAMET/MET_ARR_2021-BM1365.pdf</t>
  </si>
  <si>
    <t>2021-BM1366</t>
  </si>
  <si>
    <t>Délégation de signature - Madame Marie-Fanny Jacob</t>
  </si>
  <si>
    <t>https://cdn.scnbdx.fr/web-afresco/BOGAMET/MET_ARR_2021-BM1366.pdf</t>
  </si>
  <si>
    <t>2021-BM1369</t>
  </si>
  <si>
    <t>Délégation de signature - Madame Valérie Pottier</t>
  </si>
  <si>
    <t>https://cdn.scnbdx.fr/web-afresco/BOGAMET/MET_ARR_2021-BM1369.pdf</t>
  </si>
  <si>
    <t>2021-BM1434</t>
  </si>
  <si>
    <t>circulation - Travaux de réfection de chaussée définitive à la suite des travaux de pose d’un  collecteur des eaux pluviales sur la rue Toussait Catros entre le giratoire  interceptant l’avenue de Magudas et le giratoire interceptant l’avenue Marcel  Dassault</t>
  </si>
  <si>
    <t>https://cdn.scnbdx.fr/web-afresco/BOGAMET/MET_ARR_2021-BM1434.pdf</t>
  </si>
  <si>
    <t>2021-BM1454</t>
  </si>
  <si>
    <t>Autorisation d’occupation temporaire – AOT - Quai Carriet</t>
  </si>
  <si>
    <t>https://cdn.scnbdx.fr/web-afresco/BOGAMET/MET_ARR_2021-BM1454.pdf</t>
  </si>
  <si>
    <t>2021-BM1402</t>
  </si>
  <si>
    <t>circulation - 183 avenue Marcel DASSAULT</t>
  </si>
  <si>
    <t>https://cdn.scnbdx.fr/web-afresco/BOGAMET/MET_ARR_2021-BM1402.pdf</t>
  </si>
  <si>
    <t>2021-BM1444</t>
  </si>
  <si>
    <t>circulation - Travaux de création d’un branchement d’eau potable, au niveau du n°182 avenue  de Labarde</t>
  </si>
  <si>
    <t>https://cdn.scnbdx.fr/web-afresco/BOGAMET/MET_ARR_2021-BM1444.pdf</t>
  </si>
  <si>
    <t>2021-BM0617</t>
  </si>
  <si>
    <t>circulation - Travaux 100 avenue de l’ARGONNE- réfection en enrobé et reprise de la signalisation au sol- par l’entreprise LES CHEMINS GIRONDINS pour ENEDIS</t>
  </si>
  <si>
    <t>https://cdn.scnbdx.fr/web-afresco/BOGAMET/MET_ARR_2021-BM0617.pdf</t>
  </si>
  <si>
    <t>2021-BM0662</t>
  </si>
  <si>
    <t>Autorisation de déversement des eaux usées - l’Etablissement Dubreuilh</t>
  </si>
  <si>
    <t>https://cdn.scnbdx.fr/web-afresco/BOGAMET/MET_ARR_2021-BM0662.pdf</t>
  </si>
  <si>
    <t>2021-BM0467</t>
  </si>
  <si>
    <t>Désignation de représentant - Commission d’Indemnisation Amiable de Bordeaux Métropole</t>
  </si>
  <si>
    <t>https://cdn.scnbdx.fr/web-afresco/BOGAMET/MET_ARR_2021-BM0467.pdf</t>
  </si>
  <si>
    <t>2021-BM1245</t>
  </si>
  <si>
    <t>circulation - travaux de curage des fossées avenue du Lignan</t>
  </si>
  <si>
    <t>https://cdn.scnbdx.fr/web-afresco/BOGAMET/MET_ARR_2021-BM1245.pdf</t>
  </si>
  <si>
    <t>2021-BM0711</t>
  </si>
  <si>
    <t>Délégation de signature - Monsieur Yves Miaud</t>
  </si>
  <si>
    <t>https://cdn.scnbdx.fr/web-afresco/BOGAMET/MET_ARR_2021-BM0711.pdf</t>
  </si>
  <si>
    <t>2021-BM0714</t>
  </si>
  <si>
    <t>https://cdn.scnbdx.fr/web-afresco/BOGAMET/MET_ARR_2021-BM0714.pdf</t>
  </si>
  <si>
    <t>2021-BM0718</t>
  </si>
  <si>
    <t>https://cdn.scnbdx.fr/web-afresco/BOGAMET/MET_ARR_2021-BM0718.pdf</t>
  </si>
  <si>
    <t>2021-BM0720</t>
  </si>
  <si>
    <t>https://cdn.scnbdx.fr/web-afresco/BOGAMET/MET_ARR_2021-BM0720.pdf</t>
  </si>
  <si>
    <t>2021-BM0727</t>
  </si>
  <si>
    <t>Délégation de signature - Madame Karine Mabillon</t>
  </si>
  <si>
    <t>https://cdn.scnbdx.fr/web-afresco/BOGAMET/MET_ARR_2021-BM0727.pdf</t>
  </si>
  <si>
    <t>2021-BM0729</t>
  </si>
  <si>
    <t>https://cdn.scnbdx.fr/web-afresco/BOGAMET/MET_ARR_2021-BM0729.pdf</t>
  </si>
  <si>
    <t>2021-BM0731</t>
  </si>
  <si>
    <t>Délégation de signature - Arrêtés de circulation et de stationnement sur les voiries hors agglo</t>
  </si>
  <si>
    <t>https://cdn.scnbdx.fr/web-afresco/BOGAMET/MET_ARR_2021-BM0731.pdf</t>
  </si>
  <si>
    <t>2021-BM0732</t>
  </si>
  <si>
    <t>Délégation de signature - Mesdames Magalie Sabbah et Nathalie Jobert-Gualde (DG pi)</t>
  </si>
  <si>
    <t>https://cdn.scnbdx.fr/web-afresco/BOGAMET/MET_ARR_2021-BM0732.pdf</t>
  </si>
  <si>
    <t>2021-BM0838</t>
  </si>
  <si>
    <t>Délégation de signature - Madame Claire Vendé</t>
  </si>
  <si>
    <t>https://cdn.scnbdx.fr/web-afresco/BOGAMET/MET_ARR_2021-BM0838.pdf</t>
  </si>
  <si>
    <t>2021-BM0840</t>
  </si>
  <si>
    <t>Délégation de signature - Monsieur François Freynet</t>
  </si>
  <si>
    <t>https://cdn.scnbdx.fr/web-afresco/BOGAMET/MET_ARR_2021-BM0840.pdf</t>
  </si>
  <si>
    <t>2021-BM0900</t>
  </si>
  <si>
    <t>circulation - travaux de réfection de la couche de roulement sur l'avenue des Guerlandes</t>
  </si>
  <si>
    <t>https://cdn.scnbdx.fr/web-afresco/BOGAMET/MET_ARR_2021-BM0900.pdf</t>
  </si>
  <si>
    <t>2021-BM0628</t>
  </si>
  <si>
    <t>Délégation de signature - Madame Karine Bonneau - ADG</t>
  </si>
  <si>
    <t>https://cdn.scnbdx.fr/web-afresco/BOGAMET/MET_ARR_2021-BM0628.pdf</t>
  </si>
  <si>
    <t>2021-BM0629</t>
  </si>
  <si>
    <t>Délégation de signature - Madame Sandrine Saltel</t>
  </si>
  <si>
    <t>https://cdn.scnbdx.fr/web-afresco/BOGAMET/MET_ARR_2021-BM0629.pdf</t>
  </si>
  <si>
    <t>2021-BM0733</t>
  </si>
  <si>
    <t>Délégation de signature - Madame Magalie Sabbah ADG</t>
  </si>
  <si>
    <t>https://cdn.scnbdx.fr/web-afresco/BOGAMET/MET_ARR_2021-BM0733.pdf</t>
  </si>
  <si>
    <t>2021-BM0734</t>
  </si>
  <si>
    <t>Délégation de signature - Madame Magalie Sabbah directrice pi</t>
  </si>
  <si>
    <t>https://cdn.scnbdx.fr/web-afresco/BOGAMET/MET_ARR_2021-BM0734.pdf</t>
  </si>
  <si>
    <t>2021-BM0735</t>
  </si>
  <si>
    <t>https://cdn.scnbdx.fr/web-afresco/BOGAMET/MET_ARR_2021-BM0735.pdf</t>
  </si>
  <si>
    <t>2021-BM0740</t>
  </si>
  <si>
    <t>Délégation de signature - Madame Nathalie Jobert-Gualde</t>
  </si>
  <si>
    <t>https://cdn.scnbdx.fr/web-afresco/BOGAMET/MET_ARR_2021-BM0740.pdf</t>
  </si>
  <si>
    <t>2021-BM0743</t>
  </si>
  <si>
    <t>https://cdn.scnbdx.fr/web-afresco/BOGAMET/MET_ARR_2021-BM0743.pdf</t>
  </si>
  <si>
    <t>2021-BM0745</t>
  </si>
  <si>
    <t>Délégation de signature - Monsieur Frédéric Marquet</t>
  </si>
  <si>
    <t>https://cdn.scnbdx.fr/web-afresco/BOGAMET/MET_ARR_2021-BM0745.pdf</t>
  </si>
  <si>
    <t>2021-BM0755</t>
  </si>
  <si>
    <t>Division - Rue Poyenne – Porche à l’angle du quai des Chartrons – Division en Volumes – Sections cadastrales RH et RR</t>
  </si>
  <si>
    <t>https://cdn.scnbdx.fr/web-afresco/BOGAMET/MET_ARR_2021-BM0755.pdf</t>
  </si>
  <si>
    <t>2021-BM0757</t>
  </si>
  <si>
    <t>classement -  rue Stéphane Hessel (lotissement côté parc) et ses  espaces communs</t>
  </si>
  <si>
    <t>https://cdn.scnbdx.fr/web-afresco/BOGAMET/MET_ARR_2021-BM0757.pdf</t>
  </si>
  <si>
    <t>2021-BM0758</t>
  </si>
  <si>
    <t>classement -  rue Jane GOODALL</t>
  </si>
  <si>
    <t>https://cdn.scnbdx.fr/web-afresco/BOGAMET/MET_ARR_2021-BM0758.pdf</t>
  </si>
  <si>
    <t>2021-BM0773</t>
  </si>
  <si>
    <t>circulation - Travaux sous accotement de dévoiement et de renouvellement du réseau d’eaux pluviales (EP) dans le cadre de l’aménagement de la station 6 Euromédoc du BHNS sur la RD1215 au niveau du giratoire RD1215 / Route de Saint-Médard-en-Jalles</t>
  </si>
  <si>
    <t>https://cdn.scnbdx.fr/web-afresco/BOGAMET/MET_ARR_2021-BM0773.pdf</t>
  </si>
  <si>
    <t>2021-BM1519</t>
  </si>
  <si>
    <t>https://cdn.scnbdx.fr/web-afresco/BOGAMET/MET_ARR_2021-BM1519.pdf</t>
  </si>
  <si>
    <t>2021-BM1520</t>
  </si>
  <si>
    <t>Délégation de signature - Madame Karine Gessner</t>
  </si>
  <si>
    <t>https://cdn.scnbdx.fr/web-afresco/BOGAMET/MET_ARR_2021-BM1520.pdf</t>
  </si>
  <si>
    <t>2021-BM1526</t>
  </si>
  <si>
    <t>https://cdn.scnbdx.fr/web-afresco/BOGAMET/MET_ARR_2021-BM1526.pdf</t>
  </si>
  <si>
    <t>2021-BM1589</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</si>
  <si>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SEGUIN Marie Chantal</t>
  </si>
  <si>
    <t>https://cdn.scnbdx.fr/web-afresco/BOGAMET/MET_ARR_2021-BM1589.pdf</t>
  </si>
  <si>
    <t>2021-BM1590</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</si>
  <si>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VIAUD1</t>
  </si>
  <si>
    <t>https://cdn.scnbdx.fr/web-afresco/BOGAMET/MET_ARR_2021-BM1590.pdf</t>
  </si>
  <si>
    <t>2021-BM1595</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</si>
  <si>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Epoux SAHUC</t>
  </si>
  <si>
    <t>https://cdn.scnbdx.fr/web-afresco/BOGAMET/MET_ARR_2021-BM1595.pdf</t>
  </si>
  <si>
    <t>2021-BM1597</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</si>
  <si>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Consorts CAZEAUX</t>
  </si>
  <si>
    <t>https://cdn.scnbdx.fr/web-afresco/BOGAMET/MET_ARR_2021-BM1597.pdf</t>
  </si>
  <si>
    <t>2021-BM1503</t>
  </si>
  <si>
    <t>circulation - Travaux de reprise des tapis d’enrobé sur la commune de Mérignac - avenue de l’ARGONNE</t>
  </si>
  <si>
    <t>https://cdn.scnbdx.fr/web-afresco/BOGAMET/MET_ARR_2021-BM1503.pdf</t>
  </si>
  <si>
    <t>2021-BM1509</t>
  </si>
  <si>
    <t>concertation - Champ captant des landes du Médoc - prolongation de la concertation préalable sous l'égide d'un garant de la Commission nationale du débat public</t>
  </si>
  <si>
    <t>https://cdn.scnbdx.fr/web-afresco/BOGAMET/MET_ARR_2021-BM1509.pdf</t>
  </si>
  <si>
    <t>2021-BM1548</t>
  </si>
  <si>
    <t>circulation -  travaux de  réalisation de sondages verticaux de la chaussée oute de Fort  Lajard</t>
  </si>
  <si>
    <t>https://cdn.scnbdx.fr/web-afresco/BOGAMET/MET_ARR_2021-BM1548.pdf</t>
  </si>
  <si>
    <t>2021-BM1551</t>
  </si>
  <si>
    <t>circulation -  travaux de  réalisation de sondages verticaux de la chaussée, rue Max  Decout D10 entre Noliquet et entrée agglomération</t>
  </si>
  <si>
    <t>https://cdn.scnbdx.fr/web-afresco/BOGAMET/MET_ARR_2021-BM1551.pdf</t>
  </si>
  <si>
    <t>2021-BM1582</t>
  </si>
  <si>
    <t>circulation - Circulation/Stationnement en relation avec des travaux vidange hydrocureur</t>
  </si>
  <si>
    <t>https://cdn.scnbdx.fr/web-afresco/BOGAMET/MET_ARR_2021-BM1582.pdf</t>
  </si>
  <si>
    <t>2021-BM1583</t>
  </si>
  <si>
    <t>circulation - Circulation/Stationnement en relation avec des travaux de chaudronnerie</t>
  </si>
  <si>
    <t>https://cdn.scnbdx.fr/web-afresco/BOGAMET/MET_ARR_2021-BM1583.pdf</t>
  </si>
  <si>
    <t>2021-BM1475</t>
  </si>
  <si>
    <t>circulation - Intervention pour une réparation de Fibre Optique dans une chambre FT. Durée de l’intervention cinq jours. (Voirie hors agglomération) sur le rond-point de l’avenue Roland Garros / Avenue de Pythagore</t>
  </si>
  <si>
    <t>https://cdn.scnbdx.fr/web-afresco/BOGAMET/MET_ARR_2021-BM1475.pdf</t>
  </si>
  <si>
    <t>2021-BM1571</t>
  </si>
  <si>
    <t>circulation - Travaux de déplacement et de raccordement d'une borne incendie située en accotement, sur l'avenbue des Qautre Ponts, à proximité de la Jalle Noire sur la D210  (voirie hors agglomération) commune de Bruges. Mesures de circulation et de stationnement.</t>
  </si>
  <si>
    <t>https://cdn.scnbdx.fr/web-afresco/BOGAMET/MET_ARR_2021-BM1571.pdf</t>
  </si>
  <si>
    <t>2021-BM1497</t>
  </si>
  <si>
    <t>Autorisation d’intégration des ouvrages d'assainissement - Lotissement Vert Castel 2</t>
  </si>
  <si>
    <t>https://cdn.scnbdx.fr/web-afresco/BOGAMET/MET_ARR_2021-BM1497.pdf</t>
  </si>
  <si>
    <t>2021-BM1557</t>
  </si>
  <si>
    <t>désignation de jury - concours pour la construction d'un parc relais en ouvrage sur le parking Galin à Bordeaux Bastide</t>
  </si>
  <si>
    <t>https://cdn.scnbdx.fr/web-afresco/BOGAMET/MET_ARR_2021-BM1557.pdf</t>
  </si>
  <si>
    <t>2021-BM1535</t>
  </si>
  <si>
    <t>circulation -  travaux tirage de câble fibre optique rue St Exupery et chemin de Pietru</t>
  </si>
  <si>
    <t>https://cdn.scnbdx.fr/web-afresco/BOGAMET/MET_ARR_2021-BM1535.pdf</t>
  </si>
  <si>
    <t>2021-BM1538</t>
  </si>
  <si>
    <t>https://cdn.scnbdx.fr/web-afresco/BOGAMET/MET_ARR_2021-BM1538.pdf</t>
  </si>
  <si>
    <t>2021-BM1539</t>
  </si>
  <si>
    <t>https://cdn.scnbdx.fr/web-afresco/BOGAMET/MET_ARR_2021-BM1539.pdf</t>
  </si>
  <si>
    <t>2021-BM1416</t>
  </si>
  <si>
    <t>circulation - 97 avenue de l’ARGONNE-mise à niveau chambre</t>
  </si>
  <si>
    <t>https://cdn.scnbdx.fr/web-afresco/BOGAMET/MET_ARR_2021-BM1416.pdf</t>
  </si>
  <si>
    <t>2021-BM1332</t>
  </si>
  <si>
    <t>Représentation du Président - Représentation du Président de Bordeaux Métropole au Comité pour le développement de l’Université de Bordeaux</t>
  </si>
  <si>
    <t>https://cdn.scnbdx.fr/web-afresco/BOGAMET/MET_ARR_2021-BM1332.pdf</t>
  </si>
  <si>
    <t>2021-BM1467</t>
  </si>
  <si>
    <t>circulation - Travaux de terrassement pour inspection et réparation éventuelle de la  géomembrane sur la route de Lacanau, au niveau du giratoire de la Boétie  jusqu’au giratoire du lycée Sud Médoc</t>
  </si>
  <si>
    <t>https://cdn.scnbdx.fr/web-afresco/BOGAMET/MET_ARR_2021-BM1467.pdf</t>
  </si>
  <si>
    <t>2021-BM1468</t>
  </si>
  <si>
    <t>subvention - recrutement de deux conseillers numériques</t>
  </si>
  <si>
    <t>https://cdn.scnbdx.fr/web-afresco/BOGAMET/MET_ARR_2021-BM1468.pdf</t>
  </si>
  <si>
    <t>2021-BM1480</t>
  </si>
  <si>
    <t>Autorisation d’occupation temporaire – AOT - Construction d’une dalle de répartition pour construction d’un immeuble 10 au 20 rue Auguste Poirson</t>
  </si>
  <si>
    <t>https://cdn.scnbdx.fr/web-afresco/BOGAMET/MET_ARR_2021-BM1480.pdf</t>
  </si>
  <si>
    <t>2021-BM1484</t>
  </si>
  <si>
    <t>circulation - Mise en place d’un camion porteur grue 185 TM pour enlèvement d’un poste de  distribution publique au niveau du 55 blv Jacques Chaban Delmas (voirie hors  agglomération)</t>
  </si>
  <si>
    <t>https://cdn.scnbdx.fr/web-afresco/BOGAMET/MET_ARR_2021-BM1484.pdf</t>
  </si>
  <si>
    <t>2021-BM1485</t>
  </si>
  <si>
    <t>Autorisation d’occupation temporaire – AOT - Autorisation d'une emprise dépendantg du domaine public du Grand port autonome de Bordeaux - Bordeaux - Bassin à Flot n°2</t>
  </si>
  <si>
    <t>https://cdn.scnbdx.fr/web-afresco/BOGAMET/MET_ARR_2021-BM1485.pdf</t>
  </si>
  <si>
    <t>2020-BM0643</t>
  </si>
  <si>
    <t>circulation - Travaux de détection de réseaux en non intrusif et en chantier mobile pour le compte de BM sur l’avenue Marcel Dassault</t>
  </si>
  <si>
    <t>https://cdn.scnbdx.fr/web-afresco/BOGAMET/MET_ARR_2020-BM0643.pdf</t>
  </si>
  <si>
    <t>2020-BM0644</t>
  </si>
  <si>
    <t>circulation - Travaux d’entretien de voirie courant sur l’avenue des 3 Cardinaux</t>
  </si>
  <si>
    <t>https://cdn.scnbdx.fr/web-afresco/BOGAMET/MET_ARR_2020-BM0644.pdf</t>
  </si>
  <si>
    <t>2020-BM0495</t>
  </si>
  <si>
    <t>Défense des intérêts de Bordeaux-Métropole - Contentieux - SANGARRE devant le TA de BX</t>
  </si>
  <si>
    <t>https://cdn.scnbdx.fr/web-afresco/BOGAMET/MET_ARR_2020-BM0495.pdf</t>
  </si>
  <si>
    <t>2020-BM0582</t>
  </si>
  <si>
    <t>Transaction attribuant une indemnité suite à un préjudice commercial - SAS LES TROIS B</t>
  </si>
  <si>
    <t>https://cdn.scnbdx.fr/web-afresco/BOGAMET/MET_ARR_2020-BM0582.pdf</t>
  </si>
  <si>
    <t>2020-BM0605</t>
  </si>
  <si>
    <t>Exercice des attributions du Conseil Métropolitain – Décision du Président  - disposition d’aide à l’acquisition de broyeur partagé</t>
  </si>
  <si>
    <t>https://cdn.scnbdx.fr/web-afresco/BOGAMET/MET_ARR_2020-BM0605.pdf</t>
  </si>
  <si>
    <t>2020-BM0583</t>
  </si>
  <si>
    <t>circulation - Travaux de dérasement d’accotement sur l’avenue Blaise Pascal entre les n°1 et 143</t>
  </si>
  <si>
    <t>https://cdn.scnbdx.fr/web-afresco/BOGAMET/MET_ARR_2020-BM0583.pdf</t>
  </si>
  <si>
    <t>2020-BM0580</t>
  </si>
  <si>
    <t>Exercice des attributions du Conseil Métropolitain – Décision du Président   - Avenant n°1 au contrat de co-développement 2018-2020 entre Bordeaux-Métropole et la commune d’Ambarès-et-Lagrave</t>
  </si>
  <si>
    <t>https://cdn.scnbdx.fr/web-afresco/BOGAMET/MET_ARR_2020-BM0580.pdf</t>
  </si>
  <si>
    <t>2020-BM0650</t>
  </si>
  <si>
    <t>circulation - Travaux de tirage de fibre optique Orange à partir du croisement avenue de Pagnot / avenue Marcel Dassaault puis sur l’avenue marcel Dassault jusqu’au croisement Marcel Dassault / Passage de Lucbert</t>
  </si>
  <si>
    <t>https://cdn.scnbdx.fr/web-afresco/BOGAMET/MET_ARR_2020-BM0650.pdf</t>
  </si>
  <si>
    <t>2020-BM0652</t>
  </si>
  <si>
    <t>circulation - Travaux pour le remplacement d’un candélabre sur l’avenue Beaudésert (RD213 - voirie hors agglomération</t>
  </si>
  <si>
    <t>https://cdn.scnbdx.fr/web-afresco/BOGAMET/MET_ARR_2020-BM0652.pdf</t>
  </si>
  <si>
    <t>2020-BM0662</t>
  </si>
  <si>
    <t>circulation - circulation en relation avec les travaux sur la ligne HTA - ETPM</t>
  </si>
  <si>
    <t>https://cdn.scnbdx.fr/web-afresco/BOGAMET/MET_ARR_2020-BM0662.pdf</t>
  </si>
  <si>
    <t>2020-BM0691</t>
  </si>
  <si>
    <t>circulation - Travaux de terrassement sous accotement et trottoir et travaux de déroulage de cable HTA sur l’avenue Marcel Dassault</t>
  </si>
  <si>
    <t>https://cdn.scnbdx.fr/web-afresco/BOGAMET/MET_ARR_2020-BM0691.pdf</t>
  </si>
  <si>
    <t>2020-BM0753</t>
  </si>
  <si>
    <t>Délégation de signature - Madame Valérie CHARLE</t>
  </si>
  <si>
    <t>https://cdn.scnbdx.fr/web-afresco/BOGAMET/MET_ARR_2020-BM0753.pdf</t>
  </si>
  <si>
    <t>2020-BM0762</t>
  </si>
  <si>
    <t>Délégation de signature - Madame Karine BONNEAU (ADG)</t>
  </si>
  <si>
    <t>https://cdn.scnbdx.fr/web-afresco/BOGAMET/MET_ARR_2020-BM0762.pdf</t>
  </si>
  <si>
    <t>2020-BM0835</t>
  </si>
  <si>
    <t>Délégation de signature - Madame Brigitte BLOCH</t>
  </si>
  <si>
    <t>https://cdn.scnbdx.fr/web-afresco/BOGAMET/MET_ARR_2020-BM0835.pdf</t>
  </si>
  <si>
    <t>2020-BM0841</t>
  </si>
  <si>
    <t>Délégation de signature - Madame Véronique FERREIRA</t>
  </si>
  <si>
    <t>https://cdn.scnbdx.fr/web-afresco/BOGAMET/MET_ARR_2020-BM0841.pdf</t>
  </si>
  <si>
    <t>2020-BM0848</t>
  </si>
  <si>
    <t>Délégation de signature - Monsieur Patrick LABESSE</t>
  </si>
  <si>
    <t>https://cdn.scnbdx.fr/web-afresco/BOGAMET/MET_ARR_2020-BM0848.pdf</t>
  </si>
  <si>
    <t>2020-BM0849</t>
  </si>
  <si>
    <t>Délégation de signature - Madame Claude MELLIER</t>
  </si>
  <si>
    <t>https://cdn.scnbdx.fr/web-afresco/BOGAMET/MET_ARR_2020-BM0849.pdf</t>
  </si>
  <si>
    <t>2020-BM0851</t>
  </si>
  <si>
    <t>Délégation de signature - Monsieur Patrick PAPADATO</t>
  </si>
  <si>
    <t>https://cdn.scnbdx.fr/web-afresco/BOGAMET/MET_ARR_2020-BM0851.pdf</t>
  </si>
  <si>
    <t>2020-BM0852</t>
  </si>
  <si>
    <t>Délégation de signature - Madame Céline PAPIN</t>
  </si>
  <si>
    <t>https://cdn.scnbdx.fr/web-afresco/BOGAMET/MET_ARR_2020-BM0852.pdf</t>
  </si>
  <si>
    <t>2020-BM0856</t>
  </si>
  <si>
    <t>Délégation de signature - Monsieur Alexandre RUBIO</t>
  </si>
  <si>
    <t>https://cdn.scnbdx.fr/web-afresco/BOGAMET/MET_ARR_2020-BM0856.pdf</t>
  </si>
  <si>
    <t>2020-BM0857</t>
  </si>
  <si>
    <t>Délégation de signature - Madame Brigitte TERRAZA</t>
  </si>
  <si>
    <t>https://cdn.scnbdx.fr/web-afresco/BOGAMET/MET_ARR_2020-BM0857.pdf</t>
  </si>
  <si>
    <t>2020-BM0863</t>
  </si>
  <si>
    <t>circulation - Travaux d’auscultation d’une buse transversale sous chaussée sur le Quai Alfred de Vial</t>
  </si>
  <si>
    <t>https://cdn.scnbdx.fr/web-afresco/BOGAMET/MET_ARR_2020-BM0863.pdf</t>
  </si>
  <si>
    <t>2020-BM0592</t>
  </si>
  <si>
    <t>Défense des intérêts de Bordeaux-Métropole - Contentieux Zouhair</t>
  </si>
  <si>
    <t>https://cdn.scnbdx.fr/web-afresco/BOGAMET/MET_ARR_2020-BM0592.pdf</t>
  </si>
  <si>
    <t>2020-BM0595</t>
  </si>
  <si>
    <t>Défense des intérêts de Bordeaux-Métropole - Parking du Bourdieu, place de la République 33160 Saint Médard en Jalles -Désordres</t>
  </si>
  <si>
    <t>https://cdn.scnbdx.fr/web-afresco/BOGAMET/MET_ARR_2020-BM0595.pdf</t>
  </si>
  <si>
    <t>2020-BM0661</t>
  </si>
  <si>
    <t>circulation - Circulation en relation avec les travaux de création d'un accès riverain</t>
  </si>
  <si>
    <t>https://cdn.scnbdx.fr/web-afresco/BOGAMET/MET_ARR_2020-BM0661.pdf</t>
  </si>
  <si>
    <t>2020-BM0711</t>
  </si>
  <si>
    <t>Délégation de signature - Monsieur Eric ARDOUIN</t>
  </si>
  <si>
    <t>https://cdn.scnbdx.fr/web-afresco/BOGAMET/MET_ARR_2020-BM0711.pdf</t>
  </si>
  <si>
    <t>2020-BM0716</t>
  </si>
  <si>
    <t>Délégation de signature - Madame Emilie REMAZEILLES</t>
  </si>
  <si>
    <t>https://cdn.scnbdx.fr/web-afresco/BOGAMET/MET_ARR_2020-BM0716.pdf</t>
  </si>
  <si>
    <t>2020-BM0717</t>
  </si>
  <si>
    <t>Délégation de signature - Madame Astrid BIDEAULT-LE BRET</t>
  </si>
  <si>
    <t>https://cdn.scnbdx.fr/web-afresco/BOGAMET/MET_ARR_2020-BM0717.pdf</t>
  </si>
  <si>
    <t>2020-BM0720</t>
  </si>
  <si>
    <t>Délégation de signature - Monsieur Cyril LOZANO</t>
  </si>
  <si>
    <t>https://cdn.scnbdx.fr/web-afresco/BOGAMET/MET_ARR_2020-BM0720.pdf</t>
  </si>
  <si>
    <t>2020-BM0695</t>
  </si>
  <si>
    <t>circulation - avenue Pythagore</t>
  </si>
  <si>
    <t>https://cdn.scnbdx.fr/web-afresco/BOGAMET/MET_ARR_2020-BM0695.pdf</t>
  </si>
  <si>
    <t>2020-BM0677</t>
  </si>
  <si>
    <t>circulation  - Travaux d’arasement en accotement de chaussée sur l’avenue de l’Argonne (voirie hors agglomération)</t>
  </si>
  <si>
    <t>https://cdn.scnbdx.fr/web-afresco/BOGAMET/MET_ARR_2020-BM0677.pdf</t>
  </si>
  <si>
    <t>2020-BM0769</t>
  </si>
  <si>
    <t>Délégation de signature - Monsieur Nicolas CROS</t>
  </si>
  <si>
    <t>https://cdn.scnbdx.fr/web-afresco/BOGAMET/MET_ARR_2020-BM0769.pdf</t>
  </si>
  <si>
    <t>2020-BM0770</t>
  </si>
  <si>
    <t>Délégation de signature - Monsieur Thierry NIAUSSAT</t>
  </si>
  <si>
    <t>https://cdn.scnbdx.fr/web-afresco/BOGAMET/MET_ARR_2020-BM0770.pdf</t>
  </si>
  <si>
    <t>2020-BM0774</t>
  </si>
  <si>
    <t>Délégation de signature - Monsieur Antoine BIDEGAIN</t>
  </si>
  <si>
    <t>https://cdn.scnbdx.fr/web-afresco/BOGAMET/MET_ARR_2020-BM0774.pdf</t>
  </si>
  <si>
    <t>2020-BM0775</t>
  </si>
  <si>
    <t>Délégation de signature - Monsieur Richard LATRIE</t>
  </si>
  <si>
    <t>https://cdn.scnbdx.fr/web-afresco/BOGAMET/MET_ARR_2020-BM0775.pdf</t>
  </si>
  <si>
    <t>2020-BM0776</t>
  </si>
  <si>
    <t>Délégation de signature - Monsieur Jean-Pierre SABATIER</t>
  </si>
  <si>
    <t>https://cdn.scnbdx.fr/web-afresco/BOGAMET/MET_ARR_2020-BM0776.pdf</t>
  </si>
  <si>
    <t>2020-BM0777</t>
  </si>
  <si>
    <t>Délégation de signature - Madame Cécile LAGARDE (ADG)</t>
  </si>
  <si>
    <t>https://cdn.scnbdx.fr/web-afresco/BOGAMET/MET_ARR_2020-BM0777.pdf</t>
  </si>
  <si>
    <t>2020-BM0781</t>
  </si>
  <si>
    <t>Délégation de signature - Monsieur Jean-Noël OLIVIER</t>
  </si>
  <si>
    <t>https://cdn.scnbdx.fr/web-afresco/BOGAMET/MET_ARR_2020-BM0781.pdf</t>
  </si>
  <si>
    <t>2020-BM0782</t>
  </si>
  <si>
    <t>Délégation de signature - Monsieur Nicolas DUCLOS</t>
  </si>
  <si>
    <t>https://cdn.scnbdx.fr/web-afresco/BOGAMET/MET_ARR_2020-BM0782.pdf</t>
  </si>
  <si>
    <t>2020-BM0793</t>
  </si>
  <si>
    <t>Délégation de signature - Monsieur Christophe PIETTE</t>
  </si>
  <si>
    <t>https://cdn.scnbdx.fr/web-afresco/BOGAMET/MET_ARR_2020-BM0793.pdf</t>
  </si>
  <si>
    <t>2020-BM0798</t>
  </si>
  <si>
    <t>https://cdn.scnbdx.fr/web-afresco/BOGAMET/MET_ARR_2020-BM0798.pdf</t>
  </si>
  <si>
    <t>2020-BM0799</t>
  </si>
  <si>
    <t>Délégation de signature - Madame Claire LE MERRER</t>
  </si>
  <si>
    <t>https://cdn.scnbdx.fr/web-afresco/BOGAMET/MET_ARR_2020-BM0799.pdf</t>
  </si>
  <si>
    <t>2020-BM0800</t>
  </si>
  <si>
    <t>Délégation de signature - Madame Annabelle ROSE</t>
  </si>
  <si>
    <t>https://cdn.scnbdx.fr/web-afresco/BOGAMET/MET_ARR_2020-BM0800.pdf</t>
  </si>
  <si>
    <t>2020-BM0803</t>
  </si>
  <si>
    <t>Délégation de signature - Monsieur Philippe LATRILLE</t>
  </si>
  <si>
    <t>https://cdn.scnbdx.fr/web-afresco/BOGAMET/MET_ARR_2020-BM0803.pdf</t>
  </si>
  <si>
    <t>2020-BM0804</t>
  </si>
  <si>
    <t>Délégation de signature - Madame Claire VENDE</t>
  </si>
  <si>
    <t>https://cdn.scnbdx.fr/web-afresco/BOGAMET/MET_ARR_2020-BM0804.pdf</t>
  </si>
  <si>
    <t>2020-BM0807</t>
  </si>
  <si>
    <t>Délégation de signature - Madame Dominique DANTAN</t>
  </si>
  <si>
    <t>https://cdn.scnbdx.fr/web-afresco/BOGAMET/MET_ARR_2020-BM0807.pdf</t>
  </si>
  <si>
    <t>2020-BM0724</t>
  </si>
  <si>
    <t>https://cdn.scnbdx.fr/web-afresco/BOGAMET/MET_ARR_2020-BM0724.pdf</t>
  </si>
  <si>
    <t>2020-BM0730</t>
  </si>
  <si>
    <t>https://cdn.scnbdx.fr/web-afresco/BOGAMET/MET_ARR_2020-BM0730.pdf</t>
  </si>
  <si>
    <t>2020-BM0732</t>
  </si>
  <si>
    <t>https://cdn.scnbdx.fr/web-afresco/BOGAMET/MET_ARR_2020-BM0732.pdf</t>
  </si>
  <si>
    <t>2020-BM0739</t>
  </si>
  <si>
    <t>Délégation de signature - Monsieur Damien BUTIN</t>
  </si>
  <si>
    <t>https://cdn.scnbdx.fr/web-afresco/BOGAMET/MET_ARR_2020-BM0739.pdf</t>
  </si>
  <si>
    <t>2020-BM0740</t>
  </si>
  <si>
    <t>Délégation de signature - Madame Natacha MOREL</t>
  </si>
  <si>
    <t>https://cdn.scnbdx.fr/web-afresco/BOGAMET/MET_ARR_2020-BM0740.pdf</t>
  </si>
  <si>
    <t>2020-BM0742</t>
  </si>
  <si>
    <t>Délégation de signature - Monsieur Sylvain ROQUES</t>
  </si>
  <si>
    <t>https://cdn.scnbdx.fr/web-afresco/BOGAMET/MET_ARR_2020-BM0742.pdf</t>
  </si>
  <si>
    <t>2020-BM0743</t>
  </si>
  <si>
    <t>Délégation de signature - Monsieur André LAFARIE</t>
  </si>
  <si>
    <t>https://cdn.scnbdx.fr/web-afresco/BOGAMET/MET_ARR_2020-BM0743.pdf</t>
  </si>
  <si>
    <t>2020-BM0745</t>
  </si>
  <si>
    <t>Délégation de signature - Monsieur Mathieu ROUSSENNAC</t>
  </si>
  <si>
    <t>https://cdn.scnbdx.fr/web-afresco/BOGAMET/MET_ARR_2020-BM0745.pdf</t>
  </si>
  <si>
    <t>2020-BM0750</t>
  </si>
  <si>
    <t>Délégation de signature - Monsieur Stéphane CAZE</t>
  </si>
  <si>
    <t>https://cdn.scnbdx.fr/web-afresco/BOGAMET/MET_ARR_2020-BM0750.pdf</t>
  </si>
  <si>
    <t>2020-BM0751</t>
  </si>
  <si>
    <t>Délégation de signature - Madame Danièle MAMAN-BENSIMON</t>
  </si>
  <si>
    <t>https://cdn.scnbdx.fr/web-afresco/BOGAMET/MET_ARR_2020-BM0751.pdf</t>
  </si>
  <si>
    <t>2020-BM0752</t>
  </si>
  <si>
    <t>Délégation de signature - Madame Marie-Fanny JACOB</t>
  </si>
  <si>
    <t>https://cdn.scnbdx.fr/web-afresco/BOGAMET/MET_ARR_2020-BM0752.pdf</t>
  </si>
  <si>
    <t>2020-BM0754</t>
  </si>
  <si>
    <t>https://cdn.scnbdx.fr/web-afresco/BOGAMET/MET_ARR_2020-BM0754.pdf</t>
  </si>
  <si>
    <t>2020-BM0755</t>
  </si>
  <si>
    <t>Délégation de signature - Monsieur Xavier MESSAGER</t>
  </si>
  <si>
    <t>https://cdn.scnbdx.fr/web-afresco/BOGAMET/MET_ARR_2020-BM0755.pdf</t>
  </si>
  <si>
    <t>2020-BM0757</t>
  </si>
  <si>
    <t>Délégation de signature - Madame Camille URI</t>
  </si>
  <si>
    <t>https://cdn.scnbdx.fr/web-afresco/BOGAMET/MET_ARR_2020-BM0757.pdf</t>
  </si>
  <si>
    <t>2020-BM0760</t>
  </si>
  <si>
    <t>Délégation de signature - Madame Valérie POTTIER</t>
  </si>
  <si>
    <t>https://cdn.scnbdx.fr/web-afresco/BOGAMET/MET_ARR_2020-BM0760.pdf</t>
  </si>
  <si>
    <t>2020-BM0761</t>
  </si>
  <si>
    <t>Délégation de signature - Mesdames Karine BONNEAU et Sylvie LUNVEN-GEAY (DG pi)</t>
  </si>
  <si>
    <t>https://cdn.scnbdx.fr/web-afresco/BOGAMET/MET_ARR_2020-BM0761.pdf</t>
  </si>
  <si>
    <t>2020-BM0763</t>
  </si>
  <si>
    <t>Délégation de signature - Madame Karine BONNEAU</t>
  </si>
  <si>
    <t>https://cdn.scnbdx.fr/web-afresco/BOGAMET/MET_ARR_2020-BM0763.pdf</t>
  </si>
  <si>
    <t>2020-BM0764</t>
  </si>
  <si>
    <t>Délégation de signature - Madame Isabelle VILLEROUX</t>
  </si>
  <si>
    <t>https://cdn.scnbdx.fr/web-afresco/BOGAMET/MET_ARR_2020-BM0764.pdf</t>
  </si>
  <si>
    <t>2020-BM0767</t>
  </si>
  <si>
    <t>Délégation de signature - Madame Marie-Noëlle MOUILLAUD</t>
  </si>
  <si>
    <t>https://cdn.scnbdx.fr/web-afresco/BOGAMET/MET_ARR_2020-BM0767.pdf</t>
  </si>
  <si>
    <t>2020-BM0768</t>
  </si>
  <si>
    <t>Délégation de signature - Madame Sylvie LUNVEN-GEAY</t>
  </si>
  <si>
    <t>https://cdn.scnbdx.fr/web-afresco/BOGAMET/MET_ARR_2020-BM0768.pdf</t>
  </si>
  <si>
    <t>2020-BM0622</t>
  </si>
  <si>
    <t>Autorisation de déversement des eaux usées - GIRONDE HABITAT</t>
  </si>
  <si>
    <t>https://cdn.scnbdx.fr/web-afresco/BOGAMET/MET_ARR_2020-BM0622.pdf</t>
  </si>
  <si>
    <t>2020-BM0898</t>
  </si>
  <si>
    <t>Délégation de signature - intérim Eric Ardouin du 3 au 14 aout 2020</t>
  </si>
  <si>
    <t>https://cdn.scnbdx.fr/web-afresco/BOGAMET/MET_ARR_2020-BM0898.pdf</t>
  </si>
  <si>
    <t>2020-BM0909</t>
  </si>
  <si>
    <t>Délégation de signature  - Damien Mouchague</t>
  </si>
  <si>
    <t>https://cdn.scnbdx.fr/web-afresco/BOGAMET/MET_ARR_2020-BM0909.pdf</t>
  </si>
  <si>
    <t>2020-BM0870</t>
  </si>
  <si>
    <t>Publication des marchés notifiés durant les mois de - mai à juin 2020</t>
  </si>
  <si>
    <t>https://cdn.scnbdx.fr/web-afresco/BOGAMET/MET_ARR_2020-BM0870.pdf</t>
  </si>
  <si>
    <t>2020-BM0816</t>
  </si>
  <si>
    <t>Délégation de signature - Monsieur Gilles NAPIAS</t>
  </si>
  <si>
    <t>https://cdn.scnbdx.fr/web-afresco/BOGAMET/MET_ARR_2020-BM0816.pdf</t>
  </si>
  <si>
    <t>2020-BM0819</t>
  </si>
  <si>
    <t>Délégation de signature - Monsieur Vincent BERAT</t>
  </si>
  <si>
    <t>https://cdn.scnbdx.fr/web-afresco/BOGAMET/MET_ARR_2020-BM0819.pdf</t>
  </si>
  <si>
    <t>2020-BM0821</t>
  </si>
  <si>
    <t>Délégation de signature - Monsieur Pascal BESANCON</t>
  </si>
  <si>
    <t>https://cdn.scnbdx.fr/web-afresco/BOGAMET/MET_ARR_2020-BM0821.pdf</t>
  </si>
  <si>
    <t>2020-BM0822</t>
  </si>
  <si>
    <t>Délégation de signature - Madame Marie-Caroline VERMAUT</t>
  </si>
  <si>
    <t>https://cdn.scnbdx.fr/web-afresco/BOGAMET/MET_ARR_2020-BM0822.pdf</t>
  </si>
  <si>
    <t>2020-BM0824</t>
  </si>
  <si>
    <t>Délégation de signature - Monsieur Jean-Noël OLIVIER (RSSI)</t>
  </si>
  <si>
    <t>https://cdn.scnbdx.fr/web-afresco/BOGAMET/MET_ARR_2020-BM0824.pdf</t>
  </si>
  <si>
    <t>2020-BM0825</t>
  </si>
  <si>
    <t>Délégation de signature - Monsieur Jean-Noël OLIVIER (Officier de sécurité)</t>
  </si>
  <si>
    <t>https://cdn.scnbdx.fr/web-afresco/BOGAMET/MET_ARR_2020-BM0825.pdf</t>
  </si>
  <si>
    <t>2020-BM0860</t>
  </si>
  <si>
    <t>Délégation de signature - Jean-Michel SAINT MARC</t>
  </si>
  <si>
    <t>https://cdn.scnbdx.fr/web-afresco/BOGAMET/MET_ARR_2020-BM0860.pdf</t>
  </si>
  <si>
    <t>2020-BM0696</t>
  </si>
  <si>
    <t>organisation générale des services</t>
  </si>
  <si>
    <t>https://cdn.scnbdx.fr/web-afresco/BOGAMET/MET_ARR_2020-BM0696.pdf</t>
  </si>
  <si>
    <t>2020-BM0904</t>
  </si>
  <si>
    <t>Arrêté de dalle de répartition  - 12 - 14 rue Ferrere</t>
  </si>
  <si>
    <t>https://cdn.scnbdx.fr/web-afresco/BOGAMET/MET_ARR_2020-BM0904.pdf</t>
  </si>
  <si>
    <t>2020-BM0905</t>
  </si>
  <si>
    <t>Autorisation d’occupation temporaire – AOT - Rue Mouneyra - dalle de répartition</t>
  </si>
  <si>
    <t>https://cdn.scnbdx.fr/web-afresco/BOGAMET/MET_ARR_2020-BM0905.pdf</t>
  </si>
  <si>
    <t>2020-BM0944</t>
  </si>
  <si>
    <t>Défense des intérêts de Bordeaux-Métropole - Contentieux Marlier</t>
  </si>
  <si>
    <t>https://cdn.scnbdx.fr/web-afresco/BOGAMET/MET_ARR_2020-BM0944.pdf</t>
  </si>
  <si>
    <t>2020-BM0945</t>
  </si>
  <si>
    <t>Défense des intérêts de Bordeaux-Métropole - Référé précontractuel SCE c/Bordeaux Métropole</t>
  </si>
  <si>
    <t>https://cdn.scnbdx.fr/web-afresco/BOGAMET/MET_ARR_2020-BM0945.pdf</t>
  </si>
  <si>
    <t>2020-BM0965</t>
  </si>
  <si>
    <t>Autorisation de déversement des eaux usées - "Erilia construction"</t>
  </si>
  <si>
    <t>https://cdn.scnbdx.fr/web-afresco/BOGAMET/MET_ARR_2020-BM0965.pdf</t>
  </si>
  <si>
    <t>2020-BM0966</t>
  </si>
  <si>
    <t>Autorisation de déversement des eaux usées - "Navarra terrassement spéciaux"</t>
  </si>
  <si>
    <t>https://cdn.scnbdx.fr/web-afresco/BOGAMET/MET_ARR_2020-BM0966.pdf</t>
  </si>
  <si>
    <t>2020-BM0967</t>
  </si>
  <si>
    <t>Autorisation de déversement des eaux usées - "Sogea"</t>
  </si>
  <si>
    <t>https://cdn.scnbdx.fr/web-afresco/BOGAMET/MET_ARR_2020-BM0967.pdf</t>
  </si>
  <si>
    <t>2020-BM0903</t>
  </si>
  <si>
    <t>circulation - Réalisation d'une abttue sur l'avenue Soulac entre le giratoire de Louens et le giratoire de Gelès</t>
  </si>
  <si>
    <t>https://cdn.scnbdx.fr/web-afresco/BOGAMET/MET_ARR_2020-BM0903.pdf</t>
  </si>
  <si>
    <t>2020-BM0958</t>
  </si>
  <si>
    <t>Cession - Approbation d'un cahier des charges de cession de terrain ZAC Bastide Niel îlot B085 B086 B087 B098 B099  B109</t>
  </si>
  <si>
    <t>https://cdn.scnbdx.fr/web-afresco/BOGAMET/MET_ARR_2020-BM0958.pdf</t>
  </si>
  <si>
    <t>2020-BM0985</t>
  </si>
  <si>
    <t>circulation - Ambès et avenue de la Garonne Saint Louis</t>
  </si>
  <si>
    <t>https://cdn.scnbdx.fr/web-afresco/BOGAMET/MET_ARR_2020-BM0985.pdf</t>
  </si>
  <si>
    <t>2020-BM0957</t>
  </si>
  <si>
    <t>circulation - Arrêté de circulation SOBEBO route du bec</t>
  </si>
  <si>
    <t>https://cdn.scnbdx.fr/web-afresco/BOGAMET/MET_ARR_2020-BM0957.pdf</t>
  </si>
  <si>
    <t>2020-BM0998</t>
  </si>
  <si>
    <t>déclassement - deux emprises à Ravezies</t>
  </si>
  <si>
    <t>https://cdn.scnbdx.fr/web-afresco/BOGAMET/MET_ARR_2020-BM0998.pdf</t>
  </si>
  <si>
    <t>2020-BM1020</t>
  </si>
  <si>
    <t>circulation - Travaux de création d’un arrêt de bus sur l’avenue Marcel Dassault , au niveau du giratoire Dassault / Marronnier – hors agglo - Mérignac</t>
  </si>
  <si>
    <t>https://cdn.scnbdx.fr/web-afresco/BOGAMET/MET_ARR_2020-BM1020.pdf</t>
  </si>
  <si>
    <t>2020-BM1008</t>
  </si>
  <si>
    <t>circulation - rue Marcel Issartier</t>
  </si>
  <si>
    <t>https://cdn.scnbdx.fr/web-afresco/BOGAMET/MET_ARR_2020-BM1008.pdf</t>
  </si>
  <si>
    <t>2020-BM1016</t>
  </si>
  <si>
    <t>circulation - impasse MONFAUCON</t>
  </si>
  <si>
    <t>https://cdn.scnbdx.fr/web-afresco/BOGAMET/MET_ARR_2020-BM1016.pdf</t>
  </si>
  <si>
    <t>2020-BM1015</t>
  </si>
  <si>
    <t>autorisation générale e tpemanente de pousuites accordée à l'administraion des Finances Publiques - Danielle MOLIA</t>
  </si>
  <si>
    <t>https://cdn.scnbdx.fr/web-afresco/BOGAMET/MET_ARR_2020-BM1015.pdf</t>
  </si>
  <si>
    <t>2020-BM1065</t>
  </si>
  <si>
    <t>Délégation de signature - Bichet Claudine</t>
  </si>
  <si>
    <t>https://cdn.scnbdx.fr/web-afresco/BOGAMET/MET_ARR_2020-BM1065.pdf</t>
  </si>
  <si>
    <t>2020-BM1069</t>
  </si>
  <si>
    <t>Délégation de signature - Cassou-Schotte Sylvie</t>
  </si>
  <si>
    <t>https://cdn.scnbdx.fr/web-afresco/BOGAMET/MET_ARR_2020-BM1069.pdf</t>
  </si>
  <si>
    <t>2020-BM1070</t>
  </si>
  <si>
    <t>Délégation de signature - De François Béatrice</t>
  </si>
  <si>
    <t>https://cdn.scnbdx.fr/web-afresco/BOGAMET/MET_ARR_2020-BM1070.pdf</t>
  </si>
  <si>
    <t>2020-BM1075</t>
  </si>
  <si>
    <t>Délégation de signature - Hurmic Pierre</t>
  </si>
  <si>
    <t>https://cdn.scnbdx.fr/web-afresco/BOGAMET/MET_ARR_2020-BM1075.pdf</t>
  </si>
  <si>
    <t>2020-BM1077</t>
  </si>
  <si>
    <t>Délégation de signature - Labesse Patrick</t>
  </si>
  <si>
    <t>https://cdn.scnbdx.fr/web-afresco/BOGAMET/MET_ARR_2020-BM1077.pdf</t>
  </si>
  <si>
    <t>2020-BM1078</t>
  </si>
  <si>
    <t>Délégation de signature - Mellier Claude</t>
  </si>
  <si>
    <t>https://cdn.scnbdx.fr/web-afresco/BOGAMET/MET_ARR_2020-BM1078.pdf</t>
  </si>
  <si>
    <t>2020-BM1079</t>
  </si>
  <si>
    <t>Délégation de signature - Papadato Patrick</t>
  </si>
  <si>
    <t>https://cdn.scnbdx.fr/web-afresco/BOGAMET/MET_ARR_2020-BM1079.pdf</t>
  </si>
  <si>
    <t>2020-BM1082</t>
  </si>
  <si>
    <t>Délégation de signature - Rossignol-Puech Clément</t>
  </si>
  <si>
    <t>https://cdn.scnbdx.fr/web-afresco/BOGAMET/MET_ARR_2020-BM1082.pdf</t>
  </si>
  <si>
    <t>2020-BM1083</t>
  </si>
  <si>
    <t>Délégation de signature - Terraza Brigitte</t>
  </si>
  <si>
    <t>https://cdn.scnbdx.fr/web-afresco/BOGAMET/MET_ARR_2020-BM1083.pdf</t>
  </si>
  <si>
    <t>2020-BM1018</t>
  </si>
  <si>
    <t>circulation  - Travaux d'élargissement et d'aménagement passage piétons face arrêt de bus "Toussaint catros" rue Toussaint Catros NS - hors agglo - Le haillan</t>
  </si>
  <si>
    <t>https://cdn.scnbdx.fr/web-afresco/BOGAMET/MET_ARR_2020-BM1018.pdf</t>
  </si>
  <si>
    <t>2020-BM1019</t>
  </si>
  <si>
    <t>circulation - Travaux d’élargissement de l’îlot central et travaux d’aménagement du passage piétons fac à l’arrêt de bus « Toussaint Catros » dans le sens Sud-Nord – rue Toussaint Catros – hors agglo – Le haillan</t>
  </si>
  <si>
    <t>https://cdn.scnbdx.fr/web-afresco/BOGAMET/MET_ARR_2020-BM1019.pdf</t>
  </si>
  <si>
    <t>2020-BM1029</t>
  </si>
  <si>
    <t>mise à jour du PLU</t>
  </si>
  <si>
    <t>https://cdn.scnbdx.fr/web-afresco/BOGAMET/MET_ARR_2020-BM1029.pdf</t>
  </si>
  <si>
    <t>2020-BM1110</t>
  </si>
  <si>
    <t>circulation  - Réalisation d'une battue administrative de destruction de sangliers avenue de Lacanau au Taillan-Médoc</t>
  </si>
  <si>
    <t>https://cdn.scnbdx.fr/web-afresco/BOGAMET/MET_ARR_2020-BM1110.pdf</t>
  </si>
  <si>
    <t>2020-BM1123</t>
  </si>
  <si>
    <t>circulation  - Travaux d'aménagement et de modelage de terrain au niveau du giratoire à l'intersection de l'avenue marcel dassault, du chemin du phare et de l'avenue de Marie Curie (voirie hors agglo) sur la commune de mérignac</t>
  </si>
  <si>
    <t>https://cdn.scnbdx.fr/web-afresco/BOGAMET/MET_ARR_2020-BM1123.pdf</t>
  </si>
  <si>
    <t>2020-BM1125</t>
  </si>
  <si>
    <t>circulation - Réalisation d’enrobée – Avenue de la Presqu’île aux niveaux des ponts du Gua, de Gravière et de Gereyme (voirie hors agglomération) sur les communes d’Ambarès et Lagrave et Saint Louis de Montferrand. Mesures de circulation et de stationnement.</t>
  </si>
  <si>
    <t>https://cdn.scnbdx.fr/web-afresco/BOGAMET/MET_ARR_2020-BM1125.pdf</t>
  </si>
  <si>
    <t>2020-BM1011</t>
  </si>
  <si>
    <t>Approbation d’un Cahier des Charges de Cession de Terrain (CCCT) - Ilot B072</t>
  </si>
  <si>
    <t>https://cdn.scnbdx.fr/web-afresco/BOGAMET/MET_ARR_2020-BM1011.pdf</t>
  </si>
  <si>
    <t>2020-BM0982</t>
  </si>
  <si>
    <t>Autorisation de déversement des eaux usées - Piscine Tissot - 46 Rue Léon Blum</t>
  </si>
  <si>
    <t>https://cdn.scnbdx.fr/web-afresco/BOGAMET/MET_ARR_2020-BM0982.pdf</t>
  </si>
  <si>
    <t>2020-BM1134</t>
  </si>
  <si>
    <t>circulation - Modification des équipements de gestion d'eau pluviale (renouvellement passerelle)</t>
  </si>
  <si>
    <t>https://cdn.scnbdx.fr/web-afresco/BOGAMET/MET_ARR_2020-BM1134.pdf</t>
  </si>
  <si>
    <t>2020-BM1154</t>
  </si>
  <si>
    <t>circulation - Reprise de la chaussée et de purge rue du Docteur Valenton Ambes</t>
  </si>
  <si>
    <t>https://cdn.scnbdx.fr/web-afresco/BOGAMET/MET_ARR_2020-BM1154.pdf</t>
  </si>
  <si>
    <t>2020-BM1204</t>
  </si>
  <si>
    <t>circulation - Travaux sur la commune de Saint Aubin de Médoc - route de Castelnau D212 - voie située hors agglomération - par entreprise COLAS</t>
  </si>
  <si>
    <t>https://cdn.scnbdx.fr/web-afresco/BOGAMET/MET_ARR_2020-BM1204.pdf</t>
  </si>
  <si>
    <t>2020-BM1206</t>
  </si>
  <si>
    <t>circulation - Travaux de réalisation de deux puits en paroi pieux sécants. Mesures de circulation et de stationnement. Avenue du port du Roy Blanquefort.</t>
  </si>
  <si>
    <t>https://cdn.scnbdx.fr/web-afresco/BOGAMET/MET_ARR_2020-BM1206.pdf</t>
  </si>
  <si>
    <t>2020-BM1185</t>
  </si>
  <si>
    <t>Représentation du Président de Bordeaux Métropole au  Conseil de gestion de la fondation Bordeaux Université - Fondation Bordeaux Université - Bastien RIVIERES</t>
  </si>
  <si>
    <t>https://cdn.scnbdx.fr/web-afresco/BOGAMET/MET_ARR_2020-BM1185.pdf</t>
  </si>
  <si>
    <t>2020-BM1211</t>
  </si>
  <si>
    <t>circulation - Travaux sur la commune de Mérignac-Passe des VILLAS-réfection de couche de roulement, purges, DVL, création fossés- par l’entreprise COLAS</t>
  </si>
  <si>
    <t>https://cdn.scnbdx.fr/web-afresco/BOGAMET/MET_ARR_2020-BM1211.pdf</t>
  </si>
  <si>
    <t>2020-BM1150</t>
  </si>
  <si>
    <t>Défense des intérêts de Bordeaux-Métropole - TUNNEL SOUS FLUVIAL DE BRAZZA - Bordeaux</t>
  </si>
  <si>
    <t>https://cdn.scnbdx.fr/web-afresco/BOGAMET/MET_ARR_2020-BM1150.pdf</t>
  </si>
  <si>
    <t>2020-BM1234</t>
  </si>
  <si>
    <t>Déclassement - du domaine public routier d’une emprise d’environ 631m² située rue d’Armagnac entre les rues Beck et Carle Vernet sur la commune de Bordeaux et constat de désaffectation d’une emprise plus large</t>
  </si>
  <si>
    <t>https://cdn.scnbdx.fr/web-afresco/BOGAMET/MET_ARR_2020-BM1234.pdf</t>
  </si>
  <si>
    <t>2020-BM1207</t>
  </si>
  <si>
    <t>Régie d'avances et de recettes - Fin de fonction de Monsieur Olivier RAMADOUR en qualité de mandataire suppléant et de mandataire à la régie d’avances « Cabinet du Président"</t>
  </si>
  <si>
    <t>https://cdn.scnbdx.fr/web-afresco/BOGAMET/MET_ARR_2020-BM1207.pdf</t>
  </si>
  <si>
    <t>2020-BM1192</t>
  </si>
  <si>
    <t>Défense des intérêts de Bordeaux-Métropole - Contentieux BIANCHIN</t>
  </si>
  <si>
    <t>https://cdn.scnbdx.fr/web-afresco/BOGAMET/MET_ARR_2020-BM1192.pdf</t>
  </si>
  <si>
    <t>2020-BM1263</t>
  </si>
  <si>
    <t>Déclassement -  ZAC Route de Toulouse – Place Aristide Briand – déclassement d’une partie du domaine public de 825m² (place Aristide Briand) et d’une emprise de 1m² à détacher de la parcelle AM 777 sur la rue Henri Boisselier et appartenant à Bordeaux Métropole</t>
  </si>
  <si>
    <t>https://cdn.scnbdx.fr/web-afresco/BOGAMET/MET_ARR_2020-BM1263.pdf</t>
  </si>
  <si>
    <t>2020-BM1264</t>
  </si>
  <si>
    <t>Autorisation de déversement des eaux usées - DESCONS</t>
  </si>
  <si>
    <t>https://cdn.scnbdx.fr/web-afresco/BOGAMET/MET_ARR_2020-BM1264.pdf</t>
  </si>
  <si>
    <t>2020-BM1265</t>
  </si>
  <si>
    <t>Autorisation de déversement des eaux usées - KRESSMANN</t>
  </si>
  <si>
    <t>https://cdn.scnbdx.fr/web-afresco/BOGAMET/MET_ARR_2020-BM1265.pdf</t>
  </si>
  <si>
    <t>2020-BM1194</t>
  </si>
  <si>
    <t>Défense des intérêts de Bordeaux-Métropole - STE FAYAT ENTREPRISE TP</t>
  </si>
  <si>
    <t>https://cdn.scnbdx.fr/web-afresco/BOGAMET/MET_ARR_2020-BM1194.pdf</t>
  </si>
  <si>
    <t>2020-BM1307</t>
  </si>
  <si>
    <t>Autorisation d’occupation temporaire – AOT - Arrêté temporaire hors agglo-travaux av Marcel DASSAULT à Mérignac- BM et COLLECTIF CANCAN-du 02.11.20 au 02.11.22</t>
  </si>
  <si>
    <t>https://cdn.scnbdx.fr/web-afresco/BOGAMET/MET_ARR_2020-BM1307.pdf</t>
  </si>
  <si>
    <t>2020-BM1290</t>
  </si>
  <si>
    <t>classement - des avenues Charles Lindbergh, Henri Becquerel, Neil Armstrong et Henry Le Chatelier   des allées Neil Armstrong et Pierre-Gilles de Gennes   des impasses Henry le Chatelier et Rudolph Diesel   ainsi que de la rue Paul Deplante, d’une partie de la rue Rudolf Diesel et de parcelles rue Beaudésert - ouverture enquête publique</t>
  </si>
  <si>
    <t>https://cdn.scnbdx.fr/web-afresco/BOGAMET/MET_ARR_2020-BM1290.pdf</t>
  </si>
  <si>
    <t>2020-BM1306</t>
  </si>
  <si>
    <t>Autorisation de déversement des eaux usées - autres que domestiques SCCV les Jardins de Noes à Pessac</t>
  </si>
  <si>
    <t>https://cdn.scnbdx.fr/web-afresco/BOGAMET/MET_ARR_2020-BM1306.pdf</t>
  </si>
  <si>
    <t>2020-BM1332</t>
  </si>
  <si>
    <t>Autorisation de déversement des eaux usées - Etablissement PISCINE DU GRAND PARC</t>
  </si>
  <si>
    <t>https://cdn.scnbdx.fr/web-afresco/BOGAMET/MET_ARR_2020-BM1332.pdf</t>
  </si>
  <si>
    <t>2020-BM1333</t>
  </si>
  <si>
    <t>Autorisation de déversement des eaux usées - société KAUFMAN &amp; BROAD GIRONDE</t>
  </si>
  <si>
    <t>https://cdn.scnbdx.fr/web-afresco/BOGAMET/MET_ARR_2020-BM1333.pdf</t>
  </si>
  <si>
    <t>2020-BM1330</t>
  </si>
  <si>
    <t>arrêté de désignation - représentants de l’administration au Comité Technique de Bordeaux Métropole</t>
  </si>
  <si>
    <t>https://cdn.scnbdx.fr/web-afresco/BOGAMET/MET_ARR_2020-BM1330.pdf</t>
  </si>
  <si>
    <t>2020-BM1380</t>
  </si>
  <si>
    <t>Déclassement - 385 et 387 rue Barreyre</t>
  </si>
  <si>
    <t>https://cdn.scnbdx.fr/web-afresco/BOGAMET/MET_ARR_2020-BM1380.pdf</t>
  </si>
  <si>
    <t>2020-BM1347</t>
  </si>
  <si>
    <t>Autorisation de déversement des eaux usées - SAS ARICI</t>
  </si>
  <si>
    <t>https://cdn.scnbdx.fr/web-afresco/BOGAMET/MET_ARR_2020-BM1347.pdf</t>
  </si>
  <si>
    <t>2020-BM1358</t>
  </si>
  <si>
    <t>Autorisation de déversement des eaux usées - Autorisation de déversement d’eaux usées autres que domestiques de l’établissement MF PESSAC 33, 7 boulevard Auguste Priou, 44120 Vertou, dans le réseau de collecte des eaux pluviales de Bordeaux Métropole vers la station d’épuration de Louis Fargue</t>
  </si>
  <si>
    <t>https://cdn.scnbdx.fr/web-afresco/BOGAMET/MET_ARR_2020-BM1358.pdf</t>
  </si>
  <si>
    <t>2020-BM1401</t>
  </si>
  <si>
    <t>https://cdn.scnbdx.fr/web-afresco/BOGAMET/MET_ARR_2020-BM1401.pdf</t>
  </si>
  <si>
    <t>2020-BM1508</t>
  </si>
  <si>
    <t>circulation - réalisation de travaux d’entretien, renforcement des accotements de la RD 107 E2, sur les communes de Martignas et Saint Médard en Jalles,</t>
  </si>
  <si>
    <t>https://cdn.scnbdx.fr/web-afresco/BOGAMET/MET_ARR_2020-BM1508.pdf</t>
  </si>
  <si>
    <t>2020-BM1529</t>
  </si>
  <si>
    <t>Désignation des représentants - Désignation des membres de la Commission d'Indemnisation à l'Amiable du préjudice commercial du fait de travaux</t>
  </si>
  <si>
    <t>https://cdn.scnbdx.fr/web-afresco/BOGAMET/MET_ARR_2020-BM1529.pdf</t>
  </si>
  <si>
    <t>2020-BM1355</t>
  </si>
  <si>
    <t>circulation - travaux sur la commune de Mérignac- avenue de H1435 ARGONNE par les entreprises SUEZ, REGAZ, SABOM, ORANGE, INOLIA, ENEDIS, JC DECAUX COLAS SUD OUEST, SIGNATURE, SECTRA, SATELEC</t>
  </si>
  <si>
    <t>https://cdn.scnbdx.fr/web-afresco/BOGAMET/MET_ARR_2020-BM1355.pdf</t>
  </si>
  <si>
    <t>2020-BM1507</t>
  </si>
  <si>
    <t>Autorisation de déversement des eaux usées - SCCV PERINOT</t>
  </si>
  <si>
    <t>https://cdn.scnbdx.fr/web-afresco/BOGAMET/MET_ARR_2020-BM1507.pdf</t>
  </si>
  <si>
    <t>2020-BM1411</t>
  </si>
  <si>
    <t>Délégation de signature - Damien MOUCHAGUE</t>
  </si>
  <si>
    <t>https://cdn.scnbdx.fr/web-afresco/BOGAMET/MET_ARR_2020-BM1411.pdf</t>
  </si>
  <si>
    <t>2020-BM1417</t>
  </si>
  <si>
    <t>Délégation de signature - Sébastien LESPINASSE</t>
  </si>
  <si>
    <t>https://cdn.scnbdx.fr/web-afresco/BOGAMET/MET_ARR_2020-BM1417.pdf</t>
  </si>
  <si>
    <t>2020-BM1433</t>
  </si>
  <si>
    <t>Délégation de signature - Karine BONNEAU</t>
  </si>
  <si>
    <t>https://cdn.scnbdx.fr/web-afresco/BOGAMET/MET_ARR_2020-BM1433.pdf</t>
  </si>
  <si>
    <t>2020-BM1437</t>
  </si>
  <si>
    <t>Délégation de signature - Pierre-Henri MARCHADIER</t>
  </si>
  <si>
    <t>https://cdn.scnbdx.fr/web-afresco/BOGAMET/MET_ARR_2020-BM1437.pdf</t>
  </si>
  <si>
    <t>2020-BM1438</t>
  </si>
  <si>
    <t>Délégation de signature - Marie-Noëlle MOUILLAUD</t>
  </si>
  <si>
    <t>https://cdn.scnbdx.fr/web-afresco/BOGAMET/MET_ARR_2020-BM1438.pdf</t>
  </si>
  <si>
    <t>2020-BM1439</t>
  </si>
  <si>
    <t>Délégation de signature - Thierry NIAUSSAT</t>
  </si>
  <si>
    <t>https://cdn.scnbdx.fr/web-afresco/BOGAMET/MET_ARR_2020-BM1439.pdf</t>
  </si>
  <si>
    <t>2020-BM1442</t>
  </si>
  <si>
    <t>Délégation de signature - Pascal BESANCON</t>
  </si>
  <si>
    <t>https://cdn.scnbdx.fr/web-afresco/BOGAMET/MET_ARR_2020-BM1442.pdf</t>
  </si>
  <si>
    <t>2020-BM1448</t>
  </si>
  <si>
    <t>Délégation de signature - Philippe LATRILLE</t>
  </si>
  <si>
    <t>https://cdn.scnbdx.fr/web-afresco/BOGAMET/MET_ARR_2020-BM1448.pdf</t>
  </si>
  <si>
    <t>2020-BM1449</t>
  </si>
  <si>
    <t>Délégation de signature - Laurent LEMAITRE</t>
  </si>
  <si>
    <t>https://cdn.scnbdx.fr/web-afresco/BOGAMET/MET_ARR_2020-BM1449.pdf</t>
  </si>
  <si>
    <t>2020-BM1450</t>
  </si>
  <si>
    <t>Délégation de signature - Jérome LIMOUZIN</t>
  </si>
  <si>
    <t>https://cdn.scnbdx.fr/web-afresco/BOGAMET/MET_ARR_2020-BM1450.pdf</t>
  </si>
  <si>
    <t>2020-BM1451</t>
  </si>
  <si>
    <t>Délégation de signature - Joelle LOPEZ</t>
  </si>
  <si>
    <t>https://cdn.scnbdx.fr/web-afresco/BOGAMET/MET_ARR_2020-BM1451.pdf</t>
  </si>
  <si>
    <t>2020-BM1453</t>
  </si>
  <si>
    <t>Délégation de signature - Philippe MULLER</t>
  </si>
  <si>
    <t>https://cdn.scnbdx.fr/web-afresco/BOGAMET/MET_ARR_2020-BM1453.pdf</t>
  </si>
  <si>
    <t>2020-BM1454</t>
  </si>
  <si>
    <t>Délégation de signature - Gilles NAPIAS</t>
  </si>
  <si>
    <t>https://cdn.scnbdx.fr/web-afresco/BOGAMET/MET_ARR_2020-BM1454.pdf</t>
  </si>
  <si>
    <t>2020-BM1457</t>
  </si>
  <si>
    <t>Délégation de signature - Annabelle ROSE</t>
  </si>
  <si>
    <t>https://cdn.scnbdx.fr/web-afresco/BOGAMET/MET_ARR_2020-BM1457.pdf</t>
  </si>
  <si>
    <t>2020-BM1535</t>
  </si>
  <si>
    <t>Déclassement - du domaine public routier d’une emprise de 14m² située passage du Puits sur la commune de Bordeaux</t>
  </si>
  <si>
    <t>https://cdn.scnbdx.fr/web-afresco/BOGAMET/MET_ARR_2020-BM1535.pdf</t>
  </si>
  <si>
    <t>2021-BM0085</t>
  </si>
  <si>
    <t>Défense des intérêts de Bordeaux-Métropole - devant la juridiction de l'expropriation - époux IENG</t>
  </si>
  <si>
    <t>https://cdn.scnbdx.fr/web-afresco/BOGAMET/MET_ARR_2021-BM0085.pdf</t>
  </si>
  <si>
    <t>2021-BM0087</t>
  </si>
  <si>
    <t>Défense des intérêts de Bordeaux-Métropole - devant la juridiction de l'expropriation - SCI SMJ</t>
  </si>
  <si>
    <t>https://cdn.scnbdx.fr/web-afresco/BOGAMET/MET_ARR_2021-BM0087.pdf</t>
  </si>
  <si>
    <t>2021-BM0134</t>
  </si>
  <si>
    <t>Délégation de signature - Monsieur Stéphane PFEIFFER</t>
  </si>
  <si>
    <t>https://cdn.scnbdx.fr/web-afresco/BOGAMET/MET_ARR_2021-BM0134.pdf</t>
  </si>
  <si>
    <t>2021-BM0181</t>
  </si>
  <si>
    <t>circulation - Travaux de terrassement ponctuel pour déroulage de câble et mise en service, Avenue Marcel Dassault au niveau du giratoire perpendiculaire à l’avenue Beaudésert (voirie hors agglomération)</t>
  </si>
  <si>
    <t>https://cdn.scnbdx.fr/web-afresco/BOGAMET/MET_ARR_2021-BM0181.pdf</t>
  </si>
  <si>
    <t>2020-BM1295</t>
  </si>
  <si>
    <t>Autorisation d’intégration des ouvrages d'assainissement - Lotissement «Les Villas Durcy"</t>
  </si>
  <si>
    <t>https://cdn.scnbdx.fr/web-afresco/BOGAMET/MET_ARR_2020-BM1295.pdf</t>
  </si>
  <si>
    <t>2021-BM0236</t>
  </si>
  <si>
    <t>classement - espaces communs du Lotissement Le Clos des Chênes rue Romy Schneider</t>
  </si>
  <si>
    <t>https://cdn.scnbdx.fr/web-afresco/BOGAMET/MET_ARR_2021-BM0236.pdf</t>
  </si>
  <si>
    <t>2021-BM0237</t>
  </si>
  <si>
    <t>classement - rue Camille Jordan</t>
  </si>
  <si>
    <t>https://cdn.scnbdx.fr/web-afresco/BOGAMET/MET_ARR_2021-BM0237.pdf</t>
  </si>
  <si>
    <t>2021-BM0243</t>
  </si>
  <si>
    <t>Délégation de signature - Madame Emilie Remazeilles</t>
  </si>
  <si>
    <t>https://cdn.scnbdx.fr/web-afresco/BOGAMET/MET_ARR_2021-BM0243.pdf</t>
  </si>
  <si>
    <t>2021-BM0245</t>
  </si>
  <si>
    <t>Délégation de signature - Monsieur André Lafarie</t>
  </si>
  <si>
    <t>https://cdn.scnbdx.fr/web-afresco/BOGAMET/MET_ARR_2021-BM0245.pdf</t>
  </si>
  <si>
    <t>2021-BM0272</t>
  </si>
  <si>
    <t>Délégation de signature - Arrêtés autorisation d'exécution de travaux sur voirie routière</t>
  </si>
  <si>
    <t>https://cdn.scnbdx.fr/web-afresco/BOGAMET/MET_ARR_2021-BM0272.pdf</t>
  </si>
  <si>
    <t>2021-BM0225</t>
  </si>
  <si>
    <t>Autorisation d’intégration des ouvrages d'assainissement - lotissement «Le Clos Pasteur»</t>
  </si>
  <si>
    <t>https://cdn.scnbdx.fr/web-afresco/BOGAMET/MET_ARR_2021-BM0225.pdf</t>
  </si>
  <si>
    <t>2021-BM0197</t>
  </si>
  <si>
    <t>Autorisation d’intégration des ouvrages d'assainissement - LE HOME SAINT ESTEVE</t>
  </si>
  <si>
    <t>https://cdn.scnbdx.fr/web-afresco/BOGAMET/MET_ARR_2021-BM0197.pdf</t>
  </si>
  <si>
    <t>2021-BM0419</t>
  </si>
  <si>
    <t>Défense des intérêts de Bordeaux-Métropole - le pourvoi intenté par l’Association des propriétaires de Larros devant le Conseil d’Etat</t>
  </si>
  <si>
    <t>https://cdn.scnbdx.fr/web-afresco/BOGAMET/MET_ARR_2021-BM0419.pdf</t>
  </si>
  <si>
    <t>2021-BM0464</t>
  </si>
  <si>
    <t>Désignation de représentant - Comité de suivi concessions de services ayant pour objet la gestion et l’exploitation des abris voyageurs du réseau de bus de Bordeaux Métropole</t>
  </si>
  <si>
    <t>https://cdn.scnbdx.fr/web-afresco/BOGAMET/MET_ARR_2021-BM0464.pdf</t>
  </si>
  <si>
    <t>2021-BM0465</t>
  </si>
  <si>
    <t>Désignation de représentant - Présidente de la Commission de concessions ayant pour objet la gestion et l’exploitation des abris voyageurs du réseau de bus de Bordeaux Métropole</t>
  </si>
  <si>
    <t>https://cdn.scnbdx.fr/web-afresco/BOGAMET/MET_ARR_2021-BM0465.pdf</t>
  </si>
  <si>
    <t>2020-BM1208</t>
  </si>
  <si>
    <t>Désignation des représentants  - Désignation de la suppléante du représentant de Bordeaux Métropole au Conseil d’administration de l’établissement public d’aménagement Bordeaux Euratlantique</t>
  </si>
  <si>
    <t>https://cdn.scnbdx.fr/web-afresco/BOGAMET/MET_ARR_2020-BM1208.pdf</t>
  </si>
  <si>
    <t>2021-BM0302</t>
  </si>
  <si>
    <t>Mise à disposition temporaire d’emprises appartenant au domaine public de Bordeaux Métropole  - Boulevard Joliot-Curie à Bordeaux</t>
  </si>
  <si>
    <t>https://cdn.scnbdx.fr/web-afresco/BOGAMET/MET_ARR_2021-BM0302.pdf</t>
  </si>
  <si>
    <t>2021-BM0314</t>
  </si>
  <si>
    <t>Autorisation de déversement des eaux usées - MAGNA</t>
  </si>
  <si>
    <t>https://cdn.scnbdx.fr/web-afresco/BOGAMET/MET_ARR_2021-BM0314.pdf</t>
  </si>
  <si>
    <t>2021-BM0219</t>
  </si>
  <si>
    <t>Désignation de jury - construction du bâtiment d’exploitation de la DGPD sur le site de Latule</t>
  </si>
  <si>
    <t>https://cdn.scnbdx.fr/web-afresco/BOGAMET/MET_ARR_2021-BM0219.pdf</t>
  </si>
  <si>
    <t>2021-BM0341</t>
  </si>
  <si>
    <t>Attribution de subvention  - Création d'une voie verte Rue des Quatre Castera à Bègles – Demande de subvention – Autorisation</t>
  </si>
  <si>
    <t>https://cdn.scnbdx.fr/web-afresco/BOGAMET/MET_ARR_2021-BM0341.pdf</t>
  </si>
  <si>
    <t>2021-BM0342</t>
  </si>
  <si>
    <t>Attribution de subvention  - Création d'une voie verte Route de Canéjan à Gradignan – Demande de subvention – Autorisation</t>
  </si>
  <si>
    <t>https://cdn.scnbdx.fr/web-afresco/BOGAMET/MET_ARR_2021-BM0342.pdf</t>
  </si>
  <si>
    <t>2021-BM0003</t>
  </si>
  <si>
    <t>Circulation - travaux mise a niveau hydrants ZI route du bec</t>
  </si>
  <si>
    <t>https://cdn.scnbdx.fr/web-afresco/BOGAMET/MET_ARR_2021-BM0003.pdf</t>
  </si>
  <si>
    <t>2021-BM0444</t>
  </si>
  <si>
    <t>circulation - Réparation conduite sous chaussée et trottoir 14, avenue de PYTHAGORE</t>
  </si>
  <si>
    <t>https://cdn.scnbdx.fr/web-afresco/BOGAMET/MET_ARR_2021-BM0444.pdf</t>
  </si>
  <si>
    <t>2021-BM0398</t>
  </si>
  <si>
    <t>Autorisation de déversement des eaux usées - Etablissement SARL KAUFMAN &amp; BROAD GIRONDE</t>
  </si>
  <si>
    <t>https://cdn.scnbdx.fr/web-afresco/BOGAMET/MET_ARR_2021-BM0398.pdf</t>
  </si>
  <si>
    <t>2021-BM0072</t>
  </si>
  <si>
    <t>Circulation - Travaux d’extension du réseau souterrain électrique basse tension, pose de coffret au 172 avenue de Labarde RD209</t>
  </si>
  <si>
    <t>https://cdn.scnbdx.fr/web-afresco/BOGAMET/MET_ARR_2021-BM0072.pdf</t>
  </si>
  <si>
    <t>2021-BM0229</t>
  </si>
  <si>
    <t>Autorisation d’intégration des ouvrages d'assainissement - Lotissement «Les Vergers du Tasta Ilot A7»</t>
  </si>
  <si>
    <t>https://cdn.scnbdx.fr/web-afresco/BOGAMET/MET_ARR_2021-BM0229.pdf</t>
  </si>
  <si>
    <t>2021-BM0274</t>
  </si>
  <si>
    <t>Autorisation de déversement des eaux usées - OTV</t>
  </si>
  <si>
    <t>https://cdn.scnbdx.fr/web-afresco/BOGAMET/MET_ARR_2021-BM0274.pdf</t>
  </si>
  <si>
    <t>2021-BM0275</t>
  </si>
  <si>
    <t>Autorisation de déversement des eaux usées - L2MA CONSTRUCTIONS</t>
  </si>
  <si>
    <t>https://cdn.scnbdx.fr/web-afresco/BOGAMET/MET_ARR_2021-BM0275.pdf</t>
  </si>
  <si>
    <t>2021-BM0278</t>
  </si>
  <si>
    <t>Autorisation de déversement des eaux usées - Transports Lahaye</t>
  </si>
  <si>
    <t>https://cdn.scnbdx.fr/web-afresco/BOGAMET/MET_ARR_2021-BM0278.pdf</t>
  </si>
  <si>
    <t>2021-BM0283</t>
  </si>
  <si>
    <t>Cession - levée d'option - place Cardinal Donnet</t>
  </si>
  <si>
    <t>https://cdn.scnbdx.fr/web-afresco/BOGAMET/MET_ARR_2021-BM0283.pdf</t>
  </si>
  <si>
    <t>2021-BM0404</t>
  </si>
  <si>
    <t>https://cdn.scnbdx.fr/web-afresco/BOGAMET/MET_ARR_2021-BM0404.pdf</t>
  </si>
  <si>
    <t>2021-BM0426</t>
  </si>
  <si>
    <t>Autorisation d’intégration des ouvrages d'assainissement - Lotissement « Les Vignes de Balanguey »</t>
  </si>
  <si>
    <t>https://cdn.scnbdx.fr/web-afresco/BOGAMET/MET_ARR_2021-BM0426.pdf</t>
  </si>
  <si>
    <t>2021-BM0427</t>
  </si>
  <si>
    <t>Autorisation d’intégration des ouvrages d'assainissement - Lotissement « Symphonie n° 5 »</t>
  </si>
  <si>
    <t>https://cdn.scnbdx.fr/web-afresco/BOGAMET/MET_ARR_2021-BM0427.pdf</t>
  </si>
  <si>
    <t>2021-BM0428</t>
  </si>
  <si>
    <t>Autorisation de déversement des eaux usées - EUROVIA</t>
  </si>
  <si>
    <t>https://cdn.scnbdx.fr/web-afresco/BOGAMET/MET_ARR_2021-BM0428.pdf</t>
  </si>
  <si>
    <t>2021-BM0287</t>
  </si>
  <si>
    <t>Défense des intérêts de Bordeaux-Métropole - Représentation des intérêts de Bordeaux Métropole devant la juridiction de l'expropriation dans le cadre de la procédure d'expropriation à engager dans le cadre des travaux d’aménagement de l’avenue de la Salle de Breillan à Blanquefort</t>
  </si>
  <si>
    <t>https://cdn.scnbdx.fr/web-afresco/BOGAMET/MET_ARR_2021-BM0287.pdf</t>
  </si>
  <si>
    <t>2021-BM0326</t>
  </si>
  <si>
    <t>Autorisation d’intégration des ouvrages d'assainissement - Lotissement « CITE DES ARTS »</t>
  </si>
  <si>
    <t>https://cdn.scnbdx.fr/web-afresco/BOGAMET/MET_ARR_2021-BM0326.pdf</t>
  </si>
  <si>
    <t>2021-BM0327</t>
  </si>
  <si>
    <t>Autorisation d’intégration des ouvrages d'assainissement - lotissement « LE PARC ALFRED DE MUSSET »</t>
  </si>
  <si>
    <t>https://cdn.scnbdx.fr/web-afresco/BOGAMET/MET_ARR_2021-BM0327.pdf</t>
  </si>
  <si>
    <t>2021-BM0328</t>
  </si>
  <si>
    <t>Autorisation d’intégration des ouvrages d'assainissement - Lotissement « LES JARDINS DE JEANNE »</t>
  </si>
  <si>
    <t>https://cdn.scnbdx.fr/web-afresco/BOGAMET/MET_ARR_2021-BM0328.pdf</t>
  </si>
  <si>
    <t>2021-BM0378</t>
  </si>
  <si>
    <t>circulation -  Travaux de réalisation des aménagements de la tête de pont de l’ouvrage  Simone Veil et modification des sens de circulation sur l’ex A631 (voirie hors  agglomération) à Bègles et sur le boulevard des Frères Moga (voirie hors  agglomération)</t>
  </si>
  <si>
    <t>https://cdn.scnbdx.fr/web-afresco/BOGAMET/MET_ARR_2021-BM0378.pdf</t>
  </si>
  <si>
    <t>2021-BM0373</t>
  </si>
  <si>
    <t>Autorisation de déversement des eaux usées - FAYAT</t>
  </si>
  <si>
    <t>https://cdn.scnbdx.fr/web-afresco/BOGAMET/MET_ARR_2021-BM0373.pdf</t>
  </si>
  <si>
    <t>2021-BM0385</t>
  </si>
  <si>
    <t>circulation - travaux sondage sur canalisation gaz rue du MEDOC par l’entreprise TEREGA du 30.03 au 01.04.2021</t>
  </si>
  <si>
    <t>https://cdn.scnbdx.fr/web-afresco/BOGAMET/MET_ARR_2021-BM0385.pdf</t>
  </si>
  <si>
    <t>2021-BM0564</t>
  </si>
  <si>
    <t>Désignation de jury - Procédure avec négociation de conception- Restructuration et extension de l’école élémentaire Cap de Bos</t>
  </si>
  <si>
    <t>https://cdn.scnbdx.fr/web-afresco/BOGAMET/MET_ARR_2021-BM0564.pdf</t>
  </si>
  <si>
    <t>2021-BM0393</t>
  </si>
  <si>
    <t>circulation - travaux de pose de garde-corps sur le pont du Levreau au niveau de la RD107</t>
  </si>
  <si>
    <t>https://cdn.scnbdx.fr/web-afresco/BOGAMET/MET_ARR_2021-BM0393.pdf</t>
  </si>
  <si>
    <t>2021-BM0524</t>
  </si>
  <si>
    <t>circulation - Travaux de pose d’une passerelle métallique sur l’avenue des 4 ponts  – station de pompage Bruges 1 – chantier liaison Cantinolle / Lille lot1</t>
  </si>
  <si>
    <t>https://cdn.scnbdx.fr/web-afresco/BOGAMET/MET_ARR_2021-BM0524.pdf</t>
  </si>
  <si>
    <t>2021-BM0581</t>
  </si>
  <si>
    <t>Autorisation d’occupation temporaire – AOT - signature convention pont Chaban - tournage vidéo</t>
  </si>
  <si>
    <t>https://cdn.scnbdx.fr/web-afresco/BOGAMET/MET_ARR_2021-BM0581.pdf</t>
  </si>
  <si>
    <t>2021-BM0531</t>
  </si>
  <si>
    <t>Délégation de signature - Virginie Bache-Gabrielsen</t>
  </si>
  <si>
    <t>https://cdn.scnbdx.fr/web-afresco/BOGAMET/MET_ARR_2021-BM0531.pdf</t>
  </si>
  <si>
    <t>2021-BM0533</t>
  </si>
  <si>
    <t>Délégation de signature - Stéphane-Emmanuel Leuret</t>
  </si>
  <si>
    <t>https://cdn.scnbdx.fr/web-afresco/BOGAMET/MET_ARR_2021-BM0533.pdf</t>
  </si>
  <si>
    <t>2021-BM0534</t>
  </si>
  <si>
    <t>Délégation de signature - Hélène Panas</t>
  </si>
  <si>
    <t>https://cdn.scnbdx.fr/web-afresco/BOGAMET/MET_ARR_2021-BM0534.pdf</t>
  </si>
  <si>
    <t>2021-BM0535</t>
  </si>
  <si>
    <t>Délégation de signature - Caroline Balula</t>
  </si>
  <si>
    <t>https://cdn.scnbdx.fr/web-afresco/BOGAMET/MET_ARR_2021-BM0535.pdf</t>
  </si>
  <si>
    <t>2021-BM0541</t>
  </si>
  <si>
    <t>Délégation de signature - Claire Keller</t>
  </si>
  <si>
    <t>https://cdn.scnbdx.fr/web-afresco/BOGAMET/MET_ARR_2021-BM0541.pdf</t>
  </si>
  <si>
    <t>2021-BM0544</t>
  </si>
  <si>
    <t>https://cdn.scnbdx.fr/web-afresco/BOGAMET/MET_ARR_2021-BM0544.pdf</t>
  </si>
  <si>
    <t>2021-BM0545</t>
  </si>
  <si>
    <t>Délégation de signature - Jean-Noël Olivier</t>
  </si>
  <si>
    <t>https://cdn.scnbdx.fr/web-afresco/BOGAMET/MET_ARR_2021-BM0545.pdf</t>
  </si>
  <si>
    <t>2021-BM0550</t>
  </si>
  <si>
    <t>Délégation de signature - Cécile Lagarde</t>
  </si>
  <si>
    <t>https://cdn.scnbdx.fr/web-afresco/BOGAMET/MET_ARR_2021-BM0550.pdf</t>
  </si>
  <si>
    <t>2021-BM0557</t>
  </si>
  <si>
    <t>Délégation de signature - Sandrine Saltel</t>
  </si>
  <si>
    <t>https://cdn.scnbdx.fr/web-afresco/BOGAMET/MET_ARR_2021-BM0557.pdf</t>
  </si>
  <si>
    <t>2021-BM0558</t>
  </si>
  <si>
    <t>Délégation de signature - Florence Alibert</t>
  </si>
  <si>
    <t>https://cdn.scnbdx.fr/web-afresco/BOGAMET/MET_ARR_2021-BM0558.pdf</t>
  </si>
  <si>
    <t>2021-BM0095</t>
  </si>
  <si>
    <t>Autorisation d’occupation temporaire – AOT - Construction d’une dalle de répartition pour restauration d’un immeuble 2 supposé allée Stendhal angle 68 cours Balguerie Stuttenberg</t>
  </si>
  <si>
    <t>https://cdn.scnbdx.fr/web-afresco/BOGAMET/MET_ARR_2021-BM0095.pdf</t>
  </si>
  <si>
    <t>2021-BM0096</t>
  </si>
  <si>
    <t>Autorisation d’occupation temporaire – AOT - Construction d’une dalle de répartition pour restauration d’un immeuble allée Stendhal angle rue André Darbon</t>
  </si>
  <si>
    <t>https://cdn.scnbdx.fr/web-afresco/BOGAMET/MET_ARR_2021-BM0096.pdf</t>
  </si>
  <si>
    <t>2021-BM0523</t>
  </si>
  <si>
    <t>Attribution de subvention - Construction du groupe scolaire Brazza</t>
  </si>
  <si>
    <t>https://cdn.scnbdx.fr/web-afresco/BOGAMET/MET_ARR_2021-BM0523.pdf</t>
  </si>
  <si>
    <t>2021-BM0578</t>
  </si>
  <si>
    <t>Attribution de subvention - Bus à Haut Niveau de Service pour desservir les quartiers de Pellegrin, de Thouars et de Malartic</t>
  </si>
  <si>
    <t>https://cdn.scnbdx.fr/web-afresco/BOGAMET/MET_ARR_2021-BM0578.pdf</t>
  </si>
  <si>
    <t>2021-BM0580</t>
  </si>
  <si>
    <t>Attribution de subvention - Liaison « pont à pont » - Voie Eymet et trémie Benauge</t>
  </si>
  <si>
    <t>https://cdn.scnbdx.fr/web-afresco/BOGAMET/MET_ARR_2021-BM0580.pdf</t>
  </si>
  <si>
    <t>2021-BM0502</t>
  </si>
  <si>
    <t>Défense des intérêts de Bordeaux-Métropole - Zone d’aménagement concertée sur la commune de Bordeaux, Etablissement Public d’Aménagement Bordeaux Euratlantique</t>
  </si>
  <si>
    <t>https://cdn.scnbdx.fr/web-afresco/BOGAMET/MET_ARR_2021-BM0502.pdf</t>
  </si>
  <si>
    <t>2021-BM0503</t>
  </si>
  <si>
    <t>Enquête publique - Modification et abrogation de plans d’alignement à Bordeaux – « Campagne » de mise à jour 2021</t>
  </si>
  <si>
    <t>https://cdn.scnbdx.fr/web-afresco/BOGAMET/MET_ARR_2021-BM0503.pdf</t>
  </si>
  <si>
    <t>2020-BM1474</t>
  </si>
  <si>
    <t>Délégation de signature - Karine GESSNER</t>
  </si>
  <si>
    <t>https://cdn.scnbdx.fr/web-afresco/BOGAMET/MET_ARR_2020-BM1474.pdf</t>
  </si>
  <si>
    <t>2020-BM1475</t>
  </si>
  <si>
    <t>Délégation de signature - Laurent HODEBAR</t>
  </si>
  <si>
    <t>https://cdn.scnbdx.fr/web-afresco/BOGAMET/MET_ARR_2020-BM1475.pdf</t>
  </si>
  <si>
    <t>2020-BM1479</t>
  </si>
  <si>
    <t>Délégation de signature - Olivier MAURET</t>
  </si>
  <si>
    <t>https://cdn.scnbdx.fr/web-afresco/BOGAMET/MET_ARR_2020-BM1479.pdf</t>
  </si>
  <si>
    <t>2020-BM1482</t>
  </si>
  <si>
    <t>Délégation de signature - Etienne MORIN</t>
  </si>
  <si>
    <t>https://cdn.scnbdx.fr/web-afresco/BOGAMET/MET_ARR_2020-BM1482.pdf</t>
  </si>
  <si>
    <t>2020-BM1483</t>
  </si>
  <si>
    <t>Délégation de signature - Valérie POTTIER</t>
  </si>
  <si>
    <t>https://cdn.scnbdx.fr/web-afresco/BOGAMET/MET_ARR_2020-BM1483.pdf</t>
  </si>
  <si>
    <t>2020-BM1494</t>
  </si>
  <si>
    <t>Délégation de signature - Astrid BIDEAULT-LE BRET</t>
  </si>
  <si>
    <t>https://cdn.scnbdx.fr/web-afresco/BOGAMET/MET_ARR_2020-BM1494.pdf</t>
  </si>
  <si>
    <t>2020-BM1498</t>
  </si>
  <si>
    <t>Délégation de signature - Catherine SAINT JOURS</t>
  </si>
  <si>
    <t>https://cdn.scnbdx.fr/web-afresco/BOGAMET/MET_ARR_2020-BM1498.pdf</t>
  </si>
  <si>
    <t>2020-BM1499</t>
  </si>
  <si>
    <t>Délégation de signature - Jean-Michel SAINT-MARC</t>
  </si>
  <si>
    <t>https://cdn.scnbdx.fr/web-afresco/BOGAMET/MET_ARR_2020-BM1499.pdf</t>
  </si>
  <si>
    <t>2020-BM1503</t>
  </si>
  <si>
    <t>Délégation de signature - Circulation et stationnement sur voiries hors agglomération</t>
  </si>
  <si>
    <t>https://cdn.scnbdx.fr/web-afresco/BOGAMET/MET_ARR_2020-BM1503.pdf</t>
  </si>
  <si>
    <t>2020-BM1637</t>
  </si>
  <si>
    <t>circulation - Travaux de plantation d’arbres sur accotements et pose de mulch sur TPC sur l’av Marie Curie, travaux de repris des plantations entre voirie et voie verte au niveau du giratoire Ambroise Croizat, Vercastel et Dassault et travaux e plantation de vivaces sur l’anneau du giratoire Marcel Dassault</t>
  </si>
  <si>
    <t>https://cdn.scnbdx.fr/web-afresco/BOGAMET/MET_ARR_2020-BM1637.pdf</t>
  </si>
  <si>
    <t>2020-BM1639</t>
  </si>
  <si>
    <t>circulation - Travaux de plantation de quatre massifs (arbres e plantes vivaces) entre la voirie et la voie verte, suite à la création d’arrêts de bus, au niveau du giratoire Dassault / Beaudésert, sur l’avenue Marcel Dassault – hors agglo</t>
  </si>
  <si>
    <t>https://cdn.scnbdx.fr/web-afresco/BOGAMET/MET_ARR_2020-BM1639.pdf</t>
  </si>
  <si>
    <t>2020-BM1640</t>
  </si>
  <si>
    <t>circulation - Travaux de forage dirigé sur l’avenue Marcel Dassault, au niveau du giratoire interceptant le chemin du Phare – hors agglo</t>
  </si>
  <si>
    <t>https://cdn.scnbdx.fr/web-afresco/BOGAMET/MET_ARR_2020-BM1640.pdf</t>
  </si>
  <si>
    <t>2021-BM0602</t>
  </si>
  <si>
    <t>Autorisation d’intégration des ouvrages d'assainissement - LES JARDINS DE BRUYERE</t>
  </si>
  <si>
    <t>https://cdn.scnbdx.fr/web-afresco/BOGAMET/MET_ARR_2021-BM0602.pdf</t>
  </si>
  <si>
    <t>2020-BM1357</t>
  </si>
  <si>
    <t>circulation - Travaux de mis en sécurité et de réfection du tapis avec purge du giratoire interceptant le quai de Vial et la rue Richelieu – hors agglo</t>
  </si>
  <si>
    <t>https://cdn.scnbdx.fr/web-afresco/BOGAMET/MET_ARR_2020-BM1357.pdf</t>
  </si>
  <si>
    <t>2020-BM1583</t>
  </si>
  <si>
    <t>Désignation du représentant du Président de Bordeaux Métropole - au sein de la Commission Départementale d'Aménagement Commercial de la Gironde</t>
  </si>
  <si>
    <t>https://cdn.scnbdx.fr/web-afresco/BOGAMET/MET_ARR_2020-BM1583.pdf</t>
  </si>
  <si>
    <t>2020-BM1576</t>
  </si>
  <si>
    <t>Ouverture enquete publique - Evaluation Environnementale concernant le projet de renouvellement urbain des quartiers Palmer – Saraillère - 8 mai 45</t>
  </si>
  <si>
    <t>https://cdn.scnbdx.fr/web-afresco/BOGAMET/MET_ARR_2020-BM1576.pdf</t>
  </si>
  <si>
    <t>2020-BM1603</t>
  </si>
  <si>
    <t>circulation - Travaux de plantation d’arbres sur accotements et terre-plein central sur l’avenue Marcel dassault – hors agglo</t>
  </si>
  <si>
    <t>https://cdn.scnbdx.fr/web-afresco/BOGAMET/MET_ARR_2020-BM1603.pdf</t>
  </si>
  <si>
    <t>2020-BM1604</t>
  </si>
  <si>
    <t>circulation - Travaux d’entretien de chaussée et de retrait de déchets sur l’avenue du 11 novembre – hors agglo</t>
  </si>
  <si>
    <t>https://cdn.scnbdx.fr/web-afresco/BOGAMET/MET_ARR_2020-BM1604.pdf</t>
  </si>
  <si>
    <t>2021-BM0005</t>
  </si>
  <si>
    <t>Circulation - travaux sous accotement dépose poteau incendie - avenue des 4 Ponts</t>
  </si>
  <si>
    <t>https://cdn.scnbdx.fr/web-afresco/BOGAMET/MET_ARR_2021-BM0005.pdf</t>
  </si>
  <si>
    <t>2020-BM1403</t>
  </si>
  <si>
    <t>circulation - Travaux de marquage de passages piétons sur l’avenue Toussaint Catros, au niveau du giratoire interceptant la rue Diamant – hors agglo – Le Haillan</t>
  </si>
  <si>
    <t>https://cdn.scnbdx.fr/web-afresco/BOGAMET/MET_ARR_2020-BM1403.pdf</t>
  </si>
  <si>
    <t>2021-BM0076</t>
  </si>
  <si>
    <t>circulation - travaux de remise en état des bornes et balises de repérage du réseau de gaz</t>
  </si>
  <si>
    <t>https://cdn.scnbdx.fr/web-afresco/BOGAMET/MET_ARR_2021-BM0076.pdf</t>
  </si>
  <si>
    <t>2020-BM1381</t>
  </si>
  <si>
    <t>attribution de subvention - Aménagement de l’avenue Marcel Dassault</t>
  </si>
  <si>
    <t>https://cdn.scnbdx.fr/web-afresco/BOGAMET/MET_ARR_2020-BM1381.pdf</t>
  </si>
  <si>
    <t>2020-BM1598</t>
  </si>
  <si>
    <t>subvention - Equipements des agents pour assurer la continuité du service public</t>
  </si>
  <si>
    <t>https://cdn.scnbdx.fr/web-afresco/BOGAMET/MET_ARR_2020-BM1598.pdf</t>
  </si>
  <si>
    <t>2021-BM0004</t>
  </si>
  <si>
    <t>cloture de concertation - site de la Jallère</t>
  </si>
  <si>
    <t>https://cdn.scnbdx.fr/web-afresco/BOGAMET/MET_ARR_2021-BM0004.pdf</t>
  </si>
  <si>
    <t>2020-BM1599</t>
  </si>
  <si>
    <t>convention - Mise à disposition temporaire à Bordeaux Métropole d’emprises appartenant au domaine public de la Région Nouvelle-Aquitaine – Rue Buthaud et rue de la Sauve à Bordeaux</t>
  </si>
  <si>
    <t>https://cdn.scnbdx.fr/web-afresco/BOGAMET/MET_ARR_2020-BM1599.pdf</t>
  </si>
  <si>
    <t>2020-BM1555</t>
  </si>
  <si>
    <t>circulation - Travaux de réparation de longrines et de garde-corps de l’ouvrage de la Jalles de l’Olive sur l’avenue Labarde (RD2079) – hors agglo -</t>
  </si>
  <si>
    <t>https://cdn.scnbdx.fr/web-afresco/BOGAMET/MET_ARR_2020-BM1555.pdf</t>
  </si>
  <si>
    <t>2020-BM1558</t>
  </si>
  <si>
    <t>circulation - Travaux de nettoyage de chaussées, de fauchage d’accotements et autres interventions sur la RD113 – hors agglo</t>
  </si>
  <si>
    <t>https://cdn.scnbdx.fr/web-afresco/BOGAMET/MET_ARR_2020-BM1558.pdf</t>
  </si>
  <si>
    <t>2021-BM0098</t>
  </si>
  <si>
    <t>Déconsignation - Pont Simone Veil</t>
  </si>
  <si>
    <t>https://cdn.scnbdx.fr/web-afresco/BOGAMET/MET_ARR_2021-BM0098.pdf</t>
  </si>
  <si>
    <t>2021-BM0140</t>
  </si>
  <si>
    <t>https://cdn.scnbdx.fr/web-afresco/BOGAMET/MET_ARR_2021-BM0140.pdf</t>
  </si>
  <si>
    <t>2021-BM0142</t>
  </si>
  <si>
    <t>Délégation de signature - Madame Karine MABILLON (ADG)</t>
  </si>
  <si>
    <t>https://cdn.scnbdx.fr/web-afresco/BOGAMET/MET_ARR_2021-BM0142.pdf</t>
  </si>
  <si>
    <t>2021-BM0144</t>
  </si>
  <si>
    <t>https://cdn.scnbdx.fr/web-afresco/BOGAMET/MET_ARR_2021-BM0144.pdf</t>
  </si>
  <si>
    <t>2021-BM0145</t>
  </si>
  <si>
    <t>https://cdn.scnbdx.fr/web-afresco/BOGAMET/MET_ARR_2021-BM0145.pdf</t>
  </si>
  <si>
    <t>2021-BM0150</t>
  </si>
  <si>
    <t>https://cdn.scnbdx.fr/web-afresco/BOGAMET/MET_ARR_2021-BM0150.pdf</t>
  </si>
  <si>
    <t>2021-BM0153</t>
  </si>
  <si>
    <t>https://cdn.scnbdx.fr/web-afresco/BOGAMET/MET_ARR_2021-BM0153.pdf</t>
  </si>
  <si>
    <t>2021-BM0157</t>
  </si>
  <si>
    <t>https://cdn.scnbdx.fr/web-afresco/BOGAMET/MET_ARR_2021-BM0157.pdf</t>
  </si>
  <si>
    <t>2021-BM0158</t>
  </si>
  <si>
    <t>https://cdn.scnbdx.fr/web-afresco/BOGAMET/MET_ARR_2021-BM0158.pdf</t>
  </si>
  <si>
    <t>2021-BM0282</t>
  </si>
  <si>
    <t>Autorisation de déversement des eaux usées - Renault Retail Group</t>
  </si>
  <si>
    <t>https://cdn.scnbdx.fr/web-afresco/BOGAMET/MET_ARR_2021-BM0282.pdf</t>
  </si>
  <si>
    <t>2021-BM0303</t>
  </si>
  <si>
    <t>Défense des intérêts de Bordeaux-Métropole - Recours pour excès de pouvoir à l’encontre d’un contrat de travail et de son avenant</t>
  </si>
  <si>
    <t>https://cdn.scnbdx.fr/web-afresco/BOGAMET/MET_ARR_2021-BM0303.pdf</t>
  </si>
  <si>
    <t>2021-BM0355</t>
  </si>
  <si>
    <t>https://cdn.scnbdx.fr/web-afresco/BOGAMET/MET_ARR_2021-BM0355.pdf</t>
  </si>
  <si>
    <t>2021-BM0359</t>
  </si>
  <si>
    <t>Délégation de signature - Désignation membres COSUI suivi négociations concession gestion abris voyageurs réseau BM</t>
  </si>
  <si>
    <t>https://cdn.scnbdx.fr/web-afresco/BOGAMET/MET_ARR_2021-BM0359.pdf</t>
  </si>
  <si>
    <t>2021-BM0200</t>
  </si>
  <si>
    <t>Délégation de fonctions - Transfert de pouvoirs de polices administratives spéciales des maires des communes membres de Bordeaux-Métropole - Renonciation</t>
  </si>
  <si>
    <t>https://cdn.scnbdx.fr/web-afresco/BOGAMET/MET_ARR_2021-BM0200.pdf</t>
  </si>
  <si>
    <t>2021-BM0525</t>
  </si>
  <si>
    <t>circulation - Travaux de réparation de conduite sous trottoir au 107 avenue Marcel Dassault</t>
  </si>
  <si>
    <t>https://cdn.scnbdx.fr/web-afresco/BOGAMET/MET_ARR_2021-BM0525.pdf</t>
  </si>
  <si>
    <t>2021-BM0583</t>
  </si>
  <si>
    <t>circulation - Travaux de nettoyage de chaussée avec balayage des voies, sur l’A631 dans le sens sortant de Bordeaux vers Bègles</t>
  </si>
  <si>
    <t>https://cdn.scnbdx.fr/web-afresco/BOGAMET/MET_ARR_2021-BM0583.pdf</t>
  </si>
  <si>
    <t>2021-BM0021</t>
  </si>
  <si>
    <t>Autorisation d’intégration des ouvrages d'assainissement - «LOTISSEMENT D’ACTIVITES»</t>
  </si>
  <si>
    <t>https://cdn.scnbdx.fr/web-afresco/BOGAMET/MET_ARR_2021-BM0021.pdf</t>
  </si>
  <si>
    <t>2021-BM0215</t>
  </si>
  <si>
    <t>Défense des intérêts de Bordeaux-Métropole - Requête en reconnaissance de droits introduite par un syndicat professionnel - Télétravail</t>
  </si>
  <si>
    <t>https://cdn.scnbdx.fr/web-afresco/BOGAMET/MET_ARR_2021-BM0215.pdf</t>
  </si>
  <si>
    <t>2021-BM0125</t>
  </si>
  <si>
    <t>circulation - travaux sur la commune de Martignas- D213- poses de 2 chambres télécom et de 3 fourreaux télécoms FREE</t>
  </si>
  <si>
    <t>https://cdn.scnbdx.fr/web-afresco/BOGAMET/MET_ARR_2021-BM0125.pdf</t>
  </si>
  <si>
    <t>2021-BM0170</t>
  </si>
  <si>
    <t>Défense des intérêts de Bordeaux-Métropole - Société Fiducial Private Security</t>
  </si>
  <si>
    <t>https://cdn.scnbdx.fr/web-afresco/BOGAMET/MET_ARR_2021-BM0170.pdf</t>
  </si>
  <si>
    <t>2021-BM0218</t>
  </si>
  <si>
    <t>Désignation de jury - création du centre de réemploi et de l’aire de recyclage de la rue du Commandant Cousteau</t>
  </si>
  <si>
    <t>https://cdn.scnbdx.fr/web-afresco/BOGAMET/MET_ARR_2021-BM0218.pdf</t>
  </si>
  <si>
    <t>2020-BM1644</t>
  </si>
  <si>
    <t>cloture de concertation - avenue 40 journaux</t>
  </si>
  <si>
    <t>https://cdn.scnbdx.fr/web-afresco/BOGAMET/MET_ARR_2020-BM1644.pdf</t>
  </si>
  <si>
    <t>2021-BM0012</t>
  </si>
  <si>
    <t>composition du jury  - Appel à manifestation d’intérêt AIRE 2ème édition - jury de sélection - site d’Ambarès Barbère</t>
  </si>
  <si>
    <t>https://cdn.scnbdx.fr/web-afresco/BOGAMET/MET_ARR_2021-BM0012.pdf</t>
  </si>
  <si>
    <t>2021-BM0015</t>
  </si>
  <si>
    <t>composition du jury  - Appel à manifestation d’intérêt AIRE 2ème édition - jury de sélection - site de Bruges Terrefort</t>
  </si>
  <si>
    <t>https://cdn.scnbdx.fr/web-afresco/BOGAMET/MET_ARR_2021-BM0015.pdf</t>
  </si>
  <si>
    <t>2021-BM0042</t>
  </si>
  <si>
    <t>Délégation de signature - André Lafarie</t>
  </si>
  <si>
    <t>https://cdn.scnbdx.fr/web-afresco/BOGAMET/MET_ARR_2021-BM0042.pdf</t>
  </si>
  <si>
    <t>2021-BM0043</t>
  </si>
  <si>
    <t>Délégation de signature - Mathieu Roussennac</t>
  </si>
  <si>
    <t>https://cdn.scnbdx.fr/web-afresco/BOGAMET/MET_ARR_2021-BM0043.pdf</t>
  </si>
  <si>
    <t>2021-BM0045</t>
  </si>
  <si>
    <t>Délégation de signature - Yasmine Darmante</t>
  </si>
  <si>
    <t>https://cdn.scnbdx.fr/web-afresco/BOGAMET/MET_ARR_2021-BM0045.pdf</t>
  </si>
  <si>
    <t>2021-BM0050</t>
  </si>
  <si>
    <t>Délégation de signature - Xavier Messager</t>
  </si>
  <si>
    <t>https://cdn.scnbdx.fr/web-afresco/BOGAMET/MET_ARR_2021-BM0050.pdf</t>
  </si>
  <si>
    <t>2021-BM0051</t>
  </si>
  <si>
    <t>Délégation de signature - Catherine Delaloy</t>
  </si>
  <si>
    <t>https://cdn.scnbdx.fr/web-afresco/BOGAMET/MET_ARR_2021-BM0051.pdf</t>
  </si>
  <si>
    <t>2021-BM0054</t>
  </si>
  <si>
    <t>Délégation de signature - Julien Birgi</t>
  </si>
  <si>
    <t>https://cdn.scnbdx.fr/web-afresco/BOGAMET/MET_ARR_2021-BM0054.pdf</t>
  </si>
  <si>
    <t>2021-BM0056</t>
  </si>
  <si>
    <t>Délégation de signature - Cédric Ghesquières</t>
  </si>
  <si>
    <t>https://cdn.scnbdx.fr/web-afresco/BOGAMET/MET_ARR_2021-BM0056.pdf</t>
  </si>
  <si>
    <t>2021-BM0304</t>
  </si>
  <si>
    <t>circulation - travaux de déplacement d’ouvrage, 100 avenue de l’Argonne</t>
  </si>
  <si>
    <t>https://cdn.scnbdx.fr/web-afresco/BOGAMET/MET_ARR_2021-BM0304.pdf</t>
  </si>
  <si>
    <t>2021-BM0305</t>
  </si>
  <si>
    <t>circulation - travaux d’ouverture de chambre sur chaussée, avenue Edouard Faure</t>
  </si>
  <si>
    <t>https://cdn.scnbdx.fr/web-afresco/BOGAMET/MET_ARR_2021-BM0305.pdf</t>
  </si>
  <si>
    <t>2021-BM0308</t>
  </si>
  <si>
    <t>circulation - travaux branchement incendie</t>
  </si>
  <si>
    <t>https://cdn.scnbdx.fr/web-afresco/BOGAMET/MET_ARR_2021-BM0308.pdf</t>
  </si>
  <si>
    <t>2021-BM0315</t>
  </si>
  <si>
    <t>circulation - 358 avenue de lignan</t>
  </si>
  <si>
    <t>https://cdn.scnbdx.fr/web-afresco/BOGAMET/MET_ARR_2021-BM0315.pdf</t>
  </si>
  <si>
    <t>2021-BM0433</t>
  </si>
  <si>
    <t>Autorisation d’occupation temporaire – AOT - Construction d’une dalle de répartition pour construction d’un immeuble - 107 rue Georges Bonnac</t>
  </si>
  <si>
    <t>https://cdn.scnbdx.fr/web-afresco/BOGAMET/MET_ARR_2021-BM0433.pdf</t>
  </si>
  <si>
    <t>2021-BM0438</t>
  </si>
  <si>
    <t>circulation - travaux réalisation  réfection de la couche de roulement devant la société YARA sur 200 m de  long</t>
  </si>
  <si>
    <t>https://cdn.scnbdx.fr/web-afresco/BOGAMET/MET_ARR_2021-BM0438.pdf</t>
  </si>
  <si>
    <t>2021-BM0111</t>
  </si>
  <si>
    <t>https://cdn.scnbdx.fr/web-afresco/BOGAMET/MET_ARR_2021-BM0111.pdf</t>
  </si>
  <si>
    <t>2021-BM0123</t>
  </si>
  <si>
    <t>Autorisation de déversement des eaux usées - SCCV LE CLOS D’ANTORTE</t>
  </si>
  <si>
    <t>https://cdn.scnbdx.fr/web-afresco/BOGAMET/MET_ARR_2021-BM0123.pdf</t>
  </si>
  <si>
    <t>2021-BM0440</t>
  </si>
  <si>
    <t>https://cdn.scnbdx.fr/web-afresco/BOGAMET/MET_ARR_2021-BM0440.pdf</t>
  </si>
  <si>
    <t>2021-BM0479</t>
  </si>
  <si>
    <t>circulation - Travaux avenue de l’ARGONNE, limite d’agglomération à l’avenue Roland GARROS- par les entreprises COLAS SUD OUEST, SIGNATURE, SECTRA, SATELEC et SOC.</t>
  </si>
  <si>
    <t>https://cdn.scnbdx.fr/web-afresco/BOGAMET/MET_ARR_2021-BM0479.pdf</t>
  </si>
  <si>
    <t>2021-BM0246</t>
  </si>
  <si>
    <t>https://cdn.scnbdx.fr/web-afresco/BOGAMET/MET_ARR_2021-BM0246.pdf</t>
  </si>
  <si>
    <t>2021-BM0251</t>
  </si>
  <si>
    <t>https://cdn.scnbdx.fr/web-afresco/BOGAMET/MET_ARR_2021-BM0251.pdf</t>
  </si>
  <si>
    <t>2021-BM0252</t>
  </si>
  <si>
    <t>https://cdn.scnbdx.fr/web-afresco/BOGAMET/MET_ARR_2021-BM0252.pdf</t>
  </si>
  <si>
    <t>2021-BM0255</t>
  </si>
  <si>
    <t>https://cdn.scnbdx.fr/web-afresco/BOGAMET/MET_ARR_2021-BM0255.pdf</t>
  </si>
  <si>
    <t>2021-BM0259</t>
  </si>
  <si>
    <t>Délégation de signature - Madame Charlotte Calmels</t>
  </si>
  <si>
    <t>https://cdn.scnbdx.fr/web-afresco/BOGAMET/MET_ARR_2021-BM0259.pdf</t>
  </si>
  <si>
    <t>2021-BM0260</t>
  </si>
  <si>
    <t>https://cdn.scnbdx.fr/web-afresco/BOGAMET/MET_ARR_2021-BM0260.pdf</t>
  </si>
  <si>
    <t>2021-BM0262</t>
  </si>
  <si>
    <t>Délégation de signature - Madame Stéphanie Jude</t>
  </si>
  <si>
    <t>https://cdn.scnbdx.fr/web-afresco/BOGAMET/MET_ARR_2021-BM0262.pdf</t>
  </si>
  <si>
    <t>2021-BM0407</t>
  </si>
  <si>
    <t>circulation - Travaux de pose de candélabres et d’éclairage public sur le boulevard  des Frères Moga, Quai de Brienne et Quai Wilson</t>
  </si>
  <si>
    <t>https://cdn.scnbdx.fr/web-afresco/BOGAMET/MET_ARR_2021-BM0407.pdf</t>
  </si>
  <si>
    <t>2021-BM0408</t>
  </si>
  <si>
    <t>circulation - Travaux de plantation liés aux aménagements de la tête de pont de  l’ouvrage d’art Simone Veil sur le boulevard des Frères Moga, le Quai de Brienne  et le Quai Wilson</t>
  </si>
  <si>
    <t>https://cdn.scnbdx.fr/web-afresco/BOGAMET/MET_ARR_2021-BM0408.pdf</t>
  </si>
  <si>
    <t>2021-BM0442</t>
  </si>
  <si>
    <t>Modification du budget 21 Centre de vaccination  - covid 19</t>
  </si>
  <si>
    <t>https://cdn.scnbdx.fr/web-afresco/BOGAMET/MET_ARR_2021-BM0442.pdf</t>
  </si>
  <si>
    <t>2021-BM0263</t>
  </si>
  <si>
    <t>Délégation de signature - Monsieur Jérôme Limouzin</t>
  </si>
  <si>
    <t>https://cdn.scnbdx.fr/web-afresco/BOGAMET/MET_ARR_2021-BM0263.pdf</t>
  </si>
  <si>
    <t>2021-BM0266</t>
  </si>
  <si>
    <t>Délégation de signature - Madame Nathalie Plénard</t>
  </si>
  <si>
    <t>https://cdn.scnbdx.fr/web-afresco/BOGAMET/MET_ARR_2021-BM0266.pdf</t>
  </si>
  <si>
    <t>2021-BM0307</t>
  </si>
  <si>
    <t>circulation - Travaux de réalisation des aménagements de la tête de pont de l’ouvrage Simone Veil et modification des sens de circulation sur l’ex A631 (voirie hors agglomération) à Bègles et sur le boulevard des Frères Moga (voirie hors agglomération) à Bordeaux.</t>
  </si>
  <si>
    <t>https://cdn.scnbdx.fr/web-afresco/BOGAMET/MET_ARR_2021-BM0307.pdf</t>
  </si>
  <si>
    <t>2021-BM0372</t>
  </si>
  <si>
    <t>Autorisation de déversement des eaux usées - Chaigneau</t>
  </si>
  <si>
    <t>https://cdn.scnbdx.fr/web-afresco/BOGAMET/MET_ARR_2021-BM0372.pdf</t>
  </si>
  <si>
    <t>2021-BM0493</t>
  </si>
  <si>
    <t>circulation - rue Marcel GRIRARD et D 213 pour la pose de 2 chambres TELECOM et de 3 fourreaux TELECOM FREE</t>
  </si>
  <si>
    <t>https://cdn.scnbdx.fr/web-afresco/BOGAMET/MET_ARR_2021-BM0493.pdf</t>
  </si>
  <si>
    <t>2021-BM0526</t>
  </si>
  <si>
    <t>circulation - Intervention dans une chambre sur chaussée pour tirage et raccordement de câbles de fibre optique pour l’alimentation d’une antenne gsm au 126 avenue Marcel Dassault</t>
  </si>
  <si>
    <t>https://cdn.scnbdx.fr/web-afresco/BOGAMET/MET_ARR_2021-BM0526.pdf</t>
  </si>
  <si>
    <t>2021-BM0566</t>
  </si>
  <si>
    <t>Arrêté métropolitain - Prolongation de la concession d’aménagement pour la requalification du centre historique</t>
  </si>
  <si>
    <t>https://cdn.scnbdx.fr/web-afresco/BOGAMET/MET_ARR_2021-BM0566.pdf</t>
  </si>
  <si>
    <t>2020-BM1554</t>
  </si>
  <si>
    <t>Autorisation de déversement des eaux usées - GT AZUR</t>
  </si>
  <si>
    <t>https://cdn.scnbdx.fr/web-afresco/BOGAMET/MET_ARR_2020-BM1554.pdf</t>
  </si>
  <si>
    <t>2020-BM1564</t>
  </si>
  <si>
    <t>https://cdn.scnbdx.fr/web-afresco/BOGAMET/MET_ARR_2020-BM1564.pdf</t>
  </si>
  <si>
    <t>2020-BM1565</t>
  </si>
  <si>
    <t>Autorisation de déversement des eaux usées - Eiffage construction Nord Aquitaine</t>
  </si>
  <si>
    <t>https://cdn.scnbdx.fr/web-afresco/BOGAMET/MET_ARR_2020-BM1565.pdf</t>
  </si>
  <si>
    <t>2020-BM1296</t>
  </si>
  <si>
    <t>circulation - Travaux de génie civil le long de la voi avenue Armand Beraud</t>
  </si>
  <si>
    <t>https://cdn.scnbdx.fr/web-afresco/BOGAMET/MET_ARR_2020-BM1296.pdf</t>
  </si>
  <si>
    <t>2020-BM1536</t>
  </si>
  <si>
    <t>circulation - Réparation digue Béton(repose existant/ reconstituions digue béton/ réalisation d’enrobé)</t>
  </si>
  <si>
    <t>https://cdn.scnbdx.fr/web-afresco/BOGAMET/MET_ARR_2020-BM1536.pdf</t>
  </si>
  <si>
    <t>2020-BM1537</t>
  </si>
  <si>
    <t>circulation - Réparation digue Béton (repose existant/ reconstituions digue béton/ réalisation d’enrobé)</t>
  </si>
  <si>
    <t>https://cdn.scnbdx.fr/web-afresco/BOGAMET/MET_ARR_2020-BM1537.pdf</t>
  </si>
  <si>
    <t>2020-BM1631</t>
  </si>
  <si>
    <t>déclassement - l’angle de la place du Cardinal Donnet et rue Lefol</t>
  </si>
  <si>
    <t>https://cdn.scnbdx.fr/web-afresco/BOGAMET/MET_ARR_2020-BM1631.pdf</t>
  </si>
  <si>
    <t>2020-BM1626</t>
  </si>
  <si>
    <t>https://cdn.scnbdx.fr/web-afresco/BOGAMET/MET_ARR_2020-BM1626.pdf</t>
  </si>
  <si>
    <t>2020-BM1642</t>
  </si>
  <si>
    <t>Déclassement - de la parcelle cadastrée 249AX49 et du château d'eau rue Rouquey</t>
  </si>
  <si>
    <t>https://cdn.scnbdx.fr/web-afresco/BOGAMET/MET_ARR_2020-BM1642.pdf</t>
  </si>
  <si>
    <t>2020-BM1098</t>
  </si>
  <si>
    <t>Autorisation de déversement des eaux usées - Villa Etchenique</t>
  </si>
  <si>
    <t>https://cdn.scnbdx.fr/web-afresco/BOGAMET/MET_ARR_2020-BM1098.pdf</t>
  </si>
  <si>
    <t>2020-BM1100</t>
  </si>
  <si>
    <t>Autorisation de déversement des eaux usées - APAVE</t>
  </si>
  <si>
    <t>https://cdn.scnbdx.fr/web-afresco/BOGAMET/MET_ARR_2020-BM1100.pdf</t>
  </si>
  <si>
    <t>2020-BM1628</t>
  </si>
  <si>
    <t>Autorisation de déversement des eaux usées - autres que domestiques "Piscine les Ecus" - 82 rue des Ecus</t>
  </si>
  <si>
    <t>https://cdn.scnbdx.fr/web-afresco/BOGAMET/MET_ARR_2020-BM1628.pdf</t>
  </si>
  <si>
    <t>2020-BM1656</t>
  </si>
  <si>
    <t>circulation - Travaux sur la commune du HAILLAN, rue de TOUBAN par l’entreprise CDR LACROIX.</t>
  </si>
  <si>
    <t>https://cdn.scnbdx.fr/web-afresco/BOGAMET/MET_ARR_2020-BM1656.pdf</t>
  </si>
  <si>
    <t>2021-BM0034</t>
  </si>
  <si>
    <t>Défense des intérêts de Bordeaux-Métropole - SA Orange</t>
  </si>
  <si>
    <t>https://cdn.scnbdx.fr/web-afresco/BOGAMET/MET_ARR_2021-BM0034.pdf</t>
  </si>
  <si>
    <t>2021-BM0102</t>
  </si>
  <si>
    <t>Désignation de jury - concours de maîtrise d'œuvre sur esquisse pour réhabilitation et extension musée de la création franche</t>
  </si>
  <si>
    <t>https://cdn.scnbdx.fr/web-afresco/BOGAMET/MET_ARR_2021-BM0102.pdf</t>
  </si>
  <si>
    <t>2021-BM0786</t>
  </si>
  <si>
    <t>circulation -  travaux réfection de  chaussée ECF</t>
  </si>
  <si>
    <t>https://cdn.scnbdx.fr/web-afresco/BOGAMET/MET_ARR_2021-BM0786.pdf</t>
  </si>
  <si>
    <t>2021-BM0768</t>
  </si>
  <si>
    <t>Délégation de signature - Monsieur Jean-Marc Pasquet</t>
  </si>
  <si>
    <t>https://cdn.scnbdx.fr/web-afresco/BOGAMET/MET_ARR_2021-BM0768.pdf</t>
  </si>
  <si>
    <t>2021-BM0826</t>
  </si>
  <si>
    <t>circulation -  Travaux de dérasement d’accotement sur la RD 113 entre le giratoire  interceptant la route de Jourdane et le giratoire interceptant l’avenue des  Industries (voirie hors agglomération)</t>
  </si>
  <si>
    <t>https://cdn.scnbdx.fr/web-afresco/BOGAMET/MET_ARR_2021-BM0826.pdf</t>
  </si>
  <si>
    <t>2021-BM0774</t>
  </si>
  <si>
    <t>Autorisation de déversement des eaux usées - SOLREM - Pompage eau de fond de fouille pour le chantier Lycée Kastler</t>
  </si>
  <si>
    <t>https://cdn.scnbdx.fr/web-afresco/BOGAMET/MET_ARR_2021-BM0774.pdf</t>
  </si>
  <si>
    <t>2021-BM0677</t>
  </si>
  <si>
    <t>Désignation de représentant - de l’Administration au Comité Technique</t>
  </si>
  <si>
    <t>https://cdn.scnbdx.fr/web-afresco/BOGAMET/MET_ARR_2021-BM0677.pdf</t>
  </si>
  <si>
    <t>2021-BM0791</t>
  </si>
  <si>
    <t>Défense des intérêts de Bordeaux-Métropole - Travaux d’amélioration en transport en commun sur la commune de Mérignac - Re-présentation des intérêts de Bordeaux Métropole devant la juridiction de l'expropriation dans le cadre de la procédure d'expropriation - SCI ESTOUR</t>
  </si>
  <si>
    <t>https://cdn.scnbdx.fr/web-afresco/BOGAMET/MET_ARR_2021-BM0791.pdf</t>
  </si>
  <si>
    <t>2021-BM0792</t>
  </si>
  <si>
    <t>Défense des intérêts de Bordeaux-Métropole - Travaux d’amélioration en transport en commun sur la commune de Mérignac - Re-présentation des intérêts de Bordeaux Métropole devant la juridiction de l'expropriation dans le cadre de la procédure d'expropriation - BPCE LEASE IMMO</t>
  </si>
  <si>
    <t>https://cdn.scnbdx.fr/web-afresco/BOGAMET/MET_ARR_2021-BM0792.pdf</t>
  </si>
  <si>
    <t>2021-BM0782</t>
  </si>
  <si>
    <t>Défense des intérêts de Bordeaux-Métropole - Recours pour excès de pouvoir à l’encontre d’une décision de refus d’intégration Hourcade</t>
  </si>
  <si>
    <t>https://cdn.scnbdx.fr/web-afresco/BOGAMET/MET_ARR_2021-BM0782.pdf</t>
  </si>
  <si>
    <t>2021-BM0830</t>
  </si>
  <si>
    <t>Déclassement - ouverture d’une enquête publique pour le déclassement de 1029 m² appartenant  au domaine public de Bordeaux Métropole - parcelles cadastrées BX 672 (307m²), BX  644 (143 m²) et BX 674 (579 m²)</t>
  </si>
  <si>
    <t>https://cdn.scnbdx.fr/web-afresco/BOGAMET/MET_ARR_2021-BM0830.pdf</t>
  </si>
  <si>
    <t>2021-BM0896</t>
  </si>
  <si>
    <t>circulation - organisation d'une course cycliste sur l'Allée du Bois, le boulevard Jacques  Chaban Delmas et l'avenue de Pernon (voirie hors agglomération)</t>
  </si>
  <si>
    <t>https://cdn.scnbdx.fr/web-afresco/BOGAMET/MET_ARR_2021-BM0896.pdf</t>
  </si>
  <si>
    <t>2021-BM0894</t>
  </si>
  <si>
    <t>circulation - Travaux avenue de BELLEVUE de la place DAUPHINE à la rue DAUPHINE-réfection de la structure de la chaussée et de la couche de roulement- par l’entreprise COLAS et ses sous-traitants</t>
  </si>
  <si>
    <t>https://cdn.scnbdx.fr/web-afresco/BOGAMET/MET_ARR_2021-BM0894.pdf</t>
  </si>
  <si>
    <t>2021-BM0842</t>
  </si>
  <si>
    <t>Délégation de signature - Monsieur Olivier Louis</t>
  </si>
  <si>
    <t>https://cdn.scnbdx.fr/web-afresco/BOGAMET/MET_ARR_2021-BM0842.pdf</t>
  </si>
  <si>
    <t>2021-BM0844</t>
  </si>
  <si>
    <t>Délégation de signature - Monsieur Cyril Lozano</t>
  </si>
  <si>
    <t>https://cdn.scnbdx.fr/web-afresco/BOGAMET/MET_ARR_2021-BM0844.pdf</t>
  </si>
  <si>
    <t>2021-BM0846</t>
  </si>
  <si>
    <t>https://cdn.scnbdx.fr/web-afresco/BOGAMET/MET_ARR_2021-BM0846.pdf</t>
  </si>
  <si>
    <t>2021-BM0848</t>
  </si>
  <si>
    <t>Délégation de signature - Madame Karine Mabillon (directrice pi)</t>
  </si>
  <si>
    <t>https://cdn.scnbdx.fr/web-afresco/BOGAMET/MET_ARR_2021-BM0848.pdf</t>
  </si>
  <si>
    <t>2021-BM0850</t>
  </si>
  <si>
    <t>https://cdn.scnbdx.fr/web-afresco/BOGAMET/MET_ARR_2021-BM0850.pdf</t>
  </si>
  <si>
    <t>2021-BM0853</t>
  </si>
  <si>
    <t>Délégation de signature - Arrêtés d'autorisation d'exécution de travaux sur voirie routière</t>
  </si>
  <si>
    <t>https://cdn.scnbdx.fr/web-afresco/BOGAMET/MET_ARR_2021-BM0853.pdf</t>
  </si>
  <si>
    <t>2021-BM0854</t>
  </si>
  <si>
    <t>https://cdn.scnbdx.fr/web-afresco/BOGAMET/MET_ARR_2021-BM0854.pdf</t>
  </si>
  <si>
    <t>2021-BM0874</t>
  </si>
  <si>
    <t>Délégation de signature - Madame Magalie SABBAH (ADG)</t>
  </si>
  <si>
    <t>https://cdn.scnbdx.fr/web-afresco/BOGAMET/MET_ARR_2021-BM0874.pdf</t>
  </si>
  <si>
    <t>2021-BM0899</t>
  </si>
  <si>
    <t>Autorisation d’occupation temporaire – AOT - Construction d’une dalle de répartition pour construction d’un immeuble - Bordeaux face parkings silos rue François Lévêque</t>
  </si>
  <si>
    <t>https://cdn.scnbdx.fr/web-afresco/BOGAMET/MET_ARR_2021-BM0899.pdf</t>
  </si>
  <si>
    <t>2021-BM0902</t>
  </si>
  <si>
    <t>Autorisation d’occupation temporaire – AOT - Construction d'une dalle de répartition 17 place Charles Gruet</t>
  </si>
  <si>
    <t>https://cdn.scnbdx.fr/web-afresco/BOGAMET/MET_ARR_2021-BM0902.pdf</t>
  </si>
  <si>
    <t>2021-BM1385</t>
  </si>
  <si>
    <t>fermeture de concertation - aménagement de la route de Toulouse en faveur des modes actifs et des transports en commun entre les boulevards et la rue Alexis Labro et création d'une voie nouvelle dans le quartier des Deux Esteys</t>
  </si>
  <si>
    <t>https://cdn.scnbdx.fr/web-afresco/BOGAMET/MET_ARR_2021-BM1385.pdf</t>
  </si>
  <si>
    <t>2021-BM0923</t>
  </si>
  <si>
    <t>circulation - Travaux avenue de l’ARGONNE dans sa portion comprise entre le panneau de sortie d’agglomération et le giratoire avec l’avenue de Garros-détection et géoréférencement des réseaux- par l’entreprise GEOSAT</t>
  </si>
  <si>
    <t>https://cdn.scnbdx.fr/web-afresco/BOGAMET/MET_ARR_2021-BM0923.pdf</t>
  </si>
  <si>
    <t>2021-BM0967</t>
  </si>
  <si>
    <t>circulation - travaux d'aménagement et de création d'un giratoire route de Louens (RD211)</t>
  </si>
  <si>
    <t>https://cdn.scnbdx.fr/web-afresco/BOGAMET/MET_ARR_2021-BM0967.pdf</t>
  </si>
  <si>
    <t>2021-BM0956</t>
  </si>
  <si>
    <t>circulation - travaux de nuit pour la création d'un giratoire, route de Louens (RD211)</t>
  </si>
  <si>
    <t>https://cdn.scnbdx.fr/web-afresco/BOGAMET/MET_ARR_2021-BM0956.pdf</t>
  </si>
  <si>
    <t>2021-BM0961</t>
  </si>
  <si>
    <t>circulation - Travaux de réalisation de mur de soutènement à l’entrée / sortie de la  Trémie, pose de mats d’éclairage public et de réalisation des fosses de plantation d’îlots entre le Quai Wilson et l’A631 dans le sens sortant, sur la A631</t>
  </si>
  <si>
    <t>https://cdn.scnbdx.fr/web-afresco/BOGAMET/MET_ARR_2021-BM0961.pdf</t>
  </si>
  <si>
    <t>2021-BM1347</t>
  </si>
  <si>
    <t>Autorisation d’intégration des ouvrages d'assainissement - Lotissement « LES CHARTREUSES »</t>
  </si>
  <si>
    <t>https://cdn.scnbdx.fr/web-afresco/BOGAMET/MET_ARR_2021-BM1347.pdf</t>
  </si>
  <si>
    <t>2021-BM0980</t>
  </si>
  <si>
    <t>Déclassement - ouvrages d’assainissement du domaine public vers le domaine privé des réseaux situés place Ravezies au Bouscat</t>
  </si>
  <si>
    <t>https://cdn.scnbdx.fr/web-afresco/BOGAMET/MET_ARR_2021-BM0980.pdf</t>
  </si>
  <si>
    <t>2021-BM1226</t>
  </si>
  <si>
    <t>Autorisation de déversement des eaux usées - SOLREM, Darwin Eco Système</t>
  </si>
  <si>
    <t>https://cdn.scnbdx.fr/web-afresco/BOGAMET/MET_ARR_2021-BM1226.pdf</t>
  </si>
  <si>
    <t>2021-BM1258</t>
  </si>
  <si>
    <t>Autorisation de déversement des eaux usées - SAS VIGIER TERRASSEMENT</t>
  </si>
  <si>
    <t>https://cdn.scnbdx.fr/web-afresco/BOGAMET/MET_ARR_2021-BM1258.pdf</t>
  </si>
  <si>
    <t>2021-BM0766</t>
  </si>
  <si>
    <t>ouverture concertation - requalification des avenues de Mazeau, Touban et Pagnot</t>
  </si>
  <si>
    <t>https://cdn.scnbdx.fr/web-afresco/BOGAMET/MET_ARR_2021-BM0766.pdf</t>
  </si>
  <si>
    <t>2021-BM1115</t>
  </si>
  <si>
    <t>Autorisation d’occupation temporaire – AOT - 21, 23, 25, 27 rue Ferbos</t>
  </si>
  <si>
    <t>https://cdn.scnbdx.fr/web-afresco/BOGAMET/MET_ARR_2021-BM1115.pdf</t>
  </si>
  <si>
    <t>2021-BM1099</t>
  </si>
  <si>
    <t>Approbation du plan modificatif d'alignement d'une voie - rue de Lacanau</t>
  </si>
  <si>
    <t>https://cdn.scnbdx.fr/web-afresco/BOGAMET/MET_ARR_2021-BM1099.pdf</t>
  </si>
  <si>
    <t>2021-BM1113</t>
  </si>
  <si>
    <t>Approbation du plan modificatif d'alignement d'une voie - rue Marcelin Berthelot</t>
  </si>
  <si>
    <t>https://cdn.scnbdx.fr/web-afresco/BOGAMET/MET_ARR_2021-BM1113.pdf</t>
  </si>
  <si>
    <t>2021-BM1121</t>
  </si>
  <si>
    <t>Approbation du plan modificatif d'alignement d'une voie - Rue Catros Gérand</t>
  </si>
  <si>
    <t>https://cdn.scnbdx.fr/web-afresco/BOGAMET/MET_ARR_2021-BM1121.pdf</t>
  </si>
  <si>
    <t>2021-BM0594</t>
  </si>
  <si>
    <t>circulation - Travaux de pose de collecteur eaux usées sur l’avenue du 11 novembre, liaison Cantinolle / Lille Lot 1</t>
  </si>
  <si>
    <t>https://cdn.scnbdx.fr/web-afresco/BOGAMET/MET_ARR_2021-BM0594.pdf</t>
  </si>
  <si>
    <t>2021-BM1134</t>
  </si>
  <si>
    <t>Autorisation d’occupation temporaire – AOT - station essence "ESSO EXPRESS ALOUETTE"</t>
  </si>
  <si>
    <t>https://cdn.scnbdx.fr/web-afresco/BOGAMET/MET_ARR_2021-BM1134.pdf</t>
  </si>
  <si>
    <t>2021-BM0642</t>
  </si>
  <si>
    <t>Transaction attribuant une indemnité suite à un préjudice commercial - SAS ERIC AFFLELOU pour son établissement  « AFFLELOU »</t>
  </si>
  <si>
    <t>https://cdn.scnbdx.fr/web-afresco/BOGAMET/MET_ARR_2021-BM0642.pdf</t>
  </si>
  <si>
    <t>2021-BM0646</t>
  </si>
  <si>
    <t>Transaction attribuant une indemnité suite à un préjudice commercial - SARL LE NOUVEL, pour son établissement « TOUT POUR LA CHAUSSURE »</t>
  </si>
  <si>
    <t>https://cdn.scnbdx.fr/web-afresco/BOGAMET/MET_ARR_2021-BM0646.pdf</t>
  </si>
  <si>
    <t>2021-BM0630</t>
  </si>
  <si>
    <t>https://cdn.scnbdx.fr/web-afresco/BOGAMET/MET_ARR_2021-BM0630.pdf</t>
  </si>
  <si>
    <t>2021-BM0631</t>
  </si>
  <si>
    <t>Délégation de signature - Madame Virginie Bache-Gabrielsen</t>
  </si>
  <si>
    <t>https://cdn.scnbdx.fr/web-afresco/BOGAMET/MET_ARR_2021-BM0631.pdf</t>
  </si>
  <si>
    <t>2021-BM0633</t>
  </si>
  <si>
    <t>Délégation de signature - Madame Stéphanie Jude - ADG par intérim</t>
  </si>
  <si>
    <t>https://cdn.scnbdx.fr/web-afresco/BOGAMET/MET_ARR_2021-BM0633.pdf</t>
  </si>
  <si>
    <t>2021-BM0635</t>
  </si>
  <si>
    <t>Délégation de signature - Monsieur Laurent Lemaître</t>
  </si>
  <si>
    <t>https://cdn.scnbdx.fr/web-afresco/BOGAMET/MET_ARR_2021-BM0635.pdf</t>
  </si>
  <si>
    <t>2021-BM0641</t>
  </si>
  <si>
    <t>Délégation de signature - Arrêtés de circulation et de stationnement sur les voirie hors agglo</t>
  </si>
  <si>
    <t>https://cdn.scnbdx.fr/web-afresco/BOGAMET/MET_ARR_2021-BM0641.pdf</t>
  </si>
  <si>
    <t>2021-BM0984</t>
  </si>
  <si>
    <t>circulation - travaux visite et expertise du Viaduc maçonné avec nacelle araignée - RD10 AVENUE Paul Princeteau</t>
  </si>
  <si>
    <t>https://cdn.scnbdx.fr/web-afresco/BOGAMET/MET_ARR_2021-BM0984.pdf</t>
  </si>
  <si>
    <t>2021-BM1011</t>
  </si>
  <si>
    <t>circulation - travaux mise en place sur le bas-côté de la route groupe de soudure autonome société LRTI - RD10 Fort Lajard</t>
  </si>
  <si>
    <t>https://cdn.scnbdx.fr/web-afresco/BOGAMET/MET_ARR_2021-BM1011.pdf</t>
  </si>
  <si>
    <t>2021-BM1023</t>
  </si>
  <si>
    <t>Arrêté métropolitain - Procédure de modification et abrogation de plans d’alignement à Bordeaux - «Campagne» de mise à jour 2021 - Versement de l’indemnité accordée à la Commissaire Enquêtrice pour la conduite de l’enquête publique</t>
  </si>
  <si>
    <t>https://cdn.scnbdx.fr/web-afresco/BOGAMET/MET_ARR_2021-BM1023.pdf</t>
  </si>
  <si>
    <t>2021-BM0993</t>
  </si>
  <si>
    <t>Délégation de signature - Monsieur Jean-Noël Olivier (ADG)</t>
  </si>
  <si>
    <t>https://cdn.scnbdx.fr/web-afresco/BOGAMET/MET_ARR_2021-BM0993.pdf</t>
  </si>
  <si>
    <t>2021-BM0994</t>
  </si>
  <si>
    <t>Délégation de signature - Monsieur Serge Monier</t>
  </si>
  <si>
    <t>https://cdn.scnbdx.fr/web-afresco/BOGAMET/MET_ARR_2021-BM0994.pdf</t>
  </si>
  <si>
    <t>2021-BM0998</t>
  </si>
  <si>
    <t>Délégation de signature - Monsieur Fabrice Limare</t>
  </si>
  <si>
    <t>https://cdn.scnbdx.fr/web-afresco/BOGAMET/MET_ARR_2021-BM0998.pdf</t>
  </si>
  <si>
    <t>2021-BM1000</t>
  </si>
  <si>
    <t>https://cdn.scnbdx.fr/web-afresco/BOGAMET/MET_ARR_2021-BM1000.pdf</t>
  </si>
  <si>
    <t>2021-BM1001</t>
  </si>
  <si>
    <t>Délégation de signature - Madame Valérie Saberan</t>
  </si>
  <si>
    <t>https://cdn.scnbdx.fr/web-afresco/BOGAMET/MET_ARR_2021-BM1001.pdf</t>
  </si>
  <si>
    <t>2021-BM1002</t>
  </si>
  <si>
    <t>Délégation de signature - Madame Sylvie Lunven-Geay (ADG)</t>
  </si>
  <si>
    <t>https://cdn.scnbdx.fr/web-afresco/BOGAMET/MET_ARR_2021-BM1002.pdf</t>
  </si>
  <si>
    <t>2021-BM1007</t>
  </si>
  <si>
    <t>https://cdn.scnbdx.fr/web-afresco/BOGAMET/MET_ARR_2021-BM1007.pdf</t>
  </si>
  <si>
    <t>2021-BM1148</t>
  </si>
  <si>
    <t>approbation cahier des charges - terrains de l’îlot B047 de la ZAC Bastide Niel</t>
  </si>
  <si>
    <t>https://cdn.scnbdx.fr/web-afresco/BOGAMET/MET_ARR_2021-BM1148.pdf</t>
  </si>
  <si>
    <t>2021-BM1229</t>
  </si>
  <si>
    <t>circulation - Travaux de réparation de conduite sous chaussée au niveau du  numéro 107 de l’avenue Marcel Dassault (voirie hors agglomération)</t>
  </si>
  <si>
    <t>https://cdn.scnbdx.fr/web-afresco/BOGAMET/MET_ARR_2021-BM1229.pdf</t>
  </si>
  <si>
    <t>2021-BM1072</t>
  </si>
  <si>
    <t>Délégation de signature - Madame Karine GESSNER (PTB)</t>
  </si>
  <si>
    <t>https://cdn.scnbdx.fr/web-afresco/BOGAMET/MET_ARR_2021-BM1072.pdf</t>
  </si>
  <si>
    <t>2021-BM1236</t>
  </si>
  <si>
    <t>Délégation de signature - Monsieur Bertrand Bouchaudy</t>
  </si>
  <si>
    <t>https://cdn.scnbdx.fr/web-afresco/BOGAMET/MET_ARR_2021-BM1236.pdf</t>
  </si>
  <si>
    <t>2021-BM1240</t>
  </si>
  <si>
    <t>Délégation de signature - Avis en matière d'urbanisme et arrêtés d'alignement</t>
  </si>
  <si>
    <t>https://cdn.scnbdx.fr/web-afresco/BOGAMET/MET_ARR_2021-BM1240.pdf</t>
  </si>
  <si>
    <t>2021-BM1285</t>
  </si>
  <si>
    <t>circulation - Route fort Lajard appontement 512</t>
  </si>
  <si>
    <t>https://cdn.scnbdx.fr/web-afresco/BOGAMET/MET_ARR_2021-BM1285.pdf</t>
  </si>
  <si>
    <t>2021-BM1096</t>
  </si>
  <si>
    <t>https://cdn.scnbdx.fr/web-afresco/BOGAMET/MET_ARR_2021-BM1096.pdf</t>
  </si>
  <si>
    <t>2021-BM0776</t>
  </si>
  <si>
    <t>circulation - Travaux sur la commune de Mérignac- 100 avenue de l’ARGONNE- réfection en enrobé et reprise de la signalisation au sol- par l’entreprise LES CHEMINS GIRONDINS pour ENEDIS.</t>
  </si>
  <si>
    <t>https://cdn.scnbdx.fr/web-afresco/BOGAMET/MET_ARR_2021-BM0776.pdf</t>
  </si>
  <si>
    <t>2021-BM1415</t>
  </si>
  <si>
    <t>Défense des intérêts de Bordeaux-Métropole - Compensation financière en contrepartie des jours inscrits dans le compte-épargne temps.</t>
  </si>
  <si>
    <t>https://cdn.scnbdx.fr/web-afresco/BOGAMET/MET_ARR_2021-BM1415.pdf</t>
  </si>
  <si>
    <t>2021-BM0835</t>
  </si>
  <si>
    <t>circulation - Vitesse limitée à 50 km/h et véhicules de plus de 7,5 t afférents à la manifestation seront autorisés à circuler- salon militaire camp de Souge</t>
  </si>
  <si>
    <t>https://cdn.scnbdx.fr/web-afresco/BOGAMET/MET_ARR_2021-BM0835.pdf</t>
  </si>
  <si>
    <t>2021-BM0808</t>
  </si>
  <si>
    <t>déclassement - rue André Dupin et la rue Victor Hugo</t>
  </si>
  <si>
    <t>https://cdn.scnbdx.fr/web-afresco/BOGAMET/MET_ARR_2021-BM0808.pdf</t>
  </si>
  <si>
    <t>2021-BM0811</t>
  </si>
  <si>
    <t>déclassement - rue Frédérico Garcia Lorca</t>
  </si>
  <si>
    <t>https://cdn.scnbdx.fr/web-afresco/BOGAMET/MET_ARR_2021-BM0811.pdf</t>
  </si>
  <si>
    <t>2021-BM0858</t>
  </si>
  <si>
    <t>Autorisation de déversement des eaux usées - Pompage des caveaux du cimetière Saint Bris situé rue Dubos</t>
  </si>
  <si>
    <t>https://cdn.scnbdx.fr/web-afresco/BOGAMET/MET_ARR_2021-BM0858.pdf</t>
  </si>
  <si>
    <t>2021-BM1077</t>
  </si>
  <si>
    <t>Délégation de signature - Madame Laure DORIGNAC</t>
  </si>
  <si>
    <t>https://cdn.scnbdx.fr/web-afresco/BOGAMET/MET_ARR_2021-BM1077.pdf</t>
  </si>
  <si>
    <t>2021-BM1078</t>
  </si>
  <si>
    <t>Délégation de signature - Monsieur Vincent LESCAILLEZ (DG)</t>
  </si>
  <si>
    <t>https://cdn.scnbdx.fr/web-afresco/BOGAMET/MET_ARR_2021-BM1078.pdf</t>
  </si>
  <si>
    <t>2021-BM1081</t>
  </si>
  <si>
    <t>https://cdn.scnbdx.fr/web-afresco/BOGAMET/MET_ARR_2021-BM1081.pdf</t>
  </si>
  <si>
    <t>2021-BM1089</t>
  </si>
  <si>
    <t>https://cdn.scnbdx.fr/web-afresco/BOGAMET/MET_ARR_2021-BM1089.pdf</t>
  </si>
  <si>
    <t>2021-BM1090</t>
  </si>
  <si>
    <t>Délégation de signature - Monsieur Thierry LEJAY (courrier)</t>
  </si>
  <si>
    <t>https://cdn.scnbdx.fr/web-afresco/BOGAMET/MET_ARR_2021-BM1090.pdf</t>
  </si>
  <si>
    <t>2021-BM1094</t>
  </si>
  <si>
    <t>Désignation de représentant - Représentants COSUI DSP Transports</t>
  </si>
  <si>
    <t>https://cdn.scnbdx.fr/web-afresco/BOGAMET/MET_ARR_2021-BM1094.pdf</t>
  </si>
  <si>
    <t>2021-BM1372</t>
  </si>
  <si>
    <t>Délégation de signature - Monsieur Jean-Noël Olivier - DG</t>
  </si>
  <si>
    <t>https://cdn.scnbdx.fr/web-afresco/BOGAMET/MET_ARR_2021-BM1372.pdf</t>
  </si>
  <si>
    <t>2021-BM1376</t>
  </si>
  <si>
    <t>Délégation de signature - Monsieur Jean-Pierre Sabatier</t>
  </si>
  <si>
    <t>https://cdn.scnbdx.fr/web-afresco/BOGAMET/MET_ARR_2021-BM1376.pdf</t>
  </si>
  <si>
    <t>2021-BM1379</t>
  </si>
  <si>
    <t>Délégation de signature - Madame Cécile Lagarde</t>
  </si>
  <si>
    <t>https://cdn.scnbdx.fr/web-afresco/BOGAMET/MET_ARR_2021-BM1379.pdf</t>
  </si>
  <si>
    <t>2021-BM1381</t>
  </si>
  <si>
    <t>Délégation de signature - Monsieur Jean-Noël Olivier - ADG pi</t>
  </si>
  <si>
    <t>https://cdn.scnbdx.fr/web-afresco/BOGAMET/MET_ARR_2021-BM1381.pdf</t>
  </si>
  <si>
    <t>2021-BM1295</t>
  </si>
  <si>
    <t>https://cdn.scnbdx.fr/web-afresco/BOGAMET/MET_ARR_2021-BM1295.pdf</t>
  </si>
  <si>
    <t>2021-BM1296</t>
  </si>
  <si>
    <t>Délégation de signature - Monsieur Nicolas Cros</t>
  </si>
  <si>
    <t>https://cdn.scnbdx.fr/web-afresco/BOGAMET/MET_ARR_2021-BM1296.pdf</t>
  </si>
  <si>
    <t>2021-BM1298</t>
  </si>
  <si>
    <t>Délégation de signature - Madame Astrid Bideault-Le Bret</t>
  </si>
  <si>
    <t>https://cdn.scnbdx.fr/web-afresco/BOGAMET/MET_ARR_2021-BM1298.pdf</t>
  </si>
  <si>
    <t>2021-BM1299</t>
  </si>
  <si>
    <t>https://cdn.scnbdx.fr/web-afresco/BOGAMET/MET_ARR_2021-BM1299.pdf</t>
  </si>
  <si>
    <t>2021-BM1301</t>
  </si>
  <si>
    <t>https://cdn.scnbdx.fr/web-afresco/BOGAMET/MET_ARR_2021-BM1301.pdf</t>
  </si>
  <si>
    <t>2021-BM1302</t>
  </si>
  <si>
    <t>https://cdn.scnbdx.fr/web-afresco/BOGAMET/MET_ARR_2021-BM1302.pdf</t>
  </si>
  <si>
    <t>2021-BM1447</t>
  </si>
  <si>
    <t>Délégation du droit de préemption - 5 rue Dudon Lot 1</t>
  </si>
  <si>
    <t>https://cdn.scnbdx.fr/web-afresco/BOGAMET/MET_ARR_2021-BM1447.pdf</t>
  </si>
  <si>
    <t>2021-BM1315</t>
  </si>
  <si>
    <t>convention - Convention d'occupation temporaire du domaine public en vue de la réalisation et de l'exploitation d'un local télécom et pose de murs coupe-feu</t>
  </si>
  <si>
    <t>https://cdn.scnbdx.fr/web-afresco/BOGAMET/MET_ARR_2021-BM1315.pdf</t>
  </si>
  <si>
    <t>2021-BM1391</t>
  </si>
  <si>
    <t>Autorisation de déversement des eaux usées - Dubreuilh</t>
  </si>
  <si>
    <t>https://cdn.scnbdx.fr/web-afresco/BOGAMET/MET_ARR_2021-BM1391.pdf</t>
  </si>
  <si>
    <t>2021-BM1425</t>
  </si>
  <si>
    <t>https://cdn.scnbdx.fr/web-afresco/BOGAMET/MET_ARR_2021-BM1425.pdf</t>
  </si>
  <si>
    <t>2021-BM1335</t>
  </si>
  <si>
    <t>Autorisation d’occupation temporaire – AOT - rue Thiac angle rue abbé de l'Epée</t>
  </si>
  <si>
    <t>https://cdn.scnbdx.fr/web-afresco/BOGAMET/MET_ARR_2021-BM1335.pdf</t>
  </si>
  <si>
    <t>2021-BM1337</t>
  </si>
  <si>
    <t>Autorisation d’occupation temporaire – AOT - allée Vercingétorix angle place des martyrs de la résistance</t>
  </si>
  <si>
    <t>https://cdn.scnbdx.fr/web-afresco/BOGAMET/MET_ARR_2021-BM1337.pdf</t>
  </si>
  <si>
    <t>2021-BM1172</t>
  </si>
  <si>
    <t>Défense des intérêts de Bordeaux-Métropole - Lancement d’un marché de représentation en justice – Recours pour excès de pouvoir à l’encontre d’une décision de refus d’intégration – Dossier n° 2100877</t>
  </si>
  <si>
    <t>https://cdn.scnbdx.fr/web-afresco/BOGAMET/MET_ARR_2021-BM1172.pdf</t>
  </si>
  <si>
    <t>2021-BM1173</t>
  </si>
  <si>
    <t>Défense des intérêts de Bordeaux-Métropole - Défense des intérêts de Bordeaux dans un dossier contentieux – Lancement d’un marché de représentation en justice - Appel du jugement du 6 octobre 2020 par lequel le Tribunal administratif de Bordeaux a rejeté la demande d’annulation de la décision du 14 septembre 2018 portant rejet d'imputabilité au service de l'accident dont a été victime l’époux de Madame X</t>
  </si>
  <si>
    <t>https://cdn.scnbdx.fr/web-afresco/BOGAMET/MET_ARR_2021-BM1173.pdf</t>
  </si>
  <si>
    <t>2021-BM1338</t>
  </si>
  <si>
    <t>concertation - Ouverture de la concertation Lormont Quai Carriet</t>
  </si>
  <si>
    <t>https://cdn.scnbdx.fr/web-afresco/BOGAMET/MET_ARR_2021-BM1338.pdf</t>
  </si>
  <si>
    <t>2021-BM1191</t>
  </si>
  <si>
    <t>circulation Voirie hors agglomération - Travaux de VRD rue M. Dassault n° 75 et 77 - giratoire Thalès - voirie hors agglomération</t>
  </si>
  <si>
    <t>https://cdn.scnbdx.fr/web-afresco/BOGAMET/MET_ARR_2021-BM1191.pdf</t>
  </si>
  <si>
    <t>2021-BM1144</t>
  </si>
  <si>
    <t>circulation - de plantation et remplacement de poteaux FTTH 31 au 61 avenue de BELLEVUE</t>
  </si>
  <si>
    <t>https://cdn.scnbdx.fr/web-afresco/BOGAMET/MET_ARR_2021-BM1144.pdf</t>
  </si>
  <si>
    <t>2021-BM1145</t>
  </si>
  <si>
    <t>circulation - plantation et remplacement de poteaux FTTH 65 et 65b avenue de BELLEVUE et passe BELLEVUE</t>
  </si>
  <si>
    <t>https://cdn.scnbdx.fr/web-afresco/BOGAMET/MET_ARR_2021-BM1145.pdf</t>
  </si>
  <si>
    <t>2021-BM1056</t>
  </si>
  <si>
    <t>circulation - travaux de curage de fossés rue Armant Beraud</t>
  </si>
  <si>
    <t>https://cdn.scnbdx.fr/web-afresco/BOGAMET/MET_ARR_2021-BM1056.pdf</t>
  </si>
  <si>
    <t>2021-BM1176</t>
  </si>
  <si>
    <t>Autorisation de déversement des eaux usées - de TELSTAR,BOURRAN AVAL 1 rue Alfred de Musset, dans le réseau public de collecte des eaux pluviales de Bordeaux Métropole, vers la station d’épuration de Louis Fargue, via le poste de relèvement de Naujac Caudéran EU</t>
  </si>
  <si>
    <t>https://cdn.scnbdx.fr/web-afresco/BOGAMET/MET_ARR_2021-BM1176.pdf</t>
  </si>
  <si>
    <t>2021-BM1196</t>
  </si>
  <si>
    <t>Défense des intérêts de Bordeaux-Métropole - Aménagement des chemins de Bébian et de Cante perdrix</t>
  </si>
  <si>
    <t>https://cdn.scnbdx.fr/web-afresco/BOGAMET/MET_ARR_2021-BM1196.pdf</t>
  </si>
  <si>
    <t>2021-BM1244</t>
  </si>
  <si>
    <t>circulation -  Travaux d’aménagement d’un regard de visite,</t>
  </si>
  <si>
    <t>https://cdn.scnbdx.fr/web-afresco/BOGAMET/MET_ARR_2021-BM1244.pdf</t>
  </si>
  <si>
    <t>2021-BM1248</t>
  </si>
  <si>
    <t>https://cdn.scnbdx.fr/web-afresco/BOGAMET/MET_ARR_2021-BM1248.pdf</t>
  </si>
  <si>
    <t>2021-BM1250</t>
  </si>
  <si>
    <t>circulation -  travaux création du  réseau d’eaux pluviales au droit de la zone industrielle du bec d’Ambes</t>
  </si>
  <si>
    <t>https://cdn.scnbdx.fr/web-afresco/BOGAMET/MET_ARR_2021-BM1250.pdf</t>
  </si>
  <si>
    <t>2021-BM1342</t>
  </si>
  <si>
    <t>circulation -  travaux remplacement et implantation de poteaux télécom. Avenue  Armand Béraud</t>
  </si>
  <si>
    <t>https://cdn.scnbdx.fr/web-afresco/BOGAMET/MET_ARR_2021-BM1342.pdf</t>
  </si>
  <si>
    <t>2021-BM1349</t>
  </si>
  <si>
    <t>circulation -  rue Pierre  Merigon</t>
  </si>
  <si>
    <t>https://cdn.scnbdx.fr/web-afresco/BOGAMET/MET_ARR_2021-BM1349.pdf</t>
  </si>
  <si>
    <t>2021-BM1355</t>
  </si>
  <si>
    <t>désignation de membres - COSUI DSP transports</t>
  </si>
  <si>
    <t>https://cdn.scnbdx.fr/web-afresco/BOGAMET/MET_ARR_2021-BM1355.pdf</t>
  </si>
  <si>
    <t>2021-BM1199</t>
  </si>
  <si>
    <t>Défense des intérêts de Bordeaux-Métropole - Contentieux Stuppa - 9 modification du PLU</t>
  </si>
  <si>
    <t>https://cdn.scnbdx.fr/web-afresco/BOGAMET/MET_ARR_2021-BM1199.pdf</t>
  </si>
  <si>
    <t>2021-BM1305</t>
  </si>
  <si>
    <t>https://cdn.scnbdx.fr/web-afresco/BOGAMET/MET_ARR_2021-BM1305.pdf</t>
  </si>
  <si>
    <t>2021-BM1357</t>
  </si>
  <si>
    <t>Délégation de signature - Monsieur Michel Vayssié - DGS</t>
  </si>
  <si>
    <t>https://cdn.scnbdx.fr/web-afresco/BOGAMET/MET_ARR_2021-BM1357.pdf</t>
  </si>
  <si>
    <t>2021-BM1359</t>
  </si>
  <si>
    <t>Délégation de signature - Monsiueur André Lafarie</t>
  </si>
  <si>
    <t>https://cdn.scnbdx.fr/web-afresco/BOGAMET/MET_ARR_2021-BM1359.pdf</t>
  </si>
  <si>
    <t>2021-BM1360</t>
  </si>
  <si>
    <t>Délégation de signature - Monsieur Stéphane Caze - ADG</t>
  </si>
  <si>
    <t>https://cdn.scnbdx.fr/web-afresco/BOGAMET/MET_ARR_2021-BM1360.pdf</t>
  </si>
  <si>
    <t>2021-BM1362</t>
  </si>
  <si>
    <t>Délégation de signature - Monsieur Stéphane Caze pi</t>
  </si>
  <si>
    <t>https://cdn.scnbdx.fr/web-afresco/BOGAMET/MET_ARR_2021-BM1362.pdf</t>
  </si>
  <si>
    <t>2021-BM1368</t>
  </si>
  <si>
    <t>https://cdn.scnbdx.fr/web-afresco/BOGAMET/MET_ARR_2021-BM1368.pdf</t>
  </si>
  <si>
    <t>2021-BM1371</t>
  </si>
  <si>
    <t>https://cdn.scnbdx.fr/web-afresco/BOGAMET/MET_ARR_2021-BM1371.pdf</t>
  </si>
  <si>
    <t>2021-BM1431</t>
  </si>
  <si>
    <t>classement - voies Pierre-Georges Latecoere et Vert Castel du lotissement Vert Castel</t>
  </si>
  <si>
    <t>https://cdn.scnbdx.fr/web-afresco/BOGAMET/MET_ARR_2021-BM1431.pdf</t>
  </si>
  <si>
    <t>2021-BM0673</t>
  </si>
  <si>
    <t>Autorisation d’occupation temporaire – AOT - construction d’un immeuble en bordure de domaine public 4 rue Henri Guillemin</t>
  </si>
  <si>
    <t>https://cdn.scnbdx.fr/web-afresco/BOGAMET/MET_ARR_2021-BM0673.pdf</t>
  </si>
  <si>
    <t>2021-BM0753</t>
  </si>
  <si>
    <t>Autorisation de déversement des eaux usées - ETCHART CONSTRUCTION dans le réseau d’assainissement public d’eaux unitaire de Bordeaux Métropole vers la station d’épuration de Clos de HILDE</t>
  </si>
  <si>
    <t>https://cdn.scnbdx.fr/web-afresco/BOGAMET/MET_ARR_2021-BM0753.pdf</t>
  </si>
  <si>
    <t>2021-BM0754</t>
  </si>
  <si>
    <t>Autorisation de déversement des eaux usées - Etablissement MESOLIA HABITAT dans le réseau d’assainissement public unitaire de Bordeaux Métropole vers LA STEP LOUIS FARGUE</t>
  </si>
  <si>
    <t>https://cdn.scnbdx.fr/web-afresco/BOGAMET/MET_ARR_2021-BM0754.pdf</t>
  </si>
  <si>
    <t>2021-BM0651</t>
  </si>
  <si>
    <t>https://cdn.scnbdx.fr/web-afresco/BOGAMET/MET_ARR_2021-BM0651.pdf</t>
  </si>
  <si>
    <t>2021-BM0652</t>
  </si>
  <si>
    <t>Autorisation de déversement des eaux usées - SCCV 70 MIRIEU DE LABARRE</t>
  </si>
  <si>
    <t>https://cdn.scnbdx.fr/web-afresco/BOGAMET/MET_ARR_2021-BM0652.pdf</t>
  </si>
  <si>
    <t>2021-BM0658</t>
  </si>
  <si>
    <t>https://cdn.scnbdx.fr/web-afresco/BOGAMET/MET_ARR_2021-BM0658.pdf</t>
  </si>
  <si>
    <t>2021-BM0666</t>
  </si>
  <si>
    <t>circulation - travaux d’hydrocurage réseau assainissement, avenue de l’ARGONNE</t>
  </si>
  <si>
    <t>https://cdn.scnbdx.fr/web-afresco/BOGAMET/MET_ARR_2021-BM0666.pdf</t>
  </si>
  <si>
    <t>2021-BM0924</t>
  </si>
  <si>
    <t>Autorisation de déversement des eaux usées - de l’Etablissement NORD EST TP CANALISATIONS dans le réseau public d’eaux pluviales de Bordeaux Métropole vers le Milieu Naturel</t>
  </si>
  <si>
    <t>https://cdn.scnbdx.fr/web-afresco/BOGAMET/MET_ARR_2021-BM0924.pdf</t>
  </si>
  <si>
    <t>2021-BM0664</t>
  </si>
  <si>
    <t>circulation - travaux terrassement pour dévoiement réseau HTA</t>
  </si>
  <si>
    <t>https://cdn.scnbdx.fr/web-afresco/BOGAMET/MET_ARR_2021-BM0664.pdf</t>
  </si>
  <si>
    <t>2021-BM0665</t>
  </si>
  <si>
    <t>circulation - travaux de déploiement de fibre optique et ouverture de chambre, rue Marcel ISSARTIER</t>
  </si>
  <si>
    <t>https://cdn.scnbdx.fr/web-afresco/BOGAMET/MET_ARR_2021-BM0665.pdf</t>
  </si>
  <si>
    <t>2021-BM0670</t>
  </si>
  <si>
    <t>Arrêté métropolitain - Convention de mise à disposition au bénéfice de Bordeaux Métropole d’une fraction de la parcelle AW n°290 située sur la commune de Mérignac</t>
  </si>
  <si>
    <t>https://cdn.scnbdx.fr/web-afresco/BOGAMET/MET_ARR_2021-BM0670.pdf</t>
  </si>
  <si>
    <t>2021-BM0715</t>
  </si>
  <si>
    <t>https://cdn.scnbdx.fr/web-afresco/BOGAMET/MET_ARR_2021-BM0715.pdf</t>
  </si>
  <si>
    <t>2021-BM0716</t>
  </si>
  <si>
    <t>Délégation de signature - Madame Danière Bensimon</t>
  </si>
  <si>
    <t>https://cdn.scnbdx.fr/web-afresco/BOGAMET/MET_ARR_2021-BM0716.pdf</t>
  </si>
  <si>
    <t>2021-BM0721</t>
  </si>
  <si>
    <t>https://cdn.scnbdx.fr/web-afresco/BOGAMET/MET_ARR_2021-BM0721.pdf</t>
  </si>
  <si>
    <t>2021-BM0722</t>
  </si>
  <si>
    <t>https://cdn.scnbdx.fr/web-afresco/BOGAMET/MET_ARR_2021-BM0722.pdf</t>
  </si>
  <si>
    <t>2021-BM0723</t>
  </si>
  <si>
    <t>https://cdn.scnbdx.fr/web-afresco/BOGAMET/MET_ARR_2021-BM0723.pdf</t>
  </si>
  <si>
    <t>2021-BM0724</t>
  </si>
  <si>
    <t>https://cdn.scnbdx.fr/web-afresco/BOGAMET/MET_ARR_2021-BM0724.pdf</t>
  </si>
  <si>
    <t>2021-BM0728</t>
  </si>
  <si>
    <t>Délégation de signature - Monsieur Yann Torlasco</t>
  </si>
  <si>
    <t>https://cdn.scnbdx.fr/web-afresco/BOGAMET/MET_ARR_2021-BM0728.pdf</t>
  </si>
  <si>
    <t>2021-BM0730</t>
  </si>
  <si>
    <t>https://cdn.scnbdx.fr/web-afresco/BOGAMET/MET_ARR_2021-BM0730.pdf</t>
  </si>
  <si>
    <t>2021-BM0839</t>
  </si>
  <si>
    <t>Délégation de signature - Madame Erika Lay</t>
  </si>
  <si>
    <t>https://cdn.scnbdx.fr/web-afresco/BOGAMET/MET_ARR_2021-BM0839.pdf</t>
  </si>
  <si>
    <t>2021-BM0841</t>
  </si>
  <si>
    <t>https://cdn.scnbdx.fr/web-afresco/BOGAMET/MET_ARR_2021-BM0841.pdf</t>
  </si>
  <si>
    <t>2021-BM0892</t>
  </si>
  <si>
    <t>circulation - travaux de réparation de conduite Orange sous trottoir et sous chaussée sur le boulevard de l'Entre Deux Mers - Pénétrante Est</t>
  </si>
  <si>
    <t>https://cdn.scnbdx.fr/web-afresco/BOGAMET/MET_ARR_2021-BM0892.pdf</t>
  </si>
  <si>
    <t>2021-BM0601</t>
  </si>
  <si>
    <t>circulation - Travaux d’agrandissement des places de parking situées sur le  giratoire interceptant les rues de Magudas et de la Grange Noire</t>
  </si>
  <si>
    <t>https://cdn.scnbdx.fr/web-afresco/BOGAMET/MET_ARR_2021-BM0601.pdf</t>
  </si>
  <si>
    <t>2021-BM0736</t>
  </si>
  <si>
    <t>Délégation de signature - Madame Hélène Panas</t>
  </si>
  <si>
    <t>https://cdn.scnbdx.fr/web-afresco/BOGAMET/MET_ARR_2021-BM0736.pdf</t>
  </si>
  <si>
    <t>2021-BM0756</t>
  </si>
  <si>
    <t>classement - rue Simone de Beauvoir et ses espaces  communs</t>
  </si>
  <si>
    <t>https://cdn.scnbdx.fr/web-afresco/BOGAMET/MET_ARR_2021-BM0756.pdf</t>
  </si>
  <si>
    <t>2021-BM0760</t>
  </si>
  <si>
    <t>Autorisation de déversement des eaux usées - Entreprise MALET, 3 chemin du Pontacq - CS20052 - 33295 Blanquefort cedex, dans le réseau de collecte des eaux unitaire de Bordeaux Métropole, vers la station d’épuration de Louis Fargue.</t>
  </si>
  <si>
    <t>https://cdn.scnbdx.fr/web-afresco/BOGAMET/MET_ARR_2021-BM0760.pdf</t>
  </si>
  <si>
    <t>2021-BM0780</t>
  </si>
  <si>
    <t>circulation - rue Marcel GIRARD et D 213 pour la pose de 2 chambres TELECOM et de 3 fourreaux TELECOM FREE</t>
  </si>
  <si>
    <t>https://cdn.scnbdx.fr/web-afresco/BOGAMET/MET_ARR_2021-BM0780.pdf</t>
  </si>
  <si>
    <t>2021-BM1518</t>
  </si>
  <si>
    <t>Délégation de signature - Monsieur Louis Gauthe</t>
  </si>
  <si>
    <t>https://cdn.scnbdx.fr/web-afresco/BOGAMET/MET_ARR_2021-BM1518.pdf</t>
  </si>
  <si>
    <t>2021-BM1527</t>
  </si>
  <si>
    <t>Délégation de signature - Avis d'urbanisme et arrêtés d'alignement</t>
  </si>
  <si>
    <t>https://cdn.scnbdx.fr/web-afresco/BOGAMET/MET_ARR_2021-BM1527.pdf</t>
  </si>
  <si>
    <t>2021-BM1588</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</si>
  <si>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SEGUIN</t>
  </si>
  <si>
    <t>https://cdn.scnbdx.fr/web-afresco/BOGAMET/MET_ARR_2021-BM1588.pdf</t>
  </si>
  <si>
    <t>2021-BM1591</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</si>
  <si>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Bergerot Sylvie née FATIN</t>
  </si>
  <si>
    <t>https://cdn.scnbdx.fr/web-afresco/BOGAMET/MET_ARR_2021-BM1591.pdf</t>
  </si>
  <si>
    <t>2021-BM1592</t>
  </si>
  <si>
    <t>Défense des intérêts de Bordeaux-Métropole - Saint-Médard-en-Jalles – Constitution d'une réserve foncière, en vue de la réalisation d'une opération d'aménagement sur le secteur du Bourdieu Cassy-Vigney - Représentation des intérêts de Bordeaux Métropole devant la juridiction de l'expropriation dans le cadre de la pro-cédure d'expropriation - FATIN Carole</t>
  </si>
  <si>
    <t>https://cdn.scnbdx.fr/web-afresco/BOGAMET/MET_ARR_2021-BM1592.pdf</t>
  </si>
  <si>
    <t>2021-BM1516</t>
  </si>
  <si>
    <t>Délégation de signature - Madame Sonia Pauvif</t>
  </si>
  <si>
    <t>https://cdn.scnbdx.fr/web-afresco/BOGAMET/MET_ARR_2021-BM1516.pdf</t>
  </si>
  <si>
    <t>2021-BM1517</t>
  </si>
  <si>
    <t>https://cdn.scnbdx.fr/web-afresco/BOGAMET/MET_ARR_2021-BM1517.pdf</t>
  </si>
  <si>
    <t>2021-BM1427</t>
  </si>
  <si>
    <t>circulation - Réalisation de battues intercommunales aux sangliers aux abords de la RD1215  entre les giratoires du Picot et de Salaunes</t>
  </si>
  <si>
    <t>https://cdn.scnbdx.fr/web-afresco/BOGAMET/MET_ARR_2021-BM1427.pdf</t>
  </si>
  <si>
    <t>2021-BM1501</t>
  </si>
  <si>
    <t>circulation - avenue de Bellevue et 1-3 place Dauphine-plantation poteaux</t>
  </si>
  <si>
    <t>https://cdn.scnbdx.fr/web-afresco/BOGAMET/MET_ARR_2021-BM1501.pdf</t>
  </si>
  <si>
    <t>2021-BM1547</t>
  </si>
  <si>
    <t>circulation -  travaux de  réalisation de sondages verticaux de la chaussée route du Bec</t>
  </si>
  <si>
    <t>https://cdn.scnbdx.fr/web-afresco/BOGAMET/MET_ARR_2021-BM1547.pdf</t>
  </si>
  <si>
    <t>2021-BM1567</t>
  </si>
  <si>
    <t>circulation - Travaux de curage des fossées avenue du Lignan Rd 107 à Saint-Médard-en-Jalles Partie hors agglomération</t>
  </si>
  <si>
    <t>https://cdn.scnbdx.fr/web-afresco/BOGAMET/MET_ARR_2021-BM1567.pdf</t>
  </si>
  <si>
    <t>2021-BM1599</t>
  </si>
  <si>
    <t>circulation - Travaux de restructuration par enfouissement du réseau HTAS sur l’avenue  Marcel dassault – D213 – entre le giratoire rue Marcel Issartier et le giratoire entre  Dassault Aviation</t>
  </si>
  <si>
    <t>https://cdn.scnbdx.fr/web-afresco/BOGAMET/MET_ARR_2021-BM1599.pdf</t>
  </si>
  <si>
    <t>2021-BM1473</t>
  </si>
  <si>
    <t>Déclassement - rues Son Tay (partie nord-ouest) et Morin – ZAC Saint Jean Belcier</t>
  </si>
  <si>
    <t>https://cdn.scnbdx.fr/web-afresco/BOGAMET/MET_ARR_2021-BM1473.pdf</t>
  </si>
  <si>
    <t>2021-BM1505</t>
  </si>
  <si>
    <t>circulation -  Dépose et démantèlement d’une passerelle en bois sur la piste cyclable  parallèle à l’allée du bois commune de Blanquefort</t>
  </si>
  <si>
    <t>https://cdn.scnbdx.fr/web-afresco/BOGAMET/MET_ARR_2021-BM1505.pdf</t>
  </si>
  <si>
    <t>2021-BM1507</t>
  </si>
  <si>
    <t>Désignation de représentant - Représentation du Président à la CTAP Nouvelle-Aquitaine</t>
  </si>
  <si>
    <t>https://cdn.scnbdx.fr/web-afresco/BOGAMET/MET_ARR_2021-BM1507.pdf</t>
  </si>
  <si>
    <t>2021-BM1510</t>
  </si>
  <si>
    <t>Arrêt du projet et mise à disposition du public - Programme local de prévention des déchets ménagers et assimiulés - Arrêt du projet et mise à disposition du public</t>
  </si>
  <si>
    <t>https://cdn.scnbdx.fr/web-afresco/BOGAMET/MET_ARR_2021-BM1510.pdf</t>
  </si>
  <si>
    <t>2021-BM1500</t>
  </si>
  <si>
    <t>https://cdn.scnbdx.fr/web-afresco/BOGAMET/MET_ARR_2021-BM1500.pdf</t>
  </si>
  <si>
    <t>2021-BM1537</t>
  </si>
  <si>
    <t>https://cdn.scnbdx.fr/web-afresco/BOGAMET/MET_ARR_2021-BM1537.pdf</t>
  </si>
  <si>
    <t>2021-BM1568</t>
  </si>
  <si>
    <t>Circulation - Travaux de remplacement de poteau FTTH sur accotement au niveau du n°314 de l'avenue de l' Argonne (voirie hors agglomération), commune de Mérignac. Mesures de ciruclation</t>
  </si>
  <si>
    <t>https://cdn.scnbdx.fr/web-afresco/BOGAMET/MET_ARR_2021-BM1568.pdf</t>
  </si>
  <si>
    <t>2021-BM1429</t>
  </si>
  <si>
    <t>concertation - Mise en compatibilité du Plan local d’urbanisme dans le cadre de la déclaration d’utilité publique du projet de transports en commun « Amélioration de la vitesse commerciale de la LIANES 11 par la réalisation de travaux de réaménagement de voirie à Mérignac avenue Marcel Dassault »</t>
  </si>
  <si>
    <t>https://cdn.scnbdx.fr/web-afresco/BOGAMET/MET_ARR_2021-BM1429.pdf</t>
  </si>
  <si>
    <t>2021-BM1615</t>
  </si>
  <si>
    <t>Cession - cours Dupré de St-Maur/angle Michel Slitinsky</t>
  </si>
  <si>
    <t>https://cdn.scnbdx.fr/web-afresco/BOGAMET/MET_ARR_2021-BM1615.pdf</t>
  </si>
  <si>
    <t>2021-BM1487</t>
  </si>
  <si>
    <t>Circulation - Circulation/Stationnement en relation avec des travaux réalisation de sondage verticaux</t>
  </si>
  <si>
    <t>https://cdn.scnbdx.fr/web-afresco/BOGAMET/MET_ARR_2021-BM1487.pdf</t>
  </si>
  <si>
    <t>2021-BM1488</t>
  </si>
  <si>
    <t>protocole transactionnel -  Frais de déplacement du Totem – Tramway  phase 2</t>
  </si>
  <si>
    <t>https://cdn.scnbdx.fr/web-afresco/BOGAMET/MET_ARR_2021-BM1488.pdf</t>
  </si>
  <si>
    <t>Numéro du marché</t>
  </si>
  <si>
    <t>Objet du marché</t>
  </si>
  <si>
    <t>Titulaire</t>
  </si>
  <si>
    <t>Numéro de l'avenant</t>
  </si>
  <si>
    <t>Objet de l'avenant</t>
  </si>
  <si>
    <t>Date de notification du marché</t>
  </si>
  <si>
    <t>Montant initial du marché H.T.</t>
  </si>
  <si>
    <t>Montant de l'avenant H.T.</t>
  </si>
  <si>
    <t>Nouveau montant après passation de l'avenant</t>
  </si>
  <si>
    <t>Date de notification de l'avenant</t>
  </si>
  <si>
    <t>2018-E0128M</t>
  </si>
  <si>
    <t>Fourniture de piles, accumulateurs et matériels connexes pour tous types de véhicules</t>
  </si>
  <si>
    <t>VOLTEO Bordeaux</t>
  </si>
  <si>
    <t>Modification clause administrative : erreur matérielle dans le BPU</t>
  </si>
  <si>
    <t>Sans minimum et sans maximum</t>
  </si>
  <si>
    <t>2018-E0158M</t>
  </si>
  <si>
    <t>assistance à maitrise d'ouvrage- Mission de contrôle</t>
  </si>
  <si>
    <t>SOCOTEC CONSTRCUTION</t>
  </si>
  <si>
    <t>transfert</t>
  </si>
  <si>
    <t>2018-E0118M-</t>
  </si>
  <si>
    <t>Déploiement d'armoires de régulation,de système electrotechnique, d'autromatisme et de suspension</t>
  </si>
  <si>
    <t>SPIE SUD-OUEST</t>
  </si>
  <si>
    <t>SPIE Industriel et Tertiaire</t>
  </si>
  <si>
    <t>sans mini ni maxi</t>
  </si>
  <si>
    <t>2018-E0083M</t>
  </si>
  <si>
    <t>Fourniture de solutions d'impression, maintenance et services associés
Lot 1 : Multifonctions et imprimantes</t>
  </si>
  <si>
    <t>XEROX</t>
  </si>
  <si>
    <t>Ajout de prix nouveaux</t>
  </si>
  <si>
    <t>2018-E0016M</t>
  </si>
  <si>
    <t>LOT 2 : fourniture de services de communications mobiles et prestations annexes</t>
  </si>
  <si>
    <t>SFR</t>
  </si>
  <si>
    <t>Sans mini ni maxi</t>
  </si>
  <si>
    <t>2018-E0108M</t>
  </si>
  <si>
    <t>Travaux d'aménagement de la place Nansouty 
Lot 2 Terrassement - chaussée</t>
  </si>
  <si>
    <t>Groupement FAYAT ENTREPRISE TP / SOPREMA</t>
  </si>
  <si>
    <t>correction d'une erreur matérielle dans le CCAP</t>
  </si>
  <si>
    <t>2018-E0004M</t>
  </si>
  <si>
    <t>Prestations topographiques attachées à la propriété foncière : Pôle Territorial de Bordeaux</t>
  </si>
  <si>
    <t>AGEO CONSEILS (Mandataire)</t>
  </si>
  <si>
    <t>Suppression de la clause "garantie financière"</t>
  </si>
  <si>
    <t>LOT : Fourniture de services de communications, mobiles et prestations annexes</t>
  </si>
  <si>
    <t>2018-E0030M</t>
  </si>
  <si>
    <t>Matériels et équipements de chantier (lot n°10)</t>
  </si>
  <si>
    <t>René Ledoux</t>
  </si>
  <si>
    <t>ajout coef de majoration sur prix hors BPU</t>
  </si>
  <si>
    <t>2018-E0079M</t>
  </si>
  <si>
    <t>Accord-cadre multi attributaires : Etudes programmation, assistance, définition coût de construction - lot n°2 bâtiments culturels</t>
  </si>
  <si>
    <t>SAMOP</t>
  </si>
  <si>
    <t>Modification date début du contrat pour l'entité BM</t>
  </si>
  <si>
    <t>PRO-DEVELOPPEMENT/NOX INGENIERIE</t>
  </si>
  <si>
    <t>2018-E0078M</t>
  </si>
  <si>
    <t>Accord-cadre multi attributaires : Etudes programmation, assistance, définition coût de construction - lot n°1 : bâtiments scolaire, petite enfance</t>
  </si>
  <si>
    <t>ACOBA</t>
  </si>
  <si>
    <t>2018-E0047M</t>
  </si>
  <si>
    <t>conception/réalisation de prestations graphiques</t>
  </si>
  <si>
    <t>AGGELOS, ATELIER FRANCK TALLON, AGENCE COSMO, SOCIETE DE FAIT TABARAMOUNIEN</t>
  </si>
  <si>
    <t>transfert STE TABARAMOUNIEN</t>
  </si>
  <si>
    <t>2018-E0282m</t>
  </si>
  <si>
    <t>lot 2 : prestation de balayage mécanique standart des voies publics sur le territoire de PT rive droite     - Prestaion de balayage mécanique standart des voies et lieux publics sur Bordeaux</t>
  </si>
  <si>
    <t>VEOLIA PROPRETE AQUITAINE</t>
  </si>
  <si>
    <t>Modification cotraitance</t>
  </si>
  <si>
    <t>60 000 € HTmini et sans maxi</t>
  </si>
  <si>
    <t>2018-E0092M</t>
  </si>
  <si>
    <t>nettoyage des locaux de Bordeaux Metropole                 -lot 6 prestations de nettoyage de vitrerie pour le territoire metropolitain</t>
  </si>
  <si>
    <t>arcade nettoyage</t>
  </si>
  <si>
    <t>avenant de prix nouveaux</t>
  </si>
  <si>
    <t>sans minimum et sans maximum</t>
  </si>
  <si>
    <t>2018-E0155M</t>
  </si>
  <si>
    <t>Marché subséquent relatif à la fourniture et à l'acheminement d'électricité tarif bleu C5 - 
Lot 1 Bâtiments communaux"
(AC n°2018-E0050M)</t>
  </si>
  <si>
    <t>DIRECT ENERGIE SA</t>
  </si>
  <si>
    <t>Modification clause administrative : rajout de la mention de prélévement automatique dans l'AE</t>
  </si>
  <si>
    <t>14ASP1</t>
  </si>
  <si>
    <t>MAINTENANCE DES DIGUES ET OUVRAGES DE DIGUE</t>
  </si>
  <si>
    <t>Dubreuilh</t>
  </si>
  <si>
    <t>ajout de prix nouveaux</t>
  </si>
  <si>
    <t>Mini 2 000 000,00 - PAS DE MAXI</t>
  </si>
  <si>
    <t>MINI 2 000 000,00     PAS DE Maxi</t>
  </si>
  <si>
    <t>2018-E0145M</t>
  </si>
  <si>
    <t>Travaux de requalification de la place de la République à St Médard en Jalles
Lot 3 : Mobiliers divers</t>
  </si>
  <si>
    <t>PROVILLE (Mandataire)</t>
  </si>
  <si>
    <t>Modification clause administrative : clause de révision des prix</t>
  </si>
  <si>
    <t>2017-F0630M</t>
  </si>
  <si>
    <t>Mobilier de protection piètons et stationnement - Lot 1</t>
  </si>
  <si>
    <t>SERI SAS</t>
  </si>
  <si>
    <t>2018-E0107M</t>
  </si>
  <si>
    <t>Travaux d'aménagement de la place Nansouty 
Lot 1 Terrassement - chaussée</t>
  </si>
  <si>
    <t>FAYAT ENTREPRISE TP</t>
  </si>
  <si>
    <t>2018-E0007M</t>
  </si>
  <si>
    <t>Prestations topographiques sans traitement des limites de propriété foncière PTRD et Bordeaux (Lot 5)</t>
  </si>
  <si>
    <t>2018-E0005M</t>
  </si>
  <si>
    <t>Prestations topographiques attachées à la propriété foncière : Pôle Territorial Sud (Lot 3)</t>
  </si>
  <si>
    <t>2018-E0027M</t>
  </si>
  <si>
    <t>Matériels pour travaux en régie - matériels électriques divers, fils et câbles (lot n°7)</t>
  </si>
  <si>
    <t>AUSCHITZKY</t>
  </si>
  <si>
    <t>Modifications 3 références au BPU</t>
  </si>
  <si>
    <t>VERDI</t>
  </si>
  <si>
    <t>2018-E0039M</t>
  </si>
  <si>
    <t>Aménagement paysagers - territoire rive droite</t>
  </si>
  <si>
    <t>TECHNIVERT</t>
  </si>
  <si>
    <t>Ajout d'un prix nouveau</t>
  </si>
  <si>
    <t>2017-M0881M</t>
  </si>
  <si>
    <t>Aménagement de la rue Lucien Faure à Bordeaux</t>
  </si>
  <si>
    <t>GUINTOLI (mandataire)</t>
  </si>
  <si>
    <t>Ajout de prix nouveaux + prolongation du délai d'exécution</t>
  </si>
  <si>
    <t>2018-E0018M</t>
  </si>
  <si>
    <t>Réaménagement et extension du local gardien au centre de recyclage de Bruges- Lot 1 : Clos couvert - second œuvre</t>
  </si>
  <si>
    <t>DEMATHIEU BARD CONSTRUCTION</t>
  </si>
  <si>
    <t>augmentation du montant</t>
  </si>
  <si>
    <t>2018-E0142M</t>
  </si>
  <si>
    <t>lot 2 : prestation de sécurité et sureté des sites métropolitains communaux hors Mériadeck/centre ville</t>
  </si>
  <si>
    <t>Privilège Sécurité</t>
  </si>
  <si>
    <t>diminution du montant</t>
  </si>
  <si>
    <t>Marché sans min/max</t>
  </si>
  <si>
    <t>2018-E0143M</t>
  </si>
  <si>
    <t>Travaux de requalification de la place de la République à St Médard en Jalles
Lot 1 : VRD</t>
  </si>
  <si>
    <t>FAYAT TP (mandataire)</t>
  </si>
  <si>
    <t>2018-E0144M</t>
  </si>
  <si>
    <t>Travaux de requalification de la place de la République à St Médard en Jalles
Lot 2 : Eclairage</t>
  </si>
  <si>
    <t>SPIE CITY NETWORKS</t>
  </si>
  <si>
    <t>2018-E0054M</t>
  </si>
  <si>
    <t>lot 2 /electricité Bordeaux Lac, restructuration de réseaux des ateliers</t>
  </si>
  <si>
    <t>CINERGIA</t>
  </si>
  <si>
    <t>Augmentation du montant</t>
  </si>
  <si>
    <t>2018-E0053M</t>
  </si>
  <si>
    <t>CEL (Dépôt de bus) Bordeaux Lac - Restructuration des réseaux des ateliers - Lot 1 Plomberie</t>
  </si>
  <si>
    <t>AXES INGENIERIES</t>
  </si>
  <si>
    <t>2018-E0008M</t>
  </si>
  <si>
    <t>Prestations topographiques sans traitement des limites de propriété foncière Pôle Territorial Sud et Ouest (Lot 6)</t>
  </si>
  <si>
    <t>GEOSAT (Mandataire)</t>
  </si>
  <si>
    <t>2018-E0006M</t>
  </si>
  <si>
    <t>Prestations topographiques attachées à la propriété foncière : Pôle Territorial Ouest (Lot 4)</t>
  </si>
  <si>
    <t>160024u</t>
  </si>
  <si>
    <t>Exploitation, entretien, maintenance, installations de chauffage urbain bois/gaz situe à st medard en jalles</t>
  </si>
  <si>
    <t>ENGIE ENERGIE SERVICE</t>
  </si>
  <si>
    <t>2018-E0003M</t>
  </si>
  <si>
    <t>Prestations topographiques attachées à la propriété foncière : Pôle Territorial Rive Droite</t>
  </si>
  <si>
    <t>2018-E0080M</t>
  </si>
  <si>
    <t>Accord-cadre multi attributaires : Etudes programmation, assistance, définition coût de construction - lot n°3 bâtiments techniques</t>
  </si>
  <si>
    <t>ESPELIA</t>
  </si>
  <si>
    <t>MONESTIER/SCIC NOBATECK</t>
  </si>
  <si>
    <t>A2M/AEC INGENIERIE/CAP TERRE/GEO ENERGIE</t>
  </si>
  <si>
    <t>2018-E0081M</t>
  </si>
  <si>
    <t>Mission AMO contrat de concession stade nautique Merignac</t>
  </si>
  <si>
    <t>SOC INGENIERIE SPORTIVE ET CU</t>
  </si>
  <si>
    <t>Avenant rectifiant erreur materiel</t>
  </si>
  <si>
    <t>2018-E0020M</t>
  </si>
  <si>
    <t>Assistance de Bordeaux Métropole dans l'exercice de sa compétence d'autorité organisatrice de l'néergie électrique</t>
  </si>
  <si>
    <t>AEC/CABINE SYMCHOWICZ-WEISSBERG ET ASSOCIES</t>
  </si>
  <si>
    <t xml:space="preserve"> </t>
  </si>
  <si>
    <t>BASTIEEEEH</t>
  </si>
  <si>
    <t>Turenn</t>
  </si>
  <si>
    <t>Pays</t>
  </si>
  <si>
    <t>Taux de fécondité</t>
  </si>
  <si>
    <t>Taux de natalité (‰ hab)</t>
  </si>
  <si>
    <t>Niger</t>
  </si>
  <si>
    <t>Burundi</t>
  </si>
  <si>
    <t>Mali</t>
  </si>
  <si>
    <t>Somalie</t>
  </si>
  <si>
    <t>Ouganda</t>
  </si>
  <si>
    <t>Burkina Faso</t>
  </si>
  <si>
    <t>Zambie</t>
  </si>
  <si>
    <t>Malawi</t>
  </si>
  <si>
    <t>Angola</t>
  </si>
  <si>
    <t>Afghanistan</t>
  </si>
  <si>
    <t>Soudan du Sud</t>
  </si>
  <si>
    <t>Mozambique</t>
  </si>
  <si>
    <t>Nigeria</t>
  </si>
  <si>
    <t>Éthiopie</t>
  </si>
  <si>
    <t>Timor oriental</t>
  </si>
  <si>
    <t>Bénin</t>
  </si>
  <si>
    <t>Tanzanie</t>
  </si>
  <si>
    <t>Guinée</t>
  </si>
  <si>
    <t>Sierra Leone</t>
  </si>
  <si>
    <t>Cameroun</t>
  </si>
  <si>
    <t>République du Congo</t>
  </si>
  <si>
    <t>Liberia</t>
  </si>
  <si>
    <t>République démocratique du Congo</t>
  </si>
  <si>
    <t>Guinée équatoriale</t>
  </si>
  <si>
    <t>Rwanda</t>
  </si>
  <si>
    <t>Tchad</t>
  </si>
  <si>
    <t>Togo</t>
  </si>
  <si>
    <t>Gabon</t>
  </si>
  <si>
    <t>Sao Tomé-et-Principe</t>
  </si>
  <si>
    <t>Sénégal</t>
  </si>
  <si>
    <t>République centrafricaine</t>
  </si>
  <si>
    <t>Guinée-Bissau</t>
  </si>
  <si>
    <t>Madagascar</t>
  </si>
  <si>
    <t>Érythrée</t>
  </si>
  <si>
    <t>Irak</t>
  </si>
  <si>
    <t>Ghana</t>
  </si>
  <si>
    <t>Sahara occidental</t>
  </si>
  <si>
    <t>Mauritanie</t>
  </si>
  <si>
    <t>Palestine</t>
  </si>
  <si>
    <t>Yémen</t>
  </si>
  <si>
    <t>Soudan</t>
  </si>
  <si>
    <t>Gambie</t>
  </si>
  <si>
    <t>Égypte</t>
  </si>
  <si>
    <t>Zimbabwe</t>
  </si>
  <si>
    <t>Comores</t>
  </si>
  <si>
    <t>Côte d'Ivoire</t>
  </si>
  <si>
    <t>Namibie</t>
  </si>
  <si>
    <t>Îles Salomon</t>
  </si>
  <si>
    <t>Jordanie</t>
  </si>
  <si>
    <t>Tonga</t>
  </si>
  <si>
    <t>Vanuatu</t>
  </si>
  <si>
    <t>Kenya</t>
  </si>
  <si>
    <t>Papouasie-Nouvelle-Guinée</t>
  </si>
  <si>
    <t>Îles Marshall</t>
  </si>
  <si>
    <t>Philippines</t>
  </si>
  <si>
    <t>Tuvalu</t>
  </si>
  <si>
    <t>Belize</t>
  </si>
  <si>
    <t>Nauru</t>
  </si>
  <si>
    <t>Oman</t>
  </si>
  <si>
    <t>Guatemala</t>
  </si>
  <si>
    <t>Haïti</t>
  </si>
  <si>
    <t>Samoa</t>
  </si>
  <si>
    <t>Laos</t>
  </si>
  <si>
    <t>Algérie</t>
  </si>
  <si>
    <t>Eswatini</t>
  </si>
  <si>
    <t>Honduras</t>
  </si>
  <si>
    <t>Bolivie</t>
  </si>
  <si>
    <t>Lesotho</t>
  </si>
  <si>
    <t>Pakistan</t>
  </si>
  <si>
    <t>Tadjikistan</t>
  </si>
  <si>
    <t>Israël</t>
  </si>
  <si>
    <t>Kirghizistan</t>
  </si>
  <si>
    <t>Cambodge</t>
  </si>
  <si>
    <t>Syrie</t>
  </si>
  <si>
    <t>Malaisie</t>
  </si>
  <si>
    <t>États fédérés de Micronésie</t>
  </si>
  <si>
    <t>Fidji</t>
  </si>
  <si>
    <t>Koweït</t>
  </si>
  <si>
    <t>Kiribati</t>
  </si>
  <si>
    <t>*Moyenne mondiale*</t>
  </si>
  <si>
    <t>*2,47*</t>
  </si>
  <si>
    <t>*19,6*</t>
  </si>
  <si>
    <t>Inde</t>
  </si>
  <si>
    <t>Djibouti</t>
  </si>
  <si>
    <t>Venezuela</t>
  </si>
  <si>
    <t>Émirats arabes unis</t>
  </si>
  <si>
    <t>Panama</t>
  </si>
  <si>
    <t>Guam</t>
  </si>
  <si>
    <t>Afrique du Sud</t>
  </si>
  <si>
    <t>République dominicaine</t>
  </si>
  <si>
    <t>Botswana</t>
  </si>
  <si>
    <t>Argentine</t>
  </si>
  <si>
    <t>Kazakhstan</t>
  </si>
  <si>
    <t>Cap-Vert</t>
  </si>
  <si>
    <t>Équateur</t>
  </si>
  <si>
    <t>Bangladesh</t>
  </si>
  <si>
    <t>Népal</t>
  </si>
  <si>
    <t>Mexique</t>
  </si>
  <si>
    <t>Pérou</t>
  </si>
  <si>
    <t>Birmanie</t>
  </si>
  <si>
    <t>Indonésie</t>
  </si>
  <si>
    <t>Mongolie</t>
  </si>
  <si>
    <t>Maroc</t>
  </si>
  <si>
    <t>Arabie saoudite</t>
  </si>
  <si>
    <t>Sri Lanka</t>
  </si>
  <si>
    <t>Turkménistan</t>
  </si>
  <si>
    <t>France</t>
  </si>
  <si>
    <t>Dominique</t>
  </si>
  <si>
    <t>Grenade</t>
  </si>
  <si>
    <t>Guyana</t>
  </si>
  <si>
    <t>Libye</t>
  </si>
  <si>
    <t>Turquie</t>
  </si>
  <si>
    <t>Nouvelle-Zélande</t>
  </si>
  <si>
    <t>Colombie</t>
  </si>
  <si>
    <t>Antigua-et-Barbuda</t>
  </si>
  <si>
    <t>Islande</t>
  </si>
  <si>
    <t>Jamaïque</t>
  </si>
  <si>
    <t>Irlande</t>
  </si>
  <si>
    <t>Tunisie</t>
  </si>
  <si>
    <t>Corée du Nord</t>
  </si>
  <si>
    <t>Suriname</t>
  </si>
  <si>
    <t>Bahamas</t>
  </si>
  <si>
    <t>Bhoutan</t>
  </si>
  <si>
    <t>Nicaragua</t>
  </si>
  <si>
    <t>Paraguay</t>
  </si>
  <si>
    <t>Costa Rica</t>
  </si>
  <si>
    <t>Qatar</t>
  </si>
  <si>
    <t>Azerbaïdjan</t>
  </si>
  <si>
    <t>Royaume-Uni</t>
  </si>
  <si>
    <t>Salvador</t>
  </si>
  <si>
    <t>Suède</t>
  </si>
  <si>
    <t>États-Unis</t>
  </si>
  <si>
    <t>Norvège</t>
  </si>
  <si>
    <t>Seychelles</t>
  </si>
  <si>
    <t>Iran</t>
  </si>
  <si>
    <t>Viêt Nam</t>
  </si>
  <si>
    <t>Chili</t>
  </si>
  <si>
    <t>Saint-Vincent-et-les-Grenadines</t>
  </si>
  <si>
    <t>Uruguay</t>
  </si>
  <si>
    <t>Monténégro</t>
  </si>
  <si>
    <t>Bahreïn</t>
  </si>
  <si>
    <t>Belgique</t>
  </si>
  <si>
    <t>Pays-Bas</t>
  </si>
  <si>
    <t>Saint-Christophe-et-Niévès</t>
  </si>
  <si>
    <t>Ouzbékistan</t>
  </si>
  <si>
    <t>Australie</t>
  </si>
  <si>
    <t>Brésil</t>
  </si>
  <si>
    <t>Géorgie</t>
  </si>
  <si>
    <t>Russie</t>
  </si>
  <si>
    <t>Finlande</t>
  </si>
  <si>
    <t>Sainte-Lucie</t>
  </si>
  <si>
    <t>Maurice</t>
  </si>
  <si>
    <t>Danemark</t>
  </si>
  <si>
    <t>Maldives</t>
  </si>
  <si>
    <t>Liban</t>
  </si>
  <si>
    <t>Trinité-et-Tobago</t>
  </si>
  <si>
    <t>Palaos</t>
  </si>
  <si>
    <t>Cuba</t>
  </si>
  <si>
    <t>Liechtenstein</t>
  </si>
  <si>
    <t>Barbade</t>
  </si>
  <si>
    <t>Arménie</t>
  </si>
  <si>
    <t>Porto Rico</t>
  </si>
  <si>
    <t>Tchéquie</t>
  </si>
  <si>
    <t>Luxembourg</t>
  </si>
  <si>
    <t>Macédoine du Nord</t>
  </si>
  <si>
    <t>Chine</t>
  </si>
  <si>
    <t>Canada</t>
  </si>
  <si>
    <t>Estonie</t>
  </si>
  <si>
    <t>Lituanie</t>
  </si>
  <si>
    <t>Slovénie</t>
  </si>
  <si>
    <t>Suisse</t>
  </si>
  <si>
    <t>Malte</t>
  </si>
  <si>
    <t>Ukraine</t>
  </si>
  <si>
    <t>Monaco</t>
  </si>
  <si>
    <t>Lettonie</t>
  </si>
  <si>
    <t>Thaïlande</t>
  </si>
  <si>
    <t>Albanie</t>
  </si>
  <si>
    <t>Saint-Marin</t>
  </si>
  <si>
    <t>Allemagne</t>
  </si>
  <si>
    <t>Espagne</t>
  </si>
  <si>
    <t>Biélorussie</t>
  </si>
  <si>
    <t>Slovaquie</t>
  </si>
  <si>
    <t>Chypre</t>
  </si>
  <si>
    <t>Autriche</t>
  </si>
  <si>
    <t>Bulgarie</t>
  </si>
  <si>
    <t>Hongrie</t>
  </si>
  <si>
    <t>Japon</t>
  </si>
  <si>
    <t>Serbie</t>
  </si>
  <si>
    <t>Italie</t>
  </si>
  <si>
    <t>Grèce</t>
  </si>
  <si>
    <t>Croatie</t>
  </si>
  <si>
    <t>Andorre</t>
  </si>
  <si>
    <t>Portugal</t>
  </si>
  <si>
    <t>Pologne</t>
  </si>
  <si>
    <t>Roumanie</t>
  </si>
  <si>
    <t>Moldavie</t>
  </si>
  <si>
    <t>Bosnie-Herzégovine</t>
  </si>
  <si>
    <t>Corée du Sud</t>
  </si>
  <si>
    <t>Hong Kong</t>
  </si>
  <si>
    <t>Taïwan</t>
  </si>
  <si>
    <t>Macao</t>
  </si>
  <si>
    <t>Singapour</t>
  </si>
  <si>
    <t>SUM de Taux de fécondité</t>
  </si>
  <si>
    <t>SUM de Taux de natalité (‰ hab)</t>
  </si>
  <si>
    <t>Moyenne mondiale</t>
  </si>
  <si>
    <t>Total général</t>
  </si>
  <si>
    <t>Tomaczek</t>
  </si>
  <si>
    <t>gid</t>
  </si>
  <si>
    <t>type</t>
  </si>
  <si>
    <t>cdate</t>
  </si>
  <si>
    <t>mdate</t>
  </si>
  <si>
    <t>rs_sv_arret_p</t>
  </si>
  <si>
    <t>ABRIBUS_V2</t>
  </si>
  <si>
    <t>2021-11-27T00:00:00+01:00</t>
  </si>
  <si>
    <t>2021-11-27T01:33:50+01:00</t>
  </si>
  <si>
    <t>ABRIBUS_V1</t>
  </si>
  <si>
    <t>ABRIBUS_TRAMWAY</t>
  </si>
  <si>
    <t>ABRIBUS_V4</t>
  </si>
  <si>
    <t>AUTRE</t>
  </si>
  <si>
    <t>ABRIBUS_V5</t>
  </si>
  <si>
    <t>ABRIBUS_V3</t>
  </si>
  <si>
    <t>euh spiderman ou quoi</t>
  </si>
  <si>
    <t>ça bosse dur dis donc</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</si>
</sst>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
    <numFmt numFmtId="165" formatCode="dd.mm"/>
    <numFmt numFmtId="166" formatCode="d mmmm yyyy"/>
    <numFmt numFmtId="167" formatCode="yyyy-mm-dd"/>
    <numFmt numFmtId="168" formatCode="d mmmm"/>
    <numFmt numFmtId="169" formatCode="dmmmmyyyy"/>
    <numFmt numFmtId="170" formatCode="d mmmmyyyy"/>
  </numFmts>
  <fonts count="6">
    <font>
      <sz val="10.0"/>
      <color rgb="FF000000"/>
      <name val="Arial"/>
    </font>
    <font/>
    <font>
      <u/>
      <color rgb="FF0000FF"/>
    </font>
    <font>
      <i/>
    </font>
    <font>
      <color rgb="FF000000"/>
      <name val="Arial"/>
    </font>
    <font>
      <sz val="11.0"/>
      <color rgb="FF000000"/>
      <name val="Inconsolata"/>
    </font>
  </fonts>
  <fills count="3">
    <fill>
      <patternFill patternType="none"/>
    </fill>
    <fill>
      <patternFill patternType="lightGray"/>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164" xfId="0" applyFont="1" applyNumberFormat="1"/>
    <xf borderId="0" fillId="0" fontId="1" numFmtId="165" xfId="0" applyFont="1" applyNumberFormat="1"/>
    <xf borderId="0" fillId="0" fontId="1" numFmtId="49" xfId="0" applyFont="1" applyNumberFormat="1"/>
    <xf borderId="0" fillId="0" fontId="1" numFmtId="166" xfId="0" applyFont="1" applyNumberFormat="1"/>
    <xf borderId="0" fillId="0" fontId="1" numFmtId="0" xfId="0" applyAlignment="1" applyFont="1">
      <alignment readingOrder="0"/>
    </xf>
    <xf borderId="0" fillId="0" fontId="1" numFmtId="167" xfId="0" applyAlignment="1" applyFont="1" applyNumberFormat="1">
      <alignment readingOrder="0"/>
    </xf>
    <xf borderId="0" fillId="0" fontId="2" numFmtId="0" xfId="0" applyAlignment="1" applyFont="1">
      <alignment readingOrder="0"/>
    </xf>
    <xf borderId="0" fillId="0" fontId="1" numFmtId="168" xfId="0" applyFont="1" applyNumberFormat="1"/>
    <xf borderId="0" fillId="0" fontId="3" numFmtId="0" xfId="0" applyFont="1"/>
    <xf borderId="0" fillId="0" fontId="1" numFmtId="0" xfId="0" applyAlignment="1" applyFont="1">
      <alignment readingOrder="0"/>
    </xf>
    <xf borderId="0" fillId="2" fontId="4" numFmtId="0" xfId="0" applyAlignment="1" applyFill="1" applyFont="1">
      <alignment horizontal="left" readingOrder="0"/>
    </xf>
    <xf borderId="0" fillId="2" fontId="5" numFmtId="0" xfId="0" applyAlignment="1" applyFont="1">
      <alignment readingOrder="0"/>
    </xf>
    <xf borderId="0" fillId="0" fontId="1" numFmtId="169" xfId="0" applyFont="1" applyNumberFormat="1"/>
    <xf borderId="0" fillId="0" fontId="1" numFmtId="0" xfId="0" applyAlignment="1" applyFont="1">
      <alignment shrinkToFit="0" wrapText="1"/>
    </xf>
    <xf borderId="0" fillId="0" fontId="1" numFmtId="170" xfId="0" applyFont="1" applyNumberFormat="1"/>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pivotCacheDefinition" Target="pivotCache/pivotCacheDefinition1.xml"/><Relationship Id="rId36" Type="http://schemas.openxmlformats.org/officeDocument/2006/relationships/worksheet" Target="worksheets/sheet33.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09:C411" sheet="Thomas"/>
  </cacheSource>
  <cacheFields>
    <cacheField name="Pays" numFmtId="0">
      <sharedItems>
        <s v="Niger"/>
        <s v="Burundi"/>
        <s v="Mali"/>
        <s v="Somalie"/>
        <s v="Ouganda"/>
        <s v="Burkina Faso"/>
        <s v="Zambie"/>
        <s v="Malawi"/>
        <s v="Angola"/>
        <s v="Afghanistan"/>
        <s v="Soudan du Sud"/>
        <s v="Mozambique"/>
        <s v="Nigeria"/>
        <s v="Éthiopie"/>
        <s v="Timor oriental"/>
        <s v="Bénin"/>
        <s v="Tanzanie"/>
        <s v="Guinée"/>
        <s v="Sierra Leone"/>
        <s v="Cameroun"/>
        <s v="République du Congo"/>
        <s v="Liberia"/>
        <s v="République démocratique du Congo"/>
        <s v="Guinée équatoriale"/>
        <s v="Rwanda"/>
        <s v="Tchad"/>
        <s v="Togo"/>
        <s v="Gabon"/>
        <s v="Sao Tomé-et-Principe"/>
        <s v="Sénégal"/>
        <s v="République centrafricaine"/>
        <s v="Guinée-Bissau"/>
        <s v="Madagascar"/>
        <s v="Érythrée"/>
        <s v="Irak"/>
        <s v="Ghana"/>
        <s v="Sahara occidental"/>
        <s v="Mauritanie"/>
        <s v="Palestine"/>
        <s v="Yémen"/>
        <s v="Soudan"/>
        <s v="Gambie"/>
        <s v="Égypte"/>
        <s v="Zimbabwe"/>
        <s v="Comores"/>
        <s v="Côte d'Ivoire"/>
        <s v="Namibie"/>
        <s v="Îles Salomon"/>
        <s v="Jordanie"/>
        <s v="Tonga"/>
        <s v="Vanuatu"/>
        <s v="Kenya"/>
        <s v="Papouasie-Nouvelle-Guinée"/>
        <s v="Îles Marshall"/>
        <s v="Philippines"/>
        <s v="Tuvalu"/>
        <s v="Belize"/>
        <s v="Nauru"/>
        <s v="Oman"/>
        <s v="Guatemala"/>
        <s v="Haïti"/>
        <s v="Samoa"/>
        <s v="Laos"/>
        <s v="Algérie"/>
        <s v="Eswatini"/>
        <s v="Honduras"/>
        <s v="Bolivie"/>
        <s v="Lesotho"/>
        <s v="Pakistan"/>
        <s v="Tadjikistan"/>
        <s v="Israël"/>
        <s v="Kirghizistan"/>
        <s v="Cambodge"/>
        <s v="Syrie"/>
        <s v="Malaisie"/>
        <s v="États fédérés de Micronésie"/>
        <s v="Fidji"/>
        <s v="Koweït"/>
        <s v="Kiribati"/>
        <s v="*Moyenne mondiale*"/>
        <s v="Moyenne mondiale"/>
        <s v="Inde"/>
        <s v="Djibouti"/>
        <s v="Venezuela"/>
        <s v="Émirats arabes unis"/>
        <s v="Panama"/>
        <s v="Guam"/>
        <s v="Afrique du Sud"/>
        <s v="République dominicaine"/>
        <s v="Botswana"/>
        <s v="Argentine"/>
        <s v="Kazakhstan"/>
        <s v="Cap-Vert"/>
        <s v="Équateur"/>
        <s v="Bangladesh"/>
        <s v="Népal"/>
        <s v="Mexique"/>
        <s v="Pérou"/>
        <s v="Birmanie"/>
        <s v="Indonésie"/>
        <s v="Mongolie"/>
        <s v="Maroc"/>
        <s v="Arabie saoudite"/>
        <s v="Sri Lanka"/>
        <s v="Turkménistan"/>
        <s v="France"/>
        <s v="Dominique"/>
        <s v="Grenade"/>
        <s v="Guyana"/>
        <s v="Libye"/>
        <s v="Turquie"/>
        <s v="Nouvelle-Zélande"/>
        <s v="Colombie"/>
        <s v="Antigua-et-Barbuda"/>
        <s v="Islande"/>
        <s v="Jamaïque"/>
        <s v="Irlande"/>
        <s v="Tunisie"/>
        <s v="Corée du Nord"/>
        <s v="Suriname"/>
        <s v="Bahamas"/>
        <s v="Bhoutan"/>
        <s v="Nicaragua"/>
        <s v="Paraguay"/>
        <s v="Costa Rica"/>
        <s v="Qatar"/>
        <s v="Azerbaïdjan"/>
        <s v="Royaume-Uni"/>
        <s v="Salvador"/>
        <s v="Suède"/>
        <s v="États-Unis"/>
        <s v="Norvège"/>
        <s v="Seychelles"/>
        <s v="Iran"/>
        <s v="Viêt Nam"/>
        <s v="Chili"/>
        <s v="Saint-Vincent-et-les-Grenadines"/>
        <s v="Uruguay"/>
        <s v="Monténégro"/>
        <s v="Bahreïn"/>
        <s v="Belgique"/>
        <s v="Pays-Bas"/>
        <s v="Saint-Christophe-et-Niévès"/>
        <s v="Ouzbékistan"/>
        <s v="Australie"/>
        <s v="Brésil"/>
        <s v="Géorgie"/>
        <s v="Russie"/>
        <s v="Finlande"/>
        <s v="Sainte-Lucie"/>
        <s v="Maurice"/>
        <s v="Danemark"/>
        <s v="Maldives"/>
        <s v="Liban"/>
        <s v="Trinité-et-Tobago"/>
        <s v="Palaos"/>
        <s v="Cuba"/>
        <s v="Liechtenstein"/>
        <s v="Barbade"/>
        <s v="Arménie"/>
        <s v="Porto Rico"/>
        <s v="Tchéquie"/>
        <s v="Luxembourg"/>
        <s v="Macédoine du Nord"/>
        <s v="Chine"/>
        <s v="Canada"/>
        <s v="Estonie"/>
        <s v="Lituanie"/>
        <s v="Slovénie"/>
        <s v="Suisse"/>
        <s v="Malte"/>
        <s v="Ukraine"/>
        <s v="Monaco"/>
        <s v="Lettonie"/>
        <s v="Thaïlande"/>
        <s v="Albanie"/>
        <s v="Saint-Marin"/>
        <s v="Allemagne"/>
        <s v="Espagne"/>
        <s v="Biélorussie"/>
        <s v="Slovaquie"/>
        <s v="Chypre"/>
        <s v="Autriche"/>
        <s v="Bulgarie"/>
        <s v="Hongrie"/>
        <s v="Japon"/>
        <s v="Serbie"/>
        <s v="Italie"/>
        <s v="Grèce"/>
        <s v="Croatie"/>
        <s v="Andorre"/>
        <s v="Portugal"/>
        <s v="Pologne"/>
        <s v="Roumanie"/>
        <s v="Moldavie"/>
        <s v="Bosnie-Herzégovine"/>
        <s v="Corée du Sud"/>
        <s v="Hong Kong"/>
        <s v="Taïwan"/>
        <s v="Macao"/>
        <s v="Singapour"/>
      </sharedItems>
    </cacheField>
    <cacheField name="Taux de fécondité">
      <sharedItems containsMixedTypes="1" containsNumber="1">
        <n v="7.4"/>
        <n v="6.0"/>
        <n v="6.35"/>
        <n v="6.61"/>
        <n v="5.91"/>
        <n v="5.65"/>
        <n v="5.2"/>
        <n v="4.88"/>
        <n v="5.95"/>
        <n v="5.26"/>
        <n v="5.15"/>
        <n v="5.45"/>
        <n v="5.74"/>
        <n v="4.63"/>
        <n v="5.22"/>
        <n v="5.24"/>
        <n v="5.13"/>
        <n v="4.84"/>
        <n v="4.95"/>
        <n v="4.86"/>
        <n v="4.83"/>
        <n v="6.4"/>
        <n v="4.99"/>
        <n v="4.2"/>
        <n v="6.31"/>
        <n v="4.69"/>
        <n v="4.0"/>
        <n v="4.67"/>
        <n v="5.0"/>
        <n v="5.1"/>
        <n v="4.9"/>
        <n v="4.4"/>
        <n v="4.55"/>
        <n v="4.18"/>
        <n v="2.6"/>
        <n v="4.25"/>
        <n v="4.75"/>
        <n v="5.62"/>
        <n v="3.38"/>
        <n v="4.6"/>
        <n v="5.14"/>
        <n v="3.6"/>
        <n v="4.06"/>
        <n v="3.79"/>
        <n v="3.41"/>
        <n v="4.1"/>
        <n v="3.84"/>
        <n v="3.23"/>
        <n v="3.05"/>
        <n v="3.45"/>
        <n v="2.64"/>
        <n v="3.24"/>
        <n v="2.92"/>
        <n v="3.19"/>
        <n v="3.13"/>
        <n v="4.16"/>
        <n v="2.93"/>
        <n v="2.96"/>
        <n v="3.3"/>
        <n v="2.65"/>
        <n v="3.04"/>
        <n v="3.26"/>
        <n v="3.72"/>
        <n v="3.5"/>
        <n v="3.12"/>
        <n v="2.7"/>
        <n v="3.1"/>
        <n v="2.11"/>
        <n v="3.0"/>
        <n v="2.05"/>
        <s v="*2,47*"/>
        <s v="2,47"/>
        <n v="2.44"/>
        <n v="2.4"/>
        <n v="1.82"/>
        <n v="2.42"/>
        <n v="2.55"/>
        <n v="2.53"/>
        <n v="2.88"/>
        <n v="2.34"/>
        <n v="2.5"/>
        <n v="2.56"/>
        <n v="2.22"/>
        <n v="2.32"/>
        <n v="2.29"/>
        <n v="2.3"/>
        <n v="2.45"/>
        <n v="2.83"/>
        <n v="2.72"/>
        <n v="1.98"/>
        <n v="2.12"/>
        <n v="2.18"/>
        <n v="2.04"/>
        <n v="1.93"/>
        <n v="2.1"/>
        <n v="2.08"/>
        <n v="2.0"/>
        <n v="2.25"/>
        <n v="1.95"/>
        <n v="1.81"/>
        <n v="2.2"/>
        <n v="1.85"/>
        <n v="1.88"/>
        <n v="2.17"/>
        <n v="1.9"/>
        <n v="2.38"/>
        <n v="1.75"/>
        <n v="1.96"/>
        <n v="1.71"/>
        <n v="1.78"/>
        <n v="1.73"/>
        <n v="1.74"/>
        <n v="1.7"/>
        <n v="1.77"/>
        <n v="1.51"/>
        <n v="1.49"/>
        <n v="1.72"/>
        <n v="1.8"/>
        <n v="1.79"/>
        <n v="1.65"/>
        <n v="1.52"/>
        <n v="1.48"/>
        <n v="1.55"/>
        <n v="1.5"/>
        <n v="1.6"/>
        <n v="1.61"/>
        <n v="1.59"/>
        <n v="1.58"/>
        <n v="1.53"/>
        <n v="1.41"/>
        <n v="1.76"/>
        <n v="1.43"/>
        <n v="1.33"/>
        <n v="1.64"/>
        <n v="1.39"/>
        <n v="1.38"/>
        <n v="1.45"/>
        <n v="1.34"/>
        <n v="1.46"/>
        <n v="1.28"/>
        <n v="1.27"/>
        <n v="1.31"/>
        <n v="1.23"/>
        <n v="1.2"/>
        <n v="1.11"/>
        <n v="1.19"/>
      </sharedItems>
    </cacheField>
    <cacheField name="Taux de natalité (‰ hab)">
      <sharedItems containsMixedTypes="1" containsNumber="1">
        <n v="49.2"/>
        <n v="43.3"/>
        <n v="44.7"/>
        <n v="44.4"/>
        <n v="43.9"/>
        <n v="40.8"/>
        <n v="39.3"/>
        <n v="38.1"/>
        <n v="43.7"/>
        <n v="36.2"/>
        <n v="37.3"/>
        <n v="40.4"/>
        <n v="40.5"/>
        <n v="33.6"/>
        <n v="36.8"/>
        <n v="38.4"/>
        <n v="39.8"/>
        <n v="37.5"/>
        <n v="38.2"/>
        <n v="35.8"/>
        <n v="44.0"/>
        <n v="36.0"/>
        <n v="33.5"/>
        <n v="45.2"/>
        <n v="31.3"/>
        <n v="35.6"/>
        <n v="37.6"/>
        <n v="34.1"/>
        <n v="34.3"/>
        <n v="34.5"/>
        <n v="32.7"/>
        <n v="22.2"/>
        <n v="35.5"/>
        <n v="32.9"/>
        <n v="34.4"/>
        <n v="41.2"/>
        <n v="28.5"/>
        <n v="37.7"/>
        <n v="30.4"/>
        <n v="30.8"/>
        <n v="28.4"/>
        <n v="25.7"/>
        <n v="26.9"/>
        <n v="33.1"/>
        <n v="28.8"/>
        <n v="24.9"/>
        <n v="24.1"/>
        <n v="27.4"/>
        <n v="23.3"/>
        <n v="25.1"/>
        <n v="21.5"/>
        <n v="26.6"/>
        <n v="25.5"/>
        <n v="26.4"/>
        <n v="25.3"/>
        <n v="30.2"/>
        <n v="23.0"/>
        <n v="24.4"/>
        <n v="28.7"/>
        <n v="29.7"/>
        <n v="21.4"/>
        <n v="27.1"/>
        <n v="24.5"/>
        <n v="24.3"/>
        <n v="17.2"/>
        <n v="23.6"/>
        <n v="20.7"/>
        <n v="18.0"/>
        <n v="29.2"/>
        <s v="*19,6*"/>
        <s v="19,6"/>
        <n v="20.0"/>
        <n v="20.1"/>
        <n v="10.8"/>
        <n v="20.6"/>
        <n v="17.3"/>
        <n v="22.0"/>
        <n v="17.8"/>
        <n v="22.8"/>
        <n v="21.8"/>
        <n v="21.2"/>
        <n v="20.2"/>
        <n v="20.9"/>
        <n v="19.4"/>
        <n v="20.4"/>
        <n v="18.7"/>
        <n v="26.0"/>
        <n v="21.3"/>
        <n v="20.8"/>
        <n v="16.4"/>
        <n v="27.0"/>
        <n v="12.1"/>
        <n v="15.6"/>
        <n v="17.4"/>
        <n v="21.1"/>
        <n v="13.7"/>
        <n v="16.2"/>
        <n v="16.8"/>
        <n v="13.8"/>
        <n v="15.4"/>
        <n v="19.1"/>
        <n v="14.0"/>
        <n v="19.0"/>
        <n v="14.8"/>
        <n v="19.3"/>
        <n v="21.0"/>
        <n v="21.7"/>
        <n v="15.1"/>
        <n v="10.9"/>
        <n v="19.2"/>
        <n v="12.4"/>
        <n v="12.0"/>
        <n v="12.5"/>
        <n v="11.9"/>
        <n v="17.7"/>
        <n v="18.2"/>
        <n v="13.9"/>
        <n v="14.4"/>
        <n v="16.7"/>
        <n v="11.4"/>
        <n v="10.6"/>
        <n v="13.4"/>
        <n v="13.3"/>
        <n v="16.0"/>
        <n v="15.0"/>
        <n v="13.0"/>
        <n v="12.6"/>
        <n v="11.1"/>
        <n v="10.4"/>
        <n v="19.8"/>
        <n v="14.7"/>
        <n v="13.5"/>
        <n v="11.2"/>
        <n v="9.8"/>
        <n v="12.2"/>
        <n v="14.5"/>
        <n v="11.3"/>
        <n v="10.5"/>
        <n v="10.3"/>
        <n v="9.7"/>
        <n v="7.3"/>
        <n v="10.2"/>
        <n v="8.6"/>
        <n v="8.5"/>
        <n v="9.4"/>
        <n v="9.1"/>
        <n v="8.4"/>
        <n v="9.0"/>
        <n v="9.6"/>
        <n v="8.3"/>
        <n v="10.0"/>
        <n v="8.9"/>
        <n v="8.7"/>
        <n v="9.3"/>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2" cacheId="0" dataCaption="" compact="0" compactData="0">
  <location ref="A1:C203" firstHeaderRow="0" firstDataRow="2" firstDataCol="0"/>
  <pivotFields>
    <pivotField name="Pays" axis="axisRow" compact="0" outline="0" multipleItemSelectionAllowed="1" showAll="0" sortType="ascending">
      <items>
        <item x="79"/>
        <item x="9"/>
        <item x="87"/>
        <item x="175"/>
        <item x="63"/>
        <item x="177"/>
        <item x="190"/>
        <item x="8"/>
        <item x="113"/>
        <item x="102"/>
        <item x="90"/>
        <item x="159"/>
        <item x="144"/>
        <item x="182"/>
        <item x="126"/>
        <item x="120"/>
        <item x="139"/>
        <item x="94"/>
        <item x="158"/>
        <item x="140"/>
        <item x="56"/>
        <item x="15"/>
        <item x="121"/>
        <item x="179"/>
        <item x="98"/>
        <item x="66"/>
        <item x="195"/>
        <item x="89"/>
        <item x="145"/>
        <item x="183"/>
        <item x="5"/>
        <item x="1"/>
        <item x="72"/>
        <item x="19"/>
        <item x="165"/>
        <item x="92"/>
        <item x="135"/>
        <item x="164"/>
        <item x="181"/>
        <item x="112"/>
        <item x="44"/>
        <item x="118"/>
        <item x="196"/>
        <item x="124"/>
        <item x="45"/>
        <item x="189"/>
        <item x="156"/>
        <item x="151"/>
        <item x="82"/>
        <item x="106"/>
        <item x="42"/>
        <item x="84"/>
        <item x="93"/>
        <item x="33"/>
        <item x="178"/>
        <item x="166"/>
        <item x="64"/>
        <item x="75"/>
        <item x="130"/>
        <item x="13"/>
        <item x="76"/>
        <item x="148"/>
        <item x="105"/>
        <item x="27"/>
        <item x="41"/>
        <item x="146"/>
        <item x="35"/>
        <item x="188"/>
        <item x="107"/>
        <item x="86"/>
        <item x="59"/>
        <item x="17"/>
        <item x="23"/>
        <item x="31"/>
        <item x="108"/>
        <item x="60"/>
        <item x="65"/>
        <item x="197"/>
        <item x="184"/>
        <item x="53"/>
        <item x="47"/>
        <item x="81"/>
        <item x="99"/>
        <item x="34"/>
        <item x="133"/>
        <item x="116"/>
        <item x="114"/>
        <item x="70"/>
        <item x="187"/>
        <item x="115"/>
        <item x="185"/>
        <item x="48"/>
        <item x="91"/>
        <item x="51"/>
        <item x="71"/>
        <item x="78"/>
        <item x="77"/>
        <item x="62"/>
        <item x="67"/>
        <item x="173"/>
        <item x="153"/>
        <item x="21"/>
        <item x="109"/>
        <item x="157"/>
        <item x="167"/>
        <item x="162"/>
        <item x="199"/>
        <item x="163"/>
        <item x="32"/>
        <item x="74"/>
        <item x="7"/>
        <item x="152"/>
        <item x="2"/>
        <item x="170"/>
        <item x="101"/>
        <item x="150"/>
        <item x="37"/>
        <item x="96"/>
        <item x="194"/>
        <item x="172"/>
        <item x="100"/>
        <item x="138"/>
        <item x="80"/>
        <item x="11"/>
        <item x="46"/>
        <item x="57"/>
        <item x="95"/>
        <item x="122"/>
        <item x="0"/>
        <item x="12"/>
        <item x="131"/>
        <item x="111"/>
        <item x="58"/>
        <item x="4"/>
        <item x="143"/>
        <item x="68"/>
        <item x="155"/>
        <item x="38"/>
        <item x="85"/>
        <item x="52"/>
        <item x="123"/>
        <item x="141"/>
        <item x="97"/>
        <item x="54"/>
        <item x="192"/>
        <item x="160"/>
        <item x="191"/>
        <item x="125"/>
        <item x="30"/>
        <item x="22"/>
        <item x="88"/>
        <item x="20"/>
        <item x="193"/>
        <item x="127"/>
        <item x="147"/>
        <item x="24"/>
        <item x="36"/>
        <item x="142"/>
        <item x="176"/>
        <item x="136"/>
        <item x="149"/>
        <item x="128"/>
        <item x="61"/>
        <item x="28"/>
        <item x="29"/>
        <item x="186"/>
        <item x="132"/>
        <item x="18"/>
        <item x="200"/>
        <item x="180"/>
        <item x="168"/>
        <item x="3"/>
        <item x="40"/>
        <item x="10"/>
        <item x="103"/>
        <item x="129"/>
        <item x="169"/>
        <item x="119"/>
        <item x="73"/>
        <item x="69"/>
        <item x="198"/>
        <item x="16"/>
        <item x="25"/>
        <item x="161"/>
        <item x="174"/>
        <item x="14"/>
        <item x="26"/>
        <item x="49"/>
        <item x="154"/>
        <item x="117"/>
        <item x="104"/>
        <item x="110"/>
        <item x="55"/>
        <item x="171"/>
        <item x="137"/>
        <item x="50"/>
        <item x="83"/>
        <item x="134"/>
        <item x="39"/>
        <item x="6"/>
        <item x="43"/>
        <item t="default"/>
      </items>
    </pivotField>
    <pivotField name="Taux de fécondité"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name="Taux de natalité (‰ hab)"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t="default"/>
      </items>
    </pivotField>
  </pivotFields>
  <rowFields>
    <field x="0"/>
  </rowFields>
  <colFields>
    <field x="-2"/>
  </colFields>
  <dataFields>
    <dataField name="SUM of Taux de fécondité" fld="1" baseField="0"/>
    <dataField name="SUM of Taux de natalité (‰ hab)" fld="2" baseField="0"/>
  </dataFields>
</pivotTableDefinit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92" Type="http://schemas.openxmlformats.org/officeDocument/2006/relationships/hyperlink" Target="https://cdn.scnbdx.fr/web-afresco/BOGAMET/MET_ARR_2020-BM0899.pdf" TargetMode="External"/><Relationship Id="rId391" Type="http://schemas.openxmlformats.org/officeDocument/2006/relationships/hyperlink" Target="https://cdn.scnbdx.fr/web-afresco/BOGAMET/MET_ARR_2020-BM0899.pdf" TargetMode="External"/><Relationship Id="rId390" Type="http://schemas.openxmlformats.org/officeDocument/2006/relationships/hyperlink" Target="https://cdn.scnbdx.fr/web-afresco/BOGAMET/MET_ARR_2020-BM1544.pdf" TargetMode="External"/><Relationship Id="rId1" Type="http://schemas.openxmlformats.org/officeDocument/2006/relationships/hyperlink" Target="https://cdn.scnbdx.fr/web-afresco/BOGAMET/MET_ARR_2020-BM0642.pdf" TargetMode="External"/><Relationship Id="rId2" Type="http://schemas.openxmlformats.org/officeDocument/2006/relationships/hyperlink" Target="https://cdn.scnbdx.fr/web-afresco/BOGAMET/MET_ARR_2020-BM0642.pdf" TargetMode="External"/><Relationship Id="rId3" Type="http://schemas.openxmlformats.org/officeDocument/2006/relationships/hyperlink" Target="https://cdn.scnbdx.fr/web-afresco/BOGAMET/MET_ARR_2020-BM0615.pdf" TargetMode="External"/><Relationship Id="rId4" Type="http://schemas.openxmlformats.org/officeDocument/2006/relationships/hyperlink" Target="https://cdn.scnbdx.fr/web-afresco/BOGAMET/MET_ARR_2020-BM0615.pdf" TargetMode="External"/><Relationship Id="rId2180" Type="http://schemas.openxmlformats.org/officeDocument/2006/relationships/hyperlink" Target="https://cdn.scnbdx.fr/web-afresco/BOGAMET/MET_ARR_2020-BM1644.pdf" TargetMode="External"/><Relationship Id="rId2181" Type="http://schemas.openxmlformats.org/officeDocument/2006/relationships/hyperlink" Target="https://cdn.scnbdx.fr/web-afresco/BOGAMET/MET_ARR_2021-BM0012.pdf" TargetMode="External"/><Relationship Id="rId2182" Type="http://schemas.openxmlformats.org/officeDocument/2006/relationships/hyperlink" Target="https://cdn.scnbdx.fr/web-afresco/BOGAMET/MET_ARR_2021-BM0012.pdf" TargetMode="External"/><Relationship Id="rId2183" Type="http://schemas.openxmlformats.org/officeDocument/2006/relationships/hyperlink" Target="https://cdn.scnbdx.fr/web-afresco/BOGAMET/MET_ARR_2021-BM0015.pdf" TargetMode="External"/><Relationship Id="rId9" Type="http://schemas.openxmlformats.org/officeDocument/2006/relationships/hyperlink" Target="https://cdn.scnbdx.fr/web-afresco/BOGAMET/MET_ARR_2020-BM0637.pdf" TargetMode="External"/><Relationship Id="rId385" Type="http://schemas.openxmlformats.org/officeDocument/2006/relationships/hyperlink" Target="https://cdn.scnbdx.fr/web-afresco/BOGAMET/MET_ARR_2020-BM1402.pdf" TargetMode="External"/><Relationship Id="rId2184" Type="http://schemas.openxmlformats.org/officeDocument/2006/relationships/hyperlink" Target="https://cdn.scnbdx.fr/web-afresco/BOGAMET/MET_ARR_2021-BM0015.pdf" TargetMode="External"/><Relationship Id="rId384" Type="http://schemas.openxmlformats.org/officeDocument/2006/relationships/hyperlink" Target="https://cdn.scnbdx.fr/web-afresco/BOGAMET/MET_ARR_2020-BM1379.pdf" TargetMode="External"/><Relationship Id="rId2185" Type="http://schemas.openxmlformats.org/officeDocument/2006/relationships/hyperlink" Target="https://cdn.scnbdx.fr/web-afresco/BOGAMET/MET_ARR_2021-BM0042.pdf" TargetMode="External"/><Relationship Id="rId383" Type="http://schemas.openxmlformats.org/officeDocument/2006/relationships/hyperlink" Target="https://cdn.scnbdx.fr/web-afresco/BOGAMET/MET_ARR_2020-BM1379.pdf" TargetMode="External"/><Relationship Id="rId2186" Type="http://schemas.openxmlformats.org/officeDocument/2006/relationships/hyperlink" Target="https://cdn.scnbdx.fr/web-afresco/BOGAMET/MET_ARR_2021-BM0042.pdf" TargetMode="External"/><Relationship Id="rId382" Type="http://schemas.openxmlformats.org/officeDocument/2006/relationships/hyperlink" Target="https://cdn.scnbdx.fr/web-afresco/BOGAMET/MET_ARR_2021-BM0608.pdf" TargetMode="External"/><Relationship Id="rId2187" Type="http://schemas.openxmlformats.org/officeDocument/2006/relationships/hyperlink" Target="https://cdn.scnbdx.fr/web-afresco/BOGAMET/MET_ARR_2021-BM0043.pdf" TargetMode="External"/><Relationship Id="rId5" Type="http://schemas.openxmlformats.org/officeDocument/2006/relationships/hyperlink" Target="https://cdn.scnbdx.fr/web-afresco/BOGAMET/MET_ARR_2020-BM0528.pdf" TargetMode="External"/><Relationship Id="rId389" Type="http://schemas.openxmlformats.org/officeDocument/2006/relationships/hyperlink" Target="https://cdn.scnbdx.fr/web-afresco/BOGAMET/MET_ARR_2020-BM1544.pdf" TargetMode="External"/><Relationship Id="rId2188" Type="http://schemas.openxmlformats.org/officeDocument/2006/relationships/hyperlink" Target="https://cdn.scnbdx.fr/web-afresco/BOGAMET/MET_ARR_2021-BM0043.pdf" TargetMode="External"/><Relationship Id="rId6" Type="http://schemas.openxmlformats.org/officeDocument/2006/relationships/hyperlink" Target="https://cdn.scnbdx.fr/web-afresco/BOGAMET/MET_ARR_2020-BM0528.pdf" TargetMode="External"/><Relationship Id="rId388" Type="http://schemas.openxmlformats.org/officeDocument/2006/relationships/hyperlink" Target="https://cdn.scnbdx.fr/web-afresco/BOGAMET/MET_ARR_2020-BM1527.pdf" TargetMode="External"/><Relationship Id="rId2189" Type="http://schemas.openxmlformats.org/officeDocument/2006/relationships/hyperlink" Target="https://cdn.scnbdx.fr/web-afresco/BOGAMET/MET_ARR_2021-BM0045.pdf" TargetMode="External"/><Relationship Id="rId7" Type="http://schemas.openxmlformats.org/officeDocument/2006/relationships/hyperlink" Target="https://cdn.scnbdx.fr/web-afresco/BOGAMET/MET_ARR_2020-BM0636.pdf" TargetMode="External"/><Relationship Id="rId387" Type="http://schemas.openxmlformats.org/officeDocument/2006/relationships/hyperlink" Target="https://cdn.scnbdx.fr/web-afresco/BOGAMET/MET_ARR_2020-BM1527.pdf" TargetMode="External"/><Relationship Id="rId8" Type="http://schemas.openxmlformats.org/officeDocument/2006/relationships/hyperlink" Target="https://cdn.scnbdx.fr/web-afresco/BOGAMET/MET_ARR_2020-BM0636.pdf" TargetMode="External"/><Relationship Id="rId386" Type="http://schemas.openxmlformats.org/officeDocument/2006/relationships/hyperlink" Target="https://cdn.scnbdx.fr/web-afresco/BOGAMET/MET_ARR_2020-BM1402.pdf" TargetMode="External"/><Relationship Id="rId381" Type="http://schemas.openxmlformats.org/officeDocument/2006/relationships/hyperlink" Target="https://cdn.scnbdx.fr/web-afresco/BOGAMET/MET_ARR_2021-BM0608.pdf" TargetMode="External"/><Relationship Id="rId380" Type="http://schemas.openxmlformats.org/officeDocument/2006/relationships/hyperlink" Target="https://cdn.scnbdx.fr/web-afresco/BOGAMET/MET_ARR_2020-BM1528.pdf" TargetMode="External"/><Relationship Id="rId379" Type="http://schemas.openxmlformats.org/officeDocument/2006/relationships/hyperlink" Target="https://cdn.scnbdx.fr/web-afresco/BOGAMET/MET_ARR_2020-BM1528.pdf" TargetMode="External"/><Relationship Id="rId2170" Type="http://schemas.openxmlformats.org/officeDocument/2006/relationships/hyperlink" Target="https://cdn.scnbdx.fr/web-afresco/BOGAMET/MET_ARR_2021-BM0021.pdf" TargetMode="External"/><Relationship Id="rId2171" Type="http://schemas.openxmlformats.org/officeDocument/2006/relationships/hyperlink" Target="https://cdn.scnbdx.fr/web-afresco/BOGAMET/MET_ARR_2021-BM0215.pdf" TargetMode="External"/><Relationship Id="rId2172" Type="http://schemas.openxmlformats.org/officeDocument/2006/relationships/hyperlink" Target="https://cdn.scnbdx.fr/web-afresco/BOGAMET/MET_ARR_2021-BM0215.pdf" TargetMode="External"/><Relationship Id="rId374" Type="http://schemas.openxmlformats.org/officeDocument/2006/relationships/hyperlink" Target="https://cdn.scnbdx.fr/web-afresco/BOGAMET/MET_ARR_2020-BM1497.pdf" TargetMode="External"/><Relationship Id="rId2173" Type="http://schemas.openxmlformats.org/officeDocument/2006/relationships/hyperlink" Target="https://cdn.scnbdx.fr/web-afresco/BOGAMET/MET_ARR_2021-BM0125.pdf" TargetMode="External"/><Relationship Id="rId373" Type="http://schemas.openxmlformats.org/officeDocument/2006/relationships/hyperlink" Target="https://cdn.scnbdx.fr/web-afresco/BOGAMET/MET_ARR_2020-BM1497.pdf" TargetMode="External"/><Relationship Id="rId2174" Type="http://schemas.openxmlformats.org/officeDocument/2006/relationships/hyperlink" Target="https://cdn.scnbdx.fr/web-afresco/BOGAMET/MET_ARR_2021-BM0125.pdf" TargetMode="External"/><Relationship Id="rId372" Type="http://schemas.openxmlformats.org/officeDocument/2006/relationships/hyperlink" Target="https://cdn.scnbdx.fr/web-afresco/BOGAMET/MET_ARR_2020-BM1490.pdf" TargetMode="External"/><Relationship Id="rId2175" Type="http://schemas.openxmlformats.org/officeDocument/2006/relationships/hyperlink" Target="https://cdn.scnbdx.fr/web-afresco/BOGAMET/MET_ARR_2021-BM0170.pdf" TargetMode="External"/><Relationship Id="rId371" Type="http://schemas.openxmlformats.org/officeDocument/2006/relationships/hyperlink" Target="https://cdn.scnbdx.fr/web-afresco/BOGAMET/MET_ARR_2020-BM1490.pdf" TargetMode="External"/><Relationship Id="rId2176" Type="http://schemas.openxmlformats.org/officeDocument/2006/relationships/hyperlink" Target="https://cdn.scnbdx.fr/web-afresco/BOGAMET/MET_ARR_2021-BM0170.pdf" TargetMode="External"/><Relationship Id="rId378" Type="http://schemas.openxmlformats.org/officeDocument/2006/relationships/hyperlink" Target="https://cdn.scnbdx.fr/web-afresco/BOGAMET/MET_ARR_2020-BM1500.pdf" TargetMode="External"/><Relationship Id="rId2177" Type="http://schemas.openxmlformats.org/officeDocument/2006/relationships/hyperlink" Target="https://cdn.scnbdx.fr/web-afresco/BOGAMET/MET_ARR_2021-BM0218.pdf" TargetMode="External"/><Relationship Id="rId377" Type="http://schemas.openxmlformats.org/officeDocument/2006/relationships/hyperlink" Target="https://cdn.scnbdx.fr/web-afresco/BOGAMET/MET_ARR_2020-BM1500.pdf" TargetMode="External"/><Relationship Id="rId2178" Type="http://schemas.openxmlformats.org/officeDocument/2006/relationships/hyperlink" Target="https://cdn.scnbdx.fr/web-afresco/BOGAMET/MET_ARR_2021-BM0218.pdf" TargetMode="External"/><Relationship Id="rId376" Type="http://schemas.openxmlformats.org/officeDocument/2006/relationships/hyperlink" Target="https://cdn.scnbdx.fr/web-afresco/BOGAMET/MET_ARR_2021-BM0389.pdf" TargetMode="External"/><Relationship Id="rId2179" Type="http://schemas.openxmlformats.org/officeDocument/2006/relationships/hyperlink" Target="https://cdn.scnbdx.fr/web-afresco/BOGAMET/MET_ARR_2020-BM1644.pdf" TargetMode="External"/><Relationship Id="rId375" Type="http://schemas.openxmlformats.org/officeDocument/2006/relationships/hyperlink" Target="https://cdn.scnbdx.fr/web-afresco/BOGAMET/MET_ARR_2021-BM0389.pdf" TargetMode="External"/><Relationship Id="rId2190" Type="http://schemas.openxmlformats.org/officeDocument/2006/relationships/hyperlink" Target="https://cdn.scnbdx.fr/web-afresco/BOGAMET/MET_ARR_2021-BM0045.pdf" TargetMode="External"/><Relationship Id="rId2191" Type="http://schemas.openxmlformats.org/officeDocument/2006/relationships/hyperlink" Target="https://cdn.scnbdx.fr/web-afresco/BOGAMET/MET_ARR_2021-BM0050.pdf" TargetMode="External"/><Relationship Id="rId2192" Type="http://schemas.openxmlformats.org/officeDocument/2006/relationships/hyperlink" Target="https://cdn.scnbdx.fr/web-afresco/BOGAMET/MET_ARR_2021-BM0050.pdf" TargetMode="External"/><Relationship Id="rId2193" Type="http://schemas.openxmlformats.org/officeDocument/2006/relationships/hyperlink" Target="https://cdn.scnbdx.fr/web-afresco/BOGAMET/MET_ARR_2021-BM0051.pdf" TargetMode="External"/><Relationship Id="rId2194" Type="http://schemas.openxmlformats.org/officeDocument/2006/relationships/hyperlink" Target="https://cdn.scnbdx.fr/web-afresco/BOGAMET/MET_ARR_2021-BM0051.pdf" TargetMode="External"/><Relationship Id="rId396" Type="http://schemas.openxmlformats.org/officeDocument/2006/relationships/hyperlink" Target="https://cdn.scnbdx.fr/web-afresco/BOGAMET/MET_ARR_2020-BM1602.pdf" TargetMode="External"/><Relationship Id="rId2195" Type="http://schemas.openxmlformats.org/officeDocument/2006/relationships/hyperlink" Target="https://cdn.scnbdx.fr/web-afresco/BOGAMET/MET_ARR_2021-BM0054.pdf" TargetMode="External"/><Relationship Id="rId395" Type="http://schemas.openxmlformats.org/officeDocument/2006/relationships/hyperlink" Target="https://cdn.scnbdx.fr/web-afresco/BOGAMET/MET_ARR_2020-BM1602.pdf" TargetMode="External"/><Relationship Id="rId2196" Type="http://schemas.openxmlformats.org/officeDocument/2006/relationships/hyperlink" Target="https://cdn.scnbdx.fr/web-afresco/BOGAMET/MET_ARR_2021-BM0054.pdf" TargetMode="External"/><Relationship Id="rId394" Type="http://schemas.openxmlformats.org/officeDocument/2006/relationships/hyperlink" Target="https://cdn.scnbdx.fr/web-afresco/BOGAMET/MET_ARR_2020-BM1575.pdf" TargetMode="External"/><Relationship Id="rId2197" Type="http://schemas.openxmlformats.org/officeDocument/2006/relationships/hyperlink" Target="https://cdn.scnbdx.fr/web-afresco/BOGAMET/MET_ARR_2021-BM0056.pdf" TargetMode="External"/><Relationship Id="rId393" Type="http://schemas.openxmlformats.org/officeDocument/2006/relationships/hyperlink" Target="https://cdn.scnbdx.fr/web-afresco/BOGAMET/MET_ARR_2020-BM1575.pdf" TargetMode="External"/><Relationship Id="rId2198" Type="http://schemas.openxmlformats.org/officeDocument/2006/relationships/hyperlink" Target="https://cdn.scnbdx.fr/web-afresco/BOGAMET/MET_ARR_2021-BM0056.pdf" TargetMode="External"/><Relationship Id="rId2199" Type="http://schemas.openxmlformats.org/officeDocument/2006/relationships/hyperlink" Target="https://cdn.scnbdx.fr/web-afresco/BOGAMET/MET_ARR_2021-BM0304.pdf" TargetMode="External"/><Relationship Id="rId399" Type="http://schemas.openxmlformats.org/officeDocument/2006/relationships/hyperlink" Target="https://cdn.scnbdx.fr/web-afresco/BOGAMET/MET_ARR_2020-BM1569.pdf" TargetMode="External"/><Relationship Id="rId398" Type="http://schemas.openxmlformats.org/officeDocument/2006/relationships/hyperlink" Target="https://cdn.scnbdx.fr/web-afresco/BOGAMET/MET_ARR_2021-BM0006.pdf" TargetMode="External"/><Relationship Id="rId397" Type="http://schemas.openxmlformats.org/officeDocument/2006/relationships/hyperlink" Target="https://cdn.scnbdx.fr/web-afresco/BOGAMET/MET_ARR_2021-BM0006.pdf" TargetMode="External"/><Relationship Id="rId1730" Type="http://schemas.openxmlformats.org/officeDocument/2006/relationships/hyperlink" Target="https://cdn.scnbdx.fr/web-afresco/BOGAMET/MET_ARR_2020-BM0793.pdf" TargetMode="External"/><Relationship Id="rId1731" Type="http://schemas.openxmlformats.org/officeDocument/2006/relationships/hyperlink" Target="https://cdn.scnbdx.fr/web-afresco/BOGAMET/MET_ARR_2020-BM0798.pdf" TargetMode="External"/><Relationship Id="rId1732" Type="http://schemas.openxmlformats.org/officeDocument/2006/relationships/hyperlink" Target="https://cdn.scnbdx.fr/web-afresco/BOGAMET/MET_ARR_2020-BM0798.pdf" TargetMode="External"/><Relationship Id="rId1733" Type="http://schemas.openxmlformats.org/officeDocument/2006/relationships/hyperlink" Target="https://cdn.scnbdx.fr/web-afresco/BOGAMET/MET_ARR_2020-BM0799.pdf" TargetMode="External"/><Relationship Id="rId1734" Type="http://schemas.openxmlformats.org/officeDocument/2006/relationships/hyperlink" Target="https://cdn.scnbdx.fr/web-afresco/BOGAMET/MET_ARR_2020-BM0799.pdf" TargetMode="External"/><Relationship Id="rId1735" Type="http://schemas.openxmlformats.org/officeDocument/2006/relationships/hyperlink" Target="https://cdn.scnbdx.fr/web-afresco/BOGAMET/MET_ARR_2020-BM0800.pdf" TargetMode="External"/><Relationship Id="rId1736" Type="http://schemas.openxmlformats.org/officeDocument/2006/relationships/hyperlink" Target="https://cdn.scnbdx.fr/web-afresco/BOGAMET/MET_ARR_2020-BM0800.pdf" TargetMode="External"/><Relationship Id="rId1737" Type="http://schemas.openxmlformats.org/officeDocument/2006/relationships/hyperlink" Target="https://cdn.scnbdx.fr/web-afresco/BOGAMET/MET_ARR_2020-BM0803.pdf" TargetMode="External"/><Relationship Id="rId1738" Type="http://schemas.openxmlformats.org/officeDocument/2006/relationships/hyperlink" Target="https://cdn.scnbdx.fr/web-afresco/BOGAMET/MET_ARR_2020-BM0803.pdf" TargetMode="External"/><Relationship Id="rId1739" Type="http://schemas.openxmlformats.org/officeDocument/2006/relationships/hyperlink" Target="https://cdn.scnbdx.fr/web-afresco/BOGAMET/MET_ARR_2020-BM0804.pdf" TargetMode="External"/><Relationship Id="rId1720" Type="http://schemas.openxmlformats.org/officeDocument/2006/relationships/hyperlink" Target="https://cdn.scnbdx.fr/web-afresco/BOGAMET/MET_ARR_2020-BM0775.pdf" TargetMode="External"/><Relationship Id="rId1721" Type="http://schemas.openxmlformats.org/officeDocument/2006/relationships/hyperlink" Target="https://cdn.scnbdx.fr/web-afresco/BOGAMET/MET_ARR_2020-BM0776.pdf" TargetMode="External"/><Relationship Id="rId1722" Type="http://schemas.openxmlformats.org/officeDocument/2006/relationships/hyperlink" Target="https://cdn.scnbdx.fr/web-afresco/BOGAMET/MET_ARR_2020-BM0776.pdf" TargetMode="External"/><Relationship Id="rId1723" Type="http://schemas.openxmlformats.org/officeDocument/2006/relationships/hyperlink" Target="https://cdn.scnbdx.fr/web-afresco/BOGAMET/MET_ARR_2020-BM0777.pdf" TargetMode="External"/><Relationship Id="rId1724" Type="http://schemas.openxmlformats.org/officeDocument/2006/relationships/hyperlink" Target="https://cdn.scnbdx.fr/web-afresco/BOGAMET/MET_ARR_2020-BM0777.pdf" TargetMode="External"/><Relationship Id="rId1725" Type="http://schemas.openxmlformats.org/officeDocument/2006/relationships/hyperlink" Target="https://cdn.scnbdx.fr/web-afresco/BOGAMET/MET_ARR_2020-BM0781.pdf" TargetMode="External"/><Relationship Id="rId1726" Type="http://schemas.openxmlformats.org/officeDocument/2006/relationships/hyperlink" Target="https://cdn.scnbdx.fr/web-afresco/BOGAMET/MET_ARR_2020-BM0781.pdf" TargetMode="External"/><Relationship Id="rId1727" Type="http://schemas.openxmlformats.org/officeDocument/2006/relationships/hyperlink" Target="https://cdn.scnbdx.fr/web-afresco/BOGAMET/MET_ARR_2020-BM0782.pdf" TargetMode="External"/><Relationship Id="rId1728" Type="http://schemas.openxmlformats.org/officeDocument/2006/relationships/hyperlink" Target="https://cdn.scnbdx.fr/web-afresco/BOGAMET/MET_ARR_2020-BM0782.pdf" TargetMode="External"/><Relationship Id="rId1729" Type="http://schemas.openxmlformats.org/officeDocument/2006/relationships/hyperlink" Target="https://cdn.scnbdx.fr/web-afresco/BOGAMET/MET_ARR_2020-BM0793.pdf" TargetMode="External"/><Relationship Id="rId1752" Type="http://schemas.openxmlformats.org/officeDocument/2006/relationships/hyperlink" Target="https://cdn.scnbdx.fr/web-afresco/BOGAMET/MET_ARR_2020-BM0740.pdf" TargetMode="External"/><Relationship Id="rId1753" Type="http://schemas.openxmlformats.org/officeDocument/2006/relationships/hyperlink" Target="https://cdn.scnbdx.fr/web-afresco/BOGAMET/MET_ARR_2020-BM0742.pdf" TargetMode="External"/><Relationship Id="rId2600" Type="http://schemas.openxmlformats.org/officeDocument/2006/relationships/hyperlink" Target="https://cdn.scnbdx.fr/web-afresco/BOGAMET/MET_ARR_2021-BM1568.pdf" TargetMode="External"/><Relationship Id="rId1754" Type="http://schemas.openxmlformats.org/officeDocument/2006/relationships/hyperlink" Target="https://cdn.scnbdx.fr/web-afresco/BOGAMET/MET_ARR_2020-BM0742.pdf" TargetMode="External"/><Relationship Id="rId2601" Type="http://schemas.openxmlformats.org/officeDocument/2006/relationships/hyperlink" Target="https://cdn.scnbdx.fr/web-afresco/BOGAMET/MET_ARR_2021-BM1429.pdf" TargetMode="External"/><Relationship Id="rId1755" Type="http://schemas.openxmlformats.org/officeDocument/2006/relationships/hyperlink" Target="https://cdn.scnbdx.fr/web-afresco/BOGAMET/MET_ARR_2020-BM0743.pdf" TargetMode="External"/><Relationship Id="rId2602" Type="http://schemas.openxmlformats.org/officeDocument/2006/relationships/hyperlink" Target="https://cdn.scnbdx.fr/web-afresco/BOGAMET/MET_ARR_2021-BM1429.pdf" TargetMode="External"/><Relationship Id="rId1756" Type="http://schemas.openxmlformats.org/officeDocument/2006/relationships/hyperlink" Target="https://cdn.scnbdx.fr/web-afresco/BOGAMET/MET_ARR_2020-BM0743.pdf" TargetMode="External"/><Relationship Id="rId2603" Type="http://schemas.openxmlformats.org/officeDocument/2006/relationships/hyperlink" Target="https://cdn.scnbdx.fr/web-afresco/BOGAMET/MET_ARR_2021-BM1615.pdf" TargetMode="External"/><Relationship Id="rId1757" Type="http://schemas.openxmlformats.org/officeDocument/2006/relationships/hyperlink" Target="https://cdn.scnbdx.fr/web-afresco/BOGAMET/MET_ARR_2020-BM0745.pdf" TargetMode="External"/><Relationship Id="rId2604" Type="http://schemas.openxmlformats.org/officeDocument/2006/relationships/hyperlink" Target="https://cdn.scnbdx.fr/web-afresco/BOGAMET/MET_ARR_2021-BM1615.pdf" TargetMode="External"/><Relationship Id="rId1758" Type="http://schemas.openxmlformats.org/officeDocument/2006/relationships/hyperlink" Target="https://cdn.scnbdx.fr/web-afresco/BOGAMET/MET_ARR_2020-BM0745.pdf" TargetMode="External"/><Relationship Id="rId2605" Type="http://schemas.openxmlformats.org/officeDocument/2006/relationships/hyperlink" Target="https://cdn.scnbdx.fr/web-afresco/BOGAMET/MET_ARR_2021-BM1487.pdf" TargetMode="External"/><Relationship Id="rId1759" Type="http://schemas.openxmlformats.org/officeDocument/2006/relationships/hyperlink" Target="https://cdn.scnbdx.fr/web-afresco/BOGAMET/MET_ARR_2020-BM0750.pdf" TargetMode="External"/><Relationship Id="rId2606" Type="http://schemas.openxmlformats.org/officeDocument/2006/relationships/hyperlink" Target="https://cdn.scnbdx.fr/web-afresco/BOGAMET/MET_ARR_2021-BM1487.pdf" TargetMode="External"/><Relationship Id="rId808" Type="http://schemas.openxmlformats.org/officeDocument/2006/relationships/hyperlink" Target="https://cdn.scnbdx.fr/web-afresco/BOGAMET/MET_ARR_2021-BM1550.pdf" TargetMode="External"/><Relationship Id="rId2607" Type="http://schemas.openxmlformats.org/officeDocument/2006/relationships/hyperlink" Target="https://cdn.scnbdx.fr/web-afresco/BOGAMET/MET_ARR_2021-BM1488.pdf" TargetMode="External"/><Relationship Id="rId807" Type="http://schemas.openxmlformats.org/officeDocument/2006/relationships/hyperlink" Target="https://cdn.scnbdx.fr/web-afresco/BOGAMET/MET_ARR_2021-BM1550.pdf" TargetMode="External"/><Relationship Id="rId2608" Type="http://schemas.openxmlformats.org/officeDocument/2006/relationships/hyperlink" Target="https://cdn.scnbdx.fr/web-afresco/BOGAMET/MET_ARR_2021-BM1488.pdf" TargetMode="External"/><Relationship Id="rId806" Type="http://schemas.openxmlformats.org/officeDocument/2006/relationships/hyperlink" Target="https://cdn.scnbdx.fr/web-afresco/BOGAMET/MET_ARR_2021-BM1549.pdf" TargetMode="External"/><Relationship Id="rId2609" Type="http://schemas.openxmlformats.org/officeDocument/2006/relationships/drawing" Target="../drawings/drawing7.xml"/><Relationship Id="rId805" Type="http://schemas.openxmlformats.org/officeDocument/2006/relationships/hyperlink" Target="https://cdn.scnbdx.fr/web-afresco/BOGAMET/MET_ARR_2021-BM1549.pdf" TargetMode="External"/><Relationship Id="rId809" Type="http://schemas.openxmlformats.org/officeDocument/2006/relationships/hyperlink" Target="https://cdn.scnbdx.fr/web-afresco/BOGAMET/MET_ARR_2021-BM1572.pdf" TargetMode="External"/><Relationship Id="rId800" Type="http://schemas.openxmlformats.org/officeDocument/2006/relationships/hyperlink" Target="https://cdn.scnbdx.fr/web-afresco/BOGAMET/MET_ARR_2021-BM1596.pdf" TargetMode="External"/><Relationship Id="rId804" Type="http://schemas.openxmlformats.org/officeDocument/2006/relationships/hyperlink" Target="https://cdn.scnbdx.fr/web-afresco/BOGAMET/MET_ARR_2021-BM1531.pdf" TargetMode="External"/><Relationship Id="rId803" Type="http://schemas.openxmlformats.org/officeDocument/2006/relationships/hyperlink" Target="https://cdn.scnbdx.fr/web-afresco/BOGAMET/MET_ARR_2021-BM1531.pdf" TargetMode="External"/><Relationship Id="rId802" Type="http://schemas.openxmlformats.org/officeDocument/2006/relationships/hyperlink" Target="https://cdn.scnbdx.fr/web-afresco/BOGAMET/MET_ARR_2021-BM1598.pdf" TargetMode="External"/><Relationship Id="rId801" Type="http://schemas.openxmlformats.org/officeDocument/2006/relationships/hyperlink" Target="https://cdn.scnbdx.fr/web-afresco/BOGAMET/MET_ARR_2021-BM1598.pdf" TargetMode="External"/><Relationship Id="rId1750" Type="http://schemas.openxmlformats.org/officeDocument/2006/relationships/hyperlink" Target="https://cdn.scnbdx.fr/web-afresco/BOGAMET/MET_ARR_2020-BM0739.pdf" TargetMode="External"/><Relationship Id="rId1751" Type="http://schemas.openxmlformats.org/officeDocument/2006/relationships/hyperlink" Target="https://cdn.scnbdx.fr/web-afresco/BOGAMET/MET_ARR_2020-BM0740.pdf" TargetMode="External"/><Relationship Id="rId1741" Type="http://schemas.openxmlformats.org/officeDocument/2006/relationships/hyperlink" Target="https://cdn.scnbdx.fr/web-afresco/BOGAMET/MET_ARR_2020-BM0807.pdf" TargetMode="External"/><Relationship Id="rId1742" Type="http://schemas.openxmlformats.org/officeDocument/2006/relationships/hyperlink" Target="https://cdn.scnbdx.fr/web-afresco/BOGAMET/MET_ARR_2020-BM0807.pdf" TargetMode="External"/><Relationship Id="rId1743" Type="http://schemas.openxmlformats.org/officeDocument/2006/relationships/hyperlink" Target="https://cdn.scnbdx.fr/web-afresco/BOGAMET/MET_ARR_2020-BM0724.pdf" TargetMode="External"/><Relationship Id="rId1744" Type="http://schemas.openxmlformats.org/officeDocument/2006/relationships/hyperlink" Target="https://cdn.scnbdx.fr/web-afresco/BOGAMET/MET_ARR_2020-BM0724.pdf" TargetMode="External"/><Relationship Id="rId1745" Type="http://schemas.openxmlformats.org/officeDocument/2006/relationships/hyperlink" Target="https://cdn.scnbdx.fr/web-afresco/BOGAMET/MET_ARR_2020-BM0730.pdf" TargetMode="External"/><Relationship Id="rId1746" Type="http://schemas.openxmlformats.org/officeDocument/2006/relationships/hyperlink" Target="https://cdn.scnbdx.fr/web-afresco/BOGAMET/MET_ARR_2020-BM0730.pdf" TargetMode="External"/><Relationship Id="rId1747" Type="http://schemas.openxmlformats.org/officeDocument/2006/relationships/hyperlink" Target="https://cdn.scnbdx.fr/web-afresco/BOGAMET/MET_ARR_2020-BM0732.pdf" TargetMode="External"/><Relationship Id="rId1748" Type="http://schemas.openxmlformats.org/officeDocument/2006/relationships/hyperlink" Target="https://cdn.scnbdx.fr/web-afresco/BOGAMET/MET_ARR_2020-BM0732.pdf" TargetMode="External"/><Relationship Id="rId1749" Type="http://schemas.openxmlformats.org/officeDocument/2006/relationships/hyperlink" Target="https://cdn.scnbdx.fr/web-afresco/BOGAMET/MET_ARR_2020-BM0739.pdf" TargetMode="External"/><Relationship Id="rId1740" Type="http://schemas.openxmlformats.org/officeDocument/2006/relationships/hyperlink" Target="https://cdn.scnbdx.fr/web-afresco/BOGAMET/MET_ARR_2020-BM0804.pdf" TargetMode="External"/><Relationship Id="rId1710" Type="http://schemas.openxmlformats.org/officeDocument/2006/relationships/hyperlink" Target="https://cdn.scnbdx.fr/web-afresco/BOGAMET/MET_ARR_2020-BM0695.pdf" TargetMode="External"/><Relationship Id="rId1711" Type="http://schemas.openxmlformats.org/officeDocument/2006/relationships/hyperlink" Target="https://cdn.scnbdx.fr/web-afresco/BOGAMET/MET_ARR_2020-BM0677.pdf" TargetMode="External"/><Relationship Id="rId1712" Type="http://schemas.openxmlformats.org/officeDocument/2006/relationships/hyperlink" Target="https://cdn.scnbdx.fr/web-afresco/BOGAMET/MET_ARR_2020-BM0677.pdf" TargetMode="External"/><Relationship Id="rId1713" Type="http://schemas.openxmlformats.org/officeDocument/2006/relationships/hyperlink" Target="https://cdn.scnbdx.fr/web-afresco/BOGAMET/MET_ARR_2020-BM0769.pdf" TargetMode="External"/><Relationship Id="rId1714" Type="http://schemas.openxmlformats.org/officeDocument/2006/relationships/hyperlink" Target="https://cdn.scnbdx.fr/web-afresco/BOGAMET/MET_ARR_2020-BM0769.pdf" TargetMode="External"/><Relationship Id="rId1715" Type="http://schemas.openxmlformats.org/officeDocument/2006/relationships/hyperlink" Target="https://cdn.scnbdx.fr/web-afresco/BOGAMET/MET_ARR_2020-BM0770.pdf" TargetMode="External"/><Relationship Id="rId1716" Type="http://schemas.openxmlformats.org/officeDocument/2006/relationships/hyperlink" Target="https://cdn.scnbdx.fr/web-afresco/BOGAMET/MET_ARR_2020-BM0770.pdf" TargetMode="External"/><Relationship Id="rId1717" Type="http://schemas.openxmlformats.org/officeDocument/2006/relationships/hyperlink" Target="https://cdn.scnbdx.fr/web-afresco/BOGAMET/MET_ARR_2020-BM0774.pdf" TargetMode="External"/><Relationship Id="rId1718" Type="http://schemas.openxmlformats.org/officeDocument/2006/relationships/hyperlink" Target="https://cdn.scnbdx.fr/web-afresco/BOGAMET/MET_ARR_2020-BM0774.pdf" TargetMode="External"/><Relationship Id="rId1719" Type="http://schemas.openxmlformats.org/officeDocument/2006/relationships/hyperlink" Target="https://cdn.scnbdx.fr/web-afresco/BOGAMET/MET_ARR_2020-BM0775.pdf" TargetMode="External"/><Relationship Id="rId1700" Type="http://schemas.openxmlformats.org/officeDocument/2006/relationships/hyperlink" Target="https://cdn.scnbdx.fr/web-afresco/BOGAMET/MET_ARR_2020-BM0661.pdf" TargetMode="External"/><Relationship Id="rId1701" Type="http://schemas.openxmlformats.org/officeDocument/2006/relationships/hyperlink" Target="https://cdn.scnbdx.fr/web-afresco/BOGAMET/MET_ARR_2020-BM0711.pdf" TargetMode="External"/><Relationship Id="rId1702" Type="http://schemas.openxmlformats.org/officeDocument/2006/relationships/hyperlink" Target="https://cdn.scnbdx.fr/web-afresco/BOGAMET/MET_ARR_2020-BM0711.pdf" TargetMode="External"/><Relationship Id="rId1703" Type="http://schemas.openxmlformats.org/officeDocument/2006/relationships/hyperlink" Target="https://cdn.scnbdx.fr/web-afresco/BOGAMET/MET_ARR_2020-BM0716.pdf" TargetMode="External"/><Relationship Id="rId1704" Type="http://schemas.openxmlformats.org/officeDocument/2006/relationships/hyperlink" Target="https://cdn.scnbdx.fr/web-afresco/BOGAMET/MET_ARR_2020-BM0716.pdf" TargetMode="External"/><Relationship Id="rId1705" Type="http://schemas.openxmlformats.org/officeDocument/2006/relationships/hyperlink" Target="https://cdn.scnbdx.fr/web-afresco/BOGAMET/MET_ARR_2020-BM0717.pdf" TargetMode="External"/><Relationship Id="rId1706" Type="http://schemas.openxmlformats.org/officeDocument/2006/relationships/hyperlink" Target="https://cdn.scnbdx.fr/web-afresco/BOGAMET/MET_ARR_2020-BM0717.pdf" TargetMode="External"/><Relationship Id="rId1707" Type="http://schemas.openxmlformats.org/officeDocument/2006/relationships/hyperlink" Target="https://cdn.scnbdx.fr/web-afresco/BOGAMET/MET_ARR_2020-BM0720.pdf" TargetMode="External"/><Relationship Id="rId1708" Type="http://schemas.openxmlformats.org/officeDocument/2006/relationships/hyperlink" Target="https://cdn.scnbdx.fr/web-afresco/BOGAMET/MET_ARR_2020-BM0720.pdf" TargetMode="External"/><Relationship Id="rId1709" Type="http://schemas.openxmlformats.org/officeDocument/2006/relationships/hyperlink" Target="https://cdn.scnbdx.fr/web-afresco/BOGAMET/MET_ARR_2020-BM0695.pdf" TargetMode="External"/><Relationship Id="rId40" Type="http://schemas.openxmlformats.org/officeDocument/2006/relationships/hyperlink" Target="https://cdn.scnbdx.fr/web-afresco/BOGAMET/MET_ARR_2020-BM0843.pdf" TargetMode="External"/><Relationship Id="rId1334" Type="http://schemas.openxmlformats.org/officeDocument/2006/relationships/hyperlink" Target="https://cdn.scnbdx.fr/web-afresco/BOGAMET/MET_ARR_2020-BM1336.pdf" TargetMode="External"/><Relationship Id="rId1335" Type="http://schemas.openxmlformats.org/officeDocument/2006/relationships/hyperlink" Target="https://cdn.scnbdx.fr/web-afresco/BOGAMET/MET_ARR_2020-BM1574.pdf" TargetMode="External"/><Relationship Id="rId42" Type="http://schemas.openxmlformats.org/officeDocument/2006/relationships/hyperlink" Target="https://cdn.scnbdx.fr/web-afresco/BOGAMET/MET_ARR_2020-BM0844.pdf" TargetMode="External"/><Relationship Id="rId1336" Type="http://schemas.openxmlformats.org/officeDocument/2006/relationships/hyperlink" Target="https://cdn.scnbdx.fr/web-afresco/BOGAMET/MET_ARR_2020-BM1574.pdf" TargetMode="External"/><Relationship Id="rId41" Type="http://schemas.openxmlformats.org/officeDocument/2006/relationships/hyperlink" Target="https://cdn.scnbdx.fr/web-afresco/BOGAMET/MET_ARR_2020-BM0844.pdf" TargetMode="External"/><Relationship Id="rId1337" Type="http://schemas.openxmlformats.org/officeDocument/2006/relationships/hyperlink" Target="https://cdn.scnbdx.fr/web-afresco/BOGAMET/MET_ARR_2020-BM1170.pdf" TargetMode="External"/><Relationship Id="rId44" Type="http://schemas.openxmlformats.org/officeDocument/2006/relationships/hyperlink" Target="https://cdn.scnbdx.fr/web-afresco/BOGAMET/MET_ARR_2020-BM0845.pdf" TargetMode="External"/><Relationship Id="rId1338" Type="http://schemas.openxmlformats.org/officeDocument/2006/relationships/hyperlink" Target="https://cdn.scnbdx.fr/web-afresco/BOGAMET/MET_ARR_2020-BM1170.pdf" TargetMode="External"/><Relationship Id="rId43" Type="http://schemas.openxmlformats.org/officeDocument/2006/relationships/hyperlink" Target="https://cdn.scnbdx.fr/web-afresco/BOGAMET/MET_ARR_2020-BM0845.pdf" TargetMode="External"/><Relationship Id="rId1339" Type="http://schemas.openxmlformats.org/officeDocument/2006/relationships/hyperlink" Target="https://cdn.scnbdx.fr/web-afresco/BOGAMET/MET_ARR_2020-BM1546.pdf" TargetMode="External"/><Relationship Id="rId46" Type="http://schemas.openxmlformats.org/officeDocument/2006/relationships/hyperlink" Target="https://cdn.scnbdx.fr/web-afresco/BOGAMET/MET_ARR_2020-BM0846.pdf" TargetMode="External"/><Relationship Id="rId45" Type="http://schemas.openxmlformats.org/officeDocument/2006/relationships/hyperlink" Target="https://cdn.scnbdx.fr/web-afresco/BOGAMET/MET_ARR_2020-BM0846.pdf" TargetMode="External"/><Relationship Id="rId745" Type="http://schemas.openxmlformats.org/officeDocument/2006/relationships/hyperlink" Target="https://cdn.scnbdx.fr/web-afresco/BOGAMET/MET_ARR_2021-BM0707.pdf" TargetMode="External"/><Relationship Id="rId744" Type="http://schemas.openxmlformats.org/officeDocument/2006/relationships/hyperlink" Target="https://cdn.scnbdx.fr/web-afresco/BOGAMET/MET_ARR_2021-BM0674.pdf" TargetMode="External"/><Relationship Id="rId743" Type="http://schemas.openxmlformats.org/officeDocument/2006/relationships/hyperlink" Target="https://cdn.scnbdx.fr/web-afresco/BOGAMET/MET_ARR_2021-BM0674.pdf" TargetMode="External"/><Relationship Id="rId742" Type="http://schemas.openxmlformats.org/officeDocument/2006/relationships/hyperlink" Target="https://cdn.scnbdx.fr/web-afresco/BOGAMET/MET_ARR_2021-BM1313.pdf" TargetMode="External"/><Relationship Id="rId749" Type="http://schemas.openxmlformats.org/officeDocument/2006/relationships/hyperlink" Target="https://cdn.scnbdx.fr/web-afresco/BOGAMET/MET_ARR_2021-BM0709.pdf" TargetMode="External"/><Relationship Id="rId748" Type="http://schemas.openxmlformats.org/officeDocument/2006/relationships/hyperlink" Target="https://cdn.scnbdx.fr/web-afresco/BOGAMET/MET_ARR_2021-BM0708.pdf" TargetMode="External"/><Relationship Id="rId747" Type="http://schemas.openxmlformats.org/officeDocument/2006/relationships/hyperlink" Target="https://cdn.scnbdx.fr/web-afresco/BOGAMET/MET_ARR_2021-BM0708.pdf" TargetMode="External"/><Relationship Id="rId746" Type="http://schemas.openxmlformats.org/officeDocument/2006/relationships/hyperlink" Target="https://cdn.scnbdx.fr/web-afresco/BOGAMET/MET_ARR_2021-BM0707.pdf" TargetMode="External"/><Relationship Id="rId48" Type="http://schemas.openxmlformats.org/officeDocument/2006/relationships/hyperlink" Target="https://cdn.scnbdx.fr/web-afresco/BOGAMET/MET_ARR_2020-BM0847.pdf" TargetMode="External"/><Relationship Id="rId47" Type="http://schemas.openxmlformats.org/officeDocument/2006/relationships/hyperlink" Target="https://cdn.scnbdx.fr/web-afresco/BOGAMET/MET_ARR_2020-BM0847.pdf" TargetMode="External"/><Relationship Id="rId49" Type="http://schemas.openxmlformats.org/officeDocument/2006/relationships/hyperlink" Target="https://cdn.scnbdx.fr/web-afresco/BOGAMET/MET_ARR_2020-BM0853.pdf" TargetMode="External"/><Relationship Id="rId741" Type="http://schemas.openxmlformats.org/officeDocument/2006/relationships/hyperlink" Target="https://cdn.scnbdx.fr/web-afresco/BOGAMET/MET_ARR_2021-BM1313.pdf" TargetMode="External"/><Relationship Id="rId1330" Type="http://schemas.openxmlformats.org/officeDocument/2006/relationships/hyperlink" Target="https://cdn.scnbdx.fr/web-afresco/BOGAMET/MET_ARR_2020-BM1636.pdf" TargetMode="External"/><Relationship Id="rId740" Type="http://schemas.openxmlformats.org/officeDocument/2006/relationships/hyperlink" Target="https://cdn.scnbdx.fr/web-afresco/BOGAMET/MET_ARR_2021-BM1291.pdf" TargetMode="External"/><Relationship Id="rId1331" Type="http://schemas.openxmlformats.org/officeDocument/2006/relationships/hyperlink" Target="https://cdn.scnbdx.fr/web-afresco/BOGAMET/MET_ARR_2020-BM1658.pdf" TargetMode="External"/><Relationship Id="rId1332" Type="http://schemas.openxmlformats.org/officeDocument/2006/relationships/hyperlink" Target="https://cdn.scnbdx.fr/web-afresco/BOGAMET/MET_ARR_2020-BM1658.pdf" TargetMode="External"/><Relationship Id="rId1333" Type="http://schemas.openxmlformats.org/officeDocument/2006/relationships/hyperlink" Target="https://cdn.scnbdx.fr/web-afresco/BOGAMET/MET_ARR_2020-BM1336.pdf" TargetMode="External"/><Relationship Id="rId1323" Type="http://schemas.openxmlformats.org/officeDocument/2006/relationships/hyperlink" Target="https://cdn.scnbdx.fr/web-afresco/BOGAMET/MET_ARR_2020-BM1553.pdf" TargetMode="External"/><Relationship Id="rId1324" Type="http://schemas.openxmlformats.org/officeDocument/2006/relationships/hyperlink" Target="https://cdn.scnbdx.fr/web-afresco/BOGAMET/MET_ARR_2020-BM1553.pdf" TargetMode="External"/><Relationship Id="rId31" Type="http://schemas.openxmlformats.org/officeDocument/2006/relationships/hyperlink" Target="https://cdn.scnbdx.fr/web-afresco/BOGAMET/MET_ARR_2020-BM0838.pdf" TargetMode="External"/><Relationship Id="rId1325" Type="http://schemas.openxmlformats.org/officeDocument/2006/relationships/hyperlink" Target="https://cdn.scnbdx.fr/web-afresco/BOGAMET/MET_ARR_2020-BM1563.pdf" TargetMode="External"/><Relationship Id="rId30" Type="http://schemas.openxmlformats.org/officeDocument/2006/relationships/hyperlink" Target="https://cdn.scnbdx.fr/web-afresco/BOGAMET/MET_ARR_2020-BM0837.pdf" TargetMode="External"/><Relationship Id="rId1326" Type="http://schemas.openxmlformats.org/officeDocument/2006/relationships/hyperlink" Target="https://cdn.scnbdx.fr/web-afresco/BOGAMET/MET_ARR_2020-BM1563.pdf" TargetMode="External"/><Relationship Id="rId33" Type="http://schemas.openxmlformats.org/officeDocument/2006/relationships/hyperlink" Target="https://cdn.scnbdx.fr/web-afresco/BOGAMET/MET_ARR_2020-BM0839.pdf" TargetMode="External"/><Relationship Id="rId1327" Type="http://schemas.openxmlformats.org/officeDocument/2006/relationships/hyperlink" Target="https://cdn.scnbdx.fr/web-afresco/BOGAMET/MET_ARR_2020-BM1512.pdf" TargetMode="External"/><Relationship Id="rId32" Type="http://schemas.openxmlformats.org/officeDocument/2006/relationships/hyperlink" Target="https://cdn.scnbdx.fr/web-afresco/BOGAMET/MET_ARR_2020-BM0838.pdf" TargetMode="External"/><Relationship Id="rId1328" Type="http://schemas.openxmlformats.org/officeDocument/2006/relationships/hyperlink" Target="https://cdn.scnbdx.fr/web-afresco/BOGAMET/MET_ARR_2020-BM1512.pdf" TargetMode="External"/><Relationship Id="rId35" Type="http://schemas.openxmlformats.org/officeDocument/2006/relationships/hyperlink" Target="https://cdn.scnbdx.fr/web-afresco/BOGAMET/MET_ARR_2020-BM0840.pdf" TargetMode="External"/><Relationship Id="rId1329" Type="http://schemas.openxmlformats.org/officeDocument/2006/relationships/hyperlink" Target="https://cdn.scnbdx.fr/web-afresco/BOGAMET/MET_ARR_2020-BM1636.pdf" TargetMode="External"/><Relationship Id="rId34" Type="http://schemas.openxmlformats.org/officeDocument/2006/relationships/hyperlink" Target="https://cdn.scnbdx.fr/web-afresco/BOGAMET/MET_ARR_2020-BM0839.pdf" TargetMode="External"/><Relationship Id="rId739" Type="http://schemas.openxmlformats.org/officeDocument/2006/relationships/hyperlink" Target="https://cdn.scnbdx.fr/web-afresco/BOGAMET/MET_ARR_2021-BM1291.pdf" TargetMode="External"/><Relationship Id="rId734" Type="http://schemas.openxmlformats.org/officeDocument/2006/relationships/hyperlink" Target="https://cdn.scnbdx.fr/web-afresco/BOGAMET/MET_ARR_2021-BM0914.pdf" TargetMode="External"/><Relationship Id="rId733" Type="http://schemas.openxmlformats.org/officeDocument/2006/relationships/hyperlink" Target="https://cdn.scnbdx.fr/web-afresco/BOGAMET/MET_ARR_2021-BM0914.pdf" TargetMode="External"/><Relationship Id="rId732" Type="http://schemas.openxmlformats.org/officeDocument/2006/relationships/hyperlink" Target="https://cdn.scnbdx.fr/web-afresco/BOGAMET/MET_ARR_2021-BM0887.pdf" TargetMode="External"/><Relationship Id="rId731" Type="http://schemas.openxmlformats.org/officeDocument/2006/relationships/hyperlink" Target="https://cdn.scnbdx.fr/web-afresco/BOGAMET/MET_ARR_2021-BM0887.pdf" TargetMode="External"/><Relationship Id="rId738" Type="http://schemas.openxmlformats.org/officeDocument/2006/relationships/hyperlink" Target="https://cdn.scnbdx.fr/web-afresco/BOGAMET/MET_ARR_2021-BM1290.pdf" TargetMode="External"/><Relationship Id="rId737" Type="http://schemas.openxmlformats.org/officeDocument/2006/relationships/hyperlink" Target="https://cdn.scnbdx.fr/web-afresco/BOGAMET/MET_ARR_2021-BM1290.pdf" TargetMode="External"/><Relationship Id="rId736" Type="http://schemas.openxmlformats.org/officeDocument/2006/relationships/hyperlink" Target="https://cdn.scnbdx.fr/web-afresco/BOGAMET/MET_ARR_2021-BM0915.pdf" TargetMode="External"/><Relationship Id="rId735" Type="http://schemas.openxmlformats.org/officeDocument/2006/relationships/hyperlink" Target="https://cdn.scnbdx.fr/web-afresco/BOGAMET/MET_ARR_2021-BM0915.pdf" TargetMode="External"/><Relationship Id="rId37" Type="http://schemas.openxmlformats.org/officeDocument/2006/relationships/hyperlink" Target="https://cdn.scnbdx.fr/web-afresco/BOGAMET/MET_ARR_2020-BM0842.pdf" TargetMode="External"/><Relationship Id="rId36" Type="http://schemas.openxmlformats.org/officeDocument/2006/relationships/hyperlink" Target="https://cdn.scnbdx.fr/web-afresco/BOGAMET/MET_ARR_2020-BM0840.pdf" TargetMode="External"/><Relationship Id="rId39" Type="http://schemas.openxmlformats.org/officeDocument/2006/relationships/hyperlink" Target="https://cdn.scnbdx.fr/web-afresco/BOGAMET/MET_ARR_2020-BM0843.pdf" TargetMode="External"/><Relationship Id="rId38" Type="http://schemas.openxmlformats.org/officeDocument/2006/relationships/hyperlink" Target="https://cdn.scnbdx.fr/web-afresco/BOGAMET/MET_ARR_2020-BM0842.pdf" TargetMode="External"/><Relationship Id="rId730" Type="http://schemas.openxmlformats.org/officeDocument/2006/relationships/hyperlink" Target="https://cdn.scnbdx.fr/web-afresco/BOGAMET/MET_ARR_2021-BM0676.pdf" TargetMode="External"/><Relationship Id="rId1320" Type="http://schemas.openxmlformats.org/officeDocument/2006/relationships/hyperlink" Target="https://cdn.scnbdx.fr/web-afresco/BOGAMET/MET_ARR_2021-BM0325.pdf" TargetMode="External"/><Relationship Id="rId1321" Type="http://schemas.openxmlformats.org/officeDocument/2006/relationships/hyperlink" Target="https://cdn.scnbdx.fr/web-afresco/BOGAMET/MET_ARR_2021-BM0240.pdf" TargetMode="External"/><Relationship Id="rId1322" Type="http://schemas.openxmlformats.org/officeDocument/2006/relationships/hyperlink" Target="https://cdn.scnbdx.fr/web-afresco/BOGAMET/MET_ARR_2021-BM0240.pdf" TargetMode="External"/><Relationship Id="rId1356" Type="http://schemas.openxmlformats.org/officeDocument/2006/relationships/hyperlink" Target="https://cdn.scnbdx.fr/web-afresco/BOGAMET/MET_ARR_2021-BM0845.pdf" TargetMode="External"/><Relationship Id="rId2203" Type="http://schemas.openxmlformats.org/officeDocument/2006/relationships/hyperlink" Target="https://cdn.scnbdx.fr/web-afresco/BOGAMET/MET_ARR_2021-BM0308.pdf" TargetMode="External"/><Relationship Id="rId1357" Type="http://schemas.openxmlformats.org/officeDocument/2006/relationships/hyperlink" Target="https://cdn.scnbdx.fr/web-afresco/BOGAMET/MET_ARR_2021-BM0847.pdf" TargetMode="External"/><Relationship Id="rId2204" Type="http://schemas.openxmlformats.org/officeDocument/2006/relationships/hyperlink" Target="https://cdn.scnbdx.fr/web-afresco/BOGAMET/MET_ARR_2021-BM0308.pdf" TargetMode="External"/><Relationship Id="rId20" Type="http://schemas.openxmlformats.org/officeDocument/2006/relationships/hyperlink" Target="https://cdn.scnbdx.fr/web-afresco/BOGAMET/MET_ARR_2020-BM0679.pdf" TargetMode="External"/><Relationship Id="rId1358" Type="http://schemas.openxmlformats.org/officeDocument/2006/relationships/hyperlink" Target="https://cdn.scnbdx.fr/web-afresco/BOGAMET/MET_ARR_2021-BM0847.pdf" TargetMode="External"/><Relationship Id="rId2205" Type="http://schemas.openxmlformats.org/officeDocument/2006/relationships/hyperlink" Target="https://cdn.scnbdx.fr/web-afresco/BOGAMET/MET_ARR_2021-BM0315.pdf" TargetMode="External"/><Relationship Id="rId1359" Type="http://schemas.openxmlformats.org/officeDocument/2006/relationships/hyperlink" Target="https://cdn.scnbdx.fr/web-afresco/BOGAMET/MET_ARR_2021-BM0851.pdf" TargetMode="External"/><Relationship Id="rId2206" Type="http://schemas.openxmlformats.org/officeDocument/2006/relationships/hyperlink" Target="https://cdn.scnbdx.fr/web-afresco/BOGAMET/MET_ARR_2021-BM0315.pdf" TargetMode="External"/><Relationship Id="rId22" Type="http://schemas.openxmlformats.org/officeDocument/2006/relationships/hyperlink" Target="https://cdn.scnbdx.fr/web-afresco/BOGAMET/MET_ARR_2020-BM0613.pdf" TargetMode="External"/><Relationship Id="rId2207" Type="http://schemas.openxmlformats.org/officeDocument/2006/relationships/hyperlink" Target="https://cdn.scnbdx.fr/web-afresco/BOGAMET/MET_ARR_2021-BM0433.pdf" TargetMode="External"/><Relationship Id="rId21" Type="http://schemas.openxmlformats.org/officeDocument/2006/relationships/hyperlink" Target="https://cdn.scnbdx.fr/web-afresco/BOGAMET/MET_ARR_2020-BM0613.pdf" TargetMode="External"/><Relationship Id="rId2208" Type="http://schemas.openxmlformats.org/officeDocument/2006/relationships/hyperlink" Target="https://cdn.scnbdx.fr/web-afresco/BOGAMET/MET_ARR_2021-BM0433.pdf" TargetMode="External"/><Relationship Id="rId24" Type="http://schemas.openxmlformats.org/officeDocument/2006/relationships/hyperlink" Target="https://cdn.scnbdx.fr/web-afresco/BOGAMET/MET_ARR_2020-BM0688.pdf" TargetMode="External"/><Relationship Id="rId2209" Type="http://schemas.openxmlformats.org/officeDocument/2006/relationships/hyperlink" Target="https://cdn.scnbdx.fr/web-afresco/BOGAMET/MET_ARR_2021-BM0438.pdf" TargetMode="External"/><Relationship Id="rId23" Type="http://schemas.openxmlformats.org/officeDocument/2006/relationships/hyperlink" Target="https://cdn.scnbdx.fr/web-afresco/BOGAMET/MET_ARR_2020-BM0688.pdf" TargetMode="External"/><Relationship Id="rId767" Type="http://schemas.openxmlformats.org/officeDocument/2006/relationships/hyperlink" Target="https://cdn.scnbdx.fr/web-afresco/BOGAMET/MET_ARR_2021-BM0737.pdf" TargetMode="External"/><Relationship Id="rId766" Type="http://schemas.openxmlformats.org/officeDocument/2006/relationships/hyperlink" Target="https://cdn.scnbdx.fr/web-afresco/BOGAMET/MET_ARR_2021-BM0837.pdf" TargetMode="External"/><Relationship Id="rId765" Type="http://schemas.openxmlformats.org/officeDocument/2006/relationships/hyperlink" Target="https://cdn.scnbdx.fr/web-afresco/BOGAMET/MET_ARR_2021-BM0837.pdf" TargetMode="External"/><Relationship Id="rId764" Type="http://schemas.openxmlformats.org/officeDocument/2006/relationships/hyperlink" Target="https://cdn.scnbdx.fr/web-afresco/BOGAMET/MET_ARR_2021-BM0726.pdf" TargetMode="External"/><Relationship Id="rId769" Type="http://schemas.openxmlformats.org/officeDocument/2006/relationships/hyperlink" Target="https://cdn.scnbdx.fr/web-afresco/BOGAMET/MET_ARR_2021-BM0738.pdf" TargetMode="External"/><Relationship Id="rId768" Type="http://schemas.openxmlformats.org/officeDocument/2006/relationships/hyperlink" Target="https://cdn.scnbdx.fr/web-afresco/BOGAMET/MET_ARR_2021-BM0737.pdf" TargetMode="External"/><Relationship Id="rId26" Type="http://schemas.openxmlformats.org/officeDocument/2006/relationships/hyperlink" Target="https://cdn.scnbdx.fr/web-afresco/BOGAMET/MET_ARR_2020-BM0832.pdf" TargetMode="External"/><Relationship Id="rId25" Type="http://schemas.openxmlformats.org/officeDocument/2006/relationships/hyperlink" Target="https://cdn.scnbdx.fr/web-afresco/BOGAMET/MET_ARR_2020-BM0832.pdf" TargetMode="External"/><Relationship Id="rId28" Type="http://schemas.openxmlformats.org/officeDocument/2006/relationships/hyperlink" Target="https://cdn.scnbdx.fr/web-afresco/BOGAMET/MET_ARR_2020-BM0836.pdf" TargetMode="External"/><Relationship Id="rId1350" Type="http://schemas.openxmlformats.org/officeDocument/2006/relationships/hyperlink" Target="https://cdn.scnbdx.fr/web-afresco/BOGAMET/MET_ARR_2021-BM1216.pdf" TargetMode="External"/><Relationship Id="rId27" Type="http://schemas.openxmlformats.org/officeDocument/2006/relationships/hyperlink" Target="https://cdn.scnbdx.fr/web-afresco/BOGAMET/MET_ARR_2020-BM0836.pdf" TargetMode="External"/><Relationship Id="rId1351" Type="http://schemas.openxmlformats.org/officeDocument/2006/relationships/hyperlink" Target="https://cdn.scnbdx.fr/web-afresco/BOGAMET/MET_ARR_2021-BM1221.pdf" TargetMode="External"/><Relationship Id="rId763" Type="http://schemas.openxmlformats.org/officeDocument/2006/relationships/hyperlink" Target="https://cdn.scnbdx.fr/web-afresco/BOGAMET/MET_ARR_2021-BM0726.pdf" TargetMode="External"/><Relationship Id="rId1352" Type="http://schemas.openxmlformats.org/officeDocument/2006/relationships/hyperlink" Target="https://cdn.scnbdx.fr/web-afresco/BOGAMET/MET_ARR_2021-BM1221.pdf" TargetMode="External"/><Relationship Id="rId29" Type="http://schemas.openxmlformats.org/officeDocument/2006/relationships/hyperlink" Target="https://cdn.scnbdx.fr/web-afresco/BOGAMET/MET_ARR_2020-BM0837.pdf" TargetMode="External"/><Relationship Id="rId762" Type="http://schemas.openxmlformats.org/officeDocument/2006/relationships/hyperlink" Target="https://cdn.scnbdx.fr/web-afresco/BOGAMET/MET_ARR_2021-BM0725.pdf" TargetMode="External"/><Relationship Id="rId1353" Type="http://schemas.openxmlformats.org/officeDocument/2006/relationships/hyperlink" Target="https://cdn.scnbdx.fr/web-afresco/BOGAMET/MET_ARR_2021-BM0895.pdf" TargetMode="External"/><Relationship Id="rId2200" Type="http://schemas.openxmlformats.org/officeDocument/2006/relationships/hyperlink" Target="https://cdn.scnbdx.fr/web-afresco/BOGAMET/MET_ARR_2021-BM0304.pdf" TargetMode="External"/><Relationship Id="rId761" Type="http://schemas.openxmlformats.org/officeDocument/2006/relationships/hyperlink" Target="https://cdn.scnbdx.fr/web-afresco/BOGAMET/MET_ARR_2021-BM0725.pdf" TargetMode="External"/><Relationship Id="rId1354" Type="http://schemas.openxmlformats.org/officeDocument/2006/relationships/hyperlink" Target="https://cdn.scnbdx.fr/web-afresco/BOGAMET/MET_ARR_2021-BM0895.pdf" TargetMode="External"/><Relationship Id="rId2201" Type="http://schemas.openxmlformats.org/officeDocument/2006/relationships/hyperlink" Target="https://cdn.scnbdx.fr/web-afresco/BOGAMET/MET_ARR_2021-BM0305.pdf" TargetMode="External"/><Relationship Id="rId760" Type="http://schemas.openxmlformats.org/officeDocument/2006/relationships/hyperlink" Target="https://cdn.scnbdx.fr/web-afresco/BOGAMET/MET_ARR_2021-BM0719.pdf" TargetMode="External"/><Relationship Id="rId1355" Type="http://schemas.openxmlformats.org/officeDocument/2006/relationships/hyperlink" Target="https://cdn.scnbdx.fr/web-afresco/BOGAMET/MET_ARR_2021-BM0845.pdf" TargetMode="External"/><Relationship Id="rId2202" Type="http://schemas.openxmlformats.org/officeDocument/2006/relationships/hyperlink" Target="https://cdn.scnbdx.fr/web-afresco/BOGAMET/MET_ARR_2021-BM0305.pdf" TargetMode="External"/><Relationship Id="rId1345" Type="http://schemas.openxmlformats.org/officeDocument/2006/relationships/hyperlink" Target="https://cdn.scnbdx.fr/web-afresco/BOGAMET/MET_ARR_2021-BM0769.pdf" TargetMode="External"/><Relationship Id="rId1346" Type="http://schemas.openxmlformats.org/officeDocument/2006/relationships/hyperlink" Target="https://cdn.scnbdx.fr/web-afresco/BOGAMET/MET_ARR_2021-BM0769.pdf" TargetMode="External"/><Relationship Id="rId1347" Type="http://schemas.openxmlformats.org/officeDocument/2006/relationships/hyperlink" Target="https://cdn.scnbdx.fr/web-afresco/BOGAMET/MET_ARR_2021-BM1102.pdf" TargetMode="External"/><Relationship Id="rId1348" Type="http://schemas.openxmlformats.org/officeDocument/2006/relationships/hyperlink" Target="https://cdn.scnbdx.fr/web-afresco/BOGAMET/MET_ARR_2021-BM1102.pdf" TargetMode="External"/><Relationship Id="rId11" Type="http://schemas.openxmlformats.org/officeDocument/2006/relationships/hyperlink" Target="https://cdn.scnbdx.fr/web-afresco/BOGAMET/MET_ARR_2020-BM0638.pdf" TargetMode="External"/><Relationship Id="rId1349" Type="http://schemas.openxmlformats.org/officeDocument/2006/relationships/hyperlink" Target="https://cdn.scnbdx.fr/web-afresco/BOGAMET/MET_ARR_2021-BM1216.pdf" TargetMode="External"/><Relationship Id="rId10" Type="http://schemas.openxmlformats.org/officeDocument/2006/relationships/hyperlink" Target="https://cdn.scnbdx.fr/web-afresco/BOGAMET/MET_ARR_2020-BM0637.pdf" TargetMode="External"/><Relationship Id="rId13" Type="http://schemas.openxmlformats.org/officeDocument/2006/relationships/hyperlink" Target="https://cdn.scnbdx.fr/web-afresco/BOGAMET/MET_ARR_2020-BM0539.pdf" TargetMode="External"/><Relationship Id="rId12" Type="http://schemas.openxmlformats.org/officeDocument/2006/relationships/hyperlink" Target="https://cdn.scnbdx.fr/web-afresco/BOGAMET/MET_ARR_2020-BM0638.pdf" TargetMode="External"/><Relationship Id="rId756" Type="http://schemas.openxmlformats.org/officeDocument/2006/relationships/hyperlink" Target="https://cdn.scnbdx.fr/web-afresco/BOGAMET/MET_ARR_2021-BM0713.pdf" TargetMode="External"/><Relationship Id="rId755" Type="http://schemas.openxmlformats.org/officeDocument/2006/relationships/hyperlink" Target="https://cdn.scnbdx.fr/web-afresco/BOGAMET/MET_ARR_2021-BM0713.pdf" TargetMode="External"/><Relationship Id="rId754" Type="http://schemas.openxmlformats.org/officeDocument/2006/relationships/hyperlink" Target="https://cdn.scnbdx.fr/web-afresco/BOGAMET/MET_ARR_2021-BM0712.pdf" TargetMode="External"/><Relationship Id="rId753" Type="http://schemas.openxmlformats.org/officeDocument/2006/relationships/hyperlink" Target="https://cdn.scnbdx.fr/web-afresco/BOGAMET/MET_ARR_2021-BM0712.pdf" TargetMode="External"/><Relationship Id="rId759" Type="http://schemas.openxmlformats.org/officeDocument/2006/relationships/hyperlink" Target="https://cdn.scnbdx.fr/web-afresco/BOGAMET/MET_ARR_2021-BM0719.pdf" TargetMode="External"/><Relationship Id="rId758" Type="http://schemas.openxmlformats.org/officeDocument/2006/relationships/hyperlink" Target="https://cdn.scnbdx.fr/web-afresco/BOGAMET/MET_ARR_2021-BM0717.pdf" TargetMode="External"/><Relationship Id="rId757" Type="http://schemas.openxmlformats.org/officeDocument/2006/relationships/hyperlink" Target="https://cdn.scnbdx.fr/web-afresco/BOGAMET/MET_ARR_2021-BM0717.pdf" TargetMode="External"/><Relationship Id="rId15" Type="http://schemas.openxmlformats.org/officeDocument/2006/relationships/hyperlink" Target="https://cdn.scnbdx.fr/web-afresco/BOGAMET/MET_ARR_2020-BM0653.pdf" TargetMode="External"/><Relationship Id="rId14" Type="http://schemas.openxmlformats.org/officeDocument/2006/relationships/hyperlink" Target="https://cdn.scnbdx.fr/web-afresco/BOGAMET/MET_ARR_2020-BM0539.pdf" TargetMode="External"/><Relationship Id="rId17" Type="http://schemas.openxmlformats.org/officeDocument/2006/relationships/hyperlink" Target="https://cdn.scnbdx.fr/web-afresco/BOGAMET/MET_ARR_2020-BM0617.pdf" TargetMode="External"/><Relationship Id="rId16" Type="http://schemas.openxmlformats.org/officeDocument/2006/relationships/hyperlink" Target="https://cdn.scnbdx.fr/web-afresco/BOGAMET/MET_ARR_2020-BM0653.pdf" TargetMode="External"/><Relationship Id="rId1340" Type="http://schemas.openxmlformats.org/officeDocument/2006/relationships/hyperlink" Target="https://cdn.scnbdx.fr/web-afresco/BOGAMET/MET_ARR_2020-BM1546.pdf" TargetMode="External"/><Relationship Id="rId19" Type="http://schemas.openxmlformats.org/officeDocument/2006/relationships/hyperlink" Target="https://cdn.scnbdx.fr/web-afresco/BOGAMET/MET_ARR_2020-BM0679.pdf" TargetMode="External"/><Relationship Id="rId752" Type="http://schemas.openxmlformats.org/officeDocument/2006/relationships/hyperlink" Target="https://cdn.scnbdx.fr/web-afresco/BOGAMET/MET_ARR_2021-BM0710.pdf" TargetMode="External"/><Relationship Id="rId1341" Type="http://schemas.openxmlformats.org/officeDocument/2006/relationships/hyperlink" Target="https://cdn.scnbdx.fr/web-afresco/BOGAMET/MET_ARR_2021-BM0016.pdf" TargetMode="External"/><Relationship Id="rId18" Type="http://schemas.openxmlformats.org/officeDocument/2006/relationships/hyperlink" Target="https://cdn.scnbdx.fr/web-afresco/BOGAMET/MET_ARR_2020-BM0617.pdf" TargetMode="External"/><Relationship Id="rId751" Type="http://schemas.openxmlformats.org/officeDocument/2006/relationships/hyperlink" Target="https://cdn.scnbdx.fr/web-afresco/BOGAMET/MET_ARR_2021-BM0710.pdf" TargetMode="External"/><Relationship Id="rId1342" Type="http://schemas.openxmlformats.org/officeDocument/2006/relationships/hyperlink" Target="https://cdn.scnbdx.fr/web-afresco/BOGAMET/MET_ARR_2021-BM0016.pdf" TargetMode="External"/><Relationship Id="rId750" Type="http://schemas.openxmlformats.org/officeDocument/2006/relationships/hyperlink" Target="https://cdn.scnbdx.fr/web-afresco/BOGAMET/MET_ARR_2021-BM0709.pdf" TargetMode="External"/><Relationship Id="rId1343" Type="http://schemas.openxmlformats.org/officeDocument/2006/relationships/hyperlink" Target="https://cdn.scnbdx.fr/web-afresco/BOGAMET/MET_ARR_2021-BM0767.pdf" TargetMode="External"/><Relationship Id="rId1344" Type="http://schemas.openxmlformats.org/officeDocument/2006/relationships/hyperlink" Target="https://cdn.scnbdx.fr/web-afresco/BOGAMET/MET_ARR_2021-BM0767.pdf" TargetMode="External"/><Relationship Id="rId84" Type="http://schemas.openxmlformats.org/officeDocument/2006/relationships/hyperlink" Target="https://cdn.scnbdx.fr/web-afresco/BOGAMET/MET_ARR_2020-BM0806.pdf" TargetMode="External"/><Relationship Id="rId1774" Type="http://schemas.openxmlformats.org/officeDocument/2006/relationships/hyperlink" Target="https://cdn.scnbdx.fr/web-afresco/BOGAMET/MET_ARR_2020-BM0761.pdf" TargetMode="External"/><Relationship Id="rId83" Type="http://schemas.openxmlformats.org/officeDocument/2006/relationships/hyperlink" Target="https://cdn.scnbdx.fr/web-afresco/BOGAMET/MET_ARR_2020-BM0806.pdf" TargetMode="External"/><Relationship Id="rId1775" Type="http://schemas.openxmlformats.org/officeDocument/2006/relationships/hyperlink" Target="https://cdn.scnbdx.fr/web-afresco/BOGAMET/MET_ARR_2020-BM0763.pdf" TargetMode="External"/><Relationship Id="rId86" Type="http://schemas.openxmlformats.org/officeDocument/2006/relationships/hyperlink" Target="https://cdn.scnbdx.fr/web-afresco/BOGAMET/MET_ARR_2020-BM0808.pdf" TargetMode="External"/><Relationship Id="rId1776" Type="http://schemas.openxmlformats.org/officeDocument/2006/relationships/hyperlink" Target="https://cdn.scnbdx.fr/web-afresco/BOGAMET/MET_ARR_2020-BM0763.pdf" TargetMode="External"/><Relationship Id="rId85" Type="http://schemas.openxmlformats.org/officeDocument/2006/relationships/hyperlink" Target="https://cdn.scnbdx.fr/web-afresco/BOGAMET/MET_ARR_2020-BM0808.pdf" TargetMode="External"/><Relationship Id="rId1777" Type="http://schemas.openxmlformats.org/officeDocument/2006/relationships/hyperlink" Target="https://cdn.scnbdx.fr/web-afresco/BOGAMET/MET_ARR_2020-BM0764.pdf" TargetMode="External"/><Relationship Id="rId88" Type="http://schemas.openxmlformats.org/officeDocument/2006/relationships/hyperlink" Target="https://cdn.scnbdx.fr/web-afresco/BOGAMET/MET_ARR_2020-BM0810.pdf" TargetMode="External"/><Relationship Id="rId1778" Type="http://schemas.openxmlformats.org/officeDocument/2006/relationships/hyperlink" Target="https://cdn.scnbdx.fr/web-afresco/BOGAMET/MET_ARR_2020-BM0764.pdf" TargetMode="External"/><Relationship Id="rId87" Type="http://schemas.openxmlformats.org/officeDocument/2006/relationships/hyperlink" Target="https://cdn.scnbdx.fr/web-afresco/BOGAMET/MET_ARR_2020-BM0810.pdf" TargetMode="External"/><Relationship Id="rId1779" Type="http://schemas.openxmlformats.org/officeDocument/2006/relationships/hyperlink" Target="https://cdn.scnbdx.fr/web-afresco/BOGAMET/MET_ARR_2020-BM0767.pdf" TargetMode="External"/><Relationship Id="rId89" Type="http://schemas.openxmlformats.org/officeDocument/2006/relationships/hyperlink" Target="https://cdn.scnbdx.fr/web-afresco/BOGAMET/MET_ARR_2020-BM0811.pdf" TargetMode="External"/><Relationship Id="rId709" Type="http://schemas.openxmlformats.org/officeDocument/2006/relationships/hyperlink" Target="https://cdn.scnbdx.fr/web-afresco/BOGAMET/MET_ARR_2021-BM1184.pdf" TargetMode="External"/><Relationship Id="rId708" Type="http://schemas.openxmlformats.org/officeDocument/2006/relationships/hyperlink" Target="https://cdn.scnbdx.fr/web-afresco/BOGAMET/MET_ARR_2021-BM1174.pdf" TargetMode="External"/><Relationship Id="rId707" Type="http://schemas.openxmlformats.org/officeDocument/2006/relationships/hyperlink" Target="https://cdn.scnbdx.fr/web-afresco/BOGAMET/MET_ARR_2021-BM1174.pdf" TargetMode="External"/><Relationship Id="rId706" Type="http://schemas.openxmlformats.org/officeDocument/2006/relationships/hyperlink" Target="https://cdn.scnbdx.fr/web-afresco/BOGAMET/MET_ARR_2021-BM1458.pdf" TargetMode="External"/><Relationship Id="rId80" Type="http://schemas.openxmlformats.org/officeDocument/2006/relationships/hyperlink" Target="https://cdn.scnbdx.fr/web-afresco/BOGAMET/MET_ARR_2020-BM0797.pdf" TargetMode="External"/><Relationship Id="rId82" Type="http://schemas.openxmlformats.org/officeDocument/2006/relationships/hyperlink" Target="https://cdn.scnbdx.fr/web-afresco/BOGAMET/MET_ARR_2020-BM0805.pdf" TargetMode="External"/><Relationship Id="rId81" Type="http://schemas.openxmlformats.org/officeDocument/2006/relationships/hyperlink" Target="https://cdn.scnbdx.fr/web-afresco/BOGAMET/MET_ARR_2020-BM0805.pdf" TargetMode="External"/><Relationship Id="rId701" Type="http://schemas.openxmlformats.org/officeDocument/2006/relationships/hyperlink" Target="https://cdn.scnbdx.fr/web-afresco/BOGAMET/MET_ARR_2021-BM1256.pdf" TargetMode="External"/><Relationship Id="rId700" Type="http://schemas.openxmlformats.org/officeDocument/2006/relationships/hyperlink" Target="https://cdn.scnbdx.fr/web-afresco/BOGAMET/MET_ARR_2021-BM1249.pdf" TargetMode="External"/><Relationship Id="rId705" Type="http://schemas.openxmlformats.org/officeDocument/2006/relationships/hyperlink" Target="https://cdn.scnbdx.fr/web-afresco/BOGAMET/MET_ARR_2021-BM1458.pdf" TargetMode="External"/><Relationship Id="rId704" Type="http://schemas.openxmlformats.org/officeDocument/2006/relationships/hyperlink" Target="https://cdn.scnbdx.fr/web-afresco/BOGAMET/MET_ARR_2021-BM1451.pdf" TargetMode="External"/><Relationship Id="rId703" Type="http://schemas.openxmlformats.org/officeDocument/2006/relationships/hyperlink" Target="https://cdn.scnbdx.fr/web-afresco/BOGAMET/MET_ARR_2021-BM1451.pdf" TargetMode="External"/><Relationship Id="rId702" Type="http://schemas.openxmlformats.org/officeDocument/2006/relationships/hyperlink" Target="https://cdn.scnbdx.fr/web-afresco/BOGAMET/MET_ARR_2021-BM1256.pdf" TargetMode="External"/><Relationship Id="rId1770" Type="http://schemas.openxmlformats.org/officeDocument/2006/relationships/hyperlink" Target="https://cdn.scnbdx.fr/web-afresco/BOGAMET/MET_ARR_2020-BM0757.pdf" TargetMode="External"/><Relationship Id="rId1771" Type="http://schemas.openxmlformats.org/officeDocument/2006/relationships/hyperlink" Target="https://cdn.scnbdx.fr/web-afresco/BOGAMET/MET_ARR_2020-BM0760.pdf" TargetMode="External"/><Relationship Id="rId1772" Type="http://schemas.openxmlformats.org/officeDocument/2006/relationships/hyperlink" Target="https://cdn.scnbdx.fr/web-afresco/BOGAMET/MET_ARR_2020-BM0760.pdf" TargetMode="External"/><Relationship Id="rId1773" Type="http://schemas.openxmlformats.org/officeDocument/2006/relationships/hyperlink" Target="https://cdn.scnbdx.fr/web-afresco/BOGAMET/MET_ARR_2020-BM0761.pdf" TargetMode="External"/><Relationship Id="rId73" Type="http://schemas.openxmlformats.org/officeDocument/2006/relationships/hyperlink" Target="https://cdn.scnbdx.fr/web-afresco/BOGAMET/MET_ARR_2020-BM0790.pdf" TargetMode="External"/><Relationship Id="rId1763" Type="http://schemas.openxmlformats.org/officeDocument/2006/relationships/hyperlink" Target="https://cdn.scnbdx.fr/web-afresco/BOGAMET/MET_ARR_2020-BM0752.pdf" TargetMode="External"/><Relationship Id="rId72" Type="http://schemas.openxmlformats.org/officeDocument/2006/relationships/hyperlink" Target="https://cdn.scnbdx.fr/web-afresco/BOGAMET/MET_ARR_2020-BM0789.pdf" TargetMode="External"/><Relationship Id="rId1764" Type="http://schemas.openxmlformats.org/officeDocument/2006/relationships/hyperlink" Target="https://cdn.scnbdx.fr/web-afresco/BOGAMET/MET_ARR_2020-BM0752.pdf" TargetMode="External"/><Relationship Id="rId75" Type="http://schemas.openxmlformats.org/officeDocument/2006/relationships/hyperlink" Target="https://cdn.scnbdx.fr/web-afresco/BOGAMET/MET_ARR_2020-BM0792.pdf" TargetMode="External"/><Relationship Id="rId1765" Type="http://schemas.openxmlformats.org/officeDocument/2006/relationships/hyperlink" Target="https://cdn.scnbdx.fr/web-afresco/BOGAMET/MET_ARR_2020-BM0754.pdf" TargetMode="External"/><Relationship Id="rId74" Type="http://schemas.openxmlformats.org/officeDocument/2006/relationships/hyperlink" Target="https://cdn.scnbdx.fr/web-afresco/BOGAMET/MET_ARR_2020-BM0790.pdf" TargetMode="External"/><Relationship Id="rId1766" Type="http://schemas.openxmlformats.org/officeDocument/2006/relationships/hyperlink" Target="https://cdn.scnbdx.fr/web-afresco/BOGAMET/MET_ARR_2020-BM0754.pdf" TargetMode="External"/><Relationship Id="rId77" Type="http://schemas.openxmlformats.org/officeDocument/2006/relationships/hyperlink" Target="https://cdn.scnbdx.fr/web-afresco/BOGAMET/MET_ARR_2020-BM0794.pdf" TargetMode="External"/><Relationship Id="rId1767" Type="http://schemas.openxmlformats.org/officeDocument/2006/relationships/hyperlink" Target="https://cdn.scnbdx.fr/web-afresco/BOGAMET/MET_ARR_2020-BM0755.pdf" TargetMode="External"/><Relationship Id="rId76" Type="http://schemas.openxmlformats.org/officeDocument/2006/relationships/hyperlink" Target="https://cdn.scnbdx.fr/web-afresco/BOGAMET/MET_ARR_2020-BM0792.pdf" TargetMode="External"/><Relationship Id="rId1768" Type="http://schemas.openxmlformats.org/officeDocument/2006/relationships/hyperlink" Target="https://cdn.scnbdx.fr/web-afresco/BOGAMET/MET_ARR_2020-BM0755.pdf" TargetMode="External"/><Relationship Id="rId79" Type="http://schemas.openxmlformats.org/officeDocument/2006/relationships/hyperlink" Target="https://cdn.scnbdx.fr/web-afresco/BOGAMET/MET_ARR_2020-BM0797.pdf" TargetMode="External"/><Relationship Id="rId1769" Type="http://schemas.openxmlformats.org/officeDocument/2006/relationships/hyperlink" Target="https://cdn.scnbdx.fr/web-afresco/BOGAMET/MET_ARR_2020-BM0757.pdf" TargetMode="External"/><Relationship Id="rId78" Type="http://schemas.openxmlformats.org/officeDocument/2006/relationships/hyperlink" Target="https://cdn.scnbdx.fr/web-afresco/BOGAMET/MET_ARR_2020-BM0794.pdf" TargetMode="External"/><Relationship Id="rId71" Type="http://schemas.openxmlformats.org/officeDocument/2006/relationships/hyperlink" Target="https://cdn.scnbdx.fr/web-afresco/BOGAMET/MET_ARR_2020-BM0789.pdf" TargetMode="External"/><Relationship Id="rId70" Type="http://schemas.openxmlformats.org/officeDocument/2006/relationships/hyperlink" Target="https://cdn.scnbdx.fr/web-afresco/BOGAMET/MET_ARR_2020-BM0784.pdf" TargetMode="External"/><Relationship Id="rId1760" Type="http://schemas.openxmlformats.org/officeDocument/2006/relationships/hyperlink" Target="https://cdn.scnbdx.fr/web-afresco/BOGAMET/MET_ARR_2020-BM0750.pdf" TargetMode="External"/><Relationship Id="rId1761" Type="http://schemas.openxmlformats.org/officeDocument/2006/relationships/hyperlink" Target="https://cdn.scnbdx.fr/web-afresco/BOGAMET/MET_ARR_2020-BM0751.pdf" TargetMode="External"/><Relationship Id="rId1762" Type="http://schemas.openxmlformats.org/officeDocument/2006/relationships/hyperlink" Target="https://cdn.scnbdx.fr/web-afresco/BOGAMET/MET_ARR_2020-BM0751.pdf" TargetMode="External"/><Relationship Id="rId62" Type="http://schemas.openxmlformats.org/officeDocument/2006/relationships/hyperlink" Target="https://cdn.scnbdx.fr/web-afresco/BOGAMET/MET_ARR_2020-BM0718.pdf" TargetMode="External"/><Relationship Id="rId1312" Type="http://schemas.openxmlformats.org/officeDocument/2006/relationships/hyperlink" Target="https://cdn.scnbdx.fr/web-afresco/BOGAMET/MET_ARR_2021-BM0257.pdf" TargetMode="External"/><Relationship Id="rId1796" Type="http://schemas.openxmlformats.org/officeDocument/2006/relationships/hyperlink" Target="https://cdn.scnbdx.fr/web-afresco/BOGAMET/MET_ARR_2020-BM0821.pdf" TargetMode="External"/><Relationship Id="rId61" Type="http://schemas.openxmlformats.org/officeDocument/2006/relationships/hyperlink" Target="https://cdn.scnbdx.fr/web-afresco/BOGAMET/MET_ARR_2020-BM0718.pdf" TargetMode="External"/><Relationship Id="rId1313" Type="http://schemas.openxmlformats.org/officeDocument/2006/relationships/hyperlink" Target="https://cdn.scnbdx.fr/web-afresco/BOGAMET/MET_ARR_2021-BM0261.pdf" TargetMode="External"/><Relationship Id="rId1797" Type="http://schemas.openxmlformats.org/officeDocument/2006/relationships/hyperlink" Target="https://cdn.scnbdx.fr/web-afresco/BOGAMET/MET_ARR_2020-BM0822.pdf" TargetMode="External"/><Relationship Id="rId64" Type="http://schemas.openxmlformats.org/officeDocument/2006/relationships/hyperlink" Target="https://cdn.scnbdx.fr/web-afresco/BOGAMET/MET_ARR_2020-BM0722.pdf" TargetMode="External"/><Relationship Id="rId1314" Type="http://schemas.openxmlformats.org/officeDocument/2006/relationships/hyperlink" Target="https://cdn.scnbdx.fr/web-afresco/BOGAMET/MET_ARR_2021-BM0261.pdf" TargetMode="External"/><Relationship Id="rId1798" Type="http://schemas.openxmlformats.org/officeDocument/2006/relationships/hyperlink" Target="https://cdn.scnbdx.fr/web-afresco/BOGAMET/MET_ARR_2020-BM0822.pdf" TargetMode="External"/><Relationship Id="rId63" Type="http://schemas.openxmlformats.org/officeDocument/2006/relationships/hyperlink" Target="https://cdn.scnbdx.fr/web-afresco/BOGAMET/MET_ARR_2020-BM0722.pdf" TargetMode="External"/><Relationship Id="rId1315" Type="http://schemas.openxmlformats.org/officeDocument/2006/relationships/hyperlink" Target="https://cdn.scnbdx.fr/web-afresco/BOGAMET/MET_ARR_2021-BM0265.pdf" TargetMode="External"/><Relationship Id="rId1799" Type="http://schemas.openxmlformats.org/officeDocument/2006/relationships/hyperlink" Target="https://cdn.scnbdx.fr/web-afresco/BOGAMET/MET_ARR_2020-BM0824.pdf" TargetMode="External"/><Relationship Id="rId66" Type="http://schemas.openxmlformats.org/officeDocument/2006/relationships/hyperlink" Target="https://cdn.scnbdx.fr/web-afresco/BOGAMET/MET_ARR_2020-BM0771.pdf" TargetMode="External"/><Relationship Id="rId1316" Type="http://schemas.openxmlformats.org/officeDocument/2006/relationships/hyperlink" Target="https://cdn.scnbdx.fr/web-afresco/BOGAMET/MET_ARR_2021-BM0265.pdf" TargetMode="External"/><Relationship Id="rId65" Type="http://schemas.openxmlformats.org/officeDocument/2006/relationships/hyperlink" Target="https://cdn.scnbdx.fr/web-afresco/BOGAMET/MET_ARR_2020-BM0771.pdf" TargetMode="External"/><Relationship Id="rId1317" Type="http://schemas.openxmlformats.org/officeDocument/2006/relationships/hyperlink" Target="https://cdn.scnbdx.fr/web-afresco/BOGAMET/MET_ARR_2021-BM0267.pdf" TargetMode="External"/><Relationship Id="rId68" Type="http://schemas.openxmlformats.org/officeDocument/2006/relationships/hyperlink" Target="https://cdn.scnbdx.fr/web-afresco/BOGAMET/MET_ARR_2020-BM0780.pdf" TargetMode="External"/><Relationship Id="rId1318" Type="http://schemas.openxmlformats.org/officeDocument/2006/relationships/hyperlink" Target="https://cdn.scnbdx.fr/web-afresco/BOGAMET/MET_ARR_2021-BM0267.pdf" TargetMode="External"/><Relationship Id="rId67" Type="http://schemas.openxmlformats.org/officeDocument/2006/relationships/hyperlink" Target="https://cdn.scnbdx.fr/web-afresco/BOGAMET/MET_ARR_2020-BM0780.pdf" TargetMode="External"/><Relationship Id="rId1319" Type="http://schemas.openxmlformats.org/officeDocument/2006/relationships/hyperlink" Target="https://cdn.scnbdx.fr/web-afresco/BOGAMET/MET_ARR_2021-BM0325.pdf" TargetMode="External"/><Relationship Id="rId729" Type="http://schemas.openxmlformats.org/officeDocument/2006/relationships/hyperlink" Target="https://cdn.scnbdx.fr/web-afresco/BOGAMET/MET_ARR_2021-BM0676.pdf" TargetMode="External"/><Relationship Id="rId728" Type="http://schemas.openxmlformats.org/officeDocument/2006/relationships/hyperlink" Target="https://cdn.scnbdx.fr/web-afresco/BOGAMET/MET_ARR_2021-BM0663.pdf" TargetMode="External"/><Relationship Id="rId60" Type="http://schemas.openxmlformats.org/officeDocument/2006/relationships/hyperlink" Target="https://cdn.scnbdx.fr/web-afresco/BOGAMET/MET_ARR_2020-BM0714.pdf" TargetMode="External"/><Relationship Id="rId723" Type="http://schemas.openxmlformats.org/officeDocument/2006/relationships/hyperlink" Target="https://cdn.scnbdx.fr/web-afresco/BOGAMET/MET_ARR_2021-BM1470.pdf" TargetMode="External"/><Relationship Id="rId722" Type="http://schemas.openxmlformats.org/officeDocument/2006/relationships/hyperlink" Target="https://cdn.scnbdx.fr/web-afresco/BOGAMET/MET_ARR_2021-BM1370.pdf" TargetMode="External"/><Relationship Id="rId721" Type="http://schemas.openxmlformats.org/officeDocument/2006/relationships/hyperlink" Target="https://cdn.scnbdx.fr/web-afresco/BOGAMET/MET_ARR_2021-BM1370.pdf" TargetMode="External"/><Relationship Id="rId720" Type="http://schemas.openxmlformats.org/officeDocument/2006/relationships/hyperlink" Target="https://cdn.scnbdx.fr/web-afresco/BOGAMET/MET_ARR_2021-BM1367.pdf" TargetMode="External"/><Relationship Id="rId727" Type="http://schemas.openxmlformats.org/officeDocument/2006/relationships/hyperlink" Target="https://cdn.scnbdx.fr/web-afresco/BOGAMET/MET_ARR_2021-BM0663.pdf" TargetMode="External"/><Relationship Id="rId726" Type="http://schemas.openxmlformats.org/officeDocument/2006/relationships/hyperlink" Target="https://cdn.scnbdx.fr/web-afresco/BOGAMET/MET_ARR_2021-BM1432.pdf" TargetMode="External"/><Relationship Id="rId725" Type="http://schemas.openxmlformats.org/officeDocument/2006/relationships/hyperlink" Target="https://cdn.scnbdx.fr/web-afresco/BOGAMET/MET_ARR_2021-BM1432.pdf" TargetMode="External"/><Relationship Id="rId724" Type="http://schemas.openxmlformats.org/officeDocument/2006/relationships/hyperlink" Target="https://cdn.scnbdx.fr/web-afresco/BOGAMET/MET_ARR_2021-BM1470.pdf" TargetMode="External"/><Relationship Id="rId69" Type="http://schemas.openxmlformats.org/officeDocument/2006/relationships/hyperlink" Target="https://cdn.scnbdx.fr/web-afresco/BOGAMET/MET_ARR_2020-BM0784.pdf" TargetMode="External"/><Relationship Id="rId1790" Type="http://schemas.openxmlformats.org/officeDocument/2006/relationships/hyperlink" Target="https://cdn.scnbdx.fr/web-afresco/BOGAMET/MET_ARR_2020-BM0870.pdf" TargetMode="External"/><Relationship Id="rId1791" Type="http://schemas.openxmlformats.org/officeDocument/2006/relationships/hyperlink" Target="https://cdn.scnbdx.fr/web-afresco/BOGAMET/MET_ARR_2020-BM0816.pdf" TargetMode="External"/><Relationship Id="rId1792" Type="http://schemas.openxmlformats.org/officeDocument/2006/relationships/hyperlink" Target="https://cdn.scnbdx.fr/web-afresco/BOGAMET/MET_ARR_2020-BM0816.pdf" TargetMode="External"/><Relationship Id="rId1793" Type="http://schemas.openxmlformats.org/officeDocument/2006/relationships/hyperlink" Target="https://cdn.scnbdx.fr/web-afresco/BOGAMET/MET_ARR_2020-BM0819.pdf" TargetMode="External"/><Relationship Id="rId1310" Type="http://schemas.openxmlformats.org/officeDocument/2006/relationships/hyperlink" Target="https://cdn.scnbdx.fr/web-afresco/BOGAMET/MET_ARR_2021-BM0256.pdf" TargetMode="External"/><Relationship Id="rId1794" Type="http://schemas.openxmlformats.org/officeDocument/2006/relationships/hyperlink" Target="https://cdn.scnbdx.fr/web-afresco/BOGAMET/MET_ARR_2020-BM0819.pdf" TargetMode="External"/><Relationship Id="rId1311" Type="http://schemas.openxmlformats.org/officeDocument/2006/relationships/hyperlink" Target="https://cdn.scnbdx.fr/web-afresco/BOGAMET/MET_ARR_2021-BM0257.pdf" TargetMode="External"/><Relationship Id="rId1795" Type="http://schemas.openxmlformats.org/officeDocument/2006/relationships/hyperlink" Target="https://cdn.scnbdx.fr/web-afresco/BOGAMET/MET_ARR_2020-BM0821.pdf" TargetMode="External"/><Relationship Id="rId51" Type="http://schemas.openxmlformats.org/officeDocument/2006/relationships/hyperlink" Target="https://cdn.scnbdx.fr/web-afresco/BOGAMET/MET_ARR_2020-BM0859.pdf" TargetMode="External"/><Relationship Id="rId1301" Type="http://schemas.openxmlformats.org/officeDocument/2006/relationships/hyperlink" Target="https://cdn.scnbdx.fr/web-afresco/BOGAMET/MET_ARR_2021-BM0221.pdf" TargetMode="External"/><Relationship Id="rId1785" Type="http://schemas.openxmlformats.org/officeDocument/2006/relationships/hyperlink" Target="https://cdn.scnbdx.fr/web-afresco/BOGAMET/MET_ARR_2020-BM0898.pdf" TargetMode="External"/><Relationship Id="rId50" Type="http://schemas.openxmlformats.org/officeDocument/2006/relationships/hyperlink" Target="https://cdn.scnbdx.fr/web-afresco/BOGAMET/MET_ARR_2020-BM0853.pdf" TargetMode="External"/><Relationship Id="rId1302" Type="http://schemas.openxmlformats.org/officeDocument/2006/relationships/hyperlink" Target="https://cdn.scnbdx.fr/web-afresco/BOGAMET/MET_ARR_2021-BM0221.pdf" TargetMode="External"/><Relationship Id="rId1786" Type="http://schemas.openxmlformats.org/officeDocument/2006/relationships/hyperlink" Target="https://cdn.scnbdx.fr/web-afresco/BOGAMET/MET_ARR_2020-BM0898.pdf" TargetMode="External"/><Relationship Id="rId53" Type="http://schemas.openxmlformats.org/officeDocument/2006/relationships/hyperlink" Target="https://cdn.scnbdx.fr/web-afresco/BOGAMET/MET_ARR_2020-BM0865.pdf" TargetMode="External"/><Relationship Id="rId1303" Type="http://schemas.openxmlformats.org/officeDocument/2006/relationships/hyperlink" Target="https://cdn.scnbdx.fr/web-afresco/BOGAMET/MET_ARR_2021-BM0436.pdf" TargetMode="External"/><Relationship Id="rId1787" Type="http://schemas.openxmlformats.org/officeDocument/2006/relationships/hyperlink" Target="https://cdn.scnbdx.fr/web-afresco/BOGAMET/MET_ARR_2020-BM0909.pdf" TargetMode="External"/><Relationship Id="rId52" Type="http://schemas.openxmlformats.org/officeDocument/2006/relationships/hyperlink" Target="https://cdn.scnbdx.fr/web-afresco/BOGAMET/MET_ARR_2020-BM0859.pdf" TargetMode="External"/><Relationship Id="rId1304" Type="http://schemas.openxmlformats.org/officeDocument/2006/relationships/hyperlink" Target="https://cdn.scnbdx.fr/web-afresco/BOGAMET/MET_ARR_2021-BM0436.pdf" TargetMode="External"/><Relationship Id="rId1788" Type="http://schemas.openxmlformats.org/officeDocument/2006/relationships/hyperlink" Target="https://cdn.scnbdx.fr/web-afresco/BOGAMET/MET_ARR_2020-BM0909.pdf" TargetMode="External"/><Relationship Id="rId55" Type="http://schemas.openxmlformats.org/officeDocument/2006/relationships/hyperlink" Target="https://cdn.scnbdx.fr/web-afresco/BOGAMET/MET_ARR_2020-BM0866.pdf" TargetMode="External"/><Relationship Id="rId1305" Type="http://schemas.openxmlformats.org/officeDocument/2006/relationships/hyperlink" Target="https://cdn.scnbdx.fr/web-afresco/BOGAMET/MET_ARR_2021-BM0248.pdf" TargetMode="External"/><Relationship Id="rId1789" Type="http://schemas.openxmlformats.org/officeDocument/2006/relationships/hyperlink" Target="https://cdn.scnbdx.fr/web-afresco/BOGAMET/MET_ARR_2020-BM0870.pdf" TargetMode="External"/><Relationship Id="rId54" Type="http://schemas.openxmlformats.org/officeDocument/2006/relationships/hyperlink" Target="https://cdn.scnbdx.fr/web-afresco/BOGAMET/MET_ARR_2020-BM0865.pdf" TargetMode="External"/><Relationship Id="rId1306" Type="http://schemas.openxmlformats.org/officeDocument/2006/relationships/hyperlink" Target="https://cdn.scnbdx.fr/web-afresco/BOGAMET/MET_ARR_2021-BM0248.pdf" TargetMode="External"/><Relationship Id="rId57" Type="http://schemas.openxmlformats.org/officeDocument/2006/relationships/hyperlink" Target="https://cdn.scnbdx.fr/web-afresco/BOGAMET/MET_ARR_2020-BM0697.pdf" TargetMode="External"/><Relationship Id="rId1307" Type="http://schemas.openxmlformats.org/officeDocument/2006/relationships/hyperlink" Target="https://cdn.scnbdx.fr/web-afresco/BOGAMET/MET_ARR_2021-BM0250.pdf" TargetMode="External"/><Relationship Id="rId56" Type="http://schemas.openxmlformats.org/officeDocument/2006/relationships/hyperlink" Target="https://cdn.scnbdx.fr/web-afresco/BOGAMET/MET_ARR_2020-BM0866.pdf" TargetMode="External"/><Relationship Id="rId1308" Type="http://schemas.openxmlformats.org/officeDocument/2006/relationships/hyperlink" Target="https://cdn.scnbdx.fr/web-afresco/BOGAMET/MET_ARR_2021-BM0250.pdf" TargetMode="External"/><Relationship Id="rId1309" Type="http://schemas.openxmlformats.org/officeDocument/2006/relationships/hyperlink" Target="https://cdn.scnbdx.fr/web-afresco/BOGAMET/MET_ARR_2021-BM0256.pdf" TargetMode="External"/><Relationship Id="rId719" Type="http://schemas.openxmlformats.org/officeDocument/2006/relationships/hyperlink" Target="https://cdn.scnbdx.fr/web-afresco/BOGAMET/MET_ARR_2021-BM1367.pdf" TargetMode="External"/><Relationship Id="rId718" Type="http://schemas.openxmlformats.org/officeDocument/2006/relationships/hyperlink" Target="https://cdn.scnbdx.fr/web-afresco/BOGAMET/MET_ARR_2021-BM1361.pdf" TargetMode="External"/><Relationship Id="rId717" Type="http://schemas.openxmlformats.org/officeDocument/2006/relationships/hyperlink" Target="https://cdn.scnbdx.fr/web-afresco/BOGAMET/MET_ARR_2021-BM1361.pdf" TargetMode="External"/><Relationship Id="rId712" Type="http://schemas.openxmlformats.org/officeDocument/2006/relationships/hyperlink" Target="https://cdn.scnbdx.fr/web-afresco/BOGAMET/MET_ARR_2021-BM1197.pdf" TargetMode="External"/><Relationship Id="rId711" Type="http://schemas.openxmlformats.org/officeDocument/2006/relationships/hyperlink" Target="https://cdn.scnbdx.fr/web-afresco/BOGAMET/MET_ARR_2021-BM1197.pdf" TargetMode="External"/><Relationship Id="rId710" Type="http://schemas.openxmlformats.org/officeDocument/2006/relationships/hyperlink" Target="https://cdn.scnbdx.fr/web-afresco/BOGAMET/MET_ARR_2021-BM1184.pdf" TargetMode="External"/><Relationship Id="rId716" Type="http://schemas.openxmlformats.org/officeDocument/2006/relationships/hyperlink" Target="https://cdn.scnbdx.fr/web-afresco/BOGAMET/MET_ARR_2021-BM1358.pdf" TargetMode="External"/><Relationship Id="rId715" Type="http://schemas.openxmlformats.org/officeDocument/2006/relationships/hyperlink" Target="https://cdn.scnbdx.fr/web-afresco/BOGAMET/MET_ARR_2021-BM1358.pdf" TargetMode="External"/><Relationship Id="rId714" Type="http://schemas.openxmlformats.org/officeDocument/2006/relationships/hyperlink" Target="https://cdn.scnbdx.fr/web-afresco/BOGAMET/MET_ARR_2021-BM1227.pdf" TargetMode="External"/><Relationship Id="rId713" Type="http://schemas.openxmlformats.org/officeDocument/2006/relationships/hyperlink" Target="https://cdn.scnbdx.fr/web-afresco/BOGAMET/MET_ARR_2021-BM1227.pdf" TargetMode="External"/><Relationship Id="rId59" Type="http://schemas.openxmlformats.org/officeDocument/2006/relationships/hyperlink" Target="https://cdn.scnbdx.fr/web-afresco/BOGAMET/MET_ARR_2020-BM0714.pdf" TargetMode="External"/><Relationship Id="rId58" Type="http://schemas.openxmlformats.org/officeDocument/2006/relationships/hyperlink" Target="https://cdn.scnbdx.fr/web-afresco/BOGAMET/MET_ARR_2020-BM0697.pdf" TargetMode="External"/><Relationship Id="rId1780" Type="http://schemas.openxmlformats.org/officeDocument/2006/relationships/hyperlink" Target="https://cdn.scnbdx.fr/web-afresco/BOGAMET/MET_ARR_2020-BM0767.pdf" TargetMode="External"/><Relationship Id="rId1781" Type="http://schemas.openxmlformats.org/officeDocument/2006/relationships/hyperlink" Target="https://cdn.scnbdx.fr/web-afresco/BOGAMET/MET_ARR_2020-BM0768.pdf" TargetMode="External"/><Relationship Id="rId1782" Type="http://schemas.openxmlformats.org/officeDocument/2006/relationships/hyperlink" Target="https://cdn.scnbdx.fr/web-afresco/BOGAMET/MET_ARR_2020-BM0768.pdf" TargetMode="External"/><Relationship Id="rId1783" Type="http://schemas.openxmlformats.org/officeDocument/2006/relationships/hyperlink" Target="https://cdn.scnbdx.fr/web-afresco/BOGAMET/MET_ARR_2020-BM0622.pdf" TargetMode="External"/><Relationship Id="rId1300" Type="http://schemas.openxmlformats.org/officeDocument/2006/relationships/hyperlink" Target="https://cdn.scnbdx.fr/web-afresco/BOGAMET/MET_ARR_2021-BM0108.pdf" TargetMode="External"/><Relationship Id="rId1784" Type="http://schemas.openxmlformats.org/officeDocument/2006/relationships/hyperlink" Target="https://cdn.scnbdx.fr/web-afresco/BOGAMET/MET_ARR_2020-BM0622.pdf" TargetMode="External"/><Relationship Id="rId2269" Type="http://schemas.openxmlformats.org/officeDocument/2006/relationships/hyperlink" Target="https://cdn.scnbdx.fr/web-afresco/BOGAMET/MET_ARR_2020-BM1642.pdf" TargetMode="External"/><Relationship Id="rId349" Type="http://schemas.openxmlformats.org/officeDocument/2006/relationships/hyperlink" Target="https://cdn.scnbdx.fr/web-afresco/BOGAMET/MET_ARR_2021-BM0434.pdf" TargetMode="External"/><Relationship Id="rId348" Type="http://schemas.openxmlformats.org/officeDocument/2006/relationships/hyperlink" Target="https://cdn.scnbdx.fr/web-afresco/BOGAMET/MET_ARR_2021-BM0093.pdf" TargetMode="External"/><Relationship Id="rId347" Type="http://schemas.openxmlformats.org/officeDocument/2006/relationships/hyperlink" Target="https://cdn.scnbdx.fr/web-afresco/BOGAMET/MET_ARR_2021-BM0093.pdf" TargetMode="External"/><Relationship Id="rId346" Type="http://schemas.openxmlformats.org/officeDocument/2006/relationships/hyperlink" Target="https://cdn.scnbdx.fr/web-afresco/BOGAMET/MET_ARR_2021-BM0066.pdf" TargetMode="External"/><Relationship Id="rId2260" Type="http://schemas.openxmlformats.org/officeDocument/2006/relationships/hyperlink" Target="https://cdn.scnbdx.fr/web-afresco/BOGAMET/MET_ARR_2020-BM1296.pdf" TargetMode="External"/><Relationship Id="rId341" Type="http://schemas.openxmlformats.org/officeDocument/2006/relationships/hyperlink" Target="https://cdn.scnbdx.fr/web-afresco/BOGAMET/MET_ARR_2021-BM0547.pdf" TargetMode="External"/><Relationship Id="rId2261" Type="http://schemas.openxmlformats.org/officeDocument/2006/relationships/hyperlink" Target="https://cdn.scnbdx.fr/web-afresco/BOGAMET/MET_ARR_2020-BM1536.pdf" TargetMode="External"/><Relationship Id="rId340" Type="http://schemas.openxmlformats.org/officeDocument/2006/relationships/hyperlink" Target="https://cdn.scnbdx.fr/web-afresco/BOGAMET/MET_ARR_2021-BM0546.pdf" TargetMode="External"/><Relationship Id="rId2262" Type="http://schemas.openxmlformats.org/officeDocument/2006/relationships/hyperlink" Target="https://cdn.scnbdx.fr/web-afresco/BOGAMET/MET_ARR_2020-BM1536.pdf" TargetMode="External"/><Relationship Id="rId2263" Type="http://schemas.openxmlformats.org/officeDocument/2006/relationships/hyperlink" Target="https://cdn.scnbdx.fr/web-afresco/BOGAMET/MET_ARR_2020-BM1537.pdf" TargetMode="External"/><Relationship Id="rId2264" Type="http://schemas.openxmlformats.org/officeDocument/2006/relationships/hyperlink" Target="https://cdn.scnbdx.fr/web-afresco/BOGAMET/MET_ARR_2020-BM1537.pdf" TargetMode="External"/><Relationship Id="rId345" Type="http://schemas.openxmlformats.org/officeDocument/2006/relationships/hyperlink" Target="https://cdn.scnbdx.fr/web-afresco/BOGAMET/MET_ARR_2021-BM0066.pdf" TargetMode="External"/><Relationship Id="rId2265" Type="http://schemas.openxmlformats.org/officeDocument/2006/relationships/hyperlink" Target="https://cdn.scnbdx.fr/web-afresco/BOGAMET/MET_ARR_2020-BM1631.pdf" TargetMode="External"/><Relationship Id="rId344" Type="http://schemas.openxmlformats.org/officeDocument/2006/relationships/hyperlink" Target="https://cdn.scnbdx.fr/web-afresco/BOGAMET/MET_ARR_2021-BM0554.pdf" TargetMode="External"/><Relationship Id="rId2266" Type="http://schemas.openxmlformats.org/officeDocument/2006/relationships/hyperlink" Target="https://cdn.scnbdx.fr/web-afresco/BOGAMET/MET_ARR_2020-BM1631.pdf" TargetMode="External"/><Relationship Id="rId343" Type="http://schemas.openxmlformats.org/officeDocument/2006/relationships/hyperlink" Target="https://cdn.scnbdx.fr/web-afresco/BOGAMET/MET_ARR_2021-BM0554.pdf" TargetMode="External"/><Relationship Id="rId2267" Type="http://schemas.openxmlformats.org/officeDocument/2006/relationships/hyperlink" Target="https://cdn.scnbdx.fr/web-afresco/BOGAMET/MET_ARR_2020-BM1626.pdf" TargetMode="External"/><Relationship Id="rId342" Type="http://schemas.openxmlformats.org/officeDocument/2006/relationships/hyperlink" Target="https://cdn.scnbdx.fr/web-afresco/BOGAMET/MET_ARR_2021-BM0547.pdf" TargetMode="External"/><Relationship Id="rId2268" Type="http://schemas.openxmlformats.org/officeDocument/2006/relationships/hyperlink" Target="https://cdn.scnbdx.fr/web-afresco/BOGAMET/MET_ARR_2020-BM1626.pdf" TargetMode="External"/><Relationship Id="rId2258" Type="http://schemas.openxmlformats.org/officeDocument/2006/relationships/hyperlink" Target="https://cdn.scnbdx.fr/web-afresco/BOGAMET/MET_ARR_2020-BM1565.pdf" TargetMode="External"/><Relationship Id="rId2259" Type="http://schemas.openxmlformats.org/officeDocument/2006/relationships/hyperlink" Target="https://cdn.scnbdx.fr/web-afresco/BOGAMET/MET_ARR_2020-BM1296.pdf" TargetMode="External"/><Relationship Id="rId338" Type="http://schemas.openxmlformats.org/officeDocument/2006/relationships/hyperlink" Target="https://cdn.scnbdx.fr/web-afresco/BOGAMET/MET_ARR_2021-BM0543.pdf" TargetMode="External"/><Relationship Id="rId337" Type="http://schemas.openxmlformats.org/officeDocument/2006/relationships/hyperlink" Target="https://cdn.scnbdx.fr/web-afresco/BOGAMET/MET_ARR_2021-BM0543.pdf" TargetMode="External"/><Relationship Id="rId336" Type="http://schemas.openxmlformats.org/officeDocument/2006/relationships/hyperlink" Target="https://cdn.scnbdx.fr/web-afresco/BOGAMET/MET_ARR_2021-BM0532.pdf" TargetMode="External"/><Relationship Id="rId335" Type="http://schemas.openxmlformats.org/officeDocument/2006/relationships/hyperlink" Target="https://cdn.scnbdx.fr/web-afresco/BOGAMET/MET_ARR_2021-BM0532.pdf" TargetMode="External"/><Relationship Id="rId339" Type="http://schemas.openxmlformats.org/officeDocument/2006/relationships/hyperlink" Target="https://cdn.scnbdx.fr/web-afresco/BOGAMET/MET_ARR_2021-BM0546.pdf" TargetMode="External"/><Relationship Id="rId330" Type="http://schemas.openxmlformats.org/officeDocument/2006/relationships/hyperlink" Target="https://cdn.scnbdx.fr/web-afresco/BOGAMET/MET_ARR_2021-BM0392.pdf" TargetMode="External"/><Relationship Id="rId2250" Type="http://schemas.openxmlformats.org/officeDocument/2006/relationships/hyperlink" Target="https://cdn.scnbdx.fr/web-afresco/BOGAMET/MET_ARR_2021-BM0526.pdf" TargetMode="External"/><Relationship Id="rId2251" Type="http://schemas.openxmlformats.org/officeDocument/2006/relationships/hyperlink" Target="https://cdn.scnbdx.fr/web-afresco/BOGAMET/MET_ARR_2021-BM0566.pdf" TargetMode="External"/><Relationship Id="rId2252" Type="http://schemas.openxmlformats.org/officeDocument/2006/relationships/hyperlink" Target="https://cdn.scnbdx.fr/web-afresco/BOGAMET/MET_ARR_2021-BM0566.pdf" TargetMode="External"/><Relationship Id="rId2253" Type="http://schemas.openxmlformats.org/officeDocument/2006/relationships/hyperlink" Target="https://cdn.scnbdx.fr/web-afresco/BOGAMET/MET_ARR_2020-BM1554.pdf" TargetMode="External"/><Relationship Id="rId334" Type="http://schemas.openxmlformats.org/officeDocument/2006/relationships/hyperlink" Target="https://cdn.scnbdx.fr/web-afresco/BOGAMET/MET_ARR_2021-BM0529.pdf" TargetMode="External"/><Relationship Id="rId2254" Type="http://schemas.openxmlformats.org/officeDocument/2006/relationships/hyperlink" Target="https://cdn.scnbdx.fr/web-afresco/BOGAMET/MET_ARR_2020-BM1554.pdf" TargetMode="External"/><Relationship Id="rId333" Type="http://schemas.openxmlformats.org/officeDocument/2006/relationships/hyperlink" Target="https://cdn.scnbdx.fr/web-afresco/BOGAMET/MET_ARR_2021-BM0529.pdf" TargetMode="External"/><Relationship Id="rId2255" Type="http://schemas.openxmlformats.org/officeDocument/2006/relationships/hyperlink" Target="https://cdn.scnbdx.fr/web-afresco/BOGAMET/MET_ARR_2020-BM1564.pdf" TargetMode="External"/><Relationship Id="rId332" Type="http://schemas.openxmlformats.org/officeDocument/2006/relationships/hyperlink" Target="https://cdn.scnbdx.fr/web-afresco/BOGAMET/MET_ARR_2021-BM0528.pdf" TargetMode="External"/><Relationship Id="rId2256" Type="http://schemas.openxmlformats.org/officeDocument/2006/relationships/hyperlink" Target="https://cdn.scnbdx.fr/web-afresco/BOGAMET/MET_ARR_2020-BM1564.pdf" TargetMode="External"/><Relationship Id="rId331" Type="http://schemas.openxmlformats.org/officeDocument/2006/relationships/hyperlink" Target="https://cdn.scnbdx.fr/web-afresco/BOGAMET/MET_ARR_2021-BM0528.pdf" TargetMode="External"/><Relationship Id="rId2257" Type="http://schemas.openxmlformats.org/officeDocument/2006/relationships/hyperlink" Target="https://cdn.scnbdx.fr/web-afresco/BOGAMET/MET_ARR_2020-BM1565.pdf" TargetMode="External"/><Relationship Id="rId370" Type="http://schemas.openxmlformats.org/officeDocument/2006/relationships/hyperlink" Target="https://cdn.scnbdx.fr/web-afresco/BOGAMET/MET_ARR_2020-BM1489.pdf" TargetMode="External"/><Relationship Id="rId369" Type="http://schemas.openxmlformats.org/officeDocument/2006/relationships/hyperlink" Target="https://cdn.scnbdx.fr/web-afresco/BOGAMET/MET_ARR_2020-BM1489.pdf" TargetMode="External"/><Relationship Id="rId368" Type="http://schemas.openxmlformats.org/officeDocument/2006/relationships/hyperlink" Target="https://cdn.scnbdx.fr/web-afresco/BOGAMET/MET_ARR_2020-BM1487.pdf" TargetMode="External"/><Relationship Id="rId2280" Type="http://schemas.openxmlformats.org/officeDocument/2006/relationships/hyperlink" Target="https://cdn.scnbdx.fr/web-afresco/BOGAMET/MET_ARR_2021-BM0034.pdf" TargetMode="External"/><Relationship Id="rId2281" Type="http://schemas.openxmlformats.org/officeDocument/2006/relationships/hyperlink" Target="https://cdn.scnbdx.fr/web-afresco/BOGAMET/MET_ARR_2021-BM0102.pdf" TargetMode="External"/><Relationship Id="rId2282" Type="http://schemas.openxmlformats.org/officeDocument/2006/relationships/hyperlink" Target="https://cdn.scnbdx.fr/web-afresco/BOGAMET/MET_ARR_2021-BM0102.pdf" TargetMode="External"/><Relationship Id="rId363" Type="http://schemas.openxmlformats.org/officeDocument/2006/relationships/hyperlink" Target="https://cdn.scnbdx.fr/web-afresco/BOGAMET/MET_ARR_2020-BM1480.pdf" TargetMode="External"/><Relationship Id="rId2283" Type="http://schemas.openxmlformats.org/officeDocument/2006/relationships/hyperlink" Target="https://cdn.scnbdx.fr/web-afresco/BOGAMET/MET_ARR_2021-BM0786.pdf" TargetMode="External"/><Relationship Id="rId362" Type="http://schemas.openxmlformats.org/officeDocument/2006/relationships/hyperlink" Target="https://cdn.scnbdx.fr/web-afresco/BOGAMET/MET_ARR_2020-BM1478.pdf" TargetMode="External"/><Relationship Id="rId2284" Type="http://schemas.openxmlformats.org/officeDocument/2006/relationships/hyperlink" Target="https://cdn.scnbdx.fr/web-afresco/BOGAMET/MET_ARR_2021-BM0786.pdf" TargetMode="External"/><Relationship Id="rId361" Type="http://schemas.openxmlformats.org/officeDocument/2006/relationships/hyperlink" Target="https://cdn.scnbdx.fr/web-afresco/BOGAMET/MET_ARR_2020-BM1478.pdf" TargetMode="External"/><Relationship Id="rId2285" Type="http://schemas.openxmlformats.org/officeDocument/2006/relationships/hyperlink" Target="https://cdn.scnbdx.fr/web-afresco/BOGAMET/MET_ARR_2021-BM0768.pdf" TargetMode="External"/><Relationship Id="rId360" Type="http://schemas.openxmlformats.org/officeDocument/2006/relationships/hyperlink" Target="https://cdn.scnbdx.fr/web-afresco/BOGAMET/MET_ARR_2020-BM1476.pdf" TargetMode="External"/><Relationship Id="rId2286" Type="http://schemas.openxmlformats.org/officeDocument/2006/relationships/hyperlink" Target="https://cdn.scnbdx.fr/web-afresco/BOGAMET/MET_ARR_2021-BM0768.pdf" TargetMode="External"/><Relationship Id="rId367" Type="http://schemas.openxmlformats.org/officeDocument/2006/relationships/hyperlink" Target="https://cdn.scnbdx.fr/web-afresco/BOGAMET/MET_ARR_2020-BM1487.pdf" TargetMode="External"/><Relationship Id="rId2287" Type="http://schemas.openxmlformats.org/officeDocument/2006/relationships/hyperlink" Target="https://cdn.scnbdx.fr/web-afresco/BOGAMET/MET_ARR_2021-BM0826.pdf" TargetMode="External"/><Relationship Id="rId366" Type="http://schemas.openxmlformats.org/officeDocument/2006/relationships/hyperlink" Target="https://cdn.scnbdx.fr/web-afresco/BOGAMET/MET_ARR_2020-BM1485.pdf" TargetMode="External"/><Relationship Id="rId2288" Type="http://schemas.openxmlformats.org/officeDocument/2006/relationships/hyperlink" Target="https://cdn.scnbdx.fr/web-afresco/BOGAMET/MET_ARR_2021-BM0826.pdf" TargetMode="External"/><Relationship Id="rId365" Type="http://schemas.openxmlformats.org/officeDocument/2006/relationships/hyperlink" Target="https://cdn.scnbdx.fr/web-afresco/BOGAMET/MET_ARR_2020-BM1485.pdf" TargetMode="External"/><Relationship Id="rId2289" Type="http://schemas.openxmlformats.org/officeDocument/2006/relationships/hyperlink" Target="https://cdn.scnbdx.fr/web-afresco/BOGAMET/MET_ARR_2021-BM0774.pdf" TargetMode="External"/><Relationship Id="rId364" Type="http://schemas.openxmlformats.org/officeDocument/2006/relationships/hyperlink" Target="https://cdn.scnbdx.fr/web-afresco/BOGAMET/MET_ARR_2020-BM1480.pdf" TargetMode="External"/><Relationship Id="rId95" Type="http://schemas.openxmlformats.org/officeDocument/2006/relationships/hyperlink" Target="https://cdn.scnbdx.fr/web-afresco/BOGAMET/MET_ARR_2020-BM0729.pdf" TargetMode="External"/><Relationship Id="rId94" Type="http://schemas.openxmlformats.org/officeDocument/2006/relationships/hyperlink" Target="https://cdn.scnbdx.fr/web-afresco/BOGAMET/MET_ARR_2020-BM0727.pdf" TargetMode="External"/><Relationship Id="rId97" Type="http://schemas.openxmlformats.org/officeDocument/2006/relationships/hyperlink" Target="https://cdn.scnbdx.fr/web-afresco/BOGAMET/MET_ARR_2020-BM0731.pdf" TargetMode="External"/><Relationship Id="rId96" Type="http://schemas.openxmlformats.org/officeDocument/2006/relationships/hyperlink" Target="https://cdn.scnbdx.fr/web-afresco/BOGAMET/MET_ARR_2020-BM0729.pdf" TargetMode="External"/><Relationship Id="rId99" Type="http://schemas.openxmlformats.org/officeDocument/2006/relationships/hyperlink" Target="https://cdn.scnbdx.fr/web-afresco/BOGAMET/MET_ARR_2020-BM0733.pdf" TargetMode="External"/><Relationship Id="rId98" Type="http://schemas.openxmlformats.org/officeDocument/2006/relationships/hyperlink" Target="https://cdn.scnbdx.fr/web-afresco/BOGAMET/MET_ARR_2020-BM0731.pdf" TargetMode="External"/><Relationship Id="rId91" Type="http://schemas.openxmlformats.org/officeDocument/2006/relationships/hyperlink" Target="https://cdn.scnbdx.fr/web-afresco/BOGAMET/MET_ARR_2020-BM0725.pdf" TargetMode="External"/><Relationship Id="rId90" Type="http://schemas.openxmlformats.org/officeDocument/2006/relationships/hyperlink" Target="https://cdn.scnbdx.fr/web-afresco/BOGAMET/MET_ARR_2020-BM0811.pdf" TargetMode="External"/><Relationship Id="rId93" Type="http://schemas.openxmlformats.org/officeDocument/2006/relationships/hyperlink" Target="https://cdn.scnbdx.fr/web-afresco/BOGAMET/MET_ARR_2020-BM0727.pdf" TargetMode="External"/><Relationship Id="rId92" Type="http://schemas.openxmlformats.org/officeDocument/2006/relationships/hyperlink" Target="https://cdn.scnbdx.fr/web-afresco/BOGAMET/MET_ARR_2020-BM0725.pdf" TargetMode="External"/><Relationship Id="rId359" Type="http://schemas.openxmlformats.org/officeDocument/2006/relationships/hyperlink" Target="https://cdn.scnbdx.fr/web-afresco/BOGAMET/MET_ARR_2020-BM1476.pdf" TargetMode="External"/><Relationship Id="rId358" Type="http://schemas.openxmlformats.org/officeDocument/2006/relationships/hyperlink" Target="https://cdn.scnbdx.fr/web-afresco/BOGAMET/MET_ARR_2021-BM0505.pdf" TargetMode="External"/><Relationship Id="rId357" Type="http://schemas.openxmlformats.org/officeDocument/2006/relationships/hyperlink" Target="https://cdn.scnbdx.fr/web-afresco/BOGAMET/MET_ARR_2021-BM0505.pdf" TargetMode="External"/><Relationship Id="rId2270" Type="http://schemas.openxmlformats.org/officeDocument/2006/relationships/hyperlink" Target="https://cdn.scnbdx.fr/web-afresco/BOGAMET/MET_ARR_2020-BM1642.pdf" TargetMode="External"/><Relationship Id="rId2271" Type="http://schemas.openxmlformats.org/officeDocument/2006/relationships/hyperlink" Target="https://cdn.scnbdx.fr/web-afresco/BOGAMET/MET_ARR_2020-BM1098.pdf" TargetMode="External"/><Relationship Id="rId352" Type="http://schemas.openxmlformats.org/officeDocument/2006/relationships/hyperlink" Target="https://cdn.scnbdx.fr/web-afresco/BOGAMET/MET_ARR_2021-BM0576.pdf" TargetMode="External"/><Relationship Id="rId2272" Type="http://schemas.openxmlformats.org/officeDocument/2006/relationships/hyperlink" Target="https://cdn.scnbdx.fr/web-afresco/BOGAMET/MET_ARR_2020-BM1098.pdf" TargetMode="External"/><Relationship Id="rId351" Type="http://schemas.openxmlformats.org/officeDocument/2006/relationships/hyperlink" Target="https://cdn.scnbdx.fr/web-afresco/BOGAMET/MET_ARR_2021-BM0576.pdf" TargetMode="External"/><Relationship Id="rId2273" Type="http://schemas.openxmlformats.org/officeDocument/2006/relationships/hyperlink" Target="https://cdn.scnbdx.fr/web-afresco/BOGAMET/MET_ARR_2020-BM1100.pdf" TargetMode="External"/><Relationship Id="rId350" Type="http://schemas.openxmlformats.org/officeDocument/2006/relationships/hyperlink" Target="https://cdn.scnbdx.fr/web-afresco/BOGAMET/MET_ARR_2021-BM0434.pdf" TargetMode="External"/><Relationship Id="rId2274" Type="http://schemas.openxmlformats.org/officeDocument/2006/relationships/hyperlink" Target="https://cdn.scnbdx.fr/web-afresco/BOGAMET/MET_ARR_2020-BM1100.pdf" TargetMode="External"/><Relationship Id="rId2275" Type="http://schemas.openxmlformats.org/officeDocument/2006/relationships/hyperlink" Target="https://cdn.scnbdx.fr/web-afresco/BOGAMET/MET_ARR_2020-BM1628.pdf" TargetMode="External"/><Relationship Id="rId356" Type="http://schemas.openxmlformats.org/officeDocument/2006/relationships/hyperlink" Target="https://cdn.scnbdx.fr/web-afresco/BOGAMET/MET_ARR_2021-BM0481.pdf" TargetMode="External"/><Relationship Id="rId2276" Type="http://schemas.openxmlformats.org/officeDocument/2006/relationships/hyperlink" Target="https://cdn.scnbdx.fr/web-afresco/BOGAMET/MET_ARR_2020-BM1628.pdf" TargetMode="External"/><Relationship Id="rId355" Type="http://schemas.openxmlformats.org/officeDocument/2006/relationships/hyperlink" Target="https://cdn.scnbdx.fr/web-afresco/BOGAMET/MET_ARR_2021-BM0481.pdf" TargetMode="External"/><Relationship Id="rId2277" Type="http://schemas.openxmlformats.org/officeDocument/2006/relationships/hyperlink" Target="https://cdn.scnbdx.fr/web-afresco/BOGAMET/MET_ARR_2020-BM1656.pdf" TargetMode="External"/><Relationship Id="rId354" Type="http://schemas.openxmlformats.org/officeDocument/2006/relationships/hyperlink" Target="https://cdn.scnbdx.fr/web-afresco/BOGAMET/MET_ARR_2021-BM0501.pdf" TargetMode="External"/><Relationship Id="rId2278" Type="http://schemas.openxmlformats.org/officeDocument/2006/relationships/hyperlink" Target="https://cdn.scnbdx.fr/web-afresco/BOGAMET/MET_ARR_2020-BM1656.pdf" TargetMode="External"/><Relationship Id="rId353" Type="http://schemas.openxmlformats.org/officeDocument/2006/relationships/hyperlink" Target="https://cdn.scnbdx.fr/web-afresco/BOGAMET/MET_ARR_2021-BM0501.pdf" TargetMode="External"/><Relationship Id="rId2279" Type="http://schemas.openxmlformats.org/officeDocument/2006/relationships/hyperlink" Target="https://cdn.scnbdx.fr/web-afresco/BOGAMET/MET_ARR_2021-BM0034.pdf" TargetMode="External"/><Relationship Id="rId1378" Type="http://schemas.openxmlformats.org/officeDocument/2006/relationships/hyperlink" Target="https://cdn.scnbdx.fr/web-afresco/BOGAMET/MET_ARR_2021-BM1316.pdf" TargetMode="External"/><Relationship Id="rId2225" Type="http://schemas.openxmlformats.org/officeDocument/2006/relationships/hyperlink" Target="https://cdn.scnbdx.fr/web-afresco/BOGAMET/MET_ARR_2021-BM0255.pdf" TargetMode="External"/><Relationship Id="rId1379" Type="http://schemas.openxmlformats.org/officeDocument/2006/relationships/hyperlink" Target="https://cdn.scnbdx.fr/web-afresco/BOGAMET/MET_ARR_2021-BM0913.pdf" TargetMode="External"/><Relationship Id="rId2226" Type="http://schemas.openxmlformats.org/officeDocument/2006/relationships/hyperlink" Target="https://cdn.scnbdx.fr/web-afresco/BOGAMET/MET_ARR_2021-BM0255.pdf" TargetMode="External"/><Relationship Id="rId2227" Type="http://schemas.openxmlformats.org/officeDocument/2006/relationships/hyperlink" Target="https://cdn.scnbdx.fr/web-afresco/BOGAMET/MET_ARR_2021-BM0259.pdf" TargetMode="External"/><Relationship Id="rId2228" Type="http://schemas.openxmlformats.org/officeDocument/2006/relationships/hyperlink" Target="https://cdn.scnbdx.fr/web-afresco/BOGAMET/MET_ARR_2021-BM0259.pdf" TargetMode="External"/><Relationship Id="rId2229" Type="http://schemas.openxmlformats.org/officeDocument/2006/relationships/hyperlink" Target="https://cdn.scnbdx.fr/web-afresco/BOGAMET/MET_ARR_2021-BM0260.pdf" TargetMode="External"/><Relationship Id="rId305" Type="http://schemas.openxmlformats.org/officeDocument/2006/relationships/hyperlink" Target="https://cdn.scnbdx.fr/web-afresco/BOGAMET/MET_ARR_2021-BM0017.pdf" TargetMode="External"/><Relationship Id="rId789" Type="http://schemas.openxmlformats.org/officeDocument/2006/relationships/hyperlink" Target="https://cdn.scnbdx.fr/web-afresco/BOGAMET/MET_ARR_2021-BM1525.pdf" TargetMode="External"/><Relationship Id="rId304" Type="http://schemas.openxmlformats.org/officeDocument/2006/relationships/hyperlink" Target="https://cdn.scnbdx.fr/web-afresco/BOGAMET/MET_ARR_2021-BM0340.pdf" TargetMode="External"/><Relationship Id="rId788" Type="http://schemas.openxmlformats.org/officeDocument/2006/relationships/hyperlink" Target="https://cdn.scnbdx.fr/web-afresco/BOGAMET/MET_ARR_2021-BM1524.pdf" TargetMode="External"/><Relationship Id="rId303" Type="http://schemas.openxmlformats.org/officeDocument/2006/relationships/hyperlink" Target="https://cdn.scnbdx.fr/web-afresco/BOGAMET/MET_ARR_2021-BM0340.pdf" TargetMode="External"/><Relationship Id="rId787" Type="http://schemas.openxmlformats.org/officeDocument/2006/relationships/hyperlink" Target="https://cdn.scnbdx.fr/web-afresco/BOGAMET/MET_ARR_2021-BM1524.pdf" TargetMode="External"/><Relationship Id="rId302" Type="http://schemas.openxmlformats.org/officeDocument/2006/relationships/hyperlink" Target="https://cdn.scnbdx.fr/web-afresco/BOGAMET/MET_ARR_2021-BM0220.pdf" TargetMode="External"/><Relationship Id="rId786" Type="http://schemas.openxmlformats.org/officeDocument/2006/relationships/hyperlink" Target="https://cdn.scnbdx.fr/web-afresco/BOGAMET/MET_ARR_2021-BM1523.pdf" TargetMode="External"/><Relationship Id="rId309" Type="http://schemas.openxmlformats.org/officeDocument/2006/relationships/hyperlink" Target="https://cdn.scnbdx.fr/web-afresco/BOGAMET/MET_ARR_2021-BM0277.pdf" TargetMode="External"/><Relationship Id="rId308" Type="http://schemas.openxmlformats.org/officeDocument/2006/relationships/hyperlink" Target="https://cdn.scnbdx.fr/web-afresco/BOGAMET/MET_ARR_2021-BM0230.pdf" TargetMode="External"/><Relationship Id="rId307" Type="http://schemas.openxmlformats.org/officeDocument/2006/relationships/hyperlink" Target="https://cdn.scnbdx.fr/web-afresco/BOGAMET/MET_ARR_2021-BM0230.pdf" TargetMode="External"/><Relationship Id="rId306" Type="http://schemas.openxmlformats.org/officeDocument/2006/relationships/hyperlink" Target="https://cdn.scnbdx.fr/web-afresco/BOGAMET/MET_ARR_2021-BM0017.pdf" TargetMode="External"/><Relationship Id="rId781" Type="http://schemas.openxmlformats.org/officeDocument/2006/relationships/hyperlink" Target="https://cdn.scnbdx.fr/web-afresco/BOGAMET/MET_ARR_2021-BM1521.pdf" TargetMode="External"/><Relationship Id="rId1370" Type="http://schemas.openxmlformats.org/officeDocument/2006/relationships/hyperlink" Target="https://cdn.scnbdx.fr/web-afresco/BOGAMET/MET_ARR_2021-BM0931.pdf" TargetMode="External"/><Relationship Id="rId780" Type="http://schemas.openxmlformats.org/officeDocument/2006/relationships/hyperlink" Target="https://cdn.scnbdx.fr/web-afresco/BOGAMET/MET_ARR_2021-BM0761.pdf" TargetMode="External"/><Relationship Id="rId1371" Type="http://schemas.openxmlformats.org/officeDocument/2006/relationships/hyperlink" Target="https://cdn.scnbdx.fr/web-afresco/BOGAMET/MET_ARR_2021-BM1373.pdf" TargetMode="External"/><Relationship Id="rId1372" Type="http://schemas.openxmlformats.org/officeDocument/2006/relationships/hyperlink" Target="https://cdn.scnbdx.fr/web-afresco/BOGAMET/MET_ARR_2021-BM1373.pdf" TargetMode="External"/><Relationship Id="rId1373" Type="http://schemas.openxmlformats.org/officeDocument/2006/relationships/hyperlink" Target="https://cdn.scnbdx.fr/web-afresco/BOGAMET/MET_ARR_2021-BM1403.pdf" TargetMode="External"/><Relationship Id="rId2220" Type="http://schemas.openxmlformats.org/officeDocument/2006/relationships/hyperlink" Target="https://cdn.scnbdx.fr/web-afresco/BOGAMET/MET_ARR_2021-BM0246.pdf" TargetMode="External"/><Relationship Id="rId301" Type="http://schemas.openxmlformats.org/officeDocument/2006/relationships/hyperlink" Target="https://cdn.scnbdx.fr/web-afresco/BOGAMET/MET_ARR_2021-BM0220.pdf" TargetMode="External"/><Relationship Id="rId785" Type="http://schemas.openxmlformats.org/officeDocument/2006/relationships/hyperlink" Target="https://cdn.scnbdx.fr/web-afresco/BOGAMET/MET_ARR_2021-BM1523.pdf" TargetMode="External"/><Relationship Id="rId1374" Type="http://schemas.openxmlformats.org/officeDocument/2006/relationships/hyperlink" Target="https://cdn.scnbdx.fr/web-afresco/BOGAMET/MET_ARR_2021-BM1403.pdf" TargetMode="External"/><Relationship Id="rId2221" Type="http://schemas.openxmlformats.org/officeDocument/2006/relationships/hyperlink" Target="https://cdn.scnbdx.fr/web-afresco/BOGAMET/MET_ARR_2021-BM0251.pdf" TargetMode="External"/><Relationship Id="rId300" Type="http://schemas.openxmlformats.org/officeDocument/2006/relationships/hyperlink" Target="https://cdn.scnbdx.fr/web-afresco/BOGAMET/MET_ARR_2021-BM0198.pdf" TargetMode="External"/><Relationship Id="rId784" Type="http://schemas.openxmlformats.org/officeDocument/2006/relationships/hyperlink" Target="https://cdn.scnbdx.fr/web-afresco/BOGAMET/MET_ARR_2021-BM1522.pdf" TargetMode="External"/><Relationship Id="rId1375" Type="http://schemas.openxmlformats.org/officeDocument/2006/relationships/hyperlink" Target="https://cdn.scnbdx.fr/web-afresco/BOGAMET/MET_ARR_2021-BM1308.pdf" TargetMode="External"/><Relationship Id="rId2222" Type="http://schemas.openxmlformats.org/officeDocument/2006/relationships/hyperlink" Target="https://cdn.scnbdx.fr/web-afresco/BOGAMET/MET_ARR_2021-BM0251.pdf" TargetMode="External"/><Relationship Id="rId783" Type="http://schemas.openxmlformats.org/officeDocument/2006/relationships/hyperlink" Target="https://cdn.scnbdx.fr/web-afresco/BOGAMET/MET_ARR_2021-BM1522.pdf" TargetMode="External"/><Relationship Id="rId1376" Type="http://schemas.openxmlformats.org/officeDocument/2006/relationships/hyperlink" Target="https://cdn.scnbdx.fr/web-afresco/BOGAMET/MET_ARR_2021-BM1308.pdf" TargetMode="External"/><Relationship Id="rId2223" Type="http://schemas.openxmlformats.org/officeDocument/2006/relationships/hyperlink" Target="https://cdn.scnbdx.fr/web-afresco/BOGAMET/MET_ARR_2021-BM0252.pdf" TargetMode="External"/><Relationship Id="rId782" Type="http://schemas.openxmlformats.org/officeDocument/2006/relationships/hyperlink" Target="https://cdn.scnbdx.fr/web-afresco/BOGAMET/MET_ARR_2021-BM1521.pdf" TargetMode="External"/><Relationship Id="rId1377" Type="http://schemas.openxmlformats.org/officeDocument/2006/relationships/hyperlink" Target="https://cdn.scnbdx.fr/web-afresco/BOGAMET/MET_ARR_2021-BM1316.pdf" TargetMode="External"/><Relationship Id="rId2224" Type="http://schemas.openxmlformats.org/officeDocument/2006/relationships/hyperlink" Target="https://cdn.scnbdx.fr/web-afresco/BOGAMET/MET_ARR_2021-BM0252.pdf" TargetMode="External"/><Relationship Id="rId1367" Type="http://schemas.openxmlformats.org/officeDocument/2006/relationships/hyperlink" Target="https://cdn.scnbdx.fr/web-afresco/BOGAMET/MET_ARR_2021-BM0904.pdf" TargetMode="External"/><Relationship Id="rId2214" Type="http://schemas.openxmlformats.org/officeDocument/2006/relationships/hyperlink" Target="https://cdn.scnbdx.fr/web-afresco/BOGAMET/MET_ARR_2021-BM0123.pdf" TargetMode="External"/><Relationship Id="rId1368" Type="http://schemas.openxmlformats.org/officeDocument/2006/relationships/hyperlink" Target="https://cdn.scnbdx.fr/web-afresco/BOGAMET/MET_ARR_2021-BM0904.pdf" TargetMode="External"/><Relationship Id="rId2215" Type="http://schemas.openxmlformats.org/officeDocument/2006/relationships/hyperlink" Target="https://cdn.scnbdx.fr/web-afresco/BOGAMET/MET_ARR_2021-BM0440.pdf" TargetMode="External"/><Relationship Id="rId1369" Type="http://schemas.openxmlformats.org/officeDocument/2006/relationships/hyperlink" Target="https://cdn.scnbdx.fr/web-afresco/BOGAMET/MET_ARR_2021-BM0931.pdf" TargetMode="External"/><Relationship Id="rId2216" Type="http://schemas.openxmlformats.org/officeDocument/2006/relationships/hyperlink" Target="https://cdn.scnbdx.fr/web-afresco/BOGAMET/MET_ARR_2021-BM0440.pdf" TargetMode="External"/><Relationship Id="rId2217" Type="http://schemas.openxmlformats.org/officeDocument/2006/relationships/hyperlink" Target="https://cdn.scnbdx.fr/web-afresco/BOGAMET/MET_ARR_2021-BM0479.pdf" TargetMode="External"/><Relationship Id="rId2218" Type="http://schemas.openxmlformats.org/officeDocument/2006/relationships/hyperlink" Target="https://cdn.scnbdx.fr/web-afresco/BOGAMET/MET_ARR_2021-BM0479.pdf" TargetMode="External"/><Relationship Id="rId2219" Type="http://schemas.openxmlformats.org/officeDocument/2006/relationships/hyperlink" Target="https://cdn.scnbdx.fr/web-afresco/BOGAMET/MET_ARR_2021-BM0246.pdf" TargetMode="External"/><Relationship Id="rId778" Type="http://schemas.openxmlformats.org/officeDocument/2006/relationships/hyperlink" Target="https://cdn.scnbdx.fr/web-afresco/BOGAMET/MET_ARR_2021-BM0744.pdf" TargetMode="External"/><Relationship Id="rId777" Type="http://schemas.openxmlformats.org/officeDocument/2006/relationships/hyperlink" Target="https://cdn.scnbdx.fr/web-afresco/BOGAMET/MET_ARR_2021-BM0744.pdf" TargetMode="External"/><Relationship Id="rId776" Type="http://schemas.openxmlformats.org/officeDocument/2006/relationships/hyperlink" Target="https://cdn.scnbdx.fr/web-afresco/BOGAMET/MET_ARR_2021-BM0742.pdf" TargetMode="External"/><Relationship Id="rId775" Type="http://schemas.openxmlformats.org/officeDocument/2006/relationships/hyperlink" Target="https://cdn.scnbdx.fr/web-afresco/BOGAMET/MET_ARR_2021-BM0742.pdf" TargetMode="External"/><Relationship Id="rId779" Type="http://schemas.openxmlformats.org/officeDocument/2006/relationships/hyperlink" Target="https://cdn.scnbdx.fr/web-afresco/BOGAMET/MET_ARR_2021-BM0761.pdf" TargetMode="External"/><Relationship Id="rId770" Type="http://schemas.openxmlformats.org/officeDocument/2006/relationships/hyperlink" Target="https://cdn.scnbdx.fr/web-afresco/BOGAMET/MET_ARR_2021-BM0738.pdf" TargetMode="External"/><Relationship Id="rId1360" Type="http://schemas.openxmlformats.org/officeDocument/2006/relationships/hyperlink" Target="https://cdn.scnbdx.fr/web-afresco/BOGAMET/MET_ARR_2021-BM0851.pdf" TargetMode="External"/><Relationship Id="rId1361" Type="http://schemas.openxmlformats.org/officeDocument/2006/relationships/hyperlink" Target="https://cdn.scnbdx.fr/web-afresco/BOGAMET/MET_ARR_2021-BM0852.pdf" TargetMode="External"/><Relationship Id="rId1362" Type="http://schemas.openxmlformats.org/officeDocument/2006/relationships/hyperlink" Target="https://cdn.scnbdx.fr/web-afresco/BOGAMET/MET_ARR_2021-BM0852.pdf" TargetMode="External"/><Relationship Id="rId774" Type="http://schemas.openxmlformats.org/officeDocument/2006/relationships/hyperlink" Target="https://cdn.scnbdx.fr/web-afresco/BOGAMET/MET_ARR_2021-BM0741.pdf" TargetMode="External"/><Relationship Id="rId1363" Type="http://schemas.openxmlformats.org/officeDocument/2006/relationships/hyperlink" Target="https://cdn.scnbdx.fr/web-afresco/BOGAMET/MET_ARR_2021-BM0875.pdf" TargetMode="External"/><Relationship Id="rId2210" Type="http://schemas.openxmlformats.org/officeDocument/2006/relationships/hyperlink" Target="https://cdn.scnbdx.fr/web-afresco/BOGAMET/MET_ARR_2021-BM0438.pdf" TargetMode="External"/><Relationship Id="rId773" Type="http://schemas.openxmlformats.org/officeDocument/2006/relationships/hyperlink" Target="https://cdn.scnbdx.fr/web-afresco/BOGAMET/MET_ARR_2021-BM0741.pdf" TargetMode="External"/><Relationship Id="rId1364" Type="http://schemas.openxmlformats.org/officeDocument/2006/relationships/hyperlink" Target="https://cdn.scnbdx.fr/web-afresco/BOGAMET/MET_ARR_2021-BM0875.pdf" TargetMode="External"/><Relationship Id="rId2211" Type="http://schemas.openxmlformats.org/officeDocument/2006/relationships/hyperlink" Target="https://cdn.scnbdx.fr/web-afresco/BOGAMET/MET_ARR_2021-BM0111.pdf" TargetMode="External"/><Relationship Id="rId772" Type="http://schemas.openxmlformats.org/officeDocument/2006/relationships/hyperlink" Target="https://cdn.scnbdx.fr/web-afresco/BOGAMET/MET_ARR_2021-BM0739.pdf" TargetMode="External"/><Relationship Id="rId1365" Type="http://schemas.openxmlformats.org/officeDocument/2006/relationships/hyperlink" Target="https://cdn.scnbdx.fr/web-afresco/BOGAMET/MET_ARR_2021-BM0898.pdf" TargetMode="External"/><Relationship Id="rId2212" Type="http://schemas.openxmlformats.org/officeDocument/2006/relationships/hyperlink" Target="https://cdn.scnbdx.fr/web-afresco/BOGAMET/MET_ARR_2021-BM0111.pdf" TargetMode="External"/><Relationship Id="rId771" Type="http://schemas.openxmlformats.org/officeDocument/2006/relationships/hyperlink" Target="https://cdn.scnbdx.fr/web-afresco/BOGAMET/MET_ARR_2021-BM0739.pdf" TargetMode="External"/><Relationship Id="rId1366" Type="http://schemas.openxmlformats.org/officeDocument/2006/relationships/hyperlink" Target="https://cdn.scnbdx.fr/web-afresco/BOGAMET/MET_ARR_2021-BM0898.pdf" TargetMode="External"/><Relationship Id="rId2213" Type="http://schemas.openxmlformats.org/officeDocument/2006/relationships/hyperlink" Target="https://cdn.scnbdx.fr/web-afresco/BOGAMET/MET_ARR_2021-BM0123.pdf" TargetMode="External"/><Relationship Id="rId2247" Type="http://schemas.openxmlformats.org/officeDocument/2006/relationships/hyperlink" Target="https://cdn.scnbdx.fr/web-afresco/BOGAMET/MET_ARR_2021-BM0493.pdf" TargetMode="External"/><Relationship Id="rId2248" Type="http://schemas.openxmlformats.org/officeDocument/2006/relationships/hyperlink" Target="https://cdn.scnbdx.fr/web-afresco/BOGAMET/MET_ARR_2021-BM0493.pdf" TargetMode="External"/><Relationship Id="rId2249" Type="http://schemas.openxmlformats.org/officeDocument/2006/relationships/hyperlink" Target="https://cdn.scnbdx.fr/web-afresco/BOGAMET/MET_ARR_2021-BM0526.pdf" TargetMode="External"/><Relationship Id="rId327" Type="http://schemas.openxmlformats.org/officeDocument/2006/relationships/hyperlink" Target="https://cdn.scnbdx.fr/web-afresco/BOGAMET/MET_ARR_2021-BM0472.pdf" TargetMode="External"/><Relationship Id="rId326" Type="http://schemas.openxmlformats.org/officeDocument/2006/relationships/hyperlink" Target="https://cdn.scnbdx.fr/web-afresco/BOGAMET/MET_ARR_2021-BM0449.pdf" TargetMode="External"/><Relationship Id="rId325" Type="http://schemas.openxmlformats.org/officeDocument/2006/relationships/hyperlink" Target="https://cdn.scnbdx.fr/web-afresco/BOGAMET/MET_ARR_2021-BM0449.pdf" TargetMode="External"/><Relationship Id="rId324" Type="http://schemas.openxmlformats.org/officeDocument/2006/relationships/hyperlink" Target="https://cdn.scnbdx.fr/web-afresco/BOGAMET/MET_ARR_2021-BM0432.pdf" TargetMode="External"/><Relationship Id="rId329" Type="http://schemas.openxmlformats.org/officeDocument/2006/relationships/hyperlink" Target="https://cdn.scnbdx.fr/web-afresco/BOGAMET/MET_ARR_2021-BM0392.pdf" TargetMode="External"/><Relationship Id="rId1390" Type="http://schemas.openxmlformats.org/officeDocument/2006/relationships/hyperlink" Target="https://cdn.scnbdx.fr/web-afresco/BOGAMET/MET_ARR_2021-BM0978.pdf" TargetMode="External"/><Relationship Id="rId328" Type="http://schemas.openxmlformats.org/officeDocument/2006/relationships/hyperlink" Target="https://cdn.scnbdx.fr/web-afresco/BOGAMET/MET_ARR_2021-BM0472.pdf" TargetMode="External"/><Relationship Id="rId1391" Type="http://schemas.openxmlformats.org/officeDocument/2006/relationships/hyperlink" Target="https://cdn.scnbdx.fr/web-afresco/BOGAMET/MET_ARR_2021-BM1246.pdf" TargetMode="External"/><Relationship Id="rId1392" Type="http://schemas.openxmlformats.org/officeDocument/2006/relationships/hyperlink" Target="https://cdn.scnbdx.fr/web-afresco/BOGAMET/MET_ARR_2021-BM1246.pdf" TargetMode="External"/><Relationship Id="rId1393" Type="http://schemas.openxmlformats.org/officeDocument/2006/relationships/hyperlink" Target="https://cdn.scnbdx.fr/web-afresco/BOGAMET/MET_ARR_2021-BM0976.pdf" TargetMode="External"/><Relationship Id="rId2240" Type="http://schemas.openxmlformats.org/officeDocument/2006/relationships/hyperlink" Target="https://cdn.scnbdx.fr/web-afresco/BOGAMET/MET_ARR_2021-BM0263.pdf" TargetMode="External"/><Relationship Id="rId1394" Type="http://schemas.openxmlformats.org/officeDocument/2006/relationships/hyperlink" Target="https://cdn.scnbdx.fr/web-afresco/BOGAMET/MET_ARR_2021-BM0976.pdf" TargetMode="External"/><Relationship Id="rId2241" Type="http://schemas.openxmlformats.org/officeDocument/2006/relationships/hyperlink" Target="https://cdn.scnbdx.fr/web-afresco/BOGAMET/MET_ARR_2021-BM0266.pdf" TargetMode="External"/><Relationship Id="rId1395" Type="http://schemas.openxmlformats.org/officeDocument/2006/relationships/hyperlink" Target="https://cdn.scnbdx.fr/web-afresco/BOGAMET/MET_ARR_2021-BM0925.pdf" TargetMode="External"/><Relationship Id="rId2242" Type="http://schemas.openxmlformats.org/officeDocument/2006/relationships/hyperlink" Target="https://cdn.scnbdx.fr/web-afresco/BOGAMET/MET_ARR_2021-BM0266.pdf" TargetMode="External"/><Relationship Id="rId323" Type="http://schemas.openxmlformats.org/officeDocument/2006/relationships/hyperlink" Target="https://cdn.scnbdx.fr/web-afresco/BOGAMET/MET_ARR_2021-BM0432.pdf" TargetMode="External"/><Relationship Id="rId1396" Type="http://schemas.openxmlformats.org/officeDocument/2006/relationships/hyperlink" Target="https://cdn.scnbdx.fr/web-afresco/BOGAMET/MET_ARR_2021-BM0925.pdf" TargetMode="External"/><Relationship Id="rId2243" Type="http://schemas.openxmlformats.org/officeDocument/2006/relationships/hyperlink" Target="https://cdn.scnbdx.fr/web-afresco/BOGAMET/MET_ARR_2021-BM0307.pdf" TargetMode="External"/><Relationship Id="rId322" Type="http://schemas.openxmlformats.org/officeDocument/2006/relationships/hyperlink" Target="https://cdn.scnbdx.fr/web-afresco/BOGAMET/MET_ARR_2021-BM0386.pdf" TargetMode="External"/><Relationship Id="rId1397" Type="http://schemas.openxmlformats.org/officeDocument/2006/relationships/hyperlink" Target="https://cdn.scnbdx.fr/web-afresco/BOGAMET/MET_ARR_2021-BM1098.pdf" TargetMode="External"/><Relationship Id="rId2244" Type="http://schemas.openxmlformats.org/officeDocument/2006/relationships/hyperlink" Target="https://cdn.scnbdx.fr/web-afresco/BOGAMET/MET_ARR_2021-BM0307.pdf" TargetMode="External"/><Relationship Id="rId321" Type="http://schemas.openxmlformats.org/officeDocument/2006/relationships/hyperlink" Target="https://cdn.scnbdx.fr/web-afresco/BOGAMET/MET_ARR_2021-BM0386.pdf" TargetMode="External"/><Relationship Id="rId1398" Type="http://schemas.openxmlformats.org/officeDocument/2006/relationships/hyperlink" Target="https://cdn.scnbdx.fr/web-afresco/BOGAMET/MET_ARR_2021-BM1098.pdf" TargetMode="External"/><Relationship Id="rId2245" Type="http://schemas.openxmlformats.org/officeDocument/2006/relationships/hyperlink" Target="https://cdn.scnbdx.fr/web-afresco/BOGAMET/MET_ARR_2021-BM0372.pdf" TargetMode="External"/><Relationship Id="rId320" Type="http://schemas.openxmlformats.org/officeDocument/2006/relationships/hyperlink" Target="https://cdn.scnbdx.fr/web-afresco/BOGAMET/MET_ARR_2021-BM0238.pdf" TargetMode="External"/><Relationship Id="rId1399" Type="http://schemas.openxmlformats.org/officeDocument/2006/relationships/hyperlink" Target="https://cdn.scnbdx.fr/web-afresco/BOGAMET/MET_ARR_2021-BM1114.pdf" TargetMode="External"/><Relationship Id="rId2246" Type="http://schemas.openxmlformats.org/officeDocument/2006/relationships/hyperlink" Target="https://cdn.scnbdx.fr/web-afresco/BOGAMET/MET_ARR_2021-BM0372.pdf" TargetMode="External"/><Relationship Id="rId1389" Type="http://schemas.openxmlformats.org/officeDocument/2006/relationships/hyperlink" Target="https://cdn.scnbdx.fr/web-afresco/BOGAMET/MET_ARR_2021-BM0978.pdf" TargetMode="External"/><Relationship Id="rId2236" Type="http://schemas.openxmlformats.org/officeDocument/2006/relationships/hyperlink" Target="https://cdn.scnbdx.fr/web-afresco/BOGAMET/MET_ARR_2021-BM0408.pdf" TargetMode="External"/><Relationship Id="rId2237" Type="http://schemas.openxmlformats.org/officeDocument/2006/relationships/hyperlink" Target="https://cdn.scnbdx.fr/web-afresco/BOGAMET/MET_ARR_2021-BM0442.pdf" TargetMode="External"/><Relationship Id="rId2238" Type="http://schemas.openxmlformats.org/officeDocument/2006/relationships/hyperlink" Target="https://cdn.scnbdx.fr/web-afresco/BOGAMET/MET_ARR_2021-BM0442.pdf" TargetMode="External"/><Relationship Id="rId2239" Type="http://schemas.openxmlformats.org/officeDocument/2006/relationships/hyperlink" Target="https://cdn.scnbdx.fr/web-afresco/BOGAMET/MET_ARR_2021-BM0263.pdf" TargetMode="External"/><Relationship Id="rId316" Type="http://schemas.openxmlformats.org/officeDocument/2006/relationships/hyperlink" Target="https://cdn.scnbdx.fr/web-afresco/BOGAMET/MET_ARR_2021-BM0410.pdf" TargetMode="External"/><Relationship Id="rId315" Type="http://schemas.openxmlformats.org/officeDocument/2006/relationships/hyperlink" Target="https://cdn.scnbdx.fr/web-afresco/BOGAMET/MET_ARR_2021-BM0410.pdf" TargetMode="External"/><Relationship Id="rId799" Type="http://schemas.openxmlformats.org/officeDocument/2006/relationships/hyperlink" Target="https://cdn.scnbdx.fr/web-afresco/BOGAMET/MET_ARR_2021-BM1596.pdf" TargetMode="External"/><Relationship Id="rId314" Type="http://schemas.openxmlformats.org/officeDocument/2006/relationships/hyperlink" Target="https://cdn.scnbdx.fr/web-afresco/BOGAMET/MET_ARR_2020-BM1657.pdf" TargetMode="External"/><Relationship Id="rId798" Type="http://schemas.openxmlformats.org/officeDocument/2006/relationships/hyperlink" Target="https://cdn.scnbdx.fr/web-afresco/BOGAMET/MET_ARR_2021-BM1594.pdf" TargetMode="External"/><Relationship Id="rId313" Type="http://schemas.openxmlformats.org/officeDocument/2006/relationships/hyperlink" Target="https://cdn.scnbdx.fr/web-afresco/BOGAMET/MET_ARR_2020-BM1657.pdf" TargetMode="External"/><Relationship Id="rId797" Type="http://schemas.openxmlformats.org/officeDocument/2006/relationships/hyperlink" Target="https://cdn.scnbdx.fr/web-afresco/BOGAMET/MET_ARR_2021-BM1594.pdf" TargetMode="External"/><Relationship Id="rId319" Type="http://schemas.openxmlformats.org/officeDocument/2006/relationships/hyperlink" Target="https://cdn.scnbdx.fr/web-afresco/BOGAMET/MET_ARR_2021-BM0238.pdf" TargetMode="External"/><Relationship Id="rId318" Type="http://schemas.openxmlformats.org/officeDocument/2006/relationships/hyperlink" Target="https://cdn.scnbdx.fr/web-afresco/BOGAMET/MET_ARR_2021-BM0429.pdf" TargetMode="External"/><Relationship Id="rId317" Type="http://schemas.openxmlformats.org/officeDocument/2006/relationships/hyperlink" Target="https://cdn.scnbdx.fr/web-afresco/BOGAMET/MET_ARR_2021-BM0429.pdf" TargetMode="External"/><Relationship Id="rId1380" Type="http://schemas.openxmlformats.org/officeDocument/2006/relationships/hyperlink" Target="https://cdn.scnbdx.fr/web-afresco/BOGAMET/MET_ARR_2021-BM0913.pdf" TargetMode="External"/><Relationship Id="rId792" Type="http://schemas.openxmlformats.org/officeDocument/2006/relationships/hyperlink" Target="https://cdn.scnbdx.fr/web-afresco/BOGAMET/MET_ARR_2021-BM1586.pdf" TargetMode="External"/><Relationship Id="rId1381" Type="http://schemas.openxmlformats.org/officeDocument/2006/relationships/hyperlink" Target="https://cdn.scnbdx.fr/web-afresco/BOGAMET/MET_ARR_2021-BM1293.pdf" TargetMode="External"/><Relationship Id="rId791" Type="http://schemas.openxmlformats.org/officeDocument/2006/relationships/hyperlink" Target="https://cdn.scnbdx.fr/web-afresco/BOGAMET/MET_ARR_2021-BM1586.pdf" TargetMode="External"/><Relationship Id="rId1382" Type="http://schemas.openxmlformats.org/officeDocument/2006/relationships/hyperlink" Target="https://cdn.scnbdx.fr/web-afresco/BOGAMET/MET_ARR_2021-BM1293.pdf" TargetMode="External"/><Relationship Id="rId790" Type="http://schemas.openxmlformats.org/officeDocument/2006/relationships/hyperlink" Target="https://cdn.scnbdx.fr/web-afresco/BOGAMET/MET_ARR_2021-BM1525.pdf" TargetMode="External"/><Relationship Id="rId1383" Type="http://schemas.openxmlformats.org/officeDocument/2006/relationships/hyperlink" Target="https://cdn.scnbdx.fr/web-afresco/BOGAMET/MET_ARR_2021-BM1111.pdf" TargetMode="External"/><Relationship Id="rId2230" Type="http://schemas.openxmlformats.org/officeDocument/2006/relationships/hyperlink" Target="https://cdn.scnbdx.fr/web-afresco/BOGAMET/MET_ARR_2021-BM0260.pdf" TargetMode="External"/><Relationship Id="rId1384" Type="http://schemas.openxmlformats.org/officeDocument/2006/relationships/hyperlink" Target="https://cdn.scnbdx.fr/web-afresco/BOGAMET/MET_ARR_2021-BM1111.pdf" TargetMode="External"/><Relationship Id="rId2231" Type="http://schemas.openxmlformats.org/officeDocument/2006/relationships/hyperlink" Target="https://cdn.scnbdx.fr/web-afresco/BOGAMET/MET_ARR_2021-BM0262.pdf" TargetMode="External"/><Relationship Id="rId312" Type="http://schemas.openxmlformats.org/officeDocument/2006/relationships/hyperlink" Target="https://cdn.scnbdx.fr/web-afresco/BOGAMET/MET_ARR_2021-BM0593.pdf" TargetMode="External"/><Relationship Id="rId796" Type="http://schemas.openxmlformats.org/officeDocument/2006/relationships/hyperlink" Target="https://cdn.scnbdx.fr/web-afresco/BOGAMET/MET_ARR_2021-BM1593.pdf" TargetMode="External"/><Relationship Id="rId1385" Type="http://schemas.openxmlformats.org/officeDocument/2006/relationships/hyperlink" Target="https://cdn.scnbdx.fr/web-afresco/BOGAMET/MET_ARR_2021-BM0974.pdf" TargetMode="External"/><Relationship Id="rId2232" Type="http://schemas.openxmlformats.org/officeDocument/2006/relationships/hyperlink" Target="https://cdn.scnbdx.fr/web-afresco/BOGAMET/MET_ARR_2021-BM0262.pdf" TargetMode="External"/><Relationship Id="rId311" Type="http://schemas.openxmlformats.org/officeDocument/2006/relationships/hyperlink" Target="https://cdn.scnbdx.fr/web-afresco/BOGAMET/MET_ARR_2021-BM0593.pdf" TargetMode="External"/><Relationship Id="rId795" Type="http://schemas.openxmlformats.org/officeDocument/2006/relationships/hyperlink" Target="https://cdn.scnbdx.fr/web-afresco/BOGAMET/MET_ARR_2021-BM1593.pdf" TargetMode="External"/><Relationship Id="rId1386" Type="http://schemas.openxmlformats.org/officeDocument/2006/relationships/hyperlink" Target="https://cdn.scnbdx.fr/web-afresco/BOGAMET/MET_ARR_2021-BM0974.pdf" TargetMode="External"/><Relationship Id="rId2233" Type="http://schemas.openxmlformats.org/officeDocument/2006/relationships/hyperlink" Target="https://cdn.scnbdx.fr/web-afresco/BOGAMET/MET_ARR_2021-BM0407.pdf" TargetMode="External"/><Relationship Id="rId310" Type="http://schemas.openxmlformats.org/officeDocument/2006/relationships/hyperlink" Target="https://cdn.scnbdx.fr/web-afresco/BOGAMET/MET_ARR_2021-BM0277.pdf" TargetMode="External"/><Relationship Id="rId794" Type="http://schemas.openxmlformats.org/officeDocument/2006/relationships/hyperlink" Target="https://cdn.scnbdx.fr/web-afresco/BOGAMET/MET_ARR_2021-BM1587.pdf" TargetMode="External"/><Relationship Id="rId1387" Type="http://schemas.openxmlformats.org/officeDocument/2006/relationships/hyperlink" Target="https://cdn.scnbdx.fr/web-afresco/BOGAMET/MET_ARR_2021-BM0975.pdf" TargetMode="External"/><Relationship Id="rId2234" Type="http://schemas.openxmlformats.org/officeDocument/2006/relationships/hyperlink" Target="https://cdn.scnbdx.fr/web-afresco/BOGAMET/MET_ARR_2021-BM0407.pdf" TargetMode="External"/><Relationship Id="rId793" Type="http://schemas.openxmlformats.org/officeDocument/2006/relationships/hyperlink" Target="https://cdn.scnbdx.fr/web-afresco/BOGAMET/MET_ARR_2021-BM1587.pdf" TargetMode="External"/><Relationship Id="rId1388" Type="http://schemas.openxmlformats.org/officeDocument/2006/relationships/hyperlink" Target="https://cdn.scnbdx.fr/web-afresco/BOGAMET/MET_ARR_2021-BM0975.pdf" TargetMode="External"/><Relationship Id="rId2235" Type="http://schemas.openxmlformats.org/officeDocument/2006/relationships/hyperlink" Target="https://cdn.scnbdx.fr/web-afresco/BOGAMET/MET_ARR_2021-BM0408.pdf" TargetMode="External"/><Relationship Id="rId297" Type="http://schemas.openxmlformats.org/officeDocument/2006/relationships/hyperlink" Target="https://cdn.scnbdx.fr/web-afresco/BOGAMET/MET_ARR_2021-BM0420.pdf" TargetMode="External"/><Relationship Id="rId296" Type="http://schemas.openxmlformats.org/officeDocument/2006/relationships/hyperlink" Target="https://cdn.scnbdx.fr/web-afresco/BOGAMET/MET_ARR_2021-BM1424.pdf" TargetMode="External"/><Relationship Id="rId295" Type="http://schemas.openxmlformats.org/officeDocument/2006/relationships/hyperlink" Target="https://cdn.scnbdx.fr/web-afresco/BOGAMET/MET_ARR_2021-BM1424.pdf" TargetMode="External"/><Relationship Id="rId294" Type="http://schemas.openxmlformats.org/officeDocument/2006/relationships/hyperlink" Target="https://cdn.scnbdx.fr/web-afresco/BOGAMET/MET_ARR_2021-BM1413.pdf" TargetMode="External"/><Relationship Id="rId299" Type="http://schemas.openxmlformats.org/officeDocument/2006/relationships/hyperlink" Target="https://cdn.scnbdx.fr/web-afresco/BOGAMET/MET_ARR_2021-BM0198.pdf" TargetMode="External"/><Relationship Id="rId298" Type="http://schemas.openxmlformats.org/officeDocument/2006/relationships/hyperlink" Target="https://cdn.scnbdx.fr/web-afresco/BOGAMET/MET_ARR_2021-BM0420.pdf" TargetMode="External"/><Relationship Id="rId271" Type="http://schemas.openxmlformats.org/officeDocument/2006/relationships/hyperlink" Target="https://cdn.scnbdx.fr/web-afresco/BOGAMET/MET_ARR_2020-BM1460.pdf" TargetMode="External"/><Relationship Id="rId270" Type="http://schemas.openxmlformats.org/officeDocument/2006/relationships/hyperlink" Target="https://cdn.scnbdx.fr/web-afresco/BOGAMET/MET_ARR_2020-BM1459.pdf" TargetMode="External"/><Relationship Id="rId269" Type="http://schemas.openxmlformats.org/officeDocument/2006/relationships/hyperlink" Target="https://cdn.scnbdx.fr/web-afresco/BOGAMET/MET_ARR_2020-BM1459.pdf" TargetMode="External"/><Relationship Id="rId264" Type="http://schemas.openxmlformats.org/officeDocument/2006/relationships/hyperlink" Target="https://cdn.scnbdx.fr/web-afresco/BOGAMET/MET_ARR_2020-BM1452.pdf" TargetMode="External"/><Relationship Id="rId263" Type="http://schemas.openxmlformats.org/officeDocument/2006/relationships/hyperlink" Target="https://cdn.scnbdx.fr/web-afresco/BOGAMET/MET_ARR_2020-BM1452.pdf" TargetMode="External"/><Relationship Id="rId262" Type="http://schemas.openxmlformats.org/officeDocument/2006/relationships/hyperlink" Target="https://cdn.scnbdx.fr/web-afresco/BOGAMET/MET_ARR_2020-BM1447.pdf" TargetMode="External"/><Relationship Id="rId261" Type="http://schemas.openxmlformats.org/officeDocument/2006/relationships/hyperlink" Target="https://cdn.scnbdx.fr/web-afresco/BOGAMET/MET_ARR_2020-BM1447.pdf" TargetMode="External"/><Relationship Id="rId268" Type="http://schemas.openxmlformats.org/officeDocument/2006/relationships/hyperlink" Target="https://cdn.scnbdx.fr/web-afresco/BOGAMET/MET_ARR_2020-BM1458.pdf" TargetMode="External"/><Relationship Id="rId267" Type="http://schemas.openxmlformats.org/officeDocument/2006/relationships/hyperlink" Target="https://cdn.scnbdx.fr/web-afresco/BOGAMET/MET_ARR_2020-BM1458.pdf" TargetMode="External"/><Relationship Id="rId266" Type="http://schemas.openxmlformats.org/officeDocument/2006/relationships/hyperlink" Target="https://cdn.scnbdx.fr/web-afresco/BOGAMET/MET_ARR_2020-BM1456.pdf" TargetMode="External"/><Relationship Id="rId265" Type="http://schemas.openxmlformats.org/officeDocument/2006/relationships/hyperlink" Target="https://cdn.scnbdx.fr/web-afresco/BOGAMET/MET_ARR_2020-BM1456.pdf" TargetMode="External"/><Relationship Id="rId260" Type="http://schemas.openxmlformats.org/officeDocument/2006/relationships/hyperlink" Target="https://cdn.scnbdx.fr/web-afresco/BOGAMET/MET_ARR_2020-BM1446.pdf" TargetMode="External"/><Relationship Id="rId259" Type="http://schemas.openxmlformats.org/officeDocument/2006/relationships/hyperlink" Target="https://cdn.scnbdx.fr/web-afresco/BOGAMET/MET_ARR_2020-BM1446.pdf" TargetMode="External"/><Relationship Id="rId258" Type="http://schemas.openxmlformats.org/officeDocument/2006/relationships/hyperlink" Target="https://cdn.scnbdx.fr/web-afresco/BOGAMET/MET_ARR_2020-BM1445.pdf" TargetMode="External"/><Relationship Id="rId2290" Type="http://schemas.openxmlformats.org/officeDocument/2006/relationships/hyperlink" Target="https://cdn.scnbdx.fr/web-afresco/BOGAMET/MET_ARR_2021-BM0774.pdf" TargetMode="External"/><Relationship Id="rId2291" Type="http://schemas.openxmlformats.org/officeDocument/2006/relationships/hyperlink" Target="https://cdn.scnbdx.fr/web-afresco/BOGAMET/MET_ARR_2021-BM0677.pdf" TargetMode="External"/><Relationship Id="rId2292" Type="http://schemas.openxmlformats.org/officeDocument/2006/relationships/hyperlink" Target="https://cdn.scnbdx.fr/web-afresco/BOGAMET/MET_ARR_2021-BM0677.pdf" TargetMode="External"/><Relationship Id="rId2293" Type="http://schemas.openxmlformats.org/officeDocument/2006/relationships/hyperlink" Target="https://cdn.scnbdx.fr/web-afresco/BOGAMET/MET_ARR_2021-BM0791.pdf" TargetMode="External"/><Relationship Id="rId253" Type="http://schemas.openxmlformats.org/officeDocument/2006/relationships/hyperlink" Target="https://cdn.scnbdx.fr/web-afresco/BOGAMET/MET_ARR_2020-BM1440.pdf" TargetMode="External"/><Relationship Id="rId2294" Type="http://schemas.openxmlformats.org/officeDocument/2006/relationships/hyperlink" Target="https://cdn.scnbdx.fr/web-afresco/BOGAMET/MET_ARR_2021-BM0791.pdf" TargetMode="External"/><Relationship Id="rId252" Type="http://schemas.openxmlformats.org/officeDocument/2006/relationships/hyperlink" Target="https://cdn.scnbdx.fr/web-afresco/BOGAMET/MET_ARR_2020-BM1436.pdf" TargetMode="External"/><Relationship Id="rId2295" Type="http://schemas.openxmlformats.org/officeDocument/2006/relationships/hyperlink" Target="https://cdn.scnbdx.fr/web-afresco/BOGAMET/MET_ARR_2021-BM0792.pdf" TargetMode="External"/><Relationship Id="rId251" Type="http://schemas.openxmlformats.org/officeDocument/2006/relationships/hyperlink" Target="https://cdn.scnbdx.fr/web-afresco/BOGAMET/MET_ARR_2020-BM1436.pdf" TargetMode="External"/><Relationship Id="rId2296" Type="http://schemas.openxmlformats.org/officeDocument/2006/relationships/hyperlink" Target="https://cdn.scnbdx.fr/web-afresco/BOGAMET/MET_ARR_2021-BM0792.pdf" TargetMode="External"/><Relationship Id="rId250" Type="http://schemas.openxmlformats.org/officeDocument/2006/relationships/hyperlink" Target="https://cdn.scnbdx.fr/web-afresco/BOGAMET/MET_ARR_2020-BM1435.pdf" TargetMode="External"/><Relationship Id="rId2297" Type="http://schemas.openxmlformats.org/officeDocument/2006/relationships/hyperlink" Target="https://cdn.scnbdx.fr/web-afresco/BOGAMET/MET_ARR_2021-BM0782.pdf" TargetMode="External"/><Relationship Id="rId257" Type="http://schemas.openxmlformats.org/officeDocument/2006/relationships/hyperlink" Target="https://cdn.scnbdx.fr/web-afresco/BOGAMET/MET_ARR_2020-BM1445.pdf" TargetMode="External"/><Relationship Id="rId2298" Type="http://schemas.openxmlformats.org/officeDocument/2006/relationships/hyperlink" Target="https://cdn.scnbdx.fr/web-afresco/BOGAMET/MET_ARR_2021-BM0782.pdf" TargetMode="External"/><Relationship Id="rId256" Type="http://schemas.openxmlformats.org/officeDocument/2006/relationships/hyperlink" Target="https://cdn.scnbdx.fr/web-afresco/BOGAMET/MET_ARR_2020-BM1443.pdf" TargetMode="External"/><Relationship Id="rId2299" Type="http://schemas.openxmlformats.org/officeDocument/2006/relationships/hyperlink" Target="https://cdn.scnbdx.fr/web-afresco/BOGAMET/MET_ARR_2021-BM0830.pdf" TargetMode="External"/><Relationship Id="rId255" Type="http://schemas.openxmlformats.org/officeDocument/2006/relationships/hyperlink" Target="https://cdn.scnbdx.fr/web-afresco/BOGAMET/MET_ARR_2020-BM1443.pdf" TargetMode="External"/><Relationship Id="rId254" Type="http://schemas.openxmlformats.org/officeDocument/2006/relationships/hyperlink" Target="https://cdn.scnbdx.fr/web-afresco/BOGAMET/MET_ARR_2020-BM1440.pdf" TargetMode="External"/><Relationship Id="rId293" Type="http://schemas.openxmlformats.org/officeDocument/2006/relationships/hyperlink" Target="https://cdn.scnbdx.fr/web-afresco/BOGAMET/MET_ARR_2021-BM1413.pdf" TargetMode="External"/><Relationship Id="rId292" Type="http://schemas.openxmlformats.org/officeDocument/2006/relationships/hyperlink" Target="https://cdn.scnbdx.fr/web-afresco/BOGAMET/MET_ARR_2021-BM0244.pdf" TargetMode="External"/><Relationship Id="rId291" Type="http://schemas.openxmlformats.org/officeDocument/2006/relationships/hyperlink" Target="https://cdn.scnbdx.fr/web-afresco/BOGAMET/MET_ARR_2021-BM0244.pdf" TargetMode="External"/><Relationship Id="rId290" Type="http://schemas.openxmlformats.org/officeDocument/2006/relationships/hyperlink" Target="https://cdn.scnbdx.fr/web-afresco/BOGAMET/MET_ARR_2020-BM1630.pdf" TargetMode="External"/><Relationship Id="rId286" Type="http://schemas.openxmlformats.org/officeDocument/2006/relationships/hyperlink" Target="https://cdn.scnbdx.fr/web-afresco/BOGAMET/MET_ARR_2020-BM1294.pdf" TargetMode="External"/><Relationship Id="rId285" Type="http://schemas.openxmlformats.org/officeDocument/2006/relationships/hyperlink" Target="https://cdn.scnbdx.fr/web-afresco/BOGAMET/MET_ARR_2020-BM1294.pdf" TargetMode="External"/><Relationship Id="rId284" Type="http://schemas.openxmlformats.org/officeDocument/2006/relationships/hyperlink" Target="https://cdn.scnbdx.fr/web-afresco/BOGAMET/MET_ARR_2021-BM0184.pdf" TargetMode="External"/><Relationship Id="rId283" Type="http://schemas.openxmlformats.org/officeDocument/2006/relationships/hyperlink" Target="https://cdn.scnbdx.fr/web-afresco/BOGAMET/MET_ARR_2021-BM0184.pdf" TargetMode="External"/><Relationship Id="rId289" Type="http://schemas.openxmlformats.org/officeDocument/2006/relationships/hyperlink" Target="https://cdn.scnbdx.fr/web-afresco/BOGAMET/MET_ARR_2020-BM1630.pdf" TargetMode="External"/><Relationship Id="rId288" Type="http://schemas.openxmlformats.org/officeDocument/2006/relationships/hyperlink" Target="https://cdn.scnbdx.fr/web-afresco/BOGAMET/MET_ARR_2020-BM1571.pdf" TargetMode="External"/><Relationship Id="rId287" Type="http://schemas.openxmlformats.org/officeDocument/2006/relationships/hyperlink" Target="https://cdn.scnbdx.fr/web-afresco/BOGAMET/MET_ARR_2020-BM1571.pdf" TargetMode="External"/><Relationship Id="rId282" Type="http://schemas.openxmlformats.org/officeDocument/2006/relationships/hyperlink" Target="https://cdn.scnbdx.fr/web-afresco/BOGAMET/MET_ARR_2021-BM0203.pdf" TargetMode="External"/><Relationship Id="rId281" Type="http://schemas.openxmlformats.org/officeDocument/2006/relationships/hyperlink" Target="https://cdn.scnbdx.fr/web-afresco/BOGAMET/MET_ARR_2021-BM0203.pdf" TargetMode="External"/><Relationship Id="rId280" Type="http://schemas.openxmlformats.org/officeDocument/2006/relationships/hyperlink" Target="https://cdn.scnbdx.fr/web-afresco/BOGAMET/MET_ARR_2021-BM0135.pdf" TargetMode="External"/><Relationship Id="rId275" Type="http://schemas.openxmlformats.org/officeDocument/2006/relationships/hyperlink" Target="https://cdn.scnbdx.fr/web-afresco/BOGAMET/MET_ARR_2021-BM0086.pdf" TargetMode="External"/><Relationship Id="rId274" Type="http://schemas.openxmlformats.org/officeDocument/2006/relationships/hyperlink" Target="https://cdn.scnbdx.fr/web-afresco/BOGAMET/MET_ARR_2020-BM1516.pdf" TargetMode="External"/><Relationship Id="rId273" Type="http://schemas.openxmlformats.org/officeDocument/2006/relationships/hyperlink" Target="https://cdn.scnbdx.fr/web-afresco/BOGAMET/MET_ARR_2020-BM1516.pdf" TargetMode="External"/><Relationship Id="rId272" Type="http://schemas.openxmlformats.org/officeDocument/2006/relationships/hyperlink" Target="https://cdn.scnbdx.fr/web-afresco/BOGAMET/MET_ARR_2020-BM1460.pdf" TargetMode="External"/><Relationship Id="rId279" Type="http://schemas.openxmlformats.org/officeDocument/2006/relationships/hyperlink" Target="https://cdn.scnbdx.fr/web-afresco/BOGAMET/MET_ARR_2021-BM0135.pdf" TargetMode="External"/><Relationship Id="rId278" Type="http://schemas.openxmlformats.org/officeDocument/2006/relationships/hyperlink" Target="https://cdn.scnbdx.fr/web-afresco/BOGAMET/MET_ARR_2021-BM0126.pdf" TargetMode="External"/><Relationship Id="rId277" Type="http://schemas.openxmlformats.org/officeDocument/2006/relationships/hyperlink" Target="https://cdn.scnbdx.fr/web-afresco/BOGAMET/MET_ARR_2021-BM0126.pdf" TargetMode="External"/><Relationship Id="rId276" Type="http://schemas.openxmlformats.org/officeDocument/2006/relationships/hyperlink" Target="https://cdn.scnbdx.fr/web-afresco/BOGAMET/MET_ARR_2021-BM0086.pdf" TargetMode="External"/><Relationship Id="rId1851" Type="http://schemas.openxmlformats.org/officeDocument/2006/relationships/hyperlink" Target="https://cdn.scnbdx.fr/web-afresco/BOGAMET/MET_ARR_2020-BM1079.pdf" TargetMode="External"/><Relationship Id="rId1852" Type="http://schemas.openxmlformats.org/officeDocument/2006/relationships/hyperlink" Target="https://cdn.scnbdx.fr/web-afresco/BOGAMET/MET_ARR_2020-BM1079.pdf" TargetMode="External"/><Relationship Id="rId1853" Type="http://schemas.openxmlformats.org/officeDocument/2006/relationships/hyperlink" Target="https://cdn.scnbdx.fr/web-afresco/BOGAMET/MET_ARR_2020-BM1082.pdf" TargetMode="External"/><Relationship Id="rId1854" Type="http://schemas.openxmlformats.org/officeDocument/2006/relationships/hyperlink" Target="https://cdn.scnbdx.fr/web-afresco/BOGAMET/MET_ARR_2020-BM1082.pdf" TargetMode="External"/><Relationship Id="rId1855" Type="http://schemas.openxmlformats.org/officeDocument/2006/relationships/hyperlink" Target="https://cdn.scnbdx.fr/web-afresco/BOGAMET/MET_ARR_2020-BM1083.pdf" TargetMode="External"/><Relationship Id="rId1856" Type="http://schemas.openxmlformats.org/officeDocument/2006/relationships/hyperlink" Target="https://cdn.scnbdx.fr/web-afresco/BOGAMET/MET_ARR_2020-BM1083.pdf" TargetMode="External"/><Relationship Id="rId1857" Type="http://schemas.openxmlformats.org/officeDocument/2006/relationships/hyperlink" Target="https://cdn.scnbdx.fr/web-afresco/BOGAMET/MET_ARR_2020-BM1018.pdf" TargetMode="External"/><Relationship Id="rId1858" Type="http://schemas.openxmlformats.org/officeDocument/2006/relationships/hyperlink" Target="https://cdn.scnbdx.fr/web-afresco/BOGAMET/MET_ARR_2020-BM1018.pdf" TargetMode="External"/><Relationship Id="rId1859" Type="http://schemas.openxmlformats.org/officeDocument/2006/relationships/hyperlink" Target="https://cdn.scnbdx.fr/web-afresco/BOGAMET/MET_ARR_2020-BM1019.pdf" TargetMode="External"/><Relationship Id="rId1850" Type="http://schemas.openxmlformats.org/officeDocument/2006/relationships/hyperlink" Target="https://cdn.scnbdx.fr/web-afresco/BOGAMET/MET_ARR_2020-BM1078.pdf" TargetMode="External"/><Relationship Id="rId1840" Type="http://schemas.openxmlformats.org/officeDocument/2006/relationships/hyperlink" Target="https://cdn.scnbdx.fr/web-afresco/BOGAMET/MET_ARR_2020-BM1065.pdf" TargetMode="External"/><Relationship Id="rId1841" Type="http://schemas.openxmlformats.org/officeDocument/2006/relationships/hyperlink" Target="https://cdn.scnbdx.fr/web-afresco/BOGAMET/MET_ARR_2020-BM1069.pdf" TargetMode="External"/><Relationship Id="rId1842" Type="http://schemas.openxmlformats.org/officeDocument/2006/relationships/hyperlink" Target="https://cdn.scnbdx.fr/web-afresco/BOGAMET/MET_ARR_2020-BM1069.pdf" TargetMode="External"/><Relationship Id="rId1843" Type="http://schemas.openxmlformats.org/officeDocument/2006/relationships/hyperlink" Target="https://cdn.scnbdx.fr/web-afresco/BOGAMET/MET_ARR_2020-BM1070.pdf" TargetMode="External"/><Relationship Id="rId1844" Type="http://schemas.openxmlformats.org/officeDocument/2006/relationships/hyperlink" Target="https://cdn.scnbdx.fr/web-afresco/BOGAMET/MET_ARR_2020-BM1070.pdf" TargetMode="External"/><Relationship Id="rId1845" Type="http://schemas.openxmlformats.org/officeDocument/2006/relationships/hyperlink" Target="https://cdn.scnbdx.fr/web-afresco/BOGAMET/MET_ARR_2020-BM1075.pdf" TargetMode="External"/><Relationship Id="rId1846" Type="http://schemas.openxmlformats.org/officeDocument/2006/relationships/hyperlink" Target="https://cdn.scnbdx.fr/web-afresco/BOGAMET/MET_ARR_2020-BM1075.pdf" TargetMode="External"/><Relationship Id="rId1847" Type="http://schemas.openxmlformats.org/officeDocument/2006/relationships/hyperlink" Target="https://cdn.scnbdx.fr/web-afresco/BOGAMET/MET_ARR_2020-BM1077.pdf" TargetMode="External"/><Relationship Id="rId1848" Type="http://schemas.openxmlformats.org/officeDocument/2006/relationships/hyperlink" Target="https://cdn.scnbdx.fr/web-afresco/BOGAMET/MET_ARR_2020-BM1077.pdf" TargetMode="External"/><Relationship Id="rId1849" Type="http://schemas.openxmlformats.org/officeDocument/2006/relationships/hyperlink" Target="https://cdn.scnbdx.fr/web-afresco/BOGAMET/MET_ARR_2020-BM1078.pdf" TargetMode="External"/><Relationship Id="rId1873" Type="http://schemas.openxmlformats.org/officeDocument/2006/relationships/hyperlink" Target="https://cdn.scnbdx.fr/web-afresco/BOGAMET/MET_ARR_2020-BM1134.pdf" TargetMode="External"/><Relationship Id="rId1874" Type="http://schemas.openxmlformats.org/officeDocument/2006/relationships/hyperlink" Target="https://cdn.scnbdx.fr/web-afresco/BOGAMET/MET_ARR_2020-BM1134.pdf" TargetMode="External"/><Relationship Id="rId1875" Type="http://schemas.openxmlformats.org/officeDocument/2006/relationships/hyperlink" Target="https://cdn.scnbdx.fr/web-afresco/BOGAMET/MET_ARR_2020-BM1154.pdf" TargetMode="External"/><Relationship Id="rId1876" Type="http://schemas.openxmlformats.org/officeDocument/2006/relationships/hyperlink" Target="https://cdn.scnbdx.fr/web-afresco/BOGAMET/MET_ARR_2020-BM1154.pdf" TargetMode="External"/><Relationship Id="rId1877" Type="http://schemas.openxmlformats.org/officeDocument/2006/relationships/hyperlink" Target="https://cdn.scnbdx.fr/web-afresco/BOGAMET/MET_ARR_2020-BM1204.pdf" TargetMode="External"/><Relationship Id="rId1878" Type="http://schemas.openxmlformats.org/officeDocument/2006/relationships/hyperlink" Target="https://cdn.scnbdx.fr/web-afresco/BOGAMET/MET_ARR_2020-BM1204.pdf" TargetMode="External"/><Relationship Id="rId1879" Type="http://schemas.openxmlformats.org/officeDocument/2006/relationships/hyperlink" Target="https://cdn.scnbdx.fr/web-afresco/BOGAMET/MET_ARR_2020-BM1206.pdf" TargetMode="External"/><Relationship Id="rId1870" Type="http://schemas.openxmlformats.org/officeDocument/2006/relationships/hyperlink" Target="https://cdn.scnbdx.fr/web-afresco/BOGAMET/MET_ARR_2020-BM1011.pdf" TargetMode="External"/><Relationship Id="rId1871" Type="http://schemas.openxmlformats.org/officeDocument/2006/relationships/hyperlink" Target="https://cdn.scnbdx.fr/web-afresco/BOGAMET/MET_ARR_2020-BM0982.pdf" TargetMode="External"/><Relationship Id="rId1872" Type="http://schemas.openxmlformats.org/officeDocument/2006/relationships/hyperlink" Target="https://cdn.scnbdx.fr/web-afresco/BOGAMET/MET_ARR_2020-BM0982.pdf" TargetMode="External"/><Relationship Id="rId1862" Type="http://schemas.openxmlformats.org/officeDocument/2006/relationships/hyperlink" Target="https://cdn.scnbdx.fr/web-afresco/BOGAMET/MET_ARR_2020-BM1029.pdf" TargetMode="External"/><Relationship Id="rId1863" Type="http://schemas.openxmlformats.org/officeDocument/2006/relationships/hyperlink" Target="https://cdn.scnbdx.fr/web-afresco/BOGAMET/MET_ARR_2020-BM1110.pdf" TargetMode="External"/><Relationship Id="rId1864" Type="http://schemas.openxmlformats.org/officeDocument/2006/relationships/hyperlink" Target="https://cdn.scnbdx.fr/web-afresco/BOGAMET/MET_ARR_2020-BM1110.pdf" TargetMode="External"/><Relationship Id="rId1865" Type="http://schemas.openxmlformats.org/officeDocument/2006/relationships/hyperlink" Target="https://cdn.scnbdx.fr/web-afresco/BOGAMET/MET_ARR_2020-BM1123.pdf" TargetMode="External"/><Relationship Id="rId1866" Type="http://schemas.openxmlformats.org/officeDocument/2006/relationships/hyperlink" Target="https://cdn.scnbdx.fr/web-afresco/BOGAMET/MET_ARR_2020-BM1123.pdf" TargetMode="External"/><Relationship Id="rId1867" Type="http://schemas.openxmlformats.org/officeDocument/2006/relationships/hyperlink" Target="https://cdn.scnbdx.fr/web-afresco/BOGAMET/MET_ARR_2020-BM1125.pdf" TargetMode="External"/><Relationship Id="rId1868" Type="http://schemas.openxmlformats.org/officeDocument/2006/relationships/hyperlink" Target="https://cdn.scnbdx.fr/web-afresco/BOGAMET/MET_ARR_2020-BM1125.pdf" TargetMode="External"/><Relationship Id="rId1869" Type="http://schemas.openxmlformats.org/officeDocument/2006/relationships/hyperlink" Target="https://cdn.scnbdx.fr/web-afresco/BOGAMET/MET_ARR_2020-BM1011.pdf" TargetMode="External"/><Relationship Id="rId1860" Type="http://schemas.openxmlformats.org/officeDocument/2006/relationships/hyperlink" Target="https://cdn.scnbdx.fr/web-afresco/BOGAMET/MET_ARR_2020-BM1019.pdf" TargetMode="External"/><Relationship Id="rId1861" Type="http://schemas.openxmlformats.org/officeDocument/2006/relationships/hyperlink" Target="https://cdn.scnbdx.fr/web-afresco/BOGAMET/MET_ARR_2020-BM1029.pdf" TargetMode="External"/><Relationship Id="rId1810" Type="http://schemas.openxmlformats.org/officeDocument/2006/relationships/hyperlink" Target="https://cdn.scnbdx.fr/web-afresco/BOGAMET/MET_ARR_2020-BM0905.pdf" TargetMode="External"/><Relationship Id="rId1811" Type="http://schemas.openxmlformats.org/officeDocument/2006/relationships/hyperlink" Target="https://cdn.scnbdx.fr/web-afresco/BOGAMET/MET_ARR_2020-BM0944.pdf" TargetMode="External"/><Relationship Id="rId1812" Type="http://schemas.openxmlformats.org/officeDocument/2006/relationships/hyperlink" Target="https://cdn.scnbdx.fr/web-afresco/BOGAMET/MET_ARR_2020-BM0944.pdf" TargetMode="External"/><Relationship Id="rId1813" Type="http://schemas.openxmlformats.org/officeDocument/2006/relationships/hyperlink" Target="https://cdn.scnbdx.fr/web-afresco/BOGAMET/MET_ARR_2020-BM0945.pdf" TargetMode="External"/><Relationship Id="rId1814" Type="http://schemas.openxmlformats.org/officeDocument/2006/relationships/hyperlink" Target="https://cdn.scnbdx.fr/web-afresco/BOGAMET/MET_ARR_2020-BM0945.pdf" TargetMode="External"/><Relationship Id="rId1815" Type="http://schemas.openxmlformats.org/officeDocument/2006/relationships/hyperlink" Target="https://cdn.scnbdx.fr/web-afresco/BOGAMET/MET_ARR_2020-BM0965.pdf" TargetMode="External"/><Relationship Id="rId1816" Type="http://schemas.openxmlformats.org/officeDocument/2006/relationships/hyperlink" Target="https://cdn.scnbdx.fr/web-afresco/BOGAMET/MET_ARR_2020-BM0965.pdf" TargetMode="External"/><Relationship Id="rId1817" Type="http://schemas.openxmlformats.org/officeDocument/2006/relationships/hyperlink" Target="https://cdn.scnbdx.fr/web-afresco/BOGAMET/MET_ARR_2020-BM0966.pdf" TargetMode="External"/><Relationship Id="rId1818" Type="http://schemas.openxmlformats.org/officeDocument/2006/relationships/hyperlink" Target="https://cdn.scnbdx.fr/web-afresco/BOGAMET/MET_ARR_2020-BM0966.pdf" TargetMode="External"/><Relationship Id="rId1819" Type="http://schemas.openxmlformats.org/officeDocument/2006/relationships/hyperlink" Target="https://cdn.scnbdx.fr/web-afresco/BOGAMET/MET_ARR_2020-BM0967.pdf" TargetMode="External"/><Relationship Id="rId1800" Type="http://schemas.openxmlformats.org/officeDocument/2006/relationships/hyperlink" Target="https://cdn.scnbdx.fr/web-afresco/BOGAMET/MET_ARR_2020-BM0824.pdf" TargetMode="External"/><Relationship Id="rId1801" Type="http://schemas.openxmlformats.org/officeDocument/2006/relationships/hyperlink" Target="https://cdn.scnbdx.fr/web-afresco/BOGAMET/MET_ARR_2020-BM0825.pdf" TargetMode="External"/><Relationship Id="rId1802" Type="http://schemas.openxmlformats.org/officeDocument/2006/relationships/hyperlink" Target="https://cdn.scnbdx.fr/web-afresco/BOGAMET/MET_ARR_2020-BM0825.pdf" TargetMode="External"/><Relationship Id="rId1803" Type="http://schemas.openxmlformats.org/officeDocument/2006/relationships/hyperlink" Target="https://cdn.scnbdx.fr/web-afresco/BOGAMET/MET_ARR_2020-BM0860.pdf" TargetMode="External"/><Relationship Id="rId1804" Type="http://schemas.openxmlformats.org/officeDocument/2006/relationships/hyperlink" Target="https://cdn.scnbdx.fr/web-afresco/BOGAMET/MET_ARR_2020-BM0860.pdf" TargetMode="External"/><Relationship Id="rId1805" Type="http://schemas.openxmlformats.org/officeDocument/2006/relationships/hyperlink" Target="https://cdn.scnbdx.fr/web-afresco/BOGAMET/MET_ARR_2020-BM0696.pdf" TargetMode="External"/><Relationship Id="rId1806" Type="http://schemas.openxmlformats.org/officeDocument/2006/relationships/hyperlink" Target="https://cdn.scnbdx.fr/web-afresco/BOGAMET/MET_ARR_2020-BM0696.pdf" TargetMode="External"/><Relationship Id="rId1807" Type="http://schemas.openxmlformats.org/officeDocument/2006/relationships/hyperlink" Target="https://cdn.scnbdx.fr/web-afresco/BOGAMET/MET_ARR_2020-BM0904.pdf" TargetMode="External"/><Relationship Id="rId1808" Type="http://schemas.openxmlformats.org/officeDocument/2006/relationships/hyperlink" Target="https://cdn.scnbdx.fr/web-afresco/BOGAMET/MET_ARR_2020-BM0904.pdf" TargetMode="External"/><Relationship Id="rId1809" Type="http://schemas.openxmlformats.org/officeDocument/2006/relationships/hyperlink" Target="https://cdn.scnbdx.fr/web-afresco/BOGAMET/MET_ARR_2020-BM0905.pdf" TargetMode="External"/><Relationship Id="rId1830" Type="http://schemas.openxmlformats.org/officeDocument/2006/relationships/hyperlink" Target="https://cdn.scnbdx.fr/web-afresco/BOGAMET/MET_ARR_2020-BM0998.pdf" TargetMode="External"/><Relationship Id="rId1831" Type="http://schemas.openxmlformats.org/officeDocument/2006/relationships/hyperlink" Target="https://cdn.scnbdx.fr/web-afresco/BOGAMET/MET_ARR_2020-BM1020.pdf" TargetMode="External"/><Relationship Id="rId1832" Type="http://schemas.openxmlformats.org/officeDocument/2006/relationships/hyperlink" Target="https://cdn.scnbdx.fr/web-afresco/BOGAMET/MET_ARR_2020-BM1020.pdf" TargetMode="External"/><Relationship Id="rId1833" Type="http://schemas.openxmlformats.org/officeDocument/2006/relationships/hyperlink" Target="https://cdn.scnbdx.fr/web-afresco/BOGAMET/MET_ARR_2020-BM1008.pdf" TargetMode="External"/><Relationship Id="rId1834" Type="http://schemas.openxmlformats.org/officeDocument/2006/relationships/hyperlink" Target="https://cdn.scnbdx.fr/web-afresco/BOGAMET/MET_ARR_2020-BM1008.pdf" TargetMode="External"/><Relationship Id="rId1835" Type="http://schemas.openxmlformats.org/officeDocument/2006/relationships/hyperlink" Target="https://cdn.scnbdx.fr/web-afresco/BOGAMET/MET_ARR_2020-BM1016.pdf" TargetMode="External"/><Relationship Id="rId1836" Type="http://schemas.openxmlformats.org/officeDocument/2006/relationships/hyperlink" Target="https://cdn.scnbdx.fr/web-afresco/BOGAMET/MET_ARR_2020-BM1016.pdf" TargetMode="External"/><Relationship Id="rId1837" Type="http://schemas.openxmlformats.org/officeDocument/2006/relationships/hyperlink" Target="https://cdn.scnbdx.fr/web-afresco/BOGAMET/MET_ARR_2020-BM1015.pdf" TargetMode="External"/><Relationship Id="rId1838" Type="http://schemas.openxmlformats.org/officeDocument/2006/relationships/hyperlink" Target="https://cdn.scnbdx.fr/web-afresco/BOGAMET/MET_ARR_2020-BM1015.pdf" TargetMode="External"/><Relationship Id="rId1839" Type="http://schemas.openxmlformats.org/officeDocument/2006/relationships/hyperlink" Target="https://cdn.scnbdx.fr/web-afresco/BOGAMET/MET_ARR_2020-BM1065.pdf" TargetMode="External"/><Relationship Id="rId1820" Type="http://schemas.openxmlformats.org/officeDocument/2006/relationships/hyperlink" Target="https://cdn.scnbdx.fr/web-afresco/BOGAMET/MET_ARR_2020-BM0967.pdf" TargetMode="External"/><Relationship Id="rId1821" Type="http://schemas.openxmlformats.org/officeDocument/2006/relationships/hyperlink" Target="https://cdn.scnbdx.fr/web-afresco/BOGAMET/MET_ARR_2020-BM0903.pdf" TargetMode="External"/><Relationship Id="rId1822" Type="http://schemas.openxmlformats.org/officeDocument/2006/relationships/hyperlink" Target="https://cdn.scnbdx.fr/web-afresco/BOGAMET/MET_ARR_2020-BM0903.pdf" TargetMode="External"/><Relationship Id="rId1823" Type="http://schemas.openxmlformats.org/officeDocument/2006/relationships/hyperlink" Target="https://cdn.scnbdx.fr/web-afresco/BOGAMET/MET_ARR_2020-BM0958.pdf" TargetMode="External"/><Relationship Id="rId1824" Type="http://schemas.openxmlformats.org/officeDocument/2006/relationships/hyperlink" Target="https://cdn.scnbdx.fr/web-afresco/BOGAMET/MET_ARR_2020-BM0958.pdf" TargetMode="External"/><Relationship Id="rId1825" Type="http://schemas.openxmlformats.org/officeDocument/2006/relationships/hyperlink" Target="https://cdn.scnbdx.fr/web-afresco/BOGAMET/MET_ARR_2020-BM0985.pdf" TargetMode="External"/><Relationship Id="rId1826" Type="http://schemas.openxmlformats.org/officeDocument/2006/relationships/hyperlink" Target="https://cdn.scnbdx.fr/web-afresco/BOGAMET/MET_ARR_2020-BM0985.pdf" TargetMode="External"/><Relationship Id="rId1827" Type="http://schemas.openxmlformats.org/officeDocument/2006/relationships/hyperlink" Target="https://cdn.scnbdx.fr/web-afresco/BOGAMET/MET_ARR_2020-BM0957.pdf" TargetMode="External"/><Relationship Id="rId1828" Type="http://schemas.openxmlformats.org/officeDocument/2006/relationships/hyperlink" Target="https://cdn.scnbdx.fr/web-afresco/BOGAMET/MET_ARR_2020-BM0957.pdf" TargetMode="External"/><Relationship Id="rId1829" Type="http://schemas.openxmlformats.org/officeDocument/2006/relationships/hyperlink" Target="https://cdn.scnbdx.fr/web-afresco/BOGAMET/MET_ARR_2020-BM0998.pdf" TargetMode="External"/><Relationship Id="rId1455" Type="http://schemas.openxmlformats.org/officeDocument/2006/relationships/hyperlink" Target="https://cdn.scnbdx.fr/web-afresco/BOGAMET/MET_ARR_2021-BM0964.pdf" TargetMode="External"/><Relationship Id="rId2302" Type="http://schemas.openxmlformats.org/officeDocument/2006/relationships/hyperlink" Target="https://cdn.scnbdx.fr/web-afresco/BOGAMET/MET_ARR_2021-BM0896.pdf" TargetMode="External"/><Relationship Id="rId1456" Type="http://schemas.openxmlformats.org/officeDocument/2006/relationships/hyperlink" Target="https://cdn.scnbdx.fr/web-afresco/BOGAMET/MET_ARR_2021-BM0964.pdf" TargetMode="External"/><Relationship Id="rId2303" Type="http://schemas.openxmlformats.org/officeDocument/2006/relationships/hyperlink" Target="https://cdn.scnbdx.fr/web-afresco/BOGAMET/MET_ARR_2021-BM0894.pdf" TargetMode="External"/><Relationship Id="rId1457" Type="http://schemas.openxmlformats.org/officeDocument/2006/relationships/hyperlink" Target="https://cdn.scnbdx.fr/web-afresco/BOGAMET/MET_ARR_2021-BM1073.pdf" TargetMode="External"/><Relationship Id="rId2304" Type="http://schemas.openxmlformats.org/officeDocument/2006/relationships/hyperlink" Target="https://cdn.scnbdx.fr/web-afresco/BOGAMET/MET_ARR_2021-BM0894.pdf" TargetMode="External"/><Relationship Id="rId1458" Type="http://schemas.openxmlformats.org/officeDocument/2006/relationships/hyperlink" Target="https://cdn.scnbdx.fr/web-afresco/BOGAMET/MET_ARR_2021-BM1073.pdf" TargetMode="External"/><Relationship Id="rId2305" Type="http://schemas.openxmlformats.org/officeDocument/2006/relationships/hyperlink" Target="https://cdn.scnbdx.fr/web-afresco/BOGAMET/MET_ARR_2021-BM0842.pdf" TargetMode="External"/><Relationship Id="rId1459" Type="http://schemas.openxmlformats.org/officeDocument/2006/relationships/hyperlink" Target="https://cdn.scnbdx.fr/web-afresco/BOGAMET/MET_ARR_2021-BM1075.pdf" TargetMode="External"/><Relationship Id="rId2306" Type="http://schemas.openxmlformats.org/officeDocument/2006/relationships/hyperlink" Target="https://cdn.scnbdx.fr/web-afresco/BOGAMET/MET_ARR_2021-BM0842.pdf" TargetMode="External"/><Relationship Id="rId2307" Type="http://schemas.openxmlformats.org/officeDocument/2006/relationships/hyperlink" Target="https://cdn.scnbdx.fr/web-afresco/BOGAMET/MET_ARR_2021-BM0844.pdf" TargetMode="External"/><Relationship Id="rId2308" Type="http://schemas.openxmlformats.org/officeDocument/2006/relationships/hyperlink" Target="https://cdn.scnbdx.fr/web-afresco/BOGAMET/MET_ARR_2021-BM0844.pdf" TargetMode="External"/><Relationship Id="rId2309" Type="http://schemas.openxmlformats.org/officeDocument/2006/relationships/hyperlink" Target="https://cdn.scnbdx.fr/web-afresco/BOGAMET/MET_ARR_2021-BM0846.pdf" TargetMode="External"/><Relationship Id="rId629" Type="http://schemas.openxmlformats.org/officeDocument/2006/relationships/hyperlink" Target="https://cdn.scnbdx.fr/web-afresco/BOGAMET/MET_ARR_2021-BM1232.pdf" TargetMode="External"/><Relationship Id="rId624" Type="http://schemas.openxmlformats.org/officeDocument/2006/relationships/hyperlink" Target="https://cdn.scnbdx.fr/web-afresco/BOGAMET/MET_ARR_2021-BM0941.pdf" TargetMode="External"/><Relationship Id="rId623" Type="http://schemas.openxmlformats.org/officeDocument/2006/relationships/hyperlink" Target="https://cdn.scnbdx.fr/web-afresco/BOGAMET/MET_ARR_2021-BM0941.pdf" TargetMode="External"/><Relationship Id="rId622" Type="http://schemas.openxmlformats.org/officeDocument/2006/relationships/hyperlink" Target="https://cdn.scnbdx.fr/web-afresco/BOGAMET/MET_ARR_2021-BM0940.pdf" TargetMode="External"/><Relationship Id="rId621" Type="http://schemas.openxmlformats.org/officeDocument/2006/relationships/hyperlink" Target="https://cdn.scnbdx.fr/web-afresco/BOGAMET/MET_ARR_2021-BM0940.pdf" TargetMode="External"/><Relationship Id="rId628" Type="http://schemas.openxmlformats.org/officeDocument/2006/relationships/hyperlink" Target="https://cdn.scnbdx.fr/web-afresco/BOGAMET/MET_ARR_2021-BM1231.pdf" TargetMode="External"/><Relationship Id="rId627" Type="http://schemas.openxmlformats.org/officeDocument/2006/relationships/hyperlink" Target="https://cdn.scnbdx.fr/web-afresco/BOGAMET/MET_ARR_2021-BM1231.pdf" TargetMode="External"/><Relationship Id="rId626" Type="http://schemas.openxmlformats.org/officeDocument/2006/relationships/hyperlink" Target="https://cdn.scnbdx.fr/web-afresco/BOGAMET/MET_ARR_2021-BM1143.pdf" TargetMode="External"/><Relationship Id="rId625" Type="http://schemas.openxmlformats.org/officeDocument/2006/relationships/hyperlink" Target="https://cdn.scnbdx.fr/web-afresco/BOGAMET/MET_ARR_2021-BM1143.pdf" TargetMode="External"/><Relationship Id="rId1450" Type="http://schemas.openxmlformats.org/officeDocument/2006/relationships/hyperlink" Target="https://cdn.scnbdx.fr/web-afresco/BOGAMET/MET_ARR_2021-BM0789.pdf" TargetMode="External"/><Relationship Id="rId620" Type="http://schemas.openxmlformats.org/officeDocument/2006/relationships/hyperlink" Target="https://cdn.scnbdx.fr/web-afresco/BOGAMET/MET_ARR_2021-BM0301.pdf" TargetMode="External"/><Relationship Id="rId1451" Type="http://schemas.openxmlformats.org/officeDocument/2006/relationships/hyperlink" Target="https://cdn.scnbdx.fr/web-afresco/BOGAMET/MET_ARR_2021-BM0813.pdf" TargetMode="External"/><Relationship Id="rId1452" Type="http://schemas.openxmlformats.org/officeDocument/2006/relationships/hyperlink" Target="https://cdn.scnbdx.fr/web-afresco/BOGAMET/MET_ARR_2021-BM0813.pdf" TargetMode="External"/><Relationship Id="rId1453" Type="http://schemas.openxmlformats.org/officeDocument/2006/relationships/hyperlink" Target="https://cdn.scnbdx.fr/web-afresco/BOGAMET/MET_ARR_2021-BM0817.pdf" TargetMode="External"/><Relationship Id="rId2300" Type="http://schemas.openxmlformats.org/officeDocument/2006/relationships/hyperlink" Target="https://cdn.scnbdx.fr/web-afresco/BOGAMET/MET_ARR_2021-BM0830.pdf" TargetMode="External"/><Relationship Id="rId1454" Type="http://schemas.openxmlformats.org/officeDocument/2006/relationships/hyperlink" Target="https://cdn.scnbdx.fr/web-afresco/BOGAMET/MET_ARR_2021-BM0817.pdf" TargetMode="External"/><Relationship Id="rId2301" Type="http://schemas.openxmlformats.org/officeDocument/2006/relationships/hyperlink" Target="https://cdn.scnbdx.fr/web-afresco/BOGAMET/MET_ARR_2021-BM0896.pdf" TargetMode="External"/><Relationship Id="rId1444" Type="http://schemas.openxmlformats.org/officeDocument/2006/relationships/hyperlink" Target="https://cdn.scnbdx.fr/web-afresco/BOGAMET/MET_ARR_2021-BM1414.pdf" TargetMode="External"/><Relationship Id="rId1445" Type="http://schemas.openxmlformats.org/officeDocument/2006/relationships/hyperlink" Target="https://cdn.scnbdx.fr/web-afresco/BOGAMET/MET_ARR_2021-BM1421.pdf" TargetMode="External"/><Relationship Id="rId1446" Type="http://schemas.openxmlformats.org/officeDocument/2006/relationships/hyperlink" Target="https://cdn.scnbdx.fr/web-afresco/BOGAMET/MET_ARR_2021-BM1421.pdf" TargetMode="External"/><Relationship Id="rId1447" Type="http://schemas.openxmlformats.org/officeDocument/2006/relationships/hyperlink" Target="https://cdn.scnbdx.fr/web-afresco/BOGAMET/MET_ARR_2021-BM1423.pdf" TargetMode="External"/><Relationship Id="rId1448" Type="http://schemas.openxmlformats.org/officeDocument/2006/relationships/hyperlink" Target="https://cdn.scnbdx.fr/web-afresco/BOGAMET/MET_ARR_2021-BM1423.pdf" TargetMode="External"/><Relationship Id="rId1449" Type="http://schemas.openxmlformats.org/officeDocument/2006/relationships/hyperlink" Target="https://cdn.scnbdx.fr/web-afresco/BOGAMET/MET_ARR_2021-BM0789.pdf" TargetMode="External"/><Relationship Id="rId619" Type="http://schemas.openxmlformats.org/officeDocument/2006/relationships/hyperlink" Target="https://cdn.scnbdx.fr/web-afresco/BOGAMET/MET_ARR_2021-BM0301.pdf" TargetMode="External"/><Relationship Id="rId618" Type="http://schemas.openxmlformats.org/officeDocument/2006/relationships/hyperlink" Target="https://cdn.scnbdx.fr/web-afresco/BOGAMET/MET_ARR_2021-BM1064.pdf" TargetMode="External"/><Relationship Id="rId613" Type="http://schemas.openxmlformats.org/officeDocument/2006/relationships/hyperlink" Target="https://cdn.scnbdx.fr/web-afresco/BOGAMET/MET_ARR_2021-BM0935.pdf" TargetMode="External"/><Relationship Id="rId612" Type="http://schemas.openxmlformats.org/officeDocument/2006/relationships/hyperlink" Target="https://cdn.scnbdx.fr/web-afresco/BOGAMET/MET_ARR_2021-BM0932.pdf" TargetMode="External"/><Relationship Id="rId611" Type="http://schemas.openxmlformats.org/officeDocument/2006/relationships/hyperlink" Target="https://cdn.scnbdx.fr/web-afresco/BOGAMET/MET_ARR_2021-BM0932.pdf" TargetMode="External"/><Relationship Id="rId610" Type="http://schemas.openxmlformats.org/officeDocument/2006/relationships/hyperlink" Target="https://cdn.scnbdx.fr/web-afresco/BOGAMET/MET_ARR_2021-BM1008.pdf" TargetMode="External"/><Relationship Id="rId617" Type="http://schemas.openxmlformats.org/officeDocument/2006/relationships/hyperlink" Target="https://cdn.scnbdx.fr/web-afresco/BOGAMET/MET_ARR_2021-BM1064.pdf" TargetMode="External"/><Relationship Id="rId616" Type="http://schemas.openxmlformats.org/officeDocument/2006/relationships/hyperlink" Target="https://cdn.scnbdx.fr/web-afresco/BOGAMET/MET_ARR_2021-BM0901.pdf" TargetMode="External"/><Relationship Id="rId615" Type="http://schemas.openxmlformats.org/officeDocument/2006/relationships/hyperlink" Target="https://cdn.scnbdx.fr/web-afresco/BOGAMET/MET_ARR_2021-BM0901.pdf" TargetMode="External"/><Relationship Id="rId614" Type="http://schemas.openxmlformats.org/officeDocument/2006/relationships/hyperlink" Target="https://cdn.scnbdx.fr/web-afresco/BOGAMET/MET_ARR_2021-BM0935.pdf" TargetMode="External"/><Relationship Id="rId1440" Type="http://schemas.openxmlformats.org/officeDocument/2006/relationships/hyperlink" Target="https://cdn.scnbdx.fr/web-afresco/BOGAMET/MET_ARR_2021-BM1238.pdf" TargetMode="External"/><Relationship Id="rId1441" Type="http://schemas.openxmlformats.org/officeDocument/2006/relationships/hyperlink" Target="https://cdn.scnbdx.fr/web-afresco/BOGAMET/MET_ARR_2021-BM1241.pdf" TargetMode="External"/><Relationship Id="rId1442" Type="http://schemas.openxmlformats.org/officeDocument/2006/relationships/hyperlink" Target="https://cdn.scnbdx.fr/web-afresco/BOGAMET/MET_ARR_2021-BM1241.pdf" TargetMode="External"/><Relationship Id="rId1443" Type="http://schemas.openxmlformats.org/officeDocument/2006/relationships/hyperlink" Target="https://cdn.scnbdx.fr/web-afresco/BOGAMET/MET_ARR_2021-BM1414.pdf" TargetMode="External"/><Relationship Id="rId1477" Type="http://schemas.openxmlformats.org/officeDocument/2006/relationships/hyperlink" Target="https://cdn.scnbdx.fr/web-afresco/BOGAMET/MET_ARR_2021-BM1297.pdf" TargetMode="External"/><Relationship Id="rId2324" Type="http://schemas.openxmlformats.org/officeDocument/2006/relationships/hyperlink" Target="https://cdn.scnbdx.fr/web-afresco/BOGAMET/MET_ARR_2021-BM0902.pdf" TargetMode="External"/><Relationship Id="rId1478" Type="http://schemas.openxmlformats.org/officeDocument/2006/relationships/hyperlink" Target="https://cdn.scnbdx.fr/web-afresco/BOGAMET/MET_ARR_2021-BM1297.pdf" TargetMode="External"/><Relationship Id="rId2325" Type="http://schemas.openxmlformats.org/officeDocument/2006/relationships/hyperlink" Target="https://cdn.scnbdx.fr/web-afresco/BOGAMET/MET_ARR_2021-BM1385.pdf" TargetMode="External"/><Relationship Id="rId1479" Type="http://schemas.openxmlformats.org/officeDocument/2006/relationships/hyperlink" Target="https://cdn.scnbdx.fr/web-afresco/BOGAMET/MET_ARR_2021-BM1203.pdf" TargetMode="External"/><Relationship Id="rId2326" Type="http://schemas.openxmlformats.org/officeDocument/2006/relationships/hyperlink" Target="https://cdn.scnbdx.fr/web-afresco/BOGAMET/MET_ARR_2021-BM1385.pdf" TargetMode="External"/><Relationship Id="rId2327" Type="http://schemas.openxmlformats.org/officeDocument/2006/relationships/hyperlink" Target="https://cdn.scnbdx.fr/web-afresco/BOGAMET/MET_ARR_2021-BM0923.pdf" TargetMode="External"/><Relationship Id="rId2328" Type="http://schemas.openxmlformats.org/officeDocument/2006/relationships/hyperlink" Target="https://cdn.scnbdx.fr/web-afresco/BOGAMET/MET_ARR_2021-BM0923.pdf" TargetMode="External"/><Relationship Id="rId2329" Type="http://schemas.openxmlformats.org/officeDocument/2006/relationships/hyperlink" Target="https://cdn.scnbdx.fr/web-afresco/BOGAMET/MET_ARR_2021-BM0967.pdf" TargetMode="External"/><Relationship Id="rId646" Type="http://schemas.openxmlformats.org/officeDocument/2006/relationships/hyperlink" Target="https://cdn.scnbdx.fr/web-afresco/BOGAMET/MET_ARR_2021-BM0682.pdf" TargetMode="External"/><Relationship Id="rId645" Type="http://schemas.openxmlformats.org/officeDocument/2006/relationships/hyperlink" Target="https://cdn.scnbdx.fr/web-afresco/BOGAMET/MET_ARR_2021-BM0682.pdf" TargetMode="External"/><Relationship Id="rId644" Type="http://schemas.openxmlformats.org/officeDocument/2006/relationships/hyperlink" Target="https://cdn.scnbdx.fr/web-afresco/BOGAMET/MET_ARR_2021-BM1022.pdf" TargetMode="External"/><Relationship Id="rId643" Type="http://schemas.openxmlformats.org/officeDocument/2006/relationships/hyperlink" Target="https://cdn.scnbdx.fr/web-afresco/BOGAMET/MET_ARR_2021-BM1022.pdf" TargetMode="External"/><Relationship Id="rId649" Type="http://schemas.openxmlformats.org/officeDocument/2006/relationships/hyperlink" Target="https://cdn.scnbdx.fr/web-afresco/BOGAMET/MET_ARR_2021-BM0859.pdf" TargetMode="External"/><Relationship Id="rId648" Type="http://schemas.openxmlformats.org/officeDocument/2006/relationships/hyperlink" Target="https://cdn.scnbdx.fr/web-afresco/BOGAMET/MET_ARR_2021-BM0836.pdf" TargetMode="External"/><Relationship Id="rId647" Type="http://schemas.openxmlformats.org/officeDocument/2006/relationships/hyperlink" Target="https://cdn.scnbdx.fr/web-afresco/BOGAMET/MET_ARR_2021-BM0836.pdf" TargetMode="External"/><Relationship Id="rId1470" Type="http://schemas.openxmlformats.org/officeDocument/2006/relationships/hyperlink" Target="https://cdn.scnbdx.fr/web-afresco/BOGAMET/MET_ARR_2021-BM1374.pdf" TargetMode="External"/><Relationship Id="rId1471" Type="http://schemas.openxmlformats.org/officeDocument/2006/relationships/hyperlink" Target="https://cdn.scnbdx.fr/web-afresco/BOGAMET/MET_ARR_2021-BM1377.pdf" TargetMode="External"/><Relationship Id="rId1472" Type="http://schemas.openxmlformats.org/officeDocument/2006/relationships/hyperlink" Target="https://cdn.scnbdx.fr/web-afresco/BOGAMET/MET_ARR_2021-BM1377.pdf" TargetMode="External"/><Relationship Id="rId642" Type="http://schemas.openxmlformats.org/officeDocument/2006/relationships/hyperlink" Target="https://cdn.scnbdx.fr/web-afresco/BOGAMET/MET_ARR_2021-BM1284.pdf" TargetMode="External"/><Relationship Id="rId1473" Type="http://schemas.openxmlformats.org/officeDocument/2006/relationships/hyperlink" Target="https://cdn.scnbdx.fr/web-afresco/BOGAMET/MET_ARR_2021-BM1378.pdf" TargetMode="External"/><Relationship Id="rId2320" Type="http://schemas.openxmlformats.org/officeDocument/2006/relationships/hyperlink" Target="https://cdn.scnbdx.fr/web-afresco/BOGAMET/MET_ARR_2021-BM0874.pdf" TargetMode="External"/><Relationship Id="rId641" Type="http://schemas.openxmlformats.org/officeDocument/2006/relationships/hyperlink" Target="https://cdn.scnbdx.fr/web-afresco/BOGAMET/MET_ARR_2021-BM1284.pdf" TargetMode="External"/><Relationship Id="rId1474" Type="http://schemas.openxmlformats.org/officeDocument/2006/relationships/hyperlink" Target="https://cdn.scnbdx.fr/web-afresco/BOGAMET/MET_ARR_2021-BM1378.pdf" TargetMode="External"/><Relationship Id="rId2321" Type="http://schemas.openxmlformats.org/officeDocument/2006/relationships/hyperlink" Target="https://cdn.scnbdx.fr/web-afresco/BOGAMET/MET_ARR_2021-BM0899.pdf" TargetMode="External"/><Relationship Id="rId640" Type="http://schemas.openxmlformats.org/officeDocument/2006/relationships/hyperlink" Target="https://cdn.scnbdx.fr/web-afresco/BOGAMET/MET_ARR_2021-BM1242.pdf" TargetMode="External"/><Relationship Id="rId1475" Type="http://schemas.openxmlformats.org/officeDocument/2006/relationships/hyperlink" Target="https://cdn.scnbdx.fr/web-afresco/BOGAMET/MET_ARR_2021-BM1380.pdf" TargetMode="External"/><Relationship Id="rId2322" Type="http://schemas.openxmlformats.org/officeDocument/2006/relationships/hyperlink" Target="https://cdn.scnbdx.fr/web-afresco/BOGAMET/MET_ARR_2021-BM0899.pdf" TargetMode="External"/><Relationship Id="rId1476" Type="http://schemas.openxmlformats.org/officeDocument/2006/relationships/hyperlink" Target="https://cdn.scnbdx.fr/web-afresco/BOGAMET/MET_ARR_2021-BM1380.pdf" TargetMode="External"/><Relationship Id="rId2323" Type="http://schemas.openxmlformats.org/officeDocument/2006/relationships/hyperlink" Target="https://cdn.scnbdx.fr/web-afresco/BOGAMET/MET_ARR_2021-BM0902.pdf" TargetMode="External"/><Relationship Id="rId1466" Type="http://schemas.openxmlformats.org/officeDocument/2006/relationships/hyperlink" Target="https://cdn.scnbdx.fr/web-afresco/BOGAMET/MET_ARR_2021-BM1091.pdf" TargetMode="External"/><Relationship Id="rId2313" Type="http://schemas.openxmlformats.org/officeDocument/2006/relationships/hyperlink" Target="https://cdn.scnbdx.fr/web-afresco/BOGAMET/MET_ARR_2021-BM0850.pdf" TargetMode="External"/><Relationship Id="rId1467" Type="http://schemas.openxmlformats.org/officeDocument/2006/relationships/hyperlink" Target="https://cdn.scnbdx.fr/web-afresco/BOGAMET/MET_ARR_2021-BM1092.pdf" TargetMode="External"/><Relationship Id="rId2314" Type="http://schemas.openxmlformats.org/officeDocument/2006/relationships/hyperlink" Target="https://cdn.scnbdx.fr/web-afresco/BOGAMET/MET_ARR_2021-BM0850.pdf" TargetMode="External"/><Relationship Id="rId1468" Type="http://schemas.openxmlformats.org/officeDocument/2006/relationships/hyperlink" Target="https://cdn.scnbdx.fr/web-afresco/BOGAMET/MET_ARR_2021-BM1092.pdf" TargetMode="External"/><Relationship Id="rId2315" Type="http://schemas.openxmlformats.org/officeDocument/2006/relationships/hyperlink" Target="https://cdn.scnbdx.fr/web-afresco/BOGAMET/MET_ARR_2021-BM0853.pdf" TargetMode="External"/><Relationship Id="rId1469" Type="http://schemas.openxmlformats.org/officeDocument/2006/relationships/hyperlink" Target="https://cdn.scnbdx.fr/web-afresco/BOGAMET/MET_ARR_2021-BM1374.pdf" TargetMode="External"/><Relationship Id="rId2316" Type="http://schemas.openxmlformats.org/officeDocument/2006/relationships/hyperlink" Target="https://cdn.scnbdx.fr/web-afresco/BOGAMET/MET_ARR_2021-BM0853.pdf" TargetMode="External"/><Relationship Id="rId2317" Type="http://schemas.openxmlformats.org/officeDocument/2006/relationships/hyperlink" Target="https://cdn.scnbdx.fr/web-afresco/BOGAMET/MET_ARR_2021-BM0854.pdf" TargetMode="External"/><Relationship Id="rId2318" Type="http://schemas.openxmlformats.org/officeDocument/2006/relationships/hyperlink" Target="https://cdn.scnbdx.fr/web-afresco/BOGAMET/MET_ARR_2021-BM0854.pdf" TargetMode="External"/><Relationship Id="rId2319" Type="http://schemas.openxmlformats.org/officeDocument/2006/relationships/hyperlink" Target="https://cdn.scnbdx.fr/web-afresco/BOGAMET/MET_ARR_2021-BM0874.pdf" TargetMode="External"/><Relationship Id="rId635" Type="http://schemas.openxmlformats.org/officeDocument/2006/relationships/hyperlink" Target="https://cdn.scnbdx.fr/web-afresco/BOGAMET/MET_ARR_2021-BM1237.pdf" TargetMode="External"/><Relationship Id="rId634" Type="http://schemas.openxmlformats.org/officeDocument/2006/relationships/hyperlink" Target="https://cdn.scnbdx.fr/web-afresco/BOGAMET/MET_ARR_2021-BM1235.pdf" TargetMode="External"/><Relationship Id="rId633" Type="http://schemas.openxmlformats.org/officeDocument/2006/relationships/hyperlink" Target="https://cdn.scnbdx.fr/web-afresco/BOGAMET/MET_ARR_2021-BM1235.pdf" TargetMode="External"/><Relationship Id="rId632" Type="http://schemas.openxmlformats.org/officeDocument/2006/relationships/hyperlink" Target="https://cdn.scnbdx.fr/web-afresco/BOGAMET/MET_ARR_2021-BM1233.pdf" TargetMode="External"/><Relationship Id="rId639" Type="http://schemas.openxmlformats.org/officeDocument/2006/relationships/hyperlink" Target="https://cdn.scnbdx.fr/web-afresco/BOGAMET/MET_ARR_2021-BM1242.pdf" TargetMode="External"/><Relationship Id="rId638" Type="http://schemas.openxmlformats.org/officeDocument/2006/relationships/hyperlink" Target="https://cdn.scnbdx.fr/web-afresco/BOGAMET/MET_ARR_2021-BM1239.pdf" TargetMode="External"/><Relationship Id="rId637" Type="http://schemas.openxmlformats.org/officeDocument/2006/relationships/hyperlink" Target="https://cdn.scnbdx.fr/web-afresco/BOGAMET/MET_ARR_2021-BM1239.pdf" TargetMode="External"/><Relationship Id="rId636" Type="http://schemas.openxmlformats.org/officeDocument/2006/relationships/hyperlink" Target="https://cdn.scnbdx.fr/web-afresco/BOGAMET/MET_ARR_2021-BM1237.pdf" TargetMode="External"/><Relationship Id="rId1460" Type="http://schemas.openxmlformats.org/officeDocument/2006/relationships/hyperlink" Target="https://cdn.scnbdx.fr/web-afresco/BOGAMET/MET_ARR_2021-BM1075.pdf" TargetMode="External"/><Relationship Id="rId1461" Type="http://schemas.openxmlformats.org/officeDocument/2006/relationships/hyperlink" Target="https://cdn.scnbdx.fr/web-afresco/BOGAMET/MET_ARR_2021-BM1084.pdf" TargetMode="External"/><Relationship Id="rId631" Type="http://schemas.openxmlformats.org/officeDocument/2006/relationships/hyperlink" Target="https://cdn.scnbdx.fr/web-afresco/BOGAMET/MET_ARR_2021-BM1233.pdf" TargetMode="External"/><Relationship Id="rId1462" Type="http://schemas.openxmlformats.org/officeDocument/2006/relationships/hyperlink" Target="https://cdn.scnbdx.fr/web-afresco/BOGAMET/MET_ARR_2021-BM1084.pdf" TargetMode="External"/><Relationship Id="rId630" Type="http://schemas.openxmlformats.org/officeDocument/2006/relationships/hyperlink" Target="https://cdn.scnbdx.fr/web-afresco/BOGAMET/MET_ARR_2021-BM1232.pdf" TargetMode="External"/><Relationship Id="rId1463" Type="http://schemas.openxmlformats.org/officeDocument/2006/relationships/hyperlink" Target="https://cdn.scnbdx.fr/web-afresco/BOGAMET/MET_ARR_2021-BM1087.pdf" TargetMode="External"/><Relationship Id="rId2310" Type="http://schemas.openxmlformats.org/officeDocument/2006/relationships/hyperlink" Target="https://cdn.scnbdx.fr/web-afresco/BOGAMET/MET_ARR_2021-BM0846.pdf" TargetMode="External"/><Relationship Id="rId1464" Type="http://schemas.openxmlformats.org/officeDocument/2006/relationships/hyperlink" Target="https://cdn.scnbdx.fr/web-afresco/BOGAMET/MET_ARR_2021-BM1087.pdf" TargetMode="External"/><Relationship Id="rId2311" Type="http://schemas.openxmlformats.org/officeDocument/2006/relationships/hyperlink" Target="https://cdn.scnbdx.fr/web-afresco/BOGAMET/MET_ARR_2021-BM0848.pdf" TargetMode="External"/><Relationship Id="rId1465" Type="http://schemas.openxmlformats.org/officeDocument/2006/relationships/hyperlink" Target="https://cdn.scnbdx.fr/web-afresco/BOGAMET/MET_ARR_2021-BM1091.pdf" TargetMode="External"/><Relationship Id="rId2312" Type="http://schemas.openxmlformats.org/officeDocument/2006/relationships/hyperlink" Target="https://cdn.scnbdx.fr/web-afresco/BOGAMET/MET_ARR_2021-BM0848.pdf" TargetMode="External"/><Relationship Id="rId1411" Type="http://schemas.openxmlformats.org/officeDocument/2006/relationships/hyperlink" Target="https://cdn.scnbdx.fr/web-afresco/BOGAMET/MET_ARR_2021-BM0632.pdf" TargetMode="External"/><Relationship Id="rId1895" Type="http://schemas.openxmlformats.org/officeDocument/2006/relationships/hyperlink" Target="https://cdn.scnbdx.fr/web-afresco/BOGAMET/MET_ARR_2020-BM1264.pdf" TargetMode="External"/><Relationship Id="rId1412" Type="http://schemas.openxmlformats.org/officeDocument/2006/relationships/hyperlink" Target="https://cdn.scnbdx.fr/web-afresco/BOGAMET/MET_ARR_2021-BM0632.pdf" TargetMode="External"/><Relationship Id="rId1896" Type="http://schemas.openxmlformats.org/officeDocument/2006/relationships/hyperlink" Target="https://cdn.scnbdx.fr/web-afresco/BOGAMET/MET_ARR_2020-BM1264.pdf" TargetMode="External"/><Relationship Id="rId1413" Type="http://schemas.openxmlformats.org/officeDocument/2006/relationships/hyperlink" Target="https://cdn.scnbdx.fr/web-afresco/BOGAMET/MET_ARR_2021-BM1015.pdf" TargetMode="External"/><Relationship Id="rId1897" Type="http://schemas.openxmlformats.org/officeDocument/2006/relationships/hyperlink" Target="https://cdn.scnbdx.fr/web-afresco/BOGAMET/MET_ARR_2020-BM1265.pdf" TargetMode="External"/><Relationship Id="rId1414" Type="http://schemas.openxmlformats.org/officeDocument/2006/relationships/hyperlink" Target="https://cdn.scnbdx.fr/web-afresco/BOGAMET/MET_ARR_2021-BM1015.pdf" TargetMode="External"/><Relationship Id="rId1898" Type="http://schemas.openxmlformats.org/officeDocument/2006/relationships/hyperlink" Target="https://cdn.scnbdx.fr/web-afresco/BOGAMET/MET_ARR_2020-BM1265.pdf" TargetMode="External"/><Relationship Id="rId1415" Type="http://schemas.openxmlformats.org/officeDocument/2006/relationships/hyperlink" Target="https://cdn.scnbdx.fr/web-afresco/BOGAMET/MET_ARR_2021-BM1016.pdf" TargetMode="External"/><Relationship Id="rId1899" Type="http://schemas.openxmlformats.org/officeDocument/2006/relationships/hyperlink" Target="https://cdn.scnbdx.fr/web-afresco/BOGAMET/MET_ARR_2020-BM1194.pdf" TargetMode="External"/><Relationship Id="rId1416" Type="http://schemas.openxmlformats.org/officeDocument/2006/relationships/hyperlink" Target="https://cdn.scnbdx.fr/web-afresco/BOGAMET/MET_ARR_2021-BM1016.pdf" TargetMode="External"/><Relationship Id="rId1417" Type="http://schemas.openxmlformats.org/officeDocument/2006/relationships/hyperlink" Target="https://cdn.scnbdx.fr/web-afresco/BOGAMET/MET_ARR_2021-BM0934.pdf" TargetMode="External"/><Relationship Id="rId1418" Type="http://schemas.openxmlformats.org/officeDocument/2006/relationships/hyperlink" Target="https://cdn.scnbdx.fr/web-afresco/BOGAMET/MET_ARR_2021-BM0934.pdf" TargetMode="External"/><Relationship Id="rId1419" Type="http://schemas.openxmlformats.org/officeDocument/2006/relationships/hyperlink" Target="https://cdn.scnbdx.fr/web-afresco/BOGAMET/MET_ARR_2021-BM0982.pdf" TargetMode="External"/><Relationship Id="rId1890" Type="http://schemas.openxmlformats.org/officeDocument/2006/relationships/hyperlink" Target="https://cdn.scnbdx.fr/web-afresco/BOGAMET/MET_ARR_2020-BM1207.pdf" TargetMode="External"/><Relationship Id="rId1891" Type="http://schemas.openxmlformats.org/officeDocument/2006/relationships/hyperlink" Target="https://cdn.scnbdx.fr/web-afresco/BOGAMET/MET_ARR_2020-BM1192.pdf" TargetMode="External"/><Relationship Id="rId1892" Type="http://schemas.openxmlformats.org/officeDocument/2006/relationships/hyperlink" Target="https://cdn.scnbdx.fr/web-afresco/BOGAMET/MET_ARR_2020-BM1192.pdf" TargetMode="External"/><Relationship Id="rId1893" Type="http://schemas.openxmlformats.org/officeDocument/2006/relationships/hyperlink" Target="https://cdn.scnbdx.fr/web-afresco/BOGAMET/MET_ARR_2020-BM1263.pdf" TargetMode="External"/><Relationship Id="rId1410" Type="http://schemas.openxmlformats.org/officeDocument/2006/relationships/hyperlink" Target="https://cdn.scnbdx.fr/web-afresco/BOGAMET/MET_ARR_2021-BM0616.pdf" TargetMode="External"/><Relationship Id="rId1894" Type="http://schemas.openxmlformats.org/officeDocument/2006/relationships/hyperlink" Target="https://cdn.scnbdx.fr/web-afresco/BOGAMET/MET_ARR_2020-BM1263.pdf" TargetMode="External"/><Relationship Id="rId1400" Type="http://schemas.openxmlformats.org/officeDocument/2006/relationships/hyperlink" Target="https://cdn.scnbdx.fr/web-afresco/BOGAMET/MET_ARR_2021-BM1114.pdf" TargetMode="External"/><Relationship Id="rId1884" Type="http://schemas.openxmlformats.org/officeDocument/2006/relationships/hyperlink" Target="https://cdn.scnbdx.fr/web-afresco/BOGAMET/MET_ARR_2020-BM1211.pdf" TargetMode="External"/><Relationship Id="rId1401" Type="http://schemas.openxmlformats.org/officeDocument/2006/relationships/hyperlink" Target="https://cdn.scnbdx.fr/web-afresco/BOGAMET/MET_ARR_2021-BM1119.pdf" TargetMode="External"/><Relationship Id="rId1885" Type="http://schemas.openxmlformats.org/officeDocument/2006/relationships/hyperlink" Target="https://cdn.scnbdx.fr/web-afresco/BOGAMET/MET_ARR_2020-BM1150.pdf" TargetMode="External"/><Relationship Id="rId1402" Type="http://schemas.openxmlformats.org/officeDocument/2006/relationships/hyperlink" Target="https://cdn.scnbdx.fr/web-afresco/BOGAMET/MET_ARR_2021-BM1119.pdf" TargetMode="External"/><Relationship Id="rId1886" Type="http://schemas.openxmlformats.org/officeDocument/2006/relationships/hyperlink" Target="https://cdn.scnbdx.fr/web-afresco/BOGAMET/MET_ARR_2020-BM1150.pdf" TargetMode="External"/><Relationship Id="rId1403" Type="http://schemas.openxmlformats.org/officeDocument/2006/relationships/hyperlink" Target="https://cdn.scnbdx.fr/web-afresco/BOGAMET/MET_ARR_2021-BM1123.pdf" TargetMode="External"/><Relationship Id="rId1887" Type="http://schemas.openxmlformats.org/officeDocument/2006/relationships/hyperlink" Target="https://cdn.scnbdx.fr/web-afresco/BOGAMET/MET_ARR_2020-BM1234.pdf" TargetMode="External"/><Relationship Id="rId1404" Type="http://schemas.openxmlformats.org/officeDocument/2006/relationships/hyperlink" Target="https://cdn.scnbdx.fr/web-afresco/BOGAMET/MET_ARR_2021-BM1123.pdf" TargetMode="External"/><Relationship Id="rId1888" Type="http://schemas.openxmlformats.org/officeDocument/2006/relationships/hyperlink" Target="https://cdn.scnbdx.fr/web-afresco/BOGAMET/MET_ARR_2020-BM1234.pdf" TargetMode="External"/><Relationship Id="rId1405" Type="http://schemas.openxmlformats.org/officeDocument/2006/relationships/hyperlink" Target="https://cdn.scnbdx.fr/web-afresco/BOGAMET/MET_ARR_2021-BM1100.pdf" TargetMode="External"/><Relationship Id="rId1889" Type="http://schemas.openxmlformats.org/officeDocument/2006/relationships/hyperlink" Target="https://cdn.scnbdx.fr/web-afresco/BOGAMET/MET_ARR_2020-BM1207.pdf" TargetMode="External"/><Relationship Id="rId1406" Type="http://schemas.openxmlformats.org/officeDocument/2006/relationships/hyperlink" Target="https://cdn.scnbdx.fr/web-afresco/BOGAMET/MET_ARR_2021-BM1100.pdf" TargetMode="External"/><Relationship Id="rId1407" Type="http://schemas.openxmlformats.org/officeDocument/2006/relationships/hyperlink" Target="https://cdn.scnbdx.fr/web-afresco/BOGAMET/MET_ARR_2021-BM1108.pdf" TargetMode="External"/><Relationship Id="rId1408" Type="http://schemas.openxmlformats.org/officeDocument/2006/relationships/hyperlink" Target="https://cdn.scnbdx.fr/web-afresco/BOGAMET/MET_ARR_2021-BM1108.pdf" TargetMode="External"/><Relationship Id="rId1409" Type="http://schemas.openxmlformats.org/officeDocument/2006/relationships/hyperlink" Target="https://cdn.scnbdx.fr/web-afresco/BOGAMET/MET_ARR_2021-BM0616.pdf" TargetMode="External"/><Relationship Id="rId1880" Type="http://schemas.openxmlformats.org/officeDocument/2006/relationships/hyperlink" Target="https://cdn.scnbdx.fr/web-afresco/BOGAMET/MET_ARR_2020-BM1206.pdf" TargetMode="External"/><Relationship Id="rId1881" Type="http://schemas.openxmlformats.org/officeDocument/2006/relationships/hyperlink" Target="https://cdn.scnbdx.fr/web-afresco/BOGAMET/MET_ARR_2020-BM1185.pdf" TargetMode="External"/><Relationship Id="rId1882" Type="http://schemas.openxmlformats.org/officeDocument/2006/relationships/hyperlink" Target="https://cdn.scnbdx.fr/web-afresco/BOGAMET/MET_ARR_2020-BM1185.pdf" TargetMode="External"/><Relationship Id="rId1883" Type="http://schemas.openxmlformats.org/officeDocument/2006/relationships/hyperlink" Target="https://cdn.scnbdx.fr/web-afresco/BOGAMET/MET_ARR_2020-BM1211.pdf" TargetMode="External"/><Relationship Id="rId1433" Type="http://schemas.openxmlformats.org/officeDocument/2006/relationships/hyperlink" Target="https://cdn.scnbdx.fr/web-afresco/BOGAMET/MET_ARR_2021-BM1009.pdf" TargetMode="External"/><Relationship Id="rId1434" Type="http://schemas.openxmlformats.org/officeDocument/2006/relationships/hyperlink" Target="https://cdn.scnbdx.fr/web-afresco/BOGAMET/MET_ARR_2021-BM1009.pdf" TargetMode="External"/><Relationship Id="rId1435" Type="http://schemas.openxmlformats.org/officeDocument/2006/relationships/hyperlink" Target="https://cdn.scnbdx.fr/web-afresco/BOGAMET/MET_ARR_2021-BM1230.pdf" TargetMode="External"/><Relationship Id="rId1436" Type="http://schemas.openxmlformats.org/officeDocument/2006/relationships/hyperlink" Target="https://cdn.scnbdx.fr/web-afresco/BOGAMET/MET_ARR_2021-BM1230.pdf" TargetMode="External"/><Relationship Id="rId1437" Type="http://schemas.openxmlformats.org/officeDocument/2006/relationships/hyperlink" Target="https://cdn.scnbdx.fr/web-afresco/BOGAMET/MET_ARR_2021-BM1234.pdf" TargetMode="External"/><Relationship Id="rId1438" Type="http://schemas.openxmlformats.org/officeDocument/2006/relationships/hyperlink" Target="https://cdn.scnbdx.fr/web-afresco/BOGAMET/MET_ARR_2021-BM1234.pdf" TargetMode="External"/><Relationship Id="rId1439" Type="http://schemas.openxmlformats.org/officeDocument/2006/relationships/hyperlink" Target="https://cdn.scnbdx.fr/web-afresco/BOGAMET/MET_ARR_2021-BM1238.pdf" TargetMode="External"/><Relationship Id="rId609" Type="http://schemas.openxmlformats.org/officeDocument/2006/relationships/hyperlink" Target="https://cdn.scnbdx.fr/web-afresco/BOGAMET/MET_ARR_2021-BM1008.pdf" TargetMode="External"/><Relationship Id="rId608" Type="http://schemas.openxmlformats.org/officeDocument/2006/relationships/hyperlink" Target="https://cdn.scnbdx.fr/web-afresco/BOGAMET/MET_ARR_2021-BM1005.pdf" TargetMode="External"/><Relationship Id="rId607" Type="http://schemas.openxmlformats.org/officeDocument/2006/relationships/hyperlink" Target="https://cdn.scnbdx.fr/web-afresco/BOGAMET/MET_ARR_2021-BM1005.pdf" TargetMode="External"/><Relationship Id="rId602" Type="http://schemas.openxmlformats.org/officeDocument/2006/relationships/hyperlink" Target="https://cdn.scnbdx.fr/web-afresco/BOGAMET/MET_ARR_2021-BM0999.pdf" TargetMode="External"/><Relationship Id="rId601" Type="http://schemas.openxmlformats.org/officeDocument/2006/relationships/hyperlink" Target="https://cdn.scnbdx.fr/web-afresco/BOGAMET/MET_ARR_2021-BM0999.pdf" TargetMode="External"/><Relationship Id="rId600" Type="http://schemas.openxmlformats.org/officeDocument/2006/relationships/hyperlink" Target="https://cdn.scnbdx.fr/web-afresco/BOGAMET/MET_ARR_2021-BM0995.pdf" TargetMode="External"/><Relationship Id="rId606" Type="http://schemas.openxmlformats.org/officeDocument/2006/relationships/hyperlink" Target="https://cdn.scnbdx.fr/web-afresco/BOGAMET/MET_ARR_2021-BM1004.pdf" TargetMode="External"/><Relationship Id="rId605" Type="http://schemas.openxmlformats.org/officeDocument/2006/relationships/hyperlink" Target="https://cdn.scnbdx.fr/web-afresco/BOGAMET/MET_ARR_2021-BM1004.pdf" TargetMode="External"/><Relationship Id="rId604" Type="http://schemas.openxmlformats.org/officeDocument/2006/relationships/hyperlink" Target="https://cdn.scnbdx.fr/web-afresco/BOGAMET/MET_ARR_2021-BM1003.pdf" TargetMode="External"/><Relationship Id="rId603" Type="http://schemas.openxmlformats.org/officeDocument/2006/relationships/hyperlink" Target="https://cdn.scnbdx.fr/web-afresco/BOGAMET/MET_ARR_2021-BM1003.pdf" TargetMode="External"/><Relationship Id="rId1430" Type="http://schemas.openxmlformats.org/officeDocument/2006/relationships/hyperlink" Target="https://cdn.scnbdx.fr/web-afresco/BOGAMET/MET_ARR_2021-BM0996.pdf" TargetMode="External"/><Relationship Id="rId1431" Type="http://schemas.openxmlformats.org/officeDocument/2006/relationships/hyperlink" Target="https://cdn.scnbdx.fr/web-afresco/BOGAMET/MET_ARR_2021-BM0997.pdf" TargetMode="External"/><Relationship Id="rId1432" Type="http://schemas.openxmlformats.org/officeDocument/2006/relationships/hyperlink" Target="https://cdn.scnbdx.fr/web-afresco/BOGAMET/MET_ARR_2021-BM0997.pdf" TargetMode="External"/><Relationship Id="rId1422" Type="http://schemas.openxmlformats.org/officeDocument/2006/relationships/hyperlink" Target="https://cdn.scnbdx.fr/web-afresco/BOGAMET/MET_ARR_2021-BM0983.pdf" TargetMode="External"/><Relationship Id="rId1423" Type="http://schemas.openxmlformats.org/officeDocument/2006/relationships/hyperlink" Target="https://cdn.scnbdx.fr/web-afresco/BOGAMET/MET_ARR_2021-BM1010.pdf" TargetMode="External"/><Relationship Id="rId1424" Type="http://schemas.openxmlformats.org/officeDocument/2006/relationships/hyperlink" Target="https://cdn.scnbdx.fr/web-afresco/BOGAMET/MET_ARR_2021-BM1010.pdf" TargetMode="External"/><Relationship Id="rId1425" Type="http://schemas.openxmlformats.org/officeDocument/2006/relationships/hyperlink" Target="https://cdn.scnbdx.fr/web-afresco/BOGAMET/MET_ARR_2021-BM0991.pdf" TargetMode="External"/><Relationship Id="rId1426" Type="http://schemas.openxmlformats.org/officeDocument/2006/relationships/hyperlink" Target="https://cdn.scnbdx.fr/web-afresco/BOGAMET/MET_ARR_2021-BM0991.pdf" TargetMode="External"/><Relationship Id="rId1427" Type="http://schemas.openxmlformats.org/officeDocument/2006/relationships/hyperlink" Target="https://cdn.scnbdx.fr/web-afresco/BOGAMET/MET_ARR_2021-BM0992.pdf" TargetMode="External"/><Relationship Id="rId1428" Type="http://schemas.openxmlformats.org/officeDocument/2006/relationships/hyperlink" Target="https://cdn.scnbdx.fr/web-afresco/BOGAMET/MET_ARR_2021-BM0992.pdf" TargetMode="External"/><Relationship Id="rId1429" Type="http://schemas.openxmlformats.org/officeDocument/2006/relationships/hyperlink" Target="https://cdn.scnbdx.fr/web-afresco/BOGAMET/MET_ARR_2021-BM0996.pdf" TargetMode="External"/><Relationship Id="rId1420" Type="http://schemas.openxmlformats.org/officeDocument/2006/relationships/hyperlink" Target="https://cdn.scnbdx.fr/web-afresco/BOGAMET/MET_ARR_2021-BM0982.pdf" TargetMode="External"/><Relationship Id="rId1421" Type="http://schemas.openxmlformats.org/officeDocument/2006/relationships/hyperlink" Target="https://cdn.scnbdx.fr/web-afresco/BOGAMET/MET_ARR_2021-BM0983.pdf" TargetMode="External"/><Relationship Id="rId1059" Type="http://schemas.openxmlformats.org/officeDocument/2006/relationships/hyperlink" Target="https://cdn.scnbdx.fr/web-afresco/BOGAMET/MET_ARR_2020-BM1412.pdf" TargetMode="External"/><Relationship Id="rId228" Type="http://schemas.openxmlformats.org/officeDocument/2006/relationships/hyperlink" Target="https://cdn.scnbdx.fr/web-afresco/BOGAMET/MET_ARR_2020-BM1360.pdf" TargetMode="External"/><Relationship Id="rId227" Type="http://schemas.openxmlformats.org/officeDocument/2006/relationships/hyperlink" Target="https://cdn.scnbdx.fr/web-afresco/BOGAMET/MET_ARR_2020-BM1360.pdf" TargetMode="External"/><Relationship Id="rId226" Type="http://schemas.openxmlformats.org/officeDocument/2006/relationships/hyperlink" Target="https://cdn.scnbdx.fr/web-afresco/BOGAMET/MET_ARR_2020-BM1359.pdf" TargetMode="External"/><Relationship Id="rId225" Type="http://schemas.openxmlformats.org/officeDocument/2006/relationships/hyperlink" Target="https://cdn.scnbdx.fr/web-afresco/BOGAMET/MET_ARR_2020-BM1359.pdf" TargetMode="External"/><Relationship Id="rId2380" Type="http://schemas.openxmlformats.org/officeDocument/2006/relationships/hyperlink" Target="https://cdn.scnbdx.fr/web-afresco/BOGAMET/MET_ARR_2021-BM0994.pdf" TargetMode="External"/><Relationship Id="rId229" Type="http://schemas.openxmlformats.org/officeDocument/2006/relationships/hyperlink" Target="https://cdn.scnbdx.fr/web-afresco/BOGAMET/MET_ARR_2020-BM1376.pdf" TargetMode="External"/><Relationship Id="rId1050" Type="http://schemas.openxmlformats.org/officeDocument/2006/relationships/hyperlink" Target="https://cdn.scnbdx.fr/web-afresco/BOGAMET/MET_ARR_2020-BM1351.pdf" TargetMode="External"/><Relationship Id="rId2381" Type="http://schemas.openxmlformats.org/officeDocument/2006/relationships/hyperlink" Target="https://cdn.scnbdx.fr/web-afresco/BOGAMET/MET_ARR_2021-BM0998.pdf" TargetMode="External"/><Relationship Id="rId220" Type="http://schemas.openxmlformats.org/officeDocument/2006/relationships/hyperlink" Target="https://cdn.scnbdx.fr/web-afresco/BOGAMET/MET_ARR_2020-BM1329.pdf" TargetMode="External"/><Relationship Id="rId1051" Type="http://schemas.openxmlformats.org/officeDocument/2006/relationships/hyperlink" Target="https://cdn.scnbdx.fr/web-afresco/BOGAMET/MET_ARR_2020-BM1375.pdf" TargetMode="External"/><Relationship Id="rId2382" Type="http://schemas.openxmlformats.org/officeDocument/2006/relationships/hyperlink" Target="https://cdn.scnbdx.fr/web-afresco/BOGAMET/MET_ARR_2021-BM0998.pdf" TargetMode="External"/><Relationship Id="rId1052" Type="http://schemas.openxmlformats.org/officeDocument/2006/relationships/hyperlink" Target="https://cdn.scnbdx.fr/web-afresco/BOGAMET/MET_ARR_2020-BM1375.pdf" TargetMode="External"/><Relationship Id="rId2383" Type="http://schemas.openxmlformats.org/officeDocument/2006/relationships/hyperlink" Target="https://cdn.scnbdx.fr/web-afresco/BOGAMET/MET_ARR_2021-BM1000.pdf" TargetMode="External"/><Relationship Id="rId1053" Type="http://schemas.openxmlformats.org/officeDocument/2006/relationships/hyperlink" Target="https://cdn.scnbdx.fr/web-afresco/BOGAMET/MET_ARR_2020-BM1371.pdf" TargetMode="External"/><Relationship Id="rId2384" Type="http://schemas.openxmlformats.org/officeDocument/2006/relationships/hyperlink" Target="https://cdn.scnbdx.fr/web-afresco/BOGAMET/MET_ARR_2021-BM1000.pdf" TargetMode="External"/><Relationship Id="rId1054" Type="http://schemas.openxmlformats.org/officeDocument/2006/relationships/hyperlink" Target="https://cdn.scnbdx.fr/web-afresco/BOGAMET/MET_ARR_2020-BM1371.pdf" TargetMode="External"/><Relationship Id="rId2385" Type="http://schemas.openxmlformats.org/officeDocument/2006/relationships/hyperlink" Target="https://cdn.scnbdx.fr/web-afresco/BOGAMET/MET_ARR_2021-BM1001.pdf" TargetMode="External"/><Relationship Id="rId224" Type="http://schemas.openxmlformats.org/officeDocument/2006/relationships/hyperlink" Target="https://cdn.scnbdx.fr/web-afresco/BOGAMET/MET_ARR_2020-BM1334.pdf" TargetMode="External"/><Relationship Id="rId1055" Type="http://schemas.openxmlformats.org/officeDocument/2006/relationships/hyperlink" Target="https://cdn.scnbdx.fr/web-afresco/BOGAMET/MET_ARR_2020-BM1409.pdf" TargetMode="External"/><Relationship Id="rId2386" Type="http://schemas.openxmlformats.org/officeDocument/2006/relationships/hyperlink" Target="https://cdn.scnbdx.fr/web-afresco/BOGAMET/MET_ARR_2021-BM1001.pdf" TargetMode="External"/><Relationship Id="rId223" Type="http://schemas.openxmlformats.org/officeDocument/2006/relationships/hyperlink" Target="https://cdn.scnbdx.fr/web-afresco/BOGAMET/MET_ARR_2020-BM1334.pdf" TargetMode="External"/><Relationship Id="rId1056" Type="http://schemas.openxmlformats.org/officeDocument/2006/relationships/hyperlink" Target="https://cdn.scnbdx.fr/web-afresco/BOGAMET/MET_ARR_2020-BM1409.pdf" TargetMode="External"/><Relationship Id="rId2387" Type="http://schemas.openxmlformats.org/officeDocument/2006/relationships/hyperlink" Target="https://cdn.scnbdx.fr/web-afresco/BOGAMET/MET_ARR_2021-BM1002.pdf" TargetMode="External"/><Relationship Id="rId222" Type="http://schemas.openxmlformats.org/officeDocument/2006/relationships/hyperlink" Target="https://cdn.scnbdx.fr/web-afresco/BOGAMET/MET_ARR_2020-BM1308.pdf" TargetMode="External"/><Relationship Id="rId1057" Type="http://schemas.openxmlformats.org/officeDocument/2006/relationships/hyperlink" Target="https://cdn.scnbdx.fr/web-afresco/BOGAMET/MET_ARR_2020-BM1410.pdf" TargetMode="External"/><Relationship Id="rId2388" Type="http://schemas.openxmlformats.org/officeDocument/2006/relationships/hyperlink" Target="https://cdn.scnbdx.fr/web-afresco/BOGAMET/MET_ARR_2021-BM1002.pdf" TargetMode="External"/><Relationship Id="rId221" Type="http://schemas.openxmlformats.org/officeDocument/2006/relationships/hyperlink" Target="https://cdn.scnbdx.fr/web-afresco/BOGAMET/MET_ARR_2020-BM1308.pdf" TargetMode="External"/><Relationship Id="rId1058" Type="http://schemas.openxmlformats.org/officeDocument/2006/relationships/hyperlink" Target="https://cdn.scnbdx.fr/web-afresco/BOGAMET/MET_ARR_2020-BM1410.pdf" TargetMode="External"/><Relationship Id="rId2389" Type="http://schemas.openxmlformats.org/officeDocument/2006/relationships/hyperlink" Target="https://cdn.scnbdx.fr/web-afresco/BOGAMET/MET_ARR_2021-BM1007.pdf" TargetMode="External"/><Relationship Id="rId1048" Type="http://schemas.openxmlformats.org/officeDocument/2006/relationships/hyperlink" Target="https://cdn.scnbdx.fr/web-afresco/BOGAMET/MET_ARR_2020-BM1350.pdf" TargetMode="External"/><Relationship Id="rId2379" Type="http://schemas.openxmlformats.org/officeDocument/2006/relationships/hyperlink" Target="https://cdn.scnbdx.fr/web-afresco/BOGAMET/MET_ARR_2021-BM0994.pdf" TargetMode="External"/><Relationship Id="rId1049" Type="http://schemas.openxmlformats.org/officeDocument/2006/relationships/hyperlink" Target="https://cdn.scnbdx.fr/web-afresco/BOGAMET/MET_ARR_2020-BM1351.pdf" TargetMode="External"/><Relationship Id="rId217" Type="http://schemas.openxmlformats.org/officeDocument/2006/relationships/hyperlink" Target="https://cdn.scnbdx.fr/web-afresco/BOGAMET/MET_ARR_2020-BM1281.pdf" TargetMode="External"/><Relationship Id="rId216" Type="http://schemas.openxmlformats.org/officeDocument/2006/relationships/hyperlink" Target="https://cdn.scnbdx.fr/web-afresco/BOGAMET/MET_ARR_2020-BM1272.pdf" TargetMode="External"/><Relationship Id="rId215" Type="http://schemas.openxmlformats.org/officeDocument/2006/relationships/hyperlink" Target="https://cdn.scnbdx.fr/web-afresco/BOGAMET/MET_ARR_2020-BM1272.pdf" TargetMode="External"/><Relationship Id="rId699" Type="http://schemas.openxmlformats.org/officeDocument/2006/relationships/hyperlink" Target="https://cdn.scnbdx.fr/web-afresco/BOGAMET/MET_ARR_2021-BM1249.pdf" TargetMode="External"/><Relationship Id="rId214" Type="http://schemas.openxmlformats.org/officeDocument/2006/relationships/hyperlink" Target="https://cdn.scnbdx.fr/web-afresco/BOGAMET/MET_ARR_2020-BM1297.pdf" TargetMode="External"/><Relationship Id="rId698" Type="http://schemas.openxmlformats.org/officeDocument/2006/relationships/hyperlink" Target="https://cdn.scnbdx.fr/web-afresco/BOGAMET/MET_ARR_2021-BM1247.pdf" TargetMode="External"/><Relationship Id="rId219" Type="http://schemas.openxmlformats.org/officeDocument/2006/relationships/hyperlink" Target="https://cdn.scnbdx.fr/web-afresco/BOGAMET/MET_ARR_2020-BM1329.pdf" TargetMode="External"/><Relationship Id="rId218" Type="http://schemas.openxmlformats.org/officeDocument/2006/relationships/hyperlink" Target="https://cdn.scnbdx.fr/web-afresco/BOGAMET/MET_ARR_2020-BM1281.pdf" TargetMode="External"/><Relationship Id="rId2370" Type="http://schemas.openxmlformats.org/officeDocument/2006/relationships/hyperlink" Target="https://cdn.scnbdx.fr/web-afresco/BOGAMET/MET_ARR_2021-BM0641.pdf" TargetMode="External"/><Relationship Id="rId693" Type="http://schemas.openxmlformats.org/officeDocument/2006/relationships/hyperlink" Target="https://cdn.scnbdx.fr/web-afresco/BOGAMET/MET_ARR_2021-BM1177.pdf" TargetMode="External"/><Relationship Id="rId1040" Type="http://schemas.openxmlformats.org/officeDocument/2006/relationships/hyperlink" Target="https://cdn.scnbdx.fr/web-afresco/BOGAMET/MET_ARR_2020-BM1291.pdf" TargetMode="External"/><Relationship Id="rId2371" Type="http://schemas.openxmlformats.org/officeDocument/2006/relationships/hyperlink" Target="https://cdn.scnbdx.fr/web-afresco/BOGAMET/MET_ARR_2021-BM0984.pdf" TargetMode="External"/><Relationship Id="rId692" Type="http://schemas.openxmlformats.org/officeDocument/2006/relationships/hyperlink" Target="https://cdn.scnbdx.fr/web-afresco/BOGAMET/MET_ARR_2021-BM0865.pdf" TargetMode="External"/><Relationship Id="rId1041" Type="http://schemas.openxmlformats.org/officeDocument/2006/relationships/hyperlink" Target="https://cdn.scnbdx.fr/web-afresco/BOGAMET/MET_ARR_2020-BM1286.pdf" TargetMode="External"/><Relationship Id="rId2372" Type="http://schemas.openxmlformats.org/officeDocument/2006/relationships/hyperlink" Target="https://cdn.scnbdx.fr/web-afresco/BOGAMET/MET_ARR_2021-BM0984.pdf" TargetMode="External"/><Relationship Id="rId691" Type="http://schemas.openxmlformats.org/officeDocument/2006/relationships/hyperlink" Target="https://cdn.scnbdx.fr/web-afresco/BOGAMET/MET_ARR_2021-BM0865.pdf" TargetMode="External"/><Relationship Id="rId1042" Type="http://schemas.openxmlformats.org/officeDocument/2006/relationships/hyperlink" Target="https://cdn.scnbdx.fr/web-afresco/BOGAMET/MET_ARR_2020-BM1286.pdf" TargetMode="External"/><Relationship Id="rId2373" Type="http://schemas.openxmlformats.org/officeDocument/2006/relationships/hyperlink" Target="https://cdn.scnbdx.fr/web-afresco/BOGAMET/MET_ARR_2021-BM1011.pdf" TargetMode="External"/><Relationship Id="rId690" Type="http://schemas.openxmlformats.org/officeDocument/2006/relationships/hyperlink" Target="https://cdn.scnbdx.fr/web-afresco/BOGAMET/MET_ARR_2021-BM0863.pdf" TargetMode="External"/><Relationship Id="rId1043" Type="http://schemas.openxmlformats.org/officeDocument/2006/relationships/hyperlink" Target="https://cdn.scnbdx.fr/web-afresco/BOGAMET/MET_ARR_2020-BM1311.pdf" TargetMode="External"/><Relationship Id="rId2374" Type="http://schemas.openxmlformats.org/officeDocument/2006/relationships/hyperlink" Target="https://cdn.scnbdx.fr/web-afresco/BOGAMET/MET_ARR_2021-BM1011.pdf" TargetMode="External"/><Relationship Id="rId213" Type="http://schemas.openxmlformats.org/officeDocument/2006/relationships/hyperlink" Target="https://cdn.scnbdx.fr/web-afresco/BOGAMET/MET_ARR_2020-BM1297.pdf" TargetMode="External"/><Relationship Id="rId697" Type="http://schemas.openxmlformats.org/officeDocument/2006/relationships/hyperlink" Target="https://cdn.scnbdx.fr/web-afresco/BOGAMET/MET_ARR_2021-BM1247.pdf" TargetMode="External"/><Relationship Id="rId1044" Type="http://schemas.openxmlformats.org/officeDocument/2006/relationships/hyperlink" Target="https://cdn.scnbdx.fr/web-afresco/BOGAMET/MET_ARR_2020-BM1311.pdf" TargetMode="External"/><Relationship Id="rId2375" Type="http://schemas.openxmlformats.org/officeDocument/2006/relationships/hyperlink" Target="https://cdn.scnbdx.fr/web-afresco/BOGAMET/MET_ARR_2021-BM1023.pdf" TargetMode="External"/><Relationship Id="rId212" Type="http://schemas.openxmlformats.org/officeDocument/2006/relationships/hyperlink" Target="https://cdn.scnbdx.fr/web-afresco/BOGAMET/MET_ARR_2020-BM1193.pdf" TargetMode="External"/><Relationship Id="rId696" Type="http://schemas.openxmlformats.org/officeDocument/2006/relationships/hyperlink" Target="https://cdn.scnbdx.fr/web-afresco/BOGAMET/MET_ARR_2021-BM1180.pdf" TargetMode="External"/><Relationship Id="rId1045" Type="http://schemas.openxmlformats.org/officeDocument/2006/relationships/hyperlink" Target="https://cdn.scnbdx.fr/web-afresco/BOGAMET/MET_ARR_2020-BM1346.pdf" TargetMode="External"/><Relationship Id="rId2376" Type="http://schemas.openxmlformats.org/officeDocument/2006/relationships/hyperlink" Target="https://cdn.scnbdx.fr/web-afresco/BOGAMET/MET_ARR_2021-BM1023.pdf" TargetMode="External"/><Relationship Id="rId211" Type="http://schemas.openxmlformats.org/officeDocument/2006/relationships/hyperlink" Target="https://cdn.scnbdx.fr/web-afresco/BOGAMET/MET_ARR_2020-BM1193.pdf" TargetMode="External"/><Relationship Id="rId695" Type="http://schemas.openxmlformats.org/officeDocument/2006/relationships/hyperlink" Target="https://cdn.scnbdx.fr/web-afresco/BOGAMET/MET_ARR_2021-BM1180.pdf" TargetMode="External"/><Relationship Id="rId1046" Type="http://schemas.openxmlformats.org/officeDocument/2006/relationships/hyperlink" Target="https://cdn.scnbdx.fr/web-afresco/BOGAMET/MET_ARR_2020-BM1346.pdf" TargetMode="External"/><Relationship Id="rId2377" Type="http://schemas.openxmlformats.org/officeDocument/2006/relationships/hyperlink" Target="https://cdn.scnbdx.fr/web-afresco/BOGAMET/MET_ARR_2021-BM0993.pdf" TargetMode="External"/><Relationship Id="rId210" Type="http://schemas.openxmlformats.org/officeDocument/2006/relationships/hyperlink" Target="https://cdn.scnbdx.fr/web-afresco/BOGAMET/MET_ARR_2020-BM1278.pdf" TargetMode="External"/><Relationship Id="rId694" Type="http://schemas.openxmlformats.org/officeDocument/2006/relationships/hyperlink" Target="https://cdn.scnbdx.fr/web-afresco/BOGAMET/MET_ARR_2021-BM1177.pdf" TargetMode="External"/><Relationship Id="rId1047" Type="http://schemas.openxmlformats.org/officeDocument/2006/relationships/hyperlink" Target="https://cdn.scnbdx.fr/web-afresco/BOGAMET/MET_ARR_2020-BM1350.pdf" TargetMode="External"/><Relationship Id="rId2378" Type="http://schemas.openxmlformats.org/officeDocument/2006/relationships/hyperlink" Target="https://cdn.scnbdx.fr/web-afresco/BOGAMET/MET_ARR_2021-BM0993.pdf" TargetMode="External"/><Relationship Id="rId249" Type="http://schemas.openxmlformats.org/officeDocument/2006/relationships/hyperlink" Target="https://cdn.scnbdx.fr/web-afresco/BOGAMET/MET_ARR_2020-BM1435.pdf" TargetMode="External"/><Relationship Id="rId248" Type="http://schemas.openxmlformats.org/officeDocument/2006/relationships/hyperlink" Target="https://cdn.scnbdx.fr/web-afresco/BOGAMET/MET_ARR_2020-BM1421.pdf" TargetMode="External"/><Relationship Id="rId247" Type="http://schemas.openxmlformats.org/officeDocument/2006/relationships/hyperlink" Target="https://cdn.scnbdx.fr/web-afresco/BOGAMET/MET_ARR_2020-BM1421.pdf" TargetMode="External"/><Relationship Id="rId1070" Type="http://schemas.openxmlformats.org/officeDocument/2006/relationships/hyperlink" Target="https://cdn.scnbdx.fr/web-afresco/BOGAMET/MET_ARR_2020-BM1441.pdf" TargetMode="External"/><Relationship Id="rId1071" Type="http://schemas.openxmlformats.org/officeDocument/2006/relationships/hyperlink" Target="https://cdn.scnbdx.fr/web-afresco/BOGAMET/MET_ARR_2020-BM1444.pdf" TargetMode="External"/><Relationship Id="rId1072" Type="http://schemas.openxmlformats.org/officeDocument/2006/relationships/hyperlink" Target="https://cdn.scnbdx.fr/web-afresco/BOGAMET/MET_ARR_2020-BM1444.pdf" TargetMode="External"/><Relationship Id="rId242" Type="http://schemas.openxmlformats.org/officeDocument/2006/relationships/hyperlink" Target="https://cdn.scnbdx.fr/web-afresco/BOGAMET/MET_ARR_2020-BM1415.pdf" TargetMode="External"/><Relationship Id="rId1073" Type="http://schemas.openxmlformats.org/officeDocument/2006/relationships/hyperlink" Target="https://cdn.scnbdx.fr/web-afresco/BOGAMET/MET_ARR_2020-BM1455.pdf" TargetMode="External"/><Relationship Id="rId241" Type="http://schemas.openxmlformats.org/officeDocument/2006/relationships/hyperlink" Target="https://cdn.scnbdx.fr/web-afresco/BOGAMET/MET_ARR_2020-BM1415.pdf" TargetMode="External"/><Relationship Id="rId1074" Type="http://schemas.openxmlformats.org/officeDocument/2006/relationships/hyperlink" Target="https://cdn.scnbdx.fr/web-afresco/BOGAMET/MET_ARR_2020-BM1455.pdf" TargetMode="External"/><Relationship Id="rId240" Type="http://schemas.openxmlformats.org/officeDocument/2006/relationships/hyperlink" Target="https://cdn.scnbdx.fr/web-afresco/BOGAMET/MET_ARR_2020-BM1414.pdf" TargetMode="External"/><Relationship Id="rId1075" Type="http://schemas.openxmlformats.org/officeDocument/2006/relationships/hyperlink" Target="https://cdn.scnbdx.fr/web-afresco/BOGAMET/MET_ARR_2021-BM0133.pdf" TargetMode="External"/><Relationship Id="rId1076" Type="http://schemas.openxmlformats.org/officeDocument/2006/relationships/hyperlink" Target="https://cdn.scnbdx.fr/web-afresco/BOGAMET/MET_ARR_2021-BM0133.pdf" TargetMode="External"/><Relationship Id="rId246" Type="http://schemas.openxmlformats.org/officeDocument/2006/relationships/hyperlink" Target="https://cdn.scnbdx.fr/web-afresco/BOGAMET/MET_ARR_2020-BM1418.pdf" TargetMode="External"/><Relationship Id="rId1077" Type="http://schemas.openxmlformats.org/officeDocument/2006/relationships/hyperlink" Target="https://cdn.scnbdx.fr/web-afresco/BOGAMET/MET_ARR_2021-BM0180.pdf" TargetMode="External"/><Relationship Id="rId245" Type="http://schemas.openxmlformats.org/officeDocument/2006/relationships/hyperlink" Target="https://cdn.scnbdx.fr/web-afresco/BOGAMET/MET_ARR_2020-BM1418.pdf" TargetMode="External"/><Relationship Id="rId1078" Type="http://schemas.openxmlformats.org/officeDocument/2006/relationships/hyperlink" Target="https://cdn.scnbdx.fr/web-afresco/BOGAMET/MET_ARR_2021-BM0180.pdf" TargetMode="External"/><Relationship Id="rId244" Type="http://schemas.openxmlformats.org/officeDocument/2006/relationships/hyperlink" Target="https://cdn.scnbdx.fr/web-afresco/BOGAMET/MET_ARR_2020-BM1416.pdf" TargetMode="External"/><Relationship Id="rId1079" Type="http://schemas.openxmlformats.org/officeDocument/2006/relationships/hyperlink" Target="https://cdn.scnbdx.fr/web-afresco/BOGAMET/MET_ARR_2021-BM0216.pdf" TargetMode="External"/><Relationship Id="rId243" Type="http://schemas.openxmlformats.org/officeDocument/2006/relationships/hyperlink" Target="https://cdn.scnbdx.fr/web-afresco/BOGAMET/MET_ARR_2020-BM1416.pdf" TargetMode="External"/><Relationship Id="rId239" Type="http://schemas.openxmlformats.org/officeDocument/2006/relationships/hyperlink" Target="https://cdn.scnbdx.fr/web-afresco/BOGAMET/MET_ARR_2020-BM1414.pdf" TargetMode="External"/><Relationship Id="rId238" Type="http://schemas.openxmlformats.org/officeDocument/2006/relationships/hyperlink" Target="https://cdn.scnbdx.fr/web-afresco/BOGAMET/MET_ARR_2020-BM1413.pdf" TargetMode="External"/><Relationship Id="rId237" Type="http://schemas.openxmlformats.org/officeDocument/2006/relationships/hyperlink" Target="https://cdn.scnbdx.fr/web-afresco/BOGAMET/MET_ARR_2020-BM1413.pdf" TargetMode="External"/><Relationship Id="rId236" Type="http://schemas.openxmlformats.org/officeDocument/2006/relationships/hyperlink" Target="https://cdn.scnbdx.fr/web-afresco/BOGAMET/MET_ARR_2020-BM1313.pdf" TargetMode="External"/><Relationship Id="rId2390" Type="http://schemas.openxmlformats.org/officeDocument/2006/relationships/hyperlink" Target="https://cdn.scnbdx.fr/web-afresco/BOGAMET/MET_ARR_2021-BM1007.pdf" TargetMode="External"/><Relationship Id="rId1060" Type="http://schemas.openxmlformats.org/officeDocument/2006/relationships/hyperlink" Target="https://cdn.scnbdx.fr/web-afresco/BOGAMET/MET_ARR_2020-BM1412.pdf" TargetMode="External"/><Relationship Id="rId2391" Type="http://schemas.openxmlformats.org/officeDocument/2006/relationships/hyperlink" Target="https://cdn.scnbdx.fr/web-afresco/BOGAMET/MET_ARR_2021-BM1148.pdf" TargetMode="External"/><Relationship Id="rId1061" Type="http://schemas.openxmlformats.org/officeDocument/2006/relationships/hyperlink" Target="https://cdn.scnbdx.fr/web-afresco/BOGAMET/MET_ARR_2020-BM1419.pdf" TargetMode="External"/><Relationship Id="rId2392" Type="http://schemas.openxmlformats.org/officeDocument/2006/relationships/hyperlink" Target="https://cdn.scnbdx.fr/web-afresco/BOGAMET/MET_ARR_2021-BM1148.pdf" TargetMode="External"/><Relationship Id="rId231" Type="http://schemas.openxmlformats.org/officeDocument/2006/relationships/hyperlink" Target="https://cdn.scnbdx.fr/web-afresco/BOGAMET/MET_ARR_2020-BM1280.pdf" TargetMode="External"/><Relationship Id="rId1062" Type="http://schemas.openxmlformats.org/officeDocument/2006/relationships/hyperlink" Target="https://cdn.scnbdx.fr/web-afresco/BOGAMET/MET_ARR_2020-BM1419.pdf" TargetMode="External"/><Relationship Id="rId2393" Type="http://schemas.openxmlformats.org/officeDocument/2006/relationships/hyperlink" Target="https://cdn.scnbdx.fr/web-afresco/BOGAMET/MET_ARR_2021-BM1229.pdf" TargetMode="External"/><Relationship Id="rId230" Type="http://schemas.openxmlformats.org/officeDocument/2006/relationships/hyperlink" Target="https://cdn.scnbdx.fr/web-afresco/BOGAMET/MET_ARR_2020-BM1376.pdf" TargetMode="External"/><Relationship Id="rId1063" Type="http://schemas.openxmlformats.org/officeDocument/2006/relationships/hyperlink" Target="https://cdn.scnbdx.fr/web-afresco/BOGAMET/MET_ARR_2020-BM1420.pdf" TargetMode="External"/><Relationship Id="rId2394" Type="http://schemas.openxmlformats.org/officeDocument/2006/relationships/hyperlink" Target="https://cdn.scnbdx.fr/web-afresco/BOGAMET/MET_ARR_2021-BM1229.pdf" TargetMode="External"/><Relationship Id="rId1064" Type="http://schemas.openxmlformats.org/officeDocument/2006/relationships/hyperlink" Target="https://cdn.scnbdx.fr/web-afresco/BOGAMET/MET_ARR_2020-BM1420.pdf" TargetMode="External"/><Relationship Id="rId2395" Type="http://schemas.openxmlformats.org/officeDocument/2006/relationships/hyperlink" Target="https://cdn.scnbdx.fr/web-afresco/BOGAMET/MET_ARR_2021-BM1072.pdf" TargetMode="External"/><Relationship Id="rId1065" Type="http://schemas.openxmlformats.org/officeDocument/2006/relationships/hyperlink" Target="https://cdn.scnbdx.fr/web-afresco/BOGAMET/MET_ARR_2020-BM1432.pdf" TargetMode="External"/><Relationship Id="rId2396" Type="http://schemas.openxmlformats.org/officeDocument/2006/relationships/hyperlink" Target="https://cdn.scnbdx.fr/web-afresco/BOGAMET/MET_ARR_2021-BM1072.pdf" TargetMode="External"/><Relationship Id="rId235" Type="http://schemas.openxmlformats.org/officeDocument/2006/relationships/hyperlink" Target="https://cdn.scnbdx.fr/web-afresco/BOGAMET/MET_ARR_2020-BM1313.pdf" TargetMode="External"/><Relationship Id="rId1066" Type="http://schemas.openxmlformats.org/officeDocument/2006/relationships/hyperlink" Target="https://cdn.scnbdx.fr/web-afresco/BOGAMET/MET_ARR_2020-BM1432.pdf" TargetMode="External"/><Relationship Id="rId2397" Type="http://schemas.openxmlformats.org/officeDocument/2006/relationships/hyperlink" Target="https://cdn.scnbdx.fr/web-afresco/BOGAMET/MET_ARR_2021-BM1236.pdf" TargetMode="External"/><Relationship Id="rId234" Type="http://schemas.openxmlformats.org/officeDocument/2006/relationships/hyperlink" Target="https://cdn.scnbdx.fr/web-afresco/BOGAMET/MET_ARR_2020-BM1404.pdf" TargetMode="External"/><Relationship Id="rId1067" Type="http://schemas.openxmlformats.org/officeDocument/2006/relationships/hyperlink" Target="https://cdn.scnbdx.fr/web-afresco/BOGAMET/MET_ARR_2020-BM1434.pdf" TargetMode="External"/><Relationship Id="rId2398" Type="http://schemas.openxmlformats.org/officeDocument/2006/relationships/hyperlink" Target="https://cdn.scnbdx.fr/web-afresco/BOGAMET/MET_ARR_2021-BM1236.pdf" TargetMode="External"/><Relationship Id="rId233" Type="http://schemas.openxmlformats.org/officeDocument/2006/relationships/hyperlink" Target="https://cdn.scnbdx.fr/web-afresco/BOGAMET/MET_ARR_2020-BM1404.pdf" TargetMode="External"/><Relationship Id="rId1068" Type="http://schemas.openxmlformats.org/officeDocument/2006/relationships/hyperlink" Target="https://cdn.scnbdx.fr/web-afresco/BOGAMET/MET_ARR_2020-BM1434.pdf" TargetMode="External"/><Relationship Id="rId2399" Type="http://schemas.openxmlformats.org/officeDocument/2006/relationships/hyperlink" Target="https://cdn.scnbdx.fr/web-afresco/BOGAMET/MET_ARR_2021-BM1240.pdf" TargetMode="External"/><Relationship Id="rId232" Type="http://schemas.openxmlformats.org/officeDocument/2006/relationships/hyperlink" Target="https://cdn.scnbdx.fr/web-afresco/BOGAMET/MET_ARR_2020-BM1280.pdf" TargetMode="External"/><Relationship Id="rId1069" Type="http://schemas.openxmlformats.org/officeDocument/2006/relationships/hyperlink" Target="https://cdn.scnbdx.fr/web-afresco/BOGAMET/MET_ARR_2020-BM1441.pdf" TargetMode="External"/><Relationship Id="rId1015" Type="http://schemas.openxmlformats.org/officeDocument/2006/relationships/hyperlink" Target="https://cdn.scnbdx.fr/web-afresco/BOGAMET/MET_ARR_2020-BM1248.pdf" TargetMode="External"/><Relationship Id="rId1499" Type="http://schemas.openxmlformats.org/officeDocument/2006/relationships/hyperlink" Target="https://cdn.scnbdx.fr/web-afresco/BOGAMET/MET_ARR_2021-BM1055.pdf" TargetMode="External"/><Relationship Id="rId2346" Type="http://schemas.openxmlformats.org/officeDocument/2006/relationships/hyperlink" Target="https://cdn.scnbdx.fr/web-afresco/BOGAMET/MET_ARR_2021-BM1115.pdf" TargetMode="External"/><Relationship Id="rId1016" Type="http://schemas.openxmlformats.org/officeDocument/2006/relationships/hyperlink" Target="https://cdn.scnbdx.fr/web-afresco/BOGAMET/MET_ARR_2020-BM1248.pdf" TargetMode="External"/><Relationship Id="rId2347" Type="http://schemas.openxmlformats.org/officeDocument/2006/relationships/hyperlink" Target="https://cdn.scnbdx.fr/web-afresco/BOGAMET/MET_ARR_2021-BM1099.pdf" TargetMode="External"/><Relationship Id="rId1017" Type="http://schemas.openxmlformats.org/officeDocument/2006/relationships/hyperlink" Target="https://cdn.scnbdx.fr/web-afresco/BOGAMET/MET_ARR_2020-BM1218.pdf" TargetMode="External"/><Relationship Id="rId2348" Type="http://schemas.openxmlformats.org/officeDocument/2006/relationships/hyperlink" Target="https://cdn.scnbdx.fr/web-afresco/BOGAMET/MET_ARR_2021-BM1099.pdf" TargetMode="External"/><Relationship Id="rId1018" Type="http://schemas.openxmlformats.org/officeDocument/2006/relationships/hyperlink" Target="https://cdn.scnbdx.fr/web-afresco/BOGAMET/MET_ARR_2020-BM1218.pdf" TargetMode="External"/><Relationship Id="rId2349" Type="http://schemas.openxmlformats.org/officeDocument/2006/relationships/hyperlink" Target="https://cdn.scnbdx.fr/web-afresco/BOGAMET/MET_ARR_2021-BM1113.pdf" TargetMode="External"/><Relationship Id="rId1019" Type="http://schemas.openxmlformats.org/officeDocument/2006/relationships/hyperlink" Target="https://cdn.scnbdx.fr/web-afresco/BOGAMET/MET_ARR_2020-BM1229.pdf" TargetMode="External"/><Relationship Id="rId668" Type="http://schemas.openxmlformats.org/officeDocument/2006/relationships/hyperlink" Target="https://cdn.scnbdx.fr/web-afresco/BOGAMET/MET_ARR_2021-BM1375.pdf" TargetMode="External"/><Relationship Id="rId667" Type="http://schemas.openxmlformats.org/officeDocument/2006/relationships/hyperlink" Target="https://cdn.scnbdx.fr/web-afresco/BOGAMET/MET_ARR_2021-BM1375.pdf" TargetMode="External"/><Relationship Id="rId666" Type="http://schemas.openxmlformats.org/officeDocument/2006/relationships/hyperlink" Target="https://cdn.scnbdx.fr/web-afresco/BOGAMET/MET_ARR_2021-BM1088.pdf" TargetMode="External"/><Relationship Id="rId665" Type="http://schemas.openxmlformats.org/officeDocument/2006/relationships/hyperlink" Target="https://cdn.scnbdx.fr/web-afresco/BOGAMET/MET_ARR_2021-BM1088.pdf" TargetMode="External"/><Relationship Id="rId669" Type="http://schemas.openxmlformats.org/officeDocument/2006/relationships/hyperlink" Target="https://cdn.scnbdx.fr/web-afresco/BOGAMET/MET_ARR_2021-BM1294.pdf" TargetMode="External"/><Relationship Id="rId1490" Type="http://schemas.openxmlformats.org/officeDocument/2006/relationships/hyperlink" Target="https://cdn.scnbdx.fr/web-afresco/BOGAMET/MET_ARR_2021-BM1336.pdf" TargetMode="External"/><Relationship Id="rId660" Type="http://schemas.openxmlformats.org/officeDocument/2006/relationships/hyperlink" Target="https://cdn.scnbdx.fr/web-afresco/BOGAMET/MET_ARR_2021-BM1083.pdf" TargetMode="External"/><Relationship Id="rId1491" Type="http://schemas.openxmlformats.org/officeDocument/2006/relationships/hyperlink" Target="https://cdn.scnbdx.fr/web-afresco/BOGAMET/MET_ARR_2021-BM1329.pdf" TargetMode="External"/><Relationship Id="rId1492" Type="http://schemas.openxmlformats.org/officeDocument/2006/relationships/hyperlink" Target="https://cdn.scnbdx.fr/web-afresco/BOGAMET/MET_ARR_2021-BM1329.pdf" TargetMode="External"/><Relationship Id="rId1493" Type="http://schemas.openxmlformats.org/officeDocument/2006/relationships/hyperlink" Target="https://cdn.scnbdx.fr/web-afresco/BOGAMET/MET_ARR_2021-BM1101.pdf" TargetMode="External"/><Relationship Id="rId2340" Type="http://schemas.openxmlformats.org/officeDocument/2006/relationships/hyperlink" Target="https://cdn.scnbdx.fr/web-afresco/BOGAMET/MET_ARR_2021-BM1226.pdf" TargetMode="External"/><Relationship Id="rId1010" Type="http://schemas.openxmlformats.org/officeDocument/2006/relationships/hyperlink" Target="https://cdn.scnbdx.fr/web-afresco/BOGAMET/MET_ARR_2020-BM1236.pdf" TargetMode="External"/><Relationship Id="rId1494" Type="http://schemas.openxmlformats.org/officeDocument/2006/relationships/hyperlink" Target="https://cdn.scnbdx.fr/web-afresco/BOGAMET/MET_ARR_2021-BM1101.pdf" TargetMode="External"/><Relationship Id="rId2341" Type="http://schemas.openxmlformats.org/officeDocument/2006/relationships/hyperlink" Target="https://cdn.scnbdx.fr/web-afresco/BOGAMET/MET_ARR_2021-BM1258.pdf" TargetMode="External"/><Relationship Id="rId664" Type="http://schemas.openxmlformats.org/officeDocument/2006/relationships/hyperlink" Target="https://cdn.scnbdx.fr/web-afresco/BOGAMET/MET_ARR_2021-BM1086.pdf" TargetMode="External"/><Relationship Id="rId1011" Type="http://schemas.openxmlformats.org/officeDocument/2006/relationships/hyperlink" Target="https://cdn.scnbdx.fr/web-afresco/BOGAMET/MET_ARR_2020-BM1215.pdf" TargetMode="External"/><Relationship Id="rId1495" Type="http://schemas.openxmlformats.org/officeDocument/2006/relationships/hyperlink" Target="https://cdn.scnbdx.fr/web-afresco/BOGAMET/MET_ARR_2021-BM1167.pdf" TargetMode="External"/><Relationship Id="rId2342" Type="http://schemas.openxmlformats.org/officeDocument/2006/relationships/hyperlink" Target="https://cdn.scnbdx.fr/web-afresco/BOGAMET/MET_ARR_2021-BM1258.pdf" TargetMode="External"/><Relationship Id="rId663" Type="http://schemas.openxmlformats.org/officeDocument/2006/relationships/hyperlink" Target="https://cdn.scnbdx.fr/web-afresco/BOGAMET/MET_ARR_2021-BM1086.pdf" TargetMode="External"/><Relationship Id="rId1012" Type="http://schemas.openxmlformats.org/officeDocument/2006/relationships/hyperlink" Target="https://cdn.scnbdx.fr/web-afresco/BOGAMET/MET_ARR_2020-BM1215.pdf" TargetMode="External"/><Relationship Id="rId1496" Type="http://schemas.openxmlformats.org/officeDocument/2006/relationships/hyperlink" Target="https://cdn.scnbdx.fr/web-afresco/BOGAMET/MET_ARR_2021-BM1167.pdf" TargetMode="External"/><Relationship Id="rId2343" Type="http://schemas.openxmlformats.org/officeDocument/2006/relationships/hyperlink" Target="https://cdn.scnbdx.fr/web-afresco/BOGAMET/MET_ARR_2021-BM0766.pdf" TargetMode="External"/><Relationship Id="rId662" Type="http://schemas.openxmlformats.org/officeDocument/2006/relationships/hyperlink" Target="https://cdn.scnbdx.fr/web-afresco/BOGAMET/MET_ARR_2021-BM1085.pdf" TargetMode="External"/><Relationship Id="rId1013" Type="http://schemas.openxmlformats.org/officeDocument/2006/relationships/hyperlink" Target="https://cdn.scnbdx.fr/web-afresco/BOGAMET/MET_ARR_2020-BM1247.pdf" TargetMode="External"/><Relationship Id="rId1497" Type="http://schemas.openxmlformats.org/officeDocument/2006/relationships/hyperlink" Target="https://cdn.scnbdx.fr/web-afresco/BOGAMET/MET_ARR_2021-BM1070.pdf" TargetMode="External"/><Relationship Id="rId2344" Type="http://schemas.openxmlformats.org/officeDocument/2006/relationships/hyperlink" Target="https://cdn.scnbdx.fr/web-afresco/BOGAMET/MET_ARR_2021-BM0766.pdf" TargetMode="External"/><Relationship Id="rId661" Type="http://schemas.openxmlformats.org/officeDocument/2006/relationships/hyperlink" Target="https://cdn.scnbdx.fr/web-afresco/BOGAMET/MET_ARR_2021-BM1085.pdf" TargetMode="External"/><Relationship Id="rId1014" Type="http://schemas.openxmlformats.org/officeDocument/2006/relationships/hyperlink" Target="https://cdn.scnbdx.fr/web-afresco/BOGAMET/MET_ARR_2020-BM1247.pdf" TargetMode="External"/><Relationship Id="rId1498" Type="http://schemas.openxmlformats.org/officeDocument/2006/relationships/hyperlink" Target="https://cdn.scnbdx.fr/web-afresco/BOGAMET/MET_ARR_2021-BM1070.pdf" TargetMode="External"/><Relationship Id="rId2345" Type="http://schemas.openxmlformats.org/officeDocument/2006/relationships/hyperlink" Target="https://cdn.scnbdx.fr/web-afresco/BOGAMET/MET_ARR_2021-BM1115.pdf" TargetMode="External"/><Relationship Id="rId1004" Type="http://schemas.openxmlformats.org/officeDocument/2006/relationships/hyperlink" Target="https://cdn.scnbdx.fr/web-afresco/BOGAMET/MET_ARR_2020-BM1171.pdf" TargetMode="External"/><Relationship Id="rId1488" Type="http://schemas.openxmlformats.org/officeDocument/2006/relationships/hyperlink" Target="https://cdn.scnbdx.fr/web-afresco/BOGAMET/MET_ARR_2021-BM1194.pdf" TargetMode="External"/><Relationship Id="rId2335" Type="http://schemas.openxmlformats.org/officeDocument/2006/relationships/hyperlink" Target="https://cdn.scnbdx.fr/web-afresco/BOGAMET/MET_ARR_2021-BM1347.pdf" TargetMode="External"/><Relationship Id="rId1005" Type="http://schemas.openxmlformats.org/officeDocument/2006/relationships/hyperlink" Target="https://cdn.scnbdx.fr/web-afresco/BOGAMET/MET_ARR_2020-BM0588.pdf" TargetMode="External"/><Relationship Id="rId1489" Type="http://schemas.openxmlformats.org/officeDocument/2006/relationships/hyperlink" Target="https://cdn.scnbdx.fr/web-afresco/BOGAMET/MET_ARR_2021-BM1336.pdf" TargetMode="External"/><Relationship Id="rId2336" Type="http://schemas.openxmlformats.org/officeDocument/2006/relationships/hyperlink" Target="https://cdn.scnbdx.fr/web-afresco/BOGAMET/MET_ARR_2021-BM1347.pdf" TargetMode="External"/><Relationship Id="rId1006" Type="http://schemas.openxmlformats.org/officeDocument/2006/relationships/hyperlink" Target="https://cdn.scnbdx.fr/web-afresco/BOGAMET/MET_ARR_2020-BM0588.pdf" TargetMode="External"/><Relationship Id="rId2337" Type="http://schemas.openxmlformats.org/officeDocument/2006/relationships/hyperlink" Target="https://cdn.scnbdx.fr/web-afresco/BOGAMET/MET_ARR_2021-BM0980.pdf" TargetMode="External"/><Relationship Id="rId1007" Type="http://schemas.openxmlformats.org/officeDocument/2006/relationships/hyperlink" Target="https://cdn.scnbdx.fr/web-afresco/BOGAMET/MET_ARR_2020-BM1186.pdf" TargetMode="External"/><Relationship Id="rId2338" Type="http://schemas.openxmlformats.org/officeDocument/2006/relationships/hyperlink" Target="https://cdn.scnbdx.fr/web-afresco/BOGAMET/MET_ARR_2021-BM0980.pdf" TargetMode="External"/><Relationship Id="rId1008" Type="http://schemas.openxmlformats.org/officeDocument/2006/relationships/hyperlink" Target="https://cdn.scnbdx.fr/web-afresco/BOGAMET/MET_ARR_2020-BM1186.pdf" TargetMode="External"/><Relationship Id="rId2339" Type="http://schemas.openxmlformats.org/officeDocument/2006/relationships/hyperlink" Target="https://cdn.scnbdx.fr/web-afresco/BOGAMET/MET_ARR_2021-BM1226.pdf" TargetMode="External"/><Relationship Id="rId1009" Type="http://schemas.openxmlformats.org/officeDocument/2006/relationships/hyperlink" Target="https://cdn.scnbdx.fr/web-afresco/BOGAMET/MET_ARR_2020-BM1236.pdf" TargetMode="External"/><Relationship Id="rId657" Type="http://schemas.openxmlformats.org/officeDocument/2006/relationships/hyperlink" Target="https://cdn.scnbdx.fr/web-afresco/BOGAMET/MET_ARR_2021-BM1082.pdf" TargetMode="External"/><Relationship Id="rId656" Type="http://schemas.openxmlformats.org/officeDocument/2006/relationships/hyperlink" Target="https://cdn.scnbdx.fr/web-afresco/BOGAMET/MET_ARR_2021-BM1079.pdf" TargetMode="External"/><Relationship Id="rId655" Type="http://schemas.openxmlformats.org/officeDocument/2006/relationships/hyperlink" Target="https://cdn.scnbdx.fr/web-afresco/BOGAMET/MET_ARR_2021-BM1079.pdf" TargetMode="External"/><Relationship Id="rId654" Type="http://schemas.openxmlformats.org/officeDocument/2006/relationships/hyperlink" Target="https://cdn.scnbdx.fr/web-afresco/BOGAMET/MET_ARR_2021-BM1076.pdf" TargetMode="External"/><Relationship Id="rId659" Type="http://schemas.openxmlformats.org/officeDocument/2006/relationships/hyperlink" Target="https://cdn.scnbdx.fr/web-afresco/BOGAMET/MET_ARR_2021-BM1083.pdf" TargetMode="External"/><Relationship Id="rId658" Type="http://schemas.openxmlformats.org/officeDocument/2006/relationships/hyperlink" Target="https://cdn.scnbdx.fr/web-afresco/BOGAMET/MET_ARR_2021-BM1082.pdf" TargetMode="External"/><Relationship Id="rId1480" Type="http://schemas.openxmlformats.org/officeDocument/2006/relationships/hyperlink" Target="https://cdn.scnbdx.fr/web-afresco/BOGAMET/MET_ARR_2021-BM1203.pdf" TargetMode="External"/><Relationship Id="rId1481" Type="http://schemas.openxmlformats.org/officeDocument/2006/relationships/hyperlink" Target="https://cdn.scnbdx.fr/web-afresco/BOGAMET/MET_ARR_2021-BM1270.pdf" TargetMode="External"/><Relationship Id="rId1482" Type="http://schemas.openxmlformats.org/officeDocument/2006/relationships/hyperlink" Target="https://cdn.scnbdx.fr/web-afresco/BOGAMET/MET_ARR_2021-BM1270.pdf" TargetMode="External"/><Relationship Id="rId1483" Type="http://schemas.openxmlformats.org/officeDocument/2006/relationships/hyperlink" Target="https://cdn.scnbdx.fr/web-afresco/BOGAMET/MET_ARR_2021-BM1330.pdf" TargetMode="External"/><Relationship Id="rId2330" Type="http://schemas.openxmlformats.org/officeDocument/2006/relationships/hyperlink" Target="https://cdn.scnbdx.fr/web-afresco/BOGAMET/MET_ARR_2021-BM0967.pdf" TargetMode="External"/><Relationship Id="rId653" Type="http://schemas.openxmlformats.org/officeDocument/2006/relationships/hyperlink" Target="https://cdn.scnbdx.fr/web-afresco/BOGAMET/MET_ARR_2021-BM1076.pdf" TargetMode="External"/><Relationship Id="rId1000" Type="http://schemas.openxmlformats.org/officeDocument/2006/relationships/hyperlink" Target="https://cdn.scnbdx.fr/web-afresco/BOGAMET/MET_ARR_2020-BM1061.pdf" TargetMode="External"/><Relationship Id="rId1484" Type="http://schemas.openxmlformats.org/officeDocument/2006/relationships/hyperlink" Target="https://cdn.scnbdx.fr/web-afresco/BOGAMET/MET_ARR_2021-BM1330.pdf" TargetMode="External"/><Relationship Id="rId2331" Type="http://schemas.openxmlformats.org/officeDocument/2006/relationships/hyperlink" Target="https://cdn.scnbdx.fr/web-afresco/BOGAMET/MET_ARR_2021-BM0956.pdf" TargetMode="External"/><Relationship Id="rId652" Type="http://schemas.openxmlformats.org/officeDocument/2006/relationships/hyperlink" Target="https://cdn.scnbdx.fr/web-afresco/BOGAMET/MET_ARR_2021-BM1074.pdf" TargetMode="External"/><Relationship Id="rId1001" Type="http://schemas.openxmlformats.org/officeDocument/2006/relationships/hyperlink" Target="https://cdn.scnbdx.fr/web-afresco/BOGAMET/MET_ARR_2020-BM1153.pdf" TargetMode="External"/><Relationship Id="rId1485" Type="http://schemas.openxmlformats.org/officeDocument/2006/relationships/hyperlink" Target="https://cdn.scnbdx.fr/web-afresco/BOGAMET/MET_ARR_2021-BM1392.pdf" TargetMode="External"/><Relationship Id="rId2332" Type="http://schemas.openxmlformats.org/officeDocument/2006/relationships/hyperlink" Target="https://cdn.scnbdx.fr/web-afresco/BOGAMET/MET_ARR_2021-BM0956.pdf" TargetMode="External"/><Relationship Id="rId651" Type="http://schemas.openxmlformats.org/officeDocument/2006/relationships/hyperlink" Target="https://cdn.scnbdx.fr/web-afresco/BOGAMET/MET_ARR_2021-BM1074.pdf" TargetMode="External"/><Relationship Id="rId1002" Type="http://schemas.openxmlformats.org/officeDocument/2006/relationships/hyperlink" Target="https://cdn.scnbdx.fr/web-afresco/BOGAMET/MET_ARR_2020-BM1153.pdf" TargetMode="External"/><Relationship Id="rId1486" Type="http://schemas.openxmlformats.org/officeDocument/2006/relationships/hyperlink" Target="https://cdn.scnbdx.fr/web-afresco/BOGAMET/MET_ARR_2021-BM1392.pdf" TargetMode="External"/><Relationship Id="rId2333" Type="http://schemas.openxmlformats.org/officeDocument/2006/relationships/hyperlink" Target="https://cdn.scnbdx.fr/web-afresco/BOGAMET/MET_ARR_2021-BM0961.pdf" TargetMode="External"/><Relationship Id="rId650" Type="http://schemas.openxmlformats.org/officeDocument/2006/relationships/hyperlink" Target="https://cdn.scnbdx.fr/web-afresco/BOGAMET/MET_ARR_2021-BM0859.pdf" TargetMode="External"/><Relationship Id="rId1003" Type="http://schemas.openxmlformats.org/officeDocument/2006/relationships/hyperlink" Target="https://cdn.scnbdx.fr/web-afresco/BOGAMET/MET_ARR_2020-BM1171.pdf" TargetMode="External"/><Relationship Id="rId1487" Type="http://schemas.openxmlformats.org/officeDocument/2006/relationships/hyperlink" Target="https://cdn.scnbdx.fr/web-afresco/BOGAMET/MET_ARR_2021-BM1194.pdf" TargetMode="External"/><Relationship Id="rId2334" Type="http://schemas.openxmlformats.org/officeDocument/2006/relationships/hyperlink" Target="https://cdn.scnbdx.fr/web-afresco/BOGAMET/MET_ARR_2021-BM0961.pdf" TargetMode="External"/><Relationship Id="rId1037" Type="http://schemas.openxmlformats.org/officeDocument/2006/relationships/hyperlink" Target="https://cdn.scnbdx.fr/web-afresco/BOGAMET/MET_ARR_2020-BM1288.pdf" TargetMode="External"/><Relationship Id="rId2368" Type="http://schemas.openxmlformats.org/officeDocument/2006/relationships/hyperlink" Target="https://cdn.scnbdx.fr/web-afresco/BOGAMET/MET_ARR_2021-BM0635.pdf" TargetMode="External"/><Relationship Id="rId1038" Type="http://schemas.openxmlformats.org/officeDocument/2006/relationships/hyperlink" Target="https://cdn.scnbdx.fr/web-afresco/BOGAMET/MET_ARR_2020-BM1288.pdf" TargetMode="External"/><Relationship Id="rId2369" Type="http://schemas.openxmlformats.org/officeDocument/2006/relationships/hyperlink" Target="https://cdn.scnbdx.fr/web-afresco/BOGAMET/MET_ARR_2021-BM0641.pdf" TargetMode="External"/><Relationship Id="rId1039" Type="http://schemas.openxmlformats.org/officeDocument/2006/relationships/hyperlink" Target="https://cdn.scnbdx.fr/web-afresco/BOGAMET/MET_ARR_2020-BM1291.pdf" TargetMode="External"/><Relationship Id="rId206" Type="http://schemas.openxmlformats.org/officeDocument/2006/relationships/hyperlink" Target="https://cdn.scnbdx.fr/web-afresco/BOGAMET/MET_ARR_2020-BM1235.pdf" TargetMode="External"/><Relationship Id="rId205" Type="http://schemas.openxmlformats.org/officeDocument/2006/relationships/hyperlink" Target="https://cdn.scnbdx.fr/web-afresco/BOGAMET/MET_ARR_2020-BM1235.pdf" TargetMode="External"/><Relationship Id="rId689" Type="http://schemas.openxmlformats.org/officeDocument/2006/relationships/hyperlink" Target="https://cdn.scnbdx.fr/web-afresco/BOGAMET/MET_ARR_2021-BM0863.pdf" TargetMode="External"/><Relationship Id="rId204" Type="http://schemas.openxmlformats.org/officeDocument/2006/relationships/hyperlink" Target="https://cdn.scnbdx.fr/web-afresco/BOGAMET/MET_ARR_2020-BM1251.pdf" TargetMode="External"/><Relationship Id="rId688" Type="http://schemas.openxmlformats.org/officeDocument/2006/relationships/hyperlink" Target="https://cdn.scnbdx.fr/web-afresco/BOGAMET/MET_ARR_2021-BM1112.pdf" TargetMode="External"/><Relationship Id="rId203" Type="http://schemas.openxmlformats.org/officeDocument/2006/relationships/hyperlink" Target="https://cdn.scnbdx.fr/web-afresco/BOGAMET/MET_ARR_2020-BM1251.pdf" TargetMode="External"/><Relationship Id="rId687" Type="http://schemas.openxmlformats.org/officeDocument/2006/relationships/hyperlink" Target="https://cdn.scnbdx.fr/web-afresco/BOGAMET/MET_ARR_2021-BM1112.pdf" TargetMode="External"/><Relationship Id="rId209" Type="http://schemas.openxmlformats.org/officeDocument/2006/relationships/hyperlink" Target="https://cdn.scnbdx.fr/web-afresco/BOGAMET/MET_ARR_2020-BM1278.pdf" TargetMode="External"/><Relationship Id="rId208" Type="http://schemas.openxmlformats.org/officeDocument/2006/relationships/hyperlink" Target="https://cdn.scnbdx.fr/web-afresco/BOGAMET/MET_ARR_2020-BM1148.pdf" TargetMode="External"/><Relationship Id="rId207" Type="http://schemas.openxmlformats.org/officeDocument/2006/relationships/hyperlink" Target="https://cdn.scnbdx.fr/web-afresco/BOGAMET/MET_ARR_2020-BM1148.pdf" TargetMode="External"/><Relationship Id="rId682" Type="http://schemas.openxmlformats.org/officeDocument/2006/relationships/hyperlink" Target="https://cdn.scnbdx.fr/web-afresco/BOGAMET/MET_ARR_2021-BM1356.pdf" TargetMode="External"/><Relationship Id="rId2360" Type="http://schemas.openxmlformats.org/officeDocument/2006/relationships/hyperlink" Target="https://cdn.scnbdx.fr/web-afresco/BOGAMET/MET_ARR_2021-BM0646.pdf" TargetMode="External"/><Relationship Id="rId681" Type="http://schemas.openxmlformats.org/officeDocument/2006/relationships/hyperlink" Target="https://cdn.scnbdx.fr/web-afresco/BOGAMET/MET_ARR_2021-BM1356.pdf" TargetMode="External"/><Relationship Id="rId1030" Type="http://schemas.openxmlformats.org/officeDocument/2006/relationships/hyperlink" Target="https://cdn.scnbdx.fr/web-afresco/BOGAMET/MET_ARR_2020-BM1255.pdf" TargetMode="External"/><Relationship Id="rId2361" Type="http://schemas.openxmlformats.org/officeDocument/2006/relationships/hyperlink" Target="https://cdn.scnbdx.fr/web-afresco/BOGAMET/MET_ARR_2021-BM0630.pdf" TargetMode="External"/><Relationship Id="rId680" Type="http://schemas.openxmlformats.org/officeDocument/2006/relationships/hyperlink" Target="https://cdn.scnbdx.fr/web-afresco/BOGAMET/MET_ARR_2021-BM1328.pdf" TargetMode="External"/><Relationship Id="rId1031" Type="http://schemas.openxmlformats.org/officeDocument/2006/relationships/hyperlink" Target="https://cdn.scnbdx.fr/web-afresco/BOGAMET/MET_ARR_2020-BM1299.pdf" TargetMode="External"/><Relationship Id="rId2362" Type="http://schemas.openxmlformats.org/officeDocument/2006/relationships/hyperlink" Target="https://cdn.scnbdx.fr/web-afresco/BOGAMET/MET_ARR_2021-BM0630.pdf" TargetMode="External"/><Relationship Id="rId1032" Type="http://schemas.openxmlformats.org/officeDocument/2006/relationships/hyperlink" Target="https://cdn.scnbdx.fr/web-afresco/BOGAMET/MET_ARR_2020-BM1299.pdf" TargetMode="External"/><Relationship Id="rId2363" Type="http://schemas.openxmlformats.org/officeDocument/2006/relationships/hyperlink" Target="https://cdn.scnbdx.fr/web-afresco/BOGAMET/MET_ARR_2021-BM0631.pdf" TargetMode="External"/><Relationship Id="rId202" Type="http://schemas.openxmlformats.org/officeDocument/2006/relationships/hyperlink" Target="https://cdn.scnbdx.fr/web-afresco/BOGAMET/MET_ARR_2020-BM1250.pdf" TargetMode="External"/><Relationship Id="rId686" Type="http://schemas.openxmlformats.org/officeDocument/2006/relationships/hyperlink" Target="https://cdn.scnbdx.fr/web-afresco/BOGAMET/MET_ARR_2021-BM1014.pdf" TargetMode="External"/><Relationship Id="rId1033" Type="http://schemas.openxmlformats.org/officeDocument/2006/relationships/hyperlink" Target="https://cdn.scnbdx.fr/web-afresco/BOGAMET/MET_ARR_2020-BM1130.pdf" TargetMode="External"/><Relationship Id="rId2364" Type="http://schemas.openxmlformats.org/officeDocument/2006/relationships/hyperlink" Target="https://cdn.scnbdx.fr/web-afresco/BOGAMET/MET_ARR_2021-BM0631.pdf" TargetMode="External"/><Relationship Id="rId201" Type="http://schemas.openxmlformats.org/officeDocument/2006/relationships/hyperlink" Target="https://cdn.scnbdx.fr/web-afresco/BOGAMET/MET_ARR_2020-BM1250.pdf" TargetMode="External"/><Relationship Id="rId685" Type="http://schemas.openxmlformats.org/officeDocument/2006/relationships/hyperlink" Target="https://cdn.scnbdx.fr/web-afresco/BOGAMET/MET_ARR_2021-BM1014.pdf" TargetMode="External"/><Relationship Id="rId1034" Type="http://schemas.openxmlformats.org/officeDocument/2006/relationships/hyperlink" Target="https://cdn.scnbdx.fr/web-afresco/BOGAMET/MET_ARR_2020-BM1130.pdf" TargetMode="External"/><Relationship Id="rId2365" Type="http://schemas.openxmlformats.org/officeDocument/2006/relationships/hyperlink" Target="https://cdn.scnbdx.fr/web-afresco/BOGAMET/MET_ARR_2021-BM0633.pdf" TargetMode="External"/><Relationship Id="rId200" Type="http://schemas.openxmlformats.org/officeDocument/2006/relationships/hyperlink" Target="https://cdn.scnbdx.fr/web-afresco/BOGAMET/MET_ARR_2020-BM1249.pdf" TargetMode="External"/><Relationship Id="rId684" Type="http://schemas.openxmlformats.org/officeDocument/2006/relationships/hyperlink" Target="https://cdn.scnbdx.fr/web-afresco/BOGAMET/MET_ARR_2021-BM1382.pdf" TargetMode="External"/><Relationship Id="rId1035" Type="http://schemas.openxmlformats.org/officeDocument/2006/relationships/hyperlink" Target="https://cdn.scnbdx.fr/web-afresco/BOGAMET/MET_ARR_2020-BM1285.pdf" TargetMode="External"/><Relationship Id="rId2366" Type="http://schemas.openxmlformats.org/officeDocument/2006/relationships/hyperlink" Target="https://cdn.scnbdx.fr/web-afresco/BOGAMET/MET_ARR_2021-BM0633.pdf" TargetMode="External"/><Relationship Id="rId683" Type="http://schemas.openxmlformats.org/officeDocument/2006/relationships/hyperlink" Target="https://cdn.scnbdx.fr/web-afresco/BOGAMET/MET_ARR_2021-BM1382.pdf" TargetMode="External"/><Relationship Id="rId1036" Type="http://schemas.openxmlformats.org/officeDocument/2006/relationships/hyperlink" Target="https://cdn.scnbdx.fr/web-afresco/BOGAMET/MET_ARR_2020-BM1285.pdf" TargetMode="External"/><Relationship Id="rId2367" Type="http://schemas.openxmlformats.org/officeDocument/2006/relationships/hyperlink" Target="https://cdn.scnbdx.fr/web-afresco/BOGAMET/MET_ARR_2021-BM0635.pdf" TargetMode="External"/><Relationship Id="rId1026" Type="http://schemas.openxmlformats.org/officeDocument/2006/relationships/hyperlink" Target="https://cdn.scnbdx.fr/web-afresco/BOGAMET/MET_ARR_2020-BM1230.pdf" TargetMode="External"/><Relationship Id="rId2357" Type="http://schemas.openxmlformats.org/officeDocument/2006/relationships/hyperlink" Target="https://cdn.scnbdx.fr/web-afresco/BOGAMET/MET_ARR_2021-BM0642.pdf" TargetMode="External"/><Relationship Id="rId1027" Type="http://schemas.openxmlformats.org/officeDocument/2006/relationships/hyperlink" Target="https://cdn.scnbdx.fr/web-afresco/BOGAMET/MET_ARR_2020-BM1252.pdf" TargetMode="External"/><Relationship Id="rId2358" Type="http://schemas.openxmlformats.org/officeDocument/2006/relationships/hyperlink" Target="https://cdn.scnbdx.fr/web-afresco/BOGAMET/MET_ARR_2021-BM0642.pdf" TargetMode="External"/><Relationship Id="rId1028" Type="http://schemas.openxmlformats.org/officeDocument/2006/relationships/hyperlink" Target="https://cdn.scnbdx.fr/web-afresco/BOGAMET/MET_ARR_2020-BM1252.pdf" TargetMode="External"/><Relationship Id="rId2359" Type="http://schemas.openxmlformats.org/officeDocument/2006/relationships/hyperlink" Target="https://cdn.scnbdx.fr/web-afresco/BOGAMET/MET_ARR_2021-BM0646.pdf" TargetMode="External"/><Relationship Id="rId1029" Type="http://schemas.openxmlformats.org/officeDocument/2006/relationships/hyperlink" Target="https://cdn.scnbdx.fr/web-afresco/BOGAMET/MET_ARR_2020-BM1255.pdf" TargetMode="External"/><Relationship Id="rId679" Type="http://schemas.openxmlformats.org/officeDocument/2006/relationships/hyperlink" Target="https://cdn.scnbdx.fr/web-afresco/BOGAMET/MET_ARR_2021-BM1328.pdf" TargetMode="External"/><Relationship Id="rId678" Type="http://schemas.openxmlformats.org/officeDocument/2006/relationships/hyperlink" Target="https://cdn.scnbdx.fr/web-afresco/BOGAMET/MET_ARR_2021-BM0834.pdf" TargetMode="External"/><Relationship Id="rId677" Type="http://schemas.openxmlformats.org/officeDocument/2006/relationships/hyperlink" Target="https://cdn.scnbdx.fr/web-afresco/BOGAMET/MET_ARR_2021-BM0834.pdf" TargetMode="External"/><Relationship Id="rId676" Type="http://schemas.openxmlformats.org/officeDocument/2006/relationships/hyperlink" Target="https://cdn.scnbdx.fr/web-afresco/BOGAMET/MET_ARR_2021-BM1393.pdf" TargetMode="External"/><Relationship Id="rId671" Type="http://schemas.openxmlformats.org/officeDocument/2006/relationships/hyperlink" Target="https://cdn.scnbdx.fr/web-afresco/BOGAMET/MET_ARR_2021-BM1300.pdf" TargetMode="External"/><Relationship Id="rId670" Type="http://schemas.openxmlformats.org/officeDocument/2006/relationships/hyperlink" Target="https://cdn.scnbdx.fr/web-afresco/BOGAMET/MET_ARR_2021-BM1294.pdf" TargetMode="External"/><Relationship Id="rId2350" Type="http://schemas.openxmlformats.org/officeDocument/2006/relationships/hyperlink" Target="https://cdn.scnbdx.fr/web-afresco/BOGAMET/MET_ARR_2021-BM1113.pdf" TargetMode="External"/><Relationship Id="rId1020" Type="http://schemas.openxmlformats.org/officeDocument/2006/relationships/hyperlink" Target="https://cdn.scnbdx.fr/web-afresco/BOGAMET/MET_ARR_2020-BM1229.pdf" TargetMode="External"/><Relationship Id="rId2351" Type="http://schemas.openxmlformats.org/officeDocument/2006/relationships/hyperlink" Target="https://cdn.scnbdx.fr/web-afresco/BOGAMET/MET_ARR_2021-BM1121.pdf" TargetMode="External"/><Relationship Id="rId1021" Type="http://schemas.openxmlformats.org/officeDocument/2006/relationships/hyperlink" Target="https://cdn.scnbdx.fr/web-afresco/BOGAMET/MET_ARR_2020-BM1253.pdf" TargetMode="External"/><Relationship Id="rId2352" Type="http://schemas.openxmlformats.org/officeDocument/2006/relationships/hyperlink" Target="https://cdn.scnbdx.fr/web-afresco/BOGAMET/MET_ARR_2021-BM1121.pdf" TargetMode="External"/><Relationship Id="rId675" Type="http://schemas.openxmlformats.org/officeDocument/2006/relationships/hyperlink" Target="https://cdn.scnbdx.fr/web-afresco/BOGAMET/MET_ARR_2021-BM1393.pdf" TargetMode="External"/><Relationship Id="rId1022" Type="http://schemas.openxmlformats.org/officeDocument/2006/relationships/hyperlink" Target="https://cdn.scnbdx.fr/web-afresco/BOGAMET/MET_ARR_2020-BM1253.pdf" TargetMode="External"/><Relationship Id="rId2353" Type="http://schemas.openxmlformats.org/officeDocument/2006/relationships/hyperlink" Target="https://cdn.scnbdx.fr/web-afresco/BOGAMET/MET_ARR_2021-BM0594.pdf" TargetMode="External"/><Relationship Id="rId674" Type="http://schemas.openxmlformats.org/officeDocument/2006/relationships/hyperlink" Target="https://cdn.scnbdx.fr/web-afresco/BOGAMET/MET_ARR_2021-BM1390.pdf" TargetMode="External"/><Relationship Id="rId1023" Type="http://schemas.openxmlformats.org/officeDocument/2006/relationships/hyperlink" Target="https://cdn.scnbdx.fr/web-afresco/BOGAMET/MET_ARR_2020-BM1237.pdf" TargetMode="External"/><Relationship Id="rId2354" Type="http://schemas.openxmlformats.org/officeDocument/2006/relationships/hyperlink" Target="https://cdn.scnbdx.fr/web-afresco/BOGAMET/MET_ARR_2021-BM0594.pdf" TargetMode="External"/><Relationship Id="rId673" Type="http://schemas.openxmlformats.org/officeDocument/2006/relationships/hyperlink" Target="https://cdn.scnbdx.fr/web-afresco/BOGAMET/MET_ARR_2021-BM1390.pdf" TargetMode="External"/><Relationship Id="rId1024" Type="http://schemas.openxmlformats.org/officeDocument/2006/relationships/hyperlink" Target="https://cdn.scnbdx.fr/web-afresco/BOGAMET/MET_ARR_2020-BM1237.pdf" TargetMode="External"/><Relationship Id="rId2355" Type="http://schemas.openxmlformats.org/officeDocument/2006/relationships/hyperlink" Target="https://cdn.scnbdx.fr/web-afresco/BOGAMET/MET_ARR_2021-BM1134.pdf" TargetMode="External"/><Relationship Id="rId672" Type="http://schemas.openxmlformats.org/officeDocument/2006/relationships/hyperlink" Target="https://cdn.scnbdx.fr/web-afresco/BOGAMET/MET_ARR_2021-BM1300.pdf" TargetMode="External"/><Relationship Id="rId1025" Type="http://schemas.openxmlformats.org/officeDocument/2006/relationships/hyperlink" Target="https://cdn.scnbdx.fr/web-afresco/BOGAMET/MET_ARR_2020-BM1230.pdf" TargetMode="External"/><Relationship Id="rId2356" Type="http://schemas.openxmlformats.org/officeDocument/2006/relationships/hyperlink" Target="https://cdn.scnbdx.fr/web-afresco/BOGAMET/MET_ARR_2021-BM1134.pdf" TargetMode="External"/><Relationship Id="rId190" Type="http://schemas.openxmlformats.org/officeDocument/2006/relationships/hyperlink" Target="https://cdn.scnbdx.fr/web-afresco/BOGAMET/MET_ARR_2020-BM1131.pdf" TargetMode="External"/><Relationship Id="rId194" Type="http://schemas.openxmlformats.org/officeDocument/2006/relationships/hyperlink" Target="https://cdn.scnbdx.fr/web-afresco/BOGAMET/MET_ARR_2020-BM1152.pdf" TargetMode="External"/><Relationship Id="rId193" Type="http://schemas.openxmlformats.org/officeDocument/2006/relationships/hyperlink" Target="https://cdn.scnbdx.fr/web-afresco/BOGAMET/MET_ARR_2020-BM1152.pdf" TargetMode="External"/><Relationship Id="rId192" Type="http://schemas.openxmlformats.org/officeDocument/2006/relationships/hyperlink" Target="https://cdn.scnbdx.fr/web-afresco/BOGAMET/MET_ARR_2020-BM1132.pdf" TargetMode="External"/><Relationship Id="rId191" Type="http://schemas.openxmlformats.org/officeDocument/2006/relationships/hyperlink" Target="https://cdn.scnbdx.fr/web-afresco/BOGAMET/MET_ARR_2020-BM1132.pdf" TargetMode="External"/><Relationship Id="rId187" Type="http://schemas.openxmlformats.org/officeDocument/2006/relationships/hyperlink" Target="https://cdn.scnbdx.fr/web-afresco/BOGAMET/MET_ARR_2020-BM1025.pdf" TargetMode="External"/><Relationship Id="rId186" Type="http://schemas.openxmlformats.org/officeDocument/2006/relationships/hyperlink" Target="https://cdn.scnbdx.fr/web-afresco/BOGAMET/MET_ARR_2020-BM1024.pdf" TargetMode="External"/><Relationship Id="rId185" Type="http://schemas.openxmlformats.org/officeDocument/2006/relationships/hyperlink" Target="https://cdn.scnbdx.fr/web-afresco/BOGAMET/MET_ARR_2020-BM1024.pdf" TargetMode="External"/><Relationship Id="rId184" Type="http://schemas.openxmlformats.org/officeDocument/2006/relationships/hyperlink" Target="https://cdn.scnbdx.fr/web-afresco/BOGAMET/MET_ARR_2020-BM1210.pdf" TargetMode="External"/><Relationship Id="rId189" Type="http://schemas.openxmlformats.org/officeDocument/2006/relationships/hyperlink" Target="https://cdn.scnbdx.fr/web-afresco/BOGAMET/MET_ARR_2020-BM1131.pdf" TargetMode="External"/><Relationship Id="rId188" Type="http://schemas.openxmlformats.org/officeDocument/2006/relationships/hyperlink" Target="https://cdn.scnbdx.fr/web-afresco/BOGAMET/MET_ARR_2020-BM1025.pdf" TargetMode="External"/><Relationship Id="rId183" Type="http://schemas.openxmlformats.org/officeDocument/2006/relationships/hyperlink" Target="https://cdn.scnbdx.fr/web-afresco/BOGAMET/MET_ARR_2020-BM1210.pdf" TargetMode="External"/><Relationship Id="rId182" Type="http://schemas.openxmlformats.org/officeDocument/2006/relationships/hyperlink" Target="https://cdn.scnbdx.fr/web-afresco/BOGAMET/MET_ARR_2020-BM1062.pdf" TargetMode="External"/><Relationship Id="rId181" Type="http://schemas.openxmlformats.org/officeDocument/2006/relationships/hyperlink" Target="https://cdn.scnbdx.fr/web-afresco/BOGAMET/MET_ARR_2020-BM1062.pdf" TargetMode="External"/><Relationship Id="rId180" Type="http://schemas.openxmlformats.org/officeDocument/2006/relationships/hyperlink" Target="https://cdn.scnbdx.fr/web-afresco/BOGAMET/MET_ARR_2020-BM1050.pdf" TargetMode="External"/><Relationship Id="rId176" Type="http://schemas.openxmlformats.org/officeDocument/2006/relationships/hyperlink" Target="https://cdn.scnbdx.fr/web-afresco/BOGAMET/MET_ARR_2020-BM1084.pdf" TargetMode="External"/><Relationship Id="rId175" Type="http://schemas.openxmlformats.org/officeDocument/2006/relationships/hyperlink" Target="https://cdn.scnbdx.fr/web-afresco/BOGAMET/MET_ARR_2020-BM1084.pdf" TargetMode="External"/><Relationship Id="rId174" Type="http://schemas.openxmlformats.org/officeDocument/2006/relationships/hyperlink" Target="https://cdn.scnbdx.fr/web-afresco/BOGAMET/MET_ARR_2020-BM1081.pdf" TargetMode="External"/><Relationship Id="rId173" Type="http://schemas.openxmlformats.org/officeDocument/2006/relationships/hyperlink" Target="https://cdn.scnbdx.fr/web-afresco/BOGAMET/MET_ARR_2020-BM1081.pdf" TargetMode="External"/><Relationship Id="rId179" Type="http://schemas.openxmlformats.org/officeDocument/2006/relationships/hyperlink" Target="https://cdn.scnbdx.fr/web-afresco/BOGAMET/MET_ARR_2020-BM1050.pdf" TargetMode="External"/><Relationship Id="rId178" Type="http://schemas.openxmlformats.org/officeDocument/2006/relationships/hyperlink" Target="https://cdn.scnbdx.fr/web-afresco/BOGAMET/MET_ARR_2020-BM0964.pdf" TargetMode="External"/><Relationship Id="rId177" Type="http://schemas.openxmlformats.org/officeDocument/2006/relationships/hyperlink" Target="https://cdn.scnbdx.fr/web-afresco/BOGAMET/MET_ARR_2020-BM0964.pdf" TargetMode="External"/><Relationship Id="rId1910" Type="http://schemas.openxmlformats.org/officeDocument/2006/relationships/hyperlink" Target="https://cdn.scnbdx.fr/web-afresco/BOGAMET/MET_ARR_2020-BM1333.pdf" TargetMode="External"/><Relationship Id="rId1911" Type="http://schemas.openxmlformats.org/officeDocument/2006/relationships/hyperlink" Target="https://cdn.scnbdx.fr/web-afresco/BOGAMET/MET_ARR_2020-BM1330.pdf" TargetMode="External"/><Relationship Id="rId1912" Type="http://schemas.openxmlformats.org/officeDocument/2006/relationships/hyperlink" Target="https://cdn.scnbdx.fr/web-afresco/BOGAMET/MET_ARR_2020-BM1330.pdf" TargetMode="External"/><Relationship Id="rId1913" Type="http://schemas.openxmlformats.org/officeDocument/2006/relationships/hyperlink" Target="https://cdn.scnbdx.fr/web-afresco/BOGAMET/MET_ARR_2020-BM1380.pdf" TargetMode="External"/><Relationship Id="rId1914" Type="http://schemas.openxmlformats.org/officeDocument/2006/relationships/hyperlink" Target="https://cdn.scnbdx.fr/web-afresco/BOGAMET/MET_ARR_2020-BM1380.pdf" TargetMode="External"/><Relationship Id="rId1915" Type="http://schemas.openxmlformats.org/officeDocument/2006/relationships/hyperlink" Target="https://cdn.scnbdx.fr/web-afresco/BOGAMET/MET_ARR_2020-BM1347.pdf" TargetMode="External"/><Relationship Id="rId1916" Type="http://schemas.openxmlformats.org/officeDocument/2006/relationships/hyperlink" Target="https://cdn.scnbdx.fr/web-afresco/BOGAMET/MET_ARR_2020-BM1347.pdf" TargetMode="External"/><Relationship Id="rId1917" Type="http://schemas.openxmlformats.org/officeDocument/2006/relationships/hyperlink" Target="https://cdn.scnbdx.fr/web-afresco/BOGAMET/MET_ARR_2020-BM1358.pdf" TargetMode="External"/><Relationship Id="rId1918" Type="http://schemas.openxmlformats.org/officeDocument/2006/relationships/hyperlink" Target="https://cdn.scnbdx.fr/web-afresco/BOGAMET/MET_ARR_2020-BM1358.pdf" TargetMode="External"/><Relationship Id="rId1919" Type="http://schemas.openxmlformats.org/officeDocument/2006/relationships/hyperlink" Target="https://cdn.scnbdx.fr/web-afresco/BOGAMET/MET_ARR_2020-BM1401.pdf" TargetMode="External"/><Relationship Id="rId1900" Type="http://schemas.openxmlformats.org/officeDocument/2006/relationships/hyperlink" Target="https://cdn.scnbdx.fr/web-afresco/BOGAMET/MET_ARR_2020-BM1194.pdf" TargetMode="External"/><Relationship Id="rId1901" Type="http://schemas.openxmlformats.org/officeDocument/2006/relationships/hyperlink" Target="https://cdn.scnbdx.fr/web-afresco/BOGAMET/MET_ARR_2020-BM1307.pdf" TargetMode="External"/><Relationship Id="rId1902" Type="http://schemas.openxmlformats.org/officeDocument/2006/relationships/hyperlink" Target="https://cdn.scnbdx.fr/web-afresco/BOGAMET/MET_ARR_2020-BM1307.pdf" TargetMode="External"/><Relationship Id="rId1903" Type="http://schemas.openxmlformats.org/officeDocument/2006/relationships/hyperlink" Target="https://cdn.scnbdx.fr/web-afresco/BOGAMET/MET_ARR_2020-BM1290.pdf" TargetMode="External"/><Relationship Id="rId1904" Type="http://schemas.openxmlformats.org/officeDocument/2006/relationships/hyperlink" Target="https://cdn.scnbdx.fr/web-afresco/BOGAMET/MET_ARR_2020-BM1290.pdf" TargetMode="External"/><Relationship Id="rId1905" Type="http://schemas.openxmlformats.org/officeDocument/2006/relationships/hyperlink" Target="https://cdn.scnbdx.fr/web-afresco/BOGAMET/MET_ARR_2020-BM1306.pdf" TargetMode="External"/><Relationship Id="rId1906" Type="http://schemas.openxmlformats.org/officeDocument/2006/relationships/hyperlink" Target="https://cdn.scnbdx.fr/web-afresco/BOGAMET/MET_ARR_2020-BM1306.pdf" TargetMode="External"/><Relationship Id="rId1907" Type="http://schemas.openxmlformats.org/officeDocument/2006/relationships/hyperlink" Target="https://cdn.scnbdx.fr/web-afresco/BOGAMET/MET_ARR_2020-BM1332.pdf" TargetMode="External"/><Relationship Id="rId1908" Type="http://schemas.openxmlformats.org/officeDocument/2006/relationships/hyperlink" Target="https://cdn.scnbdx.fr/web-afresco/BOGAMET/MET_ARR_2020-BM1332.pdf" TargetMode="External"/><Relationship Id="rId1909" Type="http://schemas.openxmlformats.org/officeDocument/2006/relationships/hyperlink" Target="https://cdn.scnbdx.fr/web-afresco/BOGAMET/MET_ARR_2020-BM1333.pdf" TargetMode="External"/><Relationship Id="rId198" Type="http://schemas.openxmlformats.org/officeDocument/2006/relationships/hyperlink" Target="https://cdn.scnbdx.fr/web-afresco/BOGAMET/MET_ARR_2020-BM1243.pdf" TargetMode="External"/><Relationship Id="rId197" Type="http://schemas.openxmlformats.org/officeDocument/2006/relationships/hyperlink" Target="https://cdn.scnbdx.fr/web-afresco/BOGAMET/MET_ARR_2020-BM1243.pdf" TargetMode="External"/><Relationship Id="rId196" Type="http://schemas.openxmlformats.org/officeDocument/2006/relationships/hyperlink" Target="https://cdn.scnbdx.fr/web-afresco/BOGAMET/MET_ARR_2020-BM1155.pdf" TargetMode="External"/><Relationship Id="rId195" Type="http://schemas.openxmlformats.org/officeDocument/2006/relationships/hyperlink" Target="https://cdn.scnbdx.fr/web-afresco/BOGAMET/MET_ARR_2020-BM1155.pdf" TargetMode="External"/><Relationship Id="rId199" Type="http://schemas.openxmlformats.org/officeDocument/2006/relationships/hyperlink" Target="https://cdn.scnbdx.fr/web-afresco/BOGAMET/MET_ARR_2020-BM1249.pdf" TargetMode="External"/><Relationship Id="rId150" Type="http://schemas.openxmlformats.org/officeDocument/2006/relationships/hyperlink" Target="https://cdn.scnbdx.fr/web-afresco/BOGAMET/MET_ARR_2020-BM0864.pdf" TargetMode="External"/><Relationship Id="rId149" Type="http://schemas.openxmlformats.org/officeDocument/2006/relationships/hyperlink" Target="https://cdn.scnbdx.fr/web-afresco/BOGAMET/MET_ARR_2020-BM0864.pdf" TargetMode="External"/><Relationship Id="rId148" Type="http://schemas.openxmlformats.org/officeDocument/2006/relationships/hyperlink" Target="https://cdn.scnbdx.fr/web-afresco/BOGAMET/MET_ARR_2020-BM0831.pdf" TargetMode="External"/><Relationship Id="rId1090" Type="http://schemas.openxmlformats.org/officeDocument/2006/relationships/hyperlink" Target="https://cdn.scnbdx.fr/web-afresco/BOGAMET/MET_ARR_2021-BM1412.pdf" TargetMode="External"/><Relationship Id="rId1091" Type="http://schemas.openxmlformats.org/officeDocument/2006/relationships/hyperlink" Target="https://cdn.scnbdx.fr/web-afresco/BOGAMET/MET_ARR_2021-BM0242.pdf" TargetMode="External"/><Relationship Id="rId1092" Type="http://schemas.openxmlformats.org/officeDocument/2006/relationships/hyperlink" Target="https://cdn.scnbdx.fr/web-afresco/BOGAMET/MET_ARR_2021-BM0242.pdf" TargetMode="External"/><Relationship Id="rId1093" Type="http://schemas.openxmlformats.org/officeDocument/2006/relationships/hyperlink" Target="https://cdn.scnbdx.fr/web-afresco/BOGAMET/MET_ARR_2021-BM0271.pdf" TargetMode="External"/><Relationship Id="rId1094" Type="http://schemas.openxmlformats.org/officeDocument/2006/relationships/hyperlink" Target="https://cdn.scnbdx.fr/web-afresco/BOGAMET/MET_ARR_2021-BM0271.pdf" TargetMode="External"/><Relationship Id="rId143" Type="http://schemas.openxmlformats.org/officeDocument/2006/relationships/hyperlink" Target="https://cdn.scnbdx.fr/web-afresco/BOGAMET/MET_ARR_2020-BM0829.pdf" TargetMode="External"/><Relationship Id="rId1095" Type="http://schemas.openxmlformats.org/officeDocument/2006/relationships/hyperlink" Target="https://cdn.scnbdx.fr/web-afresco/BOGAMET/MET_ARR_2021-BM0038.pdf" TargetMode="External"/><Relationship Id="rId142" Type="http://schemas.openxmlformats.org/officeDocument/2006/relationships/hyperlink" Target="https://cdn.scnbdx.fr/web-afresco/BOGAMET/MET_ARR_2020-BM0828.pdf" TargetMode="External"/><Relationship Id="rId1096" Type="http://schemas.openxmlformats.org/officeDocument/2006/relationships/hyperlink" Target="https://cdn.scnbdx.fr/web-afresco/BOGAMET/MET_ARR_2021-BM0038.pdf" TargetMode="External"/><Relationship Id="rId141" Type="http://schemas.openxmlformats.org/officeDocument/2006/relationships/hyperlink" Target="https://cdn.scnbdx.fr/web-afresco/BOGAMET/MET_ARR_2020-BM0828.pdf" TargetMode="External"/><Relationship Id="rId1097" Type="http://schemas.openxmlformats.org/officeDocument/2006/relationships/hyperlink" Target="https://cdn.scnbdx.fr/web-afresco/BOGAMET/MET_ARR_2021-BM0224.pdf" TargetMode="External"/><Relationship Id="rId140" Type="http://schemas.openxmlformats.org/officeDocument/2006/relationships/hyperlink" Target="https://cdn.scnbdx.fr/web-afresco/BOGAMET/MET_ARR_2020-BM0827.pdf" TargetMode="External"/><Relationship Id="rId1098" Type="http://schemas.openxmlformats.org/officeDocument/2006/relationships/hyperlink" Target="https://cdn.scnbdx.fr/web-afresco/BOGAMET/MET_ARR_2021-BM0224.pdf" TargetMode="External"/><Relationship Id="rId147" Type="http://schemas.openxmlformats.org/officeDocument/2006/relationships/hyperlink" Target="https://cdn.scnbdx.fr/web-afresco/BOGAMET/MET_ARR_2020-BM0831.pdf" TargetMode="External"/><Relationship Id="rId1099" Type="http://schemas.openxmlformats.org/officeDocument/2006/relationships/hyperlink" Target="https://cdn.scnbdx.fr/web-afresco/BOGAMET/MET_ARR_2021-BM0196.pdf" TargetMode="External"/><Relationship Id="rId146" Type="http://schemas.openxmlformats.org/officeDocument/2006/relationships/hyperlink" Target="https://cdn.scnbdx.fr/web-afresco/BOGAMET/MET_ARR_2020-BM0830.pdf" TargetMode="External"/><Relationship Id="rId145" Type="http://schemas.openxmlformats.org/officeDocument/2006/relationships/hyperlink" Target="https://cdn.scnbdx.fr/web-afresco/BOGAMET/MET_ARR_2020-BM0830.pdf" TargetMode="External"/><Relationship Id="rId144" Type="http://schemas.openxmlformats.org/officeDocument/2006/relationships/hyperlink" Target="https://cdn.scnbdx.fr/web-afresco/BOGAMET/MET_ARR_2020-BM0829.pdf" TargetMode="External"/><Relationship Id="rId139" Type="http://schemas.openxmlformats.org/officeDocument/2006/relationships/hyperlink" Target="https://cdn.scnbdx.fr/web-afresco/BOGAMET/MET_ARR_2020-BM0827.pdf" TargetMode="External"/><Relationship Id="rId138" Type="http://schemas.openxmlformats.org/officeDocument/2006/relationships/hyperlink" Target="https://cdn.scnbdx.fr/web-afresco/BOGAMET/MET_ARR_2020-BM0820.pdf" TargetMode="External"/><Relationship Id="rId137" Type="http://schemas.openxmlformats.org/officeDocument/2006/relationships/hyperlink" Target="https://cdn.scnbdx.fr/web-afresco/BOGAMET/MET_ARR_2020-BM0820.pdf" TargetMode="External"/><Relationship Id="rId1080" Type="http://schemas.openxmlformats.org/officeDocument/2006/relationships/hyperlink" Target="https://cdn.scnbdx.fr/web-afresco/BOGAMET/MET_ARR_2021-BM0216.pdf" TargetMode="External"/><Relationship Id="rId1081" Type="http://schemas.openxmlformats.org/officeDocument/2006/relationships/hyperlink" Target="https://cdn.scnbdx.fr/web-afresco/BOGAMET/MET_ARR_2021-BM0080.pdf" TargetMode="External"/><Relationship Id="rId1082" Type="http://schemas.openxmlformats.org/officeDocument/2006/relationships/hyperlink" Target="https://cdn.scnbdx.fr/web-afresco/BOGAMET/MET_ARR_2021-BM0080.pdf" TargetMode="External"/><Relationship Id="rId1083" Type="http://schemas.openxmlformats.org/officeDocument/2006/relationships/hyperlink" Target="https://cdn.scnbdx.fr/web-afresco/BOGAMET/MET_ARR_2021-BM0234.pdf" TargetMode="External"/><Relationship Id="rId132" Type="http://schemas.openxmlformats.org/officeDocument/2006/relationships/hyperlink" Target="https://cdn.scnbdx.fr/web-afresco/BOGAMET/MET_ARR_2020-BM0812.pdf" TargetMode="External"/><Relationship Id="rId1084" Type="http://schemas.openxmlformats.org/officeDocument/2006/relationships/hyperlink" Target="https://cdn.scnbdx.fr/web-afresco/BOGAMET/MET_ARR_2021-BM0234.pdf" TargetMode="External"/><Relationship Id="rId131" Type="http://schemas.openxmlformats.org/officeDocument/2006/relationships/hyperlink" Target="https://cdn.scnbdx.fr/web-afresco/BOGAMET/MET_ARR_2020-BM0812.pdf" TargetMode="External"/><Relationship Id="rId1085" Type="http://schemas.openxmlformats.org/officeDocument/2006/relationships/hyperlink" Target="https://cdn.scnbdx.fr/web-afresco/BOGAMET/MET_ARR_2020-BM1582.pdf" TargetMode="External"/><Relationship Id="rId130" Type="http://schemas.openxmlformats.org/officeDocument/2006/relationships/hyperlink" Target="https://cdn.scnbdx.fr/web-afresco/BOGAMET/MET_ARR_2020-BM0908.pdf" TargetMode="External"/><Relationship Id="rId1086" Type="http://schemas.openxmlformats.org/officeDocument/2006/relationships/hyperlink" Target="https://cdn.scnbdx.fr/web-afresco/BOGAMET/MET_ARR_2020-BM1582.pdf" TargetMode="External"/><Relationship Id="rId1087" Type="http://schemas.openxmlformats.org/officeDocument/2006/relationships/hyperlink" Target="https://cdn.scnbdx.fr/web-afresco/BOGAMET/MET_ARR_2021-BM1411.pdf" TargetMode="External"/><Relationship Id="rId136" Type="http://schemas.openxmlformats.org/officeDocument/2006/relationships/hyperlink" Target="https://cdn.scnbdx.fr/web-afresco/BOGAMET/MET_ARR_2020-BM0815.pdf" TargetMode="External"/><Relationship Id="rId1088" Type="http://schemas.openxmlformats.org/officeDocument/2006/relationships/hyperlink" Target="https://cdn.scnbdx.fr/web-afresco/BOGAMET/MET_ARR_2021-BM1411.pdf" TargetMode="External"/><Relationship Id="rId135" Type="http://schemas.openxmlformats.org/officeDocument/2006/relationships/hyperlink" Target="https://cdn.scnbdx.fr/web-afresco/BOGAMET/MET_ARR_2020-BM0815.pdf" TargetMode="External"/><Relationship Id="rId1089" Type="http://schemas.openxmlformats.org/officeDocument/2006/relationships/hyperlink" Target="https://cdn.scnbdx.fr/web-afresco/BOGAMET/MET_ARR_2021-BM1412.pdf" TargetMode="External"/><Relationship Id="rId134" Type="http://schemas.openxmlformats.org/officeDocument/2006/relationships/hyperlink" Target="https://cdn.scnbdx.fr/web-afresco/BOGAMET/MET_ARR_2020-BM0814.pdf" TargetMode="External"/><Relationship Id="rId133" Type="http://schemas.openxmlformats.org/officeDocument/2006/relationships/hyperlink" Target="https://cdn.scnbdx.fr/web-afresco/BOGAMET/MET_ARR_2020-BM0814.pdf" TargetMode="External"/><Relationship Id="rId172" Type="http://schemas.openxmlformats.org/officeDocument/2006/relationships/hyperlink" Target="https://cdn.scnbdx.fr/web-afresco/BOGAMET/MET_ARR_2020-BM1076.pdf" TargetMode="External"/><Relationship Id="rId171" Type="http://schemas.openxmlformats.org/officeDocument/2006/relationships/hyperlink" Target="https://cdn.scnbdx.fr/web-afresco/BOGAMET/MET_ARR_2020-BM1076.pdf" TargetMode="External"/><Relationship Id="rId170" Type="http://schemas.openxmlformats.org/officeDocument/2006/relationships/hyperlink" Target="https://cdn.scnbdx.fr/web-afresco/BOGAMET/MET_ARR_2020-BM1073.pdf" TargetMode="External"/><Relationship Id="rId165" Type="http://schemas.openxmlformats.org/officeDocument/2006/relationships/hyperlink" Target="https://cdn.scnbdx.fr/web-afresco/BOGAMET/MET_ARR_2020-BM1068.pdf" TargetMode="External"/><Relationship Id="rId164" Type="http://schemas.openxmlformats.org/officeDocument/2006/relationships/hyperlink" Target="https://cdn.scnbdx.fr/web-afresco/BOGAMET/MET_ARR_2020-BM1067.pdf" TargetMode="External"/><Relationship Id="rId163" Type="http://schemas.openxmlformats.org/officeDocument/2006/relationships/hyperlink" Target="https://cdn.scnbdx.fr/web-afresco/BOGAMET/MET_ARR_2020-BM1067.pdf" TargetMode="External"/><Relationship Id="rId162" Type="http://schemas.openxmlformats.org/officeDocument/2006/relationships/hyperlink" Target="https://cdn.scnbdx.fr/web-afresco/BOGAMET/MET_ARR_2020-BM1066.pdf" TargetMode="External"/><Relationship Id="rId169" Type="http://schemas.openxmlformats.org/officeDocument/2006/relationships/hyperlink" Target="https://cdn.scnbdx.fr/web-afresco/BOGAMET/MET_ARR_2020-BM1073.pdf" TargetMode="External"/><Relationship Id="rId168" Type="http://schemas.openxmlformats.org/officeDocument/2006/relationships/hyperlink" Target="https://cdn.scnbdx.fr/web-afresco/BOGAMET/MET_ARR_2020-BM1071.pdf" TargetMode="External"/><Relationship Id="rId167" Type="http://schemas.openxmlformats.org/officeDocument/2006/relationships/hyperlink" Target="https://cdn.scnbdx.fr/web-afresco/BOGAMET/MET_ARR_2020-BM1071.pdf" TargetMode="External"/><Relationship Id="rId166" Type="http://schemas.openxmlformats.org/officeDocument/2006/relationships/hyperlink" Target="https://cdn.scnbdx.fr/web-afresco/BOGAMET/MET_ARR_2020-BM1068.pdf" TargetMode="External"/><Relationship Id="rId161" Type="http://schemas.openxmlformats.org/officeDocument/2006/relationships/hyperlink" Target="https://cdn.scnbdx.fr/web-afresco/BOGAMET/MET_ARR_2020-BM1066.pdf" TargetMode="External"/><Relationship Id="rId160" Type="http://schemas.openxmlformats.org/officeDocument/2006/relationships/hyperlink" Target="https://cdn.scnbdx.fr/web-afresco/BOGAMET/MET_ARR_2020-BM0986.pdf" TargetMode="External"/><Relationship Id="rId159" Type="http://schemas.openxmlformats.org/officeDocument/2006/relationships/hyperlink" Target="https://cdn.scnbdx.fr/web-afresco/BOGAMET/MET_ARR_2020-BM0986.pdf" TargetMode="External"/><Relationship Id="rId154" Type="http://schemas.openxmlformats.org/officeDocument/2006/relationships/hyperlink" Target="https://cdn.scnbdx.fr/web-afresco/BOGAMET/MET_ARR_2020-BM1003.pdf" TargetMode="External"/><Relationship Id="rId153" Type="http://schemas.openxmlformats.org/officeDocument/2006/relationships/hyperlink" Target="https://cdn.scnbdx.fr/web-afresco/BOGAMET/MET_ARR_2020-BM1003.pdf" TargetMode="External"/><Relationship Id="rId152" Type="http://schemas.openxmlformats.org/officeDocument/2006/relationships/hyperlink" Target="https://cdn.scnbdx.fr/web-afresco/BOGAMET/MET_ARR_2020-BM0947.pdf" TargetMode="External"/><Relationship Id="rId151" Type="http://schemas.openxmlformats.org/officeDocument/2006/relationships/hyperlink" Target="https://cdn.scnbdx.fr/web-afresco/BOGAMET/MET_ARR_2020-BM0947.pdf" TargetMode="External"/><Relationship Id="rId158" Type="http://schemas.openxmlformats.org/officeDocument/2006/relationships/hyperlink" Target="https://cdn.scnbdx.fr/web-afresco/BOGAMET/MET_ARR_2020-BM0984.pdf" TargetMode="External"/><Relationship Id="rId157" Type="http://schemas.openxmlformats.org/officeDocument/2006/relationships/hyperlink" Target="https://cdn.scnbdx.fr/web-afresco/BOGAMET/MET_ARR_2020-BM0984.pdf" TargetMode="External"/><Relationship Id="rId156" Type="http://schemas.openxmlformats.org/officeDocument/2006/relationships/hyperlink" Target="https://cdn.scnbdx.fr/web-afresco/BOGAMET/MET_ARR_2020-BM0949.pdf" TargetMode="External"/><Relationship Id="rId155" Type="http://schemas.openxmlformats.org/officeDocument/2006/relationships/hyperlink" Target="https://cdn.scnbdx.fr/web-afresco/BOGAMET/MET_ARR_2020-BM0949.pdf" TargetMode="External"/><Relationship Id="rId1972" Type="http://schemas.openxmlformats.org/officeDocument/2006/relationships/hyperlink" Target="https://cdn.scnbdx.fr/web-afresco/BOGAMET/MET_ARR_2021-BM0237.pdf" TargetMode="External"/><Relationship Id="rId1973" Type="http://schemas.openxmlformats.org/officeDocument/2006/relationships/hyperlink" Target="https://cdn.scnbdx.fr/web-afresco/BOGAMET/MET_ARR_2021-BM0243.pdf" TargetMode="External"/><Relationship Id="rId1974" Type="http://schemas.openxmlformats.org/officeDocument/2006/relationships/hyperlink" Target="https://cdn.scnbdx.fr/web-afresco/BOGAMET/MET_ARR_2021-BM0243.pdf" TargetMode="External"/><Relationship Id="rId1975" Type="http://schemas.openxmlformats.org/officeDocument/2006/relationships/hyperlink" Target="https://cdn.scnbdx.fr/web-afresco/BOGAMET/MET_ARR_2021-BM0245.pdf" TargetMode="External"/><Relationship Id="rId1976" Type="http://schemas.openxmlformats.org/officeDocument/2006/relationships/hyperlink" Target="https://cdn.scnbdx.fr/web-afresco/BOGAMET/MET_ARR_2021-BM0245.pdf" TargetMode="External"/><Relationship Id="rId1977" Type="http://schemas.openxmlformats.org/officeDocument/2006/relationships/hyperlink" Target="https://cdn.scnbdx.fr/web-afresco/BOGAMET/MET_ARR_2021-BM0272.pdf" TargetMode="External"/><Relationship Id="rId1978" Type="http://schemas.openxmlformats.org/officeDocument/2006/relationships/hyperlink" Target="https://cdn.scnbdx.fr/web-afresco/BOGAMET/MET_ARR_2021-BM0272.pdf" TargetMode="External"/><Relationship Id="rId1979" Type="http://schemas.openxmlformats.org/officeDocument/2006/relationships/hyperlink" Target="https://cdn.scnbdx.fr/web-afresco/BOGAMET/MET_ARR_2021-BM0225.pdf" TargetMode="External"/><Relationship Id="rId1970" Type="http://schemas.openxmlformats.org/officeDocument/2006/relationships/hyperlink" Target="https://cdn.scnbdx.fr/web-afresco/BOGAMET/MET_ARR_2021-BM0236.pdf" TargetMode="External"/><Relationship Id="rId1971" Type="http://schemas.openxmlformats.org/officeDocument/2006/relationships/hyperlink" Target="https://cdn.scnbdx.fr/web-afresco/BOGAMET/MET_ARR_2021-BM0237.pdf" TargetMode="External"/><Relationship Id="rId1961" Type="http://schemas.openxmlformats.org/officeDocument/2006/relationships/hyperlink" Target="https://cdn.scnbdx.fr/web-afresco/BOGAMET/MET_ARR_2021-BM0087.pdf" TargetMode="External"/><Relationship Id="rId1962" Type="http://schemas.openxmlformats.org/officeDocument/2006/relationships/hyperlink" Target="https://cdn.scnbdx.fr/web-afresco/BOGAMET/MET_ARR_2021-BM0087.pdf" TargetMode="External"/><Relationship Id="rId1963" Type="http://schemas.openxmlformats.org/officeDocument/2006/relationships/hyperlink" Target="https://cdn.scnbdx.fr/web-afresco/BOGAMET/MET_ARR_2021-BM0134.pdf" TargetMode="External"/><Relationship Id="rId1964" Type="http://schemas.openxmlformats.org/officeDocument/2006/relationships/hyperlink" Target="https://cdn.scnbdx.fr/web-afresco/BOGAMET/MET_ARR_2021-BM0134.pdf" TargetMode="External"/><Relationship Id="rId1965" Type="http://schemas.openxmlformats.org/officeDocument/2006/relationships/hyperlink" Target="https://cdn.scnbdx.fr/web-afresco/BOGAMET/MET_ARR_2021-BM0181.pdf" TargetMode="External"/><Relationship Id="rId1966" Type="http://schemas.openxmlformats.org/officeDocument/2006/relationships/hyperlink" Target="https://cdn.scnbdx.fr/web-afresco/BOGAMET/MET_ARR_2021-BM0181.pdf" TargetMode="External"/><Relationship Id="rId1967" Type="http://schemas.openxmlformats.org/officeDocument/2006/relationships/hyperlink" Target="https://cdn.scnbdx.fr/web-afresco/BOGAMET/MET_ARR_2020-BM1295.pdf" TargetMode="External"/><Relationship Id="rId1968" Type="http://schemas.openxmlformats.org/officeDocument/2006/relationships/hyperlink" Target="https://cdn.scnbdx.fr/web-afresco/BOGAMET/MET_ARR_2020-BM1295.pdf" TargetMode="External"/><Relationship Id="rId1969" Type="http://schemas.openxmlformats.org/officeDocument/2006/relationships/hyperlink" Target="https://cdn.scnbdx.fr/web-afresco/BOGAMET/MET_ARR_2021-BM0236.pdf" TargetMode="External"/><Relationship Id="rId1960" Type="http://schemas.openxmlformats.org/officeDocument/2006/relationships/hyperlink" Target="https://cdn.scnbdx.fr/web-afresco/BOGAMET/MET_ARR_2021-BM0085.pdf" TargetMode="External"/><Relationship Id="rId1510" Type="http://schemas.openxmlformats.org/officeDocument/2006/relationships/hyperlink" Target="https://cdn.scnbdx.fr/web-afresco/BOGAMET/MET_ARR_2021-BM1164.pdf" TargetMode="External"/><Relationship Id="rId1994" Type="http://schemas.openxmlformats.org/officeDocument/2006/relationships/hyperlink" Target="https://cdn.scnbdx.fr/web-afresco/BOGAMET/MET_ARR_2021-BM0314.pdf" TargetMode="External"/><Relationship Id="rId1511" Type="http://schemas.openxmlformats.org/officeDocument/2006/relationships/hyperlink" Target="https://cdn.scnbdx.fr/web-afresco/BOGAMET/MET_ARR_2021-BM1166.pdf" TargetMode="External"/><Relationship Id="rId1995" Type="http://schemas.openxmlformats.org/officeDocument/2006/relationships/hyperlink" Target="https://cdn.scnbdx.fr/web-afresco/BOGAMET/MET_ARR_2021-BM0219.pdf" TargetMode="External"/><Relationship Id="rId1512" Type="http://schemas.openxmlformats.org/officeDocument/2006/relationships/hyperlink" Target="https://cdn.scnbdx.fr/web-afresco/BOGAMET/MET_ARR_2021-BM1166.pdf" TargetMode="External"/><Relationship Id="rId1996" Type="http://schemas.openxmlformats.org/officeDocument/2006/relationships/hyperlink" Target="https://cdn.scnbdx.fr/web-afresco/BOGAMET/MET_ARR_2021-BM0219.pdf" TargetMode="External"/><Relationship Id="rId1513" Type="http://schemas.openxmlformats.org/officeDocument/2006/relationships/hyperlink" Target="https://cdn.scnbdx.fr/web-afresco/BOGAMET/MET_ARR_2021-BM1346.pdf" TargetMode="External"/><Relationship Id="rId1997" Type="http://schemas.openxmlformats.org/officeDocument/2006/relationships/hyperlink" Target="https://cdn.scnbdx.fr/web-afresco/BOGAMET/MET_ARR_2021-BM0341.pdf" TargetMode="External"/><Relationship Id="rId1514" Type="http://schemas.openxmlformats.org/officeDocument/2006/relationships/hyperlink" Target="https://cdn.scnbdx.fr/web-afresco/BOGAMET/MET_ARR_2021-BM1346.pdf" TargetMode="External"/><Relationship Id="rId1998" Type="http://schemas.openxmlformats.org/officeDocument/2006/relationships/hyperlink" Target="https://cdn.scnbdx.fr/web-afresco/BOGAMET/MET_ARR_2021-BM0341.pdf" TargetMode="External"/><Relationship Id="rId1515" Type="http://schemas.openxmlformats.org/officeDocument/2006/relationships/hyperlink" Target="https://cdn.scnbdx.fr/web-afresco/BOGAMET/MET_ARR_2021-BM1386.pdf" TargetMode="External"/><Relationship Id="rId1999" Type="http://schemas.openxmlformats.org/officeDocument/2006/relationships/hyperlink" Target="https://cdn.scnbdx.fr/web-afresco/BOGAMET/MET_ARR_2021-BM0342.pdf" TargetMode="External"/><Relationship Id="rId1516" Type="http://schemas.openxmlformats.org/officeDocument/2006/relationships/hyperlink" Target="https://cdn.scnbdx.fr/web-afresco/BOGAMET/MET_ARR_2021-BM1386.pdf" TargetMode="External"/><Relationship Id="rId1517" Type="http://schemas.openxmlformats.org/officeDocument/2006/relationships/hyperlink" Target="https://cdn.scnbdx.fr/web-afresco/BOGAMET/MET_ARR_2021-BM0810.pdf" TargetMode="External"/><Relationship Id="rId1518" Type="http://schemas.openxmlformats.org/officeDocument/2006/relationships/hyperlink" Target="https://cdn.scnbdx.fr/web-afresco/BOGAMET/MET_ARR_2021-BM0810.pdf" TargetMode="External"/><Relationship Id="rId1519" Type="http://schemas.openxmlformats.org/officeDocument/2006/relationships/hyperlink" Target="https://cdn.scnbdx.fr/web-afresco/BOGAMET/MET_ARR_2021-BM1207.pdf" TargetMode="External"/><Relationship Id="rId1990" Type="http://schemas.openxmlformats.org/officeDocument/2006/relationships/hyperlink" Target="https://cdn.scnbdx.fr/web-afresco/BOGAMET/MET_ARR_2020-BM1208.pdf" TargetMode="External"/><Relationship Id="rId1991" Type="http://schemas.openxmlformats.org/officeDocument/2006/relationships/hyperlink" Target="https://cdn.scnbdx.fr/web-afresco/BOGAMET/MET_ARR_2021-BM0302.pdf" TargetMode="External"/><Relationship Id="rId1992" Type="http://schemas.openxmlformats.org/officeDocument/2006/relationships/hyperlink" Target="https://cdn.scnbdx.fr/web-afresco/BOGAMET/MET_ARR_2021-BM0302.pdf" TargetMode="External"/><Relationship Id="rId1993" Type="http://schemas.openxmlformats.org/officeDocument/2006/relationships/hyperlink" Target="https://cdn.scnbdx.fr/web-afresco/BOGAMET/MET_ARR_2021-BM0314.pdf" TargetMode="External"/><Relationship Id="rId1983" Type="http://schemas.openxmlformats.org/officeDocument/2006/relationships/hyperlink" Target="https://cdn.scnbdx.fr/web-afresco/BOGAMET/MET_ARR_2021-BM0419.pdf" TargetMode="External"/><Relationship Id="rId1500" Type="http://schemas.openxmlformats.org/officeDocument/2006/relationships/hyperlink" Target="https://cdn.scnbdx.fr/web-afresco/BOGAMET/MET_ARR_2021-BM1055.pdf" TargetMode="External"/><Relationship Id="rId1984" Type="http://schemas.openxmlformats.org/officeDocument/2006/relationships/hyperlink" Target="https://cdn.scnbdx.fr/web-afresco/BOGAMET/MET_ARR_2021-BM0419.pdf" TargetMode="External"/><Relationship Id="rId1501" Type="http://schemas.openxmlformats.org/officeDocument/2006/relationships/hyperlink" Target="https://cdn.scnbdx.fr/web-afresco/BOGAMET/MET_ARR_2021-BM1057.pdf" TargetMode="External"/><Relationship Id="rId1985" Type="http://schemas.openxmlformats.org/officeDocument/2006/relationships/hyperlink" Target="https://cdn.scnbdx.fr/web-afresco/BOGAMET/MET_ARR_2021-BM0464.pdf" TargetMode="External"/><Relationship Id="rId1502" Type="http://schemas.openxmlformats.org/officeDocument/2006/relationships/hyperlink" Target="https://cdn.scnbdx.fr/web-afresco/BOGAMET/MET_ARR_2021-BM1057.pdf" TargetMode="External"/><Relationship Id="rId1986" Type="http://schemas.openxmlformats.org/officeDocument/2006/relationships/hyperlink" Target="https://cdn.scnbdx.fr/web-afresco/BOGAMET/MET_ARR_2021-BM0464.pdf" TargetMode="External"/><Relationship Id="rId1503" Type="http://schemas.openxmlformats.org/officeDocument/2006/relationships/hyperlink" Target="https://cdn.scnbdx.fr/web-afresco/BOGAMET/MET_ARR_2021-BM1178.pdf" TargetMode="External"/><Relationship Id="rId1987" Type="http://schemas.openxmlformats.org/officeDocument/2006/relationships/hyperlink" Target="https://cdn.scnbdx.fr/web-afresco/BOGAMET/MET_ARR_2021-BM0465.pdf" TargetMode="External"/><Relationship Id="rId1504" Type="http://schemas.openxmlformats.org/officeDocument/2006/relationships/hyperlink" Target="https://cdn.scnbdx.fr/web-afresco/BOGAMET/MET_ARR_2021-BM1178.pdf" TargetMode="External"/><Relationship Id="rId1988" Type="http://schemas.openxmlformats.org/officeDocument/2006/relationships/hyperlink" Target="https://cdn.scnbdx.fr/web-afresco/BOGAMET/MET_ARR_2021-BM0465.pdf" TargetMode="External"/><Relationship Id="rId1505" Type="http://schemas.openxmlformats.org/officeDocument/2006/relationships/hyperlink" Target="https://cdn.scnbdx.fr/web-afresco/BOGAMET/MET_ARR_2021-BM1179.pdf" TargetMode="External"/><Relationship Id="rId1989" Type="http://schemas.openxmlformats.org/officeDocument/2006/relationships/hyperlink" Target="https://cdn.scnbdx.fr/web-afresco/BOGAMET/MET_ARR_2020-BM1208.pdf" TargetMode="External"/><Relationship Id="rId1506" Type="http://schemas.openxmlformats.org/officeDocument/2006/relationships/hyperlink" Target="https://cdn.scnbdx.fr/web-afresco/BOGAMET/MET_ARR_2021-BM1179.pdf" TargetMode="External"/><Relationship Id="rId1507" Type="http://schemas.openxmlformats.org/officeDocument/2006/relationships/hyperlink" Target="https://cdn.scnbdx.fr/web-afresco/BOGAMET/MET_ARR_2021-BM1187.pdf" TargetMode="External"/><Relationship Id="rId1508" Type="http://schemas.openxmlformats.org/officeDocument/2006/relationships/hyperlink" Target="https://cdn.scnbdx.fr/web-afresco/BOGAMET/MET_ARR_2021-BM1187.pdf" TargetMode="External"/><Relationship Id="rId1509" Type="http://schemas.openxmlformats.org/officeDocument/2006/relationships/hyperlink" Target="https://cdn.scnbdx.fr/web-afresco/BOGAMET/MET_ARR_2021-BM1164.pdf" TargetMode="External"/><Relationship Id="rId1980" Type="http://schemas.openxmlformats.org/officeDocument/2006/relationships/hyperlink" Target="https://cdn.scnbdx.fr/web-afresco/BOGAMET/MET_ARR_2021-BM0225.pdf" TargetMode="External"/><Relationship Id="rId1981" Type="http://schemas.openxmlformats.org/officeDocument/2006/relationships/hyperlink" Target="https://cdn.scnbdx.fr/web-afresco/BOGAMET/MET_ARR_2021-BM0197.pdf" TargetMode="External"/><Relationship Id="rId1982" Type="http://schemas.openxmlformats.org/officeDocument/2006/relationships/hyperlink" Target="https://cdn.scnbdx.fr/web-afresco/BOGAMET/MET_ARR_2021-BM0197.pdf" TargetMode="External"/><Relationship Id="rId1930" Type="http://schemas.openxmlformats.org/officeDocument/2006/relationships/hyperlink" Target="https://cdn.scnbdx.fr/web-afresco/BOGAMET/MET_ARR_2020-BM1411.pdf" TargetMode="External"/><Relationship Id="rId1931" Type="http://schemas.openxmlformats.org/officeDocument/2006/relationships/hyperlink" Target="https://cdn.scnbdx.fr/web-afresco/BOGAMET/MET_ARR_2020-BM1417.pdf" TargetMode="External"/><Relationship Id="rId1932" Type="http://schemas.openxmlformats.org/officeDocument/2006/relationships/hyperlink" Target="https://cdn.scnbdx.fr/web-afresco/BOGAMET/MET_ARR_2020-BM1417.pdf" TargetMode="External"/><Relationship Id="rId1933" Type="http://schemas.openxmlformats.org/officeDocument/2006/relationships/hyperlink" Target="https://cdn.scnbdx.fr/web-afresco/BOGAMET/MET_ARR_2020-BM1433.pdf" TargetMode="External"/><Relationship Id="rId1934" Type="http://schemas.openxmlformats.org/officeDocument/2006/relationships/hyperlink" Target="https://cdn.scnbdx.fr/web-afresco/BOGAMET/MET_ARR_2020-BM1433.pdf" TargetMode="External"/><Relationship Id="rId1935" Type="http://schemas.openxmlformats.org/officeDocument/2006/relationships/hyperlink" Target="https://cdn.scnbdx.fr/web-afresco/BOGAMET/MET_ARR_2020-BM1437.pdf" TargetMode="External"/><Relationship Id="rId1936" Type="http://schemas.openxmlformats.org/officeDocument/2006/relationships/hyperlink" Target="https://cdn.scnbdx.fr/web-afresco/BOGAMET/MET_ARR_2020-BM1437.pdf" TargetMode="External"/><Relationship Id="rId1937" Type="http://schemas.openxmlformats.org/officeDocument/2006/relationships/hyperlink" Target="https://cdn.scnbdx.fr/web-afresco/BOGAMET/MET_ARR_2020-BM1438.pdf" TargetMode="External"/><Relationship Id="rId1938" Type="http://schemas.openxmlformats.org/officeDocument/2006/relationships/hyperlink" Target="https://cdn.scnbdx.fr/web-afresco/BOGAMET/MET_ARR_2020-BM1438.pdf" TargetMode="External"/><Relationship Id="rId1939" Type="http://schemas.openxmlformats.org/officeDocument/2006/relationships/hyperlink" Target="https://cdn.scnbdx.fr/web-afresco/BOGAMET/MET_ARR_2020-BM1439.pdf" TargetMode="External"/><Relationship Id="rId1920" Type="http://schemas.openxmlformats.org/officeDocument/2006/relationships/hyperlink" Target="https://cdn.scnbdx.fr/web-afresco/BOGAMET/MET_ARR_2020-BM1401.pdf" TargetMode="External"/><Relationship Id="rId1921" Type="http://schemas.openxmlformats.org/officeDocument/2006/relationships/hyperlink" Target="https://cdn.scnbdx.fr/web-afresco/BOGAMET/MET_ARR_2020-BM1508.pdf" TargetMode="External"/><Relationship Id="rId1922" Type="http://schemas.openxmlformats.org/officeDocument/2006/relationships/hyperlink" Target="https://cdn.scnbdx.fr/web-afresco/BOGAMET/MET_ARR_2020-BM1508.pdf" TargetMode="External"/><Relationship Id="rId1923" Type="http://schemas.openxmlformats.org/officeDocument/2006/relationships/hyperlink" Target="https://cdn.scnbdx.fr/web-afresco/BOGAMET/MET_ARR_2020-BM1529.pdf" TargetMode="External"/><Relationship Id="rId1924" Type="http://schemas.openxmlformats.org/officeDocument/2006/relationships/hyperlink" Target="https://cdn.scnbdx.fr/web-afresco/BOGAMET/MET_ARR_2020-BM1529.pdf" TargetMode="External"/><Relationship Id="rId1925" Type="http://schemas.openxmlformats.org/officeDocument/2006/relationships/hyperlink" Target="https://cdn.scnbdx.fr/web-afresco/BOGAMET/MET_ARR_2020-BM1355.pdf" TargetMode="External"/><Relationship Id="rId1926" Type="http://schemas.openxmlformats.org/officeDocument/2006/relationships/hyperlink" Target="https://cdn.scnbdx.fr/web-afresco/BOGAMET/MET_ARR_2020-BM1355.pdf" TargetMode="External"/><Relationship Id="rId1927" Type="http://schemas.openxmlformats.org/officeDocument/2006/relationships/hyperlink" Target="https://cdn.scnbdx.fr/web-afresco/BOGAMET/MET_ARR_2020-BM1507.pdf" TargetMode="External"/><Relationship Id="rId1928" Type="http://schemas.openxmlformats.org/officeDocument/2006/relationships/hyperlink" Target="https://cdn.scnbdx.fr/web-afresco/BOGAMET/MET_ARR_2020-BM1507.pdf" TargetMode="External"/><Relationship Id="rId1929" Type="http://schemas.openxmlformats.org/officeDocument/2006/relationships/hyperlink" Target="https://cdn.scnbdx.fr/web-afresco/BOGAMET/MET_ARR_2020-BM1411.pdf" TargetMode="External"/><Relationship Id="rId1950" Type="http://schemas.openxmlformats.org/officeDocument/2006/relationships/hyperlink" Target="https://cdn.scnbdx.fr/web-afresco/BOGAMET/MET_ARR_2020-BM1451.pdf" TargetMode="External"/><Relationship Id="rId1951" Type="http://schemas.openxmlformats.org/officeDocument/2006/relationships/hyperlink" Target="https://cdn.scnbdx.fr/web-afresco/BOGAMET/MET_ARR_2020-BM1453.pdf" TargetMode="External"/><Relationship Id="rId1952" Type="http://schemas.openxmlformats.org/officeDocument/2006/relationships/hyperlink" Target="https://cdn.scnbdx.fr/web-afresco/BOGAMET/MET_ARR_2020-BM1453.pdf" TargetMode="External"/><Relationship Id="rId1953" Type="http://schemas.openxmlformats.org/officeDocument/2006/relationships/hyperlink" Target="https://cdn.scnbdx.fr/web-afresco/BOGAMET/MET_ARR_2020-BM1454.pdf" TargetMode="External"/><Relationship Id="rId1954" Type="http://schemas.openxmlformats.org/officeDocument/2006/relationships/hyperlink" Target="https://cdn.scnbdx.fr/web-afresco/BOGAMET/MET_ARR_2020-BM1454.pdf" TargetMode="External"/><Relationship Id="rId1955" Type="http://schemas.openxmlformats.org/officeDocument/2006/relationships/hyperlink" Target="https://cdn.scnbdx.fr/web-afresco/BOGAMET/MET_ARR_2020-BM1457.pdf" TargetMode="External"/><Relationship Id="rId1956" Type="http://schemas.openxmlformats.org/officeDocument/2006/relationships/hyperlink" Target="https://cdn.scnbdx.fr/web-afresco/BOGAMET/MET_ARR_2020-BM1457.pdf" TargetMode="External"/><Relationship Id="rId1957" Type="http://schemas.openxmlformats.org/officeDocument/2006/relationships/hyperlink" Target="https://cdn.scnbdx.fr/web-afresco/BOGAMET/MET_ARR_2020-BM1535.pdf" TargetMode="External"/><Relationship Id="rId1958" Type="http://schemas.openxmlformats.org/officeDocument/2006/relationships/hyperlink" Target="https://cdn.scnbdx.fr/web-afresco/BOGAMET/MET_ARR_2020-BM1535.pdf" TargetMode="External"/><Relationship Id="rId1959" Type="http://schemas.openxmlformats.org/officeDocument/2006/relationships/hyperlink" Target="https://cdn.scnbdx.fr/web-afresco/BOGAMET/MET_ARR_2021-BM0085.pdf" TargetMode="External"/><Relationship Id="rId1940" Type="http://schemas.openxmlformats.org/officeDocument/2006/relationships/hyperlink" Target="https://cdn.scnbdx.fr/web-afresco/BOGAMET/MET_ARR_2020-BM1439.pdf" TargetMode="External"/><Relationship Id="rId1941" Type="http://schemas.openxmlformats.org/officeDocument/2006/relationships/hyperlink" Target="https://cdn.scnbdx.fr/web-afresco/BOGAMET/MET_ARR_2020-BM1442.pdf" TargetMode="External"/><Relationship Id="rId1942" Type="http://schemas.openxmlformats.org/officeDocument/2006/relationships/hyperlink" Target="https://cdn.scnbdx.fr/web-afresco/BOGAMET/MET_ARR_2020-BM1442.pdf" TargetMode="External"/><Relationship Id="rId1943" Type="http://schemas.openxmlformats.org/officeDocument/2006/relationships/hyperlink" Target="https://cdn.scnbdx.fr/web-afresco/BOGAMET/MET_ARR_2020-BM1448.pdf" TargetMode="External"/><Relationship Id="rId1944" Type="http://schemas.openxmlformats.org/officeDocument/2006/relationships/hyperlink" Target="https://cdn.scnbdx.fr/web-afresco/BOGAMET/MET_ARR_2020-BM1448.pdf" TargetMode="External"/><Relationship Id="rId1945" Type="http://schemas.openxmlformats.org/officeDocument/2006/relationships/hyperlink" Target="https://cdn.scnbdx.fr/web-afresco/BOGAMET/MET_ARR_2020-BM1449.pdf" TargetMode="External"/><Relationship Id="rId1946" Type="http://schemas.openxmlformats.org/officeDocument/2006/relationships/hyperlink" Target="https://cdn.scnbdx.fr/web-afresco/BOGAMET/MET_ARR_2020-BM1449.pdf" TargetMode="External"/><Relationship Id="rId1947" Type="http://schemas.openxmlformats.org/officeDocument/2006/relationships/hyperlink" Target="https://cdn.scnbdx.fr/web-afresco/BOGAMET/MET_ARR_2020-BM1450.pdf" TargetMode="External"/><Relationship Id="rId1948" Type="http://schemas.openxmlformats.org/officeDocument/2006/relationships/hyperlink" Target="https://cdn.scnbdx.fr/web-afresco/BOGAMET/MET_ARR_2020-BM1450.pdf" TargetMode="External"/><Relationship Id="rId1949" Type="http://schemas.openxmlformats.org/officeDocument/2006/relationships/hyperlink" Target="https://cdn.scnbdx.fr/web-afresco/BOGAMET/MET_ARR_2020-BM1451.pdf" TargetMode="External"/><Relationship Id="rId1576" Type="http://schemas.openxmlformats.org/officeDocument/2006/relationships/hyperlink" Target="https://cdn.scnbdx.fr/web-afresco/BOGAMET/MET_ARR_2021-BM0629.pdf" TargetMode="External"/><Relationship Id="rId2423" Type="http://schemas.openxmlformats.org/officeDocument/2006/relationships/hyperlink" Target="https://cdn.scnbdx.fr/web-afresco/BOGAMET/MET_ARR_2021-BM1089.pdf" TargetMode="External"/><Relationship Id="rId1577" Type="http://schemas.openxmlformats.org/officeDocument/2006/relationships/hyperlink" Target="https://cdn.scnbdx.fr/web-afresco/BOGAMET/MET_ARR_2021-BM0733.pdf" TargetMode="External"/><Relationship Id="rId2424" Type="http://schemas.openxmlformats.org/officeDocument/2006/relationships/hyperlink" Target="https://cdn.scnbdx.fr/web-afresco/BOGAMET/MET_ARR_2021-BM1089.pdf" TargetMode="External"/><Relationship Id="rId1578" Type="http://schemas.openxmlformats.org/officeDocument/2006/relationships/hyperlink" Target="https://cdn.scnbdx.fr/web-afresco/BOGAMET/MET_ARR_2021-BM0733.pdf" TargetMode="External"/><Relationship Id="rId2425" Type="http://schemas.openxmlformats.org/officeDocument/2006/relationships/hyperlink" Target="https://cdn.scnbdx.fr/web-afresco/BOGAMET/MET_ARR_2021-BM1090.pdf" TargetMode="External"/><Relationship Id="rId1579" Type="http://schemas.openxmlformats.org/officeDocument/2006/relationships/hyperlink" Target="https://cdn.scnbdx.fr/web-afresco/BOGAMET/MET_ARR_2021-BM0734.pdf" TargetMode="External"/><Relationship Id="rId2426" Type="http://schemas.openxmlformats.org/officeDocument/2006/relationships/hyperlink" Target="https://cdn.scnbdx.fr/web-afresco/BOGAMET/MET_ARR_2021-BM1090.pdf" TargetMode="External"/><Relationship Id="rId2427" Type="http://schemas.openxmlformats.org/officeDocument/2006/relationships/hyperlink" Target="https://cdn.scnbdx.fr/web-afresco/BOGAMET/MET_ARR_2021-BM1094.pdf" TargetMode="External"/><Relationship Id="rId2428" Type="http://schemas.openxmlformats.org/officeDocument/2006/relationships/hyperlink" Target="https://cdn.scnbdx.fr/web-afresco/BOGAMET/MET_ARR_2021-BM1094.pdf" TargetMode="External"/><Relationship Id="rId2429" Type="http://schemas.openxmlformats.org/officeDocument/2006/relationships/hyperlink" Target="https://cdn.scnbdx.fr/web-afresco/BOGAMET/MET_ARR_2021-BM1372.pdf" TargetMode="External"/><Relationship Id="rId509" Type="http://schemas.openxmlformats.org/officeDocument/2006/relationships/hyperlink" Target="https://cdn.scnbdx.fr/web-afresco/BOGAMET/MET_ARR_2020-BM1577.pdf" TargetMode="External"/><Relationship Id="rId508" Type="http://schemas.openxmlformats.org/officeDocument/2006/relationships/hyperlink" Target="https://cdn.scnbdx.fr/web-afresco/BOGAMET/MET_ARR_2020-BM1643.pdf" TargetMode="External"/><Relationship Id="rId503" Type="http://schemas.openxmlformats.org/officeDocument/2006/relationships/hyperlink" Target="https://cdn.scnbdx.fr/web-afresco/BOGAMET/MET_ARR_2021-BM0040.pdf" TargetMode="External"/><Relationship Id="rId987" Type="http://schemas.openxmlformats.org/officeDocument/2006/relationships/hyperlink" Target="https://cdn.scnbdx.fr/web-afresco/BOGAMET/MET_ARR_2020-BM1072.pdf" TargetMode="External"/><Relationship Id="rId502" Type="http://schemas.openxmlformats.org/officeDocument/2006/relationships/hyperlink" Target="https://cdn.scnbdx.fr/web-afresco/BOGAMET/MET_ARR_2021-BM0035.pdf" TargetMode="External"/><Relationship Id="rId986" Type="http://schemas.openxmlformats.org/officeDocument/2006/relationships/hyperlink" Target="https://cdn.scnbdx.fr/web-afresco/BOGAMET/MET_ARR_2020-BM1009.pdf" TargetMode="External"/><Relationship Id="rId501" Type="http://schemas.openxmlformats.org/officeDocument/2006/relationships/hyperlink" Target="https://cdn.scnbdx.fr/web-afresco/BOGAMET/MET_ARR_2021-BM0035.pdf" TargetMode="External"/><Relationship Id="rId985" Type="http://schemas.openxmlformats.org/officeDocument/2006/relationships/hyperlink" Target="https://cdn.scnbdx.fr/web-afresco/BOGAMET/MET_ARR_2020-BM1009.pdf" TargetMode="External"/><Relationship Id="rId500" Type="http://schemas.openxmlformats.org/officeDocument/2006/relationships/hyperlink" Target="https://cdn.scnbdx.fr/web-afresco/BOGAMET/MET_ARR_2021-BM0371.pdf" TargetMode="External"/><Relationship Id="rId984" Type="http://schemas.openxmlformats.org/officeDocument/2006/relationships/hyperlink" Target="https://cdn.scnbdx.fr/web-afresco/BOGAMET/MET_ARR_2021-BM1389.pdf" TargetMode="External"/><Relationship Id="rId507" Type="http://schemas.openxmlformats.org/officeDocument/2006/relationships/hyperlink" Target="https://cdn.scnbdx.fr/web-afresco/BOGAMET/MET_ARR_2020-BM1643.pdf" TargetMode="External"/><Relationship Id="rId506" Type="http://schemas.openxmlformats.org/officeDocument/2006/relationships/hyperlink" Target="https://cdn.scnbdx.fr/web-afresco/BOGAMET/MET_ARR_2020-BM1514.pdf" TargetMode="External"/><Relationship Id="rId505" Type="http://schemas.openxmlformats.org/officeDocument/2006/relationships/hyperlink" Target="https://cdn.scnbdx.fr/web-afresco/BOGAMET/MET_ARR_2020-BM1514.pdf" TargetMode="External"/><Relationship Id="rId989" Type="http://schemas.openxmlformats.org/officeDocument/2006/relationships/hyperlink" Target="https://cdn.scnbdx.fr/web-afresco/BOGAMET/MET_ARR_2020-BM1074.pdf" TargetMode="External"/><Relationship Id="rId504" Type="http://schemas.openxmlformats.org/officeDocument/2006/relationships/hyperlink" Target="https://cdn.scnbdx.fr/web-afresco/BOGAMET/MET_ARR_2021-BM0040.pdf" TargetMode="External"/><Relationship Id="rId988" Type="http://schemas.openxmlformats.org/officeDocument/2006/relationships/hyperlink" Target="https://cdn.scnbdx.fr/web-afresco/BOGAMET/MET_ARR_2020-BM1072.pdf" TargetMode="External"/><Relationship Id="rId1570" Type="http://schemas.openxmlformats.org/officeDocument/2006/relationships/hyperlink" Target="https://cdn.scnbdx.fr/web-afresco/BOGAMET/MET_ARR_2021-BM0840.pdf" TargetMode="External"/><Relationship Id="rId1571" Type="http://schemas.openxmlformats.org/officeDocument/2006/relationships/hyperlink" Target="https://cdn.scnbdx.fr/web-afresco/BOGAMET/MET_ARR_2021-BM0900.pdf" TargetMode="External"/><Relationship Id="rId983" Type="http://schemas.openxmlformats.org/officeDocument/2006/relationships/hyperlink" Target="https://cdn.scnbdx.fr/web-afresco/BOGAMET/MET_ARR_2021-BM1389.pdf" TargetMode="External"/><Relationship Id="rId1572" Type="http://schemas.openxmlformats.org/officeDocument/2006/relationships/hyperlink" Target="https://cdn.scnbdx.fr/web-afresco/BOGAMET/MET_ARR_2021-BM0900.pdf" TargetMode="External"/><Relationship Id="rId982" Type="http://schemas.openxmlformats.org/officeDocument/2006/relationships/hyperlink" Target="https://cdn.scnbdx.fr/web-afresco/BOGAMET/MET_ARR_2020-BM0997.pdf" TargetMode="External"/><Relationship Id="rId1573" Type="http://schemas.openxmlformats.org/officeDocument/2006/relationships/hyperlink" Target="https://cdn.scnbdx.fr/web-afresco/BOGAMET/MET_ARR_2021-BM0628.pdf" TargetMode="External"/><Relationship Id="rId2420" Type="http://schemas.openxmlformats.org/officeDocument/2006/relationships/hyperlink" Target="https://cdn.scnbdx.fr/web-afresco/BOGAMET/MET_ARR_2021-BM1078.pdf" TargetMode="External"/><Relationship Id="rId981" Type="http://schemas.openxmlformats.org/officeDocument/2006/relationships/hyperlink" Target="https://cdn.scnbdx.fr/web-afresco/BOGAMET/MET_ARR_2020-BM0997.pdf" TargetMode="External"/><Relationship Id="rId1574" Type="http://schemas.openxmlformats.org/officeDocument/2006/relationships/hyperlink" Target="https://cdn.scnbdx.fr/web-afresco/BOGAMET/MET_ARR_2021-BM0628.pdf" TargetMode="External"/><Relationship Id="rId2421" Type="http://schemas.openxmlformats.org/officeDocument/2006/relationships/hyperlink" Target="https://cdn.scnbdx.fr/web-afresco/BOGAMET/MET_ARR_2021-BM1081.pdf" TargetMode="External"/><Relationship Id="rId980" Type="http://schemas.openxmlformats.org/officeDocument/2006/relationships/hyperlink" Target="https://cdn.scnbdx.fr/web-afresco/BOGAMET/MET_ARR_2020-BM0959.pdf" TargetMode="External"/><Relationship Id="rId1575" Type="http://schemas.openxmlformats.org/officeDocument/2006/relationships/hyperlink" Target="https://cdn.scnbdx.fr/web-afresco/BOGAMET/MET_ARR_2021-BM0629.pdf" TargetMode="External"/><Relationship Id="rId2422" Type="http://schemas.openxmlformats.org/officeDocument/2006/relationships/hyperlink" Target="https://cdn.scnbdx.fr/web-afresco/BOGAMET/MET_ARR_2021-BM1081.pdf" TargetMode="External"/><Relationship Id="rId1565" Type="http://schemas.openxmlformats.org/officeDocument/2006/relationships/hyperlink" Target="https://cdn.scnbdx.fr/web-afresco/BOGAMET/MET_ARR_2021-BM0732.pdf" TargetMode="External"/><Relationship Id="rId2412" Type="http://schemas.openxmlformats.org/officeDocument/2006/relationships/hyperlink" Target="https://cdn.scnbdx.fr/web-afresco/BOGAMET/MET_ARR_2021-BM0808.pdf" TargetMode="External"/><Relationship Id="rId1566" Type="http://schemas.openxmlformats.org/officeDocument/2006/relationships/hyperlink" Target="https://cdn.scnbdx.fr/web-afresco/BOGAMET/MET_ARR_2021-BM0732.pdf" TargetMode="External"/><Relationship Id="rId2413" Type="http://schemas.openxmlformats.org/officeDocument/2006/relationships/hyperlink" Target="https://cdn.scnbdx.fr/web-afresco/BOGAMET/MET_ARR_2021-BM0811.pdf" TargetMode="External"/><Relationship Id="rId1567" Type="http://schemas.openxmlformats.org/officeDocument/2006/relationships/hyperlink" Target="https://cdn.scnbdx.fr/web-afresco/BOGAMET/MET_ARR_2021-BM0838.pdf" TargetMode="External"/><Relationship Id="rId2414" Type="http://schemas.openxmlformats.org/officeDocument/2006/relationships/hyperlink" Target="https://cdn.scnbdx.fr/web-afresco/BOGAMET/MET_ARR_2021-BM0811.pdf" TargetMode="External"/><Relationship Id="rId1568" Type="http://schemas.openxmlformats.org/officeDocument/2006/relationships/hyperlink" Target="https://cdn.scnbdx.fr/web-afresco/BOGAMET/MET_ARR_2021-BM0838.pdf" TargetMode="External"/><Relationship Id="rId2415" Type="http://schemas.openxmlformats.org/officeDocument/2006/relationships/hyperlink" Target="https://cdn.scnbdx.fr/web-afresco/BOGAMET/MET_ARR_2021-BM0858.pdf" TargetMode="External"/><Relationship Id="rId1569" Type="http://schemas.openxmlformats.org/officeDocument/2006/relationships/hyperlink" Target="https://cdn.scnbdx.fr/web-afresco/BOGAMET/MET_ARR_2021-BM0840.pdf" TargetMode="External"/><Relationship Id="rId2416" Type="http://schemas.openxmlformats.org/officeDocument/2006/relationships/hyperlink" Target="https://cdn.scnbdx.fr/web-afresco/BOGAMET/MET_ARR_2021-BM0858.pdf" TargetMode="External"/><Relationship Id="rId2417" Type="http://schemas.openxmlformats.org/officeDocument/2006/relationships/hyperlink" Target="https://cdn.scnbdx.fr/web-afresco/BOGAMET/MET_ARR_2021-BM1077.pdf" TargetMode="External"/><Relationship Id="rId2418" Type="http://schemas.openxmlformats.org/officeDocument/2006/relationships/hyperlink" Target="https://cdn.scnbdx.fr/web-afresco/BOGAMET/MET_ARR_2021-BM1077.pdf" TargetMode="External"/><Relationship Id="rId2419" Type="http://schemas.openxmlformats.org/officeDocument/2006/relationships/hyperlink" Target="https://cdn.scnbdx.fr/web-afresco/BOGAMET/MET_ARR_2021-BM1078.pdf" TargetMode="External"/><Relationship Id="rId976" Type="http://schemas.openxmlformats.org/officeDocument/2006/relationships/hyperlink" Target="https://cdn.scnbdx.fr/web-afresco/BOGAMET/MET_ARR_2020-BM0923.pdf" TargetMode="External"/><Relationship Id="rId975" Type="http://schemas.openxmlformats.org/officeDocument/2006/relationships/hyperlink" Target="https://cdn.scnbdx.fr/web-afresco/BOGAMET/MET_ARR_2020-BM0923.pdf" TargetMode="External"/><Relationship Id="rId974" Type="http://schemas.openxmlformats.org/officeDocument/2006/relationships/hyperlink" Target="https://cdn.scnbdx.fr/web-afresco/BOGAMET/MET_ARR_2020-BM0922.pdf" TargetMode="External"/><Relationship Id="rId973" Type="http://schemas.openxmlformats.org/officeDocument/2006/relationships/hyperlink" Target="https://cdn.scnbdx.fr/web-afresco/BOGAMET/MET_ARR_2020-BM0922.pdf" TargetMode="External"/><Relationship Id="rId979" Type="http://schemas.openxmlformats.org/officeDocument/2006/relationships/hyperlink" Target="https://cdn.scnbdx.fr/web-afresco/BOGAMET/MET_ARR_2020-BM0959.pdf" TargetMode="External"/><Relationship Id="rId978" Type="http://schemas.openxmlformats.org/officeDocument/2006/relationships/hyperlink" Target="https://cdn.scnbdx.fr/web-afresco/BOGAMET/MET_ARR_2020-BM0924.pdf" TargetMode="External"/><Relationship Id="rId977" Type="http://schemas.openxmlformats.org/officeDocument/2006/relationships/hyperlink" Target="https://cdn.scnbdx.fr/web-afresco/BOGAMET/MET_ARR_2020-BM0924.pdf" TargetMode="External"/><Relationship Id="rId1560" Type="http://schemas.openxmlformats.org/officeDocument/2006/relationships/hyperlink" Target="https://cdn.scnbdx.fr/web-afresco/BOGAMET/MET_ARR_2021-BM0727.pdf" TargetMode="External"/><Relationship Id="rId972" Type="http://schemas.openxmlformats.org/officeDocument/2006/relationships/hyperlink" Target="https://cdn.scnbdx.fr/web-afresco/BOGAMET/MET_ARR_2020-BM0921.pdf" TargetMode="External"/><Relationship Id="rId1561" Type="http://schemas.openxmlformats.org/officeDocument/2006/relationships/hyperlink" Target="https://cdn.scnbdx.fr/web-afresco/BOGAMET/MET_ARR_2021-BM0729.pdf" TargetMode="External"/><Relationship Id="rId971" Type="http://schemas.openxmlformats.org/officeDocument/2006/relationships/hyperlink" Target="https://cdn.scnbdx.fr/web-afresco/BOGAMET/MET_ARR_2020-BM0921.pdf" TargetMode="External"/><Relationship Id="rId1562" Type="http://schemas.openxmlformats.org/officeDocument/2006/relationships/hyperlink" Target="https://cdn.scnbdx.fr/web-afresco/BOGAMET/MET_ARR_2021-BM0729.pdf" TargetMode="External"/><Relationship Id="rId970" Type="http://schemas.openxmlformats.org/officeDocument/2006/relationships/hyperlink" Target="https://cdn.scnbdx.fr/web-afresco/BOGAMET/MET_ARR_2020-BM0936.pdf" TargetMode="External"/><Relationship Id="rId1563" Type="http://schemas.openxmlformats.org/officeDocument/2006/relationships/hyperlink" Target="https://cdn.scnbdx.fr/web-afresco/BOGAMET/MET_ARR_2021-BM0731.pdf" TargetMode="External"/><Relationship Id="rId2410" Type="http://schemas.openxmlformats.org/officeDocument/2006/relationships/hyperlink" Target="https://cdn.scnbdx.fr/web-afresco/BOGAMET/MET_ARR_2021-BM0835.pdf" TargetMode="External"/><Relationship Id="rId1564" Type="http://schemas.openxmlformats.org/officeDocument/2006/relationships/hyperlink" Target="https://cdn.scnbdx.fr/web-afresco/BOGAMET/MET_ARR_2021-BM0731.pdf" TargetMode="External"/><Relationship Id="rId2411" Type="http://schemas.openxmlformats.org/officeDocument/2006/relationships/hyperlink" Target="https://cdn.scnbdx.fr/web-afresco/BOGAMET/MET_ARR_2021-BM0808.pdf" TargetMode="External"/><Relationship Id="rId1114" Type="http://schemas.openxmlformats.org/officeDocument/2006/relationships/hyperlink" Target="https://cdn.scnbdx.fr/web-afresco/BOGAMET/MET_ARR_2021-BM0312.pdf" TargetMode="External"/><Relationship Id="rId1598" Type="http://schemas.openxmlformats.org/officeDocument/2006/relationships/hyperlink" Target="https://cdn.scnbdx.fr/web-afresco/BOGAMET/MET_ARR_2021-BM1519.pdf" TargetMode="External"/><Relationship Id="rId2445" Type="http://schemas.openxmlformats.org/officeDocument/2006/relationships/hyperlink" Target="https://cdn.scnbdx.fr/web-afresco/BOGAMET/MET_ARR_2021-BM1301.pdf" TargetMode="External"/><Relationship Id="rId1115" Type="http://schemas.openxmlformats.org/officeDocument/2006/relationships/hyperlink" Target="https://cdn.scnbdx.fr/web-afresco/BOGAMET/MET_ARR_2021-BM0313.pdf" TargetMode="External"/><Relationship Id="rId1599" Type="http://schemas.openxmlformats.org/officeDocument/2006/relationships/hyperlink" Target="https://cdn.scnbdx.fr/web-afresco/BOGAMET/MET_ARR_2021-BM1520.pdf" TargetMode="External"/><Relationship Id="rId2446" Type="http://schemas.openxmlformats.org/officeDocument/2006/relationships/hyperlink" Target="https://cdn.scnbdx.fr/web-afresco/BOGAMET/MET_ARR_2021-BM1301.pdf" TargetMode="External"/><Relationship Id="rId1116" Type="http://schemas.openxmlformats.org/officeDocument/2006/relationships/hyperlink" Target="https://cdn.scnbdx.fr/web-afresco/BOGAMET/MET_ARR_2021-BM0313.pdf" TargetMode="External"/><Relationship Id="rId2447" Type="http://schemas.openxmlformats.org/officeDocument/2006/relationships/hyperlink" Target="https://cdn.scnbdx.fr/web-afresco/BOGAMET/MET_ARR_2021-BM1302.pdf" TargetMode="External"/><Relationship Id="rId1117" Type="http://schemas.openxmlformats.org/officeDocument/2006/relationships/hyperlink" Target="https://cdn.scnbdx.fr/web-afresco/BOGAMET/MET_ARR_2021-BM0199.pdf" TargetMode="External"/><Relationship Id="rId2448" Type="http://schemas.openxmlformats.org/officeDocument/2006/relationships/hyperlink" Target="https://cdn.scnbdx.fr/web-afresco/BOGAMET/MET_ARR_2021-BM1302.pdf" TargetMode="External"/><Relationship Id="rId1118" Type="http://schemas.openxmlformats.org/officeDocument/2006/relationships/hyperlink" Target="https://cdn.scnbdx.fr/web-afresco/BOGAMET/MET_ARR_2021-BM0199.pdf" TargetMode="External"/><Relationship Id="rId2449" Type="http://schemas.openxmlformats.org/officeDocument/2006/relationships/hyperlink" Target="https://cdn.scnbdx.fr/web-afresco/BOGAMET/MET_ARR_2021-BM1447.pdf" TargetMode="External"/><Relationship Id="rId1119" Type="http://schemas.openxmlformats.org/officeDocument/2006/relationships/hyperlink" Target="https://cdn.scnbdx.fr/web-afresco/BOGAMET/MET_ARR_2021-BM0445.pdf" TargetMode="External"/><Relationship Id="rId525" Type="http://schemas.openxmlformats.org/officeDocument/2006/relationships/hyperlink" Target="https://cdn.scnbdx.fr/web-afresco/BOGAMET/MET_ARR_2021-BM1243.pdf" TargetMode="External"/><Relationship Id="rId524" Type="http://schemas.openxmlformats.org/officeDocument/2006/relationships/hyperlink" Target="https://cdn.scnbdx.fr/web-afresco/BOGAMET/MET_ARR_2021-BM0891.pdf" TargetMode="External"/><Relationship Id="rId523" Type="http://schemas.openxmlformats.org/officeDocument/2006/relationships/hyperlink" Target="https://cdn.scnbdx.fr/web-afresco/BOGAMET/MET_ARR_2021-BM0891.pdf" TargetMode="External"/><Relationship Id="rId522" Type="http://schemas.openxmlformats.org/officeDocument/2006/relationships/hyperlink" Target="https://cdn.scnbdx.fr/web-afresco/BOGAMET/MET_ARR_2021-BM0864.pdf" TargetMode="External"/><Relationship Id="rId529" Type="http://schemas.openxmlformats.org/officeDocument/2006/relationships/hyperlink" Target="https://cdn.scnbdx.fr/web-afresco/BOGAMET/MET_ARR_2021-BM0884.pdf" TargetMode="External"/><Relationship Id="rId528" Type="http://schemas.openxmlformats.org/officeDocument/2006/relationships/hyperlink" Target="https://cdn.scnbdx.fr/web-afresco/BOGAMET/MET_ARR_2021-BM1159.pdf" TargetMode="External"/><Relationship Id="rId527" Type="http://schemas.openxmlformats.org/officeDocument/2006/relationships/hyperlink" Target="https://cdn.scnbdx.fr/web-afresco/BOGAMET/MET_ARR_2021-BM1159.pdf" TargetMode="External"/><Relationship Id="rId526" Type="http://schemas.openxmlformats.org/officeDocument/2006/relationships/hyperlink" Target="https://cdn.scnbdx.fr/web-afresco/BOGAMET/MET_ARR_2021-BM1243.pdf" TargetMode="External"/><Relationship Id="rId1590" Type="http://schemas.openxmlformats.org/officeDocument/2006/relationships/hyperlink" Target="https://cdn.scnbdx.fr/web-afresco/BOGAMET/MET_ARR_2021-BM0755.pdf" TargetMode="External"/><Relationship Id="rId1591" Type="http://schemas.openxmlformats.org/officeDocument/2006/relationships/hyperlink" Target="https://cdn.scnbdx.fr/web-afresco/BOGAMET/MET_ARR_2021-BM0757.pdf" TargetMode="External"/><Relationship Id="rId1592" Type="http://schemas.openxmlformats.org/officeDocument/2006/relationships/hyperlink" Target="https://cdn.scnbdx.fr/web-afresco/BOGAMET/MET_ARR_2021-BM0757.pdf" TargetMode="External"/><Relationship Id="rId1593" Type="http://schemas.openxmlformats.org/officeDocument/2006/relationships/hyperlink" Target="https://cdn.scnbdx.fr/web-afresco/BOGAMET/MET_ARR_2021-BM0758.pdf" TargetMode="External"/><Relationship Id="rId2440" Type="http://schemas.openxmlformats.org/officeDocument/2006/relationships/hyperlink" Target="https://cdn.scnbdx.fr/web-afresco/BOGAMET/MET_ARR_2021-BM1296.pdf" TargetMode="External"/><Relationship Id="rId521" Type="http://schemas.openxmlformats.org/officeDocument/2006/relationships/hyperlink" Target="https://cdn.scnbdx.fr/web-afresco/BOGAMET/MET_ARR_2021-BM0864.pdf" TargetMode="External"/><Relationship Id="rId1110" Type="http://schemas.openxmlformats.org/officeDocument/2006/relationships/hyperlink" Target="https://cdn.scnbdx.fr/web-afresco/BOGAMET/MET_ARR_2021-BM0489.pdf" TargetMode="External"/><Relationship Id="rId1594" Type="http://schemas.openxmlformats.org/officeDocument/2006/relationships/hyperlink" Target="https://cdn.scnbdx.fr/web-afresco/BOGAMET/MET_ARR_2021-BM0758.pdf" TargetMode="External"/><Relationship Id="rId2441" Type="http://schemas.openxmlformats.org/officeDocument/2006/relationships/hyperlink" Target="https://cdn.scnbdx.fr/web-afresco/BOGAMET/MET_ARR_2021-BM1298.pdf" TargetMode="External"/><Relationship Id="rId520" Type="http://schemas.openxmlformats.org/officeDocument/2006/relationships/hyperlink" Target="https://cdn.scnbdx.fr/web-afresco/BOGAMET/MET_ARR_2021-BM0793.pdf" TargetMode="External"/><Relationship Id="rId1111" Type="http://schemas.openxmlformats.org/officeDocument/2006/relationships/hyperlink" Target="https://cdn.scnbdx.fr/web-afresco/BOGAMET/MET_ARR_2021-BM0311.pdf" TargetMode="External"/><Relationship Id="rId1595" Type="http://schemas.openxmlformats.org/officeDocument/2006/relationships/hyperlink" Target="https://cdn.scnbdx.fr/web-afresco/BOGAMET/MET_ARR_2021-BM0773.pdf" TargetMode="External"/><Relationship Id="rId2442" Type="http://schemas.openxmlformats.org/officeDocument/2006/relationships/hyperlink" Target="https://cdn.scnbdx.fr/web-afresco/BOGAMET/MET_ARR_2021-BM1298.pdf" TargetMode="External"/><Relationship Id="rId1112" Type="http://schemas.openxmlformats.org/officeDocument/2006/relationships/hyperlink" Target="https://cdn.scnbdx.fr/web-afresco/BOGAMET/MET_ARR_2021-BM0311.pdf" TargetMode="External"/><Relationship Id="rId1596" Type="http://schemas.openxmlformats.org/officeDocument/2006/relationships/hyperlink" Target="https://cdn.scnbdx.fr/web-afresco/BOGAMET/MET_ARR_2021-BM0773.pdf" TargetMode="External"/><Relationship Id="rId2443" Type="http://schemas.openxmlformats.org/officeDocument/2006/relationships/hyperlink" Target="https://cdn.scnbdx.fr/web-afresco/BOGAMET/MET_ARR_2021-BM1299.pdf" TargetMode="External"/><Relationship Id="rId1113" Type="http://schemas.openxmlformats.org/officeDocument/2006/relationships/hyperlink" Target="https://cdn.scnbdx.fr/web-afresco/BOGAMET/MET_ARR_2021-BM0312.pdf" TargetMode="External"/><Relationship Id="rId1597" Type="http://schemas.openxmlformats.org/officeDocument/2006/relationships/hyperlink" Target="https://cdn.scnbdx.fr/web-afresco/BOGAMET/MET_ARR_2021-BM1519.pdf" TargetMode="External"/><Relationship Id="rId2444" Type="http://schemas.openxmlformats.org/officeDocument/2006/relationships/hyperlink" Target="https://cdn.scnbdx.fr/web-afresco/BOGAMET/MET_ARR_2021-BM1299.pdf" TargetMode="External"/><Relationship Id="rId1103" Type="http://schemas.openxmlformats.org/officeDocument/2006/relationships/hyperlink" Target="https://cdn.scnbdx.fr/web-afresco/BOGAMET/MET_ARR_2021-BM0468.pdf" TargetMode="External"/><Relationship Id="rId1587" Type="http://schemas.openxmlformats.org/officeDocument/2006/relationships/hyperlink" Target="https://cdn.scnbdx.fr/web-afresco/BOGAMET/MET_ARR_2021-BM0745.pdf" TargetMode="External"/><Relationship Id="rId2434" Type="http://schemas.openxmlformats.org/officeDocument/2006/relationships/hyperlink" Target="https://cdn.scnbdx.fr/web-afresco/BOGAMET/MET_ARR_2021-BM1379.pdf" TargetMode="External"/><Relationship Id="rId1104" Type="http://schemas.openxmlformats.org/officeDocument/2006/relationships/hyperlink" Target="https://cdn.scnbdx.fr/web-afresco/BOGAMET/MET_ARR_2021-BM0468.pdf" TargetMode="External"/><Relationship Id="rId1588" Type="http://schemas.openxmlformats.org/officeDocument/2006/relationships/hyperlink" Target="https://cdn.scnbdx.fr/web-afresco/BOGAMET/MET_ARR_2021-BM0745.pdf" TargetMode="External"/><Relationship Id="rId2435" Type="http://schemas.openxmlformats.org/officeDocument/2006/relationships/hyperlink" Target="https://cdn.scnbdx.fr/web-afresco/BOGAMET/MET_ARR_2021-BM1381.pdf" TargetMode="External"/><Relationship Id="rId1105" Type="http://schemas.openxmlformats.org/officeDocument/2006/relationships/hyperlink" Target="https://cdn.scnbdx.fr/web-afresco/BOGAMET/MET_ARR_2021-BM0469.pdf" TargetMode="External"/><Relationship Id="rId1589" Type="http://schemas.openxmlformats.org/officeDocument/2006/relationships/hyperlink" Target="https://cdn.scnbdx.fr/web-afresco/BOGAMET/MET_ARR_2021-BM0755.pdf" TargetMode="External"/><Relationship Id="rId2436" Type="http://schemas.openxmlformats.org/officeDocument/2006/relationships/hyperlink" Target="https://cdn.scnbdx.fr/web-afresco/BOGAMET/MET_ARR_2021-BM1381.pdf" TargetMode="External"/><Relationship Id="rId1106" Type="http://schemas.openxmlformats.org/officeDocument/2006/relationships/hyperlink" Target="https://cdn.scnbdx.fr/web-afresco/BOGAMET/MET_ARR_2021-BM0469.pdf" TargetMode="External"/><Relationship Id="rId2437" Type="http://schemas.openxmlformats.org/officeDocument/2006/relationships/hyperlink" Target="https://cdn.scnbdx.fr/web-afresco/BOGAMET/MET_ARR_2021-BM1295.pdf" TargetMode="External"/><Relationship Id="rId1107" Type="http://schemas.openxmlformats.org/officeDocument/2006/relationships/hyperlink" Target="https://cdn.scnbdx.fr/web-afresco/BOGAMET/MET_ARR_2021-BM0484.pdf" TargetMode="External"/><Relationship Id="rId2438" Type="http://schemas.openxmlformats.org/officeDocument/2006/relationships/hyperlink" Target="https://cdn.scnbdx.fr/web-afresco/BOGAMET/MET_ARR_2021-BM1295.pdf" TargetMode="External"/><Relationship Id="rId1108" Type="http://schemas.openxmlformats.org/officeDocument/2006/relationships/hyperlink" Target="https://cdn.scnbdx.fr/web-afresco/BOGAMET/MET_ARR_2021-BM0484.pdf" TargetMode="External"/><Relationship Id="rId2439" Type="http://schemas.openxmlformats.org/officeDocument/2006/relationships/hyperlink" Target="https://cdn.scnbdx.fr/web-afresco/BOGAMET/MET_ARR_2021-BM1296.pdf" TargetMode="External"/><Relationship Id="rId1109" Type="http://schemas.openxmlformats.org/officeDocument/2006/relationships/hyperlink" Target="https://cdn.scnbdx.fr/web-afresco/BOGAMET/MET_ARR_2021-BM0489.pdf" TargetMode="External"/><Relationship Id="rId519" Type="http://schemas.openxmlformats.org/officeDocument/2006/relationships/hyperlink" Target="https://cdn.scnbdx.fr/web-afresco/BOGAMET/MET_ARR_2021-BM0793.pdf" TargetMode="External"/><Relationship Id="rId514" Type="http://schemas.openxmlformats.org/officeDocument/2006/relationships/hyperlink" Target="https://cdn.scnbdx.fr/web-afresco/BOGAMET/MET_ARR_2021-BM0770.pdf" TargetMode="External"/><Relationship Id="rId998" Type="http://schemas.openxmlformats.org/officeDocument/2006/relationships/hyperlink" Target="https://cdn.scnbdx.fr/web-afresco/BOGAMET/MET_ARR_2020-BM1151.pdf" TargetMode="External"/><Relationship Id="rId513" Type="http://schemas.openxmlformats.org/officeDocument/2006/relationships/hyperlink" Target="https://cdn.scnbdx.fr/web-afresco/BOGAMET/MET_ARR_2021-BM0770.pdf" TargetMode="External"/><Relationship Id="rId997" Type="http://schemas.openxmlformats.org/officeDocument/2006/relationships/hyperlink" Target="https://cdn.scnbdx.fr/web-afresco/BOGAMET/MET_ARR_2020-BM1151.pdf" TargetMode="External"/><Relationship Id="rId512" Type="http://schemas.openxmlformats.org/officeDocument/2006/relationships/hyperlink" Target="https://cdn.scnbdx.fr/web-afresco/BOGAMET/MET_ARR_2020-BM1578.pdf" TargetMode="External"/><Relationship Id="rId996" Type="http://schemas.openxmlformats.org/officeDocument/2006/relationships/hyperlink" Target="https://cdn.scnbdx.fr/web-afresco/BOGAMET/MET_ARR_2020-BM1124.pdf" TargetMode="External"/><Relationship Id="rId511" Type="http://schemas.openxmlformats.org/officeDocument/2006/relationships/hyperlink" Target="https://cdn.scnbdx.fr/web-afresco/BOGAMET/MET_ARR_2020-BM1578.pdf" TargetMode="External"/><Relationship Id="rId995" Type="http://schemas.openxmlformats.org/officeDocument/2006/relationships/hyperlink" Target="https://cdn.scnbdx.fr/web-afresco/BOGAMET/MET_ARR_2020-BM1124.pdf" TargetMode="External"/><Relationship Id="rId518" Type="http://schemas.openxmlformats.org/officeDocument/2006/relationships/hyperlink" Target="https://cdn.scnbdx.fr/web-afresco/BOGAMET/MET_ARR_2021-BM0752.pdf" TargetMode="External"/><Relationship Id="rId517" Type="http://schemas.openxmlformats.org/officeDocument/2006/relationships/hyperlink" Target="https://cdn.scnbdx.fr/web-afresco/BOGAMET/MET_ARR_2021-BM0752.pdf" TargetMode="External"/><Relationship Id="rId516" Type="http://schemas.openxmlformats.org/officeDocument/2006/relationships/hyperlink" Target="https://cdn.scnbdx.fr/web-afresco/BOGAMET/MET_ARR_2021-BM1228.pdf" TargetMode="External"/><Relationship Id="rId515" Type="http://schemas.openxmlformats.org/officeDocument/2006/relationships/hyperlink" Target="https://cdn.scnbdx.fr/web-afresco/BOGAMET/MET_ARR_2021-BM1228.pdf" TargetMode="External"/><Relationship Id="rId999" Type="http://schemas.openxmlformats.org/officeDocument/2006/relationships/hyperlink" Target="https://cdn.scnbdx.fr/web-afresco/BOGAMET/MET_ARR_2020-BM1061.pdf" TargetMode="External"/><Relationship Id="rId990" Type="http://schemas.openxmlformats.org/officeDocument/2006/relationships/hyperlink" Target="https://cdn.scnbdx.fr/web-afresco/BOGAMET/MET_ARR_2020-BM1074.pdf" TargetMode="External"/><Relationship Id="rId1580" Type="http://schemas.openxmlformats.org/officeDocument/2006/relationships/hyperlink" Target="https://cdn.scnbdx.fr/web-afresco/BOGAMET/MET_ARR_2021-BM0734.pdf" TargetMode="External"/><Relationship Id="rId1581" Type="http://schemas.openxmlformats.org/officeDocument/2006/relationships/hyperlink" Target="https://cdn.scnbdx.fr/web-afresco/BOGAMET/MET_ARR_2021-BM0735.pdf" TargetMode="External"/><Relationship Id="rId1582" Type="http://schemas.openxmlformats.org/officeDocument/2006/relationships/hyperlink" Target="https://cdn.scnbdx.fr/web-afresco/BOGAMET/MET_ARR_2021-BM0735.pdf" TargetMode="External"/><Relationship Id="rId510" Type="http://schemas.openxmlformats.org/officeDocument/2006/relationships/hyperlink" Target="https://cdn.scnbdx.fr/web-afresco/BOGAMET/MET_ARR_2020-BM1577.pdf" TargetMode="External"/><Relationship Id="rId994" Type="http://schemas.openxmlformats.org/officeDocument/2006/relationships/hyperlink" Target="https://cdn.scnbdx.fr/web-afresco/BOGAMET/MET_ARR_2020-BM1060.pdf" TargetMode="External"/><Relationship Id="rId1583" Type="http://schemas.openxmlformats.org/officeDocument/2006/relationships/hyperlink" Target="https://cdn.scnbdx.fr/web-afresco/BOGAMET/MET_ARR_2021-BM0740.pdf" TargetMode="External"/><Relationship Id="rId2430" Type="http://schemas.openxmlformats.org/officeDocument/2006/relationships/hyperlink" Target="https://cdn.scnbdx.fr/web-afresco/BOGAMET/MET_ARR_2021-BM1372.pdf" TargetMode="External"/><Relationship Id="rId993" Type="http://schemas.openxmlformats.org/officeDocument/2006/relationships/hyperlink" Target="https://cdn.scnbdx.fr/web-afresco/BOGAMET/MET_ARR_2020-BM1060.pdf" TargetMode="External"/><Relationship Id="rId1100" Type="http://schemas.openxmlformats.org/officeDocument/2006/relationships/hyperlink" Target="https://cdn.scnbdx.fr/web-afresco/BOGAMET/MET_ARR_2021-BM0196.pdf" TargetMode="External"/><Relationship Id="rId1584" Type="http://schemas.openxmlformats.org/officeDocument/2006/relationships/hyperlink" Target="https://cdn.scnbdx.fr/web-afresco/BOGAMET/MET_ARR_2021-BM0740.pdf" TargetMode="External"/><Relationship Id="rId2431" Type="http://schemas.openxmlformats.org/officeDocument/2006/relationships/hyperlink" Target="https://cdn.scnbdx.fr/web-afresco/BOGAMET/MET_ARR_2021-BM1376.pdf" TargetMode="External"/><Relationship Id="rId992" Type="http://schemas.openxmlformats.org/officeDocument/2006/relationships/hyperlink" Target="https://cdn.scnbdx.fr/web-afresco/BOGAMET/MET_ARR_2020-BM1080.pdf" TargetMode="External"/><Relationship Id="rId1101" Type="http://schemas.openxmlformats.org/officeDocument/2006/relationships/hyperlink" Target="https://cdn.scnbdx.fr/web-afresco/BOGAMET/MET_ARR_2021-BM0375.pdf" TargetMode="External"/><Relationship Id="rId1585" Type="http://schemas.openxmlformats.org/officeDocument/2006/relationships/hyperlink" Target="https://cdn.scnbdx.fr/web-afresco/BOGAMET/MET_ARR_2021-BM0743.pdf" TargetMode="External"/><Relationship Id="rId2432" Type="http://schemas.openxmlformats.org/officeDocument/2006/relationships/hyperlink" Target="https://cdn.scnbdx.fr/web-afresco/BOGAMET/MET_ARR_2021-BM1376.pdf" TargetMode="External"/><Relationship Id="rId991" Type="http://schemas.openxmlformats.org/officeDocument/2006/relationships/hyperlink" Target="https://cdn.scnbdx.fr/web-afresco/BOGAMET/MET_ARR_2020-BM1080.pdf" TargetMode="External"/><Relationship Id="rId1102" Type="http://schemas.openxmlformats.org/officeDocument/2006/relationships/hyperlink" Target="https://cdn.scnbdx.fr/web-afresco/BOGAMET/MET_ARR_2021-BM0375.pdf" TargetMode="External"/><Relationship Id="rId1586" Type="http://schemas.openxmlformats.org/officeDocument/2006/relationships/hyperlink" Target="https://cdn.scnbdx.fr/web-afresco/BOGAMET/MET_ARR_2021-BM0743.pdf" TargetMode="External"/><Relationship Id="rId2433" Type="http://schemas.openxmlformats.org/officeDocument/2006/relationships/hyperlink" Target="https://cdn.scnbdx.fr/web-afresco/BOGAMET/MET_ARR_2021-BM1379.pdf" TargetMode="External"/><Relationship Id="rId1532" Type="http://schemas.openxmlformats.org/officeDocument/2006/relationships/hyperlink" Target="https://cdn.scnbdx.fr/web-afresco/BOGAMET/MET_ARR_2021-BM1366.pdf" TargetMode="External"/><Relationship Id="rId1533" Type="http://schemas.openxmlformats.org/officeDocument/2006/relationships/hyperlink" Target="https://cdn.scnbdx.fr/web-afresco/BOGAMET/MET_ARR_2021-BM1369.pdf" TargetMode="External"/><Relationship Id="rId1534" Type="http://schemas.openxmlformats.org/officeDocument/2006/relationships/hyperlink" Target="https://cdn.scnbdx.fr/web-afresco/BOGAMET/MET_ARR_2021-BM1369.pdf" TargetMode="External"/><Relationship Id="rId1535" Type="http://schemas.openxmlformats.org/officeDocument/2006/relationships/hyperlink" Target="https://cdn.scnbdx.fr/web-afresco/BOGAMET/MET_ARR_2021-BM1434.pdf" TargetMode="External"/><Relationship Id="rId1536" Type="http://schemas.openxmlformats.org/officeDocument/2006/relationships/hyperlink" Target="https://cdn.scnbdx.fr/web-afresco/BOGAMET/MET_ARR_2021-BM1434.pdf" TargetMode="External"/><Relationship Id="rId1537" Type="http://schemas.openxmlformats.org/officeDocument/2006/relationships/hyperlink" Target="https://cdn.scnbdx.fr/web-afresco/BOGAMET/MET_ARR_2021-BM1454.pdf" TargetMode="External"/><Relationship Id="rId1538" Type="http://schemas.openxmlformats.org/officeDocument/2006/relationships/hyperlink" Target="https://cdn.scnbdx.fr/web-afresco/BOGAMET/MET_ARR_2021-BM1454.pdf" TargetMode="External"/><Relationship Id="rId1539" Type="http://schemas.openxmlformats.org/officeDocument/2006/relationships/hyperlink" Target="https://cdn.scnbdx.fr/web-afresco/BOGAMET/MET_ARR_2021-BM1402.pdf" TargetMode="External"/><Relationship Id="rId949" Type="http://schemas.openxmlformats.org/officeDocument/2006/relationships/hyperlink" Target="https://cdn.scnbdx.fr/web-afresco/BOGAMET/MET_ARR_2020-BM0869.pdf" TargetMode="External"/><Relationship Id="rId948" Type="http://schemas.openxmlformats.org/officeDocument/2006/relationships/hyperlink" Target="https://cdn.scnbdx.fr/web-afresco/BOGAMET/MET_ARR_2020-BM0907.pdf" TargetMode="External"/><Relationship Id="rId943" Type="http://schemas.openxmlformats.org/officeDocument/2006/relationships/hyperlink" Target="https://cdn.scnbdx.fr/web-afresco/BOGAMET/MET_ARR_2020-BM0710.pdf" TargetMode="External"/><Relationship Id="rId942" Type="http://schemas.openxmlformats.org/officeDocument/2006/relationships/hyperlink" Target="https://cdn.scnbdx.fr/web-afresco/BOGAMET/MET_ARR_2020-BM0708.pdf" TargetMode="External"/><Relationship Id="rId941" Type="http://schemas.openxmlformats.org/officeDocument/2006/relationships/hyperlink" Target="https://cdn.scnbdx.fr/web-afresco/BOGAMET/MET_ARR_2020-BM0708.pdf" TargetMode="External"/><Relationship Id="rId940" Type="http://schemas.openxmlformats.org/officeDocument/2006/relationships/hyperlink" Target="https://cdn.scnbdx.fr/web-afresco/BOGAMET/MET_ARR_2020-BM0686.pdf" TargetMode="External"/><Relationship Id="rId947" Type="http://schemas.openxmlformats.org/officeDocument/2006/relationships/hyperlink" Target="https://cdn.scnbdx.fr/web-afresco/BOGAMET/MET_ARR_2020-BM0907.pdf" TargetMode="External"/><Relationship Id="rId946" Type="http://schemas.openxmlformats.org/officeDocument/2006/relationships/hyperlink" Target="https://cdn.scnbdx.fr/web-afresco/BOGAMET/MET_ARR_2020-BM0888.pdf" TargetMode="External"/><Relationship Id="rId945" Type="http://schemas.openxmlformats.org/officeDocument/2006/relationships/hyperlink" Target="https://cdn.scnbdx.fr/web-afresco/BOGAMET/MET_ARR_2020-BM0888.pdf" TargetMode="External"/><Relationship Id="rId944" Type="http://schemas.openxmlformats.org/officeDocument/2006/relationships/hyperlink" Target="https://cdn.scnbdx.fr/web-afresco/BOGAMET/MET_ARR_2020-BM0710.pdf" TargetMode="External"/><Relationship Id="rId1530" Type="http://schemas.openxmlformats.org/officeDocument/2006/relationships/hyperlink" Target="https://cdn.scnbdx.fr/web-afresco/BOGAMET/MET_ARR_2021-BM1365.pdf" TargetMode="External"/><Relationship Id="rId1531" Type="http://schemas.openxmlformats.org/officeDocument/2006/relationships/hyperlink" Target="https://cdn.scnbdx.fr/web-afresco/BOGAMET/MET_ARR_2021-BM1366.pdf" TargetMode="External"/><Relationship Id="rId1521" Type="http://schemas.openxmlformats.org/officeDocument/2006/relationships/hyperlink" Target="https://cdn.scnbdx.fr/web-afresco/BOGAMET/MET_ARR_2021-BM1303.pdf" TargetMode="External"/><Relationship Id="rId1522" Type="http://schemas.openxmlformats.org/officeDocument/2006/relationships/hyperlink" Target="https://cdn.scnbdx.fr/web-afresco/BOGAMET/MET_ARR_2021-BM1303.pdf" TargetMode="External"/><Relationship Id="rId1523" Type="http://schemas.openxmlformats.org/officeDocument/2006/relationships/hyperlink" Target="https://cdn.scnbdx.fr/web-afresco/BOGAMET/MET_ARR_2021-BM1304.pdf" TargetMode="External"/><Relationship Id="rId1524" Type="http://schemas.openxmlformats.org/officeDocument/2006/relationships/hyperlink" Target="https://cdn.scnbdx.fr/web-afresco/BOGAMET/MET_ARR_2021-BM1304.pdf" TargetMode="External"/><Relationship Id="rId1525" Type="http://schemas.openxmlformats.org/officeDocument/2006/relationships/hyperlink" Target="https://cdn.scnbdx.fr/web-afresco/BOGAMET/MET_ARR_2021-BM1363.pdf" TargetMode="External"/><Relationship Id="rId1526" Type="http://schemas.openxmlformats.org/officeDocument/2006/relationships/hyperlink" Target="https://cdn.scnbdx.fr/web-afresco/BOGAMET/MET_ARR_2021-BM1363.pdf" TargetMode="External"/><Relationship Id="rId1527" Type="http://schemas.openxmlformats.org/officeDocument/2006/relationships/hyperlink" Target="https://cdn.scnbdx.fr/web-afresco/BOGAMET/MET_ARR_2021-BM1364.pdf" TargetMode="External"/><Relationship Id="rId1528" Type="http://schemas.openxmlformats.org/officeDocument/2006/relationships/hyperlink" Target="https://cdn.scnbdx.fr/web-afresco/BOGAMET/MET_ARR_2021-BM1364.pdf" TargetMode="External"/><Relationship Id="rId1529" Type="http://schemas.openxmlformats.org/officeDocument/2006/relationships/hyperlink" Target="https://cdn.scnbdx.fr/web-afresco/BOGAMET/MET_ARR_2021-BM1365.pdf" TargetMode="External"/><Relationship Id="rId939" Type="http://schemas.openxmlformats.org/officeDocument/2006/relationships/hyperlink" Target="https://cdn.scnbdx.fr/web-afresco/BOGAMET/MET_ARR_2020-BM0686.pdf" TargetMode="External"/><Relationship Id="rId938" Type="http://schemas.openxmlformats.org/officeDocument/2006/relationships/hyperlink" Target="https://cdn.scnbdx.fr/web-afresco/BOGAMET/MET_ARR_2020-BM0685.pdf" TargetMode="External"/><Relationship Id="rId937" Type="http://schemas.openxmlformats.org/officeDocument/2006/relationships/hyperlink" Target="https://cdn.scnbdx.fr/web-afresco/BOGAMET/MET_ARR_2020-BM0685.pdf" TargetMode="External"/><Relationship Id="rId932" Type="http://schemas.openxmlformats.org/officeDocument/2006/relationships/hyperlink" Target="https://cdn.scnbdx.fr/web-afresco/BOGAMET/MET_ARR_2020-BM0766.pdf" TargetMode="External"/><Relationship Id="rId931" Type="http://schemas.openxmlformats.org/officeDocument/2006/relationships/hyperlink" Target="https://cdn.scnbdx.fr/web-afresco/BOGAMET/MET_ARR_2020-BM0766.pdf" TargetMode="External"/><Relationship Id="rId930" Type="http://schemas.openxmlformats.org/officeDocument/2006/relationships/hyperlink" Target="https://cdn.scnbdx.fr/web-afresco/BOGAMET/MET_ARR_2020-BM0765.pdf" TargetMode="External"/><Relationship Id="rId936" Type="http://schemas.openxmlformats.org/officeDocument/2006/relationships/hyperlink" Target="https://cdn.scnbdx.fr/web-afresco/BOGAMET/MET_ARR_2020-BM0684.pdf" TargetMode="External"/><Relationship Id="rId935" Type="http://schemas.openxmlformats.org/officeDocument/2006/relationships/hyperlink" Target="https://cdn.scnbdx.fr/web-afresco/BOGAMET/MET_ARR_2020-BM0684.pdf" TargetMode="External"/><Relationship Id="rId934" Type="http://schemas.openxmlformats.org/officeDocument/2006/relationships/hyperlink" Target="https://cdn.scnbdx.fr/web-afresco/BOGAMET/MET_ARR_2020-BM0620.pdf" TargetMode="External"/><Relationship Id="rId933" Type="http://schemas.openxmlformats.org/officeDocument/2006/relationships/hyperlink" Target="https://cdn.scnbdx.fr/web-afresco/BOGAMET/MET_ARR_2020-BM0620.pdf" TargetMode="External"/><Relationship Id="rId1520" Type="http://schemas.openxmlformats.org/officeDocument/2006/relationships/hyperlink" Target="https://cdn.scnbdx.fr/web-afresco/BOGAMET/MET_ARR_2021-BM1207.pdf" TargetMode="External"/><Relationship Id="rId1554" Type="http://schemas.openxmlformats.org/officeDocument/2006/relationships/hyperlink" Target="https://cdn.scnbdx.fr/web-afresco/BOGAMET/MET_ARR_2021-BM0714.pdf" TargetMode="External"/><Relationship Id="rId2401" Type="http://schemas.openxmlformats.org/officeDocument/2006/relationships/hyperlink" Target="https://cdn.scnbdx.fr/web-afresco/BOGAMET/MET_ARR_2021-BM1285.pdf" TargetMode="External"/><Relationship Id="rId1555" Type="http://schemas.openxmlformats.org/officeDocument/2006/relationships/hyperlink" Target="https://cdn.scnbdx.fr/web-afresco/BOGAMET/MET_ARR_2021-BM0718.pdf" TargetMode="External"/><Relationship Id="rId2402" Type="http://schemas.openxmlformats.org/officeDocument/2006/relationships/hyperlink" Target="https://cdn.scnbdx.fr/web-afresco/BOGAMET/MET_ARR_2021-BM1285.pdf" TargetMode="External"/><Relationship Id="rId1556" Type="http://schemas.openxmlformats.org/officeDocument/2006/relationships/hyperlink" Target="https://cdn.scnbdx.fr/web-afresco/BOGAMET/MET_ARR_2021-BM0718.pdf" TargetMode="External"/><Relationship Id="rId2403" Type="http://schemas.openxmlformats.org/officeDocument/2006/relationships/hyperlink" Target="https://cdn.scnbdx.fr/web-afresco/BOGAMET/MET_ARR_2021-BM1096.pdf" TargetMode="External"/><Relationship Id="rId1557" Type="http://schemas.openxmlformats.org/officeDocument/2006/relationships/hyperlink" Target="https://cdn.scnbdx.fr/web-afresco/BOGAMET/MET_ARR_2021-BM0720.pdf" TargetMode="External"/><Relationship Id="rId2404" Type="http://schemas.openxmlformats.org/officeDocument/2006/relationships/hyperlink" Target="https://cdn.scnbdx.fr/web-afresco/BOGAMET/MET_ARR_2021-BM1096.pdf" TargetMode="External"/><Relationship Id="rId1558" Type="http://schemas.openxmlformats.org/officeDocument/2006/relationships/hyperlink" Target="https://cdn.scnbdx.fr/web-afresco/BOGAMET/MET_ARR_2021-BM0720.pdf" TargetMode="External"/><Relationship Id="rId2405" Type="http://schemas.openxmlformats.org/officeDocument/2006/relationships/hyperlink" Target="https://cdn.scnbdx.fr/web-afresco/BOGAMET/MET_ARR_2021-BM0776.pdf" TargetMode="External"/><Relationship Id="rId1559" Type="http://schemas.openxmlformats.org/officeDocument/2006/relationships/hyperlink" Target="https://cdn.scnbdx.fr/web-afresco/BOGAMET/MET_ARR_2021-BM0727.pdf" TargetMode="External"/><Relationship Id="rId2406" Type="http://schemas.openxmlformats.org/officeDocument/2006/relationships/hyperlink" Target="https://cdn.scnbdx.fr/web-afresco/BOGAMET/MET_ARR_2021-BM0776.pdf" TargetMode="External"/><Relationship Id="rId2407" Type="http://schemas.openxmlformats.org/officeDocument/2006/relationships/hyperlink" Target="https://cdn.scnbdx.fr/web-afresco/BOGAMET/MET_ARR_2021-BM1415.pdf" TargetMode="External"/><Relationship Id="rId2408" Type="http://schemas.openxmlformats.org/officeDocument/2006/relationships/hyperlink" Target="https://cdn.scnbdx.fr/web-afresco/BOGAMET/MET_ARR_2021-BM1415.pdf" TargetMode="External"/><Relationship Id="rId2409" Type="http://schemas.openxmlformats.org/officeDocument/2006/relationships/hyperlink" Target="https://cdn.scnbdx.fr/web-afresco/BOGAMET/MET_ARR_2021-BM0835.pdf" TargetMode="External"/><Relationship Id="rId965" Type="http://schemas.openxmlformats.org/officeDocument/2006/relationships/hyperlink" Target="https://cdn.scnbdx.fr/web-afresco/BOGAMET/MET_ARR_2020-BM0897.pdf" TargetMode="External"/><Relationship Id="rId964" Type="http://schemas.openxmlformats.org/officeDocument/2006/relationships/hyperlink" Target="https://cdn.scnbdx.fr/web-afresco/BOGAMET/MET_ARR_2020-BM0896.pdf" TargetMode="External"/><Relationship Id="rId963" Type="http://schemas.openxmlformats.org/officeDocument/2006/relationships/hyperlink" Target="https://cdn.scnbdx.fr/web-afresco/BOGAMET/MET_ARR_2020-BM0896.pdf" TargetMode="External"/><Relationship Id="rId962" Type="http://schemas.openxmlformats.org/officeDocument/2006/relationships/hyperlink" Target="https://cdn.scnbdx.fr/web-afresco/BOGAMET/MET_ARR_2020-BM0889.pdf" TargetMode="External"/><Relationship Id="rId969" Type="http://schemas.openxmlformats.org/officeDocument/2006/relationships/hyperlink" Target="https://cdn.scnbdx.fr/web-afresco/BOGAMET/MET_ARR_2020-BM0936.pdf" TargetMode="External"/><Relationship Id="rId968" Type="http://schemas.openxmlformats.org/officeDocument/2006/relationships/hyperlink" Target="https://cdn.scnbdx.fr/web-afresco/BOGAMET/MET_ARR_2020-BM0906.pdf" TargetMode="External"/><Relationship Id="rId967" Type="http://schemas.openxmlformats.org/officeDocument/2006/relationships/hyperlink" Target="https://cdn.scnbdx.fr/web-afresco/BOGAMET/MET_ARR_2020-BM0906.pdf" TargetMode="External"/><Relationship Id="rId966" Type="http://schemas.openxmlformats.org/officeDocument/2006/relationships/hyperlink" Target="https://cdn.scnbdx.fr/web-afresco/BOGAMET/MET_ARR_2020-BM0897.pdf" TargetMode="External"/><Relationship Id="rId961" Type="http://schemas.openxmlformats.org/officeDocument/2006/relationships/hyperlink" Target="https://cdn.scnbdx.fr/web-afresco/BOGAMET/MET_ARR_2020-BM0889.pdf" TargetMode="External"/><Relationship Id="rId1550" Type="http://schemas.openxmlformats.org/officeDocument/2006/relationships/hyperlink" Target="https://cdn.scnbdx.fr/web-afresco/BOGAMET/MET_ARR_2021-BM1245.pdf" TargetMode="External"/><Relationship Id="rId960" Type="http://schemas.openxmlformats.org/officeDocument/2006/relationships/hyperlink" Target="https://cdn.scnbdx.fr/web-afresco/BOGAMET/MET_ARR_2020-BM0826.pdf" TargetMode="External"/><Relationship Id="rId1551" Type="http://schemas.openxmlformats.org/officeDocument/2006/relationships/hyperlink" Target="https://cdn.scnbdx.fr/web-afresco/BOGAMET/MET_ARR_2021-BM0711.pdf" TargetMode="External"/><Relationship Id="rId1552" Type="http://schemas.openxmlformats.org/officeDocument/2006/relationships/hyperlink" Target="https://cdn.scnbdx.fr/web-afresco/BOGAMET/MET_ARR_2021-BM0711.pdf" TargetMode="External"/><Relationship Id="rId1553" Type="http://schemas.openxmlformats.org/officeDocument/2006/relationships/hyperlink" Target="https://cdn.scnbdx.fr/web-afresco/BOGAMET/MET_ARR_2021-BM0714.pdf" TargetMode="External"/><Relationship Id="rId2400" Type="http://schemas.openxmlformats.org/officeDocument/2006/relationships/hyperlink" Target="https://cdn.scnbdx.fr/web-afresco/BOGAMET/MET_ARR_2021-BM1240.pdf" TargetMode="External"/><Relationship Id="rId1543" Type="http://schemas.openxmlformats.org/officeDocument/2006/relationships/hyperlink" Target="https://cdn.scnbdx.fr/web-afresco/BOGAMET/MET_ARR_2021-BM0617.pdf" TargetMode="External"/><Relationship Id="rId1544" Type="http://schemas.openxmlformats.org/officeDocument/2006/relationships/hyperlink" Target="https://cdn.scnbdx.fr/web-afresco/BOGAMET/MET_ARR_2021-BM0617.pdf" TargetMode="External"/><Relationship Id="rId1545" Type="http://schemas.openxmlformats.org/officeDocument/2006/relationships/hyperlink" Target="https://cdn.scnbdx.fr/web-afresco/BOGAMET/MET_ARR_2021-BM0662.pdf" TargetMode="External"/><Relationship Id="rId1546" Type="http://schemas.openxmlformats.org/officeDocument/2006/relationships/hyperlink" Target="https://cdn.scnbdx.fr/web-afresco/BOGAMET/MET_ARR_2021-BM0662.pdf" TargetMode="External"/><Relationship Id="rId1547" Type="http://schemas.openxmlformats.org/officeDocument/2006/relationships/hyperlink" Target="https://cdn.scnbdx.fr/web-afresco/BOGAMET/MET_ARR_2021-BM0467.pdf" TargetMode="External"/><Relationship Id="rId1548" Type="http://schemas.openxmlformats.org/officeDocument/2006/relationships/hyperlink" Target="https://cdn.scnbdx.fr/web-afresco/BOGAMET/MET_ARR_2021-BM0467.pdf" TargetMode="External"/><Relationship Id="rId1549" Type="http://schemas.openxmlformats.org/officeDocument/2006/relationships/hyperlink" Target="https://cdn.scnbdx.fr/web-afresco/BOGAMET/MET_ARR_2021-BM1245.pdf" TargetMode="External"/><Relationship Id="rId959" Type="http://schemas.openxmlformats.org/officeDocument/2006/relationships/hyperlink" Target="https://cdn.scnbdx.fr/web-afresco/BOGAMET/MET_ARR_2020-BM0826.pdf" TargetMode="External"/><Relationship Id="rId954" Type="http://schemas.openxmlformats.org/officeDocument/2006/relationships/hyperlink" Target="https://cdn.scnbdx.fr/web-afresco/BOGAMET/MET_ARR_2020-BM0817.pdf" TargetMode="External"/><Relationship Id="rId953" Type="http://schemas.openxmlformats.org/officeDocument/2006/relationships/hyperlink" Target="https://cdn.scnbdx.fr/web-afresco/BOGAMET/MET_ARR_2020-BM0817.pdf" TargetMode="External"/><Relationship Id="rId952" Type="http://schemas.openxmlformats.org/officeDocument/2006/relationships/hyperlink" Target="https://cdn.scnbdx.fr/web-afresco/BOGAMET/MET_ARR_2020-BM0813.pdf" TargetMode="External"/><Relationship Id="rId951" Type="http://schemas.openxmlformats.org/officeDocument/2006/relationships/hyperlink" Target="https://cdn.scnbdx.fr/web-afresco/BOGAMET/MET_ARR_2020-BM0813.pdf" TargetMode="External"/><Relationship Id="rId958" Type="http://schemas.openxmlformats.org/officeDocument/2006/relationships/hyperlink" Target="https://cdn.scnbdx.fr/web-afresco/BOGAMET/MET_ARR_2020-BM0823.pdf" TargetMode="External"/><Relationship Id="rId957" Type="http://schemas.openxmlformats.org/officeDocument/2006/relationships/hyperlink" Target="https://cdn.scnbdx.fr/web-afresco/BOGAMET/MET_ARR_2020-BM0823.pdf" TargetMode="External"/><Relationship Id="rId956" Type="http://schemas.openxmlformats.org/officeDocument/2006/relationships/hyperlink" Target="https://cdn.scnbdx.fr/web-afresco/BOGAMET/MET_ARR_2020-BM0818.pdf" TargetMode="External"/><Relationship Id="rId955" Type="http://schemas.openxmlformats.org/officeDocument/2006/relationships/hyperlink" Target="https://cdn.scnbdx.fr/web-afresco/BOGAMET/MET_ARR_2020-BM0818.pdf" TargetMode="External"/><Relationship Id="rId950" Type="http://schemas.openxmlformats.org/officeDocument/2006/relationships/hyperlink" Target="https://cdn.scnbdx.fr/web-afresco/BOGAMET/MET_ARR_2020-BM0869.pdf" TargetMode="External"/><Relationship Id="rId1540" Type="http://schemas.openxmlformats.org/officeDocument/2006/relationships/hyperlink" Target="https://cdn.scnbdx.fr/web-afresco/BOGAMET/MET_ARR_2021-BM1402.pdf" TargetMode="External"/><Relationship Id="rId1541" Type="http://schemas.openxmlformats.org/officeDocument/2006/relationships/hyperlink" Target="https://cdn.scnbdx.fr/web-afresco/BOGAMET/MET_ARR_2021-BM1444.pdf" TargetMode="External"/><Relationship Id="rId1542" Type="http://schemas.openxmlformats.org/officeDocument/2006/relationships/hyperlink" Target="https://cdn.scnbdx.fr/web-afresco/BOGAMET/MET_ARR_2021-BM1444.pdf" TargetMode="External"/><Relationship Id="rId2027" Type="http://schemas.openxmlformats.org/officeDocument/2006/relationships/hyperlink" Target="https://cdn.scnbdx.fr/web-afresco/BOGAMET/MET_ARR_2021-BM0287.pdf" TargetMode="External"/><Relationship Id="rId2028" Type="http://schemas.openxmlformats.org/officeDocument/2006/relationships/hyperlink" Target="https://cdn.scnbdx.fr/web-afresco/BOGAMET/MET_ARR_2021-BM0287.pdf" TargetMode="External"/><Relationship Id="rId2029" Type="http://schemas.openxmlformats.org/officeDocument/2006/relationships/hyperlink" Target="https://cdn.scnbdx.fr/web-afresco/BOGAMET/MET_ARR_2021-BM0326.pdf" TargetMode="External"/><Relationship Id="rId590" Type="http://schemas.openxmlformats.org/officeDocument/2006/relationships/hyperlink" Target="https://cdn.scnbdx.fr/web-afresco/BOGAMET/MET_ARR_2021-BM0667.pdf" TargetMode="External"/><Relationship Id="rId107" Type="http://schemas.openxmlformats.org/officeDocument/2006/relationships/hyperlink" Target="https://cdn.scnbdx.fr/web-afresco/BOGAMET/MET_ARR_2020-BM0741.pdf" TargetMode="External"/><Relationship Id="rId106" Type="http://schemas.openxmlformats.org/officeDocument/2006/relationships/hyperlink" Target="https://cdn.scnbdx.fr/web-afresco/BOGAMET/MET_ARR_2020-BM0737.pdf" TargetMode="External"/><Relationship Id="rId105" Type="http://schemas.openxmlformats.org/officeDocument/2006/relationships/hyperlink" Target="https://cdn.scnbdx.fr/web-afresco/BOGAMET/MET_ARR_2020-BM0737.pdf" TargetMode="External"/><Relationship Id="rId589" Type="http://schemas.openxmlformats.org/officeDocument/2006/relationships/hyperlink" Target="https://cdn.scnbdx.fr/web-afresco/BOGAMET/MET_ARR_2021-BM0667.pdf" TargetMode="External"/><Relationship Id="rId104" Type="http://schemas.openxmlformats.org/officeDocument/2006/relationships/hyperlink" Target="https://cdn.scnbdx.fr/web-afresco/BOGAMET/MET_ARR_2020-BM0736.pdf" TargetMode="External"/><Relationship Id="rId588" Type="http://schemas.openxmlformats.org/officeDocument/2006/relationships/hyperlink" Target="https://cdn.scnbdx.fr/web-afresco/BOGAMET/MET_ARR_2021-BM1013.pdf" TargetMode="External"/><Relationship Id="rId109" Type="http://schemas.openxmlformats.org/officeDocument/2006/relationships/hyperlink" Target="https://cdn.scnbdx.fr/web-afresco/BOGAMET/MET_ARR_2020-BM0746.pdf" TargetMode="External"/><Relationship Id="rId1170" Type="http://schemas.openxmlformats.org/officeDocument/2006/relationships/hyperlink" Target="https://cdn.scnbdx.fr/web-afresco/BOGAMET/MET_ARR_2021-BM0421.pdf" TargetMode="External"/><Relationship Id="rId108" Type="http://schemas.openxmlformats.org/officeDocument/2006/relationships/hyperlink" Target="https://cdn.scnbdx.fr/web-afresco/BOGAMET/MET_ARR_2020-BM0741.pdf" TargetMode="External"/><Relationship Id="rId1171" Type="http://schemas.openxmlformats.org/officeDocument/2006/relationships/hyperlink" Target="https://cdn.scnbdx.fr/web-afresco/BOGAMET/MET_ARR_2021-BM0579.pdf" TargetMode="External"/><Relationship Id="rId583" Type="http://schemas.openxmlformats.org/officeDocument/2006/relationships/hyperlink" Target="https://cdn.scnbdx.fr/web-afresco/BOGAMET/MET_ARR_2021-BM0639.pdf" TargetMode="External"/><Relationship Id="rId1172" Type="http://schemas.openxmlformats.org/officeDocument/2006/relationships/hyperlink" Target="https://cdn.scnbdx.fr/web-afresco/BOGAMET/MET_ARR_2021-BM0579.pdf" TargetMode="External"/><Relationship Id="rId582" Type="http://schemas.openxmlformats.org/officeDocument/2006/relationships/hyperlink" Target="https://cdn.scnbdx.fr/web-afresco/BOGAMET/MET_ARR_2021-BM0638.pdf" TargetMode="External"/><Relationship Id="rId1173" Type="http://schemas.openxmlformats.org/officeDocument/2006/relationships/hyperlink" Target="https://cdn.scnbdx.fr/web-afresco/BOGAMET/MET_ARR_2021-BM0587.pdf" TargetMode="External"/><Relationship Id="rId2020" Type="http://schemas.openxmlformats.org/officeDocument/2006/relationships/hyperlink" Target="https://cdn.scnbdx.fr/web-afresco/BOGAMET/MET_ARR_2021-BM0404.pdf" TargetMode="External"/><Relationship Id="rId581" Type="http://schemas.openxmlformats.org/officeDocument/2006/relationships/hyperlink" Target="https://cdn.scnbdx.fr/web-afresco/BOGAMET/MET_ARR_2021-BM0638.pdf" TargetMode="External"/><Relationship Id="rId1174" Type="http://schemas.openxmlformats.org/officeDocument/2006/relationships/hyperlink" Target="https://cdn.scnbdx.fr/web-afresco/BOGAMET/MET_ARR_2021-BM0587.pdf" TargetMode="External"/><Relationship Id="rId2021" Type="http://schemas.openxmlformats.org/officeDocument/2006/relationships/hyperlink" Target="https://cdn.scnbdx.fr/web-afresco/BOGAMET/MET_ARR_2021-BM0426.pdf" TargetMode="External"/><Relationship Id="rId580" Type="http://schemas.openxmlformats.org/officeDocument/2006/relationships/hyperlink" Target="https://cdn.scnbdx.fr/web-afresco/BOGAMET/MET_ARR_2021-BM0637.pdf" TargetMode="External"/><Relationship Id="rId1175" Type="http://schemas.openxmlformats.org/officeDocument/2006/relationships/hyperlink" Target="https://cdn.scnbdx.fr/web-afresco/BOGAMET/MET_ARR_2021-BM0590.pdf" TargetMode="External"/><Relationship Id="rId2022" Type="http://schemas.openxmlformats.org/officeDocument/2006/relationships/hyperlink" Target="https://cdn.scnbdx.fr/web-afresco/BOGAMET/MET_ARR_2021-BM0426.pdf" TargetMode="External"/><Relationship Id="rId103" Type="http://schemas.openxmlformats.org/officeDocument/2006/relationships/hyperlink" Target="https://cdn.scnbdx.fr/web-afresco/BOGAMET/MET_ARR_2020-BM0736.pdf" TargetMode="External"/><Relationship Id="rId587" Type="http://schemas.openxmlformats.org/officeDocument/2006/relationships/hyperlink" Target="https://cdn.scnbdx.fr/web-afresco/BOGAMET/MET_ARR_2021-BM1013.pdf" TargetMode="External"/><Relationship Id="rId1176" Type="http://schemas.openxmlformats.org/officeDocument/2006/relationships/hyperlink" Target="https://cdn.scnbdx.fr/web-afresco/BOGAMET/MET_ARR_2021-BM0590.pdf" TargetMode="External"/><Relationship Id="rId2023" Type="http://schemas.openxmlformats.org/officeDocument/2006/relationships/hyperlink" Target="https://cdn.scnbdx.fr/web-afresco/BOGAMET/MET_ARR_2021-BM0427.pdf" TargetMode="External"/><Relationship Id="rId102" Type="http://schemas.openxmlformats.org/officeDocument/2006/relationships/hyperlink" Target="https://cdn.scnbdx.fr/web-afresco/BOGAMET/MET_ARR_2020-BM0735.pdf" TargetMode="External"/><Relationship Id="rId586" Type="http://schemas.openxmlformats.org/officeDocument/2006/relationships/hyperlink" Target="https://cdn.scnbdx.fr/web-afresco/BOGAMET/MET_ARR_2021-BM0640.pdf" TargetMode="External"/><Relationship Id="rId1177" Type="http://schemas.openxmlformats.org/officeDocument/2006/relationships/hyperlink" Target="https://cdn.scnbdx.fr/web-afresco/BOGAMET/MET_ARR_2021-BM0589.pdf" TargetMode="External"/><Relationship Id="rId2024" Type="http://schemas.openxmlformats.org/officeDocument/2006/relationships/hyperlink" Target="https://cdn.scnbdx.fr/web-afresco/BOGAMET/MET_ARR_2021-BM0427.pdf" TargetMode="External"/><Relationship Id="rId101" Type="http://schemas.openxmlformats.org/officeDocument/2006/relationships/hyperlink" Target="https://cdn.scnbdx.fr/web-afresco/BOGAMET/MET_ARR_2020-BM0735.pdf" TargetMode="External"/><Relationship Id="rId585" Type="http://schemas.openxmlformats.org/officeDocument/2006/relationships/hyperlink" Target="https://cdn.scnbdx.fr/web-afresco/BOGAMET/MET_ARR_2021-BM0640.pdf" TargetMode="External"/><Relationship Id="rId1178" Type="http://schemas.openxmlformats.org/officeDocument/2006/relationships/hyperlink" Target="https://cdn.scnbdx.fr/web-afresco/BOGAMET/MET_ARR_2021-BM0589.pdf" TargetMode="External"/><Relationship Id="rId2025" Type="http://schemas.openxmlformats.org/officeDocument/2006/relationships/hyperlink" Target="https://cdn.scnbdx.fr/web-afresco/BOGAMET/MET_ARR_2021-BM0428.pdf" TargetMode="External"/><Relationship Id="rId100" Type="http://schemas.openxmlformats.org/officeDocument/2006/relationships/hyperlink" Target="https://cdn.scnbdx.fr/web-afresco/BOGAMET/MET_ARR_2020-BM0733.pdf" TargetMode="External"/><Relationship Id="rId584" Type="http://schemas.openxmlformats.org/officeDocument/2006/relationships/hyperlink" Target="https://cdn.scnbdx.fr/web-afresco/BOGAMET/MET_ARR_2021-BM0639.pdf" TargetMode="External"/><Relationship Id="rId1179" Type="http://schemas.openxmlformats.org/officeDocument/2006/relationships/hyperlink" Target="https://cdn.scnbdx.fr/web-afresco/BOGAMET/MET_ARR_2021-BM0037.pdf" TargetMode="External"/><Relationship Id="rId2026" Type="http://schemas.openxmlformats.org/officeDocument/2006/relationships/hyperlink" Target="https://cdn.scnbdx.fr/web-afresco/BOGAMET/MET_ARR_2021-BM0428.pdf" TargetMode="External"/><Relationship Id="rId1169" Type="http://schemas.openxmlformats.org/officeDocument/2006/relationships/hyperlink" Target="https://cdn.scnbdx.fr/web-afresco/BOGAMET/MET_ARR_2021-BM0421.pdf" TargetMode="External"/><Relationship Id="rId2016" Type="http://schemas.openxmlformats.org/officeDocument/2006/relationships/hyperlink" Target="https://cdn.scnbdx.fr/web-afresco/BOGAMET/MET_ARR_2021-BM0278.pdf" TargetMode="External"/><Relationship Id="rId2017" Type="http://schemas.openxmlformats.org/officeDocument/2006/relationships/hyperlink" Target="https://cdn.scnbdx.fr/web-afresco/BOGAMET/MET_ARR_2021-BM0283.pdf" TargetMode="External"/><Relationship Id="rId2018" Type="http://schemas.openxmlformats.org/officeDocument/2006/relationships/hyperlink" Target="https://cdn.scnbdx.fr/web-afresco/BOGAMET/MET_ARR_2021-BM0283.pdf" TargetMode="External"/><Relationship Id="rId2019" Type="http://schemas.openxmlformats.org/officeDocument/2006/relationships/hyperlink" Target="https://cdn.scnbdx.fr/web-afresco/BOGAMET/MET_ARR_2021-BM0404.pdf" TargetMode="External"/><Relationship Id="rId579" Type="http://schemas.openxmlformats.org/officeDocument/2006/relationships/hyperlink" Target="https://cdn.scnbdx.fr/web-afresco/BOGAMET/MET_ARR_2021-BM0637.pdf" TargetMode="External"/><Relationship Id="rId578" Type="http://schemas.openxmlformats.org/officeDocument/2006/relationships/hyperlink" Target="https://cdn.scnbdx.fr/web-afresco/BOGAMET/MET_ARR_2021-BM0636.pdf" TargetMode="External"/><Relationship Id="rId577" Type="http://schemas.openxmlformats.org/officeDocument/2006/relationships/hyperlink" Target="https://cdn.scnbdx.fr/web-afresco/BOGAMET/MET_ARR_2021-BM0636.pdf" TargetMode="External"/><Relationship Id="rId2490" Type="http://schemas.openxmlformats.org/officeDocument/2006/relationships/hyperlink" Target="https://cdn.scnbdx.fr/web-afresco/BOGAMET/MET_ARR_2021-BM1355.pdf" TargetMode="External"/><Relationship Id="rId1160" Type="http://schemas.openxmlformats.org/officeDocument/2006/relationships/hyperlink" Target="https://cdn.scnbdx.fr/web-afresco/BOGAMET/MET_ARR_2021-BM0555.pdf" TargetMode="External"/><Relationship Id="rId2491" Type="http://schemas.openxmlformats.org/officeDocument/2006/relationships/hyperlink" Target="https://cdn.scnbdx.fr/web-afresco/BOGAMET/MET_ARR_2021-BM1199.pdf" TargetMode="External"/><Relationship Id="rId572" Type="http://schemas.openxmlformats.org/officeDocument/2006/relationships/hyperlink" Target="https://cdn.scnbdx.fr/web-afresco/BOGAMET/MET_ARR_2021-BM0659.pdf" TargetMode="External"/><Relationship Id="rId1161" Type="http://schemas.openxmlformats.org/officeDocument/2006/relationships/hyperlink" Target="https://cdn.scnbdx.fr/web-afresco/BOGAMET/MET_ARR_2021-BM0556.pdf" TargetMode="External"/><Relationship Id="rId2492" Type="http://schemas.openxmlformats.org/officeDocument/2006/relationships/hyperlink" Target="https://cdn.scnbdx.fr/web-afresco/BOGAMET/MET_ARR_2021-BM1199.pdf" TargetMode="External"/><Relationship Id="rId571" Type="http://schemas.openxmlformats.org/officeDocument/2006/relationships/hyperlink" Target="https://cdn.scnbdx.fr/web-afresco/BOGAMET/MET_ARR_2021-BM0659.pdf" TargetMode="External"/><Relationship Id="rId1162" Type="http://schemas.openxmlformats.org/officeDocument/2006/relationships/hyperlink" Target="https://cdn.scnbdx.fr/web-afresco/BOGAMET/MET_ARR_2021-BM0556.pdf" TargetMode="External"/><Relationship Id="rId2493" Type="http://schemas.openxmlformats.org/officeDocument/2006/relationships/hyperlink" Target="https://cdn.scnbdx.fr/web-afresco/BOGAMET/MET_ARR_2021-BM1305.pdf" TargetMode="External"/><Relationship Id="rId570" Type="http://schemas.openxmlformats.org/officeDocument/2006/relationships/hyperlink" Target="https://cdn.scnbdx.fr/web-afresco/BOGAMET/MET_ARR_2021-BM0600.pdf" TargetMode="External"/><Relationship Id="rId1163" Type="http://schemas.openxmlformats.org/officeDocument/2006/relationships/hyperlink" Target="https://cdn.scnbdx.fr/web-afresco/BOGAMET/MET_ARR_2021-BM0559.pdf" TargetMode="External"/><Relationship Id="rId2010" Type="http://schemas.openxmlformats.org/officeDocument/2006/relationships/hyperlink" Target="https://cdn.scnbdx.fr/web-afresco/BOGAMET/MET_ARR_2021-BM0229.pdf" TargetMode="External"/><Relationship Id="rId2494" Type="http://schemas.openxmlformats.org/officeDocument/2006/relationships/hyperlink" Target="https://cdn.scnbdx.fr/web-afresco/BOGAMET/MET_ARR_2021-BM1305.pdf" TargetMode="External"/><Relationship Id="rId1164" Type="http://schemas.openxmlformats.org/officeDocument/2006/relationships/hyperlink" Target="https://cdn.scnbdx.fr/web-afresco/BOGAMET/MET_ARR_2021-BM0559.pdf" TargetMode="External"/><Relationship Id="rId2011" Type="http://schemas.openxmlformats.org/officeDocument/2006/relationships/hyperlink" Target="https://cdn.scnbdx.fr/web-afresco/BOGAMET/MET_ARR_2021-BM0274.pdf" TargetMode="External"/><Relationship Id="rId2495" Type="http://schemas.openxmlformats.org/officeDocument/2006/relationships/hyperlink" Target="https://cdn.scnbdx.fr/web-afresco/BOGAMET/MET_ARR_2021-BM1357.pdf" TargetMode="External"/><Relationship Id="rId576" Type="http://schemas.openxmlformats.org/officeDocument/2006/relationships/hyperlink" Target="https://cdn.scnbdx.fr/web-afresco/BOGAMET/MET_ARR_2021-BM0634.pdf" TargetMode="External"/><Relationship Id="rId1165" Type="http://schemas.openxmlformats.org/officeDocument/2006/relationships/hyperlink" Target="https://cdn.scnbdx.fr/web-afresco/BOGAMET/MET_ARR_2021-BM0094.pdf" TargetMode="External"/><Relationship Id="rId2012" Type="http://schemas.openxmlformats.org/officeDocument/2006/relationships/hyperlink" Target="https://cdn.scnbdx.fr/web-afresco/BOGAMET/MET_ARR_2021-BM0274.pdf" TargetMode="External"/><Relationship Id="rId2496" Type="http://schemas.openxmlformats.org/officeDocument/2006/relationships/hyperlink" Target="https://cdn.scnbdx.fr/web-afresco/BOGAMET/MET_ARR_2021-BM1357.pdf" TargetMode="External"/><Relationship Id="rId575" Type="http://schemas.openxmlformats.org/officeDocument/2006/relationships/hyperlink" Target="https://cdn.scnbdx.fr/web-afresco/BOGAMET/MET_ARR_2021-BM0634.pdf" TargetMode="External"/><Relationship Id="rId1166" Type="http://schemas.openxmlformats.org/officeDocument/2006/relationships/hyperlink" Target="https://cdn.scnbdx.fr/web-afresco/BOGAMET/MET_ARR_2021-BM0094.pdf" TargetMode="External"/><Relationship Id="rId2013" Type="http://schemas.openxmlformats.org/officeDocument/2006/relationships/hyperlink" Target="https://cdn.scnbdx.fr/web-afresco/BOGAMET/MET_ARR_2021-BM0275.pdf" TargetMode="External"/><Relationship Id="rId2497" Type="http://schemas.openxmlformats.org/officeDocument/2006/relationships/hyperlink" Target="https://cdn.scnbdx.fr/web-afresco/BOGAMET/MET_ARR_2021-BM1359.pdf" TargetMode="External"/><Relationship Id="rId574" Type="http://schemas.openxmlformats.org/officeDocument/2006/relationships/hyperlink" Target="https://cdn.scnbdx.fr/web-afresco/BOGAMET/MET_ARR_2021-BM0785.pdf" TargetMode="External"/><Relationship Id="rId1167" Type="http://schemas.openxmlformats.org/officeDocument/2006/relationships/hyperlink" Target="https://cdn.scnbdx.fr/web-afresco/BOGAMET/MET_ARR_2021-BM0416.pdf" TargetMode="External"/><Relationship Id="rId2014" Type="http://schemas.openxmlformats.org/officeDocument/2006/relationships/hyperlink" Target="https://cdn.scnbdx.fr/web-afresco/BOGAMET/MET_ARR_2021-BM0275.pdf" TargetMode="External"/><Relationship Id="rId2498" Type="http://schemas.openxmlformats.org/officeDocument/2006/relationships/hyperlink" Target="https://cdn.scnbdx.fr/web-afresco/BOGAMET/MET_ARR_2021-BM1359.pdf" TargetMode="External"/><Relationship Id="rId573" Type="http://schemas.openxmlformats.org/officeDocument/2006/relationships/hyperlink" Target="https://cdn.scnbdx.fr/web-afresco/BOGAMET/MET_ARR_2021-BM0785.pdf" TargetMode="External"/><Relationship Id="rId1168" Type="http://schemas.openxmlformats.org/officeDocument/2006/relationships/hyperlink" Target="https://cdn.scnbdx.fr/web-afresco/BOGAMET/MET_ARR_2021-BM0416.pdf" TargetMode="External"/><Relationship Id="rId2015" Type="http://schemas.openxmlformats.org/officeDocument/2006/relationships/hyperlink" Target="https://cdn.scnbdx.fr/web-afresco/BOGAMET/MET_ARR_2021-BM0278.pdf" TargetMode="External"/><Relationship Id="rId2499" Type="http://schemas.openxmlformats.org/officeDocument/2006/relationships/hyperlink" Target="https://cdn.scnbdx.fr/web-afresco/BOGAMET/MET_ARR_2021-BM1360.pdf" TargetMode="External"/><Relationship Id="rId2049" Type="http://schemas.openxmlformats.org/officeDocument/2006/relationships/hyperlink" Target="https://cdn.scnbdx.fr/web-afresco/BOGAMET/MET_ARR_2021-BM0531.pdf" TargetMode="External"/><Relationship Id="rId129" Type="http://schemas.openxmlformats.org/officeDocument/2006/relationships/hyperlink" Target="https://cdn.scnbdx.fr/web-afresco/BOGAMET/MET_ARR_2020-BM0908.pdf" TargetMode="External"/><Relationship Id="rId128" Type="http://schemas.openxmlformats.org/officeDocument/2006/relationships/hyperlink" Target="https://cdn.scnbdx.fr/web-afresco/BOGAMET/MET_ARR_2020-BM0901.pdf" TargetMode="External"/><Relationship Id="rId127" Type="http://schemas.openxmlformats.org/officeDocument/2006/relationships/hyperlink" Target="https://cdn.scnbdx.fr/web-afresco/BOGAMET/MET_ARR_2020-BM0901.pdf" TargetMode="External"/><Relationship Id="rId126" Type="http://schemas.openxmlformats.org/officeDocument/2006/relationships/hyperlink" Target="https://cdn.scnbdx.fr/web-afresco/BOGAMET/MET_ARR_2020-BM0709.pdf" TargetMode="External"/><Relationship Id="rId1190" Type="http://schemas.openxmlformats.org/officeDocument/2006/relationships/hyperlink" Target="https://cdn.scnbdx.fr/web-afresco/BOGAMET/MET_ARR_2020-BM1486.pdf" TargetMode="External"/><Relationship Id="rId1191" Type="http://schemas.openxmlformats.org/officeDocument/2006/relationships/hyperlink" Target="https://cdn.scnbdx.fr/web-afresco/BOGAMET/MET_ARR_2020-BM1488.pdf" TargetMode="External"/><Relationship Id="rId1192" Type="http://schemas.openxmlformats.org/officeDocument/2006/relationships/hyperlink" Target="https://cdn.scnbdx.fr/web-afresco/BOGAMET/MET_ARR_2020-BM1488.pdf" TargetMode="External"/><Relationship Id="rId1193" Type="http://schemas.openxmlformats.org/officeDocument/2006/relationships/hyperlink" Target="https://cdn.scnbdx.fr/web-afresco/BOGAMET/MET_ARR_2020-BM1491.pdf" TargetMode="External"/><Relationship Id="rId2040" Type="http://schemas.openxmlformats.org/officeDocument/2006/relationships/hyperlink" Target="https://cdn.scnbdx.fr/web-afresco/BOGAMET/MET_ARR_2021-BM0385.pdf" TargetMode="External"/><Relationship Id="rId121" Type="http://schemas.openxmlformats.org/officeDocument/2006/relationships/hyperlink" Target="https://cdn.scnbdx.fr/web-afresco/BOGAMET/MET_ARR_2020-BM0682.pdf" TargetMode="External"/><Relationship Id="rId1194" Type="http://schemas.openxmlformats.org/officeDocument/2006/relationships/hyperlink" Target="https://cdn.scnbdx.fr/web-afresco/BOGAMET/MET_ARR_2020-BM1491.pdf" TargetMode="External"/><Relationship Id="rId2041" Type="http://schemas.openxmlformats.org/officeDocument/2006/relationships/hyperlink" Target="https://cdn.scnbdx.fr/web-afresco/BOGAMET/MET_ARR_2021-BM0564.pdf" TargetMode="External"/><Relationship Id="rId120" Type="http://schemas.openxmlformats.org/officeDocument/2006/relationships/hyperlink" Target="https://cdn.scnbdx.fr/web-afresco/BOGAMET/MET_ARR_2020-BM0621.pdf" TargetMode="External"/><Relationship Id="rId1195" Type="http://schemas.openxmlformats.org/officeDocument/2006/relationships/hyperlink" Target="https://cdn.scnbdx.fr/web-afresco/BOGAMET/MET_ARR_2020-BM1492.pdf" TargetMode="External"/><Relationship Id="rId2042" Type="http://schemas.openxmlformats.org/officeDocument/2006/relationships/hyperlink" Target="https://cdn.scnbdx.fr/web-afresco/BOGAMET/MET_ARR_2021-BM0564.pdf" TargetMode="External"/><Relationship Id="rId1196" Type="http://schemas.openxmlformats.org/officeDocument/2006/relationships/hyperlink" Target="https://cdn.scnbdx.fr/web-afresco/BOGAMET/MET_ARR_2020-BM1492.pdf" TargetMode="External"/><Relationship Id="rId2043" Type="http://schemas.openxmlformats.org/officeDocument/2006/relationships/hyperlink" Target="https://cdn.scnbdx.fr/web-afresco/BOGAMET/MET_ARR_2021-BM0393.pdf" TargetMode="External"/><Relationship Id="rId1197" Type="http://schemas.openxmlformats.org/officeDocument/2006/relationships/hyperlink" Target="https://cdn.scnbdx.fr/web-afresco/BOGAMET/MET_ARR_2020-BM1493.pdf" TargetMode="External"/><Relationship Id="rId2044" Type="http://schemas.openxmlformats.org/officeDocument/2006/relationships/hyperlink" Target="https://cdn.scnbdx.fr/web-afresco/BOGAMET/MET_ARR_2021-BM0393.pdf" TargetMode="External"/><Relationship Id="rId125" Type="http://schemas.openxmlformats.org/officeDocument/2006/relationships/hyperlink" Target="https://cdn.scnbdx.fr/web-afresco/BOGAMET/MET_ARR_2020-BM0709.pdf" TargetMode="External"/><Relationship Id="rId1198" Type="http://schemas.openxmlformats.org/officeDocument/2006/relationships/hyperlink" Target="https://cdn.scnbdx.fr/web-afresco/BOGAMET/MET_ARR_2020-BM1493.pdf" TargetMode="External"/><Relationship Id="rId2045" Type="http://schemas.openxmlformats.org/officeDocument/2006/relationships/hyperlink" Target="https://cdn.scnbdx.fr/web-afresco/BOGAMET/MET_ARR_2021-BM0524.pdf" TargetMode="External"/><Relationship Id="rId124" Type="http://schemas.openxmlformats.org/officeDocument/2006/relationships/hyperlink" Target="https://cdn.scnbdx.fr/web-afresco/BOGAMET/MET_ARR_2020-BM0683.pdf" TargetMode="External"/><Relationship Id="rId1199" Type="http://schemas.openxmlformats.org/officeDocument/2006/relationships/hyperlink" Target="https://cdn.scnbdx.fr/web-afresco/BOGAMET/MET_ARR_2020-BM1495.pdf" TargetMode="External"/><Relationship Id="rId2046" Type="http://schemas.openxmlformats.org/officeDocument/2006/relationships/hyperlink" Target="https://cdn.scnbdx.fr/web-afresco/BOGAMET/MET_ARR_2021-BM0524.pdf" TargetMode="External"/><Relationship Id="rId123" Type="http://schemas.openxmlformats.org/officeDocument/2006/relationships/hyperlink" Target="https://cdn.scnbdx.fr/web-afresco/BOGAMET/MET_ARR_2020-BM0683.pdf" TargetMode="External"/><Relationship Id="rId2047" Type="http://schemas.openxmlformats.org/officeDocument/2006/relationships/hyperlink" Target="https://cdn.scnbdx.fr/web-afresco/BOGAMET/MET_ARR_2021-BM0581.pdf" TargetMode="External"/><Relationship Id="rId122" Type="http://schemas.openxmlformats.org/officeDocument/2006/relationships/hyperlink" Target="https://cdn.scnbdx.fr/web-afresco/BOGAMET/MET_ARR_2020-BM0682.pdf" TargetMode="External"/><Relationship Id="rId2048" Type="http://schemas.openxmlformats.org/officeDocument/2006/relationships/hyperlink" Target="https://cdn.scnbdx.fr/web-afresco/BOGAMET/MET_ARR_2021-BM0581.pdf" TargetMode="External"/><Relationship Id="rId2038" Type="http://schemas.openxmlformats.org/officeDocument/2006/relationships/hyperlink" Target="https://cdn.scnbdx.fr/web-afresco/BOGAMET/MET_ARR_2021-BM0373.pdf" TargetMode="External"/><Relationship Id="rId2039" Type="http://schemas.openxmlformats.org/officeDocument/2006/relationships/hyperlink" Target="https://cdn.scnbdx.fr/web-afresco/BOGAMET/MET_ARR_2021-BM0385.pdf" TargetMode="External"/><Relationship Id="rId118" Type="http://schemas.openxmlformats.org/officeDocument/2006/relationships/hyperlink" Target="https://cdn.scnbdx.fr/web-afresco/BOGAMET/MET_ARR_2020-BM0619.pdf" TargetMode="External"/><Relationship Id="rId117" Type="http://schemas.openxmlformats.org/officeDocument/2006/relationships/hyperlink" Target="https://cdn.scnbdx.fr/web-afresco/BOGAMET/MET_ARR_2020-BM0619.pdf" TargetMode="External"/><Relationship Id="rId116" Type="http://schemas.openxmlformats.org/officeDocument/2006/relationships/hyperlink" Target="https://cdn.scnbdx.fr/web-afresco/BOGAMET/MET_ARR_2020-BM0758.pdf" TargetMode="External"/><Relationship Id="rId115" Type="http://schemas.openxmlformats.org/officeDocument/2006/relationships/hyperlink" Target="https://cdn.scnbdx.fr/web-afresco/BOGAMET/MET_ARR_2020-BM0758.pdf" TargetMode="External"/><Relationship Id="rId599" Type="http://schemas.openxmlformats.org/officeDocument/2006/relationships/hyperlink" Target="https://cdn.scnbdx.fr/web-afresco/BOGAMET/MET_ARR_2021-BM0995.pdf" TargetMode="External"/><Relationship Id="rId1180" Type="http://schemas.openxmlformats.org/officeDocument/2006/relationships/hyperlink" Target="https://cdn.scnbdx.fr/web-afresco/BOGAMET/MET_ARR_2021-BM0037.pdf" TargetMode="External"/><Relationship Id="rId1181" Type="http://schemas.openxmlformats.org/officeDocument/2006/relationships/hyperlink" Target="https://cdn.scnbdx.fr/web-afresco/BOGAMET/MET_ARR_2021-BM0499.pdf" TargetMode="External"/><Relationship Id="rId119" Type="http://schemas.openxmlformats.org/officeDocument/2006/relationships/hyperlink" Target="https://cdn.scnbdx.fr/web-afresco/BOGAMET/MET_ARR_2020-BM0621.pdf" TargetMode="External"/><Relationship Id="rId1182" Type="http://schemas.openxmlformats.org/officeDocument/2006/relationships/hyperlink" Target="https://cdn.scnbdx.fr/web-afresco/BOGAMET/MET_ARR_2021-BM0499.pdf" TargetMode="External"/><Relationship Id="rId110" Type="http://schemas.openxmlformats.org/officeDocument/2006/relationships/hyperlink" Target="https://cdn.scnbdx.fr/web-afresco/BOGAMET/MET_ARR_2020-BM0746.pdf" TargetMode="External"/><Relationship Id="rId594" Type="http://schemas.openxmlformats.org/officeDocument/2006/relationships/hyperlink" Target="https://cdn.scnbdx.fr/web-afresco/BOGAMET/MET_ARR_2021-BM1024.pdf" TargetMode="External"/><Relationship Id="rId1183" Type="http://schemas.openxmlformats.org/officeDocument/2006/relationships/hyperlink" Target="https://cdn.scnbdx.fr/web-afresco/BOGAMET/MET_ARR_2020-BM1477.pdf" TargetMode="External"/><Relationship Id="rId2030" Type="http://schemas.openxmlformats.org/officeDocument/2006/relationships/hyperlink" Target="https://cdn.scnbdx.fr/web-afresco/BOGAMET/MET_ARR_2021-BM0326.pdf" TargetMode="External"/><Relationship Id="rId593" Type="http://schemas.openxmlformats.org/officeDocument/2006/relationships/hyperlink" Target="https://cdn.scnbdx.fr/web-afresco/BOGAMET/MET_ARR_2021-BM1024.pdf" TargetMode="External"/><Relationship Id="rId1184" Type="http://schemas.openxmlformats.org/officeDocument/2006/relationships/hyperlink" Target="https://cdn.scnbdx.fr/web-afresco/BOGAMET/MET_ARR_2020-BM1477.pdf" TargetMode="External"/><Relationship Id="rId2031" Type="http://schemas.openxmlformats.org/officeDocument/2006/relationships/hyperlink" Target="https://cdn.scnbdx.fr/web-afresco/BOGAMET/MET_ARR_2021-BM0327.pdf" TargetMode="External"/><Relationship Id="rId592" Type="http://schemas.openxmlformats.org/officeDocument/2006/relationships/hyperlink" Target="https://cdn.scnbdx.fr/web-afresco/BOGAMET/MET_ARR_2021-BM0816.pdf" TargetMode="External"/><Relationship Id="rId1185" Type="http://schemas.openxmlformats.org/officeDocument/2006/relationships/hyperlink" Target="https://cdn.scnbdx.fr/web-afresco/BOGAMET/MET_ARR_2020-BM1481.pdf" TargetMode="External"/><Relationship Id="rId2032" Type="http://schemas.openxmlformats.org/officeDocument/2006/relationships/hyperlink" Target="https://cdn.scnbdx.fr/web-afresco/BOGAMET/MET_ARR_2021-BM0327.pdf" TargetMode="External"/><Relationship Id="rId591" Type="http://schemas.openxmlformats.org/officeDocument/2006/relationships/hyperlink" Target="https://cdn.scnbdx.fr/web-afresco/BOGAMET/MET_ARR_2021-BM0816.pdf" TargetMode="External"/><Relationship Id="rId1186" Type="http://schemas.openxmlformats.org/officeDocument/2006/relationships/hyperlink" Target="https://cdn.scnbdx.fr/web-afresco/BOGAMET/MET_ARR_2020-BM1481.pdf" TargetMode="External"/><Relationship Id="rId2033" Type="http://schemas.openxmlformats.org/officeDocument/2006/relationships/hyperlink" Target="https://cdn.scnbdx.fr/web-afresco/BOGAMET/MET_ARR_2021-BM0328.pdf" TargetMode="External"/><Relationship Id="rId114" Type="http://schemas.openxmlformats.org/officeDocument/2006/relationships/hyperlink" Target="https://cdn.scnbdx.fr/web-afresco/BOGAMET/MET_ARR_2020-BM0756.pdf" TargetMode="External"/><Relationship Id="rId598" Type="http://schemas.openxmlformats.org/officeDocument/2006/relationships/hyperlink" Target="https://cdn.scnbdx.fr/web-afresco/BOGAMET/MET_ARR_2021-BM0990.pdf" TargetMode="External"/><Relationship Id="rId1187" Type="http://schemas.openxmlformats.org/officeDocument/2006/relationships/hyperlink" Target="https://cdn.scnbdx.fr/web-afresco/BOGAMET/MET_ARR_2020-BM1484.pdf" TargetMode="External"/><Relationship Id="rId2034" Type="http://schemas.openxmlformats.org/officeDocument/2006/relationships/hyperlink" Target="https://cdn.scnbdx.fr/web-afresco/BOGAMET/MET_ARR_2021-BM0328.pdf" TargetMode="External"/><Relationship Id="rId113" Type="http://schemas.openxmlformats.org/officeDocument/2006/relationships/hyperlink" Target="https://cdn.scnbdx.fr/web-afresco/BOGAMET/MET_ARR_2020-BM0756.pdf" TargetMode="External"/><Relationship Id="rId597" Type="http://schemas.openxmlformats.org/officeDocument/2006/relationships/hyperlink" Target="https://cdn.scnbdx.fr/web-afresco/BOGAMET/MET_ARR_2021-BM0990.pdf" TargetMode="External"/><Relationship Id="rId1188" Type="http://schemas.openxmlformats.org/officeDocument/2006/relationships/hyperlink" Target="https://cdn.scnbdx.fr/web-afresco/BOGAMET/MET_ARR_2020-BM1484.pdf" TargetMode="External"/><Relationship Id="rId2035" Type="http://schemas.openxmlformats.org/officeDocument/2006/relationships/hyperlink" Target="https://cdn.scnbdx.fr/web-afresco/BOGAMET/MET_ARR_2021-BM0378.pdf" TargetMode="External"/><Relationship Id="rId112" Type="http://schemas.openxmlformats.org/officeDocument/2006/relationships/hyperlink" Target="https://cdn.scnbdx.fr/web-afresco/BOGAMET/MET_ARR_2020-BM0749.pdf" TargetMode="External"/><Relationship Id="rId596" Type="http://schemas.openxmlformats.org/officeDocument/2006/relationships/hyperlink" Target="https://cdn.scnbdx.fr/web-afresco/BOGAMET/MET_ARR_2021-BM0989.pdf" TargetMode="External"/><Relationship Id="rId1189" Type="http://schemas.openxmlformats.org/officeDocument/2006/relationships/hyperlink" Target="https://cdn.scnbdx.fr/web-afresco/BOGAMET/MET_ARR_2020-BM1486.pdf" TargetMode="External"/><Relationship Id="rId2036" Type="http://schemas.openxmlformats.org/officeDocument/2006/relationships/hyperlink" Target="https://cdn.scnbdx.fr/web-afresco/BOGAMET/MET_ARR_2021-BM0378.pdf" TargetMode="External"/><Relationship Id="rId111" Type="http://schemas.openxmlformats.org/officeDocument/2006/relationships/hyperlink" Target="https://cdn.scnbdx.fr/web-afresco/BOGAMET/MET_ARR_2020-BM0749.pdf" TargetMode="External"/><Relationship Id="rId595" Type="http://schemas.openxmlformats.org/officeDocument/2006/relationships/hyperlink" Target="https://cdn.scnbdx.fr/web-afresco/BOGAMET/MET_ARR_2021-BM0989.pdf" TargetMode="External"/><Relationship Id="rId2037" Type="http://schemas.openxmlformats.org/officeDocument/2006/relationships/hyperlink" Target="https://cdn.scnbdx.fr/web-afresco/BOGAMET/MET_ARR_2021-BM0373.pdf" TargetMode="External"/><Relationship Id="rId1136" Type="http://schemas.openxmlformats.org/officeDocument/2006/relationships/hyperlink" Target="https://cdn.scnbdx.fr/web-afresco/BOGAMET/MET_ARR_2021-BM0391.pdf" TargetMode="External"/><Relationship Id="rId2467" Type="http://schemas.openxmlformats.org/officeDocument/2006/relationships/hyperlink" Target="https://cdn.scnbdx.fr/web-afresco/BOGAMET/MET_ARR_2021-BM1191.pdf" TargetMode="External"/><Relationship Id="rId1137" Type="http://schemas.openxmlformats.org/officeDocument/2006/relationships/hyperlink" Target="https://cdn.scnbdx.fr/web-afresco/BOGAMET/MET_ARR_2021-BM0530.pdf" TargetMode="External"/><Relationship Id="rId2468" Type="http://schemas.openxmlformats.org/officeDocument/2006/relationships/hyperlink" Target="https://cdn.scnbdx.fr/web-afresco/BOGAMET/MET_ARR_2021-BM1191.pdf" TargetMode="External"/><Relationship Id="rId1138" Type="http://schemas.openxmlformats.org/officeDocument/2006/relationships/hyperlink" Target="https://cdn.scnbdx.fr/web-afresco/BOGAMET/MET_ARR_2021-BM0530.pdf" TargetMode="External"/><Relationship Id="rId2469" Type="http://schemas.openxmlformats.org/officeDocument/2006/relationships/hyperlink" Target="https://cdn.scnbdx.fr/web-afresco/BOGAMET/MET_ARR_2021-BM1144.pdf" TargetMode="External"/><Relationship Id="rId1139" Type="http://schemas.openxmlformats.org/officeDocument/2006/relationships/hyperlink" Target="https://cdn.scnbdx.fr/web-afresco/BOGAMET/MET_ARR_2021-BM0536.pdf" TargetMode="External"/><Relationship Id="rId547" Type="http://schemas.openxmlformats.org/officeDocument/2006/relationships/hyperlink" Target="https://cdn.scnbdx.fr/web-afresco/BOGAMET/MET_ARR_2021-BM1312.pdf" TargetMode="External"/><Relationship Id="rId546" Type="http://schemas.openxmlformats.org/officeDocument/2006/relationships/hyperlink" Target="https://cdn.scnbdx.fr/web-afresco/BOGAMET/MET_ARR_2021-BM1311.pdf" TargetMode="External"/><Relationship Id="rId545" Type="http://schemas.openxmlformats.org/officeDocument/2006/relationships/hyperlink" Target="https://cdn.scnbdx.fr/web-afresco/BOGAMET/MET_ARR_2021-BM1311.pdf" TargetMode="External"/><Relationship Id="rId544" Type="http://schemas.openxmlformats.org/officeDocument/2006/relationships/hyperlink" Target="https://cdn.scnbdx.fr/web-afresco/BOGAMET/MET_ARR_2021-BM1404.pdf" TargetMode="External"/><Relationship Id="rId549" Type="http://schemas.openxmlformats.org/officeDocument/2006/relationships/hyperlink" Target="https://cdn.scnbdx.fr/web-afresco/BOGAMET/MET_ARR_2021-BM0963.pdf" TargetMode="External"/><Relationship Id="rId548" Type="http://schemas.openxmlformats.org/officeDocument/2006/relationships/hyperlink" Target="https://cdn.scnbdx.fr/web-afresco/BOGAMET/MET_ARR_2021-BM1312.pdf" TargetMode="External"/><Relationship Id="rId2460" Type="http://schemas.openxmlformats.org/officeDocument/2006/relationships/hyperlink" Target="https://cdn.scnbdx.fr/web-afresco/BOGAMET/MET_ARR_2021-BM1337.pdf" TargetMode="External"/><Relationship Id="rId1130" Type="http://schemas.openxmlformats.org/officeDocument/2006/relationships/hyperlink" Target="https://cdn.scnbdx.fr/web-afresco/BOGAMET/MET_ARR_2021-BM0388.pdf" TargetMode="External"/><Relationship Id="rId2461" Type="http://schemas.openxmlformats.org/officeDocument/2006/relationships/hyperlink" Target="https://cdn.scnbdx.fr/web-afresco/BOGAMET/MET_ARR_2021-BM1172.pdf" TargetMode="External"/><Relationship Id="rId1131" Type="http://schemas.openxmlformats.org/officeDocument/2006/relationships/hyperlink" Target="https://cdn.scnbdx.fr/web-afresco/BOGAMET/MET_ARR_2021-BM0431.pdf" TargetMode="External"/><Relationship Id="rId2462" Type="http://schemas.openxmlformats.org/officeDocument/2006/relationships/hyperlink" Target="https://cdn.scnbdx.fr/web-afresco/BOGAMET/MET_ARR_2021-BM1172.pdf" TargetMode="External"/><Relationship Id="rId543" Type="http://schemas.openxmlformats.org/officeDocument/2006/relationships/hyperlink" Target="https://cdn.scnbdx.fr/web-afresco/BOGAMET/MET_ARR_2021-BM1404.pdf" TargetMode="External"/><Relationship Id="rId1132" Type="http://schemas.openxmlformats.org/officeDocument/2006/relationships/hyperlink" Target="https://cdn.scnbdx.fr/web-afresco/BOGAMET/MET_ARR_2021-BM0431.pdf" TargetMode="External"/><Relationship Id="rId2463" Type="http://schemas.openxmlformats.org/officeDocument/2006/relationships/hyperlink" Target="https://cdn.scnbdx.fr/web-afresco/BOGAMET/MET_ARR_2021-BM1173.pdf" TargetMode="External"/><Relationship Id="rId542" Type="http://schemas.openxmlformats.org/officeDocument/2006/relationships/hyperlink" Target="https://cdn.scnbdx.fr/web-afresco/BOGAMET/MET_ARR_2021-BM1339.pdf" TargetMode="External"/><Relationship Id="rId1133" Type="http://schemas.openxmlformats.org/officeDocument/2006/relationships/hyperlink" Target="https://cdn.scnbdx.fr/web-afresco/BOGAMET/MET_ARR_2021-BM0470.pdf" TargetMode="External"/><Relationship Id="rId2464" Type="http://schemas.openxmlformats.org/officeDocument/2006/relationships/hyperlink" Target="https://cdn.scnbdx.fr/web-afresco/BOGAMET/MET_ARR_2021-BM1173.pdf" TargetMode="External"/><Relationship Id="rId541" Type="http://schemas.openxmlformats.org/officeDocument/2006/relationships/hyperlink" Target="https://cdn.scnbdx.fr/web-afresco/BOGAMET/MET_ARR_2021-BM1339.pdf" TargetMode="External"/><Relationship Id="rId1134" Type="http://schemas.openxmlformats.org/officeDocument/2006/relationships/hyperlink" Target="https://cdn.scnbdx.fr/web-afresco/BOGAMET/MET_ARR_2021-BM0470.pdf" TargetMode="External"/><Relationship Id="rId2465" Type="http://schemas.openxmlformats.org/officeDocument/2006/relationships/hyperlink" Target="https://cdn.scnbdx.fr/web-afresco/BOGAMET/MET_ARR_2021-BM1338.pdf" TargetMode="External"/><Relationship Id="rId540" Type="http://schemas.openxmlformats.org/officeDocument/2006/relationships/hyperlink" Target="https://cdn.scnbdx.fr/web-afresco/BOGAMET/MET_ARR_2021-BM0918.pdf" TargetMode="External"/><Relationship Id="rId1135" Type="http://schemas.openxmlformats.org/officeDocument/2006/relationships/hyperlink" Target="https://cdn.scnbdx.fr/web-afresco/BOGAMET/MET_ARR_2021-BM0391.pdf" TargetMode="External"/><Relationship Id="rId2466" Type="http://schemas.openxmlformats.org/officeDocument/2006/relationships/hyperlink" Target="https://cdn.scnbdx.fr/web-afresco/BOGAMET/MET_ARR_2021-BM1338.pdf" TargetMode="External"/><Relationship Id="rId1125" Type="http://schemas.openxmlformats.org/officeDocument/2006/relationships/hyperlink" Target="https://cdn.scnbdx.fr/web-afresco/BOGAMET/MET_ARR_2021-BM0329.pdf" TargetMode="External"/><Relationship Id="rId2456" Type="http://schemas.openxmlformats.org/officeDocument/2006/relationships/hyperlink" Target="https://cdn.scnbdx.fr/web-afresco/BOGAMET/MET_ARR_2021-BM1425.pdf" TargetMode="External"/><Relationship Id="rId1126" Type="http://schemas.openxmlformats.org/officeDocument/2006/relationships/hyperlink" Target="https://cdn.scnbdx.fr/web-afresco/BOGAMET/MET_ARR_2021-BM0329.pdf" TargetMode="External"/><Relationship Id="rId2457" Type="http://schemas.openxmlformats.org/officeDocument/2006/relationships/hyperlink" Target="https://cdn.scnbdx.fr/web-afresco/BOGAMET/MET_ARR_2021-BM1335.pdf" TargetMode="External"/><Relationship Id="rId1127" Type="http://schemas.openxmlformats.org/officeDocument/2006/relationships/hyperlink" Target="https://cdn.scnbdx.fr/web-afresco/BOGAMET/MET_ARR_2021-BM0384.pdf" TargetMode="External"/><Relationship Id="rId2458" Type="http://schemas.openxmlformats.org/officeDocument/2006/relationships/hyperlink" Target="https://cdn.scnbdx.fr/web-afresco/BOGAMET/MET_ARR_2021-BM1335.pdf" TargetMode="External"/><Relationship Id="rId1128" Type="http://schemas.openxmlformats.org/officeDocument/2006/relationships/hyperlink" Target="https://cdn.scnbdx.fr/web-afresco/BOGAMET/MET_ARR_2021-BM0384.pdf" TargetMode="External"/><Relationship Id="rId2459" Type="http://schemas.openxmlformats.org/officeDocument/2006/relationships/hyperlink" Target="https://cdn.scnbdx.fr/web-afresco/BOGAMET/MET_ARR_2021-BM1337.pdf" TargetMode="External"/><Relationship Id="rId1129" Type="http://schemas.openxmlformats.org/officeDocument/2006/relationships/hyperlink" Target="https://cdn.scnbdx.fr/web-afresco/BOGAMET/MET_ARR_2021-BM0388.pdf" TargetMode="External"/><Relationship Id="rId536" Type="http://schemas.openxmlformats.org/officeDocument/2006/relationships/hyperlink" Target="https://cdn.scnbdx.fr/web-afresco/BOGAMET/MET_ARR_2021-BM0857.pdf" TargetMode="External"/><Relationship Id="rId535" Type="http://schemas.openxmlformats.org/officeDocument/2006/relationships/hyperlink" Target="https://cdn.scnbdx.fr/web-afresco/BOGAMET/MET_ARR_2021-BM0857.pdf" TargetMode="External"/><Relationship Id="rId534" Type="http://schemas.openxmlformats.org/officeDocument/2006/relationships/hyperlink" Target="https://cdn.scnbdx.fr/web-afresco/BOGAMET/MET_ARR_2021-BM0856.pdf" TargetMode="External"/><Relationship Id="rId533" Type="http://schemas.openxmlformats.org/officeDocument/2006/relationships/hyperlink" Target="https://cdn.scnbdx.fr/web-afresco/BOGAMET/MET_ARR_2021-BM0856.pdf" TargetMode="External"/><Relationship Id="rId539" Type="http://schemas.openxmlformats.org/officeDocument/2006/relationships/hyperlink" Target="https://cdn.scnbdx.fr/web-afresco/BOGAMET/MET_ARR_2021-BM0918.pdf" TargetMode="External"/><Relationship Id="rId538" Type="http://schemas.openxmlformats.org/officeDocument/2006/relationships/hyperlink" Target="https://cdn.scnbdx.fr/web-afresco/BOGAMET/MET_ARR_2021-BM0903.pdf" TargetMode="External"/><Relationship Id="rId537" Type="http://schemas.openxmlformats.org/officeDocument/2006/relationships/hyperlink" Target="https://cdn.scnbdx.fr/web-afresco/BOGAMET/MET_ARR_2021-BM0903.pdf" TargetMode="External"/><Relationship Id="rId2450" Type="http://schemas.openxmlformats.org/officeDocument/2006/relationships/hyperlink" Target="https://cdn.scnbdx.fr/web-afresco/BOGAMET/MET_ARR_2021-BM1447.pdf" TargetMode="External"/><Relationship Id="rId1120" Type="http://schemas.openxmlformats.org/officeDocument/2006/relationships/hyperlink" Target="https://cdn.scnbdx.fr/web-afresco/BOGAMET/MET_ARR_2021-BM0445.pdf" TargetMode="External"/><Relationship Id="rId2451" Type="http://schemas.openxmlformats.org/officeDocument/2006/relationships/hyperlink" Target="https://cdn.scnbdx.fr/web-afresco/BOGAMET/MET_ARR_2021-BM1315.pdf" TargetMode="External"/><Relationship Id="rId532" Type="http://schemas.openxmlformats.org/officeDocument/2006/relationships/hyperlink" Target="https://cdn.scnbdx.fr/web-afresco/BOGAMET/MET_ARR_2021-BM0849.pdf" TargetMode="External"/><Relationship Id="rId1121" Type="http://schemas.openxmlformats.org/officeDocument/2006/relationships/hyperlink" Target="https://cdn.scnbdx.fr/web-afresco/BOGAMET/MET_ARR_2021-BM0400.pdf" TargetMode="External"/><Relationship Id="rId2452" Type="http://schemas.openxmlformats.org/officeDocument/2006/relationships/hyperlink" Target="https://cdn.scnbdx.fr/web-afresco/BOGAMET/MET_ARR_2021-BM1315.pdf" TargetMode="External"/><Relationship Id="rId531" Type="http://schemas.openxmlformats.org/officeDocument/2006/relationships/hyperlink" Target="https://cdn.scnbdx.fr/web-afresco/BOGAMET/MET_ARR_2021-BM0849.pdf" TargetMode="External"/><Relationship Id="rId1122" Type="http://schemas.openxmlformats.org/officeDocument/2006/relationships/hyperlink" Target="https://cdn.scnbdx.fr/web-afresco/BOGAMET/MET_ARR_2021-BM0400.pdf" TargetMode="External"/><Relationship Id="rId2453" Type="http://schemas.openxmlformats.org/officeDocument/2006/relationships/hyperlink" Target="https://cdn.scnbdx.fr/web-afresco/BOGAMET/MET_ARR_2021-BM1391.pdf" TargetMode="External"/><Relationship Id="rId530" Type="http://schemas.openxmlformats.org/officeDocument/2006/relationships/hyperlink" Target="https://cdn.scnbdx.fr/web-afresco/BOGAMET/MET_ARR_2021-BM0884.pdf" TargetMode="External"/><Relationship Id="rId1123" Type="http://schemas.openxmlformats.org/officeDocument/2006/relationships/hyperlink" Target="https://cdn.scnbdx.fr/web-afresco/BOGAMET/MET_ARR_2021-BM0610.pdf" TargetMode="External"/><Relationship Id="rId2454" Type="http://schemas.openxmlformats.org/officeDocument/2006/relationships/hyperlink" Target="https://cdn.scnbdx.fr/web-afresco/BOGAMET/MET_ARR_2021-BM1391.pdf" TargetMode="External"/><Relationship Id="rId1124" Type="http://schemas.openxmlformats.org/officeDocument/2006/relationships/hyperlink" Target="https://cdn.scnbdx.fr/web-afresco/BOGAMET/MET_ARR_2021-BM0610.pdf" TargetMode="External"/><Relationship Id="rId2455" Type="http://schemas.openxmlformats.org/officeDocument/2006/relationships/hyperlink" Target="https://cdn.scnbdx.fr/web-afresco/BOGAMET/MET_ARR_2021-BM1425.pdf" TargetMode="External"/><Relationship Id="rId1158" Type="http://schemas.openxmlformats.org/officeDocument/2006/relationships/hyperlink" Target="https://cdn.scnbdx.fr/web-afresco/BOGAMET/MET_ARR_2021-BM0552.pdf" TargetMode="External"/><Relationship Id="rId2005" Type="http://schemas.openxmlformats.org/officeDocument/2006/relationships/hyperlink" Target="https://cdn.scnbdx.fr/web-afresco/BOGAMET/MET_ARR_2021-BM0398.pdf" TargetMode="External"/><Relationship Id="rId2489" Type="http://schemas.openxmlformats.org/officeDocument/2006/relationships/hyperlink" Target="https://cdn.scnbdx.fr/web-afresco/BOGAMET/MET_ARR_2021-BM1355.pdf" TargetMode="External"/><Relationship Id="rId1159" Type="http://schemas.openxmlformats.org/officeDocument/2006/relationships/hyperlink" Target="https://cdn.scnbdx.fr/web-afresco/BOGAMET/MET_ARR_2021-BM0555.pdf" TargetMode="External"/><Relationship Id="rId2006" Type="http://schemas.openxmlformats.org/officeDocument/2006/relationships/hyperlink" Target="https://cdn.scnbdx.fr/web-afresco/BOGAMET/MET_ARR_2021-BM0398.pdf" TargetMode="External"/><Relationship Id="rId2007" Type="http://schemas.openxmlformats.org/officeDocument/2006/relationships/hyperlink" Target="https://cdn.scnbdx.fr/web-afresco/BOGAMET/MET_ARR_2021-BM0072.pdf" TargetMode="External"/><Relationship Id="rId2008" Type="http://schemas.openxmlformats.org/officeDocument/2006/relationships/hyperlink" Target="https://cdn.scnbdx.fr/web-afresco/BOGAMET/MET_ARR_2021-BM0072.pdf" TargetMode="External"/><Relationship Id="rId2009" Type="http://schemas.openxmlformats.org/officeDocument/2006/relationships/hyperlink" Target="https://cdn.scnbdx.fr/web-afresco/BOGAMET/MET_ARR_2021-BM0229.pdf" TargetMode="External"/><Relationship Id="rId569" Type="http://schemas.openxmlformats.org/officeDocument/2006/relationships/hyperlink" Target="https://cdn.scnbdx.fr/web-afresco/BOGAMET/MET_ARR_2021-BM0600.pdf" TargetMode="External"/><Relationship Id="rId568" Type="http://schemas.openxmlformats.org/officeDocument/2006/relationships/hyperlink" Target="https://cdn.scnbdx.fr/web-afresco/BOGAMET/MET_ARR_2021-BM0656.pdf" TargetMode="External"/><Relationship Id="rId567" Type="http://schemas.openxmlformats.org/officeDocument/2006/relationships/hyperlink" Target="https://cdn.scnbdx.fr/web-afresco/BOGAMET/MET_ARR_2021-BM0656.pdf" TargetMode="External"/><Relationship Id="rId566" Type="http://schemas.openxmlformats.org/officeDocument/2006/relationships/hyperlink" Target="https://cdn.scnbdx.fr/web-afresco/BOGAMET/MET_ARR_2021-BM1122.pdf" TargetMode="External"/><Relationship Id="rId2480" Type="http://schemas.openxmlformats.org/officeDocument/2006/relationships/hyperlink" Target="https://cdn.scnbdx.fr/web-afresco/BOGAMET/MET_ARR_2021-BM1244.pdf" TargetMode="External"/><Relationship Id="rId561" Type="http://schemas.openxmlformats.org/officeDocument/2006/relationships/hyperlink" Target="https://cdn.scnbdx.fr/web-afresco/BOGAMET/MET_ARR_2021-BM1107.pdf" TargetMode="External"/><Relationship Id="rId1150" Type="http://schemas.openxmlformats.org/officeDocument/2006/relationships/hyperlink" Target="https://cdn.scnbdx.fr/web-afresco/BOGAMET/MET_ARR_2021-BM0542.pdf" TargetMode="External"/><Relationship Id="rId2481" Type="http://schemas.openxmlformats.org/officeDocument/2006/relationships/hyperlink" Target="https://cdn.scnbdx.fr/web-afresco/BOGAMET/MET_ARR_2021-BM1248.pdf" TargetMode="External"/><Relationship Id="rId560" Type="http://schemas.openxmlformats.org/officeDocument/2006/relationships/hyperlink" Target="https://cdn.scnbdx.fr/web-afresco/BOGAMET/MET_ARR_2021-BM1106.pdf" TargetMode="External"/><Relationship Id="rId1151" Type="http://schemas.openxmlformats.org/officeDocument/2006/relationships/hyperlink" Target="https://cdn.scnbdx.fr/web-afresco/BOGAMET/MET_ARR_2021-BM0548.pdf" TargetMode="External"/><Relationship Id="rId2482" Type="http://schemas.openxmlformats.org/officeDocument/2006/relationships/hyperlink" Target="https://cdn.scnbdx.fr/web-afresco/BOGAMET/MET_ARR_2021-BM1248.pdf" TargetMode="External"/><Relationship Id="rId1152" Type="http://schemas.openxmlformats.org/officeDocument/2006/relationships/hyperlink" Target="https://cdn.scnbdx.fr/web-afresco/BOGAMET/MET_ARR_2021-BM0548.pdf" TargetMode="External"/><Relationship Id="rId2483" Type="http://schemas.openxmlformats.org/officeDocument/2006/relationships/hyperlink" Target="https://cdn.scnbdx.fr/web-afresco/BOGAMET/MET_ARR_2021-BM1250.pdf" TargetMode="External"/><Relationship Id="rId1153" Type="http://schemas.openxmlformats.org/officeDocument/2006/relationships/hyperlink" Target="https://cdn.scnbdx.fr/web-afresco/BOGAMET/MET_ARR_2021-BM0549.pdf" TargetMode="External"/><Relationship Id="rId2000" Type="http://schemas.openxmlformats.org/officeDocument/2006/relationships/hyperlink" Target="https://cdn.scnbdx.fr/web-afresco/BOGAMET/MET_ARR_2021-BM0342.pdf" TargetMode="External"/><Relationship Id="rId2484" Type="http://schemas.openxmlformats.org/officeDocument/2006/relationships/hyperlink" Target="https://cdn.scnbdx.fr/web-afresco/BOGAMET/MET_ARR_2021-BM1250.pdf" TargetMode="External"/><Relationship Id="rId565" Type="http://schemas.openxmlformats.org/officeDocument/2006/relationships/hyperlink" Target="https://cdn.scnbdx.fr/web-afresco/BOGAMET/MET_ARR_2021-BM1122.pdf" TargetMode="External"/><Relationship Id="rId1154" Type="http://schemas.openxmlformats.org/officeDocument/2006/relationships/hyperlink" Target="https://cdn.scnbdx.fr/web-afresco/BOGAMET/MET_ARR_2021-BM0549.pdf" TargetMode="External"/><Relationship Id="rId2001" Type="http://schemas.openxmlformats.org/officeDocument/2006/relationships/hyperlink" Target="https://cdn.scnbdx.fr/web-afresco/BOGAMET/MET_ARR_2021-BM0003.pdf" TargetMode="External"/><Relationship Id="rId2485" Type="http://schemas.openxmlformats.org/officeDocument/2006/relationships/hyperlink" Target="https://cdn.scnbdx.fr/web-afresco/BOGAMET/MET_ARR_2021-BM1342.pdf" TargetMode="External"/><Relationship Id="rId564" Type="http://schemas.openxmlformats.org/officeDocument/2006/relationships/hyperlink" Target="https://cdn.scnbdx.fr/web-afresco/BOGAMET/MET_ARR_2021-BM1120.pdf" TargetMode="External"/><Relationship Id="rId1155" Type="http://schemas.openxmlformats.org/officeDocument/2006/relationships/hyperlink" Target="https://cdn.scnbdx.fr/web-afresco/BOGAMET/MET_ARR_2021-BM0551.pdf" TargetMode="External"/><Relationship Id="rId2002" Type="http://schemas.openxmlformats.org/officeDocument/2006/relationships/hyperlink" Target="https://cdn.scnbdx.fr/web-afresco/BOGAMET/MET_ARR_2021-BM0003.pdf" TargetMode="External"/><Relationship Id="rId2486" Type="http://schemas.openxmlformats.org/officeDocument/2006/relationships/hyperlink" Target="https://cdn.scnbdx.fr/web-afresco/BOGAMET/MET_ARR_2021-BM1342.pdf" TargetMode="External"/><Relationship Id="rId563" Type="http://schemas.openxmlformats.org/officeDocument/2006/relationships/hyperlink" Target="https://cdn.scnbdx.fr/web-afresco/BOGAMET/MET_ARR_2021-BM1120.pdf" TargetMode="External"/><Relationship Id="rId1156" Type="http://schemas.openxmlformats.org/officeDocument/2006/relationships/hyperlink" Target="https://cdn.scnbdx.fr/web-afresco/BOGAMET/MET_ARR_2021-BM0551.pdf" TargetMode="External"/><Relationship Id="rId2003" Type="http://schemas.openxmlformats.org/officeDocument/2006/relationships/hyperlink" Target="https://cdn.scnbdx.fr/web-afresco/BOGAMET/MET_ARR_2021-BM0444.pdf" TargetMode="External"/><Relationship Id="rId2487" Type="http://schemas.openxmlformats.org/officeDocument/2006/relationships/hyperlink" Target="https://cdn.scnbdx.fr/web-afresco/BOGAMET/MET_ARR_2021-BM1349.pdf" TargetMode="External"/><Relationship Id="rId562" Type="http://schemas.openxmlformats.org/officeDocument/2006/relationships/hyperlink" Target="https://cdn.scnbdx.fr/web-afresco/BOGAMET/MET_ARR_2021-BM1107.pdf" TargetMode="External"/><Relationship Id="rId1157" Type="http://schemas.openxmlformats.org/officeDocument/2006/relationships/hyperlink" Target="https://cdn.scnbdx.fr/web-afresco/BOGAMET/MET_ARR_2021-BM0552.pdf" TargetMode="External"/><Relationship Id="rId2004" Type="http://schemas.openxmlformats.org/officeDocument/2006/relationships/hyperlink" Target="https://cdn.scnbdx.fr/web-afresco/BOGAMET/MET_ARR_2021-BM0444.pdf" TargetMode="External"/><Relationship Id="rId2488" Type="http://schemas.openxmlformats.org/officeDocument/2006/relationships/hyperlink" Target="https://cdn.scnbdx.fr/web-afresco/BOGAMET/MET_ARR_2021-BM1349.pdf" TargetMode="External"/><Relationship Id="rId1147" Type="http://schemas.openxmlformats.org/officeDocument/2006/relationships/hyperlink" Target="https://cdn.scnbdx.fr/web-afresco/BOGAMET/MET_ARR_2021-BM0540.pdf" TargetMode="External"/><Relationship Id="rId2478" Type="http://schemas.openxmlformats.org/officeDocument/2006/relationships/hyperlink" Target="https://cdn.scnbdx.fr/web-afresco/BOGAMET/MET_ARR_2021-BM1196.pdf" TargetMode="External"/><Relationship Id="rId1148" Type="http://schemas.openxmlformats.org/officeDocument/2006/relationships/hyperlink" Target="https://cdn.scnbdx.fr/web-afresco/BOGAMET/MET_ARR_2021-BM0540.pdf" TargetMode="External"/><Relationship Id="rId2479" Type="http://schemas.openxmlformats.org/officeDocument/2006/relationships/hyperlink" Target="https://cdn.scnbdx.fr/web-afresco/BOGAMET/MET_ARR_2021-BM1244.pdf" TargetMode="External"/><Relationship Id="rId1149" Type="http://schemas.openxmlformats.org/officeDocument/2006/relationships/hyperlink" Target="https://cdn.scnbdx.fr/web-afresco/BOGAMET/MET_ARR_2021-BM0542.pdf" TargetMode="External"/><Relationship Id="rId558" Type="http://schemas.openxmlformats.org/officeDocument/2006/relationships/hyperlink" Target="https://cdn.scnbdx.fr/web-afresco/BOGAMET/MET_ARR_2021-BM1097.pdf" TargetMode="External"/><Relationship Id="rId557" Type="http://schemas.openxmlformats.org/officeDocument/2006/relationships/hyperlink" Target="https://cdn.scnbdx.fr/web-afresco/BOGAMET/MET_ARR_2021-BM1097.pdf" TargetMode="External"/><Relationship Id="rId556" Type="http://schemas.openxmlformats.org/officeDocument/2006/relationships/hyperlink" Target="https://cdn.scnbdx.fr/web-afresco/BOGAMET/MET_ARR_2021-BM0979.pdf" TargetMode="External"/><Relationship Id="rId555" Type="http://schemas.openxmlformats.org/officeDocument/2006/relationships/hyperlink" Target="https://cdn.scnbdx.fr/web-afresco/BOGAMET/MET_ARR_2021-BM0979.pdf" TargetMode="External"/><Relationship Id="rId559" Type="http://schemas.openxmlformats.org/officeDocument/2006/relationships/hyperlink" Target="https://cdn.scnbdx.fr/web-afresco/BOGAMET/MET_ARR_2021-BM1106.pdf" TargetMode="External"/><Relationship Id="rId550" Type="http://schemas.openxmlformats.org/officeDocument/2006/relationships/hyperlink" Target="https://cdn.scnbdx.fr/web-afresco/BOGAMET/MET_ARR_2021-BM0963.pdf" TargetMode="External"/><Relationship Id="rId2470" Type="http://schemas.openxmlformats.org/officeDocument/2006/relationships/hyperlink" Target="https://cdn.scnbdx.fr/web-afresco/BOGAMET/MET_ARR_2021-BM1144.pdf" TargetMode="External"/><Relationship Id="rId1140" Type="http://schemas.openxmlformats.org/officeDocument/2006/relationships/hyperlink" Target="https://cdn.scnbdx.fr/web-afresco/BOGAMET/MET_ARR_2021-BM0536.pdf" TargetMode="External"/><Relationship Id="rId2471" Type="http://schemas.openxmlformats.org/officeDocument/2006/relationships/hyperlink" Target="https://cdn.scnbdx.fr/web-afresco/BOGAMET/MET_ARR_2021-BM1145.pdf" TargetMode="External"/><Relationship Id="rId1141" Type="http://schemas.openxmlformats.org/officeDocument/2006/relationships/hyperlink" Target="https://cdn.scnbdx.fr/web-afresco/BOGAMET/MET_ARR_2021-BM0537.pdf" TargetMode="External"/><Relationship Id="rId2472" Type="http://schemas.openxmlformats.org/officeDocument/2006/relationships/hyperlink" Target="https://cdn.scnbdx.fr/web-afresco/BOGAMET/MET_ARR_2021-BM1145.pdf" TargetMode="External"/><Relationship Id="rId1142" Type="http://schemas.openxmlformats.org/officeDocument/2006/relationships/hyperlink" Target="https://cdn.scnbdx.fr/web-afresco/BOGAMET/MET_ARR_2021-BM0537.pdf" TargetMode="External"/><Relationship Id="rId2473" Type="http://schemas.openxmlformats.org/officeDocument/2006/relationships/hyperlink" Target="https://cdn.scnbdx.fr/web-afresco/BOGAMET/MET_ARR_2021-BM1056.pdf" TargetMode="External"/><Relationship Id="rId554" Type="http://schemas.openxmlformats.org/officeDocument/2006/relationships/hyperlink" Target="https://cdn.scnbdx.fr/web-afresco/BOGAMET/MET_ARR_2021-BM0973.pdf" TargetMode="External"/><Relationship Id="rId1143" Type="http://schemas.openxmlformats.org/officeDocument/2006/relationships/hyperlink" Target="https://cdn.scnbdx.fr/web-afresco/BOGAMET/MET_ARR_2021-BM0538.pdf" TargetMode="External"/><Relationship Id="rId2474" Type="http://schemas.openxmlformats.org/officeDocument/2006/relationships/hyperlink" Target="https://cdn.scnbdx.fr/web-afresco/BOGAMET/MET_ARR_2021-BM1056.pdf" TargetMode="External"/><Relationship Id="rId553" Type="http://schemas.openxmlformats.org/officeDocument/2006/relationships/hyperlink" Target="https://cdn.scnbdx.fr/web-afresco/BOGAMET/MET_ARR_2021-BM0973.pdf" TargetMode="External"/><Relationship Id="rId1144" Type="http://schemas.openxmlformats.org/officeDocument/2006/relationships/hyperlink" Target="https://cdn.scnbdx.fr/web-afresco/BOGAMET/MET_ARR_2021-BM0538.pdf" TargetMode="External"/><Relationship Id="rId2475" Type="http://schemas.openxmlformats.org/officeDocument/2006/relationships/hyperlink" Target="https://cdn.scnbdx.fr/web-afresco/BOGAMET/MET_ARR_2021-BM1176.pdf" TargetMode="External"/><Relationship Id="rId552" Type="http://schemas.openxmlformats.org/officeDocument/2006/relationships/hyperlink" Target="https://cdn.scnbdx.fr/web-afresco/BOGAMET/MET_ARR_2021-BM0797.pdf" TargetMode="External"/><Relationship Id="rId1145" Type="http://schemas.openxmlformats.org/officeDocument/2006/relationships/hyperlink" Target="https://cdn.scnbdx.fr/web-afresco/BOGAMET/MET_ARR_2021-BM0539.pdf" TargetMode="External"/><Relationship Id="rId2476" Type="http://schemas.openxmlformats.org/officeDocument/2006/relationships/hyperlink" Target="https://cdn.scnbdx.fr/web-afresco/BOGAMET/MET_ARR_2021-BM1176.pdf" TargetMode="External"/><Relationship Id="rId551" Type="http://schemas.openxmlformats.org/officeDocument/2006/relationships/hyperlink" Target="https://cdn.scnbdx.fr/web-afresco/BOGAMET/MET_ARR_2021-BM0797.pdf" TargetMode="External"/><Relationship Id="rId1146" Type="http://schemas.openxmlformats.org/officeDocument/2006/relationships/hyperlink" Target="https://cdn.scnbdx.fr/web-afresco/BOGAMET/MET_ARR_2021-BM0539.pdf" TargetMode="External"/><Relationship Id="rId2477" Type="http://schemas.openxmlformats.org/officeDocument/2006/relationships/hyperlink" Target="https://cdn.scnbdx.fr/web-afresco/BOGAMET/MET_ARR_2021-BM1196.pdf" TargetMode="External"/><Relationship Id="rId2090" Type="http://schemas.openxmlformats.org/officeDocument/2006/relationships/hyperlink" Target="https://cdn.scnbdx.fr/web-afresco/BOGAMET/MET_ARR_2020-BM1482.pdf" TargetMode="External"/><Relationship Id="rId2091" Type="http://schemas.openxmlformats.org/officeDocument/2006/relationships/hyperlink" Target="https://cdn.scnbdx.fr/web-afresco/BOGAMET/MET_ARR_2020-BM1483.pdf" TargetMode="External"/><Relationship Id="rId2092" Type="http://schemas.openxmlformats.org/officeDocument/2006/relationships/hyperlink" Target="https://cdn.scnbdx.fr/web-afresco/BOGAMET/MET_ARR_2020-BM1483.pdf" TargetMode="External"/><Relationship Id="rId2093" Type="http://schemas.openxmlformats.org/officeDocument/2006/relationships/hyperlink" Target="https://cdn.scnbdx.fr/web-afresco/BOGAMET/MET_ARR_2020-BM1494.pdf" TargetMode="External"/><Relationship Id="rId2094" Type="http://schemas.openxmlformats.org/officeDocument/2006/relationships/hyperlink" Target="https://cdn.scnbdx.fr/web-afresco/BOGAMET/MET_ARR_2020-BM1494.pdf" TargetMode="External"/><Relationship Id="rId2095" Type="http://schemas.openxmlformats.org/officeDocument/2006/relationships/hyperlink" Target="https://cdn.scnbdx.fr/web-afresco/BOGAMET/MET_ARR_2020-BM1498.pdf" TargetMode="External"/><Relationship Id="rId2096" Type="http://schemas.openxmlformats.org/officeDocument/2006/relationships/hyperlink" Target="https://cdn.scnbdx.fr/web-afresco/BOGAMET/MET_ARR_2020-BM1498.pdf" TargetMode="External"/><Relationship Id="rId2097" Type="http://schemas.openxmlformats.org/officeDocument/2006/relationships/hyperlink" Target="https://cdn.scnbdx.fr/web-afresco/BOGAMET/MET_ARR_2020-BM1499.pdf" TargetMode="External"/><Relationship Id="rId2098" Type="http://schemas.openxmlformats.org/officeDocument/2006/relationships/hyperlink" Target="https://cdn.scnbdx.fr/web-afresco/BOGAMET/MET_ARR_2020-BM1499.pdf" TargetMode="External"/><Relationship Id="rId2099" Type="http://schemas.openxmlformats.org/officeDocument/2006/relationships/hyperlink" Target="https://cdn.scnbdx.fr/web-afresco/BOGAMET/MET_ARR_2020-BM1503.pdf" TargetMode="External"/><Relationship Id="rId2060" Type="http://schemas.openxmlformats.org/officeDocument/2006/relationships/hyperlink" Target="https://cdn.scnbdx.fr/web-afresco/BOGAMET/MET_ARR_2021-BM0544.pdf" TargetMode="External"/><Relationship Id="rId2061" Type="http://schemas.openxmlformats.org/officeDocument/2006/relationships/hyperlink" Target="https://cdn.scnbdx.fr/web-afresco/BOGAMET/MET_ARR_2021-BM0545.pdf" TargetMode="External"/><Relationship Id="rId2062" Type="http://schemas.openxmlformats.org/officeDocument/2006/relationships/hyperlink" Target="https://cdn.scnbdx.fr/web-afresco/BOGAMET/MET_ARR_2021-BM0545.pdf" TargetMode="External"/><Relationship Id="rId2063" Type="http://schemas.openxmlformats.org/officeDocument/2006/relationships/hyperlink" Target="https://cdn.scnbdx.fr/web-afresco/BOGAMET/MET_ARR_2021-BM0550.pdf" TargetMode="External"/><Relationship Id="rId2064" Type="http://schemas.openxmlformats.org/officeDocument/2006/relationships/hyperlink" Target="https://cdn.scnbdx.fr/web-afresco/BOGAMET/MET_ARR_2021-BM0550.pdf" TargetMode="External"/><Relationship Id="rId2065" Type="http://schemas.openxmlformats.org/officeDocument/2006/relationships/hyperlink" Target="https://cdn.scnbdx.fr/web-afresco/BOGAMET/MET_ARR_2021-BM0557.pdf" TargetMode="External"/><Relationship Id="rId2066" Type="http://schemas.openxmlformats.org/officeDocument/2006/relationships/hyperlink" Target="https://cdn.scnbdx.fr/web-afresco/BOGAMET/MET_ARR_2021-BM0557.pdf" TargetMode="External"/><Relationship Id="rId2067" Type="http://schemas.openxmlformats.org/officeDocument/2006/relationships/hyperlink" Target="https://cdn.scnbdx.fr/web-afresco/BOGAMET/MET_ARR_2021-BM0558.pdf" TargetMode="External"/><Relationship Id="rId2068" Type="http://schemas.openxmlformats.org/officeDocument/2006/relationships/hyperlink" Target="https://cdn.scnbdx.fr/web-afresco/BOGAMET/MET_ARR_2021-BM0558.pdf" TargetMode="External"/><Relationship Id="rId2069" Type="http://schemas.openxmlformats.org/officeDocument/2006/relationships/hyperlink" Target="https://cdn.scnbdx.fr/web-afresco/BOGAMET/MET_ARR_2021-BM0095.pdf" TargetMode="External"/><Relationship Id="rId2050" Type="http://schemas.openxmlformats.org/officeDocument/2006/relationships/hyperlink" Target="https://cdn.scnbdx.fr/web-afresco/BOGAMET/MET_ARR_2021-BM0531.pdf" TargetMode="External"/><Relationship Id="rId2051" Type="http://schemas.openxmlformats.org/officeDocument/2006/relationships/hyperlink" Target="https://cdn.scnbdx.fr/web-afresco/BOGAMET/MET_ARR_2021-BM0533.pdf" TargetMode="External"/><Relationship Id="rId495" Type="http://schemas.openxmlformats.org/officeDocument/2006/relationships/hyperlink" Target="https://cdn.scnbdx.fr/web-afresco/BOGAMET/MET_ARR_2021-BM0269.pdf" TargetMode="External"/><Relationship Id="rId2052" Type="http://schemas.openxmlformats.org/officeDocument/2006/relationships/hyperlink" Target="https://cdn.scnbdx.fr/web-afresco/BOGAMET/MET_ARR_2021-BM0533.pdf" TargetMode="External"/><Relationship Id="rId494" Type="http://schemas.openxmlformats.org/officeDocument/2006/relationships/hyperlink" Target="https://cdn.scnbdx.fr/web-afresco/BOGAMET/MET_ARR_2021-BM0268.pdf" TargetMode="External"/><Relationship Id="rId2053" Type="http://schemas.openxmlformats.org/officeDocument/2006/relationships/hyperlink" Target="https://cdn.scnbdx.fr/web-afresco/BOGAMET/MET_ARR_2021-BM0534.pdf" TargetMode="External"/><Relationship Id="rId493" Type="http://schemas.openxmlformats.org/officeDocument/2006/relationships/hyperlink" Target="https://cdn.scnbdx.fr/web-afresco/BOGAMET/MET_ARR_2021-BM0268.pdf" TargetMode="External"/><Relationship Id="rId2054" Type="http://schemas.openxmlformats.org/officeDocument/2006/relationships/hyperlink" Target="https://cdn.scnbdx.fr/web-afresco/BOGAMET/MET_ARR_2021-BM0534.pdf" TargetMode="External"/><Relationship Id="rId492" Type="http://schemas.openxmlformats.org/officeDocument/2006/relationships/hyperlink" Target="https://cdn.scnbdx.fr/web-afresco/BOGAMET/MET_ARR_2021-BM0264.pdf" TargetMode="External"/><Relationship Id="rId2055" Type="http://schemas.openxmlformats.org/officeDocument/2006/relationships/hyperlink" Target="https://cdn.scnbdx.fr/web-afresco/BOGAMET/MET_ARR_2021-BM0535.pdf" TargetMode="External"/><Relationship Id="rId499" Type="http://schemas.openxmlformats.org/officeDocument/2006/relationships/hyperlink" Target="https://cdn.scnbdx.fr/web-afresco/BOGAMET/MET_ARR_2021-BM0371.pdf" TargetMode="External"/><Relationship Id="rId2056" Type="http://schemas.openxmlformats.org/officeDocument/2006/relationships/hyperlink" Target="https://cdn.scnbdx.fr/web-afresco/BOGAMET/MET_ARR_2021-BM0535.pdf" TargetMode="External"/><Relationship Id="rId498" Type="http://schemas.openxmlformats.org/officeDocument/2006/relationships/hyperlink" Target="https://cdn.scnbdx.fr/web-afresco/BOGAMET/MET_ARR_2021-BM0270.pdf" TargetMode="External"/><Relationship Id="rId2057" Type="http://schemas.openxmlformats.org/officeDocument/2006/relationships/hyperlink" Target="https://cdn.scnbdx.fr/web-afresco/BOGAMET/MET_ARR_2021-BM0541.pdf" TargetMode="External"/><Relationship Id="rId497" Type="http://schemas.openxmlformats.org/officeDocument/2006/relationships/hyperlink" Target="https://cdn.scnbdx.fr/web-afresco/BOGAMET/MET_ARR_2021-BM0270.pdf" TargetMode="External"/><Relationship Id="rId2058" Type="http://schemas.openxmlformats.org/officeDocument/2006/relationships/hyperlink" Target="https://cdn.scnbdx.fr/web-afresco/BOGAMET/MET_ARR_2021-BM0541.pdf" TargetMode="External"/><Relationship Id="rId496" Type="http://schemas.openxmlformats.org/officeDocument/2006/relationships/hyperlink" Target="https://cdn.scnbdx.fr/web-afresco/BOGAMET/MET_ARR_2021-BM0269.pdf" TargetMode="External"/><Relationship Id="rId2059" Type="http://schemas.openxmlformats.org/officeDocument/2006/relationships/hyperlink" Target="https://cdn.scnbdx.fr/web-afresco/BOGAMET/MET_ARR_2021-BM0544.pdf" TargetMode="External"/><Relationship Id="rId2080" Type="http://schemas.openxmlformats.org/officeDocument/2006/relationships/hyperlink" Target="https://cdn.scnbdx.fr/web-afresco/BOGAMET/MET_ARR_2021-BM0502.pdf" TargetMode="External"/><Relationship Id="rId2081" Type="http://schemas.openxmlformats.org/officeDocument/2006/relationships/hyperlink" Target="https://cdn.scnbdx.fr/web-afresco/BOGAMET/MET_ARR_2021-BM0503.pdf" TargetMode="External"/><Relationship Id="rId2082" Type="http://schemas.openxmlformats.org/officeDocument/2006/relationships/hyperlink" Target="https://cdn.scnbdx.fr/web-afresco/BOGAMET/MET_ARR_2021-BM0503.pdf" TargetMode="External"/><Relationship Id="rId2083" Type="http://schemas.openxmlformats.org/officeDocument/2006/relationships/hyperlink" Target="https://cdn.scnbdx.fr/web-afresco/BOGAMET/MET_ARR_2020-BM1474.pdf" TargetMode="External"/><Relationship Id="rId2084" Type="http://schemas.openxmlformats.org/officeDocument/2006/relationships/hyperlink" Target="https://cdn.scnbdx.fr/web-afresco/BOGAMET/MET_ARR_2020-BM1474.pdf" TargetMode="External"/><Relationship Id="rId2085" Type="http://schemas.openxmlformats.org/officeDocument/2006/relationships/hyperlink" Target="https://cdn.scnbdx.fr/web-afresco/BOGAMET/MET_ARR_2020-BM1475.pdf" TargetMode="External"/><Relationship Id="rId2086" Type="http://schemas.openxmlformats.org/officeDocument/2006/relationships/hyperlink" Target="https://cdn.scnbdx.fr/web-afresco/BOGAMET/MET_ARR_2020-BM1475.pdf" TargetMode="External"/><Relationship Id="rId2087" Type="http://schemas.openxmlformats.org/officeDocument/2006/relationships/hyperlink" Target="https://cdn.scnbdx.fr/web-afresco/BOGAMET/MET_ARR_2020-BM1479.pdf" TargetMode="External"/><Relationship Id="rId2088" Type="http://schemas.openxmlformats.org/officeDocument/2006/relationships/hyperlink" Target="https://cdn.scnbdx.fr/web-afresco/BOGAMET/MET_ARR_2020-BM1479.pdf" TargetMode="External"/><Relationship Id="rId2089" Type="http://schemas.openxmlformats.org/officeDocument/2006/relationships/hyperlink" Target="https://cdn.scnbdx.fr/web-afresco/BOGAMET/MET_ARR_2020-BM1482.pdf" TargetMode="External"/><Relationship Id="rId2070" Type="http://schemas.openxmlformats.org/officeDocument/2006/relationships/hyperlink" Target="https://cdn.scnbdx.fr/web-afresco/BOGAMET/MET_ARR_2021-BM0095.pdf" TargetMode="External"/><Relationship Id="rId2071" Type="http://schemas.openxmlformats.org/officeDocument/2006/relationships/hyperlink" Target="https://cdn.scnbdx.fr/web-afresco/BOGAMET/MET_ARR_2021-BM0096.pdf" TargetMode="External"/><Relationship Id="rId2072" Type="http://schemas.openxmlformats.org/officeDocument/2006/relationships/hyperlink" Target="https://cdn.scnbdx.fr/web-afresco/BOGAMET/MET_ARR_2021-BM0096.pdf" TargetMode="External"/><Relationship Id="rId2073" Type="http://schemas.openxmlformats.org/officeDocument/2006/relationships/hyperlink" Target="https://cdn.scnbdx.fr/web-afresco/BOGAMET/MET_ARR_2021-BM0523.pdf" TargetMode="External"/><Relationship Id="rId2074" Type="http://schemas.openxmlformats.org/officeDocument/2006/relationships/hyperlink" Target="https://cdn.scnbdx.fr/web-afresco/BOGAMET/MET_ARR_2021-BM0523.pdf" TargetMode="External"/><Relationship Id="rId2075" Type="http://schemas.openxmlformats.org/officeDocument/2006/relationships/hyperlink" Target="https://cdn.scnbdx.fr/web-afresco/BOGAMET/MET_ARR_2021-BM0578.pdf" TargetMode="External"/><Relationship Id="rId2076" Type="http://schemas.openxmlformats.org/officeDocument/2006/relationships/hyperlink" Target="https://cdn.scnbdx.fr/web-afresco/BOGAMET/MET_ARR_2021-BM0578.pdf" TargetMode="External"/><Relationship Id="rId2077" Type="http://schemas.openxmlformats.org/officeDocument/2006/relationships/hyperlink" Target="https://cdn.scnbdx.fr/web-afresco/BOGAMET/MET_ARR_2021-BM0580.pdf" TargetMode="External"/><Relationship Id="rId2078" Type="http://schemas.openxmlformats.org/officeDocument/2006/relationships/hyperlink" Target="https://cdn.scnbdx.fr/web-afresco/BOGAMET/MET_ARR_2021-BM0580.pdf" TargetMode="External"/><Relationship Id="rId2079" Type="http://schemas.openxmlformats.org/officeDocument/2006/relationships/hyperlink" Target="https://cdn.scnbdx.fr/web-afresco/BOGAMET/MET_ARR_2021-BM0502.pdf" TargetMode="External"/><Relationship Id="rId1610" Type="http://schemas.openxmlformats.org/officeDocument/2006/relationships/hyperlink" Target="https://cdn.scnbdx.fr/web-afresco/BOGAMET/MET_ARR_2021-BM1597.pdf" TargetMode="External"/><Relationship Id="rId1611" Type="http://schemas.openxmlformats.org/officeDocument/2006/relationships/hyperlink" Target="https://cdn.scnbdx.fr/web-afresco/BOGAMET/MET_ARR_2021-BM1503.pdf" TargetMode="External"/><Relationship Id="rId1612" Type="http://schemas.openxmlformats.org/officeDocument/2006/relationships/hyperlink" Target="https://cdn.scnbdx.fr/web-afresco/BOGAMET/MET_ARR_2021-BM1503.pdf" TargetMode="External"/><Relationship Id="rId1613" Type="http://schemas.openxmlformats.org/officeDocument/2006/relationships/hyperlink" Target="https://cdn.scnbdx.fr/web-afresco/BOGAMET/MET_ARR_2021-BM1509.pdf" TargetMode="External"/><Relationship Id="rId1614" Type="http://schemas.openxmlformats.org/officeDocument/2006/relationships/hyperlink" Target="https://cdn.scnbdx.fr/web-afresco/BOGAMET/MET_ARR_2021-BM1509.pdf" TargetMode="External"/><Relationship Id="rId1615" Type="http://schemas.openxmlformats.org/officeDocument/2006/relationships/hyperlink" Target="https://cdn.scnbdx.fr/web-afresco/BOGAMET/MET_ARR_2021-BM1548.pdf" TargetMode="External"/><Relationship Id="rId1616" Type="http://schemas.openxmlformats.org/officeDocument/2006/relationships/hyperlink" Target="https://cdn.scnbdx.fr/web-afresco/BOGAMET/MET_ARR_2021-BM1548.pdf" TargetMode="External"/><Relationship Id="rId907" Type="http://schemas.openxmlformats.org/officeDocument/2006/relationships/hyperlink" Target="https://cdn.scnbdx.fr/web-afresco/BOGAMET/MET_ARR_2020-BM0802.pdf" TargetMode="External"/><Relationship Id="rId1617" Type="http://schemas.openxmlformats.org/officeDocument/2006/relationships/hyperlink" Target="https://cdn.scnbdx.fr/web-afresco/BOGAMET/MET_ARR_2021-BM1551.pdf" TargetMode="External"/><Relationship Id="rId906" Type="http://schemas.openxmlformats.org/officeDocument/2006/relationships/hyperlink" Target="https://cdn.scnbdx.fr/web-afresco/BOGAMET/MET_ARR_2020-BM0801.pdf" TargetMode="External"/><Relationship Id="rId1618" Type="http://schemas.openxmlformats.org/officeDocument/2006/relationships/hyperlink" Target="https://cdn.scnbdx.fr/web-afresco/BOGAMET/MET_ARR_2021-BM1551.pdf" TargetMode="External"/><Relationship Id="rId905" Type="http://schemas.openxmlformats.org/officeDocument/2006/relationships/hyperlink" Target="https://cdn.scnbdx.fr/web-afresco/BOGAMET/MET_ARR_2020-BM0801.pdf" TargetMode="External"/><Relationship Id="rId1619" Type="http://schemas.openxmlformats.org/officeDocument/2006/relationships/hyperlink" Target="https://cdn.scnbdx.fr/web-afresco/BOGAMET/MET_ARR_2021-BM1582.pdf" TargetMode="External"/><Relationship Id="rId904" Type="http://schemas.openxmlformats.org/officeDocument/2006/relationships/hyperlink" Target="https://cdn.scnbdx.fr/web-afresco/BOGAMET/MET_ARR_2020-BM0796.pdf" TargetMode="External"/><Relationship Id="rId909" Type="http://schemas.openxmlformats.org/officeDocument/2006/relationships/hyperlink" Target="https://cdn.scnbdx.fr/web-afresco/BOGAMET/MET_ARR_2020-BM0809.pdf" TargetMode="External"/><Relationship Id="rId908" Type="http://schemas.openxmlformats.org/officeDocument/2006/relationships/hyperlink" Target="https://cdn.scnbdx.fr/web-afresco/BOGAMET/MET_ARR_2020-BM0802.pdf" TargetMode="External"/><Relationship Id="rId903" Type="http://schemas.openxmlformats.org/officeDocument/2006/relationships/hyperlink" Target="https://cdn.scnbdx.fr/web-afresco/BOGAMET/MET_ARR_2020-BM0796.pdf" TargetMode="External"/><Relationship Id="rId902" Type="http://schemas.openxmlformats.org/officeDocument/2006/relationships/hyperlink" Target="https://cdn.scnbdx.fr/web-afresco/BOGAMET/MET_ARR_2020-BM0795.pdf" TargetMode="External"/><Relationship Id="rId901" Type="http://schemas.openxmlformats.org/officeDocument/2006/relationships/hyperlink" Target="https://cdn.scnbdx.fr/web-afresco/BOGAMET/MET_ARR_2020-BM0795.pdf" TargetMode="External"/><Relationship Id="rId900" Type="http://schemas.openxmlformats.org/officeDocument/2006/relationships/hyperlink" Target="https://cdn.scnbdx.fr/web-afresco/BOGAMET/MET_ARR_2020-BM0791.pdf" TargetMode="External"/><Relationship Id="rId1600" Type="http://schemas.openxmlformats.org/officeDocument/2006/relationships/hyperlink" Target="https://cdn.scnbdx.fr/web-afresco/BOGAMET/MET_ARR_2021-BM1520.pdf" TargetMode="External"/><Relationship Id="rId1601" Type="http://schemas.openxmlformats.org/officeDocument/2006/relationships/hyperlink" Target="https://cdn.scnbdx.fr/web-afresco/BOGAMET/MET_ARR_2021-BM1526.pdf" TargetMode="External"/><Relationship Id="rId1602" Type="http://schemas.openxmlformats.org/officeDocument/2006/relationships/hyperlink" Target="https://cdn.scnbdx.fr/web-afresco/BOGAMET/MET_ARR_2021-BM1526.pdf" TargetMode="External"/><Relationship Id="rId1603" Type="http://schemas.openxmlformats.org/officeDocument/2006/relationships/hyperlink" Target="https://cdn.scnbdx.fr/web-afresco/BOGAMET/MET_ARR_2021-BM1589.pdf" TargetMode="External"/><Relationship Id="rId1604" Type="http://schemas.openxmlformats.org/officeDocument/2006/relationships/hyperlink" Target="https://cdn.scnbdx.fr/web-afresco/BOGAMET/MET_ARR_2021-BM1589.pdf" TargetMode="External"/><Relationship Id="rId1605" Type="http://schemas.openxmlformats.org/officeDocument/2006/relationships/hyperlink" Target="https://cdn.scnbdx.fr/web-afresco/BOGAMET/MET_ARR_2021-BM1590.pdf" TargetMode="External"/><Relationship Id="rId1606" Type="http://schemas.openxmlformats.org/officeDocument/2006/relationships/hyperlink" Target="https://cdn.scnbdx.fr/web-afresco/BOGAMET/MET_ARR_2021-BM1590.pdf" TargetMode="External"/><Relationship Id="rId1607" Type="http://schemas.openxmlformats.org/officeDocument/2006/relationships/hyperlink" Target="https://cdn.scnbdx.fr/web-afresco/BOGAMET/MET_ARR_2021-BM1595.pdf" TargetMode="External"/><Relationship Id="rId1608" Type="http://schemas.openxmlformats.org/officeDocument/2006/relationships/hyperlink" Target="https://cdn.scnbdx.fr/web-afresco/BOGAMET/MET_ARR_2021-BM1595.pdf" TargetMode="External"/><Relationship Id="rId1609" Type="http://schemas.openxmlformats.org/officeDocument/2006/relationships/hyperlink" Target="https://cdn.scnbdx.fr/web-afresco/BOGAMET/MET_ARR_2021-BM1597.pdf" TargetMode="External"/><Relationship Id="rId1631" Type="http://schemas.openxmlformats.org/officeDocument/2006/relationships/hyperlink" Target="https://cdn.scnbdx.fr/web-afresco/BOGAMET/MET_ARR_2021-BM1535.pdf" TargetMode="External"/><Relationship Id="rId1632" Type="http://schemas.openxmlformats.org/officeDocument/2006/relationships/hyperlink" Target="https://cdn.scnbdx.fr/web-afresco/BOGAMET/MET_ARR_2021-BM1535.pdf" TargetMode="External"/><Relationship Id="rId1633" Type="http://schemas.openxmlformats.org/officeDocument/2006/relationships/hyperlink" Target="https://cdn.scnbdx.fr/web-afresco/BOGAMET/MET_ARR_2021-BM1538.pdf" TargetMode="External"/><Relationship Id="rId1634" Type="http://schemas.openxmlformats.org/officeDocument/2006/relationships/hyperlink" Target="https://cdn.scnbdx.fr/web-afresco/BOGAMET/MET_ARR_2021-BM1538.pdf" TargetMode="External"/><Relationship Id="rId1635" Type="http://schemas.openxmlformats.org/officeDocument/2006/relationships/hyperlink" Target="https://cdn.scnbdx.fr/web-afresco/BOGAMET/MET_ARR_2021-BM1539.pdf" TargetMode="External"/><Relationship Id="rId1636" Type="http://schemas.openxmlformats.org/officeDocument/2006/relationships/hyperlink" Target="https://cdn.scnbdx.fr/web-afresco/BOGAMET/MET_ARR_2021-BM1539.pdf" TargetMode="External"/><Relationship Id="rId1637" Type="http://schemas.openxmlformats.org/officeDocument/2006/relationships/hyperlink" Target="https://cdn.scnbdx.fr/web-afresco/BOGAMET/MET_ARR_2021-BM1416.pdf" TargetMode="External"/><Relationship Id="rId1638" Type="http://schemas.openxmlformats.org/officeDocument/2006/relationships/hyperlink" Target="https://cdn.scnbdx.fr/web-afresco/BOGAMET/MET_ARR_2021-BM1416.pdf" TargetMode="External"/><Relationship Id="rId929" Type="http://schemas.openxmlformats.org/officeDocument/2006/relationships/hyperlink" Target="https://cdn.scnbdx.fr/web-afresco/BOGAMET/MET_ARR_2020-BM0765.pdf" TargetMode="External"/><Relationship Id="rId1639" Type="http://schemas.openxmlformats.org/officeDocument/2006/relationships/hyperlink" Target="https://cdn.scnbdx.fr/web-afresco/BOGAMET/MET_ARR_2021-BM1332.pdf" TargetMode="External"/><Relationship Id="rId928" Type="http://schemas.openxmlformats.org/officeDocument/2006/relationships/hyperlink" Target="https://cdn.scnbdx.fr/web-afresco/BOGAMET/MET_ARR_2020-BM0759.pdf" TargetMode="External"/><Relationship Id="rId927" Type="http://schemas.openxmlformats.org/officeDocument/2006/relationships/hyperlink" Target="https://cdn.scnbdx.fr/web-afresco/BOGAMET/MET_ARR_2020-BM0759.pdf" TargetMode="External"/><Relationship Id="rId926" Type="http://schemas.openxmlformats.org/officeDocument/2006/relationships/hyperlink" Target="https://cdn.scnbdx.fr/web-afresco/BOGAMET/MET_ARR_2020-BM0748.pdf" TargetMode="External"/><Relationship Id="rId921" Type="http://schemas.openxmlformats.org/officeDocument/2006/relationships/hyperlink" Target="https://cdn.scnbdx.fr/web-afresco/BOGAMET/MET_ARR_2020-BM0744.pdf" TargetMode="External"/><Relationship Id="rId920" Type="http://schemas.openxmlformats.org/officeDocument/2006/relationships/hyperlink" Target="https://cdn.scnbdx.fr/web-afresco/BOGAMET/MET_ARR_2020-BM0738.pdf" TargetMode="External"/><Relationship Id="rId925" Type="http://schemas.openxmlformats.org/officeDocument/2006/relationships/hyperlink" Target="https://cdn.scnbdx.fr/web-afresco/BOGAMET/MET_ARR_2020-BM0748.pdf" TargetMode="External"/><Relationship Id="rId924" Type="http://schemas.openxmlformats.org/officeDocument/2006/relationships/hyperlink" Target="https://cdn.scnbdx.fr/web-afresco/BOGAMET/MET_ARR_2020-BM0747.pdf" TargetMode="External"/><Relationship Id="rId923" Type="http://schemas.openxmlformats.org/officeDocument/2006/relationships/hyperlink" Target="https://cdn.scnbdx.fr/web-afresco/BOGAMET/MET_ARR_2020-BM0747.pdf" TargetMode="External"/><Relationship Id="rId922" Type="http://schemas.openxmlformats.org/officeDocument/2006/relationships/hyperlink" Target="https://cdn.scnbdx.fr/web-afresco/BOGAMET/MET_ARR_2020-BM0744.pdf" TargetMode="External"/><Relationship Id="rId1630" Type="http://schemas.openxmlformats.org/officeDocument/2006/relationships/hyperlink" Target="https://cdn.scnbdx.fr/web-afresco/BOGAMET/MET_ARR_2021-BM1557.pdf" TargetMode="External"/><Relationship Id="rId1620" Type="http://schemas.openxmlformats.org/officeDocument/2006/relationships/hyperlink" Target="https://cdn.scnbdx.fr/web-afresco/BOGAMET/MET_ARR_2021-BM1582.pdf" TargetMode="External"/><Relationship Id="rId1621" Type="http://schemas.openxmlformats.org/officeDocument/2006/relationships/hyperlink" Target="https://cdn.scnbdx.fr/web-afresco/BOGAMET/MET_ARR_2021-BM1583.pdf" TargetMode="External"/><Relationship Id="rId1622" Type="http://schemas.openxmlformats.org/officeDocument/2006/relationships/hyperlink" Target="https://cdn.scnbdx.fr/web-afresco/BOGAMET/MET_ARR_2021-BM1583.pdf" TargetMode="External"/><Relationship Id="rId1623" Type="http://schemas.openxmlformats.org/officeDocument/2006/relationships/hyperlink" Target="https://cdn.scnbdx.fr/web-afresco/BOGAMET/MET_ARR_2021-BM1475.pdf" TargetMode="External"/><Relationship Id="rId1624" Type="http://schemas.openxmlformats.org/officeDocument/2006/relationships/hyperlink" Target="https://cdn.scnbdx.fr/web-afresco/BOGAMET/MET_ARR_2021-BM1475.pdf" TargetMode="External"/><Relationship Id="rId1625" Type="http://schemas.openxmlformats.org/officeDocument/2006/relationships/hyperlink" Target="https://cdn.scnbdx.fr/web-afresco/BOGAMET/MET_ARR_2021-BM1571.pdf" TargetMode="External"/><Relationship Id="rId1626" Type="http://schemas.openxmlformats.org/officeDocument/2006/relationships/hyperlink" Target="https://cdn.scnbdx.fr/web-afresco/BOGAMET/MET_ARR_2021-BM1571.pdf" TargetMode="External"/><Relationship Id="rId1627" Type="http://schemas.openxmlformats.org/officeDocument/2006/relationships/hyperlink" Target="https://cdn.scnbdx.fr/web-afresco/BOGAMET/MET_ARR_2021-BM1497.pdf" TargetMode="External"/><Relationship Id="rId918" Type="http://schemas.openxmlformats.org/officeDocument/2006/relationships/hyperlink" Target="https://cdn.scnbdx.fr/web-afresco/BOGAMET/MET_ARR_2020-BM0734.pdf" TargetMode="External"/><Relationship Id="rId1628" Type="http://schemas.openxmlformats.org/officeDocument/2006/relationships/hyperlink" Target="https://cdn.scnbdx.fr/web-afresco/BOGAMET/MET_ARR_2021-BM1497.pdf" TargetMode="External"/><Relationship Id="rId917" Type="http://schemas.openxmlformats.org/officeDocument/2006/relationships/hyperlink" Target="https://cdn.scnbdx.fr/web-afresco/BOGAMET/MET_ARR_2020-BM0734.pdf" TargetMode="External"/><Relationship Id="rId1629" Type="http://schemas.openxmlformats.org/officeDocument/2006/relationships/hyperlink" Target="https://cdn.scnbdx.fr/web-afresco/BOGAMET/MET_ARR_2021-BM1557.pdf" TargetMode="External"/><Relationship Id="rId916" Type="http://schemas.openxmlformats.org/officeDocument/2006/relationships/hyperlink" Target="https://cdn.scnbdx.fr/web-afresco/BOGAMET/MET_ARR_2020-BM0728.pdf" TargetMode="External"/><Relationship Id="rId915" Type="http://schemas.openxmlformats.org/officeDocument/2006/relationships/hyperlink" Target="https://cdn.scnbdx.fr/web-afresco/BOGAMET/MET_ARR_2020-BM0728.pdf" TargetMode="External"/><Relationship Id="rId919" Type="http://schemas.openxmlformats.org/officeDocument/2006/relationships/hyperlink" Target="https://cdn.scnbdx.fr/web-afresco/BOGAMET/MET_ARR_2020-BM0738.pdf" TargetMode="External"/><Relationship Id="rId910" Type="http://schemas.openxmlformats.org/officeDocument/2006/relationships/hyperlink" Target="https://cdn.scnbdx.fr/web-afresco/BOGAMET/MET_ARR_2020-BM0809.pdf" TargetMode="External"/><Relationship Id="rId914" Type="http://schemas.openxmlformats.org/officeDocument/2006/relationships/hyperlink" Target="https://cdn.scnbdx.fr/web-afresco/BOGAMET/MET_ARR_2020-BM0726.pdf" TargetMode="External"/><Relationship Id="rId913" Type="http://schemas.openxmlformats.org/officeDocument/2006/relationships/hyperlink" Target="https://cdn.scnbdx.fr/web-afresco/BOGAMET/MET_ARR_2020-BM0726.pdf" TargetMode="External"/><Relationship Id="rId912" Type="http://schemas.openxmlformats.org/officeDocument/2006/relationships/hyperlink" Target="https://cdn.scnbdx.fr/web-afresco/BOGAMET/MET_ARR_2020-BM0723.pdf" TargetMode="External"/><Relationship Id="rId911" Type="http://schemas.openxmlformats.org/officeDocument/2006/relationships/hyperlink" Target="https://cdn.scnbdx.fr/web-afresco/BOGAMET/MET_ARR_2020-BM0723.pdf" TargetMode="External"/><Relationship Id="rId1213" Type="http://schemas.openxmlformats.org/officeDocument/2006/relationships/hyperlink" Target="https://cdn.scnbdx.fr/web-afresco/BOGAMET/MET_ARR_2020-BM1515.pdf" TargetMode="External"/><Relationship Id="rId1697" Type="http://schemas.openxmlformats.org/officeDocument/2006/relationships/hyperlink" Target="https://cdn.scnbdx.fr/web-afresco/BOGAMET/MET_ARR_2020-BM0595.pdf" TargetMode="External"/><Relationship Id="rId2544" Type="http://schemas.openxmlformats.org/officeDocument/2006/relationships/hyperlink" Target="https://cdn.scnbdx.fr/web-afresco/BOGAMET/MET_ARR_2021-BM0728.pdf" TargetMode="External"/><Relationship Id="rId1214" Type="http://schemas.openxmlformats.org/officeDocument/2006/relationships/hyperlink" Target="https://cdn.scnbdx.fr/web-afresco/BOGAMET/MET_ARR_2020-BM1515.pdf" TargetMode="External"/><Relationship Id="rId1698" Type="http://schemas.openxmlformats.org/officeDocument/2006/relationships/hyperlink" Target="https://cdn.scnbdx.fr/web-afresco/BOGAMET/MET_ARR_2020-BM0595.pdf" TargetMode="External"/><Relationship Id="rId2545" Type="http://schemas.openxmlformats.org/officeDocument/2006/relationships/hyperlink" Target="https://cdn.scnbdx.fr/web-afresco/BOGAMET/MET_ARR_2021-BM0730.pdf" TargetMode="External"/><Relationship Id="rId1215" Type="http://schemas.openxmlformats.org/officeDocument/2006/relationships/hyperlink" Target="https://cdn.scnbdx.fr/web-afresco/BOGAMET/MET_ARR_2020-BM0656.pdf" TargetMode="External"/><Relationship Id="rId1699" Type="http://schemas.openxmlformats.org/officeDocument/2006/relationships/hyperlink" Target="https://cdn.scnbdx.fr/web-afresco/BOGAMET/MET_ARR_2020-BM0661.pdf" TargetMode="External"/><Relationship Id="rId2546" Type="http://schemas.openxmlformats.org/officeDocument/2006/relationships/hyperlink" Target="https://cdn.scnbdx.fr/web-afresco/BOGAMET/MET_ARR_2021-BM0730.pdf" TargetMode="External"/><Relationship Id="rId1216" Type="http://schemas.openxmlformats.org/officeDocument/2006/relationships/hyperlink" Target="https://cdn.scnbdx.fr/web-afresco/BOGAMET/MET_ARR_2020-BM0656.pdf" TargetMode="External"/><Relationship Id="rId2547" Type="http://schemas.openxmlformats.org/officeDocument/2006/relationships/hyperlink" Target="https://cdn.scnbdx.fr/web-afresco/BOGAMET/MET_ARR_2021-BM0839.pdf" TargetMode="External"/><Relationship Id="rId1217" Type="http://schemas.openxmlformats.org/officeDocument/2006/relationships/hyperlink" Target="https://cdn.scnbdx.fr/web-afresco/BOGAMET/MET_ARR_2020-BM1511.pdf" TargetMode="External"/><Relationship Id="rId2548" Type="http://schemas.openxmlformats.org/officeDocument/2006/relationships/hyperlink" Target="https://cdn.scnbdx.fr/web-afresco/BOGAMET/MET_ARR_2021-BM0839.pdf" TargetMode="External"/><Relationship Id="rId1218" Type="http://schemas.openxmlformats.org/officeDocument/2006/relationships/hyperlink" Target="https://cdn.scnbdx.fr/web-afresco/BOGAMET/MET_ARR_2020-BM1511.pdf" TargetMode="External"/><Relationship Id="rId2549" Type="http://schemas.openxmlformats.org/officeDocument/2006/relationships/hyperlink" Target="https://cdn.scnbdx.fr/web-afresco/BOGAMET/MET_ARR_2021-BM0841.pdf" TargetMode="External"/><Relationship Id="rId1219" Type="http://schemas.openxmlformats.org/officeDocument/2006/relationships/hyperlink" Target="https://cdn.scnbdx.fr/web-afresco/BOGAMET/MET_ARR_2020-BM1570.pdf" TargetMode="External"/><Relationship Id="rId866" Type="http://schemas.openxmlformats.org/officeDocument/2006/relationships/hyperlink" Target="https://cdn.scnbdx.fr/web-afresco/BOGAMET/MET_ARR_2020-BM0850.pdf" TargetMode="External"/><Relationship Id="rId865" Type="http://schemas.openxmlformats.org/officeDocument/2006/relationships/hyperlink" Target="https://cdn.scnbdx.fr/web-afresco/BOGAMET/MET_ARR_2020-BM0850.pdf" TargetMode="External"/><Relationship Id="rId864" Type="http://schemas.openxmlformats.org/officeDocument/2006/relationships/hyperlink" Target="https://cdn.scnbdx.fr/web-afresco/BOGAMET/MET_ARR_2020-BM0834.pdf" TargetMode="External"/><Relationship Id="rId863" Type="http://schemas.openxmlformats.org/officeDocument/2006/relationships/hyperlink" Target="https://cdn.scnbdx.fr/web-afresco/BOGAMET/MET_ARR_2020-BM0834.pdf" TargetMode="External"/><Relationship Id="rId869" Type="http://schemas.openxmlformats.org/officeDocument/2006/relationships/hyperlink" Target="https://cdn.scnbdx.fr/web-afresco/BOGAMET/MET_ARR_2020-BM0855.pdf" TargetMode="External"/><Relationship Id="rId868" Type="http://schemas.openxmlformats.org/officeDocument/2006/relationships/hyperlink" Target="https://cdn.scnbdx.fr/web-afresco/BOGAMET/MET_ARR_2020-BM0854.pdf" TargetMode="External"/><Relationship Id="rId867" Type="http://schemas.openxmlformats.org/officeDocument/2006/relationships/hyperlink" Target="https://cdn.scnbdx.fr/web-afresco/BOGAMET/MET_ARR_2020-BM0854.pdf" TargetMode="External"/><Relationship Id="rId1690" Type="http://schemas.openxmlformats.org/officeDocument/2006/relationships/hyperlink" Target="https://cdn.scnbdx.fr/web-afresco/BOGAMET/MET_ARR_2020-BM0856.pdf" TargetMode="External"/><Relationship Id="rId1691" Type="http://schemas.openxmlformats.org/officeDocument/2006/relationships/hyperlink" Target="https://cdn.scnbdx.fr/web-afresco/BOGAMET/MET_ARR_2020-BM0857.pdf" TargetMode="External"/><Relationship Id="rId1692" Type="http://schemas.openxmlformats.org/officeDocument/2006/relationships/hyperlink" Target="https://cdn.scnbdx.fr/web-afresco/BOGAMET/MET_ARR_2020-BM0857.pdf" TargetMode="External"/><Relationship Id="rId862" Type="http://schemas.openxmlformats.org/officeDocument/2006/relationships/hyperlink" Target="https://cdn.scnbdx.fr/web-afresco/BOGAMET/MET_ARR_2020-BM0833.pdf" TargetMode="External"/><Relationship Id="rId1693" Type="http://schemas.openxmlformats.org/officeDocument/2006/relationships/hyperlink" Target="https://cdn.scnbdx.fr/web-afresco/BOGAMET/MET_ARR_2020-BM0863.pdf" TargetMode="External"/><Relationship Id="rId2540" Type="http://schemas.openxmlformats.org/officeDocument/2006/relationships/hyperlink" Target="https://cdn.scnbdx.fr/web-afresco/BOGAMET/MET_ARR_2021-BM0723.pdf" TargetMode="External"/><Relationship Id="rId861" Type="http://schemas.openxmlformats.org/officeDocument/2006/relationships/hyperlink" Target="https://cdn.scnbdx.fr/web-afresco/BOGAMET/MET_ARR_2020-BM0833.pdf" TargetMode="External"/><Relationship Id="rId1210" Type="http://schemas.openxmlformats.org/officeDocument/2006/relationships/hyperlink" Target="https://cdn.scnbdx.fr/web-afresco/BOGAMET/MET_ARR_2020-BM1331.pdf" TargetMode="External"/><Relationship Id="rId1694" Type="http://schemas.openxmlformats.org/officeDocument/2006/relationships/hyperlink" Target="https://cdn.scnbdx.fr/web-afresco/BOGAMET/MET_ARR_2020-BM0863.pdf" TargetMode="External"/><Relationship Id="rId2541" Type="http://schemas.openxmlformats.org/officeDocument/2006/relationships/hyperlink" Target="https://cdn.scnbdx.fr/web-afresco/BOGAMET/MET_ARR_2021-BM0724.pdf" TargetMode="External"/><Relationship Id="rId860" Type="http://schemas.openxmlformats.org/officeDocument/2006/relationships/hyperlink" Target="https://cdn.scnbdx.fr/web-afresco/BOGAMET/MET_ARR_2020-BM0689.pdf" TargetMode="External"/><Relationship Id="rId1211" Type="http://schemas.openxmlformats.org/officeDocument/2006/relationships/hyperlink" Target="https://cdn.scnbdx.fr/web-afresco/BOGAMET/MET_ARR_2020-BM1504.pdf" TargetMode="External"/><Relationship Id="rId1695" Type="http://schemas.openxmlformats.org/officeDocument/2006/relationships/hyperlink" Target="https://cdn.scnbdx.fr/web-afresco/BOGAMET/MET_ARR_2020-BM0592.pdf" TargetMode="External"/><Relationship Id="rId2542" Type="http://schemas.openxmlformats.org/officeDocument/2006/relationships/hyperlink" Target="https://cdn.scnbdx.fr/web-afresco/BOGAMET/MET_ARR_2021-BM0724.pdf" TargetMode="External"/><Relationship Id="rId1212" Type="http://schemas.openxmlformats.org/officeDocument/2006/relationships/hyperlink" Target="https://cdn.scnbdx.fr/web-afresco/BOGAMET/MET_ARR_2020-BM1504.pdf" TargetMode="External"/><Relationship Id="rId1696" Type="http://schemas.openxmlformats.org/officeDocument/2006/relationships/hyperlink" Target="https://cdn.scnbdx.fr/web-afresco/BOGAMET/MET_ARR_2020-BM0592.pdf" TargetMode="External"/><Relationship Id="rId2543" Type="http://schemas.openxmlformats.org/officeDocument/2006/relationships/hyperlink" Target="https://cdn.scnbdx.fr/web-afresco/BOGAMET/MET_ARR_2021-BM0728.pdf" TargetMode="External"/><Relationship Id="rId1202" Type="http://schemas.openxmlformats.org/officeDocument/2006/relationships/hyperlink" Target="https://cdn.scnbdx.fr/web-afresco/BOGAMET/MET_ARR_2020-BM1496.pdf" TargetMode="External"/><Relationship Id="rId1686" Type="http://schemas.openxmlformats.org/officeDocument/2006/relationships/hyperlink" Target="https://cdn.scnbdx.fr/web-afresco/BOGAMET/MET_ARR_2020-BM0851.pdf" TargetMode="External"/><Relationship Id="rId2533" Type="http://schemas.openxmlformats.org/officeDocument/2006/relationships/hyperlink" Target="https://cdn.scnbdx.fr/web-afresco/BOGAMET/MET_ARR_2021-BM0716.pdf" TargetMode="External"/><Relationship Id="rId1203" Type="http://schemas.openxmlformats.org/officeDocument/2006/relationships/hyperlink" Target="https://cdn.scnbdx.fr/web-afresco/BOGAMET/MET_ARR_2020-BM1501.pdf" TargetMode="External"/><Relationship Id="rId1687" Type="http://schemas.openxmlformats.org/officeDocument/2006/relationships/hyperlink" Target="https://cdn.scnbdx.fr/web-afresco/BOGAMET/MET_ARR_2020-BM0852.pdf" TargetMode="External"/><Relationship Id="rId2534" Type="http://schemas.openxmlformats.org/officeDocument/2006/relationships/hyperlink" Target="https://cdn.scnbdx.fr/web-afresco/BOGAMET/MET_ARR_2021-BM0716.pdf" TargetMode="External"/><Relationship Id="rId1204" Type="http://schemas.openxmlformats.org/officeDocument/2006/relationships/hyperlink" Target="https://cdn.scnbdx.fr/web-afresco/BOGAMET/MET_ARR_2020-BM1501.pdf" TargetMode="External"/><Relationship Id="rId1688" Type="http://schemas.openxmlformats.org/officeDocument/2006/relationships/hyperlink" Target="https://cdn.scnbdx.fr/web-afresco/BOGAMET/MET_ARR_2020-BM0852.pdf" TargetMode="External"/><Relationship Id="rId2535" Type="http://schemas.openxmlformats.org/officeDocument/2006/relationships/hyperlink" Target="https://cdn.scnbdx.fr/web-afresco/BOGAMET/MET_ARR_2021-BM0721.pdf" TargetMode="External"/><Relationship Id="rId1205" Type="http://schemas.openxmlformats.org/officeDocument/2006/relationships/hyperlink" Target="https://cdn.scnbdx.fr/web-afresco/BOGAMET/MET_ARR_2020-BM1502.pdf" TargetMode="External"/><Relationship Id="rId1689" Type="http://schemas.openxmlformats.org/officeDocument/2006/relationships/hyperlink" Target="https://cdn.scnbdx.fr/web-afresco/BOGAMET/MET_ARR_2020-BM0856.pdf" TargetMode="External"/><Relationship Id="rId2536" Type="http://schemas.openxmlformats.org/officeDocument/2006/relationships/hyperlink" Target="https://cdn.scnbdx.fr/web-afresco/BOGAMET/MET_ARR_2021-BM0721.pdf" TargetMode="External"/><Relationship Id="rId1206" Type="http://schemas.openxmlformats.org/officeDocument/2006/relationships/hyperlink" Target="https://cdn.scnbdx.fr/web-afresco/BOGAMET/MET_ARR_2020-BM1502.pdf" TargetMode="External"/><Relationship Id="rId2537" Type="http://schemas.openxmlformats.org/officeDocument/2006/relationships/hyperlink" Target="https://cdn.scnbdx.fr/web-afresco/BOGAMET/MET_ARR_2021-BM0722.pdf" TargetMode="External"/><Relationship Id="rId1207" Type="http://schemas.openxmlformats.org/officeDocument/2006/relationships/hyperlink" Target="https://cdn.scnbdx.fr/web-afresco/BOGAMET/MET_ARR_2020-BM1638.pdf" TargetMode="External"/><Relationship Id="rId2538" Type="http://schemas.openxmlformats.org/officeDocument/2006/relationships/hyperlink" Target="https://cdn.scnbdx.fr/web-afresco/BOGAMET/MET_ARR_2021-BM0722.pdf" TargetMode="External"/><Relationship Id="rId1208" Type="http://schemas.openxmlformats.org/officeDocument/2006/relationships/hyperlink" Target="https://cdn.scnbdx.fr/web-afresco/BOGAMET/MET_ARR_2020-BM1638.pdf" TargetMode="External"/><Relationship Id="rId2539" Type="http://schemas.openxmlformats.org/officeDocument/2006/relationships/hyperlink" Target="https://cdn.scnbdx.fr/web-afresco/BOGAMET/MET_ARR_2021-BM0723.pdf" TargetMode="External"/><Relationship Id="rId1209" Type="http://schemas.openxmlformats.org/officeDocument/2006/relationships/hyperlink" Target="https://cdn.scnbdx.fr/web-afresco/BOGAMET/MET_ARR_2020-BM1331.pdf" TargetMode="External"/><Relationship Id="rId855" Type="http://schemas.openxmlformats.org/officeDocument/2006/relationships/hyperlink" Target="https://cdn.scnbdx.fr/web-afresco/BOGAMET/MET_ARR_2020-BM0488.pdf" TargetMode="External"/><Relationship Id="rId854" Type="http://schemas.openxmlformats.org/officeDocument/2006/relationships/hyperlink" Target="https://cdn.scnbdx.fr/web-afresco/BOGAMET/MET_ARR_2020-BM0657.pdf" TargetMode="External"/><Relationship Id="rId853" Type="http://schemas.openxmlformats.org/officeDocument/2006/relationships/hyperlink" Target="https://cdn.scnbdx.fr/web-afresco/BOGAMET/MET_ARR_2020-BM0657.pdf" TargetMode="External"/><Relationship Id="rId852" Type="http://schemas.openxmlformats.org/officeDocument/2006/relationships/hyperlink" Target="https://cdn.scnbdx.fr/web-afresco/BOGAMET/MET_ARR_2020-BM0660.pdf" TargetMode="External"/><Relationship Id="rId859" Type="http://schemas.openxmlformats.org/officeDocument/2006/relationships/hyperlink" Target="https://cdn.scnbdx.fr/web-afresco/BOGAMET/MET_ARR_2020-BM0689.pdf" TargetMode="External"/><Relationship Id="rId858" Type="http://schemas.openxmlformats.org/officeDocument/2006/relationships/hyperlink" Target="https://cdn.scnbdx.fr/web-afresco/BOGAMET/MET_ARR_2020-BM0659.pdf" TargetMode="External"/><Relationship Id="rId857" Type="http://schemas.openxmlformats.org/officeDocument/2006/relationships/hyperlink" Target="https://cdn.scnbdx.fr/web-afresco/BOGAMET/MET_ARR_2020-BM0659.pdf" TargetMode="External"/><Relationship Id="rId856" Type="http://schemas.openxmlformats.org/officeDocument/2006/relationships/hyperlink" Target="https://cdn.scnbdx.fr/web-afresco/BOGAMET/MET_ARR_2020-BM0488.pdf" TargetMode="External"/><Relationship Id="rId1680" Type="http://schemas.openxmlformats.org/officeDocument/2006/relationships/hyperlink" Target="https://cdn.scnbdx.fr/web-afresco/BOGAMET/MET_ARR_2020-BM0841.pdf" TargetMode="External"/><Relationship Id="rId1681" Type="http://schemas.openxmlformats.org/officeDocument/2006/relationships/hyperlink" Target="https://cdn.scnbdx.fr/web-afresco/BOGAMET/MET_ARR_2020-BM0848.pdf" TargetMode="External"/><Relationship Id="rId851" Type="http://schemas.openxmlformats.org/officeDocument/2006/relationships/hyperlink" Target="https://cdn.scnbdx.fr/web-afresco/BOGAMET/MET_ARR_2020-BM0660.pdf" TargetMode="External"/><Relationship Id="rId1682" Type="http://schemas.openxmlformats.org/officeDocument/2006/relationships/hyperlink" Target="https://cdn.scnbdx.fr/web-afresco/BOGAMET/MET_ARR_2020-BM0848.pdf" TargetMode="External"/><Relationship Id="rId850" Type="http://schemas.openxmlformats.org/officeDocument/2006/relationships/hyperlink" Target="https://cdn.scnbdx.fr/web-afresco/BOGAMET/MET_ARR_2020-BM0658.pdf" TargetMode="External"/><Relationship Id="rId1683" Type="http://schemas.openxmlformats.org/officeDocument/2006/relationships/hyperlink" Target="https://cdn.scnbdx.fr/web-afresco/BOGAMET/MET_ARR_2020-BM0849.pdf" TargetMode="External"/><Relationship Id="rId2530" Type="http://schemas.openxmlformats.org/officeDocument/2006/relationships/hyperlink" Target="https://cdn.scnbdx.fr/web-afresco/BOGAMET/MET_ARR_2021-BM0670.pdf" TargetMode="External"/><Relationship Id="rId1200" Type="http://schemas.openxmlformats.org/officeDocument/2006/relationships/hyperlink" Target="https://cdn.scnbdx.fr/web-afresco/BOGAMET/MET_ARR_2020-BM1495.pdf" TargetMode="External"/><Relationship Id="rId1684" Type="http://schemas.openxmlformats.org/officeDocument/2006/relationships/hyperlink" Target="https://cdn.scnbdx.fr/web-afresco/BOGAMET/MET_ARR_2020-BM0849.pdf" TargetMode="External"/><Relationship Id="rId2531" Type="http://schemas.openxmlformats.org/officeDocument/2006/relationships/hyperlink" Target="https://cdn.scnbdx.fr/web-afresco/BOGAMET/MET_ARR_2021-BM0715.pdf" TargetMode="External"/><Relationship Id="rId1201" Type="http://schemas.openxmlformats.org/officeDocument/2006/relationships/hyperlink" Target="https://cdn.scnbdx.fr/web-afresco/BOGAMET/MET_ARR_2020-BM1496.pdf" TargetMode="External"/><Relationship Id="rId1685" Type="http://schemas.openxmlformats.org/officeDocument/2006/relationships/hyperlink" Target="https://cdn.scnbdx.fr/web-afresco/BOGAMET/MET_ARR_2020-BM0851.pdf" TargetMode="External"/><Relationship Id="rId2532" Type="http://schemas.openxmlformats.org/officeDocument/2006/relationships/hyperlink" Target="https://cdn.scnbdx.fr/web-afresco/BOGAMET/MET_ARR_2021-BM0715.pdf" TargetMode="External"/><Relationship Id="rId1235" Type="http://schemas.openxmlformats.org/officeDocument/2006/relationships/hyperlink" Target="https://cdn.scnbdx.fr/web-afresco/BOGAMET/MET_ARR_2021-BM0065.pdf" TargetMode="External"/><Relationship Id="rId2566" Type="http://schemas.openxmlformats.org/officeDocument/2006/relationships/hyperlink" Target="https://cdn.scnbdx.fr/web-afresco/BOGAMET/MET_ARR_2021-BM1527.pdf" TargetMode="External"/><Relationship Id="rId1236" Type="http://schemas.openxmlformats.org/officeDocument/2006/relationships/hyperlink" Target="https://cdn.scnbdx.fr/web-afresco/BOGAMET/MET_ARR_2021-BM0065.pdf" TargetMode="External"/><Relationship Id="rId2567" Type="http://schemas.openxmlformats.org/officeDocument/2006/relationships/hyperlink" Target="https://cdn.scnbdx.fr/web-afresco/BOGAMET/MET_ARR_2021-BM1588.pdf" TargetMode="External"/><Relationship Id="rId1237" Type="http://schemas.openxmlformats.org/officeDocument/2006/relationships/hyperlink" Target="https://cdn.scnbdx.fr/web-afresco/BOGAMET/MET_ARR_2021-BM0136.pdf" TargetMode="External"/><Relationship Id="rId2568" Type="http://schemas.openxmlformats.org/officeDocument/2006/relationships/hyperlink" Target="https://cdn.scnbdx.fr/web-afresco/BOGAMET/MET_ARR_2021-BM1588.pdf" TargetMode="External"/><Relationship Id="rId1238" Type="http://schemas.openxmlformats.org/officeDocument/2006/relationships/hyperlink" Target="https://cdn.scnbdx.fr/web-afresco/BOGAMET/MET_ARR_2021-BM0136.pdf" TargetMode="External"/><Relationship Id="rId2569" Type="http://schemas.openxmlformats.org/officeDocument/2006/relationships/hyperlink" Target="https://cdn.scnbdx.fr/web-afresco/BOGAMET/MET_ARR_2021-BM1591.pdf" TargetMode="External"/><Relationship Id="rId1239" Type="http://schemas.openxmlformats.org/officeDocument/2006/relationships/hyperlink" Target="https://cdn.scnbdx.fr/web-afresco/BOGAMET/MET_ARR_2021-BM0139.pdf" TargetMode="External"/><Relationship Id="rId409" Type="http://schemas.openxmlformats.org/officeDocument/2006/relationships/hyperlink" Target="https://cdn.scnbdx.fr/web-afresco/BOGAMET/MET_ARR_2021-BM0137.pdf" TargetMode="External"/><Relationship Id="rId404" Type="http://schemas.openxmlformats.org/officeDocument/2006/relationships/hyperlink" Target="https://cdn.scnbdx.fr/web-afresco/BOGAMET/MET_ARR_2020-BM1596.pdf" TargetMode="External"/><Relationship Id="rId888" Type="http://schemas.openxmlformats.org/officeDocument/2006/relationships/hyperlink" Target="https://cdn.scnbdx.fr/web-afresco/BOGAMET/MET_ARR_2020-BM0779.pdf" TargetMode="External"/><Relationship Id="rId403" Type="http://schemas.openxmlformats.org/officeDocument/2006/relationships/hyperlink" Target="https://cdn.scnbdx.fr/web-afresco/BOGAMET/MET_ARR_2020-BM1596.pdf" TargetMode="External"/><Relationship Id="rId887" Type="http://schemas.openxmlformats.org/officeDocument/2006/relationships/hyperlink" Target="https://cdn.scnbdx.fr/web-afresco/BOGAMET/MET_ARR_2020-BM0779.pdf" TargetMode="External"/><Relationship Id="rId402" Type="http://schemas.openxmlformats.org/officeDocument/2006/relationships/hyperlink" Target="https://cdn.scnbdx.fr/web-afresco/BOGAMET/MET_ARR_2020-BM1405.pdf" TargetMode="External"/><Relationship Id="rId886" Type="http://schemas.openxmlformats.org/officeDocument/2006/relationships/hyperlink" Target="https://cdn.scnbdx.fr/web-afresco/BOGAMET/MET_ARR_2020-BM0773.pdf" TargetMode="External"/><Relationship Id="rId401" Type="http://schemas.openxmlformats.org/officeDocument/2006/relationships/hyperlink" Target="https://cdn.scnbdx.fr/web-afresco/BOGAMET/MET_ARR_2020-BM1405.pdf" TargetMode="External"/><Relationship Id="rId885" Type="http://schemas.openxmlformats.org/officeDocument/2006/relationships/hyperlink" Target="https://cdn.scnbdx.fr/web-afresco/BOGAMET/MET_ARR_2020-BM0773.pdf" TargetMode="External"/><Relationship Id="rId408" Type="http://schemas.openxmlformats.org/officeDocument/2006/relationships/hyperlink" Target="https://cdn.scnbdx.fr/web-afresco/BOGAMET/MET_ARR_2020-BM1605.pdf" TargetMode="External"/><Relationship Id="rId407" Type="http://schemas.openxmlformats.org/officeDocument/2006/relationships/hyperlink" Target="https://cdn.scnbdx.fr/web-afresco/BOGAMET/MET_ARR_2020-BM1605.pdf" TargetMode="External"/><Relationship Id="rId406" Type="http://schemas.openxmlformats.org/officeDocument/2006/relationships/hyperlink" Target="https://cdn.scnbdx.fr/web-afresco/BOGAMET/MET_ARR_2020-BM1601.pdf" TargetMode="External"/><Relationship Id="rId405" Type="http://schemas.openxmlformats.org/officeDocument/2006/relationships/hyperlink" Target="https://cdn.scnbdx.fr/web-afresco/BOGAMET/MET_ARR_2020-BM1601.pdf" TargetMode="External"/><Relationship Id="rId889" Type="http://schemas.openxmlformats.org/officeDocument/2006/relationships/hyperlink" Target="https://cdn.scnbdx.fr/web-afresco/BOGAMET/MET_ARR_2020-BM0783.pdf" TargetMode="External"/><Relationship Id="rId880" Type="http://schemas.openxmlformats.org/officeDocument/2006/relationships/hyperlink" Target="https://cdn.scnbdx.fr/web-afresco/BOGAMET/MET_ARR_2020-BM0721.pdf" TargetMode="External"/><Relationship Id="rId2560" Type="http://schemas.openxmlformats.org/officeDocument/2006/relationships/hyperlink" Target="https://cdn.scnbdx.fr/web-afresco/BOGAMET/MET_ARR_2021-BM0760.pdf" TargetMode="External"/><Relationship Id="rId1230" Type="http://schemas.openxmlformats.org/officeDocument/2006/relationships/hyperlink" Target="https://cdn.scnbdx.fr/web-afresco/BOGAMET/MET_ARR_2020-BM1566.pdf" TargetMode="External"/><Relationship Id="rId2561" Type="http://schemas.openxmlformats.org/officeDocument/2006/relationships/hyperlink" Target="https://cdn.scnbdx.fr/web-afresco/BOGAMET/MET_ARR_2021-BM0780.pdf" TargetMode="External"/><Relationship Id="rId400" Type="http://schemas.openxmlformats.org/officeDocument/2006/relationships/hyperlink" Target="https://cdn.scnbdx.fr/web-afresco/BOGAMET/MET_ARR_2020-BM1569.pdf" TargetMode="External"/><Relationship Id="rId884" Type="http://schemas.openxmlformats.org/officeDocument/2006/relationships/hyperlink" Target="https://cdn.scnbdx.fr/web-afresco/BOGAMET/MET_ARR_2020-BM0772.pdf" TargetMode="External"/><Relationship Id="rId1231" Type="http://schemas.openxmlformats.org/officeDocument/2006/relationships/hyperlink" Target="https://cdn.scnbdx.fr/web-afresco/BOGAMET/MET_ARR_2020-BM1573.pdf" TargetMode="External"/><Relationship Id="rId2562" Type="http://schemas.openxmlformats.org/officeDocument/2006/relationships/hyperlink" Target="https://cdn.scnbdx.fr/web-afresco/BOGAMET/MET_ARR_2021-BM0780.pdf" TargetMode="External"/><Relationship Id="rId883" Type="http://schemas.openxmlformats.org/officeDocument/2006/relationships/hyperlink" Target="https://cdn.scnbdx.fr/web-afresco/BOGAMET/MET_ARR_2020-BM0772.pdf" TargetMode="External"/><Relationship Id="rId1232" Type="http://schemas.openxmlformats.org/officeDocument/2006/relationships/hyperlink" Target="https://cdn.scnbdx.fr/web-afresco/BOGAMET/MET_ARR_2020-BM1573.pdf" TargetMode="External"/><Relationship Id="rId2563" Type="http://schemas.openxmlformats.org/officeDocument/2006/relationships/hyperlink" Target="https://cdn.scnbdx.fr/web-afresco/BOGAMET/MET_ARR_2021-BM1518.pdf" TargetMode="External"/><Relationship Id="rId882" Type="http://schemas.openxmlformats.org/officeDocument/2006/relationships/hyperlink" Target="https://cdn.scnbdx.fr/web-afresco/BOGAMET/MET_ARR_2020-BM0861.pdf" TargetMode="External"/><Relationship Id="rId1233" Type="http://schemas.openxmlformats.org/officeDocument/2006/relationships/hyperlink" Target="https://cdn.scnbdx.fr/web-afresco/BOGAMET/MET_ARR_2020-BM1607.pdf" TargetMode="External"/><Relationship Id="rId2564" Type="http://schemas.openxmlformats.org/officeDocument/2006/relationships/hyperlink" Target="https://cdn.scnbdx.fr/web-afresco/BOGAMET/MET_ARR_2021-BM1518.pdf" TargetMode="External"/><Relationship Id="rId881" Type="http://schemas.openxmlformats.org/officeDocument/2006/relationships/hyperlink" Target="https://cdn.scnbdx.fr/web-afresco/BOGAMET/MET_ARR_2020-BM0861.pdf" TargetMode="External"/><Relationship Id="rId1234" Type="http://schemas.openxmlformats.org/officeDocument/2006/relationships/hyperlink" Target="https://cdn.scnbdx.fr/web-afresco/BOGAMET/MET_ARR_2020-BM1607.pdf" TargetMode="External"/><Relationship Id="rId2565" Type="http://schemas.openxmlformats.org/officeDocument/2006/relationships/hyperlink" Target="https://cdn.scnbdx.fr/web-afresco/BOGAMET/MET_ARR_2021-BM1527.pdf" TargetMode="External"/><Relationship Id="rId1224" Type="http://schemas.openxmlformats.org/officeDocument/2006/relationships/hyperlink" Target="https://cdn.scnbdx.fr/web-afresco/BOGAMET/MET_ARR_2020-BM1506.pdf" TargetMode="External"/><Relationship Id="rId2555" Type="http://schemas.openxmlformats.org/officeDocument/2006/relationships/hyperlink" Target="https://cdn.scnbdx.fr/web-afresco/BOGAMET/MET_ARR_2021-BM0736.pdf" TargetMode="External"/><Relationship Id="rId1225" Type="http://schemas.openxmlformats.org/officeDocument/2006/relationships/hyperlink" Target="https://cdn.scnbdx.fr/web-afresco/BOGAMET/MET_ARR_2021-BM0018.pdf" TargetMode="External"/><Relationship Id="rId2556" Type="http://schemas.openxmlformats.org/officeDocument/2006/relationships/hyperlink" Target="https://cdn.scnbdx.fr/web-afresco/BOGAMET/MET_ARR_2021-BM0736.pdf" TargetMode="External"/><Relationship Id="rId1226" Type="http://schemas.openxmlformats.org/officeDocument/2006/relationships/hyperlink" Target="https://cdn.scnbdx.fr/web-afresco/BOGAMET/MET_ARR_2021-BM0018.pdf" TargetMode="External"/><Relationship Id="rId2557" Type="http://schemas.openxmlformats.org/officeDocument/2006/relationships/hyperlink" Target="https://cdn.scnbdx.fr/web-afresco/BOGAMET/MET_ARR_2021-BM0756.pdf" TargetMode="External"/><Relationship Id="rId1227" Type="http://schemas.openxmlformats.org/officeDocument/2006/relationships/hyperlink" Target="https://cdn.scnbdx.fr/web-afresco/BOGAMET/MET_ARR_2020-BM1588.pdf" TargetMode="External"/><Relationship Id="rId2558" Type="http://schemas.openxmlformats.org/officeDocument/2006/relationships/hyperlink" Target="https://cdn.scnbdx.fr/web-afresco/BOGAMET/MET_ARR_2021-BM0756.pdf" TargetMode="External"/><Relationship Id="rId1228" Type="http://schemas.openxmlformats.org/officeDocument/2006/relationships/hyperlink" Target="https://cdn.scnbdx.fr/web-afresco/BOGAMET/MET_ARR_2020-BM1588.pdf" TargetMode="External"/><Relationship Id="rId2559" Type="http://schemas.openxmlformats.org/officeDocument/2006/relationships/hyperlink" Target="https://cdn.scnbdx.fr/web-afresco/BOGAMET/MET_ARR_2021-BM0760.pdf" TargetMode="External"/><Relationship Id="rId1229" Type="http://schemas.openxmlformats.org/officeDocument/2006/relationships/hyperlink" Target="https://cdn.scnbdx.fr/web-afresco/BOGAMET/MET_ARR_2020-BM1566.pdf" TargetMode="External"/><Relationship Id="rId877" Type="http://schemas.openxmlformats.org/officeDocument/2006/relationships/hyperlink" Target="https://cdn.scnbdx.fr/web-afresco/BOGAMET/MET_ARR_2020-BM0719.pdf" TargetMode="External"/><Relationship Id="rId876" Type="http://schemas.openxmlformats.org/officeDocument/2006/relationships/hyperlink" Target="https://cdn.scnbdx.fr/web-afresco/BOGAMET/MET_ARR_2020-BM0715.pdf" TargetMode="External"/><Relationship Id="rId875" Type="http://schemas.openxmlformats.org/officeDocument/2006/relationships/hyperlink" Target="https://cdn.scnbdx.fr/web-afresco/BOGAMET/MET_ARR_2020-BM0715.pdf" TargetMode="External"/><Relationship Id="rId874" Type="http://schemas.openxmlformats.org/officeDocument/2006/relationships/hyperlink" Target="https://cdn.scnbdx.fr/web-afresco/BOGAMET/MET_ARR_2020-BM0694.pdf" TargetMode="External"/><Relationship Id="rId879" Type="http://schemas.openxmlformats.org/officeDocument/2006/relationships/hyperlink" Target="https://cdn.scnbdx.fr/web-afresco/BOGAMET/MET_ARR_2020-BM0721.pdf" TargetMode="External"/><Relationship Id="rId878" Type="http://schemas.openxmlformats.org/officeDocument/2006/relationships/hyperlink" Target="https://cdn.scnbdx.fr/web-afresco/BOGAMET/MET_ARR_2020-BM0719.pdf" TargetMode="External"/><Relationship Id="rId2550" Type="http://schemas.openxmlformats.org/officeDocument/2006/relationships/hyperlink" Target="https://cdn.scnbdx.fr/web-afresco/BOGAMET/MET_ARR_2021-BM0841.pdf" TargetMode="External"/><Relationship Id="rId873" Type="http://schemas.openxmlformats.org/officeDocument/2006/relationships/hyperlink" Target="https://cdn.scnbdx.fr/web-afresco/BOGAMET/MET_ARR_2020-BM0694.pdf" TargetMode="External"/><Relationship Id="rId1220" Type="http://schemas.openxmlformats.org/officeDocument/2006/relationships/hyperlink" Target="https://cdn.scnbdx.fr/web-afresco/BOGAMET/MET_ARR_2020-BM1570.pdf" TargetMode="External"/><Relationship Id="rId2551" Type="http://schemas.openxmlformats.org/officeDocument/2006/relationships/hyperlink" Target="https://cdn.scnbdx.fr/web-afresco/BOGAMET/MET_ARR_2021-BM0892.pdf" TargetMode="External"/><Relationship Id="rId872" Type="http://schemas.openxmlformats.org/officeDocument/2006/relationships/hyperlink" Target="https://cdn.scnbdx.fr/web-afresco/BOGAMET/MET_ARR_2020-BM0858.pdf" TargetMode="External"/><Relationship Id="rId1221" Type="http://schemas.openxmlformats.org/officeDocument/2006/relationships/hyperlink" Target="https://cdn.scnbdx.fr/web-afresco/BOGAMET/MET_ARR_2020-BM1579.pdf" TargetMode="External"/><Relationship Id="rId2552" Type="http://schemas.openxmlformats.org/officeDocument/2006/relationships/hyperlink" Target="https://cdn.scnbdx.fr/web-afresco/BOGAMET/MET_ARR_2021-BM0892.pdf" TargetMode="External"/><Relationship Id="rId871" Type="http://schemas.openxmlformats.org/officeDocument/2006/relationships/hyperlink" Target="https://cdn.scnbdx.fr/web-afresco/BOGAMET/MET_ARR_2020-BM0858.pdf" TargetMode="External"/><Relationship Id="rId1222" Type="http://schemas.openxmlformats.org/officeDocument/2006/relationships/hyperlink" Target="https://cdn.scnbdx.fr/web-afresco/BOGAMET/MET_ARR_2020-BM1579.pdf" TargetMode="External"/><Relationship Id="rId2553" Type="http://schemas.openxmlformats.org/officeDocument/2006/relationships/hyperlink" Target="https://cdn.scnbdx.fr/web-afresco/BOGAMET/MET_ARR_2021-BM0601.pdf" TargetMode="External"/><Relationship Id="rId870" Type="http://schemas.openxmlformats.org/officeDocument/2006/relationships/hyperlink" Target="https://cdn.scnbdx.fr/web-afresco/BOGAMET/MET_ARR_2020-BM0855.pdf" TargetMode="External"/><Relationship Id="rId1223" Type="http://schemas.openxmlformats.org/officeDocument/2006/relationships/hyperlink" Target="https://cdn.scnbdx.fr/web-afresco/BOGAMET/MET_ARR_2020-BM1506.pdf" TargetMode="External"/><Relationship Id="rId2554" Type="http://schemas.openxmlformats.org/officeDocument/2006/relationships/hyperlink" Target="https://cdn.scnbdx.fr/web-afresco/BOGAMET/MET_ARR_2021-BM0601.pdf" TargetMode="External"/><Relationship Id="rId1653" Type="http://schemas.openxmlformats.org/officeDocument/2006/relationships/hyperlink" Target="https://cdn.scnbdx.fr/web-afresco/BOGAMET/MET_ARR_2020-BM0644.pdf" TargetMode="External"/><Relationship Id="rId2500" Type="http://schemas.openxmlformats.org/officeDocument/2006/relationships/hyperlink" Target="https://cdn.scnbdx.fr/web-afresco/BOGAMET/MET_ARR_2021-BM1360.pdf" TargetMode="External"/><Relationship Id="rId1654" Type="http://schemas.openxmlformats.org/officeDocument/2006/relationships/hyperlink" Target="https://cdn.scnbdx.fr/web-afresco/BOGAMET/MET_ARR_2020-BM0644.pdf" TargetMode="External"/><Relationship Id="rId2501" Type="http://schemas.openxmlformats.org/officeDocument/2006/relationships/hyperlink" Target="https://cdn.scnbdx.fr/web-afresco/BOGAMET/MET_ARR_2021-BM1362.pdf" TargetMode="External"/><Relationship Id="rId1655" Type="http://schemas.openxmlformats.org/officeDocument/2006/relationships/hyperlink" Target="https://cdn.scnbdx.fr/web-afresco/BOGAMET/MET_ARR_2020-BM0495.pdf" TargetMode="External"/><Relationship Id="rId2502" Type="http://schemas.openxmlformats.org/officeDocument/2006/relationships/hyperlink" Target="https://cdn.scnbdx.fr/web-afresco/BOGAMET/MET_ARR_2021-BM1362.pdf" TargetMode="External"/><Relationship Id="rId1656" Type="http://schemas.openxmlformats.org/officeDocument/2006/relationships/hyperlink" Target="https://cdn.scnbdx.fr/web-afresco/BOGAMET/MET_ARR_2020-BM0495.pdf" TargetMode="External"/><Relationship Id="rId2503" Type="http://schemas.openxmlformats.org/officeDocument/2006/relationships/hyperlink" Target="https://cdn.scnbdx.fr/web-afresco/BOGAMET/MET_ARR_2021-BM1368.pdf" TargetMode="External"/><Relationship Id="rId1657" Type="http://schemas.openxmlformats.org/officeDocument/2006/relationships/hyperlink" Target="https://cdn.scnbdx.fr/web-afresco/BOGAMET/MET_ARR_2020-BM0582.pdf" TargetMode="External"/><Relationship Id="rId2504" Type="http://schemas.openxmlformats.org/officeDocument/2006/relationships/hyperlink" Target="https://cdn.scnbdx.fr/web-afresco/BOGAMET/MET_ARR_2021-BM1368.pdf" TargetMode="External"/><Relationship Id="rId1658" Type="http://schemas.openxmlformats.org/officeDocument/2006/relationships/hyperlink" Target="https://cdn.scnbdx.fr/web-afresco/BOGAMET/MET_ARR_2020-BM0582.pdf" TargetMode="External"/><Relationship Id="rId2505" Type="http://schemas.openxmlformats.org/officeDocument/2006/relationships/hyperlink" Target="https://cdn.scnbdx.fr/web-afresco/BOGAMET/MET_ARR_2021-BM1371.pdf" TargetMode="External"/><Relationship Id="rId1659" Type="http://schemas.openxmlformats.org/officeDocument/2006/relationships/hyperlink" Target="https://cdn.scnbdx.fr/web-afresco/BOGAMET/MET_ARR_2020-BM0605.pdf" TargetMode="External"/><Relationship Id="rId2506" Type="http://schemas.openxmlformats.org/officeDocument/2006/relationships/hyperlink" Target="https://cdn.scnbdx.fr/web-afresco/BOGAMET/MET_ARR_2021-BM1371.pdf" TargetMode="External"/><Relationship Id="rId2507" Type="http://schemas.openxmlformats.org/officeDocument/2006/relationships/hyperlink" Target="https://cdn.scnbdx.fr/web-afresco/BOGAMET/MET_ARR_2021-BM1431.pdf" TargetMode="External"/><Relationship Id="rId2508" Type="http://schemas.openxmlformats.org/officeDocument/2006/relationships/hyperlink" Target="https://cdn.scnbdx.fr/web-afresco/BOGAMET/MET_ARR_2021-BM1431.pdf" TargetMode="External"/><Relationship Id="rId829" Type="http://schemas.openxmlformats.org/officeDocument/2006/relationships/hyperlink" Target="https://cdn.scnbdx.fr/web-afresco/BOGAMET/MET_ARR_2021-BM1649.pdf" TargetMode="External"/><Relationship Id="rId2509" Type="http://schemas.openxmlformats.org/officeDocument/2006/relationships/hyperlink" Target="https://cdn.scnbdx.fr/web-afresco/BOGAMET/MET_ARR_2021-BM0673.pdf" TargetMode="External"/><Relationship Id="rId828" Type="http://schemas.openxmlformats.org/officeDocument/2006/relationships/hyperlink" Target="https://cdn.scnbdx.fr/web-afresco/BOGAMET/MET_ARR_2021-BM1642.pdf" TargetMode="External"/><Relationship Id="rId827" Type="http://schemas.openxmlformats.org/officeDocument/2006/relationships/hyperlink" Target="https://cdn.scnbdx.fr/web-afresco/BOGAMET/MET_ARR_2021-BM1642.pdf" TargetMode="External"/><Relationship Id="rId822" Type="http://schemas.openxmlformats.org/officeDocument/2006/relationships/hyperlink" Target="https://cdn.scnbdx.fr/web-afresco/BOGAMET/MET_ARR_2021-BM1607.pdf" TargetMode="External"/><Relationship Id="rId821" Type="http://schemas.openxmlformats.org/officeDocument/2006/relationships/hyperlink" Target="https://cdn.scnbdx.fr/web-afresco/BOGAMET/MET_ARR_2021-BM1607.pdf" TargetMode="External"/><Relationship Id="rId820" Type="http://schemas.openxmlformats.org/officeDocument/2006/relationships/hyperlink" Target="https://cdn.scnbdx.fr/web-afresco/BOGAMET/MET_ARR_2021-BM1495.pdf" TargetMode="External"/><Relationship Id="rId826" Type="http://schemas.openxmlformats.org/officeDocument/2006/relationships/hyperlink" Target="https://cdn.scnbdx.fr/web-afresco/BOGAMET/MET_ARR_2021-BM1436.pdf" TargetMode="External"/><Relationship Id="rId825" Type="http://schemas.openxmlformats.org/officeDocument/2006/relationships/hyperlink" Target="https://cdn.scnbdx.fr/web-afresco/BOGAMET/MET_ARR_2021-BM1436.pdf" TargetMode="External"/><Relationship Id="rId824" Type="http://schemas.openxmlformats.org/officeDocument/2006/relationships/hyperlink" Target="https://cdn.scnbdx.fr/web-afresco/BOGAMET/MET_ARR_2021-BM1536.pdf" TargetMode="External"/><Relationship Id="rId823" Type="http://schemas.openxmlformats.org/officeDocument/2006/relationships/hyperlink" Target="https://cdn.scnbdx.fr/web-afresco/BOGAMET/MET_ARR_2021-BM1536.pdf" TargetMode="External"/><Relationship Id="rId1650" Type="http://schemas.openxmlformats.org/officeDocument/2006/relationships/hyperlink" Target="https://cdn.scnbdx.fr/web-afresco/BOGAMET/MET_ARR_2021-BM1485.pdf" TargetMode="External"/><Relationship Id="rId1651" Type="http://schemas.openxmlformats.org/officeDocument/2006/relationships/hyperlink" Target="https://cdn.scnbdx.fr/web-afresco/BOGAMET/MET_ARR_2020-BM0643.pdf" TargetMode="External"/><Relationship Id="rId1652" Type="http://schemas.openxmlformats.org/officeDocument/2006/relationships/hyperlink" Target="https://cdn.scnbdx.fr/web-afresco/BOGAMET/MET_ARR_2020-BM0643.pdf" TargetMode="External"/><Relationship Id="rId1642" Type="http://schemas.openxmlformats.org/officeDocument/2006/relationships/hyperlink" Target="https://cdn.scnbdx.fr/web-afresco/BOGAMET/MET_ARR_2021-BM1467.pdf" TargetMode="External"/><Relationship Id="rId1643" Type="http://schemas.openxmlformats.org/officeDocument/2006/relationships/hyperlink" Target="https://cdn.scnbdx.fr/web-afresco/BOGAMET/MET_ARR_2021-BM1468.pdf" TargetMode="External"/><Relationship Id="rId1644" Type="http://schemas.openxmlformats.org/officeDocument/2006/relationships/hyperlink" Target="https://cdn.scnbdx.fr/web-afresco/BOGAMET/MET_ARR_2021-BM1468.pdf" TargetMode="External"/><Relationship Id="rId1645" Type="http://schemas.openxmlformats.org/officeDocument/2006/relationships/hyperlink" Target="https://cdn.scnbdx.fr/web-afresco/BOGAMET/MET_ARR_2021-BM1480.pdf" TargetMode="External"/><Relationship Id="rId1646" Type="http://schemas.openxmlformats.org/officeDocument/2006/relationships/hyperlink" Target="https://cdn.scnbdx.fr/web-afresco/BOGAMET/MET_ARR_2021-BM1480.pdf" TargetMode="External"/><Relationship Id="rId1647" Type="http://schemas.openxmlformats.org/officeDocument/2006/relationships/hyperlink" Target="https://cdn.scnbdx.fr/web-afresco/BOGAMET/MET_ARR_2021-BM1484.pdf" TargetMode="External"/><Relationship Id="rId1648" Type="http://schemas.openxmlformats.org/officeDocument/2006/relationships/hyperlink" Target="https://cdn.scnbdx.fr/web-afresco/BOGAMET/MET_ARR_2021-BM1484.pdf" TargetMode="External"/><Relationship Id="rId1649" Type="http://schemas.openxmlformats.org/officeDocument/2006/relationships/hyperlink" Target="https://cdn.scnbdx.fr/web-afresco/BOGAMET/MET_ARR_2021-BM1485.pdf" TargetMode="External"/><Relationship Id="rId819" Type="http://schemas.openxmlformats.org/officeDocument/2006/relationships/hyperlink" Target="https://cdn.scnbdx.fr/web-afresco/BOGAMET/MET_ARR_2021-BM1495.pdf" TargetMode="External"/><Relationship Id="rId818" Type="http://schemas.openxmlformats.org/officeDocument/2006/relationships/hyperlink" Target="https://cdn.scnbdx.fr/web-afresco/BOGAMET/MET_ARR_2021-BM1494.pdf" TargetMode="External"/><Relationship Id="rId817" Type="http://schemas.openxmlformats.org/officeDocument/2006/relationships/hyperlink" Target="https://cdn.scnbdx.fr/web-afresco/BOGAMET/MET_ARR_2021-BM1494.pdf" TargetMode="External"/><Relationship Id="rId816" Type="http://schemas.openxmlformats.org/officeDocument/2006/relationships/hyperlink" Target="https://cdn.scnbdx.fr/web-afresco/BOGAMET/MET_ARR_2021-BM1474.pdf" TargetMode="External"/><Relationship Id="rId811" Type="http://schemas.openxmlformats.org/officeDocument/2006/relationships/hyperlink" Target="https://cdn.scnbdx.fr/web-afresco/BOGAMET/MET_ARR_2021-BM1575.pdf" TargetMode="External"/><Relationship Id="rId810" Type="http://schemas.openxmlformats.org/officeDocument/2006/relationships/hyperlink" Target="https://cdn.scnbdx.fr/web-afresco/BOGAMET/MET_ARR_2021-BM1572.pdf" TargetMode="External"/><Relationship Id="rId815" Type="http://schemas.openxmlformats.org/officeDocument/2006/relationships/hyperlink" Target="https://cdn.scnbdx.fr/web-afresco/BOGAMET/MET_ARR_2021-BM1474.pdf" TargetMode="External"/><Relationship Id="rId814" Type="http://schemas.openxmlformats.org/officeDocument/2006/relationships/hyperlink" Target="https://cdn.scnbdx.fr/web-afresco/BOGAMET/MET_ARR_2021-BM1576.pdf" TargetMode="External"/><Relationship Id="rId813" Type="http://schemas.openxmlformats.org/officeDocument/2006/relationships/hyperlink" Target="https://cdn.scnbdx.fr/web-afresco/BOGAMET/MET_ARR_2021-BM1576.pdf" TargetMode="External"/><Relationship Id="rId812" Type="http://schemas.openxmlformats.org/officeDocument/2006/relationships/hyperlink" Target="https://cdn.scnbdx.fr/web-afresco/BOGAMET/MET_ARR_2021-BM1575.pdf" TargetMode="External"/><Relationship Id="rId1640" Type="http://schemas.openxmlformats.org/officeDocument/2006/relationships/hyperlink" Target="https://cdn.scnbdx.fr/web-afresco/BOGAMET/MET_ARR_2021-BM1332.pdf" TargetMode="External"/><Relationship Id="rId1641" Type="http://schemas.openxmlformats.org/officeDocument/2006/relationships/hyperlink" Target="https://cdn.scnbdx.fr/web-afresco/BOGAMET/MET_ARR_2021-BM1467.pdf" TargetMode="External"/><Relationship Id="rId1675" Type="http://schemas.openxmlformats.org/officeDocument/2006/relationships/hyperlink" Target="https://cdn.scnbdx.fr/web-afresco/BOGAMET/MET_ARR_2020-BM0762.pdf" TargetMode="External"/><Relationship Id="rId2522" Type="http://schemas.openxmlformats.org/officeDocument/2006/relationships/hyperlink" Target="https://cdn.scnbdx.fr/web-afresco/BOGAMET/MET_ARR_2021-BM0666.pdf" TargetMode="External"/><Relationship Id="rId1676" Type="http://schemas.openxmlformats.org/officeDocument/2006/relationships/hyperlink" Target="https://cdn.scnbdx.fr/web-afresco/BOGAMET/MET_ARR_2020-BM0762.pdf" TargetMode="External"/><Relationship Id="rId2523" Type="http://schemas.openxmlformats.org/officeDocument/2006/relationships/hyperlink" Target="https://cdn.scnbdx.fr/web-afresco/BOGAMET/MET_ARR_2021-BM0924.pdf" TargetMode="External"/><Relationship Id="rId1677" Type="http://schemas.openxmlformats.org/officeDocument/2006/relationships/hyperlink" Target="https://cdn.scnbdx.fr/web-afresco/BOGAMET/MET_ARR_2020-BM0835.pdf" TargetMode="External"/><Relationship Id="rId2524" Type="http://schemas.openxmlformats.org/officeDocument/2006/relationships/hyperlink" Target="https://cdn.scnbdx.fr/web-afresco/BOGAMET/MET_ARR_2021-BM0924.pdf" TargetMode="External"/><Relationship Id="rId1678" Type="http://schemas.openxmlformats.org/officeDocument/2006/relationships/hyperlink" Target="https://cdn.scnbdx.fr/web-afresco/BOGAMET/MET_ARR_2020-BM0835.pdf" TargetMode="External"/><Relationship Id="rId2525" Type="http://schemas.openxmlformats.org/officeDocument/2006/relationships/hyperlink" Target="https://cdn.scnbdx.fr/web-afresco/BOGAMET/MET_ARR_2021-BM0664.pdf" TargetMode="External"/><Relationship Id="rId1679" Type="http://schemas.openxmlformats.org/officeDocument/2006/relationships/hyperlink" Target="https://cdn.scnbdx.fr/web-afresco/BOGAMET/MET_ARR_2020-BM0841.pdf" TargetMode="External"/><Relationship Id="rId2526" Type="http://schemas.openxmlformats.org/officeDocument/2006/relationships/hyperlink" Target="https://cdn.scnbdx.fr/web-afresco/BOGAMET/MET_ARR_2021-BM0664.pdf" TargetMode="External"/><Relationship Id="rId2527" Type="http://schemas.openxmlformats.org/officeDocument/2006/relationships/hyperlink" Target="https://cdn.scnbdx.fr/web-afresco/BOGAMET/MET_ARR_2021-BM0665.pdf" TargetMode="External"/><Relationship Id="rId2528" Type="http://schemas.openxmlformats.org/officeDocument/2006/relationships/hyperlink" Target="https://cdn.scnbdx.fr/web-afresco/BOGAMET/MET_ARR_2021-BM0665.pdf" TargetMode="External"/><Relationship Id="rId2529" Type="http://schemas.openxmlformats.org/officeDocument/2006/relationships/hyperlink" Target="https://cdn.scnbdx.fr/web-afresco/BOGAMET/MET_ARR_2021-BM0670.pdf" TargetMode="External"/><Relationship Id="rId849" Type="http://schemas.openxmlformats.org/officeDocument/2006/relationships/hyperlink" Target="https://cdn.scnbdx.fr/web-afresco/BOGAMET/MET_ARR_2020-BM0658.pdf" TargetMode="External"/><Relationship Id="rId844" Type="http://schemas.openxmlformats.org/officeDocument/2006/relationships/hyperlink" Target="https://cdn.scnbdx.fr/web-afresco/BOGAMET/MET_ARR_2020-BM0616.pdf" TargetMode="External"/><Relationship Id="rId843" Type="http://schemas.openxmlformats.org/officeDocument/2006/relationships/hyperlink" Target="https://cdn.scnbdx.fr/web-afresco/BOGAMET/MET_ARR_2020-BM0616.pdf" TargetMode="External"/><Relationship Id="rId842" Type="http://schemas.openxmlformats.org/officeDocument/2006/relationships/hyperlink" Target="https://cdn.scnbdx.fr/web-afresco/BOGAMET/MET_ARR_2020-BM0690.pdf" TargetMode="External"/><Relationship Id="rId841" Type="http://schemas.openxmlformats.org/officeDocument/2006/relationships/hyperlink" Target="https://cdn.scnbdx.fr/web-afresco/BOGAMET/MET_ARR_2020-BM0690.pdf" TargetMode="External"/><Relationship Id="rId848" Type="http://schemas.openxmlformats.org/officeDocument/2006/relationships/hyperlink" Target="https://cdn.scnbdx.fr/web-afresco/BOGAMET/MET_ARR_2020-BM0651.pdf" TargetMode="External"/><Relationship Id="rId847" Type="http://schemas.openxmlformats.org/officeDocument/2006/relationships/hyperlink" Target="https://cdn.scnbdx.fr/web-afresco/BOGAMET/MET_ARR_2020-BM0651.pdf" TargetMode="External"/><Relationship Id="rId846" Type="http://schemas.openxmlformats.org/officeDocument/2006/relationships/hyperlink" Target="https://cdn.scnbdx.fr/web-afresco/BOGAMET/MET_ARR_2020-BM0618.pdf" TargetMode="External"/><Relationship Id="rId845" Type="http://schemas.openxmlformats.org/officeDocument/2006/relationships/hyperlink" Target="https://cdn.scnbdx.fr/web-afresco/BOGAMET/MET_ARR_2020-BM0618.pdf" TargetMode="External"/><Relationship Id="rId1670" Type="http://schemas.openxmlformats.org/officeDocument/2006/relationships/hyperlink" Target="https://cdn.scnbdx.fr/web-afresco/BOGAMET/MET_ARR_2020-BM0662.pdf" TargetMode="External"/><Relationship Id="rId840" Type="http://schemas.openxmlformats.org/officeDocument/2006/relationships/hyperlink" Target="https://cdn.scnbdx.fr/web-afresco/BOGAMET/MET_ARR_2020-BM0606.pdf" TargetMode="External"/><Relationship Id="rId1671" Type="http://schemas.openxmlformats.org/officeDocument/2006/relationships/hyperlink" Target="https://cdn.scnbdx.fr/web-afresco/BOGAMET/MET_ARR_2020-BM0691.pdf" TargetMode="External"/><Relationship Id="rId1672" Type="http://schemas.openxmlformats.org/officeDocument/2006/relationships/hyperlink" Target="https://cdn.scnbdx.fr/web-afresco/BOGAMET/MET_ARR_2020-BM0691.pdf" TargetMode="External"/><Relationship Id="rId1673" Type="http://schemas.openxmlformats.org/officeDocument/2006/relationships/hyperlink" Target="https://cdn.scnbdx.fr/web-afresco/BOGAMET/MET_ARR_2020-BM0753.pdf" TargetMode="External"/><Relationship Id="rId2520" Type="http://schemas.openxmlformats.org/officeDocument/2006/relationships/hyperlink" Target="https://cdn.scnbdx.fr/web-afresco/BOGAMET/MET_ARR_2021-BM0658.pdf" TargetMode="External"/><Relationship Id="rId1674" Type="http://schemas.openxmlformats.org/officeDocument/2006/relationships/hyperlink" Target="https://cdn.scnbdx.fr/web-afresco/BOGAMET/MET_ARR_2020-BM0753.pdf" TargetMode="External"/><Relationship Id="rId2521" Type="http://schemas.openxmlformats.org/officeDocument/2006/relationships/hyperlink" Target="https://cdn.scnbdx.fr/web-afresco/BOGAMET/MET_ARR_2021-BM0666.pdf" TargetMode="External"/><Relationship Id="rId1664" Type="http://schemas.openxmlformats.org/officeDocument/2006/relationships/hyperlink" Target="https://cdn.scnbdx.fr/web-afresco/BOGAMET/MET_ARR_2020-BM0580.pdf" TargetMode="External"/><Relationship Id="rId2511" Type="http://schemas.openxmlformats.org/officeDocument/2006/relationships/hyperlink" Target="https://cdn.scnbdx.fr/web-afresco/BOGAMET/MET_ARR_2021-BM0753.pdf" TargetMode="External"/><Relationship Id="rId1665" Type="http://schemas.openxmlformats.org/officeDocument/2006/relationships/hyperlink" Target="https://cdn.scnbdx.fr/web-afresco/BOGAMET/MET_ARR_2020-BM0650.pdf" TargetMode="External"/><Relationship Id="rId2512" Type="http://schemas.openxmlformats.org/officeDocument/2006/relationships/hyperlink" Target="https://cdn.scnbdx.fr/web-afresco/BOGAMET/MET_ARR_2021-BM0753.pdf" TargetMode="External"/><Relationship Id="rId1666" Type="http://schemas.openxmlformats.org/officeDocument/2006/relationships/hyperlink" Target="https://cdn.scnbdx.fr/web-afresco/BOGAMET/MET_ARR_2020-BM0650.pdf" TargetMode="External"/><Relationship Id="rId2513" Type="http://schemas.openxmlformats.org/officeDocument/2006/relationships/hyperlink" Target="https://cdn.scnbdx.fr/web-afresco/BOGAMET/MET_ARR_2021-BM0754.pdf" TargetMode="External"/><Relationship Id="rId1667" Type="http://schemas.openxmlformats.org/officeDocument/2006/relationships/hyperlink" Target="https://cdn.scnbdx.fr/web-afresco/BOGAMET/MET_ARR_2020-BM0652.pdf" TargetMode="External"/><Relationship Id="rId2514" Type="http://schemas.openxmlformats.org/officeDocument/2006/relationships/hyperlink" Target="https://cdn.scnbdx.fr/web-afresco/BOGAMET/MET_ARR_2021-BM0754.pdf" TargetMode="External"/><Relationship Id="rId1668" Type="http://schemas.openxmlformats.org/officeDocument/2006/relationships/hyperlink" Target="https://cdn.scnbdx.fr/web-afresco/BOGAMET/MET_ARR_2020-BM0652.pdf" TargetMode="External"/><Relationship Id="rId2515" Type="http://schemas.openxmlformats.org/officeDocument/2006/relationships/hyperlink" Target="https://cdn.scnbdx.fr/web-afresco/BOGAMET/MET_ARR_2021-BM0651.pdf" TargetMode="External"/><Relationship Id="rId1669" Type="http://schemas.openxmlformats.org/officeDocument/2006/relationships/hyperlink" Target="https://cdn.scnbdx.fr/web-afresco/BOGAMET/MET_ARR_2020-BM0662.pdf" TargetMode="External"/><Relationship Id="rId2516" Type="http://schemas.openxmlformats.org/officeDocument/2006/relationships/hyperlink" Target="https://cdn.scnbdx.fr/web-afresco/BOGAMET/MET_ARR_2021-BM0651.pdf" TargetMode="External"/><Relationship Id="rId2517" Type="http://schemas.openxmlformats.org/officeDocument/2006/relationships/hyperlink" Target="https://cdn.scnbdx.fr/web-afresco/BOGAMET/MET_ARR_2021-BM0652.pdf" TargetMode="External"/><Relationship Id="rId2518" Type="http://schemas.openxmlformats.org/officeDocument/2006/relationships/hyperlink" Target="https://cdn.scnbdx.fr/web-afresco/BOGAMET/MET_ARR_2021-BM0652.pdf" TargetMode="External"/><Relationship Id="rId2519" Type="http://schemas.openxmlformats.org/officeDocument/2006/relationships/hyperlink" Target="https://cdn.scnbdx.fr/web-afresco/BOGAMET/MET_ARR_2021-BM0658.pdf" TargetMode="External"/><Relationship Id="rId839" Type="http://schemas.openxmlformats.org/officeDocument/2006/relationships/hyperlink" Target="https://cdn.scnbdx.fr/web-afresco/BOGAMET/MET_ARR_2020-BM0606.pdf" TargetMode="External"/><Relationship Id="rId838" Type="http://schemas.openxmlformats.org/officeDocument/2006/relationships/hyperlink" Target="https://cdn.scnbdx.fr/web-afresco/BOGAMET/MET_ARR_2020-BM0498.pdf" TargetMode="External"/><Relationship Id="rId833" Type="http://schemas.openxmlformats.org/officeDocument/2006/relationships/hyperlink" Target="https://cdn.scnbdx.fr/web-afresco/BOGAMET/MET_ARR_2020-BM0645.pdf" TargetMode="External"/><Relationship Id="rId832" Type="http://schemas.openxmlformats.org/officeDocument/2006/relationships/hyperlink" Target="https://cdn.scnbdx.fr/web-afresco/BOGAMET/MET_ARR_2021-BM1490.pdf" TargetMode="External"/><Relationship Id="rId831" Type="http://schemas.openxmlformats.org/officeDocument/2006/relationships/hyperlink" Target="https://cdn.scnbdx.fr/web-afresco/BOGAMET/MET_ARR_2021-BM1490.pdf" TargetMode="External"/><Relationship Id="rId830" Type="http://schemas.openxmlformats.org/officeDocument/2006/relationships/hyperlink" Target="https://cdn.scnbdx.fr/web-afresco/BOGAMET/MET_ARR_2021-BM1649.pdf" TargetMode="External"/><Relationship Id="rId837" Type="http://schemas.openxmlformats.org/officeDocument/2006/relationships/hyperlink" Target="https://cdn.scnbdx.fr/web-afresco/BOGAMET/MET_ARR_2020-BM0498.pdf" TargetMode="External"/><Relationship Id="rId836" Type="http://schemas.openxmlformats.org/officeDocument/2006/relationships/hyperlink" Target="https://cdn.scnbdx.fr/web-afresco/BOGAMET/MET_ARR_2020-BM0497.pdf" TargetMode="External"/><Relationship Id="rId835" Type="http://schemas.openxmlformats.org/officeDocument/2006/relationships/hyperlink" Target="https://cdn.scnbdx.fr/web-afresco/BOGAMET/MET_ARR_2020-BM0497.pdf" TargetMode="External"/><Relationship Id="rId834" Type="http://schemas.openxmlformats.org/officeDocument/2006/relationships/hyperlink" Target="https://cdn.scnbdx.fr/web-afresco/BOGAMET/MET_ARR_2020-BM0645.pdf" TargetMode="External"/><Relationship Id="rId1660" Type="http://schemas.openxmlformats.org/officeDocument/2006/relationships/hyperlink" Target="https://cdn.scnbdx.fr/web-afresco/BOGAMET/MET_ARR_2020-BM0605.pdf" TargetMode="External"/><Relationship Id="rId1661" Type="http://schemas.openxmlformats.org/officeDocument/2006/relationships/hyperlink" Target="https://cdn.scnbdx.fr/web-afresco/BOGAMET/MET_ARR_2020-BM0583.pdf" TargetMode="External"/><Relationship Id="rId1662" Type="http://schemas.openxmlformats.org/officeDocument/2006/relationships/hyperlink" Target="https://cdn.scnbdx.fr/web-afresco/BOGAMET/MET_ARR_2020-BM0583.pdf" TargetMode="External"/><Relationship Id="rId1663" Type="http://schemas.openxmlformats.org/officeDocument/2006/relationships/hyperlink" Target="https://cdn.scnbdx.fr/web-afresco/BOGAMET/MET_ARR_2020-BM0580.pdf" TargetMode="External"/><Relationship Id="rId2510" Type="http://schemas.openxmlformats.org/officeDocument/2006/relationships/hyperlink" Target="https://cdn.scnbdx.fr/web-afresco/BOGAMET/MET_ARR_2021-BM0673.pdf" TargetMode="External"/><Relationship Id="rId2148" Type="http://schemas.openxmlformats.org/officeDocument/2006/relationships/hyperlink" Target="https://cdn.scnbdx.fr/web-afresco/BOGAMET/MET_ARR_2021-BM0150.pdf" TargetMode="External"/><Relationship Id="rId2149" Type="http://schemas.openxmlformats.org/officeDocument/2006/relationships/hyperlink" Target="https://cdn.scnbdx.fr/web-afresco/BOGAMET/MET_ARR_2021-BM0153.pdf" TargetMode="External"/><Relationship Id="rId469" Type="http://schemas.openxmlformats.org/officeDocument/2006/relationships/hyperlink" Target="https://cdn.scnbdx.fr/web-afresco/BOGAMET/MET_ARR_2021-BM0309.pdf" TargetMode="External"/><Relationship Id="rId468" Type="http://schemas.openxmlformats.org/officeDocument/2006/relationships/hyperlink" Target="https://cdn.scnbdx.fr/web-afresco/BOGAMET/MET_ARR_2021-BM0057.pdf" TargetMode="External"/><Relationship Id="rId467" Type="http://schemas.openxmlformats.org/officeDocument/2006/relationships/hyperlink" Target="https://cdn.scnbdx.fr/web-afresco/BOGAMET/MET_ARR_2021-BM0057.pdf" TargetMode="External"/><Relationship Id="rId1290" Type="http://schemas.openxmlformats.org/officeDocument/2006/relationships/hyperlink" Target="https://cdn.scnbdx.fr/web-afresco/BOGAMET/MET_ARR_2021-BM0058.pdf" TargetMode="External"/><Relationship Id="rId1291" Type="http://schemas.openxmlformats.org/officeDocument/2006/relationships/hyperlink" Target="https://cdn.scnbdx.fr/web-afresco/BOGAMET/MET_ARR_2021-BM0097.pdf" TargetMode="External"/><Relationship Id="rId1292" Type="http://schemas.openxmlformats.org/officeDocument/2006/relationships/hyperlink" Target="https://cdn.scnbdx.fr/web-afresco/BOGAMET/MET_ARR_2021-BM0097.pdf" TargetMode="External"/><Relationship Id="rId462" Type="http://schemas.openxmlformats.org/officeDocument/2006/relationships/hyperlink" Target="https://cdn.scnbdx.fr/web-afresco/BOGAMET/MET_ARR_2021-BM0046.pdf" TargetMode="External"/><Relationship Id="rId1293" Type="http://schemas.openxmlformats.org/officeDocument/2006/relationships/hyperlink" Target="https://cdn.scnbdx.fr/web-afresco/BOGAMET/MET_ARR_2021-BM0286.pdf" TargetMode="External"/><Relationship Id="rId2140" Type="http://schemas.openxmlformats.org/officeDocument/2006/relationships/hyperlink" Target="https://cdn.scnbdx.fr/web-afresco/BOGAMET/MET_ARR_2021-BM0140.pdf" TargetMode="External"/><Relationship Id="rId461" Type="http://schemas.openxmlformats.org/officeDocument/2006/relationships/hyperlink" Target="https://cdn.scnbdx.fr/web-afresco/BOGAMET/MET_ARR_2021-BM0046.pdf" TargetMode="External"/><Relationship Id="rId1294" Type="http://schemas.openxmlformats.org/officeDocument/2006/relationships/hyperlink" Target="https://cdn.scnbdx.fr/web-afresco/BOGAMET/MET_ARR_2021-BM0286.pdf" TargetMode="External"/><Relationship Id="rId2141" Type="http://schemas.openxmlformats.org/officeDocument/2006/relationships/hyperlink" Target="https://cdn.scnbdx.fr/web-afresco/BOGAMET/MET_ARR_2021-BM0142.pdf" TargetMode="External"/><Relationship Id="rId460" Type="http://schemas.openxmlformats.org/officeDocument/2006/relationships/hyperlink" Target="https://cdn.scnbdx.fr/web-afresco/BOGAMET/MET_ARR_2021-BM0044.pdf" TargetMode="External"/><Relationship Id="rId1295" Type="http://schemas.openxmlformats.org/officeDocument/2006/relationships/hyperlink" Target="https://cdn.scnbdx.fr/web-afresco/BOGAMET/MET_ARR_2021-BM0435.pdf" TargetMode="External"/><Relationship Id="rId2142" Type="http://schemas.openxmlformats.org/officeDocument/2006/relationships/hyperlink" Target="https://cdn.scnbdx.fr/web-afresco/BOGAMET/MET_ARR_2021-BM0142.pdf" TargetMode="External"/><Relationship Id="rId1296" Type="http://schemas.openxmlformats.org/officeDocument/2006/relationships/hyperlink" Target="https://cdn.scnbdx.fr/web-afresco/BOGAMET/MET_ARR_2021-BM0435.pdf" TargetMode="External"/><Relationship Id="rId2143" Type="http://schemas.openxmlformats.org/officeDocument/2006/relationships/hyperlink" Target="https://cdn.scnbdx.fr/web-afresco/BOGAMET/MET_ARR_2021-BM0144.pdf" TargetMode="External"/><Relationship Id="rId466" Type="http://schemas.openxmlformats.org/officeDocument/2006/relationships/hyperlink" Target="https://cdn.scnbdx.fr/web-afresco/BOGAMET/MET_ARR_2021-BM0055.pdf" TargetMode="External"/><Relationship Id="rId1297" Type="http://schemas.openxmlformats.org/officeDocument/2006/relationships/hyperlink" Target="https://cdn.scnbdx.fr/web-afresco/BOGAMET/MET_ARR_2021-BM0316.pdf" TargetMode="External"/><Relationship Id="rId2144" Type="http://schemas.openxmlformats.org/officeDocument/2006/relationships/hyperlink" Target="https://cdn.scnbdx.fr/web-afresco/BOGAMET/MET_ARR_2021-BM0144.pdf" TargetMode="External"/><Relationship Id="rId465" Type="http://schemas.openxmlformats.org/officeDocument/2006/relationships/hyperlink" Target="https://cdn.scnbdx.fr/web-afresco/BOGAMET/MET_ARR_2021-BM0055.pdf" TargetMode="External"/><Relationship Id="rId1298" Type="http://schemas.openxmlformats.org/officeDocument/2006/relationships/hyperlink" Target="https://cdn.scnbdx.fr/web-afresco/BOGAMET/MET_ARR_2021-BM0316.pdf" TargetMode="External"/><Relationship Id="rId2145" Type="http://schemas.openxmlformats.org/officeDocument/2006/relationships/hyperlink" Target="https://cdn.scnbdx.fr/web-afresco/BOGAMET/MET_ARR_2021-BM0145.pdf" TargetMode="External"/><Relationship Id="rId464" Type="http://schemas.openxmlformats.org/officeDocument/2006/relationships/hyperlink" Target="https://cdn.scnbdx.fr/web-afresco/BOGAMET/MET_ARR_2021-BM0047.pdf" TargetMode="External"/><Relationship Id="rId1299" Type="http://schemas.openxmlformats.org/officeDocument/2006/relationships/hyperlink" Target="https://cdn.scnbdx.fr/web-afresco/BOGAMET/MET_ARR_2021-BM0108.pdf" TargetMode="External"/><Relationship Id="rId2146" Type="http://schemas.openxmlformats.org/officeDocument/2006/relationships/hyperlink" Target="https://cdn.scnbdx.fr/web-afresco/BOGAMET/MET_ARR_2021-BM0145.pdf" TargetMode="External"/><Relationship Id="rId463" Type="http://schemas.openxmlformats.org/officeDocument/2006/relationships/hyperlink" Target="https://cdn.scnbdx.fr/web-afresco/BOGAMET/MET_ARR_2021-BM0047.pdf" TargetMode="External"/><Relationship Id="rId2147" Type="http://schemas.openxmlformats.org/officeDocument/2006/relationships/hyperlink" Target="https://cdn.scnbdx.fr/web-afresco/BOGAMET/MET_ARR_2021-BM0150.pdf" TargetMode="External"/><Relationship Id="rId2137" Type="http://schemas.openxmlformats.org/officeDocument/2006/relationships/hyperlink" Target="https://cdn.scnbdx.fr/web-afresco/BOGAMET/MET_ARR_2021-BM0098.pdf" TargetMode="External"/><Relationship Id="rId2138" Type="http://schemas.openxmlformats.org/officeDocument/2006/relationships/hyperlink" Target="https://cdn.scnbdx.fr/web-afresco/BOGAMET/MET_ARR_2021-BM0098.pdf" TargetMode="External"/><Relationship Id="rId2139" Type="http://schemas.openxmlformats.org/officeDocument/2006/relationships/hyperlink" Target="https://cdn.scnbdx.fr/web-afresco/BOGAMET/MET_ARR_2021-BM0140.pdf" TargetMode="External"/><Relationship Id="rId459" Type="http://schemas.openxmlformats.org/officeDocument/2006/relationships/hyperlink" Target="https://cdn.scnbdx.fr/web-afresco/BOGAMET/MET_ARR_2021-BM0044.pdf" TargetMode="External"/><Relationship Id="rId458" Type="http://schemas.openxmlformats.org/officeDocument/2006/relationships/hyperlink" Target="https://cdn.scnbdx.fr/web-afresco/BOGAMET/MET_ARR_2021-BM0041.pdf" TargetMode="External"/><Relationship Id="rId457" Type="http://schemas.openxmlformats.org/officeDocument/2006/relationships/hyperlink" Target="https://cdn.scnbdx.fr/web-afresco/BOGAMET/MET_ARR_2021-BM0041.pdf" TargetMode="External"/><Relationship Id="rId456" Type="http://schemas.openxmlformats.org/officeDocument/2006/relationships/hyperlink" Target="https://cdn.scnbdx.fr/web-afresco/BOGAMET/MET_ARR_2021-BM0014.pdf" TargetMode="External"/><Relationship Id="rId1280" Type="http://schemas.openxmlformats.org/officeDocument/2006/relationships/hyperlink" Target="https://cdn.scnbdx.fr/web-afresco/BOGAMET/MET_ARR_2021-BM0082.pdf" TargetMode="External"/><Relationship Id="rId1281" Type="http://schemas.openxmlformats.org/officeDocument/2006/relationships/hyperlink" Target="https://cdn.scnbdx.fr/web-afresco/BOGAMET/MET_ARR_2021-BM0048.pdf" TargetMode="External"/><Relationship Id="rId451" Type="http://schemas.openxmlformats.org/officeDocument/2006/relationships/hyperlink" Target="https://cdn.scnbdx.fr/web-afresco/BOGAMET/MET_ARR_2021-BM0173.pdf" TargetMode="External"/><Relationship Id="rId1282" Type="http://schemas.openxmlformats.org/officeDocument/2006/relationships/hyperlink" Target="https://cdn.scnbdx.fr/web-afresco/BOGAMET/MET_ARR_2021-BM0048.pdf" TargetMode="External"/><Relationship Id="rId450" Type="http://schemas.openxmlformats.org/officeDocument/2006/relationships/hyperlink" Target="https://cdn.scnbdx.fr/web-afresco/BOGAMET/MET_ARR_2021-BM0214.pdf" TargetMode="External"/><Relationship Id="rId1283" Type="http://schemas.openxmlformats.org/officeDocument/2006/relationships/hyperlink" Target="https://cdn.scnbdx.fr/web-afresco/BOGAMET/MET_ARR_2021-BM0049.pdf" TargetMode="External"/><Relationship Id="rId2130" Type="http://schemas.openxmlformats.org/officeDocument/2006/relationships/hyperlink" Target="https://cdn.scnbdx.fr/web-afresco/BOGAMET/MET_ARR_2021-BM0004.pdf" TargetMode="External"/><Relationship Id="rId1284" Type="http://schemas.openxmlformats.org/officeDocument/2006/relationships/hyperlink" Target="https://cdn.scnbdx.fr/web-afresco/BOGAMET/MET_ARR_2021-BM0049.pdf" TargetMode="External"/><Relationship Id="rId2131" Type="http://schemas.openxmlformats.org/officeDocument/2006/relationships/hyperlink" Target="https://cdn.scnbdx.fr/web-afresco/BOGAMET/MET_ARR_2020-BM1599.pdf" TargetMode="External"/><Relationship Id="rId1285" Type="http://schemas.openxmlformats.org/officeDocument/2006/relationships/hyperlink" Target="https://cdn.scnbdx.fr/web-afresco/BOGAMET/MET_ARR_2021-BM0052.pdf" TargetMode="External"/><Relationship Id="rId2132" Type="http://schemas.openxmlformats.org/officeDocument/2006/relationships/hyperlink" Target="https://cdn.scnbdx.fr/web-afresco/BOGAMET/MET_ARR_2020-BM1599.pdf" TargetMode="External"/><Relationship Id="rId455" Type="http://schemas.openxmlformats.org/officeDocument/2006/relationships/hyperlink" Target="https://cdn.scnbdx.fr/web-afresco/BOGAMET/MET_ARR_2021-BM0014.pdf" TargetMode="External"/><Relationship Id="rId1286" Type="http://schemas.openxmlformats.org/officeDocument/2006/relationships/hyperlink" Target="https://cdn.scnbdx.fr/web-afresco/BOGAMET/MET_ARR_2021-BM0052.pdf" TargetMode="External"/><Relationship Id="rId2133" Type="http://schemas.openxmlformats.org/officeDocument/2006/relationships/hyperlink" Target="https://cdn.scnbdx.fr/web-afresco/BOGAMET/MET_ARR_2020-BM1555.pdf" TargetMode="External"/><Relationship Id="rId454" Type="http://schemas.openxmlformats.org/officeDocument/2006/relationships/hyperlink" Target="https://cdn.scnbdx.fr/web-afresco/BOGAMET/MET_ARR_2021-BM0211.pdf" TargetMode="External"/><Relationship Id="rId1287" Type="http://schemas.openxmlformats.org/officeDocument/2006/relationships/hyperlink" Target="https://cdn.scnbdx.fr/web-afresco/BOGAMET/MET_ARR_2021-BM0053.pdf" TargetMode="External"/><Relationship Id="rId2134" Type="http://schemas.openxmlformats.org/officeDocument/2006/relationships/hyperlink" Target="https://cdn.scnbdx.fr/web-afresco/BOGAMET/MET_ARR_2020-BM1555.pdf" TargetMode="External"/><Relationship Id="rId453" Type="http://schemas.openxmlformats.org/officeDocument/2006/relationships/hyperlink" Target="https://cdn.scnbdx.fr/web-afresco/BOGAMET/MET_ARR_2021-BM0211.pdf" TargetMode="External"/><Relationship Id="rId1288" Type="http://schemas.openxmlformats.org/officeDocument/2006/relationships/hyperlink" Target="https://cdn.scnbdx.fr/web-afresco/BOGAMET/MET_ARR_2021-BM0053.pdf" TargetMode="External"/><Relationship Id="rId2135" Type="http://schemas.openxmlformats.org/officeDocument/2006/relationships/hyperlink" Target="https://cdn.scnbdx.fr/web-afresco/BOGAMET/MET_ARR_2020-BM1558.pdf" TargetMode="External"/><Relationship Id="rId452" Type="http://schemas.openxmlformats.org/officeDocument/2006/relationships/hyperlink" Target="https://cdn.scnbdx.fr/web-afresco/BOGAMET/MET_ARR_2021-BM0173.pdf" TargetMode="External"/><Relationship Id="rId1289" Type="http://schemas.openxmlformats.org/officeDocument/2006/relationships/hyperlink" Target="https://cdn.scnbdx.fr/web-afresco/BOGAMET/MET_ARR_2021-BM0058.pdf" TargetMode="External"/><Relationship Id="rId2136" Type="http://schemas.openxmlformats.org/officeDocument/2006/relationships/hyperlink" Target="https://cdn.scnbdx.fr/web-afresco/BOGAMET/MET_ARR_2020-BM1558.pdf" TargetMode="External"/><Relationship Id="rId491" Type="http://schemas.openxmlformats.org/officeDocument/2006/relationships/hyperlink" Target="https://cdn.scnbdx.fr/web-afresco/BOGAMET/MET_ARR_2021-BM0264.pdf" TargetMode="External"/><Relationship Id="rId490" Type="http://schemas.openxmlformats.org/officeDocument/2006/relationships/hyperlink" Target="https://cdn.scnbdx.fr/web-afresco/BOGAMET/MET_ARR_2021-BM0471.pdf" TargetMode="External"/><Relationship Id="rId489" Type="http://schemas.openxmlformats.org/officeDocument/2006/relationships/hyperlink" Target="https://cdn.scnbdx.fr/web-afresco/BOGAMET/MET_ARR_2021-BM0471.pdf" TargetMode="External"/><Relationship Id="rId2160" Type="http://schemas.openxmlformats.org/officeDocument/2006/relationships/hyperlink" Target="https://cdn.scnbdx.fr/web-afresco/BOGAMET/MET_ARR_2021-BM0355.pdf" TargetMode="External"/><Relationship Id="rId2161" Type="http://schemas.openxmlformats.org/officeDocument/2006/relationships/hyperlink" Target="https://cdn.scnbdx.fr/web-afresco/BOGAMET/MET_ARR_2021-BM0359.pdf" TargetMode="External"/><Relationship Id="rId484" Type="http://schemas.openxmlformats.org/officeDocument/2006/relationships/hyperlink" Target="https://cdn.scnbdx.fr/web-afresco/BOGAMET/MET_ARR_2021-BM0253.pdf" TargetMode="External"/><Relationship Id="rId2162" Type="http://schemas.openxmlformats.org/officeDocument/2006/relationships/hyperlink" Target="https://cdn.scnbdx.fr/web-afresco/BOGAMET/MET_ARR_2021-BM0359.pdf" TargetMode="External"/><Relationship Id="rId483" Type="http://schemas.openxmlformats.org/officeDocument/2006/relationships/hyperlink" Target="https://cdn.scnbdx.fr/web-afresco/BOGAMET/MET_ARR_2021-BM0253.pdf" TargetMode="External"/><Relationship Id="rId2163" Type="http://schemas.openxmlformats.org/officeDocument/2006/relationships/hyperlink" Target="https://cdn.scnbdx.fr/web-afresco/BOGAMET/MET_ARR_2021-BM0200.pdf" TargetMode="External"/><Relationship Id="rId482" Type="http://schemas.openxmlformats.org/officeDocument/2006/relationships/hyperlink" Target="https://cdn.scnbdx.fr/web-afresco/BOGAMET/MET_ARR_2021-BM0249.pdf" TargetMode="External"/><Relationship Id="rId2164" Type="http://schemas.openxmlformats.org/officeDocument/2006/relationships/hyperlink" Target="https://cdn.scnbdx.fr/web-afresco/BOGAMET/MET_ARR_2021-BM0200.pdf" TargetMode="External"/><Relationship Id="rId481" Type="http://schemas.openxmlformats.org/officeDocument/2006/relationships/hyperlink" Target="https://cdn.scnbdx.fr/web-afresco/BOGAMET/MET_ARR_2021-BM0249.pdf" TargetMode="External"/><Relationship Id="rId2165" Type="http://schemas.openxmlformats.org/officeDocument/2006/relationships/hyperlink" Target="https://cdn.scnbdx.fr/web-afresco/BOGAMET/MET_ARR_2021-BM0525.pdf" TargetMode="External"/><Relationship Id="rId488" Type="http://schemas.openxmlformats.org/officeDocument/2006/relationships/hyperlink" Target="https://cdn.scnbdx.fr/web-afresco/BOGAMET/MET_ARR_2021-BM0258.pdf" TargetMode="External"/><Relationship Id="rId2166" Type="http://schemas.openxmlformats.org/officeDocument/2006/relationships/hyperlink" Target="https://cdn.scnbdx.fr/web-afresco/BOGAMET/MET_ARR_2021-BM0525.pdf" TargetMode="External"/><Relationship Id="rId487" Type="http://schemas.openxmlformats.org/officeDocument/2006/relationships/hyperlink" Target="https://cdn.scnbdx.fr/web-afresco/BOGAMET/MET_ARR_2021-BM0258.pdf" TargetMode="External"/><Relationship Id="rId2167" Type="http://schemas.openxmlformats.org/officeDocument/2006/relationships/hyperlink" Target="https://cdn.scnbdx.fr/web-afresco/BOGAMET/MET_ARR_2021-BM0583.pdf" TargetMode="External"/><Relationship Id="rId486" Type="http://schemas.openxmlformats.org/officeDocument/2006/relationships/hyperlink" Target="https://cdn.scnbdx.fr/web-afresco/BOGAMET/MET_ARR_2021-BM0254.pdf" TargetMode="External"/><Relationship Id="rId2168" Type="http://schemas.openxmlformats.org/officeDocument/2006/relationships/hyperlink" Target="https://cdn.scnbdx.fr/web-afresco/BOGAMET/MET_ARR_2021-BM0583.pdf" TargetMode="External"/><Relationship Id="rId485" Type="http://schemas.openxmlformats.org/officeDocument/2006/relationships/hyperlink" Target="https://cdn.scnbdx.fr/web-afresco/BOGAMET/MET_ARR_2021-BM0254.pdf" TargetMode="External"/><Relationship Id="rId2169" Type="http://schemas.openxmlformats.org/officeDocument/2006/relationships/hyperlink" Target="https://cdn.scnbdx.fr/web-afresco/BOGAMET/MET_ARR_2021-BM0021.pdf" TargetMode="External"/><Relationship Id="rId2159" Type="http://schemas.openxmlformats.org/officeDocument/2006/relationships/hyperlink" Target="https://cdn.scnbdx.fr/web-afresco/BOGAMET/MET_ARR_2021-BM0355.pdf" TargetMode="External"/><Relationship Id="rId480" Type="http://schemas.openxmlformats.org/officeDocument/2006/relationships/hyperlink" Target="https://cdn.scnbdx.fr/web-afresco/BOGAMET/MET_ARR_2021-BM0478.pdf" TargetMode="External"/><Relationship Id="rId479" Type="http://schemas.openxmlformats.org/officeDocument/2006/relationships/hyperlink" Target="https://cdn.scnbdx.fr/web-afresco/BOGAMET/MET_ARR_2021-BM0478.pdf" TargetMode="External"/><Relationship Id="rId478" Type="http://schemas.openxmlformats.org/officeDocument/2006/relationships/hyperlink" Target="https://cdn.scnbdx.fr/web-afresco/BOGAMET/MET_ARR_2021-BM0104.pdf" TargetMode="External"/><Relationship Id="rId2150" Type="http://schemas.openxmlformats.org/officeDocument/2006/relationships/hyperlink" Target="https://cdn.scnbdx.fr/web-afresco/BOGAMET/MET_ARR_2021-BM0153.pdf" TargetMode="External"/><Relationship Id="rId473" Type="http://schemas.openxmlformats.org/officeDocument/2006/relationships/hyperlink" Target="https://cdn.scnbdx.fr/web-afresco/BOGAMET/MET_ARR_2021-BM0443.pdf" TargetMode="External"/><Relationship Id="rId2151" Type="http://schemas.openxmlformats.org/officeDocument/2006/relationships/hyperlink" Target="https://cdn.scnbdx.fr/web-afresco/BOGAMET/MET_ARR_2021-BM0157.pdf" TargetMode="External"/><Relationship Id="rId472" Type="http://schemas.openxmlformats.org/officeDocument/2006/relationships/hyperlink" Target="https://cdn.scnbdx.fr/web-afresco/BOGAMET/MET_ARR_2021-BM0439.pdf" TargetMode="External"/><Relationship Id="rId2152" Type="http://schemas.openxmlformats.org/officeDocument/2006/relationships/hyperlink" Target="https://cdn.scnbdx.fr/web-afresco/BOGAMET/MET_ARR_2021-BM0157.pdf" TargetMode="External"/><Relationship Id="rId471" Type="http://schemas.openxmlformats.org/officeDocument/2006/relationships/hyperlink" Target="https://cdn.scnbdx.fr/web-afresco/BOGAMET/MET_ARR_2021-BM0439.pdf" TargetMode="External"/><Relationship Id="rId2153" Type="http://schemas.openxmlformats.org/officeDocument/2006/relationships/hyperlink" Target="https://cdn.scnbdx.fr/web-afresco/BOGAMET/MET_ARR_2021-BM0158.pdf" TargetMode="External"/><Relationship Id="rId470" Type="http://schemas.openxmlformats.org/officeDocument/2006/relationships/hyperlink" Target="https://cdn.scnbdx.fr/web-afresco/BOGAMET/MET_ARR_2021-BM0309.pdf" TargetMode="External"/><Relationship Id="rId2154" Type="http://schemas.openxmlformats.org/officeDocument/2006/relationships/hyperlink" Target="https://cdn.scnbdx.fr/web-afresco/BOGAMET/MET_ARR_2021-BM0158.pdf" TargetMode="External"/><Relationship Id="rId477" Type="http://schemas.openxmlformats.org/officeDocument/2006/relationships/hyperlink" Target="https://cdn.scnbdx.fr/web-afresco/BOGAMET/MET_ARR_2021-BM0104.pdf" TargetMode="External"/><Relationship Id="rId2155" Type="http://schemas.openxmlformats.org/officeDocument/2006/relationships/hyperlink" Target="https://cdn.scnbdx.fr/web-afresco/BOGAMET/MET_ARR_2021-BM0282.pdf" TargetMode="External"/><Relationship Id="rId476" Type="http://schemas.openxmlformats.org/officeDocument/2006/relationships/hyperlink" Target="https://cdn.scnbdx.fr/web-afresco/BOGAMET/MET_ARR_2021-BM0447.pdf" TargetMode="External"/><Relationship Id="rId2156" Type="http://schemas.openxmlformats.org/officeDocument/2006/relationships/hyperlink" Target="https://cdn.scnbdx.fr/web-afresco/BOGAMET/MET_ARR_2021-BM0282.pdf" TargetMode="External"/><Relationship Id="rId475" Type="http://schemas.openxmlformats.org/officeDocument/2006/relationships/hyperlink" Target="https://cdn.scnbdx.fr/web-afresco/BOGAMET/MET_ARR_2021-BM0447.pdf" TargetMode="External"/><Relationship Id="rId2157" Type="http://schemas.openxmlformats.org/officeDocument/2006/relationships/hyperlink" Target="https://cdn.scnbdx.fr/web-afresco/BOGAMET/MET_ARR_2021-BM0303.pdf" TargetMode="External"/><Relationship Id="rId474" Type="http://schemas.openxmlformats.org/officeDocument/2006/relationships/hyperlink" Target="https://cdn.scnbdx.fr/web-afresco/BOGAMET/MET_ARR_2021-BM0443.pdf" TargetMode="External"/><Relationship Id="rId2158" Type="http://schemas.openxmlformats.org/officeDocument/2006/relationships/hyperlink" Target="https://cdn.scnbdx.fr/web-afresco/BOGAMET/MET_ARR_2021-BM0303.pdf" TargetMode="External"/><Relationship Id="rId1257" Type="http://schemas.openxmlformats.org/officeDocument/2006/relationships/hyperlink" Target="https://cdn.scnbdx.fr/web-afresco/BOGAMET/MET_ARR_2021-BM0358.pdf" TargetMode="External"/><Relationship Id="rId2104" Type="http://schemas.openxmlformats.org/officeDocument/2006/relationships/hyperlink" Target="https://cdn.scnbdx.fr/web-afresco/BOGAMET/MET_ARR_2020-BM1639.pdf" TargetMode="External"/><Relationship Id="rId2588" Type="http://schemas.openxmlformats.org/officeDocument/2006/relationships/hyperlink" Target="https://cdn.scnbdx.fr/web-afresco/BOGAMET/MET_ARR_2021-BM1473.pdf" TargetMode="External"/><Relationship Id="rId1258" Type="http://schemas.openxmlformats.org/officeDocument/2006/relationships/hyperlink" Target="https://cdn.scnbdx.fr/web-afresco/BOGAMET/MET_ARR_2021-BM0358.pdf" TargetMode="External"/><Relationship Id="rId2105" Type="http://schemas.openxmlformats.org/officeDocument/2006/relationships/hyperlink" Target="https://cdn.scnbdx.fr/web-afresco/BOGAMET/MET_ARR_2020-BM1640.pdf" TargetMode="External"/><Relationship Id="rId2589" Type="http://schemas.openxmlformats.org/officeDocument/2006/relationships/hyperlink" Target="https://cdn.scnbdx.fr/web-afresco/BOGAMET/MET_ARR_2021-BM1505.pdf" TargetMode="External"/><Relationship Id="rId1259" Type="http://schemas.openxmlformats.org/officeDocument/2006/relationships/hyperlink" Target="https://cdn.scnbdx.fr/web-afresco/BOGAMET/MET_ARR_2021-BM0363.pdf" TargetMode="External"/><Relationship Id="rId2106" Type="http://schemas.openxmlformats.org/officeDocument/2006/relationships/hyperlink" Target="https://cdn.scnbdx.fr/web-afresco/BOGAMET/MET_ARR_2020-BM1640.pdf" TargetMode="External"/><Relationship Id="rId2107" Type="http://schemas.openxmlformats.org/officeDocument/2006/relationships/hyperlink" Target="https://cdn.scnbdx.fr/web-afresco/BOGAMET/MET_ARR_2021-BM0602.pdf" TargetMode="External"/><Relationship Id="rId2108" Type="http://schemas.openxmlformats.org/officeDocument/2006/relationships/hyperlink" Target="https://cdn.scnbdx.fr/web-afresco/BOGAMET/MET_ARR_2021-BM0602.pdf" TargetMode="External"/><Relationship Id="rId2109" Type="http://schemas.openxmlformats.org/officeDocument/2006/relationships/hyperlink" Target="https://cdn.scnbdx.fr/web-afresco/BOGAMET/MET_ARR_2020-BM1357.pdf" TargetMode="External"/><Relationship Id="rId426" Type="http://schemas.openxmlformats.org/officeDocument/2006/relationships/hyperlink" Target="https://cdn.scnbdx.fr/web-afresco/BOGAMET/MET_ARR_2021-BM0152.pdf" TargetMode="External"/><Relationship Id="rId425" Type="http://schemas.openxmlformats.org/officeDocument/2006/relationships/hyperlink" Target="https://cdn.scnbdx.fr/web-afresco/BOGAMET/MET_ARR_2021-BM0152.pdf" TargetMode="External"/><Relationship Id="rId424" Type="http://schemas.openxmlformats.org/officeDocument/2006/relationships/hyperlink" Target="https://cdn.scnbdx.fr/web-afresco/BOGAMET/MET_ARR_2021-BM0023.pdf" TargetMode="External"/><Relationship Id="rId423" Type="http://schemas.openxmlformats.org/officeDocument/2006/relationships/hyperlink" Target="https://cdn.scnbdx.fr/web-afresco/BOGAMET/MET_ARR_2021-BM0023.pdf" TargetMode="External"/><Relationship Id="rId429" Type="http://schemas.openxmlformats.org/officeDocument/2006/relationships/hyperlink" Target="https://cdn.scnbdx.fr/web-afresco/BOGAMET/MET_ARR_2021-BM0349.pdf" TargetMode="External"/><Relationship Id="rId428" Type="http://schemas.openxmlformats.org/officeDocument/2006/relationships/hyperlink" Target="https://cdn.scnbdx.fr/web-afresco/BOGAMET/MET_ARR_2021-BM0149.pdf" TargetMode="External"/><Relationship Id="rId427" Type="http://schemas.openxmlformats.org/officeDocument/2006/relationships/hyperlink" Target="https://cdn.scnbdx.fr/web-afresco/BOGAMET/MET_ARR_2021-BM0149.pdf" TargetMode="External"/><Relationship Id="rId2580" Type="http://schemas.openxmlformats.org/officeDocument/2006/relationships/hyperlink" Target="https://cdn.scnbdx.fr/web-afresco/BOGAMET/MET_ARR_2021-BM1501.pdf" TargetMode="External"/><Relationship Id="rId1250" Type="http://schemas.openxmlformats.org/officeDocument/2006/relationships/hyperlink" Target="https://cdn.scnbdx.fr/web-afresco/BOGAMET/MET_ARR_2021-BM0156.pdf" TargetMode="External"/><Relationship Id="rId2581" Type="http://schemas.openxmlformats.org/officeDocument/2006/relationships/hyperlink" Target="https://cdn.scnbdx.fr/web-afresco/BOGAMET/MET_ARR_2021-BM1547.pdf" TargetMode="External"/><Relationship Id="rId1251" Type="http://schemas.openxmlformats.org/officeDocument/2006/relationships/hyperlink" Target="https://cdn.scnbdx.fr/web-afresco/BOGAMET/MET_ARR_2021-BM0159.pdf" TargetMode="External"/><Relationship Id="rId2582" Type="http://schemas.openxmlformats.org/officeDocument/2006/relationships/hyperlink" Target="https://cdn.scnbdx.fr/web-afresco/BOGAMET/MET_ARR_2021-BM1547.pdf" TargetMode="External"/><Relationship Id="rId1252" Type="http://schemas.openxmlformats.org/officeDocument/2006/relationships/hyperlink" Target="https://cdn.scnbdx.fr/web-afresco/BOGAMET/MET_ARR_2021-BM0159.pdf" TargetMode="External"/><Relationship Id="rId2583" Type="http://schemas.openxmlformats.org/officeDocument/2006/relationships/hyperlink" Target="https://cdn.scnbdx.fr/web-afresco/BOGAMET/MET_ARR_2021-BM1567.pdf" TargetMode="External"/><Relationship Id="rId422" Type="http://schemas.openxmlformats.org/officeDocument/2006/relationships/hyperlink" Target="https://cdn.scnbdx.fr/web-afresco/BOGAMET/MET_ARR_2021-BM0148.pdf" TargetMode="External"/><Relationship Id="rId1253" Type="http://schemas.openxmlformats.org/officeDocument/2006/relationships/hyperlink" Target="https://cdn.scnbdx.fr/web-afresco/BOGAMET/MET_ARR_2021-BM0350.pdf" TargetMode="External"/><Relationship Id="rId2100" Type="http://schemas.openxmlformats.org/officeDocument/2006/relationships/hyperlink" Target="https://cdn.scnbdx.fr/web-afresco/BOGAMET/MET_ARR_2020-BM1503.pdf" TargetMode="External"/><Relationship Id="rId2584" Type="http://schemas.openxmlformats.org/officeDocument/2006/relationships/hyperlink" Target="https://cdn.scnbdx.fr/web-afresco/BOGAMET/MET_ARR_2021-BM1567.pdf" TargetMode="External"/><Relationship Id="rId421" Type="http://schemas.openxmlformats.org/officeDocument/2006/relationships/hyperlink" Target="https://cdn.scnbdx.fr/web-afresco/BOGAMET/MET_ARR_2021-BM0148.pdf" TargetMode="External"/><Relationship Id="rId1254" Type="http://schemas.openxmlformats.org/officeDocument/2006/relationships/hyperlink" Target="https://cdn.scnbdx.fr/web-afresco/BOGAMET/MET_ARR_2021-BM0350.pdf" TargetMode="External"/><Relationship Id="rId2101" Type="http://schemas.openxmlformats.org/officeDocument/2006/relationships/hyperlink" Target="https://cdn.scnbdx.fr/web-afresco/BOGAMET/MET_ARR_2020-BM1637.pdf" TargetMode="External"/><Relationship Id="rId2585" Type="http://schemas.openxmlformats.org/officeDocument/2006/relationships/hyperlink" Target="https://cdn.scnbdx.fr/web-afresco/BOGAMET/MET_ARR_2021-BM1599.pdf" TargetMode="External"/><Relationship Id="rId420" Type="http://schemas.openxmlformats.org/officeDocument/2006/relationships/hyperlink" Target="https://cdn.scnbdx.fr/web-afresco/BOGAMET/MET_ARR_2021-BM0147.pdf" TargetMode="External"/><Relationship Id="rId1255" Type="http://schemas.openxmlformats.org/officeDocument/2006/relationships/hyperlink" Target="https://cdn.scnbdx.fr/web-afresco/BOGAMET/MET_ARR_2021-BM0356.pdf" TargetMode="External"/><Relationship Id="rId2102" Type="http://schemas.openxmlformats.org/officeDocument/2006/relationships/hyperlink" Target="https://cdn.scnbdx.fr/web-afresco/BOGAMET/MET_ARR_2020-BM1637.pdf" TargetMode="External"/><Relationship Id="rId2586" Type="http://schemas.openxmlformats.org/officeDocument/2006/relationships/hyperlink" Target="https://cdn.scnbdx.fr/web-afresco/BOGAMET/MET_ARR_2021-BM1599.pdf" TargetMode="External"/><Relationship Id="rId1256" Type="http://schemas.openxmlformats.org/officeDocument/2006/relationships/hyperlink" Target="https://cdn.scnbdx.fr/web-afresco/BOGAMET/MET_ARR_2021-BM0356.pdf" TargetMode="External"/><Relationship Id="rId2103" Type="http://schemas.openxmlformats.org/officeDocument/2006/relationships/hyperlink" Target="https://cdn.scnbdx.fr/web-afresco/BOGAMET/MET_ARR_2020-BM1639.pdf" TargetMode="External"/><Relationship Id="rId2587" Type="http://schemas.openxmlformats.org/officeDocument/2006/relationships/hyperlink" Target="https://cdn.scnbdx.fr/web-afresco/BOGAMET/MET_ARR_2021-BM1473.pdf" TargetMode="External"/><Relationship Id="rId1246" Type="http://schemas.openxmlformats.org/officeDocument/2006/relationships/hyperlink" Target="https://cdn.scnbdx.fr/web-afresco/BOGAMET/MET_ARR_2021-BM0154.pdf" TargetMode="External"/><Relationship Id="rId2577" Type="http://schemas.openxmlformats.org/officeDocument/2006/relationships/hyperlink" Target="https://cdn.scnbdx.fr/web-afresco/BOGAMET/MET_ARR_2021-BM1427.pdf" TargetMode="External"/><Relationship Id="rId1247" Type="http://schemas.openxmlformats.org/officeDocument/2006/relationships/hyperlink" Target="https://cdn.scnbdx.fr/web-afresco/BOGAMET/MET_ARR_2021-BM0155.pdf" TargetMode="External"/><Relationship Id="rId2578" Type="http://schemas.openxmlformats.org/officeDocument/2006/relationships/hyperlink" Target="https://cdn.scnbdx.fr/web-afresco/BOGAMET/MET_ARR_2021-BM1427.pdf" TargetMode="External"/><Relationship Id="rId1248" Type="http://schemas.openxmlformats.org/officeDocument/2006/relationships/hyperlink" Target="https://cdn.scnbdx.fr/web-afresco/BOGAMET/MET_ARR_2021-BM0155.pdf" TargetMode="External"/><Relationship Id="rId2579" Type="http://schemas.openxmlformats.org/officeDocument/2006/relationships/hyperlink" Target="https://cdn.scnbdx.fr/web-afresco/BOGAMET/MET_ARR_2021-BM1501.pdf" TargetMode="External"/><Relationship Id="rId1249" Type="http://schemas.openxmlformats.org/officeDocument/2006/relationships/hyperlink" Target="https://cdn.scnbdx.fr/web-afresco/BOGAMET/MET_ARR_2021-BM0156.pdf" TargetMode="External"/><Relationship Id="rId415" Type="http://schemas.openxmlformats.org/officeDocument/2006/relationships/hyperlink" Target="https://cdn.scnbdx.fr/web-afresco/BOGAMET/MET_ARR_2021-BM0143.pdf" TargetMode="External"/><Relationship Id="rId899" Type="http://schemas.openxmlformats.org/officeDocument/2006/relationships/hyperlink" Target="https://cdn.scnbdx.fr/web-afresco/BOGAMET/MET_ARR_2020-BM0791.pdf" TargetMode="External"/><Relationship Id="rId414" Type="http://schemas.openxmlformats.org/officeDocument/2006/relationships/hyperlink" Target="https://cdn.scnbdx.fr/web-afresco/BOGAMET/MET_ARR_2021-BM0141.pdf" TargetMode="External"/><Relationship Id="rId898" Type="http://schemas.openxmlformats.org/officeDocument/2006/relationships/hyperlink" Target="https://cdn.scnbdx.fr/web-afresco/BOGAMET/MET_ARR_2020-BM0788.pdf" TargetMode="External"/><Relationship Id="rId413" Type="http://schemas.openxmlformats.org/officeDocument/2006/relationships/hyperlink" Target="https://cdn.scnbdx.fr/web-afresco/BOGAMET/MET_ARR_2021-BM0141.pdf" TargetMode="External"/><Relationship Id="rId897" Type="http://schemas.openxmlformats.org/officeDocument/2006/relationships/hyperlink" Target="https://cdn.scnbdx.fr/web-afresco/BOGAMET/MET_ARR_2020-BM0788.pdf" TargetMode="External"/><Relationship Id="rId412" Type="http://schemas.openxmlformats.org/officeDocument/2006/relationships/hyperlink" Target="https://cdn.scnbdx.fr/web-afresco/BOGAMET/MET_ARR_2021-BM0138.pdf" TargetMode="External"/><Relationship Id="rId896" Type="http://schemas.openxmlformats.org/officeDocument/2006/relationships/hyperlink" Target="https://cdn.scnbdx.fr/web-afresco/BOGAMET/MET_ARR_2020-BM0787.pdf" TargetMode="External"/><Relationship Id="rId419" Type="http://schemas.openxmlformats.org/officeDocument/2006/relationships/hyperlink" Target="https://cdn.scnbdx.fr/web-afresco/BOGAMET/MET_ARR_2021-BM0147.pdf" TargetMode="External"/><Relationship Id="rId418" Type="http://schemas.openxmlformats.org/officeDocument/2006/relationships/hyperlink" Target="https://cdn.scnbdx.fr/web-afresco/BOGAMET/MET_ARR_2021-BM0146.pdf" TargetMode="External"/><Relationship Id="rId417" Type="http://schemas.openxmlformats.org/officeDocument/2006/relationships/hyperlink" Target="https://cdn.scnbdx.fr/web-afresco/BOGAMET/MET_ARR_2021-BM0146.pdf" TargetMode="External"/><Relationship Id="rId416" Type="http://schemas.openxmlformats.org/officeDocument/2006/relationships/hyperlink" Target="https://cdn.scnbdx.fr/web-afresco/BOGAMET/MET_ARR_2021-BM0143.pdf" TargetMode="External"/><Relationship Id="rId891" Type="http://schemas.openxmlformats.org/officeDocument/2006/relationships/hyperlink" Target="https://cdn.scnbdx.fr/web-afresco/BOGAMET/MET_ARR_2020-BM0785.pdf" TargetMode="External"/><Relationship Id="rId890" Type="http://schemas.openxmlformats.org/officeDocument/2006/relationships/hyperlink" Target="https://cdn.scnbdx.fr/web-afresco/BOGAMET/MET_ARR_2020-BM0783.pdf" TargetMode="External"/><Relationship Id="rId2570" Type="http://schemas.openxmlformats.org/officeDocument/2006/relationships/hyperlink" Target="https://cdn.scnbdx.fr/web-afresco/BOGAMET/MET_ARR_2021-BM1591.pdf" TargetMode="External"/><Relationship Id="rId1240" Type="http://schemas.openxmlformats.org/officeDocument/2006/relationships/hyperlink" Target="https://cdn.scnbdx.fr/web-afresco/BOGAMET/MET_ARR_2021-BM0139.pdf" TargetMode="External"/><Relationship Id="rId2571" Type="http://schemas.openxmlformats.org/officeDocument/2006/relationships/hyperlink" Target="https://cdn.scnbdx.fr/web-afresco/BOGAMET/MET_ARR_2021-BM1592.pdf" TargetMode="External"/><Relationship Id="rId1241" Type="http://schemas.openxmlformats.org/officeDocument/2006/relationships/hyperlink" Target="https://cdn.scnbdx.fr/web-afresco/BOGAMET/MET_ARR_2021-BM0033.pdf" TargetMode="External"/><Relationship Id="rId2572" Type="http://schemas.openxmlformats.org/officeDocument/2006/relationships/hyperlink" Target="https://cdn.scnbdx.fr/web-afresco/BOGAMET/MET_ARR_2021-BM1592.pdf" TargetMode="External"/><Relationship Id="rId411" Type="http://schemas.openxmlformats.org/officeDocument/2006/relationships/hyperlink" Target="https://cdn.scnbdx.fr/web-afresco/BOGAMET/MET_ARR_2021-BM0138.pdf" TargetMode="External"/><Relationship Id="rId895" Type="http://schemas.openxmlformats.org/officeDocument/2006/relationships/hyperlink" Target="https://cdn.scnbdx.fr/web-afresco/BOGAMET/MET_ARR_2020-BM0787.pdf" TargetMode="External"/><Relationship Id="rId1242" Type="http://schemas.openxmlformats.org/officeDocument/2006/relationships/hyperlink" Target="https://cdn.scnbdx.fr/web-afresco/BOGAMET/MET_ARR_2021-BM0033.pdf" TargetMode="External"/><Relationship Id="rId2573" Type="http://schemas.openxmlformats.org/officeDocument/2006/relationships/hyperlink" Target="https://cdn.scnbdx.fr/web-afresco/BOGAMET/MET_ARR_2021-BM1516.pdf" TargetMode="External"/><Relationship Id="rId410" Type="http://schemas.openxmlformats.org/officeDocument/2006/relationships/hyperlink" Target="https://cdn.scnbdx.fr/web-afresco/BOGAMET/MET_ARR_2021-BM0137.pdf" TargetMode="External"/><Relationship Id="rId894" Type="http://schemas.openxmlformats.org/officeDocument/2006/relationships/hyperlink" Target="https://cdn.scnbdx.fr/web-afresco/BOGAMET/MET_ARR_2020-BM0786.pdf" TargetMode="External"/><Relationship Id="rId1243" Type="http://schemas.openxmlformats.org/officeDocument/2006/relationships/hyperlink" Target="https://cdn.scnbdx.fr/web-afresco/BOGAMET/MET_ARR_2021-BM0151.pdf" TargetMode="External"/><Relationship Id="rId2574" Type="http://schemas.openxmlformats.org/officeDocument/2006/relationships/hyperlink" Target="https://cdn.scnbdx.fr/web-afresco/BOGAMET/MET_ARR_2021-BM1516.pdf" TargetMode="External"/><Relationship Id="rId893" Type="http://schemas.openxmlformats.org/officeDocument/2006/relationships/hyperlink" Target="https://cdn.scnbdx.fr/web-afresco/BOGAMET/MET_ARR_2020-BM0786.pdf" TargetMode="External"/><Relationship Id="rId1244" Type="http://schemas.openxmlformats.org/officeDocument/2006/relationships/hyperlink" Target="https://cdn.scnbdx.fr/web-afresco/BOGAMET/MET_ARR_2021-BM0151.pdf" TargetMode="External"/><Relationship Id="rId2575" Type="http://schemas.openxmlformats.org/officeDocument/2006/relationships/hyperlink" Target="https://cdn.scnbdx.fr/web-afresco/BOGAMET/MET_ARR_2021-BM1517.pdf" TargetMode="External"/><Relationship Id="rId892" Type="http://schemas.openxmlformats.org/officeDocument/2006/relationships/hyperlink" Target="https://cdn.scnbdx.fr/web-afresco/BOGAMET/MET_ARR_2020-BM0785.pdf" TargetMode="External"/><Relationship Id="rId1245" Type="http://schemas.openxmlformats.org/officeDocument/2006/relationships/hyperlink" Target="https://cdn.scnbdx.fr/web-afresco/BOGAMET/MET_ARR_2021-BM0154.pdf" TargetMode="External"/><Relationship Id="rId2576" Type="http://schemas.openxmlformats.org/officeDocument/2006/relationships/hyperlink" Target="https://cdn.scnbdx.fr/web-afresco/BOGAMET/MET_ARR_2021-BM1517.pdf" TargetMode="External"/><Relationship Id="rId1279" Type="http://schemas.openxmlformats.org/officeDocument/2006/relationships/hyperlink" Target="https://cdn.scnbdx.fr/web-afresco/BOGAMET/MET_ARR_2021-BM0082.pdf" TargetMode="External"/><Relationship Id="rId2126" Type="http://schemas.openxmlformats.org/officeDocument/2006/relationships/hyperlink" Target="https://cdn.scnbdx.fr/web-afresco/BOGAMET/MET_ARR_2020-BM1381.pdf" TargetMode="External"/><Relationship Id="rId2127" Type="http://schemas.openxmlformats.org/officeDocument/2006/relationships/hyperlink" Target="https://cdn.scnbdx.fr/web-afresco/BOGAMET/MET_ARR_2020-BM1598.pdf" TargetMode="External"/><Relationship Id="rId2128" Type="http://schemas.openxmlformats.org/officeDocument/2006/relationships/hyperlink" Target="https://cdn.scnbdx.fr/web-afresco/BOGAMET/MET_ARR_2020-BM1598.pdf" TargetMode="External"/><Relationship Id="rId2129" Type="http://schemas.openxmlformats.org/officeDocument/2006/relationships/hyperlink" Target="https://cdn.scnbdx.fr/web-afresco/BOGAMET/MET_ARR_2021-BM0004.pdf" TargetMode="External"/><Relationship Id="rId448" Type="http://schemas.openxmlformats.org/officeDocument/2006/relationships/hyperlink" Target="https://cdn.scnbdx.fr/web-afresco/BOGAMET/MET_ARR_2021-BM0213.pdf" TargetMode="External"/><Relationship Id="rId447" Type="http://schemas.openxmlformats.org/officeDocument/2006/relationships/hyperlink" Target="https://cdn.scnbdx.fr/web-afresco/BOGAMET/MET_ARR_2021-BM0213.pdf" TargetMode="External"/><Relationship Id="rId446" Type="http://schemas.openxmlformats.org/officeDocument/2006/relationships/hyperlink" Target="https://cdn.scnbdx.fr/web-afresco/BOGAMET/MET_ARR_2021-BM0202.pdf" TargetMode="External"/><Relationship Id="rId445" Type="http://schemas.openxmlformats.org/officeDocument/2006/relationships/hyperlink" Target="https://cdn.scnbdx.fr/web-afresco/BOGAMET/MET_ARR_2021-BM0202.pdf" TargetMode="External"/><Relationship Id="rId449" Type="http://schemas.openxmlformats.org/officeDocument/2006/relationships/hyperlink" Target="https://cdn.scnbdx.fr/web-afresco/BOGAMET/MET_ARR_2021-BM0214.pdf" TargetMode="External"/><Relationship Id="rId1270" Type="http://schemas.openxmlformats.org/officeDocument/2006/relationships/hyperlink" Target="https://cdn.scnbdx.fr/web-afresco/BOGAMET/MET_ARR_2021-BM0019.pdf" TargetMode="External"/><Relationship Id="rId440" Type="http://schemas.openxmlformats.org/officeDocument/2006/relationships/hyperlink" Target="https://cdn.scnbdx.fr/web-afresco/BOGAMET/MET_ARR_2021-BM0178.pdf" TargetMode="External"/><Relationship Id="rId1271" Type="http://schemas.openxmlformats.org/officeDocument/2006/relationships/hyperlink" Target="https://cdn.scnbdx.fr/web-afresco/BOGAMET/MET_ARR_2021-BM0288.pdf" TargetMode="External"/><Relationship Id="rId1272" Type="http://schemas.openxmlformats.org/officeDocument/2006/relationships/hyperlink" Target="https://cdn.scnbdx.fr/web-afresco/BOGAMET/MET_ARR_2021-BM0288.pdf" TargetMode="External"/><Relationship Id="rId1273" Type="http://schemas.openxmlformats.org/officeDocument/2006/relationships/hyperlink" Target="https://cdn.scnbdx.fr/web-afresco/BOGAMET/MET_ARR_2021-BM0204.pdf" TargetMode="External"/><Relationship Id="rId2120" Type="http://schemas.openxmlformats.org/officeDocument/2006/relationships/hyperlink" Target="https://cdn.scnbdx.fr/web-afresco/BOGAMET/MET_ARR_2021-BM0005.pdf" TargetMode="External"/><Relationship Id="rId1274" Type="http://schemas.openxmlformats.org/officeDocument/2006/relationships/hyperlink" Target="https://cdn.scnbdx.fr/web-afresco/BOGAMET/MET_ARR_2021-BM0204.pdf" TargetMode="External"/><Relationship Id="rId2121" Type="http://schemas.openxmlformats.org/officeDocument/2006/relationships/hyperlink" Target="https://cdn.scnbdx.fr/web-afresco/BOGAMET/MET_ARR_2020-BM1403.pdf" TargetMode="External"/><Relationship Id="rId444" Type="http://schemas.openxmlformats.org/officeDocument/2006/relationships/hyperlink" Target="https://cdn.scnbdx.fr/web-afresco/BOGAMET/MET_ARR_2021-BM0028.pdf" TargetMode="External"/><Relationship Id="rId1275" Type="http://schemas.openxmlformats.org/officeDocument/2006/relationships/hyperlink" Target="https://cdn.scnbdx.fr/web-afresco/BOGAMET/MET_ARR_2021-BM0011.pdf" TargetMode="External"/><Relationship Id="rId2122" Type="http://schemas.openxmlformats.org/officeDocument/2006/relationships/hyperlink" Target="https://cdn.scnbdx.fr/web-afresco/BOGAMET/MET_ARR_2020-BM1403.pdf" TargetMode="External"/><Relationship Id="rId443" Type="http://schemas.openxmlformats.org/officeDocument/2006/relationships/hyperlink" Target="https://cdn.scnbdx.fr/web-afresco/BOGAMET/MET_ARR_2021-BM0028.pdf" TargetMode="External"/><Relationship Id="rId1276" Type="http://schemas.openxmlformats.org/officeDocument/2006/relationships/hyperlink" Target="https://cdn.scnbdx.fr/web-afresco/BOGAMET/MET_ARR_2021-BM0011.pdf" TargetMode="External"/><Relationship Id="rId2123" Type="http://schemas.openxmlformats.org/officeDocument/2006/relationships/hyperlink" Target="https://cdn.scnbdx.fr/web-afresco/BOGAMET/MET_ARR_2021-BM0076.pdf" TargetMode="External"/><Relationship Id="rId442" Type="http://schemas.openxmlformats.org/officeDocument/2006/relationships/hyperlink" Target="https://cdn.scnbdx.fr/web-afresco/BOGAMET/MET_ARR_2021-BM0527.pdf" TargetMode="External"/><Relationship Id="rId1277" Type="http://schemas.openxmlformats.org/officeDocument/2006/relationships/hyperlink" Target="https://cdn.scnbdx.fr/web-afresco/BOGAMET/MET_ARR_2021-BM0013.pdf" TargetMode="External"/><Relationship Id="rId2124" Type="http://schemas.openxmlformats.org/officeDocument/2006/relationships/hyperlink" Target="https://cdn.scnbdx.fr/web-afresco/BOGAMET/MET_ARR_2021-BM0076.pdf" TargetMode="External"/><Relationship Id="rId441" Type="http://schemas.openxmlformats.org/officeDocument/2006/relationships/hyperlink" Target="https://cdn.scnbdx.fr/web-afresco/BOGAMET/MET_ARR_2021-BM0527.pdf" TargetMode="External"/><Relationship Id="rId1278" Type="http://schemas.openxmlformats.org/officeDocument/2006/relationships/hyperlink" Target="https://cdn.scnbdx.fr/web-afresco/BOGAMET/MET_ARR_2021-BM0013.pdf" TargetMode="External"/><Relationship Id="rId2125" Type="http://schemas.openxmlformats.org/officeDocument/2006/relationships/hyperlink" Target="https://cdn.scnbdx.fr/web-afresco/BOGAMET/MET_ARR_2020-BM1381.pdf" TargetMode="External"/><Relationship Id="rId1268" Type="http://schemas.openxmlformats.org/officeDocument/2006/relationships/hyperlink" Target="https://cdn.scnbdx.fr/web-afresco/BOGAMET/MET_ARR_2021-BM0025.pdf" TargetMode="External"/><Relationship Id="rId2115" Type="http://schemas.openxmlformats.org/officeDocument/2006/relationships/hyperlink" Target="https://cdn.scnbdx.fr/web-afresco/BOGAMET/MET_ARR_2020-BM1603.pdf" TargetMode="External"/><Relationship Id="rId2599" Type="http://schemas.openxmlformats.org/officeDocument/2006/relationships/hyperlink" Target="https://cdn.scnbdx.fr/web-afresco/BOGAMET/MET_ARR_2021-BM1568.pdf" TargetMode="External"/><Relationship Id="rId1269" Type="http://schemas.openxmlformats.org/officeDocument/2006/relationships/hyperlink" Target="https://cdn.scnbdx.fr/web-afresco/BOGAMET/MET_ARR_2021-BM0019.pdf" TargetMode="External"/><Relationship Id="rId2116" Type="http://schemas.openxmlformats.org/officeDocument/2006/relationships/hyperlink" Target="https://cdn.scnbdx.fr/web-afresco/BOGAMET/MET_ARR_2020-BM1603.pdf" TargetMode="External"/><Relationship Id="rId2117" Type="http://schemas.openxmlformats.org/officeDocument/2006/relationships/hyperlink" Target="https://cdn.scnbdx.fr/web-afresco/BOGAMET/MET_ARR_2020-BM1604.pdf" TargetMode="External"/><Relationship Id="rId2118" Type="http://schemas.openxmlformats.org/officeDocument/2006/relationships/hyperlink" Target="https://cdn.scnbdx.fr/web-afresco/BOGAMET/MET_ARR_2020-BM1604.pdf" TargetMode="External"/><Relationship Id="rId2119" Type="http://schemas.openxmlformats.org/officeDocument/2006/relationships/hyperlink" Target="https://cdn.scnbdx.fr/web-afresco/BOGAMET/MET_ARR_2021-BM0005.pdf" TargetMode="External"/><Relationship Id="rId437" Type="http://schemas.openxmlformats.org/officeDocument/2006/relationships/hyperlink" Target="https://cdn.scnbdx.fr/web-afresco/BOGAMET/MET_ARR_2021-BM0160.pdf" TargetMode="External"/><Relationship Id="rId436" Type="http://schemas.openxmlformats.org/officeDocument/2006/relationships/hyperlink" Target="https://cdn.scnbdx.fr/web-afresco/BOGAMET/MET_ARR_2021-BM0357.pdf" TargetMode="External"/><Relationship Id="rId435" Type="http://schemas.openxmlformats.org/officeDocument/2006/relationships/hyperlink" Target="https://cdn.scnbdx.fr/web-afresco/BOGAMET/MET_ARR_2021-BM0357.pdf" TargetMode="External"/><Relationship Id="rId434" Type="http://schemas.openxmlformats.org/officeDocument/2006/relationships/hyperlink" Target="https://cdn.scnbdx.fr/web-afresco/BOGAMET/MET_ARR_2021-BM0354.pdf" TargetMode="External"/><Relationship Id="rId439" Type="http://schemas.openxmlformats.org/officeDocument/2006/relationships/hyperlink" Target="https://cdn.scnbdx.fr/web-afresco/BOGAMET/MET_ARR_2021-BM0178.pdf" TargetMode="External"/><Relationship Id="rId438" Type="http://schemas.openxmlformats.org/officeDocument/2006/relationships/hyperlink" Target="https://cdn.scnbdx.fr/web-afresco/BOGAMET/MET_ARR_2021-BM0160.pdf" TargetMode="External"/><Relationship Id="rId2590" Type="http://schemas.openxmlformats.org/officeDocument/2006/relationships/hyperlink" Target="https://cdn.scnbdx.fr/web-afresco/BOGAMET/MET_ARR_2021-BM1505.pdf" TargetMode="External"/><Relationship Id="rId1260" Type="http://schemas.openxmlformats.org/officeDocument/2006/relationships/hyperlink" Target="https://cdn.scnbdx.fr/web-afresco/BOGAMET/MET_ARR_2021-BM0363.pdf" TargetMode="External"/><Relationship Id="rId2591" Type="http://schemas.openxmlformats.org/officeDocument/2006/relationships/hyperlink" Target="https://cdn.scnbdx.fr/web-afresco/BOGAMET/MET_ARR_2021-BM1507.pdf" TargetMode="External"/><Relationship Id="rId1261" Type="http://schemas.openxmlformats.org/officeDocument/2006/relationships/hyperlink" Target="https://cdn.scnbdx.fr/web-afresco/BOGAMET/MET_ARR_2021-BM0075.pdf" TargetMode="External"/><Relationship Id="rId2592" Type="http://schemas.openxmlformats.org/officeDocument/2006/relationships/hyperlink" Target="https://cdn.scnbdx.fr/web-afresco/BOGAMET/MET_ARR_2021-BM1507.pdf" TargetMode="External"/><Relationship Id="rId1262" Type="http://schemas.openxmlformats.org/officeDocument/2006/relationships/hyperlink" Target="https://cdn.scnbdx.fr/web-afresco/BOGAMET/MET_ARR_2021-BM0075.pdf" TargetMode="External"/><Relationship Id="rId2593" Type="http://schemas.openxmlformats.org/officeDocument/2006/relationships/hyperlink" Target="https://cdn.scnbdx.fr/web-afresco/BOGAMET/MET_ARR_2021-BM1510.pdf" TargetMode="External"/><Relationship Id="rId1263" Type="http://schemas.openxmlformats.org/officeDocument/2006/relationships/hyperlink" Target="https://cdn.scnbdx.fr/web-afresco/BOGAMET/MET_ARR_2021-BM0179.pdf" TargetMode="External"/><Relationship Id="rId2110" Type="http://schemas.openxmlformats.org/officeDocument/2006/relationships/hyperlink" Target="https://cdn.scnbdx.fr/web-afresco/BOGAMET/MET_ARR_2020-BM1357.pdf" TargetMode="External"/><Relationship Id="rId2594" Type="http://schemas.openxmlformats.org/officeDocument/2006/relationships/hyperlink" Target="https://cdn.scnbdx.fr/web-afresco/BOGAMET/MET_ARR_2021-BM1510.pdf" TargetMode="External"/><Relationship Id="rId433" Type="http://schemas.openxmlformats.org/officeDocument/2006/relationships/hyperlink" Target="https://cdn.scnbdx.fr/web-afresco/BOGAMET/MET_ARR_2021-BM0354.pdf" TargetMode="External"/><Relationship Id="rId1264" Type="http://schemas.openxmlformats.org/officeDocument/2006/relationships/hyperlink" Target="https://cdn.scnbdx.fr/web-afresco/BOGAMET/MET_ARR_2021-BM0179.pdf" TargetMode="External"/><Relationship Id="rId2111" Type="http://schemas.openxmlformats.org/officeDocument/2006/relationships/hyperlink" Target="https://cdn.scnbdx.fr/web-afresco/BOGAMET/MET_ARR_2020-BM1583.pdf" TargetMode="External"/><Relationship Id="rId2595" Type="http://schemas.openxmlformats.org/officeDocument/2006/relationships/hyperlink" Target="https://cdn.scnbdx.fr/web-afresco/BOGAMET/MET_ARR_2021-BM1500.pdf" TargetMode="External"/><Relationship Id="rId432" Type="http://schemas.openxmlformats.org/officeDocument/2006/relationships/hyperlink" Target="https://cdn.scnbdx.fr/web-afresco/BOGAMET/MET_ARR_2021-BM0353.pdf" TargetMode="External"/><Relationship Id="rId1265" Type="http://schemas.openxmlformats.org/officeDocument/2006/relationships/hyperlink" Target="https://cdn.scnbdx.fr/web-afresco/BOGAMET/MET_ARR_2021-BM0020.pdf" TargetMode="External"/><Relationship Id="rId2112" Type="http://schemas.openxmlformats.org/officeDocument/2006/relationships/hyperlink" Target="https://cdn.scnbdx.fr/web-afresco/BOGAMET/MET_ARR_2020-BM1583.pdf" TargetMode="External"/><Relationship Id="rId2596" Type="http://schemas.openxmlformats.org/officeDocument/2006/relationships/hyperlink" Target="https://cdn.scnbdx.fr/web-afresco/BOGAMET/MET_ARR_2021-BM1500.pdf" TargetMode="External"/><Relationship Id="rId431" Type="http://schemas.openxmlformats.org/officeDocument/2006/relationships/hyperlink" Target="https://cdn.scnbdx.fr/web-afresco/BOGAMET/MET_ARR_2021-BM0353.pdf" TargetMode="External"/><Relationship Id="rId1266" Type="http://schemas.openxmlformats.org/officeDocument/2006/relationships/hyperlink" Target="https://cdn.scnbdx.fr/web-afresco/BOGAMET/MET_ARR_2021-BM0020.pdf" TargetMode="External"/><Relationship Id="rId2113" Type="http://schemas.openxmlformats.org/officeDocument/2006/relationships/hyperlink" Target="https://cdn.scnbdx.fr/web-afresco/BOGAMET/MET_ARR_2020-BM1576.pdf" TargetMode="External"/><Relationship Id="rId2597" Type="http://schemas.openxmlformats.org/officeDocument/2006/relationships/hyperlink" Target="https://cdn.scnbdx.fr/web-afresco/BOGAMET/MET_ARR_2021-BM1537.pdf" TargetMode="External"/><Relationship Id="rId430" Type="http://schemas.openxmlformats.org/officeDocument/2006/relationships/hyperlink" Target="https://cdn.scnbdx.fr/web-afresco/BOGAMET/MET_ARR_2021-BM0349.pdf" TargetMode="External"/><Relationship Id="rId1267" Type="http://schemas.openxmlformats.org/officeDocument/2006/relationships/hyperlink" Target="https://cdn.scnbdx.fr/web-afresco/BOGAMET/MET_ARR_2021-BM0025.pdf" TargetMode="External"/><Relationship Id="rId2114" Type="http://schemas.openxmlformats.org/officeDocument/2006/relationships/hyperlink" Target="https://cdn.scnbdx.fr/web-afresco/BOGAMET/MET_ARR_2020-BM1576.pdf" TargetMode="External"/><Relationship Id="rId2598" Type="http://schemas.openxmlformats.org/officeDocument/2006/relationships/hyperlink" Target="https://cdn.scnbdx.fr/web-afresco/BOGAMET/MET_ARR_2021-BM1537.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2">
      <c r="A2" s="1"/>
    </row>
    <row r="3">
      <c r="A3" s="1" t="str">
        <f>IFERROR(__xludf.DUMMYFUNCTION("IMPORTHTML(""http://en.wikipedia.org/wiki/Demographics_of_India"",""table"")"),"Year")</f>
        <v>Year</v>
      </c>
      <c r="B3" t="str">
        <f>IFERROR(__xludf.DUMMYFUNCTION("""COMPUTED_VALUE"""),"Mid-year population")</f>
        <v>Mid-year population</v>
      </c>
      <c r="C3" t="str">
        <f>IFERROR(__xludf.DUMMYFUNCTION("""COMPUTED_VALUE"""),"Births per year")</f>
        <v>Births per year</v>
      </c>
      <c r="D3" t="str">
        <f>IFERROR(__xludf.DUMMYFUNCTION("""COMPUTED_VALUE"""),"Deaths per year")</f>
        <v>Deaths per year</v>
      </c>
      <c r="E3" t="str">
        <f>IFERROR(__xludf.DUMMYFUNCTION("""COMPUTED_VALUE"""),"Annual change in population")</f>
        <v>Annual change in population</v>
      </c>
      <c r="F3" t="str">
        <f>IFERROR(__xludf.DUMMYFUNCTION("""COMPUTED_VALUE"""),"Crude birth rate
(per 1000)")</f>
        <v>Crude birth rate
(per 1000)</v>
      </c>
      <c r="G3" t="str">
        <f>IFERROR(__xludf.DUMMYFUNCTION("""COMPUTED_VALUE"""),"Crude death rate
(per 1000)")</f>
        <v>Crude death rate
(per 1000)</v>
      </c>
      <c r="H3" t="str">
        <f>IFERROR(__xludf.DUMMYFUNCTION("""COMPUTED_VALUE"""),"Natural change
(per 1000)")</f>
        <v>Natural change
(per 1000)</v>
      </c>
      <c r="I3" t="str">
        <f>IFERROR(__xludf.DUMMYFUNCTION("""COMPUTED_VALUE"""),"Crude migration rate
(per 1000)")</f>
        <v>Crude migration rate
(per 1000)</v>
      </c>
      <c r="J3" t="str">
        <f>IFERROR(__xludf.DUMMYFUNCTION("""COMPUTED_VALUE"""),"Total Fertility rate")</f>
        <v>Total Fertility rate</v>
      </c>
      <c r="K3" t="str">
        <f>IFERROR(__xludf.DUMMYFUNCTION("""COMPUTED_VALUE"""),"Infant mortality (per 1000)")</f>
        <v>Infant mortality (per 1000)</v>
      </c>
      <c r="L3" t="str">
        <f>IFERROR(__xludf.DUMMYFUNCTION("""COMPUTED_VALUE"""),"Life expectancy")</f>
        <v>Life expectancy</v>
      </c>
    </row>
    <row r="4">
      <c r="A4" s="1">
        <f>IFERROR(__xludf.DUMMYFUNCTION("""COMPUTED_VALUE"""),1950.0)</f>
        <v>1950</v>
      </c>
      <c r="B4" t="str">
        <f>IFERROR(__xludf.DUMMYFUNCTION("""COMPUTED_VALUE"""),"346,278,817")</f>
        <v>346,278,817</v>
      </c>
      <c r="C4" t="str">
        <f>IFERROR(__xludf.DUMMYFUNCTION("""COMPUTED_VALUE"""),"15,287,998")</f>
        <v>15,287,998</v>
      </c>
      <c r="D4" t="str">
        <f>IFERROR(__xludf.DUMMYFUNCTION("""COMPUTED_VALUE"""),"7,852,219")</f>
        <v>7,852,219</v>
      </c>
      <c r="E4" t="str">
        <f>IFERROR(__xludf.DUMMYFUNCTION("""COMPUTED_VALUE"""),"7,435,779")</f>
        <v>7,435,779</v>
      </c>
      <c r="F4" t="str">
        <f>IFERROR(__xludf.DUMMYFUNCTION("""COMPUTED_VALUE"""),"44.15")</f>
        <v>44.15</v>
      </c>
      <c r="G4" t="str">
        <f>IFERROR(__xludf.DUMMYFUNCTION("""COMPUTED_VALUE"""),"22.68")</f>
        <v>22.68</v>
      </c>
      <c r="H4" s="2">
        <f>IFERROR(__xludf.DUMMYFUNCTION("""COMPUTED_VALUE"""),46194.0)</f>
        <v>46194</v>
      </c>
      <c r="J4" t="str">
        <f>IFERROR(__xludf.DUMMYFUNCTION("""COMPUTED_VALUE"""),"5.73")</f>
        <v>5.73</v>
      </c>
      <c r="K4" t="str">
        <f>IFERROR(__xludf.DUMMYFUNCTION("""COMPUTED_VALUE"""),"181.2")</f>
        <v>181.2</v>
      </c>
      <c r="L4" t="str">
        <f>IFERROR(__xludf.DUMMYFUNCTION("""COMPUTED_VALUE"""),"41.7")</f>
        <v>41.7</v>
      </c>
    </row>
    <row r="5">
      <c r="A5" s="1">
        <f>IFERROR(__xludf.DUMMYFUNCTION("""COMPUTED_VALUE"""),1951.0)</f>
        <v>1951</v>
      </c>
      <c r="B5" t="str">
        <f>IFERROR(__xludf.DUMMYFUNCTION("""COMPUTED_VALUE"""),"353,870,058")</f>
        <v>353,870,058</v>
      </c>
      <c r="C5" t="str">
        <f>IFERROR(__xludf.DUMMYFUNCTION("""COMPUTED_VALUE"""),"15,663,440")</f>
        <v>15,663,440</v>
      </c>
      <c r="D5" t="str">
        <f>IFERROR(__xludf.DUMMYFUNCTION("""COMPUTED_VALUE"""),"7,973,004")</f>
        <v>7,973,004</v>
      </c>
      <c r="E5" t="str">
        <f>IFERROR(__xludf.DUMMYFUNCTION("""COMPUTED_VALUE"""),"7,591,241")</f>
        <v>7,591,241</v>
      </c>
      <c r="F5" t="str">
        <f>IFERROR(__xludf.DUMMYFUNCTION("""COMPUTED_VALUE"""),"44.26")</f>
        <v>44.26</v>
      </c>
      <c r="G5" t="str">
        <f>IFERROR(__xludf.DUMMYFUNCTION("""COMPUTED_VALUE"""),"22.53")</f>
        <v>22.53</v>
      </c>
      <c r="H5" s="2">
        <f>IFERROR(__xludf.DUMMYFUNCTION("""COMPUTED_VALUE"""),46194.0)</f>
        <v>46194</v>
      </c>
      <c r="I5" t="str">
        <f>IFERROR(__xludf.DUMMYFUNCTION("""COMPUTED_VALUE"""),"0.5")</f>
        <v>0.5</v>
      </c>
      <c r="J5" t="str">
        <f>IFERROR(__xludf.DUMMYFUNCTION("""COMPUTED_VALUE"""),"5.77")</f>
        <v>5.77</v>
      </c>
      <c r="K5" t="str">
        <f>IFERROR(__xludf.DUMMYFUNCTION("""COMPUTED_VALUE"""),"180.1")</f>
        <v>180.1</v>
      </c>
      <c r="L5" t="str">
        <f>IFERROR(__xludf.DUMMYFUNCTION("""COMPUTED_VALUE"""),"41.7")</f>
        <v>41.7</v>
      </c>
    </row>
    <row r="6">
      <c r="A6" s="1">
        <f>IFERROR(__xludf.DUMMYFUNCTION("""COMPUTED_VALUE"""),1952.0)</f>
        <v>1952</v>
      </c>
      <c r="B6" t="str">
        <f>IFERROR(__xludf.DUMMYFUNCTION("""COMPUTED_VALUE"""),"361,874,904")</f>
        <v>361,874,904</v>
      </c>
      <c r="C6" t="str">
        <f>IFERROR(__xludf.DUMMYFUNCTION("""COMPUTED_VALUE"""),"16,082,888")</f>
        <v>16,082,888</v>
      </c>
      <c r="D6" t="str">
        <f>IFERROR(__xludf.DUMMYFUNCTION("""COMPUTED_VALUE"""),"8,048,990")</f>
        <v>8,048,990</v>
      </c>
      <c r="E6" t="str">
        <f>IFERROR(__xludf.DUMMYFUNCTION("""COMPUTED_VALUE"""),"8,004,846")</f>
        <v>8,004,846</v>
      </c>
      <c r="F6" t="str">
        <f>IFERROR(__xludf.DUMMYFUNCTION("""COMPUTED_VALUE"""),"44.44")</f>
        <v>44.44</v>
      </c>
      <c r="G6" t="str">
        <f>IFERROR(__xludf.DUMMYFUNCTION("""COMPUTED_VALUE"""),"22.24")</f>
        <v>22.24</v>
      </c>
      <c r="H6" s="2">
        <f>IFERROR(__xludf.DUMMYFUNCTION("""COMPUTED_VALUE"""),46286.0)</f>
        <v>46286</v>
      </c>
      <c r="I6" t="str">
        <f>IFERROR(__xludf.DUMMYFUNCTION("""COMPUTED_VALUE"""),"0.2")</f>
        <v>0.2</v>
      </c>
      <c r="J6" t="str">
        <f>IFERROR(__xludf.DUMMYFUNCTION("""COMPUTED_VALUE"""),"5.82")</f>
        <v>5.82</v>
      </c>
      <c r="K6" t="str">
        <f>IFERROR(__xludf.DUMMYFUNCTION("""COMPUTED_VALUE"""),"177.5")</f>
        <v>177.5</v>
      </c>
      <c r="L6" t="str">
        <f>IFERROR(__xludf.DUMMYFUNCTION("""COMPUTED_VALUE"""),"42.0")</f>
        <v>42.0</v>
      </c>
    </row>
    <row r="7">
      <c r="A7" s="1">
        <f>IFERROR(__xludf.DUMMYFUNCTION("""COMPUTED_VALUE"""),1953.0)</f>
        <v>1953</v>
      </c>
      <c r="B7" t="str">
        <f>IFERROR(__xludf.DUMMYFUNCTION("""COMPUTED_VALUE"""),"370,104,571")</f>
        <v>370,104,571</v>
      </c>
      <c r="C7" t="str">
        <f>IFERROR(__xludf.DUMMYFUNCTION("""COMPUTED_VALUE"""),"16,501,176")</f>
        <v>16,501,176</v>
      </c>
      <c r="D7" t="str">
        <f>IFERROR(__xludf.DUMMYFUNCTION("""COMPUTED_VALUE"""),"8,169,722")</f>
        <v>8,169,722</v>
      </c>
      <c r="E7" t="str">
        <f>IFERROR(__xludf.DUMMYFUNCTION("""COMPUTED_VALUE"""),"8,229,667")</f>
        <v>8,229,667</v>
      </c>
      <c r="F7" t="str">
        <f>IFERROR(__xludf.DUMMYFUNCTION("""COMPUTED_VALUE"""),"44.59")</f>
        <v>44.59</v>
      </c>
      <c r="G7" s="3">
        <f>IFERROR(__xludf.DUMMYFUNCTION("""COMPUTED_VALUE"""),46225.0)</f>
        <v>46225</v>
      </c>
      <c r="H7" s="2">
        <f>IFERROR(__xludf.DUMMYFUNCTION("""COMPUTED_VALUE"""),46044.0)</f>
        <v>46044</v>
      </c>
      <c r="I7">
        <f>IFERROR(__xludf.DUMMYFUNCTION("""COMPUTED_VALUE"""),0.0)</f>
        <v>0</v>
      </c>
      <c r="J7" t="str">
        <f>IFERROR(__xludf.DUMMYFUNCTION("""COMPUTED_VALUE"""),"5.87")</f>
        <v>5.87</v>
      </c>
      <c r="K7" t="str">
        <f>IFERROR(__xludf.DUMMYFUNCTION("""COMPUTED_VALUE"""),"175.3")</f>
        <v>175.3</v>
      </c>
      <c r="L7" t="str">
        <f>IFERROR(__xludf.DUMMYFUNCTION("""COMPUTED_VALUE"""),"42.2")</f>
        <v>42.2</v>
      </c>
    </row>
    <row r="8">
      <c r="A8" s="1">
        <f>IFERROR(__xludf.DUMMYFUNCTION("""COMPUTED_VALUE"""),1954.0)</f>
        <v>1954</v>
      </c>
      <c r="B8" t="str">
        <f>IFERROR(__xludf.DUMMYFUNCTION("""COMPUTED_VALUE"""),"378,687,141")</f>
        <v>378,687,141</v>
      </c>
      <c r="C8" t="str">
        <f>IFERROR(__xludf.DUMMYFUNCTION("""COMPUTED_VALUE"""),"16,903,336")</f>
        <v>16,903,336</v>
      </c>
      <c r="D8" t="str">
        <f>IFERROR(__xludf.DUMMYFUNCTION("""COMPUTED_VALUE"""),"8,122,090")</f>
        <v>8,122,090</v>
      </c>
      <c r="E8" t="str">
        <f>IFERROR(__xludf.DUMMYFUNCTION("""COMPUTED_VALUE"""),"8,582,570")</f>
        <v>8,582,570</v>
      </c>
      <c r="F8" t="str">
        <f>IFERROR(__xludf.DUMMYFUNCTION("""COMPUTED_VALUE"""),"44.64")</f>
        <v>44.64</v>
      </c>
      <c r="G8" t="str">
        <f>IFERROR(__xludf.DUMMYFUNCTION("""COMPUTED_VALUE"""),"21.45")</f>
        <v>21.45</v>
      </c>
      <c r="H8" s="2">
        <f>IFERROR(__xludf.DUMMYFUNCTION("""COMPUTED_VALUE"""),46225.0)</f>
        <v>46225</v>
      </c>
      <c r="I8" t="str">
        <f>IFERROR(__xludf.DUMMYFUNCTION("""COMPUTED_VALUE"""),"−0.4")</f>
        <v>−0.4</v>
      </c>
      <c r="J8" t="str">
        <f>IFERROR(__xludf.DUMMYFUNCTION("""COMPUTED_VALUE"""),"5.91")</f>
        <v>5.91</v>
      </c>
      <c r="K8" t="str">
        <f>IFERROR(__xludf.DUMMYFUNCTION("""COMPUTED_VALUE"""),"172.2")</f>
        <v>172.2</v>
      </c>
      <c r="L8" t="str">
        <f>IFERROR(__xludf.DUMMYFUNCTION("""COMPUTED_VALUE"""),"43.0")</f>
        <v>43.0</v>
      </c>
    </row>
    <row r="9">
      <c r="A9" s="1">
        <f>IFERROR(__xludf.DUMMYFUNCTION("""COMPUTED_VALUE"""),1955.0)</f>
        <v>1955</v>
      </c>
      <c r="B9" t="str">
        <f>IFERROR(__xludf.DUMMYFUNCTION("""COMPUTED_VALUE"""),"387,700,891")</f>
        <v>387,700,891</v>
      </c>
      <c r="C9" t="str">
        <f>IFERROR(__xludf.DUMMYFUNCTION("""COMPUTED_VALUE"""),"17,219,756")</f>
        <v>17,219,756</v>
      </c>
      <c r="D9" t="str">
        <f>IFERROR(__xludf.DUMMYFUNCTION("""COMPUTED_VALUE"""),"8,168,768")</f>
        <v>8,168,768</v>
      </c>
      <c r="E9" t="str">
        <f>IFERROR(__xludf.DUMMYFUNCTION("""COMPUTED_VALUE"""),"9,013,750")</f>
        <v>9,013,750</v>
      </c>
      <c r="F9" t="str">
        <f>IFERROR(__xludf.DUMMYFUNCTION("""COMPUTED_VALUE"""),"44.41")</f>
        <v>44.41</v>
      </c>
      <c r="G9" s="3">
        <f>IFERROR(__xludf.DUMMYFUNCTION("""COMPUTED_VALUE"""),46224.0)</f>
        <v>46224</v>
      </c>
      <c r="H9" s="2">
        <f>IFERROR(__xludf.DUMMYFUNCTION("""COMPUTED_VALUE"""),46256.0)</f>
        <v>46256</v>
      </c>
      <c r="I9" t="str">
        <f>IFERROR(__xludf.DUMMYFUNCTION("""COMPUTED_VALUE"""),"−0.1")</f>
        <v>−0.1</v>
      </c>
      <c r="J9" t="str">
        <f>IFERROR(__xludf.DUMMYFUNCTION("""COMPUTED_VALUE"""),"5.91")</f>
        <v>5.91</v>
      </c>
      <c r="K9" t="str">
        <f>IFERROR(__xludf.DUMMYFUNCTION("""COMPUTED_VALUE"""),"169.7")</f>
        <v>169.7</v>
      </c>
      <c r="L9" t="str">
        <f>IFERROR(__xludf.DUMMYFUNCTION("""COMPUTED_VALUE"""),"43.4")</f>
        <v>43.4</v>
      </c>
    </row>
    <row r="10">
      <c r="A10" s="1">
        <f>IFERROR(__xludf.DUMMYFUNCTION("""COMPUTED_VALUE"""),1956.0)</f>
        <v>1956</v>
      </c>
      <c r="B10" t="str">
        <f>IFERROR(__xludf.DUMMYFUNCTION("""COMPUTED_VALUE"""),"396,988,906")</f>
        <v>396,988,906</v>
      </c>
      <c r="C10" t="str">
        <f>IFERROR(__xludf.DUMMYFUNCTION("""COMPUTED_VALUE"""),"17,526,402")</f>
        <v>17,526,402</v>
      </c>
      <c r="D10" t="str">
        <f>IFERROR(__xludf.DUMMYFUNCTION("""COMPUTED_VALUE"""),"8,232,471")</f>
        <v>8,232,471</v>
      </c>
      <c r="E10" t="str">
        <f>IFERROR(__xludf.DUMMYFUNCTION("""COMPUTED_VALUE"""),"9,288,015")</f>
        <v>9,288,015</v>
      </c>
      <c r="F10" t="str">
        <f>IFERROR(__xludf.DUMMYFUNCTION("""COMPUTED_VALUE"""),"44.15")</f>
        <v>44.15</v>
      </c>
      <c r="G10" t="str">
        <f>IFERROR(__xludf.DUMMYFUNCTION("""COMPUTED_VALUE"""),"20.74")</f>
        <v>20.74</v>
      </c>
      <c r="H10" s="2">
        <f>IFERROR(__xludf.DUMMYFUNCTION("""COMPUTED_VALUE"""),46256.0)</f>
        <v>46256</v>
      </c>
      <c r="I10">
        <f>IFERROR(__xludf.DUMMYFUNCTION("""COMPUTED_VALUE"""),0.0)</f>
        <v>0</v>
      </c>
      <c r="J10" t="str">
        <f>IFERROR(__xludf.DUMMYFUNCTION("""COMPUTED_VALUE"""),"5.91")</f>
        <v>5.91</v>
      </c>
      <c r="K10" t="str">
        <f>IFERROR(__xludf.DUMMYFUNCTION("""COMPUTED_VALUE"""),"167.3")</f>
        <v>167.3</v>
      </c>
      <c r="L10" t="str">
        <f>IFERROR(__xludf.DUMMYFUNCTION("""COMPUTED_VALUE"""),"43.8")</f>
        <v>43.8</v>
      </c>
    </row>
    <row r="11">
      <c r="A11" s="4">
        <f>IFERROR(__xludf.DUMMYFUNCTION("""COMPUTED_VALUE"""),1957.0)</f>
        <v>1957</v>
      </c>
      <c r="B11" t="str">
        <f>IFERROR(__xludf.DUMMYFUNCTION("""COMPUTED_VALUE"""),"406,253,895")</f>
        <v>406,253,895</v>
      </c>
      <c r="C11" t="str">
        <f>IFERROR(__xludf.DUMMYFUNCTION("""COMPUTED_VALUE"""),"17,825,650")</f>
        <v>17,825,650</v>
      </c>
      <c r="D11" t="str">
        <f>IFERROR(__xludf.DUMMYFUNCTION("""COMPUTED_VALUE"""),"8,323,747")</f>
        <v>8,323,747</v>
      </c>
      <c r="E11" t="str">
        <f>IFERROR(__xludf.DUMMYFUNCTION("""COMPUTED_VALUE"""),"9,264,989")</f>
        <v>9,264,989</v>
      </c>
      <c r="F11" t="str">
        <f>IFERROR(__xludf.DUMMYFUNCTION("""COMPUTED_VALUE"""),"43.88")</f>
        <v>43.88</v>
      </c>
      <c r="G11" t="str">
        <f>IFERROR(__xludf.DUMMYFUNCTION("""COMPUTED_VALUE"""),"20.49")</f>
        <v>20.49</v>
      </c>
      <c r="H11" s="2">
        <f>IFERROR(__xludf.DUMMYFUNCTION("""COMPUTED_VALUE"""),46256.0)</f>
        <v>46256</v>
      </c>
      <c r="I11">
        <f>IFERROR(__xludf.DUMMYFUNCTION("""COMPUTED_VALUE"""),0.0)</f>
        <v>0</v>
      </c>
      <c r="J11" t="str">
        <f>IFERROR(__xludf.DUMMYFUNCTION("""COMPUTED_VALUE"""),"5.91")</f>
        <v>5.91</v>
      </c>
      <c r="K11" t="str">
        <f>IFERROR(__xludf.DUMMYFUNCTION("""COMPUTED_VALUE"""),"165.0")</f>
        <v>165.0</v>
      </c>
      <c r="L11" t="str">
        <f>IFERROR(__xludf.DUMMYFUNCTION("""COMPUTED_VALUE"""),"44.1")</f>
        <v>44.1</v>
      </c>
    </row>
    <row r="12">
      <c r="A12" s="4">
        <f>IFERROR(__xludf.DUMMYFUNCTION("""COMPUTED_VALUE"""),1958.0)</f>
        <v>1958</v>
      </c>
      <c r="B12" t="str">
        <f>IFERROR(__xludf.DUMMYFUNCTION("""COMPUTED_VALUE"""),"415,777,437")</f>
        <v>415,777,437</v>
      </c>
      <c r="C12" t="str">
        <f>IFERROR(__xludf.DUMMYFUNCTION("""COMPUTED_VALUE"""),"18,053,426")</f>
        <v>18,053,426</v>
      </c>
      <c r="D12" t="str">
        <f>IFERROR(__xludf.DUMMYFUNCTION("""COMPUTED_VALUE"""),"8,374,383")</f>
        <v>8,374,383</v>
      </c>
      <c r="E12" t="str">
        <f>IFERROR(__xludf.DUMMYFUNCTION("""COMPUTED_VALUE"""),"9,523,542")</f>
        <v>9,523,542</v>
      </c>
      <c r="F12" t="str">
        <f>IFERROR(__xludf.DUMMYFUNCTION("""COMPUTED_VALUE"""),"43.42")</f>
        <v>43.42</v>
      </c>
      <c r="G12" t="str">
        <f>IFERROR(__xludf.DUMMYFUNCTION("""COMPUTED_VALUE"""),"20.14")</f>
        <v>20.14</v>
      </c>
      <c r="H12" s="2">
        <f>IFERROR(__xludf.DUMMYFUNCTION("""COMPUTED_VALUE"""),46225.0)</f>
        <v>46225</v>
      </c>
      <c r="I12" t="str">
        <f>IFERROR(__xludf.DUMMYFUNCTION("""COMPUTED_VALUE"""),"−0.2")</f>
        <v>−0.2</v>
      </c>
      <c r="J12" t="str">
        <f>IFERROR(__xludf.DUMMYFUNCTION("""COMPUTED_VALUE"""),"5.90")</f>
        <v>5.90</v>
      </c>
      <c r="K12" t="str">
        <f>IFERROR(__xludf.DUMMYFUNCTION("""COMPUTED_VALUE"""),"162.7")</f>
        <v>162.7</v>
      </c>
      <c r="L12" t="str">
        <f>IFERROR(__xludf.DUMMYFUNCTION("""COMPUTED_VALUE"""),"44.4")</f>
        <v>44.4</v>
      </c>
    </row>
    <row r="13">
      <c r="A13" s="4">
        <f>IFERROR(__xludf.DUMMYFUNCTION("""COMPUTED_VALUE"""),1959.0)</f>
        <v>1959</v>
      </c>
      <c r="B13" t="str">
        <f>IFERROR(__xludf.DUMMYFUNCTION("""COMPUTED_VALUE"""),"425,780,669")</f>
        <v>425,780,669</v>
      </c>
      <c r="C13" t="str">
        <f>IFERROR(__xludf.DUMMYFUNCTION("""COMPUTED_VALUE"""),"18,321,022")</f>
        <v>18,321,022</v>
      </c>
      <c r="D13" t="str">
        <f>IFERROR(__xludf.DUMMYFUNCTION("""COMPUTED_VALUE"""),"8,395,630")</f>
        <v>8,395,630</v>
      </c>
      <c r="E13" t="str">
        <f>IFERROR(__xludf.DUMMYFUNCTION("""COMPUTED_VALUE"""),"10,003,232")</f>
        <v>10,003,232</v>
      </c>
      <c r="F13" t="str">
        <f>IFERROR(__xludf.DUMMYFUNCTION("""COMPUTED_VALUE"""),"43.03")</f>
        <v>43.03</v>
      </c>
      <c r="G13" t="str">
        <f>IFERROR(__xludf.DUMMYFUNCTION("""COMPUTED_VALUE"""),"19.72")</f>
        <v>19.72</v>
      </c>
      <c r="H13" s="2">
        <f>IFERROR(__xludf.DUMMYFUNCTION("""COMPUTED_VALUE"""),46225.0)</f>
        <v>46225</v>
      </c>
      <c r="I13" t="str">
        <f>IFERROR(__xludf.DUMMYFUNCTION("""COMPUTED_VALUE"""),"−0.2")</f>
        <v>−0.2</v>
      </c>
      <c r="J13" t="str">
        <f>IFERROR(__xludf.DUMMYFUNCTION("""COMPUTED_VALUE"""),"5.89")</f>
        <v>5.89</v>
      </c>
      <c r="K13" t="str">
        <f>IFERROR(__xludf.DUMMYFUNCTION("""COMPUTED_VALUE"""),"160.3")</f>
        <v>160.3</v>
      </c>
      <c r="L13" t="str">
        <f>IFERROR(__xludf.DUMMYFUNCTION("""COMPUTED_VALUE"""),"44.9")</f>
        <v>44.9</v>
      </c>
    </row>
    <row r="14">
      <c r="A14" s="4">
        <f>IFERROR(__xludf.DUMMYFUNCTION("""COMPUTED_VALUE"""),1960.0)</f>
        <v>1960</v>
      </c>
      <c r="B14" t="str">
        <f>IFERROR(__xludf.DUMMYFUNCTION("""COMPUTED_VALUE"""),"435,990,344")</f>
        <v>435,990,344</v>
      </c>
      <c r="C14" t="str">
        <f>IFERROR(__xludf.DUMMYFUNCTION("""COMPUTED_VALUE"""),"18,705,012")</f>
        <v>18,705,012</v>
      </c>
      <c r="D14" t="str">
        <f>IFERROR(__xludf.DUMMYFUNCTION("""COMPUTED_VALUE"""),"8,467,290")</f>
        <v>8,467,290</v>
      </c>
      <c r="E14" t="str">
        <f>IFERROR(__xludf.DUMMYFUNCTION("""COMPUTED_VALUE"""),"10,209,675")</f>
        <v>10,209,675</v>
      </c>
      <c r="F14" t="str">
        <f>IFERROR(__xludf.DUMMYFUNCTION("""COMPUTED_VALUE"""),"42.90")</f>
        <v>42.90</v>
      </c>
      <c r="G14" t="str">
        <f>IFERROR(__xludf.DUMMYFUNCTION("""COMPUTED_VALUE"""),"19.42")</f>
        <v>19.42</v>
      </c>
      <c r="H14" s="2">
        <f>IFERROR(__xludf.DUMMYFUNCTION("""COMPUTED_VALUE"""),46287.0)</f>
        <v>46287</v>
      </c>
      <c r="I14" t="str">
        <f>IFERROR(__xludf.DUMMYFUNCTION("""COMPUTED_VALUE"""),"0.2")</f>
        <v>0.2</v>
      </c>
      <c r="J14" t="str">
        <f>IFERROR(__xludf.DUMMYFUNCTION("""COMPUTED_VALUE"""),"5.92")</f>
        <v>5.92</v>
      </c>
      <c r="K14" t="str">
        <f>IFERROR(__xludf.DUMMYFUNCTION("""COMPUTED_VALUE"""),"158.2")</f>
        <v>158.2</v>
      </c>
      <c r="L14" t="str">
        <f>IFERROR(__xludf.DUMMYFUNCTION("""COMPUTED_VALUE"""),"45.2")</f>
        <v>45.2</v>
      </c>
    </row>
    <row r="15">
      <c r="A15" s="4">
        <f>IFERROR(__xludf.DUMMYFUNCTION("""COMPUTED_VALUE"""),1961.0)</f>
        <v>1961</v>
      </c>
      <c r="B15" t="str">
        <f>IFERROR(__xludf.DUMMYFUNCTION("""COMPUTED_VALUE"""),"446,564,730")</f>
        <v>446,564,730</v>
      </c>
      <c r="C15" t="str">
        <f>IFERROR(__xludf.DUMMYFUNCTION("""COMPUTED_VALUE"""),"19,054,934")</f>
        <v>19,054,934</v>
      </c>
      <c r="D15" t="str">
        <f>IFERROR(__xludf.DUMMYFUNCTION("""COMPUTED_VALUE"""),"8,586,012")</f>
        <v>8,586,012</v>
      </c>
      <c r="E15" t="str">
        <f>IFERROR(__xludf.DUMMYFUNCTION("""COMPUTED_VALUE"""),"10,574,386")</f>
        <v>10,574,386</v>
      </c>
      <c r="F15" t="str">
        <f>IFERROR(__xludf.DUMMYFUNCTION("""COMPUTED_VALUE"""),"42.67")</f>
        <v>42.67</v>
      </c>
      <c r="G15" t="str">
        <f>IFERROR(__xludf.DUMMYFUNCTION("""COMPUTED_VALUE"""),"19.23")</f>
        <v>19.23</v>
      </c>
      <c r="H15" s="2">
        <f>IFERROR(__xludf.DUMMYFUNCTION("""COMPUTED_VALUE"""),46256.0)</f>
        <v>46256</v>
      </c>
      <c r="I15" t="str">
        <f>IFERROR(__xludf.DUMMYFUNCTION("""COMPUTED_VALUE"""),"0.5")</f>
        <v>0.5</v>
      </c>
      <c r="J15" t="str">
        <f>IFERROR(__xludf.DUMMYFUNCTION("""COMPUTED_VALUE"""),"5.94")</f>
        <v>5.94</v>
      </c>
      <c r="K15" t="str">
        <f>IFERROR(__xludf.DUMMYFUNCTION("""COMPUTED_VALUE"""),"156.4")</f>
        <v>156.4</v>
      </c>
      <c r="L15" t="str">
        <f>IFERROR(__xludf.DUMMYFUNCTION("""COMPUTED_VALUE"""),"45.4")</f>
        <v>45.4</v>
      </c>
    </row>
    <row r="16">
      <c r="A16" s="4">
        <f>IFERROR(__xludf.DUMMYFUNCTION("""COMPUTED_VALUE"""),1962.0)</f>
        <v>1962</v>
      </c>
      <c r="B16" t="str">
        <f>IFERROR(__xludf.DUMMYFUNCTION("""COMPUTED_VALUE"""),"457,283,092")</f>
        <v>457,283,092</v>
      </c>
      <c r="C16" t="str">
        <f>IFERROR(__xludf.DUMMYFUNCTION("""COMPUTED_VALUE"""),"19,422,986")</f>
        <v>19,422,986</v>
      </c>
      <c r="D16" t="str">
        <f>IFERROR(__xludf.DUMMYFUNCTION("""COMPUTED_VALUE"""),"8,679,851")</f>
        <v>8,679,851</v>
      </c>
      <c r="E16" t="str">
        <f>IFERROR(__xludf.DUMMYFUNCTION("""COMPUTED_VALUE"""),"10,718,362")</f>
        <v>10,718,362</v>
      </c>
      <c r="F16" t="str">
        <f>IFERROR(__xludf.DUMMYFUNCTION("""COMPUTED_VALUE"""),"42.48")</f>
        <v>42.48</v>
      </c>
      <c r="G16" t="str">
        <f>IFERROR(__xludf.DUMMYFUNCTION("""COMPUTED_VALUE"""),"18.98")</f>
        <v>18.98</v>
      </c>
      <c r="H16" s="2">
        <f>IFERROR(__xludf.DUMMYFUNCTION("""COMPUTED_VALUE"""),46287.0)</f>
        <v>46287</v>
      </c>
      <c r="I16" t="str">
        <f>IFERROR(__xludf.DUMMYFUNCTION("""COMPUTED_VALUE"""),"0.5")</f>
        <v>0.5</v>
      </c>
      <c r="J16" t="str">
        <f>IFERROR(__xludf.DUMMYFUNCTION("""COMPUTED_VALUE"""),"5.95")</f>
        <v>5.95</v>
      </c>
      <c r="K16" t="str">
        <f>IFERROR(__xludf.DUMMYFUNCTION("""COMPUTED_VALUE"""),"154.5")</f>
        <v>154.5</v>
      </c>
      <c r="L16" t="str">
        <f>IFERROR(__xludf.DUMMYFUNCTION("""COMPUTED_VALUE"""),"45.7")</f>
        <v>45.7</v>
      </c>
    </row>
    <row r="17">
      <c r="A17" s="4">
        <f>IFERROR(__xludf.DUMMYFUNCTION("""COMPUTED_VALUE"""),1963.0)</f>
        <v>1963</v>
      </c>
      <c r="B17" t="str">
        <f>IFERROR(__xludf.DUMMYFUNCTION("""COMPUTED_VALUE"""),"468,138,576")</f>
        <v>468,138,576</v>
      </c>
      <c r="C17" t="str">
        <f>IFERROR(__xludf.DUMMYFUNCTION("""COMPUTED_VALUE"""),"19,783,962")</f>
        <v>19,783,962</v>
      </c>
      <c r="D17" t="str">
        <f>IFERROR(__xludf.DUMMYFUNCTION("""COMPUTED_VALUE"""),"8,767,246")</f>
        <v>8,767,246</v>
      </c>
      <c r="E17" t="str">
        <f>IFERROR(__xludf.DUMMYFUNCTION("""COMPUTED_VALUE"""),"10,855,484")</f>
        <v>10,855,484</v>
      </c>
      <c r="F17" t="str">
        <f>IFERROR(__xludf.DUMMYFUNCTION("""COMPUTED_VALUE"""),"42.26")</f>
        <v>42.26</v>
      </c>
      <c r="G17" t="str">
        <f>IFERROR(__xludf.DUMMYFUNCTION("""COMPUTED_VALUE"""),"18.73")</f>
        <v>18.73</v>
      </c>
      <c r="H17" s="2">
        <f>IFERROR(__xludf.DUMMYFUNCTION("""COMPUTED_VALUE"""),46287.0)</f>
        <v>46287</v>
      </c>
      <c r="I17" t="str">
        <f>IFERROR(__xludf.DUMMYFUNCTION("""COMPUTED_VALUE"""),"0.5")</f>
        <v>0.5</v>
      </c>
      <c r="J17" t="str">
        <f>IFERROR(__xludf.DUMMYFUNCTION("""COMPUTED_VALUE"""),"5.97")</f>
        <v>5.97</v>
      </c>
      <c r="K17" t="str">
        <f>IFERROR(__xludf.DUMMYFUNCTION("""COMPUTED_VALUE"""),"152.7")</f>
        <v>152.7</v>
      </c>
      <c r="L17" t="str">
        <f>IFERROR(__xludf.DUMMYFUNCTION("""COMPUTED_VALUE"""),"45.9")</f>
        <v>45.9</v>
      </c>
    </row>
    <row r="18">
      <c r="A18" s="4">
        <f>IFERROR(__xludf.DUMMYFUNCTION("""COMPUTED_VALUE"""),1964.0)</f>
        <v>1964</v>
      </c>
      <c r="B18" t="str">
        <f>IFERROR(__xludf.DUMMYFUNCTION("""COMPUTED_VALUE"""),"479,229,599")</f>
        <v>479,229,599</v>
      </c>
      <c r="C18" t="str">
        <f>IFERROR(__xludf.DUMMYFUNCTION("""COMPUTED_VALUE"""),"20,156,988")</f>
        <v>20,156,988</v>
      </c>
      <c r="D18" t="str">
        <f>IFERROR(__xludf.DUMMYFUNCTION("""COMPUTED_VALUE"""),"8,871,377")</f>
        <v>8,871,377</v>
      </c>
      <c r="E18" t="str">
        <f>IFERROR(__xludf.DUMMYFUNCTION("""COMPUTED_VALUE"""),"11,091,023")</f>
        <v>11,091,023</v>
      </c>
      <c r="F18" t="str">
        <f>IFERROR(__xludf.DUMMYFUNCTION("""COMPUTED_VALUE"""),"42.06")</f>
        <v>42.06</v>
      </c>
      <c r="G18" t="str">
        <f>IFERROR(__xludf.DUMMYFUNCTION("""COMPUTED_VALUE"""),"18.51")</f>
        <v>18.51</v>
      </c>
      <c r="H18" t="str">
        <f>IFERROR(__xludf.DUMMYFUNCTION("""COMPUTED_VALUE"""),"23.0")</f>
        <v>23.0</v>
      </c>
      <c r="I18" t="str">
        <f>IFERROR(__xludf.DUMMYFUNCTION("""COMPUTED_VALUE"""),"0.3")</f>
        <v>0.3</v>
      </c>
      <c r="J18" t="str">
        <f>IFERROR(__xludf.DUMMYFUNCTION("""COMPUTED_VALUE"""),"5.98")</f>
        <v>5.98</v>
      </c>
      <c r="K18" t="str">
        <f>IFERROR(__xludf.DUMMYFUNCTION("""COMPUTED_VALUE"""),"151.1")</f>
        <v>151.1</v>
      </c>
      <c r="L18" t="str">
        <f>IFERROR(__xludf.DUMMYFUNCTION("""COMPUTED_VALUE"""),"46.2")</f>
        <v>46.2</v>
      </c>
    </row>
    <row r="19">
      <c r="A19" s="4">
        <f>IFERROR(__xludf.DUMMYFUNCTION("""COMPUTED_VALUE"""),1965.0)</f>
        <v>1965</v>
      </c>
      <c r="B19" t="str">
        <f>IFERROR(__xludf.DUMMYFUNCTION("""COMPUTED_VALUE"""),"490,140,141")</f>
        <v>490,140,141</v>
      </c>
      <c r="C19" t="str">
        <f>IFERROR(__xludf.DUMMYFUNCTION("""COMPUTED_VALUE"""),"20,414,206")</f>
        <v>20,414,206</v>
      </c>
      <c r="D19" t="str">
        <f>IFERROR(__xludf.DUMMYFUNCTION("""COMPUTED_VALUE"""),"9,488,516")</f>
        <v>9,488,516</v>
      </c>
      <c r="E19" t="str">
        <f>IFERROR(__xludf.DUMMYFUNCTION("""COMPUTED_VALUE"""),"10,910,542")</f>
        <v>10,910,542</v>
      </c>
      <c r="F19" t="str">
        <f>IFERROR(__xludf.DUMMYFUNCTION("""COMPUTED_VALUE"""),"41.65")</f>
        <v>41.65</v>
      </c>
      <c r="G19" t="str">
        <f>IFERROR(__xludf.DUMMYFUNCTION("""COMPUTED_VALUE"""),"19.36")</f>
        <v>19.36</v>
      </c>
      <c r="H19" s="2">
        <f>IFERROR(__xludf.DUMMYFUNCTION("""COMPUTED_VALUE"""),46224.0)</f>
        <v>46224</v>
      </c>
      <c r="I19" t="str">
        <f>IFERROR(__xludf.DUMMYFUNCTION("""COMPUTED_VALUE"""),"0.9")</f>
        <v>0.9</v>
      </c>
      <c r="J19" t="str">
        <f>IFERROR(__xludf.DUMMYFUNCTION("""COMPUTED_VALUE"""),"5.94")</f>
        <v>5.94</v>
      </c>
      <c r="K19" t="str">
        <f>IFERROR(__xludf.DUMMYFUNCTION("""COMPUTED_VALUE"""),"156.4")</f>
        <v>156.4</v>
      </c>
      <c r="L19" t="str">
        <f>IFERROR(__xludf.DUMMYFUNCTION("""COMPUTED_VALUE"""),"45.0")</f>
        <v>45.0</v>
      </c>
    </row>
    <row r="20">
      <c r="A20" s="4">
        <f>IFERROR(__xludf.DUMMYFUNCTION("""COMPUTED_VALUE"""),1966.0)</f>
        <v>1966</v>
      </c>
      <c r="B20" t="str">
        <f>IFERROR(__xludf.DUMMYFUNCTION("""COMPUTED_VALUE"""),"500,740,250")</f>
        <v>500,740,250</v>
      </c>
      <c r="C20" t="str">
        <f>IFERROR(__xludf.DUMMYFUNCTION("""COMPUTED_VALUE"""),"20,632,990")</f>
        <v>20,632,990</v>
      </c>
      <c r="D20" t="str">
        <f>IFERROR(__xludf.DUMMYFUNCTION("""COMPUTED_VALUE"""),"9,543,207")</f>
        <v>9,543,207</v>
      </c>
      <c r="E20" t="str">
        <f>IFERROR(__xludf.DUMMYFUNCTION("""COMPUTED_VALUE"""),"10,600,109")</f>
        <v>10,600,109</v>
      </c>
      <c r="F20" t="str">
        <f>IFERROR(__xludf.DUMMYFUNCTION("""COMPUTED_VALUE"""),"41.20")</f>
        <v>41.20</v>
      </c>
      <c r="G20" s="3">
        <f>IFERROR(__xludf.DUMMYFUNCTION("""COMPUTED_VALUE"""),46192.0)</f>
        <v>46192</v>
      </c>
      <c r="H20" s="2">
        <f>IFERROR(__xludf.DUMMYFUNCTION("""COMPUTED_VALUE"""),46194.0)</f>
        <v>46194</v>
      </c>
      <c r="I20" t="str">
        <f>IFERROR(__xludf.DUMMYFUNCTION("""COMPUTED_VALUE"""),"0.2")</f>
        <v>0.2</v>
      </c>
      <c r="J20" t="str">
        <f>IFERROR(__xludf.DUMMYFUNCTION("""COMPUTED_VALUE"""),"5.88")</f>
        <v>5.88</v>
      </c>
      <c r="K20" t="str">
        <f>IFERROR(__xludf.DUMMYFUNCTION("""COMPUTED_VALUE"""),"154.7")</f>
        <v>154.7</v>
      </c>
      <c r="L20" t="str">
        <f>IFERROR(__xludf.DUMMYFUNCTION("""COMPUTED_VALUE"""),"45.3")</f>
        <v>45.3</v>
      </c>
    </row>
    <row r="21">
      <c r="A21" s="4">
        <f>IFERROR(__xludf.DUMMYFUNCTION("""COMPUTED_VALUE"""),1967.0)</f>
        <v>1967</v>
      </c>
      <c r="B21" t="str">
        <f>IFERROR(__xludf.DUMMYFUNCTION("""COMPUTED_VALUE"""),"511,606,375")</f>
        <v>511,606,375</v>
      </c>
      <c r="C21" t="str">
        <f>IFERROR(__xludf.DUMMYFUNCTION("""COMPUTED_VALUE"""),"20,889,458")</f>
        <v>20,889,458</v>
      </c>
      <c r="D21" t="str">
        <f>IFERROR(__xludf.DUMMYFUNCTION("""COMPUTED_VALUE"""),"9,609,691")</f>
        <v>9,609,691</v>
      </c>
      <c r="E21" t="str">
        <f>IFERROR(__xludf.DUMMYFUNCTION("""COMPUTED_VALUE"""),"10,866,125")</f>
        <v>10,866,125</v>
      </c>
      <c r="F21" t="str">
        <f>IFERROR(__xludf.DUMMYFUNCTION("""COMPUTED_VALUE"""),"40.83")</f>
        <v>40.83</v>
      </c>
      <c r="G21" t="str">
        <f>IFERROR(__xludf.DUMMYFUNCTION("""COMPUTED_VALUE"""),"18.78")</f>
        <v>18.78</v>
      </c>
      <c r="H21" s="2">
        <f>IFERROR(__xludf.DUMMYFUNCTION("""COMPUTED_VALUE"""),46163.0)</f>
        <v>46163</v>
      </c>
      <c r="I21">
        <f>IFERROR(__xludf.DUMMYFUNCTION("""COMPUTED_VALUE"""),0.0)</f>
        <v>0</v>
      </c>
      <c r="J21" t="str">
        <f>IFERROR(__xludf.DUMMYFUNCTION("""COMPUTED_VALUE"""),"5.83")</f>
        <v>5.83</v>
      </c>
      <c r="K21" t="str">
        <f>IFERROR(__xludf.DUMMYFUNCTION("""COMPUTED_VALUE"""),"153.1")</f>
        <v>153.1</v>
      </c>
      <c r="L21" t="str">
        <f>IFERROR(__xludf.DUMMYFUNCTION("""COMPUTED_VALUE"""),"45.7")</f>
        <v>45.7</v>
      </c>
    </row>
    <row r="22">
      <c r="A22" s="4">
        <f>IFERROR(__xludf.DUMMYFUNCTION("""COMPUTED_VALUE"""),1968.0)</f>
        <v>1968</v>
      </c>
      <c r="B22" t="str">
        <f>IFERROR(__xludf.DUMMYFUNCTION("""COMPUTED_VALUE"""),"522,716,894")</f>
        <v>522,716,894</v>
      </c>
      <c r="C22" t="str">
        <f>IFERROR(__xludf.DUMMYFUNCTION("""COMPUTED_VALUE"""),"21,162,298")</f>
        <v>21,162,298</v>
      </c>
      <c r="D22" t="str">
        <f>IFERROR(__xludf.DUMMYFUNCTION("""COMPUTED_VALUE"""),"9,155,303")</f>
        <v>9,155,303</v>
      </c>
      <c r="E22" t="str">
        <f>IFERROR(__xludf.DUMMYFUNCTION("""COMPUTED_VALUE"""),"11,110,519")</f>
        <v>11,110,519</v>
      </c>
      <c r="F22" t="str">
        <f>IFERROR(__xludf.DUMMYFUNCTION("""COMPUTED_VALUE"""),"40.48")</f>
        <v>40.48</v>
      </c>
      <c r="G22" t="str">
        <f>IFERROR(__xludf.DUMMYFUNCTION("""COMPUTED_VALUE"""),"17.52")</f>
        <v>17.52</v>
      </c>
      <c r="H22" s="2">
        <f>IFERROR(__xludf.DUMMYFUNCTION("""COMPUTED_VALUE"""),46134.0)</f>
        <v>46134</v>
      </c>
      <c r="I22" t="str">
        <f>IFERROR(__xludf.DUMMYFUNCTION("""COMPUTED_VALUE"""),"−0.5")</f>
        <v>−0.5</v>
      </c>
      <c r="J22" t="str">
        <f>IFERROR(__xludf.DUMMYFUNCTION("""COMPUTED_VALUE"""),"5.76")</f>
        <v>5.76</v>
      </c>
      <c r="K22" t="str">
        <f>IFERROR(__xludf.DUMMYFUNCTION("""COMPUTED_VALUE"""),"145.0")</f>
        <v>145.0</v>
      </c>
      <c r="L22" t="str">
        <f>IFERROR(__xludf.DUMMYFUNCTION("""COMPUTED_VALUE"""),"47.5")</f>
        <v>47.5</v>
      </c>
    </row>
    <row r="23">
      <c r="A23" s="4">
        <f>IFERROR(__xludf.DUMMYFUNCTION("""COMPUTED_VALUE"""),1969.0)</f>
        <v>1969</v>
      </c>
      <c r="B23" t="str">
        <f>IFERROR(__xludf.DUMMYFUNCTION("""COMPUTED_VALUE"""),"533,880,544")</f>
        <v>533,880,544</v>
      </c>
      <c r="C23" t="str">
        <f>IFERROR(__xludf.DUMMYFUNCTION("""COMPUTED_VALUE"""),"21,386,208")</f>
        <v>21,386,208</v>
      </c>
      <c r="D23" t="str">
        <f>IFERROR(__xludf.DUMMYFUNCTION("""COMPUTED_VALUE"""),"9,218,624")</f>
        <v>9,218,624</v>
      </c>
      <c r="E23" t="str">
        <f>IFERROR(__xludf.DUMMYFUNCTION("""COMPUTED_VALUE"""),"11,163,650")</f>
        <v>11,163,650</v>
      </c>
      <c r="F23" t="str">
        <f>IFERROR(__xludf.DUMMYFUNCTION("""COMPUTED_VALUE"""),"40.06")</f>
        <v>40.06</v>
      </c>
      <c r="G23" t="str">
        <f>IFERROR(__xludf.DUMMYFUNCTION("""COMPUTED_VALUE"""),"17.27")</f>
        <v>17.27</v>
      </c>
      <c r="H23" s="2">
        <f>IFERROR(__xludf.DUMMYFUNCTION("""COMPUTED_VALUE"""),46103.0)</f>
        <v>46103</v>
      </c>
      <c r="I23">
        <f>IFERROR(__xludf.DUMMYFUNCTION("""COMPUTED_VALUE"""),0.0)</f>
        <v>0</v>
      </c>
      <c r="J23" t="str">
        <f>IFERROR(__xludf.DUMMYFUNCTION("""COMPUTED_VALUE"""),"5.68")</f>
        <v>5.68</v>
      </c>
      <c r="K23" t="str">
        <f>IFERROR(__xludf.DUMMYFUNCTION("""COMPUTED_VALUE"""),"143.3")</f>
        <v>143.3</v>
      </c>
      <c r="L23" t="str">
        <f>IFERROR(__xludf.DUMMYFUNCTION("""COMPUTED_VALUE"""),"47.9")</f>
        <v>47.9</v>
      </c>
    </row>
    <row r="24">
      <c r="A24" s="4">
        <f>IFERROR(__xludf.DUMMYFUNCTION("""COMPUTED_VALUE"""),1970.0)</f>
        <v>1970</v>
      </c>
      <c r="B24" t="str">
        <f>IFERROR(__xludf.DUMMYFUNCTION("""COMPUTED_VALUE"""),"545,864,268")</f>
        <v>545,864,268</v>
      </c>
      <c r="C24" t="str">
        <f>IFERROR(__xludf.DUMMYFUNCTION("""COMPUTED_VALUE"""),"21,705,420")</f>
        <v>21,705,420</v>
      </c>
      <c r="D24" t="str">
        <f>IFERROR(__xludf.DUMMYFUNCTION("""COMPUTED_VALUE"""),"9,287,483")</f>
        <v>9,287,483</v>
      </c>
      <c r="E24" t="str">
        <f>IFERROR(__xludf.DUMMYFUNCTION("""COMPUTED_VALUE"""),"11,983,724")</f>
        <v>11,983,724</v>
      </c>
      <c r="F24" t="str">
        <f>IFERROR(__xludf.DUMMYFUNCTION("""COMPUTED_VALUE"""),"39.76")</f>
        <v>39.76</v>
      </c>
      <c r="G24" s="3">
        <f>IFERROR(__xludf.DUMMYFUNCTION("""COMPUTED_VALUE"""),46039.0)</f>
        <v>46039</v>
      </c>
      <c r="H24" s="2">
        <f>IFERROR(__xludf.DUMMYFUNCTION("""COMPUTED_VALUE"""),46103.0)</f>
        <v>46103</v>
      </c>
      <c r="I24" t="str">
        <f>IFERROR(__xludf.DUMMYFUNCTION("""COMPUTED_VALUE"""),"−0.1")</f>
        <v>−0.1</v>
      </c>
      <c r="J24" t="str">
        <f>IFERROR(__xludf.DUMMYFUNCTION("""COMPUTED_VALUE"""),"5.62")</f>
        <v>5.62</v>
      </c>
      <c r="K24" t="str">
        <f>IFERROR(__xludf.DUMMYFUNCTION("""COMPUTED_VALUE"""),"141.7")</f>
        <v>141.7</v>
      </c>
      <c r="L24" t="str">
        <f>IFERROR(__xludf.DUMMYFUNCTION("""COMPUTED_VALUE"""),"48.2")</f>
        <v>48.2</v>
      </c>
    </row>
    <row r="25">
      <c r="A25" s="4">
        <f>IFERROR(__xludf.DUMMYFUNCTION("""COMPUTED_VALUE"""),1971.0)</f>
        <v>1971</v>
      </c>
      <c r="B25" t="str">
        <f>IFERROR(__xludf.DUMMYFUNCTION("""COMPUTED_VALUE"""),"558,096,383")</f>
        <v>558,096,383</v>
      </c>
      <c r="C25" t="str">
        <f>IFERROR(__xludf.DUMMYFUNCTION("""COMPUTED_VALUE"""),"22,169,874")</f>
        <v>22,169,874</v>
      </c>
      <c r="D25" t="str">
        <f>IFERROR(__xludf.DUMMYFUNCTION("""COMPUTED_VALUE"""),"9,382,778")</f>
        <v>9,382,778</v>
      </c>
      <c r="E25" t="str">
        <f>IFERROR(__xludf.DUMMYFUNCTION("""COMPUTED_VALUE"""),"12,232,115")</f>
        <v>12,232,115</v>
      </c>
      <c r="F25" t="str">
        <f>IFERROR(__xludf.DUMMYFUNCTION("""COMPUTED_VALUE"""),"39.72")</f>
        <v>39.72</v>
      </c>
      <c r="G25" t="str">
        <f>IFERROR(__xludf.DUMMYFUNCTION("""COMPUTED_VALUE"""),"16.81")</f>
        <v>16.81</v>
      </c>
      <c r="H25" s="2">
        <f>IFERROR(__xludf.DUMMYFUNCTION("""COMPUTED_VALUE"""),46164.0)</f>
        <v>46164</v>
      </c>
      <c r="I25" t="str">
        <f>IFERROR(__xludf.DUMMYFUNCTION("""COMPUTED_VALUE"""),"−0.1")</f>
        <v>−0.1</v>
      </c>
      <c r="J25" t="str">
        <f>IFERROR(__xludf.DUMMYFUNCTION("""COMPUTED_VALUE"""),"5.57")</f>
        <v>5.57</v>
      </c>
      <c r="K25" t="str">
        <f>IFERROR(__xludf.DUMMYFUNCTION("""COMPUTED_VALUE"""),"139.9")</f>
        <v>139.9</v>
      </c>
      <c r="L25" t="str">
        <f>IFERROR(__xludf.DUMMYFUNCTION("""COMPUTED_VALUE"""),"48.6")</f>
        <v>48.6</v>
      </c>
    </row>
    <row r="26">
      <c r="A26" s="4">
        <f>IFERROR(__xludf.DUMMYFUNCTION("""COMPUTED_VALUE"""),1972.0)</f>
        <v>1972</v>
      </c>
      <c r="B26" t="str">
        <f>IFERROR(__xludf.DUMMYFUNCTION("""COMPUTED_VALUE"""),"570,482,142")</f>
        <v>570,482,142</v>
      </c>
      <c r="C26" t="str">
        <f>IFERROR(__xludf.DUMMYFUNCTION("""COMPUTED_VALUE"""),"22,509,830")</f>
        <v>22,509,830</v>
      </c>
      <c r="D26" t="str">
        <f>IFERROR(__xludf.DUMMYFUNCTION("""COMPUTED_VALUE"""),"9,468,026")</f>
        <v>9,468,026</v>
      </c>
      <c r="E26" t="str">
        <f>IFERROR(__xludf.DUMMYFUNCTION("""COMPUTED_VALUE"""),"12,385,759")</f>
        <v>12,385,759</v>
      </c>
      <c r="F26" t="str">
        <f>IFERROR(__xludf.DUMMYFUNCTION("""COMPUTED_VALUE"""),"39.46")</f>
        <v>39.46</v>
      </c>
      <c r="G26" t="str">
        <f>IFERROR(__xludf.DUMMYFUNCTION("""COMPUTED_VALUE"""),"16.60")</f>
        <v>16.60</v>
      </c>
      <c r="H26" s="2">
        <f>IFERROR(__xludf.DUMMYFUNCTION("""COMPUTED_VALUE"""),46164.0)</f>
        <v>46164</v>
      </c>
      <c r="I26">
        <f>IFERROR(__xludf.DUMMYFUNCTION("""COMPUTED_VALUE"""),0.0)</f>
        <v>0</v>
      </c>
      <c r="J26" t="str">
        <f>IFERROR(__xludf.DUMMYFUNCTION("""COMPUTED_VALUE"""),"5.48")</f>
        <v>5.48</v>
      </c>
      <c r="K26" t="str">
        <f>IFERROR(__xludf.DUMMYFUNCTION("""COMPUTED_VALUE"""),"138.5")</f>
        <v>138.5</v>
      </c>
      <c r="L26" t="str">
        <f>IFERROR(__xludf.DUMMYFUNCTION("""COMPUTED_VALUE"""),"49.0")</f>
        <v>49.0</v>
      </c>
    </row>
    <row r="27">
      <c r="A27" s="4">
        <f>IFERROR(__xludf.DUMMYFUNCTION("""COMPUTED_VALUE"""),1973.0)</f>
        <v>1973</v>
      </c>
      <c r="B27" t="str">
        <f>IFERROR(__xludf.DUMMYFUNCTION("""COMPUTED_VALUE"""),"583,465,595")</f>
        <v>583,465,595</v>
      </c>
      <c r="C27" t="str">
        <f>IFERROR(__xludf.DUMMYFUNCTION("""COMPUTED_VALUE"""),"22,929,810")</f>
        <v>22,929,810</v>
      </c>
      <c r="D27" t="str">
        <f>IFERROR(__xludf.DUMMYFUNCTION("""COMPUTED_VALUE"""),"9,517,150")</f>
        <v>9,517,150</v>
      </c>
      <c r="E27" t="str">
        <f>IFERROR(__xludf.DUMMYFUNCTION("""COMPUTED_VALUE"""),"12,983,453")</f>
        <v>12,983,453</v>
      </c>
      <c r="F27" t="str">
        <f>IFERROR(__xludf.DUMMYFUNCTION("""COMPUTED_VALUE"""),"39.30")</f>
        <v>39.30</v>
      </c>
      <c r="G27" t="str">
        <f>IFERROR(__xludf.DUMMYFUNCTION("""COMPUTED_VALUE"""),"16.31")</f>
        <v>16.31</v>
      </c>
      <c r="H27" s="2">
        <f>IFERROR(__xludf.DUMMYFUNCTION("""COMPUTED_VALUE"""),46225.0)</f>
        <v>46225</v>
      </c>
      <c r="I27" t="str">
        <f>IFERROR(__xludf.DUMMYFUNCTION("""COMPUTED_VALUE"""),"0.1")</f>
        <v>0.1</v>
      </c>
      <c r="J27" t="str">
        <f>IFERROR(__xludf.DUMMYFUNCTION("""COMPUTED_VALUE"""),"5.40")</f>
        <v>5.40</v>
      </c>
      <c r="K27" t="str">
        <f>IFERROR(__xludf.DUMMYFUNCTION("""COMPUTED_VALUE"""),"136.3")</f>
        <v>136.3</v>
      </c>
      <c r="L27" t="str">
        <f>IFERROR(__xludf.DUMMYFUNCTION("""COMPUTED_VALUE"""),"49.5")</f>
        <v>49.5</v>
      </c>
    </row>
    <row r="28">
      <c r="A28" s="4">
        <f>IFERROR(__xludf.DUMMYFUNCTION("""COMPUTED_VALUE"""),1974.0)</f>
        <v>1974</v>
      </c>
      <c r="B28" t="str">
        <f>IFERROR(__xludf.DUMMYFUNCTION("""COMPUTED_VALUE"""),"597,041,392")</f>
        <v>597,041,392</v>
      </c>
      <c r="C28" t="str">
        <f>IFERROR(__xludf.DUMMYFUNCTION("""COMPUTED_VALUE"""),"23,284,796")</f>
        <v>23,284,796</v>
      </c>
      <c r="D28" t="str">
        <f>IFERROR(__xludf.DUMMYFUNCTION("""COMPUTED_VALUE"""),"9,489,001")</f>
        <v>9,489,001</v>
      </c>
      <c r="E28" t="str">
        <f>IFERROR(__xludf.DUMMYFUNCTION("""COMPUTED_VALUE"""),"13,575,797")</f>
        <v>13,575,797</v>
      </c>
      <c r="F28" t="str">
        <f>IFERROR(__xludf.DUMMYFUNCTION("""COMPUTED_VALUE"""),"39.00")</f>
        <v>39.00</v>
      </c>
      <c r="G28" t="str">
        <f>IFERROR(__xludf.DUMMYFUNCTION("""COMPUTED_VALUE"""),"15.89")</f>
        <v>15.89</v>
      </c>
      <c r="H28" s="2">
        <f>IFERROR(__xludf.DUMMYFUNCTION("""COMPUTED_VALUE"""),46256.0)</f>
        <v>46256</v>
      </c>
      <c r="I28">
        <f>IFERROR(__xludf.DUMMYFUNCTION("""COMPUTED_VALUE"""),0.0)</f>
        <v>0</v>
      </c>
      <c r="J28" t="str">
        <f>IFERROR(__xludf.DUMMYFUNCTION("""COMPUTED_VALUE"""),"5.33")</f>
        <v>5.33</v>
      </c>
      <c r="K28" t="str">
        <f>IFERROR(__xludf.DUMMYFUNCTION("""COMPUTED_VALUE"""),"133.3")</f>
        <v>133.3</v>
      </c>
      <c r="L28" t="str">
        <f>IFERROR(__xludf.DUMMYFUNCTION("""COMPUTED_VALUE"""),"50.2")</f>
        <v>50.2</v>
      </c>
    </row>
    <row r="29">
      <c r="A29" s="4">
        <f>IFERROR(__xludf.DUMMYFUNCTION("""COMPUTED_VALUE"""),1975.0)</f>
        <v>1975</v>
      </c>
      <c r="B29" t="str">
        <f>IFERROR(__xludf.DUMMYFUNCTION("""COMPUTED_VALUE"""),"611,309,532")</f>
        <v>611,309,532</v>
      </c>
      <c r="C29" t="str">
        <f>IFERROR(__xludf.DUMMYFUNCTION("""COMPUTED_VALUE"""),"23,451,070")</f>
        <v>23,451,070</v>
      </c>
      <c r="D29" t="str">
        <f>IFERROR(__xludf.DUMMYFUNCTION("""COMPUTED_VALUE"""),"9,492,655")</f>
        <v>9,492,655</v>
      </c>
      <c r="E29" t="str">
        <f>IFERROR(__xludf.DUMMYFUNCTION("""COMPUTED_VALUE"""),"14,268,140")</f>
        <v>14,268,140</v>
      </c>
      <c r="F29" t="str">
        <f>IFERROR(__xludf.DUMMYFUNCTION("""COMPUTED_VALUE"""),"38.36")</f>
        <v>38.36</v>
      </c>
      <c r="G29" t="str">
        <f>IFERROR(__xludf.DUMMYFUNCTION("""COMPUTED_VALUE"""),"15.53")</f>
        <v>15.53</v>
      </c>
      <c r="H29" s="2">
        <f>IFERROR(__xludf.DUMMYFUNCTION("""COMPUTED_VALUE"""),46195.0)</f>
        <v>46195</v>
      </c>
      <c r="I29">
        <f>IFERROR(__xludf.DUMMYFUNCTION("""COMPUTED_VALUE"""),0.0)</f>
        <v>0</v>
      </c>
      <c r="J29" t="str">
        <f>IFERROR(__xludf.DUMMYFUNCTION("""COMPUTED_VALUE"""),"5.20")</f>
        <v>5.20</v>
      </c>
      <c r="K29" t="str">
        <f>IFERROR(__xludf.DUMMYFUNCTION("""COMPUTED_VALUE"""),"130.7")</f>
        <v>130.7</v>
      </c>
      <c r="L29" t="str">
        <f>IFERROR(__xludf.DUMMYFUNCTION("""COMPUTED_VALUE"""),"50.8")</f>
        <v>50.8</v>
      </c>
    </row>
    <row r="30">
      <c r="A30" s="4">
        <f>IFERROR(__xludf.DUMMYFUNCTION("""COMPUTED_VALUE"""),1976.0)</f>
        <v>1976</v>
      </c>
      <c r="B30" t="str">
        <f>IFERROR(__xludf.DUMMYFUNCTION("""COMPUTED_VALUE"""),"625,861,887")</f>
        <v>625,861,887</v>
      </c>
      <c r="C30" t="str">
        <f>IFERROR(__xludf.DUMMYFUNCTION("""COMPUTED_VALUE"""),"23,935,742")</f>
        <v>23,935,742</v>
      </c>
      <c r="D30" t="str">
        <f>IFERROR(__xludf.DUMMYFUNCTION("""COMPUTED_VALUE"""),"9,499,656")</f>
        <v>9,499,656</v>
      </c>
      <c r="E30" t="str">
        <f>IFERROR(__xludf.DUMMYFUNCTION("""COMPUTED_VALUE"""),"14,552,355")</f>
        <v>14,552,355</v>
      </c>
      <c r="F30" t="str">
        <f>IFERROR(__xludf.DUMMYFUNCTION("""COMPUTED_VALUE"""),"38.24")</f>
        <v>38.24</v>
      </c>
      <c r="G30" t="str">
        <f>IFERROR(__xludf.DUMMYFUNCTION("""COMPUTED_VALUE"""),"15.18")</f>
        <v>15.18</v>
      </c>
      <c r="H30" s="2">
        <f>IFERROR(__xludf.DUMMYFUNCTION("""COMPUTED_VALUE"""),46225.0)</f>
        <v>46225</v>
      </c>
      <c r="I30" t="str">
        <f>IFERROR(__xludf.DUMMYFUNCTION("""COMPUTED_VALUE"""),"−0.4")</f>
        <v>−0.4</v>
      </c>
      <c r="J30" t="str">
        <f>IFERROR(__xludf.DUMMYFUNCTION("""COMPUTED_VALUE"""),"5.13")</f>
        <v>5.13</v>
      </c>
      <c r="K30" t="str">
        <f>IFERROR(__xludf.DUMMYFUNCTION("""COMPUTED_VALUE"""),"127.9")</f>
        <v>127.9</v>
      </c>
      <c r="L30" t="str">
        <f>IFERROR(__xludf.DUMMYFUNCTION("""COMPUTED_VALUE"""),"51.4")</f>
        <v>51.4</v>
      </c>
    </row>
    <row r="31">
      <c r="A31" s="4">
        <f>IFERROR(__xludf.DUMMYFUNCTION("""COMPUTED_VALUE"""),1977.0)</f>
        <v>1977</v>
      </c>
      <c r="B31" t="str">
        <f>IFERROR(__xludf.DUMMYFUNCTION("""COMPUTED_VALUE"""),"640,801,105")</f>
        <v>640,801,105</v>
      </c>
      <c r="C31" t="str">
        <f>IFERROR(__xludf.DUMMYFUNCTION("""COMPUTED_VALUE"""),"24,070,484")</f>
        <v>24,070,484</v>
      </c>
      <c r="D31" t="str">
        <f>IFERROR(__xludf.DUMMYFUNCTION("""COMPUTED_VALUE"""),"9,494,741")</f>
        <v>9,494,741</v>
      </c>
      <c r="E31" t="str">
        <f>IFERROR(__xludf.DUMMYFUNCTION("""COMPUTED_VALUE"""),"14,939,218")</f>
        <v>14,939,218</v>
      </c>
      <c r="F31" t="str">
        <f>IFERROR(__xludf.DUMMYFUNCTION("""COMPUTED_VALUE"""),"37.56")</f>
        <v>37.56</v>
      </c>
      <c r="G31" t="str">
        <f>IFERROR(__xludf.DUMMYFUNCTION("""COMPUTED_VALUE"""),"14.82")</f>
        <v>14.82</v>
      </c>
      <c r="H31" s="2">
        <f>IFERROR(__xludf.DUMMYFUNCTION("""COMPUTED_VALUE"""),46075.0)</f>
        <v>46075</v>
      </c>
      <c r="I31" t="str">
        <f>IFERROR(__xludf.DUMMYFUNCTION("""COMPUTED_VALUE"""),"0.1")</f>
        <v>0.1</v>
      </c>
      <c r="J31" s="3">
        <f>IFERROR(__xludf.DUMMYFUNCTION("""COMPUTED_VALUE"""),46027.0)</f>
        <v>46027</v>
      </c>
      <c r="K31" t="str">
        <f>IFERROR(__xludf.DUMMYFUNCTION("""COMPUTED_VALUE"""),"124.9")</f>
        <v>124.9</v>
      </c>
      <c r="L31" t="str">
        <f>IFERROR(__xludf.DUMMYFUNCTION("""COMPUTED_VALUE"""),"51.9")</f>
        <v>51.9</v>
      </c>
    </row>
    <row r="32">
      <c r="A32" s="4">
        <f>IFERROR(__xludf.DUMMYFUNCTION("""COMPUTED_VALUE"""),1978.0)</f>
        <v>1978</v>
      </c>
      <c r="B32" t="str">
        <f>IFERROR(__xludf.DUMMYFUNCTION("""COMPUTED_VALUE"""),"655,728,226")</f>
        <v>655,728,226</v>
      </c>
      <c r="C32" t="str">
        <f>IFERROR(__xludf.DUMMYFUNCTION("""COMPUTED_VALUE"""),"24,359,834")</f>
        <v>24,359,834</v>
      </c>
      <c r="D32" t="str">
        <f>IFERROR(__xludf.DUMMYFUNCTION("""COMPUTED_VALUE"""),"9,461,503")</f>
        <v>9,461,503</v>
      </c>
      <c r="E32" t="str">
        <f>IFERROR(__xludf.DUMMYFUNCTION("""COMPUTED_VALUE"""),"14,927,121")</f>
        <v>14,927,121</v>
      </c>
      <c r="F32" t="str">
        <f>IFERROR(__xludf.DUMMYFUNCTION("""COMPUTED_VALUE"""),"37.15")</f>
        <v>37.15</v>
      </c>
      <c r="G32" t="str">
        <f>IFERROR(__xludf.DUMMYFUNCTION("""COMPUTED_VALUE"""),"14.43")</f>
        <v>14.43</v>
      </c>
      <c r="H32" s="2">
        <f>IFERROR(__xludf.DUMMYFUNCTION("""COMPUTED_VALUE"""),46044.0)</f>
        <v>46044</v>
      </c>
      <c r="I32" t="str">
        <f>IFERROR(__xludf.DUMMYFUNCTION("""COMPUTED_VALUE"""),"0.3")</f>
        <v>0.3</v>
      </c>
      <c r="J32" t="str">
        <f>IFERROR(__xludf.DUMMYFUNCTION("""COMPUTED_VALUE"""),"4.89")</f>
        <v>4.89</v>
      </c>
      <c r="K32" t="str">
        <f>IFERROR(__xludf.DUMMYFUNCTION("""COMPUTED_VALUE"""),"121.7")</f>
        <v>121.7</v>
      </c>
      <c r="L32" t="str">
        <f>IFERROR(__xludf.DUMMYFUNCTION("""COMPUTED_VALUE"""),"52.5")</f>
        <v>52.5</v>
      </c>
    </row>
    <row r="33">
      <c r="A33" s="4">
        <f>IFERROR(__xludf.DUMMYFUNCTION("""COMPUTED_VALUE"""),1979.0)</f>
        <v>1979</v>
      </c>
      <c r="B33" t="str">
        <f>IFERROR(__xludf.DUMMYFUNCTION("""COMPUTED_VALUE"""),"671,155,745")</f>
        <v>671,155,745</v>
      </c>
      <c r="C33" t="str">
        <f>IFERROR(__xludf.DUMMYFUNCTION("""COMPUTED_VALUE"""),"24,833,594")</f>
        <v>24,833,594</v>
      </c>
      <c r="D33" t="str">
        <f>IFERROR(__xludf.DUMMYFUNCTION("""COMPUTED_VALUE"""),"9,440,528")</f>
        <v>9,440,528</v>
      </c>
      <c r="E33" t="str">
        <f>IFERROR(__xludf.DUMMYFUNCTION("""COMPUTED_VALUE"""),"15,427,519")</f>
        <v>15,427,519</v>
      </c>
      <c r="F33" t="str">
        <f>IFERROR(__xludf.DUMMYFUNCTION("""COMPUTED_VALUE"""),"37.00")</f>
        <v>37.00</v>
      </c>
      <c r="G33" s="3">
        <f>IFERROR(__xludf.DUMMYFUNCTION("""COMPUTED_VALUE"""),46217.0)</f>
        <v>46217</v>
      </c>
      <c r="H33" s="2">
        <f>IFERROR(__xludf.DUMMYFUNCTION("""COMPUTED_VALUE"""),46103.0)</f>
        <v>46103</v>
      </c>
      <c r="I33" t="str">
        <f>IFERROR(__xludf.DUMMYFUNCTION("""COMPUTED_VALUE"""),"0.2")</f>
        <v>0.2</v>
      </c>
      <c r="J33" t="str">
        <f>IFERROR(__xludf.DUMMYFUNCTION("""COMPUTED_VALUE"""),"4.81")</f>
        <v>4.81</v>
      </c>
      <c r="K33" t="str">
        <f>IFERROR(__xludf.DUMMYFUNCTION("""COMPUTED_VALUE"""),"118.4")</f>
        <v>118.4</v>
      </c>
      <c r="L33" t="str">
        <f>IFERROR(__xludf.DUMMYFUNCTION("""COMPUTED_VALUE"""),"53.1")</f>
        <v>53.1</v>
      </c>
    </row>
    <row r="34">
      <c r="A34" s="4">
        <f>IFERROR(__xludf.DUMMYFUNCTION("""COMPUTED_VALUE"""),1980.0)</f>
        <v>1980</v>
      </c>
      <c r="B34" t="str">
        <f>IFERROR(__xludf.DUMMYFUNCTION("""COMPUTED_VALUE"""),"687,354,031")</f>
        <v>687,354,031</v>
      </c>
      <c r="C34" t="str">
        <f>IFERROR(__xludf.DUMMYFUNCTION("""COMPUTED_VALUE"""),"25,471,068")</f>
        <v>25,471,068</v>
      </c>
      <c r="D34" t="str">
        <f>IFERROR(__xludf.DUMMYFUNCTION("""COMPUTED_VALUE"""),"9,452,567")</f>
        <v>9,452,567</v>
      </c>
      <c r="E34" t="str">
        <f>IFERROR(__xludf.DUMMYFUNCTION("""COMPUTED_VALUE"""),"16,198,286")</f>
        <v>16,198,286</v>
      </c>
      <c r="F34" t="str">
        <f>IFERROR(__xludf.DUMMYFUNCTION("""COMPUTED_VALUE"""),"37.06")</f>
        <v>37.06</v>
      </c>
      <c r="G34" t="str">
        <f>IFERROR(__xludf.DUMMYFUNCTION("""COMPUTED_VALUE"""),"13.75")</f>
        <v>13.75</v>
      </c>
      <c r="H34" s="2">
        <f>IFERROR(__xludf.DUMMYFUNCTION("""COMPUTED_VALUE"""),46164.0)</f>
        <v>46164</v>
      </c>
      <c r="I34" t="str">
        <f>IFERROR(__xludf.DUMMYFUNCTION("""COMPUTED_VALUE"""),"0.4")</f>
        <v>0.4</v>
      </c>
      <c r="J34" t="str">
        <f>IFERROR(__xludf.DUMMYFUNCTION("""COMPUTED_VALUE"""),"4.78")</f>
        <v>4.78</v>
      </c>
      <c r="K34" t="str">
        <f>IFERROR(__xludf.DUMMYFUNCTION("""COMPUTED_VALUE"""),"115.2")</f>
        <v>115.2</v>
      </c>
      <c r="L34" t="str">
        <f>IFERROR(__xludf.DUMMYFUNCTION("""COMPUTED_VALUE"""),"53.6")</f>
        <v>53.6</v>
      </c>
    </row>
    <row r="35">
      <c r="A35" s="4">
        <f>IFERROR(__xludf.DUMMYFUNCTION("""COMPUTED_VALUE"""),1981.0)</f>
        <v>1981</v>
      </c>
      <c r="B35" t="str">
        <f>IFERROR(__xludf.DUMMYFUNCTION("""COMPUTED_VALUE"""),"703,696,255")</f>
        <v>703,696,255</v>
      </c>
      <c r="C35" t="str">
        <f>IFERROR(__xludf.DUMMYFUNCTION("""COMPUTED_VALUE"""),"25,868,440")</f>
        <v>25,868,440</v>
      </c>
      <c r="D35" t="str">
        <f>IFERROR(__xludf.DUMMYFUNCTION("""COMPUTED_VALUE"""),"9,446,658")</f>
        <v>9,446,658</v>
      </c>
      <c r="E35" t="str">
        <f>IFERROR(__xludf.DUMMYFUNCTION("""COMPUTED_VALUE"""),"16,342,224")</f>
        <v>16,342,224</v>
      </c>
      <c r="F35" t="str">
        <f>IFERROR(__xludf.DUMMYFUNCTION("""COMPUTED_VALUE"""),"36.76")</f>
        <v>36.76</v>
      </c>
      <c r="G35" t="str">
        <f>IFERROR(__xludf.DUMMYFUNCTION("""COMPUTED_VALUE"""),"13.42")</f>
        <v>13.42</v>
      </c>
      <c r="H35" s="2">
        <f>IFERROR(__xludf.DUMMYFUNCTION("""COMPUTED_VALUE"""),46225.0)</f>
        <v>46225</v>
      </c>
      <c r="I35" t="str">
        <f>IFERROR(__xludf.DUMMYFUNCTION("""COMPUTED_VALUE"""),"0.3")</f>
        <v>0.3</v>
      </c>
      <c r="J35" t="str">
        <f>IFERROR(__xludf.DUMMYFUNCTION("""COMPUTED_VALUE"""),"4.70")</f>
        <v>4.70</v>
      </c>
      <c r="K35" t="str">
        <f>IFERROR(__xludf.DUMMYFUNCTION("""COMPUTED_VALUE"""),"112.1")</f>
        <v>112.1</v>
      </c>
      <c r="L35" t="str">
        <f>IFERROR(__xludf.DUMMYFUNCTION("""COMPUTED_VALUE"""),"54.2")</f>
        <v>54.2</v>
      </c>
    </row>
    <row r="36">
      <c r="A36" s="4">
        <f>IFERROR(__xludf.DUMMYFUNCTION("""COMPUTED_VALUE"""),1982.0)</f>
        <v>1982</v>
      </c>
      <c r="B36" t="str">
        <f>IFERROR(__xludf.DUMMYFUNCTION("""COMPUTED_VALUE"""),"720,313,474")</f>
        <v>720,313,474</v>
      </c>
      <c r="C36" t="str">
        <f>IFERROR(__xludf.DUMMYFUNCTION("""COMPUTED_VALUE"""),"26,221,360")</f>
        <v>26,221,360</v>
      </c>
      <c r="D36" t="str">
        <f>IFERROR(__xludf.DUMMYFUNCTION("""COMPUTED_VALUE"""),"9,431,256")</f>
        <v>9,431,256</v>
      </c>
      <c r="E36" t="str">
        <f>IFERROR(__xludf.DUMMYFUNCTION("""COMPUTED_VALUE"""),"16,617,219")</f>
        <v>16,617,219</v>
      </c>
      <c r="F36" t="str">
        <f>IFERROR(__xludf.DUMMYFUNCTION("""COMPUTED_VALUE"""),"36.40")</f>
        <v>36.40</v>
      </c>
      <c r="G36" s="3">
        <f>IFERROR(__xludf.DUMMYFUNCTION("""COMPUTED_VALUE"""),46278.0)</f>
        <v>46278</v>
      </c>
      <c r="H36" s="2">
        <f>IFERROR(__xludf.DUMMYFUNCTION("""COMPUTED_VALUE"""),46195.0)</f>
        <v>46195</v>
      </c>
      <c r="I36" t="str">
        <f>IFERROR(__xludf.DUMMYFUNCTION("""COMPUTED_VALUE"""),"0.3")</f>
        <v>0.3</v>
      </c>
      <c r="J36" t="str">
        <f>IFERROR(__xludf.DUMMYFUNCTION("""COMPUTED_VALUE"""),"4.62")</f>
        <v>4.62</v>
      </c>
      <c r="K36" t="str">
        <f>IFERROR(__xludf.DUMMYFUNCTION("""COMPUTED_VALUE"""),"109.3")</f>
        <v>109.3</v>
      </c>
      <c r="L36" t="str">
        <f>IFERROR(__xludf.DUMMYFUNCTION("""COMPUTED_VALUE"""),"54.7")</f>
        <v>54.7</v>
      </c>
    </row>
    <row r="37">
      <c r="A37" s="4">
        <f>IFERROR(__xludf.DUMMYFUNCTION("""COMPUTED_VALUE"""),1983.0)</f>
        <v>1983</v>
      </c>
      <c r="B37" t="str">
        <f>IFERROR(__xludf.DUMMYFUNCTION("""COMPUTED_VALUE"""),"737,372,685")</f>
        <v>737,372,685</v>
      </c>
      <c r="C37" t="str">
        <f>IFERROR(__xludf.DUMMYFUNCTION("""COMPUTED_VALUE"""),"26,637,448")</f>
        <v>26,637,448</v>
      </c>
      <c r="D37" t="str">
        <f>IFERROR(__xludf.DUMMYFUNCTION("""COMPUTED_VALUE"""),"9,418,131")</f>
        <v>9,418,131</v>
      </c>
      <c r="E37" t="str">
        <f>IFERROR(__xludf.DUMMYFUNCTION("""COMPUTED_VALUE"""),"17,059,211")</f>
        <v>17,059,211</v>
      </c>
      <c r="F37" t="str">
        <f>IFERROR(__xludf.DUMMYFUNCTION("""COMPUTED_VALUE"""),"36.13")</f>
        <v>36.13</v>
      </c>
      <c r="G37" t="str">
        <f>IFERROR(__xludf.DUMMYFUNCTION("""COMPUTED_VALUE"""),"12.77")</f>
        <v>12.77</v>
      </c>
      <c r="H37" s="2">
        <f>IFERROR(__xludf.DUMMYFUNCTION("""COMPUTED_VALUE"""),46195.0)</f>
        <v>46195</v>
      </c>
      <c r="I37" t="str">
        <f>IFERROR(__xludf.DUMMYFUNCTION("""COMPUTED_VALUE"""),"0.2")</f>
        <v>0.2</v>
      </c>
      <c r="J37" t="str">
        <f>IFERROR(__xludf.DUMMYFUNCTION("""COMPUTED_VALUE"""),"4.57")</f>
        <v>4.57</v>
      </c>
      <c r="K37" t="str">
        <f>IFERROR(__xludf.DUMMYFUNCTION("""COMPUTED_VALUE"""),"106.7")</f>
        <v>106.7</v>
      </c>
      <c r="L37" t="str">
        <f>IFERROR(__xludf.DUMMYFUNCTION("""COMPUTED_VALUE"""),"55.3")</f>
        <v>55.3</v>
      </c>
    </row>
    <row r="38">
      <c r="A38" s="4">
        <f>IFERROR(__xludf.DUMMYFUNCTION("""COMPUTED_VALUE"""),1984.0)</f>
        <v>1984</v>
      </c>
      <c r="B38" t="str">
        <f>IFERROR(__xludf.DUMMYFUNCTION("""COMPUTED_VALUE"""),"754,875,451")</f>
        <v>754,875,451</v>
      </c>
      <c r="C38" t="str">
        <f>IFERROR(__xludf.DUMMYFUNCTION("""COMPUTED_VALUE"""),"27,113,114")</f>
        <v>27,113,114</v>
      </c>
      <c r="D38" t="str">
        <f>IFERROR(__xludf.DUMMYFUNCTION("""COMPUTED_VALUE"""),"9,414,277")</f>
        <v>9,414,277</v>
      </c>
      <c r="E38" t="str">
        <f>IFERROR(__xludf.DUMMYFUNCTION("""COMPUTED_VALUE"""),"17,502,766")</f>
        <v>17,502,766</v>
      </c>
      <c r="F38" t="str">
        <f>IFERROR(__xludf.DUMMYFUNCTION("""COMPUTED_VALUE"""),"35.92")</f>
        <v>35.92</v>
      </c>
      <c r="G38" t="str">
        <f>IFERROR(__xludf.DUMMYFUNCTION("""COMPUTED_VALUE"""),"12.47")</f>
        <v>12.47</v>
      </c>
      <c r="H38" s="2">
        <f>IFERROR(__xludf.DUMMYFUNCTION("""COMPUTED_VALUE"""),46225.0)</f>
        <v>46225</v>
      </c>
      <c r="I38" t="str">
        <f>IFERROR(__xludf.DUMMYFUNCTION("""COMPUTED_VALUE"""),"0.2")</f>
        <v>0.2</v>
      </c>
      <c r="J38" t="str">
        <f>IFERROR(__xludf.DUMMYFUNCTION("""COMPUTED_VALUE"""),"4.52")</f>
        <v>4.52</v>
      </c>
      <c r="K38" t="str">
        <f>IFERROR(__xludf.DUMMYFUNCTION("""COMPUTED_VALUE"""),"104.2")</f>
        <v>104.2</v>
      </c>
      <c r="L38" t="str">
        <f>IFERROR(__xludf.DUMMYFUNCTION("""COMPUTED_VALUE"""),"55.8")</f>
        <v>55.8</v>
      </c>
    </row>
    <row r="39">
      <c r="A39" s="4">
        <f>IFERROR(__xludf.DUMMYFUNCTION("""COMPUTED_VALUE"""),1985.0)</f>
        <v>1985</v>
      </c>
      <c r="B39" t="str">
        <f>IFERROR(__xludf.DUMMYFUNCTION("""COMPUTED_VALUE"""),"772,647,801")</f>
        <v>772,647,801</v>
      </c>
      <c r="C39" t="str">
        <f>IFERROR(__xludf.DUMMYFUNCTION("""COMPUTED_VALUE"""),"27,366,950")</f>
        <v>27,366,950</v>
      </c>
      <c r="D39" t="str">
        <f>IFERROR(__xludf.DUMMYFUNCTION("""COMPUTED_VALUE"""),"9,398,793")</f>
        <v>9,398,793</v>
      </c>
      <c r="E39" t="str">
        <f>IFERROR(__xludf.DUMMYFUNCTION("""COMPUTED_VALUE"""),"17,772,350")</f>
        <v>17,772,350</v>
      </c>
      <c r="F39" t="str">
        <f>IFERROR(__xludf.DUMMYFUNCTION("""COMPUTED_VALUE"""),"35.42")</f>
        <v>35.42</v>
      </c>
      <c r="G39" t="str">
        <f>IFERROR(__xludf.DUMMYFUNCTION("""COMPUTED_VALUE"""),"12.16")</f>
        <v>12.16</v>
      </c>
      <c r="H39" s="2">
        <f>IFERROR(__xludf.DUMMYFUNCTION("""COMPUTED_VALUE"""),46164.0)</f>
        <v>46164</v>
      </c>
      <c r="I39" t="str">
        <f>IFERROR(__xludf.DUMMYFUNCTION("""COMPUTED_VALUE"""),"0.2")</f>
        <v>0.2</v>
      </c>
      <c r="J39" t="str">
        <f>IFERROR(__xludf.DUMMYFUNCTION("""COMPUTED_VALUE"""),"4.43")</f>
        <v>4.43</v>
      </c>
      <c r="K39" t="str">
        <f>IFERROR(__xludf.DUMMYFUNCTION("""COMPUTED_VALUE"""),"101.8")</f>
        <v>101.8</v>
      </c>
      <c r="L39" t="str">
        <f>IFERROR(__xludf.DUMMYFUNCTION("""COMPUTED_VALUE"""),"56.3")</f>
        <v>56.3</v>
      </c>
    </row>
    <row r="40">
      <c r="A40" s="4">
        <f>IFERROR(__xludf.DUMMYFUNCTION("""COMPUTED_VALUE"""),1986.0)</f>
        <v>1986</v>
      </c>
      <c r="B40" t="str">
        <f>IFERROR(__xludf.DUMMYFUNCTION("""COMPUTED_VALUE"""),"790,689,978")</f>
        <v>790,689,978</v>
      </c>
      <c r="C40" t="str">
        <f>IFERROR(__xludf.DUMMYFUNCTION("""COMPUTED_VALUE"""),"27,848,424")</f>
        <v>27,848,424</v>
      </c>
      <c r="D40" t="str">
        <f>IFERROR(__xludf.DUMMYFUNCTION("""COMPUTED_VALUE"""),"9,392,670")</f>
        <v>9,392,670</v>
      </c>
      <c r="E40" t="str">
        <f>IFERROR(__xludf.DUMMYFUNCTION("""COMPUTED_VALUE"""),"18,042,177")</f>
        <v>18,042,177</v>
      </c>
      <c r="F40" t="str">
        <f>IFERROR(__xludf.DUMMYFUNCTION("""COMPUTED_VALUE"""),"35.22")</f>
        <v>35.22</v>
      </c>
      <c r="G40" t="str">
        <f>IFERROR(__xludf.DUMMYFUNCTION("""COMPUTED_VALUE"""),"11.88")</f>
        <v>11.88</v>
      </c>
      <c r="H40" s="2">
        <f>IFERROR(__xludf.DUMMYFUNCTION("""COMPUTED_VALUE"""),46225.0)</f>
        <v>46225</v>
      </c>
      <c r="I40" t="str">
        <f>IFERROR(__xludf.DUMMYFUNCTION("""COMPUTED_VALUE"""),"−0.1")</f>
        <v>−0.1</v>
      </c>
      <c r="J40" t="str">
        <f>IFERROR(__xludf.DUMMYFUNCTION("""COMPUTED_VALUE"""),"4.40")</f>
        <v>4.40</v>
      </c>
      <c r="K40" t="str">
        <f>IFERROR(__xludf.DUMMYFUNCTION("""COMPUTED_VALUE"""),"99.4")</f>
        <v>99.4</v>
      </c>
      <c r="L40" t="str">
        <f>IFERROR(__xludf.DUMMYFUNCTION("""COMPUTED_VALUE"""),"56.8")</f>
        <v>56.8</v>
      </c>
    </row>
    <row r="41">
      <c r="A41" s="4">
        <f>IFERROR(__xludf.DUMMYFUNCTION("""COMPUTED_VALUE"""),1987.0)</f>
        <v>1987</v>
      </c>
      <c r="B41" t="str">
        <f>IFERROR(__xludf.DUMMYFUNCTION("""COMPUTED_VALUE"""),"808,931,261")</f>
        <v>808,931,261</v>
      </c>
      <c r="C41" t="str">
        <f>IFERROR(__xludf.DUMMYFUNCTION("""COMPUTED_VALUE"""),"27,860,878")</f>
        <v>27,860,878</v>
      </c>
      <c r="D41" t="str">
        <f>IFERROR(__xludf.DUMMYFUNCTION("""COMPUTED_VALUE"""),"9,365,358")</f>
        <v>9,365,358</v>
      </c>
      <c r="E41" t="str">
        <f>IFERROR(__xludf.DUMMYFUNCTION("""COMPUTED_VALUE"""),"18,241,283")</f>
        <v>18,241,283</v>
      </c>
      <c r="F41" t="str">
        <f>IFERROR(__xludf.DUMMYFUNCTION("""COMPUTED_VALUE"""),"34.44")</f>
        <v>34.44</v>
      </c>
      <c r="G41" t="str">
        <f>IFERROR(__xludf.DUMMYFUNCTION("""COMPUTED_VALUE"""),"11.58")</f>
        <v>11.58</v>
      </c>
      <c r="H41" s="2">
        <f>IFERROR(__xludf.DUMMYFUNCTION("""COMPUTED_VALUE"""),46075.0)</f>
        <v>46075</v>
      </c>
      <c r="I41" t="str">
        <f>IFERROR(__xludf.DUMMYFUNCTION("""COMPUTED_VALUE"""),"0.2")</f>
        <v>0.2</v>
      </c>
      <c r="J41" t="str">
        <f>IFERROR(__xludf.DUMMYFUNCTION("""COMPUTED_VALUE"""),"4.31")</f>
        <v>4.31</v>
      </c>
      <c r="K41" t="str">
        <f>IFERROR(__xludf.DUMMYFUNCTION("""COMPUTED_VALUE"""),"97.0")</f>
        <v>97.0</v>
      </c>
      <c r="L41" t="str">
        <f>IFERROR(__xludf.DUMMYFUNCTION("""COMPUTED_VALUE"""),"57.3")</f>
        <v>57.3</v>
      </c>
    </row>
    <row r="42">
      <c r="A42" s="4">
        <f>IFERROR(__xludf.DUMMYFUNCTION("""COMPUTED_VALUE"""),1988.0)</f>
        <v>1988</v>
      </c>
      <c r="B42" t="str">
        <f>IFERROR(__xludf.DUMMYFUNCTION("""COMPUTED_VALUE"""),"827,342,997")</f>
        <v>827,342,997</v>
      </c>
      <c r="C42" t="str">
        <f>IFERROR(__xludf.DUMMYFUNCTION("""COMPUTED_VALUE"""),"28,040,342")</f>
        <v>28,040,342</v>
      </c>
      <c r="D42" t="str">
        <f>IFERROR(__xludf.DUMMYFUNCTION("""COMPUTED_VALUE"""),"9,337,583")</f>
        <v>9,337,583</v>
      </c>
      <c r="E42" t="str">
        <f>IFERROR(__xludf.DUMMYFUNCTION("""COMPUTED_VALUE"""),"18,411,736")</f>
        <v>18,411,736</v>
      </c>
      <c r="F42" t="str">
        <f>IFERROR(__xludf.DUMMYFUNCTION("""COMPUTED_VALUE"""),"33.89")</f>
        <v>33.89</v>
      </c>
      <c r="G42" t="str">
        <f>IFERROR(__xludf.DUMMYFUNCTION("""COMPUTED_VALUE"""),"11.29")</f>
        <v>11.29</v>
      </c>
      <c r="H42" s="2">
        <f>IFERROR(__xludf.DUMMYFUNCTION("""COMPUTED_VALUE"""),46286.0)</f>
        <v>46286</v>
      </c>
      <c r="I42" t="str">
        <f>IFERROR(__xludf.DUMMYFUNCTION("""COMPUTED_VALUE"""),"0.2")</f>
        <v>0.2</v>
      </c>
      <c r="J42" t="str">
        <f>IFERROR(__xludf.DUMMYFUNCTION("""COMPUTED_VALUE"""),"4.22")</f>
        <v>4.22</v>
      </c>
      <c r="K42" t="str">
        <f>IFERROR(__xludf.DUMMYFUNCTION("""COMPUTED_VALUE"""),"94.6")</f>
        <v>94.6</v>
      </c>
      <c r="L42" t="str">
        <f>IFERROR(__xludf.DUMMYFUNCTION("""COMPUTED_VALUE"""),"57.8")</f>
        <v>57.8</v>
      </c>
    </row>
    <row r="43">
      <c r="A43" s="4">
        <f>IFERROR(__xludf.DUMMYFUNCTION("""COMPUTED_VALUE"""),1989.0)</f>
        <v>1989</v>
      </c>
      <c r="B43" t="str">
        <f>IFERROR(__xludf.DUMMYFUNCTION("""COMPUTED_VALUE"""),"846,039,530")</f>
        <v>846,039,530</v>
      </c>
      <c r="C43" t="str">
        <f>IFERROR(__xludf.DUMMYFUNCTION("""COMPUTED_VALUE"""),"28,154,986")</f>
        <v>28,154,986</v>
      </c>
      <c r="D43" t="str">
        <f>IFERROR(__xludf.DUMMYFUNCTION("""COMPUTED_VALUE"""),"9,306,083")</f>
        <v>9,306,083</v>
      </c>
      <c r="E43" t="str">
        <f>IFERROR(__xludf.DUMMYFUNCTION("""COMPUTED_VALUE"""),"18,696,533")</f>
        <v>18,696,533</v>
      </c>
      <c r="F43" t="str">
        <f>IFERROR(__xludf.DUMMYFUNCTION("""COMPUTED_VALUE"""),"33.28")</f>
        <v>33.28</v>
      </c>
      <c r="G43" t="str">
        <f>IFERROR(__xludf.DUMMYFUNCTION("""COMPUTED_VALUE"""),"11.00")</f>
        <v>11.00</v>
      </c>
      <c r="H43" s="2">
        <f>IFERROR(__xludf.DUMMYFUNCTION("""COMPUTED_VALUE"""),46194.0)</f>
        <v>46194</v>
      </c>
      <c r="I43" t="str">
        <f>IFERROR(__xludf.DUMMYFUNCTION("""COMPUTED_VALUE"""),"0.3")</f>
        <v>0.3</v>
      </c>
      <c r="J43" t="str">
        <f>IFERROR(__xludf.DUMMYFUNCTION("""COMPUTED_VALUE"""),"4.13")</f>
        <v>4.13</v>
      </c>
      <c r="K43" t="str">
        <f>IFERROR(__xludf.DUMMYFUNCTION("""COMPUTED_VALUE"""),"92.2")</f>
        <v>92.2</v>
      </c>
      <c r="L43" t="str">
        <f>IFERROR(__xludf.DUMMYFUNCTION("""COMPUTED_VALUE"""),"58.2")</f>
        <v>58.2</v>
      </c>
    </row>
    <row r="44">
      <c r="A44" s="4">
        <f>IFERROR(__xludf.DUMMYFUNCTION("""COMPUTED_VALUE"""),1990.0)</f>
        <v>1990</v>
      </c>
      <c r="B44" t="str">
        <f>IFERROR(__xludf.DUMMYFUNCTION("""COMPUTED_VALUE"""),"864,972,219")</f>
        <v>864,972,219</v>
      </c>
      <c r="C44" t="str">
        <f>IFERROR(__xludf.DUMMYFUNCTION("""COMPUTED_VALUE"""),"28,171,520")</f>
        <v>28,171,520</v>
      </c>
      <c r="D44" t="str">
        <f>IFERROR(__xludf.DUMMYFUNCTION("""COMPUTED_VALUE"""),"9,277,651")</f>
        <v>9,277,651</v>
      </c>
      <c r="E44" t="str">
        <f>IFERROR(__xludf.DUMMYFUNCTION("""COMPUTED_VALUE"""),"18,932,689")</f>
        <v>18,932,689</v>
      </c>
      <c r="F44" t="str">
        <f>IFERROR(__xludf.DUMMYFUNCTION("""COMPUTED_VALUE"""),"32.57")</f>
        <v>32.57</v>
      </c>
      <c r="G44" t="str">
        <f>IFERROR(__xludf.DUMMYFUNCTION("""COMPUTED_VALUE"""),"10.73")</f>
        <v>10.73</v>
      </c>
      <c r="H44" s="2">
        <f>IFERROR(__xludf.DUMMYFUNCTION("""COMPUTED_VALUE"""),46043.0)</f>
        <v>46043</v>
      </c>
      <c r="I44" t="str">
        <f>IFERROR(__xludf.DUMMYFUNCTION("""COMPUTED_VALUE"""),"0.5")</f>
        <v>0.5</v>
      </c>
      <c r="J44" s="3">
        <f>IFERROR(__xludf.DUMMYFUNCTION("""COMPUTED_VALUE"""),46146.0)</f>
        <v>46146</v>
      </c>
      <c r="K44" t="str">
        <f>IFERROR(__xludf.DUMMYFUNCTION("""COMPUTED_VALUE"""),"89.8")</f>
        <v>89.8</v>
      </c>
      <c r="L44" t="str">
        <f>IFERROR(__xludf.DUMMYFUNCTION("""COMPUTED_VALUE"""),"58.7")</f>
        <v>58.7</v>
      </c>
    </row>
    <row r="45">
      <c r="A45" s="4">
        <f>IFERROR(__xludf.DUMMYFUNCTION("""COMPUTED_VALUE"""),1991.0)</f>
        <v>1991</v>
      </c>
      <c r="B45" t="str">
        <f>IFERROR(__xludf.DUMMYFUNCTION("""COMPUTED_VALUE"""),"883,927,607")</f>
        <v>883,927,607</v>
      </c>
      <c r="C45" t="str">
        <f>IFERROR(__xludf.DUMMYFUNCTION("""COMPUTED_VALUE"""),"28,305,720")</f>
        <v>28,305,720</v>
      </c>
      <c r="D45" t="str">
        <f>IFERROR(__xludf.DUMMYFUNCTION("""COMPUTED_VALUE"""),"9,256,425")</f>
        <v>9,256,425</v>
      </c>
      <c r="E45" t="str">
        <f>IFERROR(__xludf.DUMMYFUNCTION("""COMPUTED_VALUE"""),"18,955,388")</f>
        <v>18,955,388</v>
      </c>
      <c r="F45" t="str">
        <f>IFERROR(__xludf.DUMMYFUNCTION("""COMPUTED_VALUE"""),"32.02")</f>
        <v>32.02</v>
      </c>
      <c r="G45" t="str">
        <f>IFERROR(__xludf.DUMMYFUNCTION("""COMPUTED_VALUE"""),"10.47")</f>
        <v>10.47</v>
      </c>
      <c r="H45" t="str">
        <f>IFERROR(__xludf.DUMMYFUNCTION("""COMPUTED_VALUE"""),"21.0")</f>
        <v>21.0</v>
      </c>
      <c r="I45" t="str">
        <f>IFERROR(__xludf.DUMMYFUNCTION("""COMPUTED_VALUE"""),"0.2")</f>
        <v>0.2</v>
      </c>
      <c r="J45" t="str">
        <f>IFERROR(__xludf.DUMMYFUNCTION("""COMPUTED_VALUE"""),"3.96")</f>
        <v>3.96</v>
      </c>
      <c r="K45" t="str">
        <f>IFERROR(__xludf.DUMMYFUNCTION("""COMPUTED_VALUE"""),"87.6")</f>
        <v>87.6</v>
      </c>
      <c r="L45" t="str">
        <f>IFERROR(__xludf.DUMMYFUNCTION("""COMPUTED_VALUE"""),"59.1")</f>
        <v>59.1</v>
      </c>
    </row>
    <row r="46">
      <c r="A46" s="4">
        <f>IFERROR(__xludf.DUMMYFUNCTION("""COMPUTED_VALUE"""),1992.0)</f>
        <v>1992</v>
      </c>
      <c r="B46" t="str">
        <f>IFERROR(__xludf.DUMMYFUNCTION("""COMPUTED_VALUE"""),"902,957,072")</f>
        <v>902,957,072</v>
      </c>
      <c r="C46" t="str">
        <f>IFERROR(__xludf.DUMMYFUNCTION("""COMPUTED_VALUE"""),"28,365,204")</f>
        <v>28,365,204</v>
      </c>
      <c r="D46" t="str">
        <f>IFERROR(__xludf.DUMMYFUNCTION("""COMPUTED_VALUE"""),"9,232,809")</f>
        <v>9,232,809</v>
      </c>
      <c r="E46" t="str">
        <f>IFERROR(__xludf.DUMMYFUNCTION("""COMPUTED_VALUE"""),"19,029,465")</f>
        <v>19,029,465</v>
      </c>
      <c r="F46" t="str">
        <f>IFERROR(__xludf.DUMMYFUNCTION("""COMPUTED_VALUE"""),"31.41")</f>
        <v>31.41</v>
      </c>
      <c r="G46" t="str">
        <f>IFERROR(__xludf.DUMMYFUNCTION("""COMPUTED_VALUE"""),"10.22")</f>
        <v>10.22</v>
      </c>
      <c r="H46" s="2">
        <f>IFERROR(__xludf.DUMMYFUNCTION("""COMPUTED_VALUE"""),46223.0)</f>
        <v>46223</v>
      </c>
      <c r="I46" t="str">
        <f>IFERROR(__xludf.DUMMYFUNCTION("""COMPUTED_VALUE"""),"0.3")</f>
        <v>0.3</v>
      </c>
      <c r="J46" t="str">
        <f>IFERROR(__xludf.DUMMYFUNCTION("""COMPUTED_VALUE"""),"3.88")</f>
        <v>3.88</v>
      </c>
      <c r="K46" t="str">
        <f>IFERROR(__xludf.DUMMYFUNCTION("""COMPUTED_VALUE"""),"85.5")</f>
        <v>85.5</v>
      </c>
      <c r="L46" t="str">
        <f>IFERROR(__xludf.DUMMYFUNCTION("""COMPUTED_VALUE"""),"59.5")</f>
        <v>59.5</v>
      </c>
    </row>
    <row r="47">
      <c r="A47" s="4">
        <f>IFERROR(__xludf.DUMMYFUNCTION("""COMPUTED_VALUE"""),1993.0)</f>
        <v>1993</v>
      </c>
      <c r="B47" t="str">
        <f>IFERROR(__xludf.DUMMYFUNCTION("""COMPUTED_VALUE"""),"922,118,380")</f>
        <v>922,118,380</v>
      </c>
      <c r="C47" t="str">
        <f>IFERROR(__xludf.DUMMYFUNCTION("""COMPUTED_VALUE"""),"28,374,418")</f>
        <v>28,374,418</v>
      </c>
      <c r="D47" t="str">
        <f>IFERROR(__xludf.DUMMYFUNCTION("""COMPUTED_VALUE"""),"9,221,708")</f>
        <v>9,221,708</v>
      </c>
      <c r="E47" t="str">
        <f>IFERROR(__xludf.DUMMYFUNCTION("""COMPUTED_VALUE"""),"19,161,308")</f>
        <v>19,161,308</v>
      </c>
      <c r="F47" t="str">
        <f>IFERROR(__xludf.DUMMYFUNCTION("""COMPUTED_VALUE"""),"30.77")</f>
        <v>30.77</v>
      </c>
      <c r="G47" t="str">
        <f>IFERROR(__xludf.DUMMYFUNCTION("""COMPUTED_VALUE"""),"10.00")</f>
        <v>10.00</v>
      </c>
      <c r="H47" s="2">
        <f>IFERROR(__xludf.DUMMYFUNCTION("""COMPUTED_VALUE"""),46101.0)</f>
        <v>46101</v>
      </c>
      <c r="I47" t="str">
        <f>IFERROR(__xludf.DUMMYFUNCTION("""COMPUTED_VALUE"""),"0.4")</f>
        <v>0.4</v>
      </c>
      <c r="J47" t="str">
        <f>IFERROR(__xludf.DUMMYFUNCTION("""COMPUTED_VALUE"""),"3.80")</f>
        <v>3.80</v>
      </c>
      <c r="K47" t="str">
        <f>IFERROR(__xludf.DUMMYFUNCTION("""COMPUTED_VALUE"""),"83.5")</f>
        <v>83.5</v>
      </c>
      <c r="L47" t="str">
        <f>IFERROR(__xludf.DUMMYFUNCTION("""COMPUTED_VALUE"""),"59.8")</f>
        <v>59.8</v>
      </c>
    </row>
    <row r="48">
      <c r="A48" s="4">
        <f>IFERROR(__xludf.DUMMYFUNCTION("""COMPUTED_VALUE"""),1994.0)</f>
        <v>1994</v>
      </c>
      <c r="B48" t="str">
        <f>IFERROR(__xludf.DUMMYFUNCTION("""COMPUTED_VALUE"""),"941,163,775")</f>
        <v>941,163,775</v>
      </c>
      <c r="C48" t="str">
        <f>IFERROR(__xludf.DUMMYFUNCTION("""COMPUTED_VALUE"""),"28,512,692")</f>
        <v>28,512,692</v>
      </c>
      <c r="D48" t="str">
        <f>IFERROR(__xludf.DUMMYFUNCTION("""COMPUTED_VALUE"""),"9,201,756")</f>
        <v>9,201,756</v>
      </c>
      <c r="E48" t="str">
        <f>IFERROR(__xludf.DUMMYFUNCTION("""COMPUTED_VALUE"""),"19,045,395")</f>
        <v>19,045,395</v>
      </c>
      <c r="F48" t="str">
        <f>IFERROR(__xludf.DUMMYFUNCTION("""COMPUTED_VALUE"""),"30.30")</f>
        <v>30.30</v>
      </c>
      <c r="G48" t="str">
        <f>IFERROR(__xludf.DUMMYFUNCTION("""COMPUTED_VALUE"""),"9.78")</f>
        <v>9.78</v>
      </c>
      <c r="H48" t="str">
        <f>IFERROR(__xludf.DUMMYFUNCTION("""COMPUTED_VALUE"""),"20.0")</f>
        <v>20.0</v>
      </c>
      <c r="I48" t="str">
        <f>IFERROR(__xludf.DUMMYFUNCTION("""COMPUTED_VALUE"""),"0.4")</f>
        <v>0.4</v>
      </c>
      <c r="J48" t="str">
        <f>IFERROR(__xludf.DUMMYFUNCTION("""COMPUTED_VALUE"""),"3.72")</f>
        <v>3.72</v>
      </c>
      <c r="K48" t="str">
        <f>IFERROR(__xludf.DUMMYFUNCTION("""COMPUTED_VALUE"""),"81.4")</f>
        <v>81.4</v>
      </c>
      <c r="L48" t="str">
        <f>IFERROR(__xludf.DUMMYFUNCTION("""COMPUTED_VALUE"""),"60.2")</f>
        <v>60.2</v>
      </c>
    </row>
    <row r="49">
      <c r="A49" s="4">
        <f>IFERROR(__xludf.DUMMYFUNCTION("""COMPUTED_VALUE"""),1995.0)</f>
        <v>1995</v>
      </c>
      <c r="B49" t="str">
        <f>IFERROR(__xludf.DUMMYFUNCTION("""COMPUTED_VALUE"""),"960,301,048")</f>
        <v>960,301,048</v>
      </c>
      <c r="C49" t="str">
        <f>IFERROR(__xludf.DUMMYFUNCTION("""COMPUTED_VALUE"""),"28,588,052")</f>
        <v>28,588,052</v>
      </c>
      <c r="D49" t="str">
        <f>IFERROR(__xludf.DUMMYFUNCTION("""COMPUTED_VALUE"""),"9,191,892")</f>
        <v>9,191,892</v>
      </c>
      <c r="E49" t="str">
        <f>IFERROR(__xludf.DUMMYFUNCTION("""COMPUTED_VALUE"""),"19,137,273")</f>
        <v>19,137,273</v>
      </c>
      <c r="F49" t="str">
        <f>IFERROR(__xludf.DUMMYFUNCTION("""COMPUTED_VALUE"""),"29.77")</f>
        <v>29.77</v>
      </c>
      <c r="G49" t="str">
        <f>IFERROR(__xludf.DUMMYFUNCTION("""COMPUTED_VALUE"""),"9.57")</f>
        <v>9.57</v>
      </c>
      <c r="H49" s="2">
        <f>IFERROR(__xludf.DUMMYFUNCTION("""COMPUTED_VALUE"""),46222.0)</f>
        <v>46222</v>
      </c>
      <c r="I49" t="str">
        <f>IFERROR(__xludf.DUMMYFUNCTION("""COMPUTED_VALUE"""),"0.4")</f>
        <v>0.4</v>
      </c>
      <c r="J49" t="str">
        <f>IFERROR(__xludf.DUMMYFUNCTION("""COMPUTED_VALUE"""),"3.65")</f>
        <v>3.65</v>
      </c>
      <c r="K49" t="str">
        <f>IFERROR(__xludf.DUMMYFUNCTION("""COMPUTED_VALUE"""),"79.3")</f>
        <v>79.3</v>
      </c>
      <c r="L49" t="str">
        <f>IFERROR(__xludf.DUMMYFUNCTION("""COMPUTED_VALUE"""),"60.6")</f>
        <v>60.6</v>
      </c>
    </row>
    <row r="50">
      <c r="A50" s="4">
        <f>IFERROR(__xludf.DUMMYFUNCTION("""COMPUTED_VALUE"""),1996.0)</f>
        <v>1996</v>
      </c>
      <c r="B50" t="str">
        <f>IFERROR(__xludf.DUMMYFUNCTION("""COMPUTED_VALUE"""),"979,678,464")</f>
        <v>979,678,464</v>
      </c>
      <c r="C50" t="str">
        <f>IFERROR(__xludf.DUMMYFUNCTION("""COMPUTED_VALUE"""),"28,623,284")</f>
        <v>28,623,284</v>
      </c>
      <c r="D50" t="str">
        <f>IFERROR(__xludf.DUMMYFUNCTION("""COMPUTED_VALUE"""),"9,180,936")</f>
        <v>9,180,936</v>
      </c>
      <c r="E50" t="str">
        <f>IFERROR(__xludf.DUMMYFUNCTION("""COMPUTED_VALUE"""),"19,377,416")</f>
        <v>19,377,416</v>
      </c>
      <c r="F50" t="str">
        <f>IFERROR(__xludf.DUMMYFUNCTION("""COMPUTED_VALUE"""),"29.22")</f>
        <v>29.22</v>
      </c>
      <c r="G50" t="str">
        <f>IFERROR(__xludf.DUMMYFUNCTION("""COMPUTED_VALUE"""),"9.37")</f>
        <v>9.37</v>
      </c>
      <c r="H50" s="2">
        <f>IFERROR(__xludf.DUMMYFUNCTION("""COMPUTED_VALUE"""),46131.0)</f>
        <v>46131</v>
      </c>
      <c r="I50" t="str">
        <f>IFERROR(__xludf.DUMMYFUNCTION("""COMPUTED_VALUE"""),"0.3")</f>
        <v>0.3</v>
      </c>
      <c r="J50" t="str">
        <f>IFERROR(__xludf.DUMMYFUNCTION("""COMPUTED_VALUE"""),"3.58")</f>
        <v>3.58</v>
      </c>
      <c r="K50" t="str">
        <f>IFERROR(__xludf.DUMMYFUNCTION("""COMPUTED_VALUE"""),"77.1")</f>
        <v>77.1</v>
      </c>
      <c r="L50" t="str">
        <f>IFERROR(__xludf.DUMMYFUNCTION("""COMPUTED_VALUE"""),"61.0")</f>
        <v>61.0</v>
      </c>
    </row>
    <row r="51">
      <c r="A51" s="4">
        <f>IFERROR(__xludf.DUMMYFUNCTION("""COMPUTED_VALUE"""),1997.0)</f>
        <v>1997</v>
      </c>
      <c r="B51" t="str">
        <f>IFERROR(__xludf.DUMMYFUNCTION("""COMPUTED_VALUE"""),"999,133,765")</f>
        <v>999,133,765</v>
      </c>
      <c r="C51" t="str">
        <f>IFERROR(__xludf.DUMMYFUNCTION("""COMPUTED_VALUE"""),"28,659,994")</f>
        <v>28,659,994</v>
      </c>
      <c r="D51" t="str">
        <f>IFERROR(__xludf.DUMMYFUNCTION("""COMPUTED_VALUE"""),"9,166,224")</f>
        <v>9,166,224</v>
      </c>
      <c r="E51" t="str">
        <f>IFERROR(__xludf.DUMMYFUNCTION("""COMPUTED_VALUE"""),"19,455,301")</f>
        <v>19,455,301</v>
      </c>
      <c r="F51" t="str">
        <f>IFERROR(__xludf.DUMMYFUNCTION("""COMPUTED_VALUE"""),"28.68")</f>
        <v>28.68</v>
      </c>
      <c r="G51" t="str">
        <f>IFERROR(__xludf.DUMMYFUNCTION("""COMPUTED_VALUE"""),"9.17")</f>
        <v>9.17</v>
      </c>
      <c r="H51" t="str">
        <f>IFERROR(__xludf.DUMMYFUNCTION("""COMPUTED_VALUE"""),"19.0")</f>
        <v>19.0</v>
      </c>
      <c r="I51" t="str">
        <f>IFERROR(__xludf.DUMMYFUNCTION("""COMPUTED_VALUE"""),"0.4")</f>
        <v>0.4</v>
      </c>
      <c r="J51" t="str">
        <f>IFERROR(__xludf.DUMMYFUNCTION("""COMPUTED_VALUE"""),"3.51")</f>
        <v>3.51</v>
      </c>
      <c r="K51" t="str">
        <f>IFERROR(__xludf.DUMMYFUNCTION("""COMPUTED_VALUE"""),"74.8")</f>
        <v>74.8</v>
      </c>
      <c r="L51" t="str">
        <f>IFERROR(__xludf.DUMMYFUNCTION("""COMPUTED_VALUE"""),"61.4")</f>
        <v>61.4</v>
      </c>
    </row>
    <row r="52">
      <c r="A52" s="4">
        <f>IFERROR(__xludf.DUMMYFUNCTION("""COMPUTED_VALUE"""),1998.0)</f>
        <v>1998</v>
      </c>
      <c r="B52" t="str">
        <f>IFERROR(__xludf.DUMMYFUNCTION("""COMPUTED_VALUE"""),"1,018,665,073")</f>
        <v>1,018,665,073</v>
      </c>
      <c r="C52" t="str">
        <f>IFERROR(__xludf.DUMMYFUNCTION("""COMPUTED_VALUE"""),"28,724,934")</f>
        <v>28,724,934</v>
      </c>
      <c r="D52" t="str">
        <f>IFERROR(__xludf.DUMMYFUNCTION("""COMPUTED_VALUE"""),"9,155,898")</f>
        <v>9,155,898</v>
      </c>
      <c r="E52" t="str">
        <f>IFERROR(__xludf.DUMMYFUNCTION("""COMPUTED_VALUE"""),"19,531,308")</f>
        <v>19,531,308</v>
      </c>
      <c r="F52" t="str">
        <f>IFERROR(__xludf.DUMMYFUNCTION("""COMPUTED_VALUE"""),"28.20")</f>
        <v>28.20</v>
      </c>
      <c r="G52" t="str">
        <f>IFERROR(__xludf.DUMMYFUNCTION("""COMPUTED_VALUE"""),"8.99")</f>
        <v>8.99</v>
      </c>
      <c r="H52" s="2">
        <f>IFERROR(__xludf.DUMMYFUNCTION("""COMPUTED_VALUE"""),46221.0)</f>
        <v>46221</v>
      </c>
      <c r="I52" t="str">
        <f>IFERROR(__xludf.DUMMYFUNCTION("""COMPUTED_VALUE"""),"0.4")</f>
        <v>0.4</v>
      </c>
      <c r="J52" t="str">
        <f>IFERROR(__xludf.DUMMYFUNCTION("""COMPUTED_VALUE"""),"3.45")</f>
        <v>3.45</v>
      </c>
      <c r="K52" t="str">
        <f>IFERROR(__xludf.DUMMYFUNCTION("""COMPUTED_VALUE"""),"72.5")</f>
        <v>72.5</v>
      </c>
      <c r="L52" t="str">
        <f>IFERROR(__xludf.DUMMYFUNCTION("""COMPUTED_VALUE"""),"61.8")</f>
        <v>61.8</v>
      </c>
    </row>
    <row r="53">
      <c r="A53" s="4">
        <f>IFERROR(__xludf.DUMMYFUNCTION("""COMPUTED_VALUE"""),1999.0)</f>
        <v>1999</v>
      </c>
      <c r="B53" t="str">
        <f>IFERROR(__xludf.DUMMYFUNCTION("""COMPUTED_VALUE"""),"1,038,225,821")</f>
        <v>1,038,225,821</v>
      </c>
      <c r="C53" t="str">
        <f>IFERROR(__xludf.DUMMYFUNCTION("""COMPUTED_VALUE"""),"28,790,310")</f>
        <v>28,790,310</v>
      </c>
      <c r="D53" t="str">
        <f>IFERROR(__xludf.DUMMYFUNCTION("""COMPUTED_VALUE"""),"9,141,493")</f>
        <v>9,141,493</v>
      </c>
      <c r="E53" t="str">
        <f>IFERROR(__xludf.DUMMYFUNCTION("""COMPUTED_VALUE"""),"19,560,748")</f>
        <v>19,560,748</v>
      </c>
      <c r="F53" t="str">
        <f>IFERROR(__xludf.DUMMYFUNCTION("""COMPUTED_VALUE"""),"27.73")</f>
        <v>27.73</v>
      </c>
      <c r="G53" t="str">
        <f>IFERROR(__xludf.DUMMYFUNCTION("""COMPUTED_VALUE"""),"8.80")</f>
        <v>8.80</v>
      </c>
      <c r="H53" s="2">
        <f>IFERROR(__xludf.DUMMYFUNCTION("""COMPUTED_VALUE"""),46130.0)</f>
        <v>46130</v>
      </c>
      <c r="I53" t="str">
        <f>IFERROR(__xludf.DUMMYFUNCTION("""COMPUTED_VALUE"""),"0.3")</f>
        <v>0.3</v>
      </c>
      <c r="J53" t="str">
        <f>IFERROR(__xludf.DUMMYFUNCTION("""COMPUTED_VALUE"""),"3.38")</f>
        <v>3.38</v>
      </c>
      <c r="K53" t="str">
        <f>IFERROR(__xludf.DUMMYFUNCTION("""COMPUTED_VALUE"""),"70.2")</f>
        <v>70.2</v>
      </c>
      <c r="L53" t="str">
        <f>IFERROR(__xludf.DUMMYFUNCTION("""COMPUTED_VALUE"""),"62.2")</f>
        <v>62.2</v>
      </c>
    </row>
    <row r="54">
      <c r="A54" s="4">
        <f>IFERROR(__xludf.DUMMYFUNCTION("""COMPUTED_VALUE"""),2000.0)</f>
        <v>2000</v>
      </c>
      <c r="B54" t="str">
        <f>IFERROR(__xludf.DUMMYFUNCTION("""COMPUTED_VALUE"""),"1,057,922,728")</f>
        <v>1,057,922,728</v>
      </c>
      <c r="C54" t="str">
        <f>IFERROR(__xludf.DUMMYFUNCTION("""COMPUTED_VALUE"""),"29,111,712")</f>
        <v>29,111,712</v>
      </c>
      <c r="D54" t="str">
        <f>IFERROR(__xludf.DUMMYFUNCTION("""COMPUTED_VALUE"""),"9,127,431")</f>
        <v>9,127,431</v>
      </c>
      <c r="E54" t="str">
        <f>IFERROR(__xludf.DUMMYFUNCTION("""COMPUTED_VALUE"""),"19,696,907")</f>
        <v>19,696,907</v>
      </c>
      <c r="F54" t="str">
        <f>IFERROR(__xludf.DUMMYFUNCTION("""COMPUTED_VALUE"""),"27.52")</f>
        <v>27.52</v>
      </c>
      <c r="G54" t="str">
        <f>IFERROR(__xludf.DUMMYFUNCTION("""COMPUTED_VALUE"""),"8.63")</f>
        <v>8.63</v>
      </c>
      <c r="H54" s="2">
        <f>IFERROR(__xludf.DUMMYFUNCTION("""COMPUTED_VALUE"""),46099.0)</f>
        <v>46099</v>
      </c>
      <c r="I54" t="str">
        <f>IFERROR(__xludf.DUMMYFUNCTION("""COMPUTED_VALUE"""),"0.1")</f>
        <v>0.1</v>
      </c>
      <c r="J54" t="str">
        <f>IFERROR(__xludf.DUMMYFUNCTION("""COMPUTED_VALUE"""),"3.35")</f>
        <v>3.35</v>
      </c>
      <c r="K54" t="str">
        <f>IFERROR(__xludf.DUMMYFUNCTION("""COMPUTED_VALUE"""),"67.8")</f>
        <v>67.8</v>
      </c>
      <c r="L54" t="str">
        <f>IFERROR(__xludf.DUMMYFUNCTION("""COMPUTED_VALUE"""),"62.7")</f>
        <v>62.7</v>
      </c>
    </row>
    <row r="55">
      <c r="A55" s="4">
        <f>IFERROR(__xludf.DUMMYFUNCTION("""COMPUTED_VALUE"""),2001.0)</f>
        <v>2001</v>
      </c>
      <c r="B55" t="str">
        <f>IFERROR(__xludf.DUMMYFUNCTION("""COMPUTED_VALUE"""),"1,077,898,572")</f>
        <v>1,077,898,572</v>
      </c>
      <c r="C55" t="str">
        <f>IFERROR(__xludf.DUMMYFUNCTION("""COMPUTED_VALUE"""),"29,324,930")</f>
        <v>29,324,930</v>
      </c>
      <c r="D55" t="str">
        <f>IFERROR(__xludf.DUMMYFUNCTION("""COMPUTED_VALUE"""),"9,143,228")</f>
        <v>9,143,228</v>
      </c>
      <c r="E55" t="str">
        <f>IFERROR(__xludf.DUMMYFUNCTION("""COMPUTED_VALUE"""),"19,975,844")</f>
        <v>19,975,844</v>
      </c>
      <c r="F55" t="str">
        <f>IFERROR(__xludf.DUMMYFUNCTION("""COMPUTED_VALUE"""),"27.21")</f>
        <v>27.21</v>
      </c>
      <c r="G55" t="str">
        <f>IFERROR(__xludf.DUMMYFUNCTION("""COMPUTED_VALUE"""),"8.48")</f>
        <v>8.48</v>
      </c>
      <c r="H55" s="2">
        <f>IFERROR(__xludf.DUMMYFUNCTION("""COMPUTED_VALUE"""),46071.0)</f>
        <v>46071</v>
      </c>
      <c r="I55">
        <f>IFERROR(__xludf.DUMMYFUNCTION("""COMPUTED_VALUE"""),0.0)</f>
        <v>0</v>
      </c>
      <c r="J55" t="str">
        <f>IFERROR(__xludf.DUMMYFUNCTION("""COMPUTED_VALUE"""),"3.30")</f>
        <v>3.30</v>
      </c>
      <c r="K55" t="str">
        <f>IFERROR(__xludf.DUMMYFUNCTION("""COMPUTED_VALUE"""),"65.4")</f>
        <v>65.4</v>
      </c>
      <c r="L55" t="str">
        <f>IFERROR(__xludf.DUMMYFUNCTION("""COMPUTED_VALUE"""),"63.1")</f>
        <v>63.1</v>
      </c>
    </row>
    <row r="56">
      <c r="A56" s="4">
        <f>IFERROR(__xludf.DUMMYFUNCTION("""COMPUTED_VALUE"""),2002.0)</f>
        <v>2002</v>
      </c>
      <c r="B56" t="str">
        <f>IFERROR(__xludf.DUMMYFUNCTION("""COMPUTED_VALUE"""),"1,097,600,381")</f>
        <v>1,097,600,381</v>
      </c>
      <c r="C56" t="str">
        <f>IFERROR(__xludf.DUMMYFUNCTION("""COMPUTED_VALUE"""),"29,128,216")</f>
        <v>29,128,216</v>
      </c>
      <c r="D56" t="str">
        <f>IFERROR(__xludf.DUMMYFUNCTION("""COMPUTED_VALUE"""),"9,103,548")</f>
        <v>9,103,548</v>
      </c>
      <c r="E56" t="str">
        <f>IFERROR(__xludf.DUMMYFUNCTION("""COMPUTED_VALUE"""),"19,701,809")</f>
        <v>19,701,809</v>
      </c>
      <c r="F56" t="str">
        <f>IFERROR(__xludf.DUMMYFUNCTION("""COMPUTED_VALUE"""),"26.54")</f>
        <v>26.54</v>
      </c>
      <c r="G56" t="str">
        <f>IFERROR(__xludf.DUMMYFUNCTION("""COMPUTED_VALUE"""),"8.29")</f>
        <v>8.29</v>
      </c>
      <c r="H56" s="2">
        <f>IFERROR(__xludf.DUMMYFUNCTION("""COMPUTED_VALUE"""),46220.0)</f>
        <v>46220</v>
      </c>
      <c r="I56" t="str">
        <f>IFERROR(__xludf.DUMMYFUNCTION("""COMPUTED_VALUE"""),"0.2")</f>
        <v>0.2</v>
      </c>
      <c r="J56" t="str">
        <f>IFERROR(__xludf.DUMMYFUNCTION("""COMPUTED_VALUE"""),"3.22")</f>
        <v>3.22</v>
      </c>
      <c r="K56" t="str">
        <f>IFERROR(__xludf.DUMMYFUNCTION("""COMPUTED_VALUE"""),"63.1")</f>
        <v>63.1</v>
      </c>
      <c r="L56" t="str">
        <f>IFERROR(__xludf.DUMMYFUNCTION("""COMPUTED_VALUE"""),"63.6")</f>
        <v>63.6</v>
      </c>
    </row>
    <row r="57">
      <c r="A57" s="4">
        <f>IFERROR(__xludf.DUMMYFUNCTION("""COMPUTED_VALUE"""),2003.0)</f>
        <v>2003</v>
      </c>
      <c r="B57" t="str">
        <f>IFERROR(__xludf.DUMMYFUNCTION("""COMPUTED_VALUE"""),"1,116,802,997")</f>
        <v>1,116,802,997</v>
      </c>
      <c r="C57" t="str">
        <f>IFERROR(__xludf.DUMMYFUNCTION("""COMPUTED_VALUE"""),"28,794,442")</f>
        <v>28,794,442</v>
      </c>
      <c r="D57" t="str">
        <f>IFERROR(__xludf.DUMMYFUNCTION("""COMPUTED_VALUE"""),"9,074,469")</f>
        <v>9,074,469</v>
      </c>
      <c r="E57" t="str">
        <f>IFERROR(__xludf.DUMMYFUNCTION("""COMPUTED_VALUE"""),"19,202,616")</f>
        <v>19,202,616</v>
      </c>
      <c r="F57" t="str">
        <f>IFERROR(__xludf.DUMMYFUNCTION("""COMPUTED_VALUE"""),"25.78")</f>
        <v>25.78</v>
      </c>
      <c r="G57" t="str">
        <f>IFERROR(__xludf.DUMMYFUNCTION("""COMPUTED_VALUE"""),"8.13")</f>
        <v>8.13</v>
      </c>
      <c r="H57" s="2">
        <f>IFERROR(__xludf.DUMMYFUNCTION("""COMPUTED_VALUE"""),46070.0)</f>
        <v>46070</v>
      </c>
      <c r="I57" t="str">
        <f>IFERROR(__xludf.DUMMYFUNCTION("""COMPUTED_VALUE"""),"0.2")</f>
        <v>0.2</v>
      </c>
      <c r="J57" s="2">
        <f>IFERROR(__xludf.DUMMYFUNCTION("""COMPUTED_VALUE"""),46359.0)</f>
        <v>46359</v>
      </c>
      <c r="K57" t="str">
        <f>IFERROR(__xludf.DUMMYFUNCTION("""COMPUTED_VALUE"""),"60.8")</f>
        <v>60.8</v>
      </c>
      <c r="L57" t="str">
        <f>IFERROR(__xludf.DUMMYFUNCTION("""COMPUTED_VALUE"""),"64.1")</f>
        <v>64.1</v>
      </c>
    </row>
    <row r="58">
      <c r="A58" s="4">
        <f>IFERROR(__xludf.DUMMYFUNCTION("""COMPUTED_VALUE"""),2004.0)</f>
        <v>2004</v>
      </c>
      <c r="B58" t="str">
        <f>IFERROR(__xludf.DUMMYFUNCTION("""COMPUTED_VALUE"""),"1,135,991,510")</f>
        <v>1,135,991,510</v>
      </c>
      <c r="C58" t="str">
        <f>IFERROR(__xludf.DUMMYFUNCTION("""COMPUTED_VALUE"""),"28,537,736")</f>
        <v>28,537,736</v>
      </c>
      <c r="D58" t="str">
        <f>IFERROR(__xludf.DUMMYFUNCTION("""COMPUTED_VALUE"""),"9,067,053")</f>
        <v>9,067,053</v>
      </c>
      <c r="E58" t="str">
        <f>IFERROR(__xludf.DUMMYFUNCTION("""COMPUTED_VALUE"""),"19,188,513")</f>
        <v>19,188,513</v>
      </c>
      <c r="F58" s="2">
        <f>IFERROR(__xludf.DUMMYFUNCTION("""COMPUTED_VALUE"""),46381.0)</f>
        <v>46381</v>
      </c>
      <c r="G58" t="str">
        <f>IFERROR(__xludf.DUMMYFUNCTION("""COMPUTED_VALUE"""),"7.98")</f>
        <v>7.98</v>
      </c>
      <c r="H58" s="2">
        <f>IFERROR(__xludf.DUMMYFUNCTION("""COMPUTED_VALUE"""),46219.0)</f>
        <v>46219</v>
      </c>
      <c r="I58" t="str">
        <f>IFERROR(__xludf.DUMMYFUNCTION("""COMPUTED_VALUE"""),"0.2")</f>
        <v>0.2</v>
      </c>
      <c r="J58" s="3">
        <f>IFERROR(__xludf.DUMMYFUNCTION("""COMPUTED_VALUE"""),46145.0)</f>
        <v>46145</v>
      </c>
      <c r="K58" t="str">
        <f>IFERROR(__xludf.DUMMYFUNCTION("""COMPUTED_VALUE"""),"58.6")</f>
        <v>58.6</v>
      </c>
      <c r="L58" t="str">
        <f>IFERROR(__xludf.DUMMYFUNCTION("""COMPUTED_VALUE"""),"64.5")</f>
        <v>64.5</v>
      </c>
    </row>
    <row r="59">
      <c r="A59" s="4">
        <f>IFERROR(__xludf.DUMMYFUNCTION("""COMPUTED_VALUE"""),2005.0)</f>
        <v>2005</v>
      </c>
      <c r="B59" t="str">
        <f>IFERROR(__xludf.DUMMYFUNCTION("""COMPUTED_VALUE"""),"1,154,676,319")</f>
        <v>1,154,676,319</v>
      </c>
      <c r="C59" t="str">
        <f>IFERROR(__xludf.DUMMYFUNCTION("""COMPUTED_VALUE"""),"28,063,000")</f>
        <v>28,063,000</v>
      </c>
      <c r="D59" t="str">
        <f>IFERROR(__xludf.DUMMYFUNCTION("""COMPUTED_VALUE"""),"9,027,961")</f>
        <v>9,027,961</v>
      </c>
      <c r="E59" t="str">
        <f>IFERROR(__xludf.DUMMYFUNCTION("""COMPUTED_VALUE"""),"18,684,809")</f>
        <v>18,684,809</v>
      </c>
      <c r="F59" t="str">
        <f>IFERROR(__xludf.DUMMYFUNCTION("""COMPUTED_VALUE"""),"24.30")</f>
        <v>24.30</v>
      </c>
      <c r="G59" t="str">
        <f>IFERROR(__xludf.DUMMYFUNCTION("""COMPUTED_VALUE"""),"7.82")</f>
        <v>7.82</v>
      </c>
      <c r="H59" s="2">
        <f>IFERROR(__xludf.DUMMYFUNCTION("""COMPUTED_VALUE"""),46038.0)</f>
        <v>46038</v>
      </c>
      <c r="I59" t="str">
        <f>IFERROR(__xludf.DUMMYFUNCTION("""COMPUTED_VALUE"""),"0.1")</f>
        <v>0.1</v>
      </c>
      <c r="J59" t="str">
        <f>IFERROR(__xludf.DUMMYFUNCTION("""COMPUTED_VALUE"""),"2.96")</f>
        <v>2.96</v>
      </c>
      <c r="K59" t="str">
        <f>IFERROR(__xludf.DUMMYFUNCTION("""COMPUTED_VALUE"""),"56.3")</f>
        <v>56.3</v>
      </c>
      <c r="L59" t="str">
        <f>IFERROR(__xludf.DUMMYFUNCTION("""COMPUTED_VALUE"""),"65.0")</f>
        <v>65.0</v>
      </c>
    </row>
    <row r="60">
      <c r="A60" s="4">
        <f>IFERROR(__xludf.DUMMYFUNCTION("""COMPUTED_VALUE"""),2006.0)</f>
        <v>2006</v>
      </c>
      <c r="B60" t="str">
        <f>IFERROR(__xludf.DUMMYFUNCTION("""COMPUTED_VALUE"""),"1,172,878,890")</f>
        <v>1,172,878,890</v>
      </c>
      <c r="C60" t="str">
        <f>IFERROR(__xludf.DUMMYFUNCTION("""COMPUTED_VALUE"""),"27,637,610")</f>
        <v>27,637,610</v>
      </c>
      <c r="D60" t="str">
        <f>IFERROR(__xludf.DUMMYFUNCTION("""COMPUTED_VALUE"""),"8,995,893")</f>
        <v>8,995,893</v>
      </c>
      <c r="E60" t="str">
        <f>IFERROR(__xludf.DUMMYFUNCTION("""COMPUTED_VALUE"""),"18,202,571")</f>
        <v>18,202,571</v>
      </c>
      <c r="F60" t="str">
        <f>IFERROR(__xludf.DUMMYFUNCTION("""COMPUTED_VALUE"""),"23.56")</f>
        <v>23.56</v>
      </c>
      <c r="G60" t="str">
        <f>IFERROR(__xludf.DUMMYFUNCTION("""COMPUTED_VALUE"""),"7.67")</f>
        <v>7.67</v>
      </c>
      <c r="H60" s="2">
        <f>IFERROR(__xludf.DUMMYFUNCTION("""COMPUTED_VALUE"""),46157.0)</f>
        <v>46157</v>
      </c>
      <c r="I60" t="str">
        <f>IFERROR(__xludf.DUMMYFUNCTION("""COMPUTED_VALUE"""),"−0.1")</f>
        <v>−0.1</v>
      </c>
      <c r="J60" t="str">
        <f>IFERROR(__xludf.DUMMYFUNCTION("""COMPUTED_VALUE"""),"2.86")</f>
        <v>2.86</v>
      </c>
      <c r="K60" t="str">
        <f>IFERROR(__xludf.DUMMYFUNCTION("""COMPUTED_VALUE"""),"54.1")</f>
        <v>54.1</v>
      </c>
      <c r="L60" t="str">
        <f>IFERROR(__xludf.DUMMYFUNCTION("""COMPUTED_VALUE"""),"65.4")</f>
        <v>65.4</v>
      </c>
    </row>
    <row r="61">
      <c r="A61" s="4">
        <f>IFERROR(__xludf.DUMMYFUNCTION("""COMPUTED_VALUE"""),2007.0)</f>
        <v>2007</v>
      </c>
      <c r="B61" t="str">
        <f>IFERROR(__xludf.DUMMYFUNCTION("""COMPUTED_VALUE"""),"1,190,676,028")</f>
        <v>1,190,676,028</v>
      </c>
      <c r="C61" t="str">
        <f>IFERROR(__xludf.DUMMYFUNCTION("""COMPUTED_VALUE"""),"27,304,622")</f>
        <v>27,304,622</v>
      </c>
      <c r="D61" t="str">
        <f>IFERROR(__xludf.DUMMYFUNCTION("""COMPUTED_VALUE"""),"8,972,698")</f>
        <v>8,972,698</v>
      </c>
      <c r="E61" t="str">
        <f>IFERROR(__xludf.DUMMYFUNCTION("""COMPUTED_VALUE"""),"17,797,138")</f>
        <v>17,797,138</v>
      </c>
      <c r="F61" t="str">
        <f>IFERROR(__xludf.DUMMYFUNCTION("""COMPUTED_VALUE"""),"22.93")</f>
        <v>22.93</v>
      </c>
      <c r="G61" t="str">
        <f>IFERROR(__xludf.DUMMYFUNCTION("""COMPUTED_VALUE"""),"7.54")</f>
        <v>7.54</v>
      </c>
      <c r="H61" s="2">
        <f>IFERROR(__xludf.DUMMYFUNCTION("""COMPUTED_VALUE"""),46037.0)</f>
        <v>46037</v>
      </c>
      <c r="I61" t="str">
        <f>IFERROR(__xludf.DUMMYFUNCTION("""COMPUTED_VALUE"""),"−0.3")</f>
        <v>−0.3</v>
      </c>
      <c r="J61" t="str">
        <f>IFERROR(__xludf.DUMMYFUNCTION("""COMPUTED_VALUE"""),"2.78")</f>
        <v>2.78</v>
      </c>
      <c r="K61" t="str">
        <f>IFERROR(__xludf.DUMMYFUNCTION("""COMPUTED_VALUE"""),"51.9")</f>
        <v>51.9</v>
      </c>
      <c r="L61" t="str">
        <f>IFERROR(__xludf.DUMMYFUNCTION("""COMPUTED_VALUE"""),"65.8")</f>
        <v>65.8</v>
      </c>
    </row>
    <row r="62">
      <c r="A62" s="4">
        <f>IFERROR(__xludf.DUMMYFUNCTION("""COMPUTED_VALUE"""),2008.0)</f>
        <v>2008</v>
      </c>
      <c r="B62" t="str">
        <f>IFERROR(__xludf.DUMMYFUNCTION("""COMPUTED_VALUE"""),"1,207,930,962")</f>
        <v>1,207,930,962</v>
      </c>
      <c r="C62" t="str">
        <f>IFERROR(__xludf.DUMMYFUNCTION("""COMPUTED_VALUE"""),"27,186,094")</f>
        <v>27,186,094</v>
      </c>
      <c r="D62" t="str">
        <f>IFERROR(__xludf.DUMMYFUNCTION("""COMPUTED_VALUE"""),"8,950,894")</f>
        <v>8,950,894</v>
      </c>
      <c r="E62" t="str">
        <f>IFERROR(__xludf.DUMMYFUNCTION("""COMPUTED_VALUE"""),"17,254,934")</f>
        <v>17,254,934</v>
      </c>
      <c r="F62" t="str">
        <f>IFERROR(__xludf.DUMMYFUNCTION("""COMPUTED_VALUE"""),"22.51")</f>
        <v>22.51</v>
      </c>
      <c r="G62" t="str">
        <f>IFERROR(__xludf.DUMMYFUNCTION("""COMPUTED_VALUE"""),"7.41")</f>
        <v>7.41</v>
      </c>
      <c r="H62" s="2">
        <f>IFERROR(__xludf.DUMMYFUNCTION("""COMPUTED_VALUE"""),46217.0)</f>
        <v>46217</v>
      </c>
      <c r="I62" t="str">
        <f>IFERROR(__xludf.DUMMYFUNCTION("""COMPUTED_VALUE"""),"−0.4")</f>
        <v>−0.4</v>
      </c>
      <c r="J62" t="str">
        <f>IFERROR(__xludf.DUMMYFUNCTION("""COMPUTED_VALUE"""),"2.72")</f>
        <v>2.72</v>
      </c>
      <c r="K62" t="str">
        <f>IFERROR(__xludf.DUMMYFUNCTION("""COMPUTED_VALUE"""),"49.6")</f>
        <v>49.6</v>
      </c>
      <c r="L62" t="str">
        <f>IFERROR(__xludf.DUMMYFUNCTION("""COMPUTED_VALUE"""),"66.1")</f>
        <v>66.1</v>
      </c>
    </row>
    <row r="63">
      <c r="A63" s="4">
        <f>IFERROR(__xludf.DUMMYFUNCTION("""COMPUTED_VALUE"""),2009.0)</f>
        <v>2009</v>
      </c>
      <c r="B63" t="str">
        <f>IFERROR(__xludf.DUMMYFUNCTION("""COMPUTED_VALUE"""),"1,225,524,760")</f>
        <v>1,225,524,760</v>
      </c>
      <c r="C63" t="str">
        <f>IFERROR(__xludf.DUMMYFUNCTION("""COMPUTED_VALUE"""),"27,219,670")</f>
        <v>27,219,670</v>
      </c>
      <c r="D63" t="str">
        <f>IFERROR(__xludf.DUMMYFUNCTION("""COMPUTED_VALUE"""),"8,934,340")</f>
        <v>8,934,340</v>
      </c>
      <c r="E63" t="str">
        <f>IFERROR(__xludf.DUMMYFUNCTION("""COMPUTED_VALUE"""),"17,593,798")</f>
        <v>17,593,798</v>
      </c>
      <c r="F63" t="str">
        <f>IFERROR(__xludf.DUMMYFUNCTION("""COMPUTED_VALUE"""),"22.21")</f>
        <v>22.21</v>
      </c>
      <c r="G63" t="str">
        <f>IFERROR(__xludf.DUMMYFUNCTION("""COMPUTED_VALUE"""),"7.29")</f>
        <v>7.29</v>
      </c>
      <c r="H63" s="2">
        <f>IFERROR(__xludf.DUMMYFUNCTION("""COMPUTED_VALUE"""),46156.0)</f>
        <v>46156</v>
      </c>
      <c r="I63" t="str">
        <f>IFERROR(__xludf.DUMMYFUNCTION("""COMPUTED_VALUE"""),"−0.5")</f>
        <v>−0.5</v>
      </c>
      <c r="J63" t="str">
        <f>IFERROR(__xludf.DUMMYFUNCTION("""COMPUTED_VALUE"""),"2.67")</f>
        <v>2.67</v>
      </c>
      <c r="K63" t="str">
        <f>IFERROR(__xludf.DUMMYFUNCTION("""COMPUTED_VALUE"""),"47.4")</f>
        <v>47.4</v>
      </c>
      <c r="L63" t="str">
        <f>IFERROR(__xludf.DUMMYFUNCTION("""COMPUTED_VALUE"""),"66.5")</f>
        <v>66.5</v>
      </c>
    </row>
    <row r="64">
      <c r="A64" s="4">
        <f>IFERROR(__xludf.DUMMYFUNCTION("""COMPUTED_VALUE"""),2010.0)</f>
        <v>2010</v>
      </c>
      <c r="B64" t="str">
        <f>IFERROR(__xludf.DUMMYFUNCTION("""COMPUTED_VALUE"""),"1,243,481,564")</f>
        <v>1,243,481,564</v>
      </c>
      <c r="C64" t="str">
        <f>IFERROR(__xludf.DUMMYFUNCTION("""COMPUTED_VALUE"""),"26,900,710")</f>
        <v>26,900,710</v>
      </c>
      <c r="D64" t="str">
        <f>IFERROR(__xludf.DUMMYFUNCTION("""COMPUTED_VALUE"""),"8,908,601")</f>
        <v>8,908,601</v>
      </c>
      <c r="E64" t="str">
        <f>IFERROR(__xludf.DUMMYFUNCTION("""COMPUTED_VALUE"""),"17,956,804")</f>
        <v>17,956,804</v>
      </c>
      <c r="F64" t="str">
        <f>IFERROR(__xludf.DUMMYFUNCTION("""COMPUTED_VALUE"""),"21.63")</f>
        <v>21.63</v>
      </c>
      <c r="G64" t="str">
        <f>IFERROR(__xludf.DUMMYFUNCTION("""COMPUTED_VALUE"""),"7.16")</f>
        <v>7.16</v>
      </c>
      <c r="H64" s="2">
        <f>IFERROR(__xludf.DUMMYFUNCTION("""COMPUTED_VALUE"""),46036.0)</f>
        <v>46036</v>
      </c>
      <c r="I64" t="str">
        <f>IFERROR(__xludf.DUMMYFUNCTION("""COMPUTED_VALUE"""),"−0.2")</f>
        <v>−0.2</v>
      </c>
      <c r="J64" t="str">
        <f>IFERROR(__xludf.DUMMYFUNCTION("""COMPUTED_VALUE"""),"2.60")</f>
        <v>2.60</v>
      </c>
      <c r="K64" t="str">
        <f>IFERROR(__xludf.DUMMYFUNCTION("""COMPUTED_VALUE"""),"45.2")</f>
        <v>45.2</v>
      </c>
      <c r="L64" t="str">
        <f>IFERROR(__xludf.DUMMYFUNCTION("""COMPUTED_VALUE"""),"66.9")</f>
        <v>66.9</v>
      </c>
    </row>
    <row r="65">
      <c r="A65" s="4">
        <f>IFERROR(__xludf.DUMMYFUNCTION("""COMPUTED_VALUE"""),2011.0)</f>
        <v>2011</v>
      </c>
      <c r="B65" t="str">
        <f>IFERROR(__xludf.DUMMYFUNCTION("""COMPUTED_VALUE"""),"1,261,224,952")</f>
        <v>1,261,224,952</v>
      </c>
      <c r="C65" t="str">
        <f>IFERROR(__xludf.DUMMYFUNCTION("""COMPUTED_VALUE"""),"26,681,990")</f>
        <v>26,681,990</v>
      </c>
      <c r="D65" t="str">
        <f>IFERROR(__xludf.DUMMYFUNCTION("""COMPUTED_VALUE"""),"8,889,393")</f>
        <v>8,889,393</v>
      </c>
      <c r="E65" t="str">
        <f>IFERROR(__xludf.DUMMYFUNCTION("""COMPUTED_VALUE"""),"17,743,388")</f>
        <v>17,743,388</v>
      </c>
      <c r="F65" t="str">
        <f>IFERROR(__xludf.DUMMYFUNCTION("""COMPUTED_VALUE"""),"21.16")</f>
        <v>21.16</v>
      </c>
      <c r="G65" s="3">
        <f>IFERROR(__xludf.DUMMYFUNCTION("""COMPUTED_VALUE"""),46149.0)</f>
        <v>46149</v>
      </c>
      <c r="H65" s="2">
        <f>IFERROR(__xludf.DUMMYFUNCTION("""COMPUTED_VALUE"""),46216.0)</f>
        <v>46216</v>
      </c>
      <c r="I65">
        <f>IFERROR(__xludf.DUMMYFUNCTION("""COMPUTED_VALUE"""),0.0)</f>
        <v>0</v>
      </c>
      <c r="J65" t="str">
        <f>IFERROR(__xludf.DUMMYFUNCTION("""COMPUTED_VALUE"""),"2.54")</f>
        <v>2.54</v>
      </c>
      <c r="K65" t="str">
        <f>IFERROR(__xludf.DUMMYFUNCTION("""COMPUTED_VALUE"""),"43.0")</f>
        <v>43.0</v>
      </c>
      <c r="L65" t="str">
        <f>IFERROR(__xludf.DUMMYFUNCTION("""COMPUTED_VALUE"""),"67.4")</f>
        <v>67.4</v>
      </c>
    </row>
    <row r="66">
      <c r="A66" s="4">
        <f>IFERROR(__xludf.DUMMYFUNCTION("""COMPUTED_VALUE"""),2012.0)</f>
        <v>2012</v>
      </c>
      <c r="B66" t="str">
        <f>IFERROR(__xludf.DUMMYFUNCTION("""COMPUTED_VALUE"""),"1,278,674,506")</f>
        <v>1,278,674,506</v>
      </c>
      <c r="C66" t="str">
        <f>IFERROR(__xludf.DUMMYFUNCTION("""COMPUTED_VALUE"""),"26,432,416")</f>
        <v>26,432,416</v>
      </c>
      <c r="D66" t="str">
        <f>IFERROR(__xludf.DUMMYFUNCTION("""COMPUTED_VALUE"""),"8,879,964")</f>
        <v>8,879,964</v>
      </c>
      <c r="E66" t="str">
        <f>IFERROR(__xludf.DUMMYFUNCTION("""COMPUTED_VALUE"""),"17,449,554")</f>
        <v>17,449,554</v>
      </c>
      <c r="F66" t="str">
        <f>IFERROR(__xludf.DUMMYFUNCTION("""COMPUTED_VALUE"""),"20.67")</f>
        <v>20.67</v>
      </c>
      <c r="G66" t="str">
        <f>IFERROR(__xludf.DUMMYFUNCTION("""COMPUTED_VALUE"""),"6.95")</f>
        <v>6.95</v>
      </c>
      <c r="H66" s="2">
        <f>IFERROR(__xludf.DUMMYFUNCTION("""COMPUTED_VALUE"""),46094.0)</f>
        <v>46094</v>
      </c>
      <c r="I66" t="str">
        <f>IFERROR(__xludf.DUMMYFUNCTION("""COMPUTED_VALUE"""),"0.1")</f>
        <v>0.1</v>
      </c>
      <c r="J66" t="str">
        <f>IFERROR(__xludf.DUMMYFUNCTION("""COMPUTED_VALUE"""),"2.47")</f>
        <v>2.47</v>
      </c>
      <c r="K66" t="str">
        <f>IFERROR(__xludf.DUMMYFUNCTION("""COMPUTED_VALUE"""),"40.8")</f>
        <v>40.8</v>
      </c>
      <c r="L66" t="str">
        <f>IFERROR(__xludf.DUMMYFUNCTION("""COMPUTED_VALUE"""),"67.9")</f>
        <v>67.9</v>
      </c>
    </row>
    <row r="67">
      <c r="A67" s="4">
        <f>IFERROR(__xludf.DUMMYFUNCTION("""COMPUTED_VALUE"""),2013.0)</f>
        <v>2013</v>
      </c>
      <c r="B67" t="str">
        <f>IFERROR(__xludf.DUMMYFUNCTION("""COMPUTED_VALUE"""),"1,295,829,506")</f>
        <v>1,295,829,506</v>
      </c>
      <c r="C67" t="str">
        <f>IFERROR(__xludf.DUMMYFUNCTION("""COMPUTED_VALUE"""),"25,995,998")</f>
        <v>25,995,998</v>
      </c>
      <c r="D67" t="str">
        <f>IFERROR(__xludf.DUMMYFUNCTION("""COMPUTED_VALUE"""),"8,888,126")</f>
        <v>8,888,126</v>
      </c>
      <c r="E67" t="str">
        <f>IFERROR(__xludf.DUMMYFUNCTION("""COMPUTED_VALUE"""),"17,155,000")</f>
        <v>17,155,000</v>
      </c>
      <c r="F67" s="3">
        <f>IFERROR(__xludf.DUMMYFUNCTION("""COMPUTED_VALUE"""),46193.0)</f>
        <v>46193</v>
      </c>
      <c r="G67" t="str">
        <f>IFERROR(__xludf.DUMMYFUNCTION("""COMPUTED_VALUE"""),"6.86")</f>
        <v>6.86</v>
      </c>
      <c r="H67" t="str">
        <f>IFERROR(__xludf.DUMMYFUNCTION("""COMPUTED_VALUE"""),"13.0")</f>
        <v>13.0</v>
      </c>
      <c r="I67" t="str">
        <f>IFERROR(__xludf.DUMMYFUNCTION("""COMPUTED_VALUE"""),"0.1")</f>
        <v>0.1</v>
      </c>
      <c r="J67" t="str">
        <f>IFERROR(__xludf.DUMMYFUNCTION("""COMPUTED_VALUE"""),"2.41")</f>
        <v>2.41</v>
      </c>
      <c r="K67" t="str">
        <f>IFERROR(__xludf.DUMMYFUNCTION("""COMPUTED_VALUE"""),"38.7")</f>
        <v>38.7</v>
      </c>
      <c r="L67" t="str">
        <f>IFERROR(__xludf.DUMMYFUNCTION("""COMPUTED_VALUE"""),"68.5")</f>
        <v>68.5</v>
      </c>
    </row>
    <row r="68">
      <c r="A68" s="4">
        <f>IFERROR(__xludf.DUMMYFUNCTION("""COMPUTED_VALUE"""),2014.0)</f>
        <v>2014</v>
      </c>
      <c r="B68" t="str">
        <f>IFERROR(__xludf.DUMMYFUNCTION("""COMPUTED_VALUE"""),"1,312,277,184")</f>
        <v>1,312,277,184</v>
      </c>
      <c r="C68" t="str">
        <f>IFERROR(__xludf.DUMMYFUNCTION("""COMPUTED_VALUE"""),"25,050,538")</f>
        <v>25,050,538</v>
      </c>
      <c r="D68" t="str">
        <f>IFERROR(__xludf.DUMMYFUNCTION("""COMPUTED_VALUE"""),"8,884,412")</f>
        <v>8,884,412</v>
      </c>
      <c r="E68" t="str">
        <f>IFERROR(__xludf.DUMMYFUNCTION("""COMPUTED_VALUE"""),"16,447,678")</f>
        <v>16,447,678</v>
      </c>
      <c r="F68" s="3">
        <f>IFERROR(__xludf.DUMMYFUNCTION("""COMPUTED_VALUE"""),46284.0)</f>
        <v>46284</v>
      </c>
      <c r="G68" t="str">
        <f>IFERROR(__xludf.DUMMYFUNCTION("""COMPUTED_VALUE"""),"6.77")</f>
        <v>6.77</v>
      </c>
      <c r="H68" s="2">
        <f>IFERROR(__xludf.DUMMYFUNCTION("""COMPUTED_VALUE"""),46093.0)</f>
        <v>46093</v>
      </c>
      <c r="I68" t="str">
        <f>IFERROR(__xludf.DUMMYFUNCTION("""COMPUTED_VALUE"""),"0.2")</f>
        <v>0.2</v>
      </c>
      <c r="J68" t="str">
        <f>IFERROR(__xludf.DUMMYFUNCTION("""COMPUTED_VALUE"""),"2.31")</f>
        <v>2.31</v>
      </c>
      <c r="K68" t="str">
        <f>IFERROR(__xludf.DUMMYFUNCTION("""COMPUTED_VALUE"""),"36.7")</f>
        <v>36.7</v>
      </c>
      <c r="L68" t="str">
        <f>IFERROR(__xludf.DUMMYFUNCTION("""COMPUTED_VALUE"""),"69.1")</f>
        <v>69.1</v>
      </c>
    </row>
    <row r="69">
      <c r="A69" s="4">
        <f>IFERROR(__xludf.DUMMYFUNCTION("""COMPUTED_VALUE"""),2015.0)</f>
        <v>2015</v>
      </c>
      <c r="B69" t="str">
        <f>IFERROR(__xludf.DUMMYFUNCTION("""COMPUTED_VALUE"""),"1,328,024,492")</f>
        <v>1,328,024,492</v>
      </c>
      <c r="C69" t="str">
        <f>IFERROR(__xludf.DUMMYFUNCTION("""COMPUTED_VALUE"""),"25,147,252")</f>
        <v>25,147,252</v>
      </c>
      <c r="D69" t="str">
        <f>IFERROR(__xludf.DUMMYFUNCTION("""COMPUTED_VALUE"""),"8,936,426")</f>
        <v>8,936,426</v>
      </c>
      <c r="E69" t="str">
        <f>IFERROR(__xludf.DUMMYFUNCTION("""COMPUTED_VALUE"""),"15,747,308")</f>
        <v>15,747,308</v>
      </c>
      <c r="F69" t="str">
        <f>IFERROR(__xludf.DUMMYFUNCTION("""COMPUTED_VALUE"""),"18.94")</f>
        <v>18.94</v>
      </c>
      <c r="G69" t="str">
        <f>IFERROR(__xludf.DUMMYFUNCTION("""COMPUTED_VALUE"""),"6.73")</f>
        <v>6.73</v>
      </c>
      <c r="H69" s="2">
        <f>IFERROR(__xludf.DUMMYFUNCTION("""COMPUTED_VALUE"""),46034.0)</f>
        <v>46034</v>
      </c>
      <c r="I69" t="str">
        <f>IFERROR(__xludf.DUMMYFUNCTION("""COMPUTED_VALUE"""),"−0.2")</f>
        <v>−0.2</v>
      </c>
      <c r="J69" t="str">
        <f>IFERROR(__xludf.DUMMYFUNCTION("""COMPUTED_VALUE"""),"2.29")</f>
        <v>2.29</v>
      </c>
      <c r="K69" t="str">
        <f>IFERROR(__xludf.DUMMYFUNCTION("""COMPUTED_VALUE"""),"34.7")</f>
        <v>34.7</v>
      </c>
      <c r="L69" t="str">
        <f>IFERROR(__xludf.DUMMYFUNCTION("""COMPUTED_VALUE"""),"69.6")</f>
        <v>69.6</v>
      </c>
    </row>
    <row r="70">
      <c r="A70" s="4">
        <f>IFERROR(__xludf.DUMMYFUNCTION("""COMPUTED_VALUE"""),2016.0)</f>
        <v>2016</v>
      </c>
      <c r="B70" t="str">
        <f>IFERROR(__xludf.DUMMYFUNCTION("""COMPUTED_VALUE"""),"1,343,944,293")</f>
        <v>1,343,944,293</v>
      </c>
      <c r="C70" t="str">
        <f>IFERROR(__xludf.DUMMYFUNCTION("""COMPUTED_VALUE"""),"25,207,146")</f>
        <v>25,207,146</v>
      </c>
      <c r="D70" t="str">
        <f>IFERROR(__xludf.DUMMYFUNCTION("""COMPUTED_VALUE"""),"9,004,539")</f>
        <v>9,004,539</v>
      </c>
      <c r="E70" t="str">
        <f>IFERROR(__xludf.DUMMYFUNCTION("""COMPUTED_VALUE"""),"15,919,801")</f>
        <v>15,919,801</v>
      </c>
      <c r="F70" t="str">
        <f>IFERROR(__xludf.DUMMYFUNCTION("""COMPUTED_VALUE"""),"18.76")</f>
        <v>18.76</v>
      </c>
      <c r="G70" t="str">
        <f>IFERROR(__xludf.DUMMYFUNCTION("""COMPUTED_VALUE"""),"6.70")</f>
        <v>6.70</v>
      </c>
      <c r="H70" s="2">
        <f>IFERROR(__xludf.DUMMYFUNCTION("""COMPUTED_VALUE"""),46276.0)</f>
        <v>46276</v>
      </c>
      <c r="I70">
        <f>IFERROR(__xludf.DUMMYFUNCTION("""COMPUTED_VALUE"""),0.0)</f>
        <v>0</v>
      </c>
      <c r="J70" t="str">
        <f>IFERROR(__xludf.DUMMYFUNCTION("""COMPUTED_VALUE"""),"2.27")</f>
        <v>2.27</v>
      </c>
      <c r="K70" t="str">
        <f>IFERROR(__xludf.DUMMYFUNCTION("""COMPUTED_VALUE"""),"32.8")</f>
        <v>32.8</v>
      </c>
      <c r="L70" t="str">
        <f>IFERROR(__xludf.DUMMYFUNCTION("""COMPUTED_VALUE"""),"70.1")</f>
        <v>70.1</v>
      </c>
    </row>
    <row r="71">
      <c r="A71" s="4">
        <f>IFERROR(__xludf.DUMMYFUNCTION("""COMPUTED_VALUE"""),2017.0)</f>
        <v>2017</v>
      </c>
      <c r="B71" t="str">
        <f>IFERROR(__xludf.DUMMYFUNCTION("""COMPUTED_VALUE"""),"1,359,657,392")</f>
        <v>1,359,657,392</v>
      </c>
      <c r="C71" t="str">
        <f>IFERROR(__xludf.DUMMYFUNCTION("""COMPUTED_VALUE"""),"24,466,744")</f>
        <v>24,466,744</v>
      </c>
      <c r="D71" t="str">
        <f>IFERROR(__xludf.DUMMYFUNCTION("""COMPUTED_VALUE"""),"9,072,749")</f>
        <v>9,072,749</v>
      </c>
      <c r="E71" t="str">
        <f>IFERROR(__xludf.DUMMYFUNCTION("""COMPUTED_VALUE"""),"15,713,099")</f>
        <v>15,713,099</v>
      </c>
      <c r="F71" t="str">
        <f>IFERROR(__xludf.DUMMYFUNCTION("""COMPUTED_VALUE"""),"18.00")</f>
        <v>18.00</v>
      </c>
      <c r="G71" t="str">
        <f>IFERROR(__xludf.DUMMYFUNCTION("""COMPUTED_VALUE"""),"6.67")</f>
        <v>6.67</v>
      </c>
      <c r="H71" s="2">
        <f>IFERROR(__xludf.DUMMYFUNCTION("""COMPUTED_VALUE"""),46092.0)</f>
        <v>46092</v>
      </c>
      <c r="I71" t="str">
        <f>IFERROR(__xludf.DUMMYFUNCTION("""COMPUTED_VALUE"""),"0.3")</f>
        <v>0.3</v>
      </c>
      <c r="J71" t="str">
        <f>IFERROR(__xludf.DUMMYFUNCTION("""COMPUTED_VALUE"""),"2.20")</f>
        <v>2.20</v>
      </c>
      <c r="K71" s="2">
        <f>IFERROR(__xludf.DUMMYFUNCTION("""COMPUTED_VALUE"""),46053.0)</f>
        <v>46053</v>
      </c>
      <c r="L71" t="str">
        <f>IFERROR(__xludf.DUMMYFUNCTION("""COMPUTED_VALUE"""),"70.5")</f>
        <v>70.5</v>
      </c>
    </row>
    <row r="72">
      <c r="A72" s="4">
        <f>IFERROR(__xludf.DUMMYFUNCTION("""COMPUTED_VALUE"""),2018.0)</f>
        <v>2018</v>
      </c>
      <c r="B72" t="str">
        <f>IFERROR(__xludf.DUMMYFUNCTION("""COMPUTED_VALUE"""),"1,374,659,068")</f>
        <v>1,374,659,068</v>
      </c>
      <c r="C72" t="str">
        <f>IFERROR(__xludf.DUMMYFUNCTION("""COMPUTED_VALUE"""),"24,620,206")</f>
        <v>24,620,206</v>
      </c>
      <c r="D72" t="str">
        <f>IFERROR(__xludf.DUMMYFUNCTION("""COMPUTED_VALUE"""),"9,169,449")</f>
        <v>9,169,449</v>
      </c>
      <c r="E72" t="str">
        <f>IFERROR(__xludf.DUMMYFUNCTION("""COMPUTED_VALUE"""),"15,001,676")</f>
        <v>15,001,676</v>
      </c>
      <c r="F72" t="str">
        <f>IFERROR(__xludf.DUMMYFUNCTION("""COMPUTED_VALUE"""),"17.91")</f>
        <v>17.91</v>
      </c>
      <c r="G72" t="str">
        <f>IFERROR(__xludf.DUMMYFUNCTION("""COMPUTED_VALUE"""),"6.67")</f>
        <v>6.67</v>
      </c>
      <c r="H72" t="str">
        <f>IFERROR(__xludf.DUMMYFUNCTION("""COMPUTED_VALUE"""),"11.0")</f>
        <v>11.0</v>
      </c>
      <c r="I72" t="str">
        <f>IFERROR(__xludf.DUMMYFUNCTION("""COMPUTED_VALUE"""),"−0.1")</f>
        <v>−0.1</v>
      </c>
      <c r="J72" t="str">
        <f>IFERROR(__xludf.DUMMYFUNCTION("""COMPUTED_VALUE"""),"2.18")</f>
        <v>2.18</v>
      </c>
      <c r="K72" s="2">
        <f>IFERROR(__xludf.DUMMYFUNCTION("""COMPUTED_VALUE"""),46141.0)</f>
        <v>46141</v>
      </c>
      <c r="L72" t="str">
        <f>IFERROR(__xludf.DUMMYFUNCTION("""COMPUTED_VALUE"""),"70.7")</f>
        <v>70.7</v>
      </c>
    </row>
    <row r="73">
      <c r="A73" s="4">
        <f>IFERROR(__xludf.DUMMYFUNCTION("""COMPUTED_VALUE"""),2019.0)</f>
        <v>2019</v>
      </c>
      <c r="B73" t="str">
        <f>IFERROR(__xludf.DUMMYFUNCTION("""COMPUTED_VALUE"""),"1,389,030,303")</f>
        <v>1,389,030,303</v>
      </c>
      <c r="C73" t="str">
        <f>IFERROR(__xludf.DUMMYFUNCTION("""COMPUTED_VALUE"""),"24,124,982")</f>
        <v>24,124,982</v>
      </c>
      <c r="D73" t="str">
        <f>IFERROR(__xludf.DUMMYFUNCTION("""COMPUTED_VALUE"""),"9,264,486")</f>
        <v>9,264,486</v>
      </c>
      <c r="E73" t="str">
        <f>IFERROR(__xludf.DUMMYFUNCTION("""COMPUTED_VALUE"""),"14,371,235")</f>
        <v>14,371,235</v>
      </c>
      <c r="F73" t="str">
        <f>IFERROR(__xludf.DUMMYFUNCTION("""COMPUTED_VALUE"""),"17.37")</f>
        <v>17.37</v>
      </c>
      <c r="G73" t="str">
        <f>IFERROR(__xludf.DUMMYFUNCTION("""COMPUTED_VALUE"""),"6.67")</f>
        <v>6.67</v>
      </c>
      <c r="H73" s="2">
        <f>IFERROR(__xludf.DUMMYFUNCTION("""COMPUTED_VALUE"""),46091.0)</f>
        <v>46091</v>
      </c>
      <c r="I73">
        <f>IFERROR(__xludf.DUMMYFUNCTION("""COMPUTED_VALUE"""),0.0)</f>
        <v>0</v>
      </c>
      <c r="J73" s="2">
        <f>IFERROR(__xludf.DUMMYFUNCTION("""COMPUTED_VALUE"""),46328.0)</f>
        <v>46328</v>
      </c>
      <c r="K73" s="2">
        <f>IFERROR(__xludf.DUMMYFUNCTION("""COMPUTED_VALUE"""),46292.0)</f>
        <v>46292</v>
      </c>
      <c r="L73" t="str">
        <f>IFERROR(__xludf.DUMMYFUNCTION("""COMPUTED_VALUE"""),"70.9")</f>
        <v>70.9</v>
      </c>
    </row>
    <row r="74">
      <c r="A74" s="4">
        <f>IFERROR(__xludf.DUMMYFUNCTION("""COMPUTED_VALUE"""),2020.0)</f>
        <v>2020</v>
      </c>
      <c r="B74" t="str">
        <f>IFERROR(__xludf.DUMMYFUNCTION("""COMPUTED_VALUE"""),"1,402,617,692")</f>
        <v>1,402,617,692</v>
      </c>
      <c r="C74" t="str">
        <f>IFERROR(__xludf.DUMMYFUNCTION("""COMPUTED_VALUE"""),"23,485,340")</f>
        <v>23,485,340</v>
      </c>
      <c r="D74" t="str">
        <f>IFERROR(__xludf.DUMMYFUNCTION("""COMPUTED_VALUE"""),"10,118,286")</f>
        <v>10,118,286</v>
      </c>
      <c r="E74" t="str">
        <f>IFERROR(__xludf.DUMMYFUNCTION("""COMPUTED_VALUE"""),"13,587,389")</f>
        <v>13,587,389</v>
      </c>
      <c r="F74" t="str">
        <f>IFERROR(__xludf.DUMMYFUNCTION("""COMPUTED_VALUE"""),"16.74")</f>
        <v>16.74</v>
      </c>
      <c r="G74" t="str">
        <f>IFERROR(__xludf.DUMMYFUNCTION("""COMPUTED_VALUE"""),"7.21")</f>
        <v>7.21</v>
      </c>
      <c r="H74" s="2">
        <f>IFERROR(__xludf.DUMMYFUNCTION("""COMPUTED_VALUE"""),46062.0)</f>
        <v>46062</v>
      </c>
      <c r="I74" t="str">
        <f>IFERROR(__xludf.DUMMYFUNCTION("""COMPUTED_VALUE"""),"0.4")</f>
        <v>0.4</v>
      </c>
      <c r="J74" s="3">
        <f>IFERROR(__xludf.DUMMYFUNCTION("""COMPUTED_VALUE"""),46144.0)</f>
        <v>46144</v>
      </c>
      <c r="K74" s="2">
        <f>IFERROR(__xludf.DUMMYFUNCTION("""COMPUTED_VALUE"""),46199.0)</f>
        <v>46199</v>
      </c>
      <c r="L74" t="str">
        <f>IFERROR(__xludf.DUMMYFUNCTION("""COMPUTED_VALUE"""),"70.1")</f>
        <v>70.1</v>
      </c>
    </row>
    <row r="75">
      <c r="A75" s="4">
        <f>IFERROR(__xludf.DUMMYFUNCTION("""COMPUTED_VALUE"""),2021.0)</f>
        <v>2021</v>
      </c>
      <c r="B75" t="str">
        <f>IFERROR(__xludf.DUMMYFUNCTION("""COMPUTED_VALUE"""),"1,414,203,889")</f>
        <v>1,414,203,889</v>
      </c>
      <c r="C75" t="str">
        <f>IFERROR(__xludf.DUMMYFUNCTION("""COMPUTED_VALUE"""),"23,321,854")</f>
        <v>23,321,854</v>
      </c>
      <c r="D75" t="str">
        <f>IFERROR(__xludf.DUMMYFUNCTION("""COMPUTED_VALUE"""),"13,093,783")</f>
        <v>13,093,783</v>
      </c>
      <c r="E75" t="str">
        <f>IFERROR(__xludf.DUMMYFUNCTION("""COMPUTED_VALUE"""),"11,586,197")</f>
        <v>11,586,197</v>
      </c>
      <c r="F75" t="str">
        <f>IFERROR(__xludf.DUMMYFUNCTION("""COMPUTED_VALUE"""),"16.49")</f>
        <v>16.49</v>
      </c>
      <c r="G75" t="str">
        <f>IFERROR(__xludf.DUMMYFUNCTION("""COMPUTED_VALUE"""),"9.26")</f>
        <v>9.26</v>
      </c>
      <c r="H75" t="str">
        <f>IFERROR(__xludf.DUMMYFUNCTION("""COMPUTED_VALUE"""),"7.0")</f>
        <v>7.0</v>
      </c>
      <c r="I75" t="str">
        <f>IFERROR(__xludf.DUMMYFUNCTION("""COMPUTED_VALUE"""),"−1.0")</f>
        <v>−1.0</v>
      </c>
      <c r="J75" s="3">
        <f>IFERROR(__xludf.DUMMYFUNCTION("""COMPUTED_VALUE"""),46024.0)</f>
        <v>46024</v>
      </c>
      <c r="K75" s="2">
        <f>IFERROR(__xludf.DUMMYFUNCTION("""COMPUTED_VALUE"""),46167.0)</f>
        <v>46167</v>
      </c>
      <c r="L75" t="str">
        <f>IFERROR(__xludf.DUMMYFUNCTION("""COMPUTED_VALUE"""),"67.2")</f>
        <v>67.2</v>
      </c>
    </row>
    <row r="76">
      <c r="A76" s="4">
        <f>IFERROR(__xludf.DUMMYFUNCTION("""COMPUTED_VALUE"""),2022.0)</f>
        <v>2022</v>
      </c>
      <c r="B76" t="str">
        <f>IFERROR(__xludf.DUMMYFUNCTION("""COMPUTED_VALUE"""),"1,425,423,212")</f>
        <v>1,425,423,212</v>
      </c>
      <c r="C76" t="str">
        <f>IFERROR(__xludf.DUMMYFUNCTION("""COMPUTED_VALUE"""),"23,286,124")</f>
        <v>23,286,124</v>
      </c>
      <c r="D76" t="str">
        <f>IFERROR(__xludf.DUMMYFUNCTION("""COMPUTED_VALUE"""),"9,373,180")</f>
        <v>9,373,180</v>
      </c>
      <c r="E76" t="str">
        <f>IFERROR(__xludf.DUMMYFUNCTION("""COMPUTED_VALUE"""),"11,219,323")</f>
        <v>11,219,323</v>
      </c>
      <c r="F76" t="str">
        <f>IFERROR(__xludf.DUMMYFUNCTION("""COMPUTED_VALUE"""),"16.34")</f>
        <v>16.34</v>
      </c>
      <c r="G76" t="str">
        <f>IFERROR(__xludf.DUMMYFUNCTION("""COMPUTED_VALUE"""),"6.58")</f>
        <v>6.58</v>
      </c>
      <c r="H76" s="2">
        <f>IFERROR(__xludf.DUMMYFUNCTION("""COMPUTED_VALUE"""),46060.0)</f>
        <v>46060</v>
      </c>
      <c r="I76" t="str">
        <f>IFERROR(__xludf.DUMMYFUNCTION("""COMPUTED_VALUE"""),"−0.4")</f>
        <v>−0.4</v>
      </c>
      <c r="J76" t="str">
        <f>IFERROR(__xludf.DUMMYFUNCTION("""COMPUTED_VALUE"""),"1.99")</f>
        <v>1.99</v>
      </c>
      <c r="K76" t="str">
        <f>IFERROR(__xludf.DUMMYFUNCTION("""COMPUTED_VALUE"""),"23.8624")</f>
        <v>23.8624</v>
      </c>
      <c r="L76" t="str">
        <f>IFERROR(__xludf.DUMMYFUNCTION("""COMPUTED_VALUE"""),"67.7")</f>
        <v>67.7</v>
      </c>
    </row>
    <row r="77">
      <c r="A77" s="4">
        <f>IFERROR(__xludf.DUMMYFUNCTION("""COMPUTED_VALUE"""),2023.0)</f>
        <v>2023</v>
      </c>
      <c r="B77" t="str">
        <f>IFERROR(__xludf.DUMMYFUNCTION("""COMPUTED_VALUE"""),"1,438,069,597")</f>
        <v>1,438,069,597</v>
      </c>
      <c r="C77" t="str">
        <f>IFERROR(__xludf.DUMMYFUNCTION("""COMPUTED_VALUE"""),"23,219,488")</f>
        <v>23,219,488</v>
      </c>
      <c r="D77" t="str">
        <f>IFERROR(__xludf.DUMMYFUNCTION("""COMPUTED_VALUE"""),"9,507,013")</f>
        <v>9,507,013</v>
      </c>
      <c r="E77" t="str">
        <f>IFERROR(__xludf.DUMMYFUNCTION("""COMPUTED_VALUE"""),"12,646,385")</f>
        <v>12,646,385</v>
      </c>
      <c r="F77" t="str">
        <f>IFERROR(__xludf.DUMMYFUNCTION("""COMPUTED_VALUE"""),"16.15")</f>
        <v>16.15</v>
      </c>
      <c r="G77" t="str">
        <f>IFERROR(__xludf.DUMMYFUNCTION("""COMPUTED_VALUE"""),"6.61")</f>
        <v>6.61</v>
      </c>
      <c r="H77" s="2">
        <f>IFERROR(__xludf.DUMMYFUNCTION("""COMPUTED_VALUE"""),46151.0)</f>
        <v>46151</v>
      </c>
      <c r="I77" t="str">
        <f>IFERROR(__xludf.DUMMYFUNCTION("""COMPUTED_VALUE"""),"−1.4")</f>
        <v>−1.4</v>
      </c>
      <c r="J77" t="str">
        <f>IFERROR(__xludf.DUMMYFUNCTION("""COMPUTED_VALUE"""),"1.98")</f>
        <v>1.98</v>
      </c>
      <c r="K77" t="str">
        <f>IFERROR(__xludf.DUMMYFUNCTION("""COMPUTED_VALUE"""),"22.6186")</f>
        <v>22.6186</v>
      </c>
      <c r="L77" t="str">
        <f>IFERROR(__xludf.DUMMYFUNCTION("""COMPUTED_VALUE"""),"72.0")</f>
        <v>72.0</v>
      </c>
    </row>
    <row r="78">
      <c r="A78" s="4">
        <f>IFERROR(__xludf.DUMMYFUNCTION("""COMPUTED_VALUE"""),2024.0)</f>
        <v>2024</v>
      </c>
      <c r="B78" t="str">
        <f>IFERROR(__xludf.DUMMYFUNCTION("""COMPUTED_VALUE"""),"1,450,935,791")</f>
        <v>1,450,935,791</v>
      </c>
      <c r="C78" t="str">
        <f>IFERROR(__xludf.DUMMYFUNCTION("""COMPUTED_VALUE"""),"23,186,978")</f>
        <v>23,186,978</v>
      </c>
      <c r="D78" t="str">
        <f>IFERROR(__xludf.DUMMYFUNCTION("""COMPUTED_VALUE"""),"9,557,050")</f>
        <v>9,557,050</v>
      </c>
      <c r="E78" t="str">
        <f>IFERROR(__xludf.DUMMYFUNCTION("""COMPUTED_VALUE"""),"12,999,094")</f>
        <v>12,999,094</v>
      </c>
      <c r="F78" t="str">
        <f>IFERROR(__xludf.DUMMYFUNCTION("""COMPUTED_VALUE"""),"15.98")</f>
        <v>15.98</v>
      </c>
      <c r="G78" t="str">
        <f>IFERROR(__xludf.DUMMYFUNCTION("""COMPUTED_VALUE"""),"6.59")</f>
        <v>6.59</v>
      </c>
      <c r="H78" t="str">
        <f>IFERROR(__xludf.DUMMYFUNCTION("""COMPUTED_VALUE"""),"9.39")</f>
        <v>9.39</v>
      </c>
      <c r="I78" t="str">
        <f>IFERROR(__xludf.DUMMYFUNCTION("""COMPUTED_VALUE"""),"-0.43")</f>
        <v>-0.43</v>
      </c>
      <c r="J78" t="str">
        <f>IFERROR(__xludf.DUMMYFUNCTION("""COMPUTED_VALUE"""),"1.96")</f>
        <v>1.96</v>
      </c>
    </row>
    <row r="79">
      <c r="A79" s="4">
        <f>IFERROR(__xludf.DUMMYFUNCTION("""COMPUTED_VALUE"""),2025.0)</f>
        <v>2025</v>
      </c>
      <c r="F79" s="2">
        <f>IFERROR(__xludf.DUMMYFUNCTION("""COMPUTED_VALUE"""),46249.0)</f>
        <v>46249</v>
      </c>
      <c r="G79" s="2">
        <f>IFERROR(__xludf.DUMMYFUNCTION("""COMPUTED_VALUE"""),46179.0)</f>
        <v>46179</v>
      </c>
      <c r="H79" s="2">
        <f>IFERROR(__xludf.DUMMYFUNCTION("""COMPUTED_VALUE"""),46031.0)</f>
        <v>46031</v>
      </c>
      <c r="J79" t="str">
        <f>IFERROR(__xludf.DUMMYFUNCTION("""COMPUTED_VALUE"""),"1.94")</f>
        <v>1.94</v>
      </c>
    </row>
    <row r="80">
      <c r="A80" s="4">
        <f>IFERROR(__xludf.DUMMYFUNCTION("""COMPUTED_VALUE"""),2026.0)</f>
        <v>2026</v>
      </c>
      <c r="F80" s="2">
        <f>IFERROR(__xludf.DUMMYFUNCTION("""COMPUTED_VALUE"""),46188.0)</f>
        <v>46188</v>
      </c>
      <c r="G80" s="2">
        <f>IFERROR(__xludf.DUMMYFUNCTION("""COMPUTED_VALUE"""),46209.0)</f>
        <v>46209</v>
      </c>
      <c r="H80" s="2">
        <f>IFERROR(__xludf.DUMMYFUNCTION("""COMPUTED_VALUE"""),46273.0)</f>
        <v>46273</v>
      </c>
      <c r="J80" t="str">
        <f>IFERROR(__xludf.DUMMYFUNCTION("""COMPUTED_VALUE"""),"1.93")</f>
        <v>1.93</v>
      </c>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IFERROR(__xludf.DUMMYFUNCTION("IMPORTHTML(""https://fr.wikipedia.org/wiki/D%C3%A9mographie_de_la_France"",""table"")"),"")</f>
        <v/>
      </c>
      <c r="B1" t="str">
        <f>IFERROR(__xludf.DUMMYFUNCTION("""COMPUTED_VALUE"""),"Population (1er janvier)")</f>
        <v>Population (1er janvier)</v>
      </c>
      <c r="C1" t="str">
        <f>IFERROR(__xludf.DUMMYFUNCTION("""COMPUTED_VALUE"""),"Naissances")</f>
        <v>Naissances</v>
      </c>
      <c r="D1" t="str">
        <f>IFERROR(__xludf.DUMMYFUNCTION("""COMPUTED_VALUE"""),"Décès")</f>
        <v>Décès</v>
      </c>
      <c r="E1" t="str">
        <f>IFERROR(__xludf.DUMMYFUNCTION("""COMPUTED_VALUE"""),"Solde naturel")</f>
        <v>Solde naturel</v>
      </c>
      <c r="F1" t="str">
        <f>IFERROR(__xludf.DUMMYFUNCTION("""COMPUTED_VALUE"""),"Taux de natalité (pour 1000)")</f>
        <v>Taux de natalité (pour 1000)</v>
      </c>
      <c r="G1" t="str">
        <f>IFERROR(__xludf.DUMMYFUNCTION("""COMPUTED_VALUE"""),"Taux de mortalité (pour 1000)")</f>
        <v>Taux de mortalité (pour 1000)</v>
      </c>
      <c r="H1" t="str">
        <f>IFERROR(__xludf.DUMMYFUNCTION("""COMPUTED_VALUE"""),"Accroissement naturel (pour 1000)")</f>
        <v>Accroissement naturel (pour 1000)</v>
      </c>
      <c r="I1" t="str">
        <f>IFERROR(__xludf.DUMMYFUNCTION("""COMPUTED_VALUE"""),"Indice de fécondité[Note 3]")</f>
        <v>Indice de fécondité[Note 3]</v>
      </c>
      <c r="J1" t="str">
        <f>IFERROR(__xludf.DUMMYFUNCTION("""COMPUTED_VALUE"""),"Taux de mortalité infantile (pour 1000 naissances)")</f>
        <v>Taux de mortalité infantile (pour 1000 naissances)</v>
      </c>
      <c r="K1" t="str">
        <f>IFERROR(__xludf.DUMMYFUNCTION("""COMPUTED_VALUE"""),"Espérance de vie (hommes)")</f>
        <v>Espérance de vie (hommes)</v>
      </c>
      <c r="L1" t="str">
        <f>IFERROR(__xludf.DUMMYFUNCTION("""COMPUTED_VALUE"""),"Espérance de vie (femmes)")</f>
        <v>Espérance de vie (femmes)</v>
      </c>
    </row>
    <row r="2">
      <c r="A2">
        <f>IFERROR(__xludf.DUMMYFUNCTION("""COMPUTED_VALUE"""),1900.0)</f>
        <v>1900</v>
      </c>
      <c r="C2">
        <f>IFERROR(__xludf.DUMMYFUNCTION("""COMPUTED_VALUE"""),885200.0)</f>
        <v>885200</v>
      </c>
      <c r="D2">
        <f>IFERROR(__xludf.DUMMYFUNCTION("""COMPUTED_VALUE"""),818900.0)</f>
        <v>818900</v>
      </c>
      <c r="E2">
        <f>IFERROR(__xludf.DUMMYFUNCTION("""COMPUTED_VALUE"""),66300.0)</f>
        <v>66300</v>
      </c>
      <c r="F2">
        <f>IFERROR(__xludf.DUMMYFUNCTION("""COMPUTED_VALUE"""),22.7)</f>
        <v>22.7</v>
      </c>
      <c r="G2">
        <f>IFERROR(__xludf.DUMMYFUNCTION("""COMPUTED_VALUE"""),21.0)</f>
        <v>21</v>
      </c>
      <c r="H2">
        <f>IFERROR(__xludf.DUMMYFUNCTION("""COMPUTED_VALUE"""),1.7)</f>
        <v>1.7</v>
      </c>
      <c r="I2">
        <f>IFERROR(__xludf.DUMMYFUNCTION("""COMPUTED_VALUE"""),2.8)</f>
        <v>2.8</v>
      </c>
    </row>
    <row r="3">
      <c r="A3">
        <f>IFERROR(__xludf.DUMMYFUNCTION("""COMPUTED_VALUE"""),1901.0)</f>
        <v>1901</v>
      </c>
      <c r="B3">
        <f>IFERROR(__xludf.DUMMYFUNCTION("""COMPUTED_VALUE"""),4.071E7)</f>
        <v>40710000</v>
      </c>
      <c r="C3">
        <f>IFERROR(__xludf.DUMMYFUNCTION("""COMPUTED_VALUE"""),917075.0)</f>
        <v>917075</v>
      </c>
      <c r="D3">
        <f>IFERROR(__xludf.DUMMYFUNCTION("""COMPUTED_VALUE"""),825315.0)</f>
        <v>825315</v>
      </c>
      <c r="E3">
        <f>IFERROR(__xludf.DUMMYFUNCTION("""COMPUTED_VALUE"""),91760.0)</f>
        <v>91760</v>
      </c>
      <c r="F3">
        <f>IFERROR(__xludf.DUMMYFUNCTION("""COMPUTED_VALUE"""),22.5)</f>
        <v>22.5</v>
      </c>
      <c r="G3">
        <f>IFERROR(__xludf.DUMMYFUNCTION("""COMPUTED_VALUE"""),20.3)</f>
        <v>20.3</v>
      </c>
      <c r="H3">
        <f>IFERROR(__xludf.DUMMYFUNCTION("""COMPUTED_VALUE"""),2.3)</f>
        <v>2.3</v>
      </c>
      <c r="I3">
        <f>IFERROR(__xludf.DUMMYFUNCTION("""COMPUTED_VALUE"""),2.9)</f>
        <v>2.9</v>
      </c>
    </row>
    <row r="4">
      <c r="A4">
        <f>IFERROR(__xludf.DUMMYFUNCTION("""COMPUTED_VALUE"""),1902.0)</f>
        <v>1902</v>
      </c>
      <c r="B4">
        <f>IFERROR(__xludf.DUMMYFUNCTION("""COMPUTED_VALUE"""),4.081E7)</f>
        <v>40810000</v>
      </c>
      <c r="C4">
        <f>IFERROR(__xludf.DUMMYFUNCTION("""COMPUTED_VALUE"""),904434.0)</f>
        <v>904434</v>
      </c>
      <c r="D4">
        <f>IFERROR(__xludf.DUMMYFUNCTION("""COMPUTED_VALUE"""),801379.0)</f>
        <v>801379</v>
      </c>
      <c r="E4">
        <f>IFERROR(__xludf.DUMMYFUNCTION("""COMPUTED_VALUE"""),103055.0)</f>
        <v>103055</v>
      </c>
      <c r="F4">
        <f>IFERROR(__xludf.DUMMYFUNCTION("""COMPUTED_VALUE"""),22.2)</f>
        <v>22.2</v>
      </c>
      <c r="G4">
        <f>IFERROR(__xludf.DUMMYFUNCTION("""COMPUTED_VALUE"""),19.6)</f>
        <v>19.6</v>
      </c>
      <c r="H4">
        <f>IFERROR(__xludf.DUMMYFUNCTION("""COMPUTED_VALUE"""),2.5)</f>
        <v>2.5</v>
      </c>
      <c r="I4">
        <f>IFERROR(__xludf.DUMMYFUNCTION("""COMPUTED_VALUE"""),2.85)</f>
        <v>2.85</v>
      </c>
    </row>
    <row r="5">
      <c r="A5">
        <f>IFERROR(__xludf.DUMMYFUNCTION("""COMPUTED_VALUE"""),1903.0)</f>
        <v>1903</v>
      </c>
      <c r="B5">
        <f>IFERROR(__xludf.DUMMYFUNCTION("""COMPUTED_VALUE"""),4.091E7)</f>
        <v>40910000</v>
      </c>
      <c r="C5">
        <f>IFERROR(__xludf.DUMMYFUNCTION("""COMPUTED_VALUE"""),884498.0)</f>
        <v>884498</v>
      </c>
      <c r="D5">
        <f>IFERROR(__xludf.DUMMYFUNCTION("""COMPUTED_VALUE"""),794566.0)</f>
        <v>794566</v>
      </c>
      <c r="E5">
        <f>IFERROR(__xludf.DUMMYFUNCTION("""COMPUTED_VALUE"""),89932.0)</f>
        <v>89932</v>
      </c>
      <c r="F5">
        <f>IFERROR(__xludf.DUMMYFUNCTION("""COMPUTED_VALUE"""),21.6)</f>
        <v>21.6</v>
      </c>
      <c r="G5">
        <f>IFERROR(__xludf.DUMMYFUNCTION("""COMPUTED_VALUE"""),19.4)</f>
        <v>19.4</v>
      </c>
      <c r="H5">
        <f>IFERROR(__xludf.DUMMYFUNCTION("""COMPUTED_VALUE"""),2.2)</f>
        <v>2.2</v>
      </c>
      <c r="I5">
        <f>IFERROR(__xludf.DUMMYFUNCTION("""COMPUTED_VALUE"""),2.78)</f>
        <v>2.78</v>
      </c>
    </row>
    <row r="6">
      <c r="A6">
        <f>IFERROR(__xludf.DUMMYFUNCTION("""COMPUTED_VALUE"""),1904.0)</f>
        <v>1904</v>
      </c>
      <c r="B6">
        <f>IFERROR(__xludf.DUMMYFUNCTION("""COMPUTED_VALUE"""),4.1E7)</f>
        <v>41000000</v>
      </c>
      <c r="C6">
        <f>IFERROR(__xludf.DUMMYFUNCTION("""COMPUTED_VALUE"""),877091.0)</f>
        <v>877091</v>
      </c>
      <c r="D6">
        <f>IFERROR(__xludf.DUMMYFUNCTION("""COMPUTED_VALUE"""),802536.0)</f>
        <v>802536</v>
      </c>
      <c r="E6">
        <f>IFERROR(__xludf.DUMMYFUNCTION("""COMPUTED_VALUE"""),74555.0)</f>
        <v>74555</v>
      </c>
      <c r="F6">
        <f>IFERROR(__xludf.DUMMYFUNCTION("""COMPUTED_VALUE"""),21.4)</f>
        <v>21.4</v>
      </c>
      <c r="G6">
        <f>IFERROR(__xludf.DUMMYFUNCTION("""COMPUTED_VALUE"""),19.6)</f>
        <v>19.6</v>
      </c>
      <c r="H6">
        <f>IFERROR(__xludf.DUMMYFUNCTION("""COMPUTED_VALUE"""),1.8)</f>
        <v>1.8</v>
      </c>
      <c r="I6">
        <f>IFERROR(__xludf.DUMMYFUNCTION("""COMPUTED_VALUE"""),2.75)</f>
        <v>2.75</v>
      </c>
    </row>
    <row r="7">
      <c r="A7">
        <f>IFERROR(__xludf.DUMMYFUNCTION("""COMPUTED_VALUE"""),1905.0)</f>
        <v>1905</v>
      </c>
      <c r="B7">
        <f>IFERROR(__xludf.DUMMYFUNCTION("""COMPUTED_VALUE"""),4.105E7)</f>
        <v>41050000</v>
      </c>
      <c r="C7">
        <f>IFERROR(__xludf.DUMMYFUNCTION("""COMPUTED_VALUE"""),865604.0)</f>
        <v>865604</v>
      </c>
      <c r="D7">
        <f>IFERROR(__xludf.DUMMYFUNCTION("""COMPUTED_VALUE"""),812338.0)</f>
        <v>812338</v>
      </c>
      <c r="E7">
        <f>IFERROR(__xludf.DUMMYFUNCTION("""COMPUTED_VALUE"""),53266.0)</f>
        <v>53266</v>
      </c>
      <c r="F7">
        <f>IFERROR(__xludf.DUMMYFUNCTION("""COMPUTED_VALUE"""),21.1)</f>
        <v>21.1</v>
      </c>
      <c r="G7">
        <f>IFERROR(__xludf.DUMMYFUNCTION("""COMPUTED_VALUE"""),19.8)</f>
        <v>19.8</v>
      </c>
      <c r="H7">
        <f>IFERROR(__xludf.DUMMYFUNCTION("""COMPUTED_VALUE"""),1.3)</f>
        <v>1.3</v>
      </c>
      <c r="I7">
        <f>IFERROR(__xludf.DUMMYFUNCTION("""COMPUTED_VALUE"""),2.71)</f>
        <v>2.71</v>
      </c>
    </row>
    <row r="8">
      <c r="A8">
        <f>IFERROR(__xludf.DUMMYFUNCTION("""COMPUTED_VALUE"""),1906.0)</f>
        <v>1906</v>
      </c>
      <c r="B8">
        <f>IFERROR(__xludf.DUMMYFUNCTION("""COMPUTED_VALUE"""),4.11E7)</f>
        <v>41100000</v>
      </c>
      <c r="C8">
        <f>IFERROR(__xludf.DUMMYFUNCTION("""COMPUTED_VALUE"""),864745.0)</f>
        <v>864745</v>
      </c>
      <c r="D8">
        <f>IFERROR(__xludf.DUMMYFUNCTION("""COMPUTED_VALUE"""),820051.0)</f>
        <v>820051</v>
      </c>
      <c r="E8">
        <f>IFERROR(__xludf.DUMMYFUNCTION("""COMPUTED_VALUE"""),44694.0)</f>
        <v>44694</v>
      </c>
      <c r="F8">
        <f>IFERROR(__xludf.DUMMYFUNCTION("""COMPUTED_VALUE"""),21.0)</f>
        <v>21</v>
      </c>
      <c r="G8">
        <f>IFERROR(__xludf.DUMMYFUNCTION("""COMPUTED_VALUE"""),20.0)</f>
        <v>20</v>
      </c>
      <c r="H8">
        <f>IFERROR(__xludf.DUMMYFUNCTION("""COMPUTED_VALUE"""),1.1)</f>
        <v>1.1</v>
      </c>
      <c r="I8">
        <f>IFERROR(__xludf.DUMMYFUNCTION("""COMPUTED_VALUE"""),2.7)</f>
        <v>2.7</v>
      </c>
    </row>
    <row r="9">
      <c r="A9">
        <f>IFERROR(__xludf.DUMMYFUNCTION("""COMPUTED_VALUE"""),1907.0)</f>
        <v>1907</v>
      </c>
      <c r="B9">
        <f>IFERROR(__xludf.DUMMYFUNCTION("""COMPUTED_VALUE"""),4.11E7)</f>
        <v>41100000</v>
      </c>
      <c r="C9">
        <f>IFERROR(__xludf.DUMMYFUNCTION("""COMPUTED_VALUE"""),829632.0)</f>
        <v>829632</v>
      </c>
      <c r="D9">
        <f>IFERROR(__xludf.DUMMYFUNCTION("""COMPUTED_VALUE"""),830871.0)</f>
        <v>830871</v>
      </c>
      <c r="E9">
        <f>IFERROR(__xludf.DUMMYFUNCTION("""COMPUTED_VALUE"""),-1239.0)</f>
        <v>-1239</v>
      </c>
      <c r="F9">
        <f>IFERROR(__xludf.DUMMYFUNCTION("""COMPUTED_VALUE"""),20.2)</f>
        <v>20.2</v>
      </c>
      <c r="G9">
        <f>IFERROR(__xludf.DUMMYFUNCTION("""COMPUTED_VALUE"""),20.2)</f>
        <v>20.2</v>
      </c>
      <c r="H9">
        <f>IFERROR(__xludf.DUMMYFUNCTION("""COMPUTED_VALUE"""),0.0)</f>
        <v>0</v>
      </c>
      <c r="I9">
        <f>IFERROR(__xludf.DUMMYFUNCTION("""COMPUTED_VALUE"""),2.58)</f>
        <v>2.58</v>
      </c>
    </row>
    <row r="10">
      <c r="A10">
        <f>IFERROR(__xludf.DUMMYFUNCTION("""COMPUTED_VALUE"""),1908.0)</f>
        <v>1908</v>
      </c>
      <c r="B10">
        <f>IFERROR(__xludf.DUMMYFUNCTION("""COMPUTED_VALUE"""),4.119E7)</f>
        <v>41190000</v>
      </c>
      <c r="C10">
        <f>IFERROR(__xludf.DUMMYFUNCTION("""COMPUTED_VALUE"""),848982.0)</f>
        <v>848982</v>
      </c>
      <c r="D10">
        <f>IFERROR(__xludf.DUMMYFUNCTION("""COMPUTED_VALUE"""),784415.0)</f>
        <v>784415</v>
      </c>
      <c r="E10">
        <f>IFERROR(__xludf.DUMMYFUNCTION("""COMPUTED_VALUE"""),64567.0)</f>
        <v>64567</v>
      </c>
      <c r="F10">
        <f>IFERROR(__xludf.DUMMYFUNCTION("""COMPUTED_VALUE"""),20.6)</f>
        <v>20.6</v>
      </c>
      <c r="G10">
        <f>IFERROR(__xludf.DUMMYFUNCTION("""COMPUTED_VALUE"""),19.0)</f>
        <v>19</v>
      </c>
      <c r="H10">
        <f>IFERROR(__xludf.DUMMYFUNCTION("""COMPUTED_VALUE"""),1.6)</f>
        <v>1.6</v>
      </c>
      <c r="I10">
        <f>IFERROR(__xludf.DUMMYFUNCTION("""COMPUTED_VALUE"""),2.64)</f>
        <v>2.64</v>
      </c>
    </row>
    <row r="11">
      <c r="A11">
        <f>IFERROR(__xludf.DUMMYFUNCTION("""COMPUTED_VALUE"""),1909.0)</f>
        <v>1909</v>
      </c>
      <c r="B11">
        <f>IFERROR(__xludf.DUMMYFUNCTION("""COMPUTED_VALUE"""),4.124E7)</f>
        <v>41240000</v>
      </c>
      <c r="C11">
        <f>IFERROR(__xludf.DUMMYFUNCTION("""COMPUTED_VALUE"""),824739.0)</f>
        <v>824739</v>
      </c>
      <c r="D11">
        <f>IFERROR(__xludf.DUMMYFUNCTION("""COMPUTED_VALUE"""),792798.0)</f>
        <v>792798</v>
      </c>
      <c r="E11">
        <f>IFERROR(__xludf.DUMMYFUNCTION("""COMPUTED_VALUE"""),31941.0)</f>
        <v>31941</v>
      </c>
      <c r="F11">
        <f>IFERROR(__xludf.DUMMYFUNCTION("""COMPUTED_VALUE"""),20.0)</f>
        <v>20</v>
      </c>
      <c r="G11">
        <f>IFERROR(__xludf.DUMMYFUNCTION("""COMPUTED_VALUE"""),19.2)</f>
        <v>19.2</v>
      </c>
      <c r="H11">
        <f>IFERROR(__xludf.DUMMYFUNCTION("""COMPUTED_VALUE"""),0.8)</f>
        <v>0.8</v>
      </c>
      <c r="I11">
        <f>IFERROR(__xludf.DUMMYFUNCTION("""COMPUTED_VALUE"""),2.56)</f>
        <v>2.56</v>
      </c>
    </row>
    <row r="12">
      <c r="A12">
        <f>IFERROR(__xludf.DUMMYFUNCTION("""COMPUTED_VALUE"""),1910.0)</f>
        <v>1910</v>
      </c>
      <c r="B12">
        <f>IFERROR(__xludf.DUMMYFUNCTION("""COMPUTED_VALUE"""),4.135E7)</f>
        <v>41350000</v>
      </c>
      <c r="C12">
        <f>IFERROR(__xludf.DUMMYFUNCTION("""COMPUTED_VALUE"""),828140.0)</f>
        <v>828140</v>
      </c>
      <c r="D12">
        <f>IFERROR(__xludf.DUMMYFUNCTION("""COMPUTED_VALUE"""),737877.0)</f>
        <v>737877</v>
      </c>
      <c r="E12">
        <f>IFERROR(__xludf.DUMMYFUNCTION("""COMPUTED_VALUE"""),90263.0)</f>
        <v>90263</v>
      </c>
      <c r="F12">
        <f>IFERROR(__xludf.DUMMYFUNCTION("""COMPUTED_VALUE"""),20.0)</f>
        <v>20</v>
      </c>
      <c r="G12">
        <f>IFERROR(__xludf.DUMMYFUNCTION("""COMPUTED_VALUE"""),17.8)</f>
        <v>17.8</v>
      </c>
      <c r="H12">
        <f>IFERROR(__xludf.DUMMYFUNCTION("""COMPUTED_VALUE"""),2.2)</f>
        <v>2.2</v>
      </c>
      <c r="I12">
        <f>IFERROR(__xludf.DUMMYFUNCTION("""COMPUTED_VALUE"""),2.57)</f>
        <v>2.57</v>
      </c>
    </row>
    <row r="13">
      <c r="A13">
        <f>IFERROR(__xludf.DUMMYFUNCTION("""COMPUTED_VALUE"""),1911.0)</f>
        <v>1911</v>
      </c>
      <c r="B13">
        <f>IFERROR(__xludf.DUMMYFUNCTION("""COMPUTED_VALUE"""),4.142E7)</f>
        <v>41420000</v>
      </c>
      <c r="C13">
        <f>IFERROR(__xludf.DUMMYFUNCTION("""COMPUTED_VALUE"""),793506.0)</f>
        <v>793506</v>
      </c>
      <c r="D13">
        <f>IFERROR(__xludf.DUMMYFUNCTION("""COMPUTED_VALUE"""),813653.0)</f>
        <v>813653</v>
      </c>
      <c r="E13">
        <f>IFERROR(__xludf.DUMMYFUNCTION("""COMPUTED_VALUE"""),-20147.0)</f>
        <v>-20147</v>
      </c>
      <c r="F13">
        <f>IFERROR(__xludf.DUMMYFUNCTION("""COMPUTED_VALUE"""),19.2)</f>
        <v>19.2</v>
      </c>
      <c r="G13">
        <f>IFERROR(__xludf.DUMMYFUNCTION("""COMPUTED_VALUE"""),19.6)</f>
        <v>19.6</v>
      </c>
      <c r="H13">
        <f>IFERROR(__xludf.DUMMYFUNCTION("""COMPUTED_VALUE"""),-0.5)</f>
        <v>-0.5</v>
      </c>
      <c r="I13">
        <f>IFERROR(__xludf.DUMMYFUNCTION("""COMPUTED_VALUE"""),2.46)</f>
        <v>2.46</v>
      </c>
    </row>
    <row r="14">
      <c r="A14">
        <f>IFERROR(__xludf.DUMMYFUNCTION("""COMPUTED_VALUE"""),1912.0)</f>
        <v>1912</v>
      </c>
      <c r="B14">
        <f>IFERROR(__xludf.DUMMYFUNCTION("""COMPUTED_VALUE"""),4.153E7)</f>
        <v>41530000</v>
      </c>
      <c r="C14">
        <f>IFERROR(__xludf.DUMMYFUNCTION("""COMPUTED_VALUE"""),801642.0)</f>
        <v>801642</v>
      </c>
      <c r="D14">
        <f>IFERROR(__xludf.DUMMYFUNCTION("""COMPUTED_VALUE"""),726848.0)</f>
        <v>726848</v>
      </c>
      <c r="E14">
        <f>IFERROR(__xludf.DUMMYFUNCTION("""COMPUTED_VALUE"""),74794.0)</f>
        <v>74794</v>
      </c>
      <c r="F14">
        <f>IFERROR(__xludf.DUMMYFUNCTION("""COMPUTED_VALUE"""),19.3)</f>
        <v>19.3</v>
      </c>
      <c r="G14">
        <f>IFERROR(__xludf.DUMMYFUNCTION("""COMPUTED_VALUE"""),17.5)</f>
        <v>17.5</v>
      </c>
      <c r="H14">
        <f>IFERROR(__xludf.DUMMYFUNCTION("""COMPUTED_VALUE"""),1.8)</f>
        <v>1.8</v>
      </c>
      <c r="I14">
        <f>IFERROR(__xludf.DUMMYFUNCTION("""COMPUTED_VALUE"""),2.49)</f>
        <v>2.49</v>
      </c>
    </row>
    <row r="15">
      <c r="A15">
        <f>IFERROR(__xludf.DUMMYFUNCTION("""COMPUTED_VALUE"""),1913.0)</f>
        <v>1913</v>
      </c>
      <c r="B15">
        <f>IFERROR(__xludf.DUMMYFUNCTION("""COMPUTED_VALUE"""),4.162E7)</f>
        <v>41620000</v>
      </c>
      <c r="C15">
        <f>IFERROR(__xludf.DUMMYFUNCTION("""COMPUTED_VALUE"""),795851.0)</f>
        <v>795851</v>
      </c>
      <c r="D15">
        <f>IFERROR(__xludf.DUMMYFUNCTION("""COMPUTED_VALUE"""),736937.0)</f>
        <v>736937</v>
      </c>
      <c r="E15">
        <f>IFERROR(__xludf.DUMMYFUNCTION("""COMPUTED_VALUE"""),58914.0)</f>
        <v>58914</v>
      </c>
      <c r="F15">
        <f>IFERROR(__xludf.DUMMYFUNCTION("""COMPUTED_VALUE"""),19.1)</f>
        <v>19.1</v>
      </c>
      <c r="G15">
        <f>IFERROR(__xludf.DUMMYFUNCTION("""COMPUTED_VALUE"""),17.7)</f>
        <v>17.7</v>
      </c>
      <c r="H15">
        <f>IFERROR(__xludf.DUMMYFUNCTION("""COMPUTED_VALUE"""),1.4)</f>
        <v>1.4</v>
      </c>
      <c r="I15">
        <f>IFERROR(__xludf.DUMMYFUNCTION("""COMPUTED_VALUE"""),2.47)</f>
        <v>2.47</v>
      </c>
    </row>
    <row r="16">
      <c r="A16">
        <f>IFERROR(__xludf.DUMMYFUNCTION("""COMPUTED_VALUE"""),1914.0)</f>
        <v>1914</v>
      </c>
      <c r="B16">
        <f>IFERROR(__xludf.DUMMYFUNCTION("""COMPUTED_VALUE"""),4.163E7)</f>
        <v>41630000</v>
      </c>
      <c r="C16">
        <f>IFERROR(__xludf.DUMMYFUNCTION("""COMPUTED_VALUE"""),757931.0)</f>
        <v>757931</v>
      </c>
      <c r="D16">
        <f>IFERROR(__xludf.DUMMYFUNCTION("""COMPUTED_VALUE"""),774931.0)</f>
        <v>774931</v>
      </c>
      <c r="E16">
        <f>IFERROR(__xludf.DUMMYFUNCTION("""COMPUTED_VALUE"""),-17000.0)</f>
        <v>-17000</v>
      </c>
      <c r="F16">
        <f>IFERROR(__xludf.DUMMYFUNCTION("""COMPUTED_VALUE"""),18.2)</f>
        <v>18.2</v>
      </c>
      <c r="G16">
        <f>IFERROR(__xludf.DUMMYFUNCTION("""COMPUTED_VALUE"""),18.6)</f>
        <v>18.6</v>
      </c>
      <c r="H16">
        <f>IFERROR(__xludf.DUMMYFUNCTION("""COMPUTED_VALUE"""),-0.4)</f>
        <v>-0.4</v>
      </c>
      <c r="I16">
        <f>IFERROR(__xludf.DUMMYFUNCTION("""COMPUTED_VALUE"""),2.34)</f>
        <v>2.34</v>
      </c>
    </row>
    <row r="17">
      <c r="A17">
        <f>IFERROR(__xludf.DUMMYFUNCTION("""COMPUTED_VALUE"""),1915.0)</f>
        <v>1915</v>
      </c>
      <c r="B17">
        <f>IFERROR(__xludf.DUMMYFUNCTION("""COMPUTED_VALUE"""),4.062E7)</f>
        <v>40620000</v>
      </c>
      <c r="C17">
        <f>IFERROR(__xludf.DUMMYFUNCTION("""COMPUTED_VALUE"""),482968.0)</f>
        <v>482968</v>
      </c>
      <c r="D17">
        <f>IFERROR(__xludf.DUMMYFUNCTION("""COMPUTED_VALUE"""),747968.0)</f>
        <v>747968</v>
      </c>
      <c r="E17">
        <f>IFERROR(__xludf.DUMMYFUNCTION("""COMPUTED_VALUE"""),-265000.0)</f>
        <v>-265000</v>
      </c>
      <c r="F17">
        <f>IFERROR(__xludf.DUMMYFUNCTION("""COMPUTED_VALUE"""),11.9)</f>
        <v>11.9</v>
      </c>
      <c r="G17">
        <f>IFERROR(__xludf.DUMMYFUNCTION("""COMPUTED_VALUE"""),18.4)</f>
        <v>18.4</v>
      </c>
      <c r="H17">
        <f>IFERROR(__xludf.DUMMYFUNCTION("""COMPUTED_VALUE"""),-6.5)</f>
        <v>-6.5</v>
      </c>
      <c r="I17">
        <f>IFERROR(__xludf.DUMMYFUNCTION("""COMPUTED_VALUE"""),1.52)</f>
        <v>1.52</v>
      </c>
    </row>
    <row r="18">
      <c r="A18">
        <f>IFERROR(__xludf.DUMMYFUNCTION("""COMPUTED_VALUE"""),1916.0)</f>
        <v>1916</v>
      </c>
      <c r="B18">
        <f>IFERROR(__xludf.DUMMYFUNCTION("""COMPUTED_VALUE"""),4.002E7)</f>
        <v>40020000</v>
      </c>
      <c r="C18">
        <f>IFERROR(__xludf.DUMMYFUNCTION("""COMPUTED_VALUE"""),384676.0)</f>
        <v>384676</v>
      </c>
      <c r="D18">
        <f>IFERROR(__xludf.DUMMYFUNCTION("""COMPUTED_VALUE"""),697676.0)</f>
        <v>697676</v>
      </c>
      <c r="E18">
        <f>IFERROR(__xludf.DUMMYFUNCTION("""COMPUTED_VALUE"""),-313000.0)</f>
        <v>-313000</v>
      </c>
      <c r="F18">
        <f>IFERROR(__xludf.DUMMYFUNCTION("""COMPUTED_VALUE"""),9.6)</f>
        <v>9.6</v>
      </c>
      <c r="G18">
        <f>IFERROR(__xludf.DUMMYFUNCTION("""COMPUTED_VALUE"""),17.4)</f>
        <v>17.4</v>
      </c>
      <c r="H18">
        <f>IFERROR(__xludf.DUMMYFUNCTION("""COMPUTED_VALUE"""),-7.8)</f>
        <v>-7.8</v>
      </c>
      <c r="I18">
        <f>IFERROR(__xludf.DUMMYFUNCTION("""COMPUTED_VALUE"""),1.23)</f>
        <v>1.23</v>
      </c>
    </row>
    <row r="19">
      <c r="A19">
        <f>IFERROR(__xludf.DUMMYFUNCTION("""COMPUTED_VALUE"""),1917.0)</f>
        <v>1917</v>
      </c>
      <c r="B19">
        <f>IFERROR(__xludf.DUMMYFUNCTION("""COMPUTED_VALUE"""),3.942E7)</f>
        <v>39420000</v>
      </c>
      <c r="C19">
        <f>IFERROR(__xludf.DUMMYFUNCTION("""COMPUTED_VALUE"""),412744.0)</f>
        <v>412744</v>
      </c>
      <c r="D19">
        <f>IFERROR(__xludf.DUMMYFUNCTION("""COMPUTED_VALUE"""),712744.0)</f>
        <v>712744</v>
      </c>
      <c r="E19">
        <f>IFERROR(__xludf.DUMMYFUNCTION("""COMPUTED_VALUE"""),-300000.0)</f>
        <v>-300000</v>
      </c>
      <c r="F19">
        <f>IFERROR(__xludf.DUMMYFUNCTION("""COMPUTED_VALUE"""),10.5)</f>
        <v>10.5</v>
      </c>
      <c r="G19">
        <f>IFERROR(__xludf.DUMMYFUNCTION("""COMPUTED_VALUE"""),18.1)</f>
        <v>18.1</v>
      </c>
      <c r="H19">
        <f>IFERROR(__xludf.DUMMYFUNCTION("""COMPUTED_VALUE"""),-7.6)</f>
        <v>-7.6</v>
      </c>
      <c r="I19">
        <f>IFERROR(__xludf.DUMMYFUNCTION("""COMPUTED_VALUE"""),1.34)</f>
        <v>1.34</v>
      </c>
    </row>
    <row r="20">
      <c r="A20">
        <f>IFERROR(__xludf.DUMMYFUNCTION("""COMPUTED_VALUE"""),1918.0)</f>
        <v>1918</v>
      </c>
      <c r="B20">
        <f>IFERROR(__xludf.DUMMYFUNCTION("""COMPUTED_VALUE"""),3.867E7)</f>
        <v>38670000</v>
      </c>
      <c r="C20">
        <f>IFERROR(__xludf.DUMMYFUNCTION("""COMPUTED_VALUE"""),472816.0)</f>
        <v>472816</v>
      </c>
      <c r="D20">
        <f>IFERROR(__xludf.DUMMYFUNCTION("""COMPUTED_VALUE"""),867816.0)</f>
        <v>867816</v>
      </c>
      <c r="E20">
        <f>IFERROR(__xludf.DUMMYFUNCTION("""COMPUTED_VALUE"""),-395000.0)</f>
        <v>-395000</v>
      </c>
      <c r="F20">
        <f>IFERROR(__xludf.DUMMYFUNCTION("""COMPUTED_VALUE"""),12.2)</f>
        <v>12.2</v>
      </c>
      <c r="G20">
        <f>IFERROR(__xludf.DUMMYFUNCTION("""COMPUTED_VALUE"""),22.4)</f>
        <v>22.4</v>
      </c>
      <c r="H20">
        <f>IFERROR(__xludf.DUMMYFUNCTION("""COMPUTED_VALUE"""),-10.2)</f>
        <v>-10.2</v>
      </c>
      <c r="I20">
        <f>IFERROR(__xludf.DUMMYFUNCTION("""COMPUTED_VALUE"""),1.56)</f>
        <v>1.56</v>
      </c>
    </row>
    <row r="21">
      <c r="A21">
        <f>IFERROR(__xludf.DUMMYFUNCTION("""COMPUTED_VALUE"""),1919.0)</f>
        <v>1919</v>
      </c>
      <c r="B21">
        <f>IFERROR(__xludf.DUMMYFUNCTION("""COMPUTED_VALUE"""),3.86E7)</f>
        <v>38600000</v>
      </c>
      <c r="C21">
        <f>IFERROR(__xludf.DUMMYFUNCTION("""COMPUTED_VALUE"""),506960.0)</f>
        <v>506960</v>
      </c>
      <c r="D21">
        <f>IFERROR(__xludf.DUMMYFUNCTION("""COMPUTED_VALUE"""),739901.0)</f>
        <v>739901</v>
      </c>
      <c r="E21">
        <f>IFERROR(__xludf.DUMMYFUNCTION("""COMPUTED_VALUE"""),-232941.0)</f>
        <v>-232941</v>
      </c>
      <c r="F21">
        <f>IFERROR(__xludf.DUMMYFUNCTION("""COMPUTED_VALUE"""),13.1)</f>
        <v>13.1</v>
      </c>
      <c r="G21">
        <f>IFERROR(__xludf.DUMMYFUNCTION("""COMPUTED_VALUE"""),19.2)</f>
        <v>19.2</v>
      </c>
      <c r="H21">
        <f>IFERROR(__xludf.DUMMYFUNCTION("""COMPUTED_VALUE"""),-6.0)</f>
        <v>-6</v>
      </c>
      <c r="I21">
        <f>IFERROR(__xludf.DUMMYFUNCTION("""COMPUTED_VALUE"""),1.59)</f>
        <v>1.59</v>
      </c>
    </row>
    <row r="22">
      <c r="A22">
        <f>IFERROR(__xludf.DUMMYFUNCTION("""COMPUTED_VALUE"""),1920.0)</f>
        <v>1920</v>
      </c>
      <c r="B22">
        <f>IFERROR(__xludf.DUMMYFUNCTION("""COMPUTED_VALUE"""),3.89E7)</f>
        <v>38900000</v>
      </c>
      <c r="C22">
        <f>IFERROR(__xludf.DUMMYFUNCTION("""COMPUTED_VALUE"""),838137.0)</f>
        <v>838137</v>
      </c>
      <c r="D22">
        <f>IFERROR(__xludf.DUMMYFUNCTION("""COMPUTED_VALUE"""),675676.0)</f>
        <v>675676</v>
      </c>
      <c r="E22">
        <f>IFERROR(__xludf.DUMMYFUNCTION("""COMPUTED_VALUE"""),162461.0)</f>
        <v>162461</v>
      </c>
      <c r="F22">
        <f>IFERROR(__xludf.DUMMYFUNCTION("""COMPUTED_VALUE"""),21.5)</f>
        <v>21.5</v>
      </c>
      <c r="G22">
        <f>IFERROR(__xludf.DUMMYFUNCTION("""COMPUTED_VALUE"""),17.4)</f>
        <v>17.4</v>
      </c>
      <c r="H22">
        <f>IFERROR(__xludf.DUMMYFUNCTION("""COMPUTED_VALUE"""),4.2)</f>
        <v>4.2</v>
      </c>
      <c r="I22">
        <f>IFERROR(__xludf.DUMMYFUNCTION("""COMPUTED_VALUE"""),2.69)</f>
        <v>2.69</v>
      </c>
    </row>
    <row r="23">
      <c r="A23">
        <f>IFERROR(__xludf.DUMMYFUNCTION("""COMPUTED_VALUE"""),1921.0)</f>
        <v>1921</v>
      </c>
      <c r="B23">
        <f>IFERROR(__xludf.DUMMYFUNCTION("""COMPUTED_VALUE"""),3.914E7)</f>
        <v>39140000</v>
      </c>
      <c r="C23">
        <f>IFERROR(__xludf.DUMMYFUNCTION("""COMPUTED_VALUE"""),816555.0)</f>
        <v>816555</v>
      </c>
      <c r="D23">
        <f>IFERROR(__xludf.DUMMYFUNCTION("""COMPUTED_VALUE"""),697904.0)</f>
        <v>697904</v>
      </c>
      <c r="E23">
        <f>IFERROR(__xludf.DUMMYFUNCTION("""COMPUTED_VALUE"""),118651.0)</f>
        <v>118651</v>
      </c>
      <c r="F23">
        <f>IFERROR(__xludf.DUMMYFUNCTION("""COMPUTED_VALUE"""),20.9)</f>
        <v>20.9</v>
      </c>
      <c r="G23">
        <f>IFERROR(__xludf.DUMMYFUNCTION("""COMPUTED_VALUE"""),17.8)</f>
        <v>17.8</v>
      </c>
      <c r="H23">
        <f>IFERROR(__xludf.DUMMYFUNCTION("""COMPUTED_VALUE"""),3.0)</f>
        <v>3</v>
      </c>
      <c r="I23">
        <f>IFERROR(__xludf.DUMMYFUNCTION("""COMPUTED_VALUE"""),2.6)</f>
        <v>2.6</v>
      </c>
    </row>
    <row r="24">
      <c r="A24">
        <f>IFERROR(__xludf.DUMMYFUNCTION("""COMPUTED_VALUE"""),1922.0)</f>
        <v>1922</v>
      </c>
      <c r="B24">
        <f>IFERROR(__xludf.DUMMYFUNCTION("""COMPUTED_VALUE"""),3.931E7)</f>
        <v>39310000</v>
      </c>
      <c r="C24">
        <f>IFERROR(__xludf.DUMMYFUNCTION("""COMPUTED_VALUE"""),764373.0)</f>
        <v>764373</v>
      </c>
      <c r="D24">
        <f>IFERROR(__xludf.DUMMYFUNCTION("""COMPUTED_VALUE"""),692322.0)</f>
        <v>692322</v>
      </c>
      <c r="E24">
        <f>IFERROR(__xludf.DUMMYFUNCTION("""COMPUTED_VALUE"""),72051.0)</f>
        <v>72051</v>
      </c>
      <c r="F24">
        <f>IFERROR(__xludf.DUMMYFUNCTION("""COMPUTED_VALUE"""),19.4)</f>
        <v>19.4</v>
      </c>
      <c r="G24">
        <f>IFERROR(__xludf.DUMMYFUNCTION("""COMPUTED_VALUE"""),17.6)</f>
        <v>17.6</v>
      </c>
      <c r="H24">
        <f>IFERROR(__xludf.DUMMYFUNCTION("""COMPUTED_VALUE"""),1.8)</f>
        <v>1.8</v>
      </c>
      <c r="I24">
        <f>IFERROR(__xludf.DUMMYFUNCTION("""COMPUTED_VALUE"""),2.42)</f>
        <v>2.42</v>
      </c>
    </row>
    <row r="25">
      <c r="A25">
        <f>IFERROR(__xludf.DUMMYFUNCTION("""COMPUTED_VALUE"""),1923.0)</f>
        <v>1923</v>
      </c>
      <c r="B25">
        <f>IFERROR(__xludf.DUMMYFUNCTION("""COMPUTED_VALUE"""),3.975E7)</f>
        <v>39750000</v>
      </c>
      <c r="C25">
        <f>IFERROR(__xludf.DUMMYFUNCTION("""COMPUTED_VALUE"""),765888.0)</f>
        <v>765888</v>
      </c>
      <c r="D25">
        <f>IFERROR(__xludf.DUMMYFUNCTION("""COMPUTED_VALUE"""),670326.0)</f>
        <v>670326</v>
      </c>
      <c r="E25">
        <f>IFERROR(__xludf.DUMMYFUNCTION("""COMPUTED_VALUE"""),95562.0)</f>
        <v>95562</v>
      </c>
      <c r="F25">
        <f>IFERROR(__xludf.DUMMYFUNCTION("""COMPUTED_VALUE"""),19.3)</f>
        <v>19.3</v>
      </c>
      <c r="G25">
        <f>IFERROR(__xludf.DUMMYFUNCTION("""COMPUTED_VALUE"""),16.9)</f>
        <v>16.9</v>
      </c>
      <c r="H25">
        <f>IFERROR(__xludf.DUMMYFUNCTION("""COMPUTED_VALUE"""),2.4)</f>
        <v>2.4</v>
      </c>
      <c r="I25">
        <f>IFERROR(__xludf.DUMMYFUNCTION("""COMPUTED_VALUE"""),2.41)</f>
        <v>2.41</v>
      </c>
    </row>
    <row r="26">
      <c r="A26">
        <f>IFERROR(__xludf.DUMMYFUNCTION("""COMPUTED_VALUE"""),1924.0)</f>
        <v>1924</v>
      </c>
      <c r="B26">
        <f>IFERROR(__xludf.DUMMYFUNCTION("""COMPUTED_VALUE"""),4.017E7)</f>
        <v>40170000</v>
      </c>
      <c r="C26">
        <f>IFERROR(__xludf.DUMMYFUNCTION("""COMPUTED_VALUE"""),757873.0)</f>
        <v>757873</v>
      </c>
      <c r="D26">
        <f>IFERROR(__xludf.DUMMYFUNCTION("""COMPUTED_VALUE"""),683296.0)</f>
        <v>683296</v>
      </c>
      <c r="E26">
        <f>IFERROR(__xludf.DUMMYFUNCTION("""COMPUTED_VALUE"""),74577.0)</f>
        <v>74577</v>
      </c>
      <c r="F26">
        <f>IFERROR(__xludf.DUMMYFUNCTION("""COMPUTED_VALUE"""),18.9)</f>
        <v>18.9</v>
      </c>
      <c r="G26">
        <f>IFERROR(__xludf.DUMMYFUNCTION("""COMPUTED_VALUE"""),17.0)</f>
        <v>17</v>
      </c>
      <c r="H26">
        <f>IFERROR(__xludf.DUMMYFUNCTION("""COMPUTED_VALUE"""),1.9)</f>
        <v>1.9</v>
      </c>
      <c r="I26">
        <f>IFERROR(__xludf.DUMMYFUNCTION("""COMPUTED_VALUE"""),2.36)</f>
        <v>2.36</v>
      </c>
    </row>
    <row r="27">
      <c r="A27">
        <f>IFERROR(__xludf.DUMMYFUNCTION("""COMPUTED_VALUE"""),1925.0)</f>
        <v>1925</v>
      </c>
      <c r="B27">
        <f>IFERROR(__xludf.DUMMYFUNCTION("""COMPUTED_VALUE"""),4.046E7)</f>
        <v>40460000</v>
      </c>
      <c r="C27">
        <f>IFERROR(__xludf.DUMMYFUNCTION("""COMPUTED_VALUE"""),774455.0)</f>
        <v>774455</v>
      </c>
      <c r="D27">
        <f>IFERROR(__xludf.DUMMYFUNCTION("""COMPUTED_VALUE"""),712211.0)</f>
        <v>712211</v>
      </c>
      <c r="E27">
        <f>IFERROR(__xludf.DUMMYFUNCTION("""COMPUTED_VALUE"""),62244.0)</f>
        <v>62244</v>
      </c>
      <c r="F27">
        <f>IFERROR(__xludf.DUMMYFUNCTION("""COMPUTED_VALUE"""),19.1)</f>
        <v>19.1</v>
      </c>
      <c r="G27">
        <f>IFERROR(__xludf.DUMMYFUNCTION("""COMPUTED_VALUE"""),17.6)</f>
        <v>17.6</v>
      </c>
      <c r="H27">
        <f>IFERROR(__xludf.DUMMYFUNCTION("""COMPUTED_VALUE"""),1.5)</f>
        <v>1.5</v>
      </c>
      <c r="I27">
        <f>IFERROR(__xludf.DUMMYFUNCTION("""COMPUTED_VALUE"""),2.39)</f>
        <v>2.39</v>
      </c>
    </row>
    <row r="28">
      <c r="A28">
        <f>IFERROR(__xludf.DUMMYFUNCTION("""COMPUTED_VALUE"""),1926.0)</f>
        <v>1926</v>
      </c>
      <c r="B28">
        <f>IFERROR(__xludf.DUMMYFUNCTION("""COMPUTED_VALUE"""),4.071E7)</f>
        <v>40710000</v>
      </c>
      <c r="C28">
        <f>IFERROR(__xludf.DUMMYFUNCTION("""COMPUTED_VALUE"""),771690.0)</f>
        <v>771690</v>
      </c>
      <c r="D28">
        <f>IFERROR(__xludf.DUMMYFUNCTION("""COMPUTED_VALUE"""),716966.0)</f>
        <v>716966</v>
      </c>
      <c r="E28">
        <f>IFERROR(__xludf.DUMMYFUNCTION("""COMPUTED_VALUE"""),54724.0)</f>
        <v>54724</v>
      </c>
      <c r="F28">
        <f>IFERROR(__xludf.DUMMYFUNCTION("""COMPUTED_VALUE"""),19.0)</f>
        <v>19</v>
      </c>
      <c r="G28">
        <f>IFERROR(__xludf.DUMMYFUNCTION("""COMPUTED_VALUE"""),17.6)</f>
        <v>17.6</v>
      </c>
      <c r="H28">
        <f>IFERROR(__xludf.DUMMYFUNCTION("""COMPUTED_VALUE"""),1.3)</f>
        <v>1.3</v>
      </c>
      <c r="I28">
        <f>IFERROR(__xludf.DUMMYFUNCTION("""COMPUTED_VALUE"""),2.37)</f>
        <v>2.37</v>
      </c>
    </row>
    <row r="29">
      <c r="A29">
        <f>IFERROR(__xludf.DUMMYFUNCTION("""COMPUTED_VALUE"""),1927.0)</f>
        <v>1927</v>
      </c>
      <c r="B29">
        <f>IFERROR(__xludf.DUMMYFUNCTION("""COMPUTED_VALUE"""),4.077E7)</f>
        <v>40770000</v>
      </c>
      <c r="C29">
        <f>IFERROR(__xludf.DUMMYFUNCTION("""COMPUTED_VALUE"""),748102.0)</f>
        <v>748102</v>
      </c>
      <c r="D29">
        <f>IFERROR(__xludf.DUMMYFUNCTION("""COMPUTED_VALUE"""),679809.0)</f>
        <v>679809</v>
      </c>
      <c r="E29">
        <f>IFERROR(__xludf.DUMMYFUNCTION("""COMPUTED_VALUE"""),68293.0)</f>
        <v>68293</v>
      </c>
      <c r="F29">
        <f>IFERROR(__xludf.DUMMYFUNCTION("""COMPUTED_VALUE"""),18.3)</f>
        <v>18.3</v>
      </c>
      <c r="G29">
        <f>IFERROR(__xludf.DUMMYFUNCTION("""COMPUTED_VALUE"""),16.7)</f>
        <v>16.7</v>
      </c>
      <c r="H29">
        <f>IFERROR(__xludf.DUMMYFUNCTION("""COMPUTED_VALUE"""),1.7)</f>
        <v>1.7</v>
      </c>
      <c r="I29">
        <f>IFERROR(__xludf.DUMMYFUNCTION("""COMPUTED_VALUE"""),2.29)</f>
        <v>2.29</v>
      </c>
    </row>
    <row r="30">
      <c r="A30">
        <f>IFERROR(__xludf.DUMMYFUNCTION("""COMPUTED_VALUE"""),1928.0)</f>
        <v>1928</v>
      </c>
      <c r="B30">
        <f>IFERROR(__xludf.DUMMYFUNCTION("""COMPUTED_VALUE"""),4.088E7)</f>
        <v>40880000</v>
      </c>
      <c r="C30">
        <f>IFERROR(__xludf.DUMMYFUNCTION("""COMPUTED_VALUE"""),753570.0)</f>
        <v>753570</v>
      </c>
      <c r="D30">
        <f>IFERROR(__xludf.DUMMYFUNCTION("""COMPUTED_VALUE"""),678269.0)</f>
        <v>678269</v>
      </c>
      <c r="E30">
        <f>IFERROR(__xludf.DUMMYFUNCTION("""COMPUTED_VALUE"""),75301.0)</f>
        <v>75301</v>
      </c>
      <c r="F30">
        <f>IFERROR(__xludf.DUMMYFUNCTION("""COMPUTED_VALUE"""),18.4)</f>
        <v>18.4</v>
      </c>
      <c r="G30">
        <f>IFERROR(__xludf.DUMMYFUNCTION("""COMPUTED_VALUE"""),16.6)</f>
        <v>16.6</v>
      </c>
      <c r="H30">
        <f>IFERROR(__xludf.DUMMYFUNCTION("""COMPUTED_VALUE"""),1.8)</f>
        <v>1.8</v>
      </c>
      <c r="I30">
        <f>IFERROR(__xludf.DUMMYFUNCTION("""COMPUTED_VALUE"""),2.31)</f>
        <v>2.31</v>
      </c>
    </row>
    <row r="31">
      <c r="A31">
        <f>IFERROR(__xludf.DUMMYFUNCTION("""COMPUTED_VALUE"""),1929.0)</f>
        <v>1929</v>
      </c>
      <c r="B31">
        <f>IFERROR(__xludf.DUMMYFUNCTION("""COMPUTED_VALUE"""),4.102E7)</f>
        <v>41020000</v>
      </c>
      <c r="C31">
        <f>IFERROR(__xludf.DUMMYFUNCTION("""COMPUTED_VALUE"""),734140.0)</f>
        <v>734140</v>
      </c>
      <c r="D31">
        <f>IFERROR(__xludf.DUMMYFUNCTION("""COMPUTED_VALUE"""),742732.0)</f>
        <v>742732</v>
      </c>
      <c r="E31">
        <f>IFERROR(__xludf.DUMMYFUNCTION("""COMPUTED_VALUE"""),-8592.0)</f>
        <v>-8592</v>
      </c>
      <c r="F31">
        <f>IFERROR(__xludf.DUMMYFUNCTION("""COMPUTED_VALUE"""),17.9)</f>
        <v>17.9</v>
      </c>
      <c r="G31">
        <f>IFERROR(__xludf.DUMMYFUNCTION("""COMPUTED_VALUE"""),18.1)</f>
        <v>18.1</v>
      </c>
      <c r="H31">
        <f>IFERROR(__xludf.DUMMYFUNCTION("""COMPUTED_VALUE"""),-0.2)</f>
        <v>-0.2</v>
      </c>
      <c r="I31">
        <f>IFERROR(__xludf.DUMMYFUNCTION("""COMPUTED_VALUE"""),2.24)</f>
        <v>2.24</v>
      </c>
    </row>
    <row r="32">
      <c r="A32">
        <f>IFERROR(__xludf.DUMMYFUNCTION("""COMPUTED_VALUE"""),1930.0)</f>
        <v>1930</v>
      </c>
      <c r="B32">
        <f>IFERROR(__xludf.DUMMYFUNCTION("""COMPUTED_VALUE"""),4.134E7)</f>
        <v>41340000</v>
      </c>
      <c r="C32">
        <f>IFERROR(__xludf.DUMMYFUNCTION("""COMPUTED_VALUE"""),754020.0)</f>
        <v>754020</v>
      </c>
      <c r="D32">
        <f>IFERROR(__xludf.DUMMYFUNCTION("""COMPUTED_VALUE"""),652953.0)</f>
        <v>652953</v>
      </c>
      <c r="E32">
        <f>IFERROR(__xludf.DUMMYFUNCTION("""COMPUTED_VALUE"""),101067.0)</f>
        <v>101067</v>
      </c>
      <c r="F32">
        <f>IFERROR(__xludf.DUMMYFUNCTION("""COMPUTED_VALUE"""),18.2)</f>
        <v>18.2</v>
      </c>
      <c r="G32">
        <f>IFERROR(__xludf.DUMMYFUNCTION("""COMPUTED_VALUE"""),15.8)</f>
        <v>15.8</v>
      </c>
      <c r="H32">
        <f>IFERROR(__xludf.DUMMYFUNCTION("""COMPUTED_VALUE"""),2.4)</f>
        <v>2.4</v>
      </c>
      <c r="I32">
        <f>IFERROR(__xludf.DUMMYFUNCTION("""COMPUTED_VALUE"""),2.3)</f>
        <v>2.3</v>
      </c>
    </row>
    <row r="33">
      <c r="A33">
        <f>IFERROR(__xludf.DUMMYFUNCTION("""COMPUTED_VALUE"""),1931.0)</f>
        <v>1931</v>
      </c>
      <c r="B33">
        <f>IFERROR(__xludf.DUMMYFUNCTION("""COMPUTED_VALUE"""),4.155E7)</f>
        <v>41550000</v>
      </c>
      <c r="C33">
        <f>IFERROR(__xludf.DUMMYFUNCTION("""COMPUTED_VALUE"""),737611.0)</f>
        <v>737611</v>
      </c>
      <c r="D33">
        <f>IFERROR(__xludf.DUMMYFUNCTION("""COMPUTED_VALUE"""),682816.0)</f>
        <v>682816</v>
      </c>
      <c r="E33">
        <f>IFERROR(__xludf.DUMMYFUNCTION("""COMPUTED_VALUE"""),54795.0)</f>
        <v>54795</v>
      </c>
      <c r="F33">
        <f>IFERROR(__xludf.DUMMYFUNCTION("""COMPUTED_VALUE"""),17.8)</f>
        <v>17.8</v>
      </c>
      <c r="G33">
        <f>IFERROR(__xludf.DUMMYFUNCTION("""COMPUTED_VALUE"""),16.4)</f>
        <v>16.4</v>
      </c>
      <c r="H33">
        <f>IFERROR(__xludf.DUMMYFUNCTION("""COMPUTED_VALUE"""),1.3)</f>
        <v>1.3</v>
      </c>
      <c r="I33">
        <f>IFERROR(__xludf.DUMMYFUNCTION("""COMPUTED_VALUE"""),2.25)</f>
        <v>2.25</v>
      </c>
    </row>
    <row r="34">
      <c r="A34">
        <f>IFERROR(__xludf.DUMMYFUNCTION("""COMPUTED_VALUE"""),1932.0)</f>
        <v>1932</v>
      </c>
      <c r="B34">
        <f>IFERROR(__xludf.DUMMYFUNCTION("""COMPUTED_VALUE"""),4.151E7)</f>
        <v>41510000</v>
      </c>
      <c r="C34">
        <f>IFERROR(__xludf.DUMMYFUNCTION("""COMPUTED_VALUE"""),726299.0)</f>
        <v>726299</v>
      </c>
      <c r="D34">
        <f>IFERROR(__xludf.DUMMYFUNCTION("""COMPUTED_VALUE"""),663705.0)</f>
        <v>663705</v>
      </c>
      <c r="E34">
        <f>IFERROR(__xludf.DUMMYFUNCTION("""COMPUTED_VALUE"""),62594.0)</f>
        <v>62594</v>
      </c>
      <c r="F34">
        <f>IFERROR(__xludf.DUMMYFUNCTION("""COMPUTED_VALUE"""),17.5)</f>
        <v>17.5</v>
      </c>
      <c r="G34">
        <f>IFERROR(__xludf.DUMMYFUNCTION("""COMPUTED_VALUE"""),16.0)</f>
        <v>16</v>
      </c>
      <c r="H34">
        <f>IFERROR(__xludf.DUMMYFUNCTION("""COMPUTED_VALUE"""),1.5)</f>
        <v>1.5</v>
      </c>
      <c r="I34">
        <f>IFERROR(__xludf.DUMMYFUNCTION("""COMPUTED_VALUE"""),2.23)</f>
        <v>2.23</v>
      </c>
    </row>
    <row r="35">
      <c r="A35">
        <f>IFERROR(__xludf.DUMMYFUNCTION("""COMPUTED_VALUE"""),1933.0)</f>
        <v>1933</v>
      </c>
      <c r="B35">
        <f>IFERROR(__xludf.DUMMYFUNCTION("""COMPUTED_VALUE"""),4.152E7)</f>
        <v>41520000</v>
      </c>
      <c r="C35">
        <f>IFERROR(__xludf.DUMMYFUNCTION("""COMPUTED_VALUE"""),682394.0)</f>
        <v>682394</v>
      </c>
      <c r="D35">
        <f>IFERROR(__xludf.DUMMYFUNCTION("""COMPUTED_VALUE"""),664133.0)</f>
        <v>664133</v>
      </c>
      <c r="E35">
        <f>IFERROR(__xludf.DUMMYFUNCTION("""COMPUTED_VALUE"""),18261.0)</f>
        <v>18261</v>
      </c>
      <c r="F35">
        <f>IFERROR(__xludf.DUMMYFUNCTION("""COMPUTED_VALUE"""),16.4)</f>
        <v>16.4</v>
      </c>
      <c r="G35">
        <f>IFERROR(__xludf.DUMMYFUNCTION("""COMPUTED_VALUE"""),16.0)</f>
        <v>16</v>
      </c>
      <c r="H35">
        <f>IFERROR(__xludf.DUMMYFUNCTION("""COMPUTED_VALUE"""),0.4)</f>
        <v>0.4</v>
      </c>
      <c r="I35">
        <f>IFERROR(__xludf.DUMMYFUNCTION("""COMPUTED_VALUE"""),2.11)</f>
        <v>2.11</v>
      </c>
    </row>
    <row r="36">
      <c r="A36">
        <f>IFERROR(__xludf.DUMMYFUNCTION("""COMPUTED_VALUE"""),1934.0)</f>
        <v>1934</v>
      </c>
      <c r="B36">
        <f>IFERROR(__xludf.DUMMYFUNCTION("""COMPUTED_VALUE"""),4.157E7)</f>
        <v>41570000</v>
      </c>
      <c r="C36">
        <f>IFERROR(__xludf.DUMMYFUNCTION("""COMPUTED_VALUE"""),681518.0)</f>
        <v>681518</v>
      </c>
      <c r="D36">
        <f>IFERROR(__xludf.DUMMYFUNCTION("""COMPUTED_VALUE"""),637713.0)</f>
        <v>637713</v>
      </c>
      <c r="E36">
        <f>IFERROR(__xludf.DUMMYFUNCTION("""COMPUTED_VALUE"""),43805.0)</f>
        <v>43805</v>
      </c>
      <c r="F36">
        <f>IFERROR(__xludf.DUMMYFUNCTION("""COMPUTED_VALUE"""),16.4)</f>
        <v>16.4</v>
      </c>
      <c r="G36">
        <f>IFERROR(__xludf.DUMMYFUNCTION("""COMPUTED_VALUE"""),15.3)</f>
        <v>15.3</v>
      </c>
      <c r="H36">
        <f>IFERROR(__xludf.DUMMYFUNCTION("""COMPUTED_VALUE"""),1.1)</f>
        <v>1.1</v>
      </c>
      <c r="I36">
        <f>IFERROR(__xludf.DUMMYFUNCTION("""COMPUTED_VALUE"""),2.14)</f>
        <v>2.14</v>
      </c>
    </row>
    <row r="37">
      <c r="A37">
        <f>IFERROR(__xludf.DUMMYFUNCTION("""COMPUTED_VALUE"""),1935.0)</f>
        <v>1935</v>
      </c>
      <c r="B37">
        <f>IFERROR(__xludf.DUMMYFUNCTION("""COMPUTED_VALUE"""),4.155E7)</f>
        <v>41550000</v>
      </c>
      <c r="C37">
        <f>IFERROR(__xludf.DUMMYFUNCTION("""COMPUTED_VALUE"""),643870.0)</f>
        <v>643870</v>
      </c>
      <c r="D37">
        <f>IFERROR(__xludf.DUMMYFUNCTION("""COMPUTED_VALUE"""),661722.0)</f>
        <v>661722</v>
      </c>
      <c r="E37">
        <f>IFERROR(__xludf.DUMMYFUNCTION("""COMPUTED_VALUE"""),-17852.0)</f>
        <v>-17852</v>
      </c>
      <c r="F37">
        <f>IFERROR(__xludf.DUMMYFUNCTION("""COMPUTED_VALUE"""),15.5)</f>
        <v>15.5</v>
      </c>
      <c r="G37">
        <f>IFERROR(__xludf.DUMMYFUNCTION("""COMPUTED_VALUE"""),15.9)</f>
        <v>15.9</v>
      </c>
      <c r="H37">
        <f>IFERROR(__xludf.DUMMYFUNCTION("""COMPUTED_VALUE"""),-0.4)</f>
        <v>-0.4</v>
      </c>
      <c r="I37">
        <f>IFERROR(__xludf.DUMMYFUNCTION("""COMPUTED_VALUE"""),2.07)</f>
        <v>2.07</v>
      </c>
    </row>
    <row r="38">
      <c r="A38">
        <f>IFERROR(__xludf.DUMMYFUNCTION("""COMPUTED_VALUE"""),1936.0)</f>
        <v>1936</v>
      </c>
      <c r="B38">
        <f>IFERROR(__xludf.DUMMYFUNCTION("""COMPUTED_VALUE"""),4.15E7)</f>
        <v>41500000</v>
      </c>
      <c r="C38">
        <f>IFERROR(__xludf.DUMMYFUNCTION("""COMPUTED_VALUE"""),634344.0)</f>
        <v>634344</v>
      </c>
      <c r="D38">
        <f>IFERROR(__xludf.DUMMYFUNCTION("""COMPUTED_VALUE"""),645844.0)</f>
        <v>645844</v>
      </c>
      <c r="E38">
        <f>IFERROR(__xludf.DUMMYFUNCTION("""COMPUTED_VALUE"""),-11500.0)</f>
        <v>-11500</v>
      </c>
      <c r="F38">
        <f>IFERROR(__xludf.DUMMYFUNCTION("""COMPUTED_VALUE"""),15.3)</f>
        <v>15.3</v>
      </c>
      <c r="G38">
        <f>IFERROR(__xludf.DUMMYFUNCTION("""COMPUTED_VALUE"""),15.6)</f>
        <v>15.6</v>
      </c>
      <c r="H38">
        <f>IFERROR(__xludf.DUMMYFUNCTION("""COMPUTED_VALUE"""),-0.3)</f>
        <v>-0.3</v>
      </c>
      <c r="I38">
        <f>IFERROR(__xludf.DUMMYFUNCTION("""COMPUTED_VALUE"""),2.09)</f>
        <v>2.09</v>
      </c>
    </row>
    <row r="39">
      <c r="A39">
        <f>IFERROR(__xludf.DUMMYFUNCTION("""COMPUTED_VALUE"""),1937.0)</f>
        <v>1937</v>
      </c>
      <c r="B39">
        <f>IFERROR(__xludf.DUMMYFUNCTION("""COMPUTED_VALUE"""),4.153E7)</f>
        <v>41530000</v>
      </c>
      <c r="C39">
        <f>IFERROR(__xludf.DUMMYFUNCTION("""COMPUTED_VALUE"""),621453.0)</f>
        <v>621453</v>
      </c>
      <c r="D39">
        <f>IFERROR(__xludf.DUMMYFUNCTION("""COMPUTED_VALUE"""),632896.0)</f>
        <v>632896</v>
      </c>
      <c r="E39">
        <f>IFERROR(__xludf.DUMMYFUNCTION("""COMPUTED_VALUE"""),-11443.0)</f>
        <v>-11443</v>
      </c>
      <c r="F39">
        <f>IFERROR(__xludf.DUMMYFUNCTION("""COMPUTED_VALUE"""),15.0)</f>
        <v>15</v>
      </c>
      <c r="G39">
        <f>IFERROR(__xludf.DUMMYFUNCTION("""COMPUTED_VALUE"""),15.2)</f>
        <v>15.2</v>
      </c>
      <c r="H39">
        <f>IFERROR(__xludf.DUMMYFUNCTION("""COMPUTED_VALUE"""),-0.3)</f>
        <v>-0.3</v>
      </c>
      <c r="I39">
        <f>IFERROR(__xludf.DUMMYFUNCTION("""COMPUTED_VALUE"""),2.1)</f>
        <v>2.1</v>
      </c>
    </row>
    <row r="40">
      <c r="A40">
        <f>IFERROR(__xludf.DUMMYFUNCTION("""COMPUTED_VALUE"""),1938.0)</f>
        <v>1938</v>
      </c>
      <c r="B40">
        <f>IFERROR(__xludf.DUMMYFUNCTION("""COMPUTED_VALUE"""),4.156E7)</f>
        <v>41560000</v>
      </c>
      <c r="C40">
        <f>IFERROR(__xludf.DUMMYFUNCTION("""COMPUTED_VALUE"""),615582.0)</f>
        <v>615582</v>
      </c>
      <c r="D40">
        <f>IFERROR(__xludf.DUMMYFUNCTION("""COMPUTED_VALUE"""),650832.0)</f>
        <v>650832</v>
      </c>
      <c r="E40">
        <f>IFERROR(__xludf.DUMMYFUNCTION("""COMPUTED_VALUE"""),-35250.0)</f>
        <v>-35250</v>
      </c>
      <c r="F40">
        <f>IFERROR(__xludf.DUMMYFUNCTION("""COMPUTED_VALUE"""),14.8)</f>
        <v>14.8</v>
      </c>
      <c r="G40">
        <f>IFERROR(__xludf.DUMMYFUNCTION("""COMPUTED_VALUE"""),15.7)</f>
        <v>15.7</v>
      </c>
      <c r="H40">
        <f>IFERROR(__xludf.DUMMYFUNCTION("""COMPUTED_VALUE"""),-0.8)</f>
        <v>-0.8</v>
      </c>
      <c r="I40">
        <f>IFERROR(__xludf.DUMMYFUNCTION("""COMPUTED_VALUE"""),2.13)</f>
        <v>2.13</v>
      </c>
    </row>
    <row r="41">
      <c r="A41">
        <f>IFERROR(__xludf.DUMMYFUNCTION("""COMPUTED_VALUE"""),1939.0)</f>
        <v>1939</v>
      </c>
      <c r="B41">
        <f>IFERROR(__xludf.DUMMYFUNCTION("""COMPUTED_VALUE"""),4.151E7)</f>
        <v>41510000</v>
      </c>
      <c r="C41">
        <f>IFERROR(__xludf.DUMMYFUNCTION("""COMPUTED_VALUE"""),615599.0)</f>
        <v>615599</v>
      </c>
      <c r="D41">
        <f>IFERROR(__xludf.DUMMYFUNCTION("""COMPUTED_VALUE"""),645677.0)</f>
        <v>645677</v>
      </c>
      <c r="E41">
        <f>IFERROR(__xludf.DUMMYFUNCTION("""COMPUTED_VALUE"""),-30078.0)</f>
        <v>-30078</v>
      </c>
      <c r="F41">
        <f>IFERROR(__xludf.DUMMYFUNCTION("""COMPUTED_VALUE"""),14.8)</f>
        <v>14.8</v>
      </c>
      <c r="G41">
        <f>IFERROR(__xludf.DUMMYFUNCTION("""COMPUTED_VALUE"""),15.6)</f>
        <v>15.6</v>
      </c>
      <c r="H41">
        <f>IFERROR(__xludf.DUMMYFUNCTION("""COMPUTED_VALUE"""),-0.7)</f>
        <v>-0.7</v>
      </c>
      <c r="I41">
        <f>IFERROR(__xludf.DUMMYFUNCTION("""COMPUTED_VALUE"""),2.17)</f>
        <v>2.17</v>
      </c>
    </row>
    <row r="42">
      <c r="A42">
        <f>IFERROR(__xludf.DUMMYFUNCTION("""COMPUTED_VALUE"""),1940.0)</f>
        <v>1940</v>
      </c>
      <c r="B42">
        <f>IFERROR(__xludf.DUMMYFUNCTION("""COMPUTED_VALUE"""),4.069E7)</f>
        <v>40690000</v>
      </c>
      <c r="C42">
        <f>IFERROR(__xludf.DUMMYFUNCTION("""COMPUTED_VALUE"""),561281.0)</f>
        <v>561281</v>
      </c>
      <c r="D42">
        <f>IFERROR(__xludf.DUMMYFUNCTION("""COMPUTED_VALUE"""),740281.0)</f>
        <v>740281</v>
      </c>
      <c r="E42">
        <f>IFERROR(__xludf.DUMMYFUNCTION("""COMPUTED_VALUE"""),-179000.0)</f>
        <v>-179000</v>
      </c>
      <c r="F42">
        <f>IFERROR(__xludf.DUMMYFUNCTION("""COMPUTED_VALUE"""),13.8)</f>
        <v>13.8</v>
      </c>
      <c r="G42">
        <f>IFERROR(__xludf.DUMMYFUNCTION("""COMPUTED_VALUE"""),18.2)</f>
        <v>18.2</v>
      </c>
      <c r="H42">
        <f>IFERROR(__xludf.DUMMYFUNCTION("""COMPUTED_VALUE"""),-4.4)</f>
        <v>-4.4</v>
      </c>
      <c r="I42">
        <f>IFERROR(__xludf.DUMMYFUNCTION("""COMPUTED_VALUE"""),2.0)</f>
        <v>2</v>
      </c>
    </row>
    <row r="43">
      <c r="A43">
        <f>IFERROR(__xludf.DUMMYFUNCTION("""COMPUTED_VALUE"""),1941.0)</f>
        <v>1941</v>
      </c>
      <c r="B43">
        <f>IFERROR(__xludf.DUMMYFUNCTION("""COMPUTED_VALUE"""),3.942E7)</f>
        <v>39420000</v>
      </c>
      <c r="C43">
        <f>IFERROR(__xludf.DUMMYFUNCTION("""COMPUTED_VALUE"""),522261.0)</f>
        <v>522261</v>
      </c>
      <c r="D43">
        <f>IFERROR(__xludf.DUMMYFUNCTION("""COMPUTED_VALUE"""),675261.0)</f>
        <v>675261</v>
      </c>
      <c r="E43">
        <f>IFERROR(__xludf.DUMMYFUNCTION("""COMPUTED_VALUE"""),-153000.0)</f>
        <v>-153000</v>
      </c>
      <c r="F43">
        <f>IFERROR(__xludf.DUMMYFUNCTION("""COMPUTED_VALUE"""),13.2)</f>
        <v>13.2</v>
      </c>
      <c r="G43">
        <f>IFERROR(__xludf.DUMMYFUNCTION("""COMPUTED_VALUE"""),17.1)</f>
        <v>17.1</v>
      </c>
      <c r="H43">
        <f>IFERROR(__xludf.DUMMYFUNCTION("""COMPUTED_VALUE"""),-3.9)</f>
        <v>-3.9</v>
      </c>
      <c r="I43">
        <f>IFERROR(__xludf.DUMMYFUNCTION("""COMPUTED_VALUE"""),1.85)</f>
        <v>1.85</v>
      </c>
    </row>
    <row r="44">
      <c r="A44">
        <f>IFERROR(__xludf.DUMMYFUNCTION("""COMPUTED_VALUE"""),1942.0)</f>
        <v>1942</v>
      </c>
      <c r="B44">
        <f>IFERROR(__xludf.DUMMYFUNCTION("""COMPUTED_VALUE"""),3.922E7)</f>
        <v>39220000</v>
      </c>
      <c r="C44">
        <f>IFERROR(__xludf.DUMMYFUNCTION("""COMPUTED_VALUE"""),575261.0)</f>
        <v>575261</v>
      </c>
      <c r="D44">
        <f>IFERROR(__xludf.DUMMYFUNCTION("""COMPUTED_VALUE"""),656261.0)</f>
        <v>656261</v>
      </c>
      <c r="E44">
        <f>IFERROR(__xludf.DUMMYFUNCTION("""COMPUTED_VALUE"""),-81000.0)</f>
        <v>-81000</v>
      </c>
      <c r="F44">
        <f>IFERROR(__xludf.DUMMYFUNCTION("""COMPUTED_VALUE"""),14.7)</f>
        <v>14.7</v>
      </c>
      <c r="G44">
        <f>IFERROR(__xludf.DUMMYFUNCTION("""COMPUTED_VALUE"""),16.7)</f>
        <v>16.7</v>
      </c>
      <c r="H44">
        <f>IFERROR(__xludf.DUMMYFUNCTION("""COMPUTED_VALUE"""),-2.1)</f>
        <v>-2.1</v>
      </c>
      <c r="I44">
        <f>IFERROR(__xludf.DUMMYFUNCTION("""COMPUTED_VALUE"""),2.04)</f>
        <v>2.04</v>
      </c>
    </row>
    <row r="45">
      <c r="A45">
        <f>IFERROR(__xludf.DUMMYFUNCTION("""COMPUTED_VALUE"""),1943.0)</f>
        <v>1943</v>
      </c>
      <c r="B45">
        <f>IFERROR(__xludf.DUMMYFUNCTION("""COMPUTED_VALUE"""),3.886E7)</f>
        <v>38860000</v>
      </c>
      <c r="C45">
        <f>IFERROR(__xludf.DUMMYFUNCTION("""COMPUTED_VALUE"""),615780.0)</f>
        <v>615780</v>
      </c>
      <c r="D45">
        <f>IFERROR(__xludf.DUMMYFUNCTION("""COMPUTED_VALUE"""),626780.0)</f>
        <v>626780</v>
      </c>
      <c r="E45">
        <f>IFERROR(__xludf.DUMMYFUNCTION("""COMPUTED_VALUE"""),-11000.0)</f>
        <v>-11000</v>
      </c>
      <c r="F45">
        <f>IFERROR(__xludf.DUMMYFUNCTION("""COMPUTED_VALUE"""),15.8)</f>
        <v>15.8</v>
      </c>
      <c r="G45">
        <f>IFERROR(__xludf.DUMMYFUNCTION("""COMPUTED_VALUE"""),16.1)</f>
        <v>16.1</v>
      </c>
      <c r="H45">
        <f>IFERROR(__xludf.DUMMYFUNCTION("""COMPUTED_VALUE"""),-0.3)</f>
        <v>-0.3</v>
      </c>
      <c r="I45">
        <f>IFERROR(__xludf.DUMMYFUNCTION("""COMPUTED_VALUE"""),2.19)</f>
        <v>2.19</v>
      </c>
    </row>
    <row r="46">
      <c r="A46">
        <f>IFERROR(__xludf.DUMMYFUNCTION("""COMPUTED_VALUE"""),1944.0)</f>
        <v>1944</v>
      </c>
      <c r="B46">
        <f>IFERROR(__xludf.DUMMYFUNCTION("""COMPUTED_VALUE"""),3.877E7)</f>
        <v>38770000</v>
      </c>
      <c r="C46">
        <f>IFERROR(__xludf.DUMMYFUNCTION("""COMPUTED_VALUE"""),629878.0)</f>
        <v>629878</v>
      </c>
      <c r="D46">
        <f>IFERROR(__xludf.DUMMYFUNCTION("""COMPUTED_VALUE"""),666878.0)</f>
        <v>666878</v>
      </c>
      <c r="E46">
        <f>IFERROR(__xludf.DUMMYFUNCTION("""COMPUTED_VALUE"""),-37000.0)</f>
        <v>-37000</v>
      </c>
      <c r="F46">
        <f>IFERROR(__xludf.DUMMYFUNCTION("""COMPUTED_VALUE"""),16.2)</f>
        <v>16.2</v>
      </c>
      <c r="G46">
        <f>IFERROR(__xludf.DUMMYFUNCTION("""COMPUTED_VALUE"""),17.2)</f>
        <v>17.2</v>
      </c>
      <c r="H46">
        <f>IFERROR(__xludf.DUMMYFUNCTION("""COMPUTED_VALUE"""),-1.0)</f>
        <v>-1</v>
      </c>
      <c r="I46">
        <f>IFERROR(__xludf.DUMMYFUNCTION("""COMPUTED_VALUE"""),2.25)</f>
        <v>2.25</v>
      </c>
    </row>
    <row r="47">
      <c r="A47">
        <f>IFERROR(__xludf.DUMMYFUNCTION("""COMPUTED_VALUE"""),1945.0)</f>
        <v>1945</v>
      </c>
      <c r="B47">
        <f>IFERROR(__xludf.DUMMYFUNCTION("""COMPUTED_VALUE"""),3.966E7)</f>
        <v>39660000</v>
      </c>
      <c r="C47">
        <f>IFERROR(__xludf.DUMMYFUNCTION("""COMPUTED_VALUE"""),645899.0)</f>
        <v>645899</v>
      </c>
      <c r="D47">
        <f>IFERROR(__xludf.DUMMYFUNCTION("""COMPUTED_VALUE"""),643899.0)</f>
        <v>643899</v>
      </c>
      <c r="E47">
        <f>IFERROR(__xludf.DUMMYFUNCTION("""COMPUTED_VALUE"""),2000.0)</f>
        <v>2000</v>
      </c>
      <c r="F47">
        <f>IFERROR(__xludf.DUMMYFUNCTION("""COMPUTED_VALUE"""),16.3)</f>
        <v>16.3</v>
      </c>
      <c r="G47">
        <f>IFERROR(__xludf.DUMMYFUNCTION("""COMPUTED_VALUE"""),16.2)</f>
        <v>16.2</v>
      </c>
      <c r="H47">
        <f>IFERROR(__xludf.DUMMYFUNCTION("""COMPUTED_VALUE"""),0.1)</f>
        <v>0.1</v>
      </c>
      <c r="I47">
        <f>IFERROR(__xludf.DUMMYFUNCTION("""COMPUTED_VALUE"""),2.31)</f>
        <v>2.31</v>
      </c>
    </row>
    <row r="48">
      <c r="A48">
        <f>IFERROR(__xludf.DUMMYFUNCTION("""COMPUTED_VALUE"""),1946.0)</f>
        <v>1946</v>
      </c>
      <c r="B48">
        <f>IFERROR(__xludf.DUMMYFUNCTION("""COMPUTED_VALUE"""),4.0287E7)</f>
        <v>40287000</v>
      </c>
      <c r="C48">
        <f>IFERROR(__xludf.DUMMYFUNCTION("""COMPUTED_VALUE"""),843904.0)</f>
        <v>843904</v>
      </c>
      <c r="D48">
        <f>IFERROR(__xludf.DUMMYFUNCTION("""COMPUTED_VALUE"""),545880.0)</f>
        <v>545880</v>
      </c>
      <c r="E48">
        <f>IFERROR(__xludf.DUMMYFUNCTION("""COMPUTED_VALUE"""),298024.0)</f>
        <v>298024</v>
      </c>
      <c r="F48">
        <f>IFERROR(__xludf.DUMMYFUNCTION("""COMPUTED_VALUE"""),20.9)</f>
        <v>20.9</v>
      </c>
      <c r="G48">
        <f>IFERROR(__xludf.DUMMYFUNCTION("""COMPUTED_VALUE"""),13.5)</f>
        <v>13.5</v>
      </c>
      <c r="H48">
        <f>IFERROR(__xludf.DUMMYFUNCTION("""COMPUTED_VALUE"""),7.4)</f>
        <v>7.4</v>
      </c>
      <c r="I48">
        <f>IFERROR(__xludf.DUMMYFUNCTION("""COMPUTED_VALUE"""),3.0)</f>
        <v>3</v>
      </c>
      <c r="J48">
        <f>IFERROR(__xludf.DUMMYFUNCTION("""COMPUTED_VALUE"""),77.8)</f>
        <v>77.8</v>
      </c>
      <c r="K48">
        <f>IFERROR(__xludf.DUMMYFUNCTION("""COMPUTED_VALUE"""),59.9)</f>
        <v>59.9</v>
      </c>
      <c r="L48">
        <f>IFERROR(__xludf.DUMMYFUNCTION("""COMPUTED_VALUE"""),65.2)</f>
        <v>65.2</v>
      </c>
    </row>
    <row r="49">
      <c r="A49">
        <f>IFERROR(__xludf.DUMMYFUNCTION("""COMPUTED_VALUE"""),1947.0)</f>
        <v>1947</v>
      </c>
      <c r="B49">
        <f>IFERROR(__xludf.DUMMYFUNCTION("""COMPUTED_VALUE"""),4.0679E7)</f>
        <v>40679000</v>
      </c>
      <c r="C49">
        <f>IFERROR(__xludf.DUMMYFUNCTION("""COMPUTED_VALUE"""),870472.0)</f>
        <v>870472</v>
      </c>
      <c r="D49">
        <f>IFERROR(__xludf.DUMMYFUNCTION("""COMPUTED_VALUE"""),538157.0)</f>
        <v>538157</v>
      </c>
      <c r="E49">
        <f>IFERROR(__xludf.DUMMYFUNCTION("""COMPUTED_VALUE"""),332315.0)</f>
        <v>332315</v>
      </c>
      <c r="F49">
        <f>IFERROR(__xludf.DUMMYFUNCTION("""COMPUTED_VALUE"""),21.4)</f>
        <v>21.4</v>
      </c>
      <c r="G49">
        <f>IFERROR(__xludf.DUMMYFUNCTION("""COMPUTED_VALUE"""),13.2)</f>
        <v>13.2</v>
      </c>
      <c r="H49">
        <f>IFERROR(__xludf.DUMMYFUNCTION("""COMPUTED_VALUE"""),8.2)</f>
        <v>8.2</v>
      </c>
      <c r="I49">
        <f>IFERROR(__xludf.DUMMYFUNCTION("""COMPUTED_VALUE"""),3.04)</f>
        <v>3.04</v>
      </c>
      <c r="J49">
        <f>IFERROR(__xludf.DUMMYFUNCTION("""COMPUTED_VALUE"""),71.1)</f>
        <v>71.1</v>
      </c>
      <c r="K49">
        <f>IFERROR(__xludf.DUMMYFUNCTION("""COMPUTED_VALUE"""),61.2)</f>
        <v>61.2</v>
      </c>
      <c r="L49">
        <f>IFERROR(__xludf.DUMMYFUNCTION("""COMPUTED_VALUE"""),66.7)</f>
        <v>66.7</v>
      </c>
    </row>
    <row r="50">
      <c r="A50">
        <f>IFERROR(__xludf.DUMMYFUNCTION("""COMPUTED_VALUE"""),1948.0)</f>
        <v>1948</v>
      </c>
      <c r="B50">
        <f>IFERROR(__xludf.DUMMYFUNCTION("""COMPUTED_VALUE"""),4.1112E7)</f>
        <v>41112000</v>
      </c>
      <c r="C50">
        <f>IFERROR(__xludf.DUMMYFUNCTION("""COMPUTED_VALUE"""),870836.0)</f>
        <v>870836</v>
      </c>
      <c r="D50">
        <f>IFERROR(__xludf.DUMMYFUNCTION("""COMPUTED_VALUE"""),513210.0)</f>
        <v>513210</v>
      </c>
      <c r="E50">
        <f>IFERROR(__xludf.DUMMYFUNCTION("""COMPUTED_VALUE"""),357626.0)</f>
        <v>357626</v>
      </c>
      <c r="F50">
        <f>IFERROR(__xludf.DUMMYFUNCTION("""COMPUTED_VALUE"""),21.2)</f>
        <v>21.2</v>
      </c>
      <c r="G50">
        <f>IFERROR(__xludf.DUMMYFUNCTION("""COMPUTED_VALUE"""),12.5)</f>
        <v>12.5</v>
      </c>
      <c r="H50">
        <f>IFERROR(__xludf.DUMMYFUNCTION("""COMPUTED_VALUE"""),8.7)</f>
        <v>8.7</v>
      </c>
      <c r="I50">
        <f>IFERROR(__xludf.DUMMYFUNCTION("""COMPUTED_VALUE"""),3.02)</f>
        <v>3.02</v>
      </c>
      <c r="J50">
        <f>IFERROR(__xludf.DUMMYFUNCTION("""COMPUTED_VALUE"""),55.9)</f>
        <v>55.9</v>
      </c>
      <c r="K50">
        <f>IFERROR(__xludf.DUMMYFUNCTION("""COMPUTED_VALUE"""),62.7)</f>
        <v>62.7</v>
      </c>
      <c r="L50">
        <f>IFERROR(__xludf.DUMMYFUNCTION("""COMPUTED_VALUE"""),68.8)</f>
        <v>68.8</v>
      </c>
    </row>
    <row r="51">
      <c r="A51">
        <f>IFERROR(__xludf.DUMMYFUNCTION("""COMPUTED_VALUE"""),1949.0)</f>
        <v>1949</v>
      </c>
      <c r="B51">
        <f>IFERROR(__xludf.DUMMYFUNCTION("""COMPUTED_VALUE"""),4.148E7)</f>
        <v>41480000</v>
      </c>
      <c r="C51">
        <f>IFERROR(__xludf.DUMMYFUNCTION("""COMPUTED_VALUE"""),872661.0)</f>
        <v>872661</v>
      </c>
      <c r="D51">
        <f>IFERROR(__xludf.DUMMYFUNCTION("""COMPUTED_VALUE"""),573598.0)</f>
        <v>573598</v>
      </c>
      <c r="E51">
        <f>IFERROR(__xludf.DUMMYFUNCTION("""COMPUTED_VALUE"""),299063.0)</f>
        <v>299063</v>
      </c>
      <c r="F51">
        <f>IFERROR(__xludf.DUMMYFUNCTION("""COMPUTED_VALUE"""),21.0)</f>
        <v>21</v>
      </c>
      <c r="G51">
        <f>IFERROR(__xludf.DUMMYFUNCTION("""COMPUTED_VALUE"""),13.8)</f>
        <v>13.8</v>
      </c>
      <c r="H51">
        <f>IFERROR(__xludf.DUMMYFUNCTION("""COMPUTED_VALUE"""),7.2)</f>
        <v>7.2</v>
      </c>
      <c r="I51">
        <f>IFERROR(__xludf.DUMMYFUNCTION("""COMPUTED_VALUE"""),3.0)</f>
        <v>3</v>
      </c>
      <c r="J51">
        <f>IFERROR(__xludf.DUMMYFUNCTION("""COMPUTED_VALUE"""),60.3)</f>
        <v>60.3</v>
      </c>
      <c r="K51">
        <f>IFERROR(__xludf.DUMMYFUNCTION("""COMPUTED_VALUE"""),62.2)</f>
        <v>62.2</v>
      </c>
      <c r="L51">
        <f>IFERROR(__xludf.DUMMYFUNCTION("""COMPUTED_VALUE"""),67.6)</f>
        <v>67.6</v>
      </c>
    </row>
    <row r="52">
      <c r="A52">
        <f>IFERROR(__xludf.DUMMYFUNCTION("""COMPUTED_VALUE"""),1950.0)</f>
        <v>1950</v>
      </c>
      <c r="B52">
        <f>IFERROR(__xludf.DUMMYFUNCTION("""COMPUTED_VALUE"""),4.1829E7)</f>
        <v>41829000</v>
      </c>
      <c r="C52">
        <f>IFERROR(__xludf.DUMMYFUNCTION("""COMPUTED_VALUE"""),862310.0)</f>
        <v>862310</v>
      </c>
      <c r="D52">
        <f>IFERROR(__xludf.DUMMYFUNCTION("""COMPUTED_VALUE"""),534480.0)</f>
        <v>534480</v>
      </c>
      <c r="E52">
        <f>IFERROR(__xludf.DUMMYFUNCTION("""COMPUTED_VALUE"""),327830.0)</f>
        <v>327830</v>
      </c>
      <c r="F52">
        <f>IFERROR(__xludf.DUMMYFUNCTION("""COMPUTED_VALUE"""),20.6)</f>
        <v>20.6</v>
      </c>
      <c r="G52">
        <f>IFERROR(__xludf.DUMMYFUNCTION("""COMPUTED_VALUE"""),12.8)</f>
        <v>12.8</v>
      </c>
      <c r="H52">
        <f>IFERROR(__xludf.DUMMYFUNCTION("""COMPUTED_VALUE"""),7.8)</f>
        <v>7.8</v>
      </c>
      <c r="I52">
        <f>IFERROR(__xludf.DUMMYFUNCTION("""COMPUTED_VALUE"""),2.95)</f>
        <v>2.95</v>
      </c>
      <c r="J52">
        <f>IFERROR(__xludf.DUMMYFUNCTION("""COMPUTED_VALUE"""),52.0)</f>
        <v>52</v>
      </c>
      <c r="K52">
        <f>IFERROR(__xludf.DUMMYFUNCTION("""COMPUTED_VALUE"""),63.4)</f>
        <v>63.4</v>
      </c>
      <c r="L52">
        <f>IFERROR(__xludf.DUMMYFUNCTION("""COMPUTED_VALUE"""),69.2)</f>
        <v>69.2</v>
      </c>
    </row>
    <row r="53">
      <c r="A53">
        <f>IFERROR(__xludf.DUMMYFUNCTION("""COMPUTED_VALUE"""),1951.0)</f>
        <v>1951</v>
      </c>
      <c r="B53">
        <f>IFERROR(__xludf.DUMMYFUNCTION("""COMPUTED_VALUE"""),4.2156E7)</f>
        <v>42156000</v>
      </c>
      <c r="C53">
        <f>IFERROR(__xludf.DUMMYFUNCTION("""COMPUTED_VALUE"""),826722.0)</f>
        <v>826722</v>
      </c>
      <c r="D53">
        <f>IFERROR(__xludf.DUMMYFUNCTION("""COMPUTED_VALUE"""),565829.0)</f>
        <v>565829</v>
      </c>
      <c r="E53">
        <f>IFERROR(__xludf.DUMMYFUNCTION("""COMPUTED_VALUE"""),260893.0)</f>
        <v>260893</v>
      </c>
      <c r="F53">
        <f>IFERROR(__xludf.DUMMYFUNCTION("""COMPUTED_VALUE"""),19.6)</f>
        <v>19.6</v>
      </c>
      <c r="G53">
        <f>IFERROR(__xludf.DUMMYFUNCTION("""COMPUTED_VALUE"""),13.4)</f>
        <v>13.4</v>
      </c>
      <c r="H53">
        <f>IFERROR(__xludf.DUMMYFUNCTION("""COMPUTED_VALUE"""),6.2)</f>
        <v>6.2</v>
      </c>
      <c r="I53">
        <f>IFERROR(__xludf.DUMMYFUNCTION("""COMPUTED_VALUE"""),2.81)</f>
        <v>2.81</v>
      </c>
      <c r="J53">
        <f>IFERROR(__xludf.DUMMYFUNCTION("""COMPUTED_VALUE"""),50.8)</f>
        <v>50.8</v>
      </c>
      <c r="K53">
        <f>IFERROR(__xludf.DUMMYFUNCTION("""COMPUTED_VALUE"""),63.1)</f>
        <v>63.1</v>
      </c>
      <c r="L53">
        <f>IFERROR(__xludf.DUMMYFUNCTION("""COMPUTED_VALUE"""),68.9)</f>
        <v>68.9</v>
      </c>
    </row>
    <row r="54">
      <c r="A54">
        <f>IFERROR(__xludf.DUMMYFUNCTION("""COMPUTED_VALUE"""),1952.0)</f>
        <v>1952</v>
      </c>
      <c r="B54">
        <f>IFERROR(__xludf.DUMMYFUNCTION("""COMPUTED_VALUE"""),4.246E7)</f>
        <v>42460000</v>
      </c>
      <c r="C54">
        <f>IFERROR(__xludf.DUMMYFUNCTION("""COMPUTED_VALUE"""),822204.0)</f>
        <v>822204</v>
      </c>
      <c r="D54">
        <f>IFERROR(__xludf.DUMMYFUNCTION("""COMPUTED_VALUE"""),524831.0)</f>
        <v>524831</v>
      </c>
      <c r="E54">
        <f>IFERROR(__xludf.DUMMYFUNCTION("""COMPUTED_VALUE"""),297373.0)</f>
        <v>297373</v>
      </c>
      <c r="F54">
        <f>IFERROR(__xludf.DUMMYFUNCTION("""COMPUTED_VALUE"""),19.4)</f>
        <v>19.4</v>
      </c>
      <c r="G54">
        <f>IFERROR(__xludf.DUMMYFUNCTION("""COMPUTED_VALUE"""),12.4)</f>
        <v>12.4</v>
      </c>
      <c r="H54">
        <f>IFERROR(__xludf.DUMMYFUNCTION("""COMPUTED_VALUE"""),7.0)</f>
        <v>7</v>
      </c>
      <c r="I54">
        <f>IFERROR(__xludf.DUMMYFUNCTION("""COMPUTED_VALUE"""),2.78)</f>
        <v>2.78</v>
      </c>
      <c r="J54">
        <f>IFERROR(__xludf.DUMMYFUNCTION("""COMPUTED_VALUE"""),45.2)</f>
        <v>45.2</v>
      </c>
      <c r="K54">
        <f>IFERROR(__xludf.DUMMYFUNCTION("""COMPUTED_VALUE"""),64.4)</f>
        <v>64.4</v>
      </c>
      <c r="L54">
        <f>IFERROR(__xludf.DUMMYFUNCTION("""COMPUTED_VALUE"""),70.2)</f>
        <v>70.2</v>
      </c>
    </row>
    <row r="55">
      <c r="A55">
        <f>IFERROR(__xludf.DUMMYFUNCTION("""COMPUTED_VALUE"""),1953.0)</f>
        <v>1953</v>
      </c>
      <c r="B55">
        <f>IFERROR(__xludf.DUMMYFUNCTION("""COMPUTED_VALUE"""),4.2752E7)</f>
        <v>42752000</v>
      </c>
      <c r="C55">
        <f>IFERROR(__xludf.DUMMYFUNCTION("""COMPUTED_VALUE"""),804696.0)</f>
        <v>804696</v>
      </c>
      <c r="D55">
        <f>IFERROR(__xludf.DUMMYFUNCTION("""COMPUTED_VALUE"""),556983.0)</f>
        <v>556983</v>
      </c>
      <c r="E55">
        <f>IFERROR(__xludf.DUMMYFUNCTION("""COMPUTED_VALUE"""),247713.0)</f>
        <v>247713</v>
      </c>
      <c r="F55">
        <f>IFERROR(__xludf.DUMMYFUNCTION("""COMPUTED_VALUE"""),18.8)</f>
        <v>18.8</v>
      </c>
      <c r="G55">
        <f>IFERROR(__xludf.DUMMYFUNCTION("""COMPUTED_VALUE"""),13.0)</f>
        <v>13</v>
      </c>
      <c r="H55">
        <f>IFERROR(__xludf.DUMMYFUNCTION("""COMPUTED_VALUE"""),5.8)</f>
        <v>5.8</v>
      </c>
      <c r="I55">
        <f>IFERROR(__xludf.DUMMYFUNCTION("""COMPUTED_VALUE"""),2.7)</f>
        <v>2.7</v>
      </c>
      <c r="J55">
        <f>IFERROR(__xludf.DUMMYFUNCTION("""COMPUTED_VALUE"""),41.9)</f>
        <v>41.9</v>
      </c>
      <c r="K55">
        <f>IFERROR(__xludf.DUMMYFUNCTION("""COMPUTED_VALUE"""),64.3)</f>
        <v>64.3</v>
      </c>
      <c r="L55">
        <f>IFERROR(__xludf.DUMMYFUNCTION("""COMPUTED_VALUE"""),70.3)</f>
        <v>70.3</v>
      </c>
    </row>
    <row r="56">
      <c r="A56">
        <f>IFERROR(__xludf.DUMMYFUNCTION("""COMPUTED_VALUE"""),1954.0)</f>
        <v>1954</v>
      </c>
      <c r="B56">
        <f>IFERROR(__xludf.DUMMYFUNCTION("""COMPUTED_VALUE"""),4.3057E7)</f>
        <v>43057000</v>
      </c>
      <c r="C56">
        <f>IFERROR(__xludf.DUMMYFUNCTION("""COMPUTED_VALUE"""),810754.0)</f>
        <v>810754</v>
      </c>
      <c r="D56">
        <f>IFERROR(__xludf.DUMMYFUNCTION("""COMPUTED_VALUE"""),518892.0)</f>
        <v>518892</v>
      </c>
      <c r="E56">
        <f>IFERROR(__xludf.DUMMYFUNCTION("""COMPUTED_VALUE"""),291862.0)</f>
        <v>291862</v>
      </c>
      <c r="F56">
        <f>IFERROR(__xludf.DUMMYFUNCTION("""COMPUTED_VALUE"""),18.8)</f>
        <v>18.8</v>
      </c>
      <c r="G56">
        <f>IFERROR(__xludf.DUMMYFUNCTION("""COMPUTED_VALUE"""),12.1)</f>
        <v>12.1</v>
      </c>
      <c r="H56">
        <f>IFERROR(__xludf.DUMMYFUNCTION("""COMPUTED_VALUE"""),6.8)</f>
        <v>6.8</v>
      </c>
      <c r="I56">
        <f>IFERROR(__xludf.DUMMYFUNCTION("""COMPUTED_VALUE"""),2.71)</f>
        <v>2.71</v>
      </c>
      <c r="J56">
        <f>IFERROR(__xludf.DUMMYFUNCTION("""COMPUTED_VALUE"""),40.7)</f>
        <v>40.7</v>
      </c>
      <c r="K56">
        <f>IFERROR(__xludf.DUMMYFUNCTION("""COMPUTED_VALUE"""),65.0)</f>
        <v>65</v>
      </c>
      <c r="L56">
        <f>IFERROR(__xludf.DUMMYFUNCTION("""COMPUTED_VALUE"""),71.2)</f>
        <v>71.2</v>
      </c>
    </row>
    <row r="57">
      <c r="A57">
        <f>IFERROR(__xludf.DUMMYFUNCTION("""COMPUTED_VALUE"""),1955.0)</f>
        <v>1955</v>
      </c>
      <c r="B57">
        <f>IFERROR(__xludf.DUMMYFUNCTION("""COMPUTED_VALUE"""),4.3428E7)</f>
        <v>43428000</v>
      </c>
      <c r="C57">
        <f>IFERROR(__xludf.DUMMYFUNCTION("""COMPUTED_VALUE"""),805917.0)</f>
        <v>805917</v>
      </c>
      <c r="D57">
        <f>IFERROR(__xludf.DUMMYFUNCTION("""COMPUTED_VALUE"""),526322.0)</f>
        <v>526322</v>
      </c>
      <c r="E57">
        <f>IFERROR(__xludf.DUMMYFUNCTION("""COMPUTED_VALUE"""),279595.0)</f>
        <v>279595</v>
      </c>
      <c r="F57">
        <f>IFERROR(__xludf.DUMMYFUNCTION("""COMPUTED_VALUE"""),18.6)</f>
        <v>18.6</v>
      </c>
      <c r="G57">
        <f>IFERROR(__xludf.DUMMYFUNCTION("""COMPUTED_VALUE"""),12.1)</f>
        <v>12.1</v>
      </c>
      <c r="H57">
        <f>IFERROR(__xludf.DUMMYFUNCTION("""COMPUTED_VALUE"""),6.4)</f>
        <v>6.4</v>
      </c>
      <c r="I57">
        <f>IFERROR(__xludf.DUMMYFUNCTION("""COMPUTED_VALUE"""),2.68)</f>
        <v>2.68</v>
      </c>
      <c r="J57">
        <f>IFERROR(__xludf.DUMMYFUNCTION("""COMPUTED_VALUE"""),38.6)</f>
        <v>38.6</v>
      </c>
      <c r="K57">
        <f>IFERROR(__xludf.DUMMYFUNCTION("""COMPUTED_VALUE"""),65.2)</f>
        <v>65.2</v>
      </c>
      <c r="L57">
        <f>IFERROR(__xludf.DUMMYFUNCTION("""COMPUTED_VALUE"""),71.5)</f>
        <v>71.5</v>
      </c>
    </row>
    <row r="58">
      <c r="A58">
        <f>IFERROR(__xludf.DUMMYFUNCTION("""COMPUTED_VALUE"""),1956.0)</f>
        <v>1956</v>
      </c>
      <c r="B58">
        <f>IFERROR(__xludf.DUMMYFUNCTION("""COMPUTED_VALUE"""),4.3843E7)</f>
        <v>43843000</v>
      </c>
      <c r="C58">
        <f>IFERROR(__xludf.DUMMYFUNCTION("""COMPUTED_VALUE"""),806916.0)</f>
        <v>806916</v>
      </c>
      <c r="D58">
        <f>IFERROR(__xludf.DUMMYFUNCTION("""COMPUTED_VALUE"""),545700.0)</f>
        <v>545700</v>
      </c>
      <c r="E58">
        <f>IFERROR(__xludf.DUMMYFUNCTION("""COMPUTED_VALUE"""),261216.0)</f>
        <v>261216</v>
      </c>
      <c r="F58">
        <f>IFERROR(__xludf.DUMMYFUNCTION("""COMPUTED_VALUE"""),18.4)</f>
        <v>18.4</v>
      </c>
      <c r="G58">
        <f>IFERROR(__xludf.DUMMYFUNCTION("""COMPUTED_VALUE"""),12.4)</f>
        <v>12.4</v>
      </c>
      <c r="H58">
        <f>IFERROR(__xludf.DUMMYFUNCTION("""COMPUTED_VALUE"""),6.0)</f>
        <v>6</v>
      </c>
      <c r="I58">
        <f>IFERROR(__xludf.DUMMYFUNCTION("""COMPUTED_VALUE"""),2.67)</f>
        <v>2.67</v>
      </c>
      <c r="J58">
        <f>IFERROR(__xludf.DUMMYFUNCTION("""COMPUTED_VALUE"""),36.2)</f>
        <v>36.2</v>
      </c>
      <c r="K58">
        <f>IFERROR(__xludf.DUMMYFUNCTION("""COMPUTED_VALUE"""),65.2)</f>
        <v>65.2</v>
      </c>
      <c r="L58">
        <f>IFERROR(__xludf.DUMMYFUNCTION("""COMPUTED_VALUE"""),71.7)</f>
        <v>71.7</v>
      </c>
    </row>
    <row r="59">
      <c r="A59">
        <f>IFERROR(__xludf.DUMMYFUNCTION("""COMPUTED_VALUE"""),1957.0)</f>
        <v>1957</v>
      </c>
      <c r="B59">
        <f>IFERROR(__xludf.DUMMYFUNCTION("""COMPUTED_VALUE"""),4.4311E7)</f>
        <v>44311000</v>
      </c>
      <c r="C59">
        <f>IFERROR(__xludf.DUMMYFUNCTION("""COMPUTED_VALUE"""),816467.0)</f>
        <v>816467</v>
      </c>
      <c r="D59">
        <f>IFERROR(__xludf.DUMMYFUNCTION("""COMPUTED_VALUE"""),532107.0)</f>
        <v>532107</v>
      </c>
      <c r="E59">
        <f>IFERROR(__xludf.DUMMYFUNCTION("""COMPUTED_VALUE"""),284360.0)</f>
        <v>284360</v>
      </c>
      <c r="F59">
        <f>IFERROR(__xludf.DUMMYFUNCTION("""COMPUTED_VALUE"""),18.4)</f>
        <v>18.4</v>
      </c>
      <c r="G59">
        <f>IFERROR(__xludf.DUMMYFUNCTION("""COMPUTED_VALUE"""),12.0)</f>
        <v>12</v>
      </c>
      <c r="H59">
        <f>IFERROR(__xludf.DUMMYFUNCTION("""COMPUTED_VALUE"""),6.4)</f>
        <v>6.4</v>
      </c>
      <c r="I59">
        <f>IFERROR(__xludf.DUMMYFUNCTION("""COMPUTED_VALUE"""),2.69)</f>
        <v>2.69</v>
      </c>
      <c r="J59">
        <f>IFERROR(__xludf.DUMMYFUNCTION("""COMPUTED_VALUE"""),33.8)</f>
        <v>33.8</v>
      </c>
      <c r="K59">
        <f>IFERROR(__xludf.DUMMYFUNCTION("""COMPUTED_VALUE"""),65.5)</f>
        <v>65.5</v>
      </c>
      <c r="L59">
        <f>IFERROR(__xludf.DUMMYFUNCTION("""COMPUTED_VALUE"""),72.2)</f>
        <v>72.2</v>
      </c>
    </row>
    <row r="60">
      <c r="A60">
        <f>IFERROR(__xludf.DUMMYFUNCTION("""COMPUTED_VALUE"""),1958.0)</f>
        <v>1958</v>
      </c>
      <c r="B60">
        <f>IFERROR(__xludf.DUMMYFUNCTION("""COMPUTED_VALUE"""),4.4789E7)</f>
        <v>44789000</v>
      </c>
      <c r="C60">
        <f>IFERROR(__xludf.DUMMYFUNCTION("""COMPUTED_VALUE"""),812215.0)</f>
        <v>812215</v>
      </c>
      <c r="D60">
        <f>IFERROR(__xludf.DUMMYFUNCTION("""COMPUTED_VALUE"""),500596.0)</f>
        <v>500596</v>
      </c>
      <c r="E60">
        <f>IFERROR(__xludf.DUMMYFUNCTION("""COMPUTED_VALUE"""),311619.0)</f>
        <v>311619</v>
      </c>
      <c r="F60">
        <f>IFERROR(__xludf.DUMMYFUNCTION("""COMPUTED_VALUE"""),18.1)</f>
        <v>18.1</v>
      </c>
      <c r="G60">
        <f>IFERROR(__xludf.DUMMYFUNCTION("""COMPUTED_VALUE"""),11.2)</f>
        <v>11.2</v>
      </c>
      <c r="H60">
        <f>IFERROR(__xludf.DUMMYFUNCTION("""COMPUTED_VALUE"""),7.0)</f>
        <v>7</v>
      </c>
      <c r="I60">
        <f>IFERROR(__xludf.DUMMYFUNCTION("""COMPUTED_VALUE"""),2.68)</f>
        <v>2.68</v>
      </c>
      <c r="J60">
        <f>IFERROR(__xludf.DUMMYFUNCTION("""COMPUTED_VALUE"""),31.4)</f>
        <v>31.4</v>
      </c>
      <c r="K60">
        <f>IFERROR(__xludf.DUMMYFUNCTION("""COMPUTED_VALUE"""),66.8)</f>
        <v>66.8</v>
      </c>
      <c r="L60">
        <f>IFERROR(__xludf.DUMMYFUNCTION("""COMPUTED_VALUE"""),73.4)</f>
        <v>73.4</v>
      </c>
    </row>
    <row r="61">
      <c r="A61">
        <f>IFERROR(__xludf.DUMMYFUNCTION("""COMPUTED_VALUE"""),1959.0)</f>
        <v>1959</v>
      </c>
      <c r="B61">
        <f>IFERROR(__xludf.DUMMYFUNCTION("""COMPUTED_VALUE"""),4.524E7)</f>
        <v>45240000</v>
      </c>
      <c r="C61">
        <f>IFERROR(__xludf.DUMMYFUNCTION("""COMPUTED_VALUE"""),829249.0)</f>
        <v>829249</v>
      </c>
      <c r="D61">
        <f>IFERROR(__xludf.DUMMYFUNCTION("""COMPUTED_VALUE"""),509114.0)</f>
        <v>509114</v>
      </c>
      <c r="E61">
        <f>IFERROR(__xludf.DUMMYFUNCTION("""COMPUTED_VALUE"""),320135.0)</f>
        <v>320135</v>
      </c>
      <c r="F61">
        <f>IFERROR(__xludf.DUMMYFUNCTION("""COMPUTED_VALUE"""),18.3)</f>
        <v>18.3</v>
      </c>
      <c r="G61">
        <f>IFERROR(__xludf.DUMMYFUNCTION("""COMPUTED_VALUE"""),11.3)</f>
        <v>11.3</v>
      </c>
      <c r="H61">
        <f>IFERROR(__xludf.DUMMYFUNCTION("""COMPUTED_VALUE"""),7.1)</f>
        <v>7.1</v>
      </c>
      <c r="I61">
        <f>IFERROR(__xludf.DUMMYFUNCTION("""COMPUTED_VALUE"""),2.75)</f>
        <v>2.75</v>
      </c>
      <c r="J61">
        <f>IFERROR(__xludf.DUMMYFUNCTION("""COMPUTED_VALUE"""),29.6)</f>
        <v>29.6</v>
      </c>
      <c r="K61">
        <f>IFERROR(__xludf.DUMMYFUNCTION("""COMPUTED_VALUE"""),66.8)</f>
        <v>66.8</v>
      </c>
      <c r="L61">
        <f>IFERROR(__xludf.DUMMYFUNCTION("""COMPUTED_VALUE"""),73.2)</f>
        <v>73.2</v>
      </c>
    </row>
    <row r="62">
      <c r="A62">
        <f>IFERROR(__xludf.DUMMYFUNCTION("""COMPUTED_VALUE"""),1960.0)</f>
        <v>1960</v>
      </c>
      <c r="B62">
        <f>IFERROR(__xludf.DUMMYFUNCTION("""COMPUTED_VALUE"""),4.5684E7)</f>
        <v>45684000</v>
      </c>
      <c r="C62">
        <f>IFERROR(__xludf.DUMMYFUNCTION("""COMPUTED_VALUE"""),819819.0)</f>
        <v>819819</v>
      </c>
      <c r="D62">
        <f>IFERROR(__xludf.DUMMYFUNCTION("""COMPUTED_VALUE"""),520960.0)</f>
        <v>520960</v>
      </c>
      <c r="E62">
        <f>IFERROR(__xludf.DUMMYFUNCTION("""COMPUTED_VALUE"""),298859.0)</f>
        <v>298859</v>
      </c>
      <c r="F62">
        <f>IFERROR(__xludf.DUMMYFUNCTION("""COMPUTED_VALUE"""),17.9)</f>
        <v>17.9</v>
      </c>
      <c r="G62">
        <f>IFERROR(__xludf.DUMMYFUNCTION("""COMPUTED_VALUE"""),11.4)</f>
        <v>11.4</v>
      </c>
      <c r="H62">
        <f>IFERROR(__xludf.DUMMYFUNCTION("""COMPUTED_VALUE"""),6.5)</f>
        <v>6.5</v>
      </c>
      <c r="I62">
        <f>IFERROR(__xludf.DUMMYFUNCTION("""COMPUTED_VALUE"""),2.74)</f>
        <v>2.74</v>
      </c>
      <c r="J62">
        <f>IFERROR(__xludf.DUMMYFUNCTION("""COMPUTED_VALUE"""),27.4)</f>
        <v>27.4</v>
      </c>
      <c r="K62">
        <f>IFERROR(__xludf.DUMMYFUNCTION("""COMPUTED_VALUE"""),67.0)</f>
        <v>67</v>
      </c>
      <c r="L62">
        <f>IFERROR(__xludf.DUMMYFUNCTION("""COMPUTED_VALUE"""),73.6)</f>
        <v>73.6</v>
      </c>
    </row>
    <row r="63">
      <c r="A63">
        <f>IFERROR(__xludf.DUMMYFUNCTION("""COMPUTED_VALUE"""),1961.0)</f>
        <v>1961</v>
      </c>
      <c r="B63">
        <f>IFERROR(__xludf.DUMMYFUNCTION("""COMPUTED_VALUE"""),4.6163E7)</f>
        <v>46163000</v>
      </c>
      <c r="C63">
        <f>IFERROR(__xludf.DUMMYFUNCTION("""COMPUTED_VALUE"""),838633.0)</f>
        <v>838633</v>
      </c>
      <c r="D63">
        <f>IFERROR(__xludf.DUMMYFUNCTION("""COMPUTED_VALUE"""),500289.0)</f>
        <v>500289</v>
      </c>
      <c r="E63">
        <f>IFERROR(__xludf.DUMMYFUNCTION("""COMPUTED_VALUE"""),338344.0)</f>
        <v>338344</v>
      </c>
      <c r="F63">
        <f>IFERROR(__xludf.DUMMYFUNCTION("""COMPUTED_VALUE"""),18.2)</f>
        <v>18.2</v>
      </c>
      <c r="G63">
        <f>IFERROR(__xludf.DUMMYFUNCTION("""COMPUTED_VALUE"""),10.8)</f>
        <v>10.8</v>
      </c>
      <c r="H63">
        <f>IFERROR(__xludf.DUMMYFUNCTION("""COMPUTED_VALUE"""),7.3)</f>
        <v>7.3</v>
      </c>
      <c r="I63">
        <f>IFERROR(__xludf.DUMMYFUNCTION("""COMPUTED_VALUE"""),2.82)</f>
        <v>2.82</v>
      </c>
      <c r="J63">
        <f>IFERROR(__xludf.DUMMYFUNCTION("""COMPUTED_VALUE"""),25.7)</f>
        <v>25.7</v>
      </c>
      <c r="K63">
        <f>IFERROR(__xludf.DUMMYFUNCTION("""COMPUTED_VALUE"""),67.5)</f>
        <v>67.5</v>
      </c>
      <c r="L63">
        <f>IFERROR(__xludf.DUMMYFUNCTION("""COMPUTED_VALUE"""),74.4)</f>
        <v>74.4</v>
      </c>
    </row>
    <row r="64">
      <c r="A64">
        <f>IFERROR(__xludf.DUMMYFUNCTION("""COMPUTED_VALUE"""),1962.0)</f>
        <v>1962</v>
      </c>
      <c r="B64">
        <f>IFERROR(__xludf.DUMMYFUNCTION("""COMPUTED_VALUE"""),4.6998E7)</f>
        <v>46998000</v>
      </c>
      <c r="C64">
        <f>IFERROR(__xludf.DUMMYFUNCTION("""COMPUTED_VALUE"""),832353.0)</f>
        <v>832353</v>
      </c>
      <c r="D64">
        <f>IFERROR(__xludf.DUMMYFUNCTION("""COMPUTED_VALUE"""),541147.0)</f>
        <v>541147</v>
      </c>
      <c r="E64">
        <f>IFERROR(__xludf.DUMMYFUNCTION("""COMPUTED_VALUE"""),291206.0)</f>
        <v>291206</v>
      </c>
      <c r="F64">
        <f>IFERROR(__xludf.DUMMYFUNCTION("""COMPUTED_VALUE"""),17.7)</f>
        <v>17.7</v>
      </c>
      <c r="G64">
        <f>IFERROR(__xludf.DUMMYFUNCTION("""COMPUTED_VALUE"""),11.5)</f>
        <v>11.5</v>
      </c>
      <c r="H64">
        <f>IFERROR(__xludf.DUMMYFUNCTION("""COMPUTED_VALUE"""),6.2)</f>
        <v>6.2</v>
      </c>
      <c r="I64">
        <f>IFERROR(__xludf.DUMMYFUNCTION("""COMPUTED_VALUE"""),2.8)</f>
        <v>2.8</v>
      </c>
      <c r="J64">
        <f>IFERROR(__xludf.DUMMYFUNCTION("""COMPUTED_VALUE"""),25.7)</f>
        <v>25.7</v>
      </c>
      <c r="K64">
        <f>IFERROR(__xludf.DUMMYFUNCTION("""COMPUTED_VALUE"""),67.0)</f>
        <v>67</v>
      </c>
      <c r="L64">
        <f>IFERROR(__xludf.DUMMYFUNCTION("""COMPUTED_VALUE"""),73.9)</f>
        <v>73.9</v>
      </c>
    </row>
    <row r="65">
      <c r="A65">
        <f>IFERROR(__xludf.DUMMYFUNCTION("""COMPUTED_VALUE"""),1963.0)</f>
        <v>1963</v>
      </c>
      <c r="B65">
        <f>IFERROR(__xludf.DUMMYFUNCTION("""COMPUTED_VALUE"""),4.7816E7)</f>
        <v>47816000</v>
      </c>
      <c r="C65">
        <f>IFERROR(__xludf.DUMMYFUNCTION("""COMPUTED_VALUE"""),868876.0)</f>
        <v>868876</v>
      </c>
      <c r="D65">
        <f>IFERROR(__xludf.DUMMYFUNCTION("""COMPUTED_VALUE"""),557852.0)</f>
        <v>557852</v>
      </c>
      <c r="E65">
        <f>IFERROR(__xludf.DUMMYFUNCTION("""COMPUTED_VALUE"""),311024.0)</f>
        <v>311024</v>
      </c>
      <c r="F65">
        <f>IFERROR(__xludf.DUMMYFUNCTION("""COMPUTED_VALUE"""),18.2)</f>
        <v>18.2</v>
      </c>
      <c r="G65">
        <f>IFERROR(__xludf.DUMMYFUNCTION("""COMPUTED_VALUE"""),11.7)</f>
        <v>11.7</v>
      </c>
      <c r="H65">
        <f>IFERROR(__xludf.DUMMYFUNCTION("""COMPUTED_VALUE"""),6.5)</f>
        <v>6.5</v>
      </c>
      <c r="I65">
        <f>IFERROR(__xludf.DUMMYFUNCTION("""COMPUTED_VALUE"""),2.9)</f>
        <v>2.9</v>
      </c>
      <c r="J65">
        <f>IFERROR(__xludf.DUMMYFUNCTION("""COMPUTED_VALUE"""),25.6)</f>
        <v>25.6</v>
      </c>
      <c r="K65">
        <f>IFERROR(__xludf.DUMMYFUNCTION("""COMPUTED_VALUE"""),66.8)</f>
        <v>66.8</v>
      </c>
      <c r="L65">
        <f>IFERROR(__xludf.DUMMYFUNCTION("""COMPUTED_VALUE"""),73.8)</f>
        <v>73.8</v>
      </c>
    </row>
    <row r="66">
      <c r="A66">
        <f>IFERROR(__xludf.DUMMYFUNCTION("""COMPUTED_VALUE"""),1964.0)</f>
        <v>1964</v>
      </c>
      <c r="B66">
        <f>IFERROR(__xludf.DUMMYFUNCTION("""COMPUTED_VALUE"""),4.831E7)</f>
        <v>48310000</v>
      </c>
      <c r="C66">
        <f>IFERROR(__xludf.DUMMYFUNCTION("""COMPUTED_VALUE"""),877804.0)</f>
        <v>877804</v>
      </c>
      <c r="D66">
        <f>IFERROR(__xludf.DUMMYFUNCTION("""COMPUTED_VALUE"""),520033.0)</f>
        <v>520033</v>
      </c>
      <c r="E66">
        <f>IFERROR(__xludf.DUMMYFUNCTION("""COMPUTED_VALUE"""),357771.0)</f>
        <v>357771</v>
      </c>
      <c r="F66">
        <f>IFERROR(__xludf.DUMMYFUNCTION("""COMPUTED_VALUE"""),18.2)</f>
        <v>18.2</v>
      </c>
      <c r="G66">
        <f>IFERROR(__xludf.DUMMYFUNCTION("""COMPUTED_VALUE"""),10.8)</f>
        <v>10.8</v>
      </c>
      <c r="H66">
        <f>IFERROR(__xludf.DUMMYFUNCTION("""COMPUTED_VALUE"""),7.4)</f>
        <v>7.4</v>
      </c>
      <c r="I66">
        <f>IFERROR(__xludf.DUMMYFUNCTION("""COMPUTED_VALUE"""),2.91)</f>
        <v>2.91</v>
      </c>
      <c r="J66">
        <f>IFERROR(__xludf.DUMMYFUNCTION("""COMPUTED_VALUE"""),23.4)</f>
        <v>23.4</v>
      </c>
      <c r="K66">
        <f>IFERROR(__xludf.DUMMYFUNCTION("""COMPUTED_VALUE"""),67.7)</f>
        <v>67.7</v>
      </c>
      <c r="L66">
        <f>IFERROR(__xludf.DUMMYFUNCTION("""COMPUTED_VALUE"""),74.8)</f>
        <v>74.8</v>
      </c>
    </row>
    <row r="67">
      <c r="A67">
        <f>IFERROR(__xludf.DUMMYFUNCTION("""COMPUTED_VALUE"""),1965.0)</f>
        <v>1965</v>
      </c>
      <c r="B67">
        <f>IFERROR(__xludf.DUMMYFUNCTION("""COMPUTED_VALUE"""),4.8758E7)</f>
        <v>48758000</v>
      </c>
      <c r="C67">
        <f>IFERROR(__xludf.DUMMYFUNCTION("""COMPUTED_VALUE"""),865688.0)</f>
        <v>865688</v>
      </c>
      <c r="D67">
        <f>IFERROR(__xludf.DUMMYFUNCTION("""COMPUTED_VALUE"""),543696.0)</f>
        <v>543696</v>
      </c>
      <c r="E67">
        <f>IFERROR(__xludf.DUMMYFUNCTION("""COMPUTED_VALUE"""),321992.0)</f>
        <v>321992</v>
      </c>
      <c r="F67">
        <f>IFERROR(__xludf.DUMMYFUNCTION("""COMPUTED_VALUE"""),17.8)</f>
        <v>17.8</v>
      </c>
      <c r="G67">
        <f>IFERROR(__xludf.DUMMYFUNCTION("""COMPUTED_VALUE"""),11.2)</f>
        <v>11.2</v>
      </c>
      <c r="H67">
        <f>IFERROR(__xludf.DUMMYFUNCTION("""COMPUTED_VALUE"""),6.6)</f>
        <v>6.6</v>
      </c>
      <c r="I67">
        <f>IFERROR(__xludf.DUMMYFUNCTION("""COMPUTED_VALUE"""),2.85)</f>
        <v>2.85</v>
      </c>
      <c r="J67">
        <f>IFERROR(__xludf.DUMMYFUNCTION("""COMPUTED_VALUE"""),21.9)</f>
        <v>21.9</v>
      </c>
      <c r="K67">
        <f>IFERROR(__xludf.DUMMYFUNCTION("""COMPUTED_VALUE"""),67.5)</f>
        <v>67.5</v>
      </c>
      <c r="L67">
        <f>IFERROR(__xludf.DUMMYFUNCTION("""COMPUTED_VALUE"""),74.7)</f>
        <v>74.7</v>
      </c>
    </row>
    <row r="68">
      <c r="A68">
        <f>IFERROR(__xludf.DUMMYFUNCTION("""COMPUTED_VALUE"""),1966.0)</f>
        <v>1966</v>
      </c>
      <c r="B68">
        <f>IFERROR(__xludf.DUMMYFUNCTION("""COMPUTED_VALUE"""),4.9164E7)</f>
        <v>49164000</v>
      </c>
      <c r="C68">
        <f>IFERROR(__xludf.DUMMYFUNCTION("""COMPUTED_VALUE"""),863527.0)</f>
        <v>863527</v>
      </c>
      <c r="D68">
        <f>IFERROR(__xludf.DUMMYFUNCTION("""COMPUTED_VALUE"""),528782.0)</f>
        <v>528782</v>
      </c>
      <c r="E68">
        <f>IFERROR(__xludf.DUMMYFUNCTION("""COMPUTED_VALUE"""),334745.0)</f>
        <v>334745</v>
      </c>
      <c r="F68">
        <f>IFERROR(__xludf.DUMMYFUNCTION("""COMPUTED_VALUE"""),17.6)</f>
        <v>17.6</v>
      </c>
      <c r="G68">
        <f>IFERROR(__xludf.DUMMYFUNCTION("""COMPUTED_VALUE"""),10.8)</f>
        <v>10.8</v>
      </c>
      <c r="H68">
        <f>IFERROR(__xludf.DUMMYFUNCTION("""COMPUTED_VALUE"""),6.8)</f>
        <v>6.8</v>
      </c>
      <c r="I68">
        <f>IFERROR(__xludf.DUMMYFUNCTION("""COMPUTED_VALUE"""),2.8)</f>
        <v>2.8</v>
      </c>
      <c r="J68">
        <f>IFERROR(__xludf.DUMMYFUNCTION("""COMPUTED_VALUE"""),21.7)</f>
        <v>21.7</v>
      </c>
      <c r="K68">
        <f>IFERROR(__xludf.DUMMYFUNCTION("""COMPUTED_VALUE"""),67.8)</f>
        <v>67.8</v>
      </c>
      <c r="L68">
        <f>IFERROR(__xludf.DUMMYFUNCTION("""COMPUTED_VALUE"""),75.2)</f>
        <v>75.2</v>
      </c>
    </row>
    <row r="69">
      <c r="A69">
        <f>IFERROR(__xludf.DUMMYFUNCTION("""COMPUTED_VALUE"""),1967.0)</f>
        <v>1967</v>
      </c>
      <c r="B69">
        <f>IFERROR(__xludf.DUMMYFUNCTION("""COMPUTED_VALUE"""),4.9548E7)</f>
        <v>49548000</v>
      </c>
      <c r="C69">
        <f>IFERROR(__xludf.DUMMYFUNCTION("""COMPUTED_VALUE"""),840568.0)</f>
        <v>840568</v>
      </c>
      <c r="D69">
        <f>IFERROR(__xludf.DUMMYFUNCTION("""COMPUTED_VALUE"""),543033.0)</f>
        <v>543033</v>
      </c>
      <c r="E69">
        <f>IFERROR(__xludf.DUMMYFUNCTION("""COMPUTED_VALUE"""),297535.0)</f>
        <v>297535</v>
      </c>
      <c r="F69">
        <f>IFERROR(__xludf.DUMMYFUNCTION("""COMPUTED_VALUE"""),17.0)</f>
        <v>17</v>
      </c>
      <c r="G69">
        <f>IFERROR(__xludf.DUMMYFUNCTION("""COMPUTED_VALUE"""),11.0)</f>
        <v>11</v>
      </c>
      <c r="H69">
        <f>IFERROR(__xludf.DUMMYFUNCTION("""COMPUTED_VALUE"""),6.0)</f>
        <v>6</v>
      </c>
      <c r="I69">
        <f>IFERROR(__xludf.DUMMYFUNCTION("""COMPUTED_VALUE"""),2.67)</f>
        <v>2.67</v>
      </c>
      <c r="J69">
        <f>IFERROR(__xludf.DUMMYFUNCTION("""COMPUTED_VALUE"""),20.7)</f>
        <v>20.7</v>
      </c>
      <c r="K69">
        <f>IFERROR(__xludf.DUMMYFUNCTION("""COMPUTED_VALUE"""),67.8)</f>
        <v>67.8</v>
      </c>
      <c r="L69">
        <f>IFERROR(__xludf.DUMMYFUNCTION("""COMPUTED_VALUE"""),75.2)</f>
        <v>75.2</v>
      </c>
    </row>
    <row r="70">
      <c r="A70">
        <f>IFERROR(__xludf.DUMMYFUNCTION("""COMPUTED_VALUE"""),1968.0)</f>
        <v>1968</v>
      </c>
      <c r="B70">
        <f>IFERROR(__xludf.DUMMYFUNCTION("""COMPUTED_VALUE"""),4.9915E7)</f>
        <v>49915000</v>
      </c>
      <c r="C70">
        <f>IFERROR(__xludf.DUMMYFUNCTION("""COMPUTED_VALUE"""),835796.0)</f>
        <v>835796</v>
      </c>
      <c r="D70">
        <f>IFERROR(__xludf.DUMMYFUNCTION("""COMPUTED_VALUE"""),553441.0)</f>
        <v>553441</v>
      </c>
      <c r="E70">
        <f>IFERROR(__xludf.DUMMYFUNCTION("""COMPUTED_VALUE"""),282355.0)</f>
        <v>282355</v>
      </c>
      <c r="F70">
        <f>IFERROR(__xludf.DUMMYFUNCTION("""COMPUTED_VALUE"""),16.7)</f>
        <v>16.7</v>
      </c>
      <c r="G70">
        <f>IFERROR(__xludf.DUMMYFUNCTION("""COMPUTED_VALUE"""),11.1)</f>
        <v>11.1</v>
      </c>
      <c r="H70">
        <f>IFERROR(__xludf.DUMMYFUNCTION("""COMPUTED_VALUE"""),5.7)</f>
        <v>5.7</v>
      </c>
      <c r="I70">
        <f>IFERROR(__xludf.DUMMYFUNCTION("""COMPUTED_VALUE"""),2.59)</f>
        <v>2.59</v>
      </c>
      <c r="J70">
        <f>IFERROR(__xludf.DUMMYFUNCTION("""COMPUTED_VALUE"""),20.4)</f>
        <v>20.4</v>
      </c>
      <c r="K70">
        <f>IFERROR(__xludf.DUMMYFUNCTION("""COMPUTED_VALUE"""),67.8)</f>
        <v>67.8</v>
      </c>
      <c r="L70">
        <f>IFERROR(__xludf.DUMMYFUNCTION("""COMPUTED_VALUE"""),75.2)</f>
        <v>75.2</v>
      </c>
    </row>
    <row r="71">
      <c r="A71">
        <f>IFERROR(__xludf.DUMMYFUNCTION("""COMPUTED_VALUE"""),1969.0)</f>
        <v>1969</v>
      </c>
      <c r="B71">
        <f>IFERROR(__xludf.DUMMYFUNCTION("""COMPUTED_VALUE"""),5.0318E7)</f>
        <v>50318000</v>
      </c>
      <c r="C71">
        <f>IFERROR(__xludf.DUMMYFUNCTION("""COMPUTED_VALUE"""),842245.0)</f>
        <v>842245</v>
      </c>
      <c r="D71">
        <f>IFERROR(__xludf.DUMMYFUNCTION("""COMPUTED_VALUE"""),573335.0)</f>
        <v>573335</v>
      </c>
      <c r="E71">
        <f>IFERROR(__xludf.DUMMYFUNCTION("""COMPUTED_VALUE"""),268910.0)</f>
        <v>268910</v>
      </c>
      <c r="F71">
        <f>IFERROR(__xludf.DUMMYFUNCTION("""COMPUTED_VALUE"""),16.7)</f>
        <v>16.7</v>
      </c>
      <c r="G71">
        <f>IFERROR(__xludf.DUMMYFUNCTION("""COMPUTED_VALUE"""),11.4)</f>
        <v>11.4</v>
      </c>
      <c r="H71">
        <f>IFERROR(__xludf.DUMMYFUNCTION("""COMPUTED_VALUE"""),5.3)</f>
        <v>5.3</v>
      </c>
      <c r="I71">
        <f>IFERROR(__xludf.DUMMYFUNCTION("""COMPUTED_VALUE"""),2.53)</f>
        <v>2.53</v>
      </c>
      <c r="J71">
        <f>IFERROR(__xludf.DUMMYFUNCTION("""COMPUTED_VALUE"""),19.6)</f>
        <v>19.6</v>
      </c>
      <c r="K71">
        <f>IFERROR(__xludf.DUMMYFUNCTION("""COMPUTED_VALUE"""),67.4)</f>
        <v>67.4</v>
      </c>
      <c r="L71">
        <f>IFERROR(__xludf.DUMMYFUNCTION("""COMPUTED_VALUE"""),75.1)</f>
        <v>75.1</v>
      </c>
    </row>
    <row r="72">
      <c r="A72">
        <f>IFERROR(__xludf.DUMMYFUNCTION("""COMPUTED_VALUE"""),1970.0)</f>
        <v>1970</v>
      </c>
      <c r="B72">
        <f>IFERROR(__xludf.DUMMYFUNCTION("""COMPUTED_VALUE"""),5.0772E7)</f>
        <v>50772000</v>
      </c>
      <c r="C72">
        <f>IFERROR(__xludf.DUMMYFUNCTION("""COMPUTED_VALUE"""),850381.0)</f>
        <v>850381</v>
      </c>
      <c r="D72">
        <f>IFERROR(__xludf.DUMMYFUNCTION("""COMPUTED_VALUE"""),542277.0)</f>
        <v>542277</v>
      </c>
      <c r="E72">
        <f>IFERROR(__xludf.DUMMYFUNCTION("""COMPUTED_VALUE"""),308104.0)</f>
        <v>308104</v>
      </c>
      <c r="F72">
        <f>IFERROR(__xludf.DUMMYFUNCTION("""COMPUTED_VALUE"""),16.7)</f>
        <v>16.7</v>
      </c>
      <c r="G72">
        <f>IFERROR(__xludf.DUMMYFUNCTION("""COMPUTED_VALUE"""),10.7)</f>
        <v>10.7</v>
      </c>
      <c r="H72">
        <f>IFERROR(__xludf.DUMMYFUNCTION("""COMPUTED_VALUE"""),6.1)</f>
        <v>6.1</v>
      </c>
      <c r="I72">
        <f>IFERROR(__xludf.DUMMYFUNCTION("""COMPUTED_VALUE"""),2.48)</f>
        <v>2.48</v>
      </c>
      <c r="J72">
        <f>IFERROR(__xludf.DUMMYFUNCTION("""COMPUTED_VALUE"""),18.2)</f>
        <v>18.2</v>
      </c>
      <c r="K72">
        <f>IFERROR(__xludf.DUMMYFUNCTION("""COMPUTED_VALUE"""),68.4)</f>
        <v>68.4</v>
      </c>
      <c r="L72">
        <f>IFERROR(__xludf.DUMMYFUNCTION("""COMPUTED_VALUE"""),75.9)</f>
        <v>75.9</v>
      </c>
    </row>
    <row r="73">
      <c r="A73">
        <f>IFERROR(__xludf.DUMMYFUNCTION("""COMPUTED_VALUE"""),1971.0)</f>
        <v>1971</v>
      </c>
      <c r="B73">
        <f>IFERROR(__xludf.DUMMYFUNCTION("""COMPUTED_VALUE"""),5.1251E7)</f>
        <v>51251000</v>
      </c>
      <c r="C73">
        <f>IFERROR(__xludf.DUMMYFUNCTION("""COMPUTED_VALUE"""),881284.0)</f>
        <v>881284</v>
      </c>
      <c r="D73">
        <f>IFERROR(__xludf.DUMMYFUNCTION("""COMPUTED_VALUE"""),554151.0)</f>
        <v>554151</v>
      </c>
      <c r="E73">
        <f>IFERROR(__xludf.DUMMYFUNCTION("""COMPUTED_VALUE"""),327133.0)</f>
        <v>327133</v>
      </c>
      <c r="F73">
        <f>IFERROR(__xludf.DUMMYFUNCTION("""COMPUTED_VALUE"""),17.2)</f>
        <v>17.2</v>
      </c>
      <c r="G73">
        <f>IFERROR(__xludf.DUMMYFUNCTION("""COMPUTED_VALUE"""),10.8)</f>
        <v>10.8</v>
      </c>
      <c r="H73">
        <f>IFERROR(__xludf.DUMMYFUNCTION("""COMPUTED_VALUE"""),6.4)</f>
        <v>6.4</v>
      </c>
      <c r="I73">
        <f>IFERROR(__xludf.DUMMYFUNCTION("""COMPUTED_VALUE"""),2.5)</f>
        <v>2.5</v>
      </c>
      <c r="J73">
        <f>IFERROR(__xludf.DUMMYFUNCTION("""COMPUTED_VALUE"""),17.2)</f>
        <v>17.2</v>
      </c>
      <c r="K73">
        <f>IFERROR(__xludf.DUMMYFUNCTION("""COMPUTED_VALUE"""),68.3)</f>
        <v>68.3</v>
      </c>
      <c r="L73">
        <f>IFERROR(__xludf.DUMMYFUNCTION("""COMPUTED_VALUE"""),75.9)</f>
        <v>75.9</v>
      </c>
    </row>
    <row r="74">
      <c r="A74">
        <f>IFERROR(__xludf.DUMMYFUNCTION("""COMPUTED_VALUE"""),1972.0)</f>
        <v>1972</v>
      </c>
      <c r="B74">
        <f>IFERROR(__xludf.DUMMYFUNCTION("""COMPUTED_VALUE"""),5.1701E7)</f>
        <v>51701000</v>
      </c>
      <c r="C74">
        <f>IFERROR(__xludf.DUMMYFUNCTION("""COMPUTED_VALUE"""),877506.0)</f>
        <v>877506</v>
      </c>
      <c r="D74">
        <f>IFERROR(__xludf.DUMMYFUNCTION("""COMPUTED_VALUE"""),549900.0)</f>
        <v>549900</v>
      </c>
      <c r="E74">
        <f>IFERROR(__xludf.DUMMYFUNCTION("""COMPUTED_VALUE"""),327606.0)</f>
        <v>327606</v>
      </c>
      <c r="F74">
        <f>IFERROR(__xludf.DUMMYFUNCTION("""COMPUTED_VALUE"""),17.0)</f>
        <v>17</v>
      </c>
      <c r="G74">
        <f>IFERROR(__xludf.DUMMYFUNCTION("""COMPUTED_VALUE"""),10.6)</f>
        <v>10.6</v>
      </c>
      <c r="H74">
        <f>IFERROR(__xludf.DUMMYFUNCTION("""COMPUTED_VALUE"""),6.3)</f>
        <v>6.3</v>
      </c>
      <c r="I74">
        <f>IFERROR(__xludf.DUMMYFUNCTION("""COMPUTED_VALUE"""),2.42)</f>
        <v>2.42</v>
      </c>
      <c r="J74">
        <f>IFERROR(__xludf.DUMMYFUNCTION("""COMPUTED_VALUE"""),16.0)</f>
        <v>16</v>
      </c>
      <c r="K74">
        <f>IFERROR(__xludf.DUMMYFUNCTION("""COMPUTED_VALUE"""),68.5)</f>
        <v>68.5</v>
      </c>
      <c r="L74">
        <f>IFERROR(__xludf.DUMMYFUNCTION("""COMPUTED_VALUE"""),76.2)</f>
        <v>76.2</v>
      </c>
    </row>
    <row r="75">
      <c r="A75">
        <f>IFERROR(__xludf.DUMMYFUNCTION("""COMPUTED_VALUE"""),1973.0)</f>
        <v>1973</v>
      </c>
      <c r="B75">
        <f>IFERROR(__xludf.DUMMYFUNCTION("""COMPUTED_VALUE"""),5.2118E7)</f>
        <v>52118000</v>
      </c>
      <c r="C75">
        <f>IFERROR(__xludf.DUMMYFUNCTION("""COMPUTED_VALUE"""),857186.0)</f>
        <v>857186</v>
      </c>
      <c r="D75">
        <f>IFERROR(__xludf.DUMMYFUNCTION("""COMPUTED_VALUE"""),558782.0)</f>
        <v>558782</v>
      </c>
      <c r="E75">
        <f>IFERROR(__xludf.DUMMYFUNCTION("""COMPUTED_VALUE"""),298404.0)</f>
        <v>298404</v>
      </c>
      <c r="F75">
        <f>IFERROR(__xludf.DUMMYFUNCTION("""COMPUTED_VALUE"""),16.4)</f>
        <v>16.4</v>
      </c>
      <c r="G75">
        <f>IFERROR(__xludf.DUMMYFUNCTION("""COMPUTED_VALUE"""),10.7)</f>
        <v>10.7</v>
      </c>
      <c r="H75">
        <f>IFERROR(__xludf.DUMMYFUNCTION("""COMPUTED_VALUE"""),5.7)</f>
        <v>5.7</v>
      </c>
      <c r="I75">
        <f>IFERROR(__xludf.DUMMYFUNCTION("""COMPUTED_VALUE"""),2.31)</f>
        <v>2.31</v>
      </c>
      <c r="J75">
        <f>IFERROR(__xludf.DUMMYFUNCTION("""COMPUTED_VALUE"""),15.4)</f>
        <v>15.4</v>
      </c>
      <c r="K75">
        <f>IFERROR(__xludf.DUMMYFUNCTION("""COMPUTED_VALUE"""),68.7)</f>
        <v>68.7</v>
      </c>
      <c r="L75">
        <f>IFERROR(__xludf.DUMMYFUNCTION("""COMPUTED_VALUE"""),76.3)</f>
        <v>76.3</v>
      </c>
    </row>
    <row r="76">
      <c r="A76">
        <f>IFERROR(__xludf.DUMMYFUNCTION("""COMPUTED_VALUE"""),1974.0)</f>
        <v>1974</v>
      </c>
      <c r="B76">
        <f>IFERROR(__xludf.DUMMYFUNCTION("""COMPUTED_VALUE"""),5.246E7)</f>
        <v>52460000</v>
      </c>
      <c r="C76">
        <f>IFERROR(__xludf.DUMMYFUNCTION("""COMPUTED_VALUE"""),801218.0)</f>
        <v>801218</v>
      </c>
      <c r="D76">
        <f>IFERROR(__xludf.DUMMYFUNCTION("""COMPUTED_VALUE"""),552551.0)</f>
        <v>552551</v>
      </c>
      <c r="E76">
        <f>IFERROR(__xludf.DUMMYFUNCTION("""COMPUTED_VALUE"""),248667.0)</f>
        <v>248667</v>
      </c>
      <c r="F76">
        <f>IFERROR(__xludf.DUMMYFUNCTION("""COMPUTED_VALUE"""),15.3)</f>
        <v>15.3</v>
      </c>
      <c r="G76">
        <f>IFERROR(__xludf.DUMMYFUNCTION("""COMPUTED_VALUE"""),10.5)</f>
        <v>10.5</v>
      </c>
      <c r="H76">
        <f>IFERROR(__xludf.DUMMYFUNCTION("""COMPUTED_VALUE"""),4.7)</f>
        <v>4.7</v>
      </c>
      <c r="I76">
        <f>IFERROR(__xludf.DUMMYFUNCTION("""COMPUTED_VALUE"""),2.11)</f>
        <v>2.11</v>
      </c>
      <c r="J76">
        <f>IFERROR(__xludf.DUMMYFUNCTION("""COMPUTED_VALUE"""),14.6)</f>
        <v>14.6</v>
      </c>
      <c r="K76">
        <f>IFERROR(__xludf.DUMMYFUNCTION("""COMPUTED_VALUE"""),68.9)</f>
        <v>68.9</v>
      </c>
      <c r="L76">
        <f>IFERROR(__xludf.DUMMYFUNCTION("""COMPUTED_VALUE"""),76.7)</f>
        <v>76.7</v>
      </c>
    </row>
    <row r="77">
      <c r="A77">
        <f>IFERROR(__xludf.DUMMYFUNCTION("""COMPUTED_VALUE"""),1975.0)</f>
        <v>1975</v>
      </c>
      <c r="B77">
        <f>IFERROR(__xludf.DUMMYFUNCTION("""COMPUTED_VALUE"""),5.2699E7)</f>
        <v>52699000</v>
      </c>
      <c r="C77">
        <f>IFERROR(__xludf.DUMMYFUNCTION("""COMPUTED_VALUE"""),745065.0)</f>
        <v>745065</v>
      </c>
      <c r="D77">
        <f>IFERROR(__xludf.DUMMYFUNCTION("""COMPUTED_VALUE"""),560353.0)</f>
        <v>560353</v>
      </c>
      <c r="E77">
        <f>IFERROR(__xludf.DUMMYFUNCTION("""COMPUTED_VALUE"""),184712.0)</f>
        <v>184712</v>
      </c>
      <c r="F77">
        <f>IFERROR(__xludf.DUMMYFUNCTION("""COMPUTED_VALUE"""),14.1)</f>
        <v>14.1</v>
      </c>
      <c r="G77">
        <f>IFERROR(__xludf.DUMMYFUNCTION("""COMPUTED_VALUE"""),10.6)</f>
        <v>10.6</v>
      </c>
      <c r="H77">
        <f>IFERROR(__xludf.DUMMYFUNCTION("""COMPUTED_VALUE"""),3.5)</f>
        <v>3.5</v>
      </c>
      <c r="I77">
        <f>IFERROR(__xludf.DUMMYFUNCTION("""COMPUTED_VALUE"""),1.93)</f>
        <v>1.93</v>
      </c>
      <c r="J77">
        <f>IFERROR(__xludf.DUMMYFUNCTION("""COMPUTED_VALUE"""),13.8)</f>
        <v>13.8</v>
      </c>
      <c r="K77">
        <f>IFERROR(__xludf.DUMMYFUNCTION("""COMPUTED_VALUE"""),69.0)</f>
        <v>69</v>
      </c>
      <c r="L77">
        <f>IFERROR(__xludf.DUMMYFUNCTION("""COMPUTED_VALUE"""),76.9)</f>
        <v>76.9</v>
      </c>
    </row>
    <row r="78">
      <c r="A78">
        <f>IFERROR(__xludf.DUMMYFUNCTION("""COMPUTED_VALUE"""),1976.0)</f>
        <v>1976</v>
      </c>
      <c r="B78">
        <f>IFERROR(__xludf.DUMMYFUNCTION("""COMPUTED_VALUE"""),5.2909E7)</f>
        <v>52909000</v>
      </c>
      <c r="C78">
        <f>IFERROR(__xludf.DUMMYFUNCTION("""COMPUTED_VALUE"""),720395.0)</f>
        <v>720395</v>
      </c>
      <c r="D78">
        <f>IFERROR(__xludf.DUMMYFUNCTION("""COMPUTED_VALUE"""),557114.0)</f>
        <v>557114</v>
      </c>
      <c r="E78">
        <f>IFERROR(__xludf.DUMMYFUNCTION("""COMPUTED_VALUE"""),163281.0)</f>
        <v>163281</v>
      </c>
      <c r="F78">
        <f>IFERROR(__xludf.DUMMYFUNCTION("""COMPUTED_VALUE"""),13.6)</f>
        <v>13.6</v>
      </c>
      <c r="G78">
        <f>IFERROR(__xludf.DUMMYFUNCTION("""COMPUTED_VALUE"""),10.5)</f>
        <v>10.5</v>
      </c>
      <c r="H78">
        <f>IFERROR(__xludf.DUMMYFUNCTION("""COMPUTED_VALUE"""),3.1)</f>
        <v>3.1</v>
      </c>
      <c r="I78">
        <f>IFERROR(__xludf.DUMMYFUNCTION("""COMPUTED_VALUE"""),1.83)</f>
        <v>1.83</v>
      </c>
      <c r="J78">
        <f>IFERROR(__xludf.DUMMYFUNCTION("""COMPUTED_VALUE"""),12.5)</f>
        <v>12.5</v>
      </c>
      <c r="K78">
        <f>IFERROR(__xludf.DUMMYFUNCTION("""COMPUTED_VALUE"""),69.2)</f>
        <v>69.2</v>
      </c>
      <c r="L78">
        <f>IFERROR(__xludf.DUMMYFUNCTION("""COMPUTED_VALUE"""),77.2)</f>
        <v>77.2</v>
      </c>
    </row>
    <row r="79">
      <c r="A79">
        <f>IFERROR(__xludf.DUMMYFUNCTION("""COMPUTED_VALUE"""),1977.0)</f>
        <v>1977</v>
      </c>
      <c r="B79">
        <f>IFERROR(__xludf.DUMMYFUNCTION("""COMPUTED_VALUE"""),5.3145E7)</f>
        <v>53145000</v>
      </c>
      <c r="C79">
        <f>IFERROR(__xludf.DUMMYFUNCTION("""COMPUTED_VALUE"""),744744.0)</f>
        <v>744744</v>
      </c>
      <c r="D79">
        <f>IFERROR(__xludf.DUMMYFUNCTION("""COMPUTED_VALUE"""),536221.0)</f>
        <v>536221</v>
      </c>
      <c r="E79">
        <f>IFERROR(__xludf.DUMMYFUNCTION("""COMPUTED_VALUE"""),208523.0)</f>
        <v>208523</v>
      </c>
      <c r="F79">
        <f>IFERROR(__xludf.DUMMYFUNCTION("""COMPUTED_VALUE"""),14.0)</f>
        <v>14</v>
      </c>
      <c r="G79">
        <f>IFERROR(__xludf.DUMMYFUNCTION("""COMPUTED_VALUE"""),10.1)</f>
        <v>10.1</v>
      </c>
      <c r="H79">
        <f>IFERROR(__xludf.DUMMYFUNCTION("""COMPUTED_VALUE"""),3.9)</f>
        <v>3.9</v>
      </c>
      <c r="I79">
        <f>IFERROR(__xludf.DUMMYFUNCTION("""COMPUTED_VALUE"""),1.86)</f>
        <v>1.86</v>
      </c>
      <c r="J79">
        <f>IFERROR(__xludf.DUMMYFUNCTION("""COMPUTED_VALUE"""),11.4)</f>
        <v>11.4</v>
      </c>
      <c r="K79">
        <f>IFERROR(__xludf.DUMMYFUNCTION("""COMPUTED_VALUE"""),69.7)</f>
        <v>69.7</v>
      </c>
      <c r="L79">
        <f>IFERROR(__xludf.DUMMYFUNCTION("""COMPUTED_VALUE"""),77.8)</f>
        <v>77.8</v>
      </c>
    </row>
    <row r="80">
      <c r="A80">
        <f>IFERROR(__xludf.DUMMYFUNCTION("""COMPUTED_VALUE"""),1978.0)</f>
        <v>1978</v>
      </c>
      <c r="B80">
        <f>IFERROR(__xludf.DUMMYFUNCTION("""COMPUTED_VALUE"""),5.3376E7)</f>
        <v>53376000</v>
      </c>
      <c r="C80">
        <f>IFERROR(__xludf.DUMMYFUNCTION("""COMPUTED_VALUE"""),737062.0)</f>
        <v>737062</v>
      </c>
      <c r="D80">
        <f>IFERROR(__xludf.DUMMYFUNCTION("""COMPUTED_VALUE"""),546916.0)</f>
        <v>546916</v>
      </c>
      <c r="E80">
        <f>IFERROR(__xludf.DUMMYFUNCTION("""COMPUTED_VALUE"""),190146.0)</f>
        <v>190146</v>
      </c>
      <c r="F80">
        <f>IFERROR(__xludf.DUMMYFUNCTION("""COMPUTED_VALUE"""),13.8)</f>
        <v>13.8</v>
      </c>
      <c r="G80">
        <f>IFERROR(__xludf.DUMMYFUNCTION("""COMPUTED_VALUE"""),10.2)</f>
        <v>10.2</v>
      </c>
      <c r="H80">
        <f>IFERROR(__xludf.DUMMYFUNCTION("""COMPUTED_VALUE"""),3.6)</f>
        <v>3.6</v>
      </c>
      <c r="I80">
        <f>IFERROR(__xludf.DUMMYFUNCTION("""COMPUTED_VALUE"""),1.82)</f>
        <v>1.82</v>
      </c>
      <c r="J80">
        <f>IFERROR(__xludf.DUMMYFUNCTION("""COMPUTED_VALUE"""),10.7)</f>
        <v>10.7</v>
      </c>
      <c r="K80">
        <f>IFERROR(__xludf.DUMMYFUNCTION("""COMPUTED_VALUE"""),69.8)</f>
        <v>69.8</v>
      </c>
      <c r="L80">
        <f>IFERROR(__xludf.DUMMYFUNCTION("""COMPUTED_VALUE"""),77.9)</f>
        <v>77.9</v>
      </c>
    </row>
    <row r="81">
      <c r="A81">
        <f>IFERROR(__xludf.DUMMYFUNCTION("""COMPUTED_VALUE"""),1979.0)</f>
        <v>1979</v>
      </c>
      <c r="B81">
        <f>IFERROR(__xludf.DUMMYFUNCTION("""COMPUTED_VALUE"""),5.3606E7)</f>
        <v>53606000</v>
      </c>
      <c r="C81">
        <f>IFERROR(__xludf.DUMMYFUNCTION("""COMPUTED_VALUE"""),757354.0)</f>
        <v>757354</v>
      </c>
      <c r="D81">
        <f>IFERROR(__xludf.DUMMYFUNCTION("""COMPUTED_VALUE"""),541805.0)</f>
        <v>541805</v>
      </c>
      <c r="E81">
        <f>IFERROR(__xludf.DUMMYFUNCTION("""COMPUTED_VALUE"""),215549.0)</f>
        <v>215549</v>
      </c>
      <c r="F81">
        <f>IFERROR(__xludf.DUMMYFUNCTION("""COMPUTED_VALUE"""),14.1)</f>
        <v>14.1</v>
      </c>
      <c r="G81">
        <f>IFERROR(__xludf.DUMMYFUNCTION("""COMPUTED_VALUE"""),10.1)</f>
        <v>10.1</v>
      </c>
      <c r="H81">
        <f>IFERROR(__xludf.DUMMYFUNCTION("""COMPUTED_VALUE"""),4.0)</f>
        <v>4</v>
      </c>
      <c r="I81">
        <f>IFERROR(__xludf.DUMMYFUNCTION("""COMPUTED_VALUE"""),1.86)</f>
        <v>1.86</v>
      </c>
      <c r="J81">
        <f>IFERROR(__xludf.DUMMYFUNCTION("""COMPUTED_VALUE"""),10.0)</f>
        <v>10</v>
      </c>
      <c r="K81">
        <f>IFERROR(__xludf.DUMMYFUNCTION("""COMPUTED_VALUE"""),70.1)</f>
        <v>70.1</v>
      </c>
      <c r="L81">
        <f>IFERROR(__xludf.DUMMYFUNCTION("""COMPUTED_VALUE"""),78.3)</f>
        <v>78.3</v>
      </c>
    </row>
    <row r="82">
      <c r="A82">
        <f>IFERROR(__xludf.DUMMYFUNCTION("""COMPUTED_VALUE"""),1980.0)</f>
        <v>1980</v>
      </c>
      <c r="B82">
        <f>IFERROR(__xludf.DUMMYFUNCTION("""COMPUTED_VALUE"""),5.388E7)</f>
        <v>53880000</v>
      </c>
      <c r="C82">
        <f>IFERROR(__xludf.DUMMYFUNCTION("""COMPUTED_VALUE"""),800376.0)</f>
        <v>800376</v>
      </c>
      <c r="D82">
        <f>IFERROR(__xludf.DUMMYFUNCTION("""COMPUTED_VALUE"""),547107.0)</f>
        <v>547107</v>
      </c>
      <c r="E82">
        <f>IFERROR(__xludf.DUMMYFUNCTION("""COMPUTED_VALUE"""),253269.0)</f>
        <v>253269</v>
      </c>
      <c r="F82">
        <f>IFERROR(__xludf.DUMMYFUNCTION("""COMPUTED_VALUE"""),14.9)</f>
        <v>14.9</v>
      </c>
      <c r="G82">
        <f>IFERROR(__xludf.DUMMYFUNCTION("""COMPUTED_VALUE"""),10.2)</f>
        <v>10.2</v>
      </c>
      <c r="H82">
        <f>IFERROR(__xludf.DUMMYFUNCTION("""COMPUTED_VALUE"""),4.7)</f>
        <v>4.7</v>
      </c>
      <c r="I82">
        <f>IFERROR(__xludf.DUMMYFUNCTION("""COMPUTED_VALUE"""),1.95)</f>
        <v>1.95</v>
      </c>
      <c r="J82">
        <f>IFERROR(__xludf.DUMMYFUNCTION("""COMPUTED_VALUE"""),10.0)</f>
        <v>10</v>
      </c>
      <c r="K82">
        <f>IFERROR(__xludf.DUMMYFUNCTION("""COMPUTED_VALUE"""),70.2)</f>
        <v>70.2</v>
      </c>
      <c r="L82">
        <f>IFERROR(__xludf.DUMMYFUNCTION("""COMPUTED_VALUE"""),78.4)</f>
        <v>78.4</v>
      </c>
    </row>
    <row r="83">
      <c r="A83">
        <f>IFERROR(__xludf.DUMMYFUNCTION("""COMPUTED_VALUE"""),1981.0)</f>
        <v>1981</v>
      </c>
      <c r="B83">
        <f>IFERROR(__xludf.DUMMYFUNCTION("""COMPUTED_VALUE"""),5.4182E7)</f>
        <v>54182000</v>
      </c>
      <c r="C83">
        <f>IFERROR(__xludf.DUMMYFUNCTION("""COMPUTED_VALUE"""),805483.0)</f>
        <v>805483</v>
      </c>
      <c r="D83">
        <f>IFERROR(__xludf.DUMMYFUNCTION("""COMPUTED_VALUE"""),554823.0)</f>
        <v>554823</v>
      </c>
      <c r="E83">
        <f>IFERROR(__xludf.DUMMYFUNCTION("""COMPUTED_VALUE"""),250660.0)</f>
        <v>250660</v>
      </c>
      <c r="F83">
        <f>IFERROR(__xludf.DUMMYFUNCTION("""COMPUTED_VALUE"""),14.9)</f>
        <v>14.9</v>
      </c>
      <c r="G83">
        <f>IFERROR(__xludf.DUMMYFUNCTION("""COMPUTED_VALUE"""),10.2)</f>
        <v>10.2</v>
      </c>
      <c r="H83">
        <f>IFERROR(__xludf.DUMMYFUNCTION("""COMPUTED_VALUE"""),4.6)</f>
        <v>4.6</v>
      </c>
      <c r="I83">
        <f>IFERROR(__xludf.DUMMYFUNCTION("""COMPUTED_VALUE"""),1.95)</f>
        <v>1.95</v>
      </c>
      <c r="J83">
        <f>IFERROR(__xludf.DUMMYFUNCTION("""COMPUTED_VALUE"""),9.7)</f>
        <v>9.7</v>
      </c>
      <c r="K83">
        <f>IFERROR(__xludf.DUMMYFUNCTION("""COMPUTED_VALUE"""),70.4)</f>
        <v>70.4</v>
      </c>
      <c r="L83">
        <f>IFERROR(__xludf.DUMMYFUNCTION("""COMPUTED_VALUE"""),78.5)</f>
        <v>78.5</v>
      </c>
    </row>
    <row r="84">
      <c r="A84">
        <f>IFERROR(__xludf.DUMMYFUNCTION("""COMPUTED_VALUE"""),1982.0)</f>
        <v>1982</v>
      </c>
      <c r="B84">
        <f>IFERROR(__xludf.DUMMYFUNCTION("""COMPUTED_VALUE"""),5.4492E7)</f>
        <v>54492000</v>
      </c>
      <c r="C84">
        <f>IFERROR(__xludf.DUMMYFUNCTION("""COMPUTED_VALUE"""),797223.0)</f>
        <v>797223</v>
      </c>
      <c r="D84">
        <f>IFERROR(__xludf.DUMMYFUNCTION("""COMPUTED_VALUE"""),543104.0)</f>
        <v>543104</v>
      </c>
      <c r="E84">
        <f>IFERROR(__xludf.DUMMYFUNCTION("""COMPUTED_VALUE"""),254119.0)</f>
        <v>254119</v>
      </c>
      <c r="F84">
        <f>IFERROR(__xludf.DUMMYFUNCTION("""COMPUTED_VALUE"""),14.6)</f>
        <v>14.6</v>
      </c>
      <c r="G84">
        <f>IFERROR(__xludf.DUMMYFUNCTION("""COMPUTED_VALUE"""),10.0)</f>
        <v>10</v>
      </c>
      <c r="H84">
        <f>IFERROR(__xludf.DUMMYFUNCTION("""COMPUTED_VALUE"""),4.7)</f>
        <v>4.7</v>
      </c>
      <c r="I84">
        <f>IFERROR(__xludf.DUMMYFUNCTION("""COMPUTED_VALUE"""),1.91)</f>
        <v>1.91</v>
      </c>
      <c r="J84">
        <f>IFERROR(__xludf.DUMMYFUNCTION("""COMPUTED_VALUE"""),9.5)</f>
        <v>9.5</v>
      </c>
      <c r="K84">
        <f>IFERROR(__xludf.DUMMYFUNCTION("""COMPUTED_VALUE"""),70.7)</f>
        <v>70.7</v>
      </c>
      <c r="L84">
        <f>IFERROR(__xludf.DUMMYFUNCTION("""COMPUTED_VALUE"""),78.9)</f>
        <v>78.9</v>
      </c>
    </row>
    <row r="85">
      <c r="A85">
        <f>IFERROR(__xludf.DUMMYFUNCTION("""COMPUTED_VALUE"""),1983.0)</f>
        <v>1983</v>
      </c>
      <c r="B85">
        <f>IFERROR(__xludf.DUMMYFUNCTION("""COMPUTED_VALUE"""),5.4772E7)</f>
        <v>54772000</v>
      </c>
      <c r="C85">
        <f>IFERROR(__xludf.DUMMYFUNCTION("""COMPUTED_VALUE"""),748525.0)</f>
        <v>748525</v>
      </c>
      <c r="D85">
        <f>IFERROR(__xludf.DUMMYFUNCTION("""COMPUTED_VALUE"""),559655.0)</f>
        <v>559655</v>
      </c>
      <c r="E85">
        <f>IFERROR(__xludf.DUMMYFUNCTION("""COMPUTED_VALUE"""),188870.0)</f>
        <v>188870</v>
      </c>
      <c r="F85">
        <f>IFERROR(__xludf.DUMMYFUNCTION("""COMPUTED_VALUE"""),13.7)</f>
        <v>13.7</v>
      </c>
      <c r="G85">
        <f>IFERROR(__xludf.DUMMYFUNCTION("""COMPUTED_VALUE"""),10.2)</f>
        <v>10.2</v>
      </c>
      <c r="H85">
        <f>IFERROR(__xludf.DUMMYFUNCTION("""COMPUTED_VALUE"""),3.4)</f>
        <v>3.4</v>
      </c>
      <c r="I85">
        <f>IFERROR(__xludf.DUMMYFUNCTION("""COMPUTED_VALUE"""),1.78)</f>
        <v>1.78</v>
      </c>
      <c r="J85">
        <f>IFERROR(__xludf.DUMMYFUNCTION("""COMPUTED_VALUE"""),9.1)</f>
        <v>9.1</v>
      </c>
      <c r="K85">
        <f>IFERROR(__xludf.DUMMYFUNCTION("""COMPUTED_VALUE"""),70.7)</f>
        <v>70.7</v>
      </c>
      <c r="L85">
        <f>IFERROR(__xludf.DUMMYFUNCTION("""COMPUTED_VALUE"""),78.8)</f>
        <v>78.8</v>
      </c>
    </row>
    <row r="86">
      <c r="A86">
        <f>IFERROR(__xludf.DUMMYFUNCTION("""COMPUTED_VALUE"""),1984.0)</f>
        <v>1984</v>
      </c>
      <c r="B86">
        <f>IFERROR(__xludf.DUMMYFUNCTION("""COMPUTED_VALUE"""),5.5026E7)</f>
        <v>55026000</v>
      </c>
      <c r="C86">
        <f>IFERROR(__xludf.DUMMYFUNCTION("""COMPUTED_VALUE"""),759939.0)</f>
        <v>759939</v>
      </c>
      <c r="D86">
        <f>IFERROR(__xludf.DUMMYFUNCTION("""COMPUTED_VALUE"""),542490.0)</f>
        <v>542490</v>
      </c>
      <c r="E86">
        <f>IFERROR(__xludf.DUMMYFUNCTION("""COMPUTED_VALUE"""),217449.0)</f>
        <v>217449</v>
      </c>
      <c r="F86">
        <f>IFERROR(__xludf.DUMMYFUNCTION("""COMPUTED_VALUE"""),13.8)</f>
        <v>13.8</v>
      </c>
      <c r="G86">
        <f>IFERROR(__xludf.DUMMYFUNCTION("""COMPUTED_VALUE"""),9.9)</f>
        <v>9.9</v>
      </c>
      <c r="H86">
        <f>IFERROR(__xludf.DUMMYFUNCTION("""COMPUTED_VALUE"""),4.0)</f>
        <v>4</v>
      </c>
      <c r="I86">
        <f>IFERROR(__xludf.DUMMYFUNCTION("""COMPUTED_VALUE"""),1.8)</f>
        <v>1.8</v>
      </c>
      <c r="J86">
        <f>IFERROR(__xludf.DUMMYFUNCTION("""COMPUTED_VALUE"""),8.3)</f>
        <v>8.3</v>
      </c>
      <c r="K86">
        <f>IFERROR(__xludf.DUMMYFUNCTION("""COMPUTED_VALUE"""),71.2)</f>
        <v>71.2</v>
      </c>
      <c r="L86">
        <f>IFERROR(__xludf.DUMMYFUNCTION("""COMPUTED_VALUE"""),79.3)</f>
        <v>79.3</v>
      </c>
    </row>
    <row r="87">
      <c r="A87">
        <f>IFERROR(__xludf.DUMMYFUNCTION("""COMPUTED_VALUE"""),1985.0)</f>
        <v>1985</v>
      </c>
      <c r="B87">
        <f>IFERROR(__xludf.DUMMYFUNCTION("""COMPUTED_VALUE"""),5.5284E7)</f>
        <v>55284000</v>
      </c>
      <c r="C87">
        <f>IFERROR(__xludf.DUMMYFUNCTION("""COMPUTED_VALUE"""),768431.0)</f>
        <v>768431</v>
      </c>
      <c r="D87">
        <f>IFERROR(__xludf.DUMMYFUNCTION("""COMPUTED_VALUE"""),552496.0)</f>
        <v>552496</v>
      </c>
      <c r="E87">
        <f>IFERROR(__xludf.DUMMYFUNCTION("""COMPUTED_VALUE"""),215935.0)</f>
        <v>215935</v>
      </c>
      <c r="F87">
        <f>IFERROR(__xludf.DUMMYFUNCTION("""COMPUTED_VALUE"""),13.9)</f>
        <v>13.9</v>
      </c>
      <c r="G87">
        <f>IFERROR(__xludf.DUMMYFUNCTION("""COMPUTED_VALUE"""),10.0)</f>
        <v>10</v>
      </c>
      <c r="H87">
        <f>IFERROR(__xludf.DUMMYFUNCTION("""COMPUTED_VALUE"""),3.9)</f>
        <v>3.9</v>
      </c>
      <c r="I87">
        <f>IFERROR(__xludf.DUMMYFUNCTION("""COMPUTED_VALUE"""),1.81)</f>
        <v>1.81</v>
      </c>
      <c r="J87">
        <f>IFERROR(__xludf.DUMMYFUNCTION("""COMPUTED_VALUE"""),8.3)</f>
        <v>8.3</v>
      </c>
      <c r="K87">
        <f>IFERROR(__xludf.DUMMYFUNCTION("""COMPUTED_VALUE"""),71.3)</f>
        <v>71.3</v>
      </c>
      <c r="L87">
        <f>IFERROR(__xludf.DUMMYFUNCTION("""COMPUTED_VALUE"""),79.4)</f>
        <v>79.4</v>
      </c>
    </row>
    <row r="88">
      <c r="A88">
        <f>IFERROR(__xludf.DUMMYFUNCTION("""COMPUTED_VALUE"""),1986.0)</f>
        <v>1986</v>
      </c>
      <c r="B88">
        <f>IFERROR(__xludf.DUMMYFUNCTION("""COMPUTED_VALUE"""),5.5577E7)</f>
        <v>55577000</v>
      </c>
      <c r="C88">
        <f>IFERROR(__xludf.DUMMYFUNCTION("""COMPUTED_VALUE"""),778468.0)</f>
        <v>778468</v>
      </c>
      <c r="D88">
        <f>IFERROR(__xludf.DUMMYFUNCTION("""COMPUTED_VALUE"""),546926.0)</f>
        <v>546926</v>
      </c>
      <c r="E88">
        <f>IFERROR(__xludf.DUMMYFUNCTION("""COMPUTED_VALUE"""),231542.0)</f>
        <v>231542</v>
      </c>
      <c r="F88">
        <f>IFERROR(__xludf.DUMMYFUNCTION("""COMPUTED_VALUE"""),14.0)</f>
        <v>14</v>
      </c>
      <c r="G88">
        <f>IFERROR(__xludf.DUMMYFUNCTION("""COMPUTED_VALUE"""),9.8)</f>
        <v>9.8</v>
      </c>
      <c r="H88">
        <f>IFERROR(__xludf.DUMMYFUNCTION("""COMPUTED_VALUE"""),4.2)</f>
        <v>4.2</v>
      </c>
      <c r="I88">
        <f>IFERROR(__xludf.DUMMYFUNCTION("""COMPUTED_VALUE"""),1.83)</f>
        <v>1.83</v>
      </c>
      <c r="J88">
        <f>IFERROR(__xludf.DUMMYFUNCTION("""COMPUTED_VALUE"""),8.0)</f>
        <v>8</v>
      </c>
      <c r="K88">
        <f>IFERROR(__xludf.DUMMYFUNCTION("""COMPUTED_VALUE"""),71.5)</f>
        <v>71.5</v>
      </c>
      <c r="L88">
        <f>IFERROR(__xludf.DUMMYFUNCTION("""COMPUTED_VALUE"""),79.7)</f>
        <v>79.7</v>
      </c>
    </row>
    <row r="89">
      <c r="A89">
        <f>IFERROR(__xludf.DUMMYFUNCTION("""COMPUTED_VALUE"""),1987.0)</f>
        <v>1987</v>
      </c>
      <c r="B89">
        <f>IFERROR(__xludf.DUMMYFUNCTION("""COMPUTED_VALUE"""),5.5824E7)</f>
        <v>55824000</v>
      </c>
      <c r="C89">
        <f>IFERROR(__xludf.DUMMYFUNCTION("""COMPUTED_VALUE"""),767828.0)</f>
        <v>767828</v>
      </c>
      <c r="D89">
        <f>IFERROR(__xludf.DUMMYFUNCTION("""COMPUTED_VALUE"""),527466.0)</f>
        <v>527466</v>
      </c>
      <c r="E89">
        <f>IFERROR(__xludf.DUMMYFUNCTION("""COMPUTED_VALUE"""),240362.0)</f>
        <v>240362</v>
      </c>
      <c r="F89">
        <f>IFERROR(__xludf.DUMMYFUNCTION("""COMPUTED_VALUE"""),13.8)</f>
        <v>13.8</v>
      </c>
      <c r="G89">
        <f>IFERROR(__xludf.DUMMYFUNCTION("""COMPUTED_VALUE"""),9.4)</f>
        <v>9.4</v>
      </c>
      <c r="H89">
        <f>IFERROR(__xludf.DUMMYFUNCTION("""COMPUTED_VALUE"""),4.3)</f>
        <v>4.3</v>
      </c>
      <c r="I89">
        <f>IFERROR(__xludf.DUMMYFUNCTION("""COMPUTED_VALUE"""),1.8)</f>
        <v>1.8</v>
      </c>
      <c r="J89">
        <f>IFERROR(__xludf.DUMMYFUNCTION("""COMPUTED_VALUE"""),7.8)</f>
        <v>7.8</v>
      </c>
      <c r="K89">
        <f>IFERROR(__xludf.DUMMYFUNCTION("""COMPUTED_VALUE"""),72.0)</f>
        <v>72</v>
      </c>
      <c r="L89">
        <f>IFERROR(__xludf.DUMMYFUNCTION("""COMPUTED_VALUE"""),80.3)</f>
        <v>80.3</v>
      </c>
    </row>
    <row r="90">
      <c r="A90">
        <f>IFERROR(__xludf.DUMMYFUNCTION("""COMPUTED_VALUE"""),1988.0)</f>
        <v>1988</v>
      </c>
      <c r="B90">
        <f>IFERROR(__xludf.DUMMYFUNCTION("""COMPUTED_VALUE"""),5.6118E7)</f>
        <v>56118000</v>
      </c>
      <c r="C90">
        <f>IFERROR(__xludf.DUMMYFUNCTION("""COMPUTED_VALUE"""),771268.0)</f>
        <v>771268</v>
      </c>
      <c r="D90">
        <f>IFERROR(__xludf.DUMMYFUNCTION("""COMPUTED_VALUE"""),524600.0)</f>
        <v>524600</v>
      </c>
      <c r="E90">
        <f>IFERROR(__xludf.DUMMYFUNCTION("""COMPUTED_VALUE"""),246668.0)</f>
        <v>246668</v>
      </c>
      <c r="F90">
        <f>IFERROR(__xludf.DUMMYFUNCTION("""COMPUTED_VALUE"""),13.7)</f>
        <v>13.7</v>
      </c>
      <c r="G90">
        <f>IFERROR(__xludf.DUMMYFUNCTION("""COMPUTED_VALUE"""),9.3)</f>
        <v>9.3</v>
      </c>
      <c r="H90">
        <f>IFERROR(__xludf.DUMMYFUNCTION("""COMPUTED_VALUE"""),4.4)</f>
        <v>4.4</v>
      </c>
      <c r="I90">
        <f>IFERROR(__xludf.DUMMYFUNCTION("""COMPUTED_VALUE"""),1.81)</f>
        <v>1.81</v>
      </c>
      <c r="J90">
        <f>IFERROR(__xludf.DUMMYFUNCTION("""COMPUTED_VALUE"""),7.8)</f>
        <v>7.8</v>
      </c>
      <c r="K90">
        <f>IFERROR(__xludf.DUMMYFUNCTION("""COMPUTED_VALUE"""),72.3)</f>
        <v>72.3</v>
      </c>
      <c r="L90">
        <f>IFERROR(__xludf.DUMMYFUNCTION("""COMPUTED_VALUE"""),80.5)</f>
        <v>80.5</v>
      </c>
    </row>
    <row r="91">
      <c r="A91">
        <f>IFERROR(__xludf.DUMMYFUNCTION("""COMPUTED_VALUE"""),1989.0)</f>
        <v>1989</v>
      </c>
      <c r="B91">
        <f>IFERROR(__xludf.DUMMYFUNCTION("""COMPUTED_VALUE"""),5.6423E7)</f>
        <v>56423000</v>
      </c>
      <c r="C91">
        <f>IFERROR(__xludf.DUMMYFUNCTION("""COMPUTED_VALUE"""),765473.0)</f>
        <v>765473</v>
      </c>
      <c r="D91">
        <f>IFERROR(__xludf.DUMMYFUNCTION("""COMPUTED_VALUE"""),529283.0)</f>
        <v>529283</v>
      </c>
      <c r="E91">
        <f>IFERROR(__xludf.DUMMYFUNCTION("""COMPUTED_VALUE"""),236190.0)</f>
        <v>236190</v>
      </c>
      <c r="F91">
        <f>IFERROR(__xludf.DUMMYFUNCTION("""COMPUTED_VALUE"""),13.6)</f>
        <v>13.6</v>
      </c>
      <c r="G91">
        <f>IFERROR(__xludf.DUMMYFUNCTION("""COMPUTED_VALUE"""),9.4)</f>
        <v>9.4</v>
      </c>
      <c r="H91">
        <f>IFERROR(__xludf.DUMMYFUNCTION("""COMPUTED_VALUE"""),4.2)</f>
        <v>4.2</v>
      </c>
      <c r="I91">
        <f>IFERROR(__xludf.DUMMYFUNCTION("""COMPUTED_VALUE"""),1.79)</f>
        <v>1.79</v>
      </c>
      <c r="J91">
        <f>IFERROR(__xludf.DUMMYFUNCTION("""COMPUTED_VALUE"""),7.5)</f>
        <v>7.5</v>
      </c>
      <c r="K91">
        <f>IFERROR(__xludf.DUMMYFUNCTION("""COMPUTED_VALUE"""),72.5)</f>
        <v>72.5</v>
      </c>
      <c r="L91">
        <f>IFERROR(__xludf.DUMMYFUNCTION("""COMPUTED_VALUE"""),80.6)</f>
        <v>80.6</v>
      </c>
    </row>
    <row r="92">
      <c r="A92">
        <f>IFERROR(__xludf.DUMMYFUNCTION("""COMPUTED_VALUE"""),1990.0)</f>
        <v>1990</v>
      </c>
      <c r="B92">
        <f>IFERROR(__xludf.DUMMYFUNCTION("""COMPUTED_VALUE"""),5.6709E7)</f>
        <v>56709000</v>
      </c>
      <c r="C92">
        <f>IFERROR(__xludf.DUMMYFUNCTION("""COMPUTED_VALUE"""),762407.0)</f>
        <v>762407</v>
      </c>
      <c r="D92">
        <f>IFERROR(__xludf.DUMMYFUNCTION("""COMPUTED_VALUE"""),526201.0)</f>
        <v>526201</v>
      </c>
      <c r="E92">
        <f>IFERROR(__xludf.DUMMYFUNCTION("""COMPUTED_VALUE"""),236206.0)</f>
        <v>236206</v>
      </c>
      <c r="F92">
        <f>IFERROR(__xludf.DUMMYFUNCTION("""COMPUTED_VALUE"""),13.4)</f>
        <v>13.4</v>
      </c>
      <c r="G92">
        <f>IFERROR(__xludf.DUMMYFUNCTION("""COMPUTED_VALUE"""),9.3)</f>
        <v>9.3</v>
      </c>
      <c r="H92">
        <f>IFERROR(__xludf.DUMMYFUNCTION("""COMPUTED_VALUE"""),4.2)</f>
        <v>4.2</v>
      </c>
      <c r="I92">
        <f>IFERROR(__xludf.DUMMYFUNCTION("""COMPUTED_VALUE"""),1.78)</f>
        <v>1.78</v>
      </c>
      <c r="J92">
        <f>IFERROR(__xludf.DUMMYFUNCTION("""COMPUTED_VALUE"""),7.3)</f>
        <v>7.3</v>
      </c>
      <c r="K92">
        <f>IFERROR(__xludf.DUMMYFUNCTION("""COMPUTED_VALUE"""),72.7)</f>
        <v>72.7</v>
      </c>
      <c r="L92">
        <f>IFERROR(__xludf.DUMMYFUNCTION("""COMPUTED_VALUE"""),81.0)</f>
        <v>81</v>
      </c>
    </row>
    <row r="93">
      <c r="A93">
        <f>IFERROR(__xludf.DUMMYFUNCTION("""COMPUTED_VALUE"""),1991.0)</f>
        <v>1991</v>
      </c>
      <c r="B93">
        <f>IFERROR(__xludf.DUMMYFUNCTION("""COMPUTED_VALUE"""),5.6976E7)</f>
        <v>56976000</v>
      </c>
      <c r="C93">
        <f>IFERROR(__xludf.DUMMYFUNCTION("""COMPUTED_VALUE"""),759056.0)</f>
        <v>759056</v>
      </c>
      <c r="D93">
        <f>IFERROR(__xludf.DUMMYFUNCTION("""COMPUTED_VALUE"""),524685.0)</f>
        <v>524685</v>
      </c>
      <c r="E93">
        <f>IFERROR(__xludf.DUMMYFUNCTION("""COMPUTED_VALUE"""),234371.0)</f>
        <v>234371</v>
      </c>
      <c r="F93">
        <f>IFERROR(__xludf.DUMMYFUNCTION("""COMPUTED_VALUE"""),13.3)</f>
        <v>13.3</v>
      </c>
      <c r="G93">
        <f>IFERROR(__xludf.DUMMYFUNCTION("""COMPUTED_VALUE"""),9.2)</f>
        <v>9.2</v>
      </c>
      <c r="H93">
        <f>IFERROR(__xludf.DUMMYFUNCTION("""COMPUTED_VALUE"""),4.1)</f>
        <v>4.1</v>
      </c>
      <c r="I93">
        <f>IFERROR(__xludf.DUMMYFUNCTION("""COMPUTED_VALUE"""),1.77)</f>
        <v>1.77</v>
      </c>
      <c r="J93">
        <f>IFERROR(__xludf.DUMMYFUNCTION("""COMPUTED_VALUE"""),7.3)</f>
        <v>7.3</v>
      </c>
      <c r="K93">
        <f>IFERROR(__xludf.DUMMYFUNCTION("""COMPUTED_VALUE"""),72.9)</f>
        <v>72.9</v>
      </c>
      <c r="L93">
        <f>IFERROR(__xludf.DUMMYFUNCTION("""COMPUTED_VALUE"""),81.2)</f>
        <v>81.2</v>
      </c>
    </row>
    <row r="94">
      <c r="A94">
        <f>IFERROR(__xludf.DUMMYFUNCTION("""COMPUTED_VALUE"""),1992.0)</f>
        <v>1992</v>
      </c>
      <c r="B94">
        <f>IFERROR(__xludf.DUMMYFUNCTION("""COMPUTED_VALUE"""),5.724E7)</f>
        <v>57240000</v>
      </c>
      <c r="C94">
        <f>IFERROR(__xludf.DUMMYFUNCTION("""COMPUTED_VALUE"""),743658.0)</f>
        <v>743658</v>
      </c>
      <c r="D94">
        <f>IFERROR(__xludf.DUMMYFUNCTION("""COMPUTED_VALUE"""),521530.0)</f>
        <v>521530</v>
      </c>
      <c r="E94">
        <f>IFERROR(__xludf.DUMMYFUNCTION("""COMPUTED_VALUE"""),222128.0)</f>
        <v>222128</v>
      </c>
      <c r="F94">
        <f>IFERROR(__xludf.DUMMYFUNCTION("""COMPUTED_VALUE"""),13.0)</f>
        <v>13</v>
      </c>
      <c r="G94">
        <f>IFERROR(__xludf.DUMMYFUNCTION("""COMPUTED_VALUE"""),9.1)</f>
        <v>9.1</v>
      </c>
      <c r="H94">
        <f>IFERROR(__xludf.DUMMYFUNCTION("""COMPUTED_VALUE"""),3.9)</f>
        <v>3.9</v>
      </c>
      <c r="I94">
        <f>IFERROR(__xludf.DUMMYFUNCTION("""COMPUTED_VALUE"""),1.73)</f>
        <v>1.73</v>
      </c>
      <c r="J94">
        <f>IFERROR(__xludf.DUMMYFUNCTION("""COMPUTED_VALUE"""),6.8)</f>
        <v>6.8</v>
      </c>
      <c r="K94">
        <f>IFERROR(__xludf.DUMMYFUNCTION("""COMPUTED_VALUE"""),73.2)</f>
        <v>73.2</v>
      </c>
      <c r="L94">
        <f>IFERROR(__xludf.DUMMYFUNCTION("""COMPUTED_VALUE"""),81.5)</f>
        <v>81.5</v>
      </c>
    </row>
    <row r="95">
      <c r="A95">
        <f>IFERROR(__xludf.DUMMYFUNCTION("""COMPUTED_VALUE"""),1993.0)</f>
        <v>1993</v>
      </c>
      <c r="B95">
        <f>IFERROR(__xludf.DUMMYFUNCTION("""COMPUTED_VALUE"""),5.7467E7)</f>
        <v>57467000</v>
      </c>
      <c r="C95">
        <f>IFERROR(__xludf.DUMMYFUNCTION("""COMPUTED_VALUE"""),711610.0)</f>
        <v>711610</v>
      </c>
      <c r="D95">
        <f>IFERROR(__xludf.DUMMYFUNCTION("""COMPUTED_VALUE"""),532263.0)</f>
        <v>532263</v>
      </c>
      <c r="E95">
        <f>IFERROR(__xludf.DUMMYFUNCTION("""COMPUTED_VALUE"""),179347.0)</f>
        <v>179347</v>
      </c>
      <c r="F95">
        <f>IFERROR(__xludf.DUMMYFUNCTION("""COMPUTED_VALUE"""),12.4)</f>
        <v>12.4</v>
      </c>
      <c r="G95">
        <f>IFERROR(__xludf.DUMMYFUNCTION("""COMPUTED_VALUE"""),9.3)</f>
        <v>9.3</v>
      </c>
      <c r="H95">
        <f>IFERROR(__xludf.DUMMYFUNCTION("""COMPUTED_VALUE"""),3.1)</f>
        <v>3.1</v>
      </c>
      <c r="I95">
        <f>IFERROR(__xludf.DUMMYFUNCTION("""COMPUTED_VALUE"""),1.66)</f>
        <v>1.66</v>
      </c>
      <c r="J95">
        <f>IFERROR(__xludf.DUMMYFUNCTION("""COMPUTED_VALUE"""),6.5)</f>
        <v>6.5</v>
      </c>
      <c r="K95">
        <f>IFERROR(__xludf.DUMMYFUNCTION("""COMPUTED_VALUE"""),73.3)</f>
        <v>73.3</v>
      </c>
      <c r="L95">
        <f>IFERROR(__xludf.DUMMYFUNCTION("""COMPUTED_VALUE"""),81.5)</f>
        <v>81.5</v>
      </c>
    </row>
    <row r="96">
      <c r="A96">
        <f>IFERROR(__xludf.DUMMYFUNCTION("""COMPUTED_VALUE"""),1994.0)</f>
        <v>1994</v>
      </c>
      <c r="B96">
        <f>IFERROR(__xludf.DUMMYFUNCTION("""COMPUTED_VALUE"""),5.7659E7)</f>
        <v>57659000</v>
      </c>
      <c r="C96">
        <f>IFERROR(__xludf.DUMMYFUNCTION("""COMPUTED_VALUE"""),710993.0)</f>
        <v>710993</v>
      </c>
      <c r="D96">
        <f>IFERROR(__xludf.DUMMYFUNCTION("""COMPUTED_VALUE"""),519965.0)</f>
        <v>519965</v>
      </c>
      <c r="E96">
        <f>IFERROR(__xludf.DUMMYFUNCTION("""COMPUTED_VALUE"""),191028.0)</f>
        <v>191028</v>
      </c>
      <c r="F96">
        <f>IFERROR(__xludf.DUMMYFUNCTION("""COMPUTED_VALUE"""),12.3)</f>
        <v>12.3</v>
      </c>
      <c r="G96">
        <f>IFERROR(__xludf.DUMMYFUNCTION("""COMPUTED_VALUE"""),9.0)</f>
        <v>9</v>
      </c>
      <c r="H96">
        <f>IFERROR(__xludf.DUMMYFUNCTION("""COMPUTED_VALUE"""),3.3)</f>
        <v>3.3</v>
      </c>
      <c r="I96">
        <f>IFERROR(__xludf.DUMMYFUNCTION("""COMPUTED_VALUE"""),1.66)</f>
        <v>1.66</v>
      </c>
      <c r="J96">
        <f>IFERROR(__xludf.DUMMYFUNCTION("""COMPUTED_VALUE"""),5.9)</f>
        <v>5.9</v>
      </c>
      <c r="K96">
        <f>IFERROR(__xludf.DUMMYFUNCTION("""COMPUTED_VALUE"""),73.6)</f>
        <v>73.6</v>
      </c>
      <c r="L96">
        <f>IFERROR(__xludf.DUMMYFUNCTION("""COMPUTED_VALUE"""),81.8)</f>
        <v>81.8</v>
      </c>
    </row>
    <row r="97">
      <c r="A97">
        <f>IFERROR(__xludf.DUMMYFUNCTION("""COMPUTED_VALUE"""),1995.0)</f>
        <v>1995</v>
      </c>
      <c r="B97">
        <f>IFERROR(__xludf.DUMMYFUNCTION("""COMPUTED_VALUE"""),5.7844E7)</f>
        <v>57844000</v>
      </c>
      <c r="C97">
        <f>IFERROR(__xludf.DUMMYFUNCTION("""COMPUTED_VALUE"""),729609.0)</f>
        <v>729609</v>
      </c>
      <c r="D97">
        <f>IFERROR(__xludf.DUMMYFUNCTION("""COMPUTED_VALUE"""),531618.0)</f>
        <v>531618</v>
      </c>
      <c r="E97">
        <f>IFERROR(__xludf.DUMMYFUNCTION("""COMPUTED_VALUE"""),197991.0)</f>
        <v>197991</v>
      </c>
      <c r="F97">
        <f>IFERROR(__xludf.DUMMYFUNCTION("""COMPUTED_VALUE"""),12.6)</f>
        <v>12.6</v>
      </c>
      <c r="G97">
        <f>IFERROR(__xludf.DUMMYFUNCTION("""COMPUTED_VALUE"""),9.2)</f>
        <v>9.2</v>
      </c>
      <c r="H97">
        <f>IFERROR(__xludf.DUMMYFUNCTION("""COMPUTED_VALUE"""),3.4)</f>
        <v>3.4</v>
      </c>
      <c r="I97">
        <f>IFERROR(__xludf.DUMMYFUNCTION("""COMPUTED_VALUE"""),1.71)</f>
        <v>1.71</v>
      </c>
      <c r="J97">
        <f>IFERROR(__xludf.DUMMYFUNCTION("""COMPUTED_VALUE"""),4.9)</f>
        <v>4.9</v>
      </c>
      <c r="K97">
        <f>IFERROR(__xludf.DUMMYFUNCTION("""COMPUTED_VALUE"""),73.8)</f>
        <v>73.8</v>
      </c>
      <c r="L97">
        <f>IFERROR(__xludf.DUMMYFUNCTION("""COMPUTED_VALUE"""),81.9)</f>
        <v>81.9</v>
      </c>
    </row>
    <row r="98">
      <c r="A98">
        <f>IFERROR(__xludf.DUMMYFUNCTION("""COMPUTED_VALUE"""),1996.0)</f>
        <v>1996</v>
      </c>
      <c r="B98">
        <f>IFERROR(__xludf.DUMMYFUNCTION("""COMPUTED_VALUE"""),5.8026E7)</f>
        <v>58026000</v>
      </c>
      <c r="C98">
        <f>IFERROR(__xludf.DUMMYFUNCTION("""COMPUTED_VALUE"""),734338.0)</f>
        <v>734338</v>
      </c>
      <c r="D98">
        <f>IFERROR(__xludf.DUMMYFUNCTION("""COMPUTED_VALUE"""),535775.0)</f>
        <v>535775</v>
      </c>
      <c r="E98">
        <f>IFERROR(__xludf.DUMMYFUNCTION("""COMPUTED_VALUE"""),198563.0)</f>
        <v>198563</v>
      </c>
      <c r="F98">
        <f>IFERROR(__xludf.DUMMYFUNCTION("""COMPUTED_VALUE"""),12.7)</f>
        <v>12.7</v>
      </c>
      <c r="G98">
        <f>IFERROR(__xludf.DUMMYFUNCTION("""COMPUTED_VALUE"""),9.2)</f>
        <v>9.2</v>
      </c>
      <c r="H98">
        <f>IFERROR(__xludf.DUMMYFUNCTION("""COMPUTED_VALUE"""),3.4)</f>
        <v>3.4</v>
      </c>
      <c r="I98">
        <f>IFERROR(__xludf.DUMMYFUNCTION("""COMPUTED_VALUE"""),1.73)</f>
        <v>1.73</v>
      </c>
      <c r="J98">
        <f>IFERROR(__xludf.DUMMYFUNCTION("""COMPUTED_VALUE"""),4.8)</f>
        <v>4.8</v>
      </c>
      <c r="K98">
        <f>IFERROR(__xludf.DUMMYFUNCTION("""COMPUTED_VALUE"""),74.1)</f>
        <v>74.1</v>
      </c>
      <c r="L98">
        <f>IFERROR(__xludf.DUMMYFUNCTION("""COMPUTED_VALUE"""),82.0)</f>
        <v>82</v>
      </c>
    </row>
    <row r="99">
      <c r="A99">
        <f>IFERROR(__xludf.DUMMYFUNCTION("""COMPUTED_VALUE"""),1997.0)</f>
        <v>1997</v>
      </c>
      <c r="B99">
        <f>IFERROR(__xludf.DUMMYFUNCTION("""COMPUTED_VALUE"""),5.8207E7)</f>
        <v>58207000</v>
      </c>
      <c r="C99">
        <f>IFERROR(__xludf.DUMMYFUNCTION("""COMPUTED_VALUE"""),726768.0)</f>
        <v>726768</v>
      </c>
      <c r="D99">
        <f>IFERROR(__xludf.DUMMYFUNCTION("""COMPUTED_VALUE"""),530319.0)</f>
        <v>530319</v>
      </c>
      <c r="E99">
        <f>IFERROR(__xludf.DUMMYFUNCTION("""COMPUTED_VALUE"""),196449.0)</f>
        <v>196449</v>
      </c>
      <c r="F99">
        <f>IFERROR(__xludf.DUMMYFUNCTION("""COMPUTED_VALUE"""),12.5)</f>
        <v>12.5</v>
      </c>
      <c r="G99">
        <f>IFERROR(__xludf.DUMMYFUNCTION("""COMPUTED_VALUE"""),9.1)</f>
        <v>9.1</v>
      </c>
      <c r="H99">
        <f>IFERROR(__xludf.DUMMYFUNCTION("""COMPUTED_VALUE"""),3.4)</f>
        <v>3.4</v>
      </c>
      <c r="I99">
        <f>IFERROR(__xludf.DUMMYFUNCTION("""COMPUTED_VALUE"""),1.73)</f>
        <v>1.73</v>
      </c>
      <c r="J99">
        <f>IFERROR(__xludf.DUMMYFUNCTION("""COMPUTED_VALUE"""),4.7)</f>
        <v>4.7</v>
      </c>
      <c r="K99">
        <f>IFERROR(__xludf.DUMMYFUNCTION("""COMPUTED_VALUE"""),74.5)</f>
        <v>74.5</v>
      </c>
      <c r="L99">
        <f>IFERROR(__xludf.DUMMYFUNCTION("""COMPUTED_VALUE"""),82.3)</f>
        <v>82.3</v>
      </c>
    </row>
    <row r="100">
      <c r="A100">
        <f>IFERROR(__xludf.DUMMYFUNCTION("""COMPUTED_VALUE"""),1998.0)</f>
        <v>1998</v>
      </c>
      <c r="B100">
        <f>IFERROR(__xludf.DUMMYFUNCTION("""COMPUTED_VALUE"""),5.8398E7)</f>
        <v>58398000</v>
      </c>
      <c r="C100">
        <f>IFERROR(__xludf.DUMMYFUNCTION("""COMPUTED_VALUE"""),738080.0)</f>
        <v>738080</v>
      </c>
      <c r="D100">
        <f>IFERROR(__xludf.DUMMYFUNCTION("""COMPUTED_VALUE"""),534005.0)</f>
        <v>534005</v>
      </c>
      <c r="E100">
        <f>IFERROR(__xludf.DUMMYFUNCTION("""COMPUTED_VALUE"""),204075.0)</f>
        <v>204075</v>
      </c>
      <c r="F100">
        <f>IFERROR(__xludf.DUMMYFUNCTION("""COMPUTED_VALUE"""),12.6)</f>
        <v>12.6</v>
      </c>
      <c r="G100">
        <f>IFERROR(__xludf.DUMMYFUNCTION("""COMPUTED_VALUE"""),9.1)</f>
        <v>9.1</v>
      </c>
      <c r="H100">
        <f>IFERROR(__xludf.DUMMYFUNCTION("""COMPUTED_VALUE"""),3.5)</f>
        <v>3.5</v>
      </c>
      <c r="I100">
        <f>IFERROR(__xludf.DUMMYFUNCTION("""COMPUTED_VALUE"""),1.76)</f>
        <v>1.76</v>
      </c>
      <c r="J100">
        <f>IFERROR(__xludf.DUMMYFUNCTION("""COMPUTED_VALUE"""),4.6)</f>
        <v>4.6</v>
      </c>
      <c r="K100">
        <f>IFERROR(__xludf.DUMMYFUNCTION("""COMPUTED_VALUE"""),74.7)</f>
        <v>74.7</v>
      </c>
      <c r="L100">
        <f>IFERROR(__xludf.DUMMYFUNCTION("""COMPUTED_VALUE"""),82.4)</f>
        <v>82.4</v>
      </c>
    </row>
    <row r="101">
      <c r="A101">
        <f>IFERROR(__xludf.DUMMYFUNCTION("""COMPUTED_VALUE"""),1999.0)</f>
        <v>1999</v>
      </c>
      <c r="B101">
        <f>IFERROR(__xludf.DUMMYFUNCTION("""COMPUTED_VALUE"""),5.8661E7)</f>
        <v>58661000</v>
      </c>
      <c r="C101">
        <f>IFERROR(__xludf.DUMMYFUNCTION("""COMPUTED_VALUE"""),744791.0)</f>
        <v>744791</v>
      </c>
      <c r="D101">
        <f>IFERROR(__xludf.DUMMYFUNCTION("""COMPUTED_VALUE"""),537661.0)</f>
        <v>537661</v>
      </c>
      <c r="E101">
        <f>IFERROR(__xludf.DUMMYFUNCTION("""COMPUTED_VALUE"""),207130.0)</f>
        <v>207130</v>
      </c>
      <c r="F101">
        <f>IFERROR(__xludf.DUMMYFUNCTION("""COMPUTED_VALUE"""),12.7)</f>
        <v>12.7</v>
      </c>
      <c r="G101">
        <f>IFERROR(__xludf.DUMMYFUNCTION("""COMPUTED_VALUE"""),9.2)</f>
        <v>9.2</v>
      </c>
      <c r="H101">
        <f>IFERROR(__xludf.DUMMYFUNCTION("""COMPUTED_VALUE"""),3.5)</f>
        <v>3.5</v>
      </c>
      <c r="I101">
        <f>IFERROR(__xludf.DUMMYFUNCTION("""COMPUTED_VALUE"""),1.79)</f>
        <v>1.79</v>
      </c>
      <c r="J101">
        <f>IFERROR(__xludf.DUMMYFUNCTION("""COMPUTED_VALUE"""),4.3)</f>
        <v>4.3</v>
      </c>
      <c r="K101">
        <f>IFERROR(__xludf.DUMMYFUNCTION("""COMPUTED_VALUE"""),74.9)</f>
        <v>74.9</v>
      </c>
      <c r="L101">
        <f>IFERROR(__xludf.DUMMYFUNCTION("""COMPUTED_VALUE"""),82.5)</f>
        <v>82.5</v>
      </c>
    </row>
    <row r="102">
      <c r="A102">
        <f>IFERROR(__xludf.DUMMYFUNCTION("""COMPUTED_VALUE"""),2000.0)</f>
        <v>2000</v>
      </c>
      <c r="B102">
        <f>IFERROR(__xludf.DUMMYFUNCTION("""COMPUTED_VALUE"""),5.9049E7)</f>
        <v>59049000</v>
      </c>
      <c r="C102">
        <f>IFERROR(__xludf.DUMMYFUNCTION("""COMPUTED_VALUE"""),774782.0)</f>
        <v>774782</v>
      </c>
      <c r="D102">
        <f>IFERROR(__xludf.DUMMYFUNCTION("""COMPUTED_VALUE"""),530864.0)</f>
        <v>530864</v>
      </c>
      <c r="E102">
        <f>IFERROR(__xludf.DUMMYFUNCTION("""COMPUTED_VALUE"""),243918.0)</f>
        <v>243918</v>
      </c>
      <c r="F102">
        <f>IFERROR(__xludf.DUMMYFUNCTION("""COMPUTED_VALUE"""),13.1)</f>
        <v>13.1</v>
      </c>
      <c r="G102">
        <f>IFERROR(__xludf.DUMMYFUNCTION("""COMPUTED_VALUE"""),9.0)</f>
        <v>9</v>
      </c>
      <c r="H102">
        <f>IFERROR(__xludf.DUMMYFUNCTION("""COMPUTED_VALUE"""),4.1)</f>
        <v>4.1</v>
      </c>
      <c r="I102">
        <f>IFERROR(__xludf.DUMMYFUNCTION("""COMPUTED_VALUE"""),1.87)</f>
        <v>1.87</v>
      </c>
      <c r="J102">
        <f>IFERROR(__xludf.DUMMYFUNCTION("""COMPUTED_VALUE"""),4.4)</f>
        <v>4.4</v>
      </c>
      <c r="K102">
        <f>IFERROR(__xludf.DUMMYFUNCTION("""COMPUTED_VALUE"""),75.2)</f>
        <v>75.2</v>
      </c>
      <c r="L102">
        <f>IFERROR(__xludf.DUMMYFUNCTION("""COMPUTED_VALUE"""),82.8)</f>
        <v>82.8</v>
      </c>
    </row>
    <row r="103">
      <c r="A103">
        <f>IFERROR(__xludf.DUMMYFUNCTION("""COMPUTED_VALUE"""),2001.0)</f>
        <v>2001</v>
      </c>
      <c r="B103">
        <f>IFERROR(__xludf.DUMMYFUNCTION("""COMPUTED_VALUE"""),5.9477E7)</f>
        <v>59477000</v>
      </c>
      <c r="C103">
        <f>IFERROR(__xludf.DUMMYFUNCTION("""COMPUTED_VALUE"""),770945.0)</f>
        <v>770945</v>
      </c>
      <c r="D103">
        <f>IFERROR(__xludf.DUMMYFUNCTION("""COMPUTED_VALUE"""),531073.0)</f>
        <v>531073</v>
      </c>
      <c r="E103">
        <f>IFERROR(__xludf.DUMMYFUNCTION("""COMPUTED_VALUE"""),239872.0)</f>
        <v>239872</v>
      </c>
      <c r="F103">
        <f>IFERROR(__xludf.DUMMYFUNCTION("""COMPUTED_VALUE"""),13.0)</f>
        <v>13</v>
      </c>
      <c r="G103">
        <f>IFERROR(__xludf.DUMMYFUNCTION("""COMPUTED_VALUE"""),8.9)</f>
        <v>8.9</v>
      </c>
      <c r="H103">
        <f>IFERROR(__xludf.DUMMYFUNCTION("""COMPUTED_VALUE"""),4.0)</f>
        <v>4</v>
      </c>
      <c r="I103">
        <f>IFERROR(__xludf.DUMMYFUNCTION("""COMPUTED_VALUE"""),1.88)</f>
        <v>1.88</v>
      </c>
      <c r="J103">
        <f>IFERROR(__xludf.DUMMYFUNCTION("""COMPUTED_VALUE"""),4.5)</f>
        <v>4.5</v>
      </c>
      <c r="K103">
        <f>IFERROR(__xludf.DUMMYFUNCTION("""COMPUTED_VALUE"""),75.4)</f>
        <v>75.4</v>
      </c>
      <c r="L103">
        <f>IFERROR(__xludf.DUMMYFUNCTION("""COMPUTED_VALUE"""),82.9)</f>
        <v>82.9</v>
      </c>
    </row>
    <row r="104">
      <c r="A104">
        <f>IFERROR(__xludf.DUMMYFUNCTION("""COMPUTED_VALUE"""),2002.0)</f>
        <v>2002</v>
      </c>
      <c r="B104">
        <f>IFERROR(__xludf.DUMMYFUNCTION("""COMPUTED_VALUE"""),5.9894E7)</f>
        <v>59894000</v>
      </c>
      <c r="C104">
        <f>IFERROR(__xludf.DUMMYFUNCTION("""COMPUTED_VALUE"""),761630.0)</f>
        <v>761630</v>
      </c>
      <c r="D104">
        <f>IFERROR(__xludf.DUMMYFUNCTION("""COMPUTED_VALUE"""),535144.0)</f>
        <v>535144</v>
      </c>
      <c r="E104">
        <f>IFERROR(__xludf.DUMMYFUNCTION("""COMPUTED_VALUE"""),226486.0)</f>
        <v>226486</v>
      </c>
      <c r="F104">
        <f>IFERROR(__xludf.DUMMYFUNCTION("""COMPUTED_VALUE"""),12.7)</f>
        <v>12.7</v>
      </c>
      <c r="G104">
        <f>IFERROR(__xludf.DUMMYFUNCTION("""COMPUTED_VALUE"""),8.9)</f>
        <v>8.9</v>
      </c>
      <c r="H104">
        <f>IFERROR(__xludf.DUMMYFUNCTION("""COMPUTED_VALUE"""),3.8)</f>
        <v>3.8</v>
      </c>
      <c r="I104">
        <f>IFERROR(__xludf.DUMMYFUNCTION("""COMPUTED_VALUE"""),1.86)</f>
        <v>1.86</v>
      </c>
      <c r="J104">
        <f>IFERROR(__xludf.DUMMYFUNCTION("""COMPUTED_VALUE"""),4.1)</f>
        <v>4.1</v>
      </c>
      <c r="K104">
        <f>IFERROR(__xludf.DUMMYFUNCTION("""COMPUTED_VALUE"""),75.7)</f>
        <v>75.7</v>
      </c>
      <c r="L104">
        <f>IFERROR(__xludf.DUMMYFUNCTION("""COMPUTED_VALUE"""),83.0)</f>
        <v>83</v>
      </c>
    </row>
    <row r="105">
      <c r="A105">
        <f>IFERROR(__xludf.DUMMYFUNCTION("""COMPUTED_VALUE"""),2003.0)</f>
        <v>2003</v>
      </c>
      <c r="B105">
        <f>IFERROR(__xludf.DUMMYFUNCTION("""COMPUTED_VALUE"""),6.0304E7)</f>
        <v>60304000</v>
      </c>
      <c r="C105">
        <f>IFERROR(__xludf.DUMMYFUNCTION("""COMPUTED_VALUE"""),761464.0)</f>
        <v>761464</v>
      </c>
      <c r="D105">
        <f>IFERROR(__xludf.DUMMYFUNCTION("""COMPUTED_VALUE"""),552339.0)</f>
        <v>552339</v>
      </c>
      <c r="E105">
        <f>IFERROR(__xludf.DUMMYFUNCTION("""COMPUTED_VALUE"""),209125.0)</f>
        <v>209125</v>
      </c>
      <c r="F105">
        <f>IFERROR(__xludf.DUMMYFUNCTION("""COMPUTED_VALUE"""),12.6)</f>
        <v>12.6</v>
      </c>
      <c r="G105">
        <f>IFERROR(__xludf.DUMMYFUNCTION("""COMPUTED_VALUE"""),9.2)</f>
        <v>9.2</v>
      </c>
      <c r="H105">
        <f>IFERROR(__xludf.DUMMYFUNCTION("""COMPUTED_VALUE"""),3.5)</f>
        <v>3.5</v>
      </c>
      <c r="I105">
        <f>IFERROR(__xludf.DUMMYFUNCTION("""COMPUTED_VALUE"""),1.87)</f>
        <v>1.87</v>
      </c>
      <c r="J105">
        <f>IFERROR(__xludf.DUMMYFUNCTION("""COMPUTED_VALUE"""),4.0)</f>
        <v>4</v>
      </c>
      <c r="K105">
        <f>IFERROR(__xludf.DUMMYFUNCTION("""COMPUTED_VALUE"""),75.8)</f>
        <v>75.8</v>
      </c>
      <c r="L105">
        <f>IFERROR(__xludf.DUMMYFUNCTION("""COMPUTED_VALUE"""),82.9)</f>
        <v>82.9</v>
      </c>
    </row>
    <row r="106">
      <c r="A106">
        <f>IFERROR(__xludf.DUMMYFUNCTION("""COMPUTED_VALUE"""),2004.0)</f>
        <v>2004</v>
      </c>
      <c r="B106">
        <f>IFERROR(__xludf.DUMMYFUNCTION("""COMPUTED_VALUE"""),6.0734E7)</f>
        <v>60734000</v>
      </c>
      <c r="C106">
        <f>IFERROR(__xludf.DUMMYFUNCTION("""COMPUTED_VALUE"""),767816.0)</f>
        <v>767816</v>
      </c>
      <c r="D106">
        <f>IFERROR(__xludf.DUMMYFUNCTION("""COMPUTED_VALUE"""),509429.0)</f>
        <v>509429</v>
      </c>
      <c r="E106">
        <f>IFERROR(__xludf.DUMMYFUNCTION("""COMPUTED_VALUE"""),258387.0)</f>
        <v>258387</v>
      </c>
      <c r="F106">
        <f>IFERROR(__xludf.DUMMYFUNCTION("""COMPUTED_VALUE"""),12.6)</f>
        <v>12.6</v>
      </c>
      <c r="G106">
        <f>IFERROR(__xludf.DUMMYFUNCTION("""COMPUTED_VALUE"""),8.4)</f>
        <v>8.4</v>
      </c>
      <c r="H106">
        <f>IFERROR(__xludf.DUMMYFUNCTION("""COMPUTED_VALUE"""),4.3)</f>
        <v>4.3</v>
      </c>
      <c r="I106">
        <f>IFERROR(__xludf.DUMMYFUNCTION("""COMPUTED_VALUE"""),1.9)</f>
        <v>1.9</v>
      </c>
      <c r="J106">
        <f>IFERROR(__xludf.DUMMYFUNCTION("""COMPUTED_VALUE"""),3.9)</f>
        <v>3.9</v>
      </c>
      <c r="K106">
        <f>IFERROR(__xludf.DUMMYFUNCTION("""COMPUTED_VALUE"""),76.7)</f>
        <v>76.7</v>
      </c>
      <c r="L106">
        <f>IFERROR(__xludf.DUMMYFUNCTION("""COMPUTED_VALUE"""),83.8)</f>
        <v>83.8</v>
      </c>
    </row>
    <row r="107">
      <c r="A107">
        <f>IFERROR(__xludf.DUMMYFUNCTION("""COMPUTED_VALUE"""),2005.0)</f>
        <v>2005</v>
      </c>
      <c r="B107">
        <f>IFERROR(__xludf.DUMMYFUNCTION("""COMPUTED_VALUE"""),6.1182E7)</f>
        <v>61182000</v>
      </c>
      <c r="C107">
        <f>IFERROR(__xludf.DUMMYFUNCTION("""COMPUTED_VALUE"""),774355.0)</f>
        <v>774355</v>
      </c>
      <c r="D107">
        <f>IFERROR(__xludf.DUMMYFUNCTION("""COMPUTED_VALUE"""),527533.0)</f>
        <v>527533</v>
      </c>
      <c r="E107">
        <f>IFERROR(__xludf.DUMMYFUNCTION("""COMPUTED_VALUE"""),246822.0)</f>
        <v>246822</v>
      </c>
      <c r="F107">
        <f>IFERROR(__xludf.DUMMYFUNCTION("""COMPUTED_VALUE"""),12.7)</f>
        <v>12.7</v>
      </c>
      <c r="G107">
        <f>IFERROR(__xludf.DUMMYFUNCTION("""COMPUTED_VALUE"""),8.6)</f>
        <v>8.6</v>
      </c>
      <c r="H107">
        <f>IFERROR(__xludf.DUMMYFUNCTION("""COMPUTED_VALUE"""),4.0)</f>
        <v>4</v>
      </c>
      <c r="I107">
        <f>IFERROR(__xludf.DUMMYFUNCTION("""COMPUTED_VALUE"""),1.92)</f>
        <v>1.92</v>
      </c>
      <c r="J107">
        <f>IFERROR(__xludf.DUMMYFUNCTION("""COMPUTED_VALUE"""),3.6)</f>
        <v>3.6</v>
      </c>
      <c r="K107">
        <f>IFERROR(__xludf.DUMMYFUNCTION("""COMPUTED_VALUE"""),76.7)</f>
        <v>76.7</v>
      </c>
      <c r="L107">
        <f>IFERROR(__xludf.DUMMYFUNCTION("""COMPUTED_VALUE"""),83.8)</f>
        <v>83.8</v>
      </c>
    </row>
    <row r="108">
      <c r="A108">
        <f>IFERROR(__xludf.DUMMYFUNCTION("""COMPUTED_VALUE"""),2006.0)</f>
        <v>2006</v>
      </c>
      <c r="B108">
        <f>IFERROR(__xludf.DUMMYFUNCTION("""COMPUTED_VALUE"""),6.1598E7)</f>
        <v>61598000</v>
      </c>
      <c r="C108">
        <f>IFERROR(__xludf.DUMMYFUNCTION("""COMPUTED_VALUE"""),796896.0)</f>
        <v>796896</v>
      </c>
      <c r="D108">
        <f>IFERROR(__xludf.DUMMYFUNCTION("""COMPUTED_VALUE"""),516416.0)</f>
        <v>516416</v>
      </c>
      <c r="E108">
        <f>IFERROR(__xludf.DUMMYFUNCTION("""COMPUTED_VALUE"""),280480.0)</f>
        <v>280480</v>
      </c>
      <c r="F108">
        <f>IFERROR(__xludf.DUMMYFUNCTION("""COMPUTED_VALUE"""),12.9)</f>
        <v>12.9</v>
      </c>
      <c r="G108">
        <f>IFERROR(__xludf.DUMMYFUNCTION("""COMPUTED_VALUE"""),8.4)</f>
        <v>8.4</v>
      </c>
      <c r="H108">
        <f>IFERROR(__xludf.DUMMYFUNCTION("""COMPUTED_VALUE"""),4.6)</f>
        <v>4.6</v>
      </c>
      <c r="I108">
        <f>IFERROR(__xludf.DUMMYFUNCTION("""COMPUTED_VALUE"""),1.98)</f>
        <v>1.98</v>
      </c>
      <c r="J108">
        <f>IFERROR(__xludf.DUMMYFUNCTION("""COMPUTED_VALUE"""),3.6)</f>
        <v>3.6</v>
      </c>
      <c r="K108">
        <f>IFERROR(__xludf.DUMMYFUNCTION("""COMPUTED_VALUE"""),77.1)</f>
        <v>77.1</v>
      </c>
      <c r="L108">
        <f>IFERROR(__xludf.DUMMYFUNCTION("""COMPUTED_VALUE"""),84.2)</f>
        <v>84.2</v>
      </c>
    </row>
    <row r="109">
      <c r="A109">
        <f>IFERROR(__xludf.DUMMYFUNCTION("""COMPUTED_VALUE"""),2007.0)</f>
        <v>2007</v>
      </c>
      <c r="B109">
        <f>IFERROR(__xludf.DUMMYFUNCTION("""COMPUTED_VALUE"""),6.1965E7)</f>
        <v>61965000</v>
      </c>
      <c r="C109">
        <f>IFERROR(__xludf.DUMMYFUNCTION("""COMPUTED_VALUE"""),785985.0)</f>
        <v>785985</v>
      </c>
      <c r="D109">
        <f>IFERROR(__xludf.DUMMYFUNCTION("""COMPUTED_VALUE"""),521016.0)</f>
        <v>521016</v>
      </c>
      <c r="E109">
        <f>IFERROR(__xludf.DUMMYFUNCTION("""COMPUTED_VALUE"""),264969.0)</f>
        <v>264969</v>
      </c>
      <c r="F109">
        <f>IFERROR(__xludf.DUMMYFUNCTION("""COMPUTED_VALUE"""),12.7)</f>
        <v>12.7</v>
      </c>
      <c r="G109">
        <f>IFERROR(__xludf.DUMMYFUNCTION("""COMPUTED_VALUE"""),8.4)</f>
        <v>8.4</v>
      </c>
      <c r="H109">
        <f>IFERROR(__xludf.DUMMYFUNCTION("""COMPUTED_VALUE"""),4.3)</f>
        <v>4.3</v>
      </c>
      <c r="I109">
        <f>IFERROR(__xludf.DUMMYFUNCTION("""COMPUTED_VALUE"""),1.96)</f>
        <v>1.96</v>
      </c>
      <c r="J109">
        <f>IFERROR(__xludf.DUMMYFUNCTION("""COMPUTED_VALUE"""),3.6)</f>
        <v>3.6</v>
      </c>
      <c r="K109">
        <f>IFERROR(__xludf.DUMMYFUNCTION("""COMPUTED_VALUE"""),77.4)</f>
        <v>77.4</v>
      </c>
      <c r="L109">
        <f>IFERROR(__xludf.DUMMYFUNCTION("""COMPUTED_VALUE"""),84.4)</f>
        <v>84.4</v>
      </c>
    </row>
    <row r="110">
      <c r="A110">
        <f>IFERROR(__xludf.DUMMYFUNCTION("""COMPUTED_VALUE"""),2008.0)</f>
        <v>2008</v>
      </c>
      <c r="B110">
        <f>IFERROR(__xludf.DUMMYFUNCTION("""COMPUTED_VALUE"""),6.2301E7)</f>
        <v>62301000</v>
      </c>
      <c r="C110">
        <f>IFERROR(__xludf.DUMMYFUNCTION("""COMPUTED_VALUE"""),796044.0)</f>
        <v>796044</v>
      </c>
      <c r="D110">
        <f>IFERROR(__xludf.DUMMYFUNCTION("""COMPUTED_VALUE"""),532131.0)</f>
        <v>532131</v>
      </c>
      <c r="E110">
        <f>IFERROR(__xludf.DUMMYFUNCTION("""COMPUTED_VALUE"""),263913.0)</f>
        <v>263913</v>
      </c>
      <c r="F110">
        <f>IFERROR(__xludf.DUMMYFUNCTION("""COMPUTED_VALUE"""),12.8)</f>
        <v>12.8</v>
      </c>
      <c r="G110">
        <f>IFERROR(__xludf.DUMMYFUNCTION("""COMPUTED_VALUE"""),8.5)</f>
        <v>8.5</v>
      </c>
      <c r="H110">
        <f>IFERROR(__xludf.DUMMYFUNCTION("""COMPUTED_VALUE"""),4.2)</f>
        <v>4.2</v>
      </c>
      <c r="I110">
        <f>IFERROR(__xludf.DUMMYFUNCTION("""COMPUTED_VALUE"""),1.99)</f>
        <v>1.99</v>
      </c>
      <c r="J110">
        <f>IFERROR(__xludf.DUMMYFUNCTION("""COMPUTED_VALUE"""),3.6)</f>
        <v>3.6</v>
      </c>
      <c r="K110">
        <f>IFERROR(__xludf.DUMMYFUNCTION("""COMPUTED_VALUE"""),77.6)</f>
        <v>77.6</v>
      </c>
      <c r="L110">
        <f>IFERROR(__xludf.DUMMYFUNCTION("""COMPUTED_VALUE"""),84.3)</f>
        <v>84.3</v>
      </c>
    </row>
    <row r="111">
      <c r="A111">
        <f>IFERROR(__xludf.DUMMYFUNCTION("""COMPUTED_VALUE"""),2009.0)</f>
        <v>2009</v>
      </c>
      <c r="B111">
        <f>IFERROR(__xludf.DUMMYFUNCTION("""COMPUTED_VALUE"""),6.2616E7)</f>
        <v>62616000</v>
      </c>
      <c r="C111">
        <f>IFERROR(__xludf.DUMMYFUNCTION("""COMPUTED_VALUE"""),793420.0)</f>
        <v>793420</v>
      </c>
      <c r="D111">
        <f>IFERROR(__xludf.DUMMYFUNCTION("""COMPUTED_VALUE"""),538166.0)</f>
        <v>538166</v>
      </c>
      <c r="E111">
        <f>IFERROR(__xludf.DUMMYFUNCTION("""COMPUTED_VALUE"""),255254.0)</f>
        <v>255254</v>
      </c>
      <c r="F111">
        <f>IFERROR(__xludf.DUMMYFUNCTION("""COMPUTED_VALUE"""),12.7)</f>
        <v>12.7</v>
      </c>
      <c r="G111">
        <f>IFERROR(__xludf.DUMMYFUNCTION("""COMPUTED_VALUE"""),8.6)</f>
        <v>8.6</v>
      </c>
      <c r="H111">
        <f>IFERROR(__xludf.DUMMYFUNCTION("""COMPUTED_VALUE"""),4.1)</f>
        <v>4.1</v>
      </c>
      <c r="I111">
        <f>IFERROR(__xludf.DUMMYFUNCTION("""COMPUTED_VALUE"""),1.99)</f>
        <v>1.99</v>
      </c>
      <c r="J111">
        <f>IFERROR(__xludf.DUMMYFUNCTION("""COMPUTED_VALUE"""),3.7)</f>
        <v>3.7</v>
      </c>
      <c r="K111">
        <f>IFERROR(__xludf.DUMMYFUNCTION("""COMPUTED_VALUE"""),77.7)</f>
        <v>77.7</v>
      </c>
      <c r="L111">
        <f>IFERROR(__xludf.DUMMYFUNCTION("""COMPUTED_VALUE"""),84.4)</f>
        <v>84.4</v>
      </c>
    </row>
    <row r="112">
      <c r="A112">
        <f>IFERROR(__xludf.DUMMYFUNCTION("""COMPUTED_VALUE"""),2010.0)</f>
        <v>2010</v>
      </c>
      <c r="B112">
        <f>IFERROR(__xludf.DUMMYFUNCTION("""COMPUTED_VALUE"""),6.2765E7)</f>
        <v>62765000</v>
      </c>
      <c r="C112">
        <f>IFERROR(__xludf.DUMMYFUNCTION("""COMPUTED_VALUE"""),802224.0)</f>
        <v>802224</v>
      </c>
      <c r="D112">
        <f>IFERROR(__xludf.DUMMYFUNCTION("""COMPUTED_VALUE"""),540469.0)</f>
        <v>540469</v>
      </c>
      <c r="E112">
        <f>IFERROR(__xludf.DUMMYFUNCTION("""COMPUTED_VALUE"""),261755.0)</f>
        <v>261755</v>
      </c>
      <c r="F112">
        <f>IFERROR(__xludf.DUMMYFUNCTION("""COMPUTED_VALUE"""),12.8)</f>
        <v>12.8</v>
      </c>
      <c r="G112">
        <f>IFERROR(__xludf.DUMMYFUNCTION("""COMPUTED_VALUE"""),8.6)</f>
        <v>8.6</v>
      </c>
      <c r="H112">
        <f>IFERROR(__xludf.DUMMYFUNCTION("""COMPUTED_VALUE"""),4.2)</f>
        <v>4.2</v>
      </c>
      <c r="I112">
        <f>IFERROR(__xludf.DUMMYFUNCTION("""COMPUTED_VALUE"""),2.02)</f>
        <v>2.02</v>
      </c>
      <c r="J112">
        <f>IFERROR(__xludf.DUMMYFUNCTION("""COMPUTED_VALUE"""),3.6)</f>
        <v>3.6</v>
      </c>
      <c r="K112">
        <f>IFERROR(__xludf.DUMMYFUNCTION("""COMPUTED_VALUE"""),78.0)</f>
        <v>78</v>
      </c>
      <c r="L112">
        <f>IFERROR(__xludf.DUMMYFUNCTION("""COMPUTED_VALUE"""),84.6)</f>
        <v>84.6</v>
      </c>
    </row>
    <row r="113">
      <c r="A113">
        <f>IFERROR(__xludf.DUMMYFUNCTION("""COMPUTED_VALUE"""),2011.0)</f>
        <v>2011</v>
      </c>
      <c r="B113">
        <f>IFERROR(__xludf.DUMMYFUNCTION("""COMPUTED_VALUE"""),6.307E7)</f>
        <v>63070000</v>
      </c>
      <c r="C113">
        <f>IFERROR(__xludf.DUMMYFUNCTION("""COMPUTED_VALUE"""),792996.0)</f>
        <v>792996</v>
      </c>
      <c r="D113">
        <f>IFERROR(__xludf.DUMMYFUNCTION("""COMPUTED_VALUE"""),534795.0)</f>
        <v>534795</v>
      </c>
      <c r="E113">
        <f>IFERROR(__xludf.DUMMYFUNCTION("""COMPUTED_VALUE"""),258201.0)</f>
        <v>258201</v>
      </c>
      <c r="F113">
        <f>IFERROR(__xludf.DUMMYFUNCTION("""COMPUTED_VALUE"""),12.5)</f>
        <v>12.5</v>
      </c>
      <c r="G113">
        <f>IFERROR(__xludf.DUMMYFUNCTION("""COMPUTED_VALUE"""),8.5)</f>
        <v>8.5</v>
      </c>
      <c r="H113">
        <f>IFERROR(__xludf.DUMMYFUNCTION("""COMPUTED_VALUE"""),4.0)</f>
        <v>4</v>
      </c>
      <c r="I113">
        <f>IFERROR(__xludf.DUMMYFUNCTION("""COMPUTED_VALUE"""),2.0)</f>
        <v>2</v>
      </c>
      <c r="J113">
        <f>IFERROR(__xludf.DUMMYFUNCTION("""COMPUTED_VALUE"""),3.5)</f>
        <v>3.5</v>
      </c>
      <c r="K113">
        <f>IFERROR(__xludf.DUMMYFUNCTION("""COMPUTED_VALUE"""),78.4)</f>
        <v>78.4</v>
      </c>
      <c r="L113">
        <f>IFERROR(__xludf.DUMMYFUNCTION("""COMPUTED_VALUE"""),85.0)</f>
        <v>85</v>
      </c>
    </row>
    <row r="114">
      <c r="A114">
        <f>IFERROR(__xludf.DUMMYFUNCTION("""COMPUTED_VALUE"""),2012.0)</f>
        <v>2012</v>
      </c>
      <c r="B114">
        <f>IFERROR(__xludf.DUMMYFUNCTION("""COMPUTED_VALUE"""),6.3375E7)</f>
        <v>63375000</v>
      </c>
      <c r="C114">
        <f>IFERROR(__xludf.DUMMYFUNCTION("""COMPUTED_VALUE"""),790290.0)</f>
        <v>790290</v>
      </c>
      <c r="D114">
        <f>IFERROR(__xludf.DUMMYFUNCTION("""COMPUTED_VALUE"""),559227.0)</f>
        <v>559227</v>
      </c>
      <c r="E114">
        <f>IFERROR(__xludf.DUMMYFUNCTION("""COMPUTED_VALUE"""),231063.0)</f>
        <v>231063</v>
      </c>
      <c r="F114">
        <f>IFERROR(__xludf.DUMMYFUNCTION("""COMPUTED_VALUE"""),12.4)</f>
        <v>12.4</v>
      </c>
      <c r="G114">
        <f>IFERROR(__xludf.DUMMYFUNCTION("""COMPUTED_VALUE"""),8.8)</f>
        <v>8.8</v>
      </c>
      <c r="H114">
        <f>IFERROR(__xludf.DUMMYFUNCTION("""COMPUTED_VALUE"""),3.6)</f>
        <v>3.6</v>
      </c>
      <c r="I114">
        <f>IFERROR(__xludf.DUMMYFUNCTION("""COMPUTED_VALUE"""),1.99)</f>
        <v>1.99</v>
      </c>
      <c r="J114">
        <f>IFERROR(__xludf.DUMMYFUNCTION("""COMPUTED_VALUE"""),3.5)</f>
        <v>3.5</v>
      </c>
      <c r="K114">
        <f>IFERROR(__xludf.DUMMYFUNCTION("""COMPUTED_VALUE"""),78.5)</f>
        <v>78.5</v>
      </c>
      <c r="L114">
        <f>IFERROR(__xludf.DUMMYFUNCTION("""COMPUTED_VALUE"""),84.8)</f>
        <v>84.8</v>
      </c>
    </row>
    <row r="115">
      <c r="A115">
        <f>IFERROR(__xludf.DUMMYFUNCTION("""COMPUTED_VALUE"""),2013.0)</f>
        <v>2013</v>
      </c>
      <c r="B115">
        <f>IFERROR(__xludf.DUMMYFUNCTION("""COMPUTED_VALUE"""),6.3697E7)</f>
        <v>63697000</v>
      </c>
      <c r="C115">
        <f>IFERROR(__xludf.DUMMYFUNCTION("""COMPUTED_VALUE"""),781621.0)</f>
        <v>781621</v>
      </c>
      <c r="D115">
        <f>IFERROR(__xludf.DUMMYFUNCTION("""COMPUTED_VALUE"""),558408.0)</f>
        <v>558408</v>
      </c>
      <c r="E115">
        <f>IFERROR(__xludf.DUMMYFUNCTION("""COMPUTED_VALUE"""),223213.0)</f>
        <v>223213</v>
      </c>
      <c r="F115">
        <f>IFERROR(__xludf.DUMMYFUNCTION("""COMPUTED_VALUE"""),12.2)</f>
        <v>12.2</v>
      </c>
      <c r="G115">
        <f>IFERROR(__xludf.DUMMYFUNCTION("""COMPUTED_VALUE"""),8.7)</f>
        <v>8.7</v>
      </c>
      <c r="H115">
        <f>IFERROR(__xludf.DUMMYFUNCTION("""COMPUTED_VALUE"""),3.5)</f>
        <v>3.5</v>
      </c>
      <c r="I115">
        <f>IFERROR(__xludf.DUMMYFUNCTION("""COMPUTED_VALUE"""),1.97)</f>
        <v>1.97</v>
      </c>
      <c r="J115">
        <f>IFERROR(__xludf.DUMMYFUNCTION("""COMPUTED_VALUE"""),3.5)</f>
        <v>3.5</v>
      </c>
      <c r="K115">
        <f>IFERROR(__xludf.DUMMYFUNCTION("""COMPUTED_VALUE"""),78.7)</f>
        <v>78.7</v>
      </c>
      <c r="L115">
        <f>IFERROR(__xludf.DUMMYFUNCTION("""COMPUTED_VALUE"""),85.0)</f>
        <v>85</v>
      </c>
    </row>
    <row r="116">
      <c r="A116">
        <f>IFERROR(__xludf.DUMMYFUNCTION("""COMPUTED_VALUE"""),2014.0)</f>
        <v>2014</v>
      </c>
      <c r="B116">
        <f>IFERROR(__xludf.DUMMYFUNCTION("""COMPUTED_VALUE"""),6.4028E7)</f>
        <v>64028000</v>
      </c>
      <c r="C116">
        <f>IFERROR(__xludf.DUMMYFUNCTION("""COMPUTED_VALUE"""),781167.0)</f>
        <v>781167</v>
      </c>
      <c r="D116">
        <f>IFERROR(__xludf.DUMMYFUNCTION("""COMPUTED_VALUE"""),547003.0)</f>
        <v>547003</v>
      </c>
      <c r="E116">
        <f>IFERROR(__xludf.DUMMYFUNCTION("""COMPUTED_VALUE"""),234164.0)</f>
        <v>234164</v>
      </c>
      <c r="F116">
        <f>IFERROR(__xludf.DUMMYFUNCTION("""COMPUTED_VALUE"""),12.2)</f>
        <v>12.2</v>
      </c>
      <c r="G116">
        <f>IFERROR(__xludf.DUMMYFUNCTION("""COMPUTED_VALUE"""),8.5)</f>
        <v>8.5</v>
      </c>
      <c r="H116">
        <f>IFERROR(__xludf.DUMMYFUNCTION("""COMPUTED_VALUE"""),3.7)</f>
        <v>3.7</v>
      </c>
      <c r="I116">
        <f>IFERROR(__xludf.DUMMYFUNCTION("""COMPUTED_VALUE"""),1.97)</f>
        <v>1.97</v>
      </c>
      <c r="J116">
        <f>IFERROR(__xludf.DUMMYFUNCTION("""COMPUTED_VALUE"""),3.3)</f>
        <v>3.3</v>
      </c>
      <c r="K116">
        <f>IFERROR(__xludf.DUMMYFUNCTION("""COMPUTED_VALUE"""),79.2)</f>
        <v>79.2</v>
      </c>
      <c r="L116">
        <f>IFERROR(__xludf.DUMMYFUNCTION("""COMPUTED_VALUE"""),85.4)</f>
        <v>85.4</v>
      </c>
    </row>
    <row r="117">
      <c r="A117">
        <f>IFERROR(__xludf.DUMMYFUNCTION("""COMPUTED_VALUE"""),2015.0)</f>
        <v>2015</v>
      </c>
      <c r="B117">
        <f>IFERROR(__xludf.DUMMYFUNCTION("""COMPUTED_VALUE"""),6.4301E7)</f>
        <v>64301000</v>
      </c>
      <c r="C117">
        <f>IFERROR(__xludf.DUMMYFUNCTION("""COMPUTED_VALUE"""),760421.0)</f>
        <v>760421</v>
      </c>
      <c r="D117">
        <f>IFERROR(__xludf.DUMMYFUNCTION("""COMPUTED_VALUE"""),581770.0)</f>
        <v>581770</v>
      </c>
      <c r="E117">
        <f>IFERROR(__xludf.DUMMYFUNCTION("""COMPUTED_VALUE"""),178651.0)</f>
        <v>178651</v>
      </c>
      <c r="F117">
        <f>IFERROR(__xludf.DUMMYFUNCTION("""COMPUTED_VALUE"""),11.8)</f>
        <v>11.8</v>
      </c>
      <c r="G117">
        <f>IFERROR(__xludf.DUMMYFUNCTION("""COMPUTED_VALUE"""),9.0)</f>
        <v>9</v>
      </c>
      <c r="H117">
        <f>IFERROR(__xludf.DUMMYFUNCTION("""COMPUTED_VALUE"""),2.8)</f>
        <v>2.8</v>
      </c>
      <c r="I117">
        <f>IFERROR(__xludf.DUMMYFUNCTION("""COMPUTED_VALUE"""),1.93)</f>
        <v>1.93</v>
      </c>
      <c r="J117">
        <f>IFERROR(__xludf.DUMMYFUNCTION("""COMPUTED_VALUE"""),3.5)</f>
        <v>3.5</v>
      </c>
      <c r="K117">
        <f>IFERROR(__xludf.DUMMYFUNCTION("""COMPUTED_VALUE"""),79.0)</f>
        <v>79</v>
      </c>
      <c r="L117">
        <f>IFERROR(__xludf.DUMMYFUNCTION("""COMPUTED_VALUE"""),85.1)</f>
        <v>85.1</v>
      </c>
    </row>
    <row r="118">
      <c r="A118">
        <f>IFERROR(__xludf.DUMMYFUNCTION("""COMPUTED_VALUE"""),2016.0)</f>
        <v>2016</v>
      </c>
      <c r="B118">
        <f>IFERROR(__xludf.DUMMYFUNCTION("""COMPUTED_VALUE"""),6.4469E7)</f>
        <v>64469000</v>
      </c>
      <c r="C118">
        <f>IFERROR(__xludf.DUMMYFUNCTION("""COMPUTED_VALUE"""),744697.0)</f>
        <v>744697</v>
      </c>
      <c r="D118">
        <f>IFERROR(__xludf.DUMMYFUNCTION("""COMPUTED_VALUE"""),581073.0)</f>
        <v>581073</v>
      </c>
      <c r="E118">
        <f>IFERROR(__xludf.DUMMYFUNCTION("""COMPUTED_VALUE"""),163624.0)</f>
        <v>163624</v>
      </c>
      <c r="F118">
        <f>IFERROR(__xludf.DUMMYFUNCTION("""COMPUTED_VALUE"""),11.5)</f>
        <v>11.5</v>
      </c>
      <c r="G118">
        <f>IFERROR(__xludf.DUMMYFUNCTION("""COMPUTED_VALUE"""),9.0)</f>
        <v>9</v>
      </c>
      <c r="H118">
        <f>IFERROR(__xludf.DUMMYFUNCTION("""COMPUTED_VALUE"""),2.5)</f>
        <v>2.5</v>
      </c>
      <c r="I118">
        <f>IFERROR(__xludf.DUMMYFUNCTION("""COMPUTED_VALUE"""),1.89)</f>
        <v>1.89</v>
      </c>
      <c r="J118">
        <f>IFERROR(__xludf.DUMMYFUNCTION("""COMPUTED_VALUE"""),3.5)</f>
        <v>3.5</v>
      </c>
      <c r="K118">
        <f>IFERROR(__xludf.DUMMYFUNCTION("""COMPUTED_VALUE"""),79.3)</f>
        <v>79.3</v>
      </c>
      <c r="L118">
        <f>IFERROR(__xludf.DUMMYFUNCTION("""COMPUTED_VALUE"""),85.3)</f>
        <v>85.3</v>
      </c>
    </row>
    <row r="119">
      <c r="A119">
        <f>IFERROR(__xludf.DUMMYFUNCTION("""COMPUTED_VALUE"""),2017.0)</f>
        <v>2017</v>
      </c>
      <c r="B119">
        <f>IFERROR(__xludf.DUMMYFUNCTION("""COMPUTED_VALUE"""),6.4639E7)</f>
        <v>64639000</v>
      </c>
      <c r="C119">
        <f>IFERROR(__xludf.DUMMYFUNCTION("""COMPUTED_VALUE"""),730242.0)</f>
        <v>730242</v>
      </c>
      <c r="D119">
        <f>IFERROR(__xludf.DUMMYFUNCTION("""COMPUTED_VALUE"""),593606.0)</f>
        <v>593606</v>
      </c>
      <c r="E119">
        <f>IFERROR(__xludf.DUMMYFUNCTION("""COMPUTED_VALUE"""),136636.0)</f>
        <v>136636</v>
      </c>
      <c r="F119">
        <f>IFERROR(__xludf.DUMMYFUNCTION("""COMPUTED_VALUE"""),11.3)</f>
        <v>11.3</v>
      </c>
      <c r="G119">
        <f>IFERROR(__xludf.DUMMYFUNCTION("""COMPUTED_VALUE"""),9.2)</f>
        <v>9.2</v>
      </c>
      <c r="H119">
        <f>IFERROR(__xludf.DUMMYFUNCTION("""COMPUTED_VALUE"""),2.1)</f>
        <v>2.1</v>
      </c>
      <c r="I119">
        <f>IFERROR(__xludf.DUMMYFUNCTION("""COMPUTED_VALUE"""),1.86)</f>
        <v>1.86</v>
      </c>
      <c r="J119">
        <f>IFERROR(__xludf.DUMMYFUNCTION("""COMPUTED_VALUE"""),3.6)</f>
        <v>3.6</v>
      </c>
      <c r="K119">
        <f>IFERROR(__xludf.DUMMYFUNCTION("""COMPUTED_VALUE"""),79.5)</f>
        <v>79.5</v>
      </c>
      <c r="L119">
        <f>IFERROR(__xludf.DUMMYFUNCTION("""COMPUTED_VALUE"""),85.3)</f>
        <v>85.3</v>
      </c>
    </row>
    <row r="120">
      <c r="A120">
        <f>IFERROR(__xludf.DUMMYFUNCTION("""COMPUTED_VALUE"""),2018.0)</f>
        <v>2018</v>
      </c>
      <c r="B120">
        <f>IFERROR(__xludf.DUMMYFUNCTION("""COMPUTED_VALUE"""),6.4844E7)</f>
        <v>64844000</v>
      </c>
      <c r="C120">
        <f>IFERROR(__xludf.DUMMYFUNCTION("""COMPUTED_VALUE"""),719737.0)</f>
        <v>719737</v>
      </c>
      <c r="D120">
        <f>IFERROR(__xludf.DUMMYFUNCTION("""COMPUTED_VALUE"""),596552.0)</f>
        <v>596552</v>
      </c>
      <c r="E120">
        <f>IFERROR(__xludf.DUMMYFUNCTION("""COMPUTED_VALUE"""),123185.0)</f>
        <v>123185</v>
      </c>
      <c r="F120">
        <f>IFERROR(__xludf.DUMMYFUNCTION("""COMPUTED_VALUE"""),11.1)</f>
        <v>11.1</v>
      </c>
      <c r="G120">
        <f>IFERROR(__xludf.DUMMYFUNCTION("""COMPUTED_VALUE"""),9.2)</f>
        <v>9.2</v>
      </c>
      <c r="H120">
        <f>IFERROR(__xludf.DUMMYFUNCTION("""COMPUTED_VALUE"""),1.9)</f>
        <v>1.9</v>
      </c>
      <c r="I120">
        <f>IFERROR(__xludf.DUMMYFUNCTION("""COMPUTED_VALUE"""),1.84)</f>
        <v>1.84</v>
      </c>
      <c r="J120">
        <f>IFERROR(__xludf.DUMMYFUNCTION("""COMPUTED_VALUE"""),3.6)</f>
        <v>3.6</v>
      </c>
      <c r="K120">
        <f>IFERROR(__xludf.DUMMYFUNCTION("""COMPUTED_VALUE"""),79.6)</f>
        <v>79.6</v>
      </c>
      <c r="L120">
        <f>IFERROR(__xludf.DUMMYFUNCTION("""COMPUTED_VALUE"""),85.5)</f>
        <v>85.5</v>
      </c>
    </row>
    <row r="121">
      <c r="A121">
        <f>IFERROR(__xludf.DUMMYFUNCTION("""COMPUTED_VALUE"""),2019.0)</f>
        <v>2019</v>
      </c>
      <c r="B121">
        <f>IFERROR(__xludf.DUMMYFUNCTION("""COMPUTED_VALUE"""),6.5097E7)</f>
        <v>65097000</v>
      </c>
      <c r="C121">
        <f>IFERROR(__xludf.DUMMYFUNCTION("""COMPUTED_VALUE"""),714029.0)</f>
        <v>714029</v>
      </c>
      <c r="D121">
        <f>IFERROR(__xludf.DUMMYFUNCTION("""COMPUTED_VALUE"""),599408.0)</f>
        <v>599408</v>
      </c>
      <c r="E121">
        <f>IFERROR(__xludf.DUMMYFUNCTION("""COMPUTED_VALUE"""),114621.0)</f>
        <v>114621</v>
      </c>
      <c r="F121">
        <f>IFERROR(__xludf.DUMMYFUNCTION("""COMPUTED_VALUE"""),11.0)</f>
        <v>11</v>
      </c>
      <c r="G121">
        <f>IFERROR(__xludf.DUMMYFUNCTION("""COMPUTED_VALUE"""),9.2)</f>
        <v>9.2</v>
      </c>
      <c r="H121">
        <f>IFERROR(__xludf.DUMMYFUNCTION("""COMPUTED_VALUE"""),1.8)</f>
        <v>1.8</v>
      </c>
      <c r="I121">
        <f>IFERROR(__xludf.DUMMYFUNCTION("""COMPUTED_VALUE"""),1.83)</f>
        <v>1.83</v>
      </c>
      <c r="J121">
        <f>IFERROR(__xludf.DUMMYFUNCTION("""COMPUTED_VALUE"""),3.6)</f>
        <v>3.6</v>
      </c>
      <c r="K121">
        <f>IFERROR(__xludf.DUMMYFUNCTION("""COMPUTED_VALUE"""),79.8)</f>
        <v>79.8</v>
      </c>
      <c r="L121">
        <f>IFERROR(__xludf.DUMMYFUNCTION("""COMPUTED_VALUE"""),85.6)</f>
        <v>85.6</v>
      </c>
    </row>
    <row r="122">
      <c r="A122">
        <f>IFERROR(__xludf.DUMMYFUNCTION("""COMPUTED_VALUE"""),2020.0)</f>
        <v>2020</v>
      </c>
      <c r="B122">
        <f>IFERROR(__xludf.DUMMYFUNCTION("""COMPUTED_VALUE"""),6.5269E7)</f>
        <v>65269000</v>
      </c>
      <c r="C122">
        <f>IFERROR(__xludf.DUMMYFUNCTION("""COMPUTED_VALUE"""),696664.0)</f>
        <v>696664</v>
      </c>
      <c r="D122">
        <f>IFERROR(__xludf.DUMMYFUNCTION("""COMPUTED_VALUE"""),654599.0)</f>
        <v>654599</v>
      </c>
      <c r="E122">
        <f>IFERROR(__xludf.DUMMYFUNCTION("""COMPUTED_VALUE"""),42065.0)</f>
        <v>42065</v>
      </c>
      <c r="F122">
        <f>IFERROR(__xludf.DUMMYFUNCTION("""COMPUTED_VALUE"""),10.7)</f>
        <v>10.7</v>
      </c>
      <c r="G122">
        <f>IFERROR(__xludf.DUMMYFUNCTION("""COMPUTED_VALUE"""),10.0)</f>
        <v>10</v>
      </c>
      <c r="H122">
        <f>IFERROR(__xludf.DUMMYFUNCTION("""COMPUTED_VALUE"""),0.7)</f>
        <v>0.7</v>
      </c>
      <c r="I122">
        <f>IFERROR(__xludf.DUMMYFUNCTION("""COMPUTED_VALUE"""),1.78)</f>
        <v>1.78</v>
      </c>
      <c r="J122">
        <f>IFERROR(__xludf.DUMMYFUNCTION("""COMPUTED_VALUE"""),3.4)</f>
        <v>3.4</v>
      </c>
      <c r="K122">
        <f>IFERROR(__xludf.DUMMYFUNCTION("""COMPUTED_VALUE"""),79.2)</f>
        <v>79.2</v>
      </c>
      <c r="L122">
        <f>IFERROR(__xludf.DUMMYFUNCTION("""COMPUTED_VALUE"""),85.2)</f>
        <v>85.2</v>
      </c>
    </row>
    <row r="123">
      <c r="A123">
        <f>IFERROR(__xludf.DUMMYFUNCTION("""COMPUTED_VALUE"""),2021.0)</f>
        <v>2021</v>
      </c>
      <c r="B123">
        <f>IFERROR(__xludf.DUMMYFUNCTION("""COMPUTED_VALUE"""),6.5505E7)</f>
        <v>65505000</v>
      </c>
      <c r="C123">
        <f>IFERROR(__xludf.DUMMYFUNCTION("""COMPUTED_VALUE"""),701819.0)</f>
        <v>701819</v>
      </c>
      <c r="D123">
        <f>IFERROR(__xludf.DUMMYFUNCTION("""COMPUTED_VALUE"""),644201.0)</f>
        <v>644201</v>
      </c>
      <c r="E123">
        <f>IFERROR(__xludf.DUMMYFUNCTION("""COMPUTED_VALUE"""),57618.0)</f>
        <v>57618</v>
      </c>
      <c r="F123">
        <f>IFERROR(__xludf.DUMMYFUNCTION("""COMPUTED_VALUE"""),10.7)</f>
        <v>10.7</v>
      </c>
      <c r="G123">
        <f>IFERROR(__xludf.DUMMYFUNCTION("""COMPUTED_VALUE"""),9.8)</f>
        <v>9.8</v>
      </c>
      <c r="H123">
        <f>IFERROR(__xludf.DUMMYFUNCTION("""COMPUTED_VALUE"""),0.9)</f>
        <v>0.9</v>
      </c>
      <c r="I123">
        <f>IFERROR(__xludf.DUMMYFUNCTION("""COMPUTED_VALUE"""),1.79)</f>
        <v>1.79</v>
      </c>
      <c r="J123">
        <f>IFERROR(__xludf.DUMMYFUNCTION("""COMPUTED_VALUE"""),3.4)</f>
        <v>3.4</v>
      </c>
      <c r="K123">
        <f>IFERROR(__xludf.DUMMYFUNCTION("""COMPUTED_VALUE"""),79.3)</f>
        <v>79.3</v>
      </c>
      <c r="L123">
        <f>IFERROR(__xludf.DUMMYFUNCTION("""COMPUTED_VALUE"""),85.3)</f>
        <v>85.3</v>
      </c>
    </row>
    <row r="124">
      <c r="A124">
        <f>IFERROR(__xludf.DUMMYFUNCTION("""COMPUTED_VALUE"""),2022.0)</f>
        <v>2022</v>
      </c>
      <c r="B124">
        <f>IFERROR(__xludf.DUMMYFUNCTION("""COMPUTED_VALUE"""),6.5846E7)</f>
        <v>65846000</v>
      </c>
      <c r="C124">
        <f>IFERROR(__xludf.DUMMYFUNCTION("""COMPUTED_VALUE"""),686564.0)</f>
        <v>686564</v>
      </c>
      <c r="D124">
        <f>IFERROR(__xludf.DUMMYFUNCTION("""COMPUTED_VALUE"""),658434.0)</f>
        <v>658434</v>
      </c>
      <c r="E124">
        <f>IFERROR(__xludf.DUMMYFUNCTION("""COMPUTED_VALUE"""),28130.0)</f>
        <v>28130</v>
      </c>
      <c r="F124">
        <f>IFERROR(__xludf.DUMMYFUNCTION("""COMPUTED_VALUE"""),10.4)</f>
        <v>10.4</v>
      </c>
      <c r="G124">
        <f>IFERROR(__xludf.DUMMYFUNCTION("""COMPUTED_VALUE"""),10.0)</f>
        <v>10</v>
      </c>
      <c r="H124">
        <f>IFERROR(__xludf.DUMMYFUNCTION("""COMPUTED_VALUE"""),0.4)</f>
        <v>0.4</v>
      </c>
      <c r="I124">
        <f>IFERROR(__xludf.DUMMYFUNCTION("""COMPUTED_VALUE"""),1.74)</f>
        <v>1.74</v>
      </c>
      <c r="J124">
        <f>IFERROR(__xludf.DUMMYFUNCTION("""COMPUTED_VALUE"""),3.7)</f>
        <v>3.7</v>
      </c>
      <c r="K124">
        <f>IFERROR(__xludf.DUMMYFUNCTION("""COMPUTED_VALUE"""),79.4)</f>
        <v>79.4</v>
      </c>
      <c r="L124">
        <f>IFERROR(__xludf.DUMMYFUNCTION("""COMPUTED_VALUE"""),85.2)</f>
        <v>85.2</v>
      </c>
    </row>
    <row r="125">
      <c r="A125">
        <f>IFERROR(__xludf.DUMMYFUNCTION("""COMPUTED_VALUE"""),2023.0)</f>
        <v>2023</v>
      </c>
      <c r="B125">
        <f>IFERROR(__xludf.DUMMYFUNCTION("""COMPUTED_VALUE"""),6.6166E7)</f>
        <v>66166000</v>
      </c>
      <c r="C125">
        <f>IFERROR(__xludf.DUMMYFUNCTION("""COMPUTED_VALUE"""),639533.0)</f>
        <v>639533</v>
      </c>
      <c r="D125">
        <f>IFERROR(__xludf.DUMMYFUNCTION("""COMPUTED_VALUE"""),623959.0)</f>
        <v>623959</v>
      </c>
      <c r="E125">
        <f>IFERROR(__xludf.DUMMYFUNCTION("""COMPUTED_VALUE"""),15574.0)</f>
        <v>15574</v>
      </c>
      <c r="F125">
        <f>IFERROR(__xludf.DUMMYFUNCTION("""COMPUTED_VALUE"""),9.7)</f>
        <v>9.7</v>
      </c>
      <c r="G125">
        <f>IFERROR(__xludf.DUMMYFUNCTION("""COMPUTED_VALUE"""),9.4)</f>
        <v>9.4</v>
      </c>
      <c r="H125">
        <f>IFERROR(__xludf.DUMMYFUNCTION("""COMPUTED_VALUE"""),0.3)</f>
        <v>0.3</v>
      </c>
      <c r="I125">
        <f>IFERROR(__xludf.DUMMYFUNCTION("""COMPUTED_VALUE"""),1.62)</f>
        <v>1.62</v>
      </c>
      <c r="J125">
        <f>IFERROR(__xludf.DUMMYFUNCTION("""COMPUTED_VALUE"""),3.7)</f>
        <v>3.7</v>
      </c>
      <c r="K125">
        <f>IFERROR(__xludf.DUMMYFUNCTION("""COMPUTED_VALUE"""),80.1)</f>
        <v>80.1</v>
      </c>
      <c r="L125">
        <f>IFERROR(__xludf.DUMMYFUNCTION("""COMPUTED_VALUE"""),85.7)</f>
        <v>85.7</v>
      </c>
    </row>
    <row r="126">
      <c r="A126">
        <f>IFERROR(__xludf.DUMMYFUNCTION("""COMPUTED_VALUE"""),2024.0)</f>
        <v>2024</v>
      </c>
      <c r="B126">
        <f>IFERROR(__xludf.DUMMYFUNCTION("""COMPUTED_VALUE"""),6.638E7)</f>
        <v>66380000</v>
      </c>
      <c r="C126">
        <f>IFERROR(__xludf.DUMMYFUNCTION("""COMPUTED_VALUE"""),626776.0)</f>
        <v>626776</v>
      </c>
      <c r="D126">
        <f>IFERROR(__xludf.DUMMYFUNCTION("""COMPUTED_VALUE"""),627513.0)</f>
        <v>627513</v>
      </c>
      <c r="E126">
        <f>IFERROR(__xludf.DUMMYFUNCTION("""COMPUTED_VALUE"""),-737.0)</f>
        <v>-737</v>
      </c>
      <c r="F126">
        <f>IFERROR(__xludf.DUMMYFUNCTION("""COMPUTED_VALUE"""),9.4)</f>
        <v>9.4</v>
      </c>
      <c r="G126">
        <f>IFERROR(__xludf.DUMMYFUNCTION("""COMPUTED_VALUE"""),9.4)</f>
        <v>9.4</v>
      </c>
      <c r="H126">
        <f>IFERROR(__xludf.DUMMYFUNCTION("""COMPUTED_VALUE"""),0.0)</f>
        <v>0</v>
      </c>
      <c r="I126">
        <f>IFERROR(__xludf.DUMMYFUNCTION("""COMPUTED_VALUE"""),1.58)</f>
        <v>1.58</v>
      </c>
      <c r="J126">
        <f>IFERROR(__xludf.DUMMYFUNCTION("""COMPUTED_VALUE"""),3.9)</f>
        <v>3.9</v>
      </c>
      <c r="K126">
        <f>IFERROR(__xludf.DUMMYFUNCTION("""COMPUTED_VALUE"""),80.3)</f>
        <v>80.3</v>
      </c>
      <c r="L126">
        <f>IFERROR(__xludf.DUMMYFUNCTION("""COMPUTED_VALUE"""),85.8)</f>
        <v>85.8</v>
      </c>
    </row>
    <row r="127">
      <c r="A127">
        <f>IFERROR(__xludf.DUMMYFUNCTION("""COMPUTED_VALUE"""),2025.0)</f>
        <v>2025</v>
      </c>
      <c r="B127">
        <f>IFERROR(__xludf.DUMMYFUNCTION("""COMPUTED_VALUE"""),6.6579E7)</f>
        <v>66579000</v>
      </c>
      <c r="C127">
        <f>IFERROR(__xludf.DUMMYFUNCTION("""COMPUTED_VALUE"""),611000.0)</f>
        <v>611000</v>
      </c>
      <c r="D127">
        <f>IFERROR(__xludf.DUMMYFUNCTION("""COMPUTED_VALUE"""),635000.0)</f>
        <v>635000</v>
      </c>
      <c r="E127">
        <f>IFERROR(__xludf.DUMMYFUNCTION("""COMPUTED_VALUE"""),-24000.0)</f>
        <v>-24000</v>
      </c>
      <c r="F127">
        <f>IFERROR(__xludf.DUMMYFUNCTION("""COMPUTED_VALUE"""),9.2)</f>
        <v>9.2</v>
      </c>
      <c r="G127">
        <f>IFERROR(__xludf.DUMMYFUNCTION("""COMPUTED_VALUE"""),9.5)</f>
        <v>9.5</v>
      </c>
      <c r="H127">
        <f>IFERROR(__xludf.DUMMYFUNCTION("""COMPUTED_VALUE"""),-0.3)</f>
        <v>-0.3</v>
      </c>
      <c r="I127">
        <f>IFERROR(__xludf.DUMMYFUNCTION("""COMPUTED_VALUE"""),1.53)</f>
        <v>1.53</v>
      </c>
      <c r="J127">
        <f>IFERROR(__xludf.DUMMYFUNCTION("""COMPUTED_VALUE"""),3.8)</f>
        <v>3.8</v>
      </c>
      <c r="K127">
        <f>IFERROR(__xludf.DUMMYFUNCTION("""COMPUTED_VALUE"""),80.4)</f>
        <v>80.4</v>
      </c>
      <c r="L127">
        <f>IFERROR(__xludf.DUMMYFUNCTION("""COMPUTED_VALUE"""),85.9)</f>
        <v>85.9</v>
      </c>
    </row>
    <row r="128">
      <c r="B128" t="str">
        <f>IFERROR(__xludf.DUMMYFUNCTION("""COMPUTED_VALUE"""),"Population (1er janvier)")</f>
        <v>Population (1er janvier)</v>
      </c>
      <c r="C128" t="str">
        <f>IFERROR(__xludf.DUMMYFUNCTION("""COMPUTED_VALUE"""),"Naissances")</f>
        <v>Naissances</v>
      </c>
      <c r="D128" t="str">
        <f>IFERROR(__xludf.DUMMYFUNCTION("""COMPUTED_VALUE"""),"Décès")</f>
        <v>Décès</v>
      </c>
      <c r="E128" t="str">
        <f>IFERROR(__xludf.DUMMYFUNCTION("""COMPUTED_VALUE"""),"Solde naturel")</f>
        <v>Solde naturel</v>
      </c>
      <c r="F128" t="str">
        <f>IFERROR(__xludf.DUMMYFUNCTION("""COMPUTED_VALUE"""),"Taux de natalité (pour 1000)")</f>
        <v>Taux de natalité (pour 1000)</v>
      </c>
      <c r="G128" t="str">
        <f>IFERROR(__xludf.DUMMYFUNCTION("""COMPUTED_VALUE"""),"Taux de mortalité (pour 1000)")</f>
        <v>Taux de mortalité (pour 1000)</v>
      </c>
      <c r="H128" t="str">
        <f>IFERROR(__xludf.DUMMYFUNCTION("""COMPUTED_VALUE"""),"Accroissement naturel (pour 1000)")</f>
        <v>Accroissement naturel (pour 1000)</v>
      </c>
      <c r="I128" t="str">
        <f>IFERROR(__xludf.DUMMYFUNCTION("""COMPUTED_VALUE"""),"Indice de fécondité")</f>
        <v>Indice de fécondité</v>
      </c>
      <c r="J128" t="str">
        <f>IFERROR(__xludf.DUMMYFUNCTION("""COMPUTED_VALUE"""),"Taux de mortalité infantile (pour 1000 naissances)")</f>
        <v>Taux de mortalité infantile (pour 1000 naissances)</v>
      </c>
      <c r="K128" t="str">
        <f>IFERROR(__xludf.DUMMYFUNCTION("""COMPUTED_VALUE"""),"Espérance de vie (hommes)")</f>
        <v>Espérance de vie (hommes)</v>
      </c>
      <c r="L128" t="str">
        <f>IFERROR(__xludf.DUMMYFUNCTION("""COMPUTED_VALUE"""),"Espérance de vie (femmes)")</f>
        <v>Espérance de vie (femmes)</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IFERROR(__xludf.DUMMYFUNCTION("IMPORTHTML(""https://fr.wikipedia.org/wiki/Liste_des_vid%C3%A9os_les_plus_visionn%C3%A9es_sur_YouTube#Liste_des_vid%C3%A9os"",""table"")"),"Rang")</f>
        <v>Rang</v>
      </c>
      <c r="B1" t="str">
        <f>IFERROR(__xludf.DUMMYFUNCTION("""COMPUTED_VALUE"""),"Titre")</f>
        <v>Titre</v>
      </c>
      <c r="C1" t="str">
        <f>IFERROR(__xludf.DUMMYFUNCTION("""COMPUTED_VALUE"""),"Auteur")</f>
        <v>Auteur</v>
      </c>
      <c r="D1" t="str">
        <f>IFERROR(__xludf.DUMMYFUNCTION("""COMPUTED_VALUE"""),"Nombre de vues en milliards au
7 janvier 2026")</f>
        <v>Nombre de vues en milliards au
7 janvier 2026</v>
      </c>
      <c r="E1" t="str">
        <f>IFERROR(__xludf.DUMMYFUNCTION("""COMPUTED_VALUE"""),"Date de mise en ligne")</f>
        <v>Date de mise en ligne</v>
      </c>
    </row>
    <row r="2">
      <c r="A2">
        <f>IFERROR(__xludf.DUMMYFUNCTION("""COMPUTED_VALUE"""),1.0)</f>
        <v>1</v>
      </c>
      <c r="B2" t="str">
        <f>IFERROR(__xludf.DUMMYFUNCTION("""COMPUTED_VALUE"""),"*Baby Shark*")</f>
        <v>*Baby Shark*</v>
      </c>
      <c r="C2" t="str">
        <f>IFERROR(__xludf.DUMMYFUNCTION("""COMPUTED_VALUE"""),"Pinkfong")</f>
        <v>Pinkfong</v>
      </c>
      <c r="D2">
        <f>IFERROR(__xludf.DUMMYFUNCTION("""COMPUTED_VALUE"""),16.562)</f>
        <v>16.562</v>
      </c>
      <c r="E2" s="5">
        <f>IFERROR(__xludf.DUMMYFUNCTION("""COMPUTED_VALUE"""),42539.0)</f>
        <v>42539</v>
      </c>
    </row>
    <row r="3">
      <c r="A3">
        <f>IFERROR(__xludf.DUMMYFUNCTION("""COMPUTED_VALUE"""),2.0)</f>
        <v>2</v>
      </c>
      <c r="B3" t="str">
        <f>IFERROR(__xludf.DUMMYFUNCTION("""COMPUTED_VALUE"""),"*Despacito*")</f>
        <v>*Despacito*</v>
      </c>
      <c r="C3" t="str">
        <f>IFERROR(__xludf.DUMMYFUNCTION("""COMPUTED_VALUE"""),"Luis Fonsi feat. Daddy Yankee")</f>
        <v>Luis Fonsi feat. Daddy Yankee</v>
      </c>
      <c r="D3">
        <f>IFERROR(__xludf.DUMMYFUNCTION("""COMPUTED_VALUE"""),8.903)</f>
        <v>8.903</v>
      </c>
      <c r="E3" s="5">
        <f>IFERROR(__xludf.DUMMYFUNCTION("""COMPUTED_VALUE"""),42748.0)</f>
        <v>42748</v>
      </c>
    </row>
    <row r="4">
      <c r="A4">
        <f>IFERROR(__xludf.DUMMYFUNCTION("""COMPUTED_VALUE"""),3.0)</f>
        <v>3</v>
      </c>
      <c r="B4" t="str">
        <f>IFERROR(__xludf.DUMMYFUNCTION("""COMPUTED_VALUE"""),"*Wheels on the Bus*")</f>
        <v>*Wheels on the Bus*</v>
      </c>
      <c r="C4" t="str">
        <f>IFERROR(__xludf.DUMMYFUNCTION("""COMPUTED_VALUE"""),"CoComelon")</f>
        <v>CoComelon</v>
      </c>
      <c r="D4">
        <f>IFERROR(__xludf.DUMMYFUNCTION("""COMPUTED_VALUE"""),8.414)</f>
        <v>8.414</v>
      </c>
      <c r="E4" s="5">
        <f>IFERROR(__xludf.DUMMYFUNCTION("""COMPUTED_VALUE"""),43244.0)</f>
        <v>43244</v>
      </c>
    </row>
    <row r="5">
      <c r="A5">
        <f>IFERROR(__xludf.DUMMYFUNCTION("""COMPUTED_VALUE"""),4.0)</f>
        <v>4</v>
      </c>
      <c r="B5" t="str">
        <f>IFERROR(__xludf.DUMMYFUNCTION("""COMPUTED_VALUE"""),"*Bath Song*")</f>
        <v>*Bath Song*</v>
      </c>
      <c r="C5" t="str">
        <f>IFERROR(__xludf.DUMMYFUNCTION("""COMPUTED_VALUE"""),"CoComelon &amp; Kids Songs")</f>
        <v>CoComelon &amp; Kids Songs</v>
      </c>
      <c r="D5">
        <f>IFERROR(__xludf.DUMMYFUNCTION("""COMPUTED_VALUE"""),7.347)</f>
        <v>7.347</v>
      </c>
      <c r="E5" s="5">
        <f>IFERROR(__xludf.DUMMYFUNCTION("""COMPUTED_VALUE"""),43222.0)</f>
        <v>43222</v>
      </c>
    </row>
    <row r="6">
      <c r="A6">
        <f>IFERROR(__xludf.DUMMYFUNCTION("""COMPUTED_VALUE"""),5.0)</f>
        <v>5</v>
      </c>
      <c r="B6" t="str">
        <f>IFERROR(__xludf.DUMMYFUNCTION("""COMPUTED_VALUE"""),"*Johny Johny Yes Papa: The Best Song for Children*")</f>
        <v>*Johny Johny Yes Papa: The Best Song for Children*</v>
      </c>
      <c r="C6" t="str">
        <f>IFERROR(__xludf.DUMMYFUNCTION("""COMPUTED_VALUE"""),"LooLoo Kids")</f>
        <v>LooLoo Kids</v>
      </c>
      <c r="D6">
        <f>IFERROR(__xludf.DUMMYFUNCTION("""COMPUTED_VALUE"""),7.141)</f>
        <v>7.141</v>
      </c>
      <c r="E6" s="5">
        <f>IFERROR(__xludf.DUMMYFUNCTION("""COMPUTED_VALUE"""),42651.0)</f>
        <v>42651</v>
      </c>
    </row>
    <row r="7">
      <c r="A7">
        <f>IFERROR(__xludf.DUMMYFUNCTION("""COMPUTED_VALUE"""),6.0)</f>
        <v>6</v>
      </c>
      <c r="B7" t="str">
        <f>IFERROR(__xludf.DUMMYFUNCTION("""COMPUTED_VALUE"""),"*See You Again*")</f>
        <v>*See You Again*</v>
      </c>
      <c r="C7" t="str">
        <f>IFERROR(__xludf.DUMMYFUNCTION("""COMPUTED_VALUE"""),"Wiz Khalifa feat. Charlie Puth")</f>
        <v>Wiz Khalifa feat. Charlie Puth</v>
      </c>
      <c r="D7">
        <f>IFERROR(__xludf.DUMMYFUNCTION("""COMPUTED_VALUE"""),6.891)</f>
        <v>6.891</v>
      </c>
      <c r="E7" s="5">
        <f>IFERROR(__xludf.DUMMYFUNCTION("""COMPUTED_VALUE"""),42101.0)</f>
        <v>42101</v>
      </c>
    </row>
    <row r="8">
      <c r="A8">
        <f>IFERROR(__xludf.DUMMYFUNCTION("""COMPUTED_VALUE"""),7.0)</f>
        <v>7</v>
      </c>
      <c r="B8" t="str">
        <f>IFERROR(__xludf.DUMMYFUNCTION("""COMPUTED_VALUE"""),"*Phonics Song with TWO Words*")</f>
        <v>*Phonics Song with TWO Words*</v>
      </c>
      <c r="C8" t="str">
        <f>IFERROR(__xludf.DUMMYFUNCTION("""COMPUTED_VALUE"""),"Chu Chu TV")</f>
        <v>Chu Chu TV</v>
      </c>
      <c r="D8">
        <f>IFERROR(__xludf.DUMMYFUNCTION("""COMPUTED_VALUE"""),6.843)</f>
        <v>6.843</v>
      </c>
      <c r="E8" s="5">
        <f>IFERROR(__xludf.DUMMYFUNCTION("""COMPUTED_VALUE"""),41704.0)</f>
        <v>41704</v>
      </c>
    </row>
    <row r="9">
      <c r="A9">
        <f>IFERROR(__xludf.DUMMYFUNCTION("""COMPUTED_VALUE"""),8.0)</f>
        <v>8</v>
      </c>
      <c r="B9" t="str">
        <f>IFERROR(__xludf.DUMMYFUNCTION("""COMPUTED_VALUE"""),"*Shape of You*")</f>
        <v>*Shape of You*</v>
      </c>
      <c r="C9" t="str">
        <f>IFERROR(__xludf.DUMMYFUNCTION("""COMPUTED_VALUE"""),"Ed Sheeran")</f>
        <v>Ed Sheeran</v>
      </c>
      <c r="D9">
        <f>IFERROR(__xludf.DUMMYFUNCTION("""COMPUTED_VALUE"""),6.638)</f>
        <v>6.638</v>
      </c>
      <c r="E9" s="5">
        <f>IFERROR(__xludf.DUMMYFUNCTION("""COMPUTED_VALUE"""),42765.0)</f>
        <v>42765</v>
      </c>
    </row>
    <row r="10">
      <c r="A10">
        <f>IFERROR(__xludf.DUMMYFUNCTION("""COMPUTED_VALUE"""),9.0)</f>
        <v>9</v>
      </c>
      <c r="B10" t="str">
        <f>IFERROR(__xludf.DUMMYFUNCTION("""COMPUTED_VALUE"""),"*Gangnam Style*")</f>
        <v>*Gangnam Style*</v>
      </c>
      <c r="C10" t="str">
        <f>IFERROR(__xludf.DUMMYFUNCTION("""COMPUTED_VALUE"""),"Psy")</f>
        <v>Psy</v>
      </c>
      <c r="D10">
        <f>IFERROR(__xludf.DUMMYFUNCTION("""COMPUTED_VALUE"""),5.809)</f>
        <v>5.809</v>
      </c>
      <c r="E10" s="5">
        <f>IFERROR(__xludf.DUMMYFUNCTION("""COMPUTED_VALUE"""),41105.0)</f>
        <v>41105</v>
      </c>
    </row>
    <row r="11">
      <c r="A11">
        <f>IFERROR(__xludf.DUMMYFUNCTION("""COMPUTED_VALUE"""),10.0)</f>
        <v>10</v>
      </c>
      <c r="B11" t="str">
        <f>IFERROR(__xludf.DUMMYFUNCTION("""COMPUTED_VALUE"""),"*Uptown Funk*")</f>
        <v>*Uptown Funk*</v>
      </c>
      <c r="C11" t="str">
        <f>IFERROR(__xludf.DUMMYFUNCTION("""COMPUTED_VALUE"""),"Mark Ronson feat. Bruno Mars")</f>
        <v>Mark Ronson feat. Bruno Mars</v>
      </c>
      <c r="D11">
        <f>IFERROR(__xludf.DUMMYFUNCTION("""COMPUTED_VALUE"""),5.728)</f>
        <v>5.728</v>
      </c>
      <c r="E11" s="5">
        <f>IFERROR(__xludf.DUMMYFUNCTION("""COMPUTED_VALUE"""),41962.0)</f>
        <v>41962</v>
      </c>
    </row>
    <row r="12">
      <c r="A12">
        <f>IFERROR(__xludf.DUMMYFUNCTION("""COMPUTED_VALUE"""),11.0)</f>
        <v>11</v>
      </c>
      <c r="B12" t="str">
        <f>IFERROR(__xludf.DUMMYFUNCTION("""COMPUTED_VALUE"""),"*Axel F*")</f>
        <v>*Axel F*</v>
      </c>
      <c r="C12" t="str">
        <f>IFERROR(__xludf.DUMMYFUNCTION("""COMPUTED_VALUE"""),"Crazy Frog")</f>
        <v>Crazy Frog</v>
      </c>
      <c r="D12">
        <f>IFERROR(__xludf.DUMMYFUNCTION("""COMPUTED_VALUE"""),5.649)</f>
        <v>5.649</v>
      </c>
      <c r="E12" s="5">
        <f>IFERROR(__xludf.DUMMYFUNCTION("""COMPUTED_VALUE"""),39981.0)</f>
        <v>39981</v>
      </c>
    </row>
    <row r="13">
      <c r="A13">
        <f>IFERROR(__xludf.DUMMYFUNCTION("""COMPUTED_VALUE"""),12.0)</f>
        <v>12</v>
      </c>
      <c r="B13" t="str">
        <f>IFERROR(__xludf.DUMMYFUNCTION("""COMPUTED_VALUE"""),"*Learning colors colorful eggs on a Farm*")</f>
        <v>*Learning colors colorful eggs on a Farm*</v>
      </c>
      <c r="C13" t="str">
        <f>IFERROR(__xludf.DUMMYFUNCTION("""COMPUTED_VALUE"""),"Miroshka TV")</f>
        <v>Miroshka TV</v>
      </c>
      <c r="D13">
        <f>IFERROR(__xludf.DUMMYFUNCTION("""COMPUTED_VALUE"""),5.393)</f>
        <v>5.393</v>
      </c>
      <c r="E13" s="5">
        <f>IFERROR(__xludf.DUMMYFUNCTION("""COMPUTED_VALUE"""),43158.0)</f>
        <v>43158</v>
      </c>
    </row>
    <row r="14">
      <c r="A14">
        <f>IFERROR(__xludf.DUMMYFUNCTION("""COMPUTED_VALUE"""),13.0)</f>
        <v>13</v>
      </c>
      <c r="B14" t="str">
        <f>IFERROR(__xludf.DUMMYFUNCTION("""COMPUTED_VALUE"""),"*Dame Tu Cosita*")</f>
        <v>*Dame Tu Cosita*</v>
      </c>
      <c r="C14" t="str">
        <f>IFERROR(__xludf.DUMMYFUNCTION("""COMPUTED_VALUE"""),"El Chombo feat. Cutty Ranks")</f>
        <v>El Chombo feat. Cutty Ranks</v>
      </c>
      <c r="D14">
        <f>IFERROR(__xludf.DUMMYFUNCTION("""COMPUTED_VALUE"""),5.299)</f>
        <v>5.299</v>
      </c>
      <c r="E14" s="5">
        <f>IFERROR(__xludf.DUMMYFUNCTION("""COMPUTED_VALUE"""),43195.0)</f>
        <v>43195</v>
      </c>
    </row>
    <row r="15">
      <c r="A15">
        <f>IFERROR(__xludf.DUMMYFUNCTION("""COMPUTED_VALUE"""),14.0)</f>
        <v>14</v>
      </c>
      <c r="B15" t="str">
        <f>IFERROR(__xludf.DUMMYFUNCTION("""COMPUTED_VALUE"""),"*Shree Hanuman Chalisa*")</f>
        <v>*Shree Hanuman Chalisa*</v>
      </c>
      <c r="C15" t="str">
        <f>IFERROR(__xludf.DUMMYFUNCTION("""COMPUTED_VALUE"""),"T-Series")</f>
        <v>T-Series</v>
      </c>
      <c r="D15">
        <f>IFERROR(__xludf.DUMMYFUNCTION("""COMPUTED_VALUE"""),5.104)</f>
        <v>5.104</v>
      </c>
      <c r="E15" s="5">
        <f>IFERROR(__xludf.DUMMYFUNCTION("""COMPUTED_VALUE"""),40673.0)</f>
        <v>40673</v>
      </c>
    </row>
    <row r="16">
      <c r="A16">
        <f>IFERROR(__xludf.DUMMYFUNCTION("""COMPUTED_VALUE"""),15.0)</f>
        <v>15</v>
      </c>
      <c r="B16" t="str">
        <f>IFERROR(__xludf.DUMMYFUNCTION("""COMPUTED_VALUE"""),"*Baa, Baa, Black Sheep*")</f>
        <v>*Baa, Baa, Black Sheep*</v>
      </c>
      <c r="C16" t="str">
        <f>IFERROR(__xludf.DUMMYFUNCTION("""COMPUTED_VALUE"""),"Cocomelon &amp; Kids Song")</f>
        <v>Cocomelon &amp; Kids Song</v>
      </c>
      <c r="D16">
        <f>IFERROR(__xludf.DUMMYFUNCTION("""COMPUTED_VALUE"""),4.701)</f>
        <v>4.701</v>
      </c>
      <c r="E16" s="5">
        <f>IFERROR(__xludf.DUMMYFUNCTION("""COMPUTED_VALUE"""),43276.0)</f>
        <v>43276</v>
      </c>
    </row>
    <row r="17">
      <c r="A17">
        <f>IFERROR(__xludf.DUMMYFUNCTION("""COMPUTED_VALUE"""),16.0)</f>
        <v>16</v>
      </c>
      <c r="B17" t="str">
        <f>IFERROR(__xludf.DUMMYFUNCTION("""COMPUTED_VALUE"""),"*Masha and the bear Ep. 17*")</f>
        <v>*Masha and the bear Ep. 17*</v>
      </c>
      <c r="C17" t="str">
        <f>IFERROR(__xludf.DUMMYFUNCTION("""COMPUTED_VALUE"""),"Get Movies")</f>
        <v>Get Movies</v>
      </c>
      <c r="D17">
        <f>IFERROR(__xludf.DUMMYFUNCTION("""COMPUTED_VALUE"""),4.664)</f>
        <v>4.664</v>
      </c>
      <c r="E17" s="5">
        <f>IFERROR(__xludf.DUMMYFUNCTION("""COMPUTED_VALUE"""),40939.0)</f>
        <v>40939</v>
      </c>
    </row>
    <row r="18">
      <c r="A18">
        <f>IFERROR(__xludf.DUMMYFUNCTION("""COMPUTED_VALUE"""),17.0)</f>
        <v>17</v>
      </c>
      <c r="B18" t="str">
        <f>IFERROR(__xludf.DUMMYFUNCTION("""COMPUTED_VALUE"""),"*Ladki Ki Kathi*")</f>
        <v>*Ladki Ki Kathi*</v>
      </c>
      <c r="C18" t="str">
        <f>IFERROR(__xludf.DUMMYFUNCTION("""COMPUTED_VALUE"""),"Jingle Toons")</f>
        <v>Jingle Toons</v>
      </c>
      <c r="D18">
        <f>IFERROR(__xludf.DUMMYFUNCTION("""COMPUTED_VALUE"""),4.542)</f>
        <v>4.542</v>
      </c>
      <c r="E18" s="5">
        <f>IFERROR(__xludf.DUMMYFUNCTION("""COMPUTED_VALUE"""),43265.0)</f>
        <v>43265</v>
      </c>
    </row>
    <row r="19">
      <c r="A19">
        <f>IFERROR(__xludf.DUMMYFUNCTION("""COMPUTED_VALUE"""),18.0)</f>
        <v>18</v>
      </c>
      <c r="B19" t="str">
        <f>IFERROR(__xludf.DUMMYFUNCTION("""COMPUTED_VALUE"""),"*Waka Waka*")</f>
        <v>*Waka Waka*</v>
      </c>
      <c r="C19" t="str">
        <f>IFERROR(__xludf.DUMMYFUNCTION("""COMPUTED_VALUE"""),"Shakira feat. Freshlyground")</f>
        <v>Shakira feat. Freshlyground</v>
      </c>
      <c r="D19">
        <f>IFERROR(__xludf.DUMMYFUNCTION("""COMPUTED_VALUE"""),4.419)</f>
        <v>4.419</v>
      </c>
      <c r="E19" s="5">
        <f>IFERROR(__xludf.DUMMYFUNCTION("""COMPUTED_VALUE"""),40334.0)</f>
        <v>40334</v>
      </c>
    </row>
    <row r="20">
      <c r="A20">
        <f>IFERROR(__xludf.DUMMYFUNCTION("""COMPUTED_VALUE"""),19.0)</f>
        <v>19</v>
      </c>
      <c r="B20" t="str">
        <f>IFERROR(__xludf.DUMMYFUNCTION("""COMPUTED_VALUE"""),"*Humpty the Train on a Fruits Ride*")</f>
        <v>*Humpty the Train on a Fruits Ride*</v>
      </c>
      <c r="C20" t="str">
        <f>IFERROR(__xludf.DUMMYFUNCTION("""COMPUTED_VALUE"""),"Kiddiestv Hindi - Nursery Rhymes &amp; Kids Songs")</f>
        <v>Kiddiestv Hindi - Nursery Rhymes &amp; Kids Songs</v>
      </c>
      <c r="D20">
        <f>IFERROR(__xludf.DUMMYFUNCTION("""COMPUTED_VALUE"""),4.344)</f>
        <v>4.344</v>
      </c>
      <c r="E20" s="5">
        <f>IFERROR(__xludf.DUMMYFUNCTION("""COMPUTED_VALUE"""),43126.0)</f>
        <v>43126</v>
      </c>
    </row>
    <row r="21">
      <c r="A21">
        <f>IFERROR(__xludf.DUMMYFUNCTION("""COMPUTED_VALUE"""),20.0)</f>
        <v>20</v>
      </c>
      <c r="B21" t="str">
        <f>IFERROR(__xludf.DUMMYFUNCTION("""COMPUTED_VALUE"""),"*Counting Stars*")</f>
        <v>*Counting Stars*</v>
      </c>
      <c r="C21" t="str">
        <f>IFERROR(__xludf.DUMMYFUNCTION("""COMPUTED_VALUE"""),"OneRepublic")</f>
        <v>OneRepublic</v>
      </c>
      <c r="D21">
        <f>IFERROR(__xludf.DUMMYFUNCTION("""COMPUTED_VALUE"""),4.333)</f>
        <v>4.333</v>
      </c>
      <c r="E21" s="5">
        <f>IFERROR(__xludf.DUMMYFUNCTION("""COMPUTED_VALUE"""),41425.0)</f>
        <v>41425</v>
      </c>
    </row>
    <row r="22">
      <c r="A22">
        <f>IFERROR(__xludf.DUMMYFUNCTION("""COMPUTED_VALUE"""),21.0)</f>
        <v>21</v>
      </c>
      <c r="B22" t="str">
        <f>IFERROR(__xludf.DUMMYFUNCTION("""COMPUTED_VALUE"""),"*Sugar*")</f>
        <v>*Sugar*</v>
      </c>
      <c r="C22" t="str">
        <f>IFERROR(__xludf.DUMMYFUNCTION("""COMPUTED_VALUE"""),"Maroon 5")</f>
        <v>Maroon 5</v>
      </c>
      <c r="D22">
        <f>IFERROR(__xludf.DUMMYFUNCTION("""COMPUTED_VALUE"""),4.33)</f>
        <v>4.33</v>
      </c>
      <c r="E22" s="5">
        <f>IFERROR(__xludf.DUMMYFUNCTION("""COMPUTED_VALUE"""),42018.0)</f>
        <v>42018</v>
      </c>
    </row>
    <row r="23">
      <c r="A23">
        <f>IFERROR(__xludf.DUMMYFUNCTION("""COMPUTED_VALUE"""),22.0)</f>
        <v>22</v>
      </c>
      <c r="B23" t="str">
        <f>IFERROR(__xludf.DUMMYFUNCTION("""COMPUTED_VALUE"""),"*Roar*")</f>
        <v>*Roar*</v>
      </c>
      <c r="C23" t="str">
        <f>IFERROR(__xludf.DUMMYFUNCTION("""COMPUTED_VALUE"""),"Katy Perry")</f>
        <v>Katy Perry</v>
      </c>
      <c r="D23">
        <f>IFERROR(__xludf.DUMMYFUNCTION("""COMPUTED_VALUE"""),4.254)</f>
        <v>4.254</v>
      </c>
      <c r="E23" s="5">
        <f>IFERROR(__xludf.DUMMYFUNCTION("""COMPUTED_VALUE"""),41522.0)</f>
        <v>41522</v>
      </c>
    </row>
    <row r="24">
      <c r="A24">
        <f>IFERROR(__xludf.DUMMYFUNCTION("""COMPUTED_VALUE"""),23.0)</f>
        <v>23</v>
      </c>
      <c r="B24" t="str">
        <f>IFERROR(__xludf.DUMMYFUNCTION("""COMPUTED_VALUE"""),"*Temu's Big Game Ad Encore TV Commercial 2024*")</f>
        <v>*Temu's Big Game Ad Encore TV Commercial 2024*</v>
      </c>
      <c r="C24" t="str">
        <f>IFERROR(__xludf.DUMMYFUNCTION("""COMPUTED_VALUE"""),"Temu")</f>
        <v>Temu</v>
      </c>
      <c r="D24">
        <f>IFERROR(__xludf.DUMMYFUNCTION("""COMPUTED_VALUE"""),4.249)</f>
        <v>4.249</v>
      </c>
      <c r="E24" s="5">
        <f>IFERROR(__xludf.DUMMYFUNCTION("""COMPUTED_VALUE"""),45334.0)</f>
        <v>45334</v>
      </c>
    </row>
    <row r="25">
      <c r="A25">
        <f>IFERROR(__xludf.DUMMYFUNCTION("""COMPUTED_VALUE"""),24.0)</f>
        <v>24</v>
      </c>
      <c r="B25" t="str">
        <f>IFERROR(__xludf.DUMMYFUNCTION("""COMPUTED_VALUE"""),"*Baby Shark*")</f>
        <v>*Baby Shark*</v>
      </c>
      <c r="C25" t="str">
        <f>IFERROR(__xludf.DUMMYFUNCTION("""COMPUTED_VALUE"""),"CoComelon &amp; Kids Songs")</f>
        <v>CoComelon &amp; Kids Songs</v>
      </c>
      <c r="D25">
        <f>IFERROR(__xludf.DUMMYFUNCTION("""COMPUTED_VALUE"""),4.232)</f>
        <v>4.232</v>
      </c>
      <c r="E25" s="5">
        <f>IFERROR(__xludf.DUMMYFUNCTION("""COMPUTED_VALUE"""),43060.0)</f>
        <v>43060</v>
      </c>
    </row>
    <row r="26">
      <c r="A26">
        <f>IFERROR(__xludf.DUMMYFUNCTION("""COMPUTED_VALUE"""),25.0)</f>
        <v>25</v>
      </c>
      <c r="B26" t="str">
        <f>IFERROR(__xludf.DUMMYFUNCTION("""COMPUTED_VALUE"""),"*Dark Horse*")</f>
        <v>*Dark Horse*</v>
      </c>
      <c r="C26" t="str">
        <f>IFERROR(__xludf.DUMMYFUNCTION("""COMPUTED_VALUE"""),"Katy Perry feat. Juicy J")</f>
        <v>Katy Perry feat. Juicy J</v>
      </c>
      <c r="D26">
        <f>IFERROR(__xludf.DUMMYFUNCTION("""COMPUTED_VALUE"""),4.101)</f>
        <v>4.101</v>
      </c>
      <c r="E26" s="5">
        <f>IFERROR(__xludf.DUMMYFUNCTION("""COMPUTED_VALUE"""),41690.0)</f>
        <v>41690</v>
      </c>
    </row>
    <row r="27">
      <c r="A27">
        <f>IFERROR(__xludf.DUMMYFUNCTION("""COMPUTED_VALUE"""),26.0)</f>
        <v>26</v>
      </c>
      <c r="B27" t="str">
        <f>IFERROR(__xludf.DUMMYFUNCTION("""COMPUTED_VALUE"""),"*Perfect*")</f>
        <v>*Perfect*</v>
      </c>
      <c r="C27" t="str">
        <f>IFERROR(__xludf.DUMMYFUNCTION("""COMPUTED_VALUE"""),"Ed Sheeran")</f>
        <v>Ed Sheeran</v>
      </c>
      <c r="D27">
        <f>IFERROR(__xludf.DUMMYFUNCTION("""COMPUTED_VALUE"""),4.091)</f>
        <v>4.091</v>
      </c>
      <c r="E27" s="5">
        <f>IFERROR(__xludf.DUMMYFUNCTION("""COMPUTED_VALUE"""),43048.0)</f>
        <v>43048</v>
      </c>
    </row>
    <row r="28">
      <c r="A28">
        <f>IFERROR(__xludf.DUMMYFUNCTION("""COMPUTED_VALUE"""),27.0)</f>
        <v>27</v>
      </c>
      <c r="B28" t="str">
        <f>IFERROR(__xludf.DUMMYFUNCTION("""COMPUTED_VALUE"""),"*Sorry*")</f>
        <v>*Sorry*</v>
      </c>
      <c r="C28" t="str">
        <f>IFERROR(__xludf.DUMMYFUNCTION("""COMPUTED_VALUE"""),"Justin Bieber")</f>
        <v>Justin Bieber</v>
      </c>
      <c r="D28">
        <f>IFERROR(__xludf.DUMMYFUNCTION("""COMPUTED_VALUE"""),4.043)</f>
        <v>4.043</v>
      </c>
      <c r="E28" s="5">
        <f>IFERROR(__xludf.DUMMYFUNCTION("""COMPUTED_VALUE"""),42299.0)</f>
        <v>42299</v>
      </c>
    </row>
    <row r="29">
      <c r="A29">
        <f>IFERROR(__xludf.DUMMYFUNCTION("""COMPUTED_VALUE"""),28.0)</f>
        <v>28</v>
      </c>
      <c r="B29" t="str">
        <f>IFERROR(__xludf.DUMMYFUNCTION("""COMPUTED_VALUE"""),"*Let Her Go*")</f>
        <v>*Let Her Go*</v>
      </c>
      <c r="C29" t="str">
        <f>IFERROR(__xludf.DUMMYFUNCTION("""COMPUTED_VALUE"""),"Passenger")</f>
        <v>Passenger</v>
      </c>
      <c r="D29">
        <f>IFERROR(__xludf.DUMMYFUNCTION("""COMPUTED_VALUE"""),3.98)</f>
        <v>3.98</v>
      </c>
      <c r="E29" s="5">
        <f>IFERROR(__xludf.DUMMYFUNCTION("""COMPUTED_VALUE"""),41115.0)</f>
        <v>41115</v>
      </c>
    </row>
    <row r="30">
      <c r="A30">
        <f>IFERROR(__xludf.DUMMYFUNCTION("""COMPUTED_VALUE"""),29.0)</f>
        <v>29</v>
      </c>
      <c r="B30" t="str">
        <f>IFERROR(__xludf.DUMMYFUNCTION("""COMPUTED_VALUE"""),"*Thinking Out Loud*")</f>
        <v>*Thinking Out Loud*</v>
      </c>
      <c r="C30" t="str">
        <f>IFERROR(__xludf.DUMMYFUNCTION("""COMPUTED_VALUE"""),"Ed Sheeran")</f>
        <v>Ed Sheeran</v>
      </c>
      <c r="D30">
        <f>IFERROR(__xludf.DUMMYFUNCTION("""COMPUTED_VALUE"""),3.966)</f>
        <v>3.966</v>
      </c>
      <c r="E30" s="5">
        <f>IFERROR(__xludf.DUMMYFUNCTION("""COMPUTED_VALUE"""),41919.0)</f>
        <v>41919</v>
      </c>
    </row>
    <row r="31">
      <c r="A31">
        <f>IFERROR(__xludf.DUMMYFUNCTION("""COMPUTED_VALUE"""),30.0)</f>
        <v>30</v>
      </c>
      <c r="B31" t="str">
        <f>IFERROR(__xludf.DUMMYFUNCTION("""COMPUTED_VALUE"""),"*Girls Like You*")</f>
        <v>*Girls Like You*</v>
      </c>
      <c r="C31" t="str">
        <f>IFERROR(__xludf.DUMMYFUNCTION("""COMPUTED_VALUE"""),"Maroon 5 feat. Cardi B")</f>
        <v>Maroon 5 feat. Cardi B</v>
      </c>
      <c r="D31">
        <f>IFERROR(__xludf.DUMMYFUNCTION("""COMPUTED_VALUE"""),3.95)</f>
        <v>3.95</v>
      </c>
      <c r="E31" s="5">
        <f>IFERROR(__xludf.DUMMYFUNCTION("""COMPUTED_VALUE"""),43251.0)</f>
        <v>43251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IFERROR(__xludf.DUMMYFUNCTION("IMPORTHTML(""https://fr.wikipedia.org/wiki/Liste_des_pays_par_PIB_nominal"",""table"")"),"Pays/Zone")</f>
        <v>Pays/Zone</v>
      </c>
      <c r="B1" t="str">
        <f>IFERROR(__xludf.DUMMYFUNCTION("""COMPUTED_VALUE"""),"PIB 2000")</f>
        <v>PIB 2000</v>
      </c>
      <c r="C1" t="str">
        <f>IFERROR(__xludf.DUMMYFUNCTION("""COMPUTED_VALUE"""),"PIB 2001")</f>
        <v>PIB 2001</v>
      </c>
      <c r="D1" t="str">
        <f>IFERROR(__xludf.DUMMYFUNCTION("""COMPUTED_VALUE"""),"PIB 2002")</f>
        <v>PIB 2002</v>
      </c>
      <c r="E1" t="str">
        <f>IFERROR(__xludf.DUMMYFUNCTION("""COMPUTED_VALUE"""),"PIB 2003")</f>
        <v>PIB 2003</v>
      </c>
      <c r="F1" t="str">
        <f>IFERROR(__xludf.DUMMYFUNCTION("""COMPUTED_VALUE"""),"PIB 2004")</f>
        <v>PIB 2004</v>
      </c>
      <c r="G1" t="str">
        <f>IFERROR(__xludf.DUMMYFUNCTION("""COMPUTED_VALUE"""),"PIB 2005")</f>
        <v>PIB 2005</v>
      </c>
      <c r="H1" t="str">
        <f>IFERROR(__xludf.DUMMYFUNCTION("""COMPUTED_VALUE"""),"PIB 2006")</f>
        <v>PIB 2006</v>
      </c>
      <c r="I1" t="str">
        <f>IFERROR(__xludf.DUMMYFUNCTION("""COMPUTED_VALUE"""),"PIB 2007")</f>
        <v>PIB 2007</v>
      </c>
      <c r="J1" t="str">
        <f>IFERROR(__xludf.DUMMYFUNCTION("""COMPUTED_VALUE"""),"PIB 2008")</f>
        <v>PIB 2008</v>
      </c>
      <c r="K1" t="str">
        <f>IFERROR(__xludf.DUMMYFUNCTION("""COMPUTED_VALUE"""),"PIB 2009")</f>
        <v>PIB 2009</v>
      </c>
    </row>
    <row r="2">
      <c r="A2" t="str">
        <f>IFERROR(__xludf.DUMMYFUNCTION("""COMPUTED_VALUE"""),"Afghanistan")</f>
        <v>Afghanistan</v>
      </c>
      <c r="B2" t="str">
        <f>IFERROR(__xludf.DUMMYFUNCTION("""COMPUTED_VALUE"""),"-")</f>
        <v>-</v>
      </c>
      <c r="C2" t="str">
        <f>IFERROR(__xludf.DUMMYFUNCTION("""COMPUTED_VALUE"""),"-")</f>
        <v>-</v>
      </c>
      <c r="D2">
        <f>IFERROR(__xludf.DUMMYFUNCTION("""COMPUTED_VALUE"""),4.367)</f>
        <v>4.367</v>
      </c>
      <c r="E2">
        <f>IFERROR(__xludf.DUMMYFUNCTION("""COMPUTED_VALUE"""),4.553)</f>
        <v>4.553</v>
      </c>
      <c r="F2">
        <f>IFERROR(__xludf.DUMMYFUNCTION("""COMPUTED_VALUE"""),5.146)</f>
        <v>5.146</v>
      </c>
      <c r="G2">
        <f>IFERROR(__xludf.DUMMYFUNCTION("""COMPUTED_VALUE"""),6.167)</f>
        <v>6.167</v>
      </c>
      <c r="H2">
        <f>IFERROR(__xludf.DUMMYFUNCTION("""COMPUTED_VALUE"""),6.925)</f>
        <v>6.925</v>
      </c>
      <c r="I2">
        <f>IFERROR(__xludf.DUMMYFUNCTION("""COMPUTED_VALUE"""),8.556)</f>
        <v>8.556</v>
      </c>
      <c r="J2">
        <f>IFERROR(__xludf.DUMMYFUNCTION("""COMPUTED_VALUE"""),10.297)</f>
        <v>10.297</v>
      </c>
      <c r="K2">
        <f>IFERROR(__xludf.DUMMYFUNCTION("""COMPUTED_VALUE"""),12.066)</f>
        <v>12.066</v>
      </c>
    </row>
    <row r="3">
      <c r="A3" t="str">
        <f>IFERROR(__xludf.DUMMYFUNCTION("""COMPUTED_VALUE"""),"Albanie")</f>
        <v>Albanie</v>
      </c>
      <c r="B3">
        <f>IFERROR(__xludf.DUMMYFUNCTION("""COMPUTED_VALUE"""),3.483)</f>
        <v>3.483</v>
      </c>
      <c r="C3">
        <f>IFERROR(__xludf.DUMMYFUNCTION("""COMPUTED_VALUE"""),3.928)</f>
        <v>3.928</v>
      </c>
      <c r="D3">
        <f>IFERROR(__xludf.DUMMYFUNCTION("""COMPUTED_VALUE"""),4.348)</f>
        <v>4.348</v>
      </c>
      <c r="E3">
        <f>IFERROR(__xludf.DUMMYFUNCTION("""COMPUTED_VALUE"""),5.611)</f>
        <v>5.611</v>
      </c>
      <c r="F3">
        <f>IFERROR(__xludf.DUMMYFUNCTION("""COMPUTED_VALUE"""),7.185)</f>
        <v>7.185</v>
      </c>
      <c r="G3">
        <f>IFERROR(__xludf.DUMMYFUNCTION("""COMPUTED_VALUE"""),8.052)</f>
        <v>8.052</v>
      </c>
      <c r="H3">
        <f>IFERROR(__xludf.DUMMYFUNCTION("""COMPUTED_VALUE"""),8.896)</f>
        <v>8.896</v>
      </c>
      <c r="I3">
        <f>IFERROR(__xludf.DUMMYFUNCTION("""COMPUTED_VALUE"""),10.677)</f>
        <v>10.677</v>
      </c>
      <c r="J3">
        <f>IFERROR(__xludf.DUMMYFUNCTION("""COMPUTED_VALUE"""),12.881)</f>
        <v>12.881</v>
      </c>
      <c r="K3">
        <f>IFERROR(__xludf.DUMMYFUNCTION("""COMPUTED_VALUE"""),12.044)</f>
        <v>12.044</v>
      </c>
    </row>
    <row r="4">
      <c r="A4" t="str">
        <f>IFERROR(__xludf.DUMMYFUNCTION("""COMPUTED_VALUE"""),"Algérie")</f>
        <v>Algérie</v>
      </c>
      <c r="B4">
        <f>IFERROR(__xludf.DUMMYFUNCTION("""COMPUTED_VALUE"""),54.749)</f>
        <v>54.749</v>
      </c>
      <c r="C4">
        <f>IFERROR(__xludf.DUMMYFUNCTION("""COMPUTED_VALUE"""),54.745)</f>
        <v>54.745</v>
      </c>
      <c r="D4">
        <f>IFERROR(__xludf.DUMMYFUNCTION("""COMPUTED_VALUE"""),56.761)</f>
        <v>56.761</v>
      </c>
      <c r="E4">
        <f>IFERROR(__xludf.DUMMYFUNCTION("""COMPUTED_VALUE"""),67.864)</f>
        <v>67.864</v>
      </c>
      <c r="F4">
        <f>IFERROR(__xludf.DUMMYFUNCTION("""COMPUTED_VALUE"""),85.332)</f>
        <v>85.332</v>
      </c>
      <c r="G4">
        <f>IFERROR(__xludf.DUMMYFUNCTION("""COMPUTED_VALUE"""),103.198)</f>
        <v>103.198</v>
      </c>
      <c r="H4">
        <f>IFERROR(__xludf.DUMMYFUNCTION("""COMPUTED_VALUE"""),117.027)</f>
        <v>117.027</v>
      </c>
      <c r="I4">
        <f>IFERROR(__xludf.DUMMYFUNCTION("""COMPUTED_VALUE"""),134.977)</f>
        <v>134.977</v>
      </c>
      <c r="J4">
        <f>IFERROR(__xludf.DUMMYFUNCTION("""COMPUTED_VALUE"""),171.001)</f>
        <v>171.001</v>
      </c>
      <c r="K4">
        <f>IFERROR(__xludf.DUMMYFUNCTION("""COMPUTED_VALUE"""),137.211)</f>
        <v>137.211</v>
      </c>
    </row>
    <row r="5">
      <c r="A5" t="str">
        <f>IFERROR(__xludf.DUMMYFUNCTION("""COMPUTED_VALUE"""),"Andorre")</f>
        <v>Andorre</v>
      </c>
      <c r="B5">
        <f>IFERROR(__xludf.DUMMYFUNCTION("""COMPUTED_VALUE"""),1.429)</f>
        <v>1.429</v>
      </c>
      <c r="C5">
        <f>IFERROR(__xludf.DUMMYFUNCTION("""COMPUTED_VALUE"""),1.547)</f>
        <v>1.547</v>
      </c>
      <c r="D5">
        <f>IFERROR(__xludf.DUMMYFUNCTION("""COMPUTED_VALUE"""),1.758)</f>
        <v>1.758</v>
      </c>
      <c r="E5">
        <f>IFERROR(__xludf.DUMMYFUNCTION("""COMPUTED_VALUE"""),2.362)</f>
        <v>2.362</v>
      </c>
      <c r="F5">
        <f>IFERROR(__xludf.DUMMYFUNCTION("""COMPUTED_VALUE"""),2.896)</f>
        <v>2.896</v>
      </c>
      <c r="G5">
        <f>IFERROR(__xludf.DUMMYFUNCTION("""COMPUTED_VALUE"""),3.158)</f>
        <v>3.158</v>
      </c>
      <c r="H5">
        <f>IFERROR(__xludf.DUMMYFUNCTION("""COMPUTED_VALUE"""),3.456)</f>
        <v>3.456</v>
      </c>
      <c r="I5">
        <f>IFERROR(__xludf.DUMMYFUNCTION("""COMPUTED_VALUE"""),3.952)</f>
        <v>3.952</v>
      </c>
      <c r="J5">
        <f>IFERROR(__xludf.DUMMYFUNCTION("""COMPUTED_VALUE"""),4.082)</f>
        <v>4.082</v>
      </c>
      <c r="K5">
        <f>IFERROR(__xludf.DUMMYFUNCTION("""COMPUTED_VALUE"""),3.675)</f>
        <v>3.675</v>
      </c>
    </row>
    <row r="6">
      <c r="A6" t="str">
        <f>IFERROR(__xludf.DUMMYFUNCTION("""COMPUTED_VALUE"""),"Angola")</f>
        <v>Angola</v>
      </c>
      <c r="B6">
        <f>IFERROR(__xludf.DUMMYFUNCTION("""COMPUTED_VALUE"""),11.166)</f>
        <v>11.166</v>
      </c>
      <c r="C6">
        <f>IFERROR(__xludf.DUMMYFUNCTION("""COMPUTED_VALUE"""),10.93)</f>
        <v>10.93</v>
      </c>
      <c r="D6">
        <f>IFERROR(__xludf.DUMMYFUNCTION("""COMPUTED_VALUE"""),15.286)</f>
        <v>15.286</v>
      </c>
      <c r="E6">
        <f>IFERROR(__xludf.DUMMYFUNCTION("""COMPUTED_VALUE"""),17.813)</f>
        <v>17.813</v>
      </c>
      <c r="F6">
        <f>IFERROR(__xludf.DUMMYFUNCTION("""COMPUTED_VALUE"""),23.552)</f>
        <v>23.552</v>
      </c>
      <c r="G6">
        <f>IFERROR(__xludf.DUMMYFUNCTION("""COMPUTED_VALUE"""),36.971)</f>
        <v>36.971</v>
      </c>
      <c r="H6">
        <f>IFERROR(__xludf.DUMMYFUNCTION("""COMPUTED_VALUE"""),52.381)</f>
        <v>52.381</v>
      </c>
      <c r="I6">
        <f>IFERROR(__xludf.DUMMYFUNCTION("""COMPUTED_VALUE"""),65.266)</f>
        <v>65.266</v>
      </c>
      <c r="J6">
        <f>IFERROR(__xludf.DUMMYFUNCTION("""COMPUTED_VALUE"""),88.539)</f>
        <v>88.539</v>
      </c>
      <c r="K6">
        <f>IFERROR(__xludf.DUMMYFUNCTION("""COMPUTED_VALUE"""),70.307)</f>
        <v>70.307</v>
      </c>
    </row>
    <row r="7">
      <c r="A7" t="str">
        <f>IFERROR(__xludf.DUMMYFUNCTION("""COMPUTED_VALUE"""),"Antigua-et-Barbuda")</f>
        <v>Antigua-et-Barbuda</v>
      </c>
      <c r="B7">
        <f>IFERROR(__xludf.DUMMYFUNCTION("""COMPUTED_VALUE"""),0.826)</f>
        <v>0.826</v>
      </c>
      <c r="C7">
        <f>IFERROR(__xludf.DUMMYFUNCTION("""COMPUTED_VALUE"""),0.8)</f>
        <v>0.8</v>
      </c>
      <c r="D7">
        <f>IFERROR(__xludf.DUMMYFUNCTION("""COMPUTED_VALUE"""),0.814)</f>
        <v>0.814</v>
      </c>
      <c r="E7">
        <f>IFERROR(__xludf.DUMMYFUNCTION("""COMPUTED_VALUE"""),0.856)</f>
        <v>0.856</v>
      </c>
      <c r="F7">
        <f>IFERROR(__xludf.DUMMYFUNCTION("""COMPUTED_VALUE"""),0.92)</f>
        <v>0.92</v>
      </c>
      <c r="G7">
        <f>IFERROR(__xludf.DUMMYFUNCTION("""COMPUTED_VALUE"""),1.023)</f>
        <v>1.023</v>
      </c>
      <c r="H7">
        <f>IFERROR(__xludf.DUMMYFUNCTION("""COMPUTED_VALUE"""),1.158)</f>
        <v>1.158</v>
      </c>
      <c r="I7">
        <f>IFERROR(__xludf.DUMMYFUNCTION("""COMPUTED_VALUE"""),1.313)</f>
        <v>1.313</v>
      </c>
      <c r="J7">
        <f>IFERROR(__xludf.DUMMYFUNCTION("""COMPUTED_VALUE"""),1.37)</f>
        <v>1.37</v>
      </c>
      <c r="K7">
        <f>IFERROR(__xludf.DUMMYFUNCTION("""COMPUTED_VALUE"""),1.228)</f>
        <v>1.228</v>
      </c>
    </row>
    <row r="8">
      <c r="A8" t="str">
        <f>IFERROR(__xludf.DUMMYFUNCTION("""COMPUTED_VALUE"""),"Argentine")</f>
        <v>Argentine</v>
      </c>
      <c r="B8">
        <f>IFERROR(__xludf.DUMMYFUNCTION("""COMPUTED_VALUE"""),317.759)</f>
        <v>317.759</v>
      </c>
      <c r="C8">
        <f>IFERROR(__xludf.DUMMYFUNCTION("""COMPUTED_VALUE"""),300.421)</f>
        <v>300.421</v>
      </c>
      <c r="D8">
        <f>IFERROR(__xludf.DUMMYFUNCTION("""COMPUTED_VALUE"""),112.458)</f>
        <v>112.458</v>
      </c>
      <c r="E8">
        <f>IFERROR(__xludf.DUMMYFUNCTION("""COMPUTED_VALUE"""),142.431)</f>
        <v>142.431</v>
      </c>
      <c r="F8">
        <f>IFERROR(__xludf.DUMMYFUNCTION("""COMPUTED_VALUE"""),164.911)</f>
        <v>164.911</v>
      </c>
      <c r="G8">
        <f>IFERROR(__xludf.DUMMYFUNCTION("""COMPUTED_VALUE"""),199.273)</f>
        <v>199.273</v>
      </c>
      <c r="H8">
        <f>IFERROR(__xludf.DUMMYFUNCTION("""COMPUTED_VALUE"""),232.892)</f>
        <v>232.892</v>
      </c>
      <c r="I8">
        <f>IFERROR(__xludf.DUMMYFUNCTION("""COMPUTED_VALUE"""),287.921)</f>
        <v>287.921</v>
      </c>
      <c r="J8">
        <f>IFERROR(__xludf.DUMMYFUNCTION("""COMPUTED_VALUE"""),363.545)</f>
        <v>363.545</v>
      </c>
      <c r="K8">
        <f>IFERROR(__xludf.DUMMYFUNCTION("""COMPUTED_VALUE"""),334.633)</f>
        <v>334.633</v>
      </c>
    </row>
    <row r="9">
      <c r="A9" t="str">
        <f>IFERROR(__xludf.DUMMYFUNCTION("""COMPUTED_VALUE"""),"Arménie")</f>
        <v>Arménie</v>
      </c>
      <c r="B9">
        <f>IFERROR(__xludf.DUMMYFUNCTION("""COMPUTED_VALUE"""),1.912)</f>
        <v>1.912</v>
      </c>
      <c r="C9">
        <f>IFERROR(__xludf.DUMMYFUNCTION("""COMPUTED_VALUE"""),2.118)</f>
        <v>2.118</v>
      </c>
      <c r="D9">
        <f>IFERROR(__xludf.DUMMYFUNCTION("""COMPUTED_VALUE"""),2.376)</f>
        <v>2.376</v>
      </c>
      <c r="E9">
        <f>IFERROR(__xludf.DUMMYFUNCTION("""COMPUTED_VALUE"""),2.807)</f>
        <v>2.807</v>
      </c>
      <c r="F9">
        <f>IFERROR(__xludf.DUMMYFUNCTION("""COMPUTED_VALUE"""),3.577)</f>
        <v>3.577</v>
      </c>
      <c r="G9">
        <f>IFERROR(__xludf.DUMMYFUNCTION("""COMPUTED_VALUE"""),4.9)</f>
        <v>4.9</v>
      </c>
      <c r="H9">
        <f>IFERROR(__xludf.DUMMYFUNCTION("""COMPUTED_VALUE"""),6.384)</f>
        <v>6.384</v>
      </c>
      <c r="I9">
        <f>IFERROR(__xludf.DUMMYFUNCTION("""COMPUTED_VALUE"""),9.206)</f>
        <v>9.206</v>
      </c>
      <c r="J9">
        <f>IFERROR(__xludf.DUMMYFUNCTION("""COMPUTED_VALUE"""),11.662)</f>
        <v>11.662</v>
      </c>
      <c r="K9">
        <f>IFERROR(__xludf.DUMMYFUNCTION("""COMPUTED_VALUE"""),8.648)</f>
        <v>8.648</v>
      </c>
    </row>
    <row r="10">
      <c r="A10" t="str">
        <f>IFERROR(__xludf.DUMMYFUNCTION("""COMPUTED_VALUE"""),"Aruba")</f>
        <v>Aruba</v>
      </c>
      <c r="B10">
        <f>IFERROR(__xludf.DUMMYFUNCTION("""COMPUTED_VALUE"""),1.873)</f>
        <v>1.873</v>
      </c>
      <c r="C10">
        <f>IFERROR(__xludf.DUMMYFUNCTION("""COMPUTED_VALUE"""),1.896)</f>
        <v>1.896</v>
      </c>
      <c r="D10">
        <f>IFERROR(__xludf.DUMMYFUNCTION("""COMPUTED_VALUE"""),1.962)</f>
        <v>1.962</v>
      </c>
      <c r="E10">
        <f>IFERROR(__xludf.DUMMYFUNCTION("""COMPUTED_VALUE"""),2.044)</f>
        <v>2.044</v>
      </c>
      <c r="F10">
        <f>IFERROR(__xludf.DUMMYFUNCTION("""COMPUTED_VALUE"""),2.255)</f>
        <v>2.255</v>
      </c>
      <c r="G10">
        <f>IFERROR(__xludf.DUMMYFUNCTION("""COMPUTED_VALUE"""),2.36)</f>
        <v>2.36</v>
      </c>
      <c r="H10">
        <f>IFERROR(__xludf.DUMMYFUNCTION("""COMPUTED_VALUE"""),2.47)</f>
        <v>2.47</v>
      </c>
      <c r="I10">
        <f>IFERROR(__xludf.DUMMYFUNCTION("""COMPUTED_VALUE"""),2.678)</f>
        <v>2.678</v>
      </c>
      <c r="J10">
        <f>IFERROR(__xludf.DUMMYFUNCTION("""COMPUTED_VALUE"""),2.843)</f>
        <v>2.843</v>
      </c>
      <c r="K10">
        <f>IFERROR(__xludf.DUMMYFUNCTION("""COMPUTED_VALUE"""),2.554)</f>
        <v>2.554</v>
      </c>
    </row>
    <row r="11">
      <c r="A11" t="str">
        <f>IFERROR(__xludf.DUMMYFUNCTION("""COMPUTED_VALUE"""),"Australie")</f>
        <v>Australie</v>
      </c>
      <c r="B11">
        <f>IFERROR(__xludf.DUMMYFUNCTION("""COMPUTED_VALUE"""),399.959)</f>
        <v>399.959</v>
      </c>
      <c r="C11">
        <f>IFERROR(__xludf.DUMMYFUNCTION("""COMPUTED_VALUE"""),377.778)</f>
        <v>377.778</v>
      </c>
      <c r="D11">
        <f>IFERROR(__xludf.DUMMYFUNCTION("""COMPUTED_VALUE"""),425.285)</f>
        <v>425.285</v>
      </c>
      <c r="E11">
        <f>IFERROR(__xludf.DUMMYFUNCTION("""COMPUTED_VALUE"""),541.06)</f>
        <v>541.06</v>
      </c>
      <c r="F11">
        <f>IFERROR(__xludf.DUMMYFUNCTION("""COMPUTED_VALUE"""),658.568)</f>
        <v>658.568</v>
      </c>
      <c r="G11">
        <f>IFERROR(__xludf.DUMMYFUNCTION("""COMPUTED_VALUE"""),735.936)</f>
        <v>735.936</v>
      </c>
      <c r="H11">
        <f>IFERROR(__xludf.DUMMYFUNCTION("""COMPUTED_VALUE"""),782.794)</f>
        <v>782.794</v>
      </c>
      <c r="I11">
        <f>IFERROR(__xludf.DUMMYFUNCTION("""COMPUTED_VALUE"""),949.528)</f>
        <v>949.528</v>
      </c>
      <c r="J11">
        <f>IFERROR(__xludf.DUMMYFUNCTION("""COMPUTED_VALUE"""),1056.477)</f>
        <v>1056.477</v>
      </c>
      <c r="K11">
        <f>IFERROR(__xludf.DUMMYFUNCTION("""COMPUTED_VALUE"""),1000.798)</f>
        <v>1000.798</v>
      </c>
    </row>
    <row r="12">
      <c r="A12" t="str">
        <f>IFERROR(__xludf.DUMMYFUNCTION("""COMPUTED_VALUE"""),"Autriche")</f>
        <v>Autriche</v>
      </c>
      <c r="B12">
        <f>IFERROR(__xludf.DUMMYFUNCTION("""COMPUTED_VALUE"""),197.377)</f>
        <v>197.377</v>
      </c>
      <c r="C12">
        <f>IFERROR(__xludf.DUMMYFUNCTION("""COMPUTED_VALUE"""),197.51)</f>
        <v>197.51</v>
      </c>
      <c r="D12">
        <f>IFERROR(__xludf.DUMMYFUNCTION("""COMPUTED_VALUE"""),214.243)</f>
        <v>214.243</v>
      </c>
      <c r="E12">
        <f>IFERROR(__xludf.DUMMYFUNCTION("""COMPUTED_VALUE"""),262.208)</f>
        <v>262.208</v>
      </c>
      <c r="F12">
        <f>IFERROR(__xludf.DUMMYFUNCTION("""COMPUTED_VALUE"""),301.321)</f>
        <v>301.321</v>
      </c>
      <c r="G12">
        <f>IFERROR(__xludf.DUMMYFUNCTION("""COMPUTED_VALUE"""),316.267)</f>
        <v>316.267</v>
      </c>
      <c r="H12">
        <f>IFERROR(__xludf.DUMMYFUNCTION("""COMPUTED_VALUE"""),336.298)</f>
        <v>336.298</v>
      </c>
      <c r="I12">
        <f>IFERROR(__xludf.DUMMYFUNCTION("""COMPUTED_VALUE"""),389.231)</f>
        <v>389.231</v>
      </c>
      <c r="J12">
        <f>IFERROR(__xludf.DUMMYFUNCTION("""COMPUTED_VALUE"""),432.005)</f>
        <v>432.005</v>
      </c>
      <c r="K12">
        <f>IFERROR(__xludf.DUMMYFUNCTION("""COMPUTED_VALUE"""),401.323)</f>
        <v>401.323</v>
      </c>
    </row>
    <row r="13">
      <c r="A13" t="str">
        <f>IFERROR(__xludf.DUMMYFUNCTION("""COMPUTED_VALUE"""),"Azerbaïdjan")</f>
        <v>Azerbaïdjan</v>
      </c>
      <c r="B13">
        <f>IFERROR(__xludf.DUMMYFUNCTION("""COMPUTED_VALUE"""),5.273)</f>
        <v>5.273</v>
      </c>
      <c r="C13">
        <f>IFERROR(__xludf.DUMMYFUNCTION("""COMPUTED_VALUE"""),5.475)</f>
        <v>5.475</v>
      </c>
      <c r="D13">
        <f>IFERROR(__xludf.DUMMYFUNCTION("""COMPUTED_VALUE"""),6.232)</f>
        <v>6.232</v>
      </c>
      <c r="E13">
        <f>IFERROR(__xludf.DUMMYFUNCTION("""COMPUTED_VALUE"""),7.276)</f>
        <v>7.276</v>
      </c>
      <c r="F13">
        <f>IFERROR(__xludf.DUMMYFUNCTION("""COMPUTED_VALUE"""),8.682)</f>
        <v>8.682</v>
      </c>
      <c r="G13">
        <f>IFERROR(__xludf.DUMMYFUNCTION("""COMPUTED_VALUE"""),13.273)</f>
        <v>13.273</v>
      </c>
      <c r="H13">
        <f>IFERROR(__xludf.DUMMYFUNCTION("""COMPUTED_VALUE"""),21.027)</f>
        <v>21.027</v>
      </c>
      <c r="I13">
        <f>IFERROR(__xludf.DUMMYFUNCTION("""COMPUTED_VALUE"""),33.09)</f>
        <v>33.09</v>
      </c>
      <c r="J13">
        <f>IFERROR(__xludf.DUMMYFUNCTION("""COMPUTED_VALUE"""),48.979)</f>
        <v>48.979</v>
      </c>
      <c r="K13">
        <f>IFERROR(__xludf.DUMMYFUNCTION("""COMPUTED_VALUE"""),44.289)</f>
        <v>44.289</v>
      </c>
    </row>
    <row r="14">
      <c r="A14" t="str">
        <f>IFERROR(__xludf.DUMMYFUNCTION("""COMPUTED_VALUE"""),"Bahamas")</f>
        <v>Bahamas</v>
      </c>
      <c r="B14">
        <f>IFERROR(__xludf.DUMMYFUNCTION("""COMPUTED_VALUE"""),8.076)</f>
        <v>8.076</v>
      </c>
      <c r="C14">
        <f>IFERROR(__xludf.DUMMYFUNCTION("""COMPUTED_VALUE"""),8.318)</f>
        <v>8.318</v>
      </c>
      <c r="D14">
        <f>IFERROR(__xludf.DUMMYFUNCTION("""COMPUTED_VALUE"""),8.881)</f>
        <v>8.881</v>
      </c>
      <c r="E14">
        <f>IFERROR(__xludf.DUMMYFUNCTION("""COMPUTED_VALUE"""),8.87)</f>
        <v>8.87</v>
      </c>
      <c r="F14">
        <f>IFERROR(__xludf.DUMMYFUNCTION("""COMPUTED_VALUE"""),9.055)</f>
        <v>9.055</v>
      </c>
      <c r="G14">
        <f>IFERROR(__xludf.DUMMYFUNCTION("""COMPUTED_VALUE"""),9.836)</f>
        <v>9.836</v>
      </c>
      <c r="H14">
        <f>IFERROR(__xludf.DUMMYFUNCTION("""COMPUTED_VALUE"""),10.167)</f>
        <v>10.167</v>
      </c>
      <c r="I14">
        <f>IFERROR(__xludf.DUMMYFUNCTION("""COMPUTED_VALUE"""),10.618)</f>
        <v>10.618</v>
      </c>
      <c r="J14">
        <f>IFERROR(__xludf.DUMMYFUNCTION("""COMPUTED_VALUE"""),10.526)</f>
        <v>10.526</v>
      </c>
      <c r="K14">
        <f>IFERROR(__xludf.DUMMYFUNCTION("""COMPUTED_VALUE"""),9.982)</f>
        <v>9.982</v>
      </c>
    </row>
    <row r="15">
      <c r="A15" t="str">
        <f>IFERROR(__xludf.DUMMYFUNCTION("""COMPUTED_VALUE"""),"Bahreïn")</f>
        <v>Bahreïn</v>
      </c>
      <c r="B15">
        <f>IFERROR(__xludf.DUMMYFUNCTION("""COMPUTED_VALUE"""),9.063)</f>
        <v>9.063</v>
      </c>
      <c r="C15">
        <f>IFERROR(__xludf.DUMMYFUNCTION("""COMPUTED_VALUE"""),9.189)</f>
        <v>9.189</v>
      </c>
      <c r="D15">
        <f>IFERROR(__xludf.DUMMYFUNCTION("""COMPUTED_VALUE"""),9.594)</f>
        <v>9.594</v>
      </c>
      <c r="E15">
        <f>IFERROR(__xludf.DUMMYFUNCTION("""COMPUTED_VALUE"""),11.075)</f>
        <v>11.075</v>
      </c>
      <c r="F15">
        <f>IFERROR(__xludf.DUMMYFUNCTION("""COMPUTED_VALUE"""),13.15)</f>
        <v>13.15</v>
      </c>
      <c r="G15">
        <f>IFERROR(__xludf.DUMMYFUNCTION("""COMPUTED_VALUE"""),15.969)</f>
        <v>15.969</v>
      </c>
      <c r="H15">
        <f>IFERROR(__xludf.DUMMYFUNCTION("""COMPUTED_VALUE"""),18.505)</f>
        <v>18.505</v>
      </c>
      <c r="I15">
        <f>IFERROR(__xludf.DUMMYFUNCTION("""COMPUTED_VALUE"""),21.73)</f>
        <v>21.73</v>
      </c>
      <c r="J15">
        <f>IFERROR(__xludf.DUMMYFUNCTION("""COMPUTED_VALUE"""),25.711)</f>
        <v>25.711</v>
      </c>
      <c r="K15">
        <f>IFERROR(__xludf.DUMMYFUNCTION("""COMPUTED_VALUE"""),22.938)</f>
        <v>22.938</v>
      </c>
    </row>
    <row r="16">
      <c r="A16" t="str">
        <f>IFERROR(__xludf.DUMMYFUNCTION("""COMPUTED_VALUE"""),"Bangladesh")</f>
        <v>Bangladesh</v>
      </c>
      <c r="B16">
        <f>IFERROR(__xludf.DUMMYFUNCTION("""COMPUTED_VALUE"""),63.549)</f>
        <v>63.549</v>
      </c>
      <c r="C16">
        <f>IFERROR(__xludf.DUMMYFUNCTION("""COMPUTED_VALUE"""),64.66)</f>
        <v>64.66</v>
      </c>
      <c r="D16">
        <f>IFERROR(__xludf.DUMMYFUNCTION("""COMPUTED_VALUE"""),66.227)</f>
        <v>66.227</v>
      </c>
      <c r="E16">
        <f>IFERROR(__xludf.DUMMYFUNCTION("""COMPUTED_VALUE"""),71.917)</f>
        <v>71.917</v>
      </c>
      <c r="F16">
        <f>IFERROR(__xludf.DUMMYFUNCTION("""COMPUTED_VALUE"""),78.046)</f>
        <v>78.046</v>
      </c>
      <c r="G16">
        <f>IFERROR(__xludf.DUMMYFUNCTION("""COMPUTED_VALUE"""),82.622)</f>
        <v>82.622</v>
      </c>
      <c r="H16">
        <f>IFERROR(__xludf.DUMMYFUNCTION("""COMPUTED_VALUE"""),86.028)</f>
        <v>86.028</v>
      </c>
      <c r="I16">
        <f>IFERROR(__xludf.DUMMYFUNCTION("""COMPUTED_VALUE"""),95.374)</f>
        <v>95.374</v>
      </c>
      <c r="J16">
        <f>IFERROR(__xludf.DUMMYFUNCTION("""COMPUTED_VALUE"""),109.765)</f>
        <v>109.765</v>
      </c>
      <c r="K16">
        <f>IFERROR(__xludf.DUMMYFUNCTION("""COMPUTED_VALUE"""),122.76)</f>
        <v>122.76</v>
      </c>
    </row>
    <row r="17">
      <c r="A17" t="str">
        <f>IFERROR(__xludf.DUMMYFUNCTION("""COMPUTED_VALUE"""),"Barbade")</f>
        <v>Barbade</v>
      </c>
      <c r="B17">
        <f>IFERROR(__xludf.DUMMYFUNCTION("""COMPUTED_VALUE"""),3.059)</f>
        <v>3.059</v>
      </c>
      <c r="C17">
        <f>IFERROR(__xludf.DUMMYFUNCTION("""COMPUTED_VALUE"""),3.055)</f>
        <v>3.055</v>
      </c>
      <c r="D17">
        <f>IFERROR(__xludf.DUMMYFUNCTION("""COMPUTED_VALUE"""),3.106)</f>
        <v>3.106</v>
      </c>
      <c r="E17">
        <f>IFERROR(__xludf.DUMMYFUNCTION("""COMPUTED_VALUE"""),3.21)</f>
        <v>3.21</v>
      </c>
      <c r="F17">
        <f>IFERROR(__xludf.DUMMYFUNCTION("""COMPUTED_VALUE"""),3.444)</f>
        <v>3.444</v>
      </c>
      <c r="G17">
        <f>IFERROR(__xludf.DUMMYFUNCTION("""COMPUTED_VALUE"""),3.82)</f>
        <v>3.82</v>
      </c>
      <c r="H17">
        <f>IFERROR(__xludf.DUMMYFUNCTION("""COMPUTED_VALUE"""),4.217)</f>
        <v>4.217</v>
      </c>
      <c r="I17">
        <f>IFERROR(__xludf.DUMMYFUNCTION("""COMPUTED_VALUE"""),4.674)</f>
        <v>4.674</v>
      </c>
      <c r="J17">
        <f>IFERROR(__xludf.DUMMYFUNCTION("""COMPUTED_VALUE"""),4.785)</f>
        <v>4.785</v>
      </c>
      <c r="K17">
        <f>IFERROR(__xludf.DUMMYFUNCTION("""COMPUTED_VALUE"""),4.466)</f>
        <v>4.466</v>
      </c>
    </row>
    <row r="18">
      <c r="A18" t="str">
        <f>IFERROR(__xludf.DUMMYFUNCTION("""COMPUTED_VALUE"""),"Biélorussie")</f>
        <v>Biélorussie</v>
      </c>
      <c r="B18">
        <f>IFERROR(__xludf.DUMMYFUNCTION("""COMPUTED_VALUE"""),10.785)</f>
        <v>10.785</v>
      </c>
      <c r="C18">
        <f>IFERROR(__xludf.DUMMYFUNCTION("""COMPUTED_VALUE"""),12.778)</f>
        <v>12.778</v>
      </c>
      <c r="D18">
        <f>IFERROR(__xludf.DUMMYFUNCTION("""COMPUTED_VALUE"""),15.092)</f>
        <v>15.092</v>
      </c>
      <c r="E18">
        <f>IFERROR(__xludf.DUMMYFUNCTION("""COMPUTED_VALUE"""),18.42)</f>
        <v>18.42</v>
      </c>
      <c r="F18">
        <f>IFERROR(__xludf.DUMMYFUNCTION("""COMPUTED_VALUE"""),23.928)</f>
        <v>23.928</v>
      </c>
      <c r="G18">
        <f>IFERROR(__xludf.DUMMYFUNCTION("""COMPUTED_VALUE"""),31.239)</f>
        <v>31.239</v>
      </c>
      <c r="H18">
        <f>IFERROR(__xludf.DUMMYFUNCTION("""COMPUTED_VALUE"""),38.219)</f>
        <v>38.219</v>
      </c>
      <c r="I18">
        <f>IFERROR(__xludf.DUMMYFUNCTION("""COMPUTED_VALUE"""),46.815)</f>
        <v>46.815</v>
      </c>
      <c r="J18">
        <f>IFERROR(__xludf.DUMMYFUNCTION("""COMPUTED_VALUE"""),62.798)</f>
        <v>62.798</v>
      </c>
      <c r="K18">
        <f>IFERROR(__xludf.DUMMYFUNCTION("""COMPUTED_VALUE"""),50.855)</f>
        <v>50.855</v>
      </c>
    </row>
    <row r="19">
      <c r="A19" t="str">
        <f>IFERROR(__xludf.DUMMYFUNCTION("""COMPUTED_VALUE"""),"Belgique")</f>
        <v>Belgique</v>
      </c>
      <c r="B19">
        <f>IFERROR(__xludf.DUMMYFUNCTION("""COMPUTED_VALUE"""),236.897)</f>
        <v>236.897</v>
      </c>
      <c r="C19">
        <f>IFERROR(__xludf.DUMMYFUNCTION("""COMPUTED_VALUE"""),236.748)</f>
        <v>236.748</v>
      </c>
      <c r="D19">
        <f>IFERROR(__xludf.DUMMYFUNCTION("""COMPUTED_VALUE"""),258.2)</f>
        <v>258.2</v>
      </c>
      <c r="E19">
        <f>IFERROR(__xludf.DUMMYFUNCTION("""COMPUTED_VALUE"""),318.004)</f>
        <v>318.004</v>
      </c>
      <c r="F19">
        <f>IFERROR(__xludf.DUMMYFUNCTION("""COMPUTED_VALUE"""),369.047)</f>
        <v>369.047</v>
      </c>
      <c r="G19">
        <f>IFERROR(__xludf.DUMMYFUNCTION("""COMPUTED_VALUE"""),385.927)</f>
        <v>385.927</v>
      </c>
      <c r="H19">
        <f>IFERROR(__xludf.DUMMYFUNCTION("""COMPUTED_VALUE"""),408.281)</f>
        <v>408.281</v>
      </c>
      <c r="I19">
        <f>IFERROR(__xludf.DUMMYFUNCTION("""COMPUTED_VALUE"""),470.978)</f>
        <v>470.978</v>
      </c>
      <c r="J19">
        <f>IFERROR(__xludf.DUMMYFUNCTION("""COMPUTED_VALUE"""),517.27)</f>
        <v>517.27</v>
      </c>
      <c r="K19">
        <f>IFERROR(__xludf.DUMMYFUNCTION("""COMPUTED_VALUE"""),482.73)</f>
        <v>482.73</v>
      </c>
    </row>
    <row r="20">
      <c r="A20" t="str">
        <f>IFERROR(__xludf.DUMMYFUNCTION("""COMPUTED_VALUE"""),"Belize")</f>
        <v>Belize</v>
      </c>
      <c r="B20">
        <f>IFERROR(__xludf.DUMMYFUNCTION("""COMPUTED_VALUE"""),1.116)</f>
        <v>1.116</v>
      </c>
      <c r="C20">
        <f>IFERROR(__xludf.DUMMYFUNCTION("""COMPUTED_VALUE"""),1.163)</f>
        <v>1.163</v>
      </c>
      <c r="D20">
        <f>IFERROR(__xludf.DUMMYFUNCTION("""COMPUTED_VALUE"""),1.233)</f>
        <v>1.233</v>
      </c>
      <c r="E20">
        <f>IFERROR(__xludf.DUMMYFUNCTION("""COMPUTED_VALUE"""),1.298)</f>
        <v>1.298</v>
      </c>
      <c r="F20">
        <f>IFERROR(__xludf.DUMMYFUNCTION("""COMPUTED_VALUE"""),1.39)</f>
        <v>1.39</v>
      </c>
      <c r="G20">
        <f>IFERROR(__xludf.DUMMYFUNCTION("""COMPUTED_VALUE"""),1.462)</f>
        <v>1.462</v>
      </c>
      <c r="H20">
        <f>IFERROR(__xludf.DUMMYFUNCTION("""COMPUTED_VALUE"""),1.581)</f>
        <v>1.581</v>
      </c>
      <c r="I20">
        <f>IFERROR(__xludf.DUMMYFUNCTION("""COMPUTED_VALUE"""),1.696)</f>
        <v>1.696</v>
      </c>
      <c r="J20">
        <f>IFERROR(__xludf.DUMMYFUNCTION("""COMPUTED_VALUE"""),1.729)</f>
        <v>1.729</v>
      </c>
      <c r="K20">
        <f>IFERROR(__xludf.DUMMYFUNCTION("""COMPUTED_VALUE"""),1.681)</f>
        <v>1.681</v>
      </c>
    </row>
    <row r="21">
      <c r="A21" t="str">
        <f>IFERROR(__xludf.DUMMYFUNCTION("""COMPUTED_VALUE"""),"Bénin")</f>
        <v>Bénin</v>
      </c>
      <c r="B21">
        <f>IFERROR(__xludf.DUMMYFUNCTION("""COMPUTED_VALUE"""),3.522)</f>
        <v>3.522</v>
      </c>
      <c r="C21">
        <f>IFERROR(__xludf.DUMMYFUNCTION("""COMPUTED_VALUE"""),3.666)</f>
        <v>3.666</v>
      </c>
      <c r="D21">
        <f>IFERROR(__xludf.DUMMYFUNCTION("""COMPUTED_VALUE"""),4.191)</f>
        <v>4.191</v>
      </c>
      <c r="E21">
        <f>IFERROR(__xludf.DUMMYFUNCTION("""COMPUTED_VALUE"""),5.348)</f>
        <v>5.348</v>
      </c>
      <c r="F21">
        <f>IFERROR(__xludf.DUMMYFUNCTION("""COMPUTED_VALUE"""),6.187)</f>
        <v>6.187</v>
      </c>
      <c r="G21">
        <f>IFERROR(__xludf.DUMMYFUNCTION("""COMPUTED_VALUE"""),6.571)</f>
        <v>6.571</v>
      </c>
      <c r="H21">
        <f>IFERROR(__xludf.DUMMYFUNCTION("""COMPUTED_VALUE"""),7.034)</f>
        <v>7.034</v>
      </c>
      <c r="I21">
        <f>IFERROR(__xludf.DUMMYFUNCTION("""COMPUTED_VALUE"""),8.17)</f>
        <v>8.17</v>
      </c>
      <c r="J21">
        <f>IFERROR(__xludf.DUMMYFUNCTION("""COMPUTED_VALUE"""),9.787)</f>
        <v>9.787</v>
      </c>
      <c r="K21">
        <f>IFERROR(__xludf.DUMMYFUNCTION("""COMPUTED_VALUE"""),9.728)</f>
        <v>9.728</v>
      </c>
    </row>
    <row r="22">
      <c r="A22" t="str">
        <f>IFERROR(__xludf.DUMMYFUNCTION("""COMPUTED_VALUE"""),"Bhoutan")</f>
        <v>Bhoutan</v>
      </c>
      <c r="B22">
        <f>IFERROR(__xludf.DUMMYFUNCTION("""COMPUTED_VALUE"""),0.454)</f>
        <v>0.454</v>
      </c>
      <c r="C22">
        <f>IFERROR(__xludf.DUMMYFUNCTION("""COMPUTED_VALUE"""),0.474)</f>
        <v>0.474</v>
      </c>
      <c r="D22">
        <f>IFERROR(__xludf.DUMMYFUNCTION("""COMPUTED_VALUE"""),0.517)</f>
        <v>0.517</v>
      </c>
      <c r="E22">
        <f>IFERROR(__xludf.DUMMYFUNCTION("""COMPUTED_VALUE"""),0.616)</f>
        <v>0.616</v>
      </c>
      <c r="F22">
        <f>IFERROR(__xludf.DUMMYFUNCTION("""COMPUTED_VALUE"""),0.7)</f>
        <v>0.7</v>
      </c>
      <c r="G22">
        <f>IFERROR(__xludf.DUMMYFUNCTION("""COMPUTED_VALUE"""),0.818)</f>
        <v>0.818</v>
      </c>
      <c r="H22">
        <f>IFERROR(__xludf.DUMMYFUNCTION("""COMPUTED_VALUE"""),0.876)</f>
        <v>0.876</v>
      </c>
      <c r="I22">
        <f>IFERROR(__xludf.DUMMYFUNCTION("""COMPUTED_VALUE"""),1.071)</f>
        <v>1.071</v>
      </c>
      <c r="J22">
        <f>IFERROR(__xludf.DUMMYFUNCTION("""COMPUTED_VALUE"""),1.353)</f>
        <v>1.353</v>
      </c>
      <c r="K22">
        <f>IFERROR(__xludf.DUMMYFUNCTION("""COMPUTED_VALUE"""),1.274)</f>
        <v>1.274</v>
      </c>
    </row>
    <row r="23">
      <c r="A23" t="str">
        <f>IFERROR(__xludf.DUMMYFUNCTION("""COMPUTED_VALUE"""),"Bolivie")</f>
        <v>Bolivie</v>
      </c>
      <c r="B23">
        <f>IFERROR(__xludf.DUMMYFUNCTION("""COMPUTED_VALUE"""),8.385)</f>
        <v>8.385</v>
      </c>
      <c r="C23">
        <f>IFERROR(__xludf.DUMMYFUNCTION("""COMPUTED_VALUE"""),8.155)</f>
        <v>8.155</v>
      </c>
      <c r="D23">
        <f>IFERROR(__xludf.DUMMYFUNCTION("""COMPUTED_VALUE"""),7.917)</f>
        <v>7.917</v>
      </c>
      <c r="E23">
        <f>IFERROR(__xludf.DUMMYFUNCTION("""COMPUTED_VALUE"""),8.092)</f>
        <v>8.092</v>
      </c>
      <c r="F23">
        <f>IFERROR(__xludf.DUMMYFUNCTION("""COMPUTED_VALUE"""),8.785)</f>
        <v>8.785</v>
      </c>
      <c r="G23">
        <f>IFERROR(__xludf.DUMMYFUNCTION("""COMPUTED_VALUE"""),9.573)</f>
        <v>9.573</v>
      </c>
      <c r="H23">
        <f>IFERROR(__xludf.DUMMYFUNCTION("""COMPUTED_VALUE"""),11.52)</f>
        <v>11.52</v>
      </c>
      <c r="I23">
        <f>IFERROR(__xludf.DUMMYFUNCTION("""COMPUTED_VALUE"""),13.216)</f>
        <v>13.216</v>
      </c>
      <c r="J23">
        <f>IFERROR(__xludf.DUMMYFUNCTION("""COMPUTED_VALUE"""),16.792)</f>
        <v>16.792</v>
      </c>
      <c r="K23">
        <f>IFERROR(__xludf.DUMMYFUNCTION("""COMPUTED_VALUE"""),17.464)</f>
        <v>17.464</v>
      </c>
    </row>
    <row r="24">
      <c r="A24" t="str">
        <f>IFERROR(__xludf.DUMMYFUNCTION("""COMPUTED_VALUE"""),"Bosnie-Herzégovine")</f>
        <v>Bosnie-Herzégovine</v>
      </c>
      <c r="B24">
        <f>IFERROR(__xludf.DUMMYFUNCTION("""COMPUTED_VALUE"""),5.554)</f>
        <v>5.554</v>
      </c>
      <c r="C24">
        <f>IFERROR(__xludf.DUMMYFUNCTION("""COMPUTED_VALUE"""),5.784)</f>
        <v>5.784</v>
      </c>
      <c r="D24">
        <f>IFERROR(__xludf.DUMMYFUNCTION("""COMPUTED_VALUE"""),6.711)</f>
        <v>6.711</v>
      </c>
      <c r="E24">
        <f>IFERROR(__xludf.DUMMYFUNCTION("""COMPUTED_VALUE"""),8.477)</f>
        <v>8.477</v>
      </c>
      <c r="F24">
        <f>IFERROR(__xludf.DUMMYFUNCTION("""COMPUTED_VALUE"""),10.157)</f>
        <v>10.157</v>
      </c>
      <c r="G24">
        <f>IFERROR(__xludf.DUMMYFUNCTION("""COMPUTED_VALUE"""),10.935)</f>
        <v>10.935</v>
      </c>
      <c r="H24">
        <f>IFERROR(__xludf.DUMMYFUNCTION("""COMPUTED_VALUE"""),12.46)</f>
        <v>12.46</v>
      </c>
      <c r="I24">
        <f>IFERROR(__xludf.DUMMYFUNCTION("""COMPUTED_VALUE"""),15.323)</f>
        <v>15.323</v>
      </c>
      <c r="J24">
        <f>IFERROR(__xludf.DUMMYFUNCTION("""COMPUTED_VALUE"""),18.712)</f>
        <v>18.712</v>
      </c>
      <c r="K24">
        <f>IFERROR(__xludf.DUMMYFUNCTION("""COMPUTED_VALUE"""),17.601)</f>
        <v>17.601</v>
      </c>
    </row>
    <row r="25">
      <c r="A25" t="str">
        <f>IFERROR(__xludf.DUMMYFUNCTION("""COMPUTED_VALUE"""),"Botswana")</f>
        <v>Botswana</v>
      </c>
      <c r="B25">
        <f>IFERROR(__xludf.DUMMYFUNCTION("""COMPUTED_VALUE"""),5.682)</f>
        <v>5.682</v>
      </c>
      <c r="C25">
        <f>IFERROR(__xludf.DUMMYFUNCTION("""COMPUTED_VALUE"""),5.46)</f>
        <v>5.46</v>
      </c>
      <c r="D25">
        <f>IFERROR(__xludf.DUMMYFUNCTION("""COMPUTED_VALUE"""),5.395)</f>
        <v>5.395</v>
      </c>
      <c r="E25">
        <f>IFERROR(__xludf.DUMMYFUNCTION("""COMPUTED_VALUE"""),7.469)</f>
        <v>7.469</v>
      </c>
      <c r="F25">
        <f>IFERROR(__xludf.DUMMYFUNCTION("""COMPUTED_VALUE"""),8.819)</f>
        <v>8.819</v>
      </c>
      <c r="G25">
        <f>IFERROR(__xludf.DUMMYFUNCTION("""COMPUTED_VALUE"""),9.833)</f>
        <v>9.833</v>
      </c>
      <c r="H25">
        <f>IFERROR(__xludf.DUMMYFUNCTION("""COMPUTED_VALUE"""),9.919)</f>
        <v>9.919</v>
      </c>
      <c r="I25">
        <f>IFERROR(__xludf.DUMMYFUNCTION("""COMPUTED_VALUE"""),10.566)</f>
        <v>10.566</v>
      </c>
      <c r="J25">
        <f>IFERROR(__xludf.DUMMYFUNCTION("""COMPUTED_VALUE"""),10.731)</f>
        <v>10.731</v>
      </c>
      <c r="K25">
        <f>IFERROR(__xludf.DUMMYFUNCTION("""COMPUTED_VALUE"""),10.118)</f>
        <v>10.118</v>
      </c>
    </row>
    <row r="26">
      <c r="A26" t="str">
        <f>IFERROR(__xludf.DUMMYFUNCTION("""COMPUTED_VALUE"""),"Brésil")</f>
        <v>Brésil</v>
      </c>
      <c r="B26">
        <f>IFERROR(__xludf.DUMMYFUNCTION("""COMPUTED_VALUE"""),655.454)</f>
        <v>655.454</v>
      </c>
      <c r="C26">
        <f>IFERROR(__xludf.DUMMYFUNCTION("""COMPUTED_VALUE"""),559.982)</f>
        <v>559.982</v>
      </c>
      <c r="D26">
        <f>IFERROR(__xludf.DUMMYFUNCTION("""COMPUTED_VALUE"""),509.798)</f>
        <v>509.798</v>
      </c>
      <c r="E26">
        <f>IFERROR(__xludf.DUMMYFUNCTION("""COMPUTED_VALUE"""),558.232)</f>
        <v>558.232</v>
      </c>
      <c r="F26">
        <f>IFERROR(__xludf.DUMMYFUNCTION("""COMPUTED_VALUE"""),669.29)</f>
        <v>669.29</v>
      </c>
      <c r="G26">
        <f>IFERROR(__xludf.DUMMYFUNCTION("""COMPUTED_VALUE"""),891.633)</f>
        <v>891.633</v>
      </c>
      <c r="H26">
        <f>IFERROR(__xludf.DUMMYFUNCTION("""COMPUTED_VALUE"""),1107.628)</f>
        <v>1107.628</v>
      </c>
      <c r="I26">
        <f>IFERROR(__xludf.DUMMYFUNCTION("""COMPUTED_VALUE"""),1397.114)</f>
        <v>1397.114</v>
      </c>
      <c r="J26">
        <f>IFERROR(__xludf.DUMMYFUNCTION("""COMPUTED_VALUE"""),1695.855)</f>
        <v>1695.855</v>
      </c>
      <c r="K26">
        <f>IFERROR(__xludf.DUMMYFUNCTION("""COMPUTED_VALUE"""),1669.204)</f>
        <v>1669.204</v>
      </c>
    </row>
    <row r="27">
      <c r="A27" t="str">
        <f>IFERROR(__xludf.DUMMYFUNCTION("""COMPUTED_VALUE"""),"Brunei")</f>
        <v>Brunei</v>
      </c>
      <c r="B27">
        <f>IFERROR(__xludf.DUMMYFUNCTION("""COMPUTED_VALUE"""),6.65)</f>
        <v>6.65</v>
      </c>
      <c r="C27">
        <f>IFERROR(__xludf.DUMMYFUNCTION("""COMPUTED_VALUE"""),6.206)</f>
        <v>6.206</v>
      </c>
      <c r="D27">
        <f>IFERROR(__xludf.DUMMYFUNCTION("""COMPUTED_VALUE"""),6.475)</f>
        <v>6.475</v>
      </c>
      <c r="E27">
        <f>IFERROR(__xludf.DUMMYFUNCTION("""COMPUTED_VALUE"""),7.266)</f>
        <v>7.266</v>
      </c>
      <c r="F27">
        <f>IFERROR(__xludf.DUMMYFUNCTION("""COMPUTED_VALUE"""),8.723)</f>
        <v>8.723</v>
      </c>
      <c r="G27">
        <f>IFERROR(__xludf.DUMMYFUNCTION("""COMPUTED_VALUE"""),10.561)</f>
        <v>10.561</v>
      </c>
      <c r="H27">
        <f>IFERROR(__xludf.DUMMYFUNCTION("""COMPUTED_VALUE"""),12.71)</f>
        <v>12.71</v>
      </c>
      <c r="I27">
        <f>IFERROR(__xludf.DUMMYFUNCTION("""COMPUTED_VALUE"""),13.571)</f>
        <v>13.571</v>
      </c>
      <c r="J27">
        <f>IFERROR(__xludf.DUMMYFUNCTION("""COMPUTED_VALUE"""),15.949)</f>
        <v>15.949</v>
      </c>
      <c r="K27">
        <f>IFERROR(__xludf.DUMMYFUNCTION("""COMPUTED_VALUE"""),11.892)</f>
        <v>11.892</v>
      </c>
    </row>
    <row r="28">
      <c r="A28" t="str">
        <f>IFERROR(__xludf.DUMMYFUNCTION("""COMPUTED_VALUE"""),"Bulgarie")</f>
        <v>Bulgarie</v>
      </c>
      <c r="B28">
        <f>IFERROR(__xludf.DUMMYFUNCTION("""COMPUTED_VALUE"""),13.246)</f>
        <v>13.246</v>
      </c>
      <c r="C28">
        <f>IFERROR(__xludf.DUMMYFUNCTION("""COMPUTED_VALUE"""),14.183)</f>
        <v>14.183</v>
      </c>
      <c r="D28">
        <f>IFERROR(__xludf.DUMMYFUNCTION("""COMPUTED_VALUE"""),16.403)</f>
        <v>16.403</v>
      </c>
      <c r="E28">
        <f>IFERROR(__xludf.DUMMYFUNCTION("""COMPUTED_VALUE"""),21.146)</f>
        <v>21.146</v>
      </c>
      <c r="F28">
        <f>IFERROR(__xludf.DUMMYFUNCTION("""COMPUTED_VALUE"""),26.158)</f>
        <v>26.158</v>
      </c>
      <c r="G28">
        <f>IFERROR(__xludf.DUMMYFUNCTION("""COMPUTED_VALUE"""),29.868)</f>
        <v>29.868</v>
      </c>
      <c r="H28">
        <f>IFERROR(__xludf.DUMMYFUNCTION("""COMPUTED_VALUE"""),34.38)</f>
        <v>34.38</v>
      </c>
      <c r="I28">
        <f>IFERROR(__xludf.DUMMYFUNCTION("""COMPUTED_VALUE"""),44.432)</f>
        <v>44.432</v>
      </c>
      <c r="J28">
        <f>IFERROR(__xludf.DUMMYFUNCTION("""COMPUTED_VALUE"""),54.476)</f>
        <v>54.476</v>
      </c>
      <c r="K28">
        <f>IFERROR(__xludf.DUMMYFUNCTION("""COMPUTED_VALUE"""),52.024)</f>
        <v>52.024</v>
      </c>
    </row>
    <row r="29">
      <c r="A29" t="str">
        <f>IFERROR(__xludf.DUMMYFUNCTION("""COMPUTED_VALUE"""),"Burkina Faso")</f>
        <v>Burkina Faso</v>
      </c>
      <c r="B29">
        <f>IFERROR(__xludf.DUMMYFUNCTION("""COMPUTED_VALUE"""),2.961)</f>
        <v>2.961</v>
      </c>
      <c r="C29">
        <f>IFERROR(__xludf.DUMMYFUNCTION("""COMPUTED_VALUE"""),3.19)</f>
        <v>3.19</v>
      </c>
      <c r="D29">
        <f>IFERROR(__xludf.DUMMYFUNCTION("""COMPUTED_VALUE"""),3.62)</f>
        <v>3.62</v>
      </c>
      <c r="E29">
        <f>IFERROR(__xludf.DUMMYFUNCTION("""COMPUTED_VALUE"""),4.74)</f>
        <v>4.74</v>
      </c>
      <c r="F29">
        <f>IFERROR(__xludf.DUMMYFUNCTION("""COMPUTED_VALUE"""),5.449)</f>
        <v>5.449</v>
      </c>
      <c r="G29">
        <f>IFERROR(__xludf.DUMMYFUNCTION("""COMPUTED_VALUE"""),6.15)</f>
        <v>6.15</v>
      </c>
      <c r="H29">
        <f>IFERROR(__xludf.DUMMYFUNCTION("""COMPUTED_VALUE"""),6.548)</f>
        <v>6.548</v>
      </c>
      <c r="I29">
        <f>IFERROR(__xludf.DUMMYFUNCTION("""COMPUTED_VALUE"""),7.627)</f>
        <v>7.627</v>
      </c>
      <c r="J29">
        <f>IFERROR(__xludf.DUMMYFUNCTION("""COMPUTED_VALUE"""),9.45)</f>
        <v>9.45</v>
      </c>
      <c r="K29">
        <f>IFERROR(__xludf.DUMMYFUNCTION("""COMPUTED_VALUE"""),9.44)</f>
        <v>9.44</v>
      </c>
    </row>
    <row r="30">
      <c r="A30" t="str">
        <f>IFERROR(__xludf.DUMMYFUNCTION("""COMPUTED_VALUE"""),"Burundi")</f>
        <v>Burundi</v>
      </c>
      <c r="B30">
        <f>IFERROR(__xludf.DUMMYFUNCTION("""COMPUTED_VALUE"""),0.87)</f>
        <v>0.87</v>
      </c>
      <c r="C30">
        <f>IFERROR(__xludf.DUMMYFUNCTION("""COMPUTED_VALUE"""),0.877)</f>
        <v>0.877</v>
      </c>
      <c r="D30">
        <f>IFERROR(__xludf.DUMMYFUNCTION("""COMPUTED_VALUE"""),0.825)</f>
        <v>0.825</v>
      </c>
      <c r="E30">
        <f>IFERROR(__xludf.DUMMYFUNCTION("""COMPUTED_VALUE"""),0.785)</f>
        <v>0.785</v>
      </c>
      <c r="F30">
        <f>IFERROR(__xludf.DUMMYFUNCTION("""COMPUTED_VALUE"""),0.915)</f>
        <v>0.915</v>
      </c>
      <c r="G30">
        <f>IFERROR(__xludf.DUMMYFUNCTION("""COMPUTED_VALUE"""),1.117)</f>
        <v>1.117</v>
      </c>
      <c r="H30">
        <f>IFERROR(__xludf.DUMMYFUNCTION("""COMPUTED_VALUE"""),1.273)</f>
        <v>1.273</v>
      </c>
      <c r="I30">
        <f>IFERROR(__xludf.DUMMYFUNCTION("""COMPUTED_VALUE"""),1.356)</f>
        <v>1.356</v>
      </c>
      <c r="J30">
        <f>IFERROR(__xludf.DUMMYFUNCTION("""COMPUTED_VALUE"""),1.612)</f>
        <v>1.612</v>
      </c>
      <c r="K30">
        <f>IFERROR(__xludf.DUMMYFUNCTION("""COMPUTED_VALUE"""),1.775)</f>
        <v>1.775</v>
      </c>
    </row>
    <row r="31">
      <c r="A31" t="str">
        <f>IFERROR(__xludf.DUMMYFUNCTION("""COMPUTED_VALUE"""),"Cap-Vert")</f>
        <v>Cap-Vert</v>
      </c>
      <c r="B31">
        <f>IFERROR(__xludf.DUMMYFUNCTION("""COMPUTED_VALUE"""),0.609)</f>
        <v>0.609</v>
      </c>
      <c r="C31">
        <f>IFERROR(__xludf.DUMMYFUNCTION("""COMPUTED_VALUE"""),0.616)</f>
        <v>0.616</v>
      </c>
      <c r="D31">
        <f>IFERROR(__xludf.DUMMYFUNCTION("""COMPUTED_VALUE"""),0.679)</f>
        <v>0.679</v>
      </c>
      <c r="E31">
        <f>IFERROR(__xludf.DUMMYFUNCTION("""COMPUTED_VALUE"""),0.944)</f>
        <v>0.944</v>
      </c>
      <c r="F31">
        <f>IFERROR(__xludf.DUMMYFUNCTION("""COMPUTED_VALUE"""),1.074)</f>
        <v>1.074</v>
      </c>
      <c r="G31">
        <f>IFERROR(__xludf.DUMMYFUNCTION("""COMPUTED_VALUE"""),1.12)</f>
        <v>1.12</v>
      </c>
      <c r="H31">
        <f>IFERROR(__xludf.DUMMYFUNCTION("""COMPUTED_VALUE"""),1.261)</f>
        <v>1.261</v>
      </c>
      <c r="I31">
        <f>IFERROR(__xludf.DUMMYFUNCTION("""COMPUTED_VALUE"""),1.65)</f>
        <v>1.65</v>
      </c>
      <c r="J31">
        <f>IFERROR(__xludf.DUMMYFUNCTION("""COMPUTED_VALUE"""),1.96)</f>
        <v>1.96</v>
      </c>
      <c r="K31">
        <f>IFERROR(__xludf.DUMMYFUNCTION("""COMPUTED_VALUE"""),1.852)</f>
        <v>1.852</v>
      </c>
    </row>
    <row r="32">
      <c r="A32" t="str">
        <f>IFERROR(__xludf.DUMMYFUNCTION("""COMPUTED_VALUE"""),"Cambodge")</f>
        <v>Cambodge</v>
      </c>
      <c r="B32">
        <f>IFERROR(__xludf.DUMMYFUNCTION("""COMPUTED_VALUE"""),3.667)</f>
        <v>3.667</v>
      </c>
      <c r="C32">
        <f>IFERROR(__xludf.DUMMYFUNCTION("""COMPUTED_VALUE"""),3.992)</f>
        <v>3.992</v>
      </c>
      <c r="D32">
        <f>IFERROR(__xludf.DUMMYFUNCTION("""COMPUTED_VALUE"""),4.289)</f>
        <v>4.289</v>
      </c>
      <c r="E32">
        <f>IFERROR(__xludf.DUMMYFUNCTION("""COMPUTED_VALUE"""),4.665)</f>
        <v>4.665</v>
      </c>
      <c r="F32">
        <f>IFERROR(__xludf.DUMMYFUNCTION("""COMPUTED_VALUE"""),5.334)</f>
        <v>5.334</v>
      </c>
      <c r="G32">
        <f>IFERROR(__xludf.DUMMYFUNCTION("""COMPUTED_VALUE"""),6.286)</f>
        <v>6.286</v>
      </c>
      <c r="H32">
        <f>IFERROR(__xludf.DUMMYFUNCTION("""COMPUTED_VALUE"""),7.267)</f>
        <v>7.267</v>
      </c>
      <c r="I32">
        <f>IFERROR(__xludf.DUMMYFUNCTION("""COMPUTED_VALUE"""),8.63)</f>
        <v>8.63</v>
      </c>
      <c r="J32">
        <f>IFERROR(__xludf.DUMMYFUNCTION("""COMPUTED_VALUE"""),10.341)</f>
        <v>10.341</v>
      </c>
      <c r="K32">
        <f>IFERROR(__xludf.DUMMYFUNCTION("""COMPUTED_VALUE"""),10.391)</f>
        <v>10.391</v>
      </c>
    </row>
    <row r="33">
      <c r="A33" t="str">
        <f>IFERROR(__xludf.DUMMYFUNCTION("""COMPUTED_VALUE"""),"Cameroun")</f>
        <v>Cameroun</v>
      </c>
      <c r="B33">
        <f>IFERROR(__xludf.DUMMYFUNCTION("""COMPUTED_VALUE"""),10.245)</f>
        <v>10.245</v>
      </c>
      <c r="C33">
        <f>IFERROR(__xludf.DUMMYFUNCTION("""COMPUTED_VALUE"""),10.95)</f>
        <v>10.95</v>
      </c>
      <c r="D33">
        <f>IFERROR(__xludf.DUMMYFUNCTION("""COMPUTED_VALUE"""),12.369)</f>
        <v>12.369</v>
      </c>
      <c r="E33">
        <f>IFERROR(__xludf.DUMMYFUNCTION("""COMPUTED_VALUE"""),15.944)</f>
        <v>15.944</v>
      </c>
      <c r="F33">
        <f>IFERROR(__xludf.DUMMYFUNCTION("""COMPUTED_VALUE"""),18.803)</f>
        <v>18.803</v>
      </c>
      <c r="G33">
        <f>IFERROR(__xludf.DUMMYFUNCTION("""COMPUTED_VALUE"""),19.534)</f>
        <v>19.534</v>
      </c>
      <c r="H33">
        <f>IFERROR(__xludf.DUMMYFUNCTION("""COMPUTED_VALUE"""),20.912)</f>
        <v>20.912</v>
      </c>
      <c r="I33">
        <f>IFERROR(__xludf.DUMMYFUNCTION("""COMPUTED_VALUE"""),23.931)</f>
        <v>23.931</v>
      </c>
      <c r="J33">
        <f>IFERROR(__xludf.DUMMYFUNCTION("""COMPUTED_VALUE"""),27.712)</f>
        <v>27.712</v>
      </c>
      <c r="K33">
        <f>IFERROR(__xludf.DUMMYFUNCTION("""COMPUTED_VALUE"""),27.903)</f>
        <v>27.903</v>
      </c>
    </row>
    <row r="34">
      <c r="A34" t="str">
        <f>IFERROR(__xludf.DUMMYFUNCTION("""COMPUTED_VALUE"""),"Canada")</f>
        <v>Canada</v>
      </c>
      <c r="B34">
        <f>IFERROR(__xludf.DUMMYFUNCTION("""COMPUTED_VALUE"""),744.631)</f>
        <v>744.631</v>
      </c>
      <c r="C34">
        <f>IFERROR(__xludf.DUMMYFUNCTION("""COMPUTED_VALUE"""),738.968)</f>
        <v>738.968</v>
      </c>
      <c r="D34">
        <f>IFERROR(__xludf.DUMMYFUNCTION("""COMPUTED_VALUE"""),760.149)</f>
        <v>760.149</v>
      </c>
      <c r="E34">
        <f>IFERROR(__xludf.DUMMYFUNCTION("""COMPUTED_VALUE"""),895.599)</f>
        <v>895.599</v>
      </c>
      <c r="F34">
        <f>IFERROR(__xludf.DUMMYFUNCTION("""COMPUTED_VALUE"""),1026.473)</f>
        <v>1026.473</v>
      </c>
      <c r="G34">
        <f>IFERROR(__xludf.DUMMYFUNCTION("""COMPUTED_VALUE"""),1173.505)</f>
        <v>1173.505</v>
      </c>
      <c r="H34">
        <f>IFERROR(__xludf.DUMMYFUNCTION("""COMPUTED_VALUE"""),1319.356)</f>
        <v>1319.356</v>
      </c>
      <c r="I34">
        <f>IFERROR(__xludf.DUMMYFUNCTION("""COMPUTED_VALUE"""),1468.896)</f>
        <v>1468.896</v>
      </c>
      <c r="J34">
        <f>IFERROR(__xludf.DUMMYFUNCTION("""COMPUTED_VALUE"""),1552.864)</f>
        <v>1552.864</v>
      </c>
      <c r="K34">
        <f>IFERROR(__xludf.DUMMYFUNCTION("""COMPUTED_VALUE"""),1376.509)</f>
        <v>1376.509</v>
      </c>
    </row>
    <row r="35">
      <c r="A35" t="str">
        <f>IFERROR(__xludf.DUMMYFUNCTION("""COMPUTED_VALUE"""),"République centrafricaine")</f>
        <v>République centrafricaine</v>
      </c>
      <c r="B35">
        <f>IFERROR(__xludf.DUMMYFUNCTION("""COMPUTED_VALUE"""),0.868)</f>
        <v>0.868</v>
      </c>
      <c r="C35">
        <f>IFERROR(__xludf.DUMMYFUNCTION("""COMPUTED_VALUE"""),0.899)</f>
        <v>0.899</v>
      </c>
      <c r="D35">
        <f>IFERROR(__xludf.DUMMYFUNCTION("""COMPUTED_VALUE"""),0.983)</f>
        <v>0.983</v>
      </c>
      <c r="E35">
        <f>IFERROR(__xludf.DUMMYFUNCTION("""COMPUTED_VALUE"""),1.188)</f>
        <v>1.188</v>
      </c>
      <c r="F35">
        <f>IFERROR(__xludf.DUMMYFUNCTION("""COMPUTED_VALUE"""),1.31)</f>
        <v>1.31</v>
      </c>
      <c r="G35">
        <f>IFERROR(__xludf.DUMMYFUNCTION("""COMPUTED_VALUE"""),1.413)</f>
        <v>1.413</v>
      </c>
      <c r="H35">
        <f>IFERROR(__xludf.DUMMYFUNCTION("""COMPUTED_VALUE"""),1.538)</f>
        <v>1.538</v>
      </c>
      <c r="I35">
        <f>IFERROR(__xludf.DUMMYFUNCTION("""COMPUTED_VALUE"""),1.755)</f>
        <v>1.755</v>
      </c>
      <c r="J35">
        <f>IFERROR(__xludf.DUMMYFUNCTION("""COMPUTED_VALUE"""),2.033)</f>
        <v>2.033</v>
      </c>
      <c r="K35">
        <f>IFERROR(__xludf.DUMMYFUNCTION("""COMPUTED_VALUE"""),2.059)</f>
        <v>2.059</v>
      </c>
    </row>
    <row r="36">
      <c r="A36" t="str">
        <f>IFERROR(__xludf.DUMMYFUNCTION("""COMPUTED_VALUE"""),"Tchad")</f>
        <v>Tchad</v>
      </c>
      <c r="B36">
        <f>IFERROR(__xludf.DUMMYFUNCTION("""COMPUTED_VALUE"""),1.572)</f>
        <v>1.572</v>
      </c>
      <c r="C36">
        <f>IFERROR(__xludf.DUMMYFUNCTION("""COMPUTED_VALUE"""),1.936)</f>
        <v>1.936</v>
      </c>
      <c r="D36">
        <f>IFERROR(__xludf.DUMMYFUNCTION("""COMPUTED_VALUE"""),2.257)</f>
        <v>2.257</v>
      </c>
      <c r="E36">
        <f>IFERROR(__xludf.DUMMYFUNCTION("""COMPUTED_VALUE"""),3.102)</f>
        <v>3.102</v>
      </c>
      <c r="F36">
        <f>IFERROR(__xludf.DUMMYFUNCTION("""COMPUTED_VALUE"""),5.003)</f>
        <v>5.003</v>
      </c>
      <c r="G36">
        <f>IFERROR(__xludf.DUMMYFUNCTION("""COMPUTED_VALUE"""),6.676)</f>
        <v>6.676</v>
      </c>
      <c r="H36">
        <f>IFERROR(__xludf.DUMMYFUNCTION("""COMPUTED_VALUE"""),7.451)</f>
        <v>7.451</v>
      </c>
      <c r="I36">
        <f>IFERROR(__xludf.DUMMYFUNCTION("""COMPUTED_VALUE"""),8.687)</f>
        <v>8.687</v>
      </c>
      <c r="J36">
        <f>IFERROR(__xludf.DUMMYFUNCTION("""COMPUTED_VALUE"""),10.43)</f>
        <v>10.43</v>
      </c>
      <c r="K36">
        <f>IFERROR(__xludf.DUMMYFUNCTION("""COMPUTED_VALUE"""),9.315)</f>
        <v>9.315</v>
      </c>
    </row>
    <row r="37">
      <c r="A37" t="str">
        <f>IFERROR(__xludf.DUMMYFUNCTION("""COMPUTED_VALUE"""),"Chili")</f>
        <v>Chili</v>
      </c>
      <c r="B37">
        <f>IFERROR(__xludf.DUMMYFUNCTION("""COMPUTED_VALUE"""),78.25)</f>
        <v>78.25</v>
      </c>
      <c r="C37">
        <f>IFERROR(__xludf.DUMMYFUNCTION("""COMPUTED_VALUE"""),71.517)</f>
        <v>71.517</v>
      </c>
      <c r="D37">
        <f>IFERROR(__xludf.DUMMYFUNCTION("""COMPUTED_VALUE"""),70.295)</f>
        <v>70.295</v>
      </c>
      <c r="E37">
        <f>IFERROR(__xludf.DUMMYFUNCTION("""COMPUTED_VALUE"""),76.508)</f>
        <v>76.508</v>
      </c>
      <c r="F37">
        <f>IFERROR(__xludf.DUMMYFUNCTION("""COMPUTED_VALUE"""),99.079)</f>
        <v>99.079</v>
      </c>
      <c r="G37">
        <f>IFERROR(__xludf.DUMMYFUNCTION("""COMPUTED_VALUE"""),122.315)</f>
        <v>122.315</v>
      </c>
      <c r="H37">
        <f>IFERROR(__xludf.DUMMYFUNCTION("""COMPUTED_VALUE"""),153.84)</f>
        <v>153.84</v>
      </c>
      <c r="I37">
        <f>IFERROR(__xludf.DUMMYFUNCTION("""COMPUTED_VALUE"""),172.565)</f>
        <v>172.565</v>
      </c>
      <c r="J37">
        <f>IFERROR(__xludf.DUMMYFUNCTION("""COMPUTED_VALUE"""),179.663)</f>
        <v>179.663</v>
      </c>
      <c r="K37">
        <f>IFERROR(__xludf.DUMMYFUNCTION("""COMPUTED_VALUE"""),171.794)</f>
        <v>171.794</v>
      </c>
    </row>
    <row r="38">
      <c r="A38" t="str">
        <f>IFERROR(__xludf.DUMMYFUNCTION("""COMPUTED_VALUE"""),"Chine")</f>
        <v>Chine</v>
      </c>
      <c r="B38">
        <f>IFERROR(__xludf.DUMMYFUNCTION("""COMPUTED_VALUE"""),1205.532)</f>
        <v>1205.532</v>
      </c>
      <c r="C38">
        <f>IFERROR(__xludf.DUMMYFUNCTION("""COMPUTED_VALUE"""),1333.649)</f>
        <v>1333.649</v>
      </c>
      <c r="D38">
        <f>IFERROR(__xludf.DUMMYFUNCTION("""COMPUTED_VALUE"""),1465.829)</f>
        <v>1465.829</v>
      </c>
      <c r="E38">
        <f>IFERROR(__xludf.DUMMYFUNCTION("""COMPUTED_VALUE"""),1656.962)</f>
        <v>1656.962</v>
      </c>
      <c r="F38">
        <f>IFERROR(__xludf.DUMMYFUNCTION("""COMPUTED_VALUE"""),1949.446)</f>
        <v>1949.446</v>
      </c>
      <c r="G38">
        <f>IFERROR(__xludf.DUMMYFUNCTION("""COMPUTED_VALUE"""),2290.019)</f>
        <v>2290.019</v>
      </c>
      <c r="H38">
        <f>IFERROR(__xludf.DUMMYFUNCTION("""COMPUTED_VALUE"""),2754.149)</f>
        <v>2754.149</v>
      </c>
      <c r="I38">
        <f>IFERROR(__xludf.DUMMYFUNCTION("""COMPUTED_VALUE"""),3555.655)</f>
        <v>3555.655</v>
      </c>
      <c r="J38">
        <f>IFERROR(__xludf.DUMMYFUNCTION("""COMPUTED_VALUE"""),4577.28)</f>
        <v>4577.28</v>
      </c>
      <c r="K38">
        <f>IFERROR(__xludf.DUMMYFUNCTION("""COMPUTED_VALUE"""),5088.992)</f>
        <v>5088.992</v>
      </c>
    </row>
    <row r="39">
      <c r="A39" t="str">
        <f>IFERROR(__xludf.DUMMYFUNCTION("""COMPUTED_VALUE"""),"Colombie")</f>
        <v>Colombie</v>
      </c>
      <c r="B39">
        <f>IFERROR(__xludf.DUMMYFUNCTION("""COMPUTED_VALUE"""),99.27)</f>
        <v>99.27</v>
      </c>
      <c r="C39">
        <f>IFERROR(__xludf.DUMMYFUNCTION("""COMPUTED_VALUE"""),97.606)</f>
        <v>97.606</v>
      </c>
      <c r="D39">
        <f>IFERROR(__xludf.DUMMYFUNCTION("""COMPUTED_VALUE"""),97.353)</f>
        <v>97.353</v>
      </c>
      <c r="E39">
        <f>IFERROR(__xludf.DUMMYFUNCTION("""COMPUTED_VALUE"""),94.072)</f>
        <v>94.072</v>
      </c>
      <c r="F39">
        <f>IFERROR(__xludf.DUMMYFUNCTION("""COMPUTED_VALUE"""),116.382)</f>
        <v>116.382</v>
      </c>
      <c r="G39">
        <f>IFERROR(__xludf.DUMMYFUNCTION("""COMPUTED_VALUE"""),145.601)</f>
        <v>145.601</v>
      </c>
      <c r="H39">
        <f>IFERROR(__xludf.DUMMYFUNCTION("""COMPUTED_VALUE"""),161.793)</f>
        <v>161.793</v>
      </c>
      <c r="I39">
        <f>IFERROR(__xludf.DUMMYFUNCTION("""COMPUTED_VALUE"""),206.23)</f>
        <v>206.23</v>
      </c>
      <c r="J39">
        <f>IFERROR(__xludf.DUMMYFUNCTION("""COMPUTED_VALUE"""),242.504)</f>
        <v>242.504</v>
      </c>
      <c r="K39">
        <f>IFERROR(__xludf.DUMMYFUNCTION("""COMPUTED_VALUE"""),232.469)</f>
        <v>232.469</v>
      </c>
    </row>
    <row r="40">
      <c r="A40" t="str">
        <f>IFERROR(__xludf.DUMMYFUNCTION("""COMPUTED_VALUE"""),"Comores")</f>
        <v>Comores</v>
      </c>
      <c r="B40">
        <f>IFERROR(__xludf.DUMMYFUNCTION("""COMPUTED_VALUE"""),0.339)</f>
        <v>0.339</v>
      </c>
      <c r="C40">
        <f>IFERROR(__xludf.DUMMYFUNCTION("""COMPUTED_VALUE"""),0.373)</f>
        <v>0.373</v>
      </c>
      <c r="D40">
        <f>IFERROR(__xludf.DUMMYFUNCTION("""COMPUTED_VALUE"""),0.427)</f>
        <v>0.427</v>
      </c>
      <c r="E40">
        <f>IFERROR(__xludf.DUMMYFUNCTION("""COMPUTED_VALUE"""),0.547)</f>
        <v>0.547</v>
      </c>
      <c r="F40">
        <f>IFERROR(__xludf.DUMMYFUNCTION("""COMPUTED_VALUE"""),0.622)</f>
        <v>0.622</v>
      </c>
      <c r="G40">
        <f>IFERROR(__xludf.DUMMYFUNCTION("""COMPUTED_VALUE"""),0.656)</f>
        <v>0.656</v>
      </c>
      <c r="H40">
        <f>IFERROR(__xludf.DUMMYFUNCTION("""COMPUTED_VALUE"""),0.689)</f>
        <v>0.689</v>
      </c>
      <c r="I40">
        <f>IFERROR(__xludf.DUMMYFUNCTION("""COMPUTED_VALUE"""),0.796)</f>
        <v>0.796</v>
      </c>
      <c r="J40">
        <f>IFERROR(__xludf.DUMMYFUNCTION("""COMPUTED_VALUE"""),0.916)</f>
        <v>0.916</v>
      </c>
      <c r="K40">
        <f>IFERROR(__xludf.DUMMYFUNCTION("""COMPUTED_VALUE"""),0.904)</f>
        <v>0.904</v>
      </c>
    </row>
    <row r="41">
      <c r="A41" t="str">
        <f>IFERROR(__xludf.DUMMYFUNCTION("""COMPUTED_VALUE"""),"République démocratique du Congo")</f>
        <v>République démocratique du Congo</v>
      </c>
      <c r="B41">
        <f>IFERROR(__xludf.DUMMYFUNCTION("""COMPUTED_VALUE"""),19.077)</f>
        <v>19.077</v>
      </c>
      <c r="C41">
        <f>IFERROR(__xludf.DUMMYFUNCTION("""COMPUTED_VALUE"""),7.246)</f>
        <v>7.246</v>
      </c>
      <c r="D41">
        <f>IFERROR(__xludf.DUMMYFUNCTION("""COMPUTED_VALUE"""),8.72)</f>
        <v>8.72</v>
      </c>
      <c r="E41">
        <f>IFERROR(__xludf.DUMMYFUNCTION("""COMPUTED_VALUE"""),9.022)</f>
        <v>9.022</v>
      </c>
      <c r="F41">
        <f>IFERROR(__xludf.DUMMYFUNCTION("""COMPUTED_VALUE"""),10.275)</f>
        <v>10.275</v>
      </c>
      <c r="G41">
        <f>IFERROR(__xludf.DUMMYFUNCTION("""COMPUTED_VALUE"""),12.72)</f>
        <v>12.72</v>
      </c>
      <c r="H41">
        <f>IFERROR(__xludf.DUMMYFUNCTION("""COMPUTED_VALUE"""),15.403)</f>
        <v>15.403</v>
      </c>
      <c r="I41">
        <f>IFERROR(__xludf.DUMMYFUNCTION("""COMPUTED_VALUE"""),18.598)</f>
        <v>18.598</v>
      </c>
      <c r="J41">
        <f>IFERROR(__xludf.DUMMYFUNCTION("""COMPUTED_VALUE"""),22.665)</f>
        <v>22.665</v>
      </c>
      <c r="K41">
        <f>IFERROR(__xludf.DUMMYFUNCTION("""COMPUTED_VALUE"""),18.626)</f>
        <v>18.626</v>
      </c>
    </row>
    <row r="42">
      <c r="A42" t="str">
        <f>IFERROR(__xludf.DUMMYFUNCTION("""COMPUTED_VALUE"""),"République du Congo")</f>
        <v>République du Congo</v>
      </c>
      <c r="B42">
        <f>IFERROR(__xludf.DUMMYFUNCTION("""COMPUTED_VALUE"""),3.624)</f>
        <v>3.624</v>
      </c>
      <c r="C42">
        <f>IFERROR(__xludf.DUMMYFUNCTION("""COMPUTED_VALUE"""),3.038)</f>
        <v>3.038</v>
      </c>
      <c r="D42">
        <f>IFERROR(__xludf.DUMMYFUNCTION("""COMPUTED_VALUE"""),3.33)</f>
        <v>3.33</v>
      </c>
      <c r="E42">
        <f>IFERROR(__xludf.DUMMYFUNCTION("""COMPUTED_VALUE"""),3.863)</f>
        <v>3.863</v>
      </c>
      <c r="F42">
        <f>IFERROR(__xludf.DUMMYFUNCTION("""COMPUTED_VALUE"""),5.101)</f>
        <v>5.101</v>
      </c>
      <c r="G42">
        <f>IFERROR(__xludf.DUMMYFUNCTION("""COMPUTED_VALUE"""),6.654)</f>
        <v>6.654</v>
      </c>
      <c r="H42">
        <f>IFERROR(__xludf.DUMMYFUNCTION("""COMPUTED_VALUE"""),8.073)</f>
        <v>8.073</v>
      </c>
      <c r="I42">
        <f>IFERROR(__xludf.DUMMYFUNCTION("""COMPUTED_VALUE"""),8.784)</f>
        <v>8.784</v>
      </c>
      <c r="J42">
        <f>IFERROR(__xludf.DUMMYFUNCTION("""COMPUTED_VALUE"""),11.649)</f>
        <v>11.649</v>
      </c>
      <c r="K42">
        <f>IFERROR(__xludf.DUMMYFUNCTION("""COMPUTED_VALUE"""),9.713)</f>
        <v>9.713</v>
      </c>
    </row>
    <row r="43">
      <c r="A43" t="str">
        <f>IFERROR(__xludf.DUMMYFUNCTION("""COMPUTED_VALUE"""),"Costa Rica")</f>
        <v>Costa Rica</v>
      </c>
      <c r="B43">
        <f>IFERROR(__xludf.DUMMYFUNCTION("""COMPUTED_VALUE"""),15.016)</f>
        <v>15.016</v>
      </c>
      <c r="C43">
        <f>IFERROR(__xludf.DUMMYFUNCTION("""COMPUTED_VALUE"""),15.979)</f>
        <v>15.979</v>
      </c>
      <c r="D43">
        <f>IFERROR(__xludf.DUMMYFUNCTION("""COMPUTED_VALUE"""),16.584)</f>
        <v>16.584</v>
      </c>
      <c r="E43">
        <f>IFERROR(__xludf.DUMMYFUNCTION("""COMPUTED_VALUE"""),17.277)</f>
        <v>17.277</v>
      </c>
      <c r="F43">
        <f>IFERROR(__xludf.DUMMYFUNCTION("""COMPUTED_VALUE"""),18.615)</f>
        <v>18.615</v>
      </c>
      <c r="G43">
        <f>IFERROR(__xludf.DUMMYFUNCTION("""COMPUTED_VALUE"""),20.049)</f>
        <v>20.049</v>
      </c>
      <c r="H43">
        <f>IFERROR(__xludf.DUMMYFUNCTION("""COMPUTED_VALUE"""),22.717)</f>
        <v>22.717</v>
      </c>
      <c r="I43">
        <f>IFERROR(__xludf.DUMMYFUNCTION("""COMPUTED_VALUE"""),26.885)</f>
        <v>26.885</v>
      </c>
      <c r="J43">
        <f>IFERROR(__xludf.DUMMYFUNCTION("""COMPUTED_VALUE"""),30.802)</f>
        <v>30.802</v>
      </c>
      <c r="K43">
        <f>IFERROR(__xludf.DUMMYFUNCTION("""COMPUTED_VALUE"""),30.746)</f>
        <v>30.746</v>
      </c>
    </row>
    <row r="44">
      <c r="A44" t="str">
        <f>IFERROR(__xludf.DUMMYFUNCTION("""COMPUTED_VALUE"""),"Croatie")</f>
        <v>Croatie</v>
      </c>
      <c r="B44">
        <f>IFERROR(__xludf.DUMMYFUNCTION("""COMPUTED_VALUE"""),22.14)</f>
        <v>22.14</v>
      </c>
      <c r="C44">
        <f>IFERROR(__xludf.DUMMYFUNCTION("""COMPUTED_VALUE"""),23.062)</f>
        <v>23.062</v>
      </c>
      <c r="D44">
        <f>IFERROR(__xludf.DUMMYFUNCTION("""COMPUTED_VALUE"""),26.742)</f>
        <v>26.742</v>
      </c>
      <c r="E44">
        <f>IFERROR(__xludf.DUMMYFUNCTION("""COMPUTED_VALUE"""),35.247)</f>
        <v>35.247</v>
      </c>
      <c r="F44">
        <f>IFERROR(__xludf.DUMMYFUNCTION("""COMPUTED_VALUE"""),41.837)</f>
        <v>41.837</v>
      </c>
      <c r="G44">
        <f>IFERROR(__xludf.DUMMYFUNCTION("""COMPUTED_VALUE"""),45.053)</f>
        <v>45.053</v>
      </c>
      <c r="H44">
        <f>IFERROR(__xludf.DUMMYFUNCTION("""COMPUTED_VALUE"""),49.533)</f>
        <v>49.533</v>
      </c>
      <c r="I44">
        <f>IFERROR(__xludf.DUMMYFUNCTION("""COMPUTED_VALUE"""),59.18)</f>
        <v>59.18</v>
      </c>
      <c r="J44">
        <f>IFERROR(__xludf.DUMMYFUNCTION("""COMPUTED_VALUE"""),68.336)</f>
        <v>68.336</v>
      </c>
      <c r="K44">
        <f>IFERROR(__xludf.DUMMYFUNCTION("""COMPUTED_VALUE"""),61.872)</f>
        <v>61.872</v>
      </c>
    </row>
    <row r="45">
      <c r="A45" t="str">
        <f>IFERROR(__xludf.DUMMYFUNCTION("""COMPUTED_VALUE"""),"Chypre")</f>
        <v>Chypre</v>
      </c>
      <c r="B45">
        <f>IFERROR(__xludf.DUMMYFUNCTION("""COMPUTED_VALUE"""),9.988)</f>
        <v>9.988</v>
      </c>
      <c r="C45">
        <f>IFERROR(__xludf.DUMMYFUNCTION("""COMPUTED_VALUE"""),10.397)</f>
        <v>10.397</v>
      </c>
      <c r="D45">
        <f>IFERROR(__xludf.DUMMYFUNCTION("""COMPUTED_VALUE"""),11.422)</f>
        <v>11.422</v>
      </c>
      <c r="E45">
        <f>IFERROR(__xludf.DUMMYFUNCTION("""COMPUTED_VALUE"""),14.552)</f>
        <v>14.552</v>
      </c>
      <c r="F45">
        <f>IFERROR(__xludf.DUMMYFUNCTION("""COMPUTED_VALUE"""),17.328)</f>
        <v>17.328</v>
      </c>
      <c r="G45">
        <f>IFERROR(__xludf.DUMMYFUNCTION("""COMPUTED_VALUE"""),18.713)</f>
        <v>18.713</v>
      </c>
      <c r="H45">
        <f>IFERROR(__xludf.DUMMYFUNCTION("""COMPUTED_VALUE"""),20.422)</f>
        <v>20.422</v>
      </c>
      <c r="I45">
        <f>IFERROR(__xludf.DUMMYFUNCTION("""COMPUTED_VALUE"""),24.082)</f>
        <v>24.082</v>
      </c>
      <c r="J45">
        <f>IFERROR(__xludf.DUMMYFUNCTION("""COMPUTED_VALUE"""),27.955)</f>
        <v>27.955</v>
      </c>
      <c r="K45">
        <f>IFERROR(__xludf.DUMMYFUNCTION("""COMPUTED_VALUE"""),26.02)</f>
        <v>26.02</v>
      </c>
    </row>
    <row r="46">
      <c r="A46" t="str">
        <f>IFERROR(__xludf.DUMMYFUNCTION("""COMPUTED_VALUE"""),"Tchéquie")</f>
        <v>Tchéquie</v>
      </c>
      <c r="B46">
        <f>IFERROR(__xludf.DUMMYFUNCTION("""COMPUTED_VALUE"""),61.823)</f>
        <v>61.823</v>
      </c>
      <c r="C46">
        <f>IFERROR(__xludf.DUMMYFUNCTION("""COMPUTED_VALUE"""),67.809)</f>
        <v>67.809</v>
      </c>
      <c r="D46">
        <f>IFERROR(__xludf.DUMMYFUNCTION("""COMPUTED_VALUE"""),82.184)</f>
        <v>82.184</v>
      </c>
      <c r="E46">
        <f>IFERROR(__xludf.DUMMYFUNCTION("""COMPUTED_VALUE"""),100.125)</f>
        <v>100.125</v>
      </c>
      <c r="F46">
        <f>IFERROR(__xludf.DUMMYFUNCTION("""COMPUTED_VALUE"""),119.815)</f>
        <v>119.815</v>
      </c>
      <c r="G46">
        <f>IFERROR(__xludf.DUMMYFUNCTION("""COMPUTED_VALUE"""),137.143)</f>
        <v>137.143</v>
      </c>
      <c r="H46">
        <f>IFERROR(__xludf.DUMMYFUNCTION("""COMPUTED_VALUE"""),156.264)</f>
        <v>156.264</v>
      </c>
      <c r="I46">
        <f>IFERROR(__xludf.DUMMYFUNCTION("""COMPUTED_VALUE"""),189.988)</f>
        <v>189.988</v>
      </c>
      <c r="J46">
        <f>IFERROR(__xludf.DUMMYFUNCTION("""COMPUTED_VALUE"""),237.131)</f>
        <v>237.131</v>
      </c>
      <c r="K46">
        <f>IFERROR(__xludf.DUMMYFUNCTION("""COMPUTED_VALUE"""),207.558)</f>
        <v>207.558</v>
      </c>
    </row>
    <row r="47">
      <c r="A47" t="str">
        <f>IFERROR(__xludf.DUMMYFUNCTION("""COMPUTED_VALUE"""),"Côte d'Ivoire")</f>
        <v>Côte d'Ivoire</v>
      </c>
      <c r="B47">
        <f>IFERROR(__xludf.DUMMYFUNCTION("""COMPUTED_VALUE"""),14.851)</f>
        <v>14.851</v>
      </c>
      <c r="C47">
        <f>IFERROR(__xludf.DUMMYFUNCTION("""COMPUTED_VALUE"""),15.485)</f>
        <v>15.485</v>
      </c>
      <c r="D47">
        <f>IFERROR(__xludf.DUMMYFUNCTION("""COMPUTED_VALUE"""),17.148)</f>
        <v>17.148</v>
      </c>
      <c r="E47">
        <f>IFERROR(__xludf.DUMMYFUNCTION("""COMPUTED_VALUE"""),21.206)</f>
        <v>21.206</v>
      </c>
      <c r="F47">
        <f>IFERROR(__xludf.DUMMYFUNCTION("""COMPUTED_VALUE"""),22.924)</f>
        <v>22.924</v>
      </c>
      <c r="G47">
        <f>IFERROR(__xludf.DUMMYFUNCTION("""COMPUTED_VALUE"""),23.626)</f>
        <v>23.626</v>
      </c>
      <c r="H47">
        <f>IFERROR(__xludf.DUMMYFUNCTION("""COMPUTED_VALUE"""),24.628)</f>
        <v>24.628</v>
      </c>
      <c r="I47">
        <f>IFERROR(__xludf.DUMMYFUNCTION("""COMPUTED_VALUE"""),28.158)</f>
        <v>28.158</v>
      </c>
      <c r="J47">
        <f>IFERROR(__xludf.DUMMYFUNCTION("""COMPUTED_VALUE"""),33.621)</f>
        <v>33.621</v>
      </c>
      <c r="K47">
        <f>IFERROR(__xludf.DUMMYFUNCTION("""COMPUTED_VALUE"""),33.693)</f>
        <v>33.693</v>
      </c>
    </row>
    <row r="48">
      <c r="A48" t="str">
        <f>IFERROR(__xludf.DUMMYFUNCTION("""COMPUTED_VALUE"""),"Danemark")</f>
        <v>Danemark</v>
      </c>
      <c r="B48">
        <f>IFERROR(__xludf.DUMMYFUNCTION("""COMPUTED_VALUE"""),164.158)</f>
        <v>164.158</v>
      </c>
      <c r="C48">
        <f>IFERROR(__xludf.DUMMYFUNCTION("""COMPUTED_VALUE"""),164.791)</f>
        <v>164.791</v>
      </c>
      <c r="D48">
        <f>IFERROR(__xludf.DUMMYFUNCTION("""COMPUTED_VALUE"""),178.635)</f>
        <v>178.635</v>
      </c>
      <c r="E48">
        <f>IFERROR(__xludf.DUMMYFUNCTION("""COMPUTED_VALUE"""),218.097)</f>
        <v>218.097</v>
      </c>
      <c r="F48">
        <f>IFERROR(__xludf.DUMMYFUNCTION("""COMPUTED_VALUE"""),251.375)</f>
        <v>251.375</v>
      </c>
      <c r="G48">
        <f>IFERROR(__xludf.DUMMYFUNCTION("""COMPUTED_VALUE"""),264.467)</f>
        <v>264.467</v>
      </c>
      <c r="H48">
        <f>IFERROR(__xludf.DUMMYFUNCTION("""COMPUTED_VALUE"""),282.886)</f>
        <v>282.886</v>
      </c>
      <c r="I48">
        <f>IFERROR(__xludf.DUMMYFUNCTION("""COMPUTED_VALUE"""),319.424)</f>
        <v>319.424</v>
      </c>
      <c r="J48">
        <f>IFERROR(__xludf.DUMMYFUNCTION("""COMPUTED_VALUE"""),353.359)</f>
        <v>353.359</v>
      </c>
      <c r="K48">
        <f>IFERROR(__xludf.DUMMYFUNCTION("""COMPUTED_VALUE"""),321.243)</f>
        <v>321.243</v>
      </c>
    </row>
    <row r="49">
      <c r="A49" t="str">
        <f>IFERROR(__xludf.DUMMYFUNCTION("""COMPUTED_VALUE"""),"Djibouti")</f>
        <v>Djibouti</v>
      </c>
      <c r="B49">
        <f>IFERROR(__xludf.DUMMYFUNCTION("""COMPUTED_VALUE"""),0.781)</f>
        <v>0.781</v>
      </c>
      <c r="C49">
        <f>IFERROR(__xludf.DUMMYFUNCTION("""COMPUTED_VALUE"""),0.811)</f>
        <v>0.811</v>
      </c>
      <c r="D49">
        <f>IFERROR(__xludf.DUMMYFUNCTION("""COMPUTED_VALUE"""),0.837)</f>
        <v>0.837</v>
      </c>
      <c r="E49">
        <f>IFERROR(__xludf.DUMMYFUNCTION("""COMPUTED_VALUE"""),0.882)</f>
        <v>0.882</v>
      </c>
      <c r="F49">
        <f>IFERROR(__xludf.DUMMYFUNCTION("""COMPUTED_VALUE"""),0.936)</f>
        <v>0.936</v>
      </c>
      <c r="G49">
        <f>IFERROR(__xludf.DUMMYFUNCTION("""COMPUTED_VALUE"""),0.996)</f>
        <v>0.996</v>
      </c>
      <c r="H49">
        <f>IFERROR(__xludf.DUMMYFUNCTION("""COMPUTED_VALUE"""),1.08)</f>
        <v>1.08</v>
      </c>
      <c r="I49">
        <f>IFERROR(__xludf.DUMMYFUNCTION("""COMPUTED_VALUE"""),1.191)</f>
        <v>1.191</v>
      </c>
      <c r="J49">
        <f>IFERROR(__xludf.DUMMYFUNCTION("""COMPUTED_VALUE"""),1.382)</f>
        <v>1.382</v>
      </c>
      <c r="K49">
        <f>IFERROR(__xludf.DUMMYFUNCTION("""COMPUTED_VALUE"""),1.426)</f>
        <v>1.426</v>
      </c>
    </row>
    <row r="50">
      <c r="A50" t="str">
        <f>IFERROR(__xludf.DUMMYFUNCTION("""COMPUTED_VALUE"""),"Dominique")</f>
        <v>Dominique</v>
      </c>
      <c r="B50">
        <f>IFERROR(__xludf.DUMMYFUNCTION("""COMPUTED_VALUE"""),0.333)</f>
        <v>0.333</v>
      </c>
      <c r="C50">
        <f>IFERROR(__xludf.DUMMYFUNCTION("""COMPUTED_VALUE"""),0.34)</f>
        <v>0.34</v>
      </c>
      <c r="D50">
        <f>IFERROR(__xludf.DUMMYFUNCTION("""COMPUTED_VALUE"""),0.333)</f>
        <v>0.333</v>
      </c>
      <c r="E50">
        <f>IFERROR(__xludf.DUMMYFUNCTION("""COMPUTED_VALUE"""),0.343)</f>
        <v>0.343</v>
      </c>
      <c r="F50">
        <f>IFERROR(__xludf.DUMMYFUNCTION("""COMPUTED_VALUE"""),0.367)</f>
        <v>0.367</v>
      </c>
      <c r="G50">
        <f>IFERROR(__xludf.DUMMYFUNCTION("""COMPUTED_VALUE"""),0.364)</f>
        <v>0.364</v>
      </c>
      <c r="H50">
        <f>IFERROR(__xludf.DUMMYFUNCTION("""COMPUTED_VALUE"""),0.39)</f>
        <v>0.39</v>
      </c>
      <c r="I50">
        <f>IFERROR(__xludf.DUMMYFUNCTION("""COMPUTED_VALUE"""),0.421)</f>
        <v>0.421</v>
      </c>
      <c r="J50">
        <f>IFERROR(__xludf.DUMMYFUNCTION("""COMPUTED_VALUE"""),0.458)</f>
        <v>0.458</v>
      </c>
      <c r="K50">
        <f>IFERROR(__xludf.DUMMYFUNCTION("""COMPUTED_VALUE"""),0.489)</f>
        <v>0.489</v>
      </c>
    </row>
    <row r="51">
      <c r="A51" t="str">
        <f>IFERROR(__xludf.DUMMYFUNCTION("""COMPUTED_VALUE"""),"République dominicaine")</f>
        <v>République dominicaine</v>
      </c>
      <c r="B51">
        <f>IFERROR(__xludf.DUMMYFUNCTION("""COMPUTED_VALUE"""),24.306)</f>
        <v>24.306</v>
      </c>
      <c r="C51">
        <f>IFERROR(__xludf.DUMMYFUNCTION("""COMPUTED_VALUE"""),25.602)</f>
        <v>25.602</v>
      </c>
      <c r="D51">
        <f>IFERROR(__xludf.DUMMYFUNCTION("""COMPUTED_VALUE"""),27.249)</f>
        <v>27.249</v>
      </c>
      <c r="E51">
        <f>IFERROR(__xludf.DUMMYFUNCTION("""COMPUTED_VALUE"""),21.518)</f>
        <v>21.518</v>
      </c>
      <c r="F51">
        <f>IFERROR(__xludf.DUMMYFUNCTION("""COMPUTED_VALUE"""),22.506)</f>
        <v>22.506</v>
      </c>
      <c r="G51">
        <f>IFERROR(__xludf.DUMMYFUNCTION("""COMPUTED_VALUE"""),35.948)</f>
        <v>35.948</v>
      </c>
      <c r="H51">
        <f>IFERROR(__xludf.DUMMYFUNCTION("""COMPUTED_VALUE"""),37.998)</f>
        <v>37.998</v>
      </c>
      <c r="I51">
        <f>IFERROR(__xludf.DUMMYFUNCTION("""COMPUTED_VALUE"""),44.067)</f>
        <v>44.067</v>
      </c>
      <c r="J51">
        <f>IFERROR(__xludf.DUMMYFUNCTION("""COMPUTED_VALUE"""),48.206)</f>
        <v>48.206</v>
      </c>
      <c r="K51">
        <f>IFERROR(__xludf.DUMMYFUNCTION("""COMPUTED_VALUE"""),48.319)</f>
        <v>48.319</v>
      </c>
    </row>
    <row r="52">
      <c r="A52" t="str">
        <f>IFERROR(__xludf.DUMMYFUNCTION("""COMPUTED_VALUE"""),"Équateur")</f>
        <v>Équateur</v>
      </c>
      <c r="B52">
        <f>IFERROR(__xludf.DUMMYFUNCTION("""COMPUTED_VALUE"""),18.319)</f>
        <v>18.319</v>
      </c>
      <c r="C52">
        <f>IFERROR(__xludf.DUMMYFUNCTION("""COMPUTED_VALUE"""),24.468)</f>
        <v>24.468</v>
      </c>
      <c r="D52">
        <f>IFERROR(__xludf.DUMMYFUNCTION("""COMPUTED_VALUE"""),28.549)</f>
        <v>28.549</v>
      </c>
      <c r="E52">
        <f>IFERROR(__xludf.DUMMYFUNCTION("""COMPUTED_VALUE"""),32.433)</f>
        <v>32.433</v>
      </c>
      <c r="F52">
        <f>IFERROR(__xludf.DUMMYFUNCTION("""COMPUTED_VALUE"""),36.592)</f>
        <v>36.592</v>
      </c>
      <c r="G52">
        <f>IFERROR(__xludf.DUMMYFUNCTION("""COMPUTED_VALUE"""),41.507)</f>
        <v>41.507</v>
      </c>
      <c r="H52">
        <f>IFERROR(__xludf.DUMMYFUNCTION("""COMPUTED_VALUE"""),46.802)</f>
        <v>46.802</v>
      </c>
      <c r="I52">
        <f>IFERROR(__xludf.DUMMYFUNCTION("""COMPUTED_VALUE"""),51.008)</f>
        <v>51.008</v>
      </c>
      <c r="J52">
        <f>IFERROR(__xludf.DUMMYFUNCTION("""COMPUTED_VALUE"""),61.763)</f>
        <v>61.763</v>
      </c>
      <c r="K52">
        <f>IFERROR(__xludf.DUMMYFUNCTION("""COMPUTED_VALUE"""),62.52)</f>
        <v>62.52</v>
      </c>
    </row>
    <row r="53">
      <c r="A53" t="str">
        <f>IFERROR(__xludf.DUMMYFUNCTION("""COMPUTED_VALUE"""),"Égypte")</f>
        <v>Égypte</v>
      </c>
      <c r="B53">
        <f>IFERROR(__xludf.DUMMYFUNCTION("""COMPUTED_VALUE"""),104.752)</f>
        <v>104.752</v>
      </c>
      <c r="C53">
        <f>IFERROR(__xludf.DUMMYFUNCTION("""COMPUTED_VALUE"""),102.273)</f>
        <v>102.273</v>
      </c>
      <c r="D53">
        <f>IFERROR(__xludf.DUMMYFUNCTION("""COMPUTED_VALUE"""),90.261)</f>
        <v>90.261</v>
      </c>
      <c r="E53">
        <f>IFERROR(__xludf.DUMMYFUNCTION("""COMPUTED_VALUE"""),85.163)</f>
        <v>85.163</v>
      </c>
      <c r="F53">
        <f>IFERROR(__xludf.DUMMYFUNCTION("""COMPUTED_VALUE"""),82.855)</f>
        <v>82.855</v>
      </c>
      <c r="G53">
        <f>IFERROR(__xludf.DUMMYFUNCTION("""COMPUTED_VALUE"""),94.127)</f>
        <v>94.127</v>
      </c>
      <c r="H53">
        <f>IFERROR(__xludf.DUMMYFUNCTION("""COMPUTED_VALUE"""),112.902)</f>
        <v>112.902</v>
      </c>
      <c r="I53">
        <f>IFERROR(__xludf.DUMMYFUNCTION("""COMPUTED_VALUE"""),137.055)</f>
        <v>137.055</v>
      </c>
      <c r="J53">
        <f>IFERROR(__xludf.DUMMYFUNCTION("""COMPUTED_VALUE"""),170.797)</f>
        <v>170.797</v>
      </c>
      <c r="K53">
        <f>IFERROR(__xludf.DUMMYFUNCTION("""COMPUTED_VALUE"""),198.316)</f>
        <v>198.316</v>
      </c>
    </row>
    <row r="54">
      <c r="A54" t="str">
        <f>IFERROR(__xludf.DUMMYFUNCTION("""COMPUTED_VALUE"""),"Salvador")</f>
        <v>Salvador</v>
      </c>
      <c r="B54">
        <f>IFERROR(__xludf.DUMMYFUNCTION("""COMPUTED_VALUE"""),11.785)</f>
        <v>11.785</v>
      </c>
      <c r="C54">
        <f>IFERROR(__xludf.DUMMYFUNCTION("""COMPUTED_VALUE"""),12.283)</f>
        <v>12.283</v>
      </c>
      <c r="D54">
        <f>IFERROR(__xludf.DUMMYFUNCTION("""COMPUTED_VALUE"""),12.664)</f>
        <v>12.664</v>
      </c>
      <c r="E54">
        <f>IFERROR(__xludf.DUMMYFUNCTION("""COMPUTED_VALUE"""),13.244)</f>
        <v>13.244</v>
      </c>
      <c r="F54">
        <f>IFERROR(__xludf.DUMMYFUNCTION("""COMPUTED_VALUE"""),13.725)</f>
        <v>13.725</v>
      </c>
      <c r="G54">
        <f>IFERROR(__xludf.DUMMYFUNCTION("""COMPUTED_VALUE"""),14.698)</f>
        <v>14.698</v>
      </c>
      <c r="H54">
        <f>IFERROR(__xludf.DUMMYFUNCTION("""COMPUTED_VALUE"""),16.0)</f>
        <v>16</v>
      </c>
      <c r="I54">
        <f>IFERROR(__xludf.DUMMYFUNCTION("""COMPUTED_VALUE"""),17.012)</f>
        <v>17.012</v>
      </c>
      <c r="J54">
        <f>IFERROR(__xludf.DUMMYFUNCTION("""COMPUTED_VALUE"""),17.987)</f>
        <v>17.987</v>
      </c>
      <c r="K54">
        <f>IFERROR(__xludf.DUMMYFUNCTION("""COMPUTED_VALUE"""),17.602)</f>
        <v>17.602</v>
      </c>
    </row>
    <row r="55">
      <c r="A55" t="str">
        <f>IFERROR(__xludf.DUMMYFUNCTION("""COMPUTED_VALUE"""),"Guinée équatoriale")</f>
        <v>Guinée équatoriale</v>
      </c>
      <c r="B55">
        <f>IFERROR(__xludf.DUMMYFUNCTION("""COMPUTED_VALUE"""),1.159)</f>
        <v>1.159</v>
      </c>
      <c r="C55">
        <f>IFERROR(__xludf.DUMMYFUNCTION("""COMPUTED_VALUE"""),1.674)</f>
        <v>1.674</v>
      </c>
      <c r="D55">
        <f>IFERROR(__xludf.DUMMYFUNCTION("""COMPUTED_VALUE"""),2.071)</f>
        <v>2.071</v>
      </c>
      <c r="E55">
        <f>IFERROR(__xludf.DUMMYFUNCTION("""COMPUTED_VALUE"""),3.768)</f>
        <v>3.768</v>
      </c>
      <c r="F55">
        <f>IFERROR(__xludf.DUMMYFUNCTION("""COMPUTED_VALUE"""),5.954)</f>
        <v>5.954</v>
      </c>
      <c r="G55">
        <f>IFERROR(__xludf.DUMMYFUNCTION("""COMPUTED_VALUE"""),8.187)</f>
        <v>8.187</v>
      </c>
      <c r="H55">
        <f>IFERROR(__xludf.DUMMYFUNCTION("""COMPUTED_VALUE"""),10.095)</f>
        <v>10.095</v>
      </c>
      <c r="I55">
        <f>IFERROR(__xludf.DUMMYFUNCTION("""COMPUTED_VALUE"""),13.089)</f>
        <v>13.089</v>
      </c>
      <c r="J55">
        <f>IFERROR(__xludf.DUMMYFUNCTION("""COMPUTED_VALUE"""),19.83)</f>
        <v>19.83</v>
      </c>
      <c r="K55">
        <f>IFERROR(__xludf.DUMMYFUNCTION("""COMPUTED_VALUE"""),15.088)</f>
        <v>15.088</v>
      </c>
    </row>
    <row r="56">
      <c r="A56" t="str">
        <f>IFERROR(__xludf.DUMMYFUNCTION("""COMPUTED_VALUE"""),"Érythrée")</f>
        <v>Érythrée</v>
      </c>
      <c r="B56">
        <f>IFERROR(__xludf.DUMMYFUNCTION("""COMPUTED_VALUE"""),0.547)</f>
        <v>0.547</v>
      </c>
      <c r="C56">
        <f>IFERROR(__xludf.DUMMYFUNCTION("""COMPUTED_VALUE"""),0.582)</f>
        <v>0.582</v>
      </c>
      <c r="D56">
        <f>IFERROR(__xludf.DUMMYFUNCTION("""COMPUTED_VALUE"""),0.564)</f>
        <v>0.564</v>
      </c>
      <c r="E56">
        <f>IFERROR(__xludf.DUMMYFUNCTION("""COMPUTED_VALUE"""),0.673)</f>
        <v>0.673</v>
      </c>
      <c r="F56">
        <f>IFERROR(__xludf.DUMMYFUNCTION("""COMPUTED_VALUE"""),0.858)</f>
        <v>0.858</v>
      </c>
      <c r="G56">
        <f>IFERROR(__xludf.DUMMYFUNCTION("""COMPUTED_VALUE"""),0.85)</f>
        <v>0.85</v>
      </c>
      <c r="H56">
        <f>IFERROR(__xludf.DUMMYFUNCTION("""COMPUTED_VALUE"""),0.937)</f>
        <v>0.937</v>
      </c>
      <c r="I56">
        <f>IFERROR(__xludf.DUMMYFUNCTION("""COMPUTED_VALUE"""),1.02)</f>
        <v>1.02</v>
      </c>
      <c r="J56">
        <f>IFERROR(__xludf.DUMMYFUNCTION("""COMPUTED_VALUE"""),0.923)</f>
        <v>0.923</v>
      </c>
      <c r="K56">
        <f>IFERROR(__xludf.DUMMYFUNCTION("""COMPUTED_VALUE"""),1.297)</f>
        <v>1.297</v>
      </c>
    </row>
    <row r="57">
      <c r="A57" t="str">
        <f>IFERROR(__xludf.DUMMYFUNCTION("""COMPUTED_VALUE"""),"Estonie")</f>
        <v>Estonie</v>
      </c>
      <c r="B57">
        <f>IFERROR(__xludf.DUMMYFUNCTION("""COMPUTED_VALUE"""),5.707)</f>
        <v>5.707</v>
      </c>
      <c r="C57">
        <f>IFERROR(__xludf.DUMMYFUNCTION("""COMPUTED_VALUE"""),6.269)</f>
        <v>6.269</v>
      </c>
      <c r="D57">
        <f>IFERROR(__xludf.DUMMYFUNCTION("""COMPUTED_VALUE"""),7.391)</f>
        <v>7.391</v>
      </c>
      <c r="E57">
        <f>IFERROR(__xludf.DUMMYFUNCTION("""COMPUTED_VALUE"""),9.891)</f>
        <v>9.891</v>
      </c>
      <c r="F57">
        <f>IFERROR(__xludf.DUMMYFUNCTION("""COMPUTED_VALUE"""),12.158)</f>
        <v>12.158</v>
      </c>
      <c r="G57">
        <f>IFERROR(__xludf.DUMMYFUNCTION("""COMPUTED_VALUE"""),14.126)</f>
        <v>14.126</v>
      </c>
      <c r="H57">
        <f>IFERROR(__xludf.DUMMYFUNCTION("""COMPUTED_VALUE"""),17.047)</f>
        <v>17.047</v>
      </c>
      <c r="I57">
        <f>IFERROR(__xludf.DUMMYFUNCTION("""COMPUTED_VALUE"""),22.476)</f>
        <v>22.476</v>
      </c>
      <c r="J57">
        <f>IFERROR(__xludf.DUMMYFUNCTION("""COMPUTED_VALUE"""),24.433)</f>
        <v>24.433</v>
      </c>
      <c r="K57">
        <f>IFERROR(__xludf.DUMMYFUNCTION("""COMPUTED_VALUE"""),19.693)</f>
        <v>19.693</v>
      </c>
    </row>
    <row r="58">
      <c r="A58" t="str">
        <f>IFERROR(__xludf.DUMMYFUNCTION("""COMPUTED_VALUE"""),"Eswatini")</f>
        <v>Eswatini</v>
      </c>
      <c r="B58">
        <f>IFERROR(__xludf.DUMMYFUNCTION("""COMPUTED_VALUE"""),1.739)</f>
        <v>1.739</v>
      </c>
      <c r="C58">
        <f>IFERROR(__xludf.DUMMYFUNCTION("""COMPUTED_VALUE"""),1.544)</f>
        <v>1.544</v>
      </c>
      <c r="D58">
        <f>IFERROR(__xludf.DUMMYFUNCTION("""COMPUTED_VALUE"""),1.436)</f>
        <v>1.436</v>
      </c>
      <c r="E58">
        <f>IFERROR(__xludf.DUMMYFUNCTION("""COMPUTED_VALUE"""),2.198)</f>
        <v>2.198</v>
      </c>
      <c r="F58">
        <f>IFERROR(__xludf.DUMMYFUNCTION("""COMPUTED_VALUE"""),2.774)</f>
        <v>2.774</v>
      </c>
      <c r="G58">
        <f>IFERROR(__xludf.DUMMYFUNCTION("""COMPUTED_VALUE"""),3.177)</f>
        <v>3.177</v>
      </c>
      <c r="H58">
        <f>IFERROR(__xludf.DUMMYFUNCTION("""COMPUTED_VALUE"""),3.293)</f>
        <v>3.293</v>
      </c>
      <c r="I58">
        <f>IFERROR(__xludf.DUMMYFUNCTION("""COMPUTED_VALUE"""),3.465)</f>
        <v>3.465</v>
      </c>
      <c r="J58">
        <f>IFERROR(__xludf.DUMMYFUNCTION("""COMPUTED_VALUE"""),3.298)</f>
        <v>3.298</v>
      </c>
      <c r="K58">
        <f>IFERROR(__xludf.DUMMYFUNCTION("""COMPUTED_VALUE"""),3.596)</f>
        <v>3.596</v>
      </c>
    </row>
    <row r="59">
      <c r="A59" t="str">
        <f>IFERROR(__xludf.DUMMYFUNCTION("""COMPUTED_VALUE"""),"Éthiopie")</f>
        <v>Éthiopie</v>
      </c>
      <c r="B59">
        <f>IFERROR(__xludf.DUMMYFUNCTION("""COMPUTED_VALUE"""),8.167)</f>
        <v>8.167</v>
      </c>
      <c r="C59">
        <f>IFERROR(__xludf.DUMMYFUNCTION("""COMPUTED_VALUE"""),8.103)</f>
        <v>8.103</v>
      </c>
      <c r="D59">
        <f>IFERROR(__xludf.DUMMYFUNCTION("""COMPUTED_VALUE"""),7.828)</f>
        <v>7.828</v>
      </c>
      <c r="E59">
        <f>IFERROR(__xludf.DUMMYFUNCTION("""COMPUTED_VALUE"""),8.604)</f>
        <v>8.604</v>
      </c>
      <c r="F59">
        <f>IFERROR(__xludf.DUMMYFUNCTION("""COMPUTED_VALUE"""),10.122)</f>
        <v>10.122</v>
      </c>
      <c r="G59">
        <f>IFERROR(__xludf.DUMMYFUNCTION("""COMPUTED_VALUE"""),12.387)</f>
        <v>12.387</v>
      </c>
      <c r="H59">
        <f>IFERROR(__xludf.DUMMYFUNCTION("""COMPUTED_VALUE"""),15.31)</f>
        <v>15.31</v>
      </c>
      <c r="I59">
        <f>IFERROR(__xludf.DUMMYFUNCTION("""COMPUTED_VALUE"""),19.329)</f>
        <v>19.329</v>
      </c>
      <c r="J59">
        <f>IFERROR(__xludf.DUMMYFUNCTION("""COMPUTED_VALUE"""),26.25)</f>
        <v>26.25</v>
      </c>
      <c r="K59">
        <f>IFERROR(__xludf.DUMMYFUNCTION("""COMPUTED_VALUE"""),28.672)</f>
        <v>28.672</v>
      </c>
    </row>
    <row r="60">
      <c r="A60" t="str">
        <f>IFERROR(__xludf.DUMMYFUNCTION("""COMPUTED_VALUE"""),"Fidji")</f>
        <v>Fidji</v>
      </c>
      <c r="B60">
        <f>IFERROR(__xludf.DUMMYFUNCTION("""COMPUTED_VALUE"""),1.824)</f>
        <v>1.824</v>
      </c>
      <c r="C60">
        <f>IFERROR(__xludf.DUMMYFUNCTION("""COMPUTED_VALUE"""),1.798)</f>
        <v>1.798</v>
      </c>
      <c r="D60">
        <f>IFERROR(__xludf.DUMMYFUNCTION("""COMPUTED_VALUE"""),1.996)</f>
        <v>1.996</v>
      </c>
      <c r="E60">
        <f>IFERROR(__xludf.DUMMYFUNCTION("""COMPUTED_VALUE"""),2.509)</f>
        <v>2.509</v>
      </c>
      <c r="F60">
        <f>IFERROR(__xludf.DUMMYFUNCTION("""COMPUTED_VALUE"""),2.954)</f>
        <v>2.954</v>
      </c>
      <c r="G60">
        <f>IFERROR(__xludf.DUMMYFUNCTION("""COMPUTED_VALUE"""),3.257)</f>
        <v>3.257</v>
      </c>
      <c r="H60">
        <f>IFERROR(__xludf.DUMMYFUNCTION("""COMPUTED_VALUE"""),3.361)</f>
        <v>3.361</v>
      </c>
      <c r="I60">
        <f>IFERROR(__xludf.DUMMYFUNCTION("""COMPUTED_VALUE"""),3.688)</f>
        <v>3.688</v>
      </c>
      <c r="J60">
        <f>IFERROR(__xludf.DUMMYFUNCTION("""COMPUTED_VALUE"""),3.816)</f>
        <v>3.816</v>
      </c>
      <c r="K60">
        <f>IFERROR(__xludf.DUMMYFUNCTION("""COMPUTED_VALUE"""),3.106)</f>
        <v>3.106</v>
      </c>
    </row>
    <row r="61">
      <c r="A61" t="str">
        <f>IFERROR(__xludf.DUMMYFUNCTION("""COMPUTED_VALUE"""),"Finlande")</f>
        <v>Finlande</v>
      </c>
      <c r="B61">
        <f>IFERROR(__xludf.DUMMYFUNCTION("""COMPUTED_VALUE"""),126.075)</f>
        <v>126.075</v>
      </c>
      <c r="C61">
        <f>IFERROR(__xludf.DUMMYFUNCTION("""COMPUTED_VALUE"""),129.534)</f>
        <v>129.534</v>
      </c>
      <c r="D61">
        <f>IFERROR(__xludf.DUMMYFUNCTION("""COMPUTED_VALUE"""),140.305)</f>
        <v>140.305</v>
      </c>
      <c r="E61">
        <f>IFERROR(__xludf.DUMMYFUNCTION("""COMPUTED_VALUE"""),171.609)</f>
        <v>171.609</v>
      </c>
      <c r="F61">
        <f>IFERROR(__xludf.DUMMYFUNCTION("""COMPUTED_VALUE"""),197.39)</f>
        <v>197.39</v>
      </c>
      <c r="G61">
        <f>IFERROR(__xludf.DUMMYFUNCTION("""COMPUTED_VALUE"""),204.999)</f>
        <v>204.999</v>
      </c>
      <c r="H61">
        <f>IFERROR(__xludf.DUMMYFUNCTION("""COMPUTED_VALUE"""),217.101)</f>
        <v>217.101</v>
      </c>
      <c r="I61">
        <f>IFERROR(__xludf.DUMMYFUNCTION("""COMPUTED_VALUE"""),256.408)</f>
        <v>256.408</v>
      </c>
      <c r="J61">
        <f>IFERROR(__xludf.DUMMYFUNCTION("""COMPUTED_VALUE"""),285.685)</f>
        <v>285.685</v>
      </c>
      <c r="K61">
        <f>IFERROR(__xludf.DUMMYFUNCTION("""COMPUTED_VALUE"""),253.222)</f>
        <v>253.222</v>
      </c>
    </row>
    <row r="62">
      <c r="A62" t="str">
        <f>IFERROR(__xludf.DUMMYFUNCTION("""COMPUTED_VALUE"""),"France")</f>
        <v>France</v>
      </c>
      <c r="B62">
        <f>IFERROR(__xludf.DUMMYFUNCTION("""COMPUTED_VALUE"""),1366.243)</f>
        <v>1366.243</v>
      </c>
      <c r="C62">
        <f>IFERROR(__xludf.DUMMYFUNCTION("""COMPUTED_VALUE"""),1377.667)</f>
        <v>1377.667</v>
      </c>
      <c r="D62">
        <f>IFERROR(__xludf.DUMMYFUNCTION("""COMPUTED_VALUE"""),1500.348)</f>
        <v>1500.348</v>
      </c>
      <c r="E62">
        <f>IFERROR(__xludf.DUMMYFUNCTION("""COMPUTED_VALUE"""),1844.083)</f>
        <v>1844.083</v>
      </c>
      <c r="F62">
        <f>IFERROR(__xludf.DUMMYFUNCTION("""COMPUTED_VALUE"""),2118.671)</f>
        <v>2118.671</v>
      </c>
      <c r="G62">
        <f>IFERROR(__xludf.DUMMYFUNCTION("""COMPUTED_VALUE"""),2198.16)</f>
        <v>2198.16</v>
      </c>
      <c r="H62">
        <f>IFERROR(__xludf.DUMMYFUNCTION("""COMPUTED_VALUE"""),2320.659)</f>
        <v>2320.659</v>
      </c>
      <c r="I62">
        <f>IFERROR(__xludf.DUMMYFUNCTION("""COMPUTED_VALUE"""),2660.905)</f>
        <v>2660.905</v>
      </c>
      <c r="J62">
        <f>IFERROR(__xludf.DUMMYFUNCTION("""COMPUTED_VALUE"""),2929.983)</f>
        <v>2929.983</v>
      </c>
      <c r="K62">
        <f>IFERROR(__xludf.DUMMYFUNCTION("""COMPUTED_VALUE"""),2697.955)</f>
        <v>2697.955</v>
      </c>
    </row>
    <row r="63">
      <c r="A63" t="str">
        <f>IFERROR(__xludf.DUMMYFUNCTION("""COMPUTED_VALUE"""),"Gabon")</f>
        <v>Gabon</v>
      </c>
      <c r="B63">
        <f>IFERROR(__xludf.DUMMYFUNCTION("""COMPUTED_VALUE"""),5.397)</f>
        <v>5.397</v>
      </c>
      <c r="C63">
        <f>IFERROR(__xludf.DUMMYFUNCTION("""COMPUTED_VALUE"""),5.023)</f>
        <v>5.023</v>
      </c>
      <c r="D63">
        <f>IFERROR(__xludf.DUMMYFUNCTION("""COMPUTED_VALUE"""),5.332)</f>
        <v>5.332</v>
      </c>
      <c r="E63">
        <f>IFERROR(__xludf.DUMMYFUNCTION("""COMPUTED_VALUE"""),6.51)</f>
        <v>6.51</v>
      </c>
      <c r="F63">
        <f>IFERROR(__xludf.DUMMYFUNCTION("""COMPUTED_VALUE"""),7.767)</f>
        <v>7.767</v>
      </c>
      <c r="G63">
        <f>IFERROR(__xludf.DUMMYFUNCTION("""COMPUTED_VALUE"""),9.468)</f>
        <v>9.468</v>
      </c>
      <c r="H63">
        <f>IFERROR(__xludf.DUMMYFUNCTION("""COMPUTED_VALUE"""),10.164)</f>
        <v>10.164</v>
      </c>
      <c r="I63">
        <f>IFERROR(__xludf.DUMMYFUNCTION("""COMPUTED_VALUE"""),12.457)</f>
        <v>12.457</v>
      </c>
      <c r="J63">
        <f>IFERROR(__xludf.DUMMYFUNCTION("""COMPUTED_VALUE"""),15.57)</f>
        <v>15.57</v>
      </c>
      <c r="K63">
        <f>IFERROR(__xludf.DUMMYFUNCTION("""COMPUTED_VALUE"""),12.188)</f>
        <v>12.188</v>
      </c>
    </row>
    <row r="64">
      <c r="A64" t="str">
        <f>IFERROR(__xludf.DUMMYFUNCTION("""COMPUTED_VALUE"""),"Gambie")</f>
        <v>Gambie</v>
      </c>
      <c r="B64">
        <f>IFERROR(__xludf.DUMMYFUNCTION("""COMPUTED_VALUE"""),1.01)</f>
        <v>1.01</v>
      </c>
      <c r="C64">
        <f>IFERROR(__xludf.DUMMYFUNCTION("""COMPUTED_VALUE"""),1.002)</f>
        <v>1.002</v>
      </c>
      <c r="D64">
        <f>IFERROR(__xludf.DUMMYFUNCTION("""COMPUTED_VALUE"""),0.887)</f>
        <v>0.887</v>
      </c>
      <c r="E64">
        <f>IFERROR(__xludf.DUMMYFUNCTION("""COMPUTED_VALUE"""),0.843)</f>
        <v>0.843</v>
      </c>
      <c r="F64">
        <f>IFERROR(__xludf.DUMMYFUNCTION("""COMPUTED_VALUE"""),0.962)</f>
        <v>0.962</v>
      </c>
      <c r="G64">
        <f>IFERROR(__xludf.DUMMYFUNCTION("""COMPUTED_VALUE"""),1.028)</f>
        <v>1.028</v>
      </c>
      <c r="H64">
        <f>IFERROR(__xludf.DUMMYFUNCTION("""COMPUTED_VALUE"""),1.054)</f>
        <v>1.054</v>
      </c>
      <c r="I64">
        <f>IFERROR(__xludf.DUMMYFUNCTION("""COMPUTED_VALUE"""),1.28)</f>
        <v>1.28</v>
      </c>
      <c r="J64">
        <f>IFERROR(__xludf.DUMMYFUNCTION("""COMPUTED_VALUE"""),1.562)</f>
        <v>1.562</v>
      </c>
      <c r="K64">
        <f>IFERROR(__xludf.DUMMYFUNCTION("""COMPUTED_VALUE"""),1.45)</f>
        <v>1.45</v>
      </c>
    </row>
    <row r="65">
      <c r="A65" t="str">
        <f>IFERROR(__xludf.DUMMYFUNCTION("""COMPUTED_VALUE"""),"Géorgie")</f>
        <v>Géorgie</v>
      </c>
      <c r="B65">
        <f>IFERROR(__xludf.DUMMYFUNCTION("""COMPUTED_VALUE"""),3.144)</f>
        <v>3.144</v>
      </c>
      <c r="C65">
        <f>IFERROR(__xludf.DUMMYFUNCTION("""COMPUTED_VALUE"""),3.311)</f>
        <v>3.311</v>
      </c>
      <c r="D65">
        <f>IFERROR(__xludf.DUMMYFUNCTION("""COMPUTED_VALUE"""),3.493)</f>
        <v>3.493</v>
      </c>
      <c r="E65">
        <f>IFERROR(__xludf.DUMMYFUNCTION("""COMPUTED_VALUE"""),4.103)</f>
        <v>4.103</v>
      </c>
      <c r="F65">
        <f>IFERROR(__xludf.DUMMYFUNCTION("""COMPUTED_VALUE"""),5.269)</f>
        <v>5.269</v>
      </c>
      <c r="G65">
        <f>IFERROR(__xludf.DUMMYFUNCTION("""COMPUTED_VALUE"""),6.59)</f>
        <v>6.59</v>
      </c>
      <c r="H65">
        <f>IFERROR(__xludf.DUMMYFUNCTION("""COMPUTED_VALUE"""),7.979)</f>
        <v>7.979</v>
      </c>
      <c r="I65">
        <f>IFERROR(__xludf.DUMMYFUNCTION("""COMPUTED_VALUE"""),10.458)</f>
        <v>10.458</v>
      </c>
      <c r="J65">
        <f>IFERROR(__xludf.DUMMYFUNCTION("""COMPUTED_VALUE"""),13.158)</f>
        <v>13.158</v>
      </c>
      <c r="K65">
        <f>IFERROR(__xludf.DUMMYFUNCTION("""COMPUTED_VALUE"""),11.069)</f>
        <v>11.069</v>
      </c>
    </row>
    <row r="66">
      <c r="A66" t="str">
        <f>IFERROR(__xludf.DUMMYFUNCTION("""COMPUTED_VALUE"""),"Allemagne")</f>
        <v>Allemagne</v>
      </c>
      <c r="B66">
        <f>IFERROR(__xludf.DUMMYFUNCTION("""COMPUTED_VALUE"""),1948.843)</f>
        <v>1948.843</v>
      </c>
      <c r="C66">
        <f>IFERROR(__xludf.DUMMYFUNCTION("""COMPUTED_VALUE"""),1945.804)</f>
        <v>1945.804</v>
      </c>
      <c r="D66">
        <f>IFERROR(__xludf.DUMMYFUNCTION("""COMPUTED_VALUE"""),2077.016)</f>
        <v>2077.016</v>
      </c>
      <c r="E66">
        <f>IFERROR(__xludf.DUMMYFUNCTION("""COMPUTED_VALUE"""),2501.014)</f>
        <v>2501.014</v>
      </c>
      <c r="F66">
        <f>IFERROR(__xludf.DUMMYFUNCTION("""COMPUTED_VALUE"""),2813.076)</f>
        <v>2813.076</v>
      </c>
      <c r="G66">
        <f>IFERROR(__xludf.DUMMYFUNCTION("""COMPUTED_VALUE"""),2848.438)</f>
        <v>2848.438</v>
      </c>
      <c r="H66">
        <f>IFERROR(__xludf.DUMMYFUNCTION("""COMPUTED_VALUE"""),2994.862)</f>
        <v>2994.862</v>
      </c>
      <c r="I66">
        <f>IFERROR(__xludf.DUMMYFUNCTION("""COMPUTED_VALUE"""),3425.982)</f>
        <v>3425.982</v>
      </c>
      <c r="J66">
        <f>IFERROR(__xludf.DUMMYFUNCTION("""COMPUTED_VALUE"""),3744.854)</f>
        <v>3744.854</v>
      </c>
      <c r="K66">
        <f>IFERROR(__xludf.DUMMYFUNCTION("""COMPUTED_VALUE"""),3407.557)</f>
        <v>3407.557</v>
      </c>
    </row>
    <row r="67">
      <c r="A67" t="str">
        <f>IFERROR(__xludf.DUMMYFUNCTION("""COMPUTED_VALUE"""),"Ghana")</f>
        <v>Ghana</v>
      </c>
      <c r="B67">
        <f>IFERROR(__xludf.DUMMYFUNCTION("""COMPUTED_VALUE"""),11.47)</f>
        <v>11.47</v>
      </c>
      <c r="C67">
        <f>IFERROR(__xludf.DUMMYFUNCTION("""COMPUTED_VALUE"""),12.234)</f>
        <v>12.234</v>
      </c>
      <c r="D67">
        <f>IFERROR(__xludf.DUMMYFUNCTION("""COMPUTED_VALUE"""),14.205)</f>
        <v>14.205</v>
      </c>
      <c r="E67">
        <f>IFERROR(__xludf.DUMMYFUNCTION("""COMPUTED_VALUE"""),17.528)</f>
        <v>17.528</v>
      </c>
      <c r="F67">
        <f>IFERROR(__xludf.DUMMYFUNCTION("""COMPUTED_VALUE"""),20.302)</f>
        <v>20.302</v>
      </c>
      <c r="G67">
        <f>IFERROR(__xludf.DUMMYFUNCTION("""COMPUTED_VALUE"""),24.6)</f>
        <v>24.6</v>
      </c>
      <c r="H67">
        <f>IFERROR(__xludf.DUMMYFUNCTION("""COMPUTED_VALUE"""),28.883)</f>
        <v>28.883</v>
      </c>
      <c r="I67">
        <f>IFERROR(__xludf.DUMMYFUNCTION("""COMPUTED_VALUE"""),34.044)</f>
        <v>34.044</v>
      </c>
      <c r="J67">
        <f>IFERROR(__xludf.DUMMYFUNCTION("""COMPUTED_VALUE"""),38.659)</f>
        <v>38.659</v>
      </c>
      <c r="K67">
        <f>IFERROR(__xludf.DUMMYFUNCTION("""COMPUTED_VALUE"""),34.601)</f>
        <v>34.601</v>
      </c>
    </row>
    <row r="68">
      <c r="A68" t="str">
        <f>IFERROR(__xludf.DUMMYFUNCTION("""COMPUTED_VALUE"""),"Grèce")</f>
        <v>Grèce</v>
      </c>
      <c r="B68">
        <f>IFERROR(__xludf.DUMMYFUNCTION("""COMPUTED_VALUE"""),132.198)</f>
        <v>132.198</v>
      </c>
      <c r="C68">
        <f>IFERROR(__xludf.DUMMYFUNCTION("""COMPUTED_VALUE"""),136.31)</f>
        <v>136.31</v>
      </c>
      <c r="D68">
        <f>IFERROR(__xludf.DUMMYFUNCTION("""COMPUTED_VALUE"""),154.455)</f>
        <v>154.455</v>
      </c>
      <c r="E68">
        <f>IFERROR(__xludf.DUMMYFUNCTION("""COMPUTED_VALUE"""),202.32)</f>
        <v>202.32</v>
      </c>
      <c r="F68">
        <f>IFERROR(__xludf.DUMMYFUNCTION("""COMPUTED_VALUE"""),240.854)</f>
        <v>240.854</v>
      </c>
      <c r="G68">
        <f>IFERROR(__xludf.DUMMYFUNCTION("""COMPUTED_VALUE"""),248.012)</f>
        <v>248.012</v>
      </c>
      <c r="H68">
        <f>IFERROR(__xludf.DUMMYFUNCTION("""COMPUTED_VALUE"""),273.562)</f>
        <v>273.562</v>
      </c>
      <c r="I68">
        <f>IFERROR(__xludf.DUMMYFUNCTION("""COMPUTED_VALUE"""),318.941)</f>
        <v>318.941</v>
      </c>
      <c r="J68">
        <f>IFERROR(__xludf.DUMMYFUNCTION("""COMPUTED_VALUE"""),355.869)</f>
        <v>355.869</v>
      </c>
      <c r="K68">
        <f>IFERROR(__xludf.DUMMYFUNCTION("""COMPUTED_VALUE"""),330.949)</f>
        <v>330.949</v>
      </c>
    </row>
    <row r="69">
      <c r="A69" t="str">
        <f>IFERROR(__xludf.DUMMYFUNCTION("""COMPUTED_VALUE"""),"Grenade")</f>
        <v>Grenade</v>
      </c>
      <c r="B69">
        <f>IFERROR(__xludf.DUMMYFUNCTION("""COMPUTED_VALUE"""),0.52)</f>
        <v>0.52</v>
      </c>
      <c r="C69">
        <f>IFERROR(__xludf.DUMMYFUNCTION("""COMPUTED_VALUE"""),0.52)</f>
        <v>0.52</v>
      </c>
      <c r="D69">
        <f>IFERROR(__xludf.DUMMYFUNCTION("""COMPUTED_VALUE"""),0.54)</f>
        <v>0.54</v>
      </c>
      <c r="E69">
        <f>IFERROR(__xludf.DUMMYFUNCTION("""COMPUTED_VALUE"""),0.591)</f>
        <v>0.591</v>
      </c>
      <c r="F69">
        <f>IFERROR(__xludf.DUMMYFUNCTION("""COMPUTED_VALUE"""),0.599)</f>
        <v>0.599</v>
      </c>
      <c r="G69">
        <f>IFERROR(__xludf.DUMMYFUNCTION("""COMPUTED_VALUE"""),0.695)</f>
        <v>0.695</v>
      </c>
      <c r="H69">
        <f>IFERROR(__xludf.DUMMYFUNCTION("""COMPUTED_VALUE"""),0.699)</f>
        <v>0.699</v>
      </c>
      <c r="I69">
        <f>IFERROR(__xludf.DUMMYFUNCTION("""COMPUTED_VALUE"""),0.759)</f>
        <v>0.759</v>
      </c>
      <c r="J69">
        <f>IFERROR(__xludf.DUMMYFUNCTION("""COMPUTED_VALUE"""),0.826)</f>
        <v>0.826</v>
      </c>
      <c r="K69">
        <f>IFERROR(__xludf.DUMMYFUNCTION("""COMPUTED_VALUE"""),0.771)</f>
        <v>0.771</v>
      </c>
    </row>
    <row r="70">
      <c r="A70" t="str">
        <f>IFERROR(__xludf.DUMMYFUNCTION("""COMPUTED_VALUE"""),"Guatemala")</f>
        <v>Guatemala</v>
      </c>
      <c r="B70">
        <f>IFERROR(__xludf.DUMMYFUNCTION("""COMPUTED_VALUE"""),18.124)</f>
        <v>18.124</v>
      </c>
      <c r="C70">
        <f>IFERROR(__xludf.DUMMYFUNCTION("""COMPUTED_VALUE"""),19.735)</f>
        <v>19.735</v>
      </c>
      <c r="D70">
        <f>IFERROR(__xludf.DUMMYFUNCTION("""COMPUTED_VALUE"""),21.924)</f>
        <v>21.924</v>
      </c>
      <c r="E70">
        <f>IFERROR(__xludf.DUMMYFUNCTION("""COMPUTED_VALUE"""),23.092)</f>
        <v>23.092</v>
      </c>
      <c r="F70">
        <f>IFERROR(__xludf.DUMMYFUNCTION("""COMPUTED_VALUE"""),24.977)</f>
        <v>24.977</v>
      </c>
      <c r="G70">
        <f>IFERROR(__xludf.DUMMYFUNCTION("""COMPUTED_VALUE"""),28.179)</f>
        <v>28.179</v>
      </c>
      <c r="H70">
        <f>IFERROR(__xludf.DUMMYFUNCTION("""COMPUTED_VALUE"""),31.308)</f>
        <v>31.308</v>
      </c>
      <c r="I70">
        <f>IFERROR(__xludf.DUMMYFUNCTION("""COMPUTED_VALUE"""),35.028)</f>
        <v>35.028</v>
      </c>
      <c r="J70">
        <f>IFERROR(__xludf.DUMMYFUNCTION("""COMPUTED_VALUE"""),40.242)</f>
        <v>40.242</v>
      </c>
      <c r="K70">
        <f>IFERROR(__xludf.DUMMYFUNCTION("""COMPUTED_VALUE"""),37.997)</f>
        <v>37.997</v>
      </c>
    </row>
    <row r="71">
      <c r="A71" t="str">
        <f>IFERROR(__xludf.DUMMYFUNCTION("""COMPUTED_VALUE"""),"Guinée")</f>
        <v>Guinée</v>
      </c>
      <c r="B71">
        <f>IFERROR(__xludf.DUMMYFUNCTION("""COMPUTED_VALUE"""),4.039)</f>
        <v>4.039</v>
      </c>
      <c r="C71">
        <f>IFERROR(__xludf.DUMMYFUNCTION("""COMPUTED_VALUE"""),3.806)</f>
        <v>3.806</v>
      </c>
      <c r="D71">
        <f>IFERROR(__xludf.DUMMYFUNCTION("""COMPUTED_VALUE"""),4.022)</f>
        <v>4.022</v>
      </c>
      <c r="E71">
        <f>IFERROR(__xludf.DUMMYFUNCTION("""COMPUTED_VALUE"""),4.759)</f>
        <v>4.759</v>
      </c>
      <c r="F71">
        <f>IFERROR(__xludf.DUMMYFUNCTION("""COMPUTED_VALUE"""),5.012)</f>
        <v>5.012</v>
      </c>
      <c r="G71">
        <f>IFERROR(__xludf.DUMMYFUNCTION("""COMPUTED_VALUE"""),4.506)</f>
        <v>4.506</v>
      </c>
      <c r="H71">
        <f>IFERROR(__xludf.DUMMYFUNCTION("""COMPUTED_VALUE"""),4.178)</f>
        <v>4.178</v>
      </c>
      <c r="I71">
        <f>IFERROR(__xludf.DUMMYFUNCTION("""COMPUTED_VALUE"""),6.317)</f>
        <v>6.317</v>
      </c>
      <c r="J71">
        <f>IFERROR(__xludf.DUMMYFUNCTION("""COMPUTED_VALUE"""),6.966)</f>
        <v>6.966</v>
      </c>
      <c r="K71">
        <f>IFERROR(__xludf.DUMMYFUNCTION("""COMPUTED_VALUE"""),6.753)</f>
        <v>6.753</v>
      </c>
    </row>
    <row r="72">
      <c r="A72" t="str">
        <f>IFERROR(__xludf.DUMMYFUNCTION("""COMPUTED_VALUE"""),"Guinée-Bissau")</f>
        <v>Guinée-Bissau</v>
      </c>
      <c r="B72">
        <f>IFERROR(__xludf.DUMMYFUNCTION("""COMPUTED_VALUE"""),0.392)</f>
        <v>0.392</v>
      </c>
      <c r="C72">
        <f>IFERROR(__xludf.DUMMYFUNCTION("""COMPUTED_VALUE"""),0.413)</f>
        <v>0.413</v>
      </c>
      <c r="D72">
        <f>IFERROR(__xludf.DUMMYFUNCTION("""COMPUTED_VALUE"""),0.466)</f>
        <v>0.466</v>
      </c>
      <c r="E72">
        <f>IFERROR(__xludf.DUMMYFUNCTION("""COMPUTED_VALUE"""),0.553)</f>
        <v>0.553</v>
      </c>
      <c r="F72">
        <f>IFERROR(__xludf.DUMMYFUNCTION("""COMPUTED_VALUE"""),0.582)</f>
        <v>0.582</v>
      </c>
      <c r="G72">
        <f>IFERROR(__xludf.DUMMYFUNCTION("""COMPUTED_VALUE"""),0.64)</f>
        <v>0.64</v>
      </c>
      <c r="H72">
        <f>IFERROR(__xludf.DUMMYFUNCTION("""COMPUTED_VALUE"""),0.635)</f>
        <v>0.635</v>
      </c>
      <c r="I72">
        <f>IFERROR(__xludf.DUMMYFUNCTION("""COMPUTED_VALUE"""),0.753)</f>
        <v>0.753</v>
      </c>
      <c r="J72">
        <f>IFERROR(__xludf.DUMMYFUNCTION("""COMPUTED_VALUE"""),0.953)</f>
        <v>0.953</v>
      </c>
      <c r="K72">
        <f>IFERROR(__xludf.DUMMYFUNCTION("""COMPUTED_VALUE"""),0.889)</f>
        <v>0.889</v>
      </c>
    </row>
    <row r="73">
      <c r="A73" t="str">
        <f>IFERROR(__xludf.DUMMYFUNCTION("""COMPUTED_VALUE"""),"Guyana")</f>
        <v>Guyana</v>
      </c>
      <c r="B73">
        <f>IFERROR(__xludf.DUMMYFUNCTION("""COMPUTED_VALUE"""),1.497)</f>
        <v>1.497</v>
      </c>
      <c r="C73">
        <f>IFERROR(__xludf.DUMMYFUNCTION("""COMPUTED_VALUE"""),1.504)</f>
        <v>1.504</v>
      </c>
      <c r="D73">
        <f>IFERROR(__xludf.DUMMYFUNCTION("""COMPUTED_VALUE"""),1.555)</f>
        <v>1.555</v>
      </c>
      <c r="E73">
        <f>IFERROR(__xludf.DUMMYFUNCTION("""COMPUTED_VALUE"""),1.592)</f>
        <v>1.592</v>
      </c>
      <c r="F73">
        <f>IFERROR(__xludf.DUMMYFUNCTION("""COMPUTED_VALUE"""),1.657)</f>
        <v>1.657</v>
      </c>
      <c r="G73">
        <f>IFERROR(__xludf.DUMMYFUNCTION("""COMPUTED_VALUE"""),1.712)</f>
        <v>1.712</v>
      </c>
      <c r="H73">
        <f>IFERROR(__xludf.DUMMYFUNCTION("""COMPUTED_VALUE"""),1.899)</f>
        <v>1.899</v>
      </c>
      <c r="I73">
        <f>IFERROR(__xludf.DUMMYFUNCTION("""COMPUTED_VALUE"""),2.225)</f>
        <v>2.225</v>
      </c>
      <c r="J73">
        <f>IFERROR(__xludf.DUMMYFUNCTION("""COMPUTED_VALUE"""),2.491)</f>
        <v>2.491</v>
      </c>
      <c r="K73">
        <f>IFERROR(__xludf.DUMMYFUNCTION("""COMPUTED_VALUE"""),2.596)</f>
        <v>2.596</v>
      </c>
    </row>
    <row r="74">
      <c r="A74" t="str">
        <f>IFERROR(__xludf.DUMMYFUNCTION("""COMPUTED_VALUE"""),"Haïti")</f>
        <v>Haïti</v>
      </c>
      <c r="B74">
        <f>IFERROR(__xludf.DUMMYFUNCTION("""COMPUTED_VALUE"""),6.81)</f>
        <v>6.81</v>
      </c>
      <c r="C74">
        <f>IFERROR(__xludf.DUMMYFUNCTION("""COMPUTED_VALUE"""),6.285)</f>
        <v>6.285</v>
      </c>
      <c r="D74">
        <f>IFERROR(__xludf.DUMMYFUNCTION("""COMPUTED_VALUE"""),6.064)</f>
        <v>6.064</v>
      </c>
      <c r="E74">
        <f>IFERROR(__xludf.DUMMYFUNCTION("""COMPUTED_VALUE"""),4.866)</f>
        <v>4.866</v>
      </c>
      <c r="F74">
        <f>IFERROR(__xludf.DUMMYFUNCTION("""COMPUTED_VALUE"""),6.037)</f>
        <v>6.037</v>
      </c>
      <c r="G74">
        <f>IFERROR(__xludf.DUMMYFUNCTION("""COMPUTED_VALUE"""),7.186)</f>
        <v>7.186</v>
      </c>
      <c r="H74">
        <f>IFERROR(__xludf.DUMMYFUNCTION("""COMPUTED_VALUE"""),7.507)</f>
        <v>7.507</v>
      </c>
      <c r="I74">
        <f>IFERROR(__xludf.DUMMYFUNCTION("""COMPUTED_VALUE"""),9.522)</f>
        <v>9.522</v>
      </c>
      <c r="J74">
        <f>IFERROR(__xludf.DUMMYFUNCTION("""COMPUTED_VALUE"""),10.488)</f>
        <v>10.488</v>
      </c>
      <c r="K74">
        <f>IFERROR(__xludf.DUMMYFUNCTION("""COMPUTED_VALUE"""),11.598)</f>
        <v>11.598</v>
      </c>
    </row>
    <row r="75">
      <c r="A75" t="str">
        <f>IFERROR(__xludf.DUMMYFUNCTION("""COMPUTED_VALUE"""),"Honduras")</f>
        <v>Honduras</v>
      </c>
      <c r="B75">
        <f>IFERROR(__xludf.DUMMYFUNCTION("""COMPUTED_VALUE"""),7.187)</f>
        <v>7.187</v>
      </c>
      <c r="C75">
        <f>IFERROR(__xludf.DUMMYFUNCTION("""COMPUTED_VALUE"""),7.651)</f>
        <v>7.651</v>
      </c>
      <c r="D75">
        <f>IFERROR(__xludf.DUMMYFUNCTION("""COMPUTED_VALUE"""),7.858)</f>
        <v>7.858</v>
      </c>
      <c r="E75">
        <f>IFERROR(__xludf.DUMMYFUNCTION("""COMPUTED_VALUE"""),8.23)</f>
        <v>8.23</v>
      </c>
      <c r="F75">
        <f>IFERROR(__xludf.DUMMYFUNCTION("""COMPUTED_VALUE"""),8.869)</f>
        <v>8.869</v>
      </c>
      <c r="G75">
        <f>IFERROR(__xludf.DUMMYFUNCTION("""COMPUTED_VALUE"""),9.757)</f>
        <v>9.757</v>
      </c>
      <c r="H75">
        <f>IFERROR(__xludf.DUMMYFUNCTION("""COMPUTED_VALUE"""),10.917)</f>
        <v>10.917</v>
      </c>
      <c r="I75">
        <f>IFERROR(__xludf.DUMMYFUNCTION("""COMPUTED_VALUE"""),12.361)</f>
        <v>12.361</v>
      </c>
      <c r="J75">
        <f>IFERROR(__xludf.DUMMYFUNCTION("""COMPUTED_VALUE"""),13.882)</f>
        <v>13.882</v>
      </c>
      <c r="K75">
        <f>IFERROR(__xludf.DUMMYFUNCTION("""COMPUTED_VALUE"""),14.587)</f>
        <v>14.587</v>
      </c>
    </row>
    <row r="76">
      <c r="A76" t="str">
        <f>IFERROR(__xludf.DUMMYFUNCTION("""COMPUTED_VALUE"""),"Hong Kong")</f>
        <v>Hong Kong</v>
      </c>
      <c r="B76">
        <f>IFERROR(__xludf.DUMMYFUNCTION("""COMPUTED_VALUE"""),171.643)</f>
        <v>171.643</v>
      </c>
      <c r="C76">
        <f>IFERROR(__xludf.DUMMYFUNCTION("""COMPUTED_VALUE"""),169.381)</f>
        <v>169.381</v>
      </c>
      <c r="D76">
        <f>IFERROR(__xludf.DUMMYFUNCTION("""COMPUTED_VALUE"""),166.336)</f>
        <v>166.336</v>
      </c>
      <c r="E76">
        <f>IFERROR(__xludf.DUMMYFUNCTION("""COMPUTED_VALUE"""),161.37)</f>
        <v>161.37</v>
      </c>
      <c r="F76">
        <f>IFERROR(__xludf.DUMMYFUNCTION("""COMPUTED_VALUE"""),169.085)</f>
        <v>169.085</v>
      </c>
      <c r="G76">
        <f>IFERROR(__xludf.DUMMYFUNCTION("""COMPUTED_VALUE"""),181.556)</f>
        <v>181.556</v>
      </c>
      <c r="H76">
        <f>IFERROR(__xludf.DUMMYFUNCTION("""COMPUTED_VALUE"""),193.515)</f>
        <v>193.515</v>
      </c>
      <c r="I76">
        <f>IFERROR(__xludf.DUMMYFUNCTION("""COMPUTED_VALUE"""),211.583)</f>
        <v>211.583</v>
      </c>
      <c r="J76">
        <f>IFERROR(__xludf.DUMMYFUNCTION("""COMPUTED_VALUE"""),219.279)</f>
        <v>219.279</v>
      </c>
      <c r="K76">
        <f>IFERROR(__xludf.DUMMYFUNCTION("""COMPUTED_VALUE"""),214.048)</f>
        <v>214.048</v>
      </c>
    </row>
    <row r="77">
      <c r="A77" t="str">
        <f>IFERROR(__xludf.DUMMYFUNCTION("""COMPUTED_VALUE"""),"Hongrie")</f>
        <v>Hongrie</v>
      </c>
      <c r="B77">
        <f>IFERROR(__xludf.DUMMYFUNCTION("""COMPUTED_VALUE"""),47.218)</f>
        <v>47.218</v>
      </c>
      <c r="C77">
        <f>IFERROR(__xludf.DUMMYFUNCTION("""COMPUTED_VALUE"""),53.75)</f>
        <v>53.75</v>
      </c>
      <c r="D77">
        <f>IFERROR(__xludf.DUMMYFUNCTION("""COMPUTED_VALUE"""),67.609)</f>
        <v>67.609</v>
      </c>
      <c r="E77">
        <f>IFERROR(__xludf.DUMMYFUNCTION("""COMPUTED_VALUE"""),85.285)</f>
        <v>85.285</v>
      </c>
      <c r="F77">
        <f>IFERROR(__xludf.DUMMYFUNCTION("""COMPUTED_VALUE"""),104.121)</f>
        <v>104.121</v>
      </c>
      <c r="G77">
        <f>IFERROR(__xludf.DUMMYFUNCTION("""COMPUTED_VALUE"""),113.211)</f>
        <v>113.211</v>
      </c>
      <c r="H77">
        <f>IFERROR(__xludf.DUMMYFUNCTION("""COMPUTED_VALUE"""),115.716)</f>
        <v>115.716</v>
      </c>
      <c r="I77">
        <f>IFERROR(__xludf.DUMMYFUNCTION("""COMPUTED_VALUE"""),140.187)</f>
        <v>140.187</v>
      </c>
      <c r="J77">
        <f>IFERROR(__xludf.DUMMYFUNCTION("""COMPUTED_VALUE"""),158.326)</f>
        <v>158.326</v>
      </c>
      <c r="K77">
        <f>IFERROR(__xludf.DUMMYFUNCTION("""COMPUTED_VALUE"""),131.069)</f>
        <v>131.069</v>
      </c>
    </row>
    <row r="78">
      <c r="A78" t="str">
        <f>IFERROR(__xludf.DUMMYFUNCTION("""COMPUTED_VALUE"""),"Islande")</f>
        <v>Islande</v>
      </c>
      <c r="B78">
        <f>IFERROR(__xludf.DUMMYFUNCTION("""COMPUTED_VALUE"""),9.026)</f>
        <v>9.026</v>
      </c>
      <c r="C78">
        <f>IFERROR(__xludf.DUMMYFUNCTION("""COMPUTED_VALUE"""),8.235)</f>
        <v>8.235</v>
      </c>
      <c r="D78">
        <f>IFERROR(__xludf.DUMMYFUNCTION("""COMPUTED_VALUE"""),9.318)</f>
        <v>9.318</v>
      </c>
      <c r="E78">
        <f>IFERROR(__xludf.DUMMYFUNCTION("""COMPUTED_VALUE"""),11.429)</f>
        <v>11.429</v>
      </c>
      <c r="F78">
        <f>IFERROR(__xludf.DUMMYFUNCTION("""COMPUTED_VALUE"""),13.825)</f>
        <v>13.825</v>
      </c>
      <c r="G78">
        <f>IFERROR(__xludf.DUMMYFUNCTION("""COMPUTED_VALUE"""),16.853)</f>
        <v>16.853</v>
      </c>
      <c r="H78">
        <f>IFERROR(__xludf.DUMMYFUNCTION("""COMPUTED_VALUE"""),17.465)</f>
        <v>17.465</v>
      </c>
      <c r="I78">
        <f>IFERROR(__xludf.DUMMYFUNCTION("""COMPUTED_VALUE"""),21.653)</f>
        <v>21.653</v>
      </c>
      <c r="J78">
        <f>IFERROR(__xludf.DUMMYFUNCTION("""COMPUTED_VALUE"""),18.075)</f>
        <v>18.075</v>
      </c>
      <c r="K78">
        <f>IFERROR(__xludf.DUMMYFUNCTION("""COMPUTED_VALUE"""),13.154)</f>
        <v>13.154</v>
      </c>
    </row>
    <row r="79">
      <c r="A79" t="str">
        <f>IFERROR(__xludf.DUMMYFUNCTION("""COMPUTED_VALUE"""),"Inde")</f>
        <v>Inde</v>
      </c>
      <c r="B79">
        <f>IFERROR(__xludf.DUMMYFUNCTION("""COMPUTED_VALUE"""),476.61)</f>
        <v>476.61</v>
      </c>
      <c r="C79">
        <f>IFERROR(__xludf.DUMMYFUNCTION("""COMPUTED_VALUE"""),493.953)</f>
        <v>493.953</v>
      </c>
      <c r="D79">
        <f>IFERROR(__xludf.DUMMYFUNCTION("""COMPUTED_VALUE"""),523.97)</f>
        <v>523.97</v>
      </c>
      <c r="E79">
        <f>IFERROR(__xludf.DUMMYFUNCTION("""COMPUTED_VALUE"""),618.358)</f>
        <v>618.358</v>
      </c>
      <c r="F79">
        <f>IFERROR(__xludf.DUMMYFUNCTION("""COMPUTED_VALUE"""),721.589)</f>
        <v>721.589</v>
      </c>
      <c r="G79">
        <f>IFERROR(__xludf.DUMMYFUNCTION("""COMPUTED_VALUE"""),834.217)</f>
        <v>834.217</v>
      </c>
      <c r="H79">
        <f>IFERROR(__xludf.DUMMYFUNCTION("""COMPUTED_VALUE"""),949.117)</f>
        <v>949.117</v>
      </c>
      <c r="I79">
        <f>IFERROR(__xludf.DUMMYFUNCTION("""COMPUTED_VALUE"""),1238.7)</f>
        <v>1238.7</v>
      </c>
      <c r="J79">
        <f>IFERROR(__xludf.DUMMYFUNCTION("""COMPUTED_VALUE"""),1224.096)</f>
        <v>1224.096</v>
      </c>
      <c r="K79">
        <f>IFERROR(__xludf.DUMMYFUNCTION("""COMPUTED_VALUE"""),1365.373)</f>
        <v>1365.373</v>
      </c>
    </row>
    <row r="80">
      <c r="A80" t="str">
        <f>IFERROR(__xludf.DUMMYFUNCTION("""COMPUTED_VALUE"""),"Indonésie")</f>
        <v>Indonésie</v>
      </c>
      <c r="B80">
        <f>IFERROR(__xludf.DUMMYFUNCTION("""COMPUTED_VALUE"""),179.482)</f>
        <v>179.482</v>
      </c>
      <c r="C80">
        <f>IFERROR(__xludf.DUMMYFUNCTION("""COMPUTED_VALUE"""),174.507)</f>
        <v>174.507</v>
      </c>
      <c r="D80">
        <f>IFERROR(__xludf.DUMMYFUNCTION("""COMPUTED_VALUE"""),212.807)</f>
        <v>212.807</v>
      </c>
      <c r="E80">
        <f>IFERROR(__xludf.DUMMYFUNCTION("""COMPUTED_VALUE"""),255.428)</f>
        <v>255.428</v>
      </c>
      <c r="F80">
        <f>IFERROR(__xludf.DUMMYFUNCTION("""COMPUTED_VALUE"""),279.556)</f>
        <v>279.556</v>
      </c>
      <c r="G80">
        <f>IFERROR(__xludf.DUMMYFUNCTION("""COMPUTED_VALUE"""),310.815)</f>
        <v>310.815</v>
      </c>
      <c r="H80">
        <f>IFERROR(__xludf.DUMMYFUNCTION("""COMPUTED_VALUE"""),396.293)</f>
        <v>396.293</v>
      </c>
      <c r="I80">
        <f>IFERROR(__xludf.DUMMYFUNCTION("""COMPUTED_VALUE"""),470.144)</f>
        <v>470.144</v>
      </c>
      <c r="J80">
        <f>IFERROR(__xludf.DUMMYFUNCTION("""COMPUTED_VALUE"""),558.582)</f>
        <v>558.582</v>
      </c>
      <c r="K80">
        <f>IFERROR(__xludf.DUMMYFUNCTION("""COMPUTED_VALUE"""),577.539)</f>
        <v>577.539</v>
      </c>
    </row>
    <row r="81">
      <c r="A81" t="str">
        <f>IFERROR(__xludf.DUMMYFUNCTION("""COMPUTED_VALUE"""),"Iran")</f>
        <v>Iran</v>
      </c>
      <c r="B81">
        <f>IFERROR(__xludf.DUMMYFUNCTION("""COMPUTED_VALUE"""),366.917)</f>
        <v>366.917</v>
      </c>
      <c r="C81">
        <f>IFERROR(__xludf.DUMMYFUNCTION("""COMPUTED_VALUE"""),330.978)</f>
        <v>330.978</v>
      </c>
      <c r="D81">
        <f>IFERROR(__xludf.DUMMYFUNCTION("""COMPUTED_VALUE"""),132.682)</f>
        <v>132.682</v>
      </c>
      <c r="E81">
        <f>IFERROR(__xludf.DUMMYFUNCTION("""COMPUTED_VALUE"""),158.416)</f>
        <v>158.416</v>
      </c>
      <c r="F81">
        <f>IFERROR(__xludf.DUMMYFUNCTION("""COMPUTED_VALUE"""),188.961)</f>
        <v>188.961</v>
      </c>
      <c r="G81">
        <f>IFERROR(__xludf.DUMMYFUNCTION("""COMPUTED_VALUE"""),228.428)</f>
        <v>228.428</v>
      </c>
      <c r="H81">
        <f>IFERROR(__xludf.DUMMYFUNCTION("""COMPUTED_VALUE"""),272.361)</f>
        <v>272.361</v>
      </c>
      <c r="I81">
        <f>IFERROR(__xludf.DUMMYFUNCTION("""COMPUTED_VALUE"""),360.928)</f>
        <v>360.928</v>
      </c>
      <c r="J81">
        <f>IFERROR(__xludf.DUMMYFUNCTION("""COMPUTED_VALUE"""),425.699)</f>
        <v>425.699</v>
      </c>
      <c r="K81">
        <f>IFERROR(__xludf.DUMMYFUNCTION("""COMPUTED_VALUE"""),440.408)</f>
        <v>440.408</v>
      </c>
    </row>
    <row r="82">
      <c r="A82" t="str">
        <f>IFERROR(__xludf.DUMMYFUNCTION("""COMPUTED_VALUE"""),"Irak")</f>
        <v>Irak</v>
      </c>
      <c r="B82">
        <f>IFERROR(__xludf.DUMMYFUNCTION("""COMPUTED_VALUE"""),25.857)</f>
        <v>25.857</v>
      </c>
      <c r="C82">
        <f>IFERROR(__xludf.DUMMYFUNCTION("""COMPUTED_VALUE"""),18.936)</f>
        <v>18.936</v>
      </c>
      <c r="D82">
        <f>IFERROR(__xludf.DUMMYFUNCTION("""COMPUTED_VALUE"""),18.97)</f>
        <v>18.97</v>
      </c>
      <c r="E82">
        <f>IFERROR(__xludf.DUMMYFUNCTION("""COMPUTED_VALUE"""),15.8)</f>
        <v>15.8</v>
      </c>
      <c r="F82">
        <f>IFERROR(__xludf.DUMMYFUNCTION("""COMPUTED_VALUE"""),36.642)</f>
        <v>36.642</v>
      </c>
      <c r="G82">
        <f>IFERROR(__xludf.DUMMYFUNCTION("""COMPUTED_VALUE"""),50.065)</f>
        <v>50.065</v>
      </c>
      <c r="H82">
        <f>IFERROR(__xludf.DUMMYFUNCTION("""COMPUTED_VALUE"""),65.144)</f>
        <v>65.144</v>
      </c>
      <c r="I82">
        <f>IFERROR(__xludf.DUMMYFUNCTION("""COMPUTED_VALUE"""),88.833)</f>
        <v>88.833</v>
      </c>
      <c r="J82">
        <f>IFERROR(__xludf.DUMMYFUNCTION("""COMPUTED_VALUE"""),131.614)</f>
        <v>131.614</v>
      </c>
      <c r="K82">
        <f>IFERROR(__xludf.DUMMYFUNCTION("""COMPUTED_VALUE"""),111.66)</f>
        <v>111.66</v>
      </c>
    </row>
    <row r="83">
      <c r="A83" t="str">
        <f>IFERROR(__xludf.DUMMYFUNCTION("""COMPUTED_VALUE"""),"Irlande")</f>
        <v>Irlande</v>
      </c>
      <c r="B83">
        <f>IFERROR(__xludf.DUMMYFUNCTION("""COMPUTED_VALUE"""),100.253)</f>
        <v>100.253</v>
      </c>
      <c r="C83">
        <f>IFERROR(__xludf.DUMMYFUNCTION("""COMPUTED_VALUE"""),109.347)</f>
        <v>109.347</v>
      </c>
      <c r="D83">
        <f>IFERROR(__xludf.DUMMYFUNCTION("""COMPUTED_VALUE"""),128.505)</f>
        <v>128.505</v>
      </c>
      <c r="E83">
        <f>IFERROR(__xludf.DUMMYFUNCTION("""COMPUTED_VALUE"""),164.63)</f>
        <v>164.63</v>
      </c>
      <c r="F83">
        <f>IFERROR(__xludf.DUMMYFUNCTION("""COMPUTED_VALUE"""),194.283)</f>
        <v>194.283</v>
      </c>
      <c r="G83">
        <f>IFERROR(__xludf.DUMMYFUNCTION("""COMPUTED_VALUE"""),211.993)</f>
        <v>211.993</v>
      </c>
      <c r="H83">
        <f>IFERROR(__xludf.DUMMYFUNCTION("""COMPUTED_VALUE"""),232.193)</f>
        <v>232.193</v>
      </c>
      <c r="I83">
        <f>IFERROR(__xludf.DUMMYFUNCTION("""COMPUTED_VALUE"""),270.112)</f>
        <v>270.112</v>
      </c>
      <c r="J83">
        <f>IFERROR(__xludf.DUMMYFUNCTION("""COMPUTED_VALUE"""),275.417)</f>
        <v>275.417</v>
      </c>
      <c r="K83">
        <f>IFERROR(__xludf.DUMMYFUNCTION("""COMPUTED_VALUE"""),236.187)</f>
        <v>236.187</v>
      </c>
    </row>
    <row r="84">
      <c r="A84" t="str">
        <f>IFERROR(__xludf.DUMMYFUNCTION("""COMPUTED_VALUE"""),"Israël")</f>
        <v>Israël</v>
      </c>
      <c r="B84">
        <f>IFERROR(__xludf.DUMMYFUNCTION("""COMPUTED_VALUE"""),136.034)</f>
        <v>136.034</v>
      </c>
      <c r="C84">
        <f>IFERROR(__xludf.DUMMYFUNCTION("""COMPUTED_VALUE"""),134.637)</f>
        <v>134.637</v>
      </c>
      <c r="D84">
        <f>IFERROR(__xludf.DUMMYFUNCTION("""COMPUTED_VALUE"""),125.06)</f>
        <v>125.06</v>
      </c>
      <c r="E84">
        <f>IFERROR(__xludf.DUMMYFUNCTION("""COMPUTED_VALUE"""),131.299)</f>
        <v>131.299</v>
      </c>
      <c r="F84">
        <f>IFERROR(__xludf.DUMMYFUNCTION("""COMPUTED_VALUE"""),139.974)</f>
        <v>139.974</v>
      </c>
      <c r="G84">
        <f>IFERROR(__xludf.DUMMYFUNCTION("""COMPUTED_VALUE"""),147.084)</f>
        <v>147.084</v>
      </c>
      <c r="H84">
        <f>IFERROR(__xludf.DUMMYFUNCTION("""COMPUTED_VALUE"""),158.67)</f>
        <v>158.67</v>
      </c>
      <c r="I84">
        <f>IFERROR(__xludf.DUMMYFUNCTION("""COMPUTED_VALUE"""),184.053)</f>
        <v>184.053</v>
      </c>
      <c r="J84">
        <f>IFERROR(__xludf.DUMMYFUNCTION("""COMPUTED_VALUE"""),220.53)</f>
        <v>220.53</v>
      </c>
      <c r="K84">
        <f>IFERROR(__xludf.DUMMYFUNCTION("""COMPUTED_VALUE"""),211.968)</f>
        <v>211.968</v>
      </c>
    </row>
    <row r="85">
      <c r="A85" t="str">
        <f>IFERROR(__xludf.DUMMYFUNCTION("""COMPUTED_VALUE"""),"Italie")</f>
        <v>Italie</v>
      </c>
      <c r="B85">
        <f>IFERROR(__xludf.DUMMYFUNCTION("""COMPUTED_VALUE"""),1147.183)</f>
        <v>1147.183</v>
      </c>
      <c r="C85">
        <f>IFERROR(__xludf.DUMMYFUNCTION("""COMPUTED_VALUE"""),1168.032)</f>
        <v>1168.032</v>
      </c>
      <c r="D85">
        <f>IFERROR(__xludf.DUMMYFUNCTION("""COMPUTED_VALUE"""),1275.867)</f>
        <v>1275.867</v>
      </c>
      <c r="E85">
        <f>IFERROR(__xludf.DUMMYFUNCTION("""COMPUTED_VALUE"""),1577.228)</f>
        <v>1577.228</v>
      </c>
      <c r="F85">
        <f>IFERROR(__xludf.DUMMYFUNCTION("""COMPUTED_VALUE"""),1805.723)</f>
        <v>1805.723</v>
      </c>
      <c r="G85">
        <f>IFERROR(__xludf.DUMMYFUNCTION("""COMPUTED_VALUE"""),1859.244)</f>
        <v>1859.244</v>
      </c>
      <c r="H85">
        <f>IFERROR(__xludf.DUMMYFUNCTION("""COMPUTED_VALUE"""),1949.657)</f>
        <v>1949.657</v>
      </c>
      <c r="I85">
        <f>IFERROR(__xludf.DUMMYFUNCTION("""COMPUTED_VALUE"""),2213.364)</f>
        <v>2213.364</v>
      </c>
      <c r="J85">
        <f>IFERROR(__xludf.DUMMYFUNCTION("""COMPUTED_VALUE"""),2408.392)</f>
        <v>2408.392</v>
      </c>
      <c r="K85">
        <f>IFERROR(__xludf.DUMMYFUNCTION("""COMPUTED_VALUE"""),2197.54)</f>
        <v>2197.54</v>
      </c>
    </row>
    <row r="86">
      <c r="A86" t="str">
        <f>IFERROR(__xludf.DUMMYFUNCTION("""COMPUTED_VALUE"""),"Jamaïque")</f>
        <v>Jamaïque</v>
      </c>
      <c r="B86">
        <f>IFERROR(__xludf.DUMMYFUNCTION("""COMPUTED_VALUE"""),9.065)</f>
        <v>9.065</v>
      </c>
      <c r="C86">
        <f>IFERROR(__xludf.DUMMYFUNCTION("""COMPUTED_VALUE"""),9.195)</f>
        <v>9.195</v>
      </c>
      <c r="D86">
        <f>IFERROR(__xludf.DUMMYFUNCTION("""COMPUTED_VALUE"""),9.719)</f>
        <v>9.719</v>
      </c>
      <c r="E86">
        <f>IFERROR(__xludf.DUMMYFUNCTION("""COMPUTED_VALUE"""),9.43)</f>
        <v>9.43</v>
      </c>
      <c r="F86">
        <f>IFERROR(__xludf.DUMMYFUNCTION("""COMPUTED_VALUE"""),10.175)</f>
        <v>10.175</v>
      </c>
      <c r="G86">
        <f>IFERROR(__xludf.DUMMYFUNCTION("""COMPUTED_VALUE"""),11.233)</f>
        <v>11.233</v>
      </c>
      <c r="H86">
        <f>IFERROR(__xludf.DUMMYFUNCTION("""COMPUTED_VALUE"""),11.946)</f>
        <v>11.946</v>
      </c>
      <c r="I86">
        <f>IFERROR(__xludf.DUMMYFUNCTION("""COMPUTED_VALUE"""),12.881)</f>
        <v>12.881</v>
      </c>
      <c r="J86">
        <f>IFERROR(__xludf.DUMMYFUNCTION("""COMPUTED_VALUE"""),13.743)</f>
        <v>13.743</v>
      </c>
      <c r="K86">
        <f>IFERROR(__xludf.DUMMYFUNCTION("""COMPUTED_VALUE"""),12.107)</f>
        <v>12.107</v>
      </c>
    </row>
    <row r="87">
      <c r="A87" t="str">
        <f>IFERROR(__xludf.DUMMYFUNCTION("""COMPUTED_VALUE"""),"Japon")</f>
        <v>Japon</v>
      </c>
      <c r="B87">
        <f>IFERROR(__xludf.DUMMYFUNCTION("""COMPUTED_VALUE"""),4968.36)</f>
        <v>4968.36</v>
      </c>
      <c r="C87">
        <f>IFERROR(__xludf.DUMMYFUNCTION("""COMPUTED_VALUE"""),4374.71)</f>
        <v>4374.71</v>
      </c>
      <c r="D87">
        <f>IFERROR(__xludf.DUMMYFUNCTION("""COMPUTED_VALUE"""),4182.845)</f>
        <v>4182.845</v>
      </c>
      <c r="E87">
        <f>IFERROR(__xludf.DUMMYFUNCTION("""COMPUTED_VALUE"""),4519.564)</f>
        <v>4519.564</v>
      </c>
      <c r="F87">
        <f>IFERROR(__xludf.DUMMYFUNCTION("""COMPUTED_VALUE"""),4893.135)</f>
        <v>4893.135</v>
      </c>
      <c r="G87">
        <f>IFERROR(__xludf.DUMMYFUNCTION("""COMPUTED_VALUE"""),4831.467)</f>
        <v>4831.467</v>
      </c>
      <c r="H87">
        <f>IFERROR(__xludf.DUMMYFUNCTION("""COMPUTED_VALUE"""),4601.663)</f>
        <v>4601.663</v>
      </c>
      <c r="I87">
        <f>IFERROR(__xludf.DUMMYFUNCTION("""COMPUTED_VALUE"""),4579.75)</f>
        <v>4579.75</v>
      </c>
      <c r="J87">
        <f>IFERROR(__xludf.DUMMYFUNCTION("""COMPUTED_VALUE"""),5106.679)</f>
        <v>5106.679</v>
      </c>
      <c r="K87">
        <f>IFERROR(__xludf.DUMMYFUNCTION("""COMPUTED_VALUE"""),5289.494)</f>
        <v>5289.494</v>
      </c>
    </row>
    <row r="88">
      <c r="A88" t="str">
        <f>IFERROR(__xludf.DUMMYFUNCTION("""COMPUTED_VALUE"""),"Jordanie")</f>
        <v>Jordanie</v>
      </c>
      <c r="B88">
        <f>IFERROR(__xludf.DUMMYFUNCTION("""COMPUTED_VALUE"""),8.725)</f>
        <v>8.725</v>
      </c>
      <c r="C88">
        <f>IFERROR(__xludf.DUMMYFUNCTION("""COMPUTED_VALUE"""),9.268)</f>
        <v>9.268</v>
      </c>
      <c r="D88">
        <f>IFERROR(__xludf.DUMMYFUNCTION("""COMPUTED_VALUE"""),9.972)</f>
        <v>9.972</v>
      </c>
      <c r="E88">
        <f>IFERROR(__xludf.DUMMYFUNCTION("""COMPUTED_VALUE"""),10.575)</f>
        <v>10.575</v>
      </c>
      <c r="F88">
        <f>IFERROR(__xludf.DUMMYFUNCTION("""COMPUTED_VALUE"""),11.771)</f>
        <v>11.771</v>
      </c>
      <c r="G88">
        <f>IFERROR(__xludf.DUMMYFUNCTION("""COMPUTED_VALUE"""),13.134)</f>
        <v>13.134</v>
      </c>
      <c r="H88">
        <f>IFERROR(__xludf.DUMMYFUNCTION("""COMPUTED_VALUE"""),15.795)</f>
        <v>15.795</v>
      </c>
      <c r="I88">
        <f>IFERROR(__xludf.DUMMYFUNCTION("""COMPUTED_VALUE"""),17.957)</f>
        <v>17.957</v>
      </c>
      <c r="J88">
        <f>IFERROR(__xludf.DUMMYFUNCTION("""COMPUTED_VALUE"""),22.648)</f>
        <v>22.648</v>
      </c>
      <c r="K88">
        <f>IFERROR(__xludf.DUMMYFUNCTION("""COMPUTED_VALUE"""),24.538)</f>
        <v>24.538</v>
      </c>
    </row>
    <row r="89">
      <c r="A89" t="str">
        <f>IFERROR(__xludf.DUMMYFUNCTION("""COMPUTED_VALUE"""),"Kazakhstan")</f>
        <v>Kazakhstan</v>
      </c>
      <c r="B89">
        <f>IFERROR(__xludf.DUMMYFUNCTION("""COMPUTED_VALUE"""),18.292)</f>
        <v>18.292</v>
      </c>
      <c r="C89">
        <f>IFERROR(__xludf.DUMMYFUNCTION("""COMPUTED_VALUE"""),22.153)</f>
        <v>22.153</v>
      </c>
      <c r="D89">
        <f>IFERROR(__xludf.DUMMYFUNCTION("""COMPUTED_VALUE"""),24.637)</f>
        <v>24.637</v>
      </c>
      <c r="E89">
        <f>IFERROR(__xludf.DUMMYFUNCTION("""COMPUTED_VALUE"""),30.834)</f>
        <v>30.834</v>
      </c>
      <c r="F89">
        <f>IFERROR(__xludf.DUMMYFUNCTION("""COMPUTED_VALUE"""),43.152)</f>
        <v>43.152</v>
      </c>
      <c r="G89">
        <f>IFERROR(__xludf.DUMMYFUNCTION("""COMPUTED_VALUE"""),57.125)</f>
        <v>57.125</v>
      </c>
      <c r="H89">
        <f>IFERROR(__xludf.DUMMYFUNCTION("""COMPUTED_VALUE"""),81.003)</f>
        <v>81.003</v>
      </c>
      <c r="I89">
        <f>IFERROR(__xludf.DUMMYFUNCTION("""COMPUTED_VALUE"""),104.85)</f>
        <v>104.85</v>
      </c>
      <c r="J89">
        <f>IFERROR(__xludf.DUMMYFUNCTION("""COMPUTED_VALUE"""),133.442)</f>
        <v>133.442</v>
      </c>
      <c r="K89">
        <f>IFERROR(__xludf.DUMMYFUNCTION("""COMPUTED_VALUE"""),115.309)</f>
        <v>115.309</v>
      </c>
    </row>
    <row r="90">
      <c r="A90" t="str">
        <f>IFERROR(__xludf.DUMMYFUNCTION("""COMPUTED_VALUE"""),"Kenya")</f>
        <v>Kenya</v>
      </c>
      <c r="B90">
        <f>IFERROR(__xludf.DUMMYFUNCTION("""COMPUTED_VALUE"""),18.206)</f>
        <v>18.206</v>
      </c>
      <c r="C90">
        <f>IFERROR(__xludf.DUMMYFUNCTION("""COMPUTED_VALUE"""),18.697)</f>
        <v>18.697</v>
      </c>
      <c r="D90">
        <f>IFERROR(__xludf.DUMMYFUNCTION("""COMPUTED_VALUE"""),19.03)</f>
        <v>19.03</v>
      </c>
      <c r="E90">
        <f>IFERROR(__xludf.DUMMYFUNCTION("""COMPUTED_VALUE"""),21.391)</f>
        <v>21.391</v>
      </c>
      <c r="F90">
        <f>IFERROR(__xludf.DUMMYFUNCTION("""COMPUTED_VALUE"""),22.79)</f>
        <v>22.79</v>
      </c>
      <c r="G90">
        <f>IFERROR(__xludf.DUMMYFUNCTION("""COMPUTED_VALUE"""),26.308)</f>
        <v>26.308</v>
      </c>
      <c r="H90">
        <f>IFERROR(__xludf.DUMMYFUNCTION("""COMPUTED_VALUE"""),29.668)</f>
        <v>29.668</v>
      </c>
      <c r="I90">
        <f>IFERROR(__xludf.DUMMYFUNCTION("""COMPUTED_VALUE"""),36.708)</f>
        <v>36.708</v>
      </c>
      <c r="J90">
        <f>IFERROR(__xludf.DUMMYFUNCTION("""COMPUTED_VALUE"""),41.059)</f>
        <v>41.059</v>
      </c>
      <c r="K90">
        <f>IFERROR(__xludf.DUMMYFUNCTION("""COMPUTED_VALUE"""),42.347)</f>
        <v>42.347</v>
      </c>
    </row>
    <row r="91">
      <c r="A91" t="str">
        <f>IFERROR(__xludf.DUMMYFUNCTION("""COMPUTED_VALUE"""),"Kiribati")</f>
        <v>Kiribati</v>
      </c>
      <c r="B91">
        <f>IFERROR(__xludf.DUMMYFUNCTION("""COMPUTED_VALUE"""),0.068)</f>
        <v>0.068</v>
      </c>
      <c r="C91">
        <f>IFERROR(__xludf.DUMMYFUNCTION("""COMPUTED_VALUE"""),0.063)</f>
        <v>0.063</v>
      </c>
      <c r="D91">
        <f>IFERROR(__xludf.DUMMYFUNCTION("""COMPUTED_VALUE"""),0.072)</f>
        <v>0.072</v>
      </c>
      <c r="E91">
        <f>IFERROR(__xludf.DUMMYFUNCTION("""COMPUTED_VALUE"""),0.091)</f>
        <v>0.091</v>
      </c>
      <c r="F91">
        <f>IFERROR(__xludf.DUMMYFUNCTION("""COMPUTED_VALUE"""),0.103)</f>
        <v>0.103</v>
      </c>
      <c r="G91">
        <f>IFERROR(__xludf.DUMMYFUNCTION("""COMPUTED_VALUE"""),0.112)</f>
        <v>0.112</v>
      </c>
      <c r="H91">
        <f>IFERROR(__xludf.DUMMYFUNCTION("""COMPUTED_VALUE"""),0.11)</f>
        <v>0.11</v>
      </c>
      <c r="I91">
        <f>IFERROR(__xludf.DUMMYFUNCTION("""COMPUTED_VALUE"""),0.133)</f>
        <v>0.133</v>
      </c>
      <c r="J91">
        <f>IFERROR(__xludf.DUMMYFUNCTION("""COMPUTED_VALUE"""),0.144)</f>
        <v>0.144</v>
      </c>
      <c r="K91">
        <f>IFERROR(__xludf.DUMMYFUNCTION("""COMPUTED_VALUE"""),0.134)</f>
        <v>0.134</v>
      </c>
    </row>
    <row r="92">
      <c r="A92" t="str">
        <f>IFERROR(__xludf.DUMMYFUNCTION("""COMPUTED_VALUE"""),"Corée du Sud")</f>
        <v>Corée du Sud</v>
      </c>
      <c r="B92">
        <f>IFERROR(__xludf.DUMMYFUNCTION("""COMPUTED_VALUE"""),576.483)</f>
        <v>576.483</v>
      </c>
      <c r="C92">
        <f>IFERROR(__xludf.DUMMYFUNCTION("""COMPUTED_VALUE"""),547.743)</f>
        <v>547.743</v>
      </c>
      <c r="D92">
        <f>IFERROR(__xludf.DUMMYFUNCTION("""COMPUTED_VALUE"""),626.989)</f>
        <v>626.989</v>
      </c>
      <c r="E92">
        <f>IFERROR(__xludf.DUMMYFUNCTION("""COMPUTED_VALUE"""),702.696)</f>
        <v>702.696</v>
      </c>
      <c r="F92">
        <f>IFERROR(__xludf.DUMMYFUNCTION("""COMPUTED_VALUE"""),792.532)</f>
        <v>792.532</v>
      </c>
      <c r="G92">
        <f>IFERROR(__xludf.DUMMYFUNCTION("""COMPUTED_VALUE"""),934.708)</f>
        <v>934.708</v>
      </c>
      <c r="H92">
        <f>IFERROR(__xludf.DUMMYFUNCTION("""COMPUTED_VALUE"""),1052.61)</f>
        <v>1052.61</v>
      </c>
      <c r="I92">
        <f>IFERROR(__xludf.DUMMYFUNCTION("""COMPUTED_VALUE"""),1172.465)</f>
        <v>1172.465</v>
      </c>
      <c r="J92">
        <f>IFERROR(__xludf.DUMMYFUNCTION("""COMPUTED_VALUE"""),1049.168)</f>
        <v>1049.168</v>
      </c>
      <c r="K92">
        <f>IFERROR(__xludf.DUMMYFUNCTION("""COMPUTED_VALUE"""),943.739)</f>
        <v>943.739</v>
      </c>
    </row>
    <row r="93">
      <c r="A93" t="str">
        <f>IFERROR(__xludf.DUMMYFUNCTION("""COMPUTED_VALUE"""),"Kosovo")</f>
        <v>Kosovo</v>
      </c>
      <c r="B93">
        <f>IFERROR(__xludf.DUMMYFUNCTION("""COMPUTED_VALUE"""),2.217)</f>
        <v>2.217</v>
      </c>
      <c r="C93">
        <f>IFERROR(__xludf.DUMMYFUNCTION("""COMPUTED_VALUE"""),2.509)</f>
        <v>2.509</v>
      </c>
      <c r="D93">
        <f>IFERROR(__xludf.DUMMYFUNCTION("""COMPUTED_VALUE"""),2.73)</f>
        <v>2.73</v>
      </c>
      <c r="E93">
        <f>IFERROR(__xludf.DUMMYFUNCTION("""COMPUTED_VALUE"""),3.39)</f>
        <v>3.39</v>
      </c>
      <c r="F93">
        <f>IFERROR(__xludf.DUMMYFUNCTION("""COMPUTED_VALUE"""),3.71)</f>
        <v>3.71</v>
      </c>
      <c r="G93">
        <f>IFERROR(__xludf.DUMMYFUNCTION("""COMPUTED_VALUE"""),3.828)</f>
        <v>3.828</v>
      </c>
      <c r="H93">
        <f>IFERROR(__xludf.DUMMYFUNCTION("""COMPUTED_VALUE"""),4.019)</f>
        <v>4.019</v>
      </c>
      <c r="I93">
        <f>IFERROR(__xludf.DUMMYFUNCTION("""COMPUTED_VALUE"""),4.868)</f>
        <v>4.868</v>
      </c>
      <c r="J93">
        <f>IFERROR(__xludf.DUMMYFUNCTION("""COMPUTED_VALUE"""),5.202)</f>
        <v>5.202</v>
      </c>
      <c r="K93">
        <f>IFERROR(__xludf.DUMMYFUNCTION("""COMPUTED_VALUE"""),5.03)</f>
        <v>5.03</v>
      </c>
    </row>
    <row r="94">
      <c r="A94" t="str">
        <f>IFERROR(__xludf.DUMMYFUNCTION("""COMPUTED_VALUE"""),"Koweït")</f>
        <v>Koweït</v>
      </c>
      <c r="B94">
        <f>IFERROR(__xludf.DUMMYFUNCTION("""COMPUTED_VALUE"""),37.714)</f>
        <v>37.714</v>
      </c>
      <c r="C94">
        <f>IFERROR(__xludf.DUMMYFUNCTION("""COMPUTED_VALUE"""),34.906)</f>
        <v>34.906</v>
      </c>
      <c r="D94">
        <f>IFERROR(__xludf.DUMMYFUNCTION("""COMPUTED_VALUE"""),38.129)</f>
        <v>38.129</v>
      </c>
      <c r="E94">
        <f>IFERROR(__xludf.DUMMYFUNCTION("""COMPUTED_VALUE"""),47.869)</f>
        <v>47.869</v>
      </c>
      <c r="F94">
        <f>IFERROR(__xludf.DUMMYFUNCTION("""COMPUTED_VALUE"""),59.439)</f>
        <v>59.439</v>
      </c>
      <c r="G94">
        <f>IFERROR(__xludf.DUMMYFUNCTION("""COMPUTED_VALUE"""),80.799)</f>
        <v>80.799</v>
      </c>
      <c r="H94">
        <f>IFERROR(__xludf.DUMMYFUNCTION("""COMPUTED_VALUE"""),101.548)</f>
        <v>101.548</v>
      </c>
      <c r="I94">
        <f>IFERROR(__xludf.DUMMYFUNCTION("""COMPUTED_VALUE"""),114.608)</f>
        <v>114.608</v>
      </c>
      <c r="J94">
        <f>IFERROR(__xludf.DUMMYFUNCTION("""COMPUTED_VALUE"""),147.391)</f>
        <v>147.391</v>
      </c>
      <c r="K94">
        <f>IFERROR(__xludf.DUMMYFUNCTION("""COMPUTED_VALUE"""),105.992)</f>
        <v>105.992</v>
      </c>
    </row>
    <row r="95">
      <c r="A95" t="str">
        <f>IFERROR(__xludf.DUMMYFUNCTION("""COMPUTED_VALUE"""),"Kirghizistan")</f>
        <v>Kirghizistan</v>
      </c>
      <c r="B95">
        <f>IFERROR(__xludf.DUMMYFUNCTION("""COMPUTED_VALUE"""),1.368)</f>
        <v>1.368</v>
      </c>
      <c r="C95">
        <f>IFERROR(__xludf.DUMMYFUNCTION("""COMPUTED_VALUE"""),1.525)</f>
        <v>1.525</v>
      </c>
      <c r="D95">
        <f>IFERROR(__xludf.DUMMYFUNCTION("""COMPUTED_VALUE"""),1.606)</f>
        <v>1.606</v>
      </c>
      <c r="E95">
        <f>IFERROR(__xludf.DUMMYFUNCTION("""COMPUTED_VALUE"""),1.92)</f>
        <v>1.92</v>
      </c>
      <c r="F95">
        <f>IFERROR(__xludf.DUMMYFUNCTION("""COMPUTED_VALUE"""),2.214)</f>
        <v>2.214</v>
      </c>
      <c r="G95">
        <f>IFERROR(__xludf.DUMMYFUNCTION("""COMPUTED_VALUE"""),2.459)</f>
        <v>2.459</v>
      </c>
      <c r="H95">
        <f>IFERROR(__xludf.DUMMYFUNCTION("""COMPUTED_VALUE"""),2.837)</f>
        <v>2.837</v>
      </c>
      <c r="I95">
        <f>IFERROR(__xludf.DUMMYFUNCTION("""COMPUTED_VALUE"""),3.807)</f>
        <v>3.807</v>
      </c>
      <c r="J95">
        <f>IFERROR(__xludf.DUMMYFUNCTION("""COMPUTED_VALUE"""),5.139)</f>
        <v>5.139</v>
      </c>
      <c r="K95">
        <f>IFERROR(__xludf.DUMMYFUNCTION("""COMPUTED_VALUE"""),4.69)</f>
        <v>4.69</v>
      </c>
    </row>
    <row r="96">
      <c r="A96" t="str">
        <f>IFERROR(__xludf.DUMMYFUNCTION("""COMPUTED_VALUE"""),"Laos")</f>
        <v>Laos</v>
      </c>
      <c r="B96">
        <f>IFERROR(__xludf.DUMMYFUNCTION("""COMPUTED_VALUE"""),1.72)</f>
        <v>1.72</v>
      </c>
      <c r="C96">
        <f>IFERROR(__xludf.DUMMYFUNCTION("""COMPUTED_VALUE"""),1.757)</f>
        <v>1.757</v>
      </c>
      <c r="D96">
        <f>IFERROR(__xludf.DUMMYFUNCTION("""COMPUTED_VALUE"""),1.844)</f>
        <v>1.844</v>
      </c>
      <c r="E96">
        <f>IFERROR(__xludf.DUMMYFUNCTION("""COMPUTED_VALUE"""),2.26)</f>
        <v>2.26</v>
      </c>
      <c r="F96">
        <f>IFERROR(__xludf.DUMMYFUNCTION("""COMPUTED_VALUE"""),2.651)</f>
        <v>2.651</v>
      </c>
      <c r="G96">
        <f>IFERROR(__xludf.DUMMYFUNCTION("""COMPUTED_VALUE"""),3.079)</f>
        <v>3.079</v>
      </c>
      <c r="H96">
        <f>IFERROR(__xludf.DUMMYFUNCTION("""COMPUTED_VALUE"""),3.934)</f>
        <v>3.934</v>
      </c>
      <c r="I96">
        <f>IFERROR(__xludf.DUMMYFUNCTION("""COMPUTED_VALUE"""),4.757)</f>
        <v>4.757</v>
      </c>
      <c r="J96">
        <f>IFERROR(__xludf.DUMMYFUNCTION("""COMPUTED_VALUE"""),5.946)</f>
        <v>5.946</v>
      </c>
      <c r="K96">
        <f>IFERROR(__xludf.DUMMYFUNCTION("""COMPUTED_VALUE"""),6.431)</f>
        <v>6.431</v>
      </c>
    </row>
    <row r="97">
      <c r="A97" t="str">
        <f>IFERROR(__xludf.DUMMYFUNCTION("""COMPUTED_VALUE"""),"Lettonie")</f>
        <v>Lettonie</v>
      </c>
      <c r="B97">
        <f>IFERROR(__xludf.DUMMYFUNCTION("""COMPUTED_VALUE"""),7.963)</f>
        <v>7.963</v>
      </c>
      <c r="C97">
        <f>IFERROR(__xludf.DUMMYFUNCTION("""COMPUTED_VALUE"""),8.363)</f>
        <v>8.363</v>
      </c>
      <c r="D97">
        <f>IFERROR(__xludf.DUMMYFUNCTION("""COMPUTED_VALUE"""),9.564)</f>
        <v>9.564</v>
      </c>
      <c r="E97">
        <f>IFERROR(__xludf.DUMMYFUNCTION("""COMPUTED_VALUE"""),11.777)</f>
        <v>11.777</v>
      </c>
      <c r="F97">
        <f>IFERROR(__xludf.DUMMYFUNCTION("""COMPUTED_VALUE"""),14.44)</f>
        <v>14.44</v>
      </c>
      <c r="G97">
        <f>IFERROR(__xludf.DUMMYFUNCTION("""COMPUTED_VALUE"""),17.03)</f>
        <v>17.03</v>
      </c>
      <c r="H97">
        <f>IFERROR(__xludf.DUMMYFUNCTION("""COMPUTED_VALUE"""),21.589)</f>
        <v>21.589</v>
      </c>
      <c r="I97">
        <f>IFERROR(__xludf.DUMMYFUNCTION("""COMPUTED_VALUE"""),31.1)</f>
        <v>31.1</v>
      </c>
      <c r="J97">
        <f>IFERROR(__xludf.DUMMYFUNCTION("""COMPUTED_VALUE"""),36.023)</f>
        <v>36.023</v>
      </c>
      <c r="K97">
        <f>IFERROR(__xludf.DUMMYFUNCTION("""COMPUTED_VALUE"""),26.48)</f>
        <v>26.48</v>
      </c>
    </row>
    <row r="98">
      <c r="A98" t="str">
        <f>IFERROR(__xludf.DUMMYFUNCTION("""COMPUTED_VALUE"""),"Liban")</f>
        <v>Liban</v>
      </c>
      <c r="B98">
        <f>IFERROR(__xludf.DUMMYFUNCTION("""COMPUTED_VALUE"""),17.018)</f>
        <v>17.018</v>
      </c>
      <c r="C98">
        <f>IFERROR(__xludf.DUMMYFUNCTION("""COMPUTED_VALUE"""),17.361)</f>
        <v>17.361</v>
      </c>
      <c r="D98">
        <f>IFERROR(__xludf.DUMMYFUNCTION("""COMPUTED_VALUE"""),18.837)</f>
        <v>18.837</v>
      </c>
      <c r="E98">
        <f>IFERROR(__xludf.DUMMYFUNCTION("""COMPUTED_VALUE"""),19.486)</f>
        <v>19.486</v>
      </c>
      <c r="F98">
        <f>IFERROR(__xludf.DUMMYFUNCTION("""COMPUTED_VALUE"""),21.16)</f>
        <v>21.16</v>
      </c>
      <c r="G98">
        <f>IFERROR(__xludf.DUMMYFUNCTION("""COMPUTED_VALUE"""),21.497)</f>
        <v>21.497</v>
      </c>
      <c r="H98">
        <f>IFERROR(__xludf.DUMMYFUNCTION("""COMPUTED_VALUE"""),22.023)</f>
        <v>22.023</v>
      </c>
      <c r="I98">
        <f>IFERROR(__xludf.DUMMYFUNCTION("""COMPUTED_VALUE"""),24.827)</f>
        <v>24.827</v>
      </c>
      <c r="J98">
        <f>IFERROR(__xludf.DUMMYFUNCTION("""COMPUTED_VALUE"""),29.119)</f>
        <v>29.119</v>
      </c>
      <c r="K98">
        <f>IFERROR(__xludf.DUMMYFUNCTION("""COMPUTED_VALUE"""),35.4)</f>
        <v>35.4</v>
      </c>
    </row>
    <row r="99">
      <c r="A99" t="str">
        <f>IFERROR(__xludf.DUMMYFUNCTION("""COMPUTED_VALUE"""),"Lesotho")</f>
        <v>Lesotho</v>
      </c>
      <c r="B99">
        <f>IFERROR(__xludf.DUMMYFUNCTION("""COMPUTED_VALUE"""),0.922)</f>
        <v>0.922</v>
      </c>
      <c r="C99">
        <f>IFERROR(__xludf.DUMMYFUNCTION("""COMPUTED_VALUE"""),0.774)</f>
        <v>0.774</v>
      </c>
      <c r="D99">
        <f>IFERROR(__xludf.DUMMYFUNCTION("""COMPUTED_VALUE"""),0.856)</f>
        <v>0.856</v>
      </c>
      <c r="E99">
        <f>IFERROR(__xludf.DUMMYFUNCTION("""COMPUTED_VALUE"""),1.256)</f>
        <v>1.256</v>
      </c>
      <c r="F99">
        <f>IFERROR(__xludf.DUMMYFUNCTION("""COMPUTED_VALUE"""),1.598)</f>
        <v>1.598</v>
      </c>
      <c r="G99">
        <f>IFERROR(__xludf.DUMMYFUNCTION("""COMPUTED_VALUE"""),1.73)</f>
        <v>1.73</v>
      </c>
      <c r="H99">
        <f>IFERROR(__xludf.DUMMYFUNCTION("""COMPUTED_VALUE"""),1.72)</f>
        <v>1.72</v>
      </c>
      <c r="I99">
        <f>IFERROR(__xludf.DUMMYFUNCTION("""COMPUTED_VALUE"""),1.759)</f>
        <v>1.759</v>
      </c>
      <c r="J99">
        <f>IFERROR(__xludf.DUMMYFUNCTION("""COMPUTED_VALUE"""),1.652)</f>
        <v>1.652</v>
      </c>
      <c r="K99">
        <f>IFERROR(__xludf.DUMMYFUNCTION("""COMPUTED_VALUE"""),1.937)</f>
        <v>1.937</v>
      </c>
    </row>
    <row r="100">
      <c r="A100" t="str">
        <f>IFERROR(__xludf.DUMMYFUNCTION("""COMPUTED_VALUE"""),"Liberia")</f>
        <v>Liberia</v>
      </c>
      <c r="B100">
        <f>IFERROR(__xludf.DUMMYFUNCTION("""COMPUTED_VALUE"""),0.863)</f>
        <v>0.863</v>
      </c>
      <c r="C100">
        <f>IFERROR(__xludf.DUMMYFUNCTION("""COMPUTED_VALUE"""),0.904)</f>
        <v>0.904</v>
      </c>
      <c r="D100">
        <f>IFERROR(__xludf.DUMMYFUNCTION("""COMPUTED_VALUE"""),0.943)</f>
        <v>0.943</v>
      </c>
      <c r="E100">
        <f>IFERROR(__xludf.DUMMYFUNCTION("""COMPUTED_VALUE"""),0.714)</f>
        <v>0.714</v>
      </c>
      <c r="F100">
        <f>IFERROR(__xludf.DUMMYFUNCTION("""COMPUTED_VALUE"""),0.897)</f>
        <v>0.897</v>
      </c>
      <c r="G100">
        <f>IFERROR(__xludf.DUMMYFUNCTION("""COMPUTED_VALUE"""),0.944)</f>
        <v>0.944</v>
      </c>
      <c r="H100">
        <f>IFERROR(__xludf.DUMMYFUNCTION("""COMPUTED_VALUE"""),1.109)</f>
        <v>1.109</v>
      </c>
      <c r="I100">
        <f>IFERROR(__xludf.DUMMYFUNCTION("""COMPUTED_VALUE"""),1.344)</f>
        <v>1.344</v>
      </c>
      <c r="J100">
        <f>IFERROR(__xludf.DUMMYFUNCTION("""COMPUTED_VALUE"""),1.676)</f>
        <v>1.676</v>
      </c>
      <c r="K100">
        <f>IFERROR(__xludf.DUMMYFUNCTION("""COMPUTED_VALUE"""),1.765)</f>
        <v>1.765</v>
      </c>
    </row>
    <row r="101">
      <c r="A101" t="str">
        <f>IFERROR(__xludf.DUMMYFUNCTION("""COMPUTED_VALUE"""),"Libye")</f>
        <v>Libye</v>
      </c>
      <c r="B101">
        <f>IFERROR(__xludf.DUMMYFUNCTION("""COMPUTED_VALUE"""),39.498)</f>
        <v>39.498</v>
      </c>
      <c r="C101">
        <f>IFERROR(__xludf.DUMMYFUNCTION("""COMPUTED_VALUE"""),35.206)</f>
        <v>35.206</v>
      </c>
      <c r="D101">
        <f>IFERROR(__xludf.DUMMYFUNCTION("""COMPUTED_VALUE"""),21.128)</f>
        <v>21.128</v>
      </c>
      <c r="E101">
        <f>IFERROR(__xludf.DUMMYFUNCTION("""COMPUTED_VALUE"""),27.026)</f>
        <v>27.026</v>
      </c>
      <c r="F101">
        <f>IFERROR(__xludf.DUMMYFUNCTION("""COMPUTED_VALUE"""),34.054)</f>
        <v>34.054</v>
      </c>
      <c r="G101">
        <f>IFERROR(__xludf.DUMMYFUNCTION("""COMPUTED_VALUE"""),48.852)</f>
        <v>48.852</v>
      </c>
      <c r="H101">
        <f>IFERROR(__xludf.DUMMYFUNCTION("""COMPUTED_VALUE"""),60.094)</f>
        <v>60.094</v>
      </c>
      <c r="I101">
        <f>IFERROR(__xludf.DUMMYFUNCTION("""COMPUTED_VALUE"""),68.211)</f>
        <v>68.211</v>
      </c>
      <c r="J101">
        <f>IFERROR(__xludf.DUMMYFUNCTION("""COMPUTED_VALUE"""),86.804)</f>
        <v>86.804</v>
      </c>
      <c r="K101">
        <f>IFERROR(__xludf.DUMMYFUNCTION("""COMPUTED_VALUE"""),60.809)</f>
        <v>60.809</v>
      </c>
    </row>
    <row r="102">
      <c r="A102" t="str">
        <f>IFERROR(__xludf.DUMMYFUNCTION("""COMPUTED_VALUE"""),"Lituanie")</f>
        <v>Lituanie</v>
      </c>
      <c r="B102">
        <f>IFERROR(__xludf.DUMMYFUNCTION("""COMPUTED_VALUE"""),11.525)</f>
        <v>11.525</v>
      </c>
      <c r="C102">
        <f>IFERROR(__xludf.DUMMYFUNCTION("""COMPUTED_VALUE"""),12.238)</f>
        <v>12.238</v>
      </c>
      <c r="D102">
        <f>IFERROR(__xludf.DUMMYFUNCTION("""COMPUTED_VALUE"""),14.257)</f>
        <v>14.257</v>
      </c>
      <c r="E102">
        <f>IFERROR(__xludf.DUMMYFUNCTION("""COMPUTED_VALUE"""),18.782)</f>
        <v>18.782</v>
      </c>
      <c r="F102">
        <f>IFERROR(__xludf.DUMMYFUNCTION("""COMPUTED_VALUE"""),22.624)</f>
        <v>22.624</v>
      </c>
      <c r="G102">
        <f>IFERROR(__xludf.DUMMYFUNCTION("""COMPUTED_VALUE"""),26.115)</f>
        <v>26.115</v>
      </c>
      <c r="H102">
        <f>IFERROR(__xludf.DUMMYFUNCTION("""COMPUTED_VALUE"""),30.203)</f>
        <v>30.203</v>
      </c>
      <c r="I102">
        <f>IFERROR(__xludf.DUMMYFUNCTION("""COMPUTED_VALUE"""),39.764)</f>
        <v>39.764</v>
      </c>
      <c r="J102">
        <f>IFERROR(__xludf.DUMMYFUNCTION("""COMPUTED_VALUE"""),48.03)</f>
        <v>48.03</v>
      </c>
      <c r="K102">
        <f>IFERROR(__xludf.DUMMYFUNCTION("""COMPUTED_VALUE"""),37.475)</f>
        <v>37.475</v>
      </c>
    </row>
    <row r="103">
      <c r="A103" t="str">
        <f>IFERROR(__xludf.DUMMYFUNCTION("""COMPUTED_VALUE"""),"Luxembourg")</f>
        <v>Luxembourg</v>
      </c>
      <c r="B103">
        <f>IFERROR(__xludf.DUMMYFUNCTION("""COMPUTED_VALUE"""),21.24)</f>
        <v>21.24</v>
      </c>
      <c r="C103">
        <f>IFERROR(__xludf.DUMMYFUNCTION("""COMPUTED_VALUE"""),21.388)</f>
        <v>21.388</v>
      </c>
      <c r="D103">
        <f>IFERROR(__xludf.DUMMYFUNCTION("""COMPUTED_VALUE"""),23.633)</f>
        <v>23.633</v>
      </c>
      <c r="E103">
        <f>IFERROR(__xludf.DUMMYFUNCTION("""COMPUTED_VALUE"""),29.66)</f>
        <v>29.66</v>
      </c>
      <c r="F103">
        <f>IFERROR(__xludf.DUMMYFUNCTION("""COMPUTED_VALUE"""),35.049)</f>
        <v>35.049</v>
      </c>
      <c r="G103">
        <f>IFERROR(__xludf.DUMMYFUNCTION("""COMPUTED_VALUE"""),37.693)</f>
        <v>37.693</v>
      </c>
      <c r="H103">
        <f>IFERROR(__xludf.DUMMYFUNCTION("""COMPUTED_VALUE"""),42.912)</f>
        <v>42.912</v>
      </c>
      <c r="I103">
        <f>IFERROR(__xludf.DUMMYFUNCTION("""COMPUTED_VALUE"""),51.593)</f>
        <v>51.593</v>
      </c>
      <c r="J103">
        <f>IFERROR(__xludf.DUMMYFUNCTION("""COMPUTED_VALUE"""),58.838)</f>
        <v>58.838</v>
      </c>
      <c r="K103">
        <f>IFERROR(__xludf.DUMMYFUNCTION("""COMPUTED_VALUE"""),54.408)</f>
        <v>54.408</v>
      </c>
    </row>
    <row r="104">
      <c r="A104" t="str">
        <f>IFERROR(__xludf.DUMMYFUNCTION("""COMPUTED_VALUE"""),"Macao")</f>
        <v>Macao</v>
      </c>
      <c r="B104" t="str">
        <f>IFERROR(__xludf.DUMMYFUNCTION("""COMPUTED_VALUE"""),"-")</f>
        <v>-</v>
      </c>
      <c r="C104">
        <f>IFERROR(__xludf.DUMMYFUNCTION("""COMPUTED_VALUE"""),6.86)</f>
        <v>6.86</v>
      </c>
      <c r="D104">
        <f>IFERROR(__xludf.DUMMYFUNCTION("""COMPUTED_VALUE"""),7.372)</f>
        <v>7.372</v>
      </c>
      <c r="E104">
        <f>IFERROR(__xludf.DUMMYFUNCTION("""COMPUTED_VALUE"""),8.247)</f>
        <v>8.247</v>
      </c>
      <c r="F104">
        <f>IFERROR(__xludf.DUMMYFUNCTION("""COMPUTED_VALUE"""),10.643)</f>
        <v>10.643</v>
      </c>
      <c r="G104">
        <f>IFERROR(__xludf.DUMMYFUNCTION("""COMPUTED_VALUE"""),12.16)</f>
        <v>12.16</v>
      </c>
      <c r="H104">
        <f>IFERROR(__xludf.DUMMYFUNCTION("""COMPUTED_VALUE"""),14.874)</f>
        <v>14.874</v>
      </c>
      <c r="I104">
        <f>IFERROR(__xludf.DUMMYFUNCTION("""COMPUTED_VALUE"""),18.44)</f>
        <v>18.44</v>
      </c>
      <c r="J104">
        <f>IFERROR(__xludf.DUMMYFUNCTION("""COMPUTED_VALUE"""),21.027)</f>
        <v>21.027</v>
      </c>
      <c r="K104">
        <f>IFERROR(__xludf.DUMMYFUNCTION("""COMPUTED_VALUE"""),21.588)</f>
        <v>21.588</v>
      </c>
    </row>
    <row r="105">
      <c r="A105" t="str">
        <f>IFERROR(__xludf.DUMMYFUNCTION("""COMPUTED_VALUE"""),"Madagascar")</f>
        <v>Madagascar</v>
      </c>
      <c r="B105">
        <f>IFERROR(__xludf.DUMMYFUNCTION("""COMPUTED_VALUE"""),4.629)</f>
        <v>4.629</v>
      </c>
      <c r="C105">
        <f>IFERROR(__xludf.DUMMYFUNCTION("""COMPUTED_VALUE"""),5.438)</f>
        <v>5.438</v>
      </c>
      <c r="D105">
        <f>IFERROR(__xludf.DUMMYFUNCTION("""COMPUTED_VALUE"""),5.352)</f>
        <v>5.352</v>
      </c>
      <c r="E105">
        <f>IFERROR(__xludf.DUMMYFUNCTION("""COMPUTED_VALUE"""),6.372)</f>
        <v>6.372</v>
      </c>
      <c r="F105">
        <f>IFERROR(__xludf.DUMMYFUNCTION("""COMPUTED_VALUE"""),5.065)</f>
        <v>5.065</v>
      </c>
      <c r="G105">
        <f>IFERROR(__xludf.DUMMYFUNCTION("""COMPUTED_VALUE"""),5.859)</f>
        <v>5.859</v>
      </c>
      <c r="H105">
        <f>IFERROR(__xludf.DUMMYFUNCTION("""COMPUTED_VALUE"""),6.396)</f>
        <v>6.396</v>
      </c>
      <c r="I105">
        <f>IFERROR(__xludf.DUMMYFUNCTION("""COMPUTED_VALUE"""),8.525)</f>
        <v>8.525</v>
      </c>
      <c r="J105">
        <f>IFERROR(__xludf.DUMMYFUNCTION("""COMPUTED_VALUE"""),10.725)</f>
        <v>10.725</v>
      </c>
      <c r="K105">
        <f>IFERROR(__xludf.DUMMYFUNCTION("""COMPUTED_VALUE"""),9.617)</f>
        <v>9.617</v>
      </c>
    </row>
    <row r="106">
      <c r="A106" t="str">
        <f>IFERROR(__xludf.DUMMYFUNCTION("""COMPUTED_VALUE"""),"Malawi")</f>
        <v>Malawi</v>
      </c>
      <c r="B106">
        <f>IFERROR(__xludf.DUMMYFUNCTION("""COMPUTED_VALUE"""),4.257)</f>
        <v>4.257</v>
      </c>
      <c r="C106">
        <f>IFERROR(__xludf.DUMMYFUNCTION("""COMPUTED_VALUE"""),4.178)</f>
        <v>4.178</v>
      </c>
      <c r="D106">
        <f>IFERROR(__xludf.DUMMYFUNCTION("""COMPUTED_VALUE"""),4.922)</f>
        <v>4.922</v>
      </c>
      <c r="E106">
        <f>IFERROR(__xludf.DUMMYFUNCTION("""COMPUTED_VALUE"""),4.521)</f>
        <v>4.521</v>
      </c>
      <c r="F106">
        <f>IFERROR(__xludf.DUMMYFUNCTION("""COMPUTED_VALUE"""),4.895)</f>
        <v>4.895</v>
      </c>
      <c r="G106">
        <f>IFERROR(__xludf.DUMMYFUNCTION("""COMPUTED_VALUE"""),5.148)</f>
        <v>5.148</v>
      </c>
      <c r="H106">
        <f>IFERROR(__xludf.DUMMYFUNCTION("""COMPUTED_VALUE"""),5.63)</f>
        <v>5.63</v>
      </c>
      <c r="I106">
        <f>IFERROR(__xludf.DUMMYFUNCTION("""COMPUTED_VALUE"""),6.24)</f>
        <v>6.24</v>
      </c>
      <c r="J106">
        <f>IFERROR(__xludf.DUMMYFUNCTION("""COMPUTED_VALUE"""),7.492)</f>
        <v>7.492</v>
      </c>
      <c r="K106">
        <f>IFERROR(__xludf.DUMMYFUNCTION("""COMPUTED_VALUE"""),8.723)</f>
        <v>8.723</v>
      </c>
    </row>
    <row r="107">
      <c r="A107" t="str">
        <f>IFERROR(__xludf.DUMMYFUNCTION("""COMPUTED_VALUE"""),"Malaisie")</f>
        <v>Malaisie</v>
      </c>
      <c r="B107">
        <f>IFERROR(__xludf.DUMMYFUNCTION("""COMPUTED_VALUE"""),102.149)</f>
        <v>102.149</v>
      </c>
      <c r="C107">
        <f>IFERROR(__xludf.DUMMYFUNCTION("""COMPUTED_VALUE"""),101.054)</f>
        <v>101.054</v>
      </c>
      <c r="D107">
        <f>IFERROR(__xludf.DUMMYFUNCTION("""COMPUTED_VALUE"""),109.833)</f>
        <v>109.833</v>
      </c>
      <c r="E107">
        <f>IFERROR(__xludf.DUMMYFUNCTION("""COMPUTED_VALUE"""),120.025)</f>
        <v>120.025</v>
      </c>
      <c r="F107">
        <f>IFERROR(__xludf.DUMMYFUNCTION("""COMPUTED_VALUE"""),135.869)</f>
        <v>135.869</v>
      </c>
      <c r="G107">
        <f>IFERROR(__xludf.DUMMYFUNCTION("""COMPUTED_VALUE"""),150.345)</f>
        <v>150.345</v>
      </c>
      <c r="H107">
        <f>IFERROR(__xludf.DUMMYFUNCTION("""COMPUTED_VALUE"""),170.41)</f>
        <v>170.41</v>
      </c>
      <c r="I107">
        <f>IFERROR(__xludf.DUMMYFUNCTION("""COMPUTED_VALUE"""),202.732)</f>
        <v>202.732</v>
      </c>
      <c r="J107">
        <f>IFERROR(__xludf.DUMMYFUNCTION("""COMPUTED_VALUE"""),241.946)</f>
        <v>241.946</v>
      </c>
      <c r="K107">
        <f>IFERROR(__xludf.DUMMYFUNCTION("""COMPUTED_VALUE"""),211.847)</f>
        <v>211.847</v>
      </c>
    </row>
    <row r="108">
      <c r="A108" t="str">
        <f>IFERROR(__xludf.DUMMYFUNCTION("""COMPUTED_VALUE"""),"Maldives")</f>
        <v>Maldives</v>
      </c>
      <c r="B108">
        <f>IFERROR(__xludf.DUMMYFUNCTION("""COMPUTED_VALUE"""),0.801)</f>
        <v>0.801</v>
      </c>
      <c r="C108">
        <f>IFERROR(__xludf.DUMMYFUNCTION("""COMPUTED_VALUE"""),0.767)</f>
        <v>0.767</v>
      </c>
      <c r="D108">
        <f>IFERROR(__xludf.DUMMYFUNCTION("""COMPUTED_VALUE"""),0.828)</f>
        <v>0.828</v>
      </c>
      <c r="E108">
        <f>IFERROR(__xludf.DUMMYFUNCTION("""COMPUTED_VALUE"""),1.052)</f>
        <v>1.052</v>
      </c>
      <c r="F108">
        <f>IFERROR(__xludf.DUMMYFUNCTION("""COMPUTED_VALUE"""),1.227)</f>
        <v>1.227</v>
      </c>
      <c r="G108">
        <f>IFERROR(__xludf.DUMMYFUNCTION("""COMPUTED_VALUE"""),1.163)</f>
        <v>1.163</v>
      </c>
      <c r="H108">
        <f>IFERROR(__xludf.DUMMYFUNCTION("""COMPUTED_VALUE"""),1.575)</f>
        <v>1.575</v>
      </c>
      <c r="I108">
        <f>IFERROR(__xludf.DUMMYFUNCTION("""COMPUTED_VALUE"""),1.868)</f>
        <v>1.868</v>
      </c>
      <c r="J108">
        <f>IFERROR(__xludf.DUMMYFUNCTION("""COMPUTED_VALUE"""),2.272)</f>
        <v>2.272</v>
      </c>
      <c r="K108">
        <f>IFERROR(__xludf.DUMMYFUNCTION("""COMPUTED_VALUE"""),2.345)</f>
        <v>2.345</v>
      </c>
    </row>
    <row r="109">
      <c r="A109" t="str">
        <f>IFERROR(__xludf.DUMMYFUNCTION("""COMPUTED_VALUE"""),"Mali")</f>
        <v>Mali</v>
      </c>
      <c r="B109">
        <f>IFERROR(__xludf.DUMMYFUNCTION("""COMPUTED_VALUE"""),2.963)</f>
        <v>2.963</v>
      </c>
      <c r="C109">
        <f>IFERROR(__xludf.DUMMYFUNCTION("""COMPUTED_VALUE"""),3.468)</f>
        <v>3.468</v>
      </c>
      <c r="D109">
        <f>IFERROR(__xludf.DUMMYFUNCTION("""COMPUTED_VALUE"""),3.905)</f>
        <v>3.905</v>
      </c>
      <c r="E109">
        <f>IFERROR(__xludf.DUMMYFUNCTION("""COMPUTED_VALUE"""),4.713)</f>
        <v>4.713</v>
      </c>
      <c r="F109">
        <f>IFERROR(__xludf.DUMMYFUNCTION("""COMPUTED_VALUE"""),5.452)</f>
        <v>5.452</v>
      </c>
      <c r="G109">
        <f>IFERROR(__xludf.DUMMYFUNCTION("""COMPUTED_VALUE"""),6.251)</f>
        <v>6.251</v>
      </c>
      <c r="H109">
        <f>IFERROR(__xludf.DUMMYFUNCTION("""COMPUTED_VALUE"""),6.906)</f>
        <v>6.906</v>
      </c>
      <c r="I109">
        <f>IFERROR(__xludf.DUMMYFUNCTION("""COMPUTED_VALUE"""),8.157)</f>
        <v>8.157</v>
      </c>
      <c r="J109">
        <f>IFERROR(__xludf.DUMMYFUNCTION("""COMPUTED_VALUE"""),9.871)</f>
        <v>9.871</v>
      </c>
      <c r="K109">
        <f>IFERROR(__xludf.DUMMYFUNCTION("""COMPUTED_VALUE"""),10.249)</f>
        <v>10.249</v>
      </c>
    </row>
    <row r="110">
      <c r="A110" t="str">
        <f>IFERROR(__xludf.DUMMYFUNCTION("""COMPUTED_VALUE"""),"Malte")</f>
        <v>Malte</v>
      </c>
      <c r="B110">
        <f>IFERROR(__xludf.DUMMYFUNCTION("""COMPUTED_VALUE"""),4.075)</f>
        <v>4.075</v>
      </c>
      <c r="C110">
        <f>IFERROR(__xludf.DUMMYFUNCTION("""COMPUTED_VALUE"""),4.089)</f>
        <v>4.089</v>
      </c>
      <c r="D110">
        <f>IFERROR(__xludf.DUMMYFUNCTION("""COMPUTED_VALUE"""),4.478)</f>
        <v>4.478</v>
      </c>
      <c r="E110">
        <f>IFERROR(__xludf.DUMMYFUNCTION("""COMPUTED_VALUE"""),5.455)</f>
        <v>5.455</v>
      </c>
      <c r="F110">
        <f>IFERROR(__xludf.DUMMYFUNCTION("""COMPUTED_VALUE"""),6.102)</f>
        <v>6.102</v>
      </c>
      <c r="G110">
        <f>IFERROR(__xludf.DUMMYFUNCTION("""COMPUTED_VALUE"""),6.415)</f>
        <v>6.415</v>
      </c>
      <c r="H110">
        <f>IFERROR(__xludf.DUMMYFUNCTION("""COMPUTED_VALUE"""),6.811)</f>
        <v>6.811</v>
      </c>
      <c r="I110">
        <f>IFERROR(__xludf.DUMMYFUNCTION("""COMPUTED_VALUE"""),7.989)</f>
        <v>7.989</v>
      </c>
      <c r="J110">
        <f>IFERROR(__xludf.DUMMYFUNCTION("""COMPUTED_VALUE"""),9.127)</f>
        <v>9.127</v>
      </c>
      <c r="K110">
        <f>IFERROR(__xludf.DUMMYFUNCTION("""COMPUTED_VALUE"""),8.721)</f>
        <v>8.721</v>
      </c>
    </row>
    <row r="111">
      <c r="A111" t="str">
        <f>IFERROR(__xludf.DUMMYFUNCTION("""COMPUTED_VALUE"""),"Îles Marshall")</f>
        <v>Îles Marshall</v>
      </c>
      <c r="B111">
        <f>IFERROR(__xludf.DUMMYFUNCTION("""COMPUTED_VALUE"""),0.115)</f>
        <v>0.115</v>
      </c>
      <c r="C111">
        <f>IFERROR(__xludf.DUMMYFUNCTION("""COMPUTED_VALUE"""),0.122)</f>
        <v>0.122</v>
      </c>
      <c r="D111">
        <f>IFERROR(__xludf.DUMMYFUNCTION("""COMPUTED_VALUE"""),0.132)</f>
        <v>0.132</v>
      </c>
      <c r="E111">
        <f>IFERROR(__xludf.DUMMYFUNCTION("""COMPUTED_VALUE"""),0.131)</f>
        <v>0.131</v>
      </c>
      <c r="F111">
        <f>IFERROR(__xludf.DUMMYFUNCTION("""COMPUTED_VALUE"""),0.133)</f>
        <v>0.133</v>
      </c>
      <c r="G111">
        <f>IFERROR(__xludf.DUMMYFUNCTION("""COMPUTED_VALUE"""),0.138)</f>
        <v>0.138</v>
      </c>
      <c r="H111">
        <f>IFERROR(__xludf.DUMMYFUNCTION("""COMPUTED_VALUE"""),0.143)</f>
        <v>0.143</v>
      </c>
      <c r="I111">
        <f>IFERROR(__xludf.DUMMYFUNCTION("""COMPUTED_VALUE"""),0.15)</f>
        <v>0.15</v>
      </c>
      <c r="J111">
        <f>IFERROR(__xludf.DUMMYFUNCTION("""COMPUTED_VALUE"""),0.146)</f>
        <v>0.146</v>
      </c>
      <c r="K111">
        <f>IFERROR(__xludf.DUMMYFUNCTION("""COMPUTED_VALUE"""),0.151)</f>
        <v>0.151</v>
      </c>
    </row>
    <row r="112">
      <c r="A112" t="str">
        <f>IFERROR(__xludf.DUMMYFUNCTION("""COMPUTED_VALUE"""),"Mauritanie")</f>
        <v>Mauritanie</v>
      </c>
      <c r="B112">
        <f>IFERROR(__xludf.DUMMYFUNCTION("""COMPUTED_VALUE"""),1.78)</f>
        <v>1.78</v>
      </c>
      <c r="C112">
        <f>IFERROR(__xludf.DUMMYFUNCTION("""COMPUTED_VALUE"""),1.746)</f>
        <v>1.746</v>
      </c>
      <c r="D112">
        <f>IFERROR(__xludf.DUMMYFUNCTION("""COMPUTED_VALUE"""),1.777)</f>
        <v>1.777</v>
      </c>
      <c r="E112">
        <f>IFERROR(__xludf.DUMMYFUNCTION("""COMPUTED_VALUE"""),2.051)</f>
        <v>2.051</v>
      </c>
      <c r="F112">
        <f>IFERROR(__xludf.DUMMYFUNCTION("""COMPUTED_VALUE"""),2.362)</f>
        <v>2.362</v>
      </c>
      <c r="G112">
        <f>IFERROR(__xludf.DUMMYFUNCTION("""COMPUTED_VALUE"""),2.936)</f>
        <v>2.936</v>
      </c>
      <c r="H112">
        <f>IFERROR(__xludf.DUMMYFUNCTION("""COMPUTED_VALUE"""),4.009)</f>
        <v>4.009</v>
      </c>
      <c r="I112">
        <f>IFERROR(__xludf.DUMMYFUNCTION("""COMPUTED_VALUE"""),4.328)</f>
        <v>4.328</v>
      </c>
      <c r="J112">
        <f>IFERROR(__xludf.DUMMYFUNCTION("""COMPUTED_VALUE"""),5.138)</f>
        <v>5.138</v>
      </c>
      <c r="K112">
        <f>IFERROR(__xludf.DUMMYFUNCTION("""COMPUTED_VALUE"""),4.725)</f>
        <v>4.725</v>
      </c>
    </row>
    <row r="113">
      <c r="A113" t="str">
        <f>IFERROR(__xludf.DUMMYFUNCTION("""COMPUTED_VALUE"""),"Maurice")</f>
        <v>Maurice</v>
      </c>
      <c r="B113">
        <f>IFERROR(__xludf.DUMMYFUNCTION("""COMPUTED_VALUE"""),4.935)</f>
        <v>4.935</v>
      </c>
      <c r="C113">
        <f>IFERROR(__xludf.DUMMYFUNCTION("""COMPUTED_VALUE"""),4.882)</f>
        <v>4.882</v>
      </c>
      <c r="D113">
        <f>IFERROR(__xludf.DUMMYFUNCTION("""COMPUTED_VALUE"""),5.123)</f>
        <v>5.123</v>
      </c>
      <c r="E113">
        <f>IFERROR(__xludf.DUMMYFUNCTION("""COMPUTED_VALUE"""),6.155)</f>
        <v>6.155</v>
      </c>
      <c r="F113">
        <f>IFERROR(__xludf.DUMMYFUNCTION("""COMPUTED_VALUE"""),6.962)</f>
        <v>6.962</v>
      </c>
      <c r="G113">
        <f>IFERROR(__xludf.DUMMYFUNCTION("""COMPUTED_VALUE"""),6.867)</f>
        <v>6.867</v>
      </c>
      <c r="H113">
        <f>IFERROR(__xludf.DUMMYFUNCTION("""COMPUTED_VALUE"""),7.123)</f>
        <v>7.123</v>
      </c>
      <c r="I113">
        <f>IFERROR(__xludf.DUMMYFUNCTION("""COMPUTED_VALUE"""),8.26)</f>
        <v>8.26</v>
      </c>
      <c r="J113">
        <f>IFERROR(__xludf.DUMMYFUNCTION("""COMPUTED_VALUE"""),10.125)</f>
        <v>10.125</v>
      </c>
      <c r="K113">
        <f>IFERROR(__xludf.DUMMYFUNCTION("""COMPUTED_VALUE"""),9.252)</f>
        <v>9.252</v>
      </c>
    </row>
    <row r="114">
      <c r="A114" t="str">
        <f>IFERROR(__xludf.DUMMYFUNCTION("""COMPUTED_VALUE"""),"Mexique")</f>
        <v>Mexique</v>
      </c>
      <c r="B114">
        <f>IFERROR(__xludf.DUMMYFUNCTION("""COMPUTED_VALUE"""),742.061)</f>
        <v>742.061</v>
      </c>
      <c r="C114">
        <f>IFERROR(__xludf.DUMMYFUNCTION("""COMPUTED_VALUE"""),796.055)</f>
        <v>796.055</v>
      </c>
      <c r="D114">
        <f>IFERROR(__xludf.DUMMYFUNCTION("""COMPUTED_VALUE"""),810.666)</f>
        <v>810.666</v>
      </c>
      <c r="E114">
        <f>IFERROR(__xludf.DUMMYFUNCTION("""COMPUTED_VALUE"""),765.55)</f>
        <v>765.55</v>
      </c>
      <c r="F114">
        <f>IFERROR(__xludf.DUMMYFUNCTION("""COMPUTED_VALUE"""),819.459)</f>
        <v>819.459</v>
      </c>
      <c r="G114">
        <f>IFERROR(__xludf.DUMMYFUNCTION("""COMPUTED_VALUE"""),917.572)</f>
        <v>917.572</v>
      </c>
      <c r="H114">
        <f>IFERROR(__xludf.DUMMYFUNCTION("""COMPUTED_VALUE"""),1020.265)</f>
        <v>1020.265</v>
      </c>
      <c r="I114">
        <f>IFERROR(__xludf.DUMMYFUNCTION("""COMPUTED_VALUE"""),1102.356)</f>
        <v>1102.356</v>
      </c>
      <c r="J114">
        <f>IFERROR(__xludf.DUMMYFUNCTION("""COMPUTED_VALUE"""),1161.553)</f>
        <v>1161.553</v>
      </c>
      <c r="K114">
        <f>IFERROR(__xludf.DUMMYFUNCTION("""COMPUTED_VALUE"""),943.437)</f>
        <v>943.437</v>
      </c>
    </row>
    <row r="115">
      <c r="A115" t="str">
        <f>IFERROR(__xludf.DUMMYFUNCTION("""COMPUTED_VALUE"""),"États fédérés de Micronésie")</f>
        <v>États fédérés de Micronésie</v>
      </c>
      <c r="B115">
        <f>IFERROR(__xludf.DUMMYFUNCTION("""COMPUTED_VALUE"""),0.233)</f>
        <v>0.233</v>
      </c>
      <c r="C115">
        <f>IFERROR(__xludf.DUMMYFUNCTION("""COMPUTED_VALUE"""),0.241)</f>
        <v>0.241</v>
      </c>
      <c r="D115">
        <f>IFERROR(__xludf.DUMMYFUNCTION("""COMPUTED_VALUE"""),0.242)</f>
        <v>0.242</v>
      </c>
      <c r="E115">
        <f>IFERROR(__xludf.DUMMYFUNCTION("""COMPUTED_VALUE"""),0.245)</f>
        <v>0.245</v>
      </c>
      <c r="F115">
        <f>IFERROR(__xludf.DUMMYFUNCTION("""COMPUTED_VALUE"""),0.24)</f>
        <v>0.24</v>
      </c>
      <c r="G115">
        <f>IFERROR(__xludf.DUMMYFUNCTION("""COMPUTED_VALUE"""),0.25)</f>
        <v>0.25</v>
      </c>
      <c r="H115">
        <f>IFERROR(__xludf.DUMMYFUNCTION("""COMPUTED_VALUE"""),0.254)</f>
        <v>0.254</v>
      </c>
      <c r="I115">
        <f>IFERROR(__xludf.DUMMYFUNCTION("""COMPUTED_VALUE"""),0.257)</f>
        <v>0.257</v>
      </c>
      <c r="J115">
        <f>IFERROR(__xludf.DUMMYFUNCTION("""COMPUTED_VALUE"""),0.263)</f>
        <v>0.263</v>
      </c>
      <c r="K115">
        <f>IFERROR(__xludf.DUMMYFUNCTION("""COMPUTED_VALUE"""),0.28)</f>
        <v>0.28</v>
      </c>
    </row>
    <row r="116">
      <c r="A116" t="str">
        <f>IFERROR(__xludf.DUMMYFUNCTION("""COMPUTED_VALUE"""),"Moldavie")</f>
        <v>Moldavie</v>
      </c>
      <c r="B116">
        <f>IFERROR(__xludf.DUMMYFUNCTION("""COMPUTED_VALUE"""),1.315)</f>
        <v>1.315</v>
      </c>
      <c r="C116">
        <f>IFERROR(__xludf.DUMMYFUNCTION("""COMPUTED_VALUE"""),1.481)</f>
        <v>1.481</v>
      </c>
      <c r="D116">
        <f>IFERROR(__xludf.DUMMYFUNCTION("""COMPUTED_VALUE"""),1.662)</f>
        <v>1.662</v>
      </c>
      <c r="E116">
        <f>IFERROR(__xludf.DUMMYFUNCTION("""COMPUTED_VALUE"""),1.981)</f>
        <v>1.981</v>
      </c>
      <c r="F116">
        <f>IFERROR(__xludf.DUMMYFUNCTION("""COMPUTED_VALUE"""),2.598)</f>
        <v>2.598</v>
      </c>
      <c r="G116">
        <f>IFERROR(__xludf.DUMMYFUNCTION("""COMPUTED_VALUE"""),2.988)</f>
        <v>2.988</v>
      </c>
      <c r="H116">
        <f>IFERROR(__xludf.DUMMYFUNCTION("""COMPUTED_VALUE"""),3.408)</f>
        <v>3.408</v>
      </c>
      <c r="I116">
        <f>IFERROR(__xludf.DUMMYFUNCTION("""COMPUTED_VALUE"""),4.401)</f>
        <v>4.401</v>
      </c>
      <c r="J116">
        <f>IFERROR(__xludf.DUMMYFUNCTION("""COMPUTED_VALUE"""),6.055)</f>
        <v>6.055</v>
      </c>
      <c r="K116">
        <f>IFERROR(__xludf.DUMMYFUNCTION("""COMPUTED_VALUE"""),5.438)</f>
        <v>5.438</v>
      </c>
    </row>
    <row r="117">
      <c r="A117" t="str">
        <f>IFERROR(__xludf.DUMMYFUNCTION("""COMPUTED_VALUE"""),"Mongolie")</f>
        <v>Mongolie</v>
      </c>
      <c r="B117">
        <f>IFERROR(__xludf.DUMMYFUNCTION("""COMPUTED_VALUE"""),1.137)</f>
        <v>1.137</v>
      </c>
      <c r="C117">
        <f>IFERROR(__xludf.DUMMYFUNCTION("""COMPUTED_VALUE"""),1.268)</f>
        <v>1.268</v>
      </c>
      <c r="D117">
        <f>IFERROR(__xludf.DUMMYFUNCTION("""COMPUTED_VALUE"""),1.397)</f>
        <v>1.397</v>
      </c>
      <c r="E117">
        <f>IFERROR(__xludf.DUMMYFUNCTION("""COMPUTED_VALUE"""),1.595)</f>
        <v>1.595</v>
      </c>
      <c r="F117">
        <f>IFERROR(__xludf.DUMMYFUNCTION("""COMPUTED_VALUE"""),1.992)</f>
        <v>1.992</v>
      </c>
      <c r="G117">
        <f>IFERROR(__xludf.DUMMYFUNCTION("""COMPUTED_VALUE"""),2.523)</f>
        <v>2.523</v>
      </c>
      <c r="H117">
        <f>IFERROR(__xludf.DUMMYFUNCTION("""COMPUTED_VALUE"""),3.414)</f>
        <v>3.414</v>
      </c>
      <c r="I117">
        <f>IFERROR(__xludf.DUMMYFUNCTION("""COMPUTED_VALUE"""),4.235)</f>
        <v>4.235</v>
      </c>
      <c r="J117">
        <f>IFERROR(__xludf.DUMMYFUNCTION("""COMPUTED_VALUE"""),5.623)</f>
        <v>5.623</v>
      </c>
      <c r="K117">
        <f>IFERROR(__xludf.DUMMYFUNCTION("""COMPUTED_VALUE"""),4.584)</f>
        <v>4.584</v>
      </c>
    </row>
    <row r="118">
      <c r="A118" t="str">
        <f>IFERROR(__xludf.DUMMYFUNCTION("""COMPUTED_VALUE"""),"Monténégro")</f>
        <v>Monténégro</v>
      </c>
      <c r="B118">
        <f>IFERROR(__xludf.DUMMYFUNCTION("""COMPUTED_VALUE"""),0.966)</f>
        <v>0.966</v>
      </c>
      <c r="C118">
        <f>IFERROR(__xludf.DUMMYFUNCTION("""COMPUTED_VALUE"""),1.15)</f>
        <v>1.15</v>
      </c>
      <c r="D118">
        <f>IFERROR(__xludf.DUMMYFUNCTION("""COMPUTED_VALUE"""),1.269)</f>
        <v>1.269</v>
      </c>
      <c r="E118">
        <f>IFERROR(__xludf.DUMMYFUNCTION("""COMPUTED_VALUE"""),1.681)</f>
        <v>1.681</v>
      </c>
      <c r="F118">
        <f>IFERROR(__xludf.DUMMYFUNCTION("""COMPUTED_VALUE"""),2.073)</f>
        <v>2.073</v>
      </c>
      <c r="G118">
        <f>IFERROR(__xludf.DUMMYFUNCTION("""COMPUTED_VALUE"""),2.261)</f>
        <v>2.261</v>
      </c>
      <c r="H118">
        <f>IFERROR(__xludf.DUMMYFUNCTION("""COMPUTED_VALUE"""),2.724)</f>
        <v>2.724</v>
      </c>
      <c r="I118">
        <f>IFERROR(__xludf.DUMMYFUNCTION("""COMPUTED_VALUE"""),3.686)</f>
        <v>3.686</v>
      </c>
      <c r="J118">
        <f>IFERROR(__xludf.DUMMYFUNCTION("""COMPUTED_VALUE"""),4.564)</f>
        <v>4.564</v>
      </c>
      <c r="K118">
        <f>IFERROR(__xludf.DUMMYFUNCTION("""COMPUTED_VALUE"""),4.171)</f>
        <v>4.171</v>
      </c>
    </row>
    <row r="119">
      <c r="A119" t="str">
        <f>IFERROR(__xludf.DUMMYFUNCTION("""COMPUTED_VALUE"""),"Maroc")</f>
        <v>Maroc</v>
      </c>
      <c r="B119">
        <f>IFERROR(__xludf.DUMMYFUNCTION("""COMPUTED_VALUE"""),42.053)</f>
        <v>42.053</v>
      </c>
      <c r="C119">
        <f>IFERROR(__xludf.DUMMYFUNCTION("""COMPUTED_VALUE"""),42.704)</f>
        <v>42.704</v>
      </c>
      <c r="D119">
        <f>IFERROR(__xludf.DUMMYFUNCTION("""COMPUTED_VALUE"""),45.711)</f>
        <v>45.711</v>
      </c>
      <c r="E119">
        <f>IFERROR(__xludf.DUMMYFUNCTION("""COMPUTED_VALUE"""),56.345)</f>
        <v>56.345</v>
      </c>
      <c r="F119">
        <f>IFERROR(__xludf.DUMMYFUNCTION("""COMPUTED_VALUE"""),64.528)</f>
        <v>64.528</v>
      </c>
      <c r="G119">
        <f>IFERROR(__xludf.DUMMYFUNCTION("""COMPUTED_VALUE"""),67.468)</f>
        <v>67.468</v>
      </c>
      <c r="H119">
        <f>IFERROR(__xludf.DUMMYFUNCTION("""COMPUTED_VALUE"""),74.284)</f>
        <v>74.284</v>
      </c>
      <c r="I119">
        <f>IFERROR(__xludf.DUMMYFUNCTION("""COMPUTED_VALUE"""),85.539)</f>
        <v>85.539</v>
      </c>
      <c r="J119">
        <f>IFERROR(__xludf.DUMMYFUNCTION("""COMPUTED_VALUE"""),100.112)</f>
        <v>100.112</v>
      </c>
      <c r="K119">
        <f>IFERROR(__xludf.DUMMYFUNCTION("""COMPUTED_VALUE"""),100.535)</f>
        <v>100.535</v>
      </c>
    </row>
    <row r="120">
      <c r="A120" t="str">
        <f>IFERROR(__xludf.DUMMYFUNCTION("""COMPUTED_VALUE"""),"Mozambique")</f>
        <v>Mozambique</v>
      </c>
      <c r="B120">
        <f>IFERROR(__xludf.DUMMYFUNCTION("""COMPUTED_VALUE"""),5.656)</f>
        <v>5.656</v>
      </c>
      <c r="C120">
        <f>IFERROR(__xludf.DUMMYFUNCTION("""COMPUTED_VALUE"""),5.399)</f>
        <v>5.399</v>
      </c>
      <c r="D120">
        <f>IFERROR(__xludf.DUMMYFUNCTION("""COMPUTED_VALUE"""),5.677)</f>
        <v>5.677</v>
      </c>
      <c r="E120">
        <f>IFERROR(__xludf.DUMMYFUNCTION("""COMPUTED_VALUE"""),6.303)</f>
        <v>6.303</v>
      </c>
      <c r="F120">
        <f>IFERROR(__xludf.DUMMYFUNCTION("""COMPUTED_VALUE"""),7.631)</f>
        <v>7.631</v>
      </c>
      <c r="G120">
        <f>IFERROR(__xludf.DUMMYFUNCTION("""COMPUTED_VALUE"""),8.542)</f>
        <v>8.542</v>
      </c>
      <c r="H120">
        <f>IFERROR(__xludf.DUMMYFUNCTION("""COMPUTED_VALUE"""),9.177)</f>
        <v>9.177</v>
      </c>
      <c r="I120">
        <f>IFERROR(__xludf.DUMMYFUNCTION("""COMPUTED_VALUE"""),10.451)</f>
        <v>10.451</v>
      </c>
      <c r="J120">
        <f>IFERROR(__xludf.DUMMYFUNCTION("""COMPUTED_VALUE"""),12.556)</f>
        <v>12.556</v>
      </c>
      <c r="K120">
        <f>IFERROR(__xludf.DUMMYFUNCTION("""COMPUTED_VALUE"""),11.914)</f>
        <v>11.914</v>
      </c>
    </row>
    <row r="121">
      <c r="A121" t="str">
        <f>IFERROR(__xludf.DUMMYFUNCTION("""COMPUTED_VALUE"""),"Birmanie")</f>
        <v>Birmanie</v>
      </c>
      <c r="B121">
        <f>IFERROR(__xludf.DUMMYFUNCTION("""COMPUTED_VALUE"""),7.261)</f>
        <v>7.261</v>
      </c>
      <c r="C121">
        <f>IFERROR(__xludf.DUMMYFUNCTION("""COMPUTED_VALUE"""),6.693)</f>
        <v>6.693</v>
      </c>
      <c r="D121">
        <f>IFERROR(__xludf.DUMMYFUNCTION("""COMPUTED_VALUE"""),6.496)</f>
        <v>6.496</v>
      </c>
      <c r="E121">
        <f>IFERROR(__xludf.DUMMYFUNCTION("""COMPUTED_VALUE"""),8.336)</f>
        <v>8.336</v>
      </c>
      <c r="F121">
        <f>IFERROR(__xludf.DUMMYFUNCTION("""COMPUTED_VALUE"""),10.095)</f>
        <v>10.095</v>
      </c>
      <c r="G121">
        <f>IFERROR(__xludf.DUMMYFUNCTION("""COMPUTED_VALUE"""),11.382)</f>
        <v>11.382</v>
      </c>
      <c r="H121">
        <f>IFERROR(__xludf.DUMMYFUNCTION("""COMPUTED_VALUE"""),12.752)</f>
        <v>12.752</v>
      </c>
      <c r="I121">
        <f>IFERROR(__xludf.DUMMYFUNCTION("""COMPUTED_VALUE"""),16.76)</f>
        <v>16.76</v>
      </c>
      <c r="J121">
        <f>IFERROR(__xludf.DUMMYFUNCTION("""COMPUTED_VALUE"""),23.907)</f>
        <v>23.907</v>
      </c>
      <c r="K121">
        <f>IFERROR(__xludf.DUMMYFUNCTION("""COMPUTED_VALUE"""),28.971)</f>
        <v>28.971</v>
      </c>
    </row>
    <row r="122">
      <c r="A122" t="str">
        <f>IFERROR(__xludf.DUMMYFUNCTION("""COMPUTED_VALUE"""),"Namibie")</f>
        <v>Namibie</v>
      </c>
      <c r="B122">
        <f>IFERROR(__xludf.DUMMYFUNCTION("""COMPUTED_VALUE"""),3.941)</f>
        <v>3.941</v>
      </c>
      <c r="C122">
        <f>IFERROR(__xludf.DUMMYFUNCTION("""COMPUTED_VALUE"""),3.577)</f>
        <v>3.577</v>
      </c>
      <c r="D122">
        <f>IFERROR(__xludf.DUMMYFUNCTION("""COMPUTED_VALUE"""),3.396)</f>
        <v>3.396</v>
      </c>
      <c r="E122">
        <f>IFERROR(__xludf.DUMMYFUNCTION("""COMPUTED_VALUE"""),4.974)</f>
        <v>4.974</v>
      </c>
      <c r="F122">
        <f>IFERROR(__xludf.DUMMYFUNCTION("""COMPUTED_VALUE"""),6.673)</f>
        <v>6.673</v>
      </c>
      <c r="G122">
        <f>IFERROR(__xludf.DUMMYFUNCTION("""COMPUTED_VALUE"""),7.324)</f>
        <v>7.324</v>
      </c>
      <c r="H122">
        <f>IFERROR(__xludf.DUMMYFUNCTION("""COMPUTED_VALUE"""),7.711)</f>
        <v>7.711</v>
      </c>
      <c r="I122">
        <f>IFERROR(__xludf.DUMMYFUNCTION("""COMPUTED_VALUE"""),8.73)</f>
        <v>8.73</v>
      </c>
      <c r="J122">
        <f>IFERROR(__xludf.DUMMYFUNCTION("""COMPUTED_VALUE"""),8.496)</f>
        <v>8.496</v>
      </c>
      <c r="K122">
        <f>IFERROR(__xludf.DUMMYFUNCTION("""COMPUTED_VALUE"""),8.915)</f>
        <v>8.915</v>
      </c>
    </row>
    <row r="123">
      <c r="A123" t="str">
        <f>IFERROR(__xludf.DUMMYFUNCTION("""COMPUTED_VALUE"""),"Nauru")</f>
        <v>Nauru</v>
      </c>
      <c r="B123" t="str">
        <f>IFERROR(__xludf.DUMMYFUNCTION("""COMPUTED_VALUE"""),"-")</f>
        <v>-</v>
      </c>
      <c r="C123" t="str">
        <f>IFERROR(__xludf.DUMMYFUNCTION("""COMPUTED_VALUE"""),"-")</f>
        <v>-</v>
      </c>
      <c r="D123" t="str">
        <f>IFERROR(__xludf.DUMMYFUNCTION("""COMPUTED_VALUE"""),"-")</f>
        <v>-</v>
      </c>
      <c r="E123" t="str">
        <f>IFERROR(__xludf.DUMMYFUNCTION("""COMPUTED_VALUE"""),"-")</f>
        <v>-</v>
      </c>
      <c r="F123">
        <f>IFERROR(__xludf.DUMMYFUNCTION("""COMPUTED_VALUE"""),0.031)</f>
        <v>0.031</v>
      </c>
      <c r="G123">
        <f>IFERROR(__xludf.DUMMYFUNCTION("""COMPUTED_VALUE"""),0.03)</f>
        <v>0.03</v>
      </c>
      <c r="H123">
        <f>IFERROR(__xludf.DUMMYFUNCTION("""COMPUTED_VALUE"""),0.029)</f>
        <v>0.029</v>
      </c>
      <c r="I123">
        <f>IFERROR(__xludf.DUMMYFUNCTION("""COMPUTED_VALUE"""),0.023)</f>
        <v>0.023</v>
      </c>
      <c r="J123">
        <f>IFERROR(__xludf.DUMMYFUNCTION("""COMPUTED_VALUE"""),0.037)</f>
        <v>0.037</v>
      </c>
      <c r="K123">
        <f>IFERROR(__xludf.DUMMYFUNCTION("""COMPUTED_VALUE"""),0.044)</f>
        <v>0.044</v>
      </c>
    </row>
    <row r="124">
      <c r="A124" t="str">
        <f>IFERROR(__xludf.DUMMYFUNCTION("""COMPUTED_VALUE"""),"Népal")</f>
        <v>Népal</v>
      </c>
      <c r="B124">
        <f>IFERROR(__xludf.DUMMYFUNCTION("""COMPUTED_VALUE"""),6.537)</f>
        <v>6.537</v>
      </c>
      <c r="C124">
        <f>IFERROR(__xludf.DUMMYFUNCTION("""COMPUTED_VALUE"""),6.719)</f>
        <v>6.719</v>
      </c>
      <c r="D124">
        <f>IFERROR(__xludf.DUMMYFUNCTION("""COMPUTED_VALUE"""),6.816)</f>
        <v>6.816</v>
      </c>
      <c r="E124">
        <f>IFERROR(__xludf.DUMMYFUNCTION("""COMPUTED_VALUE"""),7.218)</f>
        <v>7.218</v>
      </c>
      <c r="F124">
        <f>IFERROR(__xludf.DUMMYFUNCTION("""COMPUTED_VALUE"""),8.297)</f>
        <v>8.297</v>
      </c>
      <c r="G124">
        <f>IFERROR(__xludf.DUMMYFUNCTION("""COMPUTED_VALUE"""),9.331)</f>
        <v>9.331</v>
      </c>
      <c r="H124">
        <f>IFERROR(__xludf.DUMMYFUNCTION("""COMPUTED_VALUE"""),10.316)</f>
        <v>10.316</v>
      </c>
      <c r="I124">
        <f>IFERROR(__xludf.DUMMYFUNCTION("""COMPUTED_VALUE"""),11.777)</f>
        <v>11.777</v>
      </c>
      <c r="J124">
        <f>IFERROR(__xludf.DUMMYFUNCTION("""COMPUTED_VALUE"""),14.31)</f>
        <v>14.31</v>
      </c>
      <c r="K124">
        <f>IFERROR(__xludf.DUMMYFUNCTION("""COMPUTED_VALUE"""),14.663)</f>
        <v>14.663</v>
      </c>
    </row>
    <row r="125">
      <c r="A125" t="str">
        <f>IFERROR(__xludf.DUMMYFUNCTION("""COMPUTED_VALUE"""),"Pays-Bas")</f>
        <v>Pays-Bas</v>
      </c>
      <c r="B125">
        <f>IFERROR(__xludf.DUMMYFUNCTION("""COMPUTED_VALUE"""),417.664)</f>
        <v>417.664</v>
      </c>
      <c r="C125">
        <f>IFERROR(__xludf.DUMMYFUNCTION("""COMPUTED_VALUE"""),431.59)</f>
        <v>431.59</v>
      </c>
      <c r="D125">
        <f>IFERROR(__xludf.DUMMYFUNCTION("""COMPUTED_VALUE"""),473.527)</f>
        <v>473.527</v>
      </c>
      <c r="E125">
        <f>IFERROR(__xludf.DUMMYFUNCTION("""COMPUTED_VALUE"""),579.925)</f>
        <v>579.925</v>
      </c>
      <c r="F125">
        <f>IFERROR(__xludf.DUMMYFUNCTION("""COMPUTED_VALUE"""),658.081)</f>
        <v>658.081</v>
      </c>
      <c r="G125">
        <f>IFERROR(__xludf.DUMMYFUNCTION("""COMPUTED_VALUE"""),685.727)</f>
        <v>685.727</v>
      </c>
      <c r="H125">
        <f>IFERROR(__xludf.DUMMYFUNCTION("""COMPUTED_VALUE"""),733.994)</f>
        <v>733.994</v>
      </c>
      <c r="I125">
        <f>IFERROR(__xludf.DUMMYFUNCTION("""COMPUTED_VALUE"""),848.659)</f>
        <v>848.659</v>
      </c>
      <c r="J125">
        <f>IFERROR(__xludf.DUMMYFUNCTION("""COMPUTED_VALUE"""),951.766)</f>
        <v>951.766</v>
      </c>
      <c r="K125">
        <f>IFERROR(__xludf.DUMMYFUNCTION("""COMPUTED_VALUE"""),870.572)</f>
        <v>870.572</v>
      </c>
    </row>
    <row r="126">
      <c r="A126" t="str">
        <f>IFERROR(__xludf.DUMMYFUNCTION("""COMPUTED_VALUE"""),"Nouvelle-Zélande")</f>
        <v>Nouvelle-Zélande</v>
      </c>
      <c r="B126">
        <f>IFERROR(__xludf.DUMMYFUNCTION("""COMPUTED_VALUE"""),54.126)</f>
        <v>54.126</v>
      </c>
      <c r="C126">
        <f>IFERROR(__xludf.DUMMYFUNCTION("""COMPUTED_VALUE"""),53.128)</f>
        <v>53.128</v>
      </c>
      <c r="D126">
        <f>IFERROR(__xludf.DUMMYFUNCTION("""COMPUTED_VALUE"""),62.061)</f>
        <v>62.061</v>
      </c>
      <c r="E126">
        <f>IFERROR(__xludf.DUMMYFUNCTION("""COMPUTED_VALUE"""),82.411)</f>
        <v>82.411</v>
      </c>
      <c r="F126">
        <f>IFERROR(__xludf.DUMMYFUNCTION("""COMPUTED_VALUE"""),101.601)</f>
        <v>101.601</v>
      </c>
      <c r="G126">
        <f>IFERROR(__xludf.DUMMYFUNCTION("""COMPUTED_VALUE"""),113.264)</f>
        <v>113.264</v>
      </c>
      <c r="H126">
        <f>IFERROR(__xludf.DUMMYFUNCTION("""COMPUTED_VALUE"""),109.739)</f>
        <v>109.739</v>
      </c>
      <c r="I126">
        <f>IFERROR(__xludf.DUMMYFUNCTION("""COMPUTED_VALUE"""),134.879)</f>
        <v>134.879</v>
      </c>
      <c r="J126">
        <f>IFERROR(__xludf.DUMMYFUNCTION("""COMPUTED_VALUE"""),135.373)</f>
        <v>135.373</v>
      </c>
      <c r="K126">
        <f>IFERROR(__xludf.DUMMYFUNCTION("""COMPUTED_VALUE"""),121.701)</f>
        <v>121.701</v>
      </c>
    </row>
    <row r="127">
      <c r="A127" t="str">
        <f>IFERROR(__xludf.DUMMYFUNCTION("""COMPUTED_VALUE"""),"Nicaragua")</f>
        <v>Nicaragua</v>
      </c>
      <c r="B127">
        <f>IFERROR(__xludf.DUMMYFUNCTION("""COMPUTED_VALUE"""),5.109)</f>
        <v>5.109</v>
      </c>
      <c r="C127">
        <f>IFERROR(__xludf.DUMMYFUNCTION("""COMPUTED_VALUE"""),5.335)</f>
        <v>5.335</v>
      </c>
      <c r="D127">
        <f>IFERROR(__xludf.DUMMYFUNCTION("""COMPUTED_VALUE"""),5.224)</f>
        <v>5.224</v>
      </c>
      <c r="E127">
        <f>IFERROR(__xludf.DUMMYFUNCTION("""COMPUTED_VALUE"""),5.322)</f>
        <v>5.322</v>
      </c>
      <c r="F127">
        <f>IFERROR(__xludf.DUMMYFUNCTION("""COMPUTED_VALUE"""),5.793)</f>
        <v>5.793</v>
      </c>
      <c r="G127">
        <f>IFERROR(__xludf.DUMMYFUNCTION("""COMPUTED_VALUE"""),6.321)</f>
        <v>6.321</v>
      </c>
      <c r="H127">
        <f>IFERROR(__xludf.DUMMYFUNCTION("""COMPUTED_VALUE"""),6.764)</f>
        <v>6.764</v>
      </c>
      <c r="I127">
        <f>IFERROR(__xludf.DUMMYFUNCTION("""COMPUTED_VALUE"""),7.423)</f>
        <v>7.423</v>
      </c>
      <c r="J127">
        <f>IFERROR(__xludf.DUMMYFUNCTION("""COMPUTED_VALUE"""),8.497)</f>
        <v>8.497</v>
      </c>
      <c r="K127">
        <f>IFERROR(__xludf.DUMMYFUNCTION("""COMPUTED_VALUE"""),8.297)</f>
        <v>8.297</v>
      </c>
    </row>
    <row r="128">
      <c r="A128" t="str">
        <f>IFERROR(__xludf.DUMMYFUNCTION("""COMPUTED_VALUE"""),"Niger")</f>
        <v>Niger</v>
      </c>
      <c r="B128">
        <f>IFERROR(__xludf.DUMMYFUNCTION("""COMPUTED_VALUE"""),2.235)</f>
        <v>2.235</v>
      </c>
      <c r="C128">
        <f>IFERROR(__xludf.DUMMYFUNCTION("""COMPUTED_VALUE"""),2.442)</f>
        <v>2.442</v>
      </c>
      <c r="D128">
        <f>IFERROR(__xludf.DUMMYFUNCTION("""COMPUTED_VALUE"""),2.772)</f>
        <v>2.772</v>
      </c>
      <c r="E128">
        <f>IFERROR(__xludf.DUMMYFUNCTION("""COMPUTED_VALUE"""),3.382)</f>
        <v>3.382</v>
      </c>
      <c r="F128">
        <f>IFERROR(__xludf.DUMMYFUNCTION("""COMPUTED_VALUE"""),3.746)</f>
        <v>3.746</v>
      </c>
      <c r="G128">
        <f>IFERROR(__xludf.DUMMYFUNCTION("""COMPUTED_VALUE"""),4.372)</f>
        <v>4.372</v>
      </c>
      <c r="H128">
        <f>IFERROR(__xludf.DUMMYFUNCTION("""COMPUTED_VALUE"""),4.743)</f>
        <v>4.743</v>
      </c>
      <c r="I128">
        <f>IFERROR(__xludf.DUMMYFUNCTION("""COMPUTED_VALUE"""),5.716)</f>
        <v>5.716</v>
      </c>
      <c r="J128">
        <f>IFERROR(__xludf.DUMMYFUNCTION("""COMPUTED_VALUE"""),7.279)</f>
        <v>7.279</v>
      </c>
      <c r="K128">
        <f>IFERROR(__xludf.DUMMYFUNCTION("""COMPUTED_VALUE"""),7.324)</f>
        <v>7.324</v>
      </c>
    </row>
    <row r="129">
      <c r="A129" t="str">
        <f>IFERROR(__xludf.DUMMYFUNCTION("""COMPUTED_VALUE"""),"Nigeria")</f>
        <v>Nigeria</v>
      </c>
      <c r="B129">
        <f>IFERROR(__xludf.DUMMYFUNCTION("""COMPUTED_VALUE"""),67.824)</f>
        <v>67.824</v>
      </c>
      <c r="C129">
        <f>IFERROR(__xludf.DUMMYFUNCTION("""COMPUTED_VALUE"""),73.128)</f>
        <v>73.128</v>
      </c>
      <c r="D129">
        <f>IFERROR(__xludf.DUMMYFUNCTION("""COMPUTED_VALUE"""),93.983)</f>
        <v>93.983</v>
      </c>
      <c r="E129">
        <f>IFERROR(__xludf.DUMMYFUNCTION("""COMPUTED_VALUE"""),102.935)</f>
        <v>102.935</v>
      </c>
      <c r="F129">
        <f>IFERROR(__xludf.DUMMYFUNCTION("""COMPUTED_VALUE"""),130.345)</f>
        <v>130.345</v>
      </c>
      <c r="G129">
        <f>IFERROR(__xludf.DUMMYFUNCTION("""COMPUTED_VALUE"""),169.645)</f>
        <v>169.645</v>
      </c>
      <c r="H129">
        <f>IFERROR(__xludf.DUMMYFUNCTION("""COMPUTED_VALUE"""),222.791)</f>
        <v>222.791</v>
      </c>
      <c r="I129">
        <f>IFERROR(__xludf.DUMMYFUNCTION("""COMPUTED_VALUE"""),262.215)</f>
        <v>262.215</v>
      </c>
      <c r="J129">
        <f>IFERROR(__xludf.DUMMYFUNCTION("""COMPUTED_VALUE"""),330.26)</f>
        <v>330.26</v>
      </c>
      <c r="K129">
        <f>IFERROR(__xludf.DUMMYFUNCTION("""COMPUTED_VALUE"""),297.458)</f>
        <v>297.458</v>
      </c>
    </row>
    <row r="130">
      <c r="A130" t="str">
        <f>IFERROR(__xludf.DUMMYFUNCTION("""COMPUTED_VALUE"""),"Macédoine du Nord")</f>
        <v>Macédoine du Nord</v>
      </c>
      <c r="B130">
        <f>IFERROR(__xludf.DUMMYFUNCTION("""COMPUTED_VALUE"""),3.774)</f>
        <v>3.774</v>
      </c>
      <c r="C130">
        <f>IFERROR(__xludf.DUMMYFUNCTION("""COMPUTED_VALUE"""),3.709)</f>
        <v>3.709</v>
      </c>
      <c r="D130">
        <f>IFERROR(__xludf.DUMMYFUNCTION("""COMPUTED_VALUE"""),3.991)</f>
        <v>3.991</v>
      </c>
      <c r="E130">
        <f>IFERROR(__xludf.DUMMYFUNCTION("""COMPUTED_VALUE"""),4.946)</f>
        <v>4.946</v>
      </c>
      <c r="F130">
        <f>IFERROR(__xludf.DUMMYFUNCTION("""COMPUTED_VALUE"""),5.684)</f>
        <v>5.684</v>
      </c>
      <c r="G130">
        <f>IFERROR(__xludf.DUMMYFUNCTION("""COMPUTED_VALUE"""),6.257)</f>
        <v>6.257</v>
      </c>
      <c r="H130">
        <f>IFERROR(__xludf.DUMMYFUNCTION("""COMPUTED_VALUE"""),6.86)</f>
        <v>6.86</v>
      </c>
      <c r="I130">
        <f>IFERROR(__xludf.DUMMYFUNCTION("""COMPUTED_VALUE"""),8.337)</f>
        <v>8.337</v>
      </c>
      <c r="J130">
        <f>IFERROR(__xludf.DUMMYFUNCTION("""COMPUTED_VALUE"""),9.912)</f>
        <v>9.912</v>
      </c>
      <c r="K130">
        <f>IFERROR(__xludf.DUMMYFUNCTION("""COMPUTED_VALUE"""),9.4)</f>
        <v>9.4</v>
      </c>
    </row>
    <row r="131">
      <c r="A131" t="str">
        <f>IFERROR(__xludf.DUMMYFUNCTION("""COMPUTED_VALUE"""),"Norvège")</f>
        <v>Norvège</v>
      </c>
      <c r="B131">
        <f>IFERROR(__xludf.DUMMYFUNCTION("""COMPUTED_VALUE"""),171.456)</f>
        <v>171.456</v>
      </c>
      <c r="C131">
        <f>IFERROR(__xludf.DUMMYFUNCTION("""COMPUTED_VALUE"""),174.24)</f>
        <v>174.24</v>
      </c>
      <c r="D131">
        <f>IFERROR(__xludf.DUMMYFUNCTION("""COMPUTED_VALUE"""),195.915)</f>
        <v>195.915</v>
      </c>
      <c r="E131">
        <f>IFERROR(__xludf.DUMMYFUNCTION("""COMPUTED_VALUE"""),229.385)</f>
        <v>229.385</v>
      </c>
      <c r="F131">
        <f>IFERROR(__xludf.DUMMYFUNCTION("""COMPUTED_VALUE"""),265.267)</f>
        <v>265.267</v>
      </c>
      <c r="G131">
        <f>IFERROR(__xludf.DUMMYFUNCTION("""COMPUTED_VALUE"""),309.979)</f>
        <v>309.979</v>
      </c>
      <c r="H131">
        <f>IFERROR(__xludf.DUMMYFUNCTION("""COMPUTED_VALUE"""),346.914)</f>
        <v>346.914</v>
      </c>
      <c r="I131">
        <f>IFERROR(__xludf.DUMMYFUNCTION("""COMPUTED_VALUE"""),402.646)</f>
        <v>402.646</v>
      </c>
      <c r="J131">
        <f>IFERROR(__xludf.DUMMYFUNCTION("""COMPUTED_VALUE"""),464.915)</f>
        <v>464.915</v>
      </c>
      <c r="K131">
        <f>IFERROR(__xludf.DUMMYFUNCTION("""COMPUTED_VALUE"""),387.974)</f>
        <v>387.974</v>
      </c>
    </row>
    <row r="132">
      <c r="A132" t="str">
        <f>IFERROR(__xludf.DUMMYFUNCTION("""COMPUTED_VALUE"""),"Oman")</f>
        <v>Oman</v>
      </c>
      <c r="B132">
        <f>IFERROR(__xludf.DUMMYFUNCTION("""COMPUTED_VALUE"""),22.259)</f>
        <v>22.259</v>
      </c>
      <c r="C132">
        <f>IFERROR(__xludf.DUMMYFUNCTION("""COMPUTED_VALUE"""),22.206)</f>
        <v>22.206</v>
      </c>
      <c r="D132">
        <f>IFERROR(__xludf.DUMMYFUNCTION("""COMPUTED_VALUE"""),23.066)</f>
        <v>23.066</v>
      </c>
      <c r="E132">
        <f>IFERROR(__xludf.DUMMYFUNCTION("""COMPUTED_VALUE"""),24.734)</f>
        <v>24.734</v>
      </c>
      <c r="F132">
        <f>IFERROR(__xludf.DUMMYFUNCTION("""COMPUTED_VALUE"""),28.379)</f>
        <v>28.379</v>
      </c>
      <c r="G132">
        <f>IFERROR(__xludf.DUMMYFUNCTION("""COMPUTED_VALUE"""),35.507)</f>
        <v>35.507</v>
      </c>
      <c r="H132">
        <f>IFERROR(__xludf.DUMMYFUNCTION("""COMPUTED_VALUE"""),42.578)</f>
        <v>42.578</v>
      </c>
      <c r="I132">
        <f>IFERROR(__xludf.DUMMYFUNCTION("""COMPUTED_VALUE"""),48.3)</f>
        <v>48.3</v>
      </c>
      <c r="J132">
        <f>IFERROR(__xludf.DUMMYFUNCTION("""COMPUTED_VALUE"""),69.805)</f>
        <v>69.805</v>
      </c>
      <c r="K132">
        <f>IFERROR(__xludf.DUMMYFUNCTION("""COMPUTED_VALUE"""),55.454)</f>
        <v>55.454</v>
      </c>
    </row>
    <row r="133">
      <c r="A133" t="str">
        <f>IFERROR(__xludf.DUMMYFUNCTION("""COMPUTED_VALUE"""),"Pakistan")</f>
        <v>Pakistan</v>
      </c>
      <c r="B133">
        <f>IFERROR(__xludf.DUMMYFUNCTION("""COMPUTED_VALUE"""),99.421)</f>
        <v>99.421</v>
      </c>
      <c r="C133">
        <f>IFERROR(__xludf.DUMMYFUNCTION("""COMPUTED_VALUE"""),96.784)</f>
        <v>96.784</v>
      </c>
      <c r="D133">
        <f>IFERROR(__xludf.DUMMYFUNCTION("""COMPUTED_VALUE"""),98.169)</f>
        <v>98.169</v>
      </c>
      <c r="E133">
        <f>IFERROR(__xludf.DUMMYFUNCTION("""COMPUTED_VALUE"""),112.507)</f>
        <v>112.507</v>
      </c>
      <c r="F133">
        <f>IFERROR(__xludf.DUMMYFUNCTION("""COMPUTED_VALUE"""),132.206)</f>
        <v>132.206</v>
      </c>
      <c r="G133">
        <f>IFERROR(__xludf.DUMMYFUNCTION("""COMPUTED_VALUE"""),145.209)</f>
        <v>145.209</v>
      </c>
      <c r="H133">
        <f>IFERROR(__xludf.DUMMYFUNCTION("""COMPUTED_VALUE"""),161.871)</f>
        <v>161.871</v>
      </c>
      <c r="I133">
        <f>IFERROR(__xludf.DUMMYFUNCTION("""COMPUTED_VALUE"""),184.141)</f>
        <v>184.141</v>
      </c>
      <c r="J133">
        <f>IFERROR(__xludf.DUMMYFUNCTION("""COMPUTED_VALUE"""),202.204)</f>
        <v>202.204</v>
      </c>
      <c r="K133">
        <f>IFERROR(__xludf.DUMMYFUNCTION("""COMPUTED_VALUE"""),187.074)</f>
        <v>187.074</v>
      </c>
    </row>
    <row r="134">
      <c r="A134" t="str">
        <f>IFERROR(__xludf.DUMMYFUNCTION("""COMPUTED_VALUE"""),"Palaos")</f>
        <v>Palaos</v>
      </c>
      <c r="B134">
        <f>IFERROR(__xludf.DUMMYFUNCTION("""COMPUTED_VALUE"""),0.15)</f>
        <v>0.15</v>
      </c>
      <c r="C134">
        <f>IFERROR(__xludf.DUMMYFUNCTION("""COMPUTED_VALUE"""),0.159)</f>
        <v>0.159</v>
      </c>
      <c r="D134">
        <f>IFERROR(__xludf.DUMMYFUNCTION("""COMPUTED_VALUE"""),0.163)</f>
        <v>0.163</v>
      </c>
      <c r="E134">
        <f>IFERROR(__xludf.DUMMYFUNCTION("""COMPUTED_VALUE"""),0.155)</f>
        <v>0.155</v>
      </c>
      <c r="F134">
        <f>IFERROR(__xludf.DUMMYFUNCTION("""COMPUTED_VALUE"""),0.166)</f>
        <v>0.166</v>
      </c>
      <c r="G134">
        <f>IFERROR(__xludf.DUMMYFUNCTION("""COMPUTED_VALUE"""),0.186)</f>
        <v>0.186</v>
      </c>
      <c r="H134">
        <f>IFERROR(__xludf.DUMMYFUNCTION("""COMPUTED_VALUE"""),0.191)</f>
        <v>0.191</v>
      </c>
      <c r="I134">
        <f>IFERROR(__xludf.DUMMYFUNCTION("""COMPUTED_VALUE"""),0.196)</f>
        <v>0.196</v>
      </c>
      <c r="J134">
        <f>IFERROR(__xludf.DUMMYFUNCTION("""COMPUTED_VALUE"""),0.199)</f>
        <v>0.199</v>
      </c>
      <c r="K134">
        <f>IFERROR(__xludf.DUMMYFUNCTION("""COMPUTED_VALUE"""),0.184)</f>
        <v>0.184</v>
      </c>
    </row>
    <row r="135">
      <c r="A135" t="str">
        <f>IFERROR(__xludf.DUMMYFUNCTION("""COMPUTED_VALUE"""),"Panama")</f>
        <v>Panama</v>
      </c>
      <c r="B135">
        <f>IFERROR(__xludf.DUMMYFUNCTION("""COMPUTED_VALUE"""),12.958)</f>
        <v>12.958</v>
      </c>
      <c r="C135">
        <f>IFERROR(__xludf.DUMMYFUNCTION("""COMPUTED_VALUE"""),13.166)</f>
        <v>13.166</v>
      </c>
      <c r="D135">
        <f>IFERROR(__xludf.DUMMYFUNCTION("""COMPUTED_VALUE"""),13.685)</f>
        <v>13.685</v>
      </c>
      <c r="E135">
        <f>IFERROR(__xludf.DUMMYFUNCTION("""COMPUTED_VALUE"""),14.422)</f>
        <v>14.422</v>
      </c>
      <c r="F135">
        <f>IFERROR(__xludf.DUMMYFUNCTION("""COMPUTED_VALUE"""),15.811)</f>
        <v>15.811</v>
      </c>
      <c r="G135">
        <f>IFERROR(__xludf.DUMMYFUNCTION("""COMPUTED_VALUE"""),17.244)</f>
        <v>17.244</v>
      </c>
      <c r="H135">
        <f>IFERROR(__xludf.DUMMYFUNCTION("""COMPUTED_VALUE"""),19.109)</f>
        <v>19.109</v>
      </c>
      <c r="I135">
        <f>IFERROR(__xludf.DUMMYFUNCTION("""COMPUTED_VALUE"""),22.072)</f>
        <v>22.072</v>
      </c>
      <c r="J135">
        <f>IFERROR(__xludf.DUMMYFUNCTION("""COMPUTED_VALUE"""),26.072)</f>
        <v>26.072</v>
      </c>
      <c r="K135">
        <f>IFERROR(__xludf.DUMMYFUNCTION("""COMPUTED_VALUE"""),28.104)</f>
        <v>28.104</v>
      </c>
    </row>
    <row r="136">
      <c r="A136" t="str">
        <f>IFERROR(__xludf.DUMMYFUNCTION("""COMPUTED_VALUE"""),"Papouasie-Nouvelle-Guinée")</f>
        <v>Papouasie-Nouvelle-Guinée</v>
      </c>
      <c r="B136">
        <f>IFERROR(__xludf.DUMMYFUNCTION("""COMPUTED_VALUE"""),5.169)</f>
        <v>5.169</v>
      </c>
      <c r="C136">
        <f>IFERROR(__xludf.DUMMYFUNCTION("""COMPUTED_VALUE"""),4.531)</f>
        <v>4.531</v>
      </c>
      <c r="D136">
        <f>IFERROR(__xludf.DUMMYFUNCTION("""COMPUTED_VALUE"""),4.387)</f>
        <v>4.387</v>
      </c>
      <c r="E136">
        <f>IFERROR(__xludf.DUMMYFUNCTION("""COMPUTED_VALUE"""),5.488)</f>
        <v>5.488</v>
      </c>
      <c r="F136">
        <f>IFERROR(__xludf.DUMMYFUNCTION("""COMPUTED_VALUE"""),6.279)</f>
        <v>6.279</v>
      </c>
      <c r="G136">
        <f>IFERROR(__xludf.DUMMYFUNCTION("""COMPUTED_VALUE"""),7.339)</f>
        <v>7.339</v>
      </c>
      <c r="H136">
        <f>IFERROR(__xludf.DUMMYFUNCTION("""COMPUTED_VALUE"""),8.355)</f>
        <v>8.355</v>
      </c>
      <c r="I136">
        <f>IFERROR(__xludf.DUMMYFUNCTION("""COMPUTED_VALUE"""),9.545)</f>
        <v>9.545</v>
      </c>
      <c r="J136">
        <f>IFERROR(__xludf.DUMMYFUNCTION("""COMPUTED_VALUE"""),11.671)</f>
        <v>11.671</v>
      </c>
      <c r="K136">
        <f>IFERROR(__xludf.DUMMYFUNCTION("""COMPUTED_VALUE"""),11.619)</f>
        <v>11.619</v>
      </c>
    </row>
    <row r="137">
      <c r="A137" t="str">
        <f>IFERROR(__xludf.DUMMYFUNCTION("""COMPUTED_VALUE"""),"Paraguay")</f>
        <v>Paraguay</v>
      </c>
      <c r="B137">
        <f>IFERROR(__xludf.DUMMYFUNCTION("""COMPUTED_VALUE"""),8.856)</f>
        <v>8.856</v>
      </c>
      <c r="C137">
        <f>IFERROR(__xludf.DUMMYFUNCTION("""COMPUTED_VALUE"""),8.496)</f>
        <v>8.496</v>
      </c>
      <c r="D137">
        <f>IFERROR(__xludf.DUMMYFUNCTION("""COMPUTED_VALUE"""),7.196)</f>
        <v>7.196</v>
      </c>
      <c r="E137">
        <f>IFERROR(__xludf.DUMMYFUNCTION("""COMPUTED_VALUE"""),7.691)</f>
        <v>7.691</v>
      </c>
      <c r="F137">
        <f>IFERROR(__xludf.DUMMYFUNCTION("""COMPUTED_VALUE"""),9.624)</f>
        <v>9.624</v>
      </c>
      <c r="G137">
        <f>IFERROR(__xludf.DUMMYFUNCTION("""COMPUTED_VALUE"""),10.738)</f>
        <v>10.738</v>
      </c>
      <c r="H137">
        <f>IFERROR(__xludf.DUMMYFUNCTION("""COMPUTED_VALUE"""),13.43)</f>
        <v>13.43</v>
      </c>
      <c r="I137">
        <f>IFERROR(__xludf.DUMMYFUNCTION("""COMPUTED_VALUE"""),17.856)</f>
        <v>17.856</v>
      </c>
      <c r="J137">
        <f>IFERROR(__xludf.DUMMYFUNCTION("""COMPUTED_VALUE"""),24.615)</f>
        <v>24.615</v>
      </c>
      <c r="K137">
        <f>IFERROR(__xludf.DUMMYFUNCTION("""COMPUTED_VALUE"""),22.355)</f>
        <v>22.355</v>
      </c>
    </row>
    <row r="138">
      <c r="A138" t="str">
        <f>IFERROR(__xludf.DUMMYFUNCTION("""COMPUTED_VALUE"""),"Pérou")</f>
        <v>Pérou</v>
      </c>
      <c r="B138">
        <f>IFERROR(__xludf.DUMMYFUNCTION("""COMPUTED_VALUE"""),50.414)</f>
        <v>50.414</v>
      </c>
      <c r="C138">
        <f>IFERROR(__xludf.DUMMYFUNCTION("""COMPUTED_VALUE"""),51.034)</f>
        <v>51.034</v>
      </c>
      <c r="D138">
        <f>IFERROR(__xludf.DUMMYFUNCTION("""COMPUTED_VALUE"""),53.954)</f>
        <v>53.954</v>
      </c>
      <c r="E138">
        <f>IFERROR(__xludf.DUMMYFUNCTION("""COMPUTED_VALUE"""),58.537)</f>
        <v>58.537</v>
      </c>
      <c r="F138">
        <f>IFERROR(__xludf.DUMMYFUNCTION("""COMPUTED_VALUE"""),66.126)</f>
        <v>66.126</v>
      </c>
      <c r="G138">
        <f>IFERROR(__xludf.DUMMYFUNCTION("""COMPUTED_VALUE"""),74.232)</f>
        <v>74.232</v>
      </c>
      <c r="H138">
        <f>IFERROR(__xludf.DUMMYFUNCTION("""COMPUTED_VALUE"""),87.459)</f>
        <v>87.459</v>
      </c>
      <c r="I138">
        <f>IFERROR(__xludf.DUMMYFUNCTION("""COMPUTED_VALUE"""),102.187)</f>
        <v>102.187</v>
      </c>
      <c r="J138">
        <f>IFERROR(__xludf.DUMMYFUNCTION("""COMPUTED_VALUE"""),121.293)</f>
        <v>121.293</v>
      </c>
      <c r="K138">
        <f>IFERROR(__xludf.DUMMYFUNCTION("""COMPUTED_VALUE"""),121.821)</f>
        <v>121.821</v>
      </c>
    </row>
    <row r="139">
      <c r="A139" t="str">
        <f>IFERROR(__xludf.DUMMYFUNCTION("""COMPUTED_VALUE"""),"Philippines")</f>
        <v>Philippines</v>
      </c>
      <c r="B139">
        <f>IFERROR(__xludf.DUMMYFUNCTION("""COMPUTED_VALUE"""),83.667)</f>
        <v>83.667</v>
      </c>
      <c r="C139">
        <f>IFERROR(__xludf.DUMMYFUNCTION("""COMPUTED_VALUE"""),78.921)</f>
        <v>78.921</v>
      </c>
      <c r="D139">
        <f>IFERROR(__xludf.DUMMYFUNCTION("""COMPUTED_VALUE"""),84.307)</f>
        <v>84.307</v>
      </c>
      <c r="E139">
        <f>IFERROR(__xludf.DUMMYFUNCTION("""COMPUTED_VALUE"""),87.039)</f>
        <v>87.039</v>
      </c>
      <c r="F139">
        <f>IFERROR(__xludf.DUMMYFUNCTION("""COMPUTED_VALUE"""),95.002)</f>
        <v>95.002</v>
      </c>
      <c r="G139">
        <f>IFERROR(__xludf.DUMMYFUNCTION("""COMPUTED_VALUE"""),107.42)</f>
        <v>107.42</v>
      </c>
      <c r="H139">
        <f>IFERROR(__xludf.DUMMYFUNCTION("""COMPUTED_VALUE"""),127.653)</f>
        <v>127.653</v>
      </c>
      <c r="I139">
        <f>IFERROR(__xludf.DUMMYFUNCTION("""COMPUTED_VALUE"""),155.98)</f>
        <v>155.98</v>
      </c>
      <c r="J139">
        <f>IFERROR(__xludf.DUMMYFUNCTION("""COMPUTED_VALUE"""),181.007)</f>
        <v>181.007</v>
      </c>
      <c r="K139">
        <f>IFERROR(__xludf.DUMMYFUNCTION("""COMPUTED_VALUE"""),176.132)</f>
        <v>176.132</v>
      </c>
    </row>
    <row r="140">
      <c r="A140" t="str">
        <f>IFERROR(__xludf.DUMMYFUNCTION("""COMPUTED_VALUE"""),"Pologne")</f>
        <v>Pologne</v>
      </c>
      <c r="B140">
        <f>IFERROR(__xludf.DUMMYFUNCTION("""COMPUTED_VALUE"""),171.613)</f>
        <v>171.613</v>
      </c>
      <c r="C140">
        <f>IFERROR(__xludf.DUMMYFUNCTION("""COMPUTED_VALUE"""),190.805)</f>
        <v>190.805</v>
      </c>
      <c r="D140">
        <f>IFERROR(__xludf.DUMMYFUNCTION("""COMPUTED_VALUE"""),199.07)</f>
        <v>199.07</v>
      </c>
      <c r="E140">
        <f>IFERROR(__xludf.DUMMYFUNCTION("""COMPUTED_VALUE"""),217.829)</f>
        <v>217.829</v>
      </c>
      <c r="F140">
        <f>IFERROR(__xludf.DUMMYFUNCTION("""COMPUTED_VALUE"""),255.292)</f>
        <v>255.292</v>
      </c>
      <c r="G140">
        <f>IFERROR(__xludf.DUMMYFUNCTION("""COMPUTED_VALUE"""),306.304)</f>
        <v>306.304</v>
      </c>
      <c r="H140">
        <f>IFERROR(__xludf.DUMMYFUNCTION("""COMPUTED_VALUE"""),344.627)</f>
        <v>344.627</v>
      </c>
      <c r="I140">
        <f>IFERROR(__xludf.DUMMYFUNCTION("""COMPUTED_VALUE"""),429.021)</f>
        <v>429.021</v>
      </c>
      <c r="J140">
        <f>IFERROR(__xludf.DUMMYFUNCTION("""COMPUTED_VALUE"""),533.6)</f>
        <v>533.6</v>
      </c>
      <c r="K140">
        <f>IFERROR(__xludf.DUMMYFUNCTION("""COMPUTED_VALUE"""),439.794)</f>
        <v>439.794</v>
      </c>
    </row>
    <row r="141">
      <c r="A141" t="str">
        <f>IFERROR(__xludf.DUMMYFUNCTION("""COMPUTED_VALUE"""),"Portugal")</f>
        <v>Portugal</v>
      </c>
      <c r="B141">
        <f>IFERROR(__xludf.DUMMYFUNCTION("""COMPUTED_VALUE"""),118.658)</f>
        <v>118.658</v>
      </c>
      <c r="C141">
        <f>IFERROR(__xludf.DUMMYFUNCTION("""COMPUTED_VALUE"""),121.605)</f>
        <v>121.605</v>
      </c>
      <c r="D141">
        <f>IFERROR(__xludf.DUMMYFUNCTION("""COMPUTED_VALUE"""),134.7)</f>
        <v>134.7</v>
      </c>
      <c r="E141">
        <f>IFERROR(__xludf.DUMMYFUNCTION("""COMPUTED_VALUE"""),165.185)</f>
        <v>165.185</v>
      </c>
      <c r="F141">
        <f>IFERROR(__xludf.DUMMYFUNCTION("""COMPUTED_VALUE"""),189.296)</f>
        <v>189.296</v>
      </c>
      <c r="G141">
        <f>IFERROR(__xludf.DUMMYFUNCTION("""COMPUTED_VALUE"""),197.363)</f>
        <v>197.363</v>
      </c>
      <c r="H141">
        <f>IFERROR(__xludf.DUMMYFUNCTION("""COMPUTED_VALUE"""),208.767)</f>
        <v>208.767</v>
      </c>
      <c r="I141">
        <f>IFERROR(__xludf.DUMMYFUNCTION("""COMPUTED_VALUE"""),240.524)</f>
        <v>240.524</v>
      </c>
      <c r="J141">
        <f>IFERROR(__xludf.DUMMYFUNCTION("""COMPUTED_VALUE"""),263.388)</f>
        <v>263.388</v>
      </c>
      <c r="K141">
        <f>IFERROR(__xludf.DUMMYFUNCTION("""COMPUTED_VALUE"""),244.402)</f>
        <v>244.402</v>
      </c>
    </row>
    <row r="142">
      <c r="A142" t="str">
        <f>IFERROR(__xludf.DUMMYFUNCTION("""COMPUTED_VALUE"""),"Porto Rico")</f>
        <v>Porto Rico</v>
      </c>
      <c r="B142">
        <f>IFERROR(__xludf.DUMMYFUNCTION("""COMPUTED_VALUE"""),61.702)</f>
        <v>61.702</v>
      </c>
      <c r="C142">
        <f>IFERROR(__xludf.DUMMYFUNCTION("""COMPUTED_VALUE"""),69.669)</f>
        <v>69.669</v>
      </c>
      <c r="D142">
        <f>IFERROR(__xludf.DUMMYFUNCTION("""COMPUTED_VALUE"""),72.546)</f>
        <v>72.546</v>
      </c>
      <c r="E142">
        <f>IFERROR(__xludf.DUMMYFUNCTION("""COMPUTED_VALUE"""),75.834)</f>
        <v>75.834</v>
      </c>
      <c r="F142">
        <f>IFERROR(__xludf.DUMMYFUNCTION("""COMPUTED_VALUE"""),80.322)</f>
        <v>80.322</v>
      </c>
      <c r="G142">
        <f>IFERROR(__xludf.DUMMYFUNCTION("""COMPUTED_VALUE"""),83.915)</f>
        <v>83.915</v>
      </c>
      <c r="H142">
        <f>IFERROR(__xludf.DUMMYFUNCTION("""COMPUTED_VALUE"""),87.276)</f>
        <v>87.276</v>
      </c>
      <c r="I142">
        <f>IFERROR(__xludf.DUMMYFUNCTION("""COMPUTED_VALUE"""),89.524)</f>
        <v>89.524</v>
      </c>
      <c r="J142">
        <f>IFERROR(__xludf.DUMMYFUNCTION("""COMPUTED_VALUE"""),93.639)</f>
        <v>93.639</v>
      </c>
      <c r="K142">
        <f>IFERROR(__xludf.DUMMYFUNCTION("""COMPUTED_VALUE"""),96.386)</f>
        <v>96.386</v>
      </c>
    </row>
    <row r="143">
      <c r="A143" t="str">
        <f>IFERROR(__xludf.DUMMYFUNCTION("""COMPUTED_VALUE"""),"Qatar")</f>
        <v>Qatar</v>
      </c>
      <c r="B143">
        <f>IFERROR(__xludf.DUMMYFUNCTION("""COMPUTED_VALUE"""),18.085)</f>
        <v>18.085</v>
      </c>
      <c r="C143">
        <f>IFERROR(__xludf.DUMMYFUNCTION("""COMPUTED_VALUE"""),17.498)</f>
        <v>17.498</v>
      </c>
      <c r="D143">
        <f>IFERROR(__xludf.DUMMYFUNCTION("""COMPUTED_VALUE"""),19.334)</f>
        <v>19.334</v>
      </c>
      <c r="E143">
        <f>IFERROR(__xludf.DUMMYFUNCTION("""COMPUTED_VALUE"""),23.716)</f>
        <v>23.716</v>
      </c>
      <c r="F143">
        <f>IFERROR(__xludf.DUMMYFUNCTION("""COMPUTED_VALUE"""),30.651)</f>
        <v>30.651</v>
      </c>
      <c r="G143">
        <f>IFERROR(__xludf.DUMMYFUNCTION("""COMPUTED_VALUE"""),44.636)</f>
        <v>44.636</v>
      </c>
      <c r="H143">
        <f>IFERROR(__xludf.DUMMYFUNCTION("""COMPUTED_VALUE"""),58.629)</f>
        <v>58.629</v>
      </c>
      <c r="I143">
        <f>IFERROR(__xludf.DUMMYFUNCTION("""COMPUTED_VALUE"""),75.987)</f>
        <v>75.987</v>
      </c>
      <c r="J143">
        <f>IFERROR(__xludf.DUMMYFUNCTION("""COMPUTED_VALUE"""),112.621)</f>
        <v>112.621</v>
      </c>
      <c r="K143">
        <f>IFERROR(__xludf.DUMMYFUNCTION("""COMPUTED_VALUE"""),88.196)</f>
        <v>88.196</v>
      </c>
    </row>
    <row r="144">
      <c r="A144" t="str">
        <f>IFERROR(__xludf.DUMMYFUNCTION("""COMPUTED_VALUE"""),"Roumanie")</f>
        <v>Roumanie</v>
      </c>
      <c r="B144">
        <f>IFERROR(__xludf.DUMMYFUNCTION("""COMPUTED_VALUE"""),37.447)</f>
        <v>37.447</v>
      </c>
      <c r="C144">
        <f>IFERROR(__xludf.DUMMYFUNCTION("""COMPUTED_VALUE"""),40.396)</f>
        <v>40.396</v>
      </c>
      <c r="D144">
        <f>IFERROR(__xludf.DUMMYFUNCTION("""COMPUTED_VALUE"""),46.035)</f>
        <v>46.035</v>
      </c>
      <c r="E144">
        <f>IFERROR(__xludf.DUMMYFUNCTION("""COMPUTED_VALUE"""),57.79)</f>
        <v>57.79</v>
      </c>
      <c r="F144">
        <f>IFERROR(__xludf.DUMMYFUNCTION("""COMPUTED_VALUE"""),75.059)</f>
        <v>75.059</v>
      </c>
      <c r="G144">
        <f>IFERROR(__xludf.DUMMYFUNCTION("""COMPUTED_VALUE"""),98.547)</f>
        <v>98.547</v>
      </c>
      <c r="H144">
        <f>IFERROR(__xludf.DUMMYFUNCTION("""COMPUTED_VALUE"""),122.114)</f>
        <v>122.114</v>
      </c>
      <c r="I144">
        <f>IFERROR(__xludf.DUMMYFUNCTION("""COMPUTED_VALUE"""),174.831)</f>
        <v>174.831</v>
      </c>
      <c r="J144">
        <f>IFERROR(__xludf.DUMMYFUNCTION("""COMPUTED_VALUE"""),215.568)</f>
        <v>215.568</v>
      </c>
      <c r="K144">
        <f>IFERROR(__xludf.DUMMYFUNCTION("""COMPUTED_VALUE"""),174.564)</f>
        <v>174.564</v>
      </c>
    </row>
    <row r="145">
      <c r="A145" t="str">
        <f>IFERROR(__xludf.DUMMYFUNCTION("""COMPUTED_VALUE"""),"Russie")</f>
        <v>Russie</v>
      </c>
      <c r="B145">
        <f>IFERROR(__xludf.DUMMYFUNCTION("""COMPUTED_VALUE"""),278.264)</f>
        <v>278.264</v>
      </c>
      <c r="C145">
        <f>IFERROR(__xludf.DUMMYFUNCTION("""COMPUTED_VALUE"""),328.475)</f>
        <v>328.475</v>
      </c>
      <c r="D145">
        <f>IFERROR(__xludf.DUMMYFUNCTION("""COMPUTED_VALUE"""),370.062)</f>
        <v>370.062</v>
      </c>
      <c r="E145">
        <f>IFERROR(__xludf.DUMMYFUNCTION("""COMPUTED_VALUE"""),461.518)</f>
        <v>461.518</v>
      </c>
      <c r="F145">
        <f>IFERROR(__xludf.DUMMYFUNCTION("""COMPUTED_VALUE"""),633.294)</f>
        <v>633.294</v>
      </c>
      <c r="G145">
        <f>IFERROR(__xludf.DUMMYFUNCTION("""COMPUTED_VALUE"""),817.717)</f>
        <v>817.717</v>
      </c>
      <c r="H145">
        <f>IFERROR(__xludf.DUMMYFUNCTION("""COMPUTED_VALUE"""),1060.901)</f>
        <v>1060.901</v>
      </c>
      <c r="I145">
        <f>IFERROR(__xludf.DUMMYFUNCTION("""COMPUTED_VALUE"""),1393.416)</f>
        <v>1393.416</v>
      </c>
      <c r="J145">
        <f>IFERROR(__xludf.DUMMYFUNCTION("""COMPUTED_VALUE"""),1779.109)</f>
        <v>1779.109</v>
      </c>
      <c r="K145">
        <f>IFERROR(__xludf.DUMMYFUNCTION("""COMPUTED_VALUE"""),1307.927)</f>
        <v>1307.927</v>
      </c>
    </row>
    <row r="146">
      <c r="A146" t="str">
        <f>IFERROR(__xludf.DUMMYFUNCTION("""COMPUTED_VALUE"""),"Rwanda")</f>
        <v>Rwanda</v>
      </c>
      <c r="B146">
        <f>IFERROR(__xludf.DUMMYFUNCTION("""COMPUTED_VALUE"""),2.049)</f>
        <v>2.049</v>
      </c>
      <c r="C146">
        <f>IFERROR(__xludf.DUMMYFUNCTION("""COMPUTED_VALUE"""),1.967)</f>
        <v>1.967</v>
      </c>
      <c r="D146">
        <f>IFERROR(__xludf.DUMMYFUNCTION("""COMPUTED_VALUE"""),1.963)</f>
        <v>1.963</v>
      </c>
      <c r="E146">
        <f>IFERROR(__xludf.DUMMYFUNCTION("""COMPUTED_VALUE"""),2.139)</f>
        <v>2.139</v>
      </c>
      <c r="F146">
        <f>IFERROR(__xludf.DUMMYFUNCTION("""COMPUTED_VALUE"""),2.388)</f>
        <v>2.388</v>
      </c>
      <c r="G146">
        <f>IFERROR(__xludf.DUMMYFUNCTION("""COMPUTED_VALUE"""),2.943)</f>
        <v>2.943</v>
      </c>
      <c r="H146">
        <f>IFERROR(__xludf.DUMMYFUNCTION("""COMPUTED_VALUE"""),3.317)</f>
        <v>3.317</v>
      </c>
      <c r="I146">
        <f>IFERROR(__xludf.DUMMYFUNCTION("""COMPUTED_VALUE"""),4.069)</f>
        <v>4.069</v>
      </c>
      <c r="J146">
        <f>IFERROR(__xludf.DUMMYFUNCTION("""COMPUTED_VALUE"""),5.183)</f>
        <v>5.183</v>
      </c>
      <c r="K146">
        <f>IFERROR(__xludf.DUMMYFUNCTION("""COMPUTED_VALUE"""),5.675)</f>
        <v>5.675</v>
      </c>
    </row>
    <row r="147">
      <c r="A147" t="str">
        <f>IFERROR(__xludf.DUMMYFUNCTION("""COMPUTED_VALUE"""),"Saint-Christophe-et-Niévès")</f>
        <v>Saint-Christophe-et-Niévès</v>
      </c>
      <c r="B147">
        <f>IFERROR(__xludf.DUMMYFUNCTION("""COMPUTED_VALUE"""),0.421)</f>
        <v>0.421</v>
      </c>
      <c r="C147">
        <f>IFERROR(__xludf.DUMMYFUNCTION("""COMPUTED_VALUE"""),0.458)</f>
        <v>0.458</v>
      </c>
      <c r="D147">
        <f>IFERROR(__xludf.DUMMYFUNCTION("""COMPUTED_VALUE"""),0.481)</f>
        <v>0.481</v>
      </c>
      <c r="E147">
        <f>IFERROR(__xludf.DUMMYFUNCTION("""COMPUTED_VALUE"""),0.469)</f>
        <v>0.469</v>
      </c>
      <c r="F147">
        <f>IFERROR(__xludf.DUMMYFUNCTION("""COMPUTED_VALUE"""),0.507)</f>
        <v>0.507</v>
      </c>
      <c r="G147">
        <f>IFERROR(__xludf.DUMMYFUNCTION("""COMPUTED_VALUE"""),0.547)</f>
        <v>0.547</v>
      </c>
      <c r="H147">
        <f>IFERROR(__xludf.DUMMYFUNCTION("""COMPUTED_VALUE"""),0.644)</f>
        <v>0.644</v>
      </c>
      <c r="I147">
        <f>IFERROR(__xludf.DUMMYFUNCTION("""COMPUTED_VALUE"""),0.689)</f>
        <v>0.689</v>
      </c>
      <c r="J147">
        <f>IFERROR(__xludf.DUMMYFUNCTION("""COMPUTED_VALUE"""),0.778)</f>
        <v>0.778</v>
      </c>
      <c r="K147">
        <f>IFERROR(__xludf.DUMMYFUNCTION("""COMPUTED_VALUE"""),0.774)</f>
        <v>0.774</v>
      </c>
    </row>
    <row r="148">
      <c r="A148" t="str">
        <f>IFERROR(__xludf.DUMMYFUNCTION("""COMPUTED_VALUE"""),"Sainte-Lucie")</f>
        <v>Sainte-Lucie</v>
      </c>
      <c r="B148">
        <f>IFERROR(__xludf.DUMMYFUNCTION("""COMPUTED_VALUE"""),0.932)</f>
        <v>0.932</v>
      </c>
      <c r="C148">
        <f>IFERROR(__xludf.DUMMYFUNCTION("""COMPUTED_VALUE"""),0.892)</f>
        <v>0.892</v>
      </c>
      <c r="D148">
        <f>IFERROR(__xludf.DUMMYFUNCTION("""COMPUTED_VALUE"""),0.899)</f>
        <v>0.899</v>
      </c>
      <c r="E148">
        <f>IFERROR(__xludf.DUMMYFUNCTION("""COMPUTED_VALUE"""),0.987)</f>
        <v>0.987</v>
      </c>
      <c r="F148">
        <f>IFERROR(__xludf.DUMMYFUNCTION("""COMPUTED_VALUE"""),1.066)</f>
        <v>1.066</v>
      </c>
      <c r="G148">
        <f>IFERROR(__xludf.DUMMYFUNCTION("""COMPUTED_VALUE"""),1.135)</f>
        <v>1.135</v>
      </c>
      <c r="H148">
        <f>IFERROR(__xludf.DUMMYFUNCTION("""COMPUTED_VALUE"""),1.268)</f>
        <v>1.268</v>
      </c>
      <c r="I148">
        <f>IFERROR(__xludf.DUMMYFUNCTION("""COMPUTED_VALUE"""),1.331)</f>
        <v>1.331</v>
      </c>
      <c r="J148">
        <f>IFERROR(__xludf.DUMMYFUNCTION("""COMPUTED_VALUE"""),1.427)</f>
        <v>1.427</v>
      </c>
      <c r="K148">
        <f>IFERROR(__xludf.DUMMYFUNCTION("""COMPUTED_VALUE"""),1.4)</f>
        <v>1.4</v>
      </c>
    </row>
    <row r="149">
      <c r="A149" t="str">
        <f>IFERROR(__xludf.DUMMYFUNCTION("""COMPUTED_VALUE"""),"Saint-Vincent-et-les-Grenadines")</f>
        <v>Saint-Vincent-et-les-Grenadines</v>
      </c>
      <c r="B149">
        <f>IFERROR(__xludf.DUMMYFUNCTION("""COMPUTED_VALUE"""),0.428)</f>
        <v>0.428</v>
      </c>
      <c r="C149">
        <f>IFERROR(__xludf.DUMMYFUNCTION("""COMPUTED_VALUE"""),0.462)</f>
        <v>0.462</v>
      </c>
      <c r="D149">
        <f>IFERROR(__xludf.DUMMYFUNCTION("""COMPUTED_VALUE"""),0.488)</f>
        <v>0.488</v>
      </c>
      <c r="E149">
        <f>IFERROR(__xludf.DUMMYFUNCTION("""COMPUTED_VALUE"""),0.509)</f>
        <v>0.509</v>
      </c>
      <c r="F149">
        <f>IFERROR(__xludf.DUMMYFUNCTION("""COMPUTED_VALUE"""),0.55)</f>
        <v>0.55</v>
      </c>
      <c r="G149">
        <f>IFERROR(__xludf.DUMMYFUNCTION("""COMPUTED_VALUE"""),0.58)</f>
        <v>0.58</v>
      </c>
      <c r="H149">
        <f>IFERROR(__xludf.DUMMYFUNCTION("""COMPUTED_VALUE"""),0.644)</f>
        <v>0.644</v>
      </c>
      <c r="I149">
        <f>IFERROR(__xludf.DUMMYFUNCTION("""COMPUTED_VALUE"""),0.714)</f>
        <v>0.714</v>
      </c>
      <c r="J149">
        <f>IFERROR(__xludf.DUMMYFUNCTION("""COMPUTED_VALUE"""),0.733)</f>
        <v>0.733</v>
      </c>
      <c r="K149">
        <f>IFERROR(__xludf.DUMMYFUNCTION("""COMPUTED_VALUE"""),0.714)</f>
        <v>0.714</v>
      </c>
    </row>
    <row r="150">
      <c r="A150" t="str">
        <f>IFERROR(__xludf.DUMMYFUNCTION("""COMPUTED_VALUE"""),"Samoa")</f>
        <v>Samoa</v>
      </c>
      <c r="B150">
        <f>IFERROR(__xludf.DUMMYFUNCTION("""COMPUTED_VALUE"""),0.271)</f>
        <v>0.271</v>
      </c>
      <c r="C150">
        <f>IFERROR(__xludf.DUMMYFUNCTION("""COMPUTED_VALUE"""),0.273)</f>
        <v>0.273</v>
      </c>
      <c r="D150">
        <f>IFERROR(__xludf.DUMMYFUNCTION("""COMPUTED_VALUE"""),0.289)</f>
        <v>0.289</v>
      </c>
      <c r="E150">
        <f>IFERROR(__xludf.DUMMYFUNCTION("""COMPUTED_VALUE"""),0.342)</f>
        <v>0.342</v>
      </c>
      <c r="F150">
        <f>IFERROR(__xludf.DUMMYFUNCTION("""COMPUTED_VALUE"""),0.418)</f>
        <v>0.418</v>
      </c>
      <c r="G150">
        <f>IFERROR(__xludf.DUMMYFUNCTION("""COMPUTED_VALUE"""),0.486)</f>
        <v>0.486</v>
      </c>
      <c r="H150">
        <f>IFERROR(__xludf.DUMMYFUNCTION("""COMPUTED_VALUE"""),0.516)</f>
        <v>0.516</v>
      </c>
      <c r="I150">
        <f>IFERROR(__xludf.DUMMYFUNCTION("""COMPUTED_VALUE"""),0.568)</f>
        <v>0.568</v>
      </c>
      <c r="J150">
        <f>IFERROR(__xludf.DUMMYFUNCTION("""COMPUTED_VALUE"""),0.684)</f>
        <v>0.684</v>
      </c>
      <c r="K150">
        <f>IFERROR(__xludf.DUMMYFUNCTION("""COMPUTED_VALUE"""),0.618)</f>
        <v>0.618</v>
      </c>
    </row>
    <row r="151">
      <c r="A151" t="str">
        <f>IFERROR(__xludf.DUMMYFUNCTION("""COMPUTED_VALUE"""),"Saint-Marin")</f>
        <v>Saint-Marin</v>
      </c>
      <c r="B151">
        <f>IFERROR(__xludf.DUMMYFUNCTION("""COMPUTED_VALUE"""),1.008)</f>
        <v>1.008</v>
      </c>
      <c r="C151">
        <f>IFERROR(__xludf.DUMMYFUNCTION("""COMPUTED_VALUE"""),1.06)</f>
        <v>1.06</v>
      </c>
      <c r="D151">
        <f>IFERROR(__xludf.DUMMYFUNCTION("""COMPUTED_VALUE"""),1.148)</f>
        <v>1.148</v>
      </c>
      <c r="E151">
        <f>IFERROR(__xludf.DUMMYFUNCTION("""COMPUTED_VALUE"""),1.462)</f>
        <v>1.462</v>
      </c>
      <c r="F151">
        <f>IFERROR(__xludf.DUMMYFUNCTION("""COMPUTED_VALUE"""),1.714)</f>
        <v>1.714</v>
      </c>
      <c r="G151">
        <f>IFERROR(__xludf.DUMMYFUNCTION("""COMPUTED_VALUE"""),1.788)</f>
        <v>1.788</v>
      </c>
      <c r="H151">
        <f>IFERROR(__xludf.DUMMYFUNCTION("""COMPUTED_VALUE"""),1.91)</f>
        <v>1.91</v>
      </c>
      <c r="I151">
        <f>IFERROR(__xludf.DUMMYFUNCTION("""COMPUTED_VALUE"""),2.189)</f>
        <v>2.189</v>
      </c>
      <c r="J151">
        <f>IFERROR(__xludf.DUMMYFUNCTION("""COMPUTED_VALUE"""),2.403)</f>
        <v>2.403</v>
      </c>
      <c r="K151">
        <f>IFERROR(__xludf.DUMMYFUNCTION("""COMPUTED_VALUE"""),2.062)</f>
        <v>2.062</v>
      </c>
    </row>
    <row r="152">
      <c r="A152" t="str">
        <f>IFERROR(__xludf.DUMMYFUNCTION("""COMPUTED_VALUE"""),"Arabie saoudite")</f>
        <v>Arabie saoudite</v>
      </c>
      <c r="B152">
        <f>IFERROR(__xludf.DUMMYFUNCTION("""COMPUTED_VALUE"""),189.515)</f>
        <v>189.515</v>
      </c>
      <c r="C152">
        <f>IFERROR(__xludf.DUMMYFUNCTION("""COMPUTED_VALUE"""),184.137)</f>
        <v>184.137</v>
      </c>
      <c r="D152">
        <f>IFERROR(__xludf.DUMMYFUNCTION("""COMPUTED_VALUE"""),189.606)</f>
        <v>189.606</v>
      </c>
      <c r="E152">
        <f>IFERROR(__xludf.DUMMYFUNCTION("""COMPUTED_VALUE"""),215.807)</f>
        <v>215.807</v>
      </c>
      <c r="F152">
        <f>IFERROR(__xludf.DUMMYFUNCTION("""COMPUTED_VALUE"""),258.742)</f>
        <v>258.742</v>
      </c>
      <c r="G152">
        <f>IFERROR(__xludf.DUMMYFUNCTION("""COMPUTED_VALUE"""),328.206)</f>
        <v>328.206</v>
      </c>
      <c r="H152">
        <f>IFERROR(__xludf.DUMMYFUNCTION("""COMPUTED_VALUE"""),376.398)</f>
        <v>376.398</v>
      </c>
      <c r="I152">
        <f>IFERROR(__xludf.DUMMYFUNCTION("""COMPUTED_VALUE"""),415.687)</f>
        <v>415.687</v>
      </c>
      <c r="J152">
        <f>IFERROR(__xludf.DUMMYFUNCTION("""COMPUTED_VALUE"""),519.797)</f>
        <v>519.797</v>
      </c>
      <c r="K152">
        <f>IFERROR(__xludf.DUMMYFUNCTION("""COMPUTED_VALUE"""),429.098)</f>
        <v>429.098</v>
      </c>
    </row>
    <row r="153">
      <c r="A153" t="str">
        <f>IFERROR(__xludf.DUMMYFUNCTION("""COMPUTED_VALUE"""),"Sénégal")</f>
        <v>Sénégal</v>
      </c>
      <c r="B153">
        <f>IFERROR(__xludf.DUMMYFUNCTION("""COMPUTED_VALUE"""),6.016)</f>
        <v>6.016</v>
      </c>
      <c r="C153">
        <f>IFERROR(__xludf.DUMMYFUNCTION("""COMPUTED_VALUE"""),6.508)</f>
        <v>6.508</v>
      </c>
      <c r="D153">
        <f>IFERROR(__xludf.DUMMYFUNCTION("""COMPUTED_VALUE"""),7.001)</f>
        <v>7.001</v>
      </c>
      <c r="E153">
        <f>IFERROR(__xludf.DUMMYFUNCTION("""COMPUTED_VALUE"""),8.767)</f>
        <v>8.767</v>
      </c>
      <c r="F153">
        <f>IFERROR(__xludf.DUMMYFUNCTION("""COMPUTED_VALUE"""),10.072)</f>
        <v>10.072</v>
      </c>
      <c r="G153">
        <f>IFERROR(__xludf.DUMMYFUNCTION("""COMPUTED_VALUE"""),11.015)</f>
        <v>11.015</v>
      </c>
      <c r="H153">
        <f>IFERROR(__xludf.DUMMYFUNCTION("""COMPUTED_VALUE"""),11.699)</f>
        <v>11.699</v>
      </c>
      <c r="I153">
        <f>IFERROR(__xludf.DUMMYFUNCTION("""COMPUTED_VALUE"""),13.996)</f>
        <v>13.996</v>
      </c>
      <c r="J153">
        <f>IFERROR(__xludf.DUMMYFUNCTION("""COMPUTED_VALUE"""),16.852)</f>
        <v>16.852</v>
      </c>
      <c r="K153">
        <f>IFERROR(__xludf.DUMMYFUNCTION("""COMPUTED_VALUE"""),16.128)</f>
        <v>16.128</v>
      </c>
    </row>
    <row r="154">
      <c r="A154" t="str">
        <f>IFERROR(__xludf.DUMMYFUNCTION("""COMPUTED_VALUE"""),"Serbie")</f>
        <v>Serbie</v>
      </c>
      <c r="B154">
        <f>IFERROR(__xludf.DUMMYFUNCTION("""COMPUTED_VALUE"""),9.79)</f>
        <v>9.79</v>
      </c>
      <c r="C154">
        <f>IFERROR(__xludf.DUMMYFUNCTION("""COMPUTED_VALUE"""),13.009)</f>
        <v>13.009</v>
      </c>
      <c r="D154">
        <f>IFERROR(__xludf.DUMMYFUNCTION("""COMPUTED_VALUE"""),17.185)</f>
        <v>17.185</v>
      </c>
      <c r="E154">
        <f>IFERROR(__xludf.DUMMYFUNCTION("""COMPUTED_VALUE"""),22.515)</f>
        <v>22.515</v>
      </c>
      <c r="F154">
        <f>IFERROR(__xludf.DUMMYFUNCTION("""COMPUTED_VALUE"""),26.017)</f>
        <v>26.017</v>
      </c>
      <c r="G154">
        <f>IFERROR(__xludf.DUMMYFUNCTION("""COMPUTED_VALUE"""),27.496)</f>
        <v>27.496</v>
      </c>
      <c r="H154">
        <f>IFERROR(__xludf.DUMMYFUNCTION("""COMPUTED_VALUE"""),32.602)</f>
        <v>32.602</v>
      </c>
      <c r="I154">
        <f>IFERROR(__xludf.DUMMYFUNCTION("""COMPUTED_VALUE"""),43.395)</f>
        <v>43.395</v>
      </c>
      <c r="J154">
        <f>IFERROR(__xludf.DUMMYFUNCTION("""COMPUTED_VALUE"""),52.094)</f>
        <v>52.094</v>
      </c>
      <c r="K154">
        <f>IFERROR(__xludf.DUMMYFUNCTION("""COMPUTED_VALUE"""),45.156)</f>
        <v>45.156</v>
      </c>
    </row>
    <row r="155">
      <c r="A155" t="str">
        <f>IFERROR(__xludf.DUMMYFUNCTION("""COMPUTED_VALUE"""),"Seychelles")</f>
        <v>Seychelles</v>
      </c>
      <c r="B155">
        <f>IFERROR(__xludf.DUMMYFUNCTION("""COMPUTED_VALUE"""),0.615)</f>
        <v>0.615</v>
      </c>
      <c r="C155">
        <f>IFERROR(__xludf.DUMMYFUNCTION("""COMPUTED_VALUE"""),0.622)</f>
        <v>0.622</v>
      </c>
      <c r="D155">
        <f>IFERROR(__xludf.DUMMYFUNCTION("""COMPUTED_VALUE"""),0.698)</f>
        <v>0.698</v>
      </c>
      <c r="E155">
        <f>IFERROR(__xludf.DUMMYFUNCTION("""COMPUTED_VALUE"""),0.706)</f>
        <v>0.706</v>
      </c>
      <c r="F155">
        <f>IFERROR(__xludf.DUMMYFUNCTION("""COMPUTED_VALUE"""),0.839)</f>
        <v>0.839</v>
      </c>
      <c r="G155">
        <f>IFERROR(__xludf.DUMMYFUNCTION("""COMPUTED_VALUE"""),0.919)</f>
        <v>0.919</v>
      </c>
      <c r="H155">
        <f>IFERROR(__xludf.DUMMYFUNCTION("""COMPUTED_VALUE"""),1.016)</f>
        <v>1.016</v>
      </c>
      <c r="I155">
        <f>IFERROR(__xludf.DUMMYFUNCTION("""COMPUTED_VALUE"""),1.034)</f>
        <v>1.034</v>
      </c>
      <c r="J155">
        <f>IFERROR(__xludf.DUMMYFUNCTION("""COMPUTED_VALUE"""),0.998)</f>
        <v>0.998</v>
      </c>
      <c r="K155">
        <f>IFERROR(__xludf.DUMMYFUNCTION("""COMPUTED_VALUE"""),0.847)</f>
        <v>0.847</v>
      </c>
    </row>
    <row r="156">
      <c r="A156" t="str">
        <f>IFERROR(__xludf.DUMMYFUNCTION("""COMPUTED_VALUE"""),"Sierra Leone")</f>
        <v>Sierra Leone</v>
      </c>
      <c r="B156">
        <f>IFERROR(__xludf.DUMMYFUNCTION("""COMPUTED_VALUE"""),0.941)</f>
        <v>0.941</v>
      </c>
      <c r="C156">
        <f>IFERROR(__xludf.DUMMYFUNCTION("""COMPUTED_VALUE"""),1.084)</f>
        <v>1.084</v>
      </c>
      <c r="D156">
        <f>IFERROR(__xludf.DUMMYFUNCTION("""COMPUTED_VALUE"""),1.25)</f>
        <v>1.25</v>
      </c>
      <c r="E156">
        <f>IFERROR(__xludf.DUMMYFUNCTION("""COMPUTED_VALUE"""),1.38)</f>
        <v>1.38</v>
      </c>
      <c r="F156">
        <f>IFERROR(__xludf.DUMMYFUNCTION("""COMPUTED_VALUE"""),1.439)</f>
        <v>1.439</v>
      </c>
      <c r="G156">
        <f>IFERROR(__xludf.DUMMYFUNCTION("""COMPUTED_VALUE"""),1.61)</f>
        <v>1.61</v>
      </c>
      <c r="H156">
        <f>IFERROR(__xludf.DUMMYFUNCTION("""COMPUTED_VALUE"""),1.884)</f>
        <v>1.884</v>
      </c>
      <c r="I156">
        <f>IFERROR(__xludf.DUMMYFUNCTION("""COMPUTED_VALUE"""),2.159)</f>
        <v>2.159</v>
      </c>
      <c r="J156">
        <f>IFERROR(__xludf.DUMMYFUNCTION("""COMPUTED_VALUE"""),2.511)</f>
        <v>2.511</v>
      </c>
      <c r="K156">
        <f>IFERROR(__xludf.DUMMYFUNCTION("""COMPUTED_VALUE"""),2.454)</f>
        <v>2.454</v>
      </c>
    </row>
    <row r="157">
      <c r="A157" t="str">
        <f>IFERROR(__xludf.DUMMYFUNCTION("""COMPUTED_VALUE"""),"Singapour")</f>
        <v>Singapour</v>
      </c>
      <c r="B157">
        <f>IFERROR(__xludf.DUMMYFUNCTION("""COMPUTED_VALUE"""),96.077)</f>
        <v>96.077</v>
      </c>
      <c r="C157">
        <f>IFERROR(__xludf.DUMMYFUNCTION("""COMPUTED_VALUE"""),89.794)</f>
        <v>89.794</v>
      </c>
      <c r="D157">
        <f>IFERROR(__xludf.DUMMYFUNCTION("""COMPUTED_VALUE"""),92.538)</f>
        <v>92.538</v>
      </c>
      <c r="E157">
        <f>IFERROR(__xludf.DUMMYFUNCTION("""COMPUTED_VALUE"""),97.646)</f>
        <v>97.646</v>
      </c>
      <c r="F157">
        <f>IFERROR(__xludf.DUMMYFUNCTION("""COMPUTED_VALUE"""),115.034)</f>
        <v>115.034</v>
      </c>
      <c r="G157">
        <f>IFERROR(__xludf.DUMMYFUNCTION("""COMPUTED_VALUE"""),127.808)</f>
        <v>127.808</v>
      </c>
      <c r="H157">
        <f>IFERROR(__xludf.DUMMYFUNCTION("""COMPUTED_VALUE"""),148.627)</f>
        <v>148.627</v>
      </c>
      <c r="I157">
        <f>IFERROR(__xludf.DUMMYFUNCTION("""COMPUTED_VALUE"""),180.942)</f>
        <v>180.942</v>
      </c>
      <c r="J157">
        <f>IFERROR(__xludf.DUMMYFUNCTION("""COMPUTED_VALUE"""),193.617)</f>
        <v>193.617</v>
      </c>
      <c r="K157">
        <f>IFERROR(__xludf.DUMMYFUNCTION("""COMPUTED_VALUE"""),194.15)</f>
        <v>194.15</v>
      </c>
    </row>
    <row r="158">
      <c r="A158" t="str">
        <f>IFERROR(__xludf.DUMMYFUNCTION("""COMPUTED_VALUE"""),"Slovaquie")</f>
        <v>Slovaquie</v>
      </c>
      <c r="B158">
        <f>IFERROR(__xludf.DUMMYFUNCTION("""COMPUTED_VALUE"""),20.73)</f>
        <v>20.73</v>
      </c>
      <c r="C158">
        <f>IFERROR(__xludf.DUMMYFUNCTION("""COMPUTED_VALUE"""),21.421)</f>
        <v>21.421</v>
      </c>
      <c r="D158">
        <f>IFERROR(__xludf.DUMMYFUNCTION("""COMPUTED_VALUE"""),24.888)</f>
        <v>24.888</v>
      </c>
      <c r="E158">
        <f>IFERROR(__xludf.DUMMYFUNCTION("""COMPUTED_VALUE"""),34.085)</f>
        <v>34.085</v>
      </c>
      <c r="F158">
        <f>IFERROR(__xludf.DUMMYFUNCTION("""COMPUTED_VALUE"""),43.19)</f>
        <v>43.19</v>
      </c>
      <c r="G158">
        <f>IFERROR(__xludf.DUMMYFUNCTION("""COMPUTED_VALUE"""),49.116)</f>
        <v>49.116</v>
      </c>
      <c r="H158">
        <f>IFERROR(__xludf.DUMMYFUNCTION("""COMPUTED_VALUE"""),57.492)</f>
        <v>57.492</v>
      </c>
      <c r="I158">
        <f>IFERROR(__xludf.DUMMYFUNCTION("""COMPUTED_VALUE"""),77.239)</f>
        <v>77.239</v>
      </c>
      <c r="J158">
        <f>IFERROR(__xludf.DUMMYFUNCTION("""COMPUTED_VALUE"""),97.17)</f>
        <v>97.17</v>
      </c>
      <c r="K158">
        <f>IFERROR(__xludf.DUMMYFUNCTION("""COMPUTED_VALUE"""),89.302)</f>
        <v>89.302</v>
      </c>
    </row>
    <row r="159">
      <c r="A159" t="str">
        <f>IFERROR(__xludf.DUMMYFUNCTION("""COMPUTED_VALUE"""),"Slovénie")</f>
        <v>Slovénie</v>
      </c>
      <c r="B159">
        <f>IFERROR(__xludf.DUMMYFUNCTION("""COMPUTED_VALUE"""),20.393)</f>
        <v>20.393</v>
      </c>
      <c r="C159">
        <f>IFERROR(__xludf.DUMMYFUNCTION("""COMPUTED_VALUE"""),20.901)</f>
        <v>20.901</v>
      </c>
      <c r="D159">
        <f>IFERROR(__xludf.DUMMYFUNCTION("""COMPUTED_VALUE"""),23.539)</f>
        <v>23.539</v>
      </c>
      <c r="E159">
        <f>IFERROR(__xludf.DUMMYFUNCTION("""COMPUTED_VALUE"""),29.673)</f>
        <v>29.673</v>
      </c>
      <c r="F159">
        <f>IFERROR(__xludf.DUMMYFUNCTION("""COMPUTED_VALUE"""),34.448)</f>
        <v>34.448</v>
      </c>
      <c r="G159">
        <f>IFERROR(__xludf.DUMMYFUNCTION("""COMPUTED_VALUE"""),36.261)</f>
        <v>36.261</v>
      </c>
      <c r="H159">
        <f>IFERROR(__xludf.DUMMYFUNCTION("""COMPUTED_VALUE"""),39.514)</f>
        <v>39.514</v>
      </c>
      <c r="I159">
        <f>IFERROR(__xludf.DUMMYFUNCTION("""COMPUTED_VALUE"""),48.073)</f>
        <v>48.073</v>
      </c>
      <c r="J159">
        <f>IFERROR(__xludf.DUMMYFUNCTION("""COMPUTED_VALUE"""),55.773)</f>
        <v>55.773</v>
      </c>
      <c r="K159">
        <f>IFERROR(__xludf.DUMMYFUNCTION("""COMPUTED_VALUE"""),50.513)</f>
        <v>50.513</v>
      </c>
    </row>
    <row r="160">
      <c r="A160" t="str">
        <f>IFERROR(__xludf.DUMMYFUNCTION("""COMPUTED_VALUE"""),"Îles Salomon")</f>
        <v>Îles Salomon</v>
      </c>
      <c r="B160">
        <f>IFERROR(__xludf.DUMMYFUNCTION("""COMPUTED_VALUE"""),0.42)</f>
        <v>0.42</v>
      </c>
      <c r="C160">
        <f>IFERROR(__xludf.DUMMYFUNCTION("""COMPUTED_VALUE"""),0.41)</f>
        <v>0.41</v>
      </c>
      <c r="D160">
        <f>IFERROR(__xludf.DUMMYFUNCTION("""COMPUTED_VALUE"""),0.346)</f>
        <v>0.346</v>
      </c>
      <c r="E160">
        <f>IFERROR(__xludf.DUMMYFUNCTION("""COMPUTED_VALUE"""),0.353)</f>
        <v>0.353</v>
      </c>
      <c r="F160">
        <f>IFERROR(__xludf.DUMMYFUNCTION("""COMPUTED_VALUE"""),0.398)</f>
        <v>0.398</v>
      </c>
      <c r="G160">
        <f>IFERROR(__xludf.DUMMYFUNCTION("""COMPUTED_VALUE"""),0.477)</f>
        <v>0.477</v>
      </c>
      <c r="H160">
        <f>IFERROR(__xludf.DUMMYFUNCTION("""COMPUTED_VALUE"""),0.539)</f>
        <v>0.539</v>
      </c>
      <c r="I160">
        <f>IFERROR(__xludf.DUMMYFUNCTION("""COMPUTED_VALUE"""),0.62)</f>
        <v>0.62</v>
      </c>
      <c r="J160">
        <f>IFERROR(__xludf.DUMMYFUNCTION("""COMPUTED_VALUE"""),0.699)</f>
        <v>0.699</v>
      </c>
      <c r="K160">
        <f>IFERROR(__xludf.DUMMYFUNCTION("""COMPUTED_VALUE"""),0.736)</f>
        <v>0.736</v>
      </c>
    </row>
    <row r="161">
      <c r="A161" t="str">
        <f>IFERROR(__xludf.DUMMYFUNCTION("""COMPUTED_VALUE"""),"Somalie")</f>
        <v>Somalie</v>
      </c>
      <c r="B161" t="str">
        <f>IFERROR(__xludf.DUMMYFUNCTION("""COMPUTED_VALUE"""),"-")</f>
        <v>-</v>
      </c>
      <c r="C161" t="str">
        <f>IFERROR(__xludf.DUMMYFUNCTION("""COMPUTED_VALUE"""),"-")</f>
        <v>-</v>
      </c>
      <c r="D161" t="str">
        <f>IFERROR(__xludf.DUMMYFUNCTION("""COMPUTED_VALUE"""),"-")</f>
        <v>-</v>
      </c>
      <c r="E161" t="str">
        <f>IFERROR(__xludf.DUMMYFUNCTION("""COMPUTED_VALUE"""),"-")</f>
        <v>-</v>
      </c>
      <c r="F161" t="str">
        <f>IFERROR(__xludf.DUMMYFUNCTION("""COMPUTED_VALUE"""),"-")</f>
        <v>-</v>
      </c>
      <c r="G161" t="str">
        <f>IFERROR(__xludf.DUMMYFUNCTION("""COMPUTED_VALUE"""),"-")</f>
        <v>-</v>
      </c>
      <c r="H161" t="str">
        <f>IFERROR(__xludf.DUMMYFUNCTION("""COMPUTED_VALUE"""),"-")</f>
        <v>-</v>
      </c>
      <c r="I161" t="str">
        <f>IFERROR(__xludf.DUMMYFUNCTION("""COMPUTED_VALUE"""),"-")</f>
        <v>-</v>
      </c>
      <c r="J161" t="str">
        <f>IFERROR(__xludf.DUMMYFUNCTION("""COMPUTED_VALUE"""),"-")</f>
        <v>-</v>
      </c>
      <c r="K161" t="str">
        <f>IFERROR(__xludf.DUMMYFUNCTION("""COMPUTED_VALUE"""),"-")</f>
        <v>-</v>
      </c>
    </row>
    <row r="162">
      <c r="A162" t="str">
        <f>IFERROR(__xludf.DUMMYFUNCTION("""COMPUTED_VALUE"""),"Afrique du Sud")</f>
        <v>Afrique du Sud</v>
      </c>
      <c r="B162">
        <f>IFERROR(__xludf.DUMMYFUNCTION("""COMPUTED_VALUE"""),151.855)</f>
        <v>151.855</v>
      </c>
      <c r="C162">
        <f>IFERROR(__xludf.DUMMYFUNCTION("""COMPUTED_VALUE"""),135.527)</f>
        <v>135.527</v>
      </c>
      <c r="D162">
        <f>IFERROR(__xludf.DUMMYFUNCTION("""COMPUTED_VALUE"""),129.385)</f>
        <v>129.385</v>
      </c>
      <c r="E162">
        <f>IFERROR(__xludf.DUMMYFUNCTION("""COMPUTED_VALUE"""),197.017)</f>
        <v>197.017</v>
      </c>
      <c r="F162">
        <f>IFERROR(__xludf.DUMMYFUNCTION("""COMPUTED_VALUE"""),256.188)</f>
        <v>256.188</v>
      </c>
      <c r="G162">
        <f>IFERROR(__xludf.DUMMYFUNCTION("""COMPUTED_VALUE"""),288.749)</f>
        <v>288.749</v>
      </c>
      <c r="H162">
        <f>IFERROR(__xludf.DUMMYFUNCTION("""COMPUTED_VALUE"""),304.055)</f>
        <v>304.055</v>
      </c>
      <c r="I162">
        <f>IFERROR(__xludf.DUMMYFUNCTION("""COMPUTED_VALUE"""),332.65)</f>
        <v>332.65</v>
      </c>
      <c r="J162">
        <f>IFERROR(__xludf.DUMMYFUNCTION("""COMPUTED_VALUE"""),316.491)</f>
        <v>316.491</v>
      </c>
      <c r="K162">
        <f>IFERROR(__xludf.DUMMYFUNCTION("""COMPUTED_VALUE"""),331.184)</f>
        <v>331.184</v>
      </c>
    </row>
    <row r="163">
      <c r="A163" t="str">
        <f>IFERROR(__xludf.DUMMYFUNCTION("""COMPUTED_VALUE"""),"Soudan du Sud")</f>
        <v>Soudan du Sud</v>
      </c>
      <c r="B163" t="str">
        <f>IFERROR(__xludf.DUMMYFUNCTION("""COMPUTED_VALUE"""),"-")</f>
        <v>-</v>
      </c>
      <c r="C163" t="str">
        <f>IFERROR(__xludf.DUMMYFUNCTION("""COMPUTED_VALUE"""),"-")</f>
        <v>-</v>
      </c>
      <c r="D163" t="str">
        <f>IFERROR(__xludf.DUMMYFUNCTION("""COMPUTED_VALUE"""),"-")</f>
        <v>-</v>
      </c>
      <c r="E163" t="str">
        <f>IFERROR(__xludf.DUMMYFUNCTION("""COMPUTED_VALUE"""),"-")</f>
        <v>-</v>
      </c>
      <c r="F163" t="str">
        <f>IFERROR(__xludf.DUMMYFUNCTION("""COMPUTED_VALUE"""),"-")</f>
        <v>-</v>
      </c>
      <c r="G163" t="str">
        <f>IFERROR(__xludf.DUMMYFUNCTION("""COMPUTED_VALUE"""),"-")</f>
        <v>-</v>
      </c>
      <c r="H163" t="str">
        <f>IFERROR(__xludf.DUMMYFUNCTION("""COMPUTED_VALUE"""),"-")</f>
        <v>-</v>
      </c>
      <c r="I163" t="str">
        <f>IFERROR(__xludf.DUMMYFUNCTION("""COMPUTED_VALUE"""),"-")</f>
        <v>-</v>
      </c>
      <c r="J163" t="str">
        <f>IFERROR(__xludf.DUMMYFUNCTION("""COMPUTED_VALUE"""),"-")</f>
        <v>-</v>
      </c>
      <c r="K163" t="str">
        <f>IFERROR(__xludf.DUMMYFUNCTION("""COMPUTED_VALUE"""),"-")</f>
        <v>-</v>
      </c>
    </row>
    <row r="164">
      <c r="A164" t="str">
        <f>IFERROR(__xludf.DUMMYFUNCTION("""COMPUTED_VALUE"""),"Espagne")</f>
        <v>Espagne</v>
      </c>
      <c r="B164">
        <f>IFERROR(__xludf.DUMMYFUNCTION("""COMPUTED_VALUE"""),598.628)</f>
        <v>598.628</v>
      </c>
      <c r="C164">
        <f>IFERROR(__xludf.DUMMYFUNCTION("""COMPUTED_VALUE"""),627.834)</f>
        <v>627.834</v>
      </c>
      <c r="D164">
        <f>IFERROR(__xludf.DUMMYFUNCTION("""COMPUTED_VALUE"""),708.256)</f>
        <v>708.256</v>
      </c>
      <c r="E164">
        <f>IFERROR(__xludf.DUMMYFUNCTION("""COMPUTED_VALUE"""),907.264)</f>
        <v>907.264</v>
      </c>
      <c r="F164">
        <f>IFERROR(__xludf.DUMMYFUNCTION("""COMPUTED_VALUE"""),1068.57)</f>
        <v>1068.57</v>
      </c>
      <c r="G164">
        <f>IFERROR(__xludf.DUMMYFUNCTION("""COMPUTED_VALUE"""),1154.354)</f>
        <v>1154.354</v>
      </c>
      <c r="H164">
        <f>IFERROR(__xludf.DUMMYFUNCTION("""COMPUTED_VALUE"""),1260.466)</f>
        <v>1260.466</v>
      </c>
      <c r="I164">
        <f>IFERROR(__xludf.DUMMYFUNCTION("""COMPUTED_VALUE"""),1474.176)</f>
        <v>1474.176</v>
      </c>
      <c r="J164">
        <f>IFERROR(__xludf.DUMMYFUNCTION("""COMPUTED_VALUE"""),1631.685)</f>
        <v>1631.685</v>
      </c>
      <c r="K164">
        <f>IFERROR(__xludf.DUMMYFUNCTION("""COMPUTED_VALUE"""),1489.853)</f>
        <v>1489.853</v>
      </c>
    </row>
    <row r="165">
      <c r="A165" t="str">
        <f>IFERROR(__xludf.DUMMYFUNCTION("""COMPUTED_VALUE"""),"Sri Lanka")</f>
        <v>Sri Lanka</v>
      </c>
      <c r="B165">
        <f>IFERROR(__xludf.DUMMYFUNCTION("""COMPUTED_VALUE"""),20.007)</f>
        <v>20.007</v>
      </c>
      <c r="C165">
        <f>IFERROR(__xludf.DUMMYFUNCTION("""COMPUTED_VALUE"""),19.236)</f>
        <v>19.236</v>
      </c>
      <c r="D165">
        <f>IFERROR(__xludf.DUMMYFUNCTION("""COMPUTED_VALUE"""),20.238)</f>
        <v>20.238</v>
      </c>
      <c r="E165">
        <f>IFERROR(__xludf.DUMMYFUNCTION("""COMPUTED_VALUE"""),22.352)</f>
        <v>22.352</v>
      </c>
      <c r="F165">
        <f>IFERROR(__xludf.DUMMYFUNCTION("""COMPUTED_VALUE"""),24.423)</f>
        <v>24.423</v>
      </c>
      <c r="G165">
        <f>IFERROR(__xludf.DUMMYFUNCTION("""COMPUTED_VALUE"""),28.88)</f>
        <v>28.88</v>
      </c>
      <c r="H165">
        <f>IFERROR(__xludf.DUMMYFUNCTION("""COMPUTED_VALUE"""),33.447)</f>
        <v>33.447</v>
      </c>
      <c r="I165">
        <f>IFERROR(__xludf.DUMMYFUNCTION("""COMPUTED_VALUE"""),38.27)</f>
        <v>38.27</v>
      </c>
      <c r="J165">
        <f>IFERROR(__xludf.DUMMYFUNCTION("""COMPUTED_VALUE"""),48.177)</f>
        <v>48.177</v>
      </c>
      <c r="K165">
        <f>IFERROR(__xludf.DUMMYFUNCTION("""COMPUTED_VALUE"""),49.75)</f>
        <v>49.75</v>
      </c>
    </row>
    <row r="166">
      <c r="A166" t="str">
        <f>IFERROR(__xludf.DUMMYFUNCTION("""COMPUTED_VALUE"""),"Soudan")</f>
        <v>Soudan</v>
      </c>
      <c r="B166">
        <f>IFERROR(__xludf.DUMMYFUNCTION("""COMPUTED_VALUE"""),13.134)</f>
        <v>13.134</v>
      </c>
      <c r="C166">
        <f>IFERROR(__xludf.DUMMYFUNCTION("""COMPUTED_VALUE"""),15.716)</f>
        <v>15.716</v>
      </c>
      <c r="D166">
        <f>IFERROR(__xludf.DUMMYFUNCTION("""COMPUTED_VALUE"""),18.137)</f>
        <v>18.137</v>
      </c>
      <c r="E166">
        <f>IFERROR(__xludf.DUMMYFUNCTION("""COMPUTED_VALUE"""),21.355)</f>
        <v>21.355</v>
      </c>
      <c r="F166">
        <f>IFERROR(__xludf.DUMMYFUNCTION("""COMPUTED_VALUE"""),26.646)</f>
        <v>26.646</v>
      </c>
      <c r="G166">
        <f>IFERROR(__xludf.DUMMYFUNCTION("""COMPUTED_VALUE"""),35.183)</f>
        <v>35.183</v>
      </c>
      <c r="H166">
        <f>IFERROR(__xludf.DUMMYFUNCTION("""COMPUTED_VALUE"""),45.264)</f>
        <v>45.264</v>
      </c>
      <c r="I166">
        <f>IFERROR(__xludf.DUMMYFUNCTION("""COMPUTED_VALUE"""),59.44)</f>
        <v>59.44</v>
      </c>
      <c r="J166">
        <f>IFERROR(__xludf.DUMMYFUNCTION("""COMPUTED_VALUE"""),64.833)</f>
        <v>64.833</v>
      </c>
      <c r="K166">
        <f>IFERROR(__xludf.DUMMYFUNCTION("""COMPUTED_VALUE"""),54.812)</f>
        <v>54.812</v>
      </c>
    </row>
    <row r="167">
      <c r="A167" t="str">
        <f>IFERROR(__xludf.DUMMYFUNCTION("""COMPUTED_VALUE"""),"Suriname")</f>
        <v>Suriname</v>
      </c>
      <c r="B167">
        <f>IFERROR(__xludf.DUMMYFUNCTION("""COMPUTED_VALUE"""),1.355)</f>
        <v>1.355</v>
      </c>
      <c r="C167">
        <f>IFERROR(__xludf.DUMMYFUNCTION("""COMPUTED_VALUE"""),1.167)</f>
        <v>1.167</v>
      </c>
      <c r="D167">
        <f>IFERROR(__xludf.DUMMYFUNCTION("""COMPUTED_VALUE"""),1.474)</f>
        <v>1.474</v>
      </c>
      <c r="E167">
        <f>IFERROR(__xludf.DUMMYFUNCTION("""COMPUTED_VALUE"""),1.729)</f>
        <v>1.729</v>
      </c>
      <c r="F167">
        <f>IFERROR(__xludf.DUMMYFUNCTION("""COMPUTED_VALUE"""),2.0)</f>
        <v>2</v>
      </c>
      <c r="G167">
        <f>IFERROR(__xludf.DUMMYFUNCTION("""COMPUTED_VALUE"""),2.393)</f>
        <v>2.393</v>
      </c>
      <c r="H167">
        <f>IFERROR(__xludf.DUMMYFUNCTION("""COMPUTED_VALUE"""),2.812)</f>
        <v>2.812</v>
      </c>
      <c r="I167">
        <f>IFERROR(__xludf.DUMMYFUNCTION("""COMPUTED_VALUE"""),3.144)</f>
        <v>3.144</v>
      </c>
      <c r="J167">
        <f>IFERROR(__xludf.DUMMYFUNCTION("""COMPUTED_VALUE"""),3.783)</f>
        <v>3.783</v>
      </c>
      <c r="K167">
        <f>IFERROR(__xludf.DUMMYFUNCTION("""COMPUTED_VALUE"""),4.15)</f>
        <v>4.15</v>
      </c>
    </row>
    <row r="168">
      <c r="A168" t="str">
        <f>IFERROR(__xludf.DUMMYFUNCTION("""COMPUTED_VALUE"""),"Suède")</f>
        <v>Suède</v>
      </c>
      <c r="B168">
        <f>IFERROR(__xludf.DUMMYFUNCTION("""COMPUTED_VALUE"""),262.834)</f>
        <v>262.834</v>
      </c>
      <c r="C168">
        <f>IFERROR(__xludf.DUMMYFUNCTION("""COMPUTED_VALUE"""),242.395)</f>
        <v>242.395</v>
      </c>
      <c r="D168">
        <f>IFERROR(__xludf.DUMMYFUNCTION("""COMPUTED_VALUE"""),266.848)</f>
        <v>266.848</v>
      </c>
      <c r="E168">
        <f>IFERROR(__xludf.DUMMYFUNCTION("""COMPUTED_VALUE"""),334.337)</f>
        <v>334.337</v>
      </c>
      <c r="F168">
        <f>IFERROR(__xludf.DUMMYFUNCTION("""COMPUTED_VALUE"""),385.119)</f>
        <v>385.119</v>
      </c>
      <c r="G168">
        <f>IFERROR(__xludf.DUMMYFUNCTION("""COMPUTED_VALUE"""),392.219)</f>
        <v>392.219</v>
      </c>
      <c r="H168">
        <f>IFERROR(__xludf.DUMMYFUNCTION("""COMPUTED_VALUE"""),423.091)</f>
        <v>423.091</v>
      </c>
      <c r="I168">
        <f>IFERROR(__xludf.DUMMYFUNCTION("""COMPUTED_VALUE"""),491.255)</f>
        <v>491.255</v>
      </c>
      <c r="J168">
        <f>IFERROR(__xludf.DUMMYFUNCTION("""COMPUTED_VALUE"""),517.706)</f>
        <v>517.706</v>
      </c>
      <c r="K168">
        <f>IFERROR(__xludf.DUMMYFUNCTION("""COMPUTED_VALUE"""),436.536)</f>
        <v>436.536</v>
      </c>
    </row>
    <row r="169">
      <c r="A169" t="str">
        <f>IFERROR(__xludf.DUMMYFUNCTION("""COMPUTED_VALUE"""),"Suisse")</f>
        <v>Suisse</v>
      </c>
      <c r="B169">
        <f>IFERROR(__xludf.DUMMYFUNCTION("""COMPUTED_VALUE"""),279.224)</f>
        <v>279.224</v>
      </c>
      <c r="C169">
        <f>IFERROR(__xludf.DUMMYFUNCTION("""COMPUTED_VALUE"""),286.711)</f>
        <v>286.711</v>
      </c>
      <c r="D169">
        <f>IFERROR(__xludf.DUMMYFUNCTION("""COMPUTED_VALUE"""),309.53)</f>
        <v>309.53</v>
      </c>
      <c r="E169">
        <f>IFERROR(__xludf.DUMMYFUNCTION("""COMPUTED_VALUE"""),362.192)</f>
        <v>362.192</v>
      </c>
      <c r="F169">
        <f>IFERROR(__xludf.DUMMYFUNCTION("""COMPUTED_VALUE"""),403.346)</f>
        <v>403.346</v>
      </c>
      <c r="G169">
        <f>IFERROR(__xludf.DUMMYFUNCTION("""COMPUTED_VALUE"""),418.05)</f>
        <v>418.05</v>
      </c>
      <c r="H169">
        <f>IFERROR(__xludf.DUMMYFUNCTION("""COMPUTED_VALUE"""),441.7)</f>
        <v>441.7</v>
      </c>
      <c r="I169">
        <f>IFERROR(__xludf.DUMMYFUNCTION("""COMPUTED_VALUE"""),490.865)</f>
        <v>490.865</v>
      </c>
      <c r="J169">
        <f>IFERROR(__xludf.DUMMYFUNCTION("""COMPUTED_VALUE"""),566.936)</f>
        <v>566.936</v>
      </c>
      <c r="K169">
        <f>IFERROR(__xludf.DUMMYFUNCTION("""COMPUTED_VALUE"""),553.761)</f>
        <v>553.761</v>
      </c>
    </row>
    <row r="170">
      <c r="A170" t="str">
        <f>IFERROR(__xludf.DUMMYFUNCTION("""COMPUTED_VALUE"""),"Syrie")</f>
        <v>Syrie</v>
      </c>
      <c r="B170">
        <f>IFERROR(__xludf.DUMMYFUNCTION("""COMPUTED_VALUE"""),19.861)</f>
        <v>19.861</v>
      </c>
      <c r="C170">
        <f>IFERROR(__xludf.DUMMYFUNCTION("""COMPUTED_VALUE"""),20.979)</f>
        <v>20.979</v>
      </c>
      <c r="D170">
        <f>IFERROR(__xludf.DUMMYFUNCTION("""COMPUTED_VALUE"""),22.758)</f>
        <v>22.758</v>
      </c>
      <c r="E170">
        <f>IFERROR(__xludf.DUMMYFUNCTION("""COMPUTED_VALUE"""),21.702)</f>
        <v>21.702</v>
      </c>
      <c r="F170">
        <f>IFERROR(__xludf.DUMMYFUNCTION("""COMPUTED_VALUE"""),25.204)</f>
        <v>25.204</v>
      </c>
      <c r="G170">
        <f>IFERROR(__xludf.DUMMYFUNCTION("""COMPUTED_VALUE"""),28.881)</f>
        <v>28.881</v>
      </c>
      <c r="H170">
        <f>IFERROR(__xludf.DUMMYFUNCTION("""COMPUTED_VALUE"""),33.824)</f>
        <v>33.824</v>
      </c>
      <c r="I170">
        <f>IFERROR(__xludf.DUMMYFUNCTION("""COMPUTED_VALUE"""),40.488)</f>
        <v>40.488</v>
      </c>
      <c r="J170">
        <f>IFERROR(__xludf.DUMMYFUNCTION("""COMPUTED_VALUE"""),52.631)</f>
        <v>52.631</v>
      </c>
      <c r="K170">
        <f>IFERROR(__xludf.DUMMYFUNCTION("""COMPUTED_VALUE"""),53.939)</f>
        <v>53.939</v>
      </c>
    </row>
    <row r="171">
      <c r="A171" t="str">
        <f>IFERROR(__xludf.DUMMYFUNCTION("""COMPUTED_VALUE"""),"Sao Tomé-et-Principe")</f>
        <v>Sao Tomé-et-Principe</v>
      </c>
      <c r="B171">
        <f>IFERROR(__xludf.DUMMYFUNCTION("""COMPUTED_VALUE"""),0.069)</f>
        <v>0.069</v>
      </c>
      <c r="C171">
        <f>IFERROR(__xludf.DUMMYFUNCTION("""COMPUTED_VALUE"""),0.072)</f>
        <v>0.072</v>
      </c>
      <c r="D171">
        <f>IFERROR(__xludf.DUMMYFUNCTION("""COMPUTED_VALUE"""),0.08)</f>
        <v>0.08</v>
      </c>
      <c r="E171">
        <f>IFERROR(__xludf.DUMMYFUNCTION("""COMPUTED_VALUE"""),0.096)</f>
        <v>0.096</v>
      </c>
      <c r="F171">
        <f>IFERROR(__xludf.DUMMYFUNCTION("""COMPUTED_VALUE"""),0.104)</f>
        <v>0.104</v>
      </c>
      <c r="G171">
        <f>IFERROR(__xludf.DUMMYFUNCTION("""COMPUTED_VALUE"""),0.125)</f>
        <v>0.125</v>
      </c>
      <c r="H171">
        <f>IFERROR(__xludf.DUMMYFUNCTION("""COMPUTED_VALUE"""),0.133)</f>
        <v>0.133</v>
      </c>
      <c r="I171">
        <f>IFERROR(__xludf.DUMMYFUNCTION("""COMPUTED_VALUE"""),0.145)</f>
        <v>0.145</v>
      </c>
      <c r="J171">
        <f>IFERROR(__xludf.DUMMYFUNCTION("""COMPUTED_VALUE"""),0.188)</f>
        <v>0.188</v>
      </c>
      <c r="K171">
        <f>IFERROR(__xludf.DUMMYFUNCTION("""COMPUTED_VALUE"""),0.201)</f>
        <v>0.201</v>
      </c>
    </row>
    <row r="172">
      <c r="A172" t="str">
        <f>IFERROR(__xludf.DUMMYFUNCTION("""COMPUTED_VALUE"""),"Taïwan")</f>
        <v>Taïwan</v>
      </c>
      <c r="B172">
        <f>IFERROR(__xludf.DUMMYFUNCTION("""COMPUTED_VALUE"""),330.68)</f>
        <v>330.68</v>
      </c>
      <c r="C172">
        <f>IFERROR(__xludf.DUMMYFUNCTION("""COMPUTED_VALUE"""),299.276)</f>
        <v>299.276</v>
      </c>
      <c r="D172">
        <f>IFERROR(__xludf.DUMMYFUNCTION("""COMPUTED_VALUE"""),307.439)</f>
        <v>307.439</v>
      </c>
      <c r="E172">
        <f>IFERROR(__xludf.DUMMYFUNCTION("""COMPUTED_VALUE"""),317.381)</f>
        <v>317.381</v>
      </c>
      <c r="F172">
        <f>IFERROR(__xludf.DUMMYFUNCTION("""COMPUTED_VALUE"""),346.924)</f>
        <v>346.924</v>
      </c>
      <c r="G172">
        <f>IFERROR(__xludf.DUMMYFUNCTION("""COMPUTED_VALUE"""),374.06)</f>
        <v>374.06</v>
      </c>
      <c r="H172">
        <f>IFERROR(__xludf.DUMMYFUNCTION("""COMPUTED_VALUE"""),386.45)</f>
        <v>386.45</v>
      </c>
      <c r="I172">
        <f>IFERROR(__xludf.DUMMYFUNCTION("""COMPUTED_VALUE"""),406.907)</f>
        <v>406.907</v>
      </c>
      <c r="J172">
        <f>IFERROR(__xludf.DUMMYFUNCTION("""COMPUTED_VALUE"""),415.901)</f>
        <v>415.901</v>
      </c>
      <c r="K172">
        <f>IFERROR(__xludf.DUMMYFUNCTION("""COMPUTED_VALUE"""),390.829)</f>
        <v>390.829</v>
      </c>
    </row>
    <row r="173">
      <c r="A173" t="str">
        <f>IFERROR(__xludf.DUMMYFUNCTION("""COMPUTED_VALUE"""),"Tadjikistan")</f>
        <v>Tadjikistan</v>
      </c>
      <c r="B173">
        <f>IFERROR(__xludf.DUMMYFUNCTION("""COMPUTED_VALUE"""),0.991)</f>
        <v>0.991</v>
      </c>
      <c r="C173">
        <f>IFERROR(__xludf.DUMMYFUNCTION("""COMPUTED_VALUE"""),1.057)</f>
        <v>1.057</v>
      </c>
      <c r="D173">
        <f>IFERROR(__xludf.DUMMYFUNCTION("""COMPUTED_VALUE"""),1.212)</f>
        <v>1.212</v>
      </c>
      <c r="E173">
        <f>IFERROR(__xludf.DUMMYFUNCTION("""COMPUTED_VALUE"""),1.555)</f>
        <v>1.555</v>
      </c>
      <c r="F173">
        <f>IFERROR(__xludf.DUMMYFUNCTION("""COMPUTED_VALUE"""),2.073)</f>
        <v>2.073</v>
      </c>
      <c r="G173">
        <f>IFERROR(__xludf.DUMMYFUNCTION("""COMPUTED_VALUE"""),2.311)</f>
        <v>2.311</v>
      </c>
      <c r="H173">
        <f>IFERROR(__xludf.DUMMYFUNCTION("""COMPUTED_VALUE"""),2.811)</f>
        <v>2.811</v>
      </c>
      <c r="I173">
        <f>IFERROR(__xludf.DUMMYFUNCTION("""COMPUTED_VALUE"""),3.712)</f>
        <v>3.712</v>
      </c>
      <c r="J173">
        <f>IFERROR(__xludf.DUMMYFUNCTION("""COMPUTED_VALUE"""),5.135)</f>
        <v>5.135</v>
      </c>
      <c r="K173">
        <f>IFERROR(__xludf.DUMMYFUNCTION("""COMPUTED_VALUE"""),4.977)</f>
        <v>4.977</v>
      </c>
    </row>
    <row r="174">
      <c r="A174" t="str">
        <f>IFERROR(__xludf.DUMMYFUNCTION("""COMPUTED_VALUE"""),"Tanzanie")</f>
        <v>Tanzanie</v>
      </c>
      <c r="B174">
        <f>IFERROR(__xludf.DUMMYFUNCTION("""COMPUTED_VALUE"""),12.369)</f>
        <v>12.369</v>
      </c>
      <c r="C174">
        <f>IFERROR(__xludf.DUMMYFUNCTION("""COMPUTED_VALUE"""),12.61)</f>
        <v>12.61</v>
      </c>
      <c r="D174">
        <f>IFERROR(__xludf.DUMMYFUNCTION("""COMPUTED_VALUE"""),13.125)</f>
        <v>13.125</v>
      </c>
      <c r="E174">
        <f>IFERROR(__xludf.DUMMYFUNCTION("""COMPUTED_VALUE"""),14.159)</f>
        <v>14.159</v>
      </c>
      <c r="F174">
        <f>IFERROR(__xludf.DUMMYFUNCTION("""COMPUTED_VALUE"""),15.576)</f>
        <v>15.576</v>
      </c>
      <c r="G174">
        <f>IFERROR(__xludf.DUMMYFUNCTION("""COMPUTED_VALUE"""),17.174)</f>
        <v>17.174</v>
      </c>
      <c r="H174">
        <f>IFERROR(__xludf.DUMMYFUNCTION("""COMPUTED_VALUE"""),18.867)</f>
        <v>18.867</v>
      </c>
      <c r="I174">
        <f>IFERROR(__xludf.DUMMYFUNCTION("""COMPUTED_VALUE"""),21.807)</f>
        <v>21.807</v>
      </c>
      <c r="J174">
        <f>IFERROR(__xludf.DUMMYFUNCTION("""COMPUTED_VALUE"""),27.762)</f>
        <v>27.762</v>
      </c>
      <c r="K174">
        <f>IFERROR(__xludf.DUMMYFUNCTION("""COMPUTED_VALUE"""),28.985)</f>
        <v>28.985</v>
      </c>
    </row>
    <row r="175">
      <c r="A175" t="str">
        <f>IFERROR(__xludf.DUMMYFUNCTION("""COMPUTED_VALUE"""),"Thaïlande")</f>
        <v>Thaïlande</v>
      </c>
      <c r="B175">
        <f>IFERROR(__xludf.DUMMYFUNCTION("""COMPUTED_VALUE"""),126.132)</f>
        <v>126.132</v>
      </c>
      <c r="C175">
        <f>IFERROR(__xludf.DUMMYFUNCTION("""COMPUTED_VALUE"""),120.296)</f>
        <v>120.296</v>
      </c>
      <c r="D175">
        <f>IFERROR(__xludf.DUMMYFUNCTION("""COMPUTED_VALUE"""),134.301)</f>
        <v>134.301</v>
      </c>
      <c r="E175">
        <f>IFERROR(__xludf.DUMMYFUNCTION("""COMPUTED_VALUE"""),152.281)</f>
        <v>152.281</v>
      </c>
      <c r="F175">
        <f>IFERROR(__xludf.DUMMYFUNCTION("""COMPUTED_VALUE"""),172.896)</f>
        <v>172.896</v>
      </c>
      <c r="G175">
        <f>IFERROR(__xludf.DUMMYFUNCTION("""COMPUTED_VALUE"""),189.318)</f>
        <v>189.318</v>
      </c>
      <c r="H175">
        <f>IFERROR(__xludf.DUMMYFUNCTION("""COMPUTED_VALUE"""),221.758)</f>
        <v>221.758</v>
      </c>
      <c r="I175">
        <f>IFERROR(__xludf.DUMMYFUNCTION("""COMPUTED_VALUE"""),262.943)</f>
        <v>262.943</v>
      </c>
      <c r="J175">
        <f>IFERROR(__xludf.DUMMYFUNCTION("""COMPUTED_VALUE"""),291.383)</f>
        <v>291.383</v>
      </c>
      <c r="K175">
        <f>IFERROR(__xludf.DUMMYFUNCTION("""COMPUTED_VALUE"""),281.711)</f>
        <v>281.711</v>
      </c>
    </row>
    <row r="176">
      <c r="A176" t="str">
        <f>IFERROR(__xludf.DUMMYFUNCTION("""COMPUTED_VALUE"""),"Timor oriental")</f>
        <v>Timor oriental</v>
      </c>
      <c r="B176">
        <f>IFERROR(__xludf.DUMMYFUNCTION("""COMPUTED_VALUE"""),0.367)</f>
        <v>0.367</v>
      </c>
      <c r="C176">
        <f>IFERROR(__xludf.DUMMYFUNCTION("""COMPUTED_VALUE"""),0.477)</f>
        <v>0.477</v>
      </c>
      <c r="D176">
        <f>IFERROR(__xludf.DUMMYFUNCTION("""COMPUTED_VALUE"""),0.47)</f>
        <v>0.47</v>
      </c>
      <c r="E176">
        <f>IFERROR(__xludf.DUMMYFUNCTION("""COMPUTED_VALUE"""),0.49)</f>
        <v>0.49</v>
      </c>
      <c r="F176">
        <f>IFERROR(__xludf.DUMMYFUNCTION("""COMPUTED_VALUE"""),0.441)</f>
        <v>0.441</v>
      </c>
      <c r="G176">
        <f>IFERROR(__xludf.DUMMYFUNCTION("""COMPUTED_VALUE"""),0.462)</f>
        <v>0.462</v>
      </c>
      <c r="H176">
        <f>IFERROR(__xludf.DUMMYFUNCTION("""COMPUTED_VALUE"""),0.454)</f>
        <v>0.454</v>
      </c>
      <c r="I176">
        <f>IFERROR(__xludf.DUMMYFUNCTION("""COMPUTED_VALUE"""),0.543)</f>
        <v>0.543</v>
      </c>
      <c r="J176">
        <f>IFERROR(__xludf.DUMMYFUNCTION("""COMPUTED_VALUE"""),0.648)</f>
        <v>0.648</v>
      </c>
      <c r="K176">
        <f>IFERROR(__xludf.DUMMYFUNCTION("""COMPUTED_VALUE"""),0.727)</f>
        <v>0.727</v>
      </c>
    </row>
    <row r="177">
      <c r="A177" t="str">
        <f>IFERROR(__xludf.DUMMYFUNCTION("""COMPUTED_VALUE"""),"Togo")</f>
        <v>Togo</v>
      </c>
      <c r="B177">
        <f>IFERROR(__xludf.DUMMYFUNCTION("""COMPUTED_VALUE"""),2.014)</f>
        <v>2.014</v>
      </c>
      <c r="C177">
        <f>IFERROR(__xludf.DUMMYFUNCTION("""COMPUTED_VALUE"""),2.0)</f>
        <v>2</v>
      </c>
      <c r="D177">
        <f>IFERROR(__xludf.DUMMYFUNCTION("""COMPUTED_VALUE"""),2.301)</f>
        <v>2.301</v>
      </c>
      <c r="E177">
        <f>IFERROR(__xludf.DUMMYFUNCTION("""COMPUTED_VALUE"""),2.854)</f>
        <v>2.854</v>
      </c>
      <c r="F177">
        <f>IFERROR(__xludf.DUMMYFUNCTION("""COMPUTED_VALUE"""),3.048)</f>
        <v>3.048</v>
      </c>
      <c r="G177">
        <f>IFERROR(__xludf.DUMMYFUNCTION("""COMPUTED_VALUE"""),3.08)</f>
        <v>3.08</v>
      </c>
      <c r="H177">
        <f>IFERROR(__xludf.DUMMYFUNCTION("""COMPUTED_VALUE"""),3.173)</f>
        <v>3.173</v>
      </c>
      <c r="I177">
        <f>IFERROR(__xludf.DUMMYFUNCTION("""COMPUTED_VALUE"""),3.76)</f>
        <v>3.76</v>
      </c>
      <c r="J177">
        <f>IFERROR(__xludf.DUMMYFUNCTION("""COMPUTED_VALUE"""),4.578)</f>
        <v>4.578</v>
      </c>
      <c r="K177">
        <f>IFERROR(__xludf.DUMMYFUNCTION("""COMPUTED_VALUE"""),4.717)</f>
        <v>4.717</v>
      </c>
    </row>
    <row r="178">
      <c r="A178" t="str">
        <f>IFERROR(__xludf.DUMMYFUNCTION("""COMPUTED_VALUE"""),"Tonga")</f>
        <v>Tonga</v>
      </c>
      <c r="B178">
        <f>IFERROR(__xludf.DUMMYFUNCTION("""COMPUTED_VALUE"""),0.205)</f>
        <v>0.205</v>
      </c>
      <c r="C178">
        <f>IFERROR(__xludf.DUMMYFUNCTION("""COMPUTED_VALUE"""),0.181)</f>
        <v>0.181</v>
      </c>
      <c r="D178">
        <f>IFERROR(__xludf.DUMMYFUNCTION("""COMPUTED_VALUE"""),0.183)</f>
        <v>0.183</v>
      </c>
      <c r="E178">
        <f>IFERROR(__xludf.DUMMYFUNCTION("""COMPUTED_VALUE"""),0.202)</f>
        <v>0.202</v>
      </c>
      <c r="F178">
        <f>IFERROR(__xludf.DUMMYFUNCTION("""COMPUTED_VALUE"""),0.231)</f>
        <v>0.231</v>
      </c>
      <c r="G178">
        <f>IFERROR(__xludf.DUMMYFUNCTION("""COMPUTED_VALUE"""),0.262)</f>
        <v>0.262</v>
      </c>
      <c r="H178">
        <f>IFERROR(__xludf.DUMMYFUNCTION("""COMPUTED_VALUE"""),0.292)</f>
        <v>0.292</v>
      </c>
      <c r="I178">
        <f>IFERROR(__xludf.DUMMYFUNCTION("""COMPUTED_VALUE"""),0.299)</f>
        <v>0.299</v>
      </c>
      <c r="J178">
        <f>IFERROR(__xludf.DUMMYFUNCTION("""COMPUTED_VALUE"""),0.344)</f>
        <v>0.344</v>
      </c>
      <c r="K178">
        <f>IFERROR(__xludf.DUMMYFUNCTION("""COMPUTED_VALUE"""),0.312)</f>
        <v>0.312</v>
      </c>
    </row>
    <row r="179">
      <c r="A179" t="str">
        <f>IFERROR(__xludf.DUMMYFUNCTION("""COMPUTED_VALUE"""),"Trinité-et-Tobago")</f>
        <v>Trinité-et-Tobago</v>
      </c>
      <c r="B179">
        <f>IFERROR(__xludf.DUMMYFUNCTION("""COMPUTED_VALUE"""),8.295)</f>
        <v>8.295</v>
      </c>
      <c r="C179">
        <f>IFERROR(__xludf.DUMMYFUNCTION("""COMPUTED_VALUE"""),8.96)</f>
        <v>8.96</v>
      </c>
      <c r="D179">
        <f>IFERROR(__xludf.DUMMYFUNCTION("""COMPUTED_VALUE"""),9.148)</f>
        <v>9.148</v>
      </c>
      <c r="E179">
        <f>IFERROR(__xludf.DUMMYFUNCTION("""COMPUTED_VALUE"""),11.464)</f>
        <v>11.464</v>
      </c>
      <c r="F179">
        <f>IFERROR(__xludf.DUMMYFUNCTION("""COMPUTED_VALUE"""),13.472)</f>
        <v>13.472</v>
      </c>
      <c r="G179">
        <f>IFERROR(__xludf.DUMMYFUNCTION("""COMPUTED_VALUE"""),16.17)</f>
        <v>16.17</v>
      </c>
      <c r="H179">
        <f>IFERROR(__xludf.DUMMYFUNCTION("""COMPUTED_VALUE"""),18.6)</f>
        <v>18.6</v>
      </c>
      <c r="I179">
        <f>IFERROR(__xludf.DUMMYFUNCTION("""COMPUTED_VALUE"""),21.937)</f>
        <v>21.937</v>
      </c>
      <c r="J179">
        <f>IFERROR(__xludf.DUMMYFUNCTION("""COMPUTED_VALUE"""),28.193)</f>
        <v>28.193</v>
      </c>
      <c r="K179">
        <f>IFERROR(__xludf.DUMMYFUNCTION("""COMPUTED_VALUE"""),19.52)</f>
        <v>19.52</v>
      </c>
    </row>
    <row r="180">
      <c r="A180" t="str">
        <f>IFERROR(__xludf.DUMMYFUNCTION("""COMPUTED_VALUE"""),"Tunisie")</f>
        <v>Tunisie</v>
      </c>
      <c r="B180">
        <f>IFERROR(__xludf.DUMMYFUNCTION("""COMPUTED_VALUE"""),22.524)</f>
        <v>22.524</v>
      </c>
      <c r="C180">
        <f>IFERROR(__xludf.DUMMYFUNCTION("""COMPUTED_VALUE"""),23.146)</f>
        <v>23.146</v>
      </c>
      <c r="D180">
        <f>IFERROR(__xludf.DUMMYFUNCTION("""COMPUTED_VALUE"""),24.274)</f>
        <v>24.274</v>
      </c>
      <c r="E180">
        <f>IFERROR(__xludf.DUMMYFUNCTION("""COMPUTED_VALUE"""),28.797)</f>
        <v>28.797</v>
      </c>
      <c r="F180">
        <f>IFERROR(__xludf.DUMMYFUNCTION("""COMPUTED_VALUE"""),32.71)</f>
        <v>32.71</v>
      </c>
      <c r="G180">
        <f>IFERROR(__xludf.DUMMYFUNCTION("""COMPUTED_VALUE"""),33.851)</f>
        <v>33.851</v>
      </c>
      <c r="H180">
        <f>IFERROR(__xludf.DUMMYFUNCTION("""COMPUTED_VALUE"""),36.059)</f>
        <v>36.059</v>
      </c>
      <c r="I180">
        <f>IFERROR(__xludf.DUMMYFUNCTION("""COMPUTED_VALUE"""),40.819)</f>
        <v>40.819</v>
      </c>
      <c r="J180">
        <f>IFERROR(__xludf.DUMMYFUNCTION("""COMPUTED_VALUE"""),47.039)</f>
        <v>47.039</v>
      </c>
      <c r="K180">
        <f>IFERROR(__xludf.DUMMYFUNCTION("""COMPUTED_VALUE"""),45.593)</f>
        <v>45.593</v>
      </c>
    </row>
    <row r="181">
      <c r="A181" t="str">
        <f>IFERROR(__xludf.DUMMYFUNCTION("""COMPUTED_VALUE"""),"Turkménistan")</f>
        <v>Turkménistan</v>
      </c>
      <c r="B181">
        <f>IFERROR(__xludf.DUMMYFUNCTION("""COMPUTED_VALUE"""),8.487)</f>
        <v>8.487</v>
      </c>
      <c r="C181">
        <f>IFERROR(__xludf.DUMMYFUNCTION("""COMPUTED_VALUE"""),11.717)</f>
        <v>11.717</v>
      </c>
      <c r="D181">
        <f>IFERROR(__xludf.DUMMYFUNCTION("""COMPUTED_VALUE"""),14.703)</f>
        <v>14.703</v>
      </c>
      <c r="E181">
        <f>IFERROR(__xludf.DUMMYFUNCTION("""COMPUTED_VALUE"""),19.307)</f>
        <v>19.307</v>
      </c>
      <c r="F181">
        <f>IFERROR(__xludf.DUMMYFUNCTION("""COMPUTED_VALUE"""),23.991)</f>
        <v>23.991</v>
      </c>
      <c r="G181">
        <f>IFERROR(__xludf.DUMMYFUNCTION("""COMPUTED_VALUE"""),29.023)</f>
        <v>29.023</v>
      </c>
      <c r="H181">
        <f>IFERROR(__xludf.DUMMYFUNCTION("""COMPUTED_VALUE"""),36.154)</f>
        <v>36.154</v>
      </c>
      <c r="I181">
        <f>IFERROR(__xludf.DUMMYFUNCTION("""COMPUTED_VALUE"""),43.875)</f>
        <v>43.875</v>
      </c>
      <c r="J181">
        <f>IFERROR(__xludf.DUMMYFUNCTION("""COMPUTED_VALUE"""),36.363)</f>
        <v>36.363</v>
      </c>
      <c r="K181">
        <f>IFERROR(__xludf.DUMMYFUNCTION("""COMPUTED_VALUE"""),34.162)</f>
        <v>34.162</v>
      </c>
    </row>
    <row r="182">
      <c r="A182" t="str">
        <f>IFERROR(__xludf.DUMMYFUNCTION("""COMPUTED_VALUE"""),"Tuvalu")</f>
        <v>Tuvalu</v>
      </c>
      <c r="B182">
        <f>IFERROR(__xludf.DUMMYFUNCTION("""COMPUTED_VALUE"""),0.015)</f>
        <v>0.015</v>
      </c>
      <c r="C182">
        <f>IFERROR(__xludf.DUMMYFUNCTION("""COMPUTED_VALUE"""),0.014)</f>
        <v>0.014</v>
      </c>
      <c r="D182">
        <f>IFERROR(__xludf.DUMMYFUNCTION("""COMPUTED_VALUE"""),0.017)</f>
        <v>0.017</v>
      </c>
      <c r="E182">
        <f>IFERROR(__xludf.DUMMYFUNCTION("""COMPUTED_VALUE"""),0.02)</f>
        <v>0.02</v>
      </c>
      <c r="F182">
        <f>IFERROR(__xludf.DUMMYFUNCTION("""COMPUTED_VALUE"""),0.023)</f>
        <v>0.023</v>
      </c>
      <c r="G182">
        <f>IFERROR(__xludf.DUMMYFUNCTION("""COMPUTED_VALUE"""),0.023)</f>
        <v>0.023</v>
      </c>
      <c r="H182">
        <f>IFERROR(__xludf.DUMMYFUNCTION("""COMPUTED_VALUE"""),0.024)</f>
        <v>0.024</v>
      </c>
      <c r="I182">
        <f>IFERROR(__xludf.DUMMYFUNCTION("""COMPUTED_VALUE"""),0.029)</f>
        <v>0.029</v>
      </c>
      <c r="J182">
        <f>IFERROR(__xludf.DUMMYFUNCTION("""COMPUTED_VALUE"""),0.032)</f>
        <v>0.032</v>
      </c>
      <c r="K182">
        <f>IFERROR(__xludf.DUMMYFUNCTION("""COMPUTED_VALUE"""),0.028)</f>
        <v>0.028</v>
      </c>
    </row>
    <row r="183">
      <c r="A183" t="str">
        <f>IFERROR(__xludf.DUMMYFUNCTION("""COMPUTED_VALUE"""),"Turquie")</f>
        <v>Turquie</v>
      </c>
      <c r="B183">
        <f>IFERROR(__xludf.DUMMYFUNCTION("""COMPUTED_VALUE"""),274.321)</f>
        <v>274.321</v>
      </c>
      <c r="C183">
        <f>IFERROR(__xludf.DUMMYFUNCTION("""COMPUTED_VALUE"""),202.248)</f>
        <v>202.248</v>
      </c>
      <c r="D183">
        <f>IFERROR(__xludf.DUMMYFUNCTION("""COMPUTED_VALUE"""),240.191)</f>
        <v>240.191</v>
      </c>
      <c r="E183">
        <f>IFERROR(__xludf.DUMMYFUNCTION("""COMPUTED_VALUE"""),314.752)</f>
        <v>314.752</v>
      </c>
      <c r="F183">
        <f>IFERROR(__xludf.DUMMYFUNCTION("""COMPUTED_VALUE"""),409.127)</f>
        <v>409.127</v>
      </c>
      <c r="G183">
        <f>IFERROR(__xludf.DUMMYFUNCTION("""COMPUTED_VALUE"""),506.186)</f>
        <v>506.186</v>
      </c>
      <c r="H183">
        <f>IFERROR(__xludf.DUMMYFUNCTION("""COMPUTED_VALUE"""),555.126)</f>
        <v>555.126</v>
      </c>
      <c r="I183">
        <f>IFERROR(__xludf.DUMMYFUNCTION("""COMPUTED_VALUE"""),680.489)</f>
        <v>680.489</v>
      </c>
      <c r="J183">
        <f>IFERROR(__xludf.DUMMYFUNCTION("""COMPUTED_VALUE"""),770.82)</f>
        <v>770.82</v>
      </c>
      <c r="K183">
        <f>IFERROR(__xludf.DUMMYFUNCTION("""COMPUTED_VALUE"""),648.797)</f>
        <v>648.797</v>
      </c>
    </row>
    <row r="184">
      <c r="A184" t="str">
        <f>IFERROR(__xludf.DUMMYFUNCTION("""COMPUTED_VALUE"""),"Ouganda")</f>
        <v>Ouganda</v>
      </c>
      <c r="B184">
        <f>IFERROR(__xludf.DUMMYFUNCTION("""COMPUTED_VALUE"""),7.756)</f>
        <v>7.756</v>
      </c>
      <c r="C184">
        <f>IFERROR(__xludf.DUMMYFUNCTION("""COMPUTED_VALUE"""),7.835)</f>
        <v>7.835</v>
      </c>
      <c r="D184">
        <f>IFERROR(__xludf.DUMMYFUNCTION("""COMPUTED_VALUE"""),8.425)</f>
        <v>8.425</v>
      </c>
      <c r="E184">
        <f>IFERROR(__xludf.DUMMYFUNCTION("""COMPUTED_VALUE"""),8.725)</f>
        <v>8.725</v>
      </c>
      <c r="F184">
        <f>IFERROR(__xludf.DUMMYFUNCTION("""COMPUTED_VALUE"""),10.75)</f>
        <v>10.75</v>
      </c>
      <c r="G184">
        <f>IFERROR(__xludf.DUMMYFUNCTION("""COMPUTED_VALUE"""),12.46)</f>
        <v>12.46</v>
      </c>
      <c r="H184">
        <f>IFERROR(__xludf.DUMMYFUNCTION("""COMPUTED_VALUE"""),14.079)</f>
        <v>14.079</v>
      </c>
      <c r="I184">
        <f>IFERROR(__xludf.DUMMYFUNCTION("""COMPUTED_VALUE"""),17.512)</f>
        <v>17.512</v>
      </c>
      <c r="J184">
        <f>IFERROR(__xludf.DUMMYFUNCTION("""COMPUTED_VALUE"""),22.419)</f>
        <v>22.419</v>
      </c>
      <c r="K184">
        <f>IFERROR(__xludf.DUMMYFUNCTION("""COMPUTED_VALUE"""),24.107)</f>
        <v>24.107</v>
      </c>
    </row>
    <row r="185">
      <c r="A185" t="str">
        <f>IFERROR(__xludf.DUMMYFUNCTION("""COMPUTED_VALUE"""),"Ukraine")</f>
        <v>Ukraine</v>
      </c>
      <c r="B185">
        <f>IFERROR(__xludf.DUMMYFUNCTION("""COMPUTED_VALUE"""),32.331)</f>
        <v>32.331</v>
      </c>
      <c r="C185">
        <f>IFERROR(__xludf.DUMMYFUNCTION("""COMPUTED_VALUE"""),37.863)</f>
        <v>37.863</v>
      </c>
      <c r="D185">
        <f>IFERROR(__xludf.DUMMYFUNCTION("""COMPUTED_VALUE"""),42.339)</f>
        <v>42.339</v>
      </c>
      <c r="E185">
        <f>IFERROR(__xludf.DUMMYFUNCTION("""COMPUTED_VALUE"""),50.096)</f>
        <v>50.096</v>
      </c>
      <c r="F185">
        <f>IFERROR(__xludf.DUMMYFUNCTION("""COMPUTED_VALUE"""),64.747)</f>
        <v>64.747</v>
      </c>
      <c r="G185">
        <f>IFERROR(__xludf.DUMMYFUNCTION("""COMPUTED_VALUE"""),85.996)</f>
        <v>85.996</v>
      </c>
      <c r="H185">
        <f>IFERROR(__xludf.DUMMYFUNCTION("""COMPUTED_VALUE"""),107.767)</f>
        <v>107.767</v>
      </c>
      <c r="I185">
        <f>IFERROR(__xludf.DUMMYFUNCTION("""COMPUTED_VALUE"""),143.26)</f>
        <v>143.26</v>
      </c>
      <c r="J185">
        <f>IFERROR(__xludf.DUMMYFUNCTION("""COMPUTED_VALUE"""),181.313)</f>
        <v>181.313</v>
      </c>
      <c r="K185">
        <f>IFERROR(__xludf.DUMMYFUNCTION("""COMPUTED_VALUE"""),117.079)</f>
        <v>117.079</v>
      </c>
    </row>
    <row r="186">
      <c r="A186" t="str">
        <f>IFERROR(__xludf.DUMMYFUNCTION("""COMPUTED_VALUE"""),"Émirats arabes unis")</f>
        <v>Émirats arabes unis</v>
      </c>
      <c r="B186">
        <f>IFERROR(__xludf.DUMMYFUNCTION("""COMPUTED_VALUE"""),102.987)</f>
        <v>102.987</v>
      </c>
      <c r="C186">
        <f>IFERROR(__xludf.DUMMYFUNCTION("""COMPUTED_VALUE"""),103.312)</f>
        <v>103.312</v>
      </c>
      <c r="D186">
        <f>IFERROR(__xludf.DUMMYFUNCTION("""COMPUTED_VALUE"""),109.816)</f>
        <v>109.816</v>
      </c>
      <c r="E186">
        <f>IFERROR(__xludf.DUMMYFUNCTION("""COMPUTED_VALUE"""),124.346)</f>
        <v>124.346</v>
      </c>
      <c r="F186">
        <f>IFERROR(__xludf.DUMMYFUNCTION("""COMPUTED_VALUE"""),147.812)</f>
        <v>147.812</v>
      </c>
      <c r="G186">
        <f>IFERROR(__xludf.DUMMYFUNCTION("""COMPUTED_VALUE"""),180.616)</f>
        <v>180.616</v>
      </c>
      <c r="H186">
        <f>IFERROR(__xludf.DUMMYFUNCTION("""COMPUTED_VALUE"""),222.117)</f>
        <v>222.117</v>
      </c>
      <c r="I186">
        <f>IFERROR(__xludf.DUMMYFUNCTION("""COMPUTED_VALUE"""),257.883)</f>
        <v>257.883</v>
      </c>
      <c r="J186">
        <f>IFERROR(__xludf.DUMMYFUNCTION("""COMPUTED_VALUE"""),315.464)</f>
        <v>315.464</v>
      </c>
      <c r="K186">
        <f>IFERROR(__xludf.DUMMYFUNCTION("""COMPUTED_VALUE"""),253.547)</f>
        <v>253.547</v>
      </c>
    </row>
    <row r="187">
      <c r="A187" t="str">
        <f>IFERROR(__xludf.DUMMYFUNCTION("""COMPUTED_VALUE"""),"Royaume-Uni")</f>
        <v>Royaume-Uni</v>
      </c>
      <c r="B187">
        <f>IFERROR(__xludf.DUMMYFUNCTION("""COMPUTED_VALUE"""),1669.283)</f>
        <v>1669.283</v>
      </c>
      <c r="C187">
        <f>IFERROR(__xludf.DUMMYFUNCTION("""COMPUTED_VALUE"""),1649.083)</f>
        <v>1649.083</v>
      </c>
      <c r="D187">
        <f>IFERROR(__xludf.DUMMYFUNCTION("""COMPUTED_VALUE"""),1788.663)</f>
        <v>1788.663</v>
      </c>
      <c r="E187">
        <f>IFERROR(__xludf.DUMMYFUNCTION("""COMPUTED_VALUE"""),2058.485)</f>
        <v>2058.485</v>
      </c>
      <c r="F187">
        <f>IFERROR(__xludf.DUMMYFUNCTION("""COMPUTED_VALUE"""),2424.053)</f>
        <v>2424.053</v>
      </c>
      <c r="G187">
        <f>IFERROR(__xludf.DUMMYFUNCTION("""COMPUTED_VALUE"""),2547.665)</f>
        <v>2547.665</v>
      </c>
      <c r="H187">
        <f>IFERROR(__xludf.DUMMYFUNCTION("""COMPUTED_VALUE"""),2713.729)</f>
        <v>2713.729</v>
      </c>
      <c r="I187">
        <f>IFERROR(__xludf.DUMMYFUNCTION("""COMPUTED_VALUE"""),3094.006)</f>
        <v>3094.006</v>
      </c>
      <c r="J187">
        <f>IFERROR(__xludf.DUMMYFUNCTION("""COMPUTED_VALUE"""),2962.502)</f>
        <v>2962.502</v>
      </c>
      <c r="K187">
        <f>IFERROR(__xludf.DUMMYFUNCTION("""COMPUTED_VALUE"""),2426.291)</f>
        <v>2426.291</v>
      </c>
    </row>
    <row r="188">
      <c r="A188" t="str">
        <f>IFERROR(__xludf.DUMMYFUNCTION("""COMPUTED_VALUE"""),"États-Unis")</f>
        <v>États-Unis</v>
      </c>
      <c r="B188">
        <f>IFERROR(__xludf.DUMMYFUNCTION("""COMPUTED_VALUE"""),10250.95)</f>
        <v>10250.95</v>
      </c>
      <c r="C188">
        <f>IFERROR(__xludf.DUMMYFUNCTION("""COMPUTED_VALUE"""),10581.925)</f>
        <v>10581.925</v>
      </c>
      <c r="D188">
        <f>IFERROR(__xludf.DUMMYFUNCTION("""COMPUTED_VALUE"""),10929.1)</f>
        <v>10929.1</v>
      </c>
      <c r="E188">
        <f>IFERROR(__xludf.DUMMYFUNCTION("""COMPUTED_VALUE"""),11456.45)</f>
        <v>11456.45</v>
      </c>
      <c r="F188">
        <f>IFERROR(__xludf.DUMMYFUNCTION("""COMPUTED_VALUE"""),12217.175)</f>
        <v>12217.175</v>
      </c>
      <c r="G188">
        <f>IFERROR(__xludf.DUMMYFUNCTION("""COMPUTED_VALUE"""),13039.2)</f>
        <v>13039.2</v>
      </c>
      <c r="H188">
        <f>IFERROR(__xludf.DUMMYFUNCTION("""COMPUTED_VALUE"""),13815.6)</f>
        <v>13815.6</v>
      </c>
      <c r="I188">
        <f>IFERROR(__xludf.DUMMYFUNCTION("""COMPUTED_VALUE"""),14474.25)</f>
        <v>14474.25</v>
      </c>
      <c r="J188">
        <f>IFERROR(__xludf.DUMMYFUNCTION("""COMPUTED_VALUE"""),14769.85)</f>
        <v>14769.85</v>
      </c>
      <c r="K188">
        <f>IFERROR(__xludf.DUMMYFUNCTION("""COMPUTED_VALUE"""),14478.05)</f>
        <v>14478.05</v>
      </c>
    </row>
    <row r="189">
      <c r="A189" t="str">
        <f>IFERROR(__xludf.DUMMYFUNCTION("""COMPUTED_VALUE"""),"Uruguay")</f>
        <v>Uruguay</v>
      </c>
      <c r="B189">
        <f>IFERROR(__xludf.DUMMYFUNCTION("""COMPUTED_VALUE"""),24.892)</f>
        <v>24.892</v>
      </c>
      <c r="C189">
        <f>IFERROR(__xludf.DUMMYFUNCTION("""COMPUTED_VALUE"""),22.802)</f>
        <v>22.802</v>
      </c>
      <c r="D189">
        <f>IFERROR(__xludf.DUMMYFUNCTION("""COMPUTED_VALUE"""),14.863)</f>
        <v>14.863</v>
      </c>
      <c r="E189">
        <f>IFERROR(__xludf.DUMMYFUNCTION("""COMPUTED_VALUE"""),13.159)</f>
        <v>13.159</v>
      </c>
      <c r="F189">
        <f>IFERROR(__xludf.DUMMYFUNCTION("""COMPUTED_VALUE"""),14.959)</f>
        <v>14.959</v>
      </c>
      <c r="G189">
        <f>IFERROR(__xludf.DUMMYFUNCTION("""COMPUTED_VALUE"""),18.986)</f>
        <v>18.986</v>
      </c>
      <c r="H189">
        <f>IFERROR(__xludf.DUMMYFUNCTION("""COMPUTED_VALUE"""),21.416)</f>
        <v>21.416</v>
      </c>
      <c r="I189">
        <f>IFERROR(__xludf.DUMMYFUNCTION("""COMPUTED_VALUE"""),25.603)</f>
        <v>25.603</v>
      </c>
      <c r="J189">
        <f>IFERROR(__xludf.DUMMYFUNCTION("""COMPUTED_VALUE"""),33.151)</f>
        <v>33.151</v>
      </c>
      <c r="K189">
        <f>IFERROR(__xludf.DUMMYFUNCTION("""COMPUTED_VALUE"""),34.565)</f>
        <v>34.565</v>
      </c>
    </row>
    <row r="190">
      <c r="A190" t="str">
        <f>IFERROR(__xludf.DUMMYFUNCTION("""COMPUTED_VALUE"""),"Ouzbékistan")</f>
        <v>Ouzbékistan</v>
      </c>
      <c r="B190">
        <f>IFERROR(__xludf.DUMMYFUNCTION("""COMPUTED_VALUE"""),17.195)</f>
        <v>17.195</v>
      </c>
      <c r="C190">
        <f>IFERROR(__xludf.DUMMYFUNCTION("""COMPUTED_VALUE"""),14.581)</f>
        <v>14.581</v>
      </c>
      <c r="D190">
        <f>IFERROR(__xludf.DUMMYFUNCTION("""COMPUTED_VALUE"""),12.106)</f>
        <v>12.106</v>
      </c>
      <c r="E190">
        <f>IFERROR(__xludf.DUMMYFUNCTION("""COMPUTED_VALUE"""),12.697)</f>
        <v>12.697</v>
      </c>
      <c r="F190">
        <f>IFERROR(__xludf.DUMMYFUNCTION("""COMPUTED_VALUE"""),15.045)</f>
        <v>15.045</v>
      </c>
      <c r="G190">
        <f>IFERROR(__xludf.DUMMYFUNCTION("""COMPUTED_VALUE"""),17.939)</f>
        <v>17.939</v>
      </c>
      <c r="H190">
        <f>IFERROR(__xludf.DUMMYFUNCTION("""COMPUTED_VALUE"""),21.344)</f>
        <v>21.344</v>
      </c>
      <c r="I190">
        <f>IFERROR(__xludf.DUMMYFUNCTION("""COMPUTED_VALUE"""),27.963)</f>
        <v>27.963</v>
      </c>
      <c r="J190">
        <f>IFERROR(__xludf.DUMMYFUNCTION("""COMPUTED_VALUE"""),35.858)</f>
        <v>35.858</v>
      </c>
      <c r="K190">
        <f>IFERROR(__xludf.DUMMYFUNCTION("""COMPUTED_VALUE"""),41.945)</f>
        <v>41.945</v>
      </c>
    </row>
    <row r="191">
      <c r="A191" t="str">
        <f>IFERROR(__xludf.DUMMYFUNCTION("""COMPUTED_VALUE"""),"Vanuatu")</f>
        <v>Vanuatu</v>
      </c>
      <c r="B191">
        <f>IFERROR(__xludf.DUMMYFUNCTION("""COMPUTED_VALUE"""),0.272)</f>
        <v>0.272</v>
      </c>
      <c r="C191">
        <f>IFERROR(__xludf.DUMMYFUNCTION("""COMPUTED_VALUE"""),0.257)</f>
        <v>0.257</v>
      </c>
      <c r="D191">
        <f>IFERROR(__xludf.DUMMYFUNCTION("""COMPUTED_VALUE"""),0.262)</f>
        <v>0.262</v>
      </c>
      <c r="E191">
        <f>IFERROR(__xludf.DUMMYFUNCTION("""COMPUTED_VALUE"""),0.315)</f>
        <v>0.315</v>
      </c>
      <c r="F191">
        <f>IFERROR(__xludf.DUMMYFUNCTION("""COMPUTED_VALUE"""),0.365)</f>
        <v>0.365</v>
      </c>
      <c r="G191">
        <f>IFERROR(__xludf.DUMMYFUNCTION("""COMPUTED_VALUE"""),0.39)</f>
        <v>0.39</v>
      </c>
      <c r="H191">
        <f>IFERROR(__xludf.DUMMYFUNCTION("""COMPUTED_VALUE"""),0.435)</f>
        <v>0.435</v>
      </c>
      <c r="I191">
        <f>IFERROR(__xludf.DUMMYFUNCTION("""COMPUTED_VALUE"""),0.517)</f>
        <v>0.517</v>
      </c>
      <c r="J191">
        <f>IFERROR(__xludf.DUMMYFUNCTION("""COMPUTED_VALUE"""),0.582)</f>
        <v>0.582</v>
      </c>
      <c r="K191">
        <f>IFERROR(__xludf.DUMMYFUNCTION("""COMPUTED_VALUE"""),0.59)</f>
        <v>0.59</v>
      </c>
    </row>
    <row r="192">
      <c r="A192" t="str">
        <f>IFERROR(__xludf.DUMMYFUNCTION("""COMPUTED_VALUE"""),"Venezuela")</f>
        <v>Venezuela</v>
      </c>
      <c r="B192">
        <f>IFERROR(__xludf.DUMMYFUNCTION("""COMPUTED_VALUE"""),117.596)</f>
        <v>117.596</v>
      </c>
      <c r="C192">
        <f>IFERROR(__xludf.DUMMYFUNCTION("""COMPUTED_VALUE"""),123.119)</f>
        <v>123.119</v>
      </c>
      <c r="D192">
        <f>IFERROR(__xludf.DUMMYFUNCTION("""COMPUTED_VALUE"""),95.258)</f>
        <v>95.258</v>
      </c>
      <c r="E192">
        <f>IFERROR(__xludf.DUMMYFUNCTION("""COMPUTED_VALUE"""),83.684)</f>
        <v>83.684</v>
      </c>
      <c r="F192">
        <f>IFERROR(__xludf.DUMMYFUNCTION("""COMPUTED_VALUE"""),112.254)</f>
        <v>112.254</v>
      </c>
      <c r="G192">
        <f>IFERROR(__xludf.DUMMYFUNCTION("""COMPUTED_VALUE"""),143.375)</f>
        <v>143.375</v>
      </c>
      <c r="H192">
        <f>IFERROR(__xludf.DUMMYFUNCTION("""COMPUTED_VALUE"""),178.521)</f>
        <v>178.521</v>
      </c>
      <c r="I192">
        <f>IFERROR(__xludf.DUMMYFUNCTION("""COMPUTED_VALUE"""),232.857)</f>
        <v>232.857</v>
      </c>
      <c r="J192">
        <f>IFERROR(__xludf.DUMMYFUNCTION("""COMPUTED_VALUE"""),306.764)</f>
        <v>306.764</v>
      </c>
      <c r="K192">
        <f>IFERROR(__xludf.DUMMYFUNCTION("""COMPUTED_VALUE"""),268.624)</f>
        <v>268.624</v>
      </c>
    </row>
    <row r="193">
      <c r="A193" t="str">
        <f>IFERROR(__xludf.DUMMYFUNCTION("""COMPUTED_VALUE"""),"Vietnam")</f>
        <v>Vietnam</v>
      </c>
      <c r="B193">
        <f>IFERROR(__xludf.DUMMYFUNCTION("""COMPUTED_VALUE"""),39.585)</f>
        <v>39.585</v>
      </c>
      <c r="C193">
        <f>IFERROR(__xludf.DUMMYFUNCTION("""COMPUTED_VALUE"""),41.297)</f>
        <v>41.297</v>
      </c>
      <c r="D193">
        <f>IFERROR(__xludf.DUMMYFUNCTION("""COMPUTED_VALUE"""),44.563)</f>
        <v>44.563</v>
      </c>
      <c r="E193">
        <f>IFERROR(__xludf.DUMMYFUNCTION("""COMPUTED_VALUE"""),50.233)</f>
        <v>50.233</v>
      </c>
      <c r="F193">
        <f>IFERROR(__xludf.DUMMYFUNCTION("""COMPUTED_VALUE"""),62.877)</f>
        <v>62.877</v>
      </c>
      <c r="G193">
        <f>IFERROR(__xludf.DUMMYFUNCTION("""COMPUTED_VALUE"""),73.197)</f>
        <v>73.197</v>
      </c>
      <c r="H193">
        <f>IFERROR(__xludf.DUMMYFUNCTION("""COMPUTED_VALUE"""),84.301)</f>
        <v>84.301</v>
      </c>
      <c r="I193">
        <f>IFERROR(__xludf.DUMMYFUNCTION("""COMPUTED_VALUE"""),98.426)</f>
        <v>98.426</v>
      </c>
      <c r="J193">
        <f>IFERROR(__xludf.DUMMYFUNCTION("""COMPUTED_VALUE"""),124.756)</f>
        <v>124.756</v>
      </c>
      <c r="K193">
        <f>IFERROR(__xludf.DUMMYFUNCTION("""COMPUTED_VALUE"""),129.022)</f>
        <v>129.022</v>
      </c>
    </row>
    <row r="194">
      <c r="A194" t="str">
        <f>IFERROR(__xludf.DUMMYFUNCTION("""COMPUTED_VALUE"""),"Bande de Gaza et  Cisjordanie")</f>
        <v>Bande de Gaza et  Cisjordanie</v>
      </c>
      <c r="B194">
        <f>IFERROR(__xludf.DUMMYFUNCTION("""COMPUTED_VALUE"""),4.314)</f>
        <v>4.314</v>
      </c>
      <c r="C194">
        <f>IFERROR(__xludf.DUMMYFUNCTION("""COMPUTED_VALUE"""),4.004)</f>
        <v>4.004</v>
      </c>
      <c r="D194">
        <f>IFERROR(__xludf.DUMMYFUNCTION("""COMPUTED_VALUE"""),3.556)</f>
        <v>3.556</v>
      </c>
      <c r="E194">
        <f>IFERROR(__xludf.DUMMYFUNCTION("""COMPUTED_VALUE"""),3.968)</f>
        <v>3.968</v>
      </c>
      <c r="F194">
        <f>IFERROR(__xludf.DUMMYFUNCTION("""COMPUTED_VALUE"""),4.603)</f>
        <v>4.603</v>
      </c>
      <c r="G194">
        <f>IFERROR(__xludf.DUMMYFUNCTION("""COMPUTED_VALUE"""),5.126)</f>
        <v>5.126</v>
      </c>
      <c r="H194">
        <f>IFERROR(__xludf.DUMMYFUNCTION("""COMPUTED_VALUE"""),5.348)</f>
        <v>5.348</v>
      </c>
      <c r="I194">
        <f>IFERROR(__xludf.DUMMYFUNCTION("""COMPUTED_VALUE"""),5.816)</f>
        <v>5.816</v>
      </c>
      <c r="J194">
        <f>IFERROR(__xludf.DUMMYFUNCTION("""COMPUTED_VALUE"""),7.31)</f>
        <v>7.31</v>
      </c>
      <c r="K194">
        <f>IFERROR(__xludf.DUMMYFUNCTION("""COMPUTED_VALUE"""),8.086)</f>
        <v>8.086</v>
      </c>
    </row>
    <row r="195">
      <c r="A195" t="str">
        <f>IFERROR(__xludf.DUMMYFUNCTION("""COMPUTED_VALUE"""),"Yémen")</f>
        <v>Yémen</v>
      </c>
      <c r="B195">
        <f>IFERROR(__xludf.DUMMYFUNCTION("""COMPUTED_VALUE"""),9.679)</f>
        <v>9.679</v>
      </c>
      <c r="C195">
        <f>IFERROR(__xludf.DUMMYFUNCTION("""COMPUTED_VALUE"""),9.853)</f>
        <v>9.853</v>
      </c>
      <c r="D195">
        <f>IFERROR(__xludf.DUMMYFUNCTION("""COMPUTED_VALUE"""),10.693)</f>
        <v>10.693</v>
      </c>
      <c r="E195">
        <f>IFERROR(__xludf.DUMMYFUNCTION("""COMPUTED_VALUE"""),11.778)</f>
        <v>11.778</v>
      </c>
      <c r="F195">
        <f>IFERROR(__xludf.DUMMYFUNCTION("""COMPUTED_VALUE"""),13.868)</f>
        <v>13.868</v>
      </c>
      <c r="G195">
        <f>IFERROR(__xludf.DUMMYFUNCTION("""COMPUTED_VALUE"""),16.732)</f>
        <v>16.732</v>
      </c>
      <c r="H195">
        <f>IFERROR(__xludf.DUMMYFUNCTION("""COMPUTED_VALUE"""),19.063)</f>
        <v>19.063</v>
      </c>
      <c r="I195">
        <f>IFERROR(__xludf.DUMMYFUNCTION("""COMPUTED_VALUE"""),21.651)</f>
        <v>21.651</v>
      </c>
      <c r="J195">
        <f>IFERROR(__xludf.DUMMYFUNCTION("""COMPUTED_VALUE"""),26.911)</f>
        <v>26.911</v>
      </c>
      <c r="K195">
        <f>IFERROR(__xludf.DUMMYFUNCTION("""COMPUTED_VALUE"""),25.13)</f>
        <v>25.13</v>
      </c>
    </row>
    <row r="196">
      <c r="A196" t="str">
        <f>IFERROR(__xludf.DUMMYFUNCTION("""COMPUTED_VALUE"""),"Zambie")</f>
        <v>Zambie</v>
      </c>
      <c r="B196">
        <f>IFERROR(__xludf.DUMMYFUNCTION("""COMPUTED_VALUE"""),3.601)</f>
        <v>3.601</v>
      </c>
      <c r="C196">
        <f>IFERROR(__xludf.DUMMYFUNCTION("""COMPUTED_VALUE"""),3.87)</f>
        <v>3.87</v>
      </c>
      <c r="D196">
        <f>IFERROR(__xludf.DUMMYFUNCTION("""COMPUTED_VALUE"""),4.194)</f>
        <v>4.194</v>
      </c>
      <c r="E196">
        <f>IFERROR(__xludf.DUMMYFUNCTION("""COMPUTED_VALUE"""),4.902)</f>
        <v>4.902</v>
      </c>
      <c r="F196">
        <f>IFERROR(__xludf.DUMMYFUNCTION("""COMPUTED_VALUE"""),6.221)</f>
        <v>6.221</v>
      </c>
      <c r="G196">
        <f>IFERROR(__xludf.DUMMYFUNCTION("""COMPUTED_VALUE"""),8.329)</f>
        <v>8.329</v>
      </c>
      <c r="H196">
        <f>IFERROR(__xludf.DUMMYFUNCTION("""COMPUTED_VALUE"""),12.762)</f>
        <v>12.762</v>
      </c>
      <c r="I196">
        <f>IFERROR(__xludf.DUMMYFUNCTION("""COMPUTED_VALUE"""),14.06)</f>
        <v>14.06</v>
      </c>
      <c r="J196">
        <f>IFERROR(__xludf.DUMMYFUNCTION("""COMPUTED_VALUE"""),17.914)</f>
        <v>17.914</v>
      </c>
      <c r="K196">
        <f>IFERROR(__xludf.DUMMYFUNCTION("""COMPUTED_VALUE"""),15.332)</f>
        <v>15.332</v>
      </c>
    </row>
    <row r="197">
      <c r="A197" t="str">
        <f>IFERROR(__xludf.DUMMYFUNCTION("""COMPUTED_VALUE"""),"Zimbabwe")</f>
        <v>Zimbabwe</v>
      </c>
      <c r="B197">
        <f>IFERROR(__xludf.DUMMYFUNCTION("""COMPUTED_VALUE"""),11.34)</f>
        <v>11.34</v>
      </c>
      <c r="C197">
        <f>IFERROR(__xludf.DUMMYFUNCTION("""COMPUTED_VALUE"""),11.244)</f>
        <v>11.244</v>
      </c>
      <c r="D197">
        <f>IFERROR(__xludf.DUMMYFUNCTION("""COMPUTED_VALUE"""),10.735)</f>
        <v>10.735</v>
      </c>
      <c r="E197">
        <f>IFERROR(__xludf.DUMMYFUNCTION("""COMPUTED_VALUE"""),9.574)</f>
        <v>9.574</v>
      </c>
      <c r="F197">
        <f>IFERROR(__xludf.DUMMYFUNCTION("""COMPUTED_VALUE"""),9.465)</f>
        <v>9.465</v>
      </c>
      <c r="G197">
        <f>IFERROR(__xludf.DUMMYFUNCTION("""COMPUTED_VALUE"""),9.046)</f>
        <v>9.046</v>
      </c>
      <c r="H197">
        <f>IFERROR(__xludf.DUMMYFUNCTION("""COMPUTED_VALUE"""),8.141)</f>
        <v>8.141</v>
      </c>
      <c r="I197">
        <f>IFERROR(__xludf.DUMMYFUNCTION("""COMPUTED_VALUE"""),7.785)</f>
        <v>7.785</v>
      </c>
      <c r="J197">
        <f>IFERROR(__xludf.DUMMYFUNCTION("""COMPUTED_VALUE"""),6.707)</f>
        <v>6.707</v>
      </c>
      <c r="K197">
        <f>IFERROR(__xludf.DUMMYFUNCTION("""COMPUTED_VALUE"""),9.666)</f>
        <v>9.666</v>
      </c>
    </row>
    <row r="198">
      <c r="A198" t="str">
        <f>IFERROR(__xludf.DUMMYFUNCTION("""COMPUTED_VALUE"""),"Afrique")</f>
        <v>Afrique</v>
      </c>
      <c r="B198">
        <f>IFERROR(__xludf.DUMMYFUNCTION("""COMPUTED_VALUE"""),703.639)</f>
        <v>703.639</v>
      </c>
      <c r="C198">
        <f>IFERROR(__xludf.DUMMYFUNCTION("""COMPUTED_VALUE"""),681.618)</f>
        <v>681.618</v>
      </c>
      <c r="D198">
        <f>IFERROR(__xludf.DUMMYFUNCTION("""COMPUTED_VALUE"""),696.043)</f>
        <v>696.043</v>
      </c>
      <c r="E198">
        <f>IFERROR(__xludf.DUMMYFUNCTION("""COMPUTED_VALUE"""),839.923)</f>
        <v>839.923</v>
      </c>
      <c r="F198">
        <f>IFERROR(__xludf.DUMMYFUNCTION("""COMPUTED_VALUE"""),1005.933)</f>
        <v>1005.933</v>
      </c>
      <c r="G198">
        <f>IFERROR(__xludf.DUMMYFUNCTION("""COMPUTED_VALUE"""),1182.934)</f>
        <v>1182.934</v>
      </c>
      <c r="H198">
        <f>IFERROR(__xludf.DUMMYFUNCTION("""COMPUTED_VALUE"""),1364.479)</f>
        <v>1364.479</v>
      </c>
      <c r="I198">
        <f>IFERROR(__xludf.DUMMYFUNCTION("""COMPUTED_VALUE"""),1585.739)</f>
        <v>1585.739</v>
      </c>
      <c r="J198">
        <f>IFERROR(__xludf.DUMMYFUNCTION("""COMPUTED_VALUE"""),1855.014)</f>
        <v>1855.014</v>
      </c>
      <c r="K198">
        <f>IFERROR(__xludf.DUMMYFUNCTION("""COMPUTED_VALUE"""),1762.193)</f>
        <v>1762.193</v>
      </c>
    </row>
    <row r="199">
      <c r="A199" t="str">
        <f>IFERROR(__xludf.DUMMYFUNCTION("""COMPUTED_VALUE"""),"Asie")</f>
        <v>Asie</v>
      </c>
      <c r="B199">
        <f>IFERROR(__xludf.DUMMYFUNCTION("""COMPUTED_VALUE"""),9361.234)</f>
        <v>9361.234</v>
      </c>
      <c r="C199">
        <f>IFERROR(__xludf.DUMMYFUNCTION("""COMPUTED_VALUE"""),8736.187)</f>
        <v>8736.187</v>
      </c>
      <c r="D199">
        <f>IFERROR(__xludf.DUMMYFUNCTION("""COMPUTED_VALUE"""),8971.293)</f>
        <v>8971.293</v>
      </c>
      <c r="E199">
        <f>IFERROR(__xludf.DUMMYFUNCTION("""COMPUTED_VALUE"""),10011.788)</f>
        <v>10011.788</v>
      </c>
      <c r="F199">
        <f>IFERROR(__xludf.DUMMYFUNCTION("""COMPUTED_VALUE"""),11297.217)</f>
        <v>11297.217</v>
      </c>
      <c r="G199">
        <f>IFERROR(__xludf.DUMMYFUNCTION("""COMPUTED_VALUE"""),12214.682)</f>
        <v>12214.682</v>
      </c>
      <c r="H199">
        <f>IFERROR(__xludf.DUMMYFUNCTION("""COMPUTED_VALUE"""),13068.857)</f>
        <v>13068.857</v>
      </c>
      <c r="I199">
        <f>IFERROR(__xludf.DUMMYFUNCTION("""COMPUTED_VALUE"""),14942.931)</f>
        <v>14942.931</v>
      </c>
      <c r="J199">
        <f>IFERROR(__xludf.DUMMYFUNCTION("""COMPUTED_VALUE"""),16904.74)</f>
        <v>16904.74</v>
      </c>
      <c r="K199">
        <f>IFERROR(__xludf.DUMMYFUNCTION("""COMPUTED_VALUE"""),17369.214)</f>
        <v>17369.214</v>
      </c>
    </row>
    <row r="200">
      <c r="A200" t="str">
        <f>IFERROR(__xludf.DUMMYFUNCTION("""COMPUTED_VALUE"""),"Europe")</f>
        <v>Europe</v>
      </c>
      <c r="B200">
        <f>IFERROR(__xludf.DUMMYFUNCTION("""COMPUTED_VALUE"""),9749.804)</f>
        <v>9749.804</v>
      </c>
      <c r="C200">
        <f>IFERROR(__xludf.DUMMYFUNCTION("""COMPUTED_VALUE"""),9913.29)</f>
        <v>9913.29</v>
      </c>
      <c r="D200">
        <f>IFERROR(__xludf.DUMMYFUNCTION("""COMPUTED_VALUE"""),10837.112)</f>
        <v>10837.112</v>
      </c>
      <c r="E200">
        <f>IFERROR(__xludf.DUMMYFUNCTION("""COMPUTED_VALUE"""),13157.762)</f>
        <v>13157.762</v>
      </c>
      <c r="F200">
        <f>IFERROR(__xludf.DUMMYFUNCTION("""COMPUTED_VALUE"""),15287.213)</f>
        <v>15287.213</v>
      </c>
      <c r="G200">
        <f>IFERROR(__xludf.DUMMYFUNCTION("""COMPUTED_VALUE"""),16193.197)</f>
        <v>16193.197</v>
      </c>
      <c r="H200">
        <f>IFERROR(__xludf.DUMMYFUNCTION("""COMPUTED_VALUE"""),17499.453)</f>
        <v>17499.453</v>
      </c>
      <c r="I200">
        <f>IFERROR(__xludf.DUMMYFUNCTION("""COMPUTED_VALUE"""),20404.535)</f>
        <v>20404.535</v>
      </c>
      <c r="J200">
        <f>IFERROR(__xludf.DUMMYFUNCTION("""COMPUTED_VALUE"""),22438.513)</f>
        <v>22438.513</v>
      </c>
      <c r="K200">
        <f>IFERROR(__xludf.DUMMYFUNCTION("""COMPUTED_VALUE"""),19706.15)</f>
        <v>19706.15</v>
      </c>
    </row>
    <row r="201">
      <c r="A201" t="str">
        <f>IFERROR(__xludf.DUMMYFUNCTION("""COMPUTED_VALUE"""),"Amérique du Nord")</f>
        <v>Amérique du Nord</v>
      </c>
      <c r="B201">
        <f>IFERROR(__xludf.DUMMYFUNCTION("""COMPUTED_VALUE"""),11799.344)</f>
        <v>11799.344</v>
      </c>
      <c r="C201">
        <f>IFERROR(__xludf.DUMMYFUNCTION("""COMPUTED_VALUE"""),12186.616)</f>
        <v>12186.616</v>
      </c>
      <c r="D201">
        <f>IFERROR(__xludf.DUMMYFUNCTION("""COMPUTED_VALUE"""),12572.461)</f>
        <v>12572.461</v>
      </c>
      <c r="E201">
        <f>IFERROR(__xludf.DUMMYFUNCTION("""COMPUTED_VALUE"""),13193.433)</f>
        <v>13193.433</v>
      </c>
      <c r="F201">
        <f>IFERROR(__xludf.DUMMYFUNCTION("""COMPUTED_VALUE"""),14143.43)</f>
        <v>14143.43</v>
      </c>
      <c r="G201">
        <f>IFERROR(__xludf.DUMMYFUNCTION("""COMPUTED_VALUE"""),15214.191)</f>
        <v>15214.191</v>
      </c>
      <c r="H201">
        <f>IFERROR(__xludf.DUMMYFUNCTION("""COMPUTED_VALUE"""),16242.497)</f>
        <v>16242.497</v>
      </c>
      <c r="I201">
        <f>IFERROR(__xludf.DUMMYFUNCTION("""COMPUTED_VALUE"""),17135.025)</f>
        <v>17135.025</v>
      </c>
      <c r="J201">
        <f>IFERROR(__xludf.DUMMYFUNCTION("""COMPUTED_VALUE"""),17577.907)</f>
        <v>17577.907</v>
      </c>
      <c r="K201">
        <f>IFERROR(__xludf.DUMMYFUNCTION("""COMPUTED_VALUE"""),16894.382)</f>
        <v>16894.382</v>
      </c>
    </row>
    <row r="202">
      <c r="A202" t="str">
        <f>IFERROR(__xludf.DUMMYFUNCTION("""COMPUTED_VALUE"""),"Amérique du Sud")</f>
        <v>Amérique du Sud</v>
      </c>
      <c r="B202">
        <f>IFERROR(__xludf.DUMMYFUNCTION("""COMPUTED_VALUE"""),1379.194)</f>
        <v>1379.194</v>
      </c>
      <c r="C202">
        <f>IFERROR(__xludf.DUMMYFUNCTION("""COMPUTED_VALUE"""),1267.6)</f>
        <v>1267.6</v>
      </c>
      <c r="D202">
        <f>IFERROR(__xludf.DUMMYFUNCTION("""COMPUTED_VALUE"""),997.64)</f>
        <v>997.64</v>
      </c>
      <c r="E202">
        <f>IFERROR(__xludf.DUMMYFUNCTION("""COMPUTED_VALUE"""),1074.839)</f>
        <v>1074.839</v>
      </c>
      <c r="F202">
        <f>IFERROR(__xludf.DUMMYFUNCTION("""COMPUTED_VALUE"""),1298.003)</f>
        <v>1298.003</v>
      </c>
      <c r="G202">
        <f>IFERROR(__xludf.DUMMYFUNCTION("""COMPUTED_VALUE"""),1657.232)</f>
        <v>1657.232</v>
      </c>
      <c r="H202">
        <f>IFERROR(__xludf.DUMMYFUNCTION("""COMPUTED_VALUE"""),2015.3)</f>
        <v>2015.3</v>
      </c>
      <c r="I202">
        <f>IFERROR(__xludf.DUMMYFUNCTION("""COMPUTED_VALUE"""),2506.557)</f>
        <v>2506.557</v>
      </c>
      <c r="J202">
        <f>IFERROR(__xludf.DUMMYFUNCTION("""COMPUTED_VALUE"""),3045.946)</f>
        <v>3045.946</v>
      </c>
      <c r="K202">
        <f>IFERROR(__xludf.DUMMYFUNCTION("""COMPUTED_VALUE"""),2935.45)</f>
        <v>2935.45</v>
      </c>
    </row>
    <row r="203">
      <c r="A203" t="str">
        <f>IFERROR(__xludf.DUMMYFUNCTION("""COMPUTED_VALUE"""),"Zone euro")</f>
        <v>Zone euro</v>
      </c>
      <c r="B203">
        <f>IFERROR(__xludf.DUMMYFUNCTION("""COMPUTED_VALUE"""),6510.788)</f>
        <v>6510.788</v>
      </c>
      <c r="C203">
        <f>IFERROR(__xludf.DUMMYFUNCTION("""COMPUTED_VALUE"""),6607.755)</f>
        <v>6607.755</v>
      </c>
      <c r="D203">
        <f>IFERROR(__xludf.DUMMYFUNCTION("""COMPUTED_VALUE"""),7209.16)</f>
        <v>7209.16</v>
      </c>
      <c r="E203">
        <f>IFERROR(__xludf.DUMMYFUNCTION("""COMPUTED_VALUE"""),8878.924)</f>
        <v>8878.924</v>
      </c>
      <c r="F203">
        <f>IFERROR(__xludf.DUMMYFUNCTION("""COMPUTED_VALUE"""),10179.549)</f>
        <v>10179.549</v>
      </c>
      <c r="G203">
        <f>IFERROR(__xludf.DUMMYFUNCTION("""COMPUTED_VALUE"""),10557.421)</f>
        <v>10557.421</v>
      </c>
      <c r="H203">
        <f>IFERROR(__xludf.DUMMYFUNCTION("""COMPUTED_VALUE"""),11217.822)</f>
        <v>11217.822</v>
      </c>
      <c r="I203">
        <f>IFERROR(__xludf.DUMMYFUNCTION("""COMPUTED_VALUE"""),12926.733)</f>
        <v>12926.733</v>
      </c>
      <c r="J203">
        <f>IFERROR(__xludf.DUMMYFUNCTION("""COMPUTED_VALUE"""),14218.632)</f>
        <v>14218.632</v>
      </c>
      <c r="K203">
        <f>IFERROR(__xludf.DUMMYFUNCTION("""COMPUTED_VALUE"""),12982.347)</f>
        <v>12982.347</v>
      </c>
    </row>
    <row r="204">
      <c r="A204" t="str">
        <f>IFERROR(__xludf.DUMMYFUNCTION("""COMPUTED_VALUE"""),"Union européenne")</f>
        <v>Union européenne</v>
      </c>
      <c r="B204">
        <f>IFERROR(__xludf.DUMMYFUNCTION("""COMPUTED_VALUE"""),7272.116)</f>
        <v>7272.116</v>
      </c>
      <c r="C204">
        <f>IFERROR(__xludf.DUMMYFUNCTION("""COMPUTED_VALUE"""),7384.238)</f>
        <v>7384.238</v>
      </c>
      <c r="D204">
        <f>IFERROR(__xludf.DUMMYFUNCTION("""COMPUTED_VALUE"""),8068.121)</f>
        <v>8068.121</v>
      </c>
      <c r="E204">
        <f>IFERROR(__xludf.DUMMYFUNCTION("""COMPUTED_VALUE"""),9917.201)</f>
        <v>9917.201</v>
      </c>
      <c r="F204">
        <f>IFERROR(__xludf.DUMMYFUNCTION("""COMPUTED_VALUE"""),11400.428)</f>
        <v>11400.428</v>
      </c>
      <c r="G204">
        <f>IFERROR(__xludf.DUMMYFUNCTION("""COMPUTED_VALUE"""),11902.764)</f>
        <v>11902.764</v>
      </c>
      <c r="H204">
        <f>IFERROR(__xludf.DUMMYFUNCTION("""COMPUTED_VALUE"""),12700.44)</f>
        <v>12700.44</v>
      </c>
      <c r="I204">
        <f>IFERROR(__xludf.DUMMYFUNCTION("""COMPUTED_VALUE"""),14719.914)</f>
        <v>14719.914</v>
      </c>
      <c r="J204">
        <f>IFERROR(__xludf.DUMMYFUNCTION("""COMPUTED_VALUE"""),16292.162)</f>
        <v>16292.162</v>
      </c>
      <c r="K204">
        <f>IFERROR(__xludf.DUMMYFUNCTION("""COMPUTED_VALUE"""),14749.561)</f>
        <v>14749.561</v>
      </c>
    </row>
    <row r="205">
      <c r="A205" t="str">
        <f>IFERROR(__xludf.DUMMYFUNCTION("""COMPUTED_VALUE"""),"Monde")</f>
        <v>Monde</v>
      </c>
      <c r="B205">
        <f>IFERROR(__xludf.DUMMYFUNCTION("""COMPUTED_VALUE"""),34103.065)</f>
        <v>34103.065</v>
      </c>
      <c r="C205">
        <f>IFERROR(__xludf.DUMMYFUNCTION("""COMPUTED_VALUE"""),33857.249)</f>
        <v>33857.249</v>
      </c>
      <c r="D205">
        <f>IFERROR(__xludf.DUMMYFUNCTION("""COMPUTED_VALUE"""),34969.164)</f>
        <v>34969.164</v>
      </c>
      <c r="E205">
        <f>IFERROR(__xludf.DUMMYFUNCTION("""COMPUTED_VALUE"""),39261.866)</f>
        <v>39261.866</v>
      </c>
      <c r="F205">
        <f>IFERROR(__xludf.DUMMYFUNCTION("""COMPUTED_VALUE"""),44190.886)</f>
        <v>44190.886</v>
      </c>
      <c r="G205">
        <f>IFERROR(__xludf.DUMMYFUNCTION("""COMPUTED_VALUE"""),47868.243)</f>
        <v>47868.243</v>
      </c>
      <c r="H205">
        <f>IFERROR(__xludf.DUMMYFUNCTION("""COMPUTED_VALUE"""),51832.937)</f>
        <v>51832.937</v>
      </c>
      <c r="I205">
        <f>IFERROR(__xludf.DUMMYFUNCTION("""COMPUTED_VALUE"""),58516.949)</f>
        <v>58516.949</v>
      </c>
      <c r="J205">
        <f>IFERROR(__xludf.DUMMYFUNCTION("""COMPUTED_VALUE"""),64226.136)</f>
        <v>64226.136</v>
      </c>
      <c r="K205">
        <f>IFERROR(__xludf.DUMMYFUNCTION("""COMPUTED_VALUE"""),60820.729)</f>
        <v>60820.729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IFERROR(__xludf.DUMMYFUNCTION("IMPORTHTML(""https://fr.wikipedia.org/wiki/Biathlon_aux_Jeux_olympiques"",""table"",17)"),"Rang")</f>
        <v>Rang</v>
      </c>
      <c r="B1" t="str">
        <f>IFERROR(__xludf.DUMMYFUNCTION("""COMPUTED_VALUE"""),"Biathlete")</f>
        <v>Biathlete</v>
      </c>
      <c r="C1" t="str">
        <f>IFERROR(__xludf.DUMMYFUNCTION("""COMPUTED_VALUE"""),"Pays")</f>
        <v>Pays</v>
      </c>
      <c r="D1" t="str">
        <f>IFERROR(__xludf.DUMMYFUNCTION("""COMPUTED_VALUE"""),"De *")</f>
        <v>De *</v>
      </c>
      <c r="E1" t="str">
        <f>IFERROR(__xludf.DUMMYFUNCTION("""COMPUTED_VALUE"""),"À *")</f>
        <v>À *</v>
      </c>
      <c r="F1" t="str">
        <f>IFERROR(__xludf.DUMMYFUNCTION("""COMPUTED_VALUE"""),"Or")</f>
        <v>Or</v>
      </c>
      <c r="G1" t="str">
        <f>IFERROR(__xludf.DUMMYFUNCTION("""COMPUTED_VALUE"""),"Argent")</f>
        <v>Argent</v>
      </c>
      <c r="H1" t="str">
        <f>IFERROR(__xludf.DUMMYFUNCTION("""COMPUTED_VALUE"""),"Bronze")</f>
        <v>Bronze</v>
      </c>
      <c r="I1" t="str">
        <f>IFERROR(__xludf.DUMMYFUNCTION("""COMPUTED_VALUE"""),"Total")</f>
        <v>Total</v>
      </c>
    </row>
    <row r="2">
      <c r="A2">
        <f>IFERROR(__xludf.DUMMYFUNCTION("""COMPUTED_VALUE"""),1.0)</f>
        <v>1</v>
      </c>
      <c r="B2" t="str">
        <f>IFERROR(__xludf.DUMMYFUNCTION("""COMPUTED_VALUE"""),"Ole Einar Bjørndalen")</f>
        <v>Ole Einar Bjørndalen</v>
      </c>
      <c r="C2" t="str">
        <f>IFERROR(__xludf.DUMMYFUNCTION("""COMPUTED_VALUE"""),"Norvège")</f>
        <v>Norvège</v>
      </c>
      <c r="D2">
        <f>IFERROR(__xludf.DUMMYFUNCTION("""COMPUTED_VALUE"""),1998.0)</f>
        <v>1998</v>
      </c>
      <c r="E2">
        <f>IFERROR(__xludf.DUMMYFUNCTION("""COMPUTED_VALUE"""),2014.0)</f>
        <v>2014</v>
      </c>
      <c r="F2" t="str">
        <f>IFERROR(__xludf.DUMMYFUNCTION("""COMPUTED_VALUE"""),"*8*")</f>
        <v>*8*</v>
      </c>
      <c r="G2">
        <f>IFERROR(__xludf.DUMMYFUNCTION("""COMPUTED_VALUE"""),4.0)</f>
        <v>4</v>
      </c>
      <c r="H2">
        <f>IFERROR(__xludf.DUMMYFUNCTION("""COMPUTED_VALUE"""),2.0)</f>
        <v>2</v>
      </c>
      <c r="I2" t="str">
        <f>IFERROR(__xludf.DUMMYFUNCTION("""COMPUTED_VALUE"""),"*14*")</f>
        <v>*14*</v>
      </c>
    </row>
    <row r="3">
      <c r="A3">
        <f>IFERROR(__xludf.DUMMYFUNCTION("""COMPUTED_VALUE"""),2.0)</f>
        <v>2</v>
      </c>
      <c r="B3" t="str">
        <f>IFERROR(__xludf.DUMMYFUNCTION("""COMPUTED_VALUE"""),"Martin Fourcade")</f>
        <v>Martin Fourcade</v>
      </c>
      <c r="C3" t="str">
        <f>IFERROR(__xludf.DUMMYFUNCTION("""COMPUTED_VALUE"""),"France")</f>
        <v>France</v>
      </c>
      <c r="D3">
        <f>IFERROR(__xludf.DUMMYFUNCTION("""COMPUTED_VALUE"""),2010.0)</f>
        <v>2010</v>
      </c>
      <c r="E3">
        <f>IFERROR(__xludf.DUMMYFUNCTION("""COMPUTED_VALUE"""),2018.0)</f>
        <v>2018</v>
      </c>
      <c r="F3">
        <f>IFERROR(__xludf.DUMMYFUNCTION("""COMPUTED_VALUE"""),6.0)</f>
        <v>6</v>
      </c>
      <c r="G3">
        <f>IFERROR(__xludf.DUMMYFUNCTION("""COMPUTED_VALUE"""),1.0)</f>
        <v>1</v>
      </c>
      <c r="H3" t="str">
        <f>IFERROR(__xludf.DUMMYFUNCTION("""COMPUTED_VALUE"""),"-")</f>
        <v>-</v>
      </c>
      <c r="I3">
        <f>IFERROR(__xludf.DUMMYFUNCTION("""COMPUTED_VALUE"""),7.0)</f>
        <v>7</v>
      </c>
    </row>
    <row r="4">
      <c r="A4">
        <f>IFERROR(__xludf.DUMMYFUNCTION("""COMPUTED_VALUE"""),3.0)</f>
        <v>3</v>
      </c>
      <c r="B4" t="str">
        <f>IFERROR(__xludf.DUMMYFUNCTION("""COMPUTED_VALUE"""),"Johannes Thingnes Bø")</f>
        <v>Johannes Thingnes Bø</v>
      </c>
      <c r="C4" t="str">
        <f>IFERROR(__xludf.DUMMYFUNCTION("""COMPUTED_VALUE"""),"Norvège")</f>
        <v>Norvège</v>
      </c>
      <c r="D4">
        <f>IFERROR(__xludf.DUMMYFUNCTION("""COMPUTED_VALUE"""),2014.0)</f>
        <v>2014</v>
      </c>
      <c r="E4">
        <f>IFERROR(__xludf.DUMMYFUNCTION("""COMPUTED_VALUE"""),2022.0)</f>
        <v>2022</v>
      </c>
      <c r="F4">
        <f>IFERROR(__xludf.DUMMYFUNCTION("""COMPUTED_VALUE"""),5.0)</f>
        <v>5</v>
      </c>
      <c r="G4">
        <f>IFERROR(__xludf.DUMMYFUNCTION("""COMPUTED_VALUE"""),2.0)</f>
        <v>2</v>
      </c>
      <c r="H4">
        <f>IFERROR(__xludf.DUMMYFUNCTION("""COMPUTED_VALUE"""),2.0)</f>
        <v>2</v>
      </c>
      <c r="I4">
        <f>IFERROR(__xludf.DUMMYFUNCTION("""COMPUTED_VALUE"""),9.0)</f>
        <v>9</v>
      </c>
    </row>
    <row r="5">
      <c r="A5">
        <f>IFERROR(__xludf.DUMMYFUNCTION("""COMPUTED_VALUE"""),4.0)</f>
        <v>4</v>
      </c>
      <c r="B5" t="str">
        <f>IFERROR(__xludf.DUMMYFUNCTION("""COMPUTED_VALUE"""),"Emil Hegle Svendsen")</f>
        <v>Emil Hegle Svendsen</v>
      </c>
      <c r="C5" t="str">
        <f>IFERROR(__xludf.DUMMYFUNCTION("""COMPUTED_VALUE"""),"Norvège")</f>
        <v>Norvège</v>
      </c>
      <c r="D5">
        <f>IFERROR(__xludf.DUMMYFUNCTION("""COMPUTED_VALUE"""),2010.0)</f>
        <v>2010</v>
      </c>
      <c r="E5">
        <f>IFERROR(__xludf.DUMMYFUNCTION("""COMPUTED_VALUE"""),2018.0)</f>
        <v>2018</v>
      </c>
      <c r="F5">
        <f>IFERROR(__xludf.DUMMYFUNCTION("""COMPUTED_VALUE"""),4.0)</f>
        <v>4</v>
      </c>
      <c r="G5">
        <f>IFERROR(__xludf.DUMMYFUNCTION("""COMPUTED_VALUE"""),3.0)</f>
        <v>3</v>
      </c>
      <c r="H5">
        <f>IFERROR(__xludf.DUMMYFUNCTION("""COMPUTED_VALUE"""),2.0)</f>
        <v>2</v>
      </c>
      <c r="I5">
        <f>IFERROR(__xludf.DUMMYFUNCTION("""COMPUTED_VALUE"""),9.0)</f>
        <v>9</v>
      </c>
    </row>
    <row r="6">
      <c r="A6">
        <f>IFERROR(__xludf.DUMMYFUNCTION("""COMPUTED_VALUE"""),5.0)</f>
        <v>5</v>
      </c>
      <c r="B6" t="str">
        <f>IFERROR(__xludf.DUMMYFUNCTION("""COMPUTED_VALUE"""),"Ricco Groß")</f>
        <v>Ricco Groß</v>
      </c>
      <c r="C6" t="str">
        <f>IFERROR(__xludf.DUMMYFUNCTION("""COMPUTED_VALUE"""),"Allemagne")</f>
        <v>Allemagne</v>
      </c>
      <c r="D6">
        <f>IFERROR(__xludf.DUMMYFUNCTION("""COMPUTED_VALUE"""),1992.0)</f>
        <v>1992</v>
      </c>
      <c r="E6">
        <f>IFERROR(__xludf.DUMMYFUNCTION("""COMPUTED_VALUE"""),2006.0)</f>
        <v>2006</v>
      </c>
      <c r="F6">
        <f>IFERROR(__xludf.DUMMYFUNCTION("""COMPUTED_VALUE"""),4.0)</f>
        <v>4</v>
      </c>
      <c r="G6">
        <f>IFERROR(__xludf.DUMMYFUNCTION("""COMPUTED_VALUE"""),3.0)</f>
        <v>3</v>
      </c>
      <c r="H6">
        <f>IFERROR(__xludf.DUMMYFUNCTION("""COMPUTED_VALUE"""),1.0)</f>
        <v>1</v>
      </c>
      <c r="I6">
        <f>IFERROR(__xludf.DUMMYFUNCTION("""COMPUTED_VALUE"""),8.0)</f>
        <v>8</v>
      </c>
    </row>
    <row r="7">
      <c r="A7">
        <f>IFERROR(__xludf.DUMMYFUNCTION("""COMPUTED_VALUE"""),6.0)</f>
        <v>6</v>
      </c>
      <c r="B7" t="str">
        <f>IFERROR(__xludf.DUMMYFUNCTION("""COMPUTED_VALUE"""),"Sven Fischer")</f>
        <v>Sven Fischer</v>
      </c>
      <c r="C7" t="str">
        <f>IFERROR(__xludf.DUMMYFUNCTION("""COMPUTED_VALUE"""),"Allemagne")</f>
        <v>Allemagne</v>
      </c>
      <c r="D7">
        <f>IFERROR(__xludf.DUMMYFUNCTION("""COMPUTED_VALUE"""),1994.0)</f>
        <v>1994</v>
      </c>
      <c r="E7">
        <f>IFERROR(__xludf.DUMMYFUNCTION("""COMPUTED_VALUE"""),2006.0)</f>
        <v>2006</v>
      </c>
      <c r="F7">
        <f>IFERROR(__xludf.DUMMYFUNCTION("""COMPUTED_VALUE"""),4.0)</f>
        <v>4</v>
      </c>
      <c r="G7">
        <f>IFERROR(__xludf.DUMMYFUNCTION("""COMPUTED_VALUE"""),2.0)</f>
        <v>2</v>
      </c>
      <c r="H7">
        <f>IFERROR(__xludf.DUMMYFUNCTION("""COMPUTED_VALUE"""),2.0)</f>
        <v>2</v>
      </c>
      <c r="I7">
        <f>IFERROR(__xludf.DUMMYFUNCTION("""COMPUTED_VALUE"""),8.0)</f>
        <v>8</v>
      </c>
    </row>
    <row r="8">
      <c r="A8">
        <f>IFERROR(__xludf.DUMMYFUNCTION("""COMPUTED_VALUE"""),7.0)</f>
        <v>7</v>
      </c>
      <c r="B8" t="str">
        <f>IFERROR(__xludf.DUMMYFUNCTION("""COMPUTED_VALUE"""),"Alexandre Tikhonov")</f>
        <v>Alexandre Tikhonov</v>
      </c>
      <c r="C8" t="str">
        <f>IFERROR(__xludf.DUMMYFUNCTION("""COMPUTED_VALUE"""),"Union soviétique")</f>
        <v>Union soviétique</v>
      </c>
      <c r="D8">
        <f>IFERROR(__xludf.DUMMYFUNCTION("""COMPUTED_VALUE"""),1968.0)</f>
        <v>1968</v>
      </c>
      <c r="E8">
        <f>IFERROR(__xludf.DUMMYFUNCTION("""COMPUTED_VALUE"""),1980.0)</f>
        <v>1980</v>
      </c>
      <c r="F8">
        <f>IFERROR(__xludf.DUMMYFUNCTION("""COMPUTED_VALUE"""),4.0)</f>
        <v>4</v>
      </c>
      <c r="G8">
        <f>IFERROR(__xludf.DUMMYFUNCTION("""COMPUTED_VALUE"""),1.0)</f>
        <v>1</v>
      </c>
      <c r="H8" t="str">
        <f>IFERROR(__xludf.DUMMYFUNCTION("""COMPUTED_VALUE"""),"-")</f>
        <v>-</v>
      </c>
      <c r="I8">
        <f>IFERROR(__xludf.DUMMYFUNCTION("""COMPUTED_VALUE"""),5.0)</f>
        <v>5</v>
      </c>
    </row>
    <row r="9">
      <c r="A9">
        <f>IFERROR(__xludf.DUMMYFUNCTION("""COMPUTED_VALUE"""),8.0)</f>
        <v>8</v>
      </c>
      <c r="B9" t="str">
        <f>IFERROR(__xludf.DUMMYFUNCTION("""COMPUTED_VALUE"""),"Tarjei Bø")</f>
        <v>Tarjei Bø</v>
      </c>
      <c r="C9" t="str">
        <f>IFERROR(__xludf.DUMMYFUNCTION("""COMPUTED_VALUE"""),"Norvège")</f>
        <v>Norvège</v>
      </c>
      <c r="D9">
        <f>IFERROR(__xludf.DUMMYFUNCTION("""COMPUTED_VALUE"""),2010.0)</f>
        <v>2010</v>
      </c>
      <c r="E9">
        <f>IFERROR(__xludf.DUMMYFUNCTION("""COMPUTED_VALUE"""),2022.0)</f>
        <v>2022</v>
      </c>
      <c r="F9">
        <f>IFERROR(__xludf.DUMMYFUNCTION("""COMPUTED_VALUE"""),3.0)</f>
        <v>3</v>
      </c>
      <c r="G9">
        <f>IFERROR(__xludf.DUMMYFUNCTION("""COMPUTED_VALUE"""),2.0)</f>
        <v>2</v>
      </c>
      <c r="H9">
        <f>IFERROR(__xludf.DUMMYFUNCTION("""COMPUTED_VALUE"""),2.0)</f>
        <v>2</v>
      </c>
      <c r="I9">
        <f>IFERROR(__xludf.DUMMYFUNCTION("""COMPUTED_VALUE"""),7.0)</f>
        <v>7</v>
      </c>
    </row>
    <row r="10">
      <c r="A10">
        <f>IFERROR(__xludf.DUMMYFUNCTION("""COMPUTED_VALUE"""),9.0)</f>
        <v>9</v>
      </c>
      <c r="B10" t="str">
        <f>IFERROR(__xludf.DUMMYFUNCTION("""COMPUTED_VALUE"""),"Halvard Hanevold")</f>
        <v>Halvard Hanevold</v>
      </c>
      <c r="C10" t="str">
        <f>IFERROR(__xludf.DUMMYFUNCTION("""COMPUTED_VALUE"""),"Norvège")</f>
        <v>Norvège</v>
      </c>
      <c r="D10">
        <f>IFERROR(__xludf.DUMMYFUNCTION("""COMPUTED_VALUE"""),1998.0)</f>
        <v>1998</v>
      </c>
      <c r="E10">
        <f>IFERROR(__xludf.DUMMYFUNCTION("""COMPUTED_VALUE"""),2010.0)</f>
        <v>2010</v>
      </c>
      <c r="F10">
        <f>IFERROR(__xludf.DUMMYFUNCTION("""COMPUTED_VALUE"""),3.0)</f>
        <v>3</v>
      </c>
      <c r="G10">
        <f>IFERROR(__xludf.DUMMYFUNCTION("""COMPUTED_VALUE"""),2.0)</f>
        <v>2</v>
      </c>
      <c r="H10">
        <f>IFERROR(__xludf.DUMMYFUNCTION("""COMPUTED_VALUE"""),1.0)</f>
        <v>1</v>
      </c>
      <c r="I10">
        <f>IFERROR(__xludf.DUMMYFUNCTION("""COMPUTED_VALUE"""),6.0)</f>
        <v>6</v>
      </c>
    </row>
    <row r="11">
      <c r="A11">
        <f>IFERROR(__xludf.DUMMYFUNCTION("""COMPUTED_VALUE"""),10.0)</f>
        <v>10</v>
      </c>
      <c r="B11" t="str">
        <f>IFERROR(__xludf.DUMMYFUNCTION("""COMPUTED_VALUE"""),"Mark Kirchner")</f>
        <v>Mark Kirchner</v>
      </c>
      <c r="C11" t="str">
        <f>IFERROR(__xludf.DUMMYFUNCTION("""COMPUTED_VALUE"""),"Allemagne")</f>
        <v>Allemagne</v>
      </c>
      <c r="D11">
        <f>IFERROR(__xludf.DUMMYFUNCTION("""COMPUTED_VALUE"""),1992.0)</f>
        <v>1992</v>
      </c>
      <c r="E11">
        <f>IFERROR(__xludf.DUMMYFUNCTION("""COMPUTED_VALUE"""),1994.0)</f>
        <v>1994</v>
      </c>
      <c r="F11">
        <f>IFERROR(__xludf.DUMMYFUNCTION("""COMPUTED_VALUE"""),3.0)</f>
        <v>3</v>
      </c>
      <c r="G11">
        <f>IFERROR(__xludf.DUMMYFUNCTION("""COMPUTED_VALUE"""),1.0)</f>
        <v>1</v>
      </c>
      <c r="H11" t="str">
        <f>IFERROR(__xludf.DUMMYFUNCTION("""COMPUTED_VALUE"""),"-")</f>
        <v>-</v>
      </c>
      <c r="I11">
        <f>IFERROR(__xludf.DUMMYFUNCTION("""COMPUTED_VALUE"""),4.0)</f>
        <v>4</v>
      </c>
    </row>
    <row r="12">
      <c r="A12">
        <f>IFERROR(__xludf.DUMMYFUNCTION("""COMPUTED_VALUE"""),11.0)</f>
        <v>11</v>
      </c>
      <c r="B12" t="str">
        <f>IFERROR(__xludf.DUMMYFUNCTION("""COMPUTED_VALUE"""),"*Quentin Fillon Maillet*")</f>
        <v>*Quentin Fillon Maillet*</v>
      </c>
      <c r="C12" t="str">
        <f>IFERROR(__xludf.DUMMYFUNCTION("""COMPUTED_VALUE"""),"France")</f>
        <v>France</v>
      </c>
      <c r="D12">
        <f>IFERROR(__xludf.DUMMYFUNCTION("""COMPUTED_VALUE"""),2018.0)</f>
        <v>2018</v>
      </c>
      <c r="E12">
        <f>IFERROR(__xludf.DUMMYFUNCTION("""COMPUTED_VALUE"""),2022.0)</f>
        <v>2022</v>
      </c>
      <c r="F12">
        <f>IFERROR(__xludf.DUMMYFUNCTION("""COMPUTED_VALUE"""),2.0)</f>
        <v>2</v>
      </c>
      <c r="G12">
        <f>IFERROR(__xludf.DUMMYFUNCTION("""COMPUTED_VALUE"""),3.0)</f>
        <v>3</v>
      </c>
      <c r="H12" t="str">
        <f>IFERROR(__xludf.DUMMYFUNCTION("""COMPUTED_VALUE"""),"-")</f>
        <v>-</v>
      </c>
      <c r="I12">
        <f>IFERROR(__xludf.DUMMYFUNCTION("""COMPUTED_VALUE"""),5.0)</f>
        <v>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 t="s">
        <v>0</v>
      </c>
      <c r="B2" s="6" t="s">
        <v>1</v>
      </c>
      <c r="C2" s="6" t="s">
        <v>2</v>
      </c>
      <c r="D2" s="6" t="s">
        <v>3</v>
      </c>
      <c r="E2" s="6" t="s">
        <v>4</v>
      </c>
      <c r="F2" s="6" t="s">
        <v>5</v>
      </c>
      <c r="G2" s="6" t="s">
        <v>6</v>
      </c>
      <c r="H2" s="6" t="s">
        <v>7</v>
      </c>
    </row>
    <row r="3">
      <c r="A3" s="6" t="s">
        <v>8</v>
      </c>
      <c r="B3" s="6" t="s">
        <v>9</v>
      </c>
      <c r="C3" s="6" t="s">
        <v>10</v>
      </c>
      <c r="D3" s="6" t="s">
        <v>11</v>
      </c>
      <c r="E3" s="7">
        <v>44018.0</v>
      </c>
      <c r="F3" s="6" t="s">
        <v>12</v>
      </c>
      <c r="G3" s="8" t="s">
        <v>13</v>
      </c>
      <c r="H3" s="8" t="s">
        <v>13</v>
      </c>
    </row>
    <row r="4">
      <c r="A4" s="6" t="s">
        <v>8</v>
      </c>
      <c r="B4" s="6" t="s">
        <v>9</v>
      </c>
      <c r="C4" s="6" t="s">
        <v>14</v>
      </c>
      <c r="D4" s="6" t="s">
        <v>15</v>
      </c>
      <c r="E4" s="7">
        <v>44018.0</v>
      </c>
      <c r="F4" s="6" t="s">
        <v>12</v>
      </c>
      <c r="G4" s="8" t="s">
        <v>16</v>
      </c>
      <c r="H4" s="8" t="s">
        <v>16</v>
      </c>
    </row>
    <row r="5">
      <c r="A5" s="6" t="s">
        <v>8</v>
      </c>
      <c r="B5" s="6" t="s">
        <v>9</v>
      </c>
      <c r="C5" s="6" t="s">
        <v>17</v>
      </c>
      <c r="D5" s="6" t="s">
        <v>18</v>
      </c>
      <c r="E5" s="7">
        <v>44015.0</v>
      </c>
      <c r="F5" s="6" t="s">
        <v>12</v>
      </c>
      <c r="G5" s="8" t="s">
        <v>19</v>
      </c>
      <c r="H5" s="8" t="s">
        <v>19</v>
      </c>
    </row>
    <row r="6">
      <c r="A6" s="6" t="s">
        <v>8</v>
      </c>
      <c r="B6" s="6" t="s">
        <v>9</v>
      </c>
      <c r="C6" s="6" t="s">
        <v>20</v>
      </c>
      <c r="D6" s="6" t="s">
        <v>21</v>
      </c>
      <c r="E6" s="7">
        <v>44015.0</v>
      </c>
      <c r="F6" s="6" t="s">
        <v>12</v>
      </c>
      <c r="G6" s="8" t="s">
        <v>22</v>
      </c>
      <c r="H6" s="8" t="s">
        <v>22</v>
      </c>
    </row>
    <row r="7">
      <c r="A7" s="6" t="s">
        <v>8</v>
      </c>
      <c r="B7" s="6" t="s">
        <v>9</v>
      </c>
      <c r="C7" s="6" t="s">
        <v>23</v>
      </c>
      <c r="D7" s="6" t="s">
        <v>24</v>
      </c>
      <c r="E7" s="7">
        <v>44015.0</v>
      </c>
      <c r="F7" s="6" t="s">
        <v>12</v>
      </c>
      <c r="G7" s="8" t="s">
        <v>25</v>
      </c>
      <c r="H7" s="8" t="s">
        <v>25</v>
      </c>
    </row>
    <row r="8">
      <c r="A8" s="6" t="s">
        <v>8</v>
      </c>
      <c r="B8" s="6" t="s">
        <v>9</v>
      </c>
      <c r="C8" s="6" t="s">
        <v>26</v>
      </c>
      <c r="D8" s="6" t="s">
        <v>27</v>
      </c>
      <c r="E8" s="7">
        <v>44015.0</v>
      </c>
      <c r="F8" s="6" t="s">
        <v>12</v>
      </c>
      <c r="G8" s="8" t="s">
        <v>28</v>
      </c>
      <c r="H8" s="8" t="s">
        <v>28</v>
      </c>
    </row>
    <row r="9">
      <c r="A9" s="6" t="s">
        <v>8</v>
      </c>
      <c r="B9" s="6" t="s">
        <v>9</v>
      </c>
      <c r="C9" s="6" t="s">
        <v>29</v>
      </c>
      <c r="D9" s="6" t="s">
        <v>30</v>
      </c>
      <c r="E9" s="7">
        <v>44020.0</v>
      </c>
      <c r="F9" s="6" t="s">
        <v>12</v>
      </c>
      <c r="G9" s="8" t="s">
        <v>31</v>
      </c>
      <c r="H9" s="8" t="s">
        <v>31</v>
      </c>
    </row>
    <row r="10">
      <c r="A10" s="6" t="s">
        <v>8</v>
      </c>
      <c r="B10" s="6" t="s">
        <v>9</v>
      </c>
      <c r="C10" s="6" t="s">
        <v>32</v>
      </c>
      <c r="D10" s="6" t="s">
        <v>33</v>
      </c>
      <c r="E10" s="7">
        <v>44025.0</v>
      </c>
      <c r="F10" s="6" t="s">
        <v>12</v>
      </c>
      <c r="G10" s="8" t="s">
        <v>34</v>
      </c>
      <c r="H10" s="8" t="s">
        <v>34</v>
      </c>
    </row>
    <row r="11">
      <c r="A11" s="6" t="s">
        <v>8</v>
      </c>
      <c r="B11" s="6" t="s">
        <v>9</v>
      </c>
      <c r="C11" s="6" t="s">
        <v>35</v>
      </c>
      <c r="D11" s="6" t="s">
        <v>36</v>
      </c>
      <c r="E11" s="7">
        <v>44028.0</v>
      </c>
      <c r="F11" s="6" t="s">
        <v>12</v>
      </c>
      <c r="G11" s="8" t="s">
        <v>37</v>
      </c>
      <c r="H11" s="8" t="s">
        <v>37</v>
      </c>
    </row>
    <row r="12">
      <c r="A12" s="6" t="s">
        <v>8</v>
      </c>
      <c r="B12" s="6" t="s">
        <v>9</v>
      </c>
      <c r="C12" s="6" t="s">
        <v>38</v>
      </c>
      <c r="D12" s="6" t="s">
        <v>39</v>
      </c>
      <c r="E12" s="7">
        <v>44021.0</v>
      </c>
      <c r="F12" s="6" t="s">
        <v>12</v>
      </c>
      <c r="G12" s="8" t="s">
        <v>40</v>
      </c>
      <c r="H12" s="8" t="s">
        <v>40</v>
      </c>
    </row>
    <row r="13">
      <c r="A13" s="6" t="s">
        <v>8</v>
      </c>
      <c r="B13" s="6" t="s">
        <v>9</v>
      </c>
      <c r="C13" s="6" t="s">
        <v>41</v>
      </c>
      <c r="D13" s="6" t="s">
        <v>42</v>
      </c>
      <c r="E13" s="7">
        <v>44021.0</v>
      </c>
      <c r="F13" s="6" t="s">
        <v>12</v>
      </c>
      <c r="G13" s="8" t="s">
        <v>43</v>
      </c>
      <c r="H13" s="8" t="s">
        <v>43</v>
      </c>
    </row>
    <row r="14">
      <c r="A14" s="6" t="s">
        <v>8</v>
      </c>
      <c r="B14" s="6" t="s">
        <v>9</v>
      </c>
      <c r="C14" s="6" t="s">
        <v>44</v>
      </c>
      <c r="D14" s="6" t="s">
        <v>45</v>
      </c>
      <c r="E14" s="7">
        <v>44025.0</v>
      </c>
      <c r="F14" s="6" t="s">
        <v>12</v>
      </c>
      <c r="G14" s="8" t="s">
        <v>46</v>
      </c>
      <c r="H14" s="8" t="s">
        <v>46</v>
      </c>
    </row>
    <row r="15">
      <c r="A15" s="6" t="s">
        <v>8</v>
      </c>
      <c r="B15" s="6" t="s">
        <v>9</v>
      </c>
      <c r="C15" s="6" t="s">
        <v>47</v>
      </c>
      <c r="D15" s="6" t="s">
        <v>48</v>
      </c>
      <c r="E15" s="7">
        <v>44036.0</v>
      </c>
      <c r="F15" s="6" t="s">
        <v>12</v>
      </c>
      <c r="G15" s="8" t="s">
        <v>49</v>
      </c>
      <c r="H15" s="8" t="s">
        <v>49</v>
      </c>
    </row>
    <row r="16">
      <c r="A16" s="6" t="s">
        <v>8</v>
      </c>
      <c r="B16" s="6" t="s">
        <v>9</v>
      </c>
      <c r="C16" s="6" t="s">
        <v>50</v>
      </c>
      <c r="D16" s="6" t="s">
        <v>51</v>
      </c>
      <c r="E16" s="7">
        <v>44036.0</v>
      </c>
      <c r="F16" s="6" t="s">
        <v>12</v>
      </c>
      <c r="G16" s="8" t="s">
        <v>52</v>
      </c>
      <c r="H16" s="8" t="s">
        <v>52</v>
      </c>
    </row>
    <row r="17">
      <c r="A17" s="6" t="s">
        <v>8</v>
      </c>
      <c r="B17" s="6" t="s">
        <v>9</v>
      </c>
      <c r="C17" s="6" t="s">
        <v>53</v>
      </c>
      <c r="D17" s="6" t="s">
        <v>54</v>
      </c>
      <c r="E17" s="7">
        <v>44036.0</v>
      </c>
      <c r="F17" s="6" t="s">
        <v>12</v>
      </c>
      <c r="G17" s="8" t="s">
        <v>55</v>
      </c>
      <c r="H17" s="8" t="s">
        <v>55</v>
      </c>
    </row>
    <row r="18">
      <c r="A18" s="6" t="s">
        <v>8</v>
      </c>
      <c r="B18" s="6" t="s">
        <v>9</v>
      </c>
      <c r="C18" s="6" t="s">
        <v>56</v>
      </c>
      <c r="D18" s="6" t="s">
        <v>57</v>
      </c>
      <c r="E18" s="7">
        <v>44036.0</v>
      </c>
      <c r="F18" s="6" t="s">
        <v>12</v>
      </c>
      <c r="G18" s="8" t="s">
        <v>58</v>
      </c>
      <c r="H18" s="8" t="s">
        <v>58</v>
      </c>
    </row>
    <row r="19">
      <c r="A19" s="6" t="s">
        <v>8</v>
      </c>
      <c r="B19" s="6" t="s">
        <v>9</v>
      </c>
      <c r="C19" s="6" t="s">
        <v>59</v>
      </c>
      <c r="D19" s="6" t="s">
        <v>60</v>
      </c>
      <c r="E19" s="7">
        <v>44036.0</v>
      </c>
      <c r="F19" s="6" t="s">
        <v>12</v>
      </c>
      <c r="G19" s="8" t="s">
        <v>61</v>
      </c>
      <c r="H19" s="8" t="s">
        <v>61</v>
      </c>
    </row>
    <row r="20">
      <c r="A20" s="6" t="s">
        <v>8</v>
      </c>
      <c r="B20" s="6" t="s">
        <v>9</v>
      </c>
      <c r="C20" s="6" t="s">
        <v>62</v>
      </c>
      <c r="D20" s="6" t="s">
        <v>63</v>
      </c>
      <c r="E20" s="7">
        <v>44036.0</v>
      </c>
      <c r="F20" s="6" t="s">
        <v>12</v>
      </c>
      <c r="G20" s="8" t="s">
        <v>64</v>
      </c>
      <c r="H20" s="8" t="s">
        <v>64</v>
      </c>
    </row>
    <row r="21">
      <c r="A21" s="6" t="s">
        <v>8</v>
      </c>
      <c r="B21" s="6" t="s">
        <v>9</v>
      </c>
      <c r="C21" s="6" t="s">
        <v>65</v>
      </c>
      <c r="D21" s="6" t="s">
        <v>66</v>
      </c>
      <c r="E21" s="7">
        <v>44036.0</v>
      </c>
      <c r="F21" s="6" t="s">
        <v>12</v>
      </c>
      <c r="G21" s="8" t="s">
        <v>67</v>
      </c>
      <c r="H21" s="8" t="s">
        <v>67</v>
      </c>
    </row>
    <row r="22">
      <c r="A22" s="6" t="s">
        <v>8</v>
      </c>
      <c r="B22" s="6" t="s">
        <v>9</v>
      </c>
      <c r="C22" s="6" t="s">
        <v>68</v>
      </c>
      <c r="D22" s="6" t="s">
        <v>69</v>
      </c>
      <c r="E22" s="7">
        <v>44036.0</v>
      </c>
      <c r="F22" s="6" t="s">
        <v>12</v>
      </c>
      <c r="G22" s="8" t="s">
        <v>70</v>
      </c>
      <c r="H22" s="8" t="s">
        <v>70</v>
      </c>
    </row>
    <row r="23">
      <c r="A23" s="6" t="s">
        <v>8</v>
      </c>
      <c r="B23" s="6" t="s">
        <v>9</v>
      </c>
      <c r="C23" s="6" t="s">
        <v>71</v>
      </c>
      <c r="D23" s="6" t="s">
        <v>72</v>
      </c>
      <c r="E23" s="7">
        <v>44036.0</v>
      </c>
      <c r="F23" s="6" t="s">
        <v>12</v>
      </c>
      <c r="G23" s="8" t="s">
        <v>73</v>
      </c>
      <c r="H23" s="8" t="s">
        <v>73</v>
      </c>
    </row>
    <row r="24">
      <c r="A24" s="6" t="s">
        <v>8</v>
      </c>
      <c r="B24" s="6" t="s">
        <v>9</v>
      </c>
      <c r="C24" s="6" t="s">
        <v>74</v>
      </c>
      <c r="D24" s="6" t="s">
        <v>75</v>
      </c>
      <c r="E24" s="7">
        <v>44036.0</v>
      </c>
      <c r="F24" s="6" t="s">
        <v>12</v>
      </c>
      <c r="G24" s="8" t="s">
        <v>76</v>
      </c>
      <c r="H24" s="8" t="s">
        <v>76</v>
      </c>
    </row>
    <row r="25">
      <c r="A25" s="6" t="s">
        <v>8</v>
      </c>
      <c r="B25" s="6" t="s">
        <v>9</v>
      </c>
      <c r="C25" s="6" t="s">
        <v>77</v>
      </c>
      <c r="D25" s="6" t="s">
        <v>78</v>
      </c>
      <c r="E25" s="7">
        <v>44036.0</v>
      </c>
      <c r="F25" s="6" t="s">
        <v>12</v>
      </c>
      <c r="G25" s="8" t="s">
        <v>79</v>
      </c>
      <c r="H25" s="8" t="s">
        <v>79</v>
      </c>
    </row>
    <row r="26">
      <c r="A26" s="6" t="s">
        <v>8</v>
      </c>
      <c r="B26" s="6" t="s">
        <v>9</v>
      </c>
      <c r="C26" s="6" t="s">
        <v>80</v>
      </c>
      <c r="D26" s="6" t="s">
        <v>81</v>
      </c>
      <c r="E26" s="7">
        <v>44036.0</v>
      </c>
      <c r="F26" s="6" t="s">
        <v>12</v>
      </c>
      <c r="G26" s="8" t="s">
        <v>82</v>
      </c>
      <c r="H26" s="8" t="s">
        <v>82</v>
      </c>
    </row>
    <row r="27">
      <c r="A27" s="6" t="s">
        <v>8</v>
      </c>
      <c r="B27" s="6" t="s">
        <v>9</v>
      </c>
      <c r="C27" s="6" t="s">
        <v>83</v>
      </c>
      <c r="D27" s="6" t="s">
        <v>84</v>
      </c>
      <c r="E27" s="7">
        <v>44036.0</v>
      </c>
      <c r="F27" s="6" t="s">
        <v>12</v>
      </c>
      <c r="G27" s="8" t="s">
        <v>85</v>
      </c>
      <c r="H27" s="8" t="s">
        <v>85</v>
      </c>
    </row>
    <row r="28">
      <c r="A28" s="6" t="s">
        <v>8</v>
      </c>
      <c r="B28" s="6" t="s">
        <v>9</v>
      </c>
      <c r="C28" s="6" t="s">
        <v>86</v>
      </c>
      <c r="D28" s="6" t="s">
        <v>87</v>
      </c>
      <c r="E28" s="7">
        <v>44036.0</v>
      </c>
      <c r="F28" s="6" t="s">
        <v>12</v>
      </c>
      <c r="G28" s="8" t="s">
        <v>88</v>
      </c>
      <c r="H28" s="8" t="s">
        <v>88</v>
      </c>
    </row>
    <row r="29">
      <c r="A29" s="6" t="s">
        <v>8</v>
      </c>
      <c r="B29" s="6" t="s">
        <v>9</v>
      </c>
      <c r="C29" s="6" t="s">
        <v>89</v>
      </c>
      <c r="D29" s="6" t="s">
        <v>90</v>
      </c>
      <c r="E29" s="7">
        <v>44036.0</v>
      </c>
      <c r="F29" s="6" t="s">
        <v>12</v>
      </c>
      <c r="G29" s="8" t="s">
        <v>91</v>
      </c>
      <c r="H29" s="8" t="s">
        <v>91</v>
      </c>
    </row>
    <row r="30">
      <c r="A30" s="6" t="s">
        <v>8</v>
      </c>
      <c r="B30" s="6" t="s">
        <v>9</v>
      </c>
      <c r="C30" s="6" t="s">
        <v>92</v>
      </c>
      <c r="D30" s="6" t="s">
        <v>93</v>
      </c>
      <c r="E30" s="7">
        <v>44036.0</v>
      </c>
      <c r="F30" s="6" t="s">
        <v>12</v>
      </c>
      <c r="G30" s="8" t="s">
        <v>94</v>
      </c>
      <c r="H30" s="8" t="s">
        <v>94</v>
      </c>
    </row>
    <row r="31">
      <c r="A31" s="6" t="s">
        <v>8</v>
      </c>
      <c r="B31" s="6" t="s">
        <v>9</v>
      </c>
      <c r="C31" s="6" t="s">
        <v>95</v>
      </c>
      <c r="D31" s="6" t="s">
        <v>96</v>
      </c>
      <c r="E31" s="7">
        <v>44032.0</v>
      </c>
      <c r="F31" s="6" t="s">
        <v>12</v>
      </c>
      <c r="G31" s="8" t="s">
        <v>97</v>
      </c>
      <c r="H31" s="8" t="s">
        <v>97</v>
      </c>
    </row>
    <row r="32">
      <c r="A32" s="6" t="s">
        <v>8</v>
      </c>
      <c r="B32" s="6" t="s">
        <v>9</v>
      </c>
      <c r="C32" s="6" t="s">
        <v>98</v>
      </c>
      <c r="D32" s="6" t="s">
        <v>99</v>
      </c>
      <c r="E32" s="7">
        <v>44039.0</v>
      </c>
      <c r="F32" s="6" t="s">
        <v>12</v>
      </c>
      <c r="G32" s="8" t="s">
        <v>100</v>
      </c>
      <c r="H32" s="8" t="s">
        <v>100</v>
      </c>
    </row>
    <row r="33">
      <c r="A33" s="6" t="s">
        <v>8</v>
      </c>
      <c r="B33" s="6" t="s">
        <v>9</v>
      </c>
      <c r="C33" s="6" t="s">
        <v>101</v>
      </c>
      <c r="D33" s="6" t="s">
        <v>102</v>
      </c>
      <c r="E33" s="7">
        <v>44039.0</v>
      </c>
      <c r="F33" s="6" t="s">
        <v>12</v>
      </c>
      <c r="G33" s="8" t="s">
        <v>103</v>
      </c>
      <c r="H33" s="8" t="s">
        <v>103</v>
      </c>
    </row>
    <row r="34">
      <c r="A34" s="6" t="s">
        <v>8</v>
      </c>
      <c r="B34" s="6" t="s">
        <v>9</v>
      </c>
      <c r="C34" s="6" t="s">
        <v>104</v>
      </c>
      <c r="D34" s="6" t="s">
        <v>105</v>
      </c>
      <c r="E34" s="7">
        <v>44039.0</v>
      </c>
      <c r="F34" s="6" t="s">
        <v>12</v>
      </c>
      <c r="G34" s="8" t="s">
        <v>106</v>
      </c>
      <c r="H34" s="8" t="s">
        <v>106</v>
      </c>
    </row>
    <row r="35">
      <c r="A35" s="6" t="s">
        <v>8</v>
      </c>
      <c r="B35" s="6" t="s">
        <v>9</v>
      </c>
      <c r="C35" s="6" t="s">
        <v>107</v>
      </c>
      <c r="D35" s="6" t="s">
        <v>108</v>
      </c>
      <c r="E35" s="7">
        <v>44039.0</v>
      </c>
      <c r="F35" s="6" t="s">
        <v>12</v>
      </c>
      <c r="G35" s="8" t="s">
        <v>109</v>
      </c>
      <c r="H35" s="8" t="s">
        <v>109</v>
      </c>
    </row>
    <row r="36">
      <c r="A36" s="6" t="s">
        <v>8</v>
      </c>
      <c r="B36" s="6" t="s">
        <v>9</v>
      </c>
      <c r="C36" s="6" t="s">
        <v>110</v>
      </c>
      <c r="D36" s="6" t="s">
        <v>111</v>
      </c>
      <c r="E36" s="7">
        <v>44039.0</v>
      </c>
      <c r="F36" s="6" t="s">
        <v>12</v>
      </c>
      <c r="G36" s="8" t="s">
        <v>112</v>
      </c>
      <c r="H36" s="8" t="s">
        <v>112</v>
      </c>
    </row>
    <row r="37">
      <c r="A37" s="6" t="s">
        <v>8</v>
      </c>
      <c r="B37" s="6" t="s">
        <v>9</v>
      </c>
      <c r="C37" s="6" t="s">
        <v>113</v>
      </c>
      <c r="D37" s="6" t="s">
        <v>114</v>
      </c>
      <c r="E37" s="7">
        <v>44039.0</v>
      </c>
      <c r="F37" s="6" t="s">
        <v>12</v>
      </c>
      <c r="G37" s="8" t="s">
        <v>115</v>
      </c>
      <c r="H37" s="8" t="s">
        <v>115</v>
      </c>
    </row>
    <row r="38">
      <c r="A38" s="6" t="s">
        <v>8</v>
      </c>
      <c r="B38" s="6" t="s">
        <v>9</v>
      </c>
      <c r="C38" s="6" t="s">
        <v>116</v>
      </c>
      <c r="D38" s="6" t="s">
        <v>117</v>
      </c>
      <c r="E38" s="7">
        <v>44039.0</v>
      </c>
      <c r="F38" s="6" t="s">
        <v>12</v>
      </c>
      <c r="G38" s="8" t="s">
        <v>118</v>
      </c>
      <c r="H38" s="8" t="s">
        <v>118</v>
      </c>
    </row>
    <row r="39">
      <c r="A39" s="6" t="s">
        <v>8</v>
      </c>
      <c r="B39" s="6" t="s">
        <v>9</v>
      </c>
      <c r="C39" s="6" t="s">
        <v>119</v>
      </c>
      <c r="D39" s="6" t="s">
        <v>120</v>
      </c>
      <c r="E39" s="7">
        <v>44039.0</v>
      </c>
      <c r="F39" s="6" t="s">
        <v>12</v>
      </c>
      <c r="G39" s="8" t="s">
        <v>121</v>
      </c>
      <c r="H39" s="8" t="s">
        <v>121</v>
      </c>
    </row>
    <row r="40">
      <c r="A40" s="6" t="s">
        <v>8</v>
      </c>
      <c r="B40" s="6" t="s">
        <v>9</v>
      </c>
      <c r="C40" s="6" t="s">
        <v>122</v>
      </c>
      <c r="D40" s="6" t="s">
        <v>123</v>
      </c>
      <c r="E40" s="7">
        <v>44039.0</v>
      </c>
      <c r="F40" s="6" t="s">
        <v>12</v>
      </c>
      <c r="G40" s="8" t="s">
        <v>124</v>
      </c>
      <c r="H40" s="8" t="s">
        <v>124</v>
      </c>
    </row>
    <row r="41">
      <c r="A41" s="6" t="s">
        <v>8</v>
      </c>
      <c r="B41" s="6" t="s">
        <v>9</v>
      </c>
      <c r="C41" s="6" t="s">
        <v>125</v>
      </c>
      <c r="D41" s="6" t="s">
        <v>126</v>
      </c>
      <c r="E41" s="7">
        <v>44039.0</v>
      </c>
      <c r="F41" s="6" t="s">
        <v>12</v>
      </c>
      <c r="G41" s="8" t="s">
        <v>127</v>
      </c>
      <c r="H41" s="8" t="s">
        <v>127</v>
      </c>
    </row>
    <row r="42">
      <c r="A42" s="6" t="s">
        <v>8</v>
      </c>
      <c r="B42" s="6" t="s">
        <v>9</v>
      </c>
      <c r="C42" s="6" t="s">
        <v>128</v>
      </c>
      <c r="D42" s="6" t="s">
        <v>129</v>
      </c>
      <c r="E42" s="7">
        <v>44039.0</v>
      </c>
      <c r="F42" s="6" t="s">
        <v>12</v>
      </c>
      <c r="G42" s="8" t="s">
        <v>130</v>
      </c>
      <c r="H42" s="8" t="s">
        <v>130</v>
      </c>
    </row>
    <row r="43">
      <c r="A43" s="6" t="s">
        <v>8</v>
      </c>
      <c r="B43" s="6" t="s">
        <v>9</v>
      </c>
      <c r="C43" s="6" t="s">
        <v>131</v>
      </c>
      <c r="D43" s="6" t="s">
        <v>132</v>
      </c>
      <c r="E43" s="7">
        <v>44039.0</v>
      </c>
      <c r="F43" s="6" t="s">
        <v>12</v>
      </c>
      <c r="G43" s="8" t="s">
        <v>133</v>
      </c>
      <c r="H43" s="8" t="s">
        <v>133</v>
      </c>
    </row>
    <row r="44">
      <c r="A44" s="6" t="s">
        <v>8</v>
      </c>
      <c r="B44" s="6" t="s">
        <v>9</v>
      </c>
      <c r="C44" s="6" t="s">
        <v>134</v>
      </c>
      <c r="D44" s="6" t="s">
        <v>135</v>
      </c>
      <c r="E44" s="7">
        <v>44039.0</v>
      </c>
      <c r="F44" s="6" t="s">
        <v>12</v>
      </c>
      <c r="G44" s="8" t="s">
        <v>136</v>
      </c>
      <c r="H44" s="8" t="s">
        <v>136</v>
      </c>
    </row>
    <row r="45">
      <c r="A45" s="6" t="s">
        <v>8</v>
      </c>
      <c r="B45" s="6" t="s">
        <v>9</v>
      </c>
      <c r="C45" s="6" t="s">
        <v>137</v>
      </c>
      <c r="D45" s="6" t="s">
        <v>138</v>
      </c>
      <c r="E45" s="7">
        <v>44039.0</v>
      </c>
      <c r="F45" s="6" t="s">
        <v>12</v>
      </c>
      <c r="G45" s="8" t="s">
        <v>139</v>
      </c>
      <c r="H45" s="8" t="s">
        <v>139</v>
      </c>
    </row>
    <row r="46">
      <c r="A46" s="6" t="s">
        <v>8</v>
      </c>
      <c r="B46" s="6" t="s">
        <v>9</v>
      </c>
      <c r="C46" s="6" t="s">
        <v>140</v>
      </c>
      <c r="D46" s="6" t="s">
        <v>141</v>
      </c>
      <c r="E46" s="7">
        <v>44039.0</v>
      </c>
      <c r="F46" s="6" t="s">
        <v>12</v>
      </c>
      <c r="G46" s="8" t="s">
        <v>142</v>
      </c>
      <c r="H46" s="8" t="s">
        <v>142</v>
      </c>
    </row>
    <row r="47">
      <c r="A47" s="6" t="s">
        <v>8</v>
      </c>
      <c r="B47" s="6" t="s">
        <v>9</v>
      </c>
      <c r="C47" s="6" t="s">
        <v>143</v>
      </c>
      <c r="D47" s="6" t="s">
        <v>144</v>
      </c>
      <c r="E47" s="7">
        <v>44039.0</v>
      </c>
      <c r="F47" s="6" t="s">
        <v>12</v>
      </c>
      <c r="G47" s="8" t="s">
        <v>145</v>
      </c>
      <c r="H47" s="8" t="s">
        <v>145</v>
      </c>
    </row>
    <row r="48">
      <c r="A48" s="6" t="s">
        <v>8</v>
      </c>
      <c r="B48" s="6" t="s">
        <v>9</v>
      </c>
      <c r="C48" s="6" t="s">
        <v>146</v>
      </c>
      <c r="D48" s="6" t="s">
        <v>147</v>
      </c>
      <c r="E48" s="7">
        <v>44039.0</v>
      </c>
      <c r="F48" s="6" t="s">
        <v>12</v>
      </c>
      <c r="G48" s="8" t="s">
        <v>148</v>
      </c>
      <c r="H48" s="8" t="s">
        <v>148</v>
      </c>
    </row>
    <row r="49">
      <c r="A49" s="6" t="s">
        <v>8</v>
      </c>
      <c r="B49" s="6" t="s">
        <v>9</v>
      </c>
      <c r="C49" s="6" t="s">
        <v>149</v>
      </c>
      <c r="D49" s="6" t="s">
        <v>150</v>
      </c>
      <c r="E49" s="7">
        <v>44039.0</v>
      </c>
      <c r="F49" s="6" t="s">
        <v>12</v>
      </c>
      <c r="G49" s="8" t="s">
        <v>151</v>
      </c>
      <c r="H49" s="8" t="s">
        <v>151</v>
      </c>
    </row>
    <row r="50">
      <c r="A50" s="6" t="s">
        <v>8</v>
      </c>
      <c r="B50" s="6" t="s">
        <v>9</v>
      </c>
      <c r="C50" s="6" t="s">
        <v>152</v>
      </c>
      <c r="D50" s="6" t="s">
        <v>153</v>
      </c>
      <c r="E50" s="7">
        <v>44039.0</v>
      </c>
      <c r="F50" s="6" t="s">
        <v>12</v>
      </c>
      <c r="G50" s="8" t="s">
        <v>154</v>
      </c>
      <c r="H50" s="8" t="s">
        <v>154</v>
      </c>
    </row>
    <row r="51">
      <c r="A51" s="6" t="s">
        <v>8</v>
      </c>
      <c r="B51" s="6" t="s">
        <v>9</v>
      </c>
      <c r="C51" s="6" t="s">
        <v>155</v>
      </c>
      <c r="D51" s="6" t="s">
        <v>156</v>
      </c>
      <c r="E51" s="7">
        <v>44039.0</v>
      </c>
      <c r="F51" s="6" t="s">
        <v>12</v>
      </c>
      <c r="G51" s="8" t="s">
        <v>157</v>
      </c>
      <c r="H51" s="8" t="s">
        <v>157</v>
      </c>
    </row>
    <row r="52">
      <c r="A52" s="6" t="s">
        <v>8</v>
      </c>
      <c r="B52" s="6" t="s">
        <v>9</v>
      </c>
      <c r="C52" s="6" t="s">
        <v>158</v>
      </c>
      <c r="D52" s="6" t="s">
        <v>159</v>
      </c>
      <c r="E52" s="7">
        <v>44039.0</v>
      </c>
      <c r="F52" s="6" t="s">
        <v>12</v>
      </c>
      <c r="G52" s="8" t="s">
        <v>160</v>
      </c>
      <c r="H52" s="8" t="s">
        <v>160</v>
      </c>
    </row>
    <row r="53">
      <c r="A53" s="6" t="s">
        <v>8</v>
      </c>
      <c r="B53" s="6" t="s">
        <v>9</v>
      </c>
      <c r="C53" s="6" t="s">
        <v>161</v>
      </c>
      <c r="D53" s="6" t="s">
        <v>162</v>
      </c>
      <c r="E53" s="7">
        <v>44039.0</v>
      </c>
      <c r="F53" s="6" t="s">
        <v>12</v>
      </c>
      <c r="G53" s="8" t="s">
        <v>163</v>
      </c>
      <c r="H53" s="8" t="s">
        <v>163</v>
      </c>
    </row>
    <row r="54">
      <c r="A54" s="6" t="s">
        <v>8</v>
      </c>
      <c r="B54" s="6" t="s">
        <v>9</v>
      </c>
      <c r="C54" s="6" t="s">
        <v>164</v>
      </c>
      <c r="D54" s="6" t="s">
        <v>165</v>
      </c>
      <c r="E54" s="7">
        <v>44039.0</v>
      </c>
      <c r="F54" s="6" t="s">
        <v>12</v>
      </c>
      <c r="G54" s="8" t="s">
        <v>166</v>
      </c>
      <c r="H54" s="8" t="s">
        <v>166</v>
      </c>
    </row>
    <row r="55">
      <c r="A55" s="6" t="s">
        <v>8</v>
      </c>
      <c r="B55" s="6" t="s">
        <v>9</v>
      </c>
      <c r="C55" s="6" t="s">
        <v>167</v>
      </c>
      <c r="D55" s="6" t="s">
        <v>168</v>
      </c>
      <c r="E55" s="7">
        <v>44039.0</v>
      </c>
      <c r="F55" s="6" t="s">
        <v>12</v>
      </c>
      <c r="G55" s="8" t="s">
        <v>169</v>
      </c>
      <c r="H55" s="8" t="s">
        <v>169</v>
      </c>
    </row>
    <row r="56">
      <c r="A56" s="6" t="s">
        <v>8</v>
      </c>
      <c r="B56" s="6" t="s">
        <v>9</v>
      </c>
      <c r="C56" s="6" t="s">
        <v>170</v>
      </c>
      <c r="D56" s="6" t="s">
        <v>171</v>
      </c>
      <c r="E56" s="7">
        <v>44039.0</v>
      </c>
      <c r="F56" s="6" t="s">
        <v>12</v>
      </c>
      <c r="G56" s="8" t="s">
        <v>172</v>
      </c>
      <c r="H56" s="8" t="s">
        <v>172</v>
      </c>
    </row>
    <row r="57">
      <c r="A57" s="6" t="s">
        <v>8</v>
      </c>
      <c r="B57" s="6" t="s">
        <v>9</v>
      </c>
      <c r="C57" s="6" t="s">
        <v>173</v>
      </c>
      <c r="D57" s="6" t="s">
        <v>174</v>
      </c>
      <c r="E57" s="7">
        <v>44039.0</v>
      </c>
      <c r="F57" s="6" t="s">
        <v>12</v>
      </c>
      <c r="G57" s="8" t="s">
        <v>175</v>
      </c>
      <c r="H57" s="8" t="s">
        <v>175</v>
      </c>
    </row>
    <row r="58">
      <c r="A58" s="6" t="s">
        <v>8</v>
      </c>
      <c r="B58" s="6" t="s">
        <v>9</v>
      </c>
      <c r="C58" s="6" t="s">
        <v>176</v>
      </c>
      <c r="D58" s="6" t="s">
        <v>177</v>
      </c>
      <c r="E58" s="7">
        <v>44039.0</v>
      </c>
      <c r="F58" s="6" t="s">
        <v>12</v>
      </c>
      <c r="G58" s="8" t="s">
        <v>178</v>
      </c>
      <c r="H58" s="8" t="s">
        <v>178</v>
      </c>
    </row>
    <row r="59">
      <c r="A59" s="6" t="s">
        <v>8</v>
      </c>
      <c r="B59" s="6" t="s">
        <v>9</v>
      </c>
      <c r="C59" s="6" t="s">
        <v>179</v>
      </c>
      <c r="D59" s="6" t="s">
        <v>180</v>
      </c>
      <c r="E59" s="7">
        <v>44039.0</v>
      </c>
      <c r="F59" s="6" t="s">
        <v>12</v>
      </c>
      <c r="G59" s="8" t="s">
        <v>181</v>
      </c>
      <c r="H59" s="8" t="s">
        <v>181</v>
      </c>
    </row>
    <row r="60">
      <c r="A60" s="6" t="s">
        <v>8</v>
      </c>
      <c r="B60" s="6" t="s">
        <v>9</v>
      </c>
      <c r="C60" s="6" t="s">
        <v>182</v>
      </c>
      <c r="D60" s="6" t="s">
        <v>183</v>
      </c>
      <c r="E60" s="7">
        <v>44039.0</v>
      </c>
      <c r="F60" s="6" t="s">
        <v>12</v>
      </c>
      <c r="G60" s="8" t="s">
        <v>184</v>
      </c>
      <c r="H60" s="8" t="s">
        <v>184</v>
      </c>
    </row>
    <row r="61">
      <c r="A61" s="6" t="s">
        <v>8</v>
      </c>
      <c r="B61" s="6" t="s">
        <v>9</v>
      </c>
      <c r="C61" s="6" t="s">
        <v>185</v>
      </c>
      <c r="D61" s="6" t="s">
        <v>186</v>
      </c>
      <c r="E61" s="7">
        <v>44028.0</v>
      </c>
      <c r="F61" s="6" t="s">
        <v>12</v>
      </c>
      <c r="G61" s="8" t="s">
        <v>187</v>
      </c>
      <c r="H61" s="8" t="s">
        <v>187</v>
      </c>
    </row>
    <row r="62">
      <c r="A62" s="6" t="s">
        <v>8</v>
      </c>
      <c r="B62" s="6" t="s">
        <v>9</v>
      </c>
      <c r="C62" s="6" t="s">
        <v>188</v>
      </c>
      <c r="D62" s="6" t="s">
        <v>189</v>
      </c>
      <c r="E62" s="7">
        <v>44028.0</v>
      </c>
      <c r="F62" s="6" t="s">
        <v>12</v>
      </c>
      <c r="G62" s="8" t="s">
        <v>190</v>
      </c>
      <c r="H62" s="8" t="s">
        <v>190</v>
      </c>
    </row>
    <row r="63">
      <c r="A63" s="6" t="s">
        <v>8</v>
      </c>
      <c r="B63" s="6" t="s">
        <v>9</v>
      </c>
      <c r="C63" s="6" t="s">
        <v>191</v>
      </c>
      <c r="D63" s="6" t="s">
        <v>192</v>
      </c>
      <c r="E63" s="7">
        <v>44028.0</v>
      </c>
      <c r="F63" s="6" t="s">
        <v>12</v>
      </c>
      <c r="G63" s="8" t="s">
        <v>193</v>
      </c>
      <c r="H63" s="8" t="s">
        <v>193</v>
      </c>
    </row>
    <row r="64">
      <c r="A64" s="6" t="s">
        <v>8</v>
      </c>
      <c r="B64" s="6" t="s">
        <v>9</v>
      </c>
      <c r="C64" s="6" t="s">
        <v>194</v>
      </c>
      <c r="D64" s="6" t="s">
        <v>195</v>
      </c>
      <c r="E64" s="7">
        <v>44028.0</v>
      </c>
      <c r="F64" s="6" t="s">
        <v>12</v>
      </c>
      <c r="G64" s="8" t="s">
        <v>196</v>
      </c>
      <c r="H64" s="8" t="s">
        <v>196</v>
      </c>
    </row>
    <row r="65">
      <c r="A65" s="6" t="s">
        <v>8</v>
      </c>
      <c r="B65" s="6" t="s">
        <v>9</v>
      </c>
      <c r="C65" s="6" t="s">
        <v>197</v>
      </c>
      <c r="D65" s="6" t="s">
        <v>198</v>
      </c>
      <c r="E65" s="7">
        <v>44048.0</v>
      </c>
      <c r="F65" s="6" t="s">
        <v>12</v>
      </c>
      <c r="G65" s="8" t="s">
        <v>199</v>
      </c>
      <c r="H65" s="8" t="s">
        <v>199</v>
      </c>
    </row>
    <row r="66">
      <c r="A66" s="6" t="s">
        <v>8</v>
      </c>
      <c r="B66" s="6" t="s">
        <v>9</v>
      </c>
      <c r="C66" s="6" t="s">
        <v>200</v>
      </c>
      <c r="D66" s="6" t="s">
        <v>201</v>
      </c>
      <c r="E66" s="7">
        <v>44049.0</v>
      </c>
      <c r="F66" s="6" t="s">
        <v>12</v>
      </c>
      <c r="G66" s="8" t="s">
        <v>202</v>
      </c>
      <c r="H66" s="8" t="s">
        <v>202</v>
      </c>
    </row>
    <row r="67">
      <c r="A67" s="6" t="s">
        <v>8</v>
      </c>
      <c r="B67" s="6" t="s">
        <v>9</v>
      </c>
      <c r="C67" s="6" t="s">
        <v>203</v>
      </c>
      <c r="D67" s="6" t="s">
        <v>204</v>
      </c>
      <c r="E67" s="7">
        <v>44049.0</v>
      </c>
      <c r="F67" s="6" t="s">
        <v>12</v>
      </c>
      <c r="G67" s="8" t="s">
        <v>205</v>
      </c>
      <c r="H67" s="8" t="s">
        <v>205</v>
      </c>
    </row>
    <row r="68">
      <c r="A68" s="6" t="s">
        <v>8</v>
      </c>
      <c r="B68" s="6" t="s">
        <v>9</v>
      </c>
      <c r="C68" s="6" t="s">
        <v>206</v>
      </c>
      <c r="D68" s="6" t="s">
        <v>207</v>
      </c>
      <c r="E68" s="7">
        <v>44039.0</v>
      </c>
      <c r="F68" s="6" t="s">
        <v>12</v>
      </c>
      <c r="G68" s="8" t="s">
        <v>208</v>
      </c>
      <c r="H68" s="8" t="s">
        <v>208</v>
      </c>
    </row>
    <row r="69">
      <c r="A69" s="6" t="s">
        <v>8</v>
      </c>
      <c r="B69" s="6" t="s">
        <v>9</v>
      </c>
      <c r="C69" s="6" t="s">
        <v>209</v>
      </c>
      <c r="D69" s="6" t="s">
        <v>210</v>
      </c>
      <c r="E69" s="7">
        <v>44039.0</v>
      </c>
      <c r="F69" s="6" t="s">
        <v>12</v>
      </c>
      <c r="G69" s="8" t="s">
        <v>211</v>
      </c>
      <c r="H69" s="8" t="s">
        <v>211</v>
      </c>
    </row>
    <row r="70">
      <c r="A70" s="6" t="s">
        <v>8</v>
      </c>
      <c r="B70" s="6" t="s">
        <v>9</v>
      </c>
      <c r="C70" s="6" t="s">
        <v>212</v>
      </c>
      <c r="D70" s="6" t="s">
        <v>213</v>
      </c>
      <c r="E70" s="7">
        <v>44039.0</v>
      </c>
      <c r="F70" s="6" t="s">
        <v>12</v>
      </c>
      <c r="G70" s="8" t="s">
        <v>214</v>
      </c>
      <c r="H70" s="8" t="s">
        <v>214</v>
      </c>
    </row>
    <row r="71">
      <c r="A71" s="6" t="s">
        <v>8</v>
      </c>
      <c r="B71" s="6" t="s">
        <v>9</v>
      </c>
      <c r="C71" s="6" t="s">
        <v>215</v>
      </c>
      <c r="D71" s="6" t="s">
        <v>216</v>
      </c>
      <c r="E71" s="7">
        <v>44039.0</v>
      </c>
      <c r="F71" s="6" t="s">
        <v>12</v>
      </c>
      <c r="G71" s="8" t="s">
        <v>217</v>
      </c>
      <c r="H71" s="8" t="s">
        <v>217</v>
      </c>
    </row>
    <row r="72">
      <c r="A72" s="6" t="s">
        <v>8</v>
      </c>
      <c r="B72" s="6" t="s">
        <v>9</v>
      </c>
      <c r="C72" s="6" t="s">
        <v>218</v>
      </c>
      <c r="D72" s="6" t="s">
        <v>219</v>
      </c>
      <c r="E72" s="7">
        <v>44039.0</v>
      </c>
      <c r="F72" s="6" t="s">
        <v>12</v>
      </c>
      <c r="G72" s="8" t="s">
        <v>220</v>
      </c>
      <c r="H72" s="8" t="s">
        <v>220</v>
      </c>
    </row>
    <row r="73">
      <c r="A73" s="6" t="s">
        <v>8</v>
      </c>
      <c r="B73" s="6" t="s">
        <v>9</v>
      </c>
      <c r="C73" s="6" t="s">
        <v>221</v>
      </c>
      <c r="D73" s="6" t="s">
        <v>222</v>
      </c>
      <c r="E73" s="7">
        <v>44039.0</v>
      </c>
      <c r="F73" s="6" t="s">
        <v>12</v>
      </c>
      <c r="G73" s="8" t="s">
        <v>223</v>
      </c>
      <c r="H73" s="8" t="s">
        <v>223</v>
      </c>
    </row>
    <row r="74">
      <c r="A74" s="6" t="s">
        <v>8</v>
      </c>
      <c r="B74" s="6" t="s">
        <v>9</v>
      </c>
      <c r="C74" s="6" t="s">
        <v>224</v>
      </c>
      <c r="D74" s="6" t="s">
        <v>225</v>
      </c>
      <c r="E74" s="7">
        <v>44039.0</v>
      </c>
      <c r="F74" s="6" t="s">
        <v>12</v>
      </c>
      <c r="G74" s="8" t="s">
        <v>226</v>
      </c>
      <c r="H74" s="8" t="s">
        <v>226</v>
      </c>
    </row>
    <row r="75">
      <c r="A75" s="6" t="s">
        <v>8</v>
      </c>
      <c r="B75" s="6" t="s">
        <v>9</v>
      </c>
      <c r="C75" s="6" t="s">
        <v>227</v>
      </c>
      <c r="D75" s="6" t="s">
        <v>228</v>
      </c>
      <c r="E75" s="7">
        <v>44039.0</v>
      </c>
      <c r="F75" s="6" t="s">
        <v>12</v>
      </c>
      <c r="G75" s="8" t="s">
        <v>229</v>
      </c>
      <c r="H75" s="8" t="s">
        <v>229</v>
      </c>
    </row>
    <row r="76">
      <c r="A76" s="6" t="s">
        <v>8</v>
      </c>
      <c r="B76" s="6" t="s">
        <v>9</v>
      </c>
      <c r="C76" s="6" t="s">
        <v>230</v>
      </c>
      <c r="D76" s="6" t="s">
        <v>231</v>
      </c>
      <c r="E76" s="7">
        <v>44039.0</v>
      </c>
      <c r="F76" s="6" t="s">
        <v>12</v>
      </c>
      <c r="G76" s="8" t="s">
        <v>232</v>
      </c>
      <c r="H76" s="8" t="s">
        <v>232</v>
      </c>
    </row>
    <row r="77">
      <c r="A77" s="6" t="s">
        <v>8</v>
      </c>
      <c r="B77" s="6" t="s">
        <v>9</v>
      </c>
      <c r="C77" s="6" t="s">
        <v>233</v>
      </c>
      <c r="D77" s="6" t="s">
        <v>234</v>
      </c>
      <c r="E77" s="7">
        <v>44047.0</v>
      </c>
      <c r="F77" s="6" t="s">
        <v>12</v>
      </c>
      <c r="G77" s="8" t="s">
        <v>235</v>
      </c>
      <c r="H77" s="8" t="s">
        <v>235</v>
      </c>
    </row>
    <row r="78">
      <c r="A78" s="6" t="s">
        <v>8</v>
      </c>
      <c r="B78" s="6" t="s">
        <v>9</v>
      </c>
      <c r="C78" s="6" t="s">
        <v>236</v>
      </c>
      <c r="D78" s="6" t="s">
        <v>237</v>
      </c>
      <c r="E78" s="7">
        <v>44074.0</v>
      </c>
      <c r="F78" s="6" t="s">
        <v>12</v>
      </c>
      <c r="G78" s="8" t="s">
        <v>238</v>
      </c>
      <c r="H78" s="8" t="s">
        <v>238</v>
      </c>
    </row>
    <row r="79">
      <c r="A79" s="6" t="s">
        <v>8</v>
      </c>
      <c r="B79" s="6" t="s">
        <v>9</v>
      </c>
      <c r="C79" s="6" t="s">
        <v>239</v>
      </c>
      <c r="D79" s="6" t="s">
        <v>240</v>
      </c>
      <c r="E79" s="7">
        <v>44074.0</v>
      </c>
      <c r="F79" s="6" t="s">
        <v>12</v>
      </c>
      <c r="G79" s="8" t="s">
        <v>241</v>
      </c>
      <c r="H79" s="8" t="s">
        <v>241</v>
      </c>
    </row>
    <row r="80">
      <c r="A80" s="6" t="s">
        <v>8</v>
      </c>
      <c r="B80" s="6" t="s">
        <v>9</v>
      </c>
      <c r="C80" s="6" t="s">
        <v>242</v>
      </c>
      <c r="D80" s="6" t="s">
        <v>243</v>
      </c>
      <c r="E80" s="7">
        <v>44070.0</v>
      </c>
      <c r="F80" s="6" t="s">
        <v>12</v>
      </c>
      <c r="G80" s="8" t="s">
        <v>244</v>
      </c>
      <c r="H80" s="8" t="s">
        <v>244</v>
      </c>
    </row>
    <row r="81">
      <c r="A81" s="6" t="s">
        <v>8</v>
      </c>
      <c r="B81" s="6" t="s">
        <v>9</v>
      </c>
      <c r="C81" s="6" t="s">
        <v>245</v>
      </c>
      <c r="D81" s="6" t="s">
        <v>246</v>
      </c>
      <c r="E81" s="7">
        <v>44075.0</v>
      </c>
      <c r="F81" s="6" t="s">
        <v>12</v>
      </c>
      <c r="G81" s="8" t="s">
        <v>247</v>
      </c>
      <c r="H81" s="8" t="s">
        <v>247</v>
      </c>
    </row>
    <row r="82">
      <c r="A82" s="6" t="s">
        <v>8</v>
      </c>
      <c r="B82" s="6" t="s">
        <v>9</v>
      </c>
      <c r="C82" s="6" t="s">
        <v>248</v>
      </c>
      <c r="D82" s="6" t="s">
        <v>249</v>
      </c>
      <c r="E82" s="7">
        <v>44075.0</v>
      </c>
      <c r="F82" s="6" t="s">
        <v>12</v>
      </c>
      <c r="G82" s="8" t="s">
        <v>250</v>
      </c>
      <c r="H82" s="8" t="s">
        <v>250</v>
      </c>
    </row>
    <row r="83">
      <c r="A83" s="6" t="s">
        <v>8</v>
      </c>
      <c r="B83" s="6" t="s">
        <v>9</v>
      </c>
      <c r="C83" s="6" t="s">
        <v>251</v>
      </c>
      <c r="D83" s="6" t="s">
        <v>252</v>
      </c>
      <c r="E83" s="7">
        <v>44091.0</v>
      </c>
      <c r="F83" s="6" t="s">
        <v>12</v>
      </c>
      <c r="G83" s="8" t="s">
        <v>253</v>
      </c>
      <c r="H83" s="8" t="s">
        <v>253</v>
      </c>
    </row>
    <row r="84">
      <c r="A84" s="6" t="s">
        <v>8</v>
      </c>
      <c r="B84" s="6" t="s">
        <v>9</v>
      </c>
      <c r="C84" s="6" t="s">
        <v>254</v>
      </c>
      <c r="D84" s="6" t="s">
        <v>255</v>
      </c>
      <c r="E84" s="7">
        <v>44091.0</v>
      </c>
      <c r="F84" s="6" t="s">
        <v>12</v>
      </c>
      <c r="G84" s="8" t="s">
        <v>256</v>
      </c>
      <c r="H84" s="8" t="s">
        <v>256</v>
      </c>
    </row>
    <row r="85">
      <c r="A85" s="6" t="s">
        <v>8</v>
      </c>
      <c r="B85" s="6" t="s">
        <v>9</v>
      </c>
      <c r="C85" s="6" t="s">
        <v>257</v>
      </c>
      <c r="D85" s="6" t="s">
        <v>258</v>
      </c>
      <c r="E85" s="7">
        <v>44091.0</v>
      </c>
      <c r="F85" s="6" t="s">
        <v>12</v>
      </c>
      <c r="G85" s="8" t="s">
        <v>259</v>
      </c>
      <c r="H85" s="8" t="s">
        <v>259</v>
      </c>
    </row>
    <row r="86">
      <c r="A86" s="6" t="s">
        <v>8</v>
      </c>
      <c r="B86" s="6" t="s">
        <v>9</v>
      </c>
      <c r="C86" s="6" t="s">
        <v>260</v>
      </c>
      <c r="D86" s="6" t="s">
        <v>261</v>
      </c>
      <c r="E86" s="7">
        <v>44091.0</v>
      </c>
      <c r="F86" s="6" t="s">
        <v>12</v>
      </c>
      <c r="G86" s="8" t="s">
        <v>262</v>
      </c>
      <c r="H86" s="8" t="s">
        <v>262</v>
      </c>
    </row>
    <row r="87">
      <c r="A87" s="6" t="s">
        <v>8</v>
      </c>
      <c r="B87" s="6" t="s">
        <v>9</v>
      </c>
      <c r="C87" s="6" t="s">
        <v>263</v>
      </c>
      <c r="D87" s="6" t="s">
        <v>264</v>
      </c>
      <c r="E87" s="7">
        <v>44091.0</v>
      </c>
      <c r="F87" s="6" t="s">
        <v>12</v>
      </c>
      <c r="G87" s="8" t="s">
        <v>265</v>
      </c>
      <c r="H87" s="8" t="s">
        <v>265</v>
      </c>
    </row>
    <row r="88">
      <c r="A88" s="6" t="s">
        <v>8</v>
      </c>
      <c r="B88" s="6" t="s">
        <v>9</v>
      </c>
      <c r="C88" s="6" t="s">
        <v>266</v>
      </c>
      <c r="D88" s="6" t="s">
        <v>267</v>
      </c>
      <c r="E88" s="7">
        <v>44091.0</v>
      </c>
      <c r="F88" s="6" t="s">
        <v>12</v>
      </c>
      <c r="G88" s="8" t="s">
        <v>268</v>
      </c>
      <c r="H88" s="8" t="s">
        <v>268</v>
      </c>
    </row>
    <row r="89">
      <c r="A89" s="6" t="s">
        <v>8</v>
      </c>
      <c r="B89" s="6" t="s">
        <v>9</v>
      </c>
      <c r="C89" s="6" t="s">
        <v>269</v>
      </c>
      <c r="D89" s="6" t="s">
        <v>270</v>
      </c>
      <c r="E89" s="7">
        <v>44091.0</v>
      </c>
      <c r="F89" s="6" t="s">
        <v>12</v>
      </c>
      <c r="G89" s="8" t="s">
        <v>271</v>
      </c>
      <c r="H89" s="8" t="s">
        <v>271</v>
      </c>
    </row>
    <row r="90">
      <c r="A90" s="6" t="s">
        <v>8</v>
      </c>
      <c r="B90" s="6" t="s">
        <v>9</v>
      </c>
      <c r="C90" s="6" t="s">
        <v>272</v>
      </c>
      <c r="D90" s="6" t="s">
        <v>273</v>
      </c>
      <c r="E90" s="7">
        <v>44091.0</v>
      </c>
      <c r="F90" s="6" t="s">
        <v>12</v>
      </c>
      <c r="G90" s="8" t="s">
        <v>274</v>
      </c>
      <c r="H90" s="8" t="s">
        <v>274</v>
      </c>
    </row>
    <row r="91">
      <c r="A91" s="6" t="s">
        <v>8</v>
      </c>
      <c r="B91" s="6" t="s">
        <v>9</v>
      </c>
      <c r="C91" s="6" t="s">
        <v>275</v>
      </c>
      <c r="D91" s="6" t="s">
        <v>276</v>
      </c>
      <c r="E91" s="7">
        <v>44092.0</v>
      </c>
      <c r="F91" s="6" t="s">
        <v>12</v>
      </c>
      <c r="G91" s="8" t="s">
        <v>277</v>
      </c>
      <c r="H91" s="8" t="s">
        <v>277</v>
      </c>
    </row>
    <row r="92">
      <c r="A92" s="6" t="s">
        <v>8</v>
      </c>
      <c r="B92" s="6" t="s">
        <v>9</v>
      </c>
      <c r="C92" s="6" t="s">
        <v>278</v>
      </c>
      <c r="D92" s="6" t="s">
        <v>279</v>
      </c>
      <c r="E92" s="7">
        <v>44095.0</v>
      </c>
      <c r="F92" s="6" t="s">
        <v>12</v>
      </c>
      <c r="G92" s="8" t="s">
        <v>280</v>
      </c>
      <c r="H92" s="8" t="s">
        <v>280</v>
      </c>
    </row>
    <row r="93">
      <c r="A93" s="6" t="s">
        <v>8</v>
      </c>
      <c r="B93" s="6" t="s">
        <v>9</v>
      </c>
      <c r="C93" s="6" t="s">
        <v>281</v>
      </c>
      <c r="D93" s="6" t="s">
        <v>282</v>
      </c>
      <c r="E93" s="7">
        <v>44098.0</v>
      </c>
      <c r="F93" s="6" t="s">
        <v>12</v>
      </c>
      <c r="G93" s="8" t="s">
        <v>283</v>
      </c>
      <c r="H93" s="8" t="s">
        <v>283</v>
      </c>
    </row>
    <row r="94">
      <c r="A94" s="6" t="s">
        <v>8</v>
      </c>
      <c r="B94" s="6" t="s">
        <v>9</v>
      </c>
      <c r="C94" s="6" t="s">
        <v>284</v>
      </c>
      <c r="D94" s="6" t="s">
        <v>285</v>
      </c>
      <c r="E94" s="7">
        <v>44113.0</v>
      </c>
      <c r="F94" s="6" t="s">
        <v>12</v>
      </c>
      <c r="G94" s="8" t="s">
        <v>286</v>
      </c>
      <c r="H94" s="8" t="s">
        <v>286</v>
      </c>
    </row>
    <row r="95">
      <c r="A95" s="6" t="s">
        <v>8</v>
      </c>
      <c r="B95" s="6" t="s">
        <v>9</v>
      </c>
      <c r="C95" s="6" t="s">
        <v>287</v>
      </c>
      <c r="D95" s="6" t="s">
        <v>288</v>
      </c>
      <c r="E95" s="7">
        <v>44105.0</v>
      </c>
      <c r="F95" s="6" t="s">
        <v>12</v>
      </c>
      <c r="G95" s="8" t="s">
        <v>289</v>
      </c>
      <c r="H95" s="8" t="s">
        <v>289</v>
      </c>
    </row>
    <row r="96">
      <c r="A96" s="6" t="s">
        <v>8</v>
      </c>
      <c r="B96" s="6" t="s">
        <v>9</v>
      </c>
      <c r="C96" s="6" t="s">
        <v>290</v>
      </c>
      <c r="D96" s="6" t="s">
        <v>291</v>
      </c>
      <c r="E96" s="7">
        <v>44105.0</v>
      </c>
      <c r="F96" s="6" t="s">
        <v>12</v>
      </c>
      <c r="G96" s="8" t="s">
        <v>292</v>
      </c>
      <c r="H96" s="8" t="s">
        <v>292</v>
      </c>
    </row>
    <row r="97">
      <c r="A97" s="6" t="s">
        <v>8</v>
      </c>
      <c r="B97" s="6" t="s">
        <v>9</v>
      </c>
      <c r="C97" s="6" t="s">
        <v>293</v>
      </c>
      <c r="D97" s="6" t="s">
        <v>294</v>
      </c>
      <c r="E97" s="7">
        <v>44109.0</v>
      </c>
      <c r="F97" s="6" t="s">
        <v>12</v>
      </c>
      <c r="G97" s="8" t="s">
        <v>295</v>
      </c>
      <c r="H97" s="8" t="s">
        <v>295</v>
      </c>
    </row>
    <row r="98">
      <c r="A98" s="6" t="s">
        <v>8</v>
      </c>
      <c r="B98" s="6" t="s">
        <v>9</v>
      </c>
      <c r="C98" s="6" t="s">
        <v>296</v>
      </c>
      <c r="D98" s="6" t="s">
        <v>297</v>
      </c>
      <c r="E98" s="7">
        <v>44109.0</v>
      </c>
      <c r="F98" s="6" t="s">
        <v>12</v>
      </c>
      <c r="G98" s="8" t="s">
        <v>298</v>
      </c>
      <c r="H98" s="8" t="s">
        <v>298</v>
      </c>
    </row>
    <row r="99">
      <c r="A99" s="6" t="s">
        <v>8</v>
      </c>
      <c r="B99" s="6" t="s">
        <v>9</v>
      </c>
      <c r="C99" s="6" t="s">
        <v>299</v>
      </c>
      <c r="D99" s="6" t="s">
        <v>300</v>
      </c>
      <c r="E99" s="7">
        <v>44109.0</v>
      </c>
      <c r="F99" s="6" t="s">
        <v>12</v>
      </c>
      <c r="G99" s="8" t="s">
        <v>301</v>
      </c>
      <c r="H99" s="8" t="s">
        <v>301</v>
      </c>
    </row>
    <row r="100">
      <c r="A100" s="6" t="s">
        <v>8</v>
      </c>
      <c r="B100" s="6" t="s">
        <v>9</v>
      </c>
      <c r="C100" s="6" t="s">
        <v>302</v>
      </c>
      <c r="D100" s="6" t="s">
        <v>303</v>
      </c>
      <c r="E100" s="7">
        <v>44109.0</v>
      </c>
      <c r="F100" s="6" t="s">
        <v>12</v>
      </c>
      <c r="G100" s="8" t="s">
        <v>304</v>
      </c>
      <c r="H100" s="8" t="s">
        <v>304</v>
      </c>
    </row>
    <row r="101">
      <c r="A101" s="6" t="s">
        <v>8</v>
      </c>
      <c r="B101" s="6" t="s">
        <v>9</v>
      </c>
      <c r="C101" s="6" t="s">
        <v>305</v>
      </c>
      <c r="D101" s="6" t="s">
        <v>306</v>
      </c>
      <c r="E101" s="7">
        <v>44123.0</v>
      </c>
      <c r="F101" s="6" t="s">
        <v>12</v>
      </c>
      <c r="G101" s="8" t="s">
        <v>307</v>
      </c>
      <c r="H101" s="8" t="s">
        <v>307</v>
      </c>
    </row>
    <row r="102">
      <c r="A102" s="6" t="s">
        <v>8</v>
      </c>
      <c r="B102" s="6" t="s">
        <v>9</v>
      </c>
      <c r="C102" s="6" t="s">
        <v>308</v>
      </c>
      <c r="D102" s="6" t="s">
        <v>309</v>
      </c>
      <c r="E102" s="7">
        <v>44125.0</v>
      </c>
      <c r="F102" s="6" t="s">
        <v>12</v>
      </c>
      <c r="G102" s="8" t="s">
        <v>310</v>
      </c>
      <c r="H102" s="8" t="s">
        <v>310</v>
      </c>
    </row>
    <row r="103">
      <c r="A103" s="6" t="s">
        <v>8</v>
      </c>
      <c r="B103" s="6" t="s">
        <v>9</v>
      </c>
      <c r="C103" s="6" t="s">
        <v>311</v>
      </c>
      <c r="D103" s="6" t="s">
        <v>312</v>
      </c>
      <c r="E103" s="7">
        <v>44125.0</v>
      </c>
      <c r="F103" s="6" t="s">
        <v>12</v>
      </c>
      <c r="G103" s="8" t="s">
        <v>313</v>
      </c>
      <c r="H103" s="8" t="s">
        <v>313</v>
      </c>
    </row>
    <row r="104">
      <c r="A104" s="6" t="s">
        <v>8</v>
      </c>
      <c r="B104" s="6" t="s">
        <v>9</v>
      </c>
      <c r="C104" s="6" t="s">
        <v>314</v>
      </c>
      <c r="D104" s="6" t="s">
        <v>315</v>
      </c>
      <c r="E104" s="7">
        <v>44125.0</v>
      </c>
      <c r="F104" s="6" t="s">
        <v>12</v>
      </c>
      <c r="G104" s="8" t="s">
        <v>316</v>
      </c>
      <c r="H104" s="8" t="s">
        <v>316</v>
      </c>
    </row>
    <row r="105">
      <c r="A105" s="6" t="s">
        <v>8</v>
      </c>
      <c r="B105" s="6" t="s">
        <v>9</v>
      </c>
      <c r="C105" s="6" t="s">
        <v>317</v>
      </c>
      <c r="D105" s="6" t="s">
        <v>318</v>
      </c>
      <c r="E105" s="7">
        <v>44118.0</v>
      </c>
      <c r="F105" s="6" t="s">
        <v>12</v>
      </c>
      <c r="G105" s="8" t="s">
        <v>319</v>
      </c>
      <c r="H105" s="8" t="s">
        <v>319</v>
      </c>
    </row>
    <row r="106">
      <c r="A106" s="6" t="s">
        <v>8</v>
      </c>
      <c r="B106" s="6" t="s">
        <v>9</v>
      </c>
      <c r="C106" s="6" t="s">
        <v>320</v>
      </c>
      <c r="D106" s="6" t="s">
        <v>321</v>
      </c>
      <c r="E106" s="7">
        <v>44119.0</v>
      </c>
      <c r="F106" s="6" t="s">
        <v>12</v>
      </c>
      <c r="G106" s="8" t="s">
        <v>322</v>
      </c>
      <c r="H106" s="8" t="s">
        <v>322</v>
      </c>
    </row>
    <row r="107">
      <c r="A107" s="6" t="s">
        <v>8</v>
      </c>
      <c r="B107" s="6" t="s">
        <v>9</v>
      </c>
      <c r="C107" s="6" t="s">
        <v>323</v>
      </c>
      <c r="D107" s="6" t="s">
        <v>324</v>
      </c>
      <c r="E107" s="7">
        <v>44131.0</v>
      </c>
      <c r="F107" s="6" t="s">
        <v>12</v>
      </c>
      <c r="G107" s="8" t="s">
        <v>325</v>
      </c>
      <c r="H107" s="8" t="s">
        <v>325</v>
      </c>
    </row>
    <row r="108">
      <c r="A108" s="6" t="s">
        <v>8</v>
      </c>
      <c r="B108" s="6" t="s">
        <v>9</v>
      </c>
      <c r="C108" s="6" t="s">
        <v>326</v>
      </c>
      <c r="D108" s="6" t="s">
        <v>327</v>
      </c>
      <c r="E108" s="7">
        <v>44134.0</v>
      </c>
      <c r="F108" s="6" t="s">
        <v>12</v>
      </c>
      <c r="G108" s="8" t="s">
        <v>328</v>
      </c>
      <c r="H108" s="8" t="s">
        <v>328</v>
      </c>
    </row>
    <row r="109">
      <c r="A109" s="6" t="s">
        <v>8</v>
      </c>
      <c r="B109" s="6" t="s">
        <v>9</v>
      </c>
      <c r="C109" s="6" t="s">
        <v>329</v>
      </c>
      <c r="D109" s="6" t="s">
        <v>330</v>
      </c>
      <c r="E109" s="7">
        <v>44134.0</v>
      </c>
      <c r="F109" s="6" t="s">
        <v>12</v>
      </c>
      <c r="G109" s="8" t="s">
        <v>331</v>
      </c>
      <c r="H109" s="8" t="s">
        <v>331</v>
      </c>
    </row>
    <row r="110">
      <c r="A110" s="6" t="s">
        <v>8</v>
      </c>
      <c r="B110" s="6" t="s">
        <v>9</v>
      </c>
      <c r="C110" s="6" t="s">
        <v>332</v>
      </c>
      <c r="D110" s="6" t="s">
        <v>333</v>
      </c>
      <c r="E110" s="7">
        <v>44138.0</v>
      </c>
      <c r="F110" s="6" t="s">
        <v>12</v>
      </c>
      <c r="G110" s="8" t="s">
        <v>334</v>
      </c>
      <c r="H110" s="8" t="s">
        <v>334</v>
      </c>
    </row>
    <row r="111">
      <c r="A111" s="6" t="s">
        <v>8</v>
      </c>
      <c r="B111" s="6" t="s">
        <v>9</v>
      </c>
      <c r="C111" s="6" t="s">
        <v>335</v>
      </c>
      <c r="D111" s="6" t="s">
        <v>336</v>
      </c>
      <c r="E111" s="7">
        <v>44138.0</v>
      </c>
      <c r="F111" s="6" t="s">
        <v>12</v>
      </c>
      <c r="G111" s="8" t="s">
        <v>337</v>
      </c>
      <c r="H111" s="8" t="s">
        <v>337</v>
      </c>
    </row>
    <row r="112">
      <c r="A112" s="6" t="s">
        <v>8</v>
      </c>
      <c r="B112" s="6" t="s">
        <v>9</v>
      </c>
      <c r="C112" s="6" t="s">
        <v>338</v>
      </c>
      <c r="D112" s="6" t="s">
        <v>339</v>
      </c>
      <c r="E112" s="7">
        <v>44138.0</v>
      </c>
      <c r="F112" s="6" t="s">
        <v>12</v>
      </c>
      <c r="G112" s="8" t="s">
        <v>340</v>
      </c>
      <c r="H112" s="8" t="s">
        <v>340</v>
      </c>
    </row>
    <row r="113">
      <c r="A113" s="6" t="s">
        <v>8</v>
      </c>
      <c r="B113" s="6" t="s">
        <v>9</v>
      </c>
      <c r="C113" s="6" t="s">
        <v>341</v>
      </c>
      <c r="D113" s="6" t="s">
        <v>342</v>
      </c>
      <c r="E113" s="7">
        <v>44134.0</v>
      </c>
      <c r="F113" s="6" t="s">
        <v>12</v>
      </c>
      <c r="G113" s="8" t="s">
        <v>343</v>
      </c>
      <c r="H113" s="8" t="s">
        <v>343</v>
      </c>
    </row>
    <row r="114">
      <c r="A114" s="6" t="s">
        <v>8</v>
      </c>
      <c r="B114" s="6" t="s">
        <v>9</v>
      </c>
      <c r="C114" s="6" t="s">
        <v>344</v>
      </c>
      <c r="D114" s="6" t="s">
        <v>345</v>
      </c>
      <c r="E114" s="7">
        <v>44147.0</v>
      </c>
      <c r="F114" s="6" t="s">
        <v>12</v>
      </c>
      <c r="G114" s="8" t="s">
        <v>346</v>
      </c>
      <c r="H114" s="8" t="s">
        <v>346</v>
      </c>
    </row>
    <row r="115">
      <c r="A115" s="6" t="s">
        <v>8</v>
      </c>
      <c r="B115" s="6" t="s">
        <v>9</v>
      </c>
      <c r="C115" s="6" t="s">
        <v>347</v>
      </c>
      <c r="D115" s="6" t="s">
        <v>348</v>
      </c>
      <c r="E115" s="7">
        <v>44152.0</v>
      </c>
      <c r="F115" s="6" t="s">
        <v>12</v>
      </c>
      <c r="G115" s="8" t="s">
        <v>349</v>
      </c>
      <c r="H115" s="8" t="s">
        <v>349</v>
      </c>
    </row>
    <row r="116">
      <c r="A116" s="6" t="s">
        <v>8</v>
      </c>
      <c r="B116" s="6" t="s">
        <v>9</v>
      </c>
      <c r="C116" s="6" t="s">
        <v>350</v>
      </c>
      <c r="D116" s="6" t="s">
        <v>351</v>
      </c>
      <c r="E116" s="7">
        <v>44152.0</v>
      </c>
      <c r="F116" s="6" t="s">
        <v>12</v>
      </c>
      <c r="G116" s="8" t="s">
        <v>352</v>
      </c>
      <c r="H116" s="8" t="s">
        <v>352</v>
      </c>
    </row>
    <row r="117">
      <c r="A117" s="6" t="s">
        <v>8</v>
      </c>
      <c r="B117" s="6" t="s">
        <v>9</v>
      </c>
      <c r="C117" s="6" t="s">
        <v>353</v>
      </c>
      <c r="D117" s="6" t="s">
        <v>354</v>
      </c>
      <c r="E117" s="7">
        <v>44155.0</v>
      </c>
      <c r="F117" s="6" t="s">
        <v>12</v>
      </c>
      <c r="G117" s="8" t="s">
        <v>355</v>
      </c>
      <c r="H117" s="8" t="s">
        <v>355</v>
      </c>
    </row>
    <row r="118">
      <c r="A118" s="6" t="s">
        <v>8</v>
      </c>
      <c r="B118" s="6" t="s">
        <v>9</v>
      </c>
      <c r="C118" s="6" t="s">
        <v>356</v>
      </c>
      <c r="D118" s="6" t="s">
        <v>357</v>
      </c>
      <c r="E118" s="7">
        <v>44154.0</v>
      </c>
      <c r="F118" s="6" t="s">
        <v>12</v>
      </c>
      <c r="G118" s="8" t="s">
        <v>358</v>
      </c>
      <c r="H118" s="8" t="s">
        <v>358</v>
      </c>
    </row>
    <row r="119">
      <c r="A119" s="6" t="s">
        <v>8</v>
      </c>
      <c r="B119" s="6" t="s">
        <v>9</v>
      </c>
      <c r="C119" s="6" t="s">
        <v>359</v>
      </c>
      <c r="D119" s="6" t="s">
        <v>360</v>
      </c>
      <c r="E119" s="7">
        <v>44154.0</v>
      </c>
      <c r="F119" s="6" t="s">
        <v>12</v>
      </c>
      <c r="G119" s="8" t="s">
        <v>361</v>
      </c>
      <c r="H119" s="8" t="s">
        <v>361</v>
      </c>
    </row>
    <row r="120">
      <c r="A120" s="6" t="s">
        <v>8</v>
      </c>
      <c r="B120" s="6" t="s">
        <v>9</v>
      </c>
      <c r="C120" s="6" t="s">
        <v>362</v>
      </c>
      <c r="D120" s="6" t="s">
        <v>363</v>
      </c>
      <c r="E120" s="7">
        <v>44159.0</v>
      </c>
      <c r="F120" s="6" t="s">
        <v>12</v>
      </c>
      <c r="G120" s="8" t="s">
        <v>364</v>
      </c>
      <c r="H120" s="8" t="s">
        <v>364</v>
      </c>
    </row>
    <row r="121">
      <c r="A121" s="6" t="s">
        <v>8</v>
      </c>
      <c r="B121" s="6" t="s">
        <v>9</v>
      </c>
      <c r="C121" s="6" t="s">
        <v>365</v>
      </c>
      <c r="D121" s="6" t="s">
        <v>366</v>
      </c>
      <c r="E121" s="7">
        <v>44160.0</v>
      </c>
      <c r="F121" s="6" t="s">
        <v>12</v>
      </c>
      <c r="G121" s="8" t="s">
        <v>367</v>
      </c>
      <c r="H121" s="8" t="s">
        <v>367</v>
      </c>
    </row>
    <row r="122">
      <c r="A122" s="6" t="s">
        <v>8</v>
      </c>
      <c r="B122" s="6" t="s">
        <v>9</v>
      </c>
      <c r="C122" s="6" t="s">
        <v>368</v>
      </c>
      <c r="D122" s="6" t="s">
        <v>369</v>
      </c>
      <c r="E122" s="7">
        <v>44160.0</v>
      </c>
      <c r="F122" s="6" t="s">
        <v>12</v>
      </c>
      <c r="G122" s="8" t="s">
        <v>370</v>
      </c>
      <c r="H122" s="8" t="s">
        <v>370</v>
      </c>
    </row>
    <row r="123">
      <c r="A123" s="6" t="s">
        <v>8</v>
      </c>
      <c r="B123" s="6" t="s">
        <v>9</v>
      </c>
      <c r="C123" s="6" t="s">
        <v>371</v>
      </c>
      <c r="D123" s="6" t="s">
        <v>372</v>
      </c>
      <c r="E123" s="7">
        <v>44160.0</v>
      </c>
      <c r="F123" s="6" t="s">
        <v>12</v>
      </c>
      <c r="G123" s="8" t="s">
        <v>373</v>
      </c>
      <c r="H123" s="8" t="s">
        <v>373</v>
      </c>
    </row>
    <row r="124">
      <c r="A124" s="6" t="s">
        <v>8</v>
      </c>
      <c r="B124" s="6" t="s">
        <v>9</v>
      </c>
      <c r="C124" s="6" t="s">
        <v>374</v>
      </c>
      <c r="D124" s="6" t="s">
        <v>375</v>
      </c>
      <c r="E124" s="7">
        <v>44160.0</v>
      </c>
      <c r="F124" s="6" t="s">
        <v>12</v>
      </c>
      <c r="G124" s="8" t="s">
        <v>376</v>
      </c>
      <c r="H124" s="8" t="s">
        <v>376</v>
      </c>
    </row>
    <row r="125">
      <c r="A125" s="6" t="s">
        <v>8</v>
      </c>
      <c r="B125" s="6" t="s">
        <v>9</v>
      </c>
      <c r="C125" s="6" t="s">
        <v>377</v>
      </c>
      <c r="D125" s="6" t="s">
        <v>378</v>
      </c>
      <c r="E125" s="7">
        <v>44160.0</v>
      </c>
      <c r="F125" s="6" t="s">
        <v>12</v>
      </c>
      <c r="G125" s="8" t="s">
        <v>379</v>
      </c>
      <c r="H125" s="8" t="s">
        <v>379</v>
      </c>
    </row>
    <row r="126">
      <c r="A126" s="6" t="s">
        <v>8</v>
      </c>
      <c r="B126" s="6" t="s">
        <v>9</v>
      </c>
      <c r="C126" s="6" t="s">
        <v>380</v>
      </c>
      <c r="D126" s="6" t="s">
        <v>381</v>
      </c>
      <c r="E126" s="7">
        <v>44160.0</v>
      </c>
      <c r="F126" s="6" t="s">
        <v>12</v>
      </c>
      <c r="G126" s="8" t="s">
        <v>382</v>
      </c>
      <c r="H126" s="8" t="s">
        <v>382</v>
      </c>
    </row>
    <row r="127">
      <c r="A127" s="6" t="s">
        <v>8</v>
      </c>
      <c r="B127" s="6" t="s">
        <v>9</v>
      </c>
      <c r="C127" s="6" t="s">
        <v>383</v>
      </c>
      <c r="D127" s="6" t="s">
        <v>384</v>
      </c>
      <c r="E127" s="7">
        <v>44160.0</v>
      </c>
      <c r="F127" s="6" t="s">
        <v>12</v>
      </c>
      <c r="G127" s="8" t="s">
        <v>385</v>
      </c>
      <c r="H127" s="8" t="s">
        <v>385</v>
      </c>
    </row>
    <row r="128">
      <c r="A128" s="6" t="s">
        <v>8</v>
      </c>
      <c r="B128" s="6" t="s">
        <v>9</v>
      </c>
      <c r="C128" s="6" t="s">
        <v>386</v>
      </c>
      <c r="D128" s="6" t="s">
        <v>387</v>
      </c>
      <c r="E128" s="7">
        <v>44160.0</v>
      </c>
      <c r="F128" s="6" t="s">
        <v>12</v>
      </c>
      <c r="G128" s="8" t="s">
        <v>388</v>
      </c>
      <c r="H128" s="8" t="s">
        <v>388</v>
      </c>
    </row>
    <row r="129">
      <c r="A129" s="6" t="s">
        <v>8</v>
      </c>
      <c r="B129" s="6" t="s">
        <v>9</v>
      </c>
      <c r="C129" s="6" t="s">
        <v>389</v>
      </c>
      <c r="D129" s="6" t="s">
        <v>390</v>
      </c>
      <c r="E129" s="7">
        <v>44160.0</v>
      </c>
      <c r="F129" s="6" t="s">
        <v>12</v>
      </c>
      <c r="G129" s="8" t="s">
        <v>391</v>
      </c>
      <c r="H129" s="8" t="s">
        <v>391</v>
      </c>
    </row>
    <row r="130">
      <c r="A130" s="6" t="s">
        <v>8</v>
      </c>
      <c r="B130" s="6" t="s">
        <v>9</v>
      </c>
      <c r="C130" s="6" t="s">
        <v>392</v>
      </c>
      <c r="D130" s="6" t="s">
        <v>393</v>
      </c>
      <c r="E130" s="7">
        <v>44160.0</v>
      </c>
      <c r="F130" s="6" t="s">
        <v>12</v>
      </c>
      <c r="G130" s="8" t="s">
        <v>394</v>
      </c>
      <c r="H130" s="8" t="s">
        <v>394</v>
      </c>
    </row>
    <row r="131">
      <c r="A131" s="6" t="s">
        <v>8</v>
      </c>
      <c r="B131" s="6" t="s">
        <v>9</v>
      </c>
      <c r="C131" s="6" t="s">
        <v>395</v>
      </c>
      <c r="D131" s="6" t="s">
        <v>396</v>
      </c>
      <c r="E131" s="7">
        <v>44160.0</v>
      </c>
      <c r="F131" s="6" t="s">
        <v>12</v>
      </c>
      <c r="G131" s="8" t="s">
        <v>397</v>
      </c>
      <c r="H131" s="8" t="s">
        <v>397</v>
      </c>
    </row>
    <row r="132">
      <c r="A132" s="6" t="s">
        <v>8</v>
      </c>
      <c r="B132" s="6" t="s">
        <v>9</v>
      </c>
      <c r="C132" s="6" t="s">
        <v>398</v>
      </c>
      <c r="D132" s="6" t="s">
        <v>399</v>
      </c>
      <c r="E132" s="7">
        <v>44160.0</v>
      </c>
      <c r="F132" s="6" t="s">
        <v>12</v>
      </c>
      <c r="G132" s="8" t="s">
        <v>400</v>
      </c>
      <c r="H132" s="8" t="s">
        <v>400</v>
      </c>
    </row>
    <row r="133">
      <c r="A133" s="6" t="s">
        <v>8</v>
      </c>
      <c r="B133" s="6" t="s">
        <v>9</v>
      </c>
      <c r="C133" s="6" t="s">
        <v>401</v>
      </c>
      <c r="D133" s="6" t="s">
        <v>402</v>
      </c>
      <c r="E133" s="7">
        <v>44160.0</v>
      </c>
      <c r="F133" s="6" t="s">
        <v>12</v>
      </c>
      <c r="G133" s="8" t="s">
        <v>403</v>
      </c>
      <c r="H133" s="8" t="s">
        <v>403</v>
      </c>
    </row>
    <row r="134">
      <c r="A134" s="6" t="s">
        <v>8</v>
      </c>
      <c r="B134" s="6" t="s">
        <v>9</v>
      </c>
      <c r="C134" s="6" t="s">
        <v>404</v>
      </c>
      <c r="D134" s="6" t="s">
        <v>405</v>
      </c>
      <c r="E134" s="7">
        <v>44160.0</v>
      </c>
      <c r="F134" s="6" t="s">
        <v>12</v>
      </c>
      <c r="G134" s="8" t="s">
        <v>406</v>
      </c>
      <c r="H134" s="8" t="s">
        <v>406</v>
      </c>
    </row>
    <row r="135">
      <c r="A135" s="6" t="s">
        <v>8</v>
      </c>
      <c r="B135" s="6" t="s">
        <v>9</v>
      </c>
      <c r="C135" s="6" t="s">
        <v>407</v>
      </c>
      <c r="D135" s="6" t="s">
        <v>408</v>
      </c>
      <c r="E135" s="7">
        <v>44160.0</v>
      </c>
      <c r="F135" s="6" t="s">
        <v>12</v>
      </c>
      <c r="G135" s="8" t="s">
        <v>409</v>
      </c>
      <c r="H135" s="8" t="s">
        <v>409</v>
      </c>
    </row>
    <row r="136">
      <c r="A136" s="6" t="s">
        <v>8</v>
      </c>
      <c r="B136" s="6" t="s">
        <v>9</v>
      </c>
      <c r="C136" s="6" t="s">
        <v>410</v>
      </c>
      <c r="D136" s="6" t="s">
        <v>411</v>
      </c>
      <c r="E136" s="7">
        <v>44160.0</v>
      </c>
      <c r="F136" s="6" t="s">
        <v>12</v>
      </c>
      <c r="G136" s="8" t="s">
        <v>412</v>
      </c>
      <c r="H136" s="8" t="s">
        <v>412</v>
      </c>
    </row>
    <row r="137">
      <c r="A137" s="6" t="s">
        <v>8</v>
      </c>
      <c r="B137" s="6" t="s">
        <v>9</v>
      </c>
      <c r="C137" s="6" t="s">
        <v>413</v>
      </c>
      <c r="D137" s="6" t="s">
        <v>414</v>
      </c>
      <c r="E137" s="7">
        <v>44160.0</v>
      </c>
      <c r="F137" s="6" t="s">
        <v>12</v>
      </c>
      <c r="G137" s="8" t="s">
        <v>415</v>
      </c>
      <c r="H137" s="8" t="s">
        <v>415</v>
      </c>
    </row>
    <row r="138">
      <c r="A138" s="6" t="s">
        <v>8</v>
      </c>
      <c r="B138" s="6" t="s">
        <v>9</v>
      </c>
      <c r="C138" s="6" t="s">
        <v>416</v>
      </c>
      <c r="D138" s="6" t="s">
        <v>417</v>
      </c>
      <c r="E138" s="7">
        <v>44160.0</v>
      </c>
      <c r="F138" s="6" t="s">
        <v>12</v>
      </c>
      <c r="G138" s="8" t="s">
        <v>418</v>
      </c>
      <c r="H138" s="8" t="s">
        <v>418</v>
      </c>
    </row>
    <row r="139">
      <c r="A139" s="6" t="s">
        <v>8</v>
      </c>
      <c r="B139" s="6" t="s">
        <v>9</v>
      </c>
      <c r="C139" s="6" t="s">
        <v>419</v>
      </c>
      <c r="D139" s="6" t="s">
        <v>420</v>
      </c>
      <c r="E139" s="7">
        <v>44161.0</v>
      </c>
      <c r="F139" s="6" t="s">
        <v>12</v>
      </c>
      <c r="G139" s="8" t="s">
        <v>421</v>
      </c>
      <c r="H139" s="8" t="s">
        <v>421</v>
      </c>
    </row>
    <row r="140">
      <c r="A140" s="6" t="s">
        <v>8</v>
      </c>
      <c r="B140" s="6" t="s">
        <v>9</v>
      </c>
      <c r="C140" s="6" t="s">
        <v>422</v>
      </c>
      <c r="D140" s="6" t="s">
        <v>423</v>
      </c>
      <c r="E140" s="7">
        <v>44239.0</v>
      </c>
      <c r="F140" s="6" t="s">
        <v>12</v>
      </c>
      <c r="G140" s="8" t="s">
        <v>424</v>
      </c>
      <c r="H140" s="8" t="s">
        <v>424</v>
      </c>
    </row>
    <row r="141">
      <c r="A141" s="6" t="s">
        <v>8</v>
      </c>
      <c r="B141" s="6" t="s">
        <v>9</v>
      </c>
      <c r="C141" s="6" t="s">
        <v>425</v>
      </c>
      <c r="D141" s="6" t="s">
        <v>426</v>
      </c>
      <c r="E141" s="7">
        <v>44239.0</v>
      </c>
      <c r="F141" s="6" t="s">
        <v>12</v>
      </c>
      <c r="G141" s="8" t="s">
        <v>427</v>
      </c>
      <c r="H141" s="8" t="s">
        <v>427</v>
      </c>
    </row>
    <row r="142">
      <c r="A142" s="6" t="s">
        <v>8</v>
      </c>
      <c r="B142" s="6" t="s">
        <v>9</v>
      </c>
      <c r="C142" s="6" t="s">
        <v>428</v>
      </c>
      <c r="D142" s="6" t="s">
        <v>429</v>
      </c>
      <c r="E142" s="7">
        <v>44239.0</v>
      </c>
      <c r="F142" s="6" t="s">
        <v>12</v>
      </c>
      <c r="G142" s="8" t="s">
        <v>430</v>
      </c>
      <c r="H142" s="8" t="s">
        <v>430</v>
      </c>
    </row>
    <row r="143">
      <c r="A143" s="6" t="s">
        <v>8</v>
      </c>
      <c r="B143" s="6" t="s">
        <v>9</v>
      </c>
      <c r="C143" s="6" t="s">
        <v>431</v>
      </c>
      <c r="D143" s="6" t="s">
        <v>432</v>
      </c>
      <c r="E143" s="7">
        <v>44244.0</v>
      </c>
      <c r="F143" s="6" t="s">
        <v>12</v>
      </c>
      <c r="G143" s="8" t="s">
        <v>433</v>
      </c>
      <c r="H143" s="8" t="s">
        <v>433</v>
      </c>
    </row>
    <row r="144">
      <c r="A144" s="6" t="s">
        <v>8</v>
      </c>
      <c r="B144" s="6" t="s">
        <v>9</v>
      </c>
      <c r="C144" s="6" t="s">
        <v>434</v>
      </c>
      <c r="D144" s="6" t="s">
        <v>435</v>
      </c>
      <c r="E144" s="7">
        <v>44251.0</v>
      </c>
      <c r="F144" s="6" t="s">
        <v>12</v>
      </c>
      <c r="G144" s="8" t="s">
        <v>436</v>
      </c>
      <c r="H144" s="8" t="s">
        <v>436</v>
      </c>
    </row>
    <row r="145">
      <c r="A145" s="6" t="s">
        <v>8</v>
      </c>
      <c r="B145" s="6" t="s">
        <v>9</v>
      </c>
      <c r="C145" s="6" t="s">
        <v>437</v>
      </c>
      <c r="D145" s="6" t="s">
        <v>438</v>
      </c>
      <c r="E145" s="7">
        <v>44186.0</v>
      </c>
      <c r="F145" s="6" t="s">
        <v>12</v>
      </c>
      <c r="G145" s="8" t="s">
        <v>439</v>
      </c>
      <c r="H145" s="8" t="s">
        <v>439</v>
      </c>
    </row>
    <row r="146">
      <c r="A146" s="6" t="s">
        <v>8</v>
      </c>
      <c r="B146" s="6" t="s">
        <v>9</v>
      </c>
      <c r="C146" s="6" t="s">
        <v>440</v>
      </c>
      <c r="D146" s="6" t="s">
        <v>441</v>
      </c>
      <c r="E146" s="7">
        <v>44188.0</v>
      </c>
      <c r="F146" s="6" t="s">
        <v>12</v>
      </c>
      <c r="G146" s="8" t="s">
        <v>442</v>
      </c>
      <c r="H146" s="8" t="s">
        <v>442</v>
      </c>
    </row>
    <row r="147">
      <c r="A147" s="6" t="s">
        <v>8</v>
      </c>
      <c r="B147" s="6" t="s">
        <v>9</v>
      </c>
      <c r="C147" s="6" t="s">
        <v>443</v>
      </c>
      <c r="D147" s="6" t="s">
        <v>444</v>
      </c>
      <c r="E147" s="7">
        <v>44188.0</v>
      </c>
      <c r="F147" s="6" t="s">
        <v>12</v>
      </c>
      <c r="G147" s="8" t="s">
        <v>445</v>
      </c>
      <c r="H147" s="8" t="s">
        <v>445</v>
      </c>
    </row>
    <row r="148">
      <c r="A148" s="6" t="s">
        <v>8</v>
      </c>
      <c r="B148" s="6" t="s">
        <v>9</v>
      </c>
      <c r="C148" s="6" t="s">
        <v>446</v>
      </c>
      <c r="D148" s="6" t="s">
        <v>447</v>
      </c>
      <c r="E148" s="7">
        <v>44258.0</v>
      </c>
      <c r="F148" s="6" t="s">
        <v>12</v>
      </c>
      <c r="G148" s="8" t="s">
        <v>448</v>
      </c>
      <c r="H148" s="8" t="s">
        <v>448</v>
      </c>
    </row>
    <row r="149">
      <c r="A149" s="6" t="s">
        <v>8</v>
      </c>
      <c r="B149" s="6" t="s">
        <v>9</v>
      </c>
      <c r="C149" s="6" t="s">
        <v>449</v>
      </c>
      <c r="D149" s="6" t="s">
        <v>450</v>
      </c>
      <c r="E149" s="7">
        <v>44490.0</v>
      </c>
      <c r="F149" s="6" t="s">
        <v>12</v>
      </c>
      <c r="G149" s="8" t="s">
        <v>451</v>
      </c>
      <c r="H149" s="8" t="s">
        <v>451</v>
      </c>
    </row>
    <row r="150">
      <c r="A150" s="6" t="s">
        <v>8</v>
      </c>
      <c r="B150" s="6" t="s">
        <v>9</v>
      </c>
      <c r="C150" s="6" t="s">
        <v>452</v>
      </c>
      <c r="D150" s="6" t="s">
        <v>453</v>
      </c>
      <c r="E150" s="7">
        <v>44490.0</v>
      </c>
      <c r="F150" s="6" t="s">
        <v>12</v>
      </c>
      <c r="G150" s="8" t="s">
        <v>454</v>
      </c>
      <c r="H150" s="8" t="s">
        <v>454</v>
      </c>
    </row>
    <row r="151">
      <c r="A151" s="6" t="s">
        <v>8</v>
      </c>
      <c r="B151" s="6" t="s">
        <v>9</v>
      </c>
      <c r="C151" s="6" t="s">
        <v>455</v>
      </c>
      <c r="D151" s="6" t="s">
        <v>456</v>
      </c>
      <c r="E151" s="7">
        <v>44301.0</v>
      </c>
      <c r="F151" s="6" t="s">
        <v>12</v>
      </c>
      <c r="G151" s="8" t="s">
        <v>457</v>
      </c>
      <c r="H151" s="8" t="s">
        <v>457</v>
      </c>
    </row>
    <row r="152">
      <c r="A152" s="6" t="s">
        <v>8</v>
      </c>
      <c r="B152" s="6" t="s">
        <v>9</v>
      </c>
      <c r="C152" s="6" t="s">
        <v>458</v>
      </c>
      <c r="D152" s="6" t="s">
        <v>459</v>
      </c>
      <c r="E152" s="7">
        <v>44245.0</v>
      </c>
      <c r="F152" s="6" t="s">
        <v>12</v>
      </c>
      <c r="G152" s="8" t="s">
        <v>460</v>
      </c>
      <c r="H152" s="8" t="s">
        <v>460</v>
      </c>
    </row>
    <row r="153">
      <c r="A153" s="6" t="s">
        <v>8</v>
      </c>
      <c r="B153" s="6" t="s">
        <v>9</v>
      </c>
      <c r="C153" s="6" t="s">
        <v>461</v>
      </c>
      <c r="D153" s="6" t="s">
        <v>462</v>
      </c>
      <c r="E153" s="7">
        <v>44245.0</v>
      </c>
      <c r="F153" s="6" t="s">
        <v>12</v>
      </c>
      <c r="G153" s="8" t="s">
        <v>463</v>
      </c>
      <c r="H153" s="8" t="s">
        <v>463</v>
      </c>
    </row>
    <row r="154">
      <c r="A154" s="6" t="s">
        <v>8</v>
      </c>
      <c r="B154" s="6" t="s">
        <v>9</v>
      </c>
      <c r="C154" s="6" t="s">
        <v>464</v>
      </c>
      <c r="D154" s="6" t="s">
        <v>465</v>
      </c>
      <c r="E154" s="7">
        <v>44286.0</v>
      </c>
      <c r="F154" s="6" t="s">
        <v>12</v>
      </c>
      <c r="G154" s="8" t="s">
        <v>466</v>
      </c>
      <c r="H154" s="8" t="s">
        <v>466</v>
      </c>
    </row>
    <row r="155">
      <c r="A155" s="6" t="s">
        <v>8</v>
      </c>
      <c r="B155" s="6" t="s">
        <v>9</v>
      </c>
      <c r="C155" s="6" t="s">
        <v>467</v>
      </c>
      <c r="D155" s="6" t="s">
        <v>468</v>
      </c>
      <c r="E155" s="7">
        <v>44257.0</v>
      </c>
      <c r="F155" s="6" t="s">
        <v>12</v>
      </c>
      <c r="G155" s="8" t="s">
        <v>469</v>
      </c>
      <c r="H155" s="8" t="s">
        <v>469</v>
      </c>
    </row>
    <row r="156">
      <c r="A156" s="6" t="s">
        <v>8</v>
      </c>
      <c r="B156" s="6" t="s">
        <v>9</v>
      </c>
      <c r="C156" s="6" t="s">
        <v>470</v>
      </c>
      <c r="D156" s="6" t="s">
        <v>471</v>
      </c>
      <c r="E156" s="7">
        <v>44257.0</v>
      </c>
      <c r="F156" s="6" t="s">
        <v>12</v>
      </c>
      <c r="G156" s="8" t="s">
        <v>472</v>
      </c>
      <c r="H156" s="8" t="s">
        <v>472</v>
      </c>
    </row>
    <row r="157">
      <c r="A157" s="6" t="s">
        <v>8</v>
      </c>
      <c r="B157" s="6" t="s">
        <v>9</v>
      </c>
      <c r="C157" s="6" t="s">
        <v>473</v>
      </c>
      <c r="D157" s="6" t="s">
        <v>360</v>
      </c>
      <c r="E157" s="7">
        <v>44257.0</v>
      </c>
      <c r="F157" s="6" t="s">
        <v>12</v>
      </c>
      <c r="G157" s="8" t="s">
        <v>474</v>
      </c>
      <c r="H157" s="8" t="s">
        <v>474</v>
      </c>
    </row>
    <row r="158">
      <c r="A158" s="6" t="s">
        <v>8</v>
      </c>
      <c r="B158" s="6" t="s">
        <v>9</v>
      </c>
      <c r="C158" s="6" t="s">
        <v>475</v>
      </c>
      <c r="D158" s="6" t="s">
        <v>476</v>
      </c>
      <c r="E158" s="7">
        <v>44326.0</v>
      </c>
      <c r="F158" s="6" t="s">
        <v>12</v>
      </c>
      <c r="G158" s="8" t="s">
        <v>477</v>
      </c>
      <c r="H158" s="8" t="s">
        <v>477</v>
      </c>
    </row>
    <row r="159">
      <c r="A159" s="6" t="s">
        <v>8</v>
      </c>
      <c r="B159" s="6" t="s">
        <v>9</v>
      </c>
      <c r="C159" s="6" t="s">
        <v>478</v>
      </c>
      <c r="D159" s="6" t="s">
        <v>479</v>
      </c>
      <c r="E159" s="7">
        <v>44196.0</v>
      </c>
      <c r="F159" s="6" t="s">
        <v>12</v>
      </c>
      <c r="G159" s="8" t="s">
        <v>480</v>
      </c>
      <c r="H159" s="8" t="s">
        <v>480</v>
      </c>
    </row>
    <row r="160">
      <c r="A160" s="6" t="s">
        <v>8</v>
      </c>
      <c r="B160" s="6" t="s">
        <v>9</v>
      </c>
      <c r="C160" s="6" t="s">
        <v>481</v>
      </c>
      <c r="D160" s="6" t="s">
        <v>482</v>
      </c>
      <c r="E160" s="7">
        <v>44288.0</v>
      </c>
      <c r="F160" s="6" t="s">
        <v>12</v>
      </c>
      <c r="G160" s="8" t="s">
        <v>483</v>
      </c>
      <c r="H160" s="8" t="s">
        <v>483</v>
      </c>
    </row>
    <row r="161">
      <c r="A161" s="6" t="s">
        <v>8</v>
      </c>
      <c r="B161" s="6" t="s">
        <v>9</v>
      </c>
      <c r="C161" s="6" t="s">
        <v>484</v>
      </c>
      <c r="D161" s="6" t="s">
        <v>485</v>
      </c>
      <c r="E161" s="7">
        <v>44288.0</v>
      </c>
      <c r="F161" s="6" t="s">
        <v>12</v>
      </c>
      <c r="G161" s="8" t="s">
        <v>486</v>
      </c>
      <c r="H161" s="8" t="s">
        <v>486</v>
      </c>
    </row>
    <row r="162">
      <c r="A162" s="6" t="s">
        <v>8</v>
      </c>
      <c r="B162" s="6" t="s">
        <v>9</v>
      </c>
      <c r="C162" s="6" t="s">
        <v>487</v>
      </c>
      <c r="D162" s="6" t="s">
        <v>488</v>
      </c>
      <c r="E162" s="7">
        <v>44280.0</v>
      </c>
      <c r="F162" s="6" t="s">
        <v>12</v>
      </c>
      <c r="G162" s="8" t="s">
        <v>489</v>
      </c>
      <c r="H162" s="8" t="s">
        <v>489</v>
      </c>
    </row>
    <row r="163">
      <c r="A163" s="6" t="s">
        <v>8</v>
      </c>
      <c r="B163" s="6" t="s">
        <v>9</v>
      </c>
      <c r="C163" s="6" t="s">
        <v>490</v>
      </c>
      <c r="D163" s="6" t="s">
        <v>491</v>
      </c>
      <c r="E163" s="7">
        <v>44280.0</v>
      </c>
      <c r="F163" s="6" t="s">
        <v>12</v>
      </c>
      <c r="G163" s="8" t="s">
        <v>492</v>
      </c>
      <c r="H163" s="8" t="s">
        <v>492</v>
      </c>
    </row>
    <row r="164">
      <c r="A164" s="6" t="s">
        <v>8</v>
      </c>
      <c r="B164" s="6" t="s">
        <v>9</v>
      </c>
      <c r="C164" s="6" t="s">
        <v>493</v>
      </c>
      <c r="D164" s="6" t="s">
        <v>494</v>
      </c>
      <c r="E164" s="7">
        <v>44313.0</v>
      </c>
      <c r="F164" s="6" t="s">
        <v>12</v>
      </c>
      <c r="G164" s="8" t="s">
        <v>495</v>
      </c>
      <c r="H164" s="8" t="s">
        <v>495</v>
      </c>
    </row>
    <row r="165">
      <c r="A165" s="6" t="s">
        <v>8</v>
      </c>
      <c r="B165" s="6" t="s">
        <v>9</v>
      </c>
      <c r="C165" s="6" t="s">
        <v>496</v>
      </c>
      <c r="D165" s="6" t="s">
        <v>497</v>
      </c>
      <c r="E165" s="7">
        <v>44313.0</v>
      </c>
      <c r="F165" s="6" t="s">
        <v>12</v>
      </c>
      <c r="G165" s="8" t="s">
        <v>498</v>
      </c>
      <c r="H165" s="8" t="s">
        <v>498</v>
      </c>
    </row>
    <row r="166">
      <c r="A166" s="6" t="s">
        <v>8</v>
      </c>
      <c r="B166" s="6" t="s">
        <v>9</v>
      </c>
      <c r="C166" s="6" t="s">
        <v>499</v>
      </c>
      <c r="D166" s="6" t="s">
        <v>500</v>
      </c>
      <c r="E166" s="7">
        <v>44314.0</v>
      </c>
      <c r="F166" s="6" t="s">
        <v>12</v>
      </c>
      <c r="G166" s="8" t="s">
        <v>501</v>
      </c>
      <c r="H166" s="8" t="s">
        <v>501</v>
      </c>
    </row>
    <row r="167">
      <c r="A167" s="6" t="s">
        <v>8</v>
      </c>
      <c r="B167" s="6" t="s">
        <v>9</v>
      </c>
      <c r="C167" s="6" t="s">
        <v>502</v>
      </c>
      <c r="D167" s="6" t="s">
        <v>503</v>
      </c>
      <c r="E167" s="7">
        <v>44305.0</v>
      </c>
      <c r="F167" s="6" t="s">
        <v>12</v>
      </c>
      <c r="G167" s="8" t="s">
        <v>504</v>
      </c>
      <c r="H167" s="8" t="s">
        <v>504</v>
      </c>
    </row>
    <row r="168">
      <c r="A168" s="6" t="s">
        <v>8</v>
      </c>
      <c r="B168" s="6" t="s">
        <v>9</v>
      </c>
      <c r="C168" s="6" t="s">
        <v>505</v>
      </c>
      <c r="D168" s="6" t="s">
        <v>506</v>
      </c>
      <c r="E168" s="7">
        <v>44319.0</v>
      </c>
      <c r="F168" s="6" t="s">
        <v>12</v>
      </c>
      <c r="G168" s="8" t="s">
        <v>507</v>
      </c>
      <c r="H168" s="8" t="s">
        <v>507</v>
      </c>
    </row>
    <row r="169">
      <c r="A169" s="6" t="s">
        <v>8</v>
      </c>
      <c r="B169" s="6" t="s">
        <v>9</v>
      </c>
      <c r="C169" s="6" t="s">
        <v>508</v>
      </c>
      <c r="D169" s="6" t="s">
        <v>509</v>
      </c>
      <c r="E169" s="7">
        <v>44319.0</v>
      </c>
      <c r="F169" s="6" t="s">
        <v>12</v>
      </c>
      <c r="G169" s="8" t="s">
        <v>510</v>
      </c>
      <c r="H169" s="8" t="s">
        <v>510</v>
      </c>
    </row>
    <row r="170">
      <c r="A170" s="6" t="s">
        <v>8</v>
      </c>
      <c r="B170" s="6" t="s">
        <v>9</v>
      </c>
      <c r="C170" s="6" t="s">
        <v>511</v>
      </c>
      <c r="D170" s="6" t="s">
        <v>512</v>
      </c>
      <c r="E170" s="7">
        <v>44319.0</v>
      </c>
      <c r="F170" s="6" t="s">
        <v>12</v>
      </c>
      <c r="G170" s="8" t="s">
        <v>513</v>
      </c>
      <c r="H170" s="8" t="s">
        <v>513</v>
      </c>
    </row>
    <row r="171">
      <c r="A171" s="6" t="s">
        <v>8</v>
      </c>
      <c r="B171" s="6" t="s">
        <v>9</v>
      </c>
      <c r="C171" s="6" t="s">
        <v>514</v>
      </c>
      <c r="D171" s="6" t="s">
        <v>515</v>
      </c>
      <c r="E171" s="7">
        <v>44319.0</v>
      </c>
      <c r="F171" s="6" t="s">
        <v>12</v>
      </c>
      <c r="G171" s="8" t="s">
        <v>516</v>
      </c>
      <c r="H171" s="8" t="s">
        <v>516</v>
      </c>
    </row>
    <row r="172">
      <c r="A172" s="6" t="s">
        <v>8</v>
      </c>
      <c r="B172" s="6" t="s">
        <v>9</v>
      </c>
      <c r="C172" s="6" t="s">
        <v>517</v>
      </c>
      <c r="D172" s="6" t="s">
        <v>518</v>
      </c>
      <c r="E172" s="7">
        <v>44319.0</v>
      </c>
      <c r="F172" s="6" t="s">
        <v>12</v>
      </c>
      <c r="G172" s="8" t="s">
        <v>519</v>
      </c>
      <c r="H172" s="8" t="s">
        <v>519</v>
      </c>
    </row>
    <row r="173">
      <c r="A173" s="6" t="s">
        <v>8</v>
      </c>
      <c r="B173" s="6" t="s">
        <v>9</v>
      </c>
      <c r="C173" s="6" t="s">
        <v>520</v>
      </c>
      <c r="D173" s="6" t="s">
        <v>521</v>
      </c>
      <c r="E173" s="7">
        <v>44319.0</v>
      </c>
      <c r="F173" s="6" t="s">
        <v>12</v>
      </c>
      <c r="G173" s="8" t="s">
        <v>522</v>
      </c>
      <c r="H173" s="8" t="s">
        <v>522</v>
      </c>
    </row>
    <row r="174">
      <c r="A174" s="6" t="s">
        <v>8</v>
      </c>
      <c r="B174" s="6" t="s">
        <v>9</v>
      </c>
      <c r="C174" s="6" t="s">
        <v>523</v>
      </c>
      <c r="D174" s="6" t="s">
        <v>524</v>
      </c>
      <c r="E174" s="7">
        <v>44319.0</v>
      </c>
      <c r="F174" s="6" t="s">
        <v>12</v>
      </c>
      <c r="G174" s="8" t="s">
        <v>525</v>
      </c>
      <c r="H174" s="8" t="s">
        <v>525</v>
      </c>
    </row>
    <row r="175">
      <c r="A175" s="6" t="s">
        <v>8</v>
      </c>
      <c r="B175" s="6" t="s">
        <v>9</v>
      </c>
      <c r="C175" s="6" t="s">
        <v>526</v>
      </c>
      <c r="D175" s="6" t="s">
        <v>527</v>
      </c>
      <c r="E175" s="7">
        <v>44228.0</v>
      </c>
      <c r="F175" s="6" t="s">
        <v>12</v>
      </c>
      <c r="G175" s="8" t="s">
        <v>528</v>
      </c>
      <c r="H175" s="8" t="s">
        <v>528</v>
      </c>
    </row>
    <row r="176">
      <c r="A176" s="6" t="s">
        <v>8</v>
      </c>
      <c r="B176" s="6" t="s">
        <v>9</v>
      </c>
      <c r="C176" s="6" t="s">
        <v>529</v>
      </c>
      <c r="D176" s="6" t="s">
        <v>530</v>
      </c>
      <c r="E176" s="7">
        <v>44228.0</v>
      </c>
      <c r="F176" s="6" t="s">
        <v>12</v>
      </c>
      <c r="G176" s="8" t="s">
        <v>531</v>
      </c>
      <c r="H176" s="8" t="s">
        <v>531</v>
      </c>
    </row>
    <row r="177">
      <c r="A177" s="6" t="s">
        <v>8</v>
      </c>
      <c r="B177" s="6" t="s">
        <v>9</v>
      </c>
      <c r="C177" s="6" t="s">
        <v>532</v>
      </c>
      <c r="D177" s="6" t="s">
        <v>533</v>
      </c>
      <c r="E177" s="7">
        <v>44293.0</v>
      </c>
      <c r="F177" s="6" t="s">
        <v>12</v>
      </c>
      <c r="G177" s="8" t="s">
        <v>534</v>
      </c>
      <c r="H177" s="8" t="s">
        <v>534</v>
      </c>
    </row>
    <row r="178">
      <c r="A178" s="6" t="s">
        <v>8</v>
      </c>
      <c r="B178" s="6" t="s">
        <v>9</v>
      </c>
      <c r="C178" s="6" t="s">
        <v>535</v>
      </c>
      <c r="D178" s="6" t="s">
        <v>536</v>
      </c>
      <c r="E178" s="7">
        <v>44321.0</v>
      </c>
      <c r="F178" s="6" t="s">
        <v>12</v>
      </c>
      <c r="G178" s="8" t="s">
        <v>537</v>
      </c>
      <c r="H178" s="8" t="s">
        <v>537</v>
      </c>
    </row>
    <row r="179">
      <c r="A179" s="6" t="s">
        <v>8</v>
      </c>
      <c r="B179" s="6" t="s">
        <v>9</v>
      </c>
      <c r="C179" s="6" t="s">
        <v>538</v>
      </c>
      <c r="D179" s="6" t="s">
        <v>539</v>
      </c>
      <c r="E179" s="7">
        <v>44307.0</v>
      </c>
      <c r="F179" s="6" t="s">
        <v>12</v>
      </c>
      <c r="G179" s="8" t="s">
        <v>540</v>
      </c>
      <c r="H179" s="8" t="s">
        <v>540</v>
      </c>
    </row>
    <row r="180">
      <c r="A180" s="6" t="s">
        <v>8</v>
      </c>
      <c r="B180" s="6" t="s">
        <v>9</v>
      </c>
      <c r="C180" s="6" t="s">
        <v>541</v>
      </c>
      <c r="D180" s="6" t="s">
        <v>542</v>
      </c>
      <c r="E180" s="7">
        <v>44309.0</v>
      </c>
      <c r="F180" s="6" t="s">
        <v>12</v>
      </c>
      <c r="G180" s="8" t="s">
        <v>543</v>
      </c>
      <c r="H180" s="8" t="s">
        <v>543</v>
      </c>
    </row>
    <row r="181">
      <c r="A181" s="6" t="s">
        <v>8</v>
      </c>
      <c r="B181" s="6" t="s">
        <v>9</v>
      </c>
      <c r="C181" s="6" t="s">
        <v>544</v>
      </c>
      <c r="D181" s="6" t="s">
        <v>545</v>
      </c>
      <c r="E181" s="7">
        <v>44309.0</v>
      </c>
      <c r="F181" s="6" t="s">
        <v>12</v>
      </c>
      <c r="G181" s="8" t="s">
        <v>546</v>
      </c>
      <c r="H181" s="8" t="s">
        <v>546</v>
      </c>
    </row>
    <row r="182">
      <c r="A182" s="6" t="s">
        <v>8</v>
      </c>
      <c r="B182" s="6" t="s">
        <v>9</v>
      </c>
      <c r="C182" s="6" t="s">
        <v>547</v>
      </c>
      <c r="D182" s="6" t="s">
        <v>548</v>
      </c>
      <c r="E182" s="7">
        <v>44165.0</v>
      </c>
      <c r="F182" s="6" t="s">
        <v>12</v>
      </c>
      <c r="G182" s="8" t="s">
        <v>549</v>
      </c>
      <c r="H182" s="8" t="s">
        <v>549</v>
      </c>
    </row>
    <row r="183">
      <c r="A183" s="6" t="s">
        <v>8</v>
      </c>
      <c r="B183" s="6" t="s">
        <v>9</v>
      </c>
      <c r="C183" s="6" t="s">
        <v>550</v>
      </c>
      <c r="D183" s="6" t="s">
        <v>551</v>
      </c>
      <c r="E183" s="7">
        <v>44165.0</v>
      </c>
      <c r="F183" s="6" t="s">
        <v>12</v>
      </c>
      <c r="G183" s="8" t="s">
        <v>552</v>
      </c>
      <c r="H183" s="8" t="s">
        <v>552</v>
      </c>
    </row>
    <row r="184">
      <c r="A184" s="6" t="s">
        <v>8</v>
      </c>
      <c r="B184" s="6" t="s">
        <v>9</v>
      </c>
      <c r="C184" s="6" t="s">
        <v>553</v>
      </c>
      <c r="D184" s="6" t="s">
        <v>554</v>
      </c>
      <c r="E184" s="7">
        <v>44165.0</v>
      </c>
      <c r="F184" s="6" t="s">
        <v>12</v>
      </c>
      <c r="G184" s="8" t="s">
        <v>555</v>
      </c>
      <c r="H184" s="8" t="s">
        <v>555</v>
      </c>
    </row>
    <row r="185">
      <c r="A185" s="6" t="s">
        <v>8</v>
      </c>
      <c r="B185" s="6" t="s">
        <v>9</v>
      </c>
      <c r="C185" s="6" t="s">
        <v>556</v>
      </c>
      <c r="D185" s="6" t="s">
        <v>557</v>
      </c>
      <c r="E185" s="7">
        <v>44165.0</v>
      </c>
      <c r="F185" s="6" t="s">
        <v>12</v>
      </c>
      <c r="G185" s="8" t="s">
        <v>558</v>
      </c>
      <c r="H185" s="8" t="s">
        <v>558</v>
      </c>
    </row>
    <row r="186">
      <c r="A186" s="6" t="s">
        <v>8</v>
      </c>
      <c r="B186" s="6" t="s">
        <v>9</v>
      </c>
      <c r="C186" s="6" t="s">
        <v>559</v>
      </c>
      <c r="D186" s="6" t="s">
        <v>560</v>
      </c>
      <c r="E186" s="7">
        <v>44165.0</v>
      </c>
      <c r="F186" s="6" t="s">
        <v>12</v>
      </c>
      <c r="G186" s="8" t="s">
        <v>561</v>
      </c>
      <c r="H186" s="8" t="s">
        <v>561</v>
      </c>
    </row>
    <row r="187">
      <c r="A187" s="6" t="s">
        <v>8</v>
      </c>
      <c r="B187" s="6" t="s">
        <v>9</v>
      </c>
      <c r="C187" s="6" t="s">
        <v>562</v>
      </c>
      <c r="D187" s="6" t="s">
        <v>563</v>
      </c>
      <c r="E187" s="7">
        <v>44165.0</v>
      </c>
      <c r="F187" s="6" t="s">
        <v>12</v>
      </c>
      <c r="G187" s="8" t="s">
        <v>564</v>
      </c>
      <c r="H187" s="8" t="s">
        <v>564</v>
      </c>
    </row>
    <row r="188">
      <c r="A188" s="6" t="s">
        <v>8</v>
      </c>
      <c r="B188" s="6" t="s">
        <v>9</v>
      </c>
      <c r="C188" s="6" t="s">
        <v>565</v>
      </c>
      <c r="D188" s="6" t="s">
        <v>566</v>
      </c>
      <c r="E188" s="7">
        <v>44165.0</v>
      </c>
      <c r="F188" s="6" t="s">
        <v>12</v>
      </c>
      <c r="G188" s="8" t="s">
        <v>567</v>
      </c>
      <c r="H188" s="8" t="s">
        <v>567</v>
      </c>
    </row>
    <row r="189">
      <c r="A189" s="6" t="s">
        <v>8</v>
      </c>
      <c r="B189" s="6" t="s">
        <v>9</v>
      </c>
      <c r="C189" s="6" t="s">
        <v>568</v>
      </c>
      <c r="D189" s="6" t="s">
        <v>569</v>
      </c>
      <c r="E189" s="7">
        <v>44165.0</v>
      </c>
      <c r="F189" s="6" t="s">
        <v>12</v>
      </c>
      <c r="G189" s="8" t="s">
        <v>570</v>
      </c>
      <c r="H189" s="8" t="s">
        <v>570</v>
      </c>
    </row>
    <row r="190">
      <c r="A190" s="6" t="s">
        <v>8</v>
      </c>
      <c r="B190" s="6" t="s">
        <v>9</v>
      </c>
      <c r="C190" s="6" t="s">
        <v>571</v>
      </c>
      <c r="D190" s="6" t="s">
        <v>572</v>
      </c>
      <c r="E190" s="7">
        <v>44330.0</v>
      </c>
      <c r="F190" s="6" t="s">
        <v>12</v>
      </c>
      <c r="G190" s="8" t="s">
        <v>573</v>
      </c>
      <c r="H190" s="8" t="s">
        <v>573</v>
      </c>
    </row>
    <row r="191">
      <c r="A191" s="6" t="s">
        <v>8</v>
      </c>
      <c r="B191" s="6" t="s">
        <v>9</v>
      </c>
      <c r="C191" s="6" t="s">
        <v>574</v>
      </c>
      <c r="D191" s="6" t="s">
        <v>575</v>
      </c>
      <c r="E191" s="7">
        <v>44165.0</v>
      </c>
      <c r="F191" s="6" t="s">
        <v>12</v>
      </c>
      <c r="G191" s="8" t="s">
        <v>576</v>
      </c>
      <c r="H191" s="8" t="s">
        <v>576</v>
      </c>
    </row>
    <row r="192">
      <c r="A192" s="6" t="s">
        <v>8</v>
      </c>
      <c r="B192" s="6" t="s">
        <v>9</v>
      </c>
      <c r="C192" s="6" t="s">
        <v>577</v>
      </c>
      <c r="D192" s="6" t="s">
        <v>578</v>
      </c>
      <c r="E192" s="7">
        <v>44167.0</v>
      </c>
      <c r="F192" s="6" t="s">
        <v>12</v>
      </c>
      <c r="G192" s="8" t="s">
        <v>579</v>
      </c>
      <c r="H192" s="8" t="s">
        <v>579</v>
      </c>
    </row>
    <row r="193">
      <c r="A193" s="6" t="s">
        <v>8</v>
      </c>
      <c r="B193" s="6" t="s">
        <v>9</v>
      </c>
      <c r="C193" s="6" t="s">
        <v>580</v>
      </c>
      <c r="D193" s="6" t="s">
        <v>581</v>
      </c>
      <c r="E193" s="7">
        <v>44326.0</v>
      </c>
      <c r="F193" s="6" t="s">
        <v>12</v>
      </c>
      <c r="G193" s="8" t="s">
        <v>582</v>
      </c>
      <c r="H193" s="8" t="s">
        <v>582</v>
      </c>
    </row>
    <row r="194">
      <c r="A194" s="6" t="s">
        <v>8</v>
      </c>
      <c r="B194" s="6" t="s">
        <v>9</v>
      </c>
      <c r="C194" s="6" t="s">
        <v>583</v>
      </c>
      <c r="D194" s="6" t="s">
        <v>584</v>
      </c>
      <c r="E194" s="7">
        <v>44151.0</v>
      </c>
      <c r="F194" s="6" t="s">
        <v>12</v>
      </c>
      <c r="G194" s="8" t="s">
        <v>585</v>
      </c>
      <c r="H194" s="8" t="s">
        <v>585</v>
      </c>
    </row>
    <row r="195">
      <c r="A195" s="6" t="s">
        <v>8</v>
      </c>
      <c r="B195" s="6" t="s">
        <v>9</v>
      </c>
      <c r="C195" s="6" t="s">
        <v>586</v>
      </c>
      <c r="D195" s="6" t="s">
        <v>587</v>
      </c>
      <c r="E195" s="7">
        <v>44173.0</v>
      </c>
      <c r="F195" s="6" t="s">
        <v>12</v>
      </c>
      <c r="G195" s="8" t="s">
        <v>588</v>
      </c>
      <c r="H195" s="8" t="s">
        <v>588</v>
      </c>
    </row>
    <row r="196">
      <c r="A196" s="6" t="s">
        <v>8</v>
      </c>
      <c r="B196" s="6" t="s">
        <v>9</v>
      </c>
      <c r="C196" s="6" t="s">
        <v>589</v>
      </c>
      <c r="D196" s="6" t="s">
        <v>590</v>
      </c>
      <c r="E196" s="7">
        <v>44173.0</v>
      </c>
      <c r="F196" s="6" t="s">
        <v>12</v>
      </c>
      <c r="G196" s="8" t="s">
        <v>591</v>
      </c>
      <c r="H196" s="8" t="s">
        <v>591</v>
      </c>
    </row>
    <row r="197">
      <c r="A197" s="6" t="s">
        <v>8</v>
      </c>
      <c r="B197" s="6" t="s">
        <v>9</v>
      </c>
      <c r="C197" s="6" t="s">
        <v>592</v>
      </c>
      <c r="D197" s="6" t="s">
        <v>593</v>
      </c>
      <c r="E197" s="7">
        <v>44173.0</v>
      </c>
      <c r="F197" s="6" t="s">
        <v>12</v>
      </c>
      <c r="G197" s="8" t="s">
        <v>594</v>
      </c>
      <c r="H197" s="8" t="s">
        <v>594</v>
      </c>
    </row>
    <row r="198">
      <c r="A198" s="6" t="s">
        <v>8</v>
      </c>
      <c r="B198" s="6" t="s">
        <v>9</v>
      </c>
      <c r="C198" s="6" t="s">
        <v>595</v>
      </c>
      <c r="D198" s="6" t="s">
        <v>596</v>
      </c>
      <c r="E198" s="7">
        <v>44182.0</v>
      </c>
      <c r="F198" s="6" t="s">
        <v>12</v>
      </c>
      <c r="G198" s="8" t="s">
        <v>597</v>
      </c>
      <c r="H198" s="8" t="s">
        <v>597</v>
      </c>
    </row>
    <row r="199">
      <c r="A199" s="6" t="s">
        <v>8</v>
      </c>
      <c r="B199" s="6" t="s">
        <v>9</v>
      </c>
      <c r="C199" s="6" t="s">
        <v>598</v>
      </c>
      <c r="D199" s="6" t="s">
        <v>599</v>
      </c>
      <c r="E199" s="7">
        <v>44182.0</v>
      </c>
      <c r="F199" s="6" t="s">
        <v>12</v>
      </c>
      <c r="G199" s="8" t="s">
        <v>600</v>
      </c>
      <c r="H199" s="8" t="s">
        <v>600</v>
      </c>
    </row>
    <row r="200">
      <c r="A200" s="6" t="s">
        <v>8</v>
      </c>
      <c r="B200" s="6" t="s">
        <v>9</v>
      </c>
      <c r="C200" s="6" t="s">
        <v>601</v>
      </c>
      <c r="D200" s="6" t="s">
        <v>602</v>
      </c>
      <c r="E200" s="7">
        <v>44182.0</v>
      </c>
      <c r="F200" s="6" t="s">
        <v>12</v>
      </c>
      <c r="G200" s="8" t="s">
        <v>603</v>
      </c>
      <c r="H200" s="8" t="s">
        <v>603</v>
      </c>
    </row>
    <row r="201">
      <c r="A201" s="6" t="s">
        <v>8</v>
      </c>
      <c r="B201" s="6" t="s">
        <v>9</v>
      </c>
      <c r="C201" s="6" t="s">
        <v>604</v>
      </c>
      <c r="D201" s="6" t="s">
        <v>605</v>
      </c>
      <c r="E201" s="7">
        <v>44210.0</v>
      </c>
      <c r="F201" s="6" t="s">
        <v>12</v>
      </c>
      <c r="G201" s="8" t="s">
        <v>606</v>
      </c>
      <c r="H201" s="8" t="s">
        <v>606</v>
      </c>
    </row>
    <row r="202">
      <c r="A202" s="6" t="s">
        <v>8</v>
      </c>
      <c r="B202" s="6" t="s">
        <v>9</v>
      </c>
      <c r="C202" s="6" t="s">
        <v>607</v>
      </c>
      <c r="D202" s="6" t="s">
        <v>608</v>
      </c>
      <c r="E202" s="7">
        <v>44176.0</v>
      </c>
      <c r="F202" s="6" t="s">
        <v>12</v>
      </c>
      <c r="G202" s="8" t="s">
        <v>609</v>
      </c>
      <c r="H202" s="8" t="s">
        <v>609</v>
      </c>
    </row>
    <row r="203">
      <c r="A203" s="6" t="s">
        <v>8</v>
      </c>
      <c r="B203" s="6" t="s">
        <v>9</v>
      </c>
      <c r="C203" s="6" t="s">
        <v>610</v>
      </c>
      <c r="D203" s="6" t="s">
        <v>611</v>
      </c>
      <c r="E203" s="7">
        <v>44153.0</v>
      </c>
      <c r="F203" s="6" t="s">
        <v>12</v>
      </c>
      <c r="G203" s="8" t="s">
        <v>612</v>
      </c>
      <c r="H203" s="8" t="s">
        <v>612</v>
      </c>
    </row>
    <row r="204">
      <c r="A204" s="6" t="s">
        <v>8</v>
      </c>
      <c r="B204" s="6" t="s">
        <v>9</v>
      </c>
      <c r="C204" s="6" t="s">
        <v>613</v>
      </c>
      <c r="D204" s="6" t="s">
        <v>614</v>
      </c>
      <c r="E204" s="7">
        <v>44181.0</v>
      </c>
      <c r="F204" s="6" t="s">
        <v>12</v>
      </c>
      <c r="G204" s="8" t="s">
        <v>615</v>
      </c>
      <c r="H204" s="8" t="s">
        <v>615</v>
      </c>
    </row>
    <row r="205">
      <c r="A205" s="6" t="s">
        <v>8</v>
      </c>
      <c r="B205" s="6" t="s">
        <v>9</v>
      </c>
      <c r="C205" s="6" t="s">
        <v>616</v>
      </c>
      <c r="D205" s="6" t="s">
        <v>617</v>
      </c>
      <c r="E205" s="7">
        <v>44181.0</v>
      </c>
      <c r="F205" s="6" t="s">
        <v>12</v>
      </c>
      <c r="G205" s="8" t="s">
        <v>618</v>
      </c>
      <c r="H205" s="8" t="s">
        <v>618</v>
      </c>
    </row>
    <row r="206">
      <c r="A206" s="6" t="s">
        <v>8</v>
      </c>
      <c r="B206" s="6" t="s">
        <v>9</v>
      </c>
      <c r="C206" s="6" t="s">
        <v>619</v>
      </c>
      <c r="D206" s="6" t="s">
        <v>620</v>
      </c>
      <c r="E206" s="7">
        <v>44230.0</v>
      </c>
      <c r="F206" s="6" t="s">
        <v>12</v>
      </c>
      <c r="G206" s="8" t="s">
        <v>621</v>
      </c>
      <c r="H206" s="8" t="s">
        <v>621</v>
      </c>
    </row>
    <row r="207">
      <c r="A207" s="6" t="s">
        <v>8</v>
      </c>
      <c r="B207" s="6" t="s">
        <v>9</v>
      </c>
      <c r="C207" s="6" t="s">
        <v>622</v>
      </c>
      <c r="D207" s="6" t="s">
        <v>129</v>
      </c>
      <c r="E207" s="7">
        <v>44236.0</v>
      </c>
      <c r="F207" s="6" t="s">
        <v>12</v>
      </c>
      <c r="G207" s="8" t="s">
        <v>623</v>
      </c>
      <c r="H207" s="8" t="s">
        <v>623</v>
      </c>
    </row>
    <row r="208">
      <c r="A208" s="6" t="s">
        <v>8</v>
      </c>
      <c r="B208" s="6" t="s">
        <v>9</v>
      </c>
      <c r="C208" s="6" t="s">
        <v>624</v>
      </c>
      <c r="D208" s="6" t="s">
        <v>625</v>
      </c>
      <c r="E208" s="7">
        <v>44236.0</v>
      </c>
      <c r="F208" s="6" t="s">
        <v>12</v>
      </c>
      <c r="G208" s="8" t="s">
        <v>626</v>
      </c>
      <c r="H208" s="8" t="s">
        <v>626</v>
      </c>
    </row>
    <row r="209">
      <c r="A209" s="6" t="s">
        <v>8</v>
      </c>
      <c r="B209" s="6" t="s">
        <v>9</v>
      </c>
      <c r="C209" s="6" t="s">
        <v>627</v>
      </c>
      <c r="D209" s="6" t="s">
        <v>628</v>
      </c>
      <c r="E209" s="7">
        <v>44236.0</v>
      </c>
      <c r="F209" s="6" t="s">
        <v>12</v>
      </c>
      <c r="G209" s="8" t="s">
        <v>629</v>
      </c>
      <c r="H209" s="8" t="s">
        <v>629</v>
      </c>
    </row>
    <row r="210">
      <c r="A210" s="6" t="s">
        <v>8</v>
      </c>
      <c r="B210" s="6" t="s">
        <v>9</v>
      </c>
      <c r="C210" s="6" t="s">
        <v>630</v>
      </c>
      <c r="D210" s="6" t="s">
        <v>631</v>
      </c>
      <c r="E210" s="7">
        <v>44236.0</v>
      </c>
      <c r="F210" s="6" t="s">
        <v>12</v>
      </c>
      <c r="G210" s="8" t="s">
        <v>632</v>
      </c>
      <c r="H210" s="8" t="s">
        <v>632</v>
      </c>
    </row>
    <row r="211">
      <c r="A211" s="6" t="s">
        <v>8</v>
      </c>
      <c r="B211" s="6" t="s">
        <v>9</v>
      </c>
      <c r="C211" s="6" t="s">
        <v>633</v>
      </c>
      <c r="D211" s="6" t="s">
        <v>634</v>
      </c>
      <c r="E211" s="7">
        <v>44236.0</v>
      </c>
      <c r="F211" s="6" t="s">
        <v>12</v>
      </c>
      <c r="G211" s="8" t="s">
        <v>635</v>
      </c>
      <c r="H211" s="8" t="s">
        <v>635</v>
      </c>
    </row>
    <row r="212">
      <c r="A212" s="6" t="s">
        <v>8</v>
      </c>
      <c r="B212" s="6" t="s">
        <v>9</v>
      </c>
      <c r="C212" s="6" t="s">
        <v>636</v>
      </c>
      <c r="D212" s="6" t="s">
        <v>637</v>
      </c>
      <c r="E212" s="7">
        <v>44236.0</v>
      </c>
      <c r="F212" s="6" t="s">
        <v>12</v>
      </c>
      <c r="G212" s="8" t="s">
        <v>638</v>
      </c>
      <c r="H212" s="8" t="s">
        <v>638</v>
      </c>
    </row>
    <row r="213">
      <c r="A213" s="6" t="s">
        <v>8</v>
      </c>
      <c r="B213" s="6" t="s">
        <v>9</v>
      </c>
      <c r="C213" s="6" t="s">
        <v>639</v>
      </c>
      <c r="D213" s="6" t="s">
        <v>640</v>
      </c>
      <c r="E213" s="7">
        <v>44236.0</v>
      </c>
      <c r="F213" s="6" t="s">
        <v>12</v>
      </c>
      <c r="G213" s="8" t="s">
        <v>641</v>
      </c>
      <c r="H213" s="8" t="s">
        <v>641</v>
      </c>
    </row>
    <row r="214">
      <c r="A214" s="6" t="s">
        <v>8</v>
      </c>
      <c r="B214" s="6" t="s">
        <v>9</v>
      </c>
      <c r="C214" s="6" t="s">
        <v>642</v>
      </c>
      <c r="D214" s="6" t="s">
        <v>643</v>
      </c>
      <c r="E214" s="7">
        <v>44208.0</v>
      </c>
      <c r="F214" s="6" t="s">
        <v>12</v>
      </c>
      <c r="G214" s="8" t="s">
        <v>644</v>
      </c>
      <c r="H214" s="8" t="s">
        <v>644</v>
      </c>
    </row>
    <row r="215">
      <c r="A215" s="6" t="s">
        <v>8</v>
      </c>
      <c r="B215" s="6" t="s">
        <v>9</v>
      </c>
      <c r="C215" s="6" t="s">
        <v>645</v>
      </c>
      <c r="D215" s="6" t="s">
        <v>646</v>
      </c>
      <c r="E215" s="7">
        <v>44236.0</v>
      </c>
      <c r="F215" s="6" t="s">
        <v>12</v>
      </c>
      <c r="G215" s="8" t="s">
        <v>647</v>
      </c>
      <c r="H215" s="8" t="s">
        <v>647</v>
      </c>
    </row>
    <row r="216">
      <c r="A216" s="6" t="s">
        <v>8</v>
      </c>
      <c r="B216" s="6" t="s">
        <v>9</v>
      </c>
      <c r="C216" s="6" t="s">
        <v>648</v>
      </c>
      <c r="D216" s="6" t="s">
        <v>649</v>
      </c>
      <c r="E216" s="7">
        <v>44236.0</v>
      </c>
      <c r="F216" s="6" t="s">
        <v>12</v>
      </c>
      <c r="G216" s="8" t="s">
        <v>650</v>
      </c>
      <c r="H216" s="8" t="s">
        <v>650</v>
      </c>
    </row>
    <row r="217">
      <c r="A217" s="6" t="s">
        <v>8</v>
      </c>
      <c r="B217" s="6" t="s">
        <v>9</v>
      </c>
      <c r="C217" s="6" t="s">
        <v>651</v>
      </c>
      <c r="D217" s="6" t="s">
        <v>652</v>
      </c>
      <c r="E217" s="7">
        <v>44278.0</v>
      </c>
      <c r="F217" s="6" t="s">
        <v>12</v>
      </c>
      <c r="G217" s="8" t="s">
        <v>653</v>
      </c>
      <c r="H217" s="8" t="s">
        <v>653</v>
      </c>
    </row>
    <row r="218">
      <c r="A218" s="6" t="s">
        <v>8</v>
      </c>
      <c r="B218" s="6" t="s">
        <v>9</v>
      </c>
      <c r="C218" s="6" t="s">
        <v>654</v>
      </c>
      <c r="D218" s="6" t="s">
        <v>655</v>
      </c>
      <c r="E218" s="7">
        <v>44278.0</v>
      </c>
      <c r="F218" s="6" t="s">
        <v>12</v>
      </c>
      <c r="G218" s="8" t="s">
        <v>656</v>
      </c>
      <c r="H218" s="8" t="s">
        <v>656</v>
      </c>
    </row>
    <row r="219">
      <c r="A219" s="6" t="s">
        <v>8</v>
      </c>
      <c r="B219" s="6" t="s">
        <v>9</v>
      </c>
      <c r="C219" s="6" t="s">
        <v>657</v>
      </c>
      <c r="D219" s="6" t="s">
        <v>658</v>
      </c>
      <c r="E219" s="7">
        <v>44278.0</v>
      </c>
      <c r="F219" s="6" t="s">
        <v>12</v>
      </c>
      <c r="G219" s="8" t="s">
        <v>659</v>
      </c>
      <c r="H219" s="8" t="s">
        <v>659</v>
      </c>
    </row>
    <row r="220">
      <c r="A220" s="6" t="s">
        <v>8</v>
      </c>
      <c r="B220" s="6" t="s">
        <v>9</v>
      </c>
      <c r="C220" s="6" t="s">
        <v>660</v>
      </c>
      <c r="D220" s="6" t="s">
        <v>661</v>
      </c>
      <c r="E220" s="7">
        <v>44278.0</v>
      </c>
      <c r="F220" s="6" t="s">
        <v>12</v>
      </c>
      <c r="G220" s="8" t="s">
        <v>662</v>
      </c>
      <c r="H220" s="8" t="s">
        <v>662</v>
      </c>
    </row>
    <row r="221">
      <c r="A221" s="6" t="s">
        <v>8</v>
      </c>
      <c r="B221" s="6" t="s">
        <v>9</v>
      </c>
      <c r="C221" s="6" t="s">
        <v>663</v>
      </c>
      <c r="D221" s="6" t="s">
        <v>664</v>
      </c>
      <c r="E221" s="7">
        <v>44237.0</v>
      </c>
      <c r="F221" s="6" t="s">
        <v>12</v>
      </c>
      <c r="G221" s="8" t="s">
        <v>665</v>
      </c>
      <c r="H221" s="8" t="s">
        <v>665</v>
      </c>
    </row>
    <row r="222">
      <c r="A222" s="6" t="s">
        <v>8</v>
      </c>
      <c r="B222" s="6" t="s">
        <v>9</v>
      </c>
      <c r="C222" s="6" t="s">
        <v>666</v>
      </c>
      <c r="D222" s="6" t="s">
        <v>667</v>
      </c>
      <c r="E222" s="7">
        <v>44237.0</v>
      </c>
      <c r="F222" s="6" t="s">
        <v>12</v>
      </c>
      <c r="G222" s="8" t="s">
        <v>668</v>
      </c>
      <c r="H222" s="8" t="s">
        <v>668</v>
      </c>
    </row>
    <row r="223">
      <c r="A223" s="6" t="s">
        <v>8</v>
      </c>
      <c r="B223" s="6" t="s">
        <v>9</v>
      </c>
      <c r="C223" s="6" t="s">
        <v>669</v>
      </c>
      <c r="D223" s="6" t="s">
        <v>670</v>
      </c>
      <c r="E223" s="7">
        <v>44319.0</v>
      </c>
      <c r="F223" s="6" t="s">
        <v>12</v>
      </c>
      <c r="G223" s="8" t="s">
        <v>671</v>
      </c>
      <c r="H223" s="8" t="s">
        <v>671</v>
      </c>
    </row>
    <row r="224">
      <c r="A224" s="6" t="s">
        <v>8</v>
      </c>
      <c r="B224" s="6" t="s">
        <v>9</v>
      </c>
      <c r="C224" s="6" t="s">
        <v>672</v>
      </c>
      <c r="D224" s="6" t="s">
        <v>673</v>
      </c>
      <c r="E224" s="7">
        <v>44214.0</v>
      </c>
      <c r="F224" s="6" t="s">
        <v>12</v>
      </c>
      <c r="G224" s="8" t="s">
        <v>674</v>
      </c>
      <c r="H224" s="8" t="s">
        <v>674</v>
      </c>
    </row>
    <row r="225">
      <c r="A225" s="6" t="s">
        <v>8</v>
      </c>
      <c r="B225" s="6" t="s">
        <v>9</v>
      </c>
      <c r="C225" s="6" t="s">
        <v>675</v>
      </c>
      <c r="D225" s="6" t="s">
        <v>676</v>
      </c>
      <c r="E225" s="7">
        <v>44257.0</v>
      </c>
      <c r="F225" s="6" t="s">
        <v>12</v>
      </c>
      <c r="G225" s="8" t="s">
        <v>677</v>
      </c>
      <c r="H225" s="8" t="s">
        <v>677</v>
      </c>
    </row>
    <row r="226">
      <c r="A226" s="6" t="s">
        <v>8</v>
      </c>
      <c r="B226" s="6" t="s">
        <v>9</v>
      </c>
      <c r="C226" s="6" t="s">
        <v>678</v>
      </c>
      <c r="D226" s="6" t="s">
        <v>679</v>
      </c>
      <c r="E226" s="7">
        <v>44257.0</v>
      </c>
      <c r="F226" s="6" t="s">
        <v>12</v>
      </c>
      <c r="G226" s="8" t="s">
        <v>680</v>
      </c>
      <c r="H226" s="8" t="s">
        <v>680</v>
      </c>
    </row>
    <row r="227">
      <c r="A227" s="6" t="s">
        <v>8</v>
      </c>
      <c r="B227" s="6" t="s">
        <v>9</v>
      </c>
      <c r="C227" s="6" t="s">
        <v>681</v>
      </c>
      <c r="D227" s="6" t="s">
        <v>682</v>
      </c>
      <c r="E227" s="7">
        <v>44257.0</v>
      </c>
      <c r="F227" s="6" t="s">
        <v>12</v>
      </c>
      <c r="G227" s="8" t="s">
        <v>683</v>
      </c>
      <c r="H227" s="8" t="s">
        <v>683</v>
      </c>
    </row>
    <row r="228">
      <c r="A228" s="6" t="s">
        <v>8</v>
      </c>
      <c r="B228" s="6" t="s">
        <v>9</v>
      </c>
      <c r="C228" s="6" t="s">
        <v>684</v>
      </c>
      <c r="D228" s="6" t="s">
        <v>685</v>
      </c>
      <c r="E228" s="7">
        <v>44243.0</v>
      </c>
      <c r="F228" s="6" t="s">
        <v>12</v>
      </c>
      <c r="G228" s="8" t="s">
        <v>686</v>
      </c>
      <c r="H228" s="8" t="s">
        <v>686</v>
      </c>
    </row>
    <row r="229">
      <c r="A229" s="6" t="s">
        <v>8</v>
      </c>
      <c r="B229" s="6" t="s">
        <v>9</v>
      </c>
      <c r="C229" s="6" t="s">
        <v>687</v>
      </c>
      <c r="D229" s="6" t="s">
        <v>688</v>
      </c>
      <c r="E229" s="7">
        <v>44243.0</v>
      </c>
      <c r="F229" s="6" t="s">
        <v>12</v>
      </c>
      <c r="G229" s="8" t="s">
        <v>689</v>
      </c>
      <c r="H229" s="8" t="s">
        <v>689</v>
      </c>
    </row>
    <row r="230">
      <c r="A230" s="6" t="s">
        <v>8</v>
      </c>
      <c r="B230" s="6" t="s">
        <v>9</v>
      </c>
      <c r="C230" s="6" t="s">
        <v>690</v>
      </c>
      <c r="D230" s="6" t="s">
        <v>691</v>
      </c>
      <c r="E230" s="7">
        <v>44222.0</v>
      </c>
      <c r="F230" s="6" t="s">
        <v>12</v>
      </c>
      <c r="G230" s="8" t="s">
        <v>692</v>
      </c>
      <c r="H230" s="8" t="s">
        <v>692</v>
      </c>
    </row>
    <row r="231">
      <c r="A231" s="6" t="s">
        <v>8</v>
      </c>
      <c r="B231" s="6" t="s">
        <v>9</v>
      </c>
      <c r="C231" s="6" t="s">
        <v>693</v>
      </c>
      <c r="D231" s="6" t="s">
        <v>694</v>
      </c>
      <c r="E231" s="7">
        <v>44223.0</v>
      </c>
      <c r="F231" s="6" t="s">
        <v>12</v>
      </c>
      <c r="G231" s="8" t="s">
        <v>695</v>
      </c>
      <c r="H231" s="8" t="s">
        <v>695</v>
      </c>
    </row>
    <row r="232">
      <c r="A232" s="6" t="s">
        <v>8</v>
      </c>
      <c r="B232" s="6" t="s">
        <v>9</v>
      </c>
      <c r="C232" s="6" t="s">
        <v>696</v>
      </c>
      <c r="D232" s="6" t="s">
        <v>697</v>
      </c>
      <c r="E232" s="7">
        <v>44223.0</v>
      </c>
      <c r="F232" s="6" t="s">
        <v>12</v>
      </c>
      <c r="G232" s="8" t="s">
        <v>698</v>
      </c>
      <c r="H232" s="8" t="s">
        <v>698</v>
      </c>
    </row>
    <row r="233">
      <c r="A233" s="6" t="s">
        <v>8</v>
      </c>
      <c r="B233" s="6" t="s">
        <v>9</v>
      </c>
      <c r="C233" s="6" t="s">
        <v>699</v>
      </c>
      <c r="D233" s="6" t="s">
        <v>700</v>
      </c>
      <c r="E233" s="7">
        <v>44223.0</v>
      </c>
      <c r="F233" s="6" t="s">
        <v>12</v>
      </c>
      <c r="G233" s="8" t="s">
        <v>701</v>
      </c>
      <c r="H233" s="8" t="s">
        <v>701</v>
      </c>
    </row>
    <row r="234">
      <c r="A234" s="6" t="s">
        <v>8</v>
      </c>
      <c r="B234" s="6" t="s">
        <v>9</v>
      </c>
      <c r="C234" s="6" t="s">
        <v>702</v>
      </c>
      <c r="D234" s="6" t="s">
        <v>703</v>
      </c>
      <c r="E234" s="7">
        <v>44223.0</v>
      </c>
      <c r="F234" s="6" t="s">
        <v>12</v>
      </c>
      <c r="G234" s="8" t="s">
        <v>704</v>
      </c>
      <c r="H234" s="8" t="s">
        <v>704</v>
      </c>
    </row>
    <row r="235">
      <c r="A235" s="6" t="s">
        <v>8</v>
      </c>
      <c r="B235" s="6" t="s">
        <v>9</v>
      </c>
      <c r="C235" s="6" t="s">
        <v>705</v>
      </c>
      <c r="D235" s="6" t="s">
        <v>706</v>
      </c>
      <c r="E235" s="7">
        <v>44223.0</v>
      </c>
      <c r="F235" s="6" t="s">
        <v>12</v>
      </c>
      <c r="G235" s="8" t="s">
        <v>707</v>
      </c>
      <c r="H235" s="8" t="s">
        <v>707</v>
      </c>
    </row>
    <row r="236">
      <c r="A236" s="6" t="s">
        <v>8</v>
      </c>
      <c r="B236" s="6" t="s">
        <v>9</v>
      </c>
      <c r="C236" s="6" t="s">
        <v>708</v>
      </c>
      <c r="D236" s="6" t="s">
        <v>515</v>
      </c>
      <c r="E236" s="7">
        <v>44223.0</v>
      </c>
      <c r="F236" s="6" t="s">
        <v>12</v>
      </c>
      <c r="G236" s="8" t="s">
        <v>709</v>
      </c>
      <c r="H236" s="8" t="s">
        <v>709</v>
      </c>
    </row>
    <row r="237">
      <c r="A237" s="6" t="s">
        <v>8</v>
      </c>
      <c r="B237" s="6" t="s">
        <v>9</v>
      </c>
      <c r="C237" s="6" t="s">
        <v>710</v>
      </c>
      <c r="D237" s="6" t="s">
        <v>711</v>
      </c>
      <c r="E237" s="7">
        <v>44263.0</v>
      </c>
      <c r="F237" s="6" t="s">
        <v>12</v>
      </c>
      <c r="G237" s="8" t="s">
        <v>712</v>
      </c>
      <c r="H237" s="8" t="s">
        <v>712</v>
      </c>
    </row>
    <row r="238">
      <c r="A238" s="6" t="s">
        <v>8</v>
      </c>
      <c r="B238" s="6" t="s">
        <v>9</v>
      </c>
      <c r="C238" s="6" t="s">
        <v>713</v>
      </c>
      <c r="D238" s="6" t="s">
        <v>714</v>
      </c>
      <c r="E238" s="7">
        <v>44294.0</v>
      </c>
      <c r="F238" s="6" t="s">
        <v>12</v>
      </c>
      <c r="G238" s="8" t="s">
        <v>715</v>
      </c>
      <c r="H238" s="8" t="s">
        <v>715</v>
      </c>
    </row>
    <row r="239">
      <c r="A239" s="6" t="s">
        <v>8</v>
      </c>
      <c r="B239" s="6" t="s">
        <v>9</v>
      </c>
      <c r="C239" s="6" t="s">
        <v>716</v>
      </c>
      <c r="D239" s="6" t="s">
        <v>717</v>
      </c>
      <c r="E239" s="7">
        <v>44294.0</v>
      </c>
      <c r="F239" s="6" t="s">
        <v>12</v>
      </c>
      <c r="G239" s="8" t="s">
        <v>718</v>
      </c>
      <c r="H239" s="8" t="s">
        <v>718</v>
      </c>
    </row>
    <row r="240">
      <c r="A240" s="6" t="s">
        <v>8</v>
      </c>
      <c r="B240" s="6" t="s">
        <v>9</v>
      </c>
      <c r="C240" s="6" t="s">
        <v>719</v>
      </c>
      <c r="D240" s="6" t="s">
        <v>720</v>
      </c>
      <c r="E240" s="7">
        <v>44294.0</v>
      </c>
      <c r="F240" s="6" t="s">
        <v>12</v>
      </c>
      <c r="G240" s="8" t="s">
        <v>721</v>
      </c>
      <c r="H240" s="8" t="s">
        <v>721</v>
      </c>
    </row>
    <row r="241">
      <c r="A241" s="6" t="s">
        <v>8</v>
      </c>
      <c r="B241" s="6" t="s">
        <v>9</v>
      </c>
      <c r="C241" s="6" t="s">
        <v>722</v>
      </c>
      <c r="D241" s="6" t="s">
        <v>723</v>
      </c>
      <c r="E241" s="7">
        <v>44246.0</v>
      </c>
      <c r="F241" s="6" t="s">
        <v>12</v>
      </c>
      <c r="G241" s="8" t="s">
        <v>724</v>
      </c>
      <c r="H241" s="8" t="s">
        <v>724</v>
      </c>
    </row>
    <row r="242">
      <c r="A242" s="6" t="s">
        <v>8</v>
      </c>
      <c r="B242" s="6" t="s">
        <v>9</v>
      </c>
      <c r="C242" s="6" t="s">
        <v>725</v>
      </c>
      <c r="D242" s="6" t="s">
        <v>726</v>
      </c>
      <c r="E242" s="7">
        <v>44312.0</v>
      </c>
      <c r="F242" s="6" t="s">
        <v>12</v>
      </c>
      <c r="G242" s="8" t="s">
        <v>727</v>
      </c>
      <c r="H242" s="8" t="s">
        <v>727</v>
      </c>
    </row>
    <row r="243">
      <c r="A243" s="6" t="s">
        <v>8</v>
      </c>
      <c r="B243" s="6" t="s">
        <v>9</v>
      </c>
      <c r="C243" s="6" t="s">
        <v>728</v>
      </c>
      <c r="D243" s="6" t="s">
        <v>729</v>
      </c>
      <c r="E243" s="7">
        <v>44263.0</v>
      </c>
      <c r="F243" s="6" t="s">
        <v>12</v>
      </c>
      <c r="G243" s="8" t="s">
        <v>730</v>
      </c>
      <c r="H243" s="8" t="s">
        <v>730</v>
      </c>
    </row>
    <row r="244">
      <c r="A244" s="6" t="s">
        <v>8</v>
      </c>
      <c r="B244" s="6" t="s">
        <v>9</v>
      </c>
      <c r="C244" s="6" t="s">
        <v>731</v>
      </c>
      <c r="D244" s="6" t="s">
        <v>732</v>
      </c>
      <c r="E244" s="7">
        <v>44263.0</v>
      </c>
      <c r="F244" s="6" t="s">
        <v>12</v>
      </c>
      <c r="G244" s="8" t="s">
        <v>733</v>
      </c>
      <c r="H244" s="8" t="s">
        <v>733</v>
      </c>
    </row>
    <row r="245">
      <c r="A245" s="6" t="s">
        <v>8</v>
      </c>
      <c r="B245" s="6" t="s">
        <v>9</v>
      </c>
      <c r="C245" s="6" t="s">
        <v>734</v>
      </c>
      <c r="D245" s="6" t="s">
        <v>735</v>
      </c>
      <c r="E245" s="7">
        <v>44263.0</v>
      </c>
      <c r="F245" s="6" t="s">
        <v>12</v>
      </c>
      <c r="G245" s="8" t="s">
        <v>736</v>
      </c>
      <c r="H245" s="8" t="s">
        <v>736</v>
      </c>
    </row>
    <row r="246">
      <c r="A246" s="6" t="s">
        <v>8</v>
      </c>
      <c r="B246" s="6" t="s">
        <v>9</v>
      </c>
      <c r="C246" s="6" t="s">
        <v>737</v>
      </c>
      <c r="D246" s="6" t="s">
        <v>738</v>
      </c>
      <c r="E246" s="7">
        <v>44263.0</v>
      </c>
      <c r="F246" s="6" t="s">
        <v>12</v>
      </c>
      <c r="G246" s="8" t="s">
        <v>739</v>
      </c>
      <c r="H246" s="8" t="s">
        <v>739</v>
      </c>
    </row>
    <row r="247">
      <c r="A247" s="6" t="s">
        <v>8</v>
      </c>
      <c r="B247" s="6" t="s">
        <v>9</v>
      </c>
      <c r="C247" s="6" t="s">
        <v>740</v>
      </c>
      <c r="D247" s="6" t="s">
        <v>741</v>
      </c>
      <c r="E247" s="7">
        <v>44301.0</v>
      </c>
      <c r="F247" s="6" t="s">
        <v>12</v>
      </c>
      <c r="G247" s="8" t="s">
        <v>742</v>
      </c>
      <c r="H247" s="8" t="s">
        <v>742</v>
      </c>
    </row>
    <row r="248">
      <c r="A248" s="6" t="s">
        <v>8</v>
      </c>
      <c r="B248" s="6" t="s">
        <v>9</v>
      </c>
      <c r="C248" s="6" t="s">
        <v>743</v>
      </c>
      <c r="D248" s="6" t="s">
        <v>744</v>
      </c>
      <c r="E248" s="7">
        <v>44263.0</v>
      </c>
      <c r="F248" s="6" t="s">
        <v>12</v>
      </c>
      <c r="G248" s="8" t="s">
        <v>745</v>
      </c>
      <c r="H248" s="8" t="s">
        <v>745</v>
      </c>
    </row>
    <row r="249">
      <c r="A249" s="6" t="s">
        <v>8</v>
      </c>
      <c r="B249" s="6" t="s">
        <v>9</v>
      </c>
      <c r="C249" s="6" t="s">
        <v>746</v>
      </c>
      <c r="D249" s="6" t="s">
        <v>747</v>
      </c>
      <c r="E249" s="7">
        <v>44263.0</v>
      </c>
      <c r="F249" s="6" t="s">
        <v>12</v>
      </c>
      <c r="G249" s="8" t="s">
        <v>748</v>
      </c>
      <c r="H249" s="8" t="s">
        <v>748</v>
      </c>
    </row>
    <row r="250">
      <c r="A250" s="6" t="s">
        <v>8</v>
      </c>
      <c r="B250" s="6" t="s">
        <v>9</v>
      </c>
      <c r="C250" s="6" t="s">
        <v>749</v>
      </c>
      <c r="D250" s="6" t="s">
        <v>750</v>
      </c>
      <c r="E250" s="7">
        <v>44263.0</v>
      </c>
      <c r="F250" s="6" t="s">
        <v>12</v>
      </c>
      <c r="G250" s="8" t="s">
        <v>751</v>
      </c>
      <c r="H250" s="8" t="s">
        <v>751</v>
      </c>
    </row>
    <row r="251">
      <c r="A251" s="6" t="s">
        <v>8</v>
      </c>
      <c r="B251" s="6" t="s">
        <v>9</v>
      </c>
      <c r="C251" s="6" t="s">
        <v>752</v>
      </c>
      <c r="D251" s="6" t="s">
        <v>753</v>
      </c>
      <c r="E251" s="7">
        <v>44263.0</v>
      </c>
      <c r="F251" s="6" t="s">
        <v>12</v>
      </c>
      <c r="G251" s="8" t="s">
        <v>754</v>
      </c>
      <c r="H251" s="8" t="s">
        <v>754</v>
      </c>
    </row>
    <row r="252">
      <c r="A252" s="6" t="s">
        <v>8</v>
      </c>
      <c r="B252" s="6" t="s">
        <v>9</v>
      </c>
      <c r="C252" s="6" t="s">
        <v>755</v>
      </c>
      <c r="D252" s="6" t="s">
        <v>756</v>
      </c>
      <c r="E252" s="7">
        <v>44277.0</v>
      </c>
      <c r="F252" s="6" t="s">
        <v>12</v>
      </c>
      <c r="G252" s="8" t="s">
        <v>757</v>
      </c>
      <c r="H252" s="8" t="s">
        <v>757</v>
      </c>
    </row>
    <row r="253">
      <c r="A253" s="6" t="s">
        <v>8</v>
      </c>
      <c r="B253" s="6" t="s">
        <v>9</v>
      </c>
      <c r="C253" s="6" t="s">
        <v>758</v>
      </c>
      <c r="D253" s="6" t="s">
        <v>759</v>
      </c>
      <c r="E253" s="7">
        <v>44256.0</v>
      </c>
      <c r="F253" s="6" t="s">
        <v>12</v>
      </c>
      <c r="G253" s="8" t="s">
        <v>760</v>
      </c>
      <c r="H253" s="8" t="s">
        <v>760</v>
      </c>
    </row>
    <row r="254">
      <c r="A254" s="6" t="s">
        <v>8</v>
      </c>
      <c r="B254" s="6" t="s">
        <v>9</v>
      </c>
      <c r="C254" s="6" t="s">
        <v>761</v>
      </c>
      <c r="D254" s="6" t="s">
        <v>762</v>
      </c>
      <c r="E254" s="7">
        <v>44256.0</v>
      </c>
      <c r="F254" s="6" t="s">
        <v>12</v>
      </c>
      <c r="G254" s="8" t="s">
        <v>763</v>
      </c>
      <c r="H254" s="8" t="s">
        <v>763</v>
      </c>
    </row>
    <row r="255">
      <c r="A255" s="6" t="s">
        <v>8</v>
      </c>
      <c r="B255" s="6" t="s">
        <v>9</v>
      </c>
      <c r="C255" s="6" t="s">
        <v>764</v>
      </c>
      <c r="D255" s="6" t="s">
        <v>765</v>
      </c>
      <c r="E255" s="7">
        <v>44162.0</v>
      </c>
      <c r="F255" s="6" t="s">
        <v>12</v>
      </c>
      <c r="G255" s="8" t="s">
        <v>766</v>
      </c>
      <c r="H255" s="8" t="s">
        <v>766</v>
      </c>
    </row>
    <row r="256">
      <c r="A256" s="6" t="s">
        <v>8</v>
      </c>
      <c r="B256" s="6" t="s">
        <v>9</v>
      </c>
      <c r="C256" s="6" t="s">
        <v>767</v>
      </c>
      <c r="D256" s="6" t="s">
        <v>768</v>
      </c>
      <c r="E256" s="7">
        <v>44196.0</v>
      </c>
      <c r="F256" s="6" t="s">
        <v>12</v>
      </c>
      <c r="G256" s="8" t="s">
        <v>769</v>
      </c>
      <c r="H256" s="8" t="s">
        <v>769</v>
      </c>
    </row>
    <row r="257">
      <c r="A257" s="6" t="s">
        <v>8</v>
      </c>
      <c r="B257" s="6" t="s">
        <v>9</v>
      </c>
      <c r="C257" s="6" t="s">
        <v>770</v>
      </c>
      <c r="D257" s="6" t="s">
        <v>771</v>
      </c>
      <c r="E257" s="7">
        <v>44194.0</v>
      </c>
      <c r="F257" s="6" t="s">
        <v>12</v>
      </c>
      <c r="G257" s="8" t="s">
        <v>772</v>
      </c>
      <c r="H257" s="8" t="s">
        <v>772</v>
      </c>
    </row>
    <row r="258">
      <c r="A258" s="6" t="s">
        <v>8</v>
      </c>
      <c r="B258" s="6" t="s">
        <v>9</v>
      </c>
      <c r="C258" s="6" t="s">
        <v>773</v>
      </c>
      <c r="D258" s="6" t="s">
        <v>774</v>
      </c>
      <c r="E258" s="7">
        <v>44194.0</v>
      </c>
      <c r="F258" s="6" t="s">
        <v>12</v>
      </c>
      <c r="G258" s="8" t="s">
        <v>775</v>
      </c>
      <c r="H258" s="8" t="s">
        <v>775</v>
      </c>
    </row>
    <row r="259">
      <c r="A259" s="6" t="s">
        <v>8</v>
      </c>
      <c r="B259" s="6" t="s">
        <v>9</v>
      </c>
      <c r="C259" s="6" t="s">
        <v>776</v>
      </c>
      <c r="D259" s="6" t="s">
        <v>777</v>
      </c>
      <c r="E259" s="7">
        <v>44357.0</v>
      </c>
      <c r="F259" s="6" t="s">
        <v>12</v>
      </c>
      <c r="G259" s="8" t="s">
        <v>778</v>
      </c>
      <c r="H259" s="8" t="s">
        <v>778</v>
      </c>
    </row>
    <row r="260">
      <c r="A260" s="6" t="s">
        <v>8</v>
      </c>
      <c r="B260" s="6" t="s">
        <v>9</v>
      </c>
      <c r="C260" s="6" t="s">
        <v>779</v>
      </c>
      <c r="D260" s="6" t="s">
        <v>780</v>
      </c>
      <c r="E260" s="7">
        <v>44456.0</v>
      </c>
      <c r="F260" s="6" t="s">
        <v>12</v>
      </c>
      <c r="G260" s="8" t="s">
        <v>781</v>
      </c>
      <c r="H260" s="8" t="s">
        <v>781</v>
      </c>
    </row>
    <row r="261">
      <c r="A261" s="6" t="s">
        <v>8</v>
      </c>
      <c r="B261" s="6" t="s">
        <v>9</v>
      </c>
      <c r="C261" s="6" t="s">
        <v>782</v>
      </c>
      <c r="D261" s="6" t="s">
        <v>783</v>
      </c>
      <c r="E261" s="7">
        <v>44358.0</v>
      </c>
      <c r="F261" s="6" t="s">
        <v>12</v>
      </c>
      <c r="G261" s="8" t="s">
        <v>784</v>
      </c>
      <c r="H261" s="8" t="s">
        <v>784</v>
      </c>
    </row>
    <row r="262">
      <c r="A262" s="6" t="s">
        <v>8</v>
      </c>
      <c r="B262" s="6" t="s">
        <v>9</v>
      </c>
      <c r="C262" s="6" t="s">
        <v>785</v>
      </c>
      <c r="D262" s="6" t="s">
        <v>786</v>
      </c>
      <c r="E262" s="7">
        <v>44362.0</v>
      </c>
      <c r="F262" s="6" t="s">
        <v>12</v>
      </c>
      <c r="G262" s="8" t="s">
        <v>787</v>
      </c>
      <c r="H262" s="8" t="s">
        <v>787</v>
      </c>
    </row>
    <row r="263">
      <c r="A263" s="6" t="s">
        <v>8</v>
      </c>
      <c r="B263" s="6" t="s">
        <v>9</v>
      </c>
      <c r="C263" s="6" t="s">
        <v>788</v>
      </c>
      <c r="D263" s="6" t="s">
        <v>789</v>
      </c>
      <c r="E263" s="7">
        <v>44375.0</v>
      </c>
      <c r="F263" s="6" t="s">
        <v>12</v>
      </c>
      <c r="G263" s="8" t="s">
        <v>790</v>
      </c>
      <c r="H263" s="8" t="s">
        <v>790</v>
      </c>
    </row>
    <row r="264">
      <c r="A264" s="6" t="s">
        <v>8</v>
      </c>
      <c r="B264" s="6" t="s">
        <v>9</v>
      </c>
      <c r="C264" s="6" t="s">
        <v>791</v>
      </c>
      <c r="D264" s="6" t="s">
        <v>792</v>
      </c>
      <c r="E264" s="7">
        <v>44377.0</v>
      </c>
      <c r="F264" s="6" t="s">
        <v>12</v>
      </c>
      <c r="G264" s="8" t="s">
        <v>793</v>
      </c>
      <c r="H264" s="8" t="s">
        <v>793</v>
      </c>
    </row>
    <row r="265">
      <c r="A265" s="6" t="s">
        <v>8</v>
      </c>
      <c r="B265" s="6" t="s">
        <v>9</v>
      </c>
      <c r="C265" s="6" t="s">
        <v>794</v>
      </c>
      <c r="D265" s="6" t="s">
        <v>795</v>
      </c>
      <c r="E265" s="7">
        <v>44470.0</v>
      </c>
      <c r="F265" s="6" t="s">
        <v>12</v>
      </c>
      <c r="G265" s="8" t="s">
        <v>796</v>
      </c>
      <c r="H265" s="8" t="s">
        <v>796</v>
      </c>
    </row>
    <row r="266">
      <c r="A266" s="6" t="s">
        <v>8</v>
      </c>
      <c r="B266" s="6" t="s">
        <v>9</v>
      </c>
      <c r="C266" s="6" t="s">
        <v>797</v>
      </c>
      <c r="D266" s="6" t="s">
        <v>798</v>
      </c>
      <c r="E266" s="7">
        <v>44459.0</v>
      </c>
      <c r="F266" s="6" t="s">
        <v>12</v>
      </c>
      <c r="G266" s="8" t="s">
        <v>799</v>
      </c>
      <c r="H266" s="8" t="s">
        <v>799</v>
      </c>
    </row>
    <row r="267">
      <c r="A267" s="6" t="s">
        <v>8</v>
      </c>
      <c r="B267" s="6" t="s">
        <v>9</v>
      </c>
      <c r="C267" s="6" t="s">
        <v>800</v>
      </c>
      <c r="D267" s="6" t="s">
        <v>801</v>
      </c>
      <c r="E267" s="7">
        <v>44386.0</v>
      </c>
      <c r="F267" s="6" t="s">
        <v>12</v>
      </c>
      <c r="G267" s="8" t="s">
        <v>802</v>
      </c>
      <c r="H267" s="8" t="s">
        <v>802</v>
      </c>
    </row>
    <row r="268">
      <c r="A268" s="6" t="s">
        <v>8</v>
      </c>
      <c r="B268" s="6" t="s">
        <v>9</v>
      </c>
      <c r="C268" s="6" t="s">
        <v>803</v>
      </c>
      <c r="D268" s="6" t="s">
        <v>804</v>
      </c>
      <c r="E268" s="7">
        <v>44378.0</v>
      </c>
      <c r="F268" s="6" t="s">
        <v>12</v>
      </c>
      <c r="G268" s="8" t="s">
        <v>805</v>
      </c>
      <c r="H268" s="8" t="s">
        <v>805</v>
      </c>
    </row>
    <row r="269">
      <c r="A269" s="6" t="s">
        <v>8</v>
      </c>
      <c r="B269" s="6" t="s">
        <v>9</v>
      </c>
      <c r="C269" s="6" t="s">
        <v>806</v>
      </c>
      <c r="D269" s="6" t="s">
        <v>518</v>
      </c>
      <c r="E269" s="7">
        <v>44378.0</v>
      </c>
      <c r="F269" s="6" t="s">
        <v>12</v>
      </c>
      <c r="G269" s="8" t="s">
        <v>807</v>
      </c>
      <c r="H269" s="8" t="s">
        <v>807</v>
      </c>
    </row>
    <row r="270">
      <c r="A270" s="6" t="s">
        <v>8</v>
      </c>
      <c r="B270" s="6" t="s">
        <v>9</v>
      </c>
      <c r="C270" s="6" t="s">
        <v>808</v>
      </c>
      <c r="D270" s="6" t="s">
        <v>809</v>
      </c>
      <c r="E270" s="7">
        <v>44378.0</v>
      </c>
      <c r="F270" s="6" t="s">
        <v>12</v>
      </c>
      <c r="G270" s="8" t="s">
        <v>810</v>
      </c>
      <c r="H270" s="8" t="s">
        <v>810</v>
      </c>
    </row>
    <row r="271">
      <c r="A271" s="6" t="s">
        <v>8</v>
      </c>
      <c r="B271" s="6" t="s">
        <v>9</v>
      </c>
      <c r="C271" s="6" t="s">
        <v>811</v>
      </c>
      <c r="D271" s="6" t="s">
        <v>646</v>
      </c>
      <c r="E271" s="7">
        <v>44384.0</v>
      </c>
      <c r="F271" s="6" t="s">
        <v>12</v>
      </c>
      <c r="G271" s="8" t="s">
        <v>812</v>
      </c>
      <c r="H271" s="8" t="s">
        <v>812</v>
      </c>
    </row>
    <row r="272">
      <c r="A272" s="6" t="s">
        <v>8</v>
      </c>
      <c r="B272" s="6" t="s">
        <v>9</v>
      </c>
      <c r="C272" s="6" t="s">
        <v>813</v>
      </c>
      <c r="D272" s="6" t="s">
        <v>814</v>
      </c>
      <c r="E272" s="7">
        <v>44385.0</v>
      </c>
      <c r="F272" s="6" t="s">
        <v>12</v>
      </c>
      <c r="G272" s="8" t="s">
        <v>815</v>
      </c>
      <c r="H272" s="8" t="s">
        <v>815</v>
      </c>
    </row>
    <row r="273">
      <c r="A273" s="6" t="s">
        <v>8</v>
      </c>
      <c r="B273" s="6" t="s">
        <v>9</v>
      </c>
      <c r="C273" s="6" t="s">
        <v>816</v>
      </c>
      <c r="D273" s="6" t="s">
        <v>817</v>
      </c>
      <c r="E273" s="7">
        <v>44480.0</v>
      </c>
      <c r="F273" s="6" t="s">
        <v>12</v>
      </c>
      <c r="G273" s="8" t="s">
        <v>818</v>
      </c>
      <c r="H273" s="8" t="s">
        <v>818</v>
      </c>
    </row>
    <row r="274">
      <c r="A274" s="6" t="s">
        <v>8</v>
      </c>
      <c r="B274" s="6" t="s">
        <v>9</v>
      </c>
      <c r="C274" s="6" t="s">
        <v>819</v>
      </c>
      <c r="D274" s="6" t="s">
        <v>820</v>
      </c>
      <c r="E274" s="7">
        <v>44487.0</v>
      </c>
      <c r="F274" s="6" t="s">
        <v>12</v>
      </c>
      <c r="G274" s="8" t="s">
        <v>821</v>
      </c>
      <c r="H274" s="8" t="s">
        <v>821</v>
      </c>
    </row>
    <row r="275">
      <c r="A275" s="6" t="s">
        <v>8</v>
      </c>
      <c r="B275" s="6" t="s">
        <v>9</v>
      </c>
      <c r="C275" s="6" t="s">
        <v>822</v>
      </c>
      <c r="D275" s="6" t="s">
        <v>823</v>
      </c>
      <c r="E275" s="7">
        <v>44476.0</v>
      </c>
      <c r="F275" s="6" t="s">
        <v>12</v>
      </c>
      <c r="G275" s="8" t="s">
        <v>824</v>
      </c>
      <c r="H275" s="8" t="s">
        <v>824</v>
      </c>
    </row>
    <row r="276">
      <c r="A276" s="6" t="s">
        <v>8</v>
      </c>
      <c r="B276" s="6" t="s">
        <v>9</v>
      </c>
      <c r="C276" s="6" t="s">
        <v>825</v>
      </c>
      <c r="D276" s="6" t="s">
        <v>826</v>
      </c>
      <c r="E276" s="7">
        <v>44476.0</v>
      </c>
      <c r="F276" s="6" t="s">
        <v>12</v>
      </c>
      <c r="G276" s="8" t="s">
        <v>827</v>
      </c>
      <c r="H276" s="8" t="s">
        <v>827</v>
      </c>
    </row>
    <row r="277">
      <c r="A277" s="6" t="s">
        <v>8</v>
      </c>
      <c r="B277" s="6" t="s">
        <v>9</v>
      </c>
      <c r="C277" s="6" t="s">
        <v>828</v>
      </c>
      <c r="D277" s="6" t="s">
        <v>829</v>
      </c>
      <c r="E277" s="7">
        <v>44398.0</v>
      </c>
      <c r="F277" s="6" t="s">
        <v>12</v>
      </c>
      <c r="G277" s="8" t="s">
        <v>830</v>
      </c>
      <c r="H277" s="8" t="s">
        <v>830</v>
      </c>
    </row>
    <row r="278">
      <c r="A278" s="6" t="s">
        <v>8</v>
      </c>
      <c r="B278" s="6" t="s">
        <v>9</v>
      </c>
      <c r="C278" s="6" t="s">
        <v>831</v>
      </c>
      <c r="D278" s="6" t="s">
        <v>832</v>
      </c>
      <c r="E278" s="7">
        <v>44375.0</v>
      </c>
      <c r="F278" s="6" t="s">
        <v>12</v>
      </c>
      <c r="G278" s="8" t="s">
        <v>833</v>
      </c>
      <c r="H278" s="8" t="s">
        <v>833</v>
      </c>
    </row>
    <row r="279">
      <c r="A279" s="6" t="s">
        <v>8</v>
      </c>
      <c r="B279" s="6" t="s">
        <v>9</v>
      </c>
      <c r="C279" s="6" t="s">
        <v>834</v>
      </c>
      <c r="D279" s="6" t="s">
        <v>835</v>
      </c>
      <c r="E279" s="7">
        <v>44397.0</v>
      </c>
      <c r="F279" s="6" t="s">
        <v>12</v>
      </c>
      <c r="G279" s="8" t="s">
        <v>836</v>
      </c>
      <c r="H279" s="8" t="s">
        <v>836</v>
      </c>
    </row>
    <row r="280">
      <c r="A280" s="6" t="s">
        <v>8</v>
      </c>
      <c r="B280" s="6" t="s">
        <v>9</v>
      </c>
      <c r="C280" s="6" t="s">
        <v>837</v>
      </c>
      <c r="D280" s="6" t="s">
        <v>838</v>
      </c>
      <c r="E280" s="7">
        <v>44397.0</v>
      </c>
      <c r="F280" s="6" t="s">
        <v>12</v>
      </c>
      <c r="G280" s="8" t="s">
        <v>839</v>
      </c>
      <c r="H280" s="8" t="s">
        <v>839</v>
      </c>
    </row>
    <row r="281">
      <c r="A281" s="6" t="s">
        <v>8</v>
      </c>
      <c r="B281" s="6" t="s">
        <v>9</v>
      </c>
      <c r="C281" s="6" t="s">
        <v>840</v>
      </c>
      <c r="D281" s="6" t="s">
        <v>841</v>
      </c>
      <c r="E281" s="7">
        <v>44420.0</v>
      </c>
      <c r="F281" s="6" t="s">
        <v>12</v>
      </c>
      <c r="G281" s="8" t="s">
        <v>842</v>
      </c>
      <c r="H281" s="8" t="s">
        <v>842</v>
      </c>
    </row>
    <row r="282">
      <c r="A282" s="6" t="s">
        <v>8</v>
      </c>
      <c r="B282" s="6" t="s">
        <v>9</v>
      </c>
      <c r="C282" s="6" t="s">
        <v>843</v>
      </c>
      <c r="D282" s="6" t="s">
        <v>844</v>
      </c>
      <c r="E282" s="7">
        <v>44420.0</v>
      </c>
      <c r="F282" s="6" t="s">
        <v>12</v>
      </c>
      <c r="G282" s="8" t="s">
        <v>845</v>
      </c>
      <c r="H282" s="8" t="s">
        <v>845</v>
      </c>
    </row>
    <row r="283">
      <c r="A283" s="6" t="s">
        <v>8</v>
      </c>
      <c r="B283" s="6" t="s">
        <v>9</v>
      </c>
      <c r="C283" s="6" t="s">
        <v>846</v>
      </c>
      <c r="D283" s="6" t="s">
        <v>847</v>
      </c>
      <c r="E283" s="7">
        <v>44420.0</v>
      </c>
      <c r="F283" s="6" t="s">
        <v>12</v>
      </c>
      <c r="G283" s="8" t="s">
        <v>848</v>
      </c>
      <c r="H283" s="8" t="s">
        <v>848</v>
      </c>
    </row>
    <row r="284">
      <c r="A284" s="6" t="s">
        <v>8</v>
      </c>
      <c r="B284" s="6" t="s">
        <v>9</v>
      </c>
      <c r="C284" s="6" t="s">
        <v>849</v>
      </c>
      <c r="D284" s="6" t="s">
        <v>850</v>
      </c>
      <c r="E284" s="7">
        <v>44420.0</v>
      </c>
      <c r="F284" s="6" t="s">
        <v>12</v>
      </c>
      <c r="G284" s="8" t="s">
        <v>851</v>
      </c>
      <c r="H284" s="8" t="s">
        <v>851</v>
      </c>
    </row>
    <row r="285">
      <c r="A285" s="6" t="s">
        <v>8</v>
      </c>
      <c r="B285" s="6" t="s">
        <v>9</v>
      </c>
      <c r="C285" s="6" t="s">
        <v>852</v>
      </c>
      <c r="D285" s="6" t="s">
        <v>853</v>
      </c>
      <c r="E285" s="7">
        <v>44421.0</v>
      </c>
      <c r="F285" s="6" t="s">
        <v>12</v>
      </c>
      <c r="G285" s="8" t="s">
        <v>854</v>
      </c>
      <c r="H285" s="8" t="s">
        <v>854</v>
      </c>
    </row>
    <row r="286">
      <c r="A286" s="6" t="s">
        <v>8</v>
      </c>
      <c r="B286" s="6" t="s">
        <v>9</v>
      </c>
      <c r="C286" s="6" t="s">
        <v>855</v>
      </c>
      <c r="D286" s="6" t="s">
        <v>856</v>
      </c>
      <c r="E286" s="7">
        <v>44336.0</v>
      </c>
      <c r="F286" s="6" t="s">
        <v>12</v>
      </c>
      <c r="G286" s="8" t="s">
        <v>857</v>
      </c>
      <c r="H286" s="8" t="s">
        <v>857</v>
      </c>
    </row>
    <row r="287">
      <c r="A287" s="6" t="s">
        <v>8</v>
      </c>
      <c r="B287" s="6" t="s">
        <v>9</v>
      </c>
      <c r="C287" s="6" t="s">
        <v>858</v>
      </c>
      <c r="D287" s="6" t="s">
        <v>859</v>
      </c>
      <c r="E287" s="7">
        <v>44347.0</v>
      </c>
      <c r="F287" s="6" t="s">
        <v>12</v>
      </c>
      <c r="G287" s="8" t="s">
        <v>860</v>
      </c>
      <c r="H287" s="8" t="s">
        <v>860</v>
      </c>
    </row>
    <row r="288">
      <c r="A288" s="6" t="s">
        <v>8</v>
      </c>
      <c r="B288" s="6" t="s">
        <v>9</v>
      </c>
      <c r="C288" s="6" t="s">
        <v>861</v>
      </c>
      <c r="D288" s="6" t="s">
        <v>862</v>
      </c>
      <c r="E288" s="7">
        <v>44348.0</v>
      </c>
      <c r="F288" s="6" t="s">
        <v>12</v>
      </c>
      <c r="G288" s="8" t="s">
        <v>863</v>
      </c>
      <c r="H288" s="8" t="s">
        <v>863</v>
      </c>
    </row>
    <row r="289">
      <c r="A289" s="6" t="s">
        <v>8</v>
      </c>
      <c r="B289" s="6" t="s">
        <v>9</v>
      </c>
      <c r="C289" s="6" t="s">
        <v>864</v>
      </c>
      <c r="D289" s="6" t="s">
        <v>865</v>
      </c>
      <c r="E289" s="7">
        <v>44365.0</v>
      </c>
      <c r="F289" s="6" t="s">
        <v>12</v>
      </c>
      <c r="G289" s="8" t="s">
        <v>866</v>
      </c>
      <c r="H289" s="8" t="s">
        <v>866</v>
      </c>
    </row>
    <row r="290">
      <c r="A290" s="6" t="s">
        <v>8</v>
      </c>
      <c r="B290" s="6" t="s">
        <v>9</v>
      </c>
      <c r="C290" s="6" t="s">
        <v>867</v>
      </c>
      <c r="D290" s="6" t="s">
        <v>868</v>
      </c>
      <c r="E290" s="7">
        <v>44334.0</v>
      </c>
      <c r="F290" s="6" t="s">
        <v>12</v>
      </c>
      <c r="G290" s="8" t="s">
        <v>869</v>
      </c>
      <c r="H290" s="8" t="s">
        <v>869</v>
      </c>
    </row>
    <row r="291">
      <c r="A291" s="6" t="s">
        <v>8</v>
      </c>
      <c r="B291" s="6" t="s">
        <v>9</v>
      </c>
      <c r="C291" s="6" t="s">
        <v>870</v>
      </c>
      <c r="D291" s="6" t="s">
        <v>871</v>
      </c>
      <c r="E291" s="7">
        <v>44334.0</v>
      </c>
      <c r="F291" s="6" t="s">
        <v>12</v>
      </c>
      <c r="G291" s="8" t="s">
        <v>872</v>
      </c>
      <c r="H291" s="8" t="s">
        <v>872</v>
      </c>
    </row>
    <row r="292">
      <c r="A292" s="6" t="s">
        <v>8</v>
      </c>
      <c r="B292" s="6" t="s">
        <v>9</v>
      </c>
      <c r="C292" s="6" t="s">
        <v>873</v>
      </c>
      <c r="D292" s="6" t="s">
        <v>874</v>
      </c>
      <c r="E292" s="7">
        <v>44334.0</v>
      </c>
      <c r="F292" s="6" t="s">
        <v>12</v>
      </c>
      <c r="G292" s="8" t="s">
        <v>875</v>
      </c>
      <c r="H292" s="8" t="s">
        <v>875</v>
      </c>
    </row>
    <row r="293">
      <c r="A293" s="6" t="s">
        <v>8</v>
      </c>
      <c r="B293" s="6" t="s">
        <v>9</v>
      </c>
      <c r="C293" s="6" t="s">
        <v>876</v>
      </c>
      <c r="D293" s="6" t="s">
        <v>744</v>
      </c>
      <c r="E293" s="7">
        <v>44334.0</v>
      </c>
      <c r="F293" s="6" t="s">
        <v>12</v>
      </c>
      <c r="G293" s="8" t="s">
        <v>877</v>
      </c>
      <c r="H293" s="8" t="s">
        <v>877</v>
      </c>
    </row>
    <row r="294">
      <c r="A294" s="6" t="s">
        <v>8</v>
      </c>
      <c r="B294" s="6" t="s">
        <v>9</v>
      </c>
      <c r="C294" s="6" t="s">
        <v>878</v>
      </c>
      <c r="D294" s="6" t="s">
        <v>879</v>
      </c>
      <c r="E294" s="7">
        <v>44334.0</v>
      </c>
      <c r="F294" s="6" t="s">
        <v>12</v>
      </c>
      <c r="G294" s="8" t="s">
        <v>880</v>
      </c>
      <c r="H294" s="8" t="s">
        <v>880</v>
      </c>
    </row>
    <row r="295">
      <c r="A295" s="6" t="s">
        <v>8</v>
      </c>
      <c r="B295" s="6" t="s">
        <v>9</v>
      </c>
      <c r="C295" s="6" t="s">
        <v>881</v>
      </c>
      <c r="D295" s="6" t="s">
        <v>882</v>
      </c>
      <c r="E295" s="7">
        <v>44334.0</v>
      </c>
      <c r="F295" s="6" t="s">
        <v>12</v>
      </c>
      <c r="G295" s="8" t="s">
        <v>883</v>
      </c>
      <c r="H295" s="8" t="s">
        <v>883</v>
      </c>
    </row>
    <row r="296">
      <c r="A296" s="6" t="s">
        <v>8</v>
      </c>
      <c r="B296" s="6" t="s">
        <v>9</v>
      </c>
      <c r="C296" s="6" t="s">
        <v>884</v>
      </c>
      <c r="D296" s="6" t="s">
        <v>885</v>
      </c>
      <c r="E296" s="7">
        <v>44404.0</v>
      </c>
      <c r="F296" s="6" t="s">
        <v>12</v>
      </c>
      <c r="G296" s="8" t="s">
        <v>886</v>
      </c>
      <c r="H296" s="8" t="s">
        <v>886</v>
      </c>
    </row>
    <row r="297">
      <c r="A297" s="6" t="s">
        <v>8</v>
      </c>
      <c r="B297" s="6" t="s">
        <v>9</v>
      </c>
      <c r="C297" s="6" t="s">
        <v>887</v>
      </c>
      <c r="D297" s="6" t="s">
        <v>888</v>
      </c>
      <c r="E297" s="7">
        <v>44341.0</v>
      </c>
      <c r="F297" s="6" t="s">
        <v>12</v>
      </c>
      <c r="G297" s="8" t="s">
        <v>889</v>
      </c>
      <c r="H297" s="8" t="s">
        <v>889</v>
      </c>
    </row>
    <row r="298">
      <c r="A298" s="6" t="s">
        <v>8</v>
      </c>
      <c r="B298" s="6" t="s">
        <v>9</v>
      </c>
      <c r="C298" s="6" t="s">
        <v>890</v>
      </c>
      <c r="D298" s="6" t="s">
        <v>891</v>
      </c>
      <c r="E298" s="7">
        <v>44407.0</v>
      </c>
      <c r="F298" s="6" t="s">
        <v>12</v>
      </c>
      <c r="G298" s="8" t="s">
        <v>892</v>
      </c>
      <c r="H298" s="8" t="s">
        <v>892</v>
      </c>
    </row>
    <row r="299">
      <c r="A299" s="6" t="s">
        <v>8</v>
      </c>
      <c r="B299" s="6" t="s">
        <v>9</v>
      </c>
      <c r="C299" s="6" t="s">
        <v>893</v>
      </c>
      <c r="D299" s="6" t="s">
        <v>894</v>
      </c>
      <c r="E299" s="7">
        <v>44407.0</v>
      </c>
      <c r="F299" s="6" t="s">
        <v>12</v>
      </c>
      <c r="G299" s="8" t="s">
        <v>895</v>
      </c>
      <c r="H299" s="8" t="s">
        <v>895</v>
      </c>
    </row>
    <row r="300">
      <c r="A300" s="6" t="s">
        <v>8</v>
      </c>
      <c r="B300" s="6" t="s">
        <v>9</v>
      </c>
      <c r="C300" s="6" t="s">
        <v>896</v>
      </c>
      <c r="D300" s="6" t="s">
        <v>897</v>
      </c>
      <c r="E300" s="7">
        <v>44410.0</v>
      </c>
      <c r="F300" s="6" t="s">
        <v>12</v>
      </c>
      <c r="G300" s="8" t="s">
        <v>898</v>
      </c>
      <c r="H300" s="8" t="s">
        <v>898</v>
      </c>
    </row>
    <row r="301">
      <c r="A301" s="6" t="s">
        <v>8</v>
      </c>
      <c r="B301" s="6" t="s">
        <v>9</v>
      </c>
      <c r="C301" s="6" t="s">
        <v>899</v>
      </c>
      <c r="D301" s="6" t="s">
        <v>900</v>
      </c>
      <c r="E301" s="7">
        <v>44410.0</v>
      </c>
      <c r="F301" s="6" t="s">
        <v>12</v>
      </c>
      <c r="G301" s="8" t="s">
        <v>901</v>
      </c>
      <c r="H301" s="8" t="s">
        <v>901</v>
      </c>
    </row>
    <row r="302">
      <c r="A302" s="6" t="s">
        <v>8</v>
      </c>
      <c r="B302" s="6" t="s">
        <v>9</v>
      </c>
      <c r="C302" s="6" t="s">
        <v>902</v>
      </c>
      <c r="D302" s="6" t="s">
        <v>903</v>
      </c>
      <c r="E302" s="7">
        <v>44410.0</v>
      </c>
      <c r="F302" s="6" t="s">
        <v>12</v>
      </c>
      <c r="G302" s="8" t="s">
        <v>904</v>
      </c>
      <c r="H302" s="8" t="s">
        <v>904</v>
      </c>
    </row>
    <row r="303">
      <c r="A303" s="6" t="s">
        <v>8</v>
      </c>
      <c r="B303" s="6" t="s">
        <v>9</v>
      </c>
      <c r="C303" s="6" t="s">
        <v>905</v>
      </c>
      <c r="D303" s="6" t="s">
        <v>906</v>
      </c>
      <c r="E303" s="7">
        <v>44410.0</v>
      </c>
      <c r="F303" s="6" t="s">
        <v>12</v>
      </c>
      <c r="G303" s="8" t="s">
        <v>907</v>
      </c>
      <c r="H303" s="8" t="s">
        <v>907</v>
      </c>
    </row>
    <row r="304">
      <c r="A304" s="6" t="s">
        <v>8</v>
      </c>
      <c r="B304" s="6" t="s">
        <v>9</v>
      </c>
      <c r="C304" s="6" t="s">
        <v>908</v>
      </c>
      <c r="D304" s="6" t="s">
        <v>909</v>
      </c>
      <c r="E304" s="7">
        <v>44410.0</v>
      </c>
      <c r="F304" s="6" t="s">
        <v>12</v>
      </c>
      <c r="G304" s="8" t="s">
        <v>910</v>
      </c>
      <c r="H304" s="8" t="s">
        <v>910</v>
      </c>
    </row>
    <row r="305">
      <c r="A305" s="6" t="s">
        <v>8</v>
      </c>
      <c r="B305" s="6" t="s">
        <v>9</v>
      </c>
      <c r="C305" s="6" t="s">
        <v>911</v>
      </c>
      <c r="D305" s="6" t="s">
        <v>912</v>
      </c>
      <c r="E305" s="7">
        <v>44410.0</v>
      </c>
      <c r="F305" s="6" t="s">
        <v>12</v>
      </c>
      <c r="G305" s="8" t="s">
        <v>913</v>
      </c>
      <c r="H305" s="8" t="s">
        <v>913</v>
      </c>
    </row>
    <row r="306">
      <c r="A306" s="6" t="s">
        <v>8</v>
      </c>
      <c r="B306" s="6" t="s">
        <v>9</v>
      </c>
      <c r="C306" s="6" t="s">
        <v>914</v>
      </c>
      <c r="D306" s="6" t="s">
        <v>915</v>
      </c>
      <c r="E306" s="7">
        <v>44410.0</v>
      </c>
      <c r="F306" s="6" t="s">
        <v>12</v>
      </c>
      <c r="G306" s="8" t="s">
        <v>916</v>
      </c>
      <c r="H306" s="8" t="s">
        <v>916</v>
      </c>
    </row>
    <row r="307">
      <c r="A307" s="6" t="s">
        <v>8</v>
      </c>
      <c r="B307" s="6" t="s">
        <v>9</v>
      </c>
      <c r="C307" s="6" t="s">
        <v>917</v>
      </c>
      <c r="D307" s="6" t="s">
        <v>918</v>
      </c>
      <c r="E307" s="7">
        <v>44410.0</v>
      </c>
      <c r="F307" s="6" t="s">
        <v>12</v>
      </c>
      <c r="G307" s="8" t="s">
        <v>919</v>
      </c>
      <c r="H307" s="8" t="s">
        <v>919</v>
      </c>
    </row>
    <row r="308">
      <c r="A308" s="6" t="s">
        <v>8</v>
      </c>
      <c r="B308" s="6" t="s">
        <v>9</v>
      </c>
      <c r="C308" s="6" t="s">
        <v>920</v>
      </c>
      <c r="D308" s="6" t="s">
        <v>921</v>
      </c>
      <c r="E308" s="7">
        <v>44392.0</v>
      </c>
      <c r="F308" s="6" t="s">
        <v>12</v>
      </c>
      <c r="G308" s="8" t="s">
        <v>922</v>
      </c>
      <c r="H308" s="8" t="s">
        <v>922</v>
      </c>
    </row>
    <row r="309">
      <c r="A309" s="6" t="s">
        <v>8</v>
      </c>
      <c r="B309" s="6" t="s">
        <v>9</v>
      </c>
      <c r="C309" s="6" t="s">
        <v>923</v>
      </c>
      <c r="D309" s="6" t="s">
        <v>924</v>
      </c>
      <c r="E309" s="7">
        <v>44392.0</v>
      </c>
      <c r="F309" s="6" t="s">
        <v>12</v>
      </c>
      <c r="G309" s="8" t="s">
        <v>925</v>
      </c>
      <c r="H309" s="8" t="s">
        <v>925</v>
      </c>
    </row>
    <row r="310">
      <c r="A310" s="6" t="s">
        <v>8</v>
      </c>
      <c r="B310" s="6" t="s">
        <v>9</v>
      </c>
      <c r="C310" s="6" t="s">
        <v>926</v>
      </c>
      <c r="D310" s="6" t="s">
        <v>927</v>
      </c>
      <c r="E310" s="7">
        <v>44407.0</v>
      </c>
      <c r="F310" s="6" t="s">
        <v>12</v>
      </c>
      <c r="G310" s="8" t="s">
        <v>928</v>
      </c>
      <c r="H310" s="8" t="s">
        <v>928</v>
      </c>
    </row>
    <row r="311">
      <c r="A311" s="6" t="s">
        <v>8</v>
      </c>
      <c r="B311" s="6" t="s">
        <v>9</v>
      </c>
      <c r="C311" s="6" t="s">
        <v>929</v>
      </c>
      <c r="D311" s="6" t="s">
        <v>930</v>
      </c>
      <c r="E311" s="7">
        <v>44417.0</v>
      </c>
      <c r="F311" s="6" t="s">
        <v>12</v>
      </c>
      <c r="G311" s="8" t="s">
        <v>931</v>
      </c>
      <c r="H311" s="8" t="s">
        <v>931</v>
      </c>
    </row>
    <row r="312">
      <c r="A312" s="6" t="s">
        <v>8</v>
      </c>
      <c r="B312" s="6" t="s">
        <v>9</v>
      </c>
      <c r="C312" s="6" t="s">
        <v>932</v>
      </c>
      <c r="D312" s="6" t="s">
        <v>933</v>
      </c>
      <c r="E312" s="7">
        <v>44412.0</v>
      </c>
      <c r="F312" s="6" t="s">
        <v>12</v>
      </c>
      <c r="G312" s="8" t="s">
        <v>934</v>
      </c>
      <c r="H312" s="8" t="s">
        <v>934</v>
      </c>
    </row>
    <row r="313">
      <c r="A313" s="6" t="s">
        <v>8</v>
      </c>
      <c r="B313" s="6" t="s">
        <v>9</v>
      </c>
      <c r="C313" s="6" t="s">
        <v>935</v>
      </c>
      <c r="D313" s="6" t="s">
        <v>936</v>
      </c>
      <c r="E313" s="7">
        <v>44462.0</v>
      </c>
      <c r="F313" s="6" t="s">
        <v>12</v>
      </c>
      <c r="G313" s="8" t="s">
        <v>937</v>
      </c>
      <c r="H313" s="8" t="s">
        <v>937</v>
      </c>
    </row>
    <row r="314">
      <c r="A314" s="6" t="s">
        <v>8</v>
      </c>
      <c r="B314" s="6" t="s">
        <v>9</v>
      </c>
      <c r="C314" s="6" t="s">
        <v>938</v>
      </c>
      <c r="D314" s="6" t="s">
        <v>939</v>
      </c>
      <c r="E314" s="7">
        <v>44462.0</v>
      </c>
      <c r="F314" s="6" t="s">
        <v>12</v>
      </c>
      <c r="G314" s="8" t="s">
        <v>940</v>
      </c>
      <c r="H314" s="8" t="s">
        <v>940</v>
      </c>
    </row>
    <row r="315">
      <c r="A315" s="6" t="s">
        <v>8</v>
      </c>
      <c r="B315" s="6" t="s">
        <v>9</v>
      </c>
      <c r="C315" s="6" t="s">
        <v>941</v>
      </c>
      <c r="D315" s="6" t="s">
        <v>942</v>
      </c>
      <c r="E315" s="7">
        <v>44461.0</v>
      </c>
      <c r="F315" s="6" t="s">
        <v>12</v>
      </c>
      <c r="G315" s="8" t="s">
        <v>943</v>
      </c>
      <c r="H315" s="8" t="s">
        <v>943</v>
      </c>
    </row>
    <row r="316">
      <c r="A316" s="6" t="s">
        <v>8</v>
      </c>
      <c r="B316" s="6" t="s">
        <v>9</v>
      </c>
      <c r="C316" s="6" t="s">
        <v>944</v>
      </c>
      <c r="D316" s="6" t="s">
        <v>945</v>
      </c>
      <c r="E316" s="7">
        <v>44467.0</v>
      </c>
      <c r="F316" s="6" t="s">
        <v>12</v>
      </c>
      <c r="G316" s="8" t="s">
        <v>946</v>
      </c>
      <c r="H316" s="8" t="s">
        <v>946</v>
      </c>
    </row>
    <row r="317">
      <c r="A317" s="6" t="s">
        <v>8</v>
      </c>
      <c r="B317" s="6" t="s">
        <v>9</v>
      </c>
      <c r="C317" s="6" t="s">
        <v>947</v>
      </c>
      <c r="D317" s="6" t="s">
        <v>948</v>
      </c>
      <c r="E317" s="7">
        <v>44467.0</v>
      </c>
      <c r="F317" s="6" t="s">
        <v>12</v>
      </c>
      <c r="G317" s="8" t="s">
        <v>949</v>
      </c>
      <c r="H317" s="8" t="s">
        <v>949</v>
      </c>
    </row>
    <row r="318">
      <c r="A318" s="6" t="s">
        <v>8</v>
      </c>
      <c r="B318" s="6" t="s">
        <v>9</v>
      </c>
      <c r="C318" s="6" t="s">
        <v>950</v>
      </c>
      <c r="D318" s="6" t="s">
        <v>735</v>
      </c>
      <c r="E318" s="7">
        <v>44467.0</v>
      </c>
      <c r="F318" s="6" t="s">
        <v>12</v>
      </c>
      <c r="G318" s="8" t="s">
        <v>951</v>
      </c>
      <c r="H318" s="8" t="s">
        <v>951</v>
      </c>
    </row>
    <row r="319">
      <c r="A319" s="6" t="s">
        <v>8</v>
      </c>
      <c r="B319" s="6" t="s">
        <v>9</v>
      </c>
      <c r="C319" s="6" t="s">
        <v>952</v>
      </c>
      <c r="D319" s="6" t="s">
        <v>953</v>
      </c>
      <c r="E319" s="7">
        <v>44467.0</v>
      </c>
      <c r="F319" s="6" t="s">
        <v>12</v>
      </c>
      <c r="G319" s="8" t="s">
        <v>954</v>
      </c>
      <c r="H319" s="8" t="s">
        <v>954</v>
      </c>
    </row>
    <row r="320">
      <c r="A320" s="6" t="s">
        <v>8</v>
      </c>
      <c r="B320" s="6" t="s">
        <v>9</v>
      </c>
      <c r="C320" s="6" t="s">
        <v>955</v>
      </c>
      <c r="D320" s="6" t="s">
        <v>956</v>
      </c>
      <c r="E320" s="7">
        <v>44467.0</v>
      </c>
      <c r="F320" s="6" t="s">
        <v>12</v>
      </c>
      <c r="G320" s="8" t="s">
        <v>957</v>
      </c>
      <c r="H320" s="8" t="s">
        <v>957</v>
      </c>
    </row>
    <row r="321">
      <c r="A321" s="6" t="s">
        <v>8</v>
      </c>
      <c r="B321" s="6" t="s">
        <v>9</v>
      </c>
      <c r="C321" s="6" t="s">
        <v>958</v>
      </c>
      <c r="D321" s="6" t="s">
        <v>959</v>
      </c>
      <c r="E321" s="7">
        <v>44467.0</v>
      </c>
      <c r="F321" s="6" t="s">
        <v>12</v>
      </c>
      <c r="G321" s="8" t="s">
        <v>960</v>
      </c>
      <c r="H321" s="8" t="s">
        <v>960</v>
      </c>
    </row>
    <row r="322">
      <c r="A322" s="6" t="s">
        <v>8</v>
      </c>
      <c r="B322" s="6" t="s">
        <v>9</v>
      </c>
      <c r="C322" s="6" t="s">
        <v>961</v>
      </c>
      <c r="D322" s="6" t="s">
        <v>962</v>
      </c>
      <c r="E322" s="7">
        <v>44467.0</v>
      </c>
      <c r="F322" s="6" t="s">
        <v>12</v>
      </c>
      <c r="G322" s="8" t="s">
        <v>963</v>
      </c>
      <c r="H322" s="8" t="s">
        <v>963</v>
      </c>
    </row>
    <row r="323">
      <c r="A323" s="6" t="s">
        <v>8</v>
      </c>
      <c r="B323" s="6" t="s">
        <v>9</v>
      </c>
      <c r="C323" s="6" t="s">
        <v>964</v>
      </c>
      <c r="D323" s="6" t="s">
        <v>965</v>
      </c>
      <c r="E323" s="7">
        <v>44467.0</v>
      </c>
      <c r="F323" s="6" t="s">
        <v>12</v>
      </c>
      <c r="G323" s="8" t="s">
        <v>966</v>
      </c>
      <c r="H323" s="8" t="s">
        <v>966</v>
      </c>
    </row>
    <row r="324">
      <c r="A324" s="6" t="s">
        <v>8</v>
      </c>
      <c r="B324" s="6" t="s">
        <v>9</v>
      </c>
      <c r="C324" s="6" t="s">
        <v>967</v>
      </c>
      <c r="D324" s="6" t="s">
        <v>968</v>
      </c>
      <c r="E324" s="7">
        <v>44417.0</v>
      </c>
      <c r="F324" s="6" t="s">
        <v>12</v>
      </c>
      <c r="G324" s="8" t="s">
        <v>969</v>
      </c>
      <c r="H324" s="8" t="s">
        <v>969</v>
      </c>
    </row>
    <row r="325">
      <c r="A325" s="6" t="s">
        <v>8</v>
      </c>
      <c r="B325" s="6" t="s">
        <v>9</v>
      </c>
      <c r="C325" s="6" t="s">
        <v>970</v>
      </c>
      <c r="D325" s="6" t="s">
        <v>971</v>
      </c>
      <c r="E325" s="7">
        <v>44361.0</v>
      </c>
      <c r="F325" s="6" t="s">
        <v>12</v>
      </c>
      <c r="G325" s="8" t="s">
        <v>972</v>
      </c>
      <c r="H325" s="8" t="s">
        <v>972</v>
      </c>
    </row>
    <row r="326">
      <c r="A326" s="6" t="s">
        <v>8</v>
      </c>
      <c r="B326" s="6" t="s">
        <v>9</v>
      </c>
      <c r="C326" s="6" t="s">
        <v>973</v>
      </c>
      <c r="D326" s="6" t="s">
        <v>974</v>
      </c>
      <c r="E326" s="7">
        <v>44370.0</v>
      </c>
      <c r="F326" s="6" t="s">
        <v>12</v>
      </c>
      <c r="G326" s="8" t="s">
        <v>975</v>
      </c>
      <c r="H326" s="8" t="s">
        <v>975</v>
      </c>
    </row>
    <row r="327">
      <c r="A327" s="6" t="s">
        <v>8</v>
      </c>
      <c r="B327" s="6" t="s">
        <v>9</v>
      </c>
      <c r="C327" s="6" t="s">
        <v>976</v>
      </c>
      <c r="D327" s="6" t="s">
        <v>977</v>
      </c>
      <c r="E327" s="7">
        <v>44371.0</v>
      </c>
      <c r="F327" s="6" t="s">
        <v>12</v>
      </c>
      <c r="G327" s="8" t="s">
        <v>978</v>
      </c>
      <c r="H327" s="8" t="s">
        <v>978</v>
      </c>
    </row>
    <row r="328">
      <c r="A328" s="6" t="s">
        <v>8</v>
      </c>
      <c r="B328" s="6" t="s">
        <v>9</v>
      </c>
      <c r="C328" s="6" t="s">
        <v>979</v>
      </c>
      <c r="D328" s="6" t="s">
        <v>980</v>
      </c>
      <c r="E328" s="7">
        <v>44446.0</v>
      </c>
      <c r="F328" s="6" t="s">
        <v>12</v>
      </c>
      <c r="G328" s="8" t="s">
        <v>981</v>
      </c>
      <c r="H328" s="8" t="s">
        <v>981</v>
      </c>
    </row>
    <row r="329">
      <c r="A329" s="6" t="s">
        <v>8</v>
      </c>
      <c r="B329" s="6" t="s">
        <v>9</v>
      </c>
      <c r="C329" s="6" t="s">
        <v>982</v>
      </c>
      <c r="D329" s="6" t="s">
        <v>983</v>
      </c>
      <c r="E329" s="7">
        <v>44446.0</v>
      </c>
      <c r="F329" s="6" t="s">
        <v>12</v>
      </c>
      <c r="G329" s="8" t="s">
        <v>984</v>
      </c>
      <c r="H329" s="8" t="s">
        <v>984</v>
      </c>
    </row>
    <row r="330">
      <c r="A330" s="6" t="s">
        <v>8</v>
      </c>
      <c r="B330" s="6" t="s">
        <v>9</v>
      </c>
      <c r="C330" s="6" t="s">
        <v>985</v>
      </c>
      <c r="D330" s="6" t="s">
        <v>986</v>
      </c>
      <c r="E330" s="7">
        <v>44446.0</v>
      </c>
      <c r="F330" s="6" t="s">
        <v>12</v>
      </c>
      <c r="G330" s="8" t="s">
        <v>987</v>
      </c>
      <c r="H330" s="8" t="s">
        <v>987</v>
      </c>
    </row>
    <row r="331">
      <c r="A331" s="6" t="s">
        <v>8</v>
      </c>
      <c r="B331" s="6" t="s">
        <v>9</v>
      </c>
      <c r="C331" s="6" t="s">
        <v>988</v>
      </c>
      <c r="D331" s="6" t="s">
        <v>989</v>
      </c>
      <c r="E331" s="7">
        <v>44446.0</v>
      </c>
      <c r="F331" s="6" t="s">
        <v>12</v>
      </c>
      <c r="G331" s="8" t="s">
        <v>990</v>
      </c>
      <c r="H331" s="8" t="s">
        <v>990</v>
      </c>
    </row>
    <row r="332">
      <c r="A332" s="6" t="s">
        <v>8</v>
      </c>
      <c r="B332" s="6" t="s">
        <v>9</v>
      </c>
      <c r="C332" s="6" t="s">
        <v>991</v>
      </c>
      <c r="D332" s="6" t="s">
        <v>992</v>
      </c>
      <c r="E332" s="7">
        <v>44446.0</v>
      </c>
      <c r="F332" s="6" t="s">
        <v>12</v>
      </c>
      <c r="G332" s="8" t="s">
        <v>993</v>
      </c>
      <c r="H332" s="8" t="s">
        <v>993</v>
      </c>
    </row>
    <row r="333">
      <c r="A333" s="6" t="s">
        <v>8</v>
      </c>
      <c r="B333" s="6" t="s">
        <v>9</v>
      </c>
      <c r="C333" s="6" t="s">
        <v>994</v>
      </c>
      <c r="D333" s="6" t="s">
        <v>995</v>
      </c>
      <c r="E333" s="7">
        <v>44446.0</v>
      </c>
      <c r="F333" s="6" t="s">
        <v>12</v>
      </c>
      <c r="G333" s="8" t="s">
        <v>996</v>
      </c>
      <c r="H333" s="8" t="s">
        <v>996</v>
      </c>
    </row>
    <row r="334">
      <c r="A334" s="6" t="s">
        <v>8</v>
      </c>
      <c r="B334" s="6" t="s">
        <v>9</v>
      </c>
      <c r="C334" s="6" t="s">
        <v>997</v>
      </c>
      <c r="D334" s="6" t="s">
        <v>129</v>
      </c>
      <c r="E334" s="7">
        <v>44446.0</v>
      </c>
      <c r="F334" s="6" t="s">
        <v>12</v>
      </c>
      <c r="G334" s="8" t="s">
        <v>998</v>
      </c>
      <c r="H334" s="8" t="s">
        <v>998</v>
      </c>
    </row>
    <row r="335">
      <c r="A335" s="6" t="s">
        <v>8</v>
      </c>
      <c r="B335" s="6" t="s">
        <v>9</v>
      </c>
      <c r="C335" s="6" t="s">
        <v>999</v>
      </c>
      <c r="D335" s="6" t="s">
        <v>1000</v>
      </c>
      <c r="E335" s="7">
        <v>44446.0</v>
      </c>
      <c r="F335" s="6" t="s">
        <v>12</v>
      </c>
      <c r="G335" s="8" t="s">
        <v>1001</v>
      </c>
      <c r="H335" s="8" t="s">
        <v>1001</v>
      </c>
    </row>
    <row r="336">
      <c r="A336" s="6" t="s">
        <v>8</v>
      </c>
      <c r="B336" s="6" t="s">
        <v>9</v>
      </c>
      <c r="C336" s="6" t="s">
        <v>1002</v>
      </c>
      <c r="D336" s="6" t="s">
        <v>1003</v>
      </c>
      <c r="E336" s="7">
        <v>44483.0</v>
      </c>
      <c r="F336" s="6" t="s">
        <v>12</v>
      </c>
      <c r="G336" s="8" t="s">
        <v>1004</v>
      </c>
      <c r="H336" s="8" t="s">
        <v>1004</v>
      </c>
    </row>
    <row r="337">
      <c r="A337" s="6" t="s">
        <v>8</v>
      </c>
      <c r="B337" s="6" t="s">
        <v>9</v>
      </c>
      <c r="C337" s="6" t="s">
        <v>1005</v>
      </c>
      <c r="D337" s="6" t="s">
        <v>1006</v>
      </c>
      <c r="E337" s="7">
        <v>44473.0</v>
      </c>
      <c r="F337" s="6" t="s">
        <v>12</v>
      </c>
      <c r="G337" s="8" t="s">
        <v>1007</v>
      </c>
      <c r="H337" s="8" t="s">
        <v>1007</v>
      </c>
    </row>
    <row r="338">
      <c r="A338" s="6" t="s">
        <v>8</v>
      </c>
      <c r="B338" s="6" t="s">
        <v>9</v>
      </c>
      <c r="C338" s="6" t="s">
        <v>1008</v>
      </c>
      <c r="D338" s="6" t="s">
        <v>1009</v>
      </c>
      <c r="E338" s="7">
        <v>44473.0</v>
      </c>
      <c r="F338" s="6" t="s">
        <v>12</v>
      </c>
      <c r="G338" s="8" t="s">
        <v>1010</v>
      </c>
      <c r="H338" s="8" t="s">
        <v>1010</v>
      </c>
    </row>
    <row r="339">
      <c r="A339" s="6" t="s">
        <v>8</v>
      </c>
      <c r="B339" s="6" t="s">
        <v>9</v>
      </c>
      <c r="C339" s="6" t="s">
        <v>1011</v>
      </c>
      <c r="D339" s="6" t="s">
        <v>1012</v>
      </c>
      <c r="E339" s="7">
        <v>44490.0</v>
      </c>
      <c r="F339" s="6" t="s">
        <v>12</v>
      </c>
      <c r="G339" s="8" t="s">
        <v>1013</v>
      </c>
      <c r="H339" s="8" t="s">
        <v>1013</v>
      </c>
    </row>
    <row r="340">
      <c r="A340" s="6" t="s">
        <v>8</v>
      </c>
      <c r="B340" s="6" t="s">
        <v>9</v>
      </c>
      <c r="C340" s="6" t="s">
        <v>1014</v>
      </c>
      <c r="D340" s="6" t="s">
        <v>1015</v>
      </c>
      <c r="E340" s="7">
        <v>44490.0</v>
      </c>
      <c r="F340" s="6" t="s">
        <v>12</v>
      </c>
      <c r="G340" s="8" t="s">
        <v>1016</v>
      </c>
      <c r="H340" s="8" t="s">
        <v>1016</v>
      </c>
    </row>
    <row r="341">
      <c r="A341" s="6" t="s">
        <v>8</v>
      </c>
      <c r="B341" s="6" t="s">
        <v>9</v>
      </c>
      <c r="C341" s="6" t="s">
        <v>1017</v>
      </c>
      <c r="D341" s="6" t="s">
        <v>1018</v>
      </c>
      <c r="E341" s="7">
        <v>44372.0</v>
      </c>
      <c r="F341" s="6" t="s">
        <v>12</v>
      </c>
      <c r="G341" s="8" t="s">
        <v>1019</v>
      </c>
      <c r="H341" s="8" t="s">
        <v>1019</v>
      </c>
    </row>
    <row r="342">
      <c r="A342" s="6" t="s">
        <v>8</v>
      </c>
      <c r="B342" s="6" t="s">
        <v>9</v>
      </c>
      <c r="C342" s="6" t="s">
        <v>1020</v>
      </c>
      <c r="D342" s="6" t="s">
        <v>1021</v>
      </c>
      <c r="E342" s="7">
        <v>44491.0</v>
      </c>
      <c r="F342" s="6" t="s">
        <v>12</v>
      </c>
      <c r="G342" s="8" t="s">
        <v>1022</v>
      </c>
      <c r="H342" s="8" t="s">
        <v>1022</v>
      </c>
    </row>
    <row r="343">
      <c r="A343" s="6" t="s">
        <v>8</v>
      </c>
      <c r="B343" s="6" t="s">
        <v>9</v>
      </c>
      <c r="C343" s="6" t="s">
        <v>1023</v>
      </c>
      <c r="D343" s="6" t="s">
        <v>1024</v>
      </c>
      <c r="E343" s="7">
        <v>44491.0</v>
      </c>
      <c r="F343" s="6" t="s">
        <v>12</v>
      </c>
      <c r="G343" s="8" t="s">
        <v>1025</v>
      </c>
      <c r="H343" s="8" t="s">
        <v>1025</v>
      </c>
    </row>
    <row r="344">
      <c r="A344" s="6" t="s">
        <v>8</v>
      </c>
      <c r="B344" s="6" t="s">
        <v>9</v>
      </c>
      <c r="C344" s="6" t="s">
        <v>1026</v>
      </c>
      <c r="D344" s="6" t="s">
        <v>1027</v>
      </c>
      <c r="E344" s="7">
        <v>44491.0</v>
      </c>
      <c r="F344" s="6" t="s">
        <v>12</v>
      </c>
      <c r="G344" s="8" t="s">
        <v>1028</v>
      </c>
      <c r="H344" s="8" t="s">
        <v>1028</v>
      </c>
    </row>
    <row r="345">
      <c r="A345" s="6" t="s">
        <v>8</v>
      </c>
      <c r="B345" s="6" t="s">
        <v>9</v>
      </c>
      <c r="C345" s="6" t="s">
        <v>1029</v>
      </c>
      <c r="D345" s="6" t="s">
        <v>1030</v>
      </c>
      <c r="E345" s="7">
        <v>44445.0</v>
      </c>
      <c r="F345" s="6" t="s">
        <v>12</v>
      </c>
      <c r="G345" s="8" t="s">
        <v>1031</v>
      </c>
      <c r="H345" s="8" t="s">
        <v>1031</v>
      </c>
    </row>
    <row r="346">
      <c r="A346" s="6" t="s">
        <v>8</v>
      </c>
      <c r="B346" s="6" t="s">
        <v>9</v>
      </c>
      <c r="C346" s="6" t="s">
        <v>1032</v>
      </c>
      <c r="D346" s="6" t="s">
        <v>1033</v>
      </c>
      <c r="E346" s="7">
        <v>44445.0</v>
      </c>
      <c r="F346" s="6" t="s">
        <v>12</v>
      </c>
      <c r="G346" s="8" t="s">
        <v>1034</v>
      </c>
      <c r="H346" s="8" t="s">
        <v>1034</v>
      </c>
    </row>
    <row r="347">
      <c r="A347" s="6" t="s">
        <v>8</v>
      </c>
      <c r="B347" s="6" t="s">
        <v>9</v>
      </c>
      <c r="C347" s="6" t="s">
        <v>1035</v>
      </c>
      <c r="D347" s="6" t="s">
        <v>1036</v>
      </c>
      <c r="E347" s="7">
        <v>44376.0</v>
      </c>
      <c r="F347" s="6" t="s">
        <v>12</v>
      </c>
      <c r="G347" s="8" t="s">
        <v>1037</v>
      </c>
      <c r="H347" s="8" t="s">
        <v>1037</v>
      </c>
    </row>
    <row r="348">
      <c r="A348" s="6" t="s">
        <v>8</v>
      </c>
      <c r="B348" s="6" t="s">
        <v>9</v>
      </c>
      <c r="C348" s="6" t="s">
        <v>1038</v>
      </c>
      <c r="D348" s="6" t="s">
        <v>1039</v>
      </c>
      <c r="E348" s="7">
        <v>44376.0</v>
      </c>
      <c r="F348" s="6" t="s">
        <v>12</v>
      </c>
      <c r="G348" s="8" t="s">
        <v>1040</v>
      </c>
      <c r="H348" s="8" t="s">
        <v>1040</v>
      </c>
    </row>
    <row r="349">
      <c r="A349" s="6" t="s">
        <v>8</v>
      </c>
      <c r="B349" s="6" t="s">
        <v>9</v>
      </c>
      <c r="C349" s="6" t="s">
        <v>1041</v>
      </c>
      <c r="D349" s="6" t="s">
        <v>1042</v>
      </c>
      <c r="E349" s="7">
        <v>44445.0</v>
      </c>
      <c r="F349" s="6" t="s">
        <v>12</v>
      </c>
      <c r="G349" s="8" t="s">
        <v>1043</v>
      </c>
      <c r="H349" s="8" t="s">
        <v>1043</v>
      </c>
    </row>
    <row r="350">
      <c r="A350" s="6" t="s">
        <v>8</v>
      </c>
      <c r="B350" s="6" t="s">
        <v>9</v>
      </c>
      <c r="C350" s="6" t="s">
        <v>1044</v>
      </c>
      <c r="D350" s="6" t="s">
        <v>1045</v>
      </c>
      <c r="E350" s="7">
        <v>44445.0</v>
      </c>
      <c r="F350" s="6" t="s">
        <v>12</v>
      </c>
      <c r="G350" s="8" t="s">
        <v>1046</v>
      </c>
      <c r="H350" s="8" t="s">
        <v>1046</v>
      </c>
    </row>
    <row r="351">
      <c r="A351" s="6" t="s">
        <v>8</v>
      </c>
      <c r="B351" s="6" t="s">
        <v>9</v>
      </c>
      <c r="C351" s="6" t="s">
        <v>1047</v>
      </c>
      <c r="D351" s="6" t="s">
        <v>1048</v>
      </c>
      <c r="E351" s="7">
        <v>44466.0</v>
      </c>
      <c r="F351" s="6" t="s">
        <v>12</v>
      </c>
      <c r="G351" s="8" t="s">
        <v>1049</v>
      </c>
      <c r="H351" s="8" t="s">
        <v>1049</v>
      </c>
    </row>
    <row r="352">
      <c r="A352" s="6" t="s">
        <v>8</v>
      </c>
      <c r="B352" s="6" t="s">
        <v>9</v>
      </c>
      <c r="C352" s="6" t="s">
        <v>1050</v>
      </c>
      <c r="D352" s="6" t="s">
        <v>1051</v>
      </c>
      <c r="E352" s="7">
        <v>44466.0</v>
      </c>
      <c r="F352" s="6" t="s">
        <v>12</v>
      </c>
      <c r="G352" s="8" t="s">
        <v>1052</v>
      </c>
      <c r="H352" s="8" t="s">
        <v>1052</v>
      </c>
    </row>
    <row r="353">
      <c r="A353" s="6" t="s">
        <v>8</v>
      </c>
      <c r="B353" s="6" t="s">
        <v>9</v>
      </c>
      <c r="C353" s="6" t="s">
        <v>1053</v>
      </c>
      <c r="D353" s="6" t="s">
        <v>1054</v>
      </c>
      <c r="E353" s="7">
        <v>44466.0</v>
      </c>
      <c r="F353" s="6" t="s">
        <v>12</v>
      </c>
      <c r="G353" s="8" t="s">
        <v>1055</v>
      </c>
      <c r="H353" s="8" t="s">
        <v>1055</v>
      </c>
    </row>
    <row r="354">
      <c r="A354" s="6" t="s">
        <v>8</v>
      </c>
      <c r="B354" s="6" t="s">
        <v>9</v>
      </c>
      <c r="C354" s="6" t="s">
        <v>1056</v>
      </c>
      <c r="D354" s="6" t="s">
        <v>1057</v>
      </c>
      <c r="E354" s="7">
        <v>44497.0</v>
      </c>
      <c r="F354" s="6" t="s">
        <v>12</v>
      </c>
      <c r="G354" s="8" t="s">
        <v>1058</v>
      </c>
      <c r="H354" s="8" t="s">
        <v>1058</v>
      </c>
    </row>
    <row r="355">
      <c r="A355" s="6" t="s">
        <v>8</v>
      </c>
      <c r="B355" s="6" t="s">
        <v>9</v>
      </c>
      <c r="C355" s="6" t="s">
        <v>1059</v>
      </c>
      <c r="D355" s="6" t="s">
        <v>1060</v>
      </c>
      <c r="E355" s="7">
        <v>44497.0</v>
      </c>
      <c r="F355" s="6" t="s">
        <v>12</v>
      </c>
      <c r="G355" s="8" t="s">
        <v>1061</v>
      </c>
      <c r="H355" s="8" t="s">
        <v>1061</v>
      </c>
    </row>
    <row r="356">
      <c r="A356" s="6" t="s">
        <v>8</v>
      </c>
      <c r="B356" s="6" t="s">
        <v>9</v>
      </c>
      <c r="C356" s="6" t="s">
        <v>1062</v>
      </c>
      <c r="D356" s="6" t="s">
        <v>1063</v>
      </c>
      <c r="E356" s="7">
        <v>44455.0</v>
      </c>
      <c r="F356" s="6" t="s">
        <v>12</v>
      </c>
      <c r="G356" s="8" t="s">
        <v>1064</v>
      </c>
      <c r="H356" s="8" t="s">
        <v>1064</v>
      </c>
    </row>
    <row r="357">
      <c r="A357" s="6" t="s">
        <v>8</v>
      </c>
      <c r="B357" s="6" t="s">
        <v>9</v>
      </c>
      <c r="C357" s="6" t="s">
        <v>1065</v>
      </c>
      <c r="D357" s="6" t="s">
        <v>1066</v>
      </c>
      <c r="E357" s="7">
        <v>44455.0</v>
      </c>
      <c r="F357" s="6" t="s">
        <v>12</v>
      </c>
      <c r="G357" s="8" t="s">
        <v>1067</v>
      </c>
      <c r="H357" s="8" t="s">
        <v>1067</v>
      </c>
    </row>
    <row r="358">
      <c r="A358" s="6" t="s">
        <v>8</v>
      </c>
      <c r="B358" s="6" t="s">
        <v>9</v>
      </c>
      <c r="C358" s="6" t="s">
        <v>1068</v>
      </c>
      <c r="D358" s="6" t="s">
        <v>1069</v>
      </c>
      <c r="E358" s="7">
        <v>44446.0</v>
      </c>
      <c r="F358" s="6" t="s">
        <v>12</v>
      </c>
      <c r="G358" s="8" t="s">
        <v>1070</v>
      </c>
      <c r="H358" s="8" t="s">
        <v>1070</v>
      </c>
    </row>
    <row r="359">
      <c r="A359" s="6" t="s">
        <v>8</v>
      </c>
      <c r="B359" s="6" t="s">
        <v>9</v>
      </c>
      <c r="C359" s="6" t="s">
        <v>1071</v>
      </c>
      <c r="D359" s="6" t="s">
        <v>1072</v>
      </c>
      <c r="E359" s="7">
        <v>44469.0</v>
      </c>
      <c r="F359" s="6" t="s">
        <v>12</v>
      </c>
      <c r="G359" s="8" t="s">
        <v>1073</v>
      </c>
      <c r="H359" s="8" t="s">
        <v>1073</v>
      </c>
    </row>
    <row r="360">
      <c r="A360" s="6" t="s">
        <v>8</v>
      </c>
      <c r="B360" s="6" t="s">
        <v>9</v>
      </c>
      <c r="C360" s="6" t="s">
        <v>1074</v>
      </c>
      <c r="D360" s="6" t="s">
        <v>1075</v>
      </c>
      <c r="E360" s="7">
        <v>44502.0</v>
      </c>
      <c r="F360" s="6" t="s">
        <v>12</v>
      </c>
      <c r="G360" s="8" t="s">
        <v>1076</v>
      </c>
      <c r="H360" s="8" t="s">
        <v>1076</v>
      </c>
    </row>
    <row r="361">
      <c r="A361" s="6" t="s">
        <v>8</v>
      </c>
      <c r="B361" s="6" t="s">
        <v>9</v>
      </c>
      <c r="C361" s="6" t="s">
        <v>1077</v>
      </c>
      <c r="D361" s="6" t="s">
        <v>1078</v>
      </c>
      <c r="E361" s="7">
        <v>44502.0</v>
      </c>
      <c r="F361" s="6" t="s">
        <v>12</v>
      </c>
      <c r="G361" s="8" t="s">
        <v>1079</v>
      </c>
      <c r="H361" s="8" t="s">
        <v>1079</v>
      </c>
    </row>
    <row r="362">
      <c r="A362" s="6" t="s">
        <v>8</v>
      </c>
      <c r="B362" s="6" t="s">
        <v>9</v>
      </c>
      <c r="C362" s="6" t="s">
        <v>1080</v>
      </c>
      <c r="D362" s="6" t="s">
        <v>1081</v>
      </c>
      <c r="E362" s="7">
        <v>44502.0</v>
      </c>
      <c r="F362" s="6" t="s">
        <v>12</v>
      </c>
      <c r="G362" s="8" t="s">
        <v>1082</v>
      </c>
      <c r="H362" s="8" t="s">
        <v>1082</v>
      </c>
    </row>
    <row r="363">
      <c r="A363" s="6" t="s">
        <v>8</v>
      </c>
      <c r="B363" s="6" t="s">
        <v>9</v>
      </c>
      <c r="C363" s="6" t="s">
        <v>1083</v>
      </c>
      <c r="D363" s="6" t="s">
        <v>1084</v>
      </c>
      <c r="E363" s="7">
        <v>44502.0</v>
      </c>
      <c r="F363" s="6" t="s">
        <v>12</v>
      </c>
      <c r="G363" s="8" t="s">
        <v>1085</v>
      </c>
      <c r="H363" s="8" t="s">
        <v>1085</v>
      </c>
    </row>
    <row r="364">
      <c r="A364" s="6" t="s">
        <v>8</v>
      </c>
      <c r="B364" s="6" t="s">
        <v>9</v>
      </c>
      <c r="C364" s="6" t="s">
        <v>1086</v>
      </c>
      <c r="D364" s="6" t="s">
        <v>1087</v>
      </c>
      <c r="E364" s="7">
        <v>44504.0</v>
      </c>
      <c r="F364" s="6" t="s">
        <v>12</v>
      </c>
      <c r="G364" s="8" t="s">
        <v>1088</v>
      </c>
      <c r="H364" s="8" t="s">
        <v>1088</v>
      </c>
    </row>
    <row r="365">
      <c r="A365" s="6" t="s">
        <v>8</v>
      </c>
      <c r="B365" s="6" t="s">
        <v>9</v>
      </c>
      <c r="C365" s="6" t="s">
        <v>1089</v>
      </c>
      <c r="D365" s="6" t="s">
        <v>1090</v>
      </c>
      <c r="E365" s="7">
        <v>44498.0</v>
      </c>
      <c r="F365" s="6" t="s">
        <v>12</v>
      </c>
      <c r="G365" s="8" t="s">
        <v>1091</v>
      </c>
      <c r="H365" s="8" t="s">
        <v>1091</v>
      </c>
    </row>
    <row r="366">
      <c r="A366" s="6" t="s">
        <v>8</v>
      </c>
      <c r="B366" s="6" t="s">
        <v>9</v>
      </c>
      <c r="C366" s="6" t="s">
        <v>1092</v>
      </c>
      <c r="D366" s="6" t="s">
        <v>1093</v>
      </c>
      <c r="E366" s="7">
        <v>44342.0</v>
      </c>
      <c r="F366" s="6" t="s">
        <v>12</v>
      </c>
      <c r="G366" s="8" t="s">
        <v>1094</v>
      </c>
      <c r="H366" s="8" t="s">
        <v>1094</v>
      </c>
    </row>
    <row r="367">
      <c r="A367" s="6" t="s">
        <v>8</v>
      </c>
      <c r="B367" s="6" t="s">
        <v>9</v>
      </c>
      <c r="C367" s="6" t="s">
        <v>1095</v>
      </c>
      <c r="D367" s="6" t="s">
        <v>801</v>
      </c>
      <c r="E367" s="7">
        <v>44344.0</v>
      </c>
      <c r="F367" s="6" t="s">
        <v>12</v>
      </c>
      <c r="G367" s="8" t="s">
        <v>1096</v>
      </c>
      <c r="H367" s="8" t="s">
        <v>1096</v>
      </c>
    </row>
    <row r="368">
      <c r="A368" s="6" t="s">
        <v>8</v>
      </c>
      <c r="B368" s="6" t="s">
        <v>9</v>
      </c>
      <c r="C368" s="6" t="s">
        <v>1097</v>
      </c>
      <c r="D368" s="6" t="s">
        <v>1098</v>
      </c>
      <c r="E368" s="7">
        <v>44389.0</v>
      </c>
      <c r="F368" s="6" t="s">
        <v>12</v>
      </c>
      <c r="G368" s="8" t="s">
        <v>1099</v>
      </c>
      <c r="H368" s="8" t="s">
        <v>1099</v>
      </c>
    </row>
    <row r="369">
      <c r="A369" s="6" t="s">
        <v>8</v>
      </c>
      <c r="B369" s="6" t="s">
        <v>9</v>
      </c>
      <c r="C369" s="6" t="s">
        <v>1100</v>
      </c>
      <c r="D369" s="6" t="s">
        <v>1101</v>
      </c>
      <c r="E369" s="7">
        <v>44386.0</v>
      </c>
      <c r="F369" s="6" t="s">
        <v>12</v>
      </c>
      <c r="G369" s="8" t="s">
        <v>1102</v>
      </c>
      <c r="H369" s="8" t="s">
        <v>1102</v>
      </c>
    </row>
    <row r="370">
      <c r="A370" s="6" t="s">
        <v>8</v>
      </c>
      <c r="B370" s="6" t="s">
        <v>9</v>
      </c>
      <c r="C370" s="6" t="s">
        <v>1103</v>
      </c>
      <c r="D370" s="6" t="s">
        <v>1104</v>
      </c>
      <c r="E370" s="7">
        <v>44386.0</v>
      </c>
      <c r="F370" s="6" t="s">
        <v>12</v>
      </c>
      <c r="G370" s="8" t="s">
        <v>1105</v>
      </c>
      <c r="H370" s="8" t="s">
        <v>1105</v>
      </c>
    </row>
    <row r="371">
      <c r="A371" s="6" t="s">
        <v>8</v>
      </c>
      <c r="B371" s="6" t="s">
        <v>9</v>
      </c>
      <c r="C371" s="6" t="s">
        <v>1106</v>
      </c>
      <c r="D371" s="6" t="s">
        <v>1107</v>
      </c>
      <c r="E371" s="7">
        <v>44473.0</v>
      </c>
      <c r="F371" s="6" t="s">
        <v>12</v>
      </c>
      <c r="G371" s="8" t="s">
        <v>1108</v>
      </c>
      <c r="H371" s="8" t="s">
        <v>1108</v>
      </c>
    </row>
    <row r="372">
      <c r="A372" s="6" t="s">
        <v>8</v>
      </c>
      <c r="B372" s="6" t="s">
        <v>9</v>
      </c>
      <c r="C372" s="6" t="s">
        <v>1109</v>
      </c>
      <c r="D372" s="6" t="s">
        <v>1110</v>
      </c>
      <c r="E372" s="7">
        <v>44473.0</v>
      </c>
      <c r="F372" s="6" t="s">
        <v>12</v>
      </c>
      <c r="G372" s="8" t="s">
        <v>1111</v>
      </c>
      <c r="H372" s="8" t="s">
        <v>1111</v>
      </c>
    </row>
    <row r="373">
      <c r="A373" s="6" t="s">
        <v>8</v>
      </c>
      <c r="B373" s="6" t="s">
        <v>9</v>
      </c>
      <c r="C373" s="6" t="s">
        <v>1112</v>
      </c>
      <c r="D373" s="6" t="s">
        <v>1113</v>
      </c>
      <c r="E373" s="7">
        <v>44470.0</v>
      </c>
      <c r="F373" s="6" t="s">
        <v>12</v>
      </c>
      <c r="G373" s="8" t="s">
        <v>1114</v>
      </c>
      <c r="H373" s="8" t="s">
        <v>1114</v>
      </c>
    </row>
    <row r="374">
      <c r="A374" s="6" t="s">
        <v>8</v>
      </c>
      <c r="B374" s="6" t="s">
        <v>9</v>
      </c>
      <c r="C374" s="6" t="s">
        <v>1115</v>
      </c>
      <c r="D374" s="6" t="s">
        <v>1116</v>
      </c>
      <c r="E374" s="7">
        <v>44355.0</v>
      </c>
      <c r="F374" s="6" t="s">
        <v>12</v>
      </c>
      <c r="G374" s="8" t="s">
        <v>1117</v>
      </c>
      <c r="H374" s="8" t="s">
        <v>1117</v>
      </c>
    </row>
    <row r="375">
      <c r="A375" s="6" t="s">
        <v>8</v>
      </c>
      <c r="B375" s="6" t="s">
        <v>9</v>
      </c>
      <c r="C375" s="6" t="s">
        <v>1118</v>
      </c>
      <c r="D375" s="6" t="s">
        <v>1119</v>
      </c>
      <c r="E375" s="7">
        <v>44351.0</v>
      </c>
      <c r="F375" s="6" t="s">
        <v>12</v>
      </c>
      <c r="G375" s="8" t="s">
        <v>1120</v>
      </c>
      <c r="H375" s="8" t="s">
        <v>1120</v>
      </c>
    </row>
    <row r="376">
      <c r="A376" s="6" t="s">
        <v>8</v>
      </c>
      <c r="B376" s="6" t="s">
        <v>9</v>
      </c>
      <c r="C376" s="6" t="s">
        <v>1121</v>
      </c>
      <c r="D376" s="6" t="s">
        <v>1122</v>
      </c>
      <c r="E376" s="7">
        <v>44351.0</v>
      </c>
      <c r="F376" s="6" t="s">
        <v>12</v>
      </c>
      <c r="G376" s="8" t="s">
        <v>1123</v>
      </c>
      <c r="H376" s="8" t="s">
        <v>1123</v>
      </c>
    </row>
    <row r="377">
      <c r="A377" s="6" t="s">
        <v>8</v>
      </c>
      <c r="B377" s="6" t="s">
        <v>9</v>
      </c>
      <c r="C377" s="6" t="s">
        <v>1124</v>
      </c>
      <c r="D377" s="6" t="s">
        <v>1125</v>
      </c>
      <c r="E377" s="7">
        <v>44351.0</v>
      </c>
      <c r="F377" s="6" t="s">
        <v>12</v>
      </c>
      <c r="G377" s="8" t="s">
        <v>1126</v>
      </c>
      <c r="H377" s="8" t="s">
        <v>1126</v>
      </c>
    </row>
    <row r="378">
      <c r="A378" s="6" t="s">
        <v>8</v>
      </c>
      <c r="B378" s="6" t="s">
        <v>9</v>
      </c>
      <c r="C378" s="6" t="s">
        <v>1127</v>
      </c>
      <c r="D378" s="6" t="s">
        <v>1128</v>
      </c>
      <c r="E378" s="7">
        <v>44351.0</v>
      </c>
      <c r="F378" s="6" t="s">
        <v>12</v>
      </c>
      <c r="G378" s="8" t="s">
        <v>1129</v>
      </c>
      <c r="H378" s="8" t="s">
        <v>1129</v>
      </c>
    </row>
    <row r="379">
      <c r="A379" s="6" t="s">
        <v>8</v>
      </c>
      <c r="B379" s="6" t="s">
        <v>9</v>
      </c>
      <c r="C379" s="6" t="s">
        <v>1130</v>
      </c>
      <c r="D379" s="6" t="s">
        <v>1131</v>
      </c>
      <c r="E379" s="7">
        <v>44351.0</v>
      </c>
      <c r="F379" s="6" t="s">
        <v>12</v>
      </c>
      <c r="G379" s="8" t="s">
        <v>1132</v>
      </c>
      <c r="H379" s="8" t="s">
        <v>1132</v>
      </c>
    </row>
    <row r="380">
      <c r="A380" s="6" t="s">
        <v>8</v>
      </c>
      <c r="B380" s="6" t="s">
        <v>9</v>
      </c>
      <c r="C380" s="6" t="s">
        <v>1133</v>
      </c>
      <c r="D380" s="6" t="s">
        <v>1134</v>
      </c>
      <c r="E380" s="7">
        <v>44351.0</v>
      </c>
      <c r="F380" s="6" t="s">
        <v>12</v>
      </c>
      <c r="G380" s="8" t="s">
        <v>1135</v>
      </c>
      <c r="H380" s="8" t="s">
        <v>1135</v>
      </c>
    </row>
    <row r="381">
      <c r="A381" s="6" t="s">
        <v>8</v>
      </c>
      <c r="B381" s="6" t="s">
        <v>9</v>
      </c>
      <c r="C381" s="6" t="s">
        <v>1136</v>
      </c>
      <c r="D381" s="6" t="s">
        <v>1137</v>
      </c>
      <c r="E381" s="7">
        <v>44351.0</v>
      </c>
      <c r="F381" s="6" t="s">
        <v>12</v>
      </c>
      <c r="G381" s="8" t="s">
        <v>1138</v>
      </c>
      <c r="H381" s="8" t="s">
        <v>1138</v>
      </c>
    </row>
    <row r="382">
      <c r="A382" s="6" t="s">
        <v>8</v>
      </c>
      <c r="B382" s="6" t="s">
        <v>9</v>
      </c>
      <c r="C382" s="6" t="s">
        <v>1139</v>
      </c>
      <c r="D382" s="6" t="s">
        <v>1140</v>
      </c>
      <c r="E382" s="7">
        <v>44351.0</v>
      </c>
      <c r="F382" s="6" t="s">
        <v>12</v>
      </c>
      <c r="G382" s="8" t="s">
        <v>1141</v>
      </c>
      <c r="H382" s="8" t="s">
        <v>1141</v>
      </c>
    </row>
    <row r="383">
      <c r="A383" s="6" t="s">
        <v>8</v>
      </c>
      <c r="B383" s="6" t="s">
        <v>9</v>
      </c>
      <c r="C383" s="6" t="s">
        <v>1142</v>
      </c>
      <c r="D383" s="6" t="s">
        <v>1143</v>
      </c>
      <c r="E383" s="7">
        <v>44351.0</v>
      </c>
      <c r="F383" s="6" t="s">
        <v>12</v>
      </c>
      <c r="G383" s="8" t="s">
        <v>1144</v>
      </c>
      <c r="H383" s="8" t="s">
        <v>1144</v>
      </c>
    </row>
    <row r="384">
      <c r="A384" s="6" t="s">
        <v>8</v>
      </c>
      <c r="B384" s="6" t="s">
        <v>9</v>
      </c>
      <c r="C384" s="6" t="s">
        <v>1145</v>
      </c>
      <c r="D384" s="6" t="s">
        <v>1146</v>
      </c>
      <c r="E384" s="7">
        <v>44351.0</v>
      </c>
      <c r="F384" s="6" t="s">
        <v>12</v>
      </c>
      <c r="G384" s="8" t="s">
        <v>1147</v>
      </c>
      <c r="H384" s="8" t="s">
        <v>1147</v>
      </c>
    </row>
    <row r="385">
      <c r="A385" s="6" t="s">
        <v>8</v>
      </c>
      <c r="B385" s="6" t="s">
        <v>9</v>
      </c>
      <c r="C385" s="6" t="s">
        <v>1148</v>
      </c>
      <c r="D385" s="6" t="s">
        <v>1149</v>
      </c>
      <c r="E385" s="7">
        <v>44382.0</v>
      </c>
      <c r="F385" s="6" t="s">
        <v>12</v>
      </c>
      <c r="G385" s="8" t="s">
        <v>1150</v>
      </c>
      <c r="H385" s="8" t="s">
        <v>1150</v>
      </c>
    </row>
    <row r="386">
      <c r="A386" s="6" t="s">
        <v>8</v>
      </c>
      <c r="B386" s="6" t="s">
        <v>9</v>
      </c>
      <c r="C386" s="6" t="s">
        <v>1151</v>
      </c>
      <c r="D386" s="6" t="s">
        <v>1152</v>
      </c>
      <c r="E386" s="7">
        <v>44351.0</v>
      </c>
      <c r="F386" s="6" t="s">
        <v>12</v>
      </c>
      <c r="G386" s="8" t="s">
        <v>1153</v>
      </c>
      <c r="H386" s="8" t="s">
        <v>1153</v>
      </c>
    </row>
    <row r="387">
      <c r="A387" s="6" t="s">
        <v>8</v>
      </c>
      <c r="B387" s="6" t="s">
        <v>9</v>
      </c>
      <c r="C387" s="6" t="s">
        <v>1154</v>
      </c>
      <c r="D387" s="6" t="s">
        <v>1155</v>
      </c>
      <c r="E387" s="7">
        <v>44351.0</v>
      </c>
      <c r="F387" s="6" t="s">
        <v>12</v>
      </c>
      <c r="G387" s="8" t="s">
        <v>1156</v>
      </c>
      <c r="H387" s="8" t="s">
        <v>1156</v>
      </c>
    </row>
    <row r="388">
      <c r="A388" s="6" t="s">
        <v>8</v>
      </c>
      <c r="B388" s="6" t="s">
        <v>9</v>
      </c>
      <c r="C388" s="6" t="s">
        <v>1157</v>
      </c>
      <c r="D388" s="6" t="s">
        <v>1158</v>
      </c>
      <c r="E388" s="7">
        <v>44351.0</v>
      </c>
      <c r="F388" s="6" t="s">
        <v>12</v>
      </c>
      <c r="G388" s="8" t="s">
        <v>1159</v>
      </c>
      <c r="H388" s="8" t="s">
        <v>1159</v>
      </c>
    </row>
    <row r="389">
      <c r="A389" s="6" t="s">
        <v>8</v>
      </c>
      <c r="B389" s="6" t="s">
        <v>9</v>
      </c>
      <c r="C389" s="6" t="s">
        <v>1160</v>
      </c>
      <c r="D389" s="6" t="s">
        <v>1161</v>
      </c>
      <c r="E389" s="7">
        <v>44351.0</v>
      </c>
      <c r="F389" s="6" t="s">
        <v>12</v>
      </c>
      <c r="G389" s="8" t="s">
        <v>1162</v>
      </c>
      <c r="H389" s="8" t="s">
        <v>1162</v>
      </c>
    </row>
    <row r="390">
      <c r="A390" s="6" t="s">
        <v>8</v>
      </c>
      <c r="B390" s="6" t="s">
        <v>9</v>
      </c>
      <c r="C390" s="6" t="s">
        <v>1163</v>
      </c>
      <c r="D390" s="6" t="s">
        <v>1164</v>
      </c>
      <c r="E390" s="7">
        <v>44351.0</v>
      </c>
      <c r="F390" s="6" t="s">
        <v>12</v>
      </c>
      <c r="G390" s="8" t="s">
        <v>1165</v>
      </c>
      <c r="H390" s="8" t="s">
        <v>1165</v>
      </c>
    </row>
    <row r="391">
      <c r="A391" s="6" t="s">
        <v>8</v>
      </c>
      <c r="B391" s="6" t="s">
        <v>9</v>
      </c>
      <c r="C391" s="6" t="s">
        <v>1166</v>
      </c>
      <c r="D391" s="6" t="s">
        <v>1167</v>
      </c>
      <c r="E391" s="7">
        <v>44351.0</v>
      </c>
      <c r="F391" s="6" t="s">
        <v>12</v>
      </c>
      <c r="G391" s="8" t="s">
        <v>1168</v>
      </c>
      <c r="H391" s="8" t="s">
        <v>1168</v>
      </c>
    </row>
    <row r="392">
      <c r="A392" s="6" t="s">
        <v>8</v>
      </c>
      <c r="B392" s="6" t="s">
        <v>9</v>
      </c>
      <c r="C392" s="6" t="s">
        <v>1169</v>
      </c>
      <c r="D392" s="6" t="s">
        <v>1170</v>
      </c>
      <c r="E392" s="7">
        <v>44355.0</v>
      </c>
      <c r="F392" s="6" t="s">
        <v>12</v>
      </c>
      <c r="G392" s="8" t="s">
        <v>1171</v>
      </c>
      <c r="H392" s="8" t="s">
        <v>1171</v>
      </c>
    </row>
    <row r="393">
      <c r="A393" s="6" t="s">
        <v>8</v>
      </c>
      <c r="B393" s="6" t="s">
        <v>9</v>
      </c>
      <c r="C393" s="6" t="s">
        <v>1172</v>
      </c>
      <c r="D393" s="6" t="s">
        <v>1173</v>
      </c>
      <c r="E393" s="7">
        <v>44531.0</v>
      </c>
      <c r="F393" s="6" t="s">
        <v>12</v>
      </c>
      <c r="G393" s="8" t="s">
        <v>1174</v>
      </c>
      <c r="H393" s="8" t="s">
        <v>1174</v>
      </c>
    </row>
    <row r="394">
      <c r="A394" s="6" t="s">
        <v>8</v>
      </c>
      <c r="B394" s="6" t="s">
        <v>9</v>
      </c>
      <c r="C394" s="6" t="s">
        <v>1175</v>
      </c>
      <c r="D394" s="6" t="s">
        <v>1176</v>
      </c>
      <c r="E394" s="7">
        <v>44531.0</v>
      </c>
      <c r="F394" s="6" t="s">
        <v>12</v>
      </c>
      <c r="G394" s="8" t="s">
        <v>1177</v>
      </c>
      <c r="H394" s="8" t="s">
        <v>1177</v>
      </c>
    </row>
    <row r="395">
      <c r="A395" s="6" t="s">
        <v>8</v>
      </c>
      <c r="B395" s="6" t="s">
        <v>9</v>
      </c>
      <c r="C395" s="6" t="s">
        <v>1178</v>
      </c>
      <c r="D395" s="6" t="s">
        <v>1179</v>
      </c>
      <c r="E395" s="7">
        <v>44531.0</v>
      </c>
      <c r="F395" s="6" t="s">
        <v>12</v>
      </c>
      <c r="G395" s="8" t="s">
        <v>1180</v>
      </c>
      <c r="H395" s="8" t="s">
        <v>1180</v>
      </c>
    </row>
    <row r="396">
      <c r="A396" s="6" t="s">
        <v>8</v>
      </c>
      <c r="B396" s="6" t="s">
        <v>9</v>
      </c>
      <c r="C396" s="6" t="s">
        <v>1181</v>
      </c>
      <c r="D396" s="6" t="s">
        <v>1182</v>
      </c>
      <c r="E396" s="7">
        <v>44531.0</v>
      </c>
      <c r="F396" s="6" t="s">
        <v>12</v>
      </c>
      <c r="G396" s="8" t="s">
        <v>1183</v>
      </c>
      <c r="H396" s="8" t="s">
        <v>1183</v>
      </c>
    </row>
    <row r="397">
      <c r="A397" s="6" t="s">
        <v>8</v>
      </c>
      <c r="B397" s="6" t="s">
        <v>9</v>
      </c>
      <c r="C397" s="6" t="s">
        <v>1184</v>
      </c>
      <c r="D397" s="6" t="s">
        <v>661</v>
      </c>
      <c r="E397" s="7">
        <v>44531.0</v>
      </c>
      <c r="F397" s="6" t="s">
        <v>12</v>
      </c>
      <c r="G397" s="8" t="s">
        <v>1185</v>
      </c>
      <c r="H397" s="8" t="s">
        <v>1185</v>
      </c>
    </row>
    <row r="398">
      <c r="A398" s="6" t="s">
        <v>8</v>
      </c>
      <c r="B398" s="6" t="s">
        <v>9</v>
      </c>
      <c r="C398" s="6" t="s">
        <v>1186</v>
      </c>
      <c r="D398" s="6" t="s">
        <v>1187</v>
      </c>
      <c r="E398" s="7">
        <v>44531.0</v>
      </c>
      <c r="F398" s="6" t="s">
        <v>12</v>
      </c>
      <c r="G398" s="8" t="s">
        <v>1188</v>
      </c>
      <c r="H398" s="8" t="s">
        <v>1188</v>
      </c>
    </row>
    <row r="399">
      <c r="A399" s="6" t="s">
        <v>8</v>
      </c>
      <c r="B399" s="6" t="s">
        <v>9</v>
      </c>
      <c r="C399" s="6" t="s">
        <v>1189</v>
      </c>
      <c r="D399" s="6" t="s">
        <v>1190</v>
      </c>
      <c r="E399" s="7">
        <v>44531.0</v>
      </c>
      <c r="F399" s="6" t="s">
        <v>12</v>
      </c>
      <c r="G399" s="8" t="s">
        <v>1191</v>
      </c>
      <c r="H399" s="8" t="s">
        <v>1191</v>
      </c>
    </row>
    <row r="400">
      <c r="A400" s="6" t="s">
        <v>8</v>
      </c>
      <c r="B400" s="6" t="s">
        <v>9</v>
      </c>
      <c r="C400" s="6" t="s">
        <v>1192</v>
      </c>
      <c r="D400" s="6" t="s">
        <v>1193</v>
      </c>
      <c r="E400" s="7">
        <v>44531.0</v>
      </c>
      <c r="F400" s="6" t="s">
        <v>12</v>
      </c>
      <c r="G400" s="8" t="s">
        <v>1194</v>
      </c>
      <c r="H400" s="8" t="s">
        <v>1194</v>
      </c>
    </row>
    <row r="401">
      <c r="A401" s="6" t="s">
        <v>8</v>
      </c>
      <c r="B401" s="6" t="s">
        <v>9</v>
      </c>
      <c r="C401" s="6" t="s">
        <v>1195</v>
      </c>
      <c r="D401" s="6" t="s">
        <v>1196</v>
      </c>
      <c r="E401" s="7">
        <v>44531.0</v>
      </c>
      <c r="F401" s="6" t="s">
        <v>12</v>
      </c>
      <c r="G401" s="8" t="s">
        <v>1197</v>
      </c>
      <c r="H401" s="8" t="s">
        <v>1197</v>
      </c>
    </row>
    <row r="402">
      <c r="A402" s="6" t="s">
        <v>8</v>
      </c>
      <c r="B402" s="6" t="s">
        <v>9</v>
      </c>
      <c r="C402" s="6" t="s">
        <v>1198</v>
      </c>
      <c r="D402" s="6" t="s">
        <v>1199</v>
      </c>
      <c r="E402" s="7">
        <v>44531.0</v>
      </c>
      <c r="F402" s="6" t="s">
        <v>12</v>
      </c>
      <c r="G402" s="8" t="s">
        <v>1200</v>
      </c>
      <c r="H402" s="8" t="s">
        <v>1200</v>
      </c>
    </row>
    <row r="403">
      <c r="A403" s="6" t="s">
        <v>8</v>
      </c>
      <c r="B403" s="6" t="s">
        <v>9</v>
      </c>
      <c r="C403" s="6" t="s">
        <v>1201</v>
      </c>
      <c r="D403" s="6" t="s">
        <v>1202</v>
      </c>
      <c r="E403" s="7">
        <v>44531.0</v>
      </c>
      <c r="F403" s="6" t="s">
        <v>12</v>
      </c>
      <c r="G403" s="8" t="s">
        <v>1203</v>
      </c>
      <c r="H403" s="8" t="s">
        <v>1203</v>
      </c>
    </row>
    <row r="404">
      <c r="A404" s="6" t="s">
        <v>8</v>
      </c>
      <c r="B404" s="6" t="s">
        <v>9</v>
      </c>
      <c r="C404" s="6" t="s">
        <v>1204</v>
      </c>
      <c r="D404" s="6" t="s">
        <v>1205</v>
      </c>
      <c r="E404" s="7">
        <v>44526.0</v>
      </c>
      <c r="F404" s="6" t="s">
        <v>12</v>
      </c>
      <c r="G404" s="8" t="s">
        <v>1206</v>
      </c>
      <c r="H404" s="8" t="s">
        <v>1206</v>
      </c>
    </row>
    <row r="405">
      <c r="A405" s="6" t="s">
        <v>8</v>
      </c>
      <c r="B405" s="6" t="s">
        <v>9</v>
      </c>
      <c r="C405" s="6" t="s">
        <v>1207</v>
      </c>
      <c r="D405" s="6" t="s">
        <v>1208</v>
      </c>
      <c r="E405" s="7">
        <v>44529.0</v>
      </c>
      <c r="F405" s="6" t="s">
        <v>12</v>
      </c>
      <c r="G405" s="8" t="s">
        <v>1209</v>
      </c>
      <c r="H405" s="8" t="s">
        <v>1209</v>
      </c>
    </row>
    <row r="406">
      <c r="A406" s="6" t="s">
        <v>8</v>
      </c>
      <c r="B406" s="6" t="s">
        <v>9</v>
      </c>
      <c r="C406" s="6" t="s">
        <v>1210</v>
      </c>
      <c r="D406" s="6" t="s">
        <v>1211</v>
      </c>
      <c r="E406" s="7">
        <v>44529.0</v>
      </c>
      <c r="F406" s="6" t="s">
        <v>12</v>
      </c>
      <c r="G406" s="8" t="s">
        <v>1212</v>
      </c>
      <c r="H406" s="8" t="s">
        <v>1212</v>
      </c>
    </row>
    <row r="407">
      <c r="A407" s="6" t="s">
        <v>8</v>
      </c>
      <c r="B407" s="6" t="s">
        <v>9</v>
      </c>
      <c r="C407" s="6" t="s">
        <v>1213</v>
      </c>
      <c r="D407" s="6" t="s">
        <v>1214</v>
      </c>
      <c r="E407" s="7">
        <v>44529.0</v>
      </c>
      <c r="F407" s="6" t="s">
        <v>12</v>
      </c>
      <c r="G407" s="8" t="s">
        <v>1215</v>
      </c>
      <c r="H407" s="8" t="s">
        <v>1215</v>
      </c>
    </row>
    <row r="408">
      <c r="A408" s="6" t="s">
        <v>8</v>
      </c>
      <c r="B408" s="6" t="s">
        <v>9</v>
      </c>
      <c r="C408" s="6" t="s">
        <v>1216</v>
      </c>
      <c r="D408" s="6" t="s">
        <v>1217</v>
      </c>
      <c r="E408" s="7">
        <v>44529.0</v>
      </c>
      <c r="F408" s="6" t="s">
        <v>12</v>
      </c>
      <c r="G408" s="8" t="s">
        <v>1218</v>
      </c>
      <c r="H408" s="8" t="s">
        <v>1218</v>
      </c>
    </row>
    <row r="409">
      <c r="A409" s="6" t="s">
        <v>8</v>
      </c>
      <c r="B409" s="6" t="s">
        <v>9</v>
      </c>
      <c r="C409" s="6" t="s">
        <v>1219</v>
      </c>
      <c r="D409" s="6" t="s">
        <v>1220</v>
      </c>
      <c r="E409" s="7">
        <v>44529.0</v>
      </c>
      <c r="F409" s="6" t="s">
        <v>12</v>
      </c>
      <c r="G409" s="8" t="s">
        <v>1221</v>
      </c>
      <c r="H409" s="8" t="s">
        <v>1221</v>
      </c>
    </row>
    <row r="410">
      <c r="A410" s="6" t="s">
        <v>8</v>
      </c>
      <c r="B410" s="6" t="s">
        <v>9</v>
      </c>
      <c r="C410" s="6" t="s">
        <v>1222</v>
      </c>
      <c r="D410" s="6" t="s">
        <v>1223</v>
      </c>
      <c r="E410" s="7">
        <v>44531.0</v>
      </c>
      <c r="F410" s="6" t="s">
        <v>12</v>
      </c>
      <c r="G410" s="8" t="s">
        <v>1224</v>
      </c>
      <c r="H410" s="8" t="s">
        <v>1224</v>
      </c>
    </row>
    <row r="411">
      <c r="A411" s="6" t="s">
        <v>8</v>
      </c>
      <c r="B411" s="6" t="s">
        <v>9</v>
      </c>
      <c r="C411" s="6" t="s">
        <v>1225</v>
      </c>
      <c r="D411" s="6" t="s">
        <v>1226</v>
      </c>
      <c r="E411" s="7">
        <v>44519.0</v>
      </c>
      <c r="F411" s="6" t="s">
        <v>12</v>
      </c>
      <c r="G411" s="8" t="s">
        <v>1227</v>
      </c>
      <c r="H411" s="8" t="s">
        <v>1227</v>
      </c>
    </row>
    <row r="412">
      <c r="A412" s="6" t="s">
        <v>8</v>
      </c>
      <c r="B412" s="6" t="s">
        <v>9</v>
      </c>
      <c r="C412" s="6" t="s">
        <v>1228</v>
      </c>
      <c r="D412" s="6" t="s">
        <v>1229</v>
      </c>
      <c r="E412" s="7">
        <v>44519.0</v>
      </c>
      <c r="F412" s="6" t="s">
        <v>12</v>
      </c>
      <c r="G412" s="8" t="s">
        <v>1230</v>
      </c>
      <c r="H412" s="8" t="s">
        <v>1230</v>
      </c>
    </row>
    <row r="413">
      <c r="A413" s="6" t="s">
        <v>8</v>
      </c>
      <c r="B413" s="6" t="s">
        <v>9</v>
      </c>
      <c r="C413" s="6" t="s">
        <v>1231</v>
      </c>
      <c r="D413" s="6" t="s">
        <v>1232</v>
      </c>
      <c r="E413" s="7">
        <v>44532.0</v>
      </c>
      <c r="F413" s="6" t="s">
        <v>12</v>
      </c>
      <c r="G413" s="8" t="s">
        <v>1233</v>
      </c>
      <c r="H413" s="8" t="s">
        <v>1233</v>
      </c>
    </row>
    <row r="414">
      <c r="A414" s="6" t="s">
        <v>8</v>
      </c>
      <c r="B414" s="6" t="s">
        <v>9</v>
      </c>
      <c r="C414" s="6" t="s">
        <v>1234</v>
      </c>
      <c r="D414" s="6" t="s">
        <v>1235</v>
      </c>
      <c r="E414" s="7">
        <v>44523.0</v>
      </c>
      <c r="F414" s="6" t="s">
        <v>12</v>
      </c>
      <c r="G414" s="8" t="s">
        <v>1236</v>
      </c>
      <c r="H414" s="8" t="s">
        <v>1236</v>
      </c>
    </row>
    <row r="415">
      <c r="A415" s="6" t="s">
        <v>8</v>
      </c>
      <c r="B415" s="6" t="s">
        <v>9</v>
      </c>
      <c r="C415" s="6" t="s">
        <v>1237</v>
      </c>
      <c r="D415" s="6" t="s">
        <v>1238</v>
      </c>
      <c r="E415" s="7">
        <v>44503.0</v>
      </c>
      <c r="F415" s="6" t="s">
        <v>12</v>
      </c>
      <c r="G415" s="8" t="s">
        <v>1239</v>
      </c>
      <c r="H415" s="8" t="s">
        <v>1239</v>
      </c>
    </row>
    <row r="416">
      <c r="A416" s="6" t="s">
        <v>8</v>
      </c>
      <c r="B416" s="6" t="s">
        <v>9</v>
      </c>
      <c r="C416" s="6" t="s">
        <v>1240</v>
      </c>
      <c r="D416" s="6" t="s">
        <v>1241</v>
      </c>
      <c r="E416" s="7">
        <v>44544.0</v>
      </c>
      <c r="F416" s="6" t="s">
        <v>12</v>
      </c>
      <c r="G416" s="8" t="s">
        <v>1242</v>
      </c>
      <c r="H416" s="8" t="s">
        <v>1242</v>
      </c>
    </row>
    <row r="417">
      <c r="A417" s="6" t="s">
        <v>8</v>
      </c>
      <c r="B417" s="6" t="s">
        <v>9</v>
      </c>
      <c r="C417" s="6" t="s">
        <v>1243</v>
      </c>
      <c r="D417" s="6" t="s">
        <v>1244</v>
      </c>
      <c r="E417" s="7">
        <v>44564.0</v>
      </c>
      <c r="F417" s="6" t="s">
        <v>12</v>
      </c>
      <c r="G417" s="8" t="s">
        <v>1245</v>
      </c>
      <c r="H417" s="8" t="s">
        <v>1245</v>
      </c>
    </row>
    <row r="418">
      <c r="A418" s="6" t="s">
        <v>8</v>
      </c>
      <c r="B418" s="6" t="s">
        <v>9</v>
      </c>
      <c r="C418" s="6" t="s">
        <v>1246</v>
      </c>
      <c r="D418" s="6" t="s">
        <v>1247</v>
      </c>
      <c r="E418" s="7">
        <v>44510.0</v>
      </c>
      <c r="F418" s="6" t="s">
        <v>12</v>
      </c>
      <c r="G418" s="8" t="s">
        <v>1248</v>
      </c>
      <c r="H418" s="8" t="s">
        <v>1248</v>
      </c>
    </row>
    <row r="419">
      <c r="A419" s="6" t="s">
        <v>8</v>
      </c>
      <c r="B419" s="6" t="s">
        <v>9</v>
      </c>
      <c r="C419" s="6" t="s">
        <v>1249</v>
      </c>
      <c r="D419" s="6" t="s">
        <v>1250</v>
      </c>
      <c r="E419" s="7">
        <v>44019.0</v>
      </c>
      <c r="F419" s="6" t="s">
        <v>12</v>
      </c>
      <c r="G419" s="8" t="s">
        <v>1251</v>
      </c>
      <c r="H419" s="8" t="s">
        <v>1251</v>
      </c>
    </row>
    <row r="420">
      <c r="A420" s="6" t="s">
        <v>8</v>
      </c>
      <c r="B420" s="6" t="s">
        <v>9</v>
      </c>
      <c r="C420" s="6" t="s">
        <v>1252</v>
      </c>
      <c r="D420" s="6" t="s">
        <v>1253</v>
      </c>
      <c r="E420" s="7">
        <v>44015.0</v>
      </c>
      <c r="F420" s="6" t="s">
        <v>12</v>
      </c>
      <c r="G420" s="8" t="s">
        <v>1254</v>
      </c>
      <c r="H420" s="8" t="s">
        <v>1254</v>
      </c>
    </row>
    <row r="421">
      <c r="A421" s="6" t="s">
        <v>8</v>
      </c>
      <c r="B421" s="6" t="s">
        <v>9</v>
      </c>
      <c r="C421" s="6" t="s">
        <v>1255</v>
      </c>
      <c r="D421" s="6" t="s">
        <v>1256</v>
      </c>
      <c r="E421" s="7">
        <v>44015.0</v>
      </c>
      <c r="F421" s="6" t="s">
        <v>12</v>
      </c>
      <c r="G421" s="8" t="s">
        <v>1257</v>
      </c>
      <c r="H421" s="8" t="s">
        <v>1257</v>
      </c>
    </row>
    <row r="422">
      <c r="A422" s="6" t="s">
        <v>8</v>
      </c>
      <c r="B422" s="6" t="s">
        <v>9</v>
      </c>
      <c r="C422" s="6" t="s">
        <v>1258</v>
      </c>
      <c r="D422" s="6" t="s">
        <v>1259</v>
      </c>
      <c r="E422" s="7">
        <v>44012.0</v>
      </c>
      <c r="F422" s="6" t="s">
        <v>12</v>
      </c>
      <c r="G422" s="8" t="s">
        <v>1260</v>
      </c>
      <c r="H422" s="8" t="s">
        <v>1260</v>
      </c>
    </row>
    <row r="423">
      <c r="A423" s="6" t="s">
        <v>8</v>
      </c>
      <c r="B423" s="6" t="s">
        <v>9</v>
      </c>
      <c r="C423" s="6" t="s">
        <v>1261</v>
      </c>
      <c r="D423" s="6" t="s">
        <v>1262</v>
      </c>
      <c r="E423" s="7">
        <v>44027.0</v>
      </c>
      <c r="F423" s="6" t="s">
        <v>12</v>
      </c>
      <c r="G423" s="8" t="s">
        <v>1263</v>
      </c>
      <c r="H423" s="8" t="s">
        <v>1263</v>
      </c>
    </row>
    <row r="424">
      <c r="A424" s="6" t="s">
        <v>8</v>
      </c>
      <c r="B424" s="6" t="s">
        <v>9</v>
      </c>
      <c r="C424" s="6" t="s">
        <v>1264</v>
      </c>
      <c r="D424" s="6" t="s">
        <v>1265</v>
      </c>
      <c r="E424" s="7">
        <v>44028.0</v>
      </c>
      <c r="F424" s="6" t="s">
        <v>12</v>
      </c>
      <c r="G424" s="8" t="s">
        <v>1266</v>
      </c>
      <c r="H424" s="8" t="s">
        <v>1266</v>
      </c>
    </row>
    <row r="425">
      <c r="A425" s="6" t="s">
        <v>8</v>
      </c>
      <c r="B425" s="6" t="s">
        <v>9</v>
      </c>
      <c r="C425" s="6" t="s">
        <v>1267</v>
      </c>
      <c r="D425" s="6" t="s">
        <v>1268</v>
      </c>
      <c r="E425" s="7">
        <v>44028.0</v>
      </c>
      <c r="F425" s="6" t="s">
        <v>12</v>
      </c>
      <c r="G425" s="8" t="s">
        <v>1269</v>
      </c>
      <c r="H425" s="8" t="s">
        <v>1269</v>
      </c>
    </row>
    <row r="426">
      <c r="A426" s="6" t="s">
        <v>8</v>
      </c>
      <c r="B426" s="6" t="s">
        <v>9</v>
      </c>
      <c r="C426" s="6" t="s">
        <v>1270</v>
      </c>
      <c r="D426" s="6" t="s">
        <v>1271</v>
      </c>
      <c r="E426" s="7">
        <v>44021.0</v>
      </c>
      <c r="F426" s="6" t="s">
        <v>12</v>
      </c>
      <c r="G426" s="8" t="s">
        <v>1272</v>
      </c>
      <c r="H426" s="8" t="s">
        <v>1272</v>
      </c>
    </row>
    <row r="427">
      <c r="A427" s="6" t="s">
        <v>8</v>
      </c>
      <c r="B427" s="6" t="s">
        <v>9</v>
      </c>
      <c r="C427" s="6" t="s">
        <v>1273</v>
      </c>
      <c r="D427" s="6" t="s">
        <v>1274</v>
      </c>
      <c r="E427" s="7">
        <v>44021.0</v>
      </c>
      <c r="F427" s="6" t="s">
        <v>12</v>
      </c>
      <c r="G427" s="8" t="s">
        <v>1275</v>
      </c>
      <c r="H427" s="8" t="s">
        <v>1275</v>
      </c>
    </row>
    <row r="428">
      <c r="A428" s="6" t="s">
        <v>8</v>
      </c>
      <c r="B428" s="6" t="s">
        <v>9</v>
      </c>
      <c r="C428" s="6" t="s">
        <v>1276</v>
      </c>
      <c r="D428" s="6" t="s">
        <v>1277</v>
      </c>
      <c r="E428" s="7">
        <v>44021.0</v>
      </c>
      <c r="F428" s="6" t="s">
        <v>12</v>
      </c>
      <c r="G428" s="8" t="s">
        <v>1278</v>
      </c>
      <c r="H428" s="8" t="s">
        <v>1278</v>
      </c>
    </row>
    <row r="429">
      <c r="A429" s="6" t="s">
        <v>8</v>
      </c>
      <c r="B429" s="6" t="s">
        <v>9</v>
      </c>
      <c r="C429" s="6" t="s">
        <v>1279</v>
      </c>
      <c r="D429" s="6" t="s">
        <v>1280</v>
      </c>
      <c r="E429" s="7">
        <v>44021.0</v>
      </c>
      <c r="F429" s="6" t="s">
        <v>12</v>
      </c>
      <c r="G429" s="8" t="s">
        <v>1281</v>
      </c>
      <c r="H429" s="8" t="s">
        <v>1281</v>
      </c>
    </row>
    <row r="430">
      <c r="A430" s="6" t="s">
        <v>8</v>
      </c>
      <c r="B430" s="6" t="s">
        <v>9</v>
      </c>
      <c r="C430" s="6" t="s">
        <v>1282</v>
      </c>
      <c r="D430" s="6" t="s">
        <v>1283</v>
      </c>
      <c r="E430" s="7">
        <v>44022.0</v>
      </c>
      <c r="F430" s="6" t="s">
        <v>12</v>
      </c>
      <c r="G430" s="8" t="s">
        <v>1284</v>
      </c>
      <c r="H430" s="8" t="s">
        <v>1284</v>
      </c>
    </row>
    <row r="431">
      <c r="A431" s="6" t="s">
        <v>8</v>
      </c>
      <c r="B431" s="6" t="s">
        <v>9</v>
      </c>
      <c r="C431" s="6" t="s">
        <v>1285</v>
      </c>
      <c r="D431" s="6" t="s">
        <v>1286</v>
      </c>
      <c r="E431" s="7">
        <v>44022.0</v>
      </c>
      <c r="F431" s="6" t="s">
        <v>12</v>
      </c>
      <c r="G431" s="8" t="s">
        <v>1287</v>
      </c>
      <c r="H431" s="8" t="s">
        <v>1287</v>
      </c>
    </row>
    <row r="432">
      <c r="A432" s="6" t="s">
        <v>8</v>
      </c>
      <c r="B432" s="6" t="s">
        <v>9</v>
      </c>
      <c r="C432" s="6" t="s">
        <v>1288</v>
      </c>
      <c r="D432" s="6" t="s">
        <v>1289</v>
      </c>
      <c r="E432" s="7">
        <v>44025.0</v>
      </c>
      <c r="F432" s="6" t="s">
        <v>12</v>
      </c>
      <c r="G432" s="8" t="s">
        <v>1290</v>
      </c>
      <c r="H432" s="8" t="s">
        <v>1290</v>
      </c>
    </row>
    <row r="433">
      <c r="A433" s="6" t="s">
        <v>8</v>
      </c>
      <c r="B433" s="6" t="s">
        <v>9</v>
      </c>
      <c r="C433" s="6" t="s">
        <v>1291</v>
      </c>
      <c r="D433" s="6" t="s">
        <v>1292</v>
      </c>
      <c r="E433" s="7">
        <v>44036.0</v>
      </c>
      <c r="F433" s="6" t="s">
        <v>12</v>
      </c>
      <c r="G433" s="8" t="s">
        <v>1293</v>
      </c>
      <c r="H433" s="8" t="s">
        <v>1293</v>
      </c>
    </row>
    <row r="434">
      <c r="A434" s="6" t="s">
        <v>8</v>
      </c>
      <c r="B434" s="6" t="s">
        <v>9</v>
      </c>
      <c r="C434" s="6" t="s">
        <v>1294</v>
      </c>
      <c r="D434" s="6" t="s">
        <v>1295</v>
      </c>
      <c r="E434" s="7">
        <v>44036.0</v>
      </c>
      <c r="F434" s="6" t="s">
        <v>12</v>
      </c>
      <c r="G434" s="8" t="s">
        <v>1296</v>
      </c>
      <c r="H434" s="8" t="s">
        <v>1296</v>
      </c>
    </row>
    <row r="435">
      <c r="A435" s="6" t="s">
        <v>8</v>
      </c>
      <c r="B435" s="6" t="s">
        <v>9</v>
      </c>
      <c r="C435" s="6" t="s">
        <v>1297</v>
      </c>
      <c r="D435" s="6" t="s">
        <v>1298</v>
      </c>
      <c r="E435" s="7">
        <v>44036.0</v>
      </c>
      <c r="F435" s="6" t="s">
        <v>12</v>
      </c>
      <c r="G435" s="8" t="s">
        <v>1299</v>
      </c>
      <c r="H435" s="8" t="s">
        <v>1299</v>
      </c>
    </row>
    <row r="436">
      <c r="A436" s="6" t="s">
        <v>8</v>
      </c>
      <c r="B436" s="6" t="s">
        <v>9</v>
      </c>
      <c r="C436" s="6" t="s">
        <v>1300</v>
      </c>
      <c r="D436" s="6" t="s">
        <v>1301</v>
      </c>
      <c r="E436" s="7">
        <v>44036.0</v>
      </c>
      <c r="F436" s="6" t="s">
        <v>12</v>
      </c>
      <c r="G436" s="8" t="s">
        <v>1302</v>
      </c>
      <c r="H436" s="8" t="s">
        <v>1302</v>
      </c>
    </row>
    <row r="437">
      <c r="A437" s="6" t="s">
        <v>8</v>
      </c>
      <c r="B437" s="6" t="s">
        <v>9</v>
      </c>
      <c r="C437" s="6" t="s">
        <v>1303</v>
      </c>
      <c r="D437" s="6" t="s">
        <v>1304</v>
      </c>
      <c r="E437" s="7">
        <v>44036.0</v>
      </c>
      <c r="F437" s="6" t="s">
        <v>12</v>
      </c>
      <c r="G437" s="8" t="s">
        <v>1305</v>
      </c>
      <c r="H437" s="8" t="s">
        <v>1305</v>
      </c>
    </row>
    <row r="438">
      <c r="A438" s="6" t="s">
        <v>8</v>
      </c>
      <c r="B438" s="6" t="s">
        <v>9</v>
      </c>
      <c r="C438" s="6" t="s">
        <v>1306</v>
      </c>
      <c r="D438" s="6" t="s">
        <v>1307</v>
      </c>
      <c r="E438" s="7">
        <v>44036.0</v>
      </c>
      <c r="F438" s="6" t="s">
        <v>12</v>
      </c>
      <c r="G438" s="8" t="s">
        <v>1308</v>
      </c>
      <c r="H438" s="8" t="s">
        <v>1308</v>
      </c>
    </row>
    <row r="439">
      <c r="A439" s="6" t="s">
        <v>8</v>
      </c>
      <c r="B439" s="6" t="s">
        <v>9</v>
      </c>
      <c r="C439" s="6" t="s">
        <v>1309</v>
      </c>
      <c r="D439" s="6" t="s">
        <v>1310</v>
      </c>
      <c r="E439" s="7">
        <v>44028.0</v>
      </c>
      <c r="F439" s="6" t="s">
        <v>12</v>
      </c>
      <c r="G439" s="8" t="s">
        <v>1311</v>
      </c>
      <c r="H439" s="8" t="s">
        <v>1311</v>
      </c>
    </row>
    <row r="440">
      <c r="A440" s="6" t="s">
        <v>8</v>
      </c>
      <c r="B440" s="6" t="s">
        <v>9</v>
      </c>
      <c r="C440" s="6" t="s">
        <v>1312</v>
      </c>
      <c r="D440" s="6" t="s">
        <v>1313</v>
      </c>
      <c r="E440" s="7">
        <v>44039.0</v>
      </c>
      <c r="F440" s="6" t="s">
        <v>12</v>
      </c>
      <c r="G440" s="8" t="s">
        <v>1314</v>
      </c>
      <c r="H440" s="8" t="s">
        <v>1314</v>
      </c>
    </row>
    <row r="441">
      <c r="A441" s="6" t="s">
        <v>8</v>
      </c>
      <c r="B441" s="6" t="s">
        <v>9</v>
      </c>
      <c r="C441" s="6" t="s">
        <v>1315</v>
      </c>
      <c r="D441" s="6" t="s">
        <v>1316</v>
      </c>
      <c r="E441" s="7">
        <v>44039.0</v>
      </c>
      <c r="F441" s="6" t="s">
        <v>12</v>
      </c>
      <c r="G441" s="8" t="s">
        <v>1317</v>
      </c>
      <c r="H441" s="8" t="s">
        <v>1317</v>
      </c>
    </row>
    <row r="442">
      <c r="A442" s="6" t="s">
        <v>8</v>
      </c>
      <c r="B442" s="6" t="s">
        <v>9</v>
      </c>
      <c r="C442" s="6" t="s">
        <v>1318</v>
      </c>
      <c r="D442" s="6" t="s">
        <v>1319</v>
      </c>
      <c r="E442" s="7">
        <v>44039.0</v>
      </c>
      <c r="F442" s="6" t="s">
        <v>12</v>
      </c>
      <c r="G442" s="8" t="s">
        <v>1320</v>
      </c>
      <c r="H442" s="8" t="s">
        <v>1320</v>
      </c>
    </row>
    <row r="443">
      <c r="A443" s="6" t="s">
        <v>8</v>
      </c>
      <c r="B443" s="6" t="s">
        <v>9</v>
      </c>
      <c r="C443" s="6" t="s">
        <v>1321</v>
      </c>
      <c r="D443" s="6" t="s">
        <v>1322</v>
      </c>
      <c r="E443" s="7">
        <v>44039.0</v>
      </c>
      <c r="F443" s="6" t="s">
        <v>12</v>
      </c>
      <c r="G443" s="8" t="s">
        <v>1323</v>
      </c>
      <c r="H443" s="8" t="s">
        <v>1323</v>
      </c>
    </row>
    <row r="444">
      <c r="A444" s="6" t="s">
        <v>8</v>
      </c>
      <c r="B444" s="6" t="s">
        <v>9</v>
      </c>
      <c r="C444" s="6" t="s">
        <v>1324</v>
      </c>
      <c r="D444" s="6" t="s">
        <v>1325</v>
      </c>
      <c r="E444" s="7">
        <v>44039.0</v>
      </c>
      <c r="F444" s="6" t="s">
        <v>12</v>
      </c>
      <c r="G444" s="8" t="s">
        <v>1326</v>
      </c>
      <c r="H444" s="8" t="s">
        <v>1326</v>
      </c>
    </row>
    <row r="445">
      <c r="A445" s="6" t="s">
        <v>8</v>
      </c>
      <c r="B445" s="6" t="s">
        <v>9</v>
      </c>
      <c r="C445" s="6" t="s">
        <v>1327</v>
      </c>
      <c r="D445" s="6" t="s">
        <v>1328</v>
      </c>
      <c r="E445" s="7">
        <v>44039.0</v>
      </c>
      <c r="F445" s="6" t="s">
        <v>12</v>
      </c>
      <c r="G445" s="8" t="s">
        <v>1329</v>
      </c>
      <c r="H445" s="8" t="s">
        <v>1329</v>
      </c>
    </row>
    <row r="446">
      <c r="A446" s="6" t="s">
        <v>8</v>
      </c>
      <c r="B446" s="6" t="s">
        <v>9</v>
      </c>
      <c r="C446" s="6" t="s">
        <v>1330</v>
      </c>
      <c r="D446" s="6" t="s">
        <v>1331</v>
      </c>
      <c r="E446" s="7">
        <v>44039.0</v>
      </c>
      <c r="F446" s="6" t="s">
        <v>12</v>
      </c>
      <c r="G446" s="8" t="s">
        <v>1332</v>
      </c>
      <c r="H446" s="8" t="s">
        <v>1332</v>
      </c>
    </row>
    <row r="447">
      <c r="A447" s="6" t="s">
        <v>8</v>
      </c>
      <c r="B447" s="6" t="s">
        <v>9</v>
      </c>
      <c r="C447" s="6" t="s">
        <v>1333</v>
      </c>
      <c r="D447" s="6" t="s">
        <v>1334</v>
      </c>
      <c r="E447" s="7">
        <v>44039.0</v>
      </c>
      <c r="F447" s="6" t="s">
        <v>12</v>
      </c>
      <c r="G447" s="8" t="s">
        <v>1335</v>
      </c>
      <c r="H447" s="8" t="s">
        <v>1335</v>
      </c>
    </row>
    <row r="448">
      <c r="A448" s="6" t="s">
        <v>8</v>
      </c>
      <c r="B448" s="6" t="s">
        <v>9</v>
      </c>
      <c r="C448" s="6" t="s">
        <v>1336</v>
      </c>
      <c r="D448" s="6" t="s">
        <v>1337</v>
      </c>
      <c r="E448" s="7">
        <v>44039.0</v>
      </c>
      <c r="F448" s="6" t="s">
        <v>12</v>
      </c>
      <c r="G448" s="8" t="s">
        <v>1338</v>
      </c>
      <c r="H448" s="8" t="s">
        <v>1338</v>
      </c>
    </row>
    <row r="449">
      <c r="A449" s="6" t="s">
        <v>8</v>
      </c>
      <c r="B449" s="6" t="s">
        <v>9</v>
      </c>
      <c r="C449" s="6" t="s">
        <v>1339</v>
      </c>
      <c r="D449" s="6" t="s">
        <v>992</v>
      </c>
      <c r="E449" s="7">
        <v>44039.0</v>
      </c>
      <c r="F449" s="6" t="s">
        <v>12</v>
      </c>
      <c r="G449" s="8" t="s">
        <v>1340</v>
      </c>
      <c r="H449" s="8" t="s">
        <v>1340</v>
      </c>
    </row>
    <row r="450">
      <c r="A450" s="6" t="s">
        <v>8</v>
      </c>
      <c r="B450" s="6" t="s">
        <v>9</v>
      </c>
      <c r="C450" s="6" t="s">
        <v>1341</v>
      </c>
      <c r="D450" s="6" t="s">
        <v>989</v>
      </c>
      <c r="E450" s="7">
        <v>44039.0</v>
      </c>
      <c r="F450" s="6" t="s">
        <v>12</v>
      </c>
      <c r="G450" s="8" t="s">
        <v>1342</v>
      </c>
      <c r="H450" s="8" t="s">
        <v>1342</v>
      </c>
    </row>
    <row r="451">
      <c r="A451" s="6" t="s">
        <v>8</v>
      </c>
      <c r="B451" s="6" t="s">
        <v>9</v>
      </c>
      <c r="C451" s="6" t="s">
        <v>1343</v>
      </c>
      <c r="D451" s="6" t="s">
        <v>1344</v>
      </c>
      <c r="E451" s="7">
        <v>44039.0</v>
      </c>
      <c r="F451" s="6" t="s">
        <v>12</v>
      </c>
      <c r="G451" s="8" t="s">
        <v>1345</v>
      </c>
      <c r="H451" s="8" t="s">
        <v>1345</v>
      </c>
    </row>
    <row r="452">
      <c r="A452" s="6" t="s">
        <v>8</v>
      </c>
      <c r="B452" s="6" t="s">
        <v>9</v>
      </c>
      <c r="C452" s="6" t="s">
        <v>1346</v>
      </c>
      <c r="D452" s="6" t="s">
        <v>1347</v>
      </c>
      <c r="E452" s="7">
        <v>44039.0</v>
      </c>
      <c r="F452" s="6" t="s">
        <v>12</v>
      </c>
      <c r="G452" s="8" t="s">
        <v>1348</v>
      </c>
      <c r="H452" s="8" t="s">
        <v>1348</v>
      </c>
    </row>
    <row r="453">
      <c r="A453" s="6" t="s">
        <v>8</v>
      </c>
      <c r="B453" s="6" t="s">
        <v>9</v>
      </c>
      <c r="C453" s="6" t="s">
        <v>1349</v>
      </c>
      <c r="D453" s="6" t="s">
        <v>1350</v>
      </c>
      <c r="E453" s="7">
        <v>44039.0</v>
      </c>
      <c r="F453" s="6" t="s">
        <v>12</v>
      </c>
      <c r="G453" s="8" t="s">
        <v>1351</v>
      </c>
      <c r="H453" s="8" t="s">
        <v>1351</v>
      </c>
    </row>
    <row r="454">
      <c r="A454" s="6" t="s">
        <v>8</v>
      </c>
      <c r="B454" s="6" t="s">
        <v>9</v>
      </c>
      <c r="C454" s="6" t="s">
        <v>1352</v>
      </c>
      <c r="D454" s="6" t="s">
        <v>1000</v>
      </c>
      <c r="E454" s="7">
        <v>44039.0</v>
      </c>
      <c r="F454" s="6" t="s">
        <v>12</v>
      </c>
      <c r="G454" s="8" t="s">
        <v>1353</v>
      </c>
      <c r="H454" s="8" t="s">
        <v>1353</v>
      </c>
    </row>
    <row r="455">
      <c r="A455" s="6" t="s">
        <v>8</v>
      </c>
      <c r="B455" s="6" t="s">
        <v>9</v>
      </c>
      <c r="C455" s="6" t="s">
        <v>1354</v>
      </c>
      <c r="D455" s="6" t="s">
        <v>1355</v>
      </c>
      <c r="E455" s="7">
        <v>44039.0</v>
      </c>
      <c r="F455" s="6" t="s">
        <v>12</v>
      </c>
      <c r="G455" s="8" t="s">
        <v>1356</v>
      </c>
      <c r="H455" s="8" t="s">
        <v>1356</v>
      </c>
    </row>
    <row r="456">
      <c r="A456" s="6" t="s">
        <v>8</v>
      </c>
      <c r="B456" s="6" t="s">
        <v>9</v>
      </c>
      <c r="C456" s="6" t="s">
        <v>1357</v>
      </c>
      <c r="D456" s="6" t="s">
        <v>1358</v>
      </c>
      <c r="E456" s="7">
        <v>44039.0</v>
      </c>
      <c r="F456" s="6" t="s">
        <v>12</v>
      </c>
      <c r="G456" s="8" t="s">
        <v>1359</v>
      </c>
      <c r="H456" s="8" t="s">
        <v>1359</v>
      </c>
    </row>
    <row r="457">
      <c r="A457" s="6" t="s">
        <v>8</v>
      </c>
      <c r="B457" s="6" t="s">
        <v>9</v>
      </c>
      <c r="C457" s="6" t="s">
        <v>1360</v>
      </c>
      <c r="D457" s="6" t="s">
        <v>1361</v>
      </c>
      <c r="E457" s="7">
        <v>44039.0</v>
      </c>
      <c r="F457" s="6" t="s">
        <v>12</v>
      </c>
      <c r="G457" s="8" t="s">
        <v>1362</v>
      </c>
      <c r="H457" s="8" t="s">
        <v>1362</v>
      </c>
    </row>
    <row r="458">
      <c r="A458" s="6" t="s">
        <v>8</v>
      </c>
      <c r="B458" s="6" t="s">
        <v>9</v>
      </c>
      <c r="C458" s="6" t="s">
        <v>1363</v>
      </c>
      <c r="D458" s="6" t="s">
        <v>1364</v>
      </c>
      <c r="E458" s="7">
        <v>44039.0</v>
      </c>
      <c r="F458" s="6" t="s">
        <v>12</v>
      </c>
      <c r="G458" s="8" t="s">
        <v>1365</v>
      </c>
      <c r="H458" s="8" t="s">
        <v>1365</v>
      </c>
    </row>
    <row r="459">
      <c r="A459" s="6" t="s">
        <v>8</v>
      </c>
      <c r="B459" s="6" t="s">
        <v>9</v>
      </c>
      <c r="C459" s="6" t="s">
        <v>1366</v>
      </c>
      <c r="D459" s="6" t="s">
        <v>631</v>
      </c>
      <c r="E459" s="7">
        <v>44039.0</v>
      </c>
      <c r="F459" s="6" t="s">
        <v>12</v>
      </c>
      <c r="G459" s="8" t="s">
        <v>1367</v>
      </c>
      <c r="H459" s="8" t="s">
        <v>1367</v>
      </c>
    </row>
    <row r="460">
      <c r="A460" s="6" t="s">
        <v>8</v>
      </c>
      <c r="B460" s="6" t="s">
        <v>9</v>
      </c>
      <c r="C460" s="6" t="s">
        <v>1368</v>
      </c>
      <c r="D460" s="6" t="s">
        <v>640</v>
      </c>
      <c r="E460" s="7">
        <v>44039.0</v>
      </c>
      <c r="F460" s="6" t="s">
        <v>12</v>
      </c>
      <c r="G460" s="8" t="s">
        <v>1369</v>
      </c>
      <c r="H460" s="8" t="s">
        <v>1369</v>
      </c>
    </row>
    <row r="461">
      <c r="A461" s="6" t="s">
        <v>8</v>
      </c>
      <c r="B461" s="6" t="s">
        <v>9</v>
      </c>
      <c r="C461" s="6" t="s">
        <v>1370</v>
      </c>
      <c r="D461" s="6" t="s">
        <v>1371</v>
      </c>
      <c r="E461" s="7">
        <v>44039.0</v>
      </c>
      <c r="F461" s="6" t="s">
        <v>12</v>
      </c>
      <c r="G461" s="8" t="s">
        <v>1372</v>
      </c>
      <c r="H461" s="8" t="s">
        <v>1372</v>
      </c>
    </row>
    <row r="462">
      <c r="A462" s="6" t="s">
        <v>8</v>
      </c>
      <c r="B462" s="6" t="s">
        <v>9</v>
      </c>
      <c r="C462" s="6" t="s">
        <v>1373</v>
      </c>
      <c r="D462" s="6" t="s">
        <v>1374</v>
      </c>
      <c r="E462" s="7">
        <v>44039.0</v>
      </c>
      <c r="F462" s="6" t="s">
        <v>12</v>
      </c>
      <c r="G462" s="8" t="s">
        <v>1375</v>
      </c>
      <c r="H462" s="8" t="s">
        <v>1375</v>
      </c>
    </row>
    <row r="463">
      <c r="A463" s="6" t="s">
        <v>8</v>
      </c>
      <c r="B463" s="6" t="s">
        <v>9</v>
      </c>
      <c r="C463" s="6" t="s">
        <v>1376</v>
      </c>
      <c r="D463" s="6" t="s">
        <v>1377</v>
      </c>
      <c r="E463" s="7">
        <v>44039.0</v>
      </c>
      <c r="F463" s="6" t="s">
        <v>12</v>
      </c>
      <c r="G463" s="8" t="s">
        <v>1378</v>
      </c>
      <c r="H463" s="8" t="s">
        <v>1378</v>
      </c>
    </row>
    <row r="464">
      <c r="A464" s="6" t="s">
        <v>8</v>
      </c>
      <c r="B464" s="6" t="s">
        <v>9</v>
      </c>
      <c r="C464" s="6" t="s">
        <v>1379</v>
      </c>
      <c r="D464" s="6" t="s">
        <v>1380</v>
      </c>
      <c r="E464" s="7">
        <v>44039.0</v>
      </c>
      <c r="F464" s="6" t="s">
        <v>12</v>
      </c>
      <c r="G464" s="8" t="s">
        <v>1381</v>
      </c>
      <c r="H464" s="8" t="s">
        <v>1381</v>
      </c>
    </row>
    <row r="465">
      <c r="A465" s="6" t="s">
        <v>8</v>
      </c>
      <c r="B465" s="6" t="s">
        <v>9</v>
      </c>
      <c r="C465" s="6" t="s">
        <v>1382</v>
      </c>
      <c r="D465" s="6" t="s">
        <v>1383</v>
      </c>
      <c r="E465" s="7">
        <v>44039.0</v>
      </c>
      <c r="F465" s="6" t="s">
        <v>12</v>
      </c>
      <c r="G465" s="8" t="s">
        <v>1384</v>
      </c>
      <c r="H465" s="8" t="s">
        <v>1384</v>
      </c>
    </row>
    <row r="466">
      <c r="A466" s="6" t="s">
        <v>8</v>
      </c>
      <c r="B466" s="6" t="s">
        <v>9</v>
      </c>
      <c r="C466" s="6" t="s">
        <v>1385</v>
      </c>
      <c r="D466" s="6" t="s">
        <v>1386</v>
      </c>
      <c r="E466" s="7">
        <v>44039.0</v>
      </c>
      <c r="F466" s="6" t="s">
        <v>12</v>
      </c>
      <c r="G466" s="8" t="s">
        <v>1387</v>
      </c>
      <c r="H466" s="8" t="s">
        <v>1387</v>
      </c>
    </row>
    <row r="467">
      <c r="A467" s="6" t="s">
        <v>8</v>
      </c>
      <c r="B467" s="6" t="s">
        <v>9</v>
      </c>
      <c r="C467" s="6" t="s">
        <v>1388</v>
      </c>
      <c r="D467" s="6" t="s">
        <v>1389</v>
      </c>
      <c r="E467" s="7">
        <v>44039.0</v>
      </c>
      <c r="F467" s="6" t="s">
        <v>12</v>
      </c>
      <c r="G467" s="8" t="s">
        <v>1390</v>
      </c>
      <c r="H467" s="8" t="s">
        <v>1390</v>
      </c>
    </row>
    <row r="468">
      <c r="A468" s="6" t="s">
        <v>8</v>
      </c>
      <c r="B468" s="6" t="s">
        <v>9</v>
      </c>
      <c r="C468" s="6" t="s">
        <v>1391</v>
      </c>
      <c r="D468" s="6" t="s">
        <v>1392</v>
      </c>
      <c r="E468" s="7">
        <v>44039.0</v>
      </c>
      <c r="F468" s="6" t="s">
        <v>12</v>
      </c>
      <c r="G468" s="8" t="s">
        <v>1393</v>
      </c>
      <c r="H468" s="8" t="s">
        <v>1393</v>
      </c>
    </row>
    <row r="469">
      <c r="A469" s="6" t="s">
        <v>8</v>
      </c>
      <c r="B469" s="6" t="s">
        <v>9</v>
      </c>
      <c r="C469" s="6" t="s">
        <v>1394</v>
      </c>
      <c r="D469" s="6" t="s">
        <v>1395</v>
      </c>
      <c r="E469" s="7">
        <v>44028.0</v>
      </c>
      <c r="F469" s="6" t="s">
        <v>12</v>
      </c>
      <c r="G469" s="8" t="s">
        <v>1396</v>
      </c>
      <c r="H469" s="8" t="s">
        <v>1396</v>
      </c>
    </row>
    <row r="470">
      <c r="A470" s="6" t="s">
        <v>8</v>
      </c>
      <c r="B470" s="6" t="s">
        <v>9</v>
      </c>
      <c r="C470" s="6" t="s">
        <v>1397</v>
      </c>
      <c r="D470" s="6" t="s">
        <v>1398</v>
      </c>
      <c r="E470" s="7">
        <v>44028.0</v>
      </c>
      <c r="F470" s="6" t="s">
        <v>12</v>
      </c>
      <c r="G470" s="8" t="s">
        <v>1399</v>
      </c>
      <c r="H470" s="8" t="s">
        <v>1399</v>
      </c>
    </row>
    <row r="471">
      <c r="A471" s="6" t="s">
        <v>8</v>
      </c>
      <c r="B471" s="6" t="s">
        <v>9</v>
      </c>
      <c r="C471" s="6" t="s">
        <v>1400</v>
      </c>
      <c r="D471" s="6" t="s">
        <v>1401</v>
      </c>
      <c r="E471" s="7">
        <v>44028.0</v>
      </c>
      <c r="F471" s="6" t="s">
        <v>12</v>
      </c>
      <c r="G471" s="8" t="s">
        <v>1402</v>
      </c>
      <c r="H471" s="8" t="s">
        <v>1402</v>
      </c>
    </row>
    <row r="472">
      <c r="A472" s="6" t="s">
        <v>8</v>
      </c>
      <c r="B472" s="6" t="s">
        <v>9</v>
      </c>
      <c r="C472" s="6" t="s">
        <v>1403</v>
      </c>
      <c r="D472" s="6" t="s">
        <v>1404</v>
      </c>
      <c r="E472" s="7">
        <v>44028.0</v>
      </c>
      <c r="F472" s="6" t="s">
        <v>12</v>
      </c>
      <c r="G472" s="8" t="s">
        <v>1405</v>
      </c>
      <c r="H472" s="8" t="s">
        <v>1405</v>
      </c>
    </row>
    <row r="473">
      <c r="A473" s="6" t="s">
        <v>8</v>
      </c>
      <c r="B473" s="6" t="s">
        <v>9</v>
      </c>
      <c r="C473" s="6" t="s">
        <v>1406</v>
      </c>
      <c r="D473" s="6" t="s">
        <v>1407</v>
      </c>
      <c r="E473" s="7">
        <v>44048.0</v>
      </c>
      <c r="F473" s="6" t="s">
        <v>12</v>
      </c>
      <c r="G473" s="8" t="s">
        <v>1408</v>
      </c>
      <c r="H473" s="8" t="s">
        <v>1408</v>
      </c>
    </row>
    <row r="474">
      <c r="A474" s="6" t="s">
        <v>8</v>
      </c>
      <c r="B474" s="6" t="s">
        <v>9</v>
      </c>
      <c r="C474" s="6" t="s">
        <v>1409</v>
      </c>
      <c r="D474" s="6" t="s">
        <v>1410</v>
      </c>
      <c r="E474" s="7">
        <v>44048.0</v>
      </c>
      <c r="F474" s="6" t="s">
        <v>12</v>
      </c>
      <c r="G474" s="8" t="s">
        <v>1411</v>
      </c>
      <c r="H474" s="8" t="s">
        <v>1411</v>
      </c>
    </row>
    <row r="475">
      <c r="A475" s="6" t="s">
        <v>8</v>
      </c>
      <c r="B475" s="6" t="s">
        <v>9</v>
      </c>
      <c r="C475" s="6" t="s">
        <v>1412</v>
      </c>
      <c r="D475" s="6" t="s">
        <v>1413</v>
      </c>
      <c r="E475" s="7">
        <v>44048.0</v>
      </c>
      <c r="F475" s="6" t="s">
        <v>12</v>
      </c>
      <c r="G475" s="8" t="s">
        <v>1414</v>
      </c>
      <c r="H475" s="8" t="s">
        <v>1414</v>
      </c>
    </row>
    <row r="476">
      <c r="A476" s="6" t="s">
        <v>8</v>
      </c>
      <c r="B476" s="6" t="s">
        <v>9</v>
      </c>
      <c r="C476" s="6" t="s">
        <v>1415</v>
      </c>
      <c r="D476" s="6" t="s">
        <v>1416</v>
      </c>
      <c r="E476" s="7">
        <v>44049.0</v>
      </c>
      <c r="F476" s="6" t="s">
        <v>12</v>
      </c>
      <c r="G476" s="8" t="s">
        <v>1417</v>
      </c>
      <c r="H476" s="8" t="s">
        <v>1417</v>
      </c>
    </row>
    <row r="477">
      <c r="A477" s="6" t="s">
        <v>8</v>
      </c>
      <c r="B477" s="6" t="s">
        <v>9</v>
      </c>
      <c r="C477" s="6" t="s">
        <v>1418</v>
      </c>
      <c r="D477" s="6" t="s">
        <v>1419</v>
      </c>
      <c r="E477" s="7">
        <v>44042.0</v>
      </c>
      <c r="F477" s="6" t="s">
        <v>12</v>
      </c>
      <c r="G477" s="8" t="s">
        <v>1420</v>
      </c>
      <c r="H477" s="8" t="s">
        <v>1420</v>
      </c>
    </row>
    <row r="478">
      <c r="A478" s="6" t="s">
        <v>8</v>
      </c>
      <c r="B478" s="6" t="s">
        <v>9</v>
      </c>
      <c r="C478" s="6" t="s">
        <v>1421</v>
      </c>
      <c r="D478" s="6" t="s">
        <v>1422</v>
      </c>
      <c r="E478" s="7">
        <v>44039.0</v>
      </c>
      <c r="F478" s="6" t="s">
        <v>12</v>
      </c>
      <c r="G478" s="8" t="s">
        <v>1423</v>
      </c>
      <c r="H478" s="8" t="s">
        <v>1423</v>
      </c>
    </row>
    <row r="479">
      <c r="A479" s="6" t="s">
        <v>8</v>
      </c>
      <c r="B479" s="6" t="s">
        <v>9</v>
      </c>
      <c r="C479" s="6" t="s">
        <v>1424</v>
      </c>
      <c r="D479" s="6" t="s">
        <v>1425</v>
      </c>
      <c r="E479" s="7">
        <v>44039.0</v>
      </c>
      <c r="F479" s="6" t="s">
        <v>12</v>
      </c>
      <c r="G479" s="8" t="s">
        <v>1426</v>
      </c>
      <c r="H479" s="8" t="s">
        <v>1426</v>
      </c>
    </row>
    <row r="480">
      <c r="A480" s="6" t="s">
        <v>8</v>
      </c>
      <c r="B480" s="6" t="s">
        <v>9</v>
      </c>
      <c r="C480" s="6" t="s">
        <v>1427</v>
      </c>
      <c r="D480" s="6" t="s">
        <v>1428</v>
      </c>
      <c r="E480" s="7">
        <v>44039.0</v>
      </c>
      <c r="F480" s="6" t="s">
        <v>12</v>
      </c>
      <c r="G480" s="8" t="s">
        <v>1429</v>
      </c>
      <c r="H480" s="8" t="s">
        <v>1429</v>
      </c>
    </row>
    <row r="481">
      <c r="A481" s="6" t="s">
        <v>8</v>
      </c>
      <c r="B481" s="6" t="s">
        <v>9</v>
      </c>
      <c r="C481" s="6" t="s">
        <v>1430</v>
      </c>
      <c r="D481" s="6" t="s">
        <v>1431</v>
      </c>
      <c r="E481" s="7">
        <v>44039.0</v>
      </c>
      <c r="F481" s="6" t="s">
        <v>12</v>
      </c>
      <c r="G481" s="8" t="s">
        <v>1432</v>
      </c>
      <c r="H481" s="8" t="s">
        <v>1432</v>
      </c>
    </row>
    <row r="482">
      <c r="A482" s="6" t="s">
        <v>8</v>
      </c>
      <c r="B482" s="6" t="s">
        <v>9</v>
      </c>
      <c r="C482" s="6" t="s">
        <v>1433</v>
      </c>
      <c r="D482" s="6" t="s">
        <v>1434</v>
      </c>
      <c r="E482" s="7">
        <v>44039.0</v>
      </c>
      <c r="F482" s="6" t="s">
        <v>12</v>
      </c>
      <c r="G482" s="8" t="s">
        <v>1435</v>
      </c>
      <c r="H482" s="8" t="s">
        <v>1435</v>
      </c>
    </row>
    <row r="483">
      <c r="A483" s="6" t="s">
        <v>8</v>
      </c>
      <c r="B483" s="6" t="s">
        <v>9</v>
      </c>
      <c r="C483" s="6" t="s">
        <v>1436</v>
      </c>
      <c r="D483" s="6" t="s">
        <v>1437</v>
      </c>
      <c r="E483" s="7">
        <v>44042.0</v>
      </c>
      <c r="F483" s="6" t="s">
        <v>12</v>
      </c>
      <c r="G483" s="8" t="s">
        <v>1438</v>
      </c>
      <c r="H483" s="8" t="s">
        <v>1438</v>
      </c>
    </row>
    <row r="484">
      <c r="A484" s="6" t="s">
        <v>8</v>
      </c>
      <c r="B484" s="6" t="s">
        <v>9</v>
      </c>
      <c r="C484" s="6" t="s">
        <v>1439</v>
      </c>
      <c r="D484" s="6" t="s">
        <v>1440</v>
      </c>
      <c r="E484" s="7">
        <v>44043.0</v>
      </c>
      <c r="F484" s="6" t="s">
        <v>12</v>
      </c>
      <c r="G484" s="8" t="s">
        <v>1441</v>
      </c>
      <c r="H484" s="8" t="s">
        <v>1441</v>
      </c>
    </row>
    <row r="485">
      <c r="A485" s="6" t="s">
        <v>8</v>
      </c>
      <c r="B485" s="6" t="s">
        <v>9</v>
      </c>
      <c r="C485" s="6" t="s">
        <v>1442</v>
      </c>
      <c r="D485" s="6" t="s">
        <v>1443</v>
      </c>
      <c r="E485" s="7">
        <v>44043.0</v>
      </c>
      <c r="F485" s="6" t="s">
        <v>12</v>
      </c>
      <c r="G485" s="8" t="s">
        <v>1444</v>
      </c>
      <c r="H485" s="8" t="s">
        <v>1444</v>
      </c>
    </row>
    <row r="486">
      <c r="A486" s="6" t="s">
        <v>8</v>
      </c>
      <c r="B486" s="6" t="s">
        <v>9</v>
      </c>
      <c r="C486" s="6" t="s">
        <v>1445</v>
      </c>
      <c r="D486" s="6" t="s">
        <v>1446</v>
      </c>
      <c r="E486" s="7">
        <v>44046.0</v>
      </c>
      <c r="F486" s="6" t="s">
        <v>12</v>
      </c>
      <c r="G486" s="8" t="s">
        <v>1447</v>
      </c>
      <c r="H486" s="8" t="s">
        <v>1447</v>
      </c>
    </row>
    <row r="487">
      <c r="A487" s="6" t="s">
        <v>8</v>
      </c>
      <c r="B487" s="6" t="s">
        <v>9</v>
      </c>
      <c r="C487" s="6" t="s">
        <v>1448</v>
      </c>
      <c r="D487" s="6" t="s">
        <v>1449</v>
      </c>
      <c r="E487" s="7">
        <v>44053.0</v>
      </c>
      <c r="F487" s="6" t="s">
        <v>12</v>
      </c>
      <c r="G487" s="8" t="s">
        <v>1450</v>
      </c>
      <c r="H487" s="8" t="s">
        <v>1450</v>
      </c>
    </row>
    <row r="488">
      <c r="A488" s="6" t="s">
        <v>8</v>
      </c>
      <c r="B488" s="6" t="s">
        <v>9</v>
      </c>
      <c r="C488" s="6" t="s">
        <v>1451</v>
      </c>
      <c r="D488" s="6" t="s">
        <v>1452</v>
      </c>
      <c r="E488" s="7">
        <v>44053.0</v>
      </c>
      <c r="F488" s="6" t="s">
        <v>12</v>
      </c>
      <c r="G488" s="8" t="s">
        <v>1453</v>
      </c>
      <c r="H488" s="8" t="s">
        <v>1453</v>
      </c>
    </row>
    <row r="489">
      <c r="A489" s="6" t="s">
        <v>8</v>
      </c>
      <c r="B489" s="6" t="s">
        <v>9</v>
      </c>
      <c r="C489" s="6" t="s">
        <v>1454</v>
      </c>
      <c r="D489" s="6" t="s">
        <v>1455</v>
      </c>
      <c r="E489" s="7">
        <v>44053.0</v>
      </c>
      <c r="F489" s="6" t="s">
        <v>12</v>
      </c>
      <c r="G489" s="8" t="s">
        <v>1456</v>
      </c>
      <c r="H489" s="8" t="s">
        <v>1456</v>
      </c>
    </row>
    <row r="490">
      <c r="A490" s="6" t="s">
        <v>8</v>
      </c>
      <c r="B490" s="6" t="s">
        <v>9</v>
      </c>
      <c r="C490" s="6" t="s">
        <v>1457</v>
      </c>
      <c r="D490" s="6" t="s">
        <v>1458</v>
      </c>
      <c r="E490" s="7">
        <v>44053.0</v>
      </c>
      <c r="F490" s="6" t="s">
        <v>12</v>
      </c>
      <c r="G490" s="8" t="s">
        <v>1459</v>
      </c>
      <c r="H490" s="8" t="s">
        <v>1459</v>
      </c>
    </row>
    <row r="491">
      <c r="A491" s="6" t="s">
        <v>8</v>
      </c>
      <c r="B491" s="6" t="s">
        <v>9</v>
      </c>
      <c r="C491" s="6" t="s">
        <v>1460</v>
      </c>
      <c r="D491" s="6" t="s">
        <v>1461</v>
      </c>
      <c r="E491" s="7">
        <v>44053.0</v>
      </c>
      <c r="F491" s="6" t="s">
        <v>12</v>
      </c>
      <c r="G491" s="8" t="s">
        <v>1462</v>
      </c>
      <c r="H491" s="8" t="s">
        <v>1462</v>
      </c>
    </row>
    <row r="492">
      <c r="A492" s="6" t="s">
        <v>8</v>
      </c>
      <c r="B492" s="6" t="s">
        <v>9</v>
      </c>
      <c r="C492" s="6" t="s">
        <v>1463</v>
      </c>
      <c r="D492" s="6" t="s">
        <v>1464</v>
      </c>
      <c r="E492" s="7">
        <v>44055.0</v>
      </c>
      <c r="F492" s="6" t="s">
        <v>12</v>
      </c>
      <c r="G492" s="8" t="s">
        <v>1465</v>
      </c>
      <c r="H492" s="8" t="s">
        <v>1465</v>
      </c>
    </row>
    <row r="493">
      <c r="A493" s="6" t="s">
        <v>8</v>
      </c>
      <c r="B493" s="6" t="s">
        <v>9</v>
      </c>
      <c r="C493" s="6" t="s">
        <v>1466</v>
      </c>
      <c r="D493" s="6" t="s">
        <v>1467</v>
      </c>
      <c r="E493" s="7">
        <v>44071.0</v>
      </c>
      <c r="F493" s="6" t="s">
        <v>12</v>
      </c>
      <c r="G493" s="8" t="s">
        <v>1468</v>
      </c>
      <c r="H493" s="8" t="s">
        <v>1468</v>
      </c>
    </row>
    <row r="494">
      <c r="A494" s="6" t="s">
        <v>8</v>
      </c>
      <c r="B494" s="6" t="s">
        <v>9</v>
      </c>
      <c r="C494" s="6" t="s">
        <v>1469</v>
      </c>
      <c r="D494" s="6" t="s">
        <v>1470</v>
      </c>
      <c r="E494" s="7">
        <v>44490.0</v>
      </c>
      <c r="F494" s="6" t="s">
        <v>12</v>
      </c>
      <c r="G494" s="8" t="s">
        <v>1471</v>
      </c>
      <c r="H494" s="8" t="s">
        <v>1471</v>
      </c>
    </row>
    <row r="495">
      <c r="A495" s="6" t="s">
        <v>8</v>
      </c>
      <c r="B495" s="6" t="s">
        <v>9</v>
      </c>
      <c r="C495" s="6" t="s">
        <v>1472</v>
      </c>
      <c r="D495" s="6" t="s">
        <v>1473</v>
      </c>
      <c r="E495" s="7">
        <v>44081.0</v>
      </c>
      <c r="F495" s="6" t="s">
        <v>12</v>
      </c>
      <c r="G495" s="8" t="s">
        <v>1474</v>
      </c>
      <c r="H495" s="8" t="s">
        <v>1474</v>
      </c>
    </row>
    <row r="496">
      <c r="A496" s="6" t="s">
        <v>8</v>
      </c>
      <c r="B496" s="6" t="s">
        <v>9</v>
      </c>
      <c r="C496" s="6" t="s">
        <v>1475</v>
      </c>
      <c r="D496" s="6" t="s">
        <v>1476</v>
      </c>
      <c r="E496" s="7">
        <v>44091.0</v>
      </c>
      <c r="F496" s="6" t="s">
        <v>12</v>
      </c>
      <c r="G496" s="8" t="s">
        <v>1477</v>
      </c>
      <c r="H496" s="8" t="s">
        <v>1477</v>
      </c>
    </row>
    <row r="497">
      <c r="A497" s="6" t="s">
        <v>8</v>
      </c>
      <c r="B497" s="6" t="s">
        <v>9</v>
      </c>
      <c r="C497" s="6" t="s">
        <v>1478</v>
      </c>
      <c r="D497" s="6" t="s">
        <v>1479</v>
      </c>
      <c r="E497" s="7">
        <v>44091.0</v>
      </c>
      <c r="F497" s="6" t="s">
        <v>12</v>
      </c>
      <c r="G497" s="8" t="s">
        <v>1480</v>
      </c>
      <c r="H497" s="8" t="s">
        <v>1480</v>
      </c>
    </row>
    <row r="498">
      <c r="A498" s="6" t="s">
        <v>8</v>
      </c>
      <c r="B498" s="6" t="s">
        <v>9</v>
      </c>
      <c r="C498" s="6" t="s">
        <v>1481</v>
      </c>
      <c r="D498" s="6" t="s">
        <v>1482</v>
      </c>
      <c r="E498" s="7">
        <v>44091.0</v>
      </c>
      <c r="F498" s="6" t="s">
        <v>12</v>
      </c>
      <c r="G498" s="8" t="s">
        <v>1483</v>
      </c>
      <c r="H498" s="8" t="s">
        <v>1483</v>
      </c>
    </row>
    <row r="499">
      <c r="A499" s="6" t="s">
        <v>8</v>
      </c>
      <c r="B499" s="6" t="s">
        <v>9</v>
      </c>
      <c r="C499" s="6" t="s">
        <v>1484</v>
      </c>
      <c r="D499" s="6" t="s">
        <v>1485</v>
      </c>
      <c r="E499" s="7">
        <v>44090.0</v>
      </c>
      <c r="F499" s="6" t="s">
        <v>12</v>
      </c>
      <c r="G499" s="8" t="s">
        <v>1486</v>
      </c>
      <c r="H499" s="8" t="s">
        <v>1486</v>
      </c>
    </row>
    <row r="500">
      <c r="A500" s="6" t="s">
        <v>8</v>
      </c>
      <c r="B500" s="6" t="s">
        <v>9</v>
      </c>
      <c r="C500" s="6" t="s">
        <v>1487</v>
      </c>
      <c r="D500" s="6" t="s">
        <v>1488</v>
      </c>
      <c r="E500" s="7">
        <v>44098.0</v>
      </c>
      <c r="F500" s="6" t="s">
        <v>12</v>
      </c>
      <c r="G500" s="8" t="s">
        <v>1489</v>
      </c>
      <c r="H500" s="8" t="s">
        <v>1489</v>
      </c>
    </row>
    <row r="501">
      <c r="A501" s="6" t="s">
        <v>8</v>
      </c>
      <c r="B501" s="6" t="s">
        <v>9</v>
      </c>
      <c r="C501" s="6" t="s">
        <v>1490</v>
      </c>
      <c r="D501" s="6" t="s">
        <v>1491</v>
      </c>
      <c r="E501" s="7">
        <v>44102.0</v>
      </c>
      <c r="F501" s="6" t="s">
        <v>12</v>
      </c>
      <c r="G501" s="8" t="s">
        <v>1492</v>
      </c>
      <c r="H501" s="8" t="s">
        <v>1492</v>
      </c>
    </row>
    <row r="502">
      <c r="A502" s="6" t="s">
        <v>8</v>
      </c>
      <c r="B502" s="6" t="s">
        <v>9</v>
      </c>
      <c r="C502" s="6" t="s">
        <v>1493</v>
      </c>
      <c r="D502" s="6" t="s">
        <v>1494</v>
      </c>
      <c r="E502" s="7">
        <v>44109.0</v>
      </c>
      <c r="F502" s="6" t="s">
        <v>12</v>
      </c>
      <c r="G502" s="8" t="s">
        <v>1495</v>
      </c>
      <c r="H502" s="8" t="s">
        <v>1495</v>
      </c>
    </row>
    <row r="503">
      <c r="A503" s="6" t="s">
        <v>8</v>
      </c>
      <c r="B503" s="6" t="s">
        <v>9</v>
      </c>
      <c r="C503" s="6" t="s">
        <v>1496</v>
      </c>
      <c r="D503" s="6" t="s">
        <v>1497</v>
      </c>
      <c r="E503" s="7">
        <v>44109.0</v>
      </c>
      <c r="F503" s="6" t="s">
        <v>12</v>
      </c>
      <c r="G503" s="8" t="s">
        <v>1498</v>
      </c>
      <c r="H503" s="8" t="s">
        <v>1498</v>
      </c>
    </row>
    <row r="504">
      <c r="A504" s="6" t="s">
        <v>8</v>
      </c>
      <c r="B504" s="6" t="s">
        <v>9</v>
      </c>
      <c r="C504" s="6" t="s">
        <v>1499</v>
      </c>
      <c r="D504" s="6" t="s">
        <v>1500</v>
      </c>
      <c r="E504" s="7">
        <v>44109.0</v>
      </c>
      <c r="F504" s="6" t="s">
        <v>12</v>
      </c>
      <c r="G504" s="8" t="s">
        <v>1501</v>
      </c>
      <c r="H504" s="8" t="s">
        <v>1501</v>
      </c>
    </row>
    <row r="505">
      <c r="A505" s="6" t="s">
        <v>8</v>
      </c>
      <c r="B505" s="6" t="s">
        <v>9</v>
      </c>
      <c r="C505" s="6" t="s">
        <v>1502</v>
      </c>
      <c r="D505" s="6" t="s">
        <v>1503</v>
      </c>
      <c r="E505" s="7">
        <v>44019.0</v>
      </c>
      <c r="F505" s="6" t="s">
        <v>12</v>
      </c>
      <c r="G505" s="8" t="s">
        <v>1504</v>
      </c>
      <c r="H505" s="8" t="s">
        <v>1504</v>
      </c>
    </row>
    <row r="506">
      <c r="A506" s="6" t="s">
        <v>8</v>
      </c>
      <c r="B506" s="6" t="s">
        <v>9</v>
      </c>
      <c r="C506" s="6" t="s">
        <v>1505</v>
      </c>
      <c r="D506" s="6" t="s">
        <v>1506</v>
      </c>
      <c r="E506" s="7">
        <v>44117.0</v>
      </c>
      <c r="F506" s="6" t="s">
        <v>12</v>
      </c>
      <c r="G506" s="8" t="s">
        <v>1507</v>
      </c>
      <c r="H506" s="8" t="s">
        <v>1507</v>
      </c>
    </row>
    <row r="507">
      <c r="A507" s="6" t="s">
        <v>8</v>
      </c>
      <c r="B507" s="6" t="s">
        <v>9</v>
      </c>
      <c r="C507" s="6" t="s">
        <v>1508</v>
      </c>
      <c r="D507" s="6" t="s">
        <v>1509</v>
      </c>
      <c r="E507" s="7">
        <v>44123.0</v>
      </c>
      <c r="F507" s="6" t="s">
        <v>12</v>
      </c>
      <c r="G507" s="8" t="s">
        <v>1510</v>
      </c>
      <c r="H507" s="8" t="s">
        <v>1510</v>
      </c>
    </row>
    <row r="508">
      <c r="A508" s="6" t="s">
        <v>8</v>
      </c>
      <c r="B508" s="6" t="s">
        <v>9</v>
      </c>
      <c r="C508" s="6" t="s">
        <v>1511</v>
      </c>
      <c r="D508" s="6" t="s">
        <v>1512</v>
      </c>
      <c r="E508" s="7">
        <v>44123.0</v>
      </c>
      <c r="F508" s="6" t="s">
        <v>12</v>
      </c>
      <c r="G508" s="8" t="s">
        <v>1513</v>
      </c>
      <c r="H508" s="8" t="s">
        <v>1513</v>
      </c>
    </row>
    <row r="509">
      <c r="A509" s="6" t="s">
        <v>8</v>
      </c>
      <c r="B509" s="6" t="s">
        <v>9</v>
      </c>
      <c r="C509" s="6" t="s">
        <v>1514</v>
      </c>
      <c r="D509" s="6" t="s">
        <v>1515</v>
      </c>
      <c r="E509" s="7">
        <v>44125.0</v>
      </c>
      <c r="F509" s="6" t="s">
        <v>12</v>
      </c>
      <c r="G509" s="8" t="s">
        <v>1516</v>
      </c>
      <c r="H509" s="8" t="s">
        <v>1516</v>
      </c>
    </row>
    <row r="510">
      <c r="A510" s="6" t="s">
        <v>8</v>
      </c>
      <c r="B510" s="6" t="s">
        <v>9</v>
      </c>
      <c r="C510" s="6" t="s">
        <v>1517</v>
      </c>
      <c r="D510" s="6" t="s">
        <v>1518</v>
      </c>
      <c r="E510" s="7">
        <v>44125.0</v>
      </c>
      <c r="F510" s="6" t="s">
        <v>12</v>
      </c>
      <c r="G510" s="8" t="s">
        <v>1519</v>
      </c>
      <c r="H510" s="8" t="s">
        <v>1519</v>
      </c>
    </row>
    <row r="511">
      <c r="A511" s="6" t="s">
        <v>8</v>
      </c>
      <c r="B511" s="6" t="s">
        <v>9</v>
      </c>
      <c r="C511" s="6" t="s">
        <v>1520</v>
      </c>
      <c r="D511" s="6" t="s">
        <v>1521</v>
      </c>
      <c r="E511" s="7">
        <v>44118.0</v>
      </c>
      <c r="F511" s="6" t="s">
        <v>12</v>
      </c>
      <c r="G511" s="8" t="s">
        <v>1522</v>
      </c>
      <c r="H511" s="8" t="s">
        <v>1522</v>
      </c>
    </row>
    <row r="512">
      <c r="A512" s="6" t="s">
        <v>8</v>
      </c>
      <c r="B512" s="6" t="s">
        <v>9</v>
      </c>
      <c r="C512" s="6" t="s">
        <v>1523</v>
      </c>
      <c r="D512" s="6" t="s">
        <v>1524</v>
      </c>
      <c r="E512" s="7">
        <v>44118.0</v>
      </c>
      <c r="F512" s="6" t="s">
        <v>12</v>
      </c>
      <c r="G512" s="8" t="s">
        <v>1525</v>
      </c>
      <c r="H512" s="8" t="s">
        <v>1525</v>
      </c>
    </row>
    <row r="513">
      <c r="A513" s="6" t="s">
        <v>8</v>
      </c>
      <c r="B513" s="6" t="s">
        <v>9</v>
      </c>
      <c r="C513" s="6" t="s">
        <v>1526</v>
      </c>
      <c r="D513" s="6" t="s">
        <v>1527</v>
      </c>
      <c r="E513" s="7">
        <v>44120.0</v>
      </c>
      <c r="F513" s="6" t="s">
        <v>12</v>
      </c>
      <c r="G513" s="8" t="s">
        <v>1528</v>
      </c>
      <c r="H513" s="8" t="s">
        <v>1528</v>
      </c>
    </row>
    <row r="514">
      <c r="A514" s="6" t="s">
        <v>8</v>
      </c>
      <c r="B514" s="6" t="s">
        <v>9</v>
      </c>
      <c r="C514" s="6" t="s">
        <v>1529</v>
      </c>
      <c r="D514" s="6" t="s">
        <v>1530</v>
      </c>
      <c r="E514" s="7">
        <v>44118.0</v>
      </c>
      <c r="F514" s="6" t="s">
        <v>12</v>
      </c>
      <c r="G514" s="8" t="s">
        <v>1531</v>
      </c>
      <c r="H514" s="8" t="s">
        <v>1531</v>
      </c>
    </row>
    <row r="515">
      <c r="A515" s="6" t="s">
        <v>8</v>
      </c>
      <c r="B515" s="6" t="s">
        <v>9</v>
      </c>
      <c r="C515" s="6" t="s">
        <v>1532</v>
      </c>
      <c r="D515" s="6" t="s">
        <v>1533</v>
      </c>
      <c r="E515" s="7">
        <v>44126.0</v>
      </c>
      <c r="F515" s="6" t="s">
        <v>12</v>
      </c>
      <c r="G515" s="8" t="s">
        <v>1534</v>
      </c>
      <c r="H515" s="8" t="s">
        <v>1534</v>
      </c>
    </row>
    <row r="516">
      <c r="A516" s="6" t="s">
        <v>8</v>
      </c>
      <c r="B516" s="6" t="s">
        <v>9</v>
      </c>
      <c r="C516" s="6" t="s">
        <v>1535</v>
      </c>
      <c r="D516" s="6" t="s">
        <v>1536</v>
      </c>
      <c r="E516" s="7">
        <v>44127.0</v>
      </c>
      <c r="F516" s="6" t="s">
        <v>12</v>
      </c>
      <c r="G516" s="8" t="s">
        <v>1537</v>
      </c>
      <c r="H516" s="8" t="s">
        <v>1537</v>
      </c>
    </row>
    <row r="517">
      <c r="A517" s="6" t="s">
        <v>8</v>
      </c>
      <c r="B517" s="6" t="s">
        <v>9</v>
      </c>
      <c r="C517" s="6" t="s">
        <v>1538</v>
      </c>
      <c r="D517" s="6" t="s">
        <v>1539</v>
      </c>
      <c r="E517" s="7">
        <v>44137.0</v>
      </c>
      <c r="F517" s="6" t="s">
        <v>12</v>
      </c>
      <c r="G517" s="8" t="s">
        <v>1540</v>
      </c>
      <c r="H517" s="8" t="s">
        <v>1540</v>
      </c>
    </row>
    <row r="518">
      <c r="A518" s="6" t="s">
        <v>8</v>
      </c>
      <c r="B518" s="6" t="s">
        <v>9</v>
      </c>
      <c r="C518" s="6" t="s">
        <v>1541</v>
      </c>
      <c r="D518" s="6" t="s">
        <v>1542</v>
      </c>
      <c r="E518" s="7">
        <v>44137.0</v>
      </c>
      <c r="F518" s="6" t="s">
        <v>12</v>
      </c>
      <c r="G518" s="8" t="s">
        <v>1543</v>
      </c>
      <c r="H518" s="8" t="s">
        <v>1543</v>
      </c>
    </row>
    <row r="519">
      <c r="A519" s="6" t="s">
        <v>8</v>
      </c>
      <c r="B519" s="6" t="s">
        <v>9</v>
      </c>
      <c r="C519" s="6" t="s">
        <v>1544</v>
      </c>
      <c r="D519" s="6" t="s">
        <v>1545</v>
      </c>
      <c r="E519" s="7">
        <v>44134.0</v>
      </c>
      <c r="F519" s="6" t="s">
        <v>12</v>
      </c>
      <c r="G519" s="8" t="s">
        <v>1546</v>
      </c>
      <c r="H519" s="8" t="s">
        <v>1546</v>
      </c>
    </row>
    <row r="520">
      <c r="A520" s="6" t="s">
        <v>8</v>
      </c>
      <c r="B520" s="6" t="s">
        <v>9</v>
      </c>
      <c r="C520" s="6" t="s">
        <v>1547</v>
      </c>
      <c r="D520" s="6" t="s">
        <v>1548</v>
      </c>
      <c r="E520" s="7">
        <v>44134.0</v>
      </c>
      <c r="F520" s="6" t="s">
        <v>12</v>
      </c>
      <c r="G520" s="8" t="s">
        <v>1549</v>
      </c>
      <c r="H520" s="8" t="s">
        <v>1549</v>
      </c>
    </row>
    <row r="521">
      <c r="A521" s="6" t="s">
        <v>8</v>
      </c>
      <c r="B521" s="6" t="s">
        <v>9</v>
      </c>
      <c r="C521" s="6" t="s">
        <v>1550</v>
      </c>
      <c r="D521" s="6" t="s">
        <v>1551</v>
      </c>
      <c r="E521" s="7">
        <v>44138.0</v>
      </c>
      <c r="F521" s="6" t="s">
        <v>12</v>
      </c>
      <c r="G521" s="8" t="s">
        <v>1552</v>
      </c>
      <c r="H521" s="8" t="s">
        <v>1552</v>
      </c>
    </row>
    <row r="522">
      <c r="A522" s="6" t="s">
        <v>8</v>
      </c>
      <c r="B522" s="6" t="s">
        <v>9</v>
      </c>
      <c r="C522" s="6" t="s">
        <v>1553</v>
      </c>
      <c r="D522" s="6" t="s">
        <v>1554</v>
      </c>
      <c r="E522" s="7">
        <v>44148.0</v>
      </c>
      <c r="F522" s="6" t="s">
        <v>12</v>
      </c>
      <c r="G522" s="8" t="s">
        <v>1555</v>
      </c>
      <c r="H522" s="8" t="s">
        <v>1555</v>
      </c>
    </row>
    <row r="523">
      <c r="A523" s="6" t="s">
        <v>8</v>
      </c>
      <c r="B523" s="6" t="s">
        <v>9</v>
      </c>
      <c r="C523" s="6" t="s">
        <v>1556</v>
      </c>
      <c r="D523" s="6" t="s">
        <v>1557</v>
      </c>
      <c r="E523" s="7">
        <v>44139.0</v>
      </c>
      <c r="F523" s="6" t="s">
        <v>12</v>
      </c>
      <c r="G523" s="8" t="s">
        <v>1558</v>
      </c>
      <c r="H523" s="8" t="s">
        <v>1558</v>
      </c>
    </row>
    <row r="524">
      <c r="A524" s="6" t="s">
        <v>8</v>
      </c>
      <c r="B524" s="6" t="s">
        <v>9</v>
      </c>
      <c r="C524" s="6" t="s">
        <v>1559</v>
      </c>
      <c r="D524" s="6" t="s">
        <v>1560</v>
      </c>
      <c r="E524" s="7">
        <v>44139.0</v>
      </c>
      <c r="F524" s="6" t="s">
        <v>12</v>
      </c>
      <c r="G524" s="8" t="s">
        <v>1561</v>
      </c>
      <c r="H524" s="8" t="s">
        <v>1561</v>
      </c>
    </row>
    <row r="525">
      <c r="A525" s="6" t="s">
        <v>8</v>
      </c>
      <c r="B525" s="6" t="s">
        <v>9</v>
      </c>
      <c r="C525" s="6" t="s">
        <v>1562</v>
      </c>
      <c r="D525" s="6" t="s">
        <v>1563</v>
      </c>
      <c r="E525" s="7">
        <v>44152.0</v>
      </c>
      <c r="F525" s="6" t="s">
        <v>12</v>
      </c>
      <c r="G525" s="8" t="s">
        <v>1564</v>
      </c>
      <c r="H525" s="8" t="s">
        <v>1564</v>
      </c>
    </row>
    <row r="526">
      <c r="A526" s="6" t="s">
        <v>8</v>
      </c>
      <c r="B526" s="6" t="s">
        <v>9</v>
      </c>
      <c r="C526" s="6" t="s">
        <v>1565</v>
      </c>
      <c r="D526" s="6" t="s">
        <v>1566</v>
      </c>
      <c r="E526" s="7">
        <v>44152.0</v>
      </c>
      <c r="F526" s="6" t="s">
        <v>12</v>
      </c>
      <c r="G526" s="8" t="s">
        <v>1567</v>
      </c>
      <c r="H526" s="8" t="s">
        <v>1567</v>
      </c>
    </row>
    <row r="527">
      <c r="A527" s="6" t="s">
        <v>8</v>
      </c>
      <c r="B527" s="6" t="s">
        <v>9</v>
      </c>
      <c r="C527" s="6" t="s">
        <v>1568</v>
      </c>
      <c r="D527" s="6" t="s">
        <v>1569</v>
      </c>
      <c r="E527" s="7">
        <v>44149.0</v>
      </c>
      <c r="F527" s="6" t="s">
        <v>12</v>
      </c>
      <c r="G527" s="8" t="s">
        <v>1570</v>
      </c>
      <c r="H527" s="8" t="s">
        <v>1570</v>
      </c>
    </row>
    <row r="528">
      <c r="A528" s="6" t="s">
        <v>8</v>
      </c>
      <c r="B528" s="6" t="s">
        <v>9</v>
      </c>
      <c r="C528" s="6" t="s">
        <v>1571</v>
      </c>
      <c r="D528" s="6" t="s">
        <v>1572</v>
      </c>
      <c r="E528" s="7">
        <v>44152.0</v>
      </c>
      <c r="F528" s="6" t="s">
        <v>12</v>
      </c>
      <c r="G528" s="8" t="s">
        <v>1573</v>
      </c>
      <c r="H528" s="8" t="s">
        <v>1573</v>
      </c>
    </row>
    <row r="529">
      <c r="A529" s="6" t="s">
        <v>8</v>
      </c>
      <c r="B529" s="6" t="s">
        <v>9</v>
      </c>
      <c r="C529" s="6" t="s">
        <v>1574</v>
      </c>
      <c r="D529" s="6" t="s">
        <v>1575</v>
      </c>
      <c r="E529" s="7">
        <v>44159.0</v>
      </c>
      <c r="F529" s="6" t="s">
        <v>12</v>
      </c>
      <c r="G529" s="8" t="s">
        <v>1576</v>
      </c>
      <c r="H529" s="8" t="s">
        <v>1576</v>
      </c>
    </row>
    <row r="530">
      <c r="A530" s="6" t="s">
        <v>8</v>
      </c>
      <c r="B530" s="6" t="s">
        <v>9</v>
      </c>
      <c r="C530" s="6" t="s">
        <v>1577</v>
      </c>
      <c r="D530" s="6" t="s">
        <v>1578</v>
      </c>
      <c r="E530" s="7">
        <v>44160.0</v>
      </c>
      <c r="F530" s="6" t="s">
        <v>12</v>
      </c>
      <c r="G530" s="8" t="s">
        <v>1579</v>
      </c>
      <c r="H530" s="8" t="s">
        <v>1579</v>
      </c>
    </row>
    <row r="531">
      <c r="A531" s="6" t="s">
        <v>8</v>
      </c>
      <c r="B531" s="6" t="s">
        <v>9</v>
      </c>
      <c r="C531" s="6" t="s">
        <v>1580</v>
      </c>
      <c r="D531" s="6" t="s">
        <v>1581</v>
      </c>
      <c r="E531" s="7">
        <v>44160.0</v>
      </c>
      <c r="F531" s="6" t="s">
        <v>12</v>
      </c>
      <c r="G531" s="8" t="s">
        <v>1582</v>
      </c>
      <c r="H531" s="8" t="s">
        <v>1582</v>
      </c>
    </row>
    <row r="532">
      <c r="A532" s="6" t="s">
        <v>8</v>
      </c>
      <c r="B532" s="6" t="s">
        <v>9</v>
      </c>
      <c r="C532" s="6" t="s">
        <v>1583</v>
      </c>
      <c r="D532" s="6" t="s">
        <v>1584</v>
      </c>
      <c r="E532" s="7">
        <v>44160.0</v>
      </c>
      <c r="F532" s="6" t="s">
        <v>12</v>
      </c>
      <c r="G532" s="8" t="s">
        <v>1585</v>
      </c>
      <c r="H532" s="8" t="s">
        <v>1585</v>
      </c>
    </row>
    <row r="533">
      <c r="A533" s="6" t="s">
        <v>8</v>
      </c>
      <c r="B533" s="6" t="s">
        <v>9</v>
      </c>
      <c r="C533" s="6" t="s">
        <v>1586</v>
      </c>
      <c r="D533" s="6" t="s">
        <v>1587</v>
      </c>
      <c r="E533" s="7">
        <v>44160.0</v>
      </c>
      <c r="F533" s="6" t="s">
        <v>12</v>
      </c>
      <c r="G533" s="8" t="s">
        <v>1588</v>
      </c>
      <c r="H533" s="8" t="s">
        <v>1588</v>
      </c>
    </row>
    <row r="534">
      <c r="A534" s="6" t="s">
        <v>8</v>
      </c>
      <c r="B534" s="6" t="s">
        <v>9</v>
      </c>
      <c r="C534" s="6" t="s">
        <v>1589</v>
      </c>
      <c r="D534" s="6" t="s">
        <v>1590</v>
      </c>
      <c r="E534" s="7">
        <v>44160.0</v>
      </c>
      <c r="F534" s="6" t="s">
        <v>12</v>
      </c>
      <c r="G534" s="8" t="s">
        <v>1591</v>
      </c>
      <c r="H534" s="8" t="s">
        <v>1591</v>
      </c>
    </row>
    <row r="535">
      <c r="A535" s="6" t="s">
        <v>8</v>
      </c>
      <c r="B535" s="6" t="s">
        <v>9</v>
      </c>
      <c r="C535" s="6" t="s">
        <v>1592</v>
      </c>
      <c r="D535" s="6" t="s">
        <v>1593</v>
      </c>
      <c r="E535" s="7">
        <v>44160.0</v>
      </c>
      <c r="F535" s="6" t="s">
        <v>12</v>
      </c>
      <c r="G535" s="8" t="s">
        <v>1594</v>
      </c>
      <c r="H535" s="8" t="s">
        <v>1594</v>
      </c>
    </row>
    <row r="536">
      <c r="A536" s="6" t="s">
        <v>8</v>
      </c>
      <c r="B536" s="6" t="s">
        <v>9</v>
      </c>
      <c r="C536" s="6" t="s">
        <v>1595</v>
      </c>
      <c r="D536" s="6" t="s">
        <v>1596</v>
      </c>
      <c r="E536" s="7">
        <v>44160.0</v>
      </c>
      <c r="F536" s="6" t="s">
        <v>12</v>
      </c>
      <c r="G536" s="8" t="s">
        <v>1597</v>
      </c>
      <c r="H536" s="8" t="s">
        <v>1597</v>
      </c>
    </row>
    <row r="537">
      <c r="A537" s="6" t="s">
        <v>8</v>
      </c>
      <c r="B537" s="6" t="s">
        <v>9</v>
      </c>
      <c r="C537" s="6" t="s">
        <v>1598</v>
      </c>
      <c r="D537" s="6" t="s">
        <v>1599</v>
      </c>
      <c r="E537" s="7">
        <v>44160.0</v>
      </c>
      <c r="F537" s="6" t="s">
        <v>12</v>
      </c>
      <c r="G537" s="8" t="s">
        <v>1600</v>
      </c>
      <c r="H537" s="8" t="s">
        <v>1600</v>
      </c>
    </row>
    <row r="538">
      <c r="A538" s="6" t="s">
        <v>8</v>
      </c>
      <c r="B538" s="6" t="s">
        <v>9</v>
      </c>
      <c r="C538" s="6" t="s">
        <v>1601</v>
      </c>
      <c r="D538" s="6" t="s">
        <v>1602</v>
      </c>
      <c r="E538" s="7">
        <v>44160.0</v>
      </c>
      <c r="F538" s="6" t="s">
        <v>12</v>
      </c>
      <c r="G538" s="8" t="s">
        <v>1603</v>
      </c>
      <c r="H538" s="8" t="s">
        <v>1603</v>
      </c>
    </row>
    <row r="539">
      <c r="A539" s="6" t="s">
        <v>8</v>
      </c>
      <c r="B539" s="6" t="s">
        <v>9</v>
      </c>
      <c r="C539" s="6" t="s">
        <v>1604</v>
      </c>
      <c r="D539" s="6" t="s">
        <v>1605</v>
      </c>
      <c r="E539" s="7">
        <v>44160.0</v>
      </c>
      <c r="F539" s="6" t="s">
        <v>12</v>
      </c>
      <c r="G539" s="8" t="s">
        <v>1606</v>
      </c>
      <c r="H539" s="8" t="s">
        <v>1606</v>
      </c>
    </row>
    <row r="540">
      <c r="A540" s="6" t="s">
        <v>8</v>
      </c>
      <c r="B540" s="6" t="s">
        <v>9</v>
      </c>
      <c r="C540" s="6" t="s">
        <v>1607</v>
      </c>
      <c r="D540" s="6" t="s">
        <v>1608</v>
      </c>
      <c r="E540" s="7">
        <v>44239.0</v>
      </c>
      <c r="F540" s="6" t="s">
        <v>12</v>
      </c>
      <c r="G540" s="8" t="s">
        <v>1609</v>
      </c>
      <c r="H540" s="8" t="s">
        <v>1609</v>
      </c>
    </row>
    <row r="541">
      <c r="A541" s="6" t="s">
        <v>8</v>
      </c>
      <c r="B541" s="6" t="s">
        <v>9</v>
      </c>
      <c r="C541" s="6" t="s">
        <v>1610</v>
      </c>
      <c r="D541" s="6" t="s">
        <v>1611</v>
      </c>
      <c r="E541" s="7">
        <v>44239.0</v>
      </c>
      <c r="F541" s="6" t="s">
        <v>12</v>
      </c>
      <c r="G541" s="8" t="s">
        <v>1612</v>
      </c>
      <c r="H541" s="8" t="s">
        <v>1612</v>
      </c>
    </row>
    <row r="542">
      <c r="A542" s="6" t="s">
        <v>8</v>
      </c>
      <c r="B542" s="6" t="s">
        <v>9</v>
      </c>
      <c r="C542" s="6" t="s">
        <v>1613</v>
      </c>
      <c r="D542" s="6" t="s">
        <v>1614</v>
      </c>
      <c r="E542" s="7">
        <v>44244.0</v>
      </c>
      <c r="F542" s="6" t="s">
        <v>12</v>
      </c>
      <c r="G542" s="8" t="s">
        <v>1615</v>
      </c>
      <c r="H542" s="8" t="s">
        <v>1615</v>
      </c>
    </row>
    <row r="543">
      <c r="A543" s="6" t="s">
        <v>8</v>
      </c>
      <c r="B543" s="6" t="s">
        <v>9</v>
      </c>
      <c r="C543" s="6" t="s">
        <v>1616</v>
      </c>
      <c r="D543" s="6" t="s">
        <v>1617</v>
      </c>
      <c r="E543" s="7">
        <v>44252.0</v>
      </c>
      <c r="F543" s="6" t="s">
        <v>12</v>
      </c>
      <c r="G543" s="8" t="s">
        <v>1618</v>
      </c>
      <c r="H543" s="8" t="s">
        <v>1618</v>
      </c>
    </row>
    <row r="544">
      <c r="A544" s="6" t="s">
        <v>8</v>
      </c>
      <c r="B544" s="6" t="s">
        <v>9</v>
      </c>
      <c r="C544" s="6" t="s">
        <v>1619</v>
      </c>
      <c r="D544" s="6" t="s">
        <v>1620</v>
      </c>
      <c r="E544" s="7">
        <v>44251.0</v>
      </c>
      <c r="F544" s="6" t="s">
        <v>12</v>
      </c>
      <c r="G544" s="8" t="s">
        <v>1621</v>
      </c>
      <c r="H544" s="8" t="s">
        <v>1621</v>
      </c>
    </row>
    <row r="545">
      <c r="A545" s="6" t="s">
        <v>8</v>
      </c>
      <c r="B545" s="6" t="s">
        <v>9</v>
      </c>
      <c r="C545" s="6" t="s">
        <v>1622</v>
      </c>
      <c r="D545" s="6" t="s">
        <v>1623</v>
      </c>
      <c r="E545" s="7">
        <v>44187.0</v>
      </c>
      <c r="F545" s="6" t="s">
        <v>12</v>
      </c>
      <c r="G545" s="8" t="s">
        <v>1624</v>
      </c>
      <c r="H545" s="8" t="s">
        <v>1624</v>
      </c>
    </row>
    <row r="546">
      <c r="A546" s="6" t="s">
        <v>8</v>
      </c>
      <c r="B546" s="6" t="s">
        <v>9</v>
      </c>
      <c r="C546" s="6" t="s">
        <v>1625</v>
      </c>
      <c r="D546" s="6" t="s">
        <v>1152</v>
      </c>
      <c r="E546" s="7">
        <v>44490.0</v>
      </c>
      <c r="F546" s="6" t="s">
        <v>12</v>
      </c>
      <c r="G546" s="8" t="s">
        <v>1626</v>
      </c>
      <c r="H546" s="8" t="s">
        <v>1626</v>
      </c>
    </row>
    <row r="547">
      <c r="A547" s="6" t="s">
        <v>8</v>
      </c>
      <c r="B547" s="6" t="s">
        <v>9</v>
      </c>
      <c r="C547" s="6" t="s">
        <v>1627</v>
      </c>
      <c r="D547" s="6" t="s">
        <v>1628</v>
      </c>
      <c r="E547" s="7">
        <v>44490.0</v>
      </c>
      <c r="F547" s="6" t="s">
        <v>12</v>
      </c>
      <c r="G547" s="8" t="s">
        <v>1629</v>
      </c>
      <c r="H547" s="8" t="s">
        <v>1629</v>
      </c>
    </row>
    <row r="548">
      <c r="A548" s="6" t="s">
        <v>8</v>
      </c>
      <c r="B548" s="6" t="s">
        <v>9</v>
      </c>
      <c r="C548" s="6" t="s">
        <v>1630</v>
      </c>
      <c r="D548" s="6" t="s">
        <v>1631</v>
      </c>
      <c r="E548" s="7">
        <v>44258.0</v>
      </c>
      <c r="F548" s="6" t="s">
        <v>12</v>
      </c>
      <c r="G548" s="8" t="s">
        <v>1632</v>
      </c>
      <c r="H548" s="8" t="s">
        <v>1632</v>
      </c>
    </row>
    <row r="549">
      <c r="A549" s="6" t="s">
        <v>8</v>
      </c>
      <c r="B549" s="6" t="s">
        <v>9</v>
      </c>
      <c r="C549" s="6" t="s">
        <v>1633</v>
      </c>
      <c r="D549" s="6" t="s">
        <v>661</v>
      </c>
      <c r="E549" s="7">
        <v>44258.0</v>
      </c>
      <c r="F549" s="6" t="s">
        <v>12</v>
      </c>
      <c r="G549" s="8" t="s">
        <v>1634</v>
      </c>
      <c r="H549" s="8" t="s">
        <v>1634</v>
      </c>
    </row>
    <row r="550">
      <c r="A550" s="6" t="s">
        <v>8</v>
      </c>
      <c r="B550" s="6" t="s">
        <v>9</v>
      </c>
      <c r="C550" s="6" t="s">
        <v>1635</v>
      </c>
      <c r="D550" s="6" t="s">
        <v>1636</v>
      </c>
      <c r="E550" s="7">
        <v>44216.0</v>
      </c>
      <c r="F550" s="6" t="s">
        <v>12</v>
      </c>
      <c r="G550" s="8" t="s">
        <v>1637</v>
      </c>
      <c r="H550" s="8" t="s">
        <v>1637</v>
      </c>
    </row>
    <row r="551">
      <c r="A551" s="6" t="s">
        <v>8</v>
      </c>
      <c r="B551" s="6" t="s">
        <v>9</v>
      </c>
      <c r="C551" s="6" t="s">
        <v>1638</v>
      </c>
      <c r="D551" s="6" t="s">
        <v>1639</v>
      </c>
      <c r="E551" s="7">
        <v>44244.0</v>
      </c>
      <c r="F551" s="6" t="s">
        <v>12</v>
      </c>
      <c r="G551" s="8" t="s">
        <v>1640</v>
      </c>
      <c r="H551" s="8" t="s">
        <v>1640</v>
      </c>
    </row>
    <row r="552">
      <c r="A552" s="6" t="s">
        <v>8</v>
      </c>
      <c r="B552" s="6" t="s">
        <v>9</v>
      </c>
      <c r="C552" s="6" t="s">
        <v>1641</v>
      </c>
      <c r="D552" s="6" t="s">
        <v>1642</v>
      </c>
      <c r="E552" s="7">
        <v>44245.0</v>
      </c>
      <c r="F552" s="6" t="s">
        <v>12</v>
      </c>
      <c r="G552" s="8" t="s">
        <v>1643</v>
      </c>
      <c r="H552" s="8" t="s">
        <v>1643</v>
      </c>
    </row>
    <row r="553">
      <c r="A553" s="6" t="s">
        <v>8</v>
      </c>
      <c r="B553" s="6" t="s">
        <v>9</v>
      </c>
      <c r="C553" s="6" t="s">
        <v>1644</v>
      </c>
      <c r="D553" s="6" t="s">
        <v>1645</v>
      </c>
      <c r="E553" s="7">
        <v>44301.0</v>
      </c>
      <c r="F553" s="6" t="s">
        <v>12</v>
      </c>
      <c r="G553" s="8" t="s">
        <v>1646</v>
      </c>
      <c r="H553" s="8" t="s">
        <v>1646</v>
      </c>
    </row>
    <row r="554">
      <c r="A554" s="6" t="s">
        <v>8</v>
      </c>
      <c r="B554" s="6" t="s">
        <v>9</v>
      </c>
      <c r="C554" s="6" t="s">
        <v>1647</v>
      </c>
      <c r="D554" s="6" t="s">
        <v>1648</v>
      </c>
      <c r="E554" s="7">
        <v>44302.0</v>
      </c>
      <c r="F554" s="6" t="s">
        <v>12</v>
      </c>
      <c r="G554" s="8" t="s">
        <v>1649</v>
      </c>
      <c r="H554" s="8" t="s">
        <v>1649</v>
      </c>
    </row>
    <row r="555">
      <c r="A555" s="6" t="s">
        <v>8</v>
      </c>
      <c r="B555" s="6" t="s">
        <v>9</v>
      </c>
      <c r="C555" s="6" t="s">
        <v>1650</v>
      </c>
      <c r="D555" s="6" t="s">
        <v>1651</v>
      </c>
      <c r="E555" s="7">
        <v>44302.0</v>
      </c>
      <c r="F555" s="6" t="s">
        <v>12</v>
      </c>
      <c r="G555" s="8" t="s">
        <v>1652</v>
      </c>
      <c r="H555" s="8" t="s">
        <v>1652</v>
      </c>
    </row>
    <row r="556">
      <c r="A556" s="6" t="s">
        <v>8</v>
      </c>
      <c r="B556" s="6" t="s">
        <v>9</v>
      </c>
      <c r="C556" s="6" t="s">
        <v>1653</v>
      </c>
      <c r="D556" s="6" t="s">
        <v>1654</v>
      </c>
      <c r="E556" s="7">
        <v>44302.0</v>
      </c>
      <c r="F556" s="6" t="s">
        <v>12</v>
      </c>
      <c r="G556" s="8" t="s">
        <v>1655</v>
      </c>
      <c r="H556" s="8" t="s">
        <v>1655</v>
      </c>
    </row>
    <row r="557">
      <c r="A557" s="6" t="s">
        <v>8</v>
      </c>
      <c r="B557" s="6" t="s">
        <v>9</v>
      </c>
      <c r="C557" s="6" t="s">
        <v>1656</v>
      </c>
      <c r="D557" s="6" t="s">
        <v>1657</v>
      </c>
      <c r="E557" s="7">
        <v>44302.0</v>
      </c>
      <c r="F557" s="6" t="s">
        <v>12</v>
      </c>
      <c r="G557" s="8" t="s">
        <v>1658</v>
      </c>
      <c r="H557" s="8" t="s">
        <v>1658</v>
      </c>
    </row>
    <row r="558">
      <c r="A558" s="6" t="s">
        <v>8</v>
      </c>
      <c r="B558" s="6" t="s">
        <v>9</v>
      </c>
      <c r="C558" s="6" t="s">
        <v>1659</v>
      </c>
      <c r="D558" s="6" t="s">
        <v>1660</v>
      </c>
      <c r="E558" s="7">
        <v>44265.0</v>
      </c>
      <c r="F558" s="6" t="s">
        <v>12</v>
      </c>
      <c r="G558" s="8" t="s">
        <v>1661</v>
      </c>
      <c r="H558" s="8" t="s">
        <v>1661</v>
      </c>
    </row>
    <row r="559">
      <c r="A559" s="6" t="s">
        <v>8</v>
      </c>
      <c r="B559" s="6" t="s">
        <v>9</v>
      </c>
      <c r="C559" s="6" t="s">
        <v>1662</v>
      </c>
      <c r="D559" s="6" t="s">
        <v>1663</v>
      </c>
      <c r="E559" s="7">
        <v>44265.0</v>
      </c>
      <c r="F559" s="6" t="s">
        <v>12</v>
      </c>
      <c r="G559" s="8" t="s">
        <v>1664</v>
      </c>
      <c r="H559" s="8" t="s">
        <v>1664</v>
      </c>
    </row>
    <row r="560">
      <c r="A560" s="6" t="s">
        <v>8</v>
      </c>
      <c r="B560" s="6" t="s">
        <v>9</v>
      </c>
      <c r="C560" s="6" t="s">
        <v>1665</v>
      </c>
      <c r="D560" s="6" t="s">
        <v>1666</v>
      </c>
      <c r="E560" s="7">
        <v>44265.0</v>
      </c>
      <c r="F560" s="6" t="s">
        <v>12</v>
      </c>
      <c r="G560" s="8" t="s">
        <v>1667</v>
      </c>
      <c r="H560" s="8" t="s">
        <v>1667</v>
      </c>
    </row>
    <row r="561">
      <c r="A561" s="6" t="s">
        <v>8</v>
      </c>
      <c r="B561" s="6" t="s">
        <v>9</v>
      </c>
      <c r="C561" s="6" t="s">
        <v>1668</v>
      </c>
      <c r="D561" s="6" t="s">
        <v>1669</v>
      </c>
      <c r="E561" s="7">
        <v>44245.0</v>
      </c>
      <c r="F561" s="6" t="s">
        <v>12</v>
      </c>
      <c r="G561" s="8" t="s">
        <v>1670</v>
      </c>
      <c r="H561" s="8" t="s">
        <v>1670</v>
      </c>
    </row>
    <row r="562">
      <c r="A562" s="6" t="s">
        <v>8</v>
      </c>
      <c r="B562" s="6" t="s">
        <v>9</v>
      </c>
      <c r="C562" s="6" t="s">
        <v>1671</v>
      </c>
      <c r="D562" s="6" t="s">
        <v>1672</v>
      </c>
      <c r="E562" s="7">
        <v>44298.0</v>
      </c>
      <c r="F562" s="6" t="s">
        <v>12</v>
      </c>
      <c r="G562" s="8" t="s">
        <v>1673</v>
      </c>
      <c r="H562" s="8" t="s">
        <v>1673</v>
      </c>
    </row>
    <row r="563">
      <c r="A563" s="6" t="s">
        <v>8</v>
      </c>
      <c r="B563" s="6" t="s">
        <v>9</v>
      </c>
      <c r="C563" s="6" t="s">
        <v>1674</v>
      </c>
      <c r="D563" s="6" t="s">
        <v>1675</v>
      </c>
      <c r="E563" s="7">
        <v>44288.0</v>
      </c>
      <c r="F563" s="6" t="s">
        <v>12</v>
      </c>
      <c r="G563" s="8" t="s">
        <v>1676</v>
      </c>
      <c r="H563" s="8" t="s">
        <v>1676</v>
      </c>
    </row>
    <row r="564">
      <c r="A564" s="6" t="s">
        <v>8</v>
      </c>
      <c r="B564" s="6" t="s">
        <v>9</v>
      </c>
      <c r="C564" s="6" t="s">
        <v>1677</v>
      </c>
      <c r="D564" s="6" t="s">
        <v>1678</v>
      </c>
      <c r="E564" s="7">
        <v>44326.0</v>
      </c>
      <c r="F564" s="6" t="s">
        <v>12</v>
      </c>
      <c r="G564" s="8" t="s">
        <v>1679</v>
      </c>
      <c r="H564" s="8" t="s">
        <v>1679</v>
      </c>
    </row>
    <row r="565">
      <c r="A565" s="6" t="s">
        <v>8</v>
      </c>
      <c r="B565" s="6" t="s">
        <v>9</v>
      </c>
      <c r="C565" s="6" t="s">
        <v>1680</v>
      </c>
      <c r="D565" s="6" t="s">
        <v>1681</v>
      </c>
      <c r="E565" s="7">
        <v>44273.0</v>
      </c>
      <c r="F565" s="6" t="s">
        <v>12</v>
      </c>
      <c r="G565" s="8" t="s">
        <v>1682</v>
      </c>
      <c r="H565" s="8" t="s">
        <v>1682</v>
      </c>
    </row>
    <row r="566">
      <c r="A566" s="6" t="s">
        <v>8</v>
      </c>
      <c r="B566" s="6" t="s">
        <v>9</v>
      </c>
      <c r="C566" s="6" t="s">
        <v>1683</v>
      </c>
      <c r="D566" s="6" t="s">
        <v>1684</v>
      </c>
      <c r="E566" s="7">
        <v>44280.0</v>
      </c>
      <c r="F566" s="6" t="s">
        <v>12</v>
      </c>
      <c r="G566" s="8" t="s">
        <v>1685</v>
      </c>
      <c r="H566" s="8" t="s">
        <v>1685</v>
      </c>
    </row>
    <row r="567">
      <c r="A567" s="6" t="s">
        <v>8</v>
      </c>
      <c r="B567" s="6" t="s">
        <v>9</v>
      </c>
      <c r="C567" s="6" t="s">
        <v>1686</v>
      </c>
      <c r="D567" s="6" t="s">
        <v>1687</v>
      </c>
      <c r="E567" s="7">
        <v>44280.0</v>
      </c>
      <c r="F567" s="6" t="s">
        <v>12</v>
      </c>
      <c r="G567" s="8" t="s">
        <v>1688</v>
      </c>
      <c r="H567" s="8" t="s">
        <v>1688</v>
      </c>
    </row>
    <row r="568">
      <c r="A568" s="6" t="s">
        <v>8</v>
      </c>
      <c r="B568" s="6" t="s">
        <v>9</v>
      </c>
      <c r="C568" s="6" t="s">
        <v>1689</v>
      </c>
      <c r="D568" s="6" t="s">
        <v>1690</v>
      </c>
      <c r="E568" s="7">
        <v>44301.0</v>
      </c>
      <c r="F568" s="6" t="s">
        <v>12</v>
      </c>
      <c r="G568" s="8" t="s">
        <v>1691</v>
      </c>
      <c r="H568" s="8" t="s">
        <v>1691</v>
      </c>
    </row>
    <row r="569">
      <c r="A569" s="6" t="s">
        <v>8</v>
      </c>
      <c r="B569" s="6" t="s">
        <v>9</v>
      </c>
      <c r="C569" s="6" t="s">
        <v>1692</v>
      </c>
      <c r="D569" s="6" t="s">
        <v>1693</v>
      </c>
      <c r="E569" s="7">
        <v>44312.0</v>
      </c>
      <c r="F569" s="6" t="s">
        <v>12</v>
      </c>
      <c r="G569" s="8" t="s">
        <v>1694</v>
      </c>
      <c r="H569" s="8" t="s">
        <v>1694</v>
      </c>
    </row>
    <row r="570">
      <c r="A570" s="6" t="s">
        <v>8</v>
      </c>
      <c r="B570" s="6" t="s">
        <v>9</v>
      </c>
      <c r="C570" s="6" t="s">
        <v>1695</v>
      </c>
      <c r="D570" s="6" t="s">
        <v>1696</v>
      </c>
      <c r="E570" s="7">
        <v>44305.0</v>
      </c>
      <c r="F570" s="6" t="s">
        <v>12</v>
      </c>
      <c r="G570" s="8" t="s">
        <v>1697</v>
      </c>
      <c r="H570" s="8" t="s">
        <v>1697</v>
      </c>
    </row>
    <row r="571">
      <c r="A571" s="6" t="s">
        <v>8</v>
      </c>
      <c r="B571" s="6" t="s">
        <v>9</v>
      </c>
      <c r="C571" s="6" t="s">
        <v>1698</v>
      </c>
      <c r="D571" s="6" t="s">
        <v>1699</v>
      </c>
      <c r="E571" s="7">
        <v>44319.0</v>
      </c>
      <c r="F571" s="6" t="s">
        <v>12</v>
      </c>
      <c r="G571" s="8" t="s">
        <v>1700</v>
      </c>
      <c r="H571" s="8" t="s">
        <v>1700</v>
      </c>
    </row>
    <row r="572">
      <c r="A572" s="6" t="s">
        <v>8</v>
      </c>
      <c r="B572" s="6" t="s">
        <v>9</v>
      </c>
      <c r="C572" s="6" t="s">
        <v>1701</v>
      </c>
      <c r="D572" s="6" t="s">
        <v>1702</v>
      </c>
      <c r="E572" s="7">
        <v>44319.0</v>
      </c>
      <c r="F572" s="6" t="s">
        <v>12</v>
      </c>
      <c r="G572" s="8" t="s">
        <v>1703</v>
      </c>
      <c r="H572" s="8" t="s">
        <v>1703</v>
      </c>
    </row>
    <row r="573">
      <c r="A573" s="6" t="s">
        <v>8</v>
      </c>
      <c r="B573" s="6" t="s">
        <v>9</v>
      </c>
      <c r="C573" s="6" t="s">
        <v>1704</v>
      </c>
      <c r="D573" s="6" t="s">
        <v>1705</v>
      </c>
      <c r="E573" s="7">
        <v>44319.0</v>
      </c>
      <c r="F573" s="6" t="s">
        <v>12</v>
      </c>
      <c r="G573" s="8" t="s">
        <v>1706</v>
      </c>
      <c r="H573" s="8" t="s">
        <v>1706</v>
      </c>
    </row>
    <row r="574">
      <c r="A574" s="6" t="s">
        <v>8</v>
      </c>
      <c r="B574" s="6" t="s">
        <v>9</v>
      </c>
      <c r="C574" s="6" t="s">
        <v>1707</v>
      </c>
      <c r="D574" s="6" t="s">
        <v>1708</v>
      </c>
      <c r="E574" s="7">
        <v>44319.0</v>
      </c>
      <c r="F574" s="6" t="s">
        <v>12</v>
      </c>
      <c r="G574" s="8" t="s">
        <v>1709</v>
      </c>
      <c r="H574" s="8" t="s">
        <v>1709</v>
      </c>
    </row>
    <row r="575">
      <c r="A575" s="6" t="s">
        <v>8</v>
      </c>
      <c r="B575" s="6" t="s">
        <v>9</v>
      </c>
      <c r="C575" s="6" t="s">
        <v>1710</v>
      </c>
      <c r="D575" s="6" t="s">
        <v>1711</v>
      </c>
      <c r="E575" s="7">
        <v>44319.0</v>
      </c>
      <c r="F575" s="6" t="s">
        <v>12</v>
      </c>
      <c r="G575" s="8" t="s">
        <v>1712</v>
      </c>
      <c r="H575" s="8" t="s">
        <v>1712</v>
      </c>
    </row>
    <row r="576">
      <c r="A576" s="6" t="s">
        <v>8</v>
      </c>
      <c r="B576" s="6" t="s">
        <v>9</v>
      </c>
      <c r="C576" s="6" t="s">
        <v>1713</v>
      </c>
      <c r="D576" s="6" t="s">
        <v>1714</v>
      </c>
      <c r="E576" s="7">
        <v>44319.0</v>
      </c>
      <c r="F576" s="6" t="s">
        <v>12</v>
      </c>
      <c r="G576" s="8" t="s">
        <v>1715</v>
      </c>
      <c r="H576" s="8" t="s">
        <v>1715</v>
      </c>
    </row>
    <row r="577">
      <c r="A577" s="6" t="s">
        <v>8</v>
      </c>
      <c r="B577" s="6" t="s">
        <v>9</v>
      </c>
      <c r="C577" s="6" t="s">
        <v>1716</v>
      </c>
      <c r="D577" s="6" t="s">
        <v>1717</v>
      </c>
      <c r="E577" s="7">
        <v>44319.0</v>
      </c>
      <c r="F577" s="6" t="s">
        <v>12</v>
      </c>
      <c r="G577" s="8" t="s">
        <v>1718</v>
      </c>
      <c r="H577" s="8" t="s">
        <v>1718</v>
      </c>
    </row>
    <row r="578">
      <c r="A578" s="6" t="s">
        <v>8</v>
      </c>
      <c r="B578" s="6" t="s">
        <v>9</v>
      </c>
      <c r="C578" s="6" t="s">
        <v>1719</v>
      </c>
      <c r="D578" s="6" t="s">
        <v>1720</v>
      </c>
      <c r="E578" s="7">
        <v>44319.0</v>
      </c>
      <c r="F578" s="6" t="s">
        <v>12</v>
      </c>
      <c r="G578" s="8" t="s">
        <v>1721</v>
      </c>
      <c r="H578" s="8" t="s">
        <v>1721</v>
      </c>
    </row>
    <row r="579">
      <c r="A579" s="6" t="s">
        <v>8</v>
      </c>
      <c r="B579" s="6" t="s">
        <v>9</v>
      </c>
      <c r="C579" s="6" t="s">
        <v>1722</v>
      </c>
      <c r="D579" s="6" t="s">
        <v>1723</v>
      </c>
      <c r="E579" s="7">
        <v>44319.0</v>
      </c>
      <c r="F579" s="6" t="s">
        <v>12</v>
      </c>
      <c r="G579" s="8" t="s">
        <v>1724</v>
      </c>
      <c r="H579" s="8" t="s">
        <v>1724</v>
      </c>
    </row>
    <row r="580">
      <c r="A580" s="6" t="s">
        <v>8</v>
      </c>
      <c r="B580" s="6" t="s">
        <v>9</v>
      </c>
      <c r="C580" s="6" t="s">
        <v>1725</v>
      </c>
      <c r="D580" s="6" t="s">
        <v>1726</v>
      </c>
      <c r="E580" s="7">
        <v>44319.0</v>
      </c>
      <c r="F580" s="6" t="s">
        <v>12</v>
      </c>
      <c r="G580" s="8" t="s">
        <v>1727</v>
      </c>
      <c r="H580" s="8" t="s">
        <v>1727</v>
      </c>
    </row>
    <row r="581">
      <c r="A581" s="6" t="s">
        <v>8</v>
      </c>
      <c r="B581" s="6" t="s">
        <v>9</v>
      </c>
      <c r="C581" s="6" t="s">
        <v>1728</v>
      </c>
      <c r="D581" s="6" t="s">
        <v>1729</v>
      </c>
      <c r="E581" s="7">
        <v>44319.0</v>
      </c>
      <c r="F581" s="6" t="s">
        <v>12</v>
      </c>
      <c r="G581" s="8" t="s">
        <v>1730</v>
      </c>
      <c r="H581" s="8" t="s">
        <v>1730</v>
      </c>
    </row>
    <row r="582">
      <c r="A582" s="6" t="s">
        <v>8</v>
      </c>
      <c r="B582" s="6" t="s">
        <v>9</v>
      </c>
      <c r="C582" s="6" t="s">
        <v>1731</v>
      </c>
      <c r="D582" s="6" t="s">
        <v>1732</v>
      </c>
      <c r="E582" s="7">
        <v>44319.0</v>
      </c>
      <c r="F582" s="6" t="s">
        <v>12</v>
      </c>
      <c r="G582" s="8" t="s">
        <v>1733</v>
      </c>
      <c r="H582" s="8" t="s">
        <v>1733</v>
      </c>
    </row>
    <row r="583">
      <c r="A583" s="6" t="s">
        <v>8</v>
      </c>
      <c r="B583" s="6" t="s">
        <v>9</v>
      </c>
      <c r="C583" s="6" t="s">
        <v>1734</v>
      </c>
      <c r="D583" s="6" t="s">
        <v>1735</v>
      </c>
      <c r="E583" s="7">
        <v>44319.0</v>
      </c>
      <c r="F583" s="6" t="s">
        <v>12</v>
      </c>
      <c r="G583" s="8" t="s">
        <v>1736</v>
      </c>
      <c r="H583" s="8" t="s">
        <v>1736</v>
      </c>
    </row>
    <row r="584">
      <c r="A584" s="6" t="s">
        <v>8</v>
      </c>
      <c r="B584" s="6" t="s">
        <v>9</v>
      </c>
      <c r="C584" s="6" t="s">
        <v>1737</v>
      </c>
      <c r="D584" s="6" t="s">
        <v>1738</v>
      </c>
      <c r="E584" s="7">
        <v>44319.0</v>
      </c>
      <c r="F584" s="6" t="s">
        <v>12</v>
      </c>
      <c r="G584" s="8" t="s">
        <v>1739</v>
      </c>
      <c r="H584" s="8" t="s">
        <v>1739</v>
      </c>
    </row>
    <row r="585">
      <c r="A585" s="6" t="s">
        <v>8</v>
      </c>
      <c r="B585" s="6" t="s">
        <v>9</v>
      </c>
      <c r="C585" s="6" t="s">
        <v>1740</v>
      </c>
      <c r="D585" s="6" t="s">
        <v>1741</v>
      </c>
      <c r="E585" s="7">
        <v>44228.0</v>
      </c>
      <c r="F585" s="6" t="s">
        <v>12</v>
      </c>
      <c r="G585" s="8" t="s">
        <v>1742</v>
      </c>
      <c r="H585" s="8" t="s">
        <v>1742</v>
      </c>
    </row>
    <row r="586">
      <c r="A586" s="6" t="s">
        <v>8</v>
      </c>
      <c r="B586" s="6" t="s">
        <v>9</v>
      </c>
      <c r="C586" s="6" t="s">
        <v>1743</v>
      </c>
      <c r="D586" s="6" t="s">
        <v>1744</v>
      </c>
      <c r="E586" s="7">
        <v>44293.0</v>
      </c>
      <c r="F586" s="6" t="s">
        <v>12</v>
      </c>
      <c r="G586" s="8" t="s">
        <v>1745</v>
      </c>
      <c r="H586" s="8" t="s">
        <v>1745</v>
      </c>
    </row>
    <row r="587">
      <c r="A587" s="6" t="s">
        <v>8</v>
      </c>
      <c r="B587" s="6" t="s">
        <v>9</v>
      </c>
      <c r="C587" s="6" t="s">
        <v>1746</v>
      </c>
      <c r="D587" s="6" t="s">
        <v>1747</v>
      </c>
      <c r="E587" s="7">
        <v>44293.0</v>
      </c>
      <c r="F587" s="6" t="s">
        <v>12</v>
      </c>
      <c r="G587" s="8" t="s">
        <v>1748</v>
      </c>
      <c r="H587" s="8" t="s">
        <v>1748</v>
      </c>
    </row>
    <row r="588">
      <c r="A588" s="6" t="s">
        <v>8</v>
      </c>
      <c r="B588" s="6" t="s">
        <v>9</v>
      </c>
      <c r="C588" s="6" t="s">
        <v>1749</v>
      </c>
      <c r="D588" s="6" t="s">
        <v>1750</v>
      </c>
      <c r="E588" s="7">
        <v>44322.0</v>
      </c>
      <c r="F588" s="6" t="s">
        <v>12</v>
      </c>
      <c r="G588" s="8" t="s">
        <v>1751</v>
      </c>
      <c r="H588" s="8" t="s">
        <v>1751</v>
      </c>
    </row>
    <row r="589">
      <c r="A589" s="6" t="s">
        <v>8</v>
      </c>
      <c r="B589" s="6" t="s">
        <v>9</v>
      </c>
      <c r="C589" s="6" t="s">
        <v>1752</v>
      </c>
      <c r="D589" s="6" t="s">
        <v>1753</v>
      </c>
      <c r="E589" s="7">
        <v>44322.0</v>
      </c>
      <c r="F589" s="6" t="s">
        <v>12</v>
      </c>
      <c r="G589" s="8" t="s">
        <v>1754</v>
      </c>
      <c r="H589" s="8" t="s">
        <v>1754</v>
      </c>
    </row>
    <row r="590">
      <c r="A590" s="6" t="s">
        <v>8</v>
      </c>
      <c r="B590" s="6" t="s">
        <v>9</v>
      </c>
      <c r="C590" s="6" t="s">
        <v>1755</v>
      </c>
      <c r="D590" s="6" t="s">
        <v>1756</v>
      </c>
      <c r="E590" s="7">
        <v>44322.0</v>
      </c>
      <c r="F590" s="6" t="s">
        <v>12</v>
      </c>
      <c r="G590" s="8" t="s">
        <v>1757</v>
      </c>
      <c r="H590" s="8" t="s">
        <v>1757</v>
      </c>
    </row>
    <row r="591">
      <c r="A591" s="6" t="s">
        <v>8</v>
      </c>
      <c r="B591" s="6" t="s">
        <v>9</v>
      </c>
      <c r="C591" s="6" t="s">
        <v>1758</v>
      </c>
      <c r="D591" s="6" t="s">
        <v>1759</v>
      </c>
      <c r="E591" s="7">
        <v>44328.0</v>
      </c>
      <c r="F591" s="6" t="s">
        <v>12</v>
      </c>
      <c r="G591" s="8" t="s">
        <v>1760</v>
      </c>
      <c r="H591" s="8" t="s">
        <v>1760</v>
      </c>
    </row>
    <row r="592">
      <c r="A592" s="6" t="s">
        <v>8</v>
      </c>
      <c r="B592" s="6" t="s">
        <v>9</v>
      </c>
      <c r="C592" s="6" t="s">
        <v>1761</v>
      </c>
      <c r="D592" s="6" t="s">
        <v>1762</v>
      </c>
      <c r="E592" s="7">
        <v>44232.0</v>
      </c>
      <c r="F592" s="6" t="s">
        <v>12</v>
      </c>
      <c r="G592" s="8" t="s">
        <v>1763</v>
      </c>
      <c r="H592" s="8" t="s">
        <v>1763</v>
      </c>
    </row>
    <row r="593">
      <c r="A593" s="6" t="s">
        <v>8</v>
      </c>
      <c r="B593" s="6" t="s">
        <v>9</v>
      </c>
      <c r="C593" s="6" t="s">
        <v>1764</v>
      </c>
      <c r="D593" s="6" t="s">
        <v>1765</v>
      </c>
      <c r="E593" s="7">
        <v>44309.0</v>
      </c>
      <c r="F593" s="6" t="s">
        <v>12</v>
      </c>
      <c r="G593" s="8" t="s">
        <v>1766</v>
      </c>
      <c r="H593" s="8" t="s">
        <v>1766</v>
      </c>
    </row>
    <row r="594">
      <c r="A594" s="6" t="s">
        <v>8</v>
      </c>
      <c r="B594" s="6" t="s">
        <v>9</v>
      </c>
      <c r="C594" s="6" t="s">
        <v>1767</v>
      </c>
      <c r="D594" s="6" t="s">
        <v>1768</v>
      </c>
      <c r="E594" s="7">
        <v>44165.0</v>
      </c>
      <c r="F594" s="6" t="s">
        <v>12</v>
      </c>
      <c r="G594" s="8" t="s">
        <v>1769</v>
      </c>
      <c r="H594" s="8" t="s">
        <v>1769</v>
      </c>
    </row>
    <row r="595">
      <c r="A595" s="6" t="s">
        <v>8</v>
      </c>
      <c r="B595" s="6" t="s">
        <v>9</v>
      </c>
      <c r="C595" s="6" t="s">
        <v>1770</v>
      </c>
      <c r="D595" s="6" t="s">
        <v>1771</v>
      </c>
      <c r="E595" s="7">
        <v>44165.0</v>
      </c>
      <c r="F595" s="6" t="s">
        <v>12</v>
      </c>
      <c r="G595" s="8" t="s">
        <v>1772</v>
      </c>
      <c r="H595" s="8" t="s">
        <v>1772</v>
      </c>
    </row>
    <row r="596">
      <c r="A596" s="6" t="s">
        <v>8</v>
      </c>
      <c r="B596" s="6" t="s">
        <v>9</v>
      </c>
      <c r="C596" s="6" t="s">
        <v>1773</v>
      </c>
      <c r="D596" s="6" t="s">
        <v>1774</v>
      </c>
      <c r="E596" s="7">
        <v>44165.0</v>
      </c>
      <c r="F596" s="6" t="s">
        <v>12</v>
      </c>
      <c r="G596" s="8" t="s">
        <v>1775</v>
      </c>
      <c r="H596" s="8" t="s">
        <v>1775</v>
      </c>
    </row>
    <row r="597">
      <c r="A597" s="6" t="s">
        <v>8</v>
      </c>
      <c r="B597" s="6" t="s">
        <v>9</v>
      </c>
      <c r="C597" s="6" t="s">
        <v>1776</v>
      </c>
      <c r="D597" s="6" t="s">
        <v>1777</v>
      </c>
      <c r="E597" s="7">
        <v>44165.0</v>
      </c>
      <c r="F597" s="6" t="s">
        <v>12</v>
      </c>
      <c r="G597" s="8" t="s">
        <v>1778</v>
      </c>
      <c r="H597" s="8" t="s">
        <v>1778</v>
      </c>
    </row>
    <row r="598">
      <c r="A598" s="6" t="s">
        <v>8</v>
      </c>
      <c r="B598" s="6" t="s">
        <v>9</v>
      </c>
      <c r="C598" s="6" t="s">
        <v>1779</v>
      </c>
      <c r="D598" s="6" t="s">
        <v>1780</v>
      </c>
      <c r="E598" s="7">
        <v>44165.0</v>
      </c>
      <c r="F598" s="6" t="s">
        <v>12</v>
      </c>
      <c r="G598" s="8" t="s">
        <v>1781</v>
      </c>
      <c r="H598" s="8" t="s">
        <v>1781</v>
      </c>
    </row>
    <row r="599">
      <c r="A599" s="6" t="s">
        <v>8</v>
      </c>
      <c r="B599" s="6" t="s">
        <v>9</v>
      </c>
      <c r="C599" s="6" t="s">
        <v>1782</v>
      </c>
      <c r="D599" s="6" t="s">
        <v>1783</v>
      </c>
      <c r="E599" s="7">
        <v>44165.0</v>
      </c>
      <c r="F599" s="6" t="s">
        <v>12</v>
      </c>
      <c r="G599" s="8" t="s">
        <v>1784</v>
      </c>
      <c r="H599" s="8" t="s">
        <v>1784</v>
      </c>
    </row>
    <row r="600">
      <c r="A600" s="6" t="s">
        <v>8</v>
      </c>
      <c r="B600" s="6" t="s">
        <v>9</v>
      </c>
      <c r="C600" s="6" t="s">
        <v>1785</v>
      </c>
      <c r="D600" s="6" t="s">
        <v>1786</v>
      </c>
      <c r="E600" s="7">
        <v>44165.0</v>
      </c>
      <c r="F600" s="6" t="s">
        <v>12</v>
      </c>
      <c r="G600" s="8" t="s">
        <v>1787</v>
      </c>
      <c r="H600" s="8" t="s">
        <v>1787</v>
      </c>
    </row>
    <row r="601">
      <c r="A601" s="6" t="s">
        <v>8</v>
      </c>
      <c r="B601" s="6" t="s">
        <v>9</v>
      </c>
      <c r="C601" s="6" t="s">
        <v>1788</v>
      </c>
      <c r="D601" s="6" t="s">
        <v>1789</v>
      </c>
      <c r="E601" s="7">
        <v>44165.0</v>
      </c>
      <c r="F601" s="6" t="s">
        <v>12</v>
      </c>
      <c r="G601" s="8" t="s">
        <v>1790</v>
      </c>
      <c r="H601" s="8" t="s">
        <v>1790</v>
      </c>
    </row>
    <row r="602">
      <c r="A602" s="6" t="s">
        <v>8</v>
      </c>
      <c r="B602" s="6" t="s">
        <v>9</v>
      </c>
      <c r="C602" s="6" t="s">
        <v>1791</v>
      </c>
      <c r="D602" s="6" t="s">
        <v>1792</v>
      </c>
      <c r="E602" s="7">
        <v>44165.0</v>
      </c>
      <c r="F602" s="6" t="s">
        <v>12</v>
      </c>
      <c r="G602" s="8" t="s">
        <v>1793</v>
      </c>
      <c r="H602" s="8" t="s">
        <v>1793</v>
      </c>
    </row>
    <row r="603">
      <c r="A603" s="6" t="s">
        <v>8</v>
      </c>
      <c r="B603" s="6" t="s">
        <v>9</v>
      </c>
      <c r="C603" s="6" t="s">
        <v>1794</v>
      </c>
      <c r="D603" s="6" t="s">
        <v>1795</v>
      </c>
      <c r="E603" s="7">
        <v>44165.0</v>
      </c>
      <c r="F603" s="6" t="s">
        <v>12</v>
      </c>
      <c r="G603" s="8" t="s">
        <v>1796</v>
      </c>
      <c r="H603" s="8" t="s">
        <v>1796</v>
      </c>
    </row>
    <row r="604">
      <c r="A604" s="6" t="s">
        <v>8</v>
      </c>
      <c r="B604" s="6" t="s">
        <v>9</v>
      </c>
      <c r="C604" s="6" t="s">
        <v>1797</v>
      </c>
      <c r="D604" s="6" t="s">
        <v>1738</v>
      </c>
      <c r="E604" s="7">
        <v>44165.0</v>
      </c>
      <c r="F604" s="6" t="s">
        <v>12</v>
      </c>
      <c r="G604" s="8" t="s">
        <v>1798</v>
      </c>
      <c r="H604" s="8" t="s">
        <v>1798</v>
      </c>
    </row>
    <row r="605">
      <c r="A605" s="6" t="s">
        <v>8</v>
      </c>
      <c r="B605" s="6" t="s">
        <v>9</v>
      </c>
      <c r="C605" s="6" t="s">
        <v>1799</v>
      </c>
      <c r="D605" s="6" t="s">
        <v>1800</v>
      </c>
      <c r="E605" s="7">
        <v>44165.0</v>
      </c>
      <c r="F605" s="6" t="s">
        <v>12</v>
      </c>
      <c r="G605" s="8" t="s">
        <v>1801</v>
      </c>
      <c r="H605" s="8" t="s">
        <v>1801</v>
      </c>
    </row>
    <row r="606">
      <c r="A606" s="6" t="s">
        <v>8</v>
      </c>
      <c r="B606" s="6" t="s">
        <v>9</v>
      </c>
      <c r="C606" s="6" t="s">
        <v>1802</v>
      </c>
      <c r="D606" s="6" t="s">
        <v>1803</v>
      </c>
      <c r="E606" s="7">
        <v>44194.0</v>
      </c>
      <c r="F606" s="6" t="s">
        <v>12</v>
      </c>
      <c r="G606" s="8" t="s">
        <v>1804</v>
      </c>
      <c r="H606" s="8" t="s">
        <v>1804</v>
      </c>
    </row>
    <row r="607">
      <c r="A607" s="6" t="s">
        <v>8</v>
      </c>
      <c r="B607" s="6" t="s">
        <v>9</v>
      </c>
      <c r="C607" s="6" t="s">
        <v>1805</v>
      </c>
      <c r="D607" s="6" t="s">
        <v>1806</v>
      </c>
      <c r="E607" s="7">
        <v>44144.0</v>
      </c>
      <c r="F607" s="6" t="s">
        <v>12</v>
      </c>
      <c r="G607" s="8" t="s">
        <v>1807</v>
      </c>
      <c r="H607" s="8" t="s">
        <v>1807</v>
      </c>
    </row>
    <row r="608">
      <c r="A608" s="6" t="s">
        <v>8</v>
      </c>
      <c r="B608" s="6" t="s">
        <v>9</v>
      </c>
      <c r="C608" s="6" t="s">
        <v>1808</v>
      </c>
      <c r="D608" s="6" t="s">
        <v>1809</v>
      </c>
      <c r="E608" s="7">
        <v>44155.0</v>
      </c>
      <c r="F608" s="6" t="s">
        <v>12</v>
      </c>
      <c r="G608" s="8" t="s">
        <v>1810</v>
      </c>
      <c r="H608" s="8" t="s">
        <v>1810</v>
      </c>
    </row>
    <row r="609">
      <c r="A609" s="6" t="s">
        <v>8</v>
      </c>
      <c r="B609" s="6" t="s">
        <v>9</v>
      </c>
      <c r="C609" s="6" t="s">
        <v>1811</v>
      </c>
      <c r="D609" s="6" t="s">
        <v>1812</v>
      </c>
      <c r="E609" s="7">
        <v>44173.0</v>
      </c>
      <c r="F609" s="6" t="s">
        <v>12</v>
      </c>
      <c r="G609" s="8" t="s">
        <v>1813</v>
      </c>
      <c r="H609" s="8" t="s">
        <v>1813</v>
      </c>
    </row>
    <row r="610">
      <c r="A610" s="6" t="s">
        <v>8</v>
      </c>
      <c r="B610" s="6" t="s">
        <v>9</v>
      </c>
      <c r="C610" s="6" t="s">
        <v>1814</v>
      </c>
      <c r="D610" s="6" t="s">
        <v>1815</v>
      </c>
      <c r="E610" s="7">
        <v>44182.0</v>
      </c>
      <c r="F610" s="6" t="s">
        <v>12</v>
      </c>
      <c r="G610" s="8" t="s">
        <v>1816</v>
      </c>
      <c r="H610" s="8" t="s">
        <v>1816</v>
      </c>
    </row>
    <row r="611">
      <c r="A611" s="6" t="s">
        <v>8</v>
      </c>
      <c r="B611" s="6" t="s">
        <v>9</v>
      </c>
      <c r="C611" s="6" t="s">
        <v>1817</v>
      </c>
      <c r="D611" s="6" t="s">
        <v>1818</v>
      </c>
      <c r="E611" s="7">
        <v>44174.0</v>
      </c>
      <c r="F611" s="6" t="s">
        <v>12</v>
      </c>
      <c r="G611" s="8" t="s">
        <v>1819</v>
      </c>
      <c r="H611" s="8" t="s">
        <v>1819</v>
      </c>
    </row>
    <row r="612">
      <c r="A612" s="6" t="s">
        <v>8</v>
      </c>
      <c r="B612" s="6" t="s">
        <v>9</v>
      </c>
      <c r="C612" s="6" t="s">
        <v>1820</v>
      </c>
      <c r="D612" s="6" t="s">
        <v>1821</v>
      </c>
      <c r="E612" s="7">
        <v>44172.0</v>
      </c>
      <c r="F612" s="6" t="s">
        <v>12</v>
      </c>
      <c r="G612" s="8" t="s">
        <v>1822</v>
      </c>
      <c r="H612" s="8" t="s">
        <v>1822</v>
      </c>
    </row>
    <row r="613">
      <c r="A613" s="6" t="s">
        <v>8</v>
      </c>
      <c r="B613" s="6" t="s">
        <v>9</v>
      </c>
      <c r="C613" s="6" t="s">
        <v>1823</v>
      </c>
      <c r="D613" s="6" t="s">
        <v>1824</v>
      </c>
      <c r="E613" s="7">
        <v>44175.0</v>
      </c>
      <c r="F613" s="6" t="s">
        <v>12</v>
      </c>
      <c r="G613" s="8" t="s">
        <v>1825</v>
      </c>
      <c r="H613" s="8" t="s">
        <v>1825</v>
      </c>
    </row>
    <row r="614">
      <c r="A614" s="6" t="s">
        <v>8</v>
      </c>
      <c r="B614" s="6" t="s">
        <v>9</v>
      </c>
      <c r="C614" s="6" t="s">
        <v>1826</v>
      </c>
      <c r="D614" s="6" t="s">
        <v>1827</v>
      </c>
      <c r="E614" s="7">
        <v>44172.0</v>
      </c>
      <c r="F614" s="6" t="s">
        <v>12</v>
      </c>
      <c r="G614" s="8" t="s">
        <v>1828</v>
      </c>
      <c r="H614" s="8" t="s">
        <v>1828</v>
      </c>
    </row>
    <row r="615">
      <c r="A615" s="6" t="s">
        <v>8</v>
      </c>
      <c r="B615" s="6" t="s">
        <v>9</v>
      </c>
      <c r="C615" s="6" t="s">
        <v>1829</v>
      </c>
      <c r="D615" s="6" t="s">
        <v>1830</v>
      </c>
      <c r="E615" s="7">
        <v>44204.0</v>
      </c>
      <c r="F615" s="6" t="s">
        <v>12</v>
      </c>
      <c r="G615" s="8" t="s">
        <v>1831</v>
      </c>
      <c r="H615" s="8" t="s">
        <v>1831</v>
      </c>
    </row>
    <row r="616">
      <c r="A616" s="6" t="s">
        <v>8</v>
      </c>
      <c r="B616" s="6" t="s">
        <v>9</v>
      </c>
      <c r="C616" s="6" t="s">
        <v>1832</v>
      </c>
      <c r="D616" s="6" t="s">
        <v>1833</v>
      </c>
      <c r="E616" s="7">
        <v>44181.0</v>
      </c>
      <c r="F616" s="6" t="s">
        <v>12</v>
      </c>
      <c r="G616" s="8" t="s">
        <v>1834</v>
      </c>
      <c r="H616" s="8" t="s">
        <v>1834</v>
      </c>
    </row>
    <row r="617">
      <c r="A617" s="6" t="s">
        <v>8</v>
      </c>
      <c r="B617" s="6" t="s">
        <v>9</v>
      </c>
      <c r="C617" s="6" t="s">
        <v>1835</v>
      </c>
      <c r="D617" s="6" t="s">
        <v>1836</v>
      </c>
      <c r="E617" s="7">
        <v>44230.0</v>
      </c>
      <c r="F617" s="6" t="s">
        <v>12</v>
      </c>
      <c r="G617" s="8" t="s">
        <v>1837</v>
      </c>
      <c r="H617" s="8" t="s">
        <v>1837</v>
      </c>
    </row>
    <row r="618">
      <c r="A618" s="6" t="s">
        <v>8</v>
      </c>
      <c r="B618" s="6" t="s">
        <v>9</v>
      </c>
      <c r="C618" s="6" t="s">
        <v>1838</v>
      </c>
      <c r="D618" s="6" t="s">
        <v>1839</v>
      </c>
      <c r="E618" s="7">
        <v>44230.0</v>
      </c>
      <c r="F618" s="6" t="s">
        <v>12</v>
      </c>
      <c r="G618" s="8" t="s">
        <v>1840</v>
      </c>
      <c r="H618" s="8" t="s">
        <v>1840</v>
      </c>
    </row>
    <row r="619">
      <c r="A619" s="6" t="s">
        <v>8</v>
      </c>
      <c r="B619" s="6" t="s">
        <v>9</v>
      </c>
      <c r="C619" s="6" t="s">
        <v>1841</v>
      </c>
      <c r="D619" s="6" t="s">
        <v>1842</v>
      </c>
      <c r="E619" s="7">
        <v>44230.0</v>
      </c>
      <c r="F619" s="6" t="s">
        <v>12</v>
      </c>
      <c r="G619" s="8" t="s">
        <v>1843</v>
      </c>
      <c r="H619" s="8" t="s">
        <v>1843</v>
      </c>
    </row>
    <row r="620">
      <c r="A620" s="6" t="s">
        <v>8</v>
      </c>
      <c r="B620" s="6" t="s">
        <v>9</v>
      </c>
      <c r="C620" s="6" t="s">
        <v>1844</v>
      </c>
      <c r="D620" s="6" t="s">
        <v>1845</v>
      </c>
      <c r="E620" s="7">
        <v>44235.0</v>
      </c>
      <c r="F620" s="6" t="s">
        <v>12</v>
      </c>
      <c r="G620" s="8" t="s">
        <v>1846</v>
      </c>
      <c r="H620" s="8" t="s">
        <v>1846</v>
      </c>
    </row>
    <row r="621">
      <c r="A621" s="6" t="s">
        <v>8</v>
      </c>
      <c r="B621" s="6" t="s">
        <v>9</v>
      </c>
      <c r="C621" s="6" t="s">
        <v>1847</v>
      </c>
      <c r="D621" s="6" t="s">
        <v>1000</v>
      </c>
      <c r="E621" s="7">
        <v>44236.0</v>
      </c>
      <c r="F621" s="6" t="s">
        <v>12</v>
      </c>
      <c r="G621" s="8" t="s">
        <v>1848</v>
      </c>
      <c r="H621" s="8" t="s">
        <v>1848</v>
      </c>
    </row>
    <row r="622">
      <c r="A622" s="6" t="s">
        <v>8</v>
      </c>
      <c r="B622" s="6" t="s">
        <v>9</v>
      </c>
      <c r="C622" s="6" t="s">
        <v>1849</v>
      </c>
      <c r="D622" s="6" t="s">
        <v>1850</v>
      </c>
      <c r="E622" s="7">
        <v>44236.0</v>
      </c>
      <c r="F622" s="6" t="s">
        <v>12</v>
      </c>
      <c r="G622" s="8" t="s">
        <v>1851</v>
      </c>
      <c r="H622" s="8" t="s">
        <v>1851</v>
      </c>
    </row>
    <row r="623">
      <c r="A623" s="6" t="s">
        <v>8</v>
      </c>
      <c r="B623" s="6" t="s">
        <v>9</v>
      </c>
      <c r="C623" s="6" t="s">
        <v>1852</v>
      </c>
      <c r="D623" s="6" t="s">
        <v>1853</v>
      </c>
      <c r="E623" s="7">
        <v>44210.0</v>
      </c>
      <c r="F623" s="6" t="s">
        <v>12</v>
      </c>
      <c r="G623" s="8" t="s">
        <v>1854</v>
      </c>
      <c r="H623" s="8" t="s">
        <v>1854</v>
      </c>
    </row>
    <row r="624">
      <c r="A624" s="6" t="s">
        <v>8</v>
      </c>
      <c r="B624" s="6" t="s">
        <v>9</v>
      </c>
      <c r="C624" s="6" t="s">
        <v>1855</v>
      </c>
      <c r="D624" s="6" t="s">
        <v>174</v>
      </c>
      <c r="E624" s="7">
        <v>44236.0</v>
      </c>
      <c r="F624" s="6" t="s">
        <v>12</v>
      </c>
      <c r="G624" s="8" t="s">
        <v>1856</v>
      </c>
      <c r="H624" s="8" t="s">
        <v>1856</v>
      </c>
    </row>
    <row r="625">
      <c r="A625" s="6" t="s">
        <v>8</v>
      </c>
      <c r="B625" s="6" t="s">
        <v>9</v>
      </c>
      <c r="C625" s="6" t="s">
        <v>1857</v>
      </c>
      <c r="D625" s="6" t="s">
        <v>159</v>
      </c>
      <c r="E625" s="7">
        <v>44236.0</v>
      </c>
      <c r="F625" s="6" t="s">
        <v>12</v>
      </c>
      <c r="G625" s="8" t="s">
        <v>1858</v>
      </c>
      <c r="H625" s="8" t="s">
        <v>1858</v>
      </c>
    </row>
    <row r="626">
      <c r="A626" s="6" t="s">
        <v>8</v>
      </c>
      <c r="B626" s="6" t="s">
        <v>9</v>
      </c>
      <c r="C626" s="6" t="s">
        <v>1859</v>
      </c>
      <c r="D626" s="6" t="s">
        <v>1860</v>
      </c>
      <c r="E626" s="7">
        <v>44236.0</v>
      </c>
      <c r="F626" s="6" t="s">
        <v>12</v>
      </c>
      <c r="G626" s="8" t="s">
        <v>1861</v>
      </c>
      <c r="H626" s="8" t="s">
        <v>1861</v>
      </c>
    </row>
    <row r="627">
      <c r="A627" s="6" t="s">
        <v>8</v>
      </c>
      <c r="B627" s="6" t="s">
        <v>9</v>
      </c>
      <c r="C627" s="6" t="s">
        <v>1862</v>
      </c>
      <c r="D627" s="6" t="s">
        <v>1863</v>
      </c>
      <c r="E627" s="7">
        <v>44236.0</v>
      </c>
      <c r="F627" s="6" t="s">
        <v>12</v>
      </c>
      <c r="G627" s="8" t="s">
        <v>1864</v>
      </c>
      <c r="H627" s="8" t="s">
        <v>1864</v>
      </c>
    </row>
    <row r="628">
      <c r="A628" s="6" t="s">
        <v>8</v>
      </c>
      <c r="B628" s="6" t="s">
        <v>9</v>
      </c>
      <c r="C628" s="6" t="s">
        <v>1865</v>
      </c>
      <c r="D628" s="6" t="s">
        <v>882</v>
      </c>
      <c r="E628" s="7">
        <v>44236.0</v>
      </c>
      <c r="F628" s="6" t="s">
        <v>12</v>
      </c>
      <c r="G628" s="8" t="s">
        <v>1866</v>
      </c>
      <c r="H628" s="8" t="s">
        <v>1866</v>
      </c>
    </row>
    <row r="629">
      <c r="A629" s="6" t="s">
        <v>8</v>
      </c>
      <c r="B629" s="6" t="s">
        <v>9</v>
      </c>
      <c r="C629" s="6" t="s">
        <v>1867</v>
      </c>
      <c r="D629" s="6" t="s">
        <v>1868</v>
      </c>
      <c r="E629" s="7">
        <v>44278.0</v>
      </c>
      <c r="F629" s="6" t="s">
        <v>12</v>
      </c>
      <c r="G629" s="8" t="s">
        <v>1869</v>
      </c>
      <c r="H629" s="8" t="s">
        <v>1869</v>
      </c>
    </row>
    <row r="630">
      <c r="A630" s="6" t="s">
        <v>8</v>
      </c>
      <c r="B630" s="6" t="s">
        <v>9</v>
      </c>
      <c r="C630" s="6" t="s">
        <v>1870</v>
      </c>
      <c r="D630" s="6" t="s">
        <v>1871</v>
      </c>
      <c r="E630" s="7">
        <v>44278.0</v>
      </c>
      <c r="F630" s="6" t="s">
        <v>12</v>
      </c>
      <c r="G630" s="8" t="s">
        <v>1872</v>
      </c>
      <c r="H630" s="8" t="s">
        <v>1872</v>
      </c>
    </row>
    <row r="631">
      <c r="A631" s="6" t="s">
        <v>8</v>
      </c>
      <c r="B631" s="6" t="s">
        <v>9</v>
      </c>
      <c r="C631" s="6" t="s">
        <v>1873</v>
      </c>
      <c r="D631" s="6" t="s">
        <v>1874</v>
      </c>
      <c r="E631" s="7">
        <v>44278.0</v>
      </c>
      <c r="F631" s="6" t="s">
        <v>12</v>
      </c>
      <c r="G631" s="8" t="s">
        <v>1875</v>
      </c>
      <c r="H631" s="8" t="s">
        <v>1875</v>
      </c>
    </row>
    <row r="632">
      <c r="A632" s="6" t="s">
        <v>8</v>
      </c>
      <c r="B632" s="6" t="s">
        <v>9</v>
      </c>
      <c r="C632" s="6" t="s">
        <v>1876</v>
      </c>
      <c r="D632" s="6" t="s">
        <v>1877</v>
      </c>
      <c r="E632" s="7">
        <v>44278.0</v>
      </c>
      <c r="F632" s="6" t="s">
        <v>12</v>
      </c>
      <c r="G632" s="8" t="s">
        <v>1878</v>
      </c>
      <c r="H632" s="8" t="s">
        <v>1878</v>
      </c>
    </row>
    <row r="633">
      <c r="A633" s="6" t="s">
        <v>8</v>
      </c>
      <c r="B633" s="6" t="s">
        <v>9</v>
      </c>
      <c r="C633" s="6" t="s">
        <v>1879</v>
      </c>
      <c r="D633" s="6" t="s">
        <v>1880</v>
      </c>
      <c r="E633" s="7">
        <v>44236.0</v>
      </c>
      <c r="F633" s="6" t="s">
        <v>12</v>
      </c>
      <c r="G633" s="8" t="s">
        <v>1881</v>
      </c>
      <c r="H633" s="8" t="s">
        <v>1881</v>
      </c>
    </row>
    <row r="634">
      <c r="A634" s="6" t="s">
        <v>8</v>
      </c>
      <c r="B634" s="6" t="s">
        <v>9</v>
      </c>
      <c r="C634" s="6" t="s">
        <v>1882</v>
      </c>
      <c r="D634" s="6" t="s">
        <v>1883</v>
      </c>
      <c r="E634" s="7">
        <v>44237.0</v>
      </c>
      <c r="F634" s="6" t="s">
        <v>12</v>
      </c>
      <c r="G634" s="8" t="s">
        <v>1884</v>
      </c>
      <c r="H634" s="8" t="s">
        <v>1884</v>
      </c>
    </row>
    <row r="635">
      <c r="A635" s="6" t="s">
        <v>8</v>
      </c>
      <c r="B635" s="6" t="s">
        <v>9</v>
      </c>
      <c r="C635" s="6" t="s">
        <v>1885</v>
      </c>
      <c r="D635" s="6" t="s">
        <v>1886</v>
      </c>
      <c r="E635" s="7">
        <v>44214.0</v>
      </c>
      <c r="F635" s="6" t="s">
        <v>12</v>
      </c>
      <c r="G635" s="8" t="s">
        <v>1887</v>
      </c>
      <c r="H635" s="8" t="s">
        <v>1887</v>
      </c>
    </row>
    <row r="636">
      <c r="A636" s="6" t="s">
        <v>8</v>
      </c>
      <c r="B636" s="6" t="s">
        <v>9</v>
      </c>
      <c r="C636" s="6" t="s">
        <v>1888</v>
      </c>
      <c r="D636" s="6" t="s">
        <v>1889</v>
      </c>
      <c r="E636" s="7">
        <v>44214.0</v>
      </c>
      <c r="F636" s="6" t="s">
        <v>12</v>
      </c>
      <c r="G636" s="8" t="s">
        <v>1890</v>
      </c>
      <c r="H636" s="8" t="s">
        <v>1890</v>
      </c>
    </row>
    <row r="637">
      <c r="A637" s="6" t="s">
        <v>8</v>
      </c>
      <c r="B637" s="6" t="s">
        <v>9</v>
      </c>
      <c r="C637" s="6" t="s">
        <v>1891</v>
      </c>
      <c r="D637" s="6" t="s">
        <v>1892</v>
      </c>
      <c r="E637" s="7">
        <v>44214.0</v>
      </c>
      <c r="F637" s="6" t="s">
        <v>12</v>
      </c>
      <c r="G637" s="8" t="s">
        <v>1893</v>
      </c>
      <c r="H637" s="8" t="s">
        <v>1893</v>
      </c>
    </row>
    <row r="638">
      <c r="A638" s="6" t="s">
        <v>8</v>
      </c>
      <c r="B638" s="6" t="s">
        <v>9</v>
      </c>
      <c r="C638" s="6" t="s">
        <v>1894</v>
      </c>
      <c r="D638" s="6" t="s">
        <v>1895</v>
      </c>
      <c r="E638" s="7">
        <v>44257.0</v>
      </c>
      <c r="F638" s="6" t="s">
        <v>12</v>
      </c>
      <c r="G638" s="8" t="s">
        <v>1896</v>
      </c>
      <c r="H638" s="8" t="s">
        <v>1896</v>
      </c>
    </row>
    <row r="639">
      <c r="A639" s="6" t="s">
        <v>8</v>
      </c>
      <c r="B639" s="6" t="s">
        <v>9</v>
      </c>
      <c r="C639" s="6" t="s">
        <v>1897</v>
      </c>
      <c r="D639" s="6" t="s">
        <v>1898</v>
      </c>
      <c r="E639" s="7">
        <v>44243.0</v>
      </c>
      <c r="F639" s="6" t="s">
        <v>12</v>
      </c>
      <c r="G639" s="8" t="s">
        <v>1899</v>
      </c>
      <c r="H639" s="8" t="s">
        <v>1899</v>
      </c>
    </row>
    <row r="640">
      <c r="A640" s="6" t="s">
        <v>8</v>
      </c>
      <c r="B640" s="6" t="s">
        <v>9</v>
      </c>
      <c r="C640" s="6" t="s">
        <v>1900</v>
      </c>
      <c r="D640" s="6" t="s">
        <v>1901</v>
      </c>
      <c r="E640" s="7">
        <v>44222.0</v>
      </c>
      <c r="F640" s="6" t="s">
        <v>12</v>
      </c>
      <c r="G640" s="8" t="s">
        <v>1902</v>
      </c>
      <c r="H640" s="8" t="s">
        <v>1902</v>
      </c>
    </row>
    <row r="641">
      <c r="A641" s="6" t="s">
        <v>8</v>
      </c>
      <c r="B641" s="6" t="s">
        <v>9</v>
      </c>
      <c r="C641" s="6" t="s">
        <v>1903</v>
      </c>
      <c r="D641" s="6" t="s">
        <v>1904</v>
      </c>
      <c r="E641" s="7">
        <v>44222.0</v>
      </c>
      <c r="F641" s="6" t="s">
        <v>12</v>
      </c>
      <c r="G641" s="8" t="s">
        <v>1905</v>
      </c>
      <c r="H641" s="8" t="s">
        <v>1905</v>
      </c>
    </row>
    <row r="642">
      <c r="A642" s="6" t="s">
        <v>8</v>
      </c>
      <c r="B642" s="6" t="s">
        <v>9</v>
      </c>
      <c r="C642" s="6" t="s">
        <v>1906</v>
      </c>
      <c r="D642" s="6" t="s">
        <v>1907</v>
      </c>
      <c r="E642" s="7">
        <v>44222.0</v>
      </c>
      <c r="F642" s="6" t="s">
        <v>12</v>
      </c>
      <c r="G642" s="8" t="s">
        <v>1908</v>
      </c>
      <c r="H642" s="8" t="s">
        <v>1908</v>
      </c>
    </row>
    <row r="643">
      <c r="A643" s="6" t="s">
        <v>8</v>
      </c>
      <c r="B643" s="6" t="s">
        <v>9</v>
      </c>
      <c r="C643" s="6" t="s">
        <v>1909</v>
      </c>
      <c r="D643" s="6" t="s">
        <v>1910</v>
      </c>
      <c r="E643" s="7">
        <v>44223.0</v>
      </c>
      <c r="F643" s="6" t="s">
        <v>12</v>
      </c>
      <c r="G643" s="8" t="s">
        <v>1911</v>
      </c>
      <c r="H643" s="8" t="s">
        <v>1911</v>
      </c>
    </row>
    <row r="644">
      <c r="A644" s="6" t="s">
        <v>8</v>
      </c>
      <c r="B644" s="6" t="s">
        <v>9</v>
      </c>
      <c r="C644" s="6" t="s">
        <v>1912</v>
      </c>
      <c r="D644" s="6" t="s">
        <v>1913</v>
      </c>
      <c r="E644" s="7">
        <v>44223.0</v>
      </c>
      <c r="F644" s="6" t="s">
        <v>12</v>
      </c>
      <c r="G644" s="8" t="s">
        <v>1914</v>
      </c>
      <c r="H644" s="8" t="s">
        <v>1914</v>
      </c>
    </row>
    <row r="645">
      <c r="A645" s="6" t="s">
        <v>8</v>
      </c>
      <c r="B645" s="6" t="s">
        <v>9</v>
      </c>
      <c r="C645" s="6" t="s">
        <v>1915</v>
      </c>
      <c r="D645" s="6" t="s">
        <v>1916</v>
      </c>
      <c r="E645" s="7">
        <v>44223.0</v>
      </c>
      <c r="F645" s="6" t="s">
        <v>12</v>
      </c>
      <c r="G645" s="8" t="s">
        <v>1917</v>
      </c>
      <c r="H645" s="8" t="s">
        <v>1917</v>
      </c>
    </row>
    <row r="646">
      <c r="A646" s="6" t="s">
        <v>8</v>
      </c>
      <c r="B646" s="6" t="s">
        <v>9</v>
      </c>
      <c r="C646" s="6" t="s">
        <v>1918</v>
      </c>
      <c r="D646" s="6" t="s">
        <v>1919</v>
      </c>
      <c r="E646" s="7">
        <v>44223.0</v>
      </c>
      <c r="F646" s="6" t="s">
        <v>12</v>
      </c>
      <c r="G646" s="8" t="s">
        <v>1920</v>
      </c>
      <c r="H646" s="8" t="s">
        <v>1920</v>
      </c>
    </row>
    <row r="647">
      <c r="A647" s="6" t="s">
        <v>8</v>
      </c>
      <c r="B647" s="6" t="s">
        <v>9</v>
      </c>
      <c r="C647" s="6" t="s">
        <v>1921</v>
      </c>
      <c r="D647" s="6" t="s">
        <v>661</v>
      </c>
      <c r="E647" s="7">
        <v>44223.0</v>
      </c>
      <c r="F647" s="6" t="s">
        <v>12</v>
      </c>
      <c r="G647" s="8" t="s">
        <v>1922</v>
      </c>
      <c r="H647" s="8" t="s">
        <v>1922</v>
      </c>
    </row>
    <row r="648">
      <c r="A648" s="6" t="s">
        <v>8</v>
      </c>
      <c r="B648" s="6" t="s">
        <v>9</v>
      </c>
      <c r="C648" s="6" t="s">
        <v>1923</v>
      </c>
      <c r="D648" s="6" t="s">
        <v>1924</v>
      </c>
      <c r="E648" s="7">
        <v>44223.0</v>
      </c>
      <c r="F648" s="6" t="s">
        <v>12</v>
      </c>
      <c r="G648" s="8" t="s">
        <v>1925</v>
      </c>
      <c r="H648" s="8" t="s">
        <v>1925</v>
      </c>
    </row>
    <row r="649">
      <c r="A649" s="6" t="s">
        <v>8</v>
      </c>
      <c r="B649" s="6" t="s">
        <v>9</v>
      </c>
      <c r="C649" s="6" t="s">
        <v>1926</v>
      </c>
      <c r="D649" s="6" t="s">
        <v>1927</v>
      </c>
      <c r="E649" s="7">
        <v>44263.0</v>
      </c>
      <c r="F649" s="6" t="s">
        <v>12</v>
      </c>
      <c r="G649" s="8" t="s">
        <v>1928</v>
      </c>
      <c r="H649" s="8" t="s">
        <v>1928</v>
      </c>
    </row>
    <row r="650">
      <c r="A650" s="6" t="s">
        <v>8</v>
      </c>
      <c r="B650" s="6" t="s">
        <v>9</v>
      </c>
      <c r="C650" s="6" t="s">
        <v>1929</v>
      </c>
      <c r="D650" s="6" t="s">
        <v>1930</v>
      </c>
      <c r="E650" s="7">
        <v>44294.0</v>
      </c>
      <c r="F650" s="6" t="s">
        <v>12</v>
      </c>
      <c r="G650" s="8" t="s">
        <v>1931</v>
      </c>
      <c r="H650" s="8" t="s">
        <v>1931</v>
      </c>
    </row>
    <row r="651">
      <c r="A651" s="6" t="s">
        <v>8</v>
      </c>
      <c r="B651" s="6" t="s">
        <v>9</v>
      </c>
      <c r="C651" s="6" t="s">
        <v>1932</v>
      </c>
      <c r="D651" s="6" t="s">
        <v>1933</v>
      </c>
      <c r="E651" s="7">
        <v>44267.0</v>
      </c>
      <c r="F651" s="6" t="s">
        <v>12</v>
      </c>
      <c r="G651" s="8" t="s">
        <v>1934</v>
      </c>
      <c r="H651" s="8" t="s">
        <v>1934</v>
      </c>
    </row>
    <row r="652">
      <c r="A652" s="6" t="s">
        <v>8</v>
      </c>
      <c r="B652" s="6" t="s">
        <v>9</v>
      </c>
      <c r="C652" s="6" t="s">
        <v>1935</v>
      </c>
      <c r="D652" s="6" t="s">
        <v>1936</v>
      </c>
      <c r="E652" s="7">
        <v>44229.0</v>
      </c>
      <c r="F652" s="6" t="s">
        <v>12</v>
      </c>
      <c r="G652" s="8" t="s">
        <v>1937</v>
      </c>
      <c r="H652" s="8" t="s">
        <v>1937</v>
      </c>
    </row>
    <row r="653">
      <c r="A653" s="6" t="s">
        <v>8</v>
      </c>
      <c r="B653" s="6" t="s">
        <v>9</v>
      </c>
      <c r="C653" s="6" t="s">
        <v>1938</v>
      </c>
      <c r="D653" s="6" t="s">
        <v>1939</v>
      </c>
      <c r="E653" s="7">
        <v>44249.0</v>
      </c>
      <c r="F653" s="6" t="s">
        <v>12</v>
      </c>
      <c r="G653" s="8" t="s">
        <v>1940</v>
      </c>
      <c r="H653" s="8" t="s">
        <v>1940</v>
      </c>
    </row>
    <row r="654">
      <c r="A654" s="6" t="s">
        <v>8</v>
      </c>
      <c r="B654" s="6" t="s">
        <v>9</v>
      </c>
      <c r="C654" s="6" t="s">
        <v>1941</v>
      </c>
      <c r="D654" s="6" t="s">
        <v>1942</v>
      </c>
      <c r="E654" s="7">
        <v>44312.0</v>
      </c>
      <c r="F654" s="6" t="s">
        <v>12</v>
      </c>
      <c r="G654" s="8" t="s">
        <v>1943</v>
      </c>
      <c r="H654" s="8" t="s">
        <v>1943</v>
      </c>
    </row>
    <row r="655">
      <c r="A655" s="6" t="s">
        <v>8</v>
      </c>
      <c r="B655" s="6" t="s">
        <v>9</v>
      </c>
      <c r="C655" s="6" t="s">
        <v>1944</v>
      </c>
      <c r="D655" s="6" t="s">
        <v>1945</v>
      </c>
      <c r="E655" s="7">
        <v>44263.0</v>
      </c>
      <c r="F655" s="6" t="s">
        <v>12</v>
      </c>
      <c r="G655" s="8" t="s">
        <v>1946</v>
      </c>
      <c r="H655" s="8" t="s">
        <v>1946</v>
      </c>
    </row>
    <row r="656">
      <c r="A656" s="6" t="s">
        <v>8</v>
      </c>
      <c r="B656" s="6" t="s">
        <v>9</v>
      </c>
      <c r="C656" s="6" t="s">
        <v>1947</v>
      </c>
      <c r="D656" s="6" t="s">
        <v>1948</v>
      </c>
      <c r="E656" s="7">
        <v>44263.0</v>
      </c>
      <c r="F656" s="6" t="s">
        <v>12</v>
      </c>
      <c r="G656" s="8" t="s">
        <v>1949</v>
      </c>
      <c r="H656" s="8" t="s">
        <v>1949</v>
      </c>
    </row>
    <row r="657">
      <c r="A657" s="6" t="s">
        <v>8</v>
      </c>
      <c r="B657" s="6" t="s">
        <v>9</v>
      </c>
      <c r="C657" s="6" t="s">
        <v>1950</v>
      </c>
      <c r="D657" s="6" t="s">
        <v>1951</v>
      </c>
      <c r="E657" s="7">
        <v>44263.0</v>
      </c>
      <c r="F657" s="6" t="s">
        <v>12</v>
      </c>
      <c r="G657" s="8" t="s">
        <v>1952</v>
      </c>
      <c r="H657" s="8" t="s">
        <v>1952</v>
      </c>
    </row>
    <row r="658">
      <c r="A658" s="6" t="s">
        <v>8</v>
      </c>
      <c r="B658" s="6" t="s">
        <v>9</v>
      </c>
      <c r="C658" s="6" t="s">
        <v>1953</v>
      </c>
      <c r="D658" s="6" t="s">
        <v>1954</v>
      </c>
      <c r="E658" s="7">
        <v>44263.0</v>
      </c>
      <c r="F658" s="6" t="s">
        <v>12</v>
      </c>
      <c r="G658" s="8" t="s">
        <v>1955</v>
      </c>
      <c r="H658" s="8" t="s">
        <v>1955</v>
      </c>
    </row>
    <row r="659">
      <c r="A659" s="6" t="s">
        <v>8</v>
      </c>
      <c r="B659" s="6" t="s">
        <v>9</v>
      </c>
      <c r="C659" s="6" t="s">
        <v>1956</v>
      </c>
      <c r="D659" s="6" t="s">
        <v>1957</v>
      </c>
      <c r="E659" s="7">
        <v>44263.0</v>
      </c>
      <c r="F659" s="6" t="s">
        <v>12</v>
      </c>
      <c r="G659" s="8" t="s">
        <v>1958</v>
      </c>
      <c r="H659" s="8" t="s">
        <v>1958</v>
      </c>
    </row>
    <row r="660">
      <c r="A660" s="6" t="s">
        <v>8</v>
      </c>
      <c r="B660" s="6" t="s">
        <v>9</v>
      </c>
      <c r="C660" s="6" t="s">
        <v>1959</v>
      </c>
      <c r="D660" s="6" t="s">
        <v>1176</v>
      </c>
      <c r="E660" s="7">
        <v>44263.0</v>
      </c>
      <c r="F660" s="6" t="s">
        <v>12</v>
      </c>
      <c r="G660" s="8" t="s">
        <v>1960</v>
      </c>
      <c r="H660" s="8" t="s">
        <v>1960</v>
      </c>
    </row>
    <row r="661">
      <c r="A661" s="6" t="s">
        <v>8</v>
      </c>
      <c r="B661" s="6" t="s">
        <v>9</v>
      </c>
      <c r="C661" s="6" t="s">
        <v>1961</v>
      </c>
      <c r="D661" s="6" t="s">
        <v>1962</v>
      </c>
      <c r="E661" s="7">
        <v>44263.0</v>
      </c>
      <c r="F661" s="6" t="s">
        <v>12</v>
      </c>
      <c r="G661" s="8" t="s">
        <v>1963</v>
      </c>
      <c r="H661" s="8" t="s">
        <v>1963</v>
      </c>
    </row>
    <row r="662">
      <c r="A662" s="6" t="s">
        <v>8</v>
      </c>
      <c r="B662" s="6" t="s">
        <v>9</v>
      </c>
      <c r="C662" s="6" t="s">
        <v>1964</v>
      </c>
      <c r="D662" s="6" t="s">
        <v>1965</v>
      </c>
      <c r="E662" s="7">
        <v>44277.0</v>
      </c>
      <c r="F662" s="6" t="s">
        <v>12</v>
      </c>
      <c r="G662" s="8" t="s">
        <v>1966</v>
      </c>
      <c r="H662" s="8" t="s">
        <v>1966</v>
      </c>
    </row>
    <row r="663">
      <c r="A663" s="6" t="s">
        <v>8</v>
      </c>
      <c r="B663" s="6" t="s">
        <v>9</v>
      </c>
      <c r="C663" s="6" t="s">
        <v>1967</v>
      </c>
      <c r="D663" s="6" t="s">
        <v>1968</v>
      </c>
      <c r="E663" s="7">
        <v>44253.0</v>
      </c>
      <c r="F663" s="6" t="s">
        <v>12</v>
      </c>
      <c r="G663" s="8" t="s">
        <v>1969</v>
      </c>
      <c r="H663" s="8" t="s">
        <v>1969</v>
      </c>
    </row>
    <row r="664">
      <c r="A664" s="6" t="s">
        <v>8</v>
      </c>
      <c r="B664" s="6" t="s">
        <v>9</v>
      </c>
      <c r="C664" s="6" t="s">
        <v>1970</v>
      </c>
      <c r="D664" s="6" t="s">
        <v>1971</v>
      </c>
      <c r="E664" s="7">
        <v>44167.0</v>
      </c>
      <c r="F664" s="6" t="s">
        <v>12</v>
      </c>
      <c r="G664" s="8" t="s">
        <v>1972</v>
      </c>
      <c r="H664" s="8" t="s">
        <v>1972</v>
      </c>
    </row>
    <row r="665">
      <c r="A665" s="6" t="s">
        <v>8</v>
      </c>
      <c r="B665" s="6" t="s">
        <v>9</v>
      </c>
      <c r="C665" s="6" t="s">
        <v>1973</v>
      </c>
      <c r="D665" s="6" t="s">
        <v>1974</v>
      </c>
      <c r="E665" s="7">
        <v>44186.0</v>
      </c>
      <c r="F665" s="6" t="s">
        <v>12</v>
      </c>
      <c r="G665" s="8" t="s">
        <v>1975</v>
      </c>
      <c r="H665" s="8" t="s">
        <v>1975</v>
      </c>
    </row>
    <row r="666">
      <c r="A666" s="6" t="s">
        <v>8</v>
      </c>
      <c r="B666" s="6" t="s">
        <v>9</v>
      </c>
      <c r="C666" s="6" t="s">
        <v>1976</v>
      </c>
      <c r="D666" s="6" t="s">
        <v>1977</v>
      </c>
      <c r="E666" s="7">
        <v>44162.0</v>
      </c>
      <c r="F666" s="6" t="s">
        <v>12</v>
      </c>
      <c r="G666" s="8" t="s">
        <v>1978</v>
      </c>
      <c r="H666" s="8" t="s">
        <v>1978</v>
      </c>
    </row>
    <row r="667">
      <c r="A667" s="6" t="s">
        <v>8</v>
      </c>
      <c r="B667" s="6" t="s">
        <v>9</v>
      </c>
      <c r="C667" s="6" t="s">
        <v>1979</v>
      </c>
      <c r="D667" s="6" t="s">
        <v>1980</v>
      </c>
      <c r="E667" s="7">
        <v>44196.0</v>
      </c>
      <c r="F667" s="6" t="s">
        <v>12</v>
      </c>
      <c r="G667" s="8" t="s">
        <v>1981</v>
      </c>
      <c r="H667" s="8" t="s">
        <v>1981</v>
      </c>
    </row>
    <row r="668">
      <c r="A668" s="6" t="s">
        <v>8</v>
      </c>
      <c r="B668" s="6" t="s">
        <v>9</v>
      </c>
      <c r="C668" s="6" t="s">
        <v>1982</v>
      </c>
      <c r="D668" s="6" t="s">
        <v>1983</v>
      </c>
      <c r="E668" s="7">
        <v>44195.0</v>
      </c>
      <c r="F668" s="6" t="s">
        <v>12</v>
      </c>
      <c r="G668" s="8" t="s">
        <v>1984</v>
      </c>
      <c r="H668" s="8" t="s">
        <v>1984</v>
      </c>
    </row>
    <row r="669">
      <c r="A669" s="6" t="s">
        <v>8</v>
      </c>
      <c r="B669" s="6" t="s">
        <v>9</v>
      </c>
      <c r="C669" s="6" t="s">
        <v>1985</v>
      </c>
      <c r="D669" s="6" t="s">
        <v>1986</v>
      </c>
      <c r="E669" s="7">
        <v>44162.0</v>
      </c>
      <c r="F669" s="6" t="s">
        <v>12</v>
      </c>
      <c r="G669" s="8" t="s">
        <v>1987</v>
      </c>
      <c r="H669" s="8" t="s">
        <v>1987</v>
      </c>
    </row>
    <row r="670">
      <c r="A670" s="6" t="s">
        <v>8</v>
      </c>
      <c r="B670" s="6" t="s">
        <v>9</v>
      </c>
      <c r="C670" s="6" t="s">
        <v>1988</v>
      </c>
      <c r="D670" s="6" t="s">
        <v>1989</v>
      </c>
      <c r="E670" s="7">
        <v>44193.0</v>
      </c>
      <c r="F670" s="6" t="s">
        <v>12</v>
      </c>
      <c r="G670" s="8" t="s">
        <v>1990</v>
      </c>
      <c r="H670" s="8" t="s">
        <v>1990</v>
      </c>
    </row>
    <row r="671">
      <c r="A671" s="6" t="s">
        <v>8</v>
      </c>
      <c r="B671" s="6" t="s">
        <v>9</v>
      </c>
      <c r="C671" s="6" t="s">
        <v>1991</v>
      </c>
      <c r="D671" s="6" t="s">
        <v>1992</v>
      </c>
      <c r="E671" s="7">
        <v>44203.0</v>
      </c>
      <c r="F671" s="6" t="s">
        <v>12</v>
      </c>
      <c r="G671" s="8" t="s">
        <v>1993</v>
      </c>
      <c r="H671" s="8" t="s">
        <v>1993</v>
      </c>
    </row>
    <row r="672">
      <c r="A672" s="6" t="s">
        <v>8</v>
      </c>
      <c r="B672" s="6" t="s">
        <v>9</v>
      </c>
      <c r="C672" s="6" t="s">
        <v>1994</v>
      </c>
      <c r="D672" s="6" t="s">
        <v>1995</v>
      </c>
      <c r="E672" s="7">
        <v>44203.0</v>
      </c>
      <c r="F672" s="6" t="s">
        <v>12</v>
      </c>
      <c r="G672" s="8" t="s">
        <v>1996</v>
      </c>
      <c r="H672" s="8" t="s">
        <v>1996</v>
      </c>
    </row>
    <row r="673">
      <c r="A673" s="6" t="s">
        <v>8</v>
      </c>
      <c r="B673" s="6" t="s">
        <v>9</v>
      </c>
      <c r="C673" s="6" t="s">
        <v>1997</v>
      </c>
      <c r="D673" s="6" t="s">
        <v>1998</v>
      </c>
      <c r="E673" s="7">
        <v>44218.0</v>
      </c>
      <c r="F673" s="6" t="s">
        <v>12</v>
      </c>
      <c r="G673" s="8" t="s">
        <v>1999</v>
      </c>
      <c r="H673" s="8" t="s">
        <v>1999</v>
      </c>
    </row>
    <row r="674">
      <c r="A674" s="6" t="s">
        <v>8</v>
      </c>
      <c r="B674" s="6" t="s">
        <v>9</v>
      </c>
      <c r="C674" s="6" t="s">
        <v>2000</v>
      </c>
      <c r="D674" s="6" t="s">
        <v>2001</v>
      </c>
      <c r="E674" s="7">
        <v>44357.0</v>
      </c>
      <c r="F674" s="6" t="s">
        <v>12</v>
      </c>
      <c r="G674" s="8" t="s">
        <v>2002</v>
      </c>
      <c r="H674" s="8" t="s">
        <v>2002</v>
      </c>
    </row>
    <row r="675">
      <c r="A675" s="6" t="s">
        <v>8</v>
      </c>
      <c r="B675" s="6" t="s">
        <v>9</v>
      </c>
      <c r="C675" s="6" t="s">
        <v>2003</v>
      </c>
      <c r="D675" s="6" t="s">
        <v>2004</v>
      </c>
      <c r="E675" s="7">
        <v>44357.0</v>
      </c>
      <c r="F675" s="6" t="s">
        <v>12</v>
      </c>
      <c r="G675" s="8" t="s">
        <v>2005</v>
      </c>
      <c r="H675" s="8" t="s">
        <v>2005</v>
      </c>
    </row>
    <row r="676">
      <c r="A676" s="6" t="s">
        <v>8</v>
      </c>
      <c r="B676" s="6" t="s">
        <v>9</v>
      </c>
      <c r="C676" s="6" t="s">
        <v>2006</v>
      </c>
      <c r="D676" s="6" t="s">
        <v>2007</v>
      </c>
      <c r="E676" s="7">
        <v>44456.0</v>
      </c>
      <c r="F676" s="6" t="s">
        <v>12</v>
      </c>
      <c r="G676" s="8" t="s">
        <v>2008</v>
      </c>
      <c r="H676" s="8" t="s">
        <v>2008</v>
      </c>
    </row>
    <row r="677">
      <c r="A677" s="6" t="s">
        <v>8</v>
      </c>
      <c r="B677" s="6" t="s">
        <v>9</v>
      </c>
      <c r="C677" s="6" t="s">
        <v>2009</v>
      </c>
      <c r="D677" s="6" t="s">
        <v>2010</v>
      </c>
      <c r="E677" s="7">
        <v>44456.0</v>
      </c>
      <c r="F677" s="6" t="s">
        <v>12</v>
      </c>
      <c r="G677" s="8" t="s">
        <v>2011</v>
      </c>
      <c r="H677" s="8" t="s">
        <v>2011</v>
      </c>
    </row>
    <row r="678">
      <c r="A678" s="6" t="s">
        <v>8</v>
      </c>
      <c r="B678" s="6" t="s">
        <v>9</v>
      </c>
      <c r="C678" s="6" t="s">
        <v>2012</v>
      </c>
      <c r="D678" s="6" t="s">
        <v>2013</v>
      </c>
      <c r="E678" s="7">
        <v>44470.0</v>
      </c>
      <c r="F678" s="6" t="s">
        <v>12</v>
      </c>
      <c r="G678" s="8" t="s">
        <v>2014</v>
      </c>
      <c r="H678" s="8" t="s">
        <v>2014</v>
      </c>
    </row>
    <row r="679">
      <c r="A679" s="6" t="s">
        <v>8</v>
      </c>
      <c r="B679" s="6" t="s">
        <v>9</v>
      </c>
      <c r="C679" s="6" t="s">
        <v>2015</v>
      </c>
      <c r="D679" s="6" t="s">
        <v>2016</v>
      </c>
      <c r="E679" s="7">
        <v>44393.0</v>
      </c>
      <c r="F679" s="6" t="s">
        <v>12</v>
      </c>
      <c r="G679" s="8" t="s">
        <v>2017</v>
      </c>
      <c r="H679" s="8" t="s">
        <v>2017</v>
      </c>
    </row>
    <row r="680">
      <c r="A680" s="6" t="s">
        <v>8</v>
      </c>
      <c r="B680" s="6" t="s">
        <v>9</v>
      </c>
      <c r="C680" s="6" t="s">
        <v>2018</v>
      </c>
      <c r="D680" s="6" t="s">
        <v>2019</v>
      </c>
      <c r="E680" s="7">
        <v>44378.0</v>
      </c>
      <c r="F680" s="6" t="s">
        <v>12</v>
      </c>
      <c r="G680" s="8" t="s">
        <v>2020</v>
      </c>
      <c r="H680" s="8" t="s">
        <v>2020</v>
      </c>
    </row>
    <row r="681">
      <c r="A681" s="6" t="s">
        <v>8</v>
      </c>
      <c r="B681" s="6" t="s">
        <v>9</v>
      </c>
      <c r="C681" s="6" t="s">
        <v>2021</v>
      </c>
      <c r="D681" s="6" t="s">
        <v>2022</v>
      </c>
      <c r="E681" s="7">
        <v>44378.0</v>
      </c>
      <c r="F681" s="6" t="s">
        <v>12</v>
      </c>
      <c r="G681" s="8" t="s">
        <v>2023</v>
      </c>
      <c r="H681" s="8" t="s">
        <v>2023</v>
      </c>
    </row>
    <row r="682">
      <c r="A682" s="6" t="s">
        <v>8</v>
      </c>
      <c r="B682" s="6" t="s">
        <v>9</v>
      </c>
      <c r="C682" s="6" t="s">
        <v>2024</v>
      </c>
      <c r="D682" s="6" t="s">
        <v>2025</v>
      </c>
      <c r="E682" s="7">
        <v>44378.0</v>
      </c>
      <c r="F682" s="6" t="s">
        <v>12</v>
      </c>
      <c r="G682" s="8" t="s">
        <v>2026</v>
      </c>
      <c r="H682" s="8" t="s">
        <v>2026</v>
      </c>
    </row>
    <row r="683">
      <c r="A683" s="6" t="s">
        <v>8</v>
      </c>
      <c r="B683" s="6" t="s">
        <v>9</v>
      </c>
      <c r="C683" s="6" t="s">
        <v>2027</v>
      </c>
      <c r="D683" s="6" t="s">
        <v>228</v>
      </c>
      <c r="E683" s="7">
        <v>44378.0</v>
      </c>
      <c r="F683" s="6" t="s">
        <v>12</v>
      </c>
      <c r="G683" s="8" t="s">
        <v>2028</v>
      </c>
      <c r="H683" s="8" t="s">
        <v>2028</v>
      </c>
    </row>
    <row r="684">
      <c r="A684" s="6" t="s">
        <v>8</v>
      </c>
      <c r="B684" s="6" t="s">
        <v>9</v>
      </c>
      <c r="C684" s="6" t="s">
        <v>2029</v>
      </c>
      <c r="D684" s="6" t="s">
        <v>2030</v>
      </c>
      <c r="E684" s="7">
        <v>44375.0</v>
      </c>
      <c r="F684" s="6" t="s">
        <v>12</v>
      </c>
      <c r="G684" s="8" t="s">
        <v>2031</v>
      </c>
      <c r="H684" s="8" t="s">
        <v>2031</v>
      </c>
    </row>
    <row r="685">
      <c r="A685" s="6" t="s">
        <v>8</v>
      </c>
      <c r="B685" s="6" t="s">
        <v>9</v>
      </c>
      <c r="C685" s="6" t="s">
        <v>2032</v>
      </c>
      <c r="D685" s="6" t="s">
        <v>2033</v>
      </c>
      <c r="E685" s="7">
        <v>44385.0</v>
      </c>
      <c r="F685" s="6" t="s">
        <v>12</v>
      </c>
      <c r="G685" s="8" t="s">
        <v>2034</v>
      </c>
      <c r="H685" s="8" t="s">
        <v>2034</v>
      </c>
    </row>
    <row r="686">
      <c r="A686" s="6" t="s">
        <v>8</v>
      </c>
      <c r="B686" s="6" t="s">
        <v>9</v>
      </c>
      <c r="C686" s="6" t="s">
        <v>2035</v>
      </c>
      <c r="D686" s="6" t="s">
        <v>63</v>
      </c>
      <c r="E686" s="7">
        <v>44384.0</v>
      </c>
      <c r="F686" s="6" t="s">
        <v>12</v>
      </c>
      <c r="G686" s="8" t="s">
        <v>2036</v>
      </c>
      <c r="H686" s="8" t="s">
        <v>2036</v>
      </c>
    </row>
    <row r="687">
      <c r="A687" s="6" t="s">
        <v>8</v>
      </c>
      <c r="B687" s="6" t="s">
        <v>9</v>
      </c>
      <c r="C687" s="6" t="s">
        <v>2037</v>
      </c>
      <c r="D687" s="6" t="s">
        <v>2038</v>
      </c>
      <c r="E687" s="7">
        <v>44385.0</v>
      </c>
      <c r="F687" s="6" t="s">
        <v>12</v>
      </c>
      <c r="G687" s="8" t="s">
        <v>2039</v>
      </c>
      <c r="H687" s="8" t="s">
        <v>2039</v>
      </c>
    </row>
    <row r="688">
      <c r="A688" s="6" t="s">
        <v>8</v>
      </c>
      <c r="B688" s="6" t="s">
        <v>9</v>
      </c>
      <c r="C688" s="6" t="s">
        <v>2040</v>
      </c>
      <c r="D688" s="6" t="s">
        <v>2041</v>
      </c>
      <c r="E688" s="7">
        <v>44487.0</v>
      </c>
      <c r="F688" s="6" t="s">
        <v>12</v>
      </c>
      <c r="G688" s="8" t="s">
        <v>2042</v>
      </c>
      <c r="H688" s="8" t="s">
        <v>2042</v>
      </c>
    </row>
    <row r="689">
      <c r="A689" s="6" t="s">
        <v>8</v>
      </c>
      <c r="B689" s="6" t="s">
        <v>9</v>
      </c>
      <c r="C689" s="6" t="s">
        <v>2043</v>
      </c>
      <c r="D689" s="6" t="s">
        <v>2044</v>
      </c>
      <c r="E689" s="7">
        <v>44487.0</v>
      </c>
      <c r="F689" s="6" t="s">
        <v>12</v>
      </c>
      <c r="G689" s="8" t="s">
        <v>2045</v>
      </c>
      <c r="H689" s="8" t="s">
        <v>2045</v>
      </c>
    </row>
    <row r="690">
      <c r="A690" s="6" t="s">
        <v>8</v>
      </c>
      <c r="B690" s="6" t="s">
        <v>9</v>
      </c>
      <c r="C690" s="6" t="s">
        <v>2046</v>
      </c>
      <c r="D690" s="6" t="s">
        <v>2047</v>
      </c>
      <c r="E690" s="7">
        <v>44476.0</v>
      </c>
      <c r="F690" s="6" t="s">
        <v>12</v>
      </c>
      <c r="G690" s="8" t="s">
        <v>2048</v>
      </c>
      <c r="H690" s="8" t="s">
        <v>2048</v>
      </c>
    </row>
    <row r="691">
      <c r="A691" s="6" t="s">
        <v>8</v>
      </c>
      <c r="B691" s="6" t="s">
        <v>9</v>
      </c>
      <c r="C691" s="6" t="s">
        <v>2049</v>
      </c>
      <c r="D691" s="6" t="s">
        <v>2050</v>
      </c>
      <c r="E691" s="7">
        <v>44476.0</v>
      </c>
      <c r="F691" s="6" t="s">
        <v>12</v>
      </c>
      <c r="G691" s="8" t="s">
        <v>2051</v>
      </c>
      <c r="H691" s="8" t="s">
        <v>2051</v>
      </c>
    </row>
    <row r="692">
      <c r="A692" s="6" t="s">
        <v>8</v>
      </c>
      <c r="B692" s="6" t="s">
        <v>9</v>
      </c>
      <c r="C692" s="6" t="s">
        <v>2052</v>
      </c>
      <c r="D692" s="6" t="s">
        <v>2053</v>
      </c>
      <c r="E692" s="7">
        <v>44400.0</v>
      </c>
      <c r="F692" s="6" t="s">
        <v>12</v>
      </c>
      <c r="G692" s="8" t="s">
        <v>2054</v>
      </c>
      <c r="H692" s="8" t="s">
        <v>2054</v>
      </c>
    </row>
    <row r="693">
      <c r="A693" s="6" t="s">
        <v>8</v>
      </c>
      <c r="B693" s="6" t="s">
        <v>9</v>
      </c>
      <c r="C693" s="6" t="s">
        <v>2055</v>
      </c>
      <c r="D693" s="6" t="s">
        <v>2056</v>
      </c>
      <c r="E693" s="7">
        <v>44468.0</v>
      </c>
      <c r="F693" s="6" t="s">
        <v>12</v>
      </c>
      <c r="G693" s="8" t="s">
        <v>2057</v>
      </c>
      <c r="H693" s="8" t="s">
        <v>2057</v>
      </c>
    </row>
    <row r="694">
      <c r="A694" s="6" t="s">
        <v>8</v>
      </c>
      <c r="B694" s="6" t="s">
        <v>9</v>
      </c>
      <c r="C694" s="6" t="s">
        <v>2058</v>
      </c>
      <c r="D694" s="6" t="s">
        <v>2059</v>
      </c>
      <c r="E694" s="7">
        <v>44419.0</v>
      </c>
      <c r="F694" s="6" t="s">
        <v>12</v>
      </c>
      <c r="G694" s="8" t="s">
        <v>2060</v>
      </c>
      <c r="H694" s="8" t="s">
        <v>2060</v>
      </c>
    </row>
    <row r="695">
      <c r="A695" s="6" t="s">
        <v>8</v>
      </c>
      <c r="B695" s="6" t="s">
        <v>9</v>
      </c>
      <c r="C695" s="6" t="s">
        <v>2061</v>
      </c>
      <c r="D695" s="6" t="s">
        <v>2062</v>
      </c>
      <c r="E695" s="7">
        <v>44397.0</v>
      </c>
      <c r="F695" s="6" t="s">
        <v>12</v>
      </c>
      <c r="G695" s="8" t="s">
        <v>2063</v>
      </c>
      <c r="H695" s="8" t="s">
        <v>2063</v>
      </c>
    </row>
    <row r="696">
      <c r="A696" s="6" t="s">
        <v>8</v>
      </c>
      <c r="B696" s="6" t="s">
        <v>9</v>
      </c>
      <c r="C696" s="6" t="s">
        <v>2064</v>
      </c>
      <c r="D696" s="6" t="s">
        <v>2065</v>
      </c>
      <c r="E696" s="7">
        <v>44397.0</v>
      </c>
      <c r="F696" s="6" t="s">
        <v>12</v>
      </c>
      <c r="G696" s="8" t="s">
        <v>2066</v>
      </c>
      <c r="H696" s="8" t="s">
        <v>2066</v>
      </c>
    </row>
    <row r="697">
      <c r="A697" s="6" t="s">
        <v>8</v>
      </c>
      <c r="B697" s="6" t="s">
        <v>9</v>
      </c>
      <c r="C697" s="6" t="s">
        <v>2067</v>
      </c>
      <c r="D697" s="6" t="s">
        <v>2068</v>
      </c>
      <c r="E697" s="7">
        <v>44397.0</v>
      </c>
      <c r="F697" s="6" t="s">
        <v>12</v>
      </c>
      <c r="G697" s="8" t="s">
        <v>2069</v>
      </c>
      <c r="H697" s="8" t="s">
        <v>2069</v>
      </c>
    </row>
    <row r="698">
      <c r="A698" s="6" t="s">
        <v>8</v>
      </c>
      <c r="B698" s="6" t="s">
        <v>9</v>
      </c>
      <c r="C698" s="6" t="s">
        <v>2070</v>
      </c>
      <c r="D698" s="6" t="s">
        <v>2071</v>
      </c>
      <c r="E698" s="7">
        <v>44468.0</v>
      </c>
      <c r="F698" s="6" t="s">
        <v>12</v>
      </c>
      <c r="G698" s="8" t="s">
        <v>2072</v>
      </c>
      <c r="H698" s="8" t="s">
        <v>2072</v>
      </c>
    </row>
    <row r="699">
      <c r="A699" s="6" t="s">
        <v>8</v>
      </c>
      <c r="B699" s="6" t="s">
        <v>9</v>
      </c>
      <c r="C699" s="6" t="s">
        <v>2073</v>
      </c>
      <c r="D699" s="6" t="s">
        <v>2074</v>
      </c>
      <c r="E699" s="7">
        <v>44397.0</v>
      </c>
      <c r="F699" s="6" t="s">
        <v>12</v>
      </c>
      <c r="G699" s="8" t="s">
        <v>2075</v>
      </c>
      <c r="H699" s="8" t="s">
        <v>2075</v>
      </c>
    </row>
    <row r="700">
      <c r="A700" s="6" t="s">
        <v>8</v>
      </c>
      <c r="B700" s="6" t="s">
        <v>9</v>
      </c>
      <c r="C700" s="6" t="s">
        <v>2076</v>
      </c>
      <c r="D700" s="6" t="s">
        <v>2077</v>
      </c>
      <c r="E700" s="7">
        <v>44403.0</v>
      </c>
      <c r="F700" s="6" t="s">
        <v>12</v>
      </c>
      <c r="G700" s="8" t="s">
        <v>2078</v>
      </c>
      <c r="H700" s="8" t="s">
        <v>2078</v>
      </c>
    </row>
    <row r="701">
      <c r="A701" s="6" t="s">
        <v>8</v>
      </c>
      <c r="B701" s="6" t="s">
        <v>9</v>
      </c>
      <c r="C701" s="6" t="s">
        <v>2079</v>
      </c>
      <c r="D701" s="6" t="s">
        <v>2080</v>
      </c>
      <c r="E701" s="7">
        <v>44420.0</v>
      </c>
      <c r="F701" s="6" t="s">
        <v>12</v>
      </c>
      <c r="G701" s="8" t="s">
        <v>2081</v>
      </c>
      <c r="H701" s="8" t="s">
        <v>2081</v>
      </c>
    </row>
    <row r="702">
      <c r="A702" s="6" t="s">
        <v>8</v>
      </c>
      <c r="B702" s="6" t="s">
        <v>9</v>
      </c>
      <c r="C702" s="6" t="s">
        <v>2082</v>
      </c>
      <c r="D702" s="6" t="s">
        <v>2083</v>
      </c>
      <c r="E702" s="7">
        <v>44420.0</v>
      </c>
      <c r="F702" s="6" t="s">
        <v>12</v>
      </c>
      <c r="G702" s="8" t="s">
        <v>2084</v>
      </c>
      <c r="H702" s="8" t="s">
        <v>2084</v>
      </c>
    </row>
    <row r="703">
      <c r="A703" s="6" t="s">
        <v>8</v>
      </c>
      <c r="B703" s="6" t="s">
        <v>9</v>
      </c>
      <c r="C703" s="6" t="s">
        <v>2085</v>
      </c>
      <c r="D703" s="6" t="s">
        <v>2086</v>
      </c>
      <c r="E703" s="7">
        <v>44420.0</v>
      </c>
      <c r="F703" s="6" t="s">
        <v>12</v>
      </c>
      <c r="G703" s="8" t="s">
        <v>2087</v>
      </c>
      <c r="H703" s="8" t="s">
        <v>2087</v>
      </c>
    </row>
    <row r="704">
      <c r="A704" s="6" t="s">
        <v>8</v>
      </c>
      <c r="B704" s="6" t="s">
        <v>9</v>
      </c>
      <c r="C704" s="6" t="s">
        <v>2088</v>
      </c>
      <c r="D704" s="6" t="s">
        <v>2089</v>
      </c>
      <c r="E704" s="7">
        <v>44421.0</v>
      </c>
      <c r="F704" s="6" t="s">
        <v>12</v>
      </c>
      <c r="G704" s="8" t="s">
        <v>2090</v>
      </c>
      <c r="H704" s="8" t="s">
        <v>2090</v>
      </c>
    </row>
    <row r="705">
      <c r="A705" s="6" t="s">
        <v>8</v>
      </c>
      <c r="B705" s="6" t="s">
        <v>9</v>
      </c>
      <c r="C705" s="6" t="s">
        <v>2091</v>
      </c>
      <c r="D705" s="6" t="s">
        <v>2092</v>
      </c>
      <c r="E705" s="7">
        <v>44424.0</v>
      </c>
      <c r="F705" s="6" t="s">
        <v>12</v>
      </c>
      <c r="G705" s="8" t="s">
        <v>2093</v>
      </c>
      <c r="H705" s="8" t="s">
        <v>2093</v>
      </c>
    </row>
    <row r="706">
      <c r="A706" s="6" t="s">
        <v>8</v>
      </c>
      <c r="B706" s="6" t="s">
        <v>9</v>
      </c>
      <c r="C706" s="6" t="s">
        <v>2094</v>
      </c>
      <c r="D706" s="6" t="s">
        <v>2095</v>
      </c>
      <c r="E706" s="7">
        <v>44424.0</v>
      </c>
      <c r="F706" s="6" t="s">
        <v>12</v>
      </c>
      <c r="G706" s="8" t="s">
        <v>2096</v>
      </c>
      <c r="H706" s="8" t="s">
        <v>2096</v>
      </c>
    </row>
    <row r="707">
      <c r="A707" s="6" t="s">
        <v>8</v>
      </c>
      <c r="B707" s="6" t="s">
        <v>9</v>
      </c>
      <c r="C707" s="6" t="s">
        <v>2097</v>
      </c>
      <c r="D707" s="6" t="s">
        <v>2098</v>
      </c>
      <c r="E707" s="7">
        <v>44348.0</v>
      </c>
      <c r="F707" s="6" t="s">
        <v>12</v>
      </c>
      <c r="G707" s="8" t="s">
        <v>2099</v>
      </c>
      <c r="H707" s="8" t="s">
        <v>2099</v>
      </c>
    </row>
    <row r="708">
      <c r="A708" s="6" t="s">
        <v>8</v>
      </c>
      <c r="B708" s="6" t="s">
        <v>9</v>
      </c>
      <c r="C708" s="6" t="s">
        <v>2100</v>
      </c>
      <c r="D708" s="6" t="s">
        <v>2101</v>
      </c>
      <c r="E708" s="7">
        <v>44334.0</v>
      </c>
      <c r="F708" s="6" t="s">
        <v>12</v>
      </c>
      <c r="G708" s="8" t="s">
        <v>2102</v>
      </c>
      <c r="H708" s="8" t="s">
        <v>2102</v>
      </c>
    </row>
    <row r="709">
      <c r="A709" s="6" t="s">
        <v>8</v>
      </c>
      <c r="B709" s="6" t="s">
        <v>9</v>
      </c>
      <c r="C709" s="6" t="s">
        <v>2103</v>
      </c>
      <c r="D709" s="6" t="s">
        <v>2104</v>
      </c>
      <c r="E709" s="7">
        <v>44404.0</v>
      </c>
      <c r="F709" s="6" t="s">
        <v>12</v>
      </c>
      <c r="G709" s="8" t="s">
        <v>2105</v>
      </c>
      <c r="H709" s="8" t="s">
        <v>2105</v>
      </c>
    </row>
    <row r="710">
      <c r="A710" s="6" t="s">
        <v>8</v>
      </c>
      <c r="B710" s="6" t="s">
        <v>9</v>
      </c>
      <c r="C710" s="6" t="s">
        <v>2106</v>
      </c>
      <c r="D710" s="6" t="s">
        <v>2107</v>
      </c>
      <c r="E710" s="7">
        <v>44404.0</v>
      </c>
      <c r="F710" s="6" t="s">
        <v>12</v>
      </c>
      <c r="G710" s="8" t="s">
        <v>2108</v>
      </c>
      <c r="H710" s="8" t="s">
        <v>2108</v>
      </c>
    </row>
    <row r="711">
      <c r="A711" s="6" t="s">
        <v>8</v>
      </c>
      <c r="B711" s="6" t="s">
        <v>9</v>
      </c>
      <c r="C711" s="6" t="s">
        <v>2109</v>
      </c>
      <c r="D711" s="6" t="s">
        <v>2110</v>
      </c>
      <c r="E711" s="7">
        <v>44405.0</v>
      </c>
      <c r="F711" s="6" t="s">
        <v>12</v>
      </c>
      <c r="G711" s="8" t="s">
        <v>2111</v>
      </c>
      <c r="H711" s="8" t="s">
        <v>2111</v>
      </c>
    </row>
    <row r="712">
      <c r="A712" s="6" t="s">
        <v>8</v>
      </c>
      <c r="B712" s="6" t="s">
        <v>9</v>
      </c>
      <c r="C712" s="6" t="s">
        <v>2112</v>
      </c>
      <c r="D712" s="6" t="s">
        <v>2113</v>
      </c>
      <c r="E712" s="7">
        <v>44407.0</v>
      </c>
      <c r="F712" s="6" t="s">
        <v>12</v>
      </c>
      <c r="G712" s="8" t="s">
        <v>2114</v>
      </c>
      <c r="H712" s="8" t="s">
        <v>2114</v>
      </c>
    </row>
    <row r="713">
      <c r="A713" s="6" t="s">
        <v>8</v>
      </c>
      <c r="B713" s="6" t="s">
        <v>9</v>
      </c>
      <c r="C713" s="6" t="s">
        <v>2115</v>
      </c>
      <c r="D713" s="6" t="s">
        <v>2116</v>
      </c>
      <c r="E713" s="7">
        <v>44407.0</v>
      </c>
      <c r="F713" s="6" t="s">
        <v>12</v>
      </c>
      <c r="G713" s="8" t="s">
        <v>2117</v>
      </c>
      <c r="H713" s="8" t="s">
        <v>2117</v>
      </c>
    </row>
    <row r="714">
      <c r="A714" s="6" t="s">
        <v>8</v>
      </c>
      <c r="B714" s="6" t="s">
        <v>9</v>
      </c>
      <c r="C714" s="6" t="s">
        <v>2118</v>
      </c>
      <c r="D714" s="6" t="s">
        <v>2119</v>
      </c>
      <c r="E714" s="7">
        <v>44407.0</v>
      </c>
      <c r="F714" s="6" t="s">
        <v>12</v>
      </c>
      <c r="G714" s="8" t="s">
        <v>2120</v>
      </c>
      <c r="H714" s="8" t="s">
        <v>2120</v>
      </c>
    </row>
    <row r="715">
      <c r="A715" s="6" t="s">
        <v>8</v>
      </c>
      <c r="B715" s="6" t="s">
        <v>9</v>
      </c>
      <c r="C715" s="6" t="s">
        <v>2121</v>
      </c>
      <c r="D715" s="6" t="s">
        <v>1158</v>
      </c>
      <c r="E715" s="7">
        <v>44410.0</v>
      </c>
      <c r="F715" s="6" t="s">
        <v>12</v>
      </c>
      <c r="G715" s="8" t="s">
        <v>2122</v>
      </c>
      <c r="H715" s="8" t="s">
        <v>2122</v>
      </c>
    </row>
    <row r="716">
      <c r="A716" s="6" t="s">
        <v>8</v>
      </c>
      <c r="B716" s="6" t="s">
        <v>9</v>
      </c>
      <c r="C716" s="6" t="s">
        <v>2123</v>
      </c>
      <c r="D716" s="6" t="s">
        <v>1152</v>
      </c>
      <c r="E716" s="7">
        <v>44410.0</v>
      </c>
      <c r="F716" s="6" t="s">
        <v>12</v>
      </c>
      <c r="G716" s="8" t="s">
        <v>2124</v>
      </c>
      <c r="H716" s="8" t="s">
        <v>2124</v>
      </c>
    </row>
    <row r="717">
      <c r="A717" s="6" t="s">
        <v>8</v>
      </c>
      <c r="B717" s="6" t="s">
        <v>9</v>
      </c>
      <c r="C717" s="6" t="s">
        <v>2125</v>
      </c>
      <c r="D717" s="6" t="s">
        <v>2126</v>
      </c>
      <c r="E717" s="7">
        <v>44410.0</v>
      </c>
      <c r="F717" s="6" t="s">
        <v>12</v>
      </c>
      <c r="G717" s="8" t="s">
        <v>2127</v>
      </c>
      <c r="H717" s="8" t="s">
        <v>2127</v>
      </c>
    </row>
    <row r="718">
      <c r="A718" s="6" t="s">
        <v>8</v>
      </c>
      <c r="B718" s="6" t="s">
        <v>9</v>
      </c>
      <c r="C718" s="6" t="s">
        <v>2128</v>
      </c>
      <c r="D718" s="6" t="s">
        <v>2129</v>
      </c>
      <c r="E718" s="7">
        <v>44410.0</v>
      </c>
      <c r="F718" s="6" t="s">
        <v>12</v>
      </c>
      <c r="G718" s="8" t="s">
        <v>2130</v>
      </c>
      <c r="H718" s="8" t="s">
        <v>2130</v>
      </c>
    </row>
    <row r="719">
      <c r="A719" s="6" t="s">
        <v>8</v>
      </c>
      <c r="B719" s="6" t="s">
        <v>9</v>
      </c>
      <c r="C719" s="6" t="s">
        <v>2131</v>
      </c>
      <c r="D719" s="6" t="s">
        <v>661</v>
      </c>
      <c r="E719" s="7">
        <v>44410.0</v>
      </c>
      <c r="F719" s="6" t="s">
        <v>12</v>
      </c>
      <c r="G719" s="8" t="s">
        <v>2132</v>
      </c>
      <c r="H719" s="8" t="s">
        <v>2132</v>
      </c>
    </row>
    <row r="720">
      <c r="A720" s="6" t="s">
        <v>8</v>
      </c>
      <c r="B720" s="6" t="s">
        <v>9</v>
      </c>
      <c r="C720" s="6" t="s">
        <v>2133</v>
      </c>
      <c r="D720" s="6" t="s">
        <v>1149</v>
      </c>
      <c r="E720" s="7">
        <v>44467.0</v>
      </c>
      <c r="F720" s="6" t="s">
        <v>12</v>
      </c>
      <c r="G720" s="8" t="s">
        <v>2134</v>
      </c>
      <c r="H720" s="8" t="s">
        <v>2134</v>
      </c>
    </row>
    <row r="721">
      <c r="A721" s="6" t="s">
        <v>8</v>
      </c>
      <c r="B721" s="6" t="s">
        <v>9</v>
      </c>
      <c r="C721" s="6" t="s">
        <v>2135</v>
      </c>
      <c r="D721" s="6" t="s">
        <v>2136</v>
      </c>
      <c r="E721" s="7">
        <v>44467.0</v>
      </c>
      <c r="F721" s="6" t="s">
        <v>12</v>
      </c>
      <c r="G721" s="8" t="s">
        <v>2137</v>
      </c>
      <c r="H721" s="8" t="s">
        <v>2137</v>
      </c>
    </row>
    <row r="722">
      <c r="A722" s="6" t="s">
        <v>8</v>
      </c>
      <c r="B722" s="6" t="s">
        <v>9</v>
      </c>
      <c r="C722" s="6" t="s">
        <v>2138</v>
      </c>
      <c r="D722" s="6" t="s">
        <v>1738</v>
      </c>
      <c r="E722" s="7">
        <v>44467.0</v>
      </c>
      <c r="F722" s="6" t="s">
        <v>12</v>
      </c>
      <c r="G722" s="8" t="s">
        <v>2139</v>
      </c>
      <c r="H722" s="8" t="s">
        <v>2139</v>
      </c>
    </row>
    <row r="723">
      <c r="A723" s="6" t="s">
        <v>8</v>
      </c>
      <c r="B723" s="6" t="s">
        <v>9</v>
      </c>
      <c r="C723" s="6" t="s">
        <v>2140</v>
      </c>
      <c r="D723" s="6" t="s">
        <v>882</v>
      </c>
      <c r="E723" s="7">
        <v>44467.0</v>
      </c>
      <c r="F723" s="6" t="s">
        <v>12</v>
      </c>
      <c r="G723" s="8" t="s">
        <v>2141</v>
      </c>
      <c r="H723" s="8" t="s">
        <v>2141</v>
      </c>
    </row>
    <row r="724">
      <c r="A724" s="6" t="s">
        <v>8</v>
      </c>
      <c r="B724" s="6" t="s">
        <v>9</v>
      </c>
      <c r="C724" s="6" t="s">
        <v>2142</v>
      </c>
      <c r="D724" s="6" t="s">
        <v>2143</v>
      </c>
      <c r="E724" s="7">
        <v>44502.0</v>
      </c>
      <c r="F724" s="6" t="s">
        <v>12</v>
      </c>
      <c r="G724" s="8" t="s">
        <v>2144</v>
      </c>
      <c r="H724" s="8" t="s">
        <v>2144</v>
      </c>
    </row>
    <row r="725">
      <c r="A725" s="6" t="s">
        <v>8</v>
      </c>
      <c r="B725" s="6" t="s">
        <v>9</v>
      </c>
      <c r="C725" s="6" t="s">
        <v>2145</v>
      </c>
      <c r="D725" s="6" t="s">
        <v>2146</v>
      </c>
      <c r="E725" s="7">
        <v>44502.0</v>
      </c>
      <c r="F725" s="6" t="s">
        <v>12</v>
      </c>
      <c r="G725" s="8" t="s">
        <v>2147</v>
      </c>
      <c r="H725" s="8" t="s">
        <v>2147</v>
      </c>
    </row>
    <row r="726">
      <c r="A726" s="6" t="s">
        <v>8</v>
      </c>
      <c r="B726" s="6" t="s">
        <v>9</v>
      </c>
      <c r="C726" s="6" t="s">
        <v>2148</v>
      </c>
      <c r="D726" s="6" t="s">
        <v>2149</v>
      </c>
      <c r="E726" s="7">
        <v>44502.0</v>
      </c>
      <c r="F726" s="6" t="s">
        <v>12</v>
      </c>
      <c r="G726" s="8" t="s">
        <v>2150</v>
      </c>
      <c r="H726" s="8" t="s">
        <v>2150</v>
      </c>
    </row>
    <row r="727">
      <c r="A727" s="6" t="s">
        <v>8</v>
      </c>
      <c r="B727" s="6" t="s">
        <v>9</v>
      </c>
      <c r="C727" s="6" t="s">
        <v>2151</v>
      </c>
      <c r="D727" s="6" t="s">
        <v>2152</v>
      </c>
      <c r="E727" s="7">
        <v>44371.0</v>
      </c>
      <c r="F727" s="6" t="s">
        <v>12</v>
      </c>
      <c r="G727" s="8" t="s">
        <v>2153</v>
      </c>
      <c r="H727" s="8" t="s">
        <v>2153</v>
      </c>
    </row>
    <row r="728">
      <c r="A728" s="6" t="s">
        <v>8</v>
      </c>
      <c r="B728" s="6" t="s">
        <v>9</v>
      </c>
      <c r="C728" s="6" t="s">
        <v>2154</v>
      </c>
      <c r="D728" s="6" t="s">
        <v>2155</v>
      </c>
      <c r="E728" s="7">
        <v>44371.0</v>
      </c>
      <c r="F728" s="6" t="s">
        <v>12</v>
      </c>
      <c r="G728" s="8" t="s">
        <v>2156</v>
      </c>
      <c r="H728" s="8" t="s">
        <v>2156</v>
      </c>
    </row>
    <row r="729">
      <c r="A729" s="6" t="s">
        <v>8</v>
      </c>
      <c r="B729" s="6" t="s">
        <v>9</v>
      </c>
      <c r="C729" s="6" t="s">
        <v>2157</v>
      </c>
      <c r="D729" s="6" t="s">
        <v>2158</v>
      </c>
      <c r="E729" s="7">
        <v>44371.0</v>
      </c>
      <c r="F729" s="6" t="s">
        <v>12</v>
      </c>
      <c r="G729" s="8" t="s">
        <v>2159</v>
      </c>
      <c r="H729" s="8" t="s">
        <v>2159</v>
      </c>
    </row>
    <row r="730">
      <c r="A730" s="6" t="s">
        <v>8</v>
      </c>
      <c r="B730" s="6" t="s">
        <v>9</v>
      </c>
      <c r="C730" s="6" t="s">
        <v>2160</v>
      </c>
      <c r="D730" s="6" t="s">
        <v>2161</v>
      </c>
      <c r="E730" s="7">
        <v>44433.0</v>
      </c>
      <c r="F730" s="6" t="s">
        <v>12</v>
      </c>
      <c r="G730" s="8" t="s">
        <v>2162</v>
      </c>
      <c r="H730" s="8" t="s">
        <v>2162</v>
      </c>
    </row>
    <row r="731">
      <c r="A731" s="6" t="s">
        <v>8</v>
      </c>
      <c r="B731" s="6" t="s">
        <v>9</v>
      </c>
      <c r="C731" s="6" t="s">
        <v>2163</v>
      </c>
      <c r="D731" s="6" t="s">
        <v>2164</v>
      </c>
      <c r="E731" s="7">
        <v>44446.0</v>
      </c>
      <c r="F731" s="6" t="s">
        <v>12</v>
      </c>
      <c r="G731" s="8" t="s">
        <v>2165</v>
      </c>
      <c r="H731" s="8" t="s">
        <v>2165</v>
      </c>
    </row>
    <row r="732">
      <c r="A732" s="6" t="s">
        <v>8</v>
      </c>
      <c r="B732" s="6" t="s">
        <v>9</v>
      </c>
      <c r="C732" s="6" t="s">
        <v>2166</v>
      </c>
      <c r="D732" s="6" t="s">
        <v>2167</v>
      </c>
      <c r="E732" s="7">
        <v>44446.0</v>
      </c>
      <c r="F732" s="6" t="s">
        <v>12</v>
      </c>
      <c r="G732" s="8" t="s">
        <v>2168</v>
      </c>
      <c r="H732" s="8" t="s">
        <v>2168</v>
      </c>
    </row>
    <row r="733">
      <c r="A733" s="6" t="s">
        <v>8</v>
      </c>
      <c r="B733" s="6" t="s">
        <v>9</v>
      </c>
      <c r="C733" s="6" t="s">
        <v>2169</v>
      </c>
      <c r="D733" s="6" t="s">
        <v>2170</v>
      </c>
      <c r="E733" s="7">
        <v>44446.0</v>
      </c>
      <c r="F733" s="6" t="s">
        <v>12</v>
      </c>
      <c r="G733" s="8" t="s">
        <v>2171</v>
      </c>
      <c r="H733" s="8" t="s">
        <v>2171</v>
      </c>
    </row>
    <row r="734">
      <c r="A734" s="6" t="s">
        <v>8</v>
      </c>
      <c r="B734" s="6" t="s">
        <v>9</v>
      </c>
      <c r="C734" s="6" t="s">
        <v>2172</v>
      </c>
      <c r="D734" s="6" t="s">
        <v>2173</v>
      </c>
      <c r="E734" s="7">
        <v>44446.0</v>
      </c>
      <c r="F734" s="6" t="s">
        <v>12</v>
      </c>
      <c r="G734" s="8" t="s">
        <v>2174</v>
      </c>
      <c r="H734" s="8" t="s">
        <v>2174</v>
      </c>
    </row>
    <row r="735">
      <c r="A735" s="6" t="s">
        <v>8</v>
      </c>
      <c r="B735" s="6" t="s">
        <v>9</v>
      </c>
      <c r="C735" s="6" t="s">
        <v>2175</v>
      </c>
      <c r="D735" s="6" t="s">
        <v>2176</v>
      </c>
      <c r="E735" s="7">
        <v>44446.0</v>
      </c>
      <c r="F735" s="6" t="s">
        <v>12</v>
      </c>
      <c r="G735" s="8" t="s">
        <v>2177</v>
      </c>
      <c r="H735" s="8" t="s">
        <v>2177</v>
      </c>
    </row>
    <row r="736">
      <c r="A736" s="6" t="s">
        <v>8</v>
      </c>
      <c r="B736" s="6" t="s">
        <v>9</v>
      </c>
      <c r="C736" s="6" t="s">
        <v>2178</v>
      </c>
      <c r="D736" s="6" t="s">
        <v>2179</v>
      </c>
      <c r="E736" s="7">
        <v>44446.0</v>
      </c>
      <c r="F736" s="6" t="s">
        <v>12</v>
      </c>
      <c r="G736" s="8" t="s">
        <v>2180</v>
      </c>
      <c r="H736" s="8" t="s">
        <v>2180</v>
      </c>
    </row>
    <row r="737">
      <c r="A737" s="6" t="s">
        <v>8</v>
      </c>
      <c r="B737" s="6" t="s">
        <v>9</v>
      </c>
      <c r="C737" s="6" t="s">
        <v>2181</v>
      </c>
      <c r="D737" s="6" t="s">
        <v>2182</v>
      </c>
      <c r="E737" s="7">
        <v>44483.0</v>
      </c>
      <c r="F737" s="6" t="s">
        <v>12</v>
      </c>
      <c r="G737" s="8" t="s">
        <v>2183</v>
      </c>
      <c r="H737" s="8" t="s">
        <v>2183</v>
      </c>
    </row>
    <row r="738">
      <c r="A738" s="6" t="s">
        <v>8</v>
      </c>
      <c r="B738" s="6" t="s">
        <v>9</v>
      </c>
      <c r="C738" s="6" t="s">
        <v>2184</v>
      </c>
      <c r="D738" s="6" t="s">
        <v>2185</v>
      </c>
      <c r="E738" s="7">
        <v>44483.0</v>
      </c>
      <c r="F738" s="6" t="s">
        <v>12</v>
      </c>
      <c r="G738" s="8" t="s">
        <v>2186</v>
      </c>
      <c r="H738" s="8" t="s">
        <v>2186</v>
      </c>
    </row>
    <row r="739">
      <c r="A739" s="6" t="s">
        <v>8</v>
      </c>
      <c r="B739" s="6" t="s">
        <v>9</v>
      </c>
      <c r="C739" s="6" t="s">
        <v>2187</v>
      </c>
      <c r="D739" s="6" t="s">
        <v>2188</v>
      </c>
      <c r="E739" s="7">
        <v>44483.0</v>
      </c>
      <c r="F739" s="6" t="s">
        <v>12</v>
      </c>
      <c r="G739" s="8" t="s">
        <v>2189</v>
      </c>
      <c r="H739" s="8" t="s">
        <v>2189</v>
      </c>
    </row>
    <row r="740">
      <c r="A740" s="6" t="s">
        <v>8</v>
      </c>
      <c r="B740" s="6" t="s">
        <v>9</v>
      </c>
      <c r="C740" s="6" t="s">
        <v>2190</v>
      </c>
      <c r="D740" s="6" t="s">
        <v>2191</v>
      </c>
      <c r="E740" s="7">
        <v>44483.0</v>
      </c>
      <c r="F740" s="6" t="s">
        <v>12</v>
      </c>
      <c r="G740" s="8" t="s">
        <v>2192</v>
      </c>
      <c r="H740" s="8" t="s">
        <v>2192</v>
      </c>
    </row>
    <row r="741">
      <c r="A741" s="6" t="s">
        <v>8</v>
      </c>
      <c r="B741" s="6" t="s">
        <v>9</v>
      </c>
      <c r="C741" s="6" t="s">
        <v>2193</v>
      </c>
      <c r="D741" s="6" t="s">
        <v>2194</v>
      </c>
      <c r="E741" s="7">
        <v>44473.0</v>
      </c>
      <c r="F741" s="6" t="s">
        <v>12</v>
      </c>
      <c r="G741" s="8" t="s">
        <v>2195</v>
      </c>
      <c r="H741" s="8" t="s">
        <v>2195</v>
      </c>
    </row>
    <row r="742">
      <c r="A742" s="6" t="s">
        <v>8</v>
      </c>
      <c r="B742" s="6" t="s">
        <v>9</v>
      </c>
      <c r="C742" s="6" t="s">
        <v>2196</v>
      </c>
      <c r="D742" s="6" t="s">
        <v>2197</v>
      </c>
      <c r="E742" s="7">
        <v>44474.0</v>
      </c>
      <c r="F742" s="6" t="s">
        <v>12</v>
      </c>
      <c r="G742" s="8" t="s">
        <v>2198</v>
      </c>
      <c r="H742" s="8" t="s">
        <v>2198</v>
      </c>
    </row>
    <row r="743">
      <c r="A743" s="6" t="s">
        <v>8</v>
      </c>
      <c r="B743" s="6" t="s">
        <v>9</v>
      </c>
      <c r="C743" s="6" t="s">
        <v>2199</v>
      </c>
      <c r="D743" s="6" t="s">
        <v>2200</v>
      </c>
      <c r="E743" s="7">
        <v>44475.0</v>
      </c>
      <c r="F743" s="6" t="s">
        <v>12</v>
      </c>
      <c r="G743" s="8" t="s">
        <v>2201</v>
      </c>
      <c r="H743" s="8" t="s">
        <v>2201</v>
      </c>
    </row>
    <row r="744">
      <c r="A744" s="6" t="s">
        <v>8</v>
      </c>
      <c r="B744" s="6" t="s">
        <v>9</v>
      </c>
      <c r="C744" s="6" t="s">
        <v>2202</v>
      </c>
      <c r="D744" s="6" t="s">
        <v>2203</v>
      </c>
      <c r="E744" s="7">
        <v>44475.0</v>
      </c>
      <c r="F744" s="6" t="s">
        <v>12</v>
      </c>
      <c r="G744" s="8" t="s">
        <v>2204</v>
      </c>
      <c r="H744" s="8" t="s">
        <v>2204</v>
      </c>
    </row>
    <row r="745">
      <c r="A745" s="6" t="s">
        <v>8</v>
      </c>
      <c r="B745" s="6" t="s">
        <v>9</v>
      </c>
      <c r="C745" s="6" t="s">
        <v>2205</v>
      </c>
      <c r="D745" s="6" t="s">
        <v>2206</v>
      </c>
      <c r="E745" s="7">
        <v>44490.0</v>
      </c>
      <c r="F745" s="6" t="s">
        <v>12</v>
      </c>
      <c r="G745" s="8" t="s">
        <v>2207</v>
      </c>
      <c r="H745" s="8" t="s">
        <v>2207</v>
      </c>
    </row>
    <row r="746">
      <c r="A746" s="6" t="s">
        <v>8</v>
      </c>
      <c r="B746" s="6" t="s">
        <v>9</v>
      </c>
      <c r="C746" s="6" t="s">
        <v>2208</v>
      </c>
      <c r="D746" s="6" t="s">
        <v>2209</v>
      </c>
      <c r="E746" s="7">
        <v>44477.0</v>
      </c>
      <c r="F746" s="6" t="s">
        <v>12</v>
      </c>
      <c r="G746" s="8" t="s">
        <v>2210</v>
      </c>
      <c r="H746" s="8" t="s">
        <v>2210</v>
      </c>
    </row>
    <row r="747">
      <c r="A747" s="6" t="s">
        <v>8</v>
      </c>
      <c r="B747" s="6" t="s">
        <v>9</v>
      </c>
      <c r="C747" s="6" t="s">
        <v>2211</v>
      </c>
      <c r="D747" s="6" t="s">
        <v>2212</v>
      </c>
      <c r="E747" s="7">
        <v>44477.0</v>
      </c>
      <c r="F747" s="6" t="s">
        <v>12</v>
      </c>
      <c r="G747" s="8" t="s">
        <v>2213</v>
      </c>
      <c r="H747" s="8" t="s">
        <v>2213</v>
      </c>
    </row>
    <row r="748">
      <c r="A748" s="6" t="s">
        <v>8</v>
      </c>
      <c r="B748" s="6" t="s">
        <v>9</v>
      </c>
      <c r="C748" s="6" t="s">
        <v>2214</v>
      </c>
      <c r="D748" s="6" t="s">
        <v>2215</v>
      </c>
      <c r="E748" s="7">
        <v>44491.0</v>
      </c>
      <c r="F748" s="6" t="s">
        <v>12</v>
      </c>
      <c r="G748" s="8" t="s">
        <v>2216</v>
      </c>
      <c r="H748" s="8" t="s">
        <v>2216</v>
      </c>
    </row>
    <row r="749">
      <c r="A749" s="6" t="s">
        <v>8</v>
      </c>
      <c r="B749" s="6" t="s">
        <v>9</v>
      </c>
      <c r="C749" s="6" t="s">
        <v>2217</v>
      </c>
      <c r="D749" s="6" t="s">
        <v>2218</v>
      </c>
      <c r="E749" s="7">
        <v>44440.0</v>
      </c>
      <c r="F749" s="6" t="s">
        <v>12</v>
      </c>
      <c r="G749" s="8" t="s">
        <v>2219</v>
      </c>
      <c r="H749" s="8" t="s">
        <v>2219</v>
      </c>
    </row>
    <row r="750">
      <c r="A750" s="6" t="s">
        <v>8</v>
      </c>
      <c r="B750" s="6" t="s">
        <v>9</v>
      </c>
      <c r="C750" s="6" t="s">
        <v>2220</v>
      </c>
      <c r="D750" s="6" t="s">
        <v>2221</v>
      </c>
      <c r="E750" s="7">
        <v>44438.0</v>
      </c>
      <c r="F750" s="6" t="s">
        <v>12</v>
      </c>
      <c r="G750" s="8" t="s">
        <v>2222</v>
      </c>
      <c r="H750" s="8" t="s">
        <v>2222</v>
      </c>
    </row>
    <row r="751">
      <c r="A751" s="6" t="s">
        <v>8</v>
      </c>
      <c r="B751" s="6" t="s">
        <v>9</v>
      </c>
      <c r="C751" s="6" t="s">
        <v>2223</v>
      </c>
      <c r="D751" s="6" t="s">
        <v>2224</v>
      </c>
      <c r="E751" s="7">
        <v>44446.0</v>
      </c>
      <c r="F751" s="6" t="s">
        <v>12</v>
      </c>
      <c r="G751" s="8" t="s">
        <v>2225</v>
      </c>
      <c r="H751" s="8" t="s">
        <v>2225</v>
      </c>
    </row>
    <row r="752">
      <c r="A752" s="6" t="s">
        <v>8</v>
      </c>
      <c r="B752" s="6" t="s">
        <v>9</v>
      </c>
      <c r="C752" s="6" t="s">
        <v>2226</v>
      </c>
      <c r="D752" s="6" t="s">
        <v>2227</v>
      </c>
      <c r="E752" s="7">
        <v>44445.0</v>
      </c>
      <c r="F752" s="6" t="s">
        <v>12</v>
      </c>
      <c r="G752" s="8" t="s">
        <v>2228</v>
      </c>
      <c r="H752" s="8" t="s">
        <v>2228</v>
      </c>
    </row>
    <row r="753">
      <c r="A753" s="6" t="s">
        <v>8</v>
      </c>
      <c r="B753" s="6" t="s">
        <v>9</v>
      </c>
      <c r="C753" s="6" t="s">
        <v>2229</v>
      </c>
      <c r="D753" s="6" t="s">
        <v>2230</v>
      </c>
      <c r="E753" s="7">
        <v>44445.0</v>
      </c>
      <c r="F753" s="6" t="s">
        <v>12</v>
      </c>
      <c r="G753" s="8" t="s">
        <v>2231</v>
      </c>
      <c r="H753" s="8" t="s">
        <v>2231</v>
      </c>
    </row>
    <row r="754">
      <c r="A754" s="6" t="s">
        <v>8</v>
      </c>
      <c r="B754" s="6" t="s">
        <v>9</v>
      </c>
      <c r="C754" s="6" t="s">
        <v>2232</v>
      </c>
      <c r="D754" s="6" t="s">
        <v>2233</v>
      </c>
      <c r="E754" s="7">
        <v>44445.0</v>
      </c>
      <c r="F754" s="6" t="s">
        <v>12</v>
      </c>
      <c r="G754" s="8" t="s">
        <v>2234</v>
      </c>
      <c r="H754" s="8" t="s">
        <v>2234</v>
      </c>
    </row>
    <row r="755">
      <c r="A755" s="6" t="s">
        <v>8</v>
      </c>
      <c r="B755" s="6" t="s">
        <v>9</v>
      </c>
      <c r="C755" s="6" t="s">
        <v>2235</v>
      </c>
      <c r="D755" s="6" t="s">
        <v>2236</v>
      </c>
      <c r="E755" s="7">
        <v>44445.0</v>
      </c>
      <c r="F755" s="6" t="s">
        <v>12</v>
      </c>
      <c r="G755" s="8" t="s">
        <v>2237</v>
      </c>
      <c r="H755" s="8" t="s">
        <v>2237</v>
      </c>
    </row>
    <row r="756">
      <c r="A756" s="6" t="s">
        <v>8</v>
      </c>
      <c r="B756" s="6" t="s">
        <v>9</v>
      </c>
      <c r="C756" s="6" t="s">
        <v>2238</v>
      </c>
      <c r="D756" s="6" t="s">
        <v>2239</v>
      </c>
      <c r="E756" s="7">
        <v>44452.0</v>
      </c>
      <c r="F756" s="6" t="s">
        <v>12</v>
      </c>
      <c r="G756" s="8" t="s">
        <v>2240</v>
      </c>
      <c r="H756" s="8" t="s">
        <v>2240</v>
      </c>
    </row>
    <row r="757">
      <c r="A757" s="6" t="s">
        <v>8</v>
      </c>
      <c r="B757" s="6" t="s">
        <v>9</v>
      </c>
      <c r="C757" s="6" t="s">
        <v>2241</v>
      </c>
      <c r="D757" s="6" t="s">
        <v>2242</v>
      </c>
      <c r="E757" s="7">
        <v>44449.0</v>
      </c>
      <c r="F757" s="6" t="s">
        <v>12</v>
      </c>
      <c r="G757" s="8" t="s">
        <v>2243</v>
      </c>
      <c r="H757" s="8" t="s">
        <v>2243</v>
      </c>
    </row>
    <row r="758">
      <c r="A758" s="6" t="s">
        <v>8</v>
      </c>
      <c r="B758" s="6" t="s">
        <v>9</v>
      </c>
      <c r="C758" s="6" t="s">
        <v>2244</v>
      </c>
      <c r="D758" s="6" t="s">
        <v>2245</v>
      </c>
      <c r="E758" s="7">
        <v>44449.0</v>
      </c>
      <c r="F758" s="6" t="s">
        <v>12</v>
      </c>
      <c r="G758" s="8" t="s">
        <v>2246</v>
      </c>
      <c r="H758" s="8" t="s">
        <v>2246</v>
      </c>
    </row>
    <row r="759">
      <c r="A759" s="6" t="s">
        <v>8</v>
      </c>
      <c r="B759" s="6" t="s">
        <v>9</v>
      </c>
      <c r="C759" s="6" t="s">
        <v>2247</v>
      </c>
      <c r="D759" s="6" t="s">
        <v>2248</v>
      </c>
      <c r="E759" s="7">
        <v>44481.0</v>
      </c>
      <c r="F759" s="6" t="s">
        <v>12</v>
      </c>
      <c r="G759" s="8" t="s">
        <v>2249</v>
      </c>
      <c r="H759" s="8" t="s">
        <v>2249</v>
      </c>
    </row>
    <row r="760">
      <c r="A760" s="6" t="s">
        <v>8</v>
      </c>
      <c r="B760" s="6" t="s">
        <v>9</v>
      </c>
      <c r="C760" s="6" t="s">
        <v>2250</v>
      </c>
      <c r="D760" s="6" t="s">
        <v>2251</v>
      </c>
      <c r="E760" s="7">
        <v>44481.0</v>
      </c>
      <c r="F760" s="6" t="s">
        <v>12</v>
      </c>
      <c r="G760" s="8" t="s">
        <v>2252</v>
      </c>
      <c r="H760" s="8" t="s">
        <v>2252</v>
      </c>
    </row>
    <row r="761">
      <c r="A761" s="6" t="s">
        <v>8</v>
      </c>
      <c r="B761" s="6" t="s">
        <v>9</v>
      </c>
      <c r="C761" s="6" t="s">
        <v>2253</v>
      </c>
      <c r="D761" s="6" t="s">
        <v>2254</v>
      </c>
      <c r="E761" s="7">
        <v>44453.0</v>
      </c>
      <c r="F761" s="6" t="s">
        <v>12</v>
      </c>
      <c r="G761" s="8" t="s">
        <v>2255</v>
      </c>
      <c r="H761" s="8" t="s">
        <v>2255</v>
      </c>
    </row>
    <row r="762">
      <c r="A762" s="6" t="s">
        <v>8</v>
      </c>
      <c r="B762" s="6" t="s">
        <v>9</v>
      </c>
      <c r="C762" s="6" t="s">
        <v>2256</v>
      </c>
      <c r="D762" s="6" t="s">
        <v>2257</v>
      </c>
      <c r="E762" s="7">
        <v>44452.0</v>
      </c>
      <c r="F762" s="6" t="s">
        <v>12</v>
      </c>
      <c r="G762" s="8" t="s">
        <v>2258</v>
      </c>
      <c r="H762" s="8" t="s">
        <v>2258</v>
      </c>
    </row>
    <row r="763">
      <c r="A763" s="6" t="s">
        <v>8</v>
      </c>
      <c r="B763" s="6" t="s">
        <v>9</v>
      </c>
      <c r="C763" s="6" t="s">
        <v>2259</v>
      </c>
      <c r="D763" s="6" t="s">
        <v>2260</v>
      </c>
      <c r="E763" s="7">
        <v>44502.0</v>
      </c>
      <c r="F763" s="6" t="s">
        <v>12</v>
      </c>
      <c r="G763" s="8" t="s">
        <v>2261</v>
      </c>
      <c r="H763" s="8" t="s">
        <v>2261</v>
      </c>
    </row>
    <row r="764">
      <c r="A764" s="6" t="s">
        <v>8</v>
      </c>
      <c r="B764" s="6" t="s">
        <v>9</v>
      </c>
      <c r="C764" s="6" t="s">
        <v>2262</v>
      </c>
      <c r="D764" s="6" t="s">
        <v>1161</v>
      </c>
      <c r="E764" s="7">
        <v>44502.0</v>
      </c>
      <c r="F764" s="6" t="s">
        <v>12</v>
      </c>
      <c r="G764" s="8" t="s">
        <v>2263</v>
      </c>
      <c r="H764" s="8" t="s">
        <v>2263</v>
      </c>
    </row>
    <row r="765">
      <c r="A765" s="6" t="s">
        <v>8</v>
      </c>
      <c r="B765" s="6" t="s">
        <v>9</v>
      </c>
      <c r="C765" s="6" t="s">
        <v>2264</v>
      </c>
      <c r="D765" s="6" t="s">
        <v>1143</v>
      </c>
      <c r="E765" s="7">
        <v>44502.0</v>
      </c>
      <c r="F765" s="6" t="s">
        <v>12</v>
      </c>
      <c r="G765" s="8" t="s">
        <v>2265</v>
      </c>
      <c r="H765" s="8" t="s">
        <v>2265</v>
      </c>
    </row>
    <row r="766">
      <c r="A766" s="6" t="s">
        <v>8</v>
      </c>
      <c r="B766" s="6" t="s">
        <v>9</v>
      </c>
      <c r="C766" s="6" t="s">
        <v>2266</v>
      </c>
      <c r="D766" s="6" t="s">
        <v>2267</v>
      </c>
      <c r="E766" s="7">
        <v>44502.0</v>
      </c>
      <c r="F766" s="6" t="s">
        <v>12</v>
      </c>
      <c r="G766" s="8" t="s">
        <v>2268</v>
      </c>
      <c r="H766" s="8" t="s">
        <v>2268</v>
      </c>
    </row>
    <row r="767">
      <c r="A767" s="6" t="s">
        <v>8</v>
      </c>
      <c r="B767" s="6" t="s">
        <v>9</v>
      </c>
      <c r="C767" s="6" t="s">
        <v>2269</v>
      </c>
      <c r="D767" s="6" t="s">
        <v>1140</v>
      </c>
      <c r="E767" s="7">
        <v>44502.0</v>
      </c>
      <c r="F767" s="6" t="s">
        <v>12</v>
      </c>
      <c r="G767" s="8" t="s">
        <v>2270</v>
      </c>
      <c r="H767" s="8" t="s">
        <v>2270</v>
      </c>
    </row>
    <row r="768">
      <c r="A768" s="6" t="s">
        <v>8</v>
      </c>
      <c r="B768" s="6" t="s">
        <v>9</v>
      </c>
      <c r="C768" s="6" t="s">
        <v>2271</v>
      </c>
      <c r="D768" s="6" t="s">
        <v>2272</v>
      </c>
      <c r="E768" s="7">
        <v>44502.0</v>
      </c>
      <c r="F768" s="6" t="s">
        <v>12</v>
      </c>
      <c r="G768" s="8" t="s">
        <v>2273</v>
      </c>
      <c r="H768" s="8" t="s">
        <v>2273</v>
      </c>
    </row>
    <row r="769">
      <c r="A769" s="6" t="s">
        <v>8</v>
      </c>
      <c r="B769" s="6" t="s">
        <v>9</v>
      </c>
      <c r="C769" s="6" t="s">
        <v>2274</v>
      </c>
      <c r="D769" s="6" t="s">
        <v>2275</v>
      </c>
      <c r="E769" s="7">
        <v>44502.0</v>
      </c>
      <c r="F769" s="6" t="s">
        <v>12</v>
      </c>
      <c r="G769" s="8" t="s">
        <v>2276</v>
      </c>
      <c r="H769" s="8" t="s">
        <v>2276</v>
      </c>
    </row>
    <row r="770">
      <c r="A770" s="6" t="s">
        <v>8</v>
      </c>
      <c r="B770" s="6" t="s">
        <v>9</v>
      </c>
      <c r="C770" s="6" t="s">
        <v>2277</v>
      </c>
      <c r="D770" s="6" t="s">
        <v>2278</v>
      </c>
      <c r="E770" s="7">
        <v>44494.0</v>
      </c>
      <c r="F770" s="6" t="s">
        <v>12</v>
      </c>
      <c r="G770" s="8" t="s">
        <v>2279</v>
      </c>
      <c r="H770" s="8" t="s">
        <v>2279</v>
      </c>
    </row>
    <row r="771">
      <c r="A771" s="6" t="s">
        <v>8</v>
      </c>
      <c r="B771" s="6" t="s">
        <v>9</v>
      </c>
      <c r="C771" s="6" t="s">
        <v>2280</v>
      </c>
      <c r="D771" s="6" t="s">
        <v>2281</v>
      </c>
      <c r="E771" s="7">
        <v>44496.0</v>
      </c>
      <c r="F771" s="6" t="s">
        <v>12</v>
      </c>
      <c r="G771" s="8" t="s">
        <v>2282</v>
      </c>
      <c r="H771" s="8" t="s">
        <v>2282</v>
      </c>
    </row>
    <row r="772">
      <c r="A772" s="6" t="s">
        <v>8</v>
      </c>
      <c r="B772" s="6" t="s">
        <v>9</v>
      </c>
      <c r="C772" s="6" t="s">
        <v>2283</v>
      </c>
      <c r="D772" s="6" t="s">
        <v>2284</v>
      </c>
      <c r="E772" s="7">
        <v>44498.0</v>
      </c>
      <c r="F772" s="6" t="s">
        <v>12</v>
      </c>
      <c r="G772" s="8" t="s">
        <v>2285</v>
      </c>
      <c r="H772" s="8" t="s">
        <v>2285</v>
      </c>
    </row>
    <row r="773">
      <c r="A773" s="6" t="s">
        <v>8</v>
      </c>
      <c r="B773" s="6" t="s">
        <v>9</v>
      </c>
      <c r="C773" s="6" t="s">
        <v>2286</v>
      </c>
      <c r="D773" s="6" t="s">
        <v>2287</v>
      </c>
      <c r="E773" s="7">
        <v>44496.0</v>
      </c>
      <c r="F773" s="6" t="s">
        <v>12</v>
      </c>
      <c r="G773" s="8" t="s">
        <v>2288</v>
      </c>
      <c r="H773" s="8" t="s">
        <v>2288</v>
      </c>
    </row>
    <row r="774">
      <c r="A774" s="6" t="s">
        <v>8</v>
      </c>
      <c r="B774" s="6" t="s">
        <v>9</v>
      </c>
      <c r="C774" s="6" t="s">
        <v>2289</v>
      </c>
      <c r="D774" s="6" t="s">
        <v>2290</v>
      </c>
      <c r="E774" s="7">
        <v>44337.0</v>
      </c>
      <c r="F774" s="6" t="s">
        <v>12</v>
      </c>
      <c r="G774" s="8" t="s">
        <v>2291</v>
      </c>
      <c r="H774" s="8" t="s">
        <v>2291</v>
      </c>
    </row>
    <row r="775">
      <c r="A775" s="6" t="s">
        <v>8</v>
      </c>
      <c r="B775" s="6" t="s">
        <v>9</v>
      </c>
      <c r="C775" s="6" t="s">
        <v>2292</v>
      </c>
      <c r="D775" s="6" t="s">
        <v>2293</v>
      </c>
      <c r="E775" s="7">
        <v>44342.0</v>
      </c>
      <c r="F775" s="6" t="s">
        <v>12</v>
      </c>
      <c r="G775" s="8" t="s">
        <v>2294</v>
      </c>
      <c r="H775" s="8" t="s">
        <v>2294</v>
      </c>
    </row>
    <row r="776">
      <c r="A776" s="6" t="s">
        <v>8</v>
      </c>
      <c r="B776" s="6" t="s">
        <v>9</v>
      </c>
      <c r="C776" s="6" t="s">
        <v>2295</v>
      </c>
      <c r="D776" s="6" t="s">
        <v>2296</v>
      </c>
      <c r="E776" s="7">
        <v>44344.0</v>
      </c>
      <c r="F776" s="6" t="s">
        <v>12</v>
      </c>
      <c r="G776" s="8" t="s">
        <v>2297</v>
      </c>
      <c r="H776" s="8" t="s">
        <v>2297</v>
      </c>
    </row>
    <row r="777">
      <c r="A777" s="6" t="s">
        <v>8</v>
      </c>
      <c r="B777" s="6" t="s">
        <v>9</v>
      </c>
      <c r="C777" s="6" t="s">
        <v>2298</v>
      </c>
      <c r="D777" s="6" t="s">
        <v>2299</v>
      </c>
      <c r="E777" s="7">
        <v>44473.0</v>
      </c>
      <c r="F777" s="6" t="s">
        <v>12</v>
      </c>
      <c r="G777" s="8" t="s">
        <v>2300</v>
      </c>
      <c r="H777" s="8" t="s">
        <v>2300</v>
      </c>
    </row>
    <row r="778">
      <c r="A778" s="6" t="s">
        <v>8</v>
      </c>
      <c r="B778" s="6" t="s">
        <v>9</v>
      </c>
      <c r="C778" s="6" t="s">
        <v>2301</v>
      </c>
      <c r="D778" s="6" t="s">
        <v>2302</v>
      </c>
      <c r="E778" s="7">
        <v>44351.0</v>
      </c>
      <c r="F778" s="6" t="s">
        <v>12</v>
      </c>
      <c r="G778" s="8" t="s">
        <v>2303</v>
      </c>
      <c r="H778" s="8" t="s">
        <v>2303</v>
      </c>
    </row>
    <row r="779">
      <c r="A779" s="6" t="s">
        <v>8</v>
      </c>
      <c r="B779" s="6" t="s">
        <v>9</v>
      </c>
      <c r="C779" s="6" t="s">
        <v>2304</v>
      </c>
      <c r="D779" s="6" t="s">
        <v>2136</v>
      </c>
      <c r="E779" s="7">
        <v>44351.0</v>
      </c>
      <c r="F779" s="6" t="s">
        <v>12</v>
      </c>
      <c r="G779" s="8" t="s">
        <v>2305</v>
      </c>
      <c r="H779" s="8" t="s">
        <v>2305</v>
      </c>
    </row>
    <row r="780">
      <c r="A780" s="6" t="s">
        <v>8</v>
      </c>
      <c r="B780" s="6" t="s">
        <v>9</v>
      </c>
      <c r="C780" s="6" t="s">
        <v>2306</v>
      </c>
      <c r="D780" s="6" t="s">
        <v>1084</v>
      </c>
      <c r="E780" s="7">
        <v>44351.0</v>
      </c>
      <c r="F780" s="6" t="s">
        <v>12</v>
      </c>
      <c r="G780" s="8" t="s">
        <v>2307</v>
      </c>
      <c r="H780" s="8" t="s">
        <v>2307</v>
      </c>
    </row>
    <row r="781">
      <c r="A781" s="6" t="s">
        <v>8</v>
      </c>
      <c r="B781" s="6" t="s">
        <v>9</v>
      </c>
      <c r="C781" s="6" t="s">
        <v>2308</v>
      </c>
      <c r="D781" s="6" t="s">
        <v>2275</v>
      </c>
      <c r="E781" s="7">
        <v>44351.0</v>
      </c>
      <c r="F781" s="6" t="s">
        <v>12</v>
      </c>
      <c r="G781" s="8" t="s">
        <v>2309</v>
      </c>
      <c r="H781" s="8" t="s">
        <v>2309</v>
      </c>
    </row>
    <row r="782">
      <c r="A782" s="6" t="s">
        <v>8</v>
      </c>
      <c r="B782" s="6" t="s">
        <v>9</v>
      </c>
      <c r="C782" s="6" t="s">
        <v>2310</v>
      </c>
      <c r="D782" s="6" t="s">
        <v>2311</v>
      </c>
      <c r="E782" s="7">
        <v>44351.0</v>
      </c>
      <c r="F782" s="6" t="s">
        <v>12</v>
      </c>
      <c r="G782" s="8" t="s">
        <v>2312</v>
      </c>
      <c r="H782" s="8" t="s">
        <v>2312</v>
      </c>
    </row>
    <row r="783">
      <c r="A783" s="6" t="s">
        <v>8</v>
      </c>
      <c r="B783" s="6" t="s">
        <v>9</v>
      </c>
      <c r="C783" s="6" t="s">
        <v>2313</v>
      </c>
      <c r="D783" s="6" t="s">
        <v>1631</v>
      </c>
      <c r="E783" s="7">
        <v>44351.0</v>
      </c>
      <c r="F783" s="6" t="s">
        <v>12</v>
      </c>
      <c r="G783" s="8" t="s">
        <v>2314</v>
      </c>
      <c r="H783" s="8" t="s">
        <v>2314</v>
      </c>
    </row>
    <row r="784">
      <c r="A784" s="6" t="s">
        <v>8</v>
      </c>
      <c r="B784" s="6" t="s">
        <v>9</v>
      </c>
      <c r="C784" s="6" t="s">
        <v>2315</v>
      </c>
      <c r="D784" s="6" t="s">
        <v>2316</v>
      </c>
      <c r="E784" s="7">
        <v>44351.0</v>
      </c>
      <c r="F784" s="6" t="s">
        <v>12</v>
      </c>
      <c r="G784" s="8" t="s">
        <v>2317</v>
      </c>
      <c r="H784" s="8" t="s">
        <v>2317</v>
      </c>
    </row>
    <row r="785">
      <c r="A785" s="6" t="s">
        <v>8</v>
      </c>
      <c r="B785" s="6" t="s">
        <v>9</v>
      </c>
      <c r="C785" s="6" t="s">
        <v>2318</v>
      </c>
      <c r="D785" s="6" t="s">
        <v>2319</v>
      </c>
      <c r="E785" s="7">
        <v>44351.0</v>
      </c>
      <c r="F785" s="6" t="s">
        <v>12</v>
      </c>
      <c r="G785" s="8" t="s">
        <v>2320</v>
      </c>
      <c r="H785" s="8" t="s">
        <v>2320</v>
      </c>
    </row>
    <row r="786">
      <c r="A786" s="6" t="s">
        <v>8</v>
      </c>
      <c r="B786" s="6" t="s">
        <v>9</v>
      </c>
      <c r="C786" s="6" t="s">
        <v>2321</v>
      </c>
      <c r="D786" s="6" t="s">
        <v>2322</v>
      </c>
      <c r="E786" s="7">
        <v>44382.0</v>
      </c>
      <c r="F786" s="6" t="s">
        <v>12</v>
      </c>
      <c r="G786" s="8" t="s">
        <v>2323</v>
      </c>
      <c r="H786" s="8" t="s">
        <v>2323</v>
      </c>
    </row>
    <row r="787">
      <c r="A787" s="6" t="s">
        <v>8</v>
      </c>
      <c r="B787" s="6" t="s">
        <v>9</v>
      </c>
      <c r="C787" s="6" t="s">
        <v>2324</v>
      </c>
      <c r="D787" s="6" t="s">
        <v>2325</v>
      </c>
      <c r="E787" s="7">
        <v>44382.0</v>
      </c>
      <c r="F787" s="6" t="s">
        <v>12</v>
      </c>
      <c r="G787" s="8" t="s">
        <v>2326</v>
      </c>
      <c r="H787" s="8" t="s">
        <v>2326</v>
      </c>
    </row>
    <row r="788">
      <c r="A788" s="6" t="s">
        <v>8</v>
      </c>
      <c r="B788" s="6" t="s">
        <v>9</v>
      </c>
      <c r="C788" s="6" t="s">
        <v>2327</v>
      </c>
      <c r="D788" s="6" t="s">
        <v>2328</v>
      </c>
      <c r="E788" s="7">
        <v>44382.0</v>
      </c>
      <c r="F788" s="6" t="s">
        <v>12</v>
      </c>
      <c r="G788" s="8" t="s">
        <v>2329</v>
      </c>
      <c r="H788" s="8" t="s">
        <v>2329</v>
      </c>
    </row>
    <row r="789">
      <c r="A789" s="6" t="s">
        <v>8</v>
      </c>
      <c r="B789" s="6" t="s">
        <v>9</v>
      </c>
      <c r="C789" s="6" t="s">
        <v>2330</v>
      </c>
      <c r="D789" s="6" t="s">
        <v>2331</v>
      </c>
      <c r="E789" s="7">
        <v>44334.0</v>
      </c>
      <c r="F789" s="6" t="s">
        <v>12</v>
      </c>
      <c r="G789" s="8" t="s">
        <v>2332</v>
      </c>
      <c r="H789" s="8" t="s">
        <v>2332</v>
      </c>
    </row>
    <row r="790">
      <c r="A790" s="6" t="s">
        <v>8</v>
      </c>
      <c r="B790" s="6" t="s">
        <v>9</v>
      </c>
      <c r="C790" s="6" t="s">
        <v>2333</v>
      </c>
      <c r="D790" s="6" t="s">
        <v>2334</v>
      </c>
      <c r="E790" s="7">
        <v>44334.0</v>
      </c>
      <c r="F790" s="6" t="s">
        <v>12</v>
      </c>
      <c r="G790" s="8" t="s">
        <v>2335</v>
      </c>
      <c r="H790" s="8" t="s">
        <v>2335</v>
      </c>
    </row>
    <row r="791">
      <c r="A791" s="6" t="s">
        <v>8</v>
      </c>
      <c r="B791" s="6" t="s">
        <v>9</v>
      </c>
      <c r="C791" s="6" t="s">
        <v>2336</v>
      </c>
      <c r="D791" s="6" t="s">
        <v>2337</v>
      </c>
      <c r="E791" s="7">
        <v>44351.0</v>
      </c>
      <c r="F791" s="6" t="s">
        <v>12</v>
      </c>
      <c r="G791" s="8" t="s">
        <v>2338</v>
      </c>
      <c r="H791" s="8" t="s">
        <v>2338</v>
      </c>
    </row>
    <row r="792">
      <c r="A792" s="6" t="s">
        <v>8</v>
      </c>
      <c r="B792" s="6" t="s">
        <v>9</v>
      </c>
      <c r="C792" s="6" t="s">
        <v>2339</v>
      </c>
      <c r="D792" s="6" t="s">
        <v>2340</v>
      </c>
      <c r="E792" s="7">
        <v>44351.0</v>
      </c>
      <c r="F792" s="6" t="s">
        <v>12</v>
      </c>
      <c r="G792" s="8" t="s">
        <v>2341</v>
      </c>
      <c r="H792" s="8" t="s">
        <v>2341</v>
      </c>
    </row>
    <row r="793">
      <c r="A793" s="6" t="s">
        <v>8</v>
      </c>
      <c r="B793" s="6" t="s">
        <v>9</v>
      </c>
      <c r="C793" s="6" t="s">
        <v>2342</v>
      </c>
      <c r="D793" s="6" t="s">
        <v>1628</v>
      </c>
      <c r="E793" s="7">
        <v>44351.0</v>
      </c>
      <c r="F793" s="6" t="s">
        <v>12</v>
      </c>
      <c r="G793" s="8" t="s">
        <v>2343</v>
      </c>
      <c r="H793" s="8" t="s">
        <v>2343</v>
      </c>
    </row>
    <row r="794">
      <c r="A794" s="6" t="s">
        <v>8</v>
      </c>
      <c r="B794" s="6" t="s">
        <v>9</v>
      </c>
      <c r="C794" s="6" t="s">
        <v>2344</v>
      </c>
      <c r="D794" s="6" t="s">
        <v>2345</v>
      </c>
      <c r="E794" s="7">
        <v>44351.0</v>
      </c>
      <c r="F794" s="6" t="s">
        <v>12</v>
      </c>
      <c r="G794" s="8" t="s">
        <v>2346</v>
      </c>
      <c r="H794" s="8" t="s">
        <v>2346</v>
      </c>
    </row>
    <row r="795">
      <c r="A795" s="6" t="s">
        <v>8</v>
      </c>
      <c r="B795" s="6" t="s">
        <v>9</v>
      </c>
      <c r="C795" s="6" t="s">
        <v>2347</v>
      </c>
      <c r="D795" s="6" t="s">
        <v>2019</v>
      </c>
      <c r="E795" s="7">
        <v>44351.0</v>
      </c>
      <c r="F795" s="6" t="s">
        <v>12</v>
      </c>
      <c r="G795" s="8" t="s">
        <v>2348</v>
      </c>
      <c r="H795" s="8" t="s">
        <v>2348</v>
      </c>
    </row>
    <row r="796">
      <c r="A796" s="6" t="s">
        <v>8</v>
      </c>
      <c r="B796" s="6" t="s">
        <v>9</v>
      </c>
      <c r="C796" s="6" t="s">
        <v>2349</v>
      </c>
      <c r="D796" s="6" t="s">
        <v>2350</v>
      </c>
      <c r="E796" s="7">
        <v>44351.0</v>
      </c>
      <c r="F796" s="6" t="s">
        <v>12</v>
      </c>
      <c r="G796" s="8" t="s">
        <v>2351</v>
      </c>
      <c r="H796" s="8" t="s">
        <v>2351</v>
      </c>
    </row>
    <row r="797">
      <c r="A797" s="6" t="s">
        <v>8</v>
      </c>
      <c r="B797" s="6" t="s">
        <v>9</v>
      </c>
      <c r="C797" s="6" t="s">
        <v>2352</v>
      </c>
      <c r="D797" s="6" t="s">
        <v>2353</v>
      </c>
      <c r="E797" s="7">
        <v>44355.0</v>
      </c>
      <c r="F797" s="6" t="s">
        <v>12</v>
      </c>
      <c r="G797" s="8" t="s">
        <v>2354</v>
      </c>
      <c r="H797" s="8" t="s">
        <v>2354</v>
      </c>
    </row>
    <row r="798">
      <c r="A798" s="6" t="s">
        <v>8</v>
      </c>
      <c r="B798" s="6" t="s">
        <v>9</v>
      </c>
      <c r="C798" s="6" t="s">
        <v>2355</v>
      </c>
      <c r="D798" s="6" t="s">
        <v>2356</v>
      </c>
      <c r="E798" s="7">
        <v>44355.0</v>
      </c>
      <c r="F798" s="6" t="s">
        <v>12</v>
      </c>
      <c r="G798" s="8" t="s">
        <v>2357</v>
      </c>
      <c r="H798" s="8" t="s">
        <v>2357</v>
      </c>
    </row>
    <row r="799">
      <c r="A799" s="6" t="s">
        <v>8</v>
      </c>
      <c r="B799" s="6" t="s">
        <v>9</v>
      </c>
      <c r="C799" s="6" t="s">
        <v>2358</v>
      </c>
      <c r="D799" s="6" t="s">
        <v>2359</v>
      </c>
      <c r="E799" s="7">
        <v>44355.0</v>
      </c>
      <c r="F799" s="6" t="s">
        <v>12</v>
      </c>
      <c r="G799" s="8" t="s">
        <v>2360</v>
      </c>
      <c r="H799" s="8" t="s">
        <v>2360</v>
      </c>
    </row>
    <row r="800">
      <c r="A800" s="6" t="s">
        <v>8</v>
      </c>
      <c r="B800" s="6" t="s">
        <v>9</v>
      </c>
      <c r="C800" s="6" t="s">
        <v>2361</v>
      </c>
      <c r="D800" s="6" t="s">
        <v>2362</v>
      </c>
      <c r="E800" s="7">
        <v>44354.0</v>
      </c>
      <c r="F800" s="6" t="s">
        <v>12</v>
      </c>
      <c r="G800" s="8" t="s">
        <v>2363</v>
      </c>
      <c r="H800" s="8" t="s">
        <v>2363</v>
      </c>
    </row>
    <row r="801">
      <c r="A801" s="6" t="s">
        <v>8</v>
      </c>
      <c r="B801" s="6" t="s">
        <v>9</v>
      </c>
      <c r="C801" s="6" t="s">
        <v>2364</v>
      </c>
      <c r="D801" s="6" t="s">
        <v>732</v>
      </c>
      <c r="E801" s="7">
        <v>44531.0</v>
      </c>
      <c r="F801" s="6" t="s">
        <v>12</v>
      </c>
      <c r="G801" s="8" t="s">
        <v>2365</v>
      </c>
      <c r="H801" s="8" t="s">
        <v>2365</v>
      </c>
    </row>
    <row r="802">
      <c r="A802" s="6" t="s">
        <v>8</v>
      </c>
      <c r="B802" s="6" t="s">
        <v>9</v>
      </c>
      <c r="C802" s="6" t="s">
        <v>2366</v>
      </c>
      <c r="D802" s="6" t="s">
        <v>2367</v>
      </c>
      <c r="E802" s="7">
        <v>44531.0</v>
      </c>
      <c r="F802" s="6" t="s">
        <v>12</v>
      </c>
      <c r="G802" s="8" t="s">
        <v>2368</v>
      </c>
      <c r="H802" s="8" t="s">
        <v>2368</v>
      </c>
    </row>
    <row r="803">
      <c r="A803" s="6" t="s">
        <v>8</v>
      </c>
      <c r="B803" s="6" t="s">
        <v>9</v>
      </c>
      <c r="C803" s="6" t="s">
        <v>2369</v>
      </c>
      <c r="D803" s="6" t="s">
        <v>962</v>
      </c>
      <c r="E803" s="7">
        <v>44531.0</v>
      </c>
      <c r="F803" s="6" t="s">
        <v>12</v>
      </c>
      <c r="G803" s="8" t="s">
        <v>2370</v>
      </c>
      <c r="H803" s="8" t="s">
        <v>2370</v>
      </c>
    </row>
    <row r="804">
      <c r="A804" s="6" t="s">
        <v>8</v>
      </c>
      <c r="B804" s="6" t="s">
        <v>9</v>
      </c>
      <c r="C804" s="6" t="s">
        <v>2371</v>
      </c>
      <c r="D804" s="6" t="s">
        <v>2372</v>
      </c>
      <c r="E804" s="7">
        <v>44531.0</v>
      </c>
      <c r="F804" s="6" t="s">
        <v>12</v>
      </c>
      <c r="G804" s="8" t="s">
        <v>2373</v>
      </c>
      <c r="H804" s="8" t="s">
        <v>2373</v>
      </c>
    </row>
    <row r="805">
      <c r="A805" s="6" t="s">
        <v>8</v>
      </c>
      <c r="B805" s="6" t="s">
        <v>9</v>
      </c>
      <c r="C805" s="6" t="s">
        <v>2374</v>
      </c>
      <c r="D805" s="6" t="s">
        <v>2375</v>
      </c>
      <c r="E805" s="7">
        <v>44531.0</v>
      </c>
      <c r="F805" s="6" t="s">
        <v>12</v>
      </c>
      <c r="G805" s="8" t="s">
        <v>2376</v>
      </c>
      <c r="H805" s="8" t="s">
        <v>2376</v>
      </c>
    </row>
    <row r="806">
      <c r="A806" s="6" t="s">
        <v>8</v>
      </c>
      <c r="B806" s="6" t="s">
        <v>9</v>
      </c>
      <c r="C806" s="6" t="s">
        <v>2377</v>
      </c>
      <c r="D806" s="6" t="s">
        <v>2378</v>
      </c>
      <c r="E806" s="7">
        <v>44531.0</v>
      </c>
      <c r="F806" s="6" t="s">
        <v>12</v>
      </c>
      <c r="G806" s="8" t="s">
        <v>2379</v>
      </c>
      <c r="H806" s="8" t="s">
        <v>2379</v>
      </c>
    </row>
    <row r="807">
      <c r="A807" s="6" t="s">
        <v>8</v>
      </c>
      <c r="B807" s="6" t="s">
        <v>9</v>
      </c>
      <c r="C807" s="6" t="s">
        <v>2380</v>
      </c>
      <c r="D807" s="6" t="s">
        <v>2381</v>
      </c>
      <c r="E807" s="7">
        <v>44531.0</v>
      </c>
      <c r="F807" s="6" t="s">
        <v>12</v>
      </c>
      <c r="G807" s="8" t="s">
        <v>2382</v>
      </c>
      <c r="H807" s="8" t="s">
        <v>2382</v>
      </c>
    </row>
    <row r="808">
      <c r="A808" s="6" t="s">
        <v>8</v>
      </c>
      <c r="B808" s="6" t="s">
        <v>9</v>
      </c>
      <c r="C808" s="6" t="s">
        <v>2383</v>
      </c>
      <c r="D808" s="6" t="s">
        <v>2384</v>
      </c>
      <c r="E808" s="7">
        <v>44526.0</v>
      </c>
      <c r="F808" s="6" t="s">
        <v>12</v>
      </c>
      <c r="G808" s="8" t="s">
        <v>2385</v>
      </c>
      <c r="H808" s="8" t="s">
        <v>2385</v>
      </c>
    </row>
    <row r="809">
      <c r="A809" s="6" t="s">
        <v>8</v>
      </c>
      <c r="B809" s="6" t="s">
        <v>9</v>
      </c>
      <c r="C809" s="6" t="s">
        <v>2386</v>
      </c>
      <c r="D809" s="6" t="s">
        <v>2387</v>
      </c>
      <c r="E809" s="7">
        <v>44529.0</v>
      </c>
      <c r="F809" s="6" t="s">
        <v>12</v>
      </c>
      <c r="G809" s="8" t="s">
        <v>2388</v>
      </c>
      <c r="H809" s="8" t="s">
        <v>2388</v>
      </c>
    </row>
    <row r="810">
      <c r="A810" s="6" t="s">
        <v>8</v>
      </c>
      <c r="B810" s="6" t="s">
        <v>9</v>
      </c>
      <c r="C810" s="6" t="s">
        <v>2389</v>
      </c>
      <c r="D810" s="6" t="s">
        <v>2390</v>
      </c>
      <c r="E810" s="7">
        <v>44529.0</v>
      </c>
      <c r="F810" s="6" t="s">
        <v>12</v>
      </c>
      <c r="G810" s="8" t="s">
        <v>2391</v>
      </c>
      <c r="H810" s="8" t="s">
        <v>2391</v>
      </c>
    </row>
    <row r="811">
      <c r="A811" s="6" t="s">
        <v>8</v>
      </c>
      <c r="B811" s="6" t="s">
        <v>9</v>
      </c>
      <c r="C811" s="6" t="s">
        <v>2392</v>
      </c>
      <c r="D811" s="6" t="s">
        <v>2393</v>
      </c>
      <c r="E811" s="7">
        <v>44529.0</v>
      </c>
      <c r="F811" s="6" t="s">
        <v>12</v>
      </c>
      <c r="G811" s="8" t="s">
        <v>2394</v>
      </c>
      <c r="H811" s="8" t="s">
        <v>2394</v>
      </c>
    </row>
    <row r="812">
      <c r="A812" s="6" t="s">
        <v>8</v>
      </c>
      <c r="B812" s="6" t="s">
        <v>9</v>
      </c>
      <c r="C812" s="6" t="s">
        <v>2395</v>
      </c>
      <c r="D812" s="6" t="s">
        <v>2396</v>
      </c>
      <c r="E812" s="7">
        <v>44529.0</v>
      </c>
      <c r="F812" s="6" t="s">
        <v>12</v>
      </c>
      <c r="G812" s="8" t="s">
        <v>2397</v>
      </c>
      <c r="H812" s="8" t="s">
        <v>2397</v>
      </c>
    </row>
    <row r="813">
      <c r="A813" s="6" t="s">
        <v>8</v>
      </c>
      <c r="B813" s="6" t="s">
        <v>9</v>
      </c>
      <c r="C813" s="6" t="s">
        <v>2398</v>
      </c>
      <c r="D813" s="6" t="s">
        <v>2399</v>
      </c>
      <c r="E813" s="7">
        <v>44529.0</v>
      </c>
      <c r="F813" s="6" t="s">
        <v>12</v>
      </c>
      <c r="G813" s="8" t="s">
        <v>2400</v>
      </c>
      <c r="H813" s="8" t="s">
        <v>2400</v>
      </c>
    </row>
    <row r="814">
      <c r="A814" s="6" t="s">
        <v>8</v>
      </c>
      <c r="B814" s="6" t="s">
        <v>9</v>
      </c>
      <c r="C814" s="6" t="s">
        <v>2401</v>
      </c>
      <c r="D814" s="6" t="s">
        <v>2402</v>
      </c>
      <c r="E814" s="7">
        <v>44515.0</v>
      </c>
      <c r="F814" s="6" t="s">
        <v>12</v>
      </c>
      <c r="G814" s="8" t="s">
        <v>2403</v>
      </c>
      <c r="H814" s="8" t="s">
        <v>2403</v>
      </c>
    </row>
    <row r="815">
      <c r="A815" s="6" t="s">
        <v>8</v>
      </c>
      <c r="B815" s="6" t="s">
        <v>9</v>
      </c>
      <c r="C815" s="6" t="s">
        <v>2404</v>
      </c>
      <c r="D815" s="6" t="s">
        <v>2405</v>
      </c>
      <c r="E815" s="7">
        <v>44532.0</v>
      </c>
      <c r="F815" s="6" t="s">
        <v>12</v>
      </c>
      <c r="G815" s="8" t="s">
        <v>2406</v>
      </c>
      <c r="H815" s="8" t="s">
        <v>2406</v>
      </c>
    </row>
    <row r="816">
      <c r="A816" s="6" t="s">
        <v>8</v>
      </c>
      <c r="B816" s="6" t="s">
        <v>9</v>
      </c>
      <c r="C816" s="6" t="s">
        <v>2407</v>
      </c>
      <c r="D816" s="6" t="s">
        <v>2408</v>
      </c>
      <c r="E816" s="7">
        <v>44519.0</v>
      </c>
      <c r="F816" s="6" t="s">
        <v>12</v>
      </c>
      <c r="G816" s="8" t="s">
        <v>2409</v>
      </c>
      <c r="H816" s="8" t="s">
        <v>2409</v>
      </c>
    </row>
    <row r="817">
      <c r="A817" s="6" t="s">
        <v>8</v>
      </c>
      <c r="B817" s="6" t="s">
        <v>9</v>
      </c>
      <c r="C817" s="6" t="s">
        <v>2410</v>
      </c>
      <c r="D817" s="6" t="s">
        <v>2411</v>
      </c>
      <c r="E817" s="7">
        <v>44519.0</v>
      </c>
      <c r="F817" s="6" t="s">
        <v>12</v>
      </c>
      <c r="G817" s="8" t="s">
        <v>2412</v>
      </c>
      <c r="H817" s="8" t="s">
        <v>2412</v>
      </c>
    </row>
    <row r="818">
      <c r="A818" s="6" t="s">
        <v>8</v>
      </c>
      <c r="B818" s="6" t="s">
        <v>9</v>
      </c>
      <c r="C818" s="6" t="s">
        <v>2413</v>
      </c>
      <c r="D818" s="6" t="s">
        <v>2414</v>
      </c>
      <c r="E818" s="7">
        <v>44523.0</v>
      </c>
      <c r="F818" s="6" t="s">
        <v>12</v>
      </c>
      <c r="G818" s="8" t="s">
        <v>2415</v>
      </c>
      <c r="H818" s="8" t="s">
        <v>2415</v>
      </c>
    </row>
    <row r="819">
      <c r="A819" s="6" t="s">
        <v>8</v>
      </c>
      <c r="B819" s="6" t="s">
        <v>9</v>
      </c>
      <c r="C819" s="6" t="s">
        <v>2416</v>
      </c>
      <c r="D819" s="6" t="s">
        <v>1968</v>
      </c>
      <c r="E819" s="7">
        <v>44524.0</v>
      </c>
      <c r="F819" s="6" t="s">
        <v>12</v>
      </c>
      <c r="G819" s="8" t="s">
        <v>2417</v>
      </c>
      <c r="H819" s="8" t="s">
        <v>2417</v>
      </c>
    </row>
    <row r="820">
      <c r="A820" s="6" t="s">
        <v>8</v>
      </c>
      <c r="B820" s="6" t="s">
        <v>9</v>
      </c>
      <c r="C820" s="6" t="s">
        <v>2418</v>
      </c>
      <c r="D820" s="6" t="s">
        <v>1551</v>
      </c>
      <c r="E820" s="7">
        <v>44524.0</v>
      </c>
      <c r="F820" s="6" t="s">
        <v>12</v>
      </c>
      <c r="G820" s="8" t="s">
        <v>2419</v>
      </c>
      <c r="H820" s="8" t="s">
        <v>2419</v>
      </c>
    </row>
    <row r="821">
      <c r="A821" s="6" t="s">
        <v>8</v>
      </c>
      <c r="B821" s="6" t="s">
        <v>9</v>
      </c>
      <c r="C821" s="6" t="s">
        <v>2420</v>
      </c>
      <c r="D821" s="6" t="s">
        <v>2421</v>
      </c>
      <c r="E821" s="7">
        <v>44498.0</v>
      </c>
      <c r="F821" s="6" t="s">
        <v>12</v>
      </c>
      <c r="G821" s="8" t="s">
        <v>2422</v>
      </c>
      <c r="H821" s="8" t="s">
        <v>2422</v>
      </c>
    </row>
    <row r="822">
      <c r="A822" s="6" t="s">
        <v>8</v>
      </c>
      <c r="B822" s="6" t="s">
        <v>9</v>
      </c>
      <c r="C822" s="6" t="s">
        <v>2423</v>
      </c>
      <c r="D822" s="6" t="s">
        <v>2424</v>
      </c>
      <c r="E822" s="7">
        <v>44509.0</v>
      </c>
      <c r="F822" s="6" t="s">
        <v>12</v>
      </c>
      <c r="G822" s="8" t="s">
        <v>2425</v>
      </c>
      <c r="H822" s="8" t="s">
        <v>2425</v>
      </c>
    </row>
    <row r="823">
      <c r="A823" s="6" t="s">
        <v>8</v>
      </c>
      <c r="B823" s="6" t="s">
        <v>9</v>
      </c>
      <c r="C823" s="6" t="s">
        <v>2426</v>
      </c>
      <c r="D823" s="6" t="s">
        <v>2427</v>
      </c>
      <c r="E823" s="7">
        <v>44529.0</v>
      </c>
      <c r="F823" s="6" t="s">
        <v>12</v>
      </c>
      <c r="G823" s="8" t="s">
        <v>2428</v>
      </c>
      <c r="H823" s="8" t="s">
        <v>2428</v>
      </c>
    </row>
    <row r="824">
      <c r="A824" s="6" t="s">
        <v>8</v>
      </c>
      <c r="B824" s="6" t="s">
        <v>9</v>
      </c>
      <c r="C824" s="6" t="s">
        <v>2429</v>
      </c>
      <c r="D824" s="6" t="s">
        <v>2430</v>
      </c>
      <c r="E824" s="7">
        <v>44510.0</v>
      </c>
      <c r="F824" s="6" t="s">
        <v>12</v>
      </c>
      <c r="G824" s="8" t="s">
        <v>2431</v>
      </c>
      <c r="H824" s="8" t="s">
        <v>2431</v>
      </c>
    </row>
    <row r="825">
      <c r="A825" s="6" t="s">
        <v>8</v>
      </c>
      <c r="B825" s="6" t="s">
        <v>9</v>
      </c>
      <c r="C825" s="6" t="s">
        <v>2432</v>
      </c>
      <c r="D825" s="6" t="s">
        <v>2433</v>
      </c>
      <c r="E825" s="7">
        <v>44509.0</v>
      </c>
      <c r="F825" s="6" t="s">
        <v>12</v>
      </c>
      <c r="G825" s="8" t="s">
        <v>2434</v>
      </c>
      <c r="H825" s="8" t="s">
        <v>2434</v>
      </c>
    </row>
    <row r="826">
      <c r="A826" s="6" t="s">
        <v>8</v>
      </c>
      <c r="B826" s="6" t="s">
        <v>9</v>
      </c>
      <c r="C826" s="6" t="s">
        <v>2435</v>
      </c>
      <c r="D826" s="6" t="s">
        <v>2436</v>
      </c>
      <c r="E826" s="7">
        <v>44509.0</v>
      </c>
      <c r="F826" s="6" t="s">
        <v>12</v>
      </c>
      <c r="G826" s="8" t="s">
        <v>2437</v>
      </c>
      <c r="H826" s="8" t="s">
        <v>2437</v>
      </c>
    </row>
    <row r="827">
      <c r="A827" s="6" t="s">
        <v>8</v>
      </c>
      <c r="B827" s="6" t="s">
        <v>9</v>
      </c>
      <c r="C827" s="6" t="s">
        <v>2438</v>
      </c>
      <c r="D827" s="6" t="s">
        <v>2439</v>
      </c>
      <c r="E827" s="7">
        <v>44510.0</v>
      </c>
      <c r="F827" s="6" t="s">
        <v>12</v>
      </c>
      <c r="G827" s="8" t="s">
        <v>2440</v>
      </c>
      <c r="H827" s="8" t="s">
        <v>2440</v>
      </c>
    </row>
    <row r="828">
      <c r="A828" s="6" t="s">
        <v>8</v>
      </c>
      <c r="B828" s="6" t="s">
        <v>9</v>
      </c>
      <c r="C828" s="6" t="s">
        <v>2441</v>
      </c>
      <c r="D828" s="6" t="s">
        <v>2442</v>
      </c>
      <c r="E828" s="7">
        <v>44018.0</v>
      </c>
      <c r="F828" s="6" t="s">
        <v>12</v>
      </c>
      <c r="G828" s="8" t="s">
        <v>2443</v>
      </c>
      <c r="H828" s="8" t="s">
        <v>2443</v>
      </c>
    </row>
    <row r="829">
      <c r="A829" s="6" t="s">
        <v>8</v>
      </c>
      <c r="B829" s="6" t="s">
        <v>9</v>
      </c>
      <c r="C829" s="6" t="s">
        <v>2444</v>
      </c>
      <c r="D829" s="6" t="s">
        <v>2445</v>
      </c>
      <c r="E829" s="7">
        <v>44018.0</v>
      </c>
      <c r="F829" s="6" t="s">
        <v>12</v>
      </c>
      <c r="G829" s="8" t="s">
        <v>2446</v>
      </c>
      <c r="H829" s="8" t="s">
        <v>2446</v>
      </c>
    </row>
    <row r="830">
      <c r="A830" s="6" t="s">
        <v>8</v>
      </c>
      <c r="B830" s="6" t="s">
        <v>9</v>
      </c>
      <c r="C830" s="6" t="s">
        <v>2447</v>
      </c>
      <c r="D830" s="6" t="s">
        <v>2448</v>
      </c>
      <c r="E830" s="7">
        <v>44015.0</v>
      </c>
      <c r="F830" s="6" t="s">
        <v>12</v>
      </c>
      <c r="G830" s="8" t="s">
        <v>2449</v>
      </c>
      <c r="H830" s="8" t="s">
        <v>2449</v>
      </c>
    </row>
    <row r="831">
      <c r="A831" s="6" t="s">
        <v>8</v>
      </c>
      <c r="B831" s="6" t="s">
        <v>9</v>
      </c>
      <c r="C831" s="6" t="s">
        <v>2450</v>
      </c>
      <c r="D831" s="6" t="s">
        <v>2451</v>
      </c>
      <c r="E831" s="7">
        <v>44015.0</v>
      </c>
      <c r="F831" s="6" t="s">
        <v>12</v>
      </c>
      <c r="G831" s="8" t="s">
        <v>2452</v>
      </c>
      <c r="H831" s="8" t="s">
        <v>2452</v>
      </c>
    </row>
    <row r="832">
      <c r="A832" s="6" t="s">
        <v>8</v>
      </c>
      <c r="B832" s="6" t="s">
        <v>9</v>
      </c>
      <c r="C832" s="6" t="s">
        <v>2453</v>
      </c>
      <c r="D832" s="6" t="s">
        <v>2454</v>
      </c>
      <c r="E832" s="7">
        <v>44015.0</v>
      </c>
      <c r="F832" s="6" t="s">
        <v>12</v>
      </c>
      <c r="G832" s="8" t="s">
        <v>2455</v>
      </c>
      <c r="H832" s="8" t="s">
        <v>2455</v>
      </c>
    </row>
    <row r="833">
      <c r="A833" s="6" t="s">
        <v>8</v>
      </c>
      <c r="B833" s="6" t="s">
        <v>9</v>
      </c>
      <c r="C833" s="6" t="s">
        <v>2456</v>
      </c>
      <c r="D833" s="6" t="s">
        <v>2457</v>
      </c>
      <c r="E833" s="7">
        <v>44012.0</v>
      </c>
      <c r="F833" s="6" t="s">
        <v>12</v>
      </c>
      <c r="G833" s="8" t="s">
        <v>2458</v>
      </c>
      <c r="H833" s="8" t="s">
        <v>2458</v>
      </c>
    </row>
    <row r="834">
      <c r="A834" s="6" t="s">
        <v>8</v>
      </c>
      <c r="B834" s="6" t="s">
        <v>9</v>
      </c>
      <c r="C834" s="6" t="s">
        <v>2459</v>
      </c>
      <c r="D834" s="6" t="s">
        <v>2460</v>
      </c>
      <c r="E834" s="7">
        <v>44021.0</v>
      </c>
      <c r="F834" s="6" t="s">
        <v>12</v>
      </c>
      <c r="G834" s="8" t="s">
        <v>2461</v>
      </c>
      <c r="H834" s="8" t="s">
        <v>2461</v>
      </c>
    </row>
    <row r="835">
      <c r="A835" s="6" t="s">
        <v>8</v>
      </c>
      <c r="B835" s="6" t="s">
        <v>9</v>
      </c>
      <c r="C835" s="6" t="s">
        <v>2462</v>
      </c>
      <c r="D835" s="6" t="s">
        <v>2463</v>
      </c>
      <c r="E835" s="7">
        <v>44021.0</v>
      </c>
      <c r="F835" s="6" t="s">
        <v>12</v>
      </c>
      <c r="G835" s="8" t="s">
        <v>2464</v>
      </c>
      <c r="H835" s="8" t="s">
        <v>2464</v>
      </c>
    </row>
    <row r="836">
      <c r="A836" s="6" t="s">
        <v>8</v>
      </c>
      <c r="B836" s="6" t="s">
        <v>9</v>
      </c>
      <c r="C836" s="6" t="s">
        <v>2465</v>
      </c>
      <c r="D836" s="6" t="s">
        <v>2466</v>
      </c>
      <c r="E836" s="7">
        <v>44021.0</v>
      </c>
      <c r="F836" s="6" t="s">
        <v>12</v>
      </c>
      <c r="G836" s="8" t="s">
        <v>2467</v>
      </c>
      <c r="H836" s="8" t="s">
        <v>2467</v>
      </c>
    </row>
    <row r="837">
      <c r="A837" s="6" t="s">
        <v>8</v>
      </c>
      <c r="B837" s="6" t="s">
        <v>9</v>
      </c>
      <c r="C837" s="6" t="s">
        <v>2468</v>
      </c>
      <c r="D837" s="6" t="s">
        <v>2469</v>
      </c>
      <c r="E837" s="7">
        <v>44021.0</v>
      </c>
      <c r="F837" s="6" t="s">
        <v>12</v>
      </c>
      <c r="G837" s="8" t="s">
        <v>2470</v>
      </c>
      <c r="H837" s="8" t="s">
        <v>2470</v>
      </c>
    </row>
    <row r="838">
      <c r="A838" s="6" t="s">
        <v>8</v>
      </c>
      <c r="B838" s="6" t="s">
        <v>9</v>
      </c>
      <c r="C838" s="6" t="s">
        <v>2471</v>
      </c>
      <c r="D838" s="6" t="s">
        <v>2472</v>
      </c>
      <c r="E838" s="7">
        <v>44025.0</v>
      </c>
      <c r="F838" s="6" t="s">
        <v>12</v>
      </c>
      <c r="G838" s="8" t="s">
        <v>2473</v>
      </c>
      <c r="H838" s="8" t="s">
        <v>2473</v>
      </c>
    </row>
    <row r="839">
      <c r="A839" s="6" t="s">
        <v>8</v>
      </c>
      <c r="B839" s="6" t="s">
        <v>9</v>
      </c>
      <c r="C839" s="6" t="s">
        <v>2474</v>
      </c>
      <c r="D839" s="6" t="s">
        <v>2475</v>
      </c>
      <c r="E839" s="7">
        <v>44036.0</v>
      </c>
      <c r="F839" s="6" t="s">
        <v>12</v>
      </c>
      <c r="G839" s="8" t="s">
        <v>2476</v>
      </c>
      <c r="H839" s="8" t="s">
        <v>2476</v>
      </c>
    </row>
    <row r="840">
      <c r="A840" s="6" t="s">
        <v>8</v>
      </c>
      <c r="B840" s="6" t="s">
        <v>9</v>
      </c>
      <c r="C840" s="6" t="s">
        <v>2477</v>
      </c>
      <c r="D840" s="6" t="s">
        <v>2478</v>
      </c>
      <c r="E840" s="7">
        <v>44036.0</v>
      </c>
      <c r="F840" s="6" t="s">
        <v>12</v>
      </c>
      <c r="G840" s="8" t="s">
        <v>2479</v>
      </c>
      <c r="H840" s="8" t="s">
        <v>2479</v>
      </c>
    </row>
    <row r="841">
      <c r="A841" s="6" t="s">
        <v>8</v>
      </c>
      <c r="B841" s="6" t="s">
        <v>9</v>
      </c>
      <c r="C841" s="6" t="s">
        <v>2480</v>
      </c>
      <c r="D841" s="6" t="s">
        <v>2481</v>
      </c>
      <c r="E841" s="7">
        <v>44036.0</v>
      </c>
      <c r="F841" s="6" t="s">
        <v>12</v>
      </c>
      <c r="G841" s="8" t="s">
        <v>2482</v>
      </c>
      <c r="H841" s="8" t="s">
        <v>2482</v>
      </c>
    </row>
    <row r="842">
      <c r="A842" s="6" t="s">
        <v>8</v>
      </c>
      <c r="B842" s="6" t="s">
        <v>9</v>
      </c>
      <c r="C842" s="6" t="s">
        <v>2483</v>
      </c>
      <c r="D842" s="6" t="s">
        <v>2484</v>
      </c>
      <c r="E842" s="7">
        <v>44036.0</v>
      </c>
      <c r="F842" s="6" t="s">
        <v>12</v>
      </c>
      <c r="G842" s="8" t="s">
        <v>2485</v>
      </c>
      <c r="H842" s="8" t="s">
        <v>2485</v>
      </c>
    </row>
    <row r="843">
      <c r="A843" s="6" t="s">
        <v>8</v>
      </c>
      <c r="B843" s="6" t="s">
        <v>9</v>
      </c>
      <c r="C843" s="6" t="s">
        <v>2486</v>
      </c>
      <c r="D843" s="6" t="s">
        <v>2487</v>
      </c>
      <c r="E843" s="7">
        <v>44036.0</v>
      </c>
      <c r="F843" s="6" t="s">
        <v>12</v>
      </c>
      <c r="G843" s="8" t="s">
        <v>2488</v>
      </c>
      <c r="H843" s="8" t="s">
        <v>2488</v>
      </c>
    </row>
    <row r="844">
      <c r="A844" s="6" t="s">
        <v>8</v>
      </c>
      <c r="B844" s="6" t="s">
        <v>9</v>
      </c>
      <c r="C844" s="6" t="s">
        <v>2489</v>
      </c>
      <c r="D844" s="6" t="s">
        <v>2490</v>
      </c>
      <c r="E844" s="7">
        <v>44036.0</v>
      </c>
      <c r="F844" s="6" t="s">
        <v>12</v>
      </c>
      <c r="G844" s="8" t="s">
        <v>2491</v>
      </c>
      <c r="H844" s="8" t="s">
        <v>2491</v>
      </c>
    </row>
    <row r="845">
      <c r="A845" s="6" t="s">
        <v>8</v>
      </c>
      <c r="B845" s="6" t="s">
        <v>9</v>
      </c>
      <c r="C845" s="6" t="s">
        <v>2492</v>
      </c>
      <c r="D845" s="6" t="s">
        <v>2493</v>
      </c>
      <c r="E845" s="7">
        <v>44036.0</v>
      </c>
      <c r="F845" s="6" t="s">
        <v>12</v>
      </c>
      <c r="G845" s="8" t="s">
        <v>2494</v>
      </c>
      <c r="H845" s="8" t="s">
        <v>2494</v>
      </c>
    </row>
    <row r="846">
      <c r="A846" s="6" t="s">
        <v>8</v>
      </c>
      <c r="B846" s="6" t="s">
        <v>9</v>
      </c>
      <c r="C846" s="6" t="s">
        <v>2495</v>
      </c>
      <c r="D846" s="6" t="s">
        <v>2496</v>
      </c>
      <c r="E846" s="7">
        <v>44036.0</v>
      </c>
      <c r="F846" s="6" t="s">
        <v>12</v>
      </c>
      <c r="G846" s="8" t="s">
        <v>2497</v>
      </c>
      <c r="H846" s="8" t="s">
        <v>2497</v>
      </c>
    </row>
    <row r="847">
      <c r="A847" s="6" t="s">
        <v>8</v>
      </c>
      <c r="B847" s="6" t="s">
        <v>9</v>
      </c>
      <c r="C847" s="6" t="s">
        <v>2498</v>
      </c>
      <c r="D847" s="6" t="s">
        <v>2499</v>
      </c>
      <c r="E847" s="7">
        <v>44036.0</v>
      </c>
      <c r="F847" s="6" t="s">
        <v>12</v>
      </c>
      <c r="G847" s="8" t="s">
        <v>2500</v>
      </c>
      <c r="H847" s="8" t="s">
        <v>2500</v>
      </c>
    </row>
    <row r="848">
      <c r="A848" s="6" t="s">
        <v>8</v>
      </c>
      <c r="B848" s="6" t="s">
        <v>9</v>
      </c>
      <c r="C848" s="6" t="s">
        <v>2501</v>
      </c>
      <c r="D848" s="6" t="s">
        <v>2502</v>
      </c>
      <c r="E848" s="7">
        <v>44036.0</v>
      </c>
      <c r="F848" s="6" t="s">
        <v>12</v>
      </c>
      <c r="G848" s="8" t="s">
        <v>2503</v>
      </c>
      <c r="H848" s="8" t="s">
        <v>2503</v>
      </c>
    </row>
    <row r="849">
      <c r="A849" s="6" t="s">
        <v>8</v>
      </c>
      <c r="B849" s="6" t="s">
        <v>9</v>
      </c>
      <c r="C849" s="6" t="s">
        <v>2504</v>
      </c>
      <c r="D849" s="6" t="s">
        <v>2505</v>
      </c>
      <c r="E849" s="7">
        <v>44036.0</v>
      </c>
      <c r="F849" s="6" t="s">
        <v>12</v>
      </c>
      <c r="G849" s="8" t="s">
        <v>2506</v>
      </c>
      <c r="H849" s="8" t="s">
        <v>2506</v>
      </c>
    </row>
    <row r="850">
      <c r="A850" s="6" t="s">
        <v>8</v>
      </c>
      <c r="B850" s="6" t="s">
        <v>9</v>
      </c>
      <c r="C850" s="6" t="s">
        <v>2507</v>
      </c>
      <c r="D850" s="6" t="s">
        <v>2508</v>
      </c>
      <c r="E850" s="7">
        <v>44028.0</v>
      </c>
      <c r="F850" s="6" t="s">
        <v>12</v>
      </c>
      <c r="G850" s="8" t="s">
        <v>2509</v>
      </c>
      <c r="H850" s="8" t="s">
        <v>2509</v>
      </c>
    </row>
    <row r="851">
      <c r="A851" s="6" t="s">
        <v>8</v>
      </c>
      <c r="B851" s="6" t="s">
        <v>9</v>
      </c>
      <c r="C851" s="6" t="s">
        <v>2510</v>
      </c>
      <c r="D851" s="6" t="s">
        <v>2511</v>
      </c>
      <c r="E851" s="7">
        <v>44028.0</v>
      </c>
      <c r="F851" s="6" t="s">
        <v>12</v>
      </c>
      <c r="G851" s="8" t="s">
        <v>2512</v>
      </c>
      <c r="H851" s="8" t="s">
        <v>2512</v>
      </c>
    </row>
    <row r="852">
      <c r="A852" s="6" t="s">
        <v>8</v>
      </c>
      <c r="B852" s="6" t="s">
        <v>9</v>
      </c>
      <c r="C852" s="6" t="s">
        <v>2513</v>
      </c>
      <c r="D852" s="6" t="s">
        <v>2514</v>
      </c>
      <c r="E852" s="7">
        <v>44032.0</v>
      </c>
      <c r="F852" s="6" t="s">
        <v>12</v>
      </c>
      <c r="G852" s="8" t="s">
        <v>2515</v>
      </c>
      <c r="H852" s="8" t="s">
        <v>2515</v>
      </c>
    </row>
    <row r="853">
      <c r="A853" s="6" t="s">
        <v>8</v>
      </c>
      <c r="B853" s="6" t="s">
        <v>9</v>
      </c>
      <c r="C853" s="6" t="s">
        <v>2516</v>
      </c>
      <c r="D853" s="6" t="s">
        <v>2517</v>
      </c>
      <c r="E853" s="7">
        <v>44039.0</v>
      </c>
      <c r="F853" s="6" t="s">
        <v>12</v>
      </c>
      <c r="G853" s="8" t="s">
        <v>2518</v>
      </c>
      <c r="H853" s="8" t="s">
        <v>2518</v>
      </c>
    </row>
    <row r="854">
      <c r="A854" s="6" t="s">
        <v>8</v>
      </c>
      <c r="B854" s="6" t="s">
        <v>9</v>
      </c>
      <c r="C854" s="6" t="s">
        <v>2519</v>
      </c>
      <c r="D854" s="6" t="s">
        <v>2520</v>
      </c>
      <c r="E854" s="7">
        <v>44039.0</v>
      </c>
      <c r="F854" s="6" t="s">
        <v>12</v>
      </c>
      <c r="G854" s="8" t="s">
        <v>2521</v>
      </c>
      <c r="H854" s="8" t="s">
        <v>2521</v>
      </c>
    </row>
    <row r="855">
      <c r="A855" s="6" t="s">
        <v>8</v>
      </c>
      <c r="B855" s="6" t="s">
        <v>9</v>
      </c>
      <c r="C855" s="6" t="s">
        <v>2522</v>
      </c>
      <c r="D855" s="6" t="s">
        <v>2523</v>
      </c>
      <c r="E855" s="7">
        <v>44039.0</v>
      </c>
      <c r="F855" s="6" t="s">
        <v>12</v>
      </c>
      <c r="G855" s="8" t="s">
        <v>2524</v>
      </c>
      <c r="H855" s="8" t="s">
        <v>2524</v>
      </c>
    </row>
    <row r="856">
      <c r="A856" s="6" t="s">
        <v>8</v>
      </c>
      <c r="B856" s="6" t="s">
        <v>9</v>
      </c>
      <c r="C856" s="6" t="s">
        <v>2525</v>
      </c>
      <c r="D856" s="6" t="s">
        <v>2526</v>
      </c>
      <c r="E856" s="7">
        <v>44039.0</v>
      </c>
      <c r="F856" s="6" t="s">
        <v>12</v>
      </c>
      <c r="G856" s="8" t="s">
        <v>2527</v>
      </c>
      <c r="H856" s="8" t="s">
        <v>2527</v>
      </c>
    </row>
    <row r="857">
      <c r="A857" s="6" t="s">
        <v>8</v>
      </c>
      <c r="B857" s="6" t="s">
        <v>9</v>
      </c>
      <c r="C857" s="6" t="s">
        <v>2528</v>
      </c>
      <c r="D857" s="6" t="s">
        <v>2529</v>
      </c>
      <c r="E857" s="7">
        <v>44036.0</v>
      </c>
      <c r="F857" s="6" t="s">
        <v>12</v>
      </c>
      <c r="G857" s="8" t="s">
        <v>2530</v>
      </c>
      <c r="H857" s="8" t="s">
        <v>2530</v>
      </c>
    </row>
    <row r="858">
      <c r="A858" s="6" t="s">
        <v>8</v>
      </c>
      <c r="B858" s="6" t="s">
        <v>9</v>
      </c>
      <c r="C858" s="6" t="s">
        <v>2531</v>
      </c>
      <c r="D858" s="6" t="s">
        <v>2532</v>
      </c>
      <c r="E858" s="7">
        <v>44039.0</v>
      </c>
      <c r="F858" s="6" t="s">
        <v>12</v>
      </c>
      <c r="G858" s="8" t="s">
        <v>2533</v>
      </c>
      <c r="H858" s="8" t="s">
        <v>2533</v>
      </c>
    </row>
    <row r="859">
      <c r="A859" s="6" t="s">
        <v>8</v>
      </c>
      <c r="B859" s="6" t="s">
        <v>9</v>
      </c>
      <c r="C859" s="6" t="s">
        <v>2534</v>
      </c>
      <c r="D859" s="6" t="s">
        <v>2535</v>
      </c>
      <c r="E859" s="7">
        <v>44039.0</v>
      </c>
      <c r="F859" s="6" t="s">
        <v>12</v>
      </c>
      <c r="G859" s="8" t="s">
        <v>2536</v>
      </c>
      <c r="H859" s="8" t="s">
        <v>2536</v>
      </c>
    </row>
    <row r="860">
      <c r="A860" s="6" t="s">
        <v>8</v>
      </c>
      <c r="B860" s="6" t="s">
        <v>9</v>
      </c>
      <c r="C860" s="6" t="s">
        <v>2537</v>
      </c>
      <c r="D860" s="6" t="s">
        <v>2538</v>
      </c>
      <c r="E860" s="7">
        <v>44039.0</v>
      </c>
      <c r="F860" s="6" t="s">
        <v>12</v>
      </c>
      <c r="G860" s="8" t="s">
        <v>2539</v>
      </c>
      <c r="H860" s="8" t="s">
        <v>2539</v>
      </c>
    </row>
    <row r="861">
      <c r="A861" s="6" t="s">
        <v>8</v>
      </c>
      <c r="B861" s="6" t="s">
        <v>9</v>
      </c>
      <c r="C861" s="6" t="s">
        <v>2540</v>
      </c>
      <c r="D861" s="6" t="s">
        <v>2541</v>
      </c>
      <c r="E861" s="7">
        <v>44039.0</v>
      </c>
      <c r="F861" s="6" t="s">
        <v>12</v>
      </c>
      <c r="G861" s="8" t="s">
        <v>2542</v>
      </c>
      <c r="H861" s="8" t="s">
        <v>2542</v>
      </c>
    </row>
    <row r="862">
      <c r="A862" s="6" t="s">
        <v>8</v>
      </c>
      <c r="B862" s="6" t="s">
        <v>9</v>
      </c>
      <c r="C862" s="6" t="s">
        <v>2543</v>
      </c>
      <c r="D862" s="6" t="s">
        <v>2544</v>
      </c>
      <c r="E862" s="7">
        <v>44039.0</v>
      </c>
      <c r="F862" s="6" t="s">
        <v>12</v>
      </c>
      <c r="G862" s="8" t="s">
        <v>2545</v>
      </c>
      <c r="H862" s="8" t="s">
        <v>2545</v>
      </c>
    </row>
    <row r="863">
      <c r="A863" s="6" t="s">
        <v>8</v>
      </c>
      <c r="B863" s="6" t="s">
        <v>9</v>
      </c>
      <c r="C863" s="6" t="s">
        <v>2546</v>
      </c>
      <c r="D863" s="6" t="s">
        <v>2547</v>
      </c>
      <c r="E863" s="7">
        <v>44039.0</v>
      </c>
      <c r="F863" s="6" t="s">
        <v>12</v>
      </c>
      <c r="G863" s="8" t="s">
        <v>2548</v>
      </c>
      <c r="H863" s="8" t="s">
        <v>2548</v>
      </c>
    </row>
    <row r="864">
      <c r="A864" s="6" t="s">
        <v>8</v>
      </c>
      <c r="B864" s="6" t="s">
        <v>9</v>
      </c>
      <c r="C864" s="6" t="s">
        <v>2549</v>
      </c>
      <c r="D864" s="6" t="s">
        <v>2550</v>
      </c>
      <c r="E864" s="7">
        <v>44039.0</v>
      </c>
      <c r="F864" s="6" t="s">
        <v>12</v>
      </c>
      <c r="G864" s="8" t="s">
        <v>2551</v>
      </c>
      <c r="H864" s="8" t="s">
        <v>2551</v>
      </c>
    </row>
    <row r="865">
      <c r="A865" s="6" t="s">
        <v>8</v>
      </c>
      <c r="B865" s="6" t="s">
        <v>9</v>
      </c>
      <c r="C865" s="6" t="s">
        <v>2552</v>
      </c>
      <c r="D865" s="6" t="s">
        <v>2553</v>
      </c>
      <c r="E865" s="7">
        <v>44039.0</v>
      </c>
      <c r="F865" s="6" t="s">
        <v>12</v>
      </c>
      <c r="G865" s="8" t="s">
        <v>2554</v>
      </c>
      <c r="H865" s="8" t="s">
        <v>2554</v>
      </c>
    </row>
    <row r="866">
      <c r="A866" s="6" t="s">
        <v>8</v>
      </c>
      <c r="B866" s="6" t="s">
        <v>9</v>
      </c>
      <c r="C866" s="6" t="s">
        <v>2555</v>
      </c>
      <c r="D866" s="6" t="s">
        <v>2556</v>
      </c>
      <c r="E866" s="7">
        <v>44039.0</v>
      </c>
      <c r="F866" s="6" t="s">
        <v>12</v>
      </c>
      <c r="G866" s="8" t="s">
        <v>2557</v>
      </c>
      <c r="H866" s="8" t="s">
        <v>2557</v>
      </c>
    </row>
    <row r="867">
      <c r="A867" s="6" t="s">
        <v>8</v>
      </c>
      <c r="B867" s="6" t="s">
        <v>9</v>
      </c>
      <c r="C867" s="6" t="s">
        <v>2558</v>
      </c>
      <c r="D867" s="6" t="s">
        <v>2559</v>
      </c>
      <c r="E867" s="7">
        <v>44039.0</v>
      </c>
      <c r="F867" s="6" t="s">
        <v>12</v>
      </c>
      <c r="G867" s="8" t="s">
        <v>2560</v>
      </c>
      <c r="H867" s="8" t="s">
        <v>2560</v>
      </c>
    </row>
    <row r="868">
      <c r="A868" s="6" t="s">
        <v>8</v>
      </c>
      <c r="B868" s="6" t="s">
        <v>9</v>
      </c>
      <c r="C868" s="6" t="s">
        <v>2561</v>
      </c>
      <c r="D868" s="6" t="s">
        <v>2173</v>
      </c>
      <c r="E868" s="7">
        <v>44039.0</v>
      </c>
      <c r="F868" s="6" t="s">
        <v>12</v>
      </c>
      <c r="G868" s="8" t="s">
        <v>2562</v>
      </c>
      <c r="H868" s="8" t="s">
        <v>2562</v>
      </c>
    </row>
    <row r="869">
      <c r="A869" s="6" t="s">
        <v>8</v>
      </c>
      <c r="B869" s="6" t="s">
        <v>9</v>
      </c>
      <c r="C869" s="6" t="s">
        <v>2563</v>
      </c>
      <c r="D869" s="6" t="s">
        <v>2564</v>
      </c>
      <c r="E869" s="7">
        <v>44039.0</v>
      </c>
      <c r="F869" s="6" t="s">
        <v>12</v>
      </c>
      <c r="G869" s="8" t="s">
        <v>2565</v>
      </c>
      <c r="H869" s="8" t="s">
        <v>2565</v>
      </c>
    </row>
    <row r="870">
      <c r="A870" s="6" t="s">
        <v>8</v>
      </c>
      <c r="B870" s="6" t="s">
        <v>9</v>
      </c>
      <c r="C870" s="6" t="s">
        <v>2566</v>
      </c>
      <c r="D870" s="6" t="s">
        <v>2567</v>
      </c>
      <c r="E870" s="7">
        <v>44039.0</v>
      </c>
      <c r="F870" s="6" t="s">
        <v>12</v>
      </c>
      <c r="G870" s="8" t="s">
        <v>2568</v>
      </c>
      <c r="H870" s="8" t="s">
        <v>2568</v>
      </c>
    </row>
    <row r="871">
      <c r="A871" s="6" t="s">
        <v>8</v>
      </c>
      <c r="B871" s="6" t="s">
        <v>9</v>
      </c>
      <c r="C871" s="6" t="s">
        <v>2569</v>
      </c>
      <c r="D871" s="6" t="s">
        <v>2570</v>
      </c>
      <c r="E871" s="7">
        <v>44039.0</v>
      </c>
      <c r="F871" s="6" t="s">
        <v>12</v>
      </c>
      <c r="G871" s="8" t="s">
        <v>2571</v>
      </c>
      <c r="H871" s="8" t="s">
        <v>2571</v>
      </c>
    </row>
    <row r="872">
      <c r="A872" s="6" t="s">
        <v>8</v>
      </c>
      <c r="B872" s="6" t="s">
        <v>9</v>
      </c>
      <c r="C872" s="6" t="s">
        <v>2572</v>
      </c>
      <c r="D872" s="6" t="s">
        <v>2573</v>
      </c>
      <c r="E872" s="7">
        <v>44039.0</v>
      </c>
      <c r="F872" s="6" t="s">
        <v>12</v>
      </c>
      <c r="G872" s="8" t="s">
        <v>2574</v>
      </c>
      <c r="H872" s="8" t="s">
        <v>2574</v>
      </c>
    </row>
    <row r="873">
      <c r="A873" s="6" t="s">
        <v>8</v>
      </c>
      <c r="B873" s="6" t="s">
        <v>9</v>
      </c>
      <c r="C873" s="6" t="s">
        <v>2575</v>
      </c>
      <c r="D873" s="6" t="s">
        <v>2576</v>
      </c>
      <c r="E873" s="7">
        <v>44039.0</v>
      </c>
      <c r="F873" s="6" t="s">
        <v>12</v>
      </c>
      <c r="G873" s="8" t="s">
        <v>2577</v>
      </c>
      <c r="H873" s="8" t="s">
        <v>2577</v>
      </c>
    </row>
    <row r="874">
      <c r="A874" s="6" t="s">
        <v>8</v>
      </c>
      <c r="B874" s="6" t="s">
        <v>9</v>
      </c>
      <c r="C874" s="6" t="s">
        <v>2578</v>
      </c>
      <c r="D874" s="6" t="s">
        <v>634</v>
      </c>
      <c r="E874" s="7">
        <v>44039.0</v>
      </c>
      <c r="F874" s="6" t="s">
        <v>12</v>
      </c>
      <c r="G874" s="8" t="s">
        <v>2579</v>
      </c>
      <c r="H874" s="8" t="s">
        <v>2579</v>
      </c>
    </row>
    <row r="875">
      <c r="A875" s="6" t="s">
        <v>8</v>
      </c>
      <c r="B875" s="6" t="s">
        <v>9</v>
      </c>
      <c r="C875" s="6" t="s">
        <v>2580</v>
      </c>
      <c r="D875" s="6" t="s">
        <v>628</v>
      </c>
      <c r="E875" s="7">
        <v>44039.0</v>
      </c>
      <c r="F875" s="6" t="s">
        <v>12</v>
      </c>
      <c r="G875" s="8" t="s">
        <v>2581</v>
      </c>
      <c r="H875" s="8" t="s">
        <v>2581</v>
      </c>
    </row>
    <row r="876">
      <c r="A876" s="6" t="s">
        <v>8</v>
      </c>
      <c r="B876" s="6" t="s">
        <v>9</v>
      </c>
      <c r="C876" s="6" t="s">
        <v>2582</v>
      </c>
      <c r="D876" s="6" t="s">
        <v>649</v>
      </c>
      <c r="E876" s="7">
        <v>44039.0</v>
      </c>
      <c r="F876" s="6" t="s">
        <v>12</v>
      </c>
      <c r="G876" s="8" t="s">
        <v>2583</v>
      </c>
      <c r="H876" s="8" t="s">
        <v>2583</v>
      </c>
    </row>
    <row r="877">
      <c r="A877" s="6" t="s">
        <v>8</v>
      </c>
      <c r="B877" s="6" t="s">
        <v>9</v>
      </c>
      <c r="C877" s="6" t="s">
        <v>2584</v>
      </c>
      <c r="D877" s="6" t="s">
        <v>2585</v>
      </c>
      <c r="E877" s="7">
        <v>44039.0</v>
      </c>
      <c r="F877" s="6" t="s">
        <v>12</v>
      </c>
      <c r="G877" s="8" t="s">
        <v>2586</v>
      </c>
      <c r="H877" s="8" t="s">
        <v>2586</v>
      </c>
    </row>
    <row r="878">
      <c r="A878" s="6" t="s">
        <v>8</v>
      </c>
      <c r="B878" s="6" t="s">
        <v>9</v>
      </c>
      <c r="C878" s="6" t="s">
        <v>2587</v>
      </c>
      <c r="D878" s="6" t="s">
        <v>2588</v>
      </c>
      <c r="E878" s="7">
        <v>44039.0</v>
      </c>
      <c r="F878" s="6" t="s">
        <v>12</v>
      </c>
      <c r="G878" s="8" t="s">
        <v>2589</v>
      </c>
      <c r="H878" s="8" t="s">
        <v>2589</v>
      </c>
    </row>
    <row r="879">
      <c r="A879" s="6" t="s">
        <v>8</v>
      </c>
      <c r="B879" s="6" t="s">
        <v>9</v>
      </c>
      <c r="C879" s="6" t="s">
        <v>2590</v>
      </c>
      <c r="D879" s="6" t="s">
        <v>2591</v>
      </c>
      <c r="E879" s="7">
        <v>44039.0</v>
      </c>
      <c r="F879" s="6" t="s">
        <v>12</v>
      </c>
      <c r="G879" s="8" t="s">
        <v>2592</v>
      </c>
      <c r="H879" s="8" t="s">
        <v>2592</v>
      </c>
    </row>
    <row r="880">
      <c r="A880" s="6" t="s">
        <v>8</v>
      </c>
      <c r="B880" s="6" t="s">
        <v>9</v>
      </c>
      <c r="C880" s="6" t="s">
        <v>2593</v>
      </c>
      <c r="D880" s="6" t="s">
        <v>2594</v>
      </c>
      <c r="E880" s="7">
        <v>44039.0</v>
      </c>
      <c r="F880" s="6" t="s">
        <v>12</v>
      </c>
      <c r="G880" s="8" t="s">
        <v>2595</v>
      </c>
      <c r="H880" s="8" t="s">
        <v>2595</v>
      </c>
    </row>
    <row r="881">
      <c r="A881" s="6" t="s">
        <v>8</v>
      </c>
      <c r="B881" s="6" t="s">
        <v>9</v>
      </c>
      <c r="C881" s="6" t="s">
        <v>2596</v>
      </c>
      <c r="D881" s="6" t="s">
        <v>2597</v>
      </c>
      <c r="E881" s="7">
        <v>44039.0</v>
      </c>
      <c r="F881" s="6" t="s">
        <v>12</v>
      </c>
      <c r="G881" s="8" t="s">
        <v>2598</v>
      </c>
      <c r="H881" s="8" t="s">
        <v>2598</v>
      </c>
    </row>
    <row r="882">
      <c r="A882" s="6" t="s">
        <v>8</v>
      </c>
      <c r="B882" s="6" t="s">
        <v>9</v>
      </c>
      <c r="C882" s="6" t="s">
        <v>2599</v>
      </c>
      <c r="D882" s="6" t="s">
        <v>2600</v>
      </c>
      <c r="E882" s="7">
        <v>44039.0</v>
      </c>
      <c r="F882" s="6" t="s">
        <v>12</v>
      </c>
      <c r="G882" s="8" t="s">
        <v>2601</v>
      </c>
      <c r="H882" s="8" t="s">
        <v>2601</v>
      </c>
    </row>
    <row r="883">
      <c r="A883" s="6" t="s">
        <v>8</v>
      </c>
      <c r="B883" s="6" t="s">
        <v>9</v>
      </c>
      <c r="C883" s="6" t="s">
        <v>2602</v>
      </c>
      <c r="D883" s="6" t="s">
        <v>2603</v>
      </c>
      <c r="E883" s="7">
        <v>44039.0</v>
      </c>
      <c r="F883" s="6" t="s">
        <v>12</v>
      </c>
      <c r="G883" s="8" t="s">
        <v>2604</v>
      </c>
      <c r="H883" s="8" t="s">
        <v>2604</v>
      </c>
    </row>
    <row r="884">
      <c r="A884" s="6" t="s">
        <v>8</v>
      </c>
      <c r="B884" s="6" t="s">
        <v>9</v>
      </c>
      <c r="C884" s="6" t="s">
        <v>2605</v>
      </c>
      <c r="D884" s="6" t="s">
        <v>2606</v>
      </c>
      <c r="E884" s="7">
        <v>44039.0</v>
      </c>
      <c r="F884" s="6" t="s">
        <v>12</v>
      </c>
      <c r="G884" s="8" t="s">
        <v>2607</v>
      </c>
      <c r="H884" s="8" t="s">
        <v>2607</v>
      </c>
    </row>
    <row r="885">
      <c r="A885" s="6" t="s">
        <v>8</v>
      </c>
      <c r="B885" s="6" t="s">
        <v>9</v>
      </c>
      <c r="C885" s="6" t="s">
        <v>2608</v>
      </c>
      <c r="D885" s="6" t="s">
        <v>646</v>
      </c>
      <c r="E885" s="7">
        <v>44039.0</v>
      </c>
      <c r="F885" s="6" t="s">
        <v>12</v>
      </c>
      <c r="G885" s="8" t="s">
        <v>2609</v>
      </c>
      <c r="H885" s="8" t="s">
        <v>2609</v>
      </c>
    </row>
    <row r="886">
      <c r="A886" s="6" t="s">
        <v>8</v>
      </c>
      <c r="B886" s="6" t="s">
        <v>9</v>
      </c>
      <c r="C886" s="6" t="s">
        <v>2610</v>
      </c>
      <c r="D886" s="6" t="s">
        <v>2611</v>
      </c>
      <c r="E886" s="7">
        <v>44039.0</v>
      </c>
      <c r="F886" s="6" t="s">
        <v>12</v>
      </c>
      <c r="G886" s="8" t="s">
        <v>2612</v>
      </c>
      <c r="H886" s="8" t="s">
        <v>2612</v>
      </c>
    </row>
    <row r="887">
      <c r="A887" s="6" t="s">
        <v>8</v>
      </c>
      <c r="B887" s="6" t="s">
        <v>9</v>
      </c>
      <c r="C887" s="6" t="s">
        <v>2613</v>
      </c>
      <c r="D887" s="6" t="s">
        <v>2614</v>
      </c>
      <c r="E887" s="7">
        <v>44039.0</v>
      </c>
      <c r="F887" s="6" t="s">
        <v>12</v>
      </c>
      <c r="G887" s="8" t="s">
        <v>2615</v>
      </c>
      <c r="H887" s="8" t="s">
        <v>2615</v>
      </c>
    </row>
    <row r="888">
      <c r="A888" s="6" t="s">
        <v>8</v>
      </c>
      <c r="B888" s="6" t="s">
        <v>9</v>
      </c>
      <c r="C888" s="6" t="s">
        <v>2616</v>
      </c>
      <c r="D888" s="6" t="s">
        <v>2617</v>
      </c>
      <c r="E888" s="7">
        <v>44039.0</v>
      </c>
      <c r="F888" s="6" t="s">
        <v>12</v>
      </c>
      <c r="G888" s="8" t="s">
        <v>2618</v>
      </c>
      <c r="H888" s="8" t="s">
        <v>2618</v>
      </c>
    </row>
    <row r="889">
      <c r="A889" s="6" t="s">
        <v>8</v>
      </c>
      <c r="B889" s="6" t="s">
        <v>9</v>
      </c>
      <c r="C889" s="6" t="s">
        <v>2619</v>
      </c>
      <c r="D889" s="6" t="s">
        <v>2620</v>
      </c>
      <c r="E889" s="7">
        <v>44039.0</v>
      </c>
      <c r="F889" s="6" t="s">
        <v>12</v>
      </c>
      <c r="G889" s="8" t="s">
        <v>2621</v>
      </c>
      <c r="H889" s="8" t="s">
        <v>2621</v>
      </c>
    </row>
    <row r="890">
      <c r="A890" s="6" t="s">
        <v>8</v>
      </c>
      <c r="B890" s="6" t="s">
        <v>9</v>
      </c>
      <c r="C890" s="6" t="s">
        <v>2622</v>
      </c>
      <c r="D890" s="6" t="s">
        <v>2623</v>
      </c>
      <c r="E890" s="7">
        <v>44039.0</v>
      </c>
      <c r="F890" s="6" t="s">
        <v>12</v>
      </c>
      <c r="G890" s="8" t="s">
        <v>2624</v>
      </c>
      <c r="H890" s="8" t="s">
        <v>2624</v>
      </c>
    </row>
    <row r="891">
      <c r="A891" s="6" t="s">
        <v>8</v>
      </c>
      <c r="B891" s="6" t="s">
        <v>9</v>
      </c>
      <c r="C891" s="6" t="s">
        <v>2625</v>
      </c>
      <c r="D891" s="6" t="s">
        <v>2626</v>
      </c>
      <c r="E891" s="7">
        <v>44039.0</v>
      </c>
      <c r="F891" s="6" t="s">
        <v>12</v>
      </c>
      <c r="G891" s="8" t="s">
        <v>2627</v>
      </c>
      <c r="H891" s="8" t="s">
        <v>2627</v>
      </c>
    </row>
    <row r="892">
      <c r="A892" s="6" t="s">
        <v>8</v>
      </c>
      <c r="B892" s="6" t="s">
        <v>9</v>
      </c>
      <c r="C892" s="6" t="s">
        <v>2628</v>
      </c>
      <c r="D892" s="6" t="s">
        <v>2629</v>
      </c>
      <c r="E892" s="7">
        <v>44039.0</v>
      </c>
      <c r="F892" s="6" t="s">
        <v>12</v>
      </c>
      <c r="G892" s="8" t="s">
        <v>2630</v>
      </c>
      <c r="H892" s="8" t="s">
        <v>2630</v>
      </c>
    </row>
    <row r="893">
      <c r="A893" s="6" t="s">
        <v>8</v>
      </c>
      <c r="B893" s="6" t="s">
        <v>9</v>
      </c>
      <c r="C893" s="6" t="s">
        <v>2631</v>
      </c>
      <c r="D893" s="6" t="s">
        <v>2632</v>
      </c>
      <c r="E893" s="7">
        <v>44039.0</v>
      </c>
      <c r="F893" s="6" t="s">
        <v>12</v>
      </c>
      <c r="G893" s="8" t="s">
        <v>2633</v>
      </c>
      <c r="H893" s="8" t="s">
        <v>2633</v>
      </c>
    </row>
    <row r="894">
      <c r="A894" s="6" t="s">
        <v>8</v>
      </c>
      <c r="B894" s="6" t="s">
        <v>9</v>
      </c>
      <c r="C894" s="6" t="s">
        <v>2634</v>
      </c>
      <c r="D894" s="6" t="s">
        <v>2635</v>
      </c>
      <c r="E894" s="7">
        <v>44028.0</v>
      </c>
      <c r="F894" s="6" t="s">
        <v>12</v>
      </c>
      <c r="G894" s="8" t="s">
        <v>2636</v>
      </c>
      <c r="H894" s="8" t="s">
        <v>2636</v>
      </c>
    </row>
    <row r="895">
      <c r="A895" s="6" t="s">
        <v>8</v>
      </c>
      <c r="B895" s="6" t="s">
        <v>9</v>
      </c>
      <c r="C895" s="6" t="s">
        <v>2637</v>
      </c>
      <c r="D895" s="6" t="s">
        <v>2638</v>
      </c>
      <c r="E895" s="7">
        <v>44046.0</v>
      </c>
      <c r="F895" s="6" t="s">
        <v>12</v>
      </c>
      <c r="G895" s="8" t="s">
        <v>2639</v>
      </c>
      <c r="H895" s="8" t="s">
        <v>2639</v>
      </c>
    </row>
    <row r="896">
      <c r="A896" s="6" t="s">
        <v>8</v>
      </c>
      <c r="B896" s="6" t="s">
        <v>9</v>
      </c>
      <c r="C896" s="6" t="s">
        <v>2640</v>
      </c>
      <c r="D896" s="6" t="s">
        <v>2641</v>
      </c>
      <c r="E896" s="7">
        <v>44049.0</v>
      </c>
      <c r="F896" s="6" t="s">
        <v>12</v>
      </c>
      <c r="G896" s="8" t="s">
        <v>2642</v>
      </c>
      <c r="H896" s="8" t="s">
        <v>2642</v>
      </c>
    </row>
    <row r="897">
      <c r="A897" s="6" t="s">
        <v>8</v>
      </c>
      <c r="B897" s="6" t="s">
        <v>9</v>
      </c>
      <c r="C897" s="6" t="s">
        <v>2643</v>
      </c>
      <c r="D897" s="6" t="s">
        <v>2644</v>
      </c>
      <c r="E897" s="7">
        <v>44040.0</v>
      </c>
      <c r="F897" s="6" t="s">
        <v>12</v>
      </c>
      <c r="G897" s="8" t="s">
        <v>2645</v>
      </c>
      <c r="H897" s="8" t="s">
        <v>2645</v>
      </c>
    </row>
    <row r="898">
      <c r="A898" s="6" t="s">
        <v>8</v>
      </c>
      <c r="B898" s="6" t="s">
        <v>9</v>
      </c>
      <c r="C898" s="6" t="s">
        <v>2646</v>
      </c>
      <c r="D898" s="6" t="s">
        <v>2647</v>
      </c>
      <c r="E898" s="7">
        <v>44039.0</v>
      </c>
      <c r="F898" s="6" t="s">
        <v>12</v>
      </c>
      <c r="G898" s="8" t="s">
        <v>2648</v>
      </c>
      <c r="H898" s="8" t="s">
        <v>2648</v>
      </c>
    </row>
    <row r="899">
      <c r="A899" s="6" t="s">
        <v>8</v>
      </c>
      <c r="B899" s="6" t="s">
        <v>9</v>
      </c>
      <c r="C899" s="6" t="s">
        <v>2649</v>
      </c>
      <c r="D899" s="6" t="s">
        <v>2650</v>
      </c>
      <c r="E899" s="7">
        <v>44039.0</v>
      </c>
      <c r="F899" s="6" t="s">
        <v>12</v>
      </c>
      <c r="G899" s="8" t="s">
        <v>2651</v>
      </c>
      <c r="H899" s="8" t="s">
        <v>2651</v>
      </c>
    </row>
    <row r="900">
      <c r="A900" s="6" t="s">
        <v>8</v>
      </c>
      <c r="B900" s="6" t="s">
        <v>9</v>
      </c>
      <c r="C900" s="6" t="s">
        <v>2652</v>
      </c>
      <c r="D900" s="6" t="s">
        <v>2653</v>
      </c>
      <c r="E900" s="7">
        <v>44039.0</v>
      </c>
      <c r="F900" s="6" t="s">
        <v>12</v>
      </c>
      <c r="G900" s="8" t="s">
        <v>2654</v>
      </c>
      <c r="H900" s="8" t="s">
        <v>2654</v>
      </c>
    </row>
    <row r="901">
      <c r="A901" s="6" t="s">
        <v>8</v>
      </c>
      <c r="B901" s="6" t="s">
        <v>9</v>
      </c>
      <c r="C901" s="6" t="s">
        <v>2655</v>
      </c>
      <c r="D901" s="6" t="s">
        <v>2656</v>
      </c>
      <c r="E901" s="7">
        <v>44039.0</v>
      </c>
      <c r="F901" s="6" t="s">
        <v>12</v>
      </c>
      <c r="G901" s="8" t="s">
        <v>2657</v>
      </c>
      <c r="H901" s="8" t="s">
        <v>2657</v>
      </c>
    </row>
    <row r="902">
      <c r="A902" s="6" t="s">
        <v>8</v>
      </c>
      <c r="B902" s="6" t="s">
        <v>9</v>
      </c>
      <c r="C902" s="6" t="s">
        <v>2658</v>
      </c>
      <c r="D902" s="6" t="s">
        <v>2659</v>
      </c>
      <c r="E902" s="7">
        <v>44039.0</v>
      </c>
      <c r="F902" s="6" t="s">
        <v>12</v>
      </c>
      <c r="G902" s="8" t="s">
        <v>2660</v>
      </c>
      <c r="H902" s="8" t="s">
        <v>2660</v>
      </c>
    </row>
    <row r="903">
      <c r="A903" s="6" t="s">
        <v>8</v>
      </c>
      <c r="B903" s="6" t="s">
        <v>9</v>
      </c>
      <c r="C903" s="6" t="s">
        <v>2661</v>
      </c>
      <c r="D903" s="6" t="s">
        <v>2662</v>
      </c>
      <c r="E903" s="7">
        <v>44039.0</v>
      </c>
      <c r="F903" s="6" t="s">
        <v>12</v>
      </c>
      <c r="G903" s="8" t="s">
        <v>2663</v>
      </c>
      <c r="H903" s="8" t="s">
        <v>2663</v>
      </c>
    </row>
    <row r="904">
      <c r="A904" s="6" t="s">
        <v>8</v>
      </c>
      <c r="B904" s="6" t="s">
        <v>9</v>
      </c>
      <c r="C904" s="6" t="s">
        <v>2664</v>
      </c>
      <c r="D904" s="6" t="s">
        <v>2665</v>
      </c>
      <c r="E904" s="7">
        <v>44039.0</v>
      </c>
      <c r="F904" s="6" t="s">
        <v>12</v>
      </c>
      <c r="G904" s="8" t="s">
        <v>2666</v>
      </c>
      <c r="H904" s="8" t="s">
        <v>2666</v>
      </c>
    </row>
    <row r="905">
      <c r="A905" s="6" t="s">
        <v>8</v>
      </c>
      <c r="B905" s="6" t="s">
        <v>9</v>
      </c>
      <c r="C905" s="6" t="s">
        <v>2667</v>
      </c>
      <c r="D905" s="6" t="s">
        <v>2668</v>
      </c>
      <c r="E905" s="7">
        <v>44043.0</v>
      </c>
      <c r="F905" s="6" t="s">
        <v>12</v>
      </c>
      <c r="G905" s="8" t="s">
        <v>2669</v>
      </c>
      <c r="H905" s="8" t="s">
        <v>2669</v>
      </c>
    </row>
    <row r="906">
      <c r="A906" s="6" t="s">
        <v>8</v>
      </c>
      <c r="B906" s="6" t="s">
        <v>9</v>
      </c>
      <c r="C906" s="6" t="s">
        <v>2670</v>
      </c>
      <c r="D906" s="6" t="s">
        <v>2671</v>
      </c>
      <c r="E906" s="7">
        <v>44046.0</v>
      </c>
      <c r="F906" s="6" t="s">
        <v>12</v>
      </c>
      <c r="G906" s="8" t="s">
        <v>2672</v>
      </c>
      <c r="H906" s="8" t="s">
        <v>2672</v>
      </c>
    </row>
    <row r="907">
      <c r="A907" s="6" t="s">
        <v>8</v>
      </c>
      <c r="B907" s="6" t="s">
        <v>9</v>
      </c>
      <c r="C907" s="6" t="s">
        <v>2673</v>
      </c>
      <c r="D907" s="6" t="s">
        <v>2674</v>
      </c>
      <c r="E907" s="7">
        <v>44046.0</v>
      </c>
      <c r="F907" s="6" t="s">
        <v>12</v>
      </c>
      <c r="G907" s="8" t="s">
        <v>2675</v>
      </c>
      <c r="H907" s="8" t="s">
        <v>2675</v>
      </c>
    </row>
    <row r="908">
      <c r="A908" s="6" t="s">
        <v>8</v>
      </c>
      <c r="B908" s="6" t="s">
        <v>9</v>
      </c>
      <c r="C908" s="6" t="s">
        <v>2676</v>
      </c>
      <c r="D908" s="6" t="s">
        <v>2677</v>
      </c>
      <c r="E908" s="7">
        <v>44054.0</v>
      </c>
      <c r="F908" s="6" t="s">
        <v>12</v>
      </c>
      <c r="G908" s="8" t="s">
        <v>2678</v>
      </c>
      <c r="H908" s="8" t="s">
        <v>2678</v>
      </c>
    </row>
    <row r="909">
      <c r="A909" s="6" t="s">
        <v>8</v>
      </c>
      <c r="B909" s="6" t="s">
        <v>9</v>
      </c>
      <c r="C909" s="6" t="s">
        <v>2679</v>
      </c>
      <c r="D909" s="6" t="s">
        <v>2680</v>
      </c>
      <c r="E909" s="7">
        <v>44054.0</v>
      </c>
      <c r="F909" s="6" t="s">
        <v>12</v>
      </c>
      <c r="G909" s="8" t="s">
        <v>2681</v>
      </c>
      <c r="H909" s="8" t="s">
        <v>2681</v>
      </c>
    </row>
    <row r="910">
      <c r="A910" s="6" t="s">
        <v>8</v>
      </c>
      <c r="B910" s="6" t="s">
        <v>9</v>
      </c>
      <c r="C910" s="6" t="s">
        <v>2682</v>
      </c>
      <c r="D910" s="6" t="s">
        <v>2683</v>
      </c>
      <c r="E910" s="7">
        <v>44061.0</v>
      </c>
      <c r="F910" s="6" t="s">
        <v>12</v>
      </c>
      <c r="G910" s="8" t="s">
        <v>2684</v>
      </c>
      <c r="H910" s="8" t="s">
        <v>2684</v>
      </c>
    </row>
    <row r="911">
      <c r="A911" s="6" t="s">
        <v>8</v>
      </c>
      <c r="B911" s="6" t="s">
        <v>9</v>
      </c>
      <c r="C911" s="6" t="s">
        <v>2685</v>
      </c>
      <c r="D911" s="6" t="s">
        <v>2686</v>
      </c>
      <c r="E911" s="7">
        <v>44061.0</v>
      </c>
      <c r="F911" s="6" t="s">
        <v>12</v>
      </c>
      <c r="G911" s="8" t="s">
        <v>2687</v>
      </c>
      <c r="H911" s="8" t="s">
        <v>2687</v>
      </c>
    </row>
    <row r="912">
      <c r="A912" s="6" t="s">
        <v>8</v>
      </c>
      <c r="B912" s="6" t="s">
        <v>9</v>
      </c>
      <c r="C912" s="6" t="s">
        <v>2688</v>
      </c>
      <c r="D912" s="6" t="s">
        <v>2689</v>
      </c>
      <c r="E912" s="7">
        <v>44061.0</v>
      </c>
      <c r="F912" s="6" t="s">
        <v>12</v>
      </c>
      <c r="G912" s="8" t="s">
        <v>2690</v>
      </c>
      <c r="H912" s="8" t="s">
        <v>2690</v>
      </c>
    </row>
    <row r="913">
      <c r="A913" s="6" t="s">
        <v>8</v>
      </c>
      <c r="B913" s="6" t="s">
        <v>9</v>
      </c>
      <c r="C913" s="6" t="s">
        <v>2691</v>
      </c>
      <c r="D913" s="6" t="s">
        <v>2692</v>
      </c>
      <c r="E913" s="7">
        <v>44052.0</v>
      </c>
      <c r="F913" s="6" t="s">
        <v>12</v>
      </c>
      <c r="G913" s="8" t="s">
        <v>2693</v>
      </c>
      <c r="H913" s="8" t="s">
        <v>2693</v>
      </c>
    </row>
    <row r="914">
      <c r="A914" s="6" t="s">
        <v>8</v>
      </c>
      <c r="B914" s="6" t="s">
        <v>9</v>
      </c>
      <c r="C914" s="6" t="s">
        <v>2694</v>
      </c>
      <c r="D914" s="6" t="s">
        <v>2695</v>
      </c>
      <c r="E914" s="7">
        <v>44055.0</v>
      </c>
      <c r="F914" s="6" t="s">
        <v>12</v>
      </c>
      <c r="G914" s="8" t="s">
        <v>2696</v>
      </c>
      <c r="H914" s="8" t="s">
        <v>2696</v>
      </c>
    </row>
    <row r="915">
      <c r="A915" s="6" t="s">
        <v>8</v>
      </c>
      <c r="B915" s="6" t="s">
        <v>9</v>
      </c>
      <c r="C915" s="6" t="s">
        <v>2697</v>
      </c>
      <c r="D915" s="6" t="s">
        <v>2698</v>
      </c>
      <c r="E915" s="7">
        <v>44074.0</v>
      </c>
      <c r="F915" s="6" t="s">
        <v>12</v>
      </c>
      <c r="G915" s="8" t="s">
        <v>2699</v>
      </c>
      <c r="H915" s="8" t="s">
        <v>2699</v>
      </c>
    </row>
    <row r="916">
      <c r="A916" s="6" t="s">
        <v>8</v>
      </c>
      <c r="B916" s="6" t="s">
        <v>9</v>
      </c>
      <c r="C916" s="6" t="s">
        <v>2700</v>
      </c>
      <c r="D916" s="6" t="s">
        <v>2701</v>
      </c>
      <c r="E916" s="7">
        <v>44070.0</v>
      </c>
      <c r="F916" s="6" t="s">
        <v>12</v>
      </c>
      <c r="G916" s="8" t="s">
        <v>2702</v>
      </c>
      <c r="H916" s="8" t="s">
        <v>2702</v>
      </c>
    </row>
    <row r="917">
      <c r="A917" s="6" t="s">
        <v>8</v>
      </c>
      <c r="B917" s="6" t="s">
        <v>9</v>
      </c>
      <c r="C917" s="6" t="s">
        <v>2703</v>
      </c>
      <c r="D917" s="6" t="s">
        <v>2704</v>
      </c>
      <c r="E917" s="7">
        <v>44070.0</v>
      </c>
      <c r="F917" s="6" t="s">
        <v>12</v>
      </c>
      <c r="G917" s="8" t="s">
        <v>2705</v>
      </c>
      <c r="H917" s="8" t="s">
        <v>2705</v>
      </c>
    </row>
    <row r="918">
      <c r="A918" s="6" t="s">
        <v>8</v>
      </c>
      <c r="B918" s="6" t="s">
        <v>9</v>
      </c>
      <c r="C918" s="6" t="s">
        <v>2706</v>
      </c>
      <c r="D918" s="6" t="s">
        <v>2707</v>
      </c>
      <c r="E918" s="7">
        <v>44081.0</v>
      </c>
      <c r="F918" s="6" t="s">
        <v>12</v>
      </c>
      <c r="G918" s="8" t="s">
        <v>2708</v>
      </c>
      <c r="H918" s="8" t="s">
        <v>2708</v>
      </c>
    </row>
    <row r="919">
      <c r="A919" s="6" t="s">
        <v>8</v>
      </c>
      <c r="B919" s="6" t="s">
        <v>9</v>
      </c>
      <c r="C919" s="6" t="s">
        <v>2709</v>
      </c>
      <c r="D919" s="6" t="s">
        <v>2710</v>
      </c>
      <c r="E919" s="7">
        <v>44078.0</v>
      </c>
      <c r="F919" s="6" t="s">
        <v>12</v>
      </c>
      <c r="G919" s="8" t="s">
        <v>2711</v>
      </c>
      <c r="H919" s="8" t="s">
        <v>2711</v>
      </c>
    </row>
    <row r="920">
      <c r="A920" s="6" t="s">
        <v>8</v>
      </c>
      <c r="B920" s="6" t="s">
        <v>9</v>
      </c>
      <c r="C920" s="6" t="s">
        <v>2712</v>
      </c>
      <c r="D920" s="6" t="s">
        <v>2713</v>
      </c>
      <c r="E920" s="7">
        <v>44078.0</v>
      </c>
      <c r="F920" s="6" t="s">
        <v>12</v>
      </c>
      <c r="G920" s="8" t="s">
        <v>2714</v>
      </c>
      <c r="H920" s="8" t="s">
        <v>2714</v>
      </c>
    </row>
    <row r="921">
      <c r="A921" s="6" t="s">
        <v>8</v>
      </c>
      <c r="B921" s="6" t="s">
        <v>9</v>
      </c>
      <c r="C921" s="6" t="s">
        <v>2715</v>
      </c>
      <c r="D921" s="6" t="s">
        <v>2716</v>
      </c>
      <c r="E921" s="7">
        <v>44076.0</v>
      </c>
      <c r="F921" s="6" t="s">
        <v>12</v>
      </c>
      <c r="G921" s="8" t="s">
        <v>2717</v>
      </c>
      <c r="H921" s="8" t="s">
        <v>2717</v>
      </c>
    </row>
    <row r="922">
      <c r="A922" s="6" t="s">
        <v>8</v>
      </c>
      <c r="B922" s="6" t="s">
        <v>9</v>
      </c>
      <c r="C922" s="6" t="s">
        <v>2718</v>
      </c>
      <c r="D922" s="6" t="s">
        <v>2719</v>
      </c>
      <c r="E922" s="7">
        <v>44091.0</v>
      </c>
      <c r="F922" s="6" t="s">
        <v>12</v>
      </c>
      <c r="G922" s="8" t="s">
        <v>2720</v>
      </c>
      <c r="H922" s="8" t="s">
        <v>2720</v>
      </c>
    </row>
    <row r="923">
      <c r="A923" s="6" t="s">
        <v>8</v>
      </c>
      <c r="B923" s="6" t="s">
        <v>9</v>
      </c>
      <c r="C923" s="6" t="s">
        <v>2721</v>
      </c>
      <c r="D923" s="6" t="s">
        <v>2722</v>
      </c>
      <c r="E923" s="7">
        <v>44091.0</v>
      </c>
      <c r="F923" s="6" t="s">
        <v>12</v>
      </c>
      <c r="G923" s="8" t="s">
        <v>2723</v>
      </c>
      <c r="H923" s="8" t="s">
        <v>2723</v>
      </c>
    </row>
    <row r="924">
      <c r="A924" s="6" t="s">
        <v>8</v>
      </c>
      <c r="B924" s="6" t="s">
        <v>9</v>
      </c>
      <c r="C924" s="6" t="s">
        <v>2724</v>
      </c>
      <c r="D924" s="6" t="s">
        <v>2725</v>
      </c>
      <c r="E924" s="7">
        <v>44091.0</v>
      </c>
      <c r="F924" s="6" t="s">
        <v>12</v>
      </c>
      <c r="G924" s="8" t="s">
        <v>2726</v>
      </c>
      <c r="H924" s="8" t="s">
        <v>2726</v>
      </c>
    </row>
    <row r="925">
      <c r="A925" s="6" t="s">
        <v>8</v>
      </c>
      <c r="B925" s="6" t="s">
        <v>9</v>
      </c>
      <c r="C925" s="6" t="s">
        <v>2727</v>
      </c>
      <c r="D925" s="6" t="s">
        <v>2728</v>
      </c>
      <c r="E925" s="7">
        <v>44091.0</v>
      </c>
      <c r="F925" s="6" t="s">
        <v>12</v>
      </c>
      <c r="G925" s="8" t="s">
        <v>2729</v>
      </c>
      <c r="H925" s="8" t="s">
        <v>2729</v>
      </c>
    </row>
    <row r="926">
      <c r="A926" s="6" t="s">
        <v>8</v>
      </c>
      <c r="B926" s="6" t="s">
        <v>9</v>
      </c>
      <c r="C926" s="6" t="s">
        <v>2730</v>
      </c>
      <c r="D926" s="6" t="s">
        <v>2731</v>
      </c>
      <c r="E926" s="7">
        <v>44091.0</v>
      </c>
      <c r="F926" s="6" t="s">
        <v>12</v>
      </c>
      <c r="G926" s="8" t="s">
        <v>2732</v>
      </c>
      <c r="H926" s="8" t="s">
        <v>2732</v>
      </c>
    </row>
    <row r="927">
      <c r="A927" s="6" t="s">
        <v>8</v>
      </c>
      <c r="B927" s="6" t="s">
        <v>9</v>
      </c>
      <c r="C927" s="6" t="s">
        <v>2733</v>
      </c>
      <c r="D927" s="6" t="s">
        <v>2734</v>
      </c>
      <c r="E927" s="7">
        <v>44091.0</v>
      </c>
      <c r="F927" s="6" t="s">
        <v>12</v>
      </c>
      <c r="G927" s="8" t="s">
        <v>2735</v>
      </c>
      <c r="H927" s="8" t="s">
        <v>2735</v>
      </c>
    </row>
    <row r="928">
      <c r="A928" s="6" t="s">
        <v>8</v>
      </c>
      <c r="B928" s="6" t="s">
        <v>9</v>
      </c>
      <c r="C928" s="6" t="s">
        <v>2736</v>
      </c>
      <c r="D928" s="6" t="s">
        <v>2737</v>
      </c>
      <c r="E928" s="7">
        <v>44091.0</v>
      </c>
      <c r="F928" s="6" t="s">
        <v>12</v>
      </c>
      <c r="G928" s="8" t="s">
        <v>2738</v>
      </c>
      <c r="H928" s="8" t="s">
        <v>2738</v>
      </c>
    </row>
    <row r="929">
      <c r="A929" s="6" t="s">
        <v>8</v>
      </c>
      <c r="B929" s="6" t="s">
        <v>9</v>
      </c>
      <c r="C929" s="6" t="s">
        <v>2739</v>
      </c>
      <c r="D929" s="6" t="s">
        <v>2740</v>
      </c>
      <c r="E929" s="7">
        <v>44091.0</v>
      </c>
      <c r="F929" s="6" t="s">
        <v>12</v>
      </c>
      <c r="G929" s="8" t="s">
        <v>2741</v>
      </c>
      <c r="H929" s="8" t="s">
        <v>2741</v>
      </c>
    </row>
    <row r="930">
      <c r="A930" s="6" t="s">
        <v>8</v>
      </c>
      <c r="B930" s="6" t="s">
        <v>9</v>
      </c>
      <c r="C930" s="6" t="s">
        <v>2742</v>
      </c>
      <c r="D930" s="6" t="s">
        <v>2743</v>
      </c>
      <c r="E930" s="7">
        <v>44091.0</v>
      </c>
      <c r="F930" s="6" t="s">
        <v>12</v>
      </c>
      <c r="G930" s="8" t="s">
        <v>2744</v>
      </c>
      <c r="H930" s="8" t="s">
        <v>2744</v>
      </c>
    </row>
    <row r="931">
      <c r="A931" s="6" t="s">
        <v>8</v>
      </c>
      <c r="B931" s="6" t="s">
        <v>9</v>
      </c>
      <c r="C931" s="6" t="s">
        <v>2745</v>
      </c>
      <c r="D931" s="6" t="s">
        <v>2746</v>
      </c>
      <c r="E931" s="7">
        <v>44084.0</v>
      </c>
      <c r="F931" s="6" t="s">
        <v>12</v>
      </c>
      <c r="G931" s="8" t="s">
        <v>2747</v>
      </c>
      <c r="H931" s="8" t="s">
        <v>2747</v>
      </c>
    </row>
    <row r="932">
      <c r="A932" s="6" t="s">
        <v>8</v>
      </c>
      <c r="B932" s="6" t="s">
        <v>9</v>
      </c>
      <c r="C932" s="6" t="s">
        <v>2748</v>
      </c>
      <c r="D932" s="6" t="s">
        <v>2749</v>
      </c>
      <c r="E932" s="7">
        <v>44084.0</v>
      </c>
      <c r="F932" s="6" t="s">
        <v>12</v>
      </c>
      <c r="G932" s="8" t="s">
        <v>2750</v>
      </c>
      <c r="H932" s="8" t="s">
        <v>2750</v>
      </c>
    </row>
    <row r="933">
      <c r="A933" s="6" t="s">
        <v>8</v>
      </c>
      <c r="B933" s="6" t="s">
        <v>9</v>
      </c>
      <c r="C933" s="6" t="s">
        <v>2751</v>
      </c>
      <c r="D933" s="6" t="s">
        <v>2752</v>
      </c>
      <c r="E933" s="7">
        <v>44099.0</v>
      </c>
      <c r="F933" s="6" t="s">
        <v>12</v>
      </c>
      <c r="G933" s="8" t="s">
        <v>2753</v>
      </c>
      <c r="H933" s="8" t="s">
        <v>2753</v>
      </c>
    </row>
    <row r="934">
      <c r="A934" s="6" t="s">
        <v>8</v>
      </c>
      <c r="B934" s="6" t="s">
        <v>9</v>
      </c>
      <c r="C934" s="6" t="s">
        <v>2754</v>
      </c>
      <c r="D934" s="6" t="s">
        <v>2755</v>
      </c>
      <c r="E934" s="7">
        <v>44098.0</v>
      </c>
      <c r="F934" s="6" t="s">
        <v>12</v>
      </c>
      <c r="G934" s="8" t="s">
        <v>2756</v>
      </c>
      <c r="H934" s="8" t="s">
        <v>2756</v>
      </c>
    </row>
    <row r="935">
      <c r="A935" s="6" t="s">
        <v>8</v>
      </c>
      <c r="B935" s="6" t="s">
        <v>9</v>
      </c>
      <c r="C935" s="6" t="s">
        <v>2757</v>
      </c>
      <c r="D935" s="6" t="s">
        <v>2758</v>
      </c>
      <c r="E935" s="7">
        <v>44098.0</v>
      </c>
      <c r="F935" s="6" t="s">
        <v>12</v>
      </c>
      <c r="G935" s="8" t="s">
        <v>2759</v>
      </c>
      <c r="H935" s="8" t="s">
        <v>2759</v>
      </c>
    </row>
    <row r="936">
      <c r="A936" s="6" t="s">
        <v>8</v>
      </c>
      <c r="B936" s="6" t="s">
        <v>9</v>
      </c>
      <c r="C936" s="6" t="s">
        <v>2760</v>
      </c>
      <c r="D936" s="6" t="s">
        <v>2761</v>
      </c>
      <c r="E936" s="7">
        <v>44098.0</v>
      </c>
      <c r="F936" s="6" t="s">
        <v>12</v>
      </c>
      <c r="G936" s="8" t="s">
        <v>2762</v>
      </c>
      <c r="H936" s="8" t="s">
        <v>2762</v>
      </c>
    </row>
    <row r="937">
      <c r="A937" s="6" t="s">
        <v>8</v>
      </c>
      <c r="B937" s="6" t="s">
        <v>9</v>
      </c>
      <c r="C937" s="6" t="s">
        <v>2763</v>
      </c>
      <c r="D937" s="6" t="s">
        <v>2764</v>
      </c>
      <c r="E937" s="7">
        <v>44097.0</v>
      </c>
      <c r="F937" s="6" t="s">
        <v>12</v>
      </c>
      <c r="G937" s="8" t="s">
        <v>2765</v>
      </c>
      <c r="H937" s="8" t="s">
        <v>2765</v>
      </c>
    </row>
    <row r="938">
      <c r="A938" s="6" t="s">
        <v>8</v>
      </c>
      <c r="B938" s="6" t="s">
        <v>9</v>
      </c>
      <c r="C938" s="6" t="s">
        <v>2766</v>
      </c>
      <c r="D938" s="6" t="s">
        <v>2767</v>
      </c>
      <c r="E938" s="7">
        <v>44109.0</v>
      </c>
      <c r="F938" s="6" t="s">
        <v>12</v>
      </c>
      <c r="G938" s="8" t="s">
        <v>2768</v>
      </c>
      <c r="H938" s="8" t="s">
        <v>2768</v>
      </c>
    </row>
    <row r="939">
      <c r="A939" s="6" t="s">
        <v>8</v>
      </c>
      <c r="B939" s="6" t="s">
        <v>9</v>
      </c>
      <c r="C939" s="6" t="s">
        <v>2769</v>
      </c>
      <c r="D939" s="6" t="s">
        <v>2770</v>
      </c>
      <c r="E939" s="7">
        <v>44109.0</v>
      </c>
      <c r="F939" s="6" t="s">
        <v>12</v>
      </c>
      <c r="G939" s="8" t="s">
        <v>2771</v>
      </c>
      <c r="H939" s="8" t="s">
        <v>2771</v>
      </c>
    </row>
    <row r="940">
      <c r="A940" s="6" t="s">
        <v>8</v>
      </c>
      <c r="B940" s="6" t="s">
        <v>9</v>
      </c>
      <c r="C940" s="6" t="s">
        <v>2772</v>
      </c>
      <c r="D940" s="6" t="s">
        <v>2773</v>
      </c>
      <c r="E940" s="7">
        <v>44109.0</v>
      </c>
      <c r="F940" s="6" t="s">
        <v>12</v>
      </c>
      <c r="G940" s="8" t="s">
        <v>2774</v>
      </c>
      <c r="H940" s="8" t="s">
        <v>2774</v>
      </c>
    </row>
    <row r="941">
      <c r="A941" s="6" t="s">
        <v>8</v>
      </c>
      <c r="B941" s="6" t="s">
        <v>9</v>
      </c>
      <c r="C941" s="6" t="s">
        <v>2775</v>
      </c>
      <c r="D941" s="6" t="s">
        <v>2776</v>
      </c>
      <c r="E941" s="7">
        <v>44109.0</v>
      </c>
      <c r="F941" s="6" t="s">
        <v>12</v>
      </c>
      <c r="G941" s="8" t="s">
        <v>2777</v>
      </c>
      <c r="H941" s="8" t="s">
        <v>2777</v>
      </c>
    </row>
    <row r="942">
      <c r="A942" s="6" t="s">
        <v>8</v>
      </c>
      <c r="B942" s="6" t="s">
        <v>9</v>
      </c>
      <c r="C942" s="6" t="s">
        <v>2778</v>
      </c>
      <c r="D942" s="6" t="s">
        <v>2779</v>
      </c>
      <c r="E942" s="7">
        <v>44112.0</v>
      </c>
      <c r="F942" s="6" t="s">
        <v>12</v>
      </c>
      <c r="G942" s="8" t="s">
        <v>2780</v>
      </c>
      <c r="H942" s="8" t="s">
        <v>2780</v>
      </c>
    </row>
    <row r="943">
      <c r="A943" s="6" t="s">
        <v>8</v>
      </c>
      <c r="B943" s="6" t="s">
        <v>9</v>
      </c>
      <c r="C943" s="6" t="s">
        <v>2781</v>
      </c>
      <c r="D943" s="6" t="s">
        <v>2782</v>
      </c>
      <c r="E943" s="7">
        <v>44117.0</v>
      </c>
      <c r="F943" s="6" t="s">
        <v>12</v>
      </c>
      <c r="G943" s="8" t="s">
        <v>2783</v>
      </c>
      <c r="H943" s="8" t="s">
        <v>2783</v>
      </c>
    </row>
    <row r="944">
      <c r="A944" s="6" t="s">
        <v>8</v>
      </c>
      <c r="B944" s="6" t="s">
        <v>9</v>
      </c>
      <c r="C944" s="6" t="s">
        <v>2784</v>
      </c>
      <c r="D944" s="6" t="s">
        <v>2785</v>
      </c>
      <c r="E944" s="7">
        <v>44116.0</v>
      </c>
      <c r="F944" s="6" t="s">
        <v>12</v>
      </c>
      <c r="G944" s="8" t="s">
        <v>2786</v>
      </c>
      <c r="H944" s="8" t="s">
        <v>2786</v>
      </c>
    </row>
    <row r="945">
      <c r="A945" s="6" t="s">
        <v>8</v>
      </c>
      <c r="B945" s="6" t="s">
        <v>9</v>
      </c>
      <c r="C945" s="6" t="s">
        <v>2787</v>
      </c>
      <c r="D945" s="6" t="s">
        <v>2788</v>
      </c>
      <c r="E945" s="7">
        <v>44118.0</v>
      </c>
      <c r="F945" s="6" t="s">
        <v>12</v>
      </c>
      <c r="G945" s="8" t="s">
        <v>2789</v>
      </c>
      <c r="H945" s="8" t="s">
        <v>2789</v>
      </c>
    </row>
    <row r="946">
      <c r="A946" s="6" t="s">
        <v>8</v>
      </c>
      <c r="B946" s="6" t="s">
        <v>9</v>
      </c>
      <c r="C946" s="6" t="s">
        <v>2790</v>
      </c>
      <c r="D946" s="6" t="s">
        <v>2791</v>
      </c>
      <c r="E946" s="7">
        <v>44118.0</v>
      </c>
      <c r="F946" s="6" t="s">
        <v>12</v>
      </c>
      <c r="G946" s="8" t="s">
        <v>2792</v>
      </c>
      <c r="H946" s="8" t="s">
        <v>2792</v>
      </c>
    </row>
    <row r="947">
      <c r="A947" s="6" t="s">
        <v>8</v>
      </c>
      <c r="B947" s="6" t="s">
        <v>9</v>
      </c>
      <c r="C947" s="6" t="s">
        <v>2793</v>
      </c>
      <c r="D947" s="6" t="s">
        <v>2794</v>
      </c>
      <c r="E947" s="7">
        <v>44119.0</v>
      </c>
      <c r="F947" s="6" t="s">
        <v>12</v>
      </c>
      <c r="G947" s="8" t="s">
        <v>2795</v>
      </c>
      <c r="H947" s="8" t="s">
        <v>2795</v>
      </c>
    </row>
    <row r="948">
      <c r="A948" s="6" t="s">
        <v>8</v>
      </c>
      <c r="B948" s="6" t="s">
        <v>9</v>
      </c>
      <c r="C948" s="6" t="s">
        <v>2796</v>
      </c>
      <c r="D948" s="6" t="s">
        <v>2797</v>
      </c>
      <c r="E948" s="7">
        <v>44127.0</v>
      </c>
      <c r="F948" s="6" t="s">
        <v>12</v>
      </c>
      <c r="G948" s="8" t="s">
        <v>2798</v>
      </c>
      <c r="H948" s="8" t="s">
        <v>2798</v>
      </c>
    </row>
    <row r="949">
      <c r="A949" s="6" t="s">
        <v>8</v>
      </c>
      <c r="B949" s="6" t="s">
        <v>9</v>
      </c>
      <c r="C949" s="6" t="s">
        <v>2799</v>
      </c>
      <c r="D949" s="6" t="s">
        <v>2800</v>
      </c>
      <c r="E949" s="7">
        <v>44127.0</v>
      </c>
      <c r="F949" s="6" t="s">
        <v>12</v>
      </c>
      <c r="G949" s="8" t="s">
        <v>2801</v>
      </c>
      <c r="H949" s="8" t="s">
        <v>2801</v>
      </c>
    </row>
    <row r="950">
      <c r="A950" s="6" t="s">
        <v>8</v>
      </c>
      <c r="B950" s="6" t="s">
        <v>9</v>
      </c>
      <c r="C950" s="6" t="s">
        <v>2802</v>
      </c>
      <c r="D950" s="6" t="s">
        <v>2803</v>
      </c>
      <c r="E950" s="7">
        <v>44127.0</v>
      </c>
      <c r="F950" s="6" t="s">
        <v>12</v>
      </c>
      <c r="G950" s="8" t="s">
        <v>2804</v>
      </c>
      <c r="H950" s="8" t="s">
        <v>2804</v>
      </c>
    </row>
    <row r="951">
      <c r="A951" s="6" t="s">
        <v>8</v>
      </c>
      <c r="B951" s="6" t="s">
        <v>9</v>
      </c>
      <c r="C951" s="6" t="s">
        <v>2805</v>
      </c>
      <c r="D951" s="6" t="s">
        <v>2806</v>
      </c>
      <c r="E951" s="7">
        <v>44127.0</v>
      </c>
      <c r="F951" s="6" t="s">
        <v>12</v>
      </c>
      <c r="G951" s="8" t="s">
        <v>2807</v>
      </c>
      <c r="H951" s="8" t="s">
        <v>2807</v>
      </c>
    </row>
    <row r="952">
      <c r="A952" s="6" t="s">
        <v>8</v>
      </c>
      <c r="B952" s="6" t="s">
        <v>9</v>
      </c>
      <c r="C952" s="6" t="s">
        <v>2808</v>
      </c>
      <c r="D952" s="6" t="s">
        <v>2809</v>
      </c>
      <c r="E952" s="7">
        <v>44134.0</v>
      </c>
      <c r="F952" s="6" t="s">
        <v>12</v>
      </c>
      <c r="G952" s="8" t="s">
        <v>2810</v>
      </c>
      <c r="H952" s="8" t="s">
        <v>2810</v>
      </c>
    </row>
    <row r="953">
      <c r="A953" s="6" t="s">
        <v>8</v>
      </c>
      <c r="B953" s="6" t="s">
        <v>9</v>
      </c>
      <c r="C953" s="6" t="s">
        <v>2811</v>
      </c>
      <c r="D953" s="6" t="s">
        <v>2812</v>
      </c>
      <c r="E953" s="7">
        <v>44137.0</v>
      </c>
      <c r="F953" s="6" t="s">
        <v>12</v>
      </c>
      <c r="G953" s="8" t="s">
        <v>2813</v>
      </c>
      <c r="H953" s="8" t="s">
        <v>2813</v>
      </c>
    </row>
    <row r="954">
      <c r="A954" s="6" t="s">
        <v>8</v>
      </c>
      <c r="B954" s="6" t="s">
        <v>9</v>
      </c>
      <c r="C954" s="6" t="s">
        <v>2814</v>
      </c>
      <c r="D954" s="6" t="s">
        <v>2815</v>
      </c>
      <c r="E954" s="7">
        <v>44148.0</v>
      </c>
      <c r="F954" s="6" t="s">
        <v>12</v>
      </c>
      <c r="G954" s="8" t="s">
        <v>2816</v>
      </c>
      <c r="H954" s="8" t="s">
        <v>2816</v>
      </c>
    </row>
    <row r="955">
      <c r="A955" s="6" t="s">
        <v>8</v>
      </c>
      <c r="B955" s="6" t="s">
        <v>9</v>
      </c>
      <c r="C955" s="6" t="s">
        <v>2817</v>
      </c>
      <c r="D955" s="6" t="s">
        <v>2818</v>
      </c>
      <c r="E955" s="7">
        <v>44147.0</v>
      </c>
      <c r="F955" s="6" t="s">
        <v>12</v>
      </c>
      <c r="G955" s="8" t="s">
        <v>2819</v>
      </c>
      <c r="H955" s="8" t="s">
        <v>2819</v>
      </c>
    </row>
    <row r="956">
      <c r="A956" s="6" t="s">
        <v>8</v>
      </c>
      <c r="B956" s="6" t="s">
        <v>9</v>
      </c>
      <c r="C956" s="6" t="s">
        <v>2820</v>
      </c>
      <c r="D956" s="6" t="s">
        <v>2821</v>
      </c>
      <c r="E956" s="7">
        <v>44147.0</v>
      </c>
      <c r="F956" s="6" t="s">
        <v>12</v>
      </c>
      <c r="G956" s="8" t="s">
        <v>2822</v>
      </c>
      <c r="H956" s="8" t="s">
        <v>2822</v>
      </c>
    </row>
    <row r="957">
      <c r="A957" s="6" t="s">
        <v>8</v>
      </c>
      <c r="B957" s="6" t="s">
        <v>9</v>
      </c>
      <c r="C957" s="6" t="s">
        <v>2823</v>
      </c>
      <c r="D957" s="6" t="s">
        <v>2824</v>
      </c>
      <c r="E957" s="7">
        <v>44147.0</v>
      </c>
      <c r="F957" s="6" t="s">
        <v>12</v>
      </c>
      <c r="G957" s="8" t="s">
        <v>2825</v>
      </c>
      <c r="H957" s="8" t="s">
        <v>2825</v>
      </c>
    </row>
    <row r="958">
      <c r="A958" s="6" t="s">
        <v>8</v>
      </c>
      <c r="B958" s="6" t="s">
        <v>9</v>
      </c>
      <c r="C958" s="6" t="s">
        <v>2826</v>
      </c>
      <c r="D958" s="6" t="s">
        <v>2827</v>
      </c>
      <c r="E958" s="7">
        <v>44151.0</v>
      </c>
      <c r="F958" s="6" t="s">
        <v>12</v>
      </c>
      <c r="G958" s="8" t="s">
        <v>2828</v>
      </c>
      <c r="H958" s="8" t="s">
        <v>2828</v>
      </c>
    </row>
    <row r="959">
      <c r="A959" s="6" t="s">
        <v>8</v>
      </c>
      <c r="B959" s="6" t="s">
        <v>9</v>
      </c>
      <c r="C959" s="6" t="s">
        <v>2829</v>
      </c>
      <c r="D959" s="6" t="s">
        <v>2830</v>
      </c>
      <c r="E959" s="7">
        <v>44151.0</v>
      </c>
      <c r="F959" s="6" t="s">
        <v>12</v>
      </c>
      <c r="G959" s="8" t="s">
        <v>2831</v>
      </c>
      <c r="H959" s="8" t="s">
        <v>2831</v>
      </c>
    </row>
    <row r="960">
      <c r="A960" s="6" t="s">
        <v>8</v>
      </c>
      <c r="B960" s="6" t="s">
        <v>9</v>
      </c>
      <c r="C960" s="6" t="s">
        <v>2832</v>
      </c>
      <c r="D960" s="6" t="s">
        <v>2833</v>
      </c>
      <c r="E960" s="7">
        <v>44152.0</v>
      </c>
      <c r="F960" s="6" t="s">
        <v>12</v>
      </c>
      <c r="G960" s="8" t="s">
        <v>2834</v>
      </c>
      <c r="H960" s="8" t="s">
        <v>2834</v>
      </c>
    </row>
    <row r="961">
      <c r="A961" s="6" t="s">
        <v>8</v>
      </c>
      <c r="B961" s="6" t="s">
        <v>9</v>
      </c>
      <c r="C961" s="6" t="s">
        <v>2835</v>
      </c>
      <c r="D961" s="6" t="s">
        <v>2836</v>
      </c>
      <c r="E961" s="7">
        <v>44152.0</v>
      </c>
      <c r="F961" s="6" t="s">
        <v>12</v>
      </c>
      <c r="G961" s="8" t="s">
        <v>2837</v>
      </c>
      <c r="H961" s="8" t="s">
        <v>2837</v>
      </c>
    </row>
    <row r="962">
      <c r="A962" s="6" t="s">
        <v>8</v>
      </c>
      <c r="B962" s="6" t="s">
        <v>9</v>
      </c>
      <c r="C962" s="6" t="s">
        <v>2838</v>
      </c>
      <c r="D962" s="6" t="s">
        <v>306</v>
      </c>
      <c r="E962" s="7">
        <v>44161.0</v>
      </c>
      <c r="F962" s="6" t="s">
        <v>12</v>
      </c>
      <c r="G962" s="8" t="s">
        <v>2839</v>
      </c>
      <c r="H962" s="8" t="s">
        <v>2839</v>
      </c>
    </row>
    <row r="963">
      <c r="A963" s="6" t="s">
        <v>8</v>
      </c>
      <c r="B963" s="6" t="s">
        <v>9</v>
      </c>
      <c r="C963" s="6" t="s">
        <v>2840</v>
      </c>
      <c r="D963" s="6" t="s">
        <v>2841</v>
      </c>
      <c r="E963" s="7">
        <v>44162.0</v>
      </c>
      <c r="F963" s="6" t="s">
        <v>12</v>
      </c>
      <c r="G963" s="8" t="s">
        <v>2842</v>
      </c>
      <c r="H963" s="8" t="s">
        <v>2842</v>
      </c>
    </row>
    <row r="964">
      <c r="A964" s="6" t="s">
        <v>8</v>
      </c>
      <c r="B964" s="6" t="s">
        <v>9</v>
      </c>
      <c r="C964" s="6" t="s">
        <v>2843</v>
      </c>
      <c r="D964" s="6" t="s">
        <v>2844</v>
      </c>
      <c r="E964" s="7">
        <v>44160.0</v>
      </c>
      <c r="F964" s="6" t="s">
        <v>12</v>
      </c>
      <c r="G964" s="8" t="s">
        <v>2845</v>
      </c>
      <c r="H964" s="8" t="s">
        <v>2845</v>
      </c>
    </row>
    <row r="965">
      <c r="A965" s="6" t="s">
        <v>8</v>
      </c>
      <c r="B965" s="6" t="s">
        <v>9</v>
      </c>
      <c r="C965" s="6" t="s">
        <v>2846</v>
      </c>
      <c r="D965" s="6" t="s">
        <v>2847</v>
      </c>
      <c r="E965" s="7">
        <v>44155.0</v>
      </c>
      <c r="F965" s="6" t="s">
        <v>12</v>
      </c>
      <c r="G965" s="8" t="s">
        <v>2848</v>
      </c>
      <c r="H965" s="8" t="s">
        <v>2848</v>
      </c>
    </row>
    <row r="966">
      <c r="A966" s="6" t="s">
        <v>8</v>
      </c>
      <c r="B966" s="6" t="s">
        <v>9</v>
      </c>
      <c r="C966" s="6" t="s">
        <v>2849</v>
      </c>
      <c r="D966" s="6" t="s">
        <v>2850</v>
      </c>
      <c r="E966" s="7">
        <v>44155.0</v>
      </c>
      <c r="F966" s="6" t="s">
        <v>12</v>
      </c>
      <c r="G966" s="8" t="s">
        <v>2851</v>
      </c>
      <c r="H966" s="8" t="s">
        <v>2851</v>
      </c>
    </row>
    <row r="967">
      <c r="A967" s="6" t="s">
        <v>8</v>
      </c>
      <c r="B967" s="6" t="s">
        <v>9</v>
      </c>
      <c r="C967" s="6" t="s">
        <v>2852</v>
      </c>
      <c r="D967" s="6" t="s">
        <v>2853</v>
      </c>
      <c r="E967" s="7">
        <v>44160.0</v>
      </c>
      <c r="F967" s="6" t="s">
        <v>12</v>
      </c>
      <c r="G967" s="8" t="s">
        <v>2854</v>
      </c>
      <c r="H967" s="8" t="s">
        <v>2854</v>
      </c>
    </row>
    <row r="968">
      <c r="A968" s="6" t="s">
        <v>8</v>
      </c>
      <c r="B968" s="6" t="s">
        <v>9</v>
      </c>
      <c r="C968" s="6" t="s">
        <v>2855</v>
      </c>
      <c r="D968" s="6" t="s">
        <v>2856</v>
      </c>
      <c r="E968" s="7">
        <v>44160.0</v>
      </c>
      <c r="F968" s="6" t="s">
        <v>12</v>
      </c>
      <c r="G968" s="8" t="s">
        <v>2857</v>
      </c>
      <c r="H968" s="8" t="s">
        <v>2857</v>
      </c>
    </row>
    <row r="969">
      <c r="A969" s="6" t="s">
        <v>8</v>
      </c>
      <c r="B969" s="6" t="s">
        <v>9</v>
      </c>
      <c r="C969" s="6" t="s">
        <v>2858</v>
      </c>
      <c r="D969" s="6" t="s">
        <v>2859</v>
      </c>
      <c r="E969" s="7">
        <v>44160.0</v>
      </c>
      <c r="F969" s="6" t="s">
        <v>12</v>
      </c>
      <c r="G969" s="8" t="s">
        <v>2860</v>
      </c>
      <c r="H969" s="8" t="s">
        <v>2860</v>
      </c>
    </row>
    <row r="970">
      <c r="A970" s="6" t="s">
        <v>8</v>
      </c>
      <c r="B970" s="6" t="s">
        <v>9</v>
      </c>
      <c r="C970" s="6" t="s">
        <v>2861</v>
      </c>
      <c r="D970" s="6" t="s">
        <v>2862</v>
      </c>
      <c r="E970" s="7">
        <v>44160.0</v>
      </c>
      <c r="F970" s="6" t="s">
        <v>12</v>
      </c>
      <c r="G970" s="8" t="s">
        <v>2863</v>
      </c>
      <c r="H970" s="8" t="s">
        <v>2863</v>
      </c>
    </row>
    <row r="971">
      <c r="A971" s="6" t="s">
        <v>8</v>
      </c>
      <c r="B971" s="6" t="s">
        <v>9</v>
      </c>
      <c r="C971" s="6" t="s">
        <v>2864</v>
      </c>
      <c r="D971" s="6" t="s">
        <v>2865</v>
      </c>
      <c r="E971" s="7">
        <v>44160.0</v>
      </c>
      <c r="F971" s="6" t="s">
        <v>12</v>
      </c>
      <c r="G971" s="8" t="s">
        <v>2866</v>
      </c>
      <c r="H971" s="8" t="s">
        <v>2866</v>
      </c>
    </row>
    <row r="972">
      <c r="A972" s="6" t="s">
        <v>8</v>
      </c>
      <c r="B972" s="6" t="s">
        <v>9</v>
      </c>
      <c r="C972" s="6" t="s">
        <v>2867</v>
      </c>
      <c r="D972" s="6" t="s">
        <v>2868</v>
      </c>
      <c r="E972" s="7">
        <v>44160.0</v>
      </c>
      <c r="F972" s="6" t="s">
        <v>12</v>
      </c>
      <c r="G972" s="8" t="s">
        <v>2869</v>
      </c>
      <c r="H972" s="8" t="s">
        <v>2869</v>
      </c>
    </row>
    <row r="973">
      <c r="A973" s="6" t="s">
        <v>8</v>
      </c>
      <c r="B973" s="6" t="s">
        <v>9</v>
      </c>
      <c r="C973" s="6" t="s">
        <v>2870</v>
      </c>
      <c r="D973" s="6" t="s">
        <v>2871</v>
      </c>
      <c r="E973" s="7">
        <v>44160.0</v>
      </c>
      <c r="F973" s="6" t="s">
        <v>12</v>
      </c>
      <c r="G973" s="8" t="s">
        <v>2872</v>
      </c>
      <c r="H973" s="8" t="s">
        <v>2872</v>
      </c>
    </row>
    <row r="974">
      <c r="A974" s="6" t="s">
        <v>8</v>
      </c>
      <c r="B974" s="6" t="s">
        <v>9</v>
      </c>
      <c r="C974" s="6" t="s">
        <v>2873</v>
      </c>
      <c r="D974" s="6" t="s">
        <v>2874</v>
      </c>
      <c r="E974" s="7">
        <v>44160.0</v>
      </c>
      <c r="F974" s="6" t="s">
        <v>12</v>
      </c>
      <c r="G974" s="8" t="s">
        <v>2875</v>
      </c>
      <c r="H974" s="8" t="s">
        <v>2875</v>
      </c>
    </row>
    <row r="975">
      <c r="A975" s="6" t="s">
        <v>8</v>
      </c>
      <c r="B975" s="6" t="s">
        <v>9</v>
      </c>
      <c r="C975" s="6" t="s">
        <v>2876</v>
      </c>
      <c r="D975" s="6" t="s">
        <v>2877</v>
      </c>
      <c r="E975" s="7">
        <v>44160.0</v>
      </c>
      <c r="F975" s="6" t="s">
        <v>12</v>
      </c>
      <c r="G975" s="8" t="s">
        <v>2878</v>
      </c>
      <c r="H975" s="8" t="s">
        <v>2878</v>
      </c>
    </row>
    <row r="976">
      <c r="A976" s="6" t="s">
        <v>8</v>
      </c>
      <c r="B976" s="6" t="s">
        <v>9</v>
      </c>
      <c r="C976" s="6" t="s">
        <v>2879</v>
      </c>
      <c r="D976" s="6" t="s">
        <v>2880</v>
      </c>
      <c r="E976" s="7">
        <v>44160.0</v>
      </c>
      <c r="F976" s="6" t="s">
        <v>12</v>
      </c>
      <c r="G976" s="8" t="s">
        <v>2881</v>
      </c>
      <c r="H976" s="8" t="s">
        <v>2881</v>
      </c>
    </row>
    <row r="977">
      <c r="A977" s="6" t="s">
        <v>8</v>
      </c>
      <c r="B977" s="6" t="s">
        <v>9</v>
      </c>
      <c r="C977" s="6" t="s">
        <v>2882</v>
      </c>
      <c r="D977" s="6" t="s">
        <v>2883</v>
      </c>
      <c r="E977" s="7">
        <v>44160.0</v>
      </c>
      <c r="F977" s="6" t="s">
        <v>12</v>
      </c>
      <c r="G977" s="8" t="s">
        <v>2884</v>
      </c>
      <c r="H977" s="8" t="s">
        <v>2884</v>
      </c>
    </row>
    <row r="978">
      <c r="A978" s="6" t="s">
        <v>8</v>
      </c>
      <c r="B978" s="6" t="s">
        <v>9</v>
      </c>
      <c r="C978" s="6" t="s">
        <v>2885</v>
      </c>
      <c r="D978" s="6" t="s">
        <v>2886</v>
      </c>
      <c r="E978" s="7">
        <v>44160.0</v>
      </c>
      <c r="F978" s="6" t="s">
        <v>12</v>
      </c>
      <c r="G978" s="8" t="s">
        <v>2887</v>
      </c>
      <c r="H978" s="8" t="s">
        <v>2887</v>
      </c>
    </row>
    <row r="979">
      <c r="A979" s="6" t="s">
        <v>8</v>
      </c>
      <c r="B979" s="6" t="s">
        <v>9</v>
      </c>
      <c r="C979" s="6" t="s">
        <v>2888</v>
      </c>
      <c r="D979" s="6" t="s">
        <v>2889</v>
      </c>
      <c r="E979" s="7">
        <v>44160.0</v>
      </c>
      <c r="F979" s="6" t="s">
        <v>12</v>
      </c>
      <c r="G979" s="8" t="s">
        <v>2890</v>
      </c>
      <c r="H979" s="8" t="s">
        <v>2890</v>
      </c>
    </row>
    <row r="980">
      <c r="A980" s="6" t="s">
        <v>8</v>
      </c>
      <c r="B980" s="6" t="s">
        <v>9</v>
      </c>
      <c r="C980" s="6" t="s">
        <v>2891</v>
      </c>
      <c r="D980" s="6" t="s">
        <v>2892</v>
      </c>
      <c r="E980" s="7">
        <v>44160.0</v>
      </c>
      <c r="F980" s="6" t="s">
        <v>12</v>
      </c>
      <c r="G980" s="8" t="s">
        <v>2893</v>
      </c>
      <c r="H980" s="8" t="s">
        <v>2893</v>
      </c>
    </row>
    <row r="981">
      <c r="A981" s="6" t="s">
        <v>8</v>
      </c>
      <c r="B981" s="6" t="s">
        <v>9</v>
      </c>
      <c r="C981" s="6" t="s">
        <v>2894</v>
      </c>
      <c r="D981" s="6" t="s">
        <v>2895</v>
      </c>
      <c r="E981" s="7">
        <v>44161.0</v>
      </c>
      <c r="F981" s="6" t="s">
        <v>12</v>
      </c>
      <c r="G981" s="8" t="s">
        <v>2896</v>
      </c>
      <c r="H981" s="8" t="s">
        <v>2896</v>
      </c>
    </row>
    <row r="982">
      <c r="A982" s="6" t="s">
        <v>8</v>
      </c>
      <c r="B982" s="6" t="s">
        <v>9</v>
      </c>
      <c r="C982" s="6" t="s">
        <v>2897</v>
      </c>
      <c r="D982" s="6" t="s">
        <v>2898</v>
      </c>
      <c r="E982" s="7">
        <v>44239.0</v>
      </c>
      <c r="F982" s="6" t="s">
        <v>12</v>
      </c>
      <c r="G982" s="8" t="s">
        <v>2899</v>
      </c>
      <c r="H982" s="8" t="s">
        <v>2899</v>
      </c>
    </row>
    <row r="983">
      <c r="A983" s="6" t="s">
        <v>8</v>
      </c>
      <c r="B983" s="6" t="s">
        <v>9</v>
      </c>
      <c r="C983" s="6" t="s">
        <v>2900</v>
      </c>
      <c r="D983" s="6" t="s">
        <v>2901</v>
      </c>
      <c r="E983" s="7">
        <v>44239.0</v>
      </c>
      <c r="F983" s="6" t="s">
        <v>12</v>
      </c>
      <c r="G983" s="8" t="s">
        <v>2902</v>
      </c>
      <c r="H983" s="8" t="s">
        <v>2902</v>
      </c>
    </row>
    <row r="984">
      <c r="A984" s="6" t="s">
        <v>8</v>
      </c>
      <c r="B984" s="6" t="s">
        <v>9</v>
      </c>
      <c r="C984" s="6" t="s">
        <v>2903</v>
      </c>
      <c r="D984" s="6" t="s">
        <v>2904</v>
      </c>
      <c r="E984" s="7">
        <v>44239.0</v>
      </c>
      <c r="F984" s="6" t="s">
        <v>12</v>
      </c>
      <c r="G984" s="8" t="s">
        <v>2905</v>
      </c>
      <c r="H984" s="8" t="s">
        <v>2905</v>
      </c>
    </row>
    <row r="985">
      <c r="A985" s="6" t="s">
        <v>8</v>
      </c>
      <c r="B985" s="6" t="s">
        <v>9</v>
      </c>
      <c r="C985" s="6" t="s">
        <v>2906</v>
      </c>
      <c r="D985" s="6" t="s">
        <v>2907</v>
      </c>
      <c r="E985" s="7">
        <v>44239.0</v>
      </c>
      <c r="F985" s="6" t="s">
        <v>12</v>
      </c>
      <c r="G985" s="8" t="s">
        <v>2908</v>
      </c>
      <c r="H985" s="8" t="s">
        <v>2908</v>
      </c>
    </row>
    <row r="986">
      <c r="A986" s="6" t="s">
        <v>8</v>
      </c>
      <c r="B986" s="6" t="s">
        <v>9</v>
      </c>
      <c r="C986" s="6" t="s">
        <v>2909</v>
      </c>
      <c r="D986" s="6" t="s">
        <v>2910</v>
      </c>
      <c r="E986" s="7">
        <v>44186.0</v>
      </c>
      <c r="F986" s="6" t="s">
        <v>12</v>
      </c>
      <c r="G986" s="8" t="s">
        <v>2911</v>
      </c>
      <c r="H986" s="8" t="s">
        <v>2911</v>
      </c>
    </row>
    <row r="987">
      <c r="A987" s="6" t="s">
        <v>8</v>
      </c>
      <c r="B987" s="6" t="s">
        <v>9</v>
      </c>
      <c r="C987" s="6" t="s">
        <v>2912</v>
      </c>
      <c r="D987" s="6" t="s">
        <v>2913</v>
      </c>
      <c r="E987" s="7">
        <v>44260.0</v>
      </c>
      <c r="F987" s="6" t="s">
        <v>12</v>
      </c>
      <c r="G987" s="8" t="s">
        <v>2914</v>
      </c>
      <c r="H987" s="8" t="s">
        <v>2914</v>
      </c>
    </row>
    <row r="988">
      <c r="A988" s="6" t="s">
        <v>8</v>
      </c>
      <c r="B988" s="6" t="s">
        <v>9</v>
      </c>
      <c r="C988" s="6" t="s">
        <v>2915</v>
      </c>
      <c r="D988" s="6" t="s">
        <v>2916</v>
      </c>
      <c r="E988" s="7">
        <v>44260.0</v>
      </c>
      <c r="F988" s="6" t="s">
        <v>12</v>
      </c>
      <c r="G988" s="8" t="s">
        <v>2917</v>
      </c>
      <c r="H988" s="8" t="s">
        <v>2917</v>
      </c>
    </row>
    <row r="989">
      <c r="A989" s="6" t="s">
        <v>8</v>
      </c>
      <c r="B989" s="6" t="s">
        <v>9</v>
      </c>
      <c r="C989" s="6" t="s">
        <v>2918</v>
      </c>
      <c r="D989" s="6" t="s">
        <v>2919</v>
      </c>
      <c r="E989" s="7">
        <v>44258.0</v>
      </c>
      <c r="F989" s="6" t="s">
        <v>12</v>
      </c>
      <c r="G989" s="8" t="s">
        <v>2920</v>
      </c>
      <c r="H989" s="8" t="s">
        <v>2920</v>
      </c>
    </row>
    <row r="990">
      <c r="A990" s="6" t="s">
        <v>8</v>
      </c>
      <c r="B990" s="6" t="s">
        <v>9</v>
      </c>
      <c r="C990" s="6" t="s">
        <v>2921</v>
      </c>
      <c r="D990" s="6" t="s">
        <v>2922</v>
      </c>
      <c r="E990" s="7">
        <v>44258.0</v>
      </c>
      <c r="F990" s="6" t="s">
        <v>12</v>
      </c>
      <c r="G990" s="8" t="s">
        <v>2923</v>
      </c>
      <c r="H990" s="8" t="s">
        <v>2923</v>
      </c>
    </row>
    <row r="991">
      <c r="A991" s="6" t="s">
        <v>8</v>
      </c>
      <c r="B991" s="6" t="s">
        <v>9</v>
      </c>
      <c r="C991" s="6" t="s">
        <v>2924</v>
      </c>
      <c r="D991" s="6" t="s">
        <v>2925</v>
      </c>
      <c r="E991" s="7">
        <v>44258.0</v>
      </c>
      <c r="F991" s="6" t="s">
        <v>12</v>
      </c>
      <c r="G991" s="8" t="s">
        <v>2926</v>
      </c>
      <c r="H991" s="8" t="s">
        <v>2926</v>
      </c>
    </row>
    <row r="992">
      <c r="A992" s="6" t="s">
        <v>8</v>
      </c>
      <c r="B992" s="6" t="s">
        <v>9</v>
      </c>
      <c r="C992" s="6" t="s">
        <v>2927</v>
      </c>
      <c r="D992" s="6" t="s">
        <v>2928</v>
      </c>
      <c r="E992" s="7">
        <v>44244.0</v>
      </c>
      <c r="F992" s="6" t="s">
        <v>12</v>
      </c>
      <c r="G992" s="8" t="s">
        <v>2929</v>
      </c>
      <c r="H992" s="8" t="s">
        <v>2929</v>
      </c>
    </row>
    <row r="993">
      <c r="A993" s="6" t="s">
        <v>8</v>
      </c>
      <c r="B993" s="6" t="s">
        <v>9</v>
      </c>
      <c r="C993" s="6" t="s">
        <v>2930</v>
      </c>
      <c r="D993" s="6" t="s">
        <v>2931</v>
      </c>
      <c r="E993" s="7">
        <v>44245.0</v>
      </c>
      <c r="F993" s="6" t="s">
        <v>12</v>
      </c>
      <c r="G993" s="8" t="s">
        <v>2932</v>
      </c>
      <c r="H993" s="8" t="s">
        <v>2932</v>
      </c>
    </row>
    <row r="994">
      <c r="A994" s="6" t="s">
        <v>8</v>
      </c>
      <c r="B994" s="6" t="s">
        <v>9</v>
      </c>
      <c r="C994" s="6" t="s">
        <v>2933</v>
      </c>
      <c r="D994" s="6" t="s">
        <v>2934</v>
      </c>
      <c r="E994" s="7">
        <v>44301.0</v>
      </c>
      <c r="F994" s="6" t="s">
        <v>12</v>
      </c>
      <c r="G994" s="8" t="s">
        <v>2935</v>
      </c>
      <c r="H994" s="8" t="s">
        <v>2935</v>
      </c>
    </row>
    <row r="995">
      <c r="A995" s="6" t="s">
        <v>8</v>
      </c>
      <c r="B995" s="6" t="s">
        <v>9</v>
      </c>
      <c r="C995" s="6" t="s">
        <v>2936</v>
      </c>
      <c r="D995" s="6" t="s">
        <v>2937</v>
      </c>
      <c r="E995" s="7">
        <v>44302.0</v>
      </c>
      <c r="F995" s="6" t="s">
        <v>12</v>
      </c>
      <c r="G995" s="8" t="s">
        <v>2938</v>
      </c>
      <c r="H995" s="8" t="s">
        <v>2938</v>
      </c>
    </row>
    <row r="996">
      <c r="A996" s="6" t="s">
        <v>8</v>
      </c>
      <c r="B996" s="6" t="s">
        <v>9</v>
      </c>
      <c r="C996" s="6" t="s">
        <v>2939</v>
      </c>
      <c r="D996" s="6" t="s">
        <v>2940</v>
      </c>
      <c r="E996" s="7">
        <v>44302.0</v>
      </c>
      <c r="F996" s="6" t="s">
        <v>12</v>
      </c>
      <c r="G996" s="8" t="s">
        <v>2941</v>
      </c>
      <c r="H996" s="8" t="s">
        <v>2941</v>
      </c>
    </row>
    <row r="997">
      <c r="A997" s="6" t="s">
        <v>8</v>
      </c>
      <c r="B997" s="6" t="s">
        <v>9</v>
      </c>
      <c r="C997" s="6" t="s">
        <v>2942</v>
      </c>
      <c r="D997" s="6" t="s">
        <v>2943</v>
      </c>
      <c r="E997" s="7">
        <v>44194.0</v>
      </c>
      <c r="F997" s="6" t="s">
        <v>12</v>
      </c>
      <c r="G997" s="8" t="s">
        <v>2944</v>
      </c>
      <c r="H997" s="8" t="s">
        <v>2944</v>
      </c>
    </row>
    <row r="998">
      <c r="A998" s="6" t="s">
        <v>8</v>
      </c>
      <c r="B998" s="6" t="s">
        <v>9</v>
      </c>
      <c r="C998" s="6" t="s">
        <v>2945</v>
      </c>
      <c r="D998" s="6" t="s">
        <v>2946</v>
      </c>
      <c r="E998" s="7">
        <v>44260.0</v>
      </c>
      <c r="F998" s="6" t="s">
        <v>12</v>
      </c>
      <c r="G998" s="8" t="s">
        <v>2947</v>
      </c>
      <c r="H998" s="8" t="s">
        <v>2947</v>
      </c>
    </row>
    <row r="999">
      <c r="A999" s="6" t="s">
        <v>8</v>
      </c>
      <c r="B999" s="6" t="s">
        <v>9</v>
      </c>
      <c r="C999" s="6" t="s">
        <v>2948</v>
      </c>
      <c r="D999" s="6" t="s">
        <v>2949</v>
      </c>
      <c r="E999" s="7">
        <v>44266.0</v>
      </c>
      <c r="F999" s="6" t="s">
        <v>12</v>
      </c>
      <c r="G999" s="8" t="s">
        <v>2950</v>
      </c>
      <c r="H999" s="8" t="s">
        <v>2950</v>
      </c>
    </row>
    <row r="1000">
      <c r="A1000" s="6" t="s">
        <v>8</v>
      </c>
      <c r="B1000" s="6" t="s">
        <v>9</v>
      </c>
      <c r="C1000" s="6" t="s">
        <v>2951</v>
      </c>
      <c r="D1000" s="6" t="s">
        <v>2952</v>
      </c>
      <c r="E1000" s="7">
        <v>44245.0</v>
      </c>
      <c r="F1000" s="6" t="s">
        <v>12</v>
      </c>
      <c r="G1000" s="8" t="s">
        <v>2953</v>
      </c>
      <c r="H1000" s="8" t="s">
        <v>2953</v>
      </c>
    </row>
    <row r="1001">
      <c r="A1001" s="6" t="s">
        <v>8</v>
      </c>
      <c r="B1001" s="6" t="s">
        <v>9</v>
      </c>
      <c r="C1001" s="6" t="s">
        <v>2954</v>
      </c>
      <c r="D1001" s="6" t="s">
        <v>2955</v>
      </c>
      <c r="E1001" s="7">
        <v>44281.0</v>
      </c>
      <c r="F1001" s="6" t="s">
        <v>12</v>
      </c>
      <c r="G1001" s="8" t="s">
        <v>2956</v>
      </c>
      <c r="H1001" s="8" t="s">
        <v>2956</v>
      </c>
    </row>
    <row r="1002">
      <c r="A1002" s="6" t="s">
        <v>8</v>
      </c>
      <c r="B1002" s="6" t="s">
        <v>9</v>
      </c>
      <c r="C1002" s="6" t="s">
        <v>2957</v>
      </c>
      <c r="D1002" s="6" t="s">
        <v>2958</v>
      </c>
      <c r="E1002" s="7">
        <v>44281.0</v>
      </c>
      <c r="F1002" s="6" t="s">
        <v>12</v>
      </c>
      <c r="G1002" s="8" t="s">
        <v>2959</v>
      </c>
      <c r="H1002" s="8" t="s">
        <v>2959</v>
      </c>
    </row>
    <row r="1003">
      <c r="A1003" s="6" t="s">
        <v>8</v>
      </c>
      <c r="B1003" s="6" t="s">
        <v>9</v>
      </c>
      <c r="C1003" s="6" t="s">
        <v>2960</v>
      </c>
      <c r="D1003" s="6" t="s">
        <v>2961</v>
      </c>
      <c r="E1003" s="7">
        <v>44203.0</v>
      </c>
      <c r="F1003" s="6" t="s">
        <v>12</v>
      </c>
      <c r="G1003" s="8" t="s">
        <v>2962</v>
      </c>
      <c r="H1003" s="8" t="s">
        <v>2962</v>
      </c>
    </row>
    <row r="1004">
      <c r="A1004" s="6" t="s">
        <v>8</v>
      </c>
      <c r="B1004" s="6" t="s">
        <v>9</v>
      </c>
      <c r="C1004" s="6" t="s">
        <v>2963</v>
      </c>
      <c r="D1004" s="6" t="s">
        <v>2964</v>
      </c>
      <c r="E1004" s="7">
        <v>44298.0</v>
      </c>
      <c r="F1004" s="6" t="s">
        <v>12</v>
      </c>
      <c r="G1004" s="8" t="s">
        <v>2965</v>
      </c>
      <c r="H1004" s="8" t="s">
        <v>2965</v>
      </c>
    </row>
    <row r="1005">
      <c r="A1005" s="6" t="s">
        <v>8</v>
      </c>
      <c r="B1005" s="6" t="s">
        <v>9</v>
      </c>
      <c r="C1005" s="6" t="s">
        <v>2966</v>
      </c>
      <c r="D1005" s="6" t="s">
        <v>2967</v>
      </c>
      <c r="E1005" s="7">
        <v>44288.0</v>
      </c>
      <c r="F1005" s="6" t="s">
        <v>12</v>
      </c>
      <c r="G1005" s="8" t="s">
        <v>2968</v>
      </c>
      <c r="H1005" s="8" t="s">
        <v>2968</v>
      </c>
    </row>
    <row r="1006">
      <c r="A1006" s="6" t="s">
        <v>8</v>
      </c>
      <c r="B1006" s="6" t="s">
        <v>9</v>
      </c>
      <c r="C1006" s="6" t="s">
        <v>2969</v>
      </c>
      <c r="D1006" s="6" t="s">
        <v>2970</v>
      </c>
      <c r="E1006" s="7">
        <v>44257.0</v>
      </c>
      <c r="F1006" s="6" t="s">
        <v>12</v>
      </c>
      <c r="G1006" s="8" t="s">
        <v>2971</v>
      </c>
      <c r="H1006" s="8" t="s">
        <v>2971</v>
      </c>
    </row>
    <row r="1007">
      <c r="A1007" s="6" t="s">
        <v>8</v>
      </c>
      <c r="B1007" s="6" t="s">
        <v>9</v>
      </c>
      <c r="C1007" s="6" t="s">
        <v>2972</v>
      </c>
      <c r="D1007" s="6" t="s">
        <v>2973</v>
      </c>
      <c r="E1007" s="7">
        <v>44257.0</v>
      </c>
      <c r="F1007" s="6" t="s">
        <v>12</v>
      </c>
      <c r="G1007" s="8" t="s">
        <v>2974</v>
      </c>
      <c r="H1007" s="8" t="s">
        <v>2974</v>
      </c>
    </row>
    <row r="1008">
      <c r="A1008" s="6" t="s">
        <v>8</v>
      </c>
      <c r="B1008" s="6" t="s">
        <v>9</v>
      </c>
      <c r="C1008" s="6" t="s">
        <v>2975</v>
      </c>
      <c r="D1008" s="6" t="s">
        <v>2976</v>
      </c>
      <c r="E1008" s="7">
        <v>44257.0</v>
      </c>
      <c r="F1008" s="6" t="s">
        <v>12</v>
      </c>
      <c r="G1008" s="8" t="s">
        <v>2977</v>
      </c>
      <c r="H1008" s="8" t="s">
        <v>2977</v>
      </c>
    </row>
    <row r="1009">
      <c r="A1009" s="6" t="s">
        <v>8</v>
      </c>
      <c r="B1009" s="6" t="s">
        <v>9</v>
      </c>
      <c r="C1009" s="6" t="s">
        <v>2978</v>
      </c>
      <c r="D1009" s="6" t="s">
        <v>2979</v>
      </c>
      <c r="E1009" s="7">
        <v>44257.0</v>
      </c>
      <c r="F1009" s="6" t="s">
        <v>12</v>
      </c>
      <c r="G1009" s="8" t="s">
        <v>2980</v>
      </c>
      <c r="H1009" s="8" t="s">
        <v>2980</v>
      </c>
    </row>
    <row r="1010">
      <c r="A1010" s="6" t="s">
        <v>8</v>
      </c>
      <c r="B1010" s="6" t="s">
        <v>9</v>
      </c>
      <c r="C1010" s="6" t="s">
        <v>2981</v>
      </c>
      <c r="D1010" s="6" t="s">
        <v>2982</v>
      </c>
      <c r="E1010" s="7">
        <v>44257.0</v>
      </c>
      <c r="F1010" s="6" t="s">
        <v>12</v>
      </c>
      <c r="G1010" s="8" t="s">
        <v>2983</v>
      </c>
      <c r="H1010" s="8" t="s">
        <v>2983</v>
      </c>
    </row>
    <row r="1011">
      <c r="A1011" s="6" t="s">
        <v>8</v>
      </c>
      <c r="B1011" s="6" t="s">
        <v>9</v>
      </c>
      <c r="C1011" s="6" t="s">
        <v>2984</v>
      </c>
      <c r="D1011" s="6" t="s">
        <v>2985</v>
      </c>
      <c r="E1011" s="7">
        <v>44257.0</v>
      </c>
      <c r="F1011" s="6" t="s">
        <v>12</v>
      </c>
      <c r="G1011" s="8" t="s">
        <v>2986</v>
      </c>
      <c r="H1011" s="8" t="s">
        <v>2986</v>
      </c>
    </row>
    <row r="1012">
      <c r="A1012" s="6" t="s">
        <v>8</v>
      </c>
      <c r="B1012" s="6" t="s">
        <v>9</v>
      </c>
      <c r="C1012" s="6" t="s">
        <v>2987</v>
      </c>
      <c r="D1012" s="6" t="s">
        <v>1551</v>
      </c>
      <c r="E1012" s="7">
        <v>44288.0</v>
      </c>
      <c r="F1012" s="6" t="s">
        <v>12</v>
      </c>
      <c r="G1012" s="8" t="s">
        <v>2988</v>
      </c>
      <c r="H1012" s="8" t="s">
        <v>2988</v>
      </c>
    </row>
    <row r="1013">
      <c r="A1013" s="6" t="s">
        <v>8</v>
      </c>
      <c r="B1013" s="6" t="s">
        <v>9</v>
      </c>
      <c r="C1013" s="6" t="s">
        <v>2989</v>
      </c>
      <c r="D1013" s="6" t="s">
        <v>2990</v>
      </c>
      <c r="E1013" s="7">
        <v>44288.0</v>
      </c>
      <c r="F1013" s="6" t="s">
        <v>12</v>
      </c>
      <c r="G1013" s="8" t="s">
        <v>2991</v>
      </c>
      <c r="H1013" s="8" t="s">
        <v>2991</v>
      </c>
    </row>
    <row r="1014">
      <c r="A1014" s="6" t="s">
        <v>8</v>
      </c>
      <c r="B1014" s="6" t="s">
        <v>9</v>
      </c>
      <c r="C1014" s="6" t="s">
        <v>2992</v>
      </c>
      <c r="D1014" s="6" t="s">
        <v>2993</v>
      </c>
      <c r="E1014" s="7">
        <v>44288.0</v>
      </c>
      <c r="F1014" s="6" t="s">
        <v>12</v>
      </c>
      <c r="G1014" s="8" t="s">
        <v>2994</v>
      </c>
      <c r="H1014" s="8" t="s">
        <v>2994</v>
      </c>
    </row>
    <row r="1015">
      <c r="A1015" s="6" t="s">
        <v>8</v>
      </c>
      <c r="B1015" s="6" t="s">
        <v>9</v>
      </c>
      <c r="C1015" s="6" t="s">
        <v>2995</v>
      </c>
      <c r="D1015" s="6" t="s">
        <v>2996</v>
      </c>
      <c r="E1015" s="7">
        <v>44288.0</v>
      </c>
      <c r="F1015" s="6" t="s">
        <v>12</v>
      </c>
      <c r="G1015" s="8" t="s">
        <v>2997</v>
      </c>
      <c r="H1015" s="8" t="s">
        <v>2997</v>
      </c>
    </row>
    <row r="1016">
      <c r="A1016" s="6" t="s">
        <v>8</v>
      </c>
      <c r="B1016" s="6" t="s">
        <v>9</v>
      </c>
      <c r="C1016" s="6" t="s">
        <v>2998</v>
      </c>
      <c r="D1016" s="6" t="s">
        <v>2999</v>
      </c>
      <c r="E1016" s="7">
        <v>44270.0</v>
      </c>
      <c r="F1016" s="6" t="s">
        <v>12</v>
      </c>
      <c r="G1016" s="8" t="s">
        <v>3000</v>
      </c>
      <c r="H1016" s="8" t="s">
        <v>3000</v>
      </c>
    </row>
    <row r="1017">
      <c r="A1017" s="6" t="s">
        <v>8</v>
      </c>
      <c r="B1017" s="6" t="s">
        <v>9</v>
      </c>
      <c r="C1017" s="6" t="s">
        <v>3001</v>
      </c>
      <c r="D1017" s="6" t="s">
        <v>3002</v>
      </c>
      <c r="E1017" s="7">
        <v>44273.0</v>
      </c>
      <c r="F1017" s="6" t="s">
        <v>12</v>
      </c>
      <c r="G1017" s="8" t="s">
        <v>3003</v>
      </c>
      <c r="H1017" s="8" t="s">
        <v>3003</v>
      </c>
    </row>
    <row r="1018">
      <c r="A1018" s="6" t="s">
        <v>8</v>
      </c>
      <c r="B1018" s="6" t="s">
        <v>9</v>
      </c>
      <c r="C1018" s="6" t="s">
        <v>3004</v>
      </c>
      <c r="D1018" s="6" t="s">
        <v>3005</v>
      </c>
      <c r="E1018" s="7">
        <v>44273.0</v>
      </c>
      <c r="F1018" s="6" t="s">
        <v>12</v>
      </c>
      <c r="G1018" s="8" t="s">
        <v>3006</v>
      </c>
      <c r="H1018" s="8" t="s">
        <v>3006</v>
      </c>
    </row>
    <row r="1019">
      <c r="A1019" s="6" t="s">
        <v>8</v>
      </c>
      <c r="B1019" s="6" t="s">
        <v>9</v>
      </c>
      <c r="C1019" s="6" t="s">
        <v>3007</v>
      </c>
      <c r="D1019" s="6" t="s">
        <v>3008</v>
      </c>
      <c r="E1019" s="7">
        <v>44273.0</v>
      </c>
      <c r="F1019" s="6" t="s">
        <v>12</v>
      </c>
      <c r="G1019" s="8" t="s">
        <v>3009</v>
      </c>
      <c r="H1019" s="8" t="s">
        <v>3009</v>
      </c>
    </row>
    <row r="1020">
      <c r="A1020" s="6" t="s">
        <v>8</v>
      </c>
      <c r="B1020" s="6" t="s">
        <v>9</v>
      </c>
      <c r="C1020" s="6" t="s">
        <v>3010</v>
      </c>
      <c r="D1020" s="6" t="s">
        <v>3011</v>
      </c>
      <c r="E1020" s="7">
        <v>44274.0</v>
      </c>
      <c r="F1020" s="6" t="s">
        <v>12</v>
      </c>
      <c r="G1020" s="8" t="s">
        <v>3012</v>
      </c>
      <c r="H1020" s="8" t="s">
        <v>3012</v>
      </c>
    </row>
    <row r="1021">
      <c r="A1021" s="6" t="s">
        <v>8</v>
      </c>
      <c r="B1021" s="6" t="s">
        <v>9</v>
      </c>
      <c r="C1021" s="6" t="s">
        <v>3013</v>
      </c>
      <c r="D1021" s="6" t="s">
        <v>3014</v>
      </c>
      <c r="E1021" s="7">
        <v>44280.0</v>
      </c>
      <c r="F1021" s="6" t="s">
        <v>12</v>
      </c>
      <c r="G1021" s="8" t="s">
        <v>3015</v>
      </c>
      <c r="H1021" s="8" t="s">
        <v>3015</v>
      </c>
    </row>
    <row r="1022">
      <c r="A1022" s="6" t="s">
        <v>8</v>
      </c>
      <c r="B1022" s="6" t="s">
        <v>9</v>
      </c>
      <c r="C1022" s="6" t="s">
        <v>3016</v>
      </c>
      <c r="D1022" s="6" t="s">
        <v>3017</v>
      </c>
      <c r="E1022" s="7">
        <v>44285.0</v>
      </c>
      <c r="F1022" s="6" t="s">
        <v>12</v>
      </c>
      <c r="G1022" s="8" t="s">
        <v>3018</v>
      </c>
      <c r="H1022" s="8" t="s">
        <v>3018</v>
      </c>
    </row>
    <row r="1023">
      <c r="A1023" s="6" t="s">
        <v>8</v>
      </c>
      <c r="B1023" s="6" t="s">
        <v>9</v>
      </c>
      <c r="C1023" s="6" t="s">
        <v>3019</v>
      </c>
      <c r="D1023" s="6" t="s">
        <v>3020</v>
      </c>
      <c r="E1023" s="7">
        <v>44313.0</v>
      </c>
      <c r="F1023" s="6" t="s">
        <v>12</v>
      </c>
      <c r="G1023" s="8" t="s">
        <v>3021</v>
      </c>
      <c r="H1023" s="8" t="s">
        <v>3021</v>
      </c>
    </row>
    <row r="1024">
      <c r="A1024" s="6" t="s">
        <v>8</v>
      </c>
      <c r="B1024" s="6" t="s">
        <v>9</v>
      </c>
      <c r="C1024" s="6" t="s">
        <v>3022</v>
      </c>
      <c r="D1024" s="6" t="s">
        <v>3023</v>
      </c>
      <c r="E1024" s="7">
        <v>44305.0</v>
      </c>
      <c r="F1024" s="6" t="s">
        <v>12</v>
      </c>
      <c r="G1024" s="8" t="s">
        <v>3024</v>
      </c>
      <c r="H1024" s="8" t="s">
        <v>3024</v>
      </c>
    </row>
    <row r="1025">
      <c r="A1025" s="6" t="s">
        <v>8</v>
      </c>
      <c r="B1025" s="6" t="s">
        <v>9</v>
      </c>
      <c r="C1025" s="6" t="s">
        <v>3025</v>
      </c>
      <c r="D1025" s="6" t="s">
        <v>3026</v>
      </c>
      <c r="E1025" s="7">
        <v>44320.0</v>
      </c>
      <c r="F1025" s="6" t="s">
        <v>12</v>
      </c>
      <c r="G1025" s="8" t="s">
        <v>3027</v>
      </c>
      <c r="H1025" s="8" t="s">
        <v>3027</v>
      </c>
    </row>
    <row r="1026">
      <c r="A1026" s="6" t="s">
        <v>8</v>
      </c>
      <c r="B1026" s="6" t="s">
        <v>9</v>
      </c>
      <c r="C1026" s="6" t="s">
        <v>3028</v>
      </c>
      <c r="D1026" s="6" t="s">
        <v>3029</v>
      </c>
      <c r="E1026" s="7">
        <v>44320.0</v>
      </c>
      <c r="F1026" s="6" t="s">
        <v>12</v>
      </c>
      <c r="G1026" s="8" t="s">
        <v>3030</v>
      </c>
      <c r="H1026" s="8" t="s">
        <v>3030</v>
      </c>
    </row>
    <row r="1027">
      <c r="A1027" s="6" t="s">
        <v>8</v>
      </c>
      <c r="B1027" s="6" t="s">
        <v>9</v>
      </c>
      <c r="C1027" s="6" t="s">
        <v>3031</v>
      </c>
      <c r="D1027" s="6" t="s">
        <v>3032</v>
      </c>
      <c r="E1027" s="7">
        <v>44319.0</v>
      </c>
      <c r="F1027" s="6" t="s">
        <v>12</v>
      </c>
      <c r="G1027" s="8" t="s">
        <v>3033</v>
      </c>
      <c r="H1027" s="8" t="s">
        <v>3033</v>
      </c>
    </row>
    <row r="1028">
      <c r="A1028" s="6" t="s">
        <v>8</v>
      </c>
      <c r="B1028" s="6" t="s">
        <v>9</v>
      </c>
      <c r="C1028" s="6" t="s">
        <v>3034</v>
      </c>
      <c r="D1028" s="6" t="s">
        <v>3035</v>
      </c>
      <c r="E1028" s="7">
        <v>44319.0</v>
      </c>
      <c r="F1028" s="6" t="s">
        <v>12</v>
      </c>
      <c r="G1028" s="8" t="s">
        <v>3036</v>
      </c>
      <c r="H1028" s="8" t="s">
        <v>3036</v>
      </c>
    </row>
    <row r="1029">
      <c r="A1029" s="6" t="s">
        <v>8</v>
      </c>
      <c r="B1029" s="6" t="s">
        <v>9</v>
      </c>
      <c r="C1029" s="6" t="s">
        <v>3037</v>
      </c>
      <c r="D1029" s="6" t="s">
        <v>3038</v>
      </c>
      <c r="E1029" s="7">
        <v>44319.0</v>
      </c>
      <c r="F1029" s="6" t="s">
        <v>12</v>
      </c>
      <c r="G1029" s="8" t="s">
        <v>3039</v>
      </c>
      <c r="H1029" s="8" t="s">
        <v>3039</v>
      </c>
    </row>
    <row r="1030">
      <c r="A1030" s="6" t="s">
        <v>8</v>
      </c>
      <c r="B1030" s="6" t="s">
        <v>9</v>
      </c>
      <c r="C1030" s="6" t="s">
        <v>3040</v>
      </c>
      <c r="D1030" s="6" t="s">
        <v>3041</v>
      </c>
      <c r="E1030" s="7">
        <v>44319.0</v>
      </c>
      <c r="F1030" s="6" t="s">
        <v>12</v>
      </c>
      <c r="G1030" s="8" t="s">
        <v>3042</v>
      </c>
      <c r="H1030" s="8" t="s">
        <v>3042</v>
      </c>
    </row>
    <row r="1031">
      <c r="A1031" s="6" t="s">
        <v>8</v>
      </c>
      <c r="B1031" s="6" t="s">
        <v>9</v>
      </c>
      <c r="C1031" s="6" t="s">
        <v>3043</v>
      </c>
      <c r="D1031" s="6" t="s">
        <v>3044</v>
      </c>
      <c r="E1031" s="7">
        <v>44319.0</v>
      </c>
      <c r="F1031" s="6" t="s">
        <v>12</v>
      </c>
      <c r="G1031" s="8" t="s">
        <v>3045</v>
      </c>
      <c r="H1031" s="8" t="s">
        <v>3045</v>
      </c>
    </row>
    <row r="1032">
      <c r="A1032" s="6" t="s">
        <v>8</v>
      </c>
      <c r="B1032" s="6" t="s">
        <v>9</v>
      </c>
      <c r="C1032" s="6" t="s">
        <v>3046</v>
      </c>
      <c r="D1032" s="6" t="s">
        <v>700</v>
      </c>
      <c r="E1032" s="7">
        <v>44319.0</v>
      </c>
      <c r="F1032" s="6" t="s">
        <v>12</v>
      </c>
      <c r="G1032" s="8" t="s">
        <v>3047</v>
      </c>
      <c r="H1032" s="8" t="s">
        <v>3047</v>
      </c>
    </row>
    <row r="1033">
      <c r="A1033" s="6" t="s">
        <v>8</v>
      </c>
      <c r="B1033" s="6" t="s">
        <v>9</v>
      </c>
      <c r="C1033" s="6" t="s">
        <v>3048</v>
      </c>
      <c r="D1033" s="6" t="s">
        <v>3049</v>
      </c>
      <c r="E1033" s="7">
        <v>44319.0</v>
      </c>
      <c r="F1033" s="6" t="s">
        <v>12</v>
      </c>
      <c r="G1033" s="8" t="s">
        <v>3050</v>
      </c>
      <c r="H1033" s="8" t="s">
        <v>3050</v>
      </c>
    </row>
    <row r="1034">
      <c r="A1034" s="6" t="s">
        <v>8</v>
      </c>
      <c r="B1034" s="6" t="s">
        <v>9</v>
      </c>
      <c r="C1034" s="6" t="s">
        <v>3051</v>
      </c>
      <c r="D1034" s="6" t="s">
        <v>3052</v>
      </c>
      <c r="E1034" s="7">
        <v>44319.0</v>
      </c>
      <c r="F1034" s="6" t="s">
        <v>12</v>
      </c>
      <c r="G1034" s="8" t="s">
        <v>3053</v>
      </c>
      <c r="H1034" s="8" t="s">
        <v>3053</v>
      </c>
    </row>
    <row r="1035">
      <c r="A1035" s="6" t="s">
        <v>8</v>
      </c>
      <c r="B1035" s="6" t="s">
        <v>9</v>
      </c>
      <c r="C1035" s="6" t="s">
        <v>3054</v>
      </c>
      <c r="D1035" s="6" t="s">
        <v>3055</v>
      </c>
      <c r="E1035" s="7">
        <v>44319.0</v>
      </c>
      <c r="F1035" s="6" t="s">
        <v>12</v>
      </c>
      <c r="G1035" s="8" t="s">
        <v>3056</v>
      </c>
      <c r="H1035" s="8" t="s">
        <v>3056</v>
      </c>
    </row>
    <row r="1036">
      <c r="A1036" s="6" t="s">
        <v>8</v>
      </c>
      <c r="B1036" s="6" t="s">
        <v>9</v>
      </c>
      <c r="C1036" s="6" t="s">
        <v>3057</v>
      </c>
      <c r="D1036" s="6" t="s">
        <v>3058</v>
      </c>
      <c r="E1036" s="7">
        <v>44319.0</v>
      </c>
      <c r="F1036" s="6" t="s">
        <v>12</v>
      </c>
      <c r="G1036" s="8" t="s">
        <v>3059</v>
      </c>
      <c r="H1036" s="8" t="s">
        <v>3059</v>
      </c>
    </row>
    <row r="1037">
      <c r="A1037" s="6" t="s">
        <v>8</v>
      </c>
      <c r="B1037" s="6" t="s">
        <v>9</v>
      </c>
      <c r="C1037" s="6" t="s">
        <v>3060</v>
      </c>
      <c r="D1037" s="6" t="s">
        <v>3061</v>
      </c>
      <c r="E1037" s="7">
        <v>44228.0</v>
      </c>
      <c r="F1037" s="6" t="s">
        <v>12</v>
      </c>
      <c r="G1037" s="8" t="s">
        <v>3062</v>
      </c>
      <c r="H1037" s="8" t="s">
        <v>3062</v>
      </c>
    </row>
    <row r="1038">
      <c r="A1038" s="6" t="s">
        <v>8</v>
      </c>
      <c r="B1038" s="6" t="s">
        <v>9</v>
      </c>
      <c r="C1038" s="6" t="s">
        <v>3063</v>
      </c>
      <c r="D1038" s="6" t="s">
        <v>3064</v>
      </c>
      <c r="E1038" s="7">
        <v>44228.0</v>
      </c>
      <c r="F1038" s="6" t="s">
        <v>12</v>
      </c>
      <c r="G1038" s="8" t="s">
        <v>3065</v>
      </c>
      <c r="H1038" s="8" t="s">
        <v>3065</v>
      </c>
    </row>
    <row r="1039">
      <c r="A1039" s="6" t="s">
        <v>8</v>
      </c>
      <c r="B1039" s="6" t="s">
        <v>9</v>
      </c>
      <c r="C1039" s="6" t="s">
        <v>3066</v>
      </c>
      <c r="D1039" s="6" t="s">
        <v>3067</v>
      </c>
      <c r="E1039" s="7">
        <v>44322.0</v>
      </c>
      <c r="F1039" s="6" t="s">
        <v>12</v>
      </c>
      <c r="G1039" s="8" t="s">
        <v>3068</v>
      </c>
      <c r="H1039" s="8" t="s">
        <v>3068</v>
      </c>
    </row>
    <row r="1040">
      <c r="A1040" s="6" t="s">
        <v>8</v>
      </c>
      <c r="B1040" s="6" t="s">
        <v>9</v>
      </c>
      <c r="C1040" s="6" t="s">
        <v>3069</v>
      </c>
      <c r="D1040" s="6" t="s">
        <v>3070</v>
      </c>
      <c r="E1040" s="7">
        <v>44322.0</v>
      </c>
      <c r="F1040" s="6" t="s">
        <v>12</v>
      </c>
      <c r="G1040" s="8" t="s">
        <v>3071</v>
      </c>
      <c r="H1040" s="8" t="s">
        <v>3071</v>
      </c>
    </row>
    <row r="1041">
      <c r="A1041" s="6" t="s">
        <v>8</v>
      </c>
      <c r="B1041" s="6" t="s">
        <v>9</v>
      </c>
      <c r="C1041" s="6" t="s">
        <v>3072</v>
      </c>
      <c r="D1041" s="6" t="s">
        <v>3073</v>
      </c>
      <c r="E1041" s="7">
        <v>44322.0</v>
      </c>
      <c r="F1041" s="6" t="s">
        <v>12</v>
      </c>
      <c r="G1041" s="8" t="s">
        <v>3074</v>
      </c>
      <c r="H1041" s="8" t="s">
        <v>3074</v>
      </c>
    </row>
    <row r="1042">
      <c r="A1042" s="6" t="s">
        <v>8</v>
      </c>
      <c r="B1042" s="6" t="s">
        <v>9</v>
      </c>
      <c r="C1042" s="6" t="s">
        <v>3075</v>
      </c>
      <c r="D1042" s="6" t="s">
        <v>3076</v>
      </c>
      <c r="E1042" s="7">
        <v>44307.0</v>
      </c>
      <c r="F1042" s="6" t="s">
        <v>12</v>
      </c>
      <c r="G1042" s="8" t="s">
        <v>3077</v>
      </c>
      <c r="H1042" s="8" t="s">
        <v>3077</v>
      </c>
    </row>
    <row r="1043">
      <c r="A1043" s="6" t="s">
        <v>8</v>
      </c>
      <c r="B1043" s="6" t="s">
        <v>9</v>
      </c>
      <c r="C1043" s="6" t="s">
        <v>3078</v>
      </c>
      <c r="D1043" s="6" t="s">
        <v>3079</v>
      </c>
      <c r="E1043" s="7">
        <v>44309.0</v>
      </c>
      <c r="F1043" s="6" t="s">
        <v>12</v>
      </c>
      <c r="G1043" s="8" t="s">
        <v>3080</v>
      </c>
      <c r="H1043" s="8" t="s">
        <v>3080</v>
      </c>
    </row>
    <row r="1044">
      <c r="A1044" s="6" t="s">
        <v>8</v>
      </c>
      <c r="B1044" s="6" t="s">
        <v>9</v>
      </c>
      <c r="C1044" s="6" t="s">
        <v>3081</v>
      </c>
      <c r="D1044" s="6" t="s">
        <v>3082</v>
      </c>
      <c r="E1044" s="7">
        <v>44165.0</v>
      </c>
      <c r="F1044" s="6" t="s">
        <v>12</v>
      </c>
      <c r="G1044" s="8" t="s">
        <v>3083</v>
      </c>
      <c r="H1044" s="8" t="s">
        <v>3083</v>
      </c>
    </row>
    <row r="1045">
      <c r="A1045" s="6" t="s">
        <v>8</v>
      </c>
      <c r="B1045" s="6" t="s">
        <v>9</v>
      </c>
      <c r="C1045" s="6" t="s">
        <v>3084</v>
      </c>
      <c r="D1045" s="6" t="s">
        <v>3085</v>
      </c>
      <c r="E1045" s="7">
        <v>44165.0</v>
      </c>
      <c r="F1045" s="6" t="s">
        <v>12</v>
      </c>
      <c r="G1045" s="8" t="s">
        <v>3086</v>
      </c>
      <c r="H1045" s="8" t="s">
        <v>3086</v>
      </c>
    </row>
    <row r="1046">
      <c r="A1046" s="6" t="s">
        <v>8</v>
      </c>
      <c r="B1046" s="6" t="s">
        <v>9</v>
      </c>
      <c r="C1046" s="6" t="s">
        <v>3087</v>
      </c>
      <c r="D1046" s="6" t="s">
        <v>3088</v>
      </c>
      <c r="E1046" s="7">
        <v>44165.0</v>
      </c>
      <c r="F1046" s="6" t="s">
        <v>12</v>
      </c>
      <c r="G1046" s="8" t="s">
        <v>3089</v>
      </c>
      <c r="H1046" s="8" t="s">
        <v>3089</v>
      </c>
    </row>
    <row r="1047">
      <c r="A1047" s="6" t="s">
        <v>8</v>
      </c>
      <c r="B1047" s="6" t="s">
        <v>9</v>
      </c>
      <c r="C1047" s="6" t="s">
        <v>3090</v>
      </c>
      <c r="D1047" s="6" t="s">
        <v>3091</v>
      </c>
      <c r="E1047" s="7">
        <v>44165.0</v>
      </c>
      <c r="F1047" s="6" t="s">
        <v>12</v>
      </c>
      <c r="G1047" s="8" t="s">
        <v>3092</v>
      </c>
      <c r="H1047" s="8" t="s">
        <v>3092</v>
      </c>
    </row>
    <row r="1048">
      <c r="A1048" s="6" t="s">
        <v>8</v>
      </c>
      <c r="B1048" s="6" t="s">
        <v>9</v>
      </c>
      <c r="C1048" s="6" t="s">
        <v>3093</v>
      </c>
      <c r="D1048" s="6" t="s">
        <v>3094</v>
      </c>
      <c r="E1048" s="7">
        <v>44165.0</v>
      </c>
      <c r="F1048" s="6" t="s">
        <v>12</v>
      </c>
      <c r="G1048" s="8" t="s">
        <v>3095</v>
      </c>
      <c r="H1048" s="8" t="s">
        <v>3095</v>
      </c>
    </row>
    <row r="1049">
      <c r="A1049" s="6" t="s">
        <v>8</v>
      </c>
      <c r="B1049" s="6" t="s">
        <v>9</v>
      </c>
      <c r="C1049" s="6" t="s">
        <v>3096</v>
      </c>
      <c r="D1049" s="6" t="s">
        <v>3097</v>
      </c>
      <c r="E1049" s="7">
        <v>44165.0</v>
      </c>
      <c r="F1049" s="6" t="s">
        <v>12</v>
      </c>
      <c r="G1049" s="8" t="s">
        <v>3098</v>
      </c>
      <c r="H1049" s="8" t="s">
        <v>3098</v>
      </c>
    </row>
    <row r="1050">
      <c r="A1050" s="6" t="s">
        <v>8</v>
      </c>
      <c r="B1050" s="6" t="s">
        <v>9</v>
      </c>
      <c r="C1050" s="6" t="s">
        <v>3099</v>
      </c>
      <c r="D1050" s="6" t="s">
        <v>3100</v>
      </c>
      <c r="E1050" s="7">
        <v>44165.0</v>
      </c>
      <c r="F1050" s="6" t="s">
        <v>12</v>
      </c>
      <c r="G1050" s="8" t="s">
        <v>3101</v>
      </c>
      <c r="H1050" s="8" t="s">
        <v>3101</v>
      </c>
    </row>
    <row r="1051">
      <c r="A1051" s="6" t="s">
        <v>8</v>
      </c>
      <c r="B1051" s="6" t="s">
        <v>9</v>
      </c>
      <c r="C1051" s="6" t="s">
        <v>3102</v>
      </c>
      <c r="D1051" s="6" t="s">
        <v>3103</v>
      </c>
      <c r="E1051" s="7">
        <v>44165.0</v>
      </c>
      <c r="F1051" s="6" t="s">
        <v>12</v>
      </c>
      <c r="G1051" s="8" t="s">
        <v>3104</v>
      </c>
      <c r="H1051" s="8" t="s">
        <v>3104</v>
      </c>
    </row>
    <row r="1052">
      <c r="A1052" s="6" t="s">
        <v>8</v>
      </c>
      <c r="B1052" s="6" t="s">
        <v>9</v>
      </c>
      <c r="C1052" s="6" t="s">
        <v>3105</v>
      </c>
      <c r="D1052" s="6" t="s">
        <v>3106</v>
      </c>
      <c r="E1052" s="7">
        <v>44165.0</v>
      </c>
      <c r="F1052" s="6" t="s">
        <v>12</v>
      </c>
      <c r="G1052" s="8" t="s">
        <v>3107</v>
      </c>
      <c r="H1052" s="8" t="s">
        <v>3107</v>
      </c>
    </row>
    <row r="1053">
      <c r="A1053" s="6" t="s">
        <v>8</v>
      </c>
      <c r="B1053" s="6" t="s">
        <v>9</v>
      </c>
      <c r="C1053" s="6" t="s">
        <v>3108</v>
      </c>
      <c r="D1053" s="6" t="s">
        <v>3109</v>
      </c>
      <c r="E1053" s="7">
        <v>44194.0</v>
      </c>
      <c r="F1053" s="6" t="s">
        <v>12</v>
      </c>
      <c r="G1053" s="8" t="s">
        <v>3110</v>
      </c>
      <c r="H1053" s="8" t="s">
        <v>3110</v>
      </c>
    </row>
    <row r="1054">
      <c r="A1054" s="6" t="s">
        <v>8</v>
      </c>
      <c r="B1054" s="6" t="s">
        <v>9</v>
      </c>
      <c r="C1054" s="6" t="s">
        <v>3111</v>
      </c>
      <c r="D1054" s="6" t="s">
        <v>3112</v>
      </c>
      <c r="E1054" s="7">
        <v>44194.0</v>
      </c>
      <c r="F1054" s="6" t="s">
        <v>12</v>
      </c>
      <c r="G1054" s="8" t="s">
        <v>3113</v>
      </c>
      <c r="H1054" s="8" t="s">
        <v>3113</v>
      </c>
    </row>
    <row r="1055">
      <c r="A1055" s="6" t="s">
        <v>8</v>
      </c>
      <c r="B1055" s="6" t="s">
        <v>9</v>
      </c>
      <c r="C1055" s="6" t="s">
        <v>3114</v>
      </c>
      <c r="D1055" s="6" t="s">
        <v>3115</v>
      </c>
      <c r="E1055" s="7">
        <v>44194.0</v>
      </c>
      <c r="F1055" s="6" t="s">
        <v>12</v>
      </c>
      <c r="G1055" s="8" t="s">
        <v>3116</v>
      </c>
      <c r="H1055" s="8" t="s">
        <v>3116</v>
      </c>
    </row>
    <row r="1056">
      <c r="A1056" s="6" t="s">
        <v>8</v>
      </c>
      <c r="B1056" s="6" t="s">
        <v>9</v>
      </c>
      <c r="C1056" s="6" t="s">
        <v>3117</v>
      </c>
      <c r="D1056" s="6" t="s">
        <v>3118</v>
      </c>
      <c r="E1056" s="7">
        <v>44323.0</v>
      </c>
      <c r="F1056" s="6" t="s">
        <v>12</v>
      </c>
      <c r="G1056" s="8" t="s">
        <v>3119</v>
      </c>
      <c r="H1056" s="8" t="s">
        <v>3119</v>
      </c>
    </row>
    <row r="1057">
      <c r="A1057" s="6" t="s">
        <v>8</v>
      </c>
      <c r="B1057" s="6" t="s">
        <v>9</v>
      </c>
      <c r="C1057" s="6" t="s">
        <v>3120</v>
      </c>
      <c r="D1057" s="6" t="s">
        <v>3121</v>
      </c>
      <c r="E1057" s="7">
        <v>44173.0</v>
      </c>
      <c r="F1057" s="6" t="s">
        <v>12</v>
      </c>
      <c r="G1057" s="8" t="s">
        <v>3122</v>
      </c>
      <c r="H1057" s="8" t="s">
        <v>3122</v>
      </c>
    </row>
    <row r="1058">
      <c r="A1058" s="6" t="s">
        <v>8</v>
      </c>
      <c r="B1058" s="6" t="s">
        <v>9</v>
      </c>
      <c r="C1058" s="6" t="s">
        <v>3123</v>
      </c>
      <c r="D1058" s="6" t="s">
        <v>3124</v>
      </c>
      <c r="E1058" s="7">
        <v>44173.0</v>
      </c>
      <c r="F1058" s="6" t="s">
        <v>12</v>
      </c>
      <c r="G1058" s="8" t="s">
        <v>3125</v>
      </c>
      <c r="H1058" s="8" t="s">
        <v>3125</v>
      </c>
    </row>
    <row r="1059">
      <c r="A1059" s="6" t="s">
        <v>8</v>
      </c>
      <c r="B1059" s="6" t="s">
        <v>9</v>
      </c>
      <c r="C1059" s="6" t="s">
        <v>3126</v>
      </c>
      <c r="D1059" s="6" t="s">
        <v>3127</v>
      </c>
      <c r="E1059" s="7">
        <v>44182.0</v>
      </c>
      <c r="F1059" s="6" t="s">
        <v>12</v>
      </c>
      <c r="G1059" s="8" t="s">
        <v>3128</v>
      </c>
      <c r="H1059" s="8" t="s">
        <v>3128</v>
      </c>
    </row>
    <row r="1060">
      <c r="A1060" s="6" t="s">
        <v>8</v>
      </c>
      <c r="B1060" s="6" t="s">
        <v>9</v>
      </c>
      <c r="C1060" s="6" t="s">
        <v>3129</v>
      </c>
      <c r="D1060" s="6" t="s">
        <v>3130</v>
      </c>
      <c r="E1060" s="7">
        <v>44182.0</v>
      </c>
      <c r="F1060" s="6" t="s">
        <v>12</v>
      </c>
      <c r="G1060" s="8" t="s">
        <v>3131</v>
      </c>
      <c r="H1060" s="8" t="s">
        <v>3131</v>
      </c>
    </row>
    <row r="1061">
      <c r="A1061" s="6" t="s">
        <v>8</v>
      </c>
      <c r="B1061" s="6" t="s">
        <v>9</v>
      </c>
      <c r="C1061" s="6" t="s">
        <v>3132</v>
      </c>
      <c r="D1061" s="6" t="s">
        <v>3133</v>
      </c>
      <c r="E1061" s="7">
        <v>44182.0</v>
      </c>
      <c r="F1061" s="6" t="s">
        <v>12</v>
      </c>
      <c r="G1061" s="8" t="s">
        <v>3134</v>
      </c>
      <c r="H1061" s="8" t="s">
        <v>3134</v>
      </c>
    </row>
    <row r="1062">
      <c r="A1062" s="6" t="s">
        <v>8</v>
      </c>
      <c r="B1062" s="6" t="s">
        <v>9</v>
      </c>
      <c r="C1062" s="6" t="s">
        <v>3135</v>
      </c>
      <c r="D1062" s="6" t="s">
        <v>3136</v>
      </c>
      <c r="E1062" s="7">
        <v>44210.0</v>
      </c>
      <c r="F1062" s="6" t="s">
        <v>12</v>
      </c>
      <c r="G1062" s="8" t="s">
        <v>3137</v>
      </c>
      <c r="H1062" s="8" t="s">
        <v>3137</v>
      </c>
    </row>
    <row r="1063">
      <c r="A1063" s="6" t="s">
        <v>8</v>
      </c>
      <c r="B1063" s="6" t="s">
        <v>9</v>
      </c>
      <c r="C1063" s="6" t="s">
        <v>3138</v>
      </c>
      <c r="D1063" s="6" t="s">
        <v>3139</v>
      </c>
      <c r="E1063" s="7">
        <v>44158.0</v>
      </c>
      <c r="F1063" s="6" t="s">
        <v>12</v>
      </c>
      <c r="G1063" s="8" t="s">
        <v>3140</v>
      </c>
      <c r="H1063" s="8" t="s">
        <v>3140</v>
      </c>
    </row>
    <row r="1064">
      <c r="A1064" s="6" t="s">
        <v>8</v>
      </c>
      <c r="B1064" s="6" t="s">
        <v>9</v>
      </c>
      <c r="C1064" s="6" t="s">
        <v>3141</v>
      </c>
      <c r="D1064" s="6" t="s">
        <v>3142</v>
      </c>
      <c r="E1064" s="7">
        <v>44239.0</v>
      </c>
      <c r="F1064" s="6" t="s">
        <v>12</v>
      </c>
      <c r="G1064" s="8" t="s">
        <v>3143</v>
      </c>
      <c r="H1064" s="8" t="s">
        <v>3143</v>
      </c>
    </row>
    <row r="1065">
      <c r="A1065" s="6" t="s">
        <v>8</v>
      </c>
      <c r="B1065" s="6" t="s">
        <v>9</v>
      </c>
      <c r="C1065" s="6" t="s">
        <v>3144</v>
      </c>
      <c r="D1065" s="6" t="s">
        <v>3145</v>
      </c>
      <c r="E1065" s="7">
        <v>44169.0</v>
      </c>
      <c r="F1065" s="6" t="s">
        <v>12</v>
      </c>
      <c r="G1065" s="8" t="s">
        <v>3146</v>
      </c>
      <c r="H1065" s="8" t="s">
        <v>3146</v>
      </c>
    </row>
    <row r="1066">
      <c r="A1066" s="6" t="s">
        <v>8</v>
      </c>
      <c r="B1066" s="6" t="s">
        <v>9</v>
      </c>
      <c r="C1066" s="6" t="s">
        <v>3147</v>
      </c>
      <c r="D1066" s="6" t="s">
        <v>3148</v>
      </c>
      <c r="E1066" s="7">
        <v>44201.0</v>
      </c>
      <c r="F1066" s="6" t="s">
        <v>12</v>
      </c>
      <c r="G1066" s="8" t="s">
        <v>3149</v>
      </c>
      <c r="H1066" s="8" t="s">
        <v>3149</v>
      </c>
    </row>
    <row r="1067">
      <c r="A1067" s="6" t="s">
        <v>8</v>
      </c>
      <c r="B1067" s="6" t="s">
        <v>9</v>
      </c>
      <c r="C1067" s="6" t="s">
        <v>3150</v>
      </c>
      <c r="D1067" s="6" t="s">
        <v>3151</v>
      </c>
      <c r="E1067" s="7">
        <v>44203.0</v>
      </c>
      <c r="F1067" s="6" t="s">
        <v>12</v>
      </c>
      <c r="G1067" s="8" t="s">
        <v>3152</v>
      </c>
      <c r="H1067" s="8" t="s">
        <v>3152</v>
      </c>
    </row>
    <row r="1068">
      <c r="A1068" s="6" t="s">
        <v>8</v>
      </c>
      <c r="B1068" s="6" t="s">
        <v>9</v>
      </c>
      <c r="C1068" s="6" t="s">
        <v>3153</v>
      </c>
      <c r="D1068" s="6" t="s">
        <v>3154</v>
      </c>
      <c r="E1068" s="7">
        <v>44181.0</v>
      </c>
      <c r="F1068" s="6" t="s">
        <v>12</v>
      </c>
      <c r="G1068" s="8" t="s">
        <v>3155</v>
      </c>
      <c r="H1068" s="8" t="s">
        <v>3155</v>
      </c>
    </row>
    <row r="1069">
      <c r="A1069" s="6" t="s">
        <v>8</v>
      </c>
      <c r="B1069" s="6" t="s">
        <v>9</v>
      </c>
      <c r="C1069" s="6" t="s">
        <v>3156</v>
      </c>
      <c r="D1069" s="6" t="s">
        <v>3157</v>
      </c>
      <c r="E1069" s="7">
        <v>44230.0</v>
      </c>
      <c r="F1069" s="6" t="s">
        <v>12</v>
      </c>
      <c r="G1069" s="8" t="s">
        <v>3158</v>
      </c>
      <c r="H1069" s="8" t="s">
        <v>3158</v>
      </c>
    </row>
    <row r="1070">
      <c r="A1070" s="6" t="s">
        <v>8</v>
      </c>
      <c r="B1070" s="6" t="s">
        <v>9</v>
      </c>
      <c r="C1070" s="6" t="s">
        <v>3159</v>
      </c>
      <c r="D1070" s="6" t="s">
        <v>3160</v>
      </c>
      <c r="E1070" s="7">
        <v>44230.0</v>
      </c>
      <c r="F1070" s="6" t="s">
        <v>12</v>
      </c>
      <c r="G1070" s="8" t="s">
        <v>3161</v>
      </c>
      <c r="H1070" s="8" t="s">
        <v>3161</v>
      </c>
    </row>
    <row r="1071">
      <c r="A1071" s="6" t="s">
        <v>8</v>
      </c>
      <c r="B1071" s="6" t="s">
        <v>9</v>
      </c>
      <c r="C1071" s="6" t="s">
        <v>3162</v>
      </c>
      <c r="D1071" s="6" t="s">
        <v>3163</v>
      </c>
      <c r="E1071" s="7">
        <v>44236.0</v>
      </c>
      <c r="F1071" s="6" t="s">
        <v>12</v>
      </c>
      <c r="G1071" s="8" t="s">
        <v>3164</v>
      </c>
      <c r="H1071" s="8" t="s">
        <v>3164</v>
      </c>
    </row>
    <row r="1072">
      <c r="A1072" s="6" t="s">
        <v>8</v>
      </c>
      <c r="B1072" s="6" t="s">
        <v>9</v>
      </c>
      <c r="C1072" s="6" t="s">
        <v>3165</v>
      </c>
      <c r="D1072" s="6" t="s">
        <v>1364</v>
      </c>
      <c r="E1072" s="7">
        <v>44236.0</v>
      </c>
      <c r="F1072" s="6" t="s">
        <v>12</v>
      </c>
      <c r="G1072" s="8" t="s">
        <v>3166</v>
      </c>
      <c r="H1072" s="8" t="s">
        <v>3166</v>
      </c>
    </row>
    <row r="1073">
      <c r="A1073" s="6" t="s">
        <v>8</v>
      </c>
      <c r="B1073" s="6" t="s">
        <v>9</v>
      </c>
      <c r="C1073" s="6" t="s">
        <v>3167</v>
      </c>
      <c r="D1073" s="6" t="s">
        <v>3168</v>
      </c>
      <c r="E1073" s="7">
        <v>44236.0</v>
      </c>
      <c r="F1073" s="6" t="s">
        <v>12</v>
      </c>
      <c r="G1073" s="8" t="s">
        <v>3169</v>
      </c>
      <c r="H1073" s="8" t="s">
        <v>3169</v>
      </c>
    </row>
    <row r="1074">
      <c r="A1074" s="6" t="s">
        <v>8</v>
      </c>
      <c r="B1074" s="6" t="s">
        <v>9</v>
      </c>
      <c r="C1074" s="6" t="s">
        <v>3170</v>
      </c>
      <c r="D1074" s="6" t="s">
        <v>150</v>
      </c>
      <c r="E1074" s="7">
        <v>44236.0</v>
      </c>
      <c r="F1074" s="6" t="s">
        <v>12</v>
      </c>
      <c r="G1074" s="8" t="s">
        <v>3171</v>
      </c>
      <c r="H1074" s="8" t="s">
        <v>3171</v>
      </c>
    </row>
    <row r="1075">
      <c r="A1075" s="6" t="s">
        <v>8</v>
      </c>
      <c r="B1075" s="6" t="s">
        <v>9</v>
      </c>
      <c r="C1075" s="6" t="s">
        <v>3172</v>
      </c>
      <c r="D1075" s="6" t="s">
        <v>156</v>
      </c>
      <c r="E1075" s="7">
        <v>44236.0</v>
      </c>
      <c r="F1075" s="6" t="s">
        <v>12</v>
      </c>
      <c r="G1075" s="8" t="s">
        <v>3173</v>
      </c>
      <c r="H1075" s="8" t="s">
        <v>3173</v>
      </c>
    </row>
    <row r="1076">
      <c r="A1076" s="6" t="s">
        <v>8</v>
      </c>
      <c r="B1076" s="6" t="s">
        <v>9</v>
      </c>
      <c r="C1076" s="6" t="s">
        <v>3174</v>
      </c>
      <c r="D1076" s="6" t="s">
        <v>2475</v>
      </c>
      <c r="E1076" s="7">
        <v>44236.0</v>
      </c>
      <c r="F1076" s="6" t="s">
        <v>12</v>
      </c>
      <c r="G1076" s="8" t="s">
        <v>3175</v>
      </c>
      <c r="H1076" s="8" t="s">
        <v>3175</v>
      </c>
    </row>
    <row r="1077">
      <c r="A1077" s="6" t="s">
        <v>8</v>
      </c>
      <c r="B1077" s="6" t="s">
        <v>9</v>
      </c>
      <c r="C1077" s="6" t="s">
        <v>3176</v>
      </c>
      <c r="D1077" s="6" t="s">
        <v>1425</v>
      </c>
      <c r="E1077" s="7">
        <v>44236.0</v>
      </c>
      <c r="F1077" s="6" t="s">
        <v>12</v>
      </c>
      <c r="G1077" s="8" t="s">
        <v>3177</v>
      </c>
      <c r="H1077" s="8" t="s">
        <v>3177</v>
      </c>
    </row>
    <row r="1078">
      <c r="A1078" s="6" t="s">
        <v>8</v>
      </c>
      <c r="B1078" s="6" t="s">
        <v>9</v>
      </c>
      <c r="C1078" s="6" t="s">
        <v>3178</v>
      </c>
      <c r="D1078" s="6" t="s">
        <v>165</v>
      </c>
      <c r="E1078" s="7">
        <v>44236.0</v>
      </c>
      <c r="F1078" s="6" t="s">
        <v>12</v>
      </c>
      <c r="G1078" s="8" t="s">
        <v>3179</v>
      </c>
      <c r="H1078" s="8" t="s">
        <v>3179</v>
      </c>
    </row>
    <row r="1079">
      <c r="A1079" s="6" t="s">
        <v>8</v>
      </c>
      <c r="B1079" s="6" t="s">
        <v>9</v>
      </c>
      <c r="C1079" s="6" t="s">
        <v>3180</v>
      </c>
      <c r="D1079" s="6" t="s">
        <v>1738</v>
      </c>
      <c r="E1079" s="7">
        <v>44236.0</v>
      </c>
      <c r="F1079" s="6" t="s">
        <v>12</v>
      </c>
      <c r="G1079" s="8" t="s">
        <v>3181</v>
      </c>
      <c r="H1079" s="8" t="s">
        <v>3181</v>
      </c>
    </row>
    <row r="1080">
      <c r="A1080" s="6" t="s">
        <v>8</v>
      </c>
      <c r="B1080" s="6" t="s">
        <v>9</v>
      </c>
      <c r="C1080" s="6" t="s">
        <v>3182</v>
      </c>
      <c r="D1080" s="6" t="s">
        <v>3183</v>
      </c>
      <c r="E1080" s="7">
        <v>44258.0</v>
      </c>
      <c r="F1080" s="6" t="s">
        <v>12</v>
      </c>
      <c r="G1080" s="8" t="s">
        <v>3184</v>
      </c>
      <c r="H1080" s="8" t="s">
        <v>3184</v>
      </c>
    </row>
    <row r="1081">
      <c r="A1081" s="6" t="s">
        <v>8</v>
      </c>
      <c r="B1081" s="6" t="s">
        <v>9</v>
      </c>
      <c r="C1081" s="6" t="s">
        <v>3185</v>
      </c>
      <c r="D1081" s="6" t="s">
        <v>3186</v>
      </c>
      <c r="E1081" s="7">
        <v>44278.0</v>
      </c>
      <c r="F1081" s="6" t="s">
        <v>12</v>
      </c>
      <c r="G1081" s="8" t="s">
        <v>3187</v>
      </c>
      <c r="H1081" s="8" t="s">
        <v>3187</v>
      </c>
    </row>
    <row r="1082">
      <c r="A1082" s="6" t="s">
        <v>8</v>
      </c>
      <c r="B1082" s="6" t="s">
        <v>9</v>
      </c>
      <c r="C1082" s="6" t="s">
        <v>3188</v>
      </c>
      <c r="D1082" s="6" t="s">
        <v>1711</v>
      </c>
      <c r="E1082" s="7">
        <v>44278.0</v>
      </c>
      <c r="F1082" s="6" t="s">
        <v>12</v>
      </c>
      <c r="G1082" s="8" t="s">
        <v>3189</v>
      </c>
      <c r="H1082" s="8" t="s">
        <v>3189</v>
      </c>
    </row>
    <row r="1083">
      <c r="A1083" s="6" t="s">
        <v>8</v>
      </c>
      <c r="B1083" s="6" t="s">
        <v>9</v>
      </c>
      <c r="C1083" s="6" t="s">
        <v>3190</v>
      </c>
      <c r="D1083" s="6" t="s">
        <v>3191</v>
      </c>
      <c r="E1083" s="7">
        <v>44278.0</v>
      </c>
      <c r="F1083" s="6" t="s">
        <v>12</v>
      </c>
      <c r="G1083" s="8" t="s">
        <v>3192</v>
      </c>
      <c r="H1083" s="8" t="s">
        <v>3192</v>
      </c>
    </row>
    <row r="1084">
      <c r="A1084" s="6" t="s">
        <v>8</v>
      </c>
      <c r="B1084" s="6" t="s">
        <v>9</v>
      </c>
      <c r="C1084" s="6" t="s">
        <v>3193</v>
      </c>
      <c r="D1084" s="6" t="s">
        <v>3194</v>
      </c>
      <c r="E1084" s="7">
        <v>44242.0</v>
      </c>
      <c r="F1084" s="6" t="s">
        <v>12</v>
      </c>
      <c r="G1084" s="8" t="s">
        <v>3195</v>
      </c>
      <c r="H1084" s="8" t="s">
        <v>3195</v>
      </c>
    </row>
    <row r="1085">
      <c r="A1085" s="6" t="s">
        <v>8</v>
      </c>
      <c r="B1085" s="6" t="s">
        <v>9</v>
      </c>
      <c r="C1085" s="6" t="s">
        <v>3196</v>
      </c>
      <c r="D1085" s="6" t="s">
        <v>3197</v>
      </c>
      <c r="E1085" s="7">
        <v>44319.0</v>
      </c>
      <c r="F1085" s="6" t="s">
        <v>12</v>
      </c>
      <c r="G1085" s="8" t="s">
        <v>3198</v>
      </c>
      <c r="H1085" s="8" t="s">
        <v>3198</v>
      </c>
    </row>
    <row r="1086">
      <c r="A1086" s="6" t="s">
        <v>8</v>
      </c>
      <c r="B1086" s="6" t="s">
        <v>9</v>
      </c>
      <c r="C1086" s="6" t="s">
        <v>3199</v>
      </c>
      <c r="D1086" s="6" t="s">
        <v>3200</v>
      </c>
      <c r="E1086" s="7">
        <v>44319.0</v>
      </c>
      <c r="F1086" s="6" t="s">
        <v>12</v>
      </c>
      <c r="G1086" s="8" t="s">
        <v>3201</v>
      </c>
      <c r="H1086" s="8" t="s">
        <v>3201</v>
      </c>
    </row>
    <row r="1087">
      <c r="A1087" s="6" t="s">
        <v>8</v>
      </c>
      <c r="B1087" s="6" t="s">
        <v>9</v>
      </c>
      <c r="C1087" s="6" t="s">
        <v>3202</v>
      </c>
      <c r="D1087" s="6" t="s">
        <v>3203</v>
      </c>
      <c r="E1087" s="7">
        <v>44214.0</v>
      </c>
      <c r="F1087" s="6" t="s">
        <v>12</v>
      </c>
      <c r="G1087" s="8" t="s">
        <v>3204</v>
      </c>
      <c r="H1087" s="8" t="s">
        <v>3204</v>
      </c>
    </row>
    <row r="1088">
      <c r="A1088" s="6" t="s">
        <v>8</v>
      </c>
      <c r="B1088" s="6" t="s">
        <v>9</v>
      </c>
      <c r="C1088" s="6" t="s">
        <v>3205</v>
      </c>
      <c r="D1088" s="6" t="s">
        <v>3206</v>
      </c>
      <c r="E1088" s="7">
        <v>44257.0</v>
      </c>
      <c r="F1088" s="6" t="s">
        <v>12</v>
      </c>
      <c r="G1088" s="8" t="s">
        <v>3207</v>
      </c>
      <c r="H1088" s="8" t="s">
        <v>3207</v>
      </c>
    </row>
    <row r="1089">
      <c r="A1089" s="6" t="s">
        <v>8</v>
      </c>
      <c r="B1089" s="6" t="s">
        <v>9</v>
      </c>
      <c r="C1089" s="6" t="s">
        <v>3208</v>
      </c>
      <c r="D1089" s="6" t="s">
        <v>3209</v>
      </c>
      <c r="E1089" s="7">
        <v>44243.0</v>
      </c>
      <c r="F1089" s="6" t="s">
        <v>12</v>
      </c>
      <c r="G1089" s="8" t="s">
        <v>3210</v>
      </c>
      <c r="H1089" s="8" t="s">
        <v>3210</v>
      </c>
    </row>
    <row r="1090">
      <c r="A1090" s="6" t="s">
        <v>8</v>
      </c>
      <c r="B1090" s="6" t="s">
        <v>9</v>
      </c>
      <c r="C1090" s="6" t="s">
        <v>3211</v>
      </c>
      <c r="D1090" s="6" t="s">
        <v>3212</v>
      </c>
      <c r="E1090" s="7">
        <v>44242.0</v>
      </c>
      <c r="F1090" s="6" t="s">
        <v>12</v>
      </c>
      <c r="G1090" s="8" t="s">
        <v>3213</v>
      </c>
      <c r="H1090" s="8" t="s">
        <v>3213</v>
      </c>
    </row>
    <row r="1091">
      <c r="A1091" s="6" t="s">
        <v>8</v>
      </c>
      <c r="B1091" s="6" t="s">
        <v>9</v>
      </c>
      <c r="C1091" s="6" t="s">
        <v>3214</v>
      </c>
      <c r="D1091" s="6" t="s">
        <v>3215</v>
      </c>
      <c r="E1091" s="7">
        <v>44243.0</v>
      </c>
      <c r="F1091" s="6" t="s">
        <v>12</v>
      </c>
      <c r="G1091" s="8" t="s">
        <v>3216</v>
      </c>
      <c r="H1091" s="8" t="s">
        <v>3216</v>
      </c>
    </row>
    <row r="1092">
      <c r="A1092" s="6" t="s">
        <v>8</v>
      </c>
      <c r="B1092" s="6" t="s">
        <v>9</v>
      </c>
      <c r="C1092" s="6" t="s">
        <v>3217</v>
      </c>
      <c r="D1092" s="6" t="s">
        <v>3218</v>
      </c>
      <c r="E1092" s="7">
        <v>44222.0</v>
      </c>
      <c r="F1092" s="6" t="s">
        <v>12</v>
      </c>
      <c r="G1092" s="8" t="s">
        <v>3219</v>
      </c>
      <c r="H1092" s="8" t="s">
        <v>3219</v>
      </c>
    </row>
    <row r="1093">
      <c r="A1093" s="6" t="s">
        <v>8</v>
      </c>
      <c r="B1093" s="6" t="s">
        <v>9</v>
      </c>
      <c r="C1093" s="6" t="s">
        <v>3220</v>
      </c>
      <c r="D1093" s="6" t="s">
        <v>3221</v>
      </c>
      <c r="E1093" s="7">
        <v>44222.0</v>
      </c>
      <c r="F1093" s="6" t="s">
        <v>12</v>
      </c>
      <c r="G1093" s="8" t="s">
        <v>3222</v>
      </c>
      <c r="H1093" s="8" t="s">
        <v>3222</v>
      </c>
    </row>
    <row r="1094">
      <c r="A1094" s="6" t="s">
        <v>8</v>
      </c>
      <c r="B1094" s="6" t="s">
        <v>9</v>
      </c>
      <c r="C1094" s="6" t="s">
        <v>3223</v>
      </c>
      <c r="D1094" s="6" t="s">
        <v>3224</v>
      </c>
      <c r="E1094" s="7">
        <v>44222.0</v>
      </c>
      <c r="F1094" s="6" t="s">
        <v>12</v>
      </c>
      <c r="G1094" s="8" t="s">
        <v>3225</v>
      </c>
      <c r="H1094" s="8" t="s">
        <v>3225</v>
      </c>
    </row>
    <row r="1095">
      <c r="A1095" s="6" t="s">
        <v>8</v>
      </c>
      <c r="B1095" s="6" t="s">
        <v>9</v>
      </c>
      <c r="C1095" s="6" t="s">
        <v>3226</v>
      </c>
      <c r="D1095" s="6" t="s">
        <v>3227</v>
      </c>
      <c r="E1095" s="7">
        <v>44223.0</v>
      </c>
      <c r="F1095" s="6" t="s">
        <v>12</v>
      </c>
      <c r="G1095" s="8" t="s">
        <v>3228</v>
      </c>
      <c r="H1095" s="8" t="s">
        <v>3228</v>
      </c>
    </row>
    <row r="1096">
      <c r="A1096" s="6" t="s">
        <v>8</v>
      </c>
      <c r="B1096" s="6" t="s">
        <v>9</v>
      </c>
      <c r="C1096" s="6" t="s">
        <v>3229</v>
      </c>
      <c r="D1096" s="6" t="s">
        <v>3230</v>
      </c>
      <c r="E1096" s="7">
        <v>44223.0</v>
      </c>
      <c r="F1096" s="6" t="s">
        <v>12</v>
      </c>
      <c r="G1096" s="8" t="s">
        <v>3231</v>
      </c>
      <c r="H1096" s="8" t="s">
        <v>3231</v>
      </c>
    </row>
    <row r="1097">
      <c r="A1097" s="6" t="s">
        <v>8</v>
      </c>
      <c r="B1097" s="6" t="s">
        <v>9</v>
      </c>
      <c r="C1097" s="6" t="s">
        <v>3232</v>
      </c>
      <c r="D1097" s="6" t="s">
        <v>3233</v>
      </c>
      <c r="E1097" s="7">
        <v>44223.0</v>
      </c>
      <c r="F1097" s="6" t="s">
        <v>12</v>
      </c>
      <c r="G1097" s="8" t="s">
        <v>3234</v>
      </c>
      <c r="H1097" s="8" t="s">
        <v>3234</v>
      </c>
    </row>
    <row r="1098">
      <c r="A1098" s="6" t="s">
        <v>8</v>
      </c>
      <c r="B1098" s="6" t="s">
        <v>9</v>
      </c>
      <c r="C1098" s="6" t="s">
        <v>3235</v>
      </c>
      <c r="D1098" s="6" t="s">
        <v>3236</v>
      </c>
      <c r="E1098" s="7">
        <v>44223.0</v>
      </c>
      <c r="F1098" s="6" t="s">
        <v>12</v>
      </c>
      <c r="G1098" s="8" t="s">
        <v>3237</v>
      </c>
      <c r="H1098" s="8" t="s">
        <v>3237</v>
      </c>
    </row>
    <row r="1099">
      <c r="A1099" s="6" t="s">
        <v>8</v>
      </c>
      <c r="B1099" s="6" t="s">
        <v>9</v>
      </c>
      <c r="C1099" s="6" t="s">
        <v>3238</v>
      </c>
      <c r="D1099" s="6" t="s">
        <v>3239</v>
      </c>
      <c r="E1099" s="7">
        <v>44223.0</v>
      </c>
      <c r="F1099" s="6" t="s">
        <v>12</v>
      </c>
      <c r="G1099" s="8" t="s">
        <v>3240</v>
      </c>
      <c r="H1099" s="8" t="s">
        <v>3240</v>
      </c>
    </row>
    <row r="1100">
      <c r="A1100" s="6" t="s">
        <v>8</v>
      </c>
      <c r="B1100" s="6" t="s">
        <v>9</v>
      </c>
      <c r="C1100" s="6" t="s">
        <v>3241</v>
      </c>
      <c r="D1100" s="6" t="s">
        <v>3242</v>
      </c>
      <c r="E1100" s="7">
        <v>44223.0</v>
      </c>
      <c r="F1100" s="6" t="s">
        <v>12</v>
      </c>
      <c r="G1100" s="8" t="s">
        <v>3243</v>
      </c>
      <c r="H1100" s="8" t="s">
        <v>3243</v>
      </c>
    </row>
    <row r="1101">
      <c r="A1101" s="6" t="s">
        <v>8</v>
      </c>
      <c r="B1101" s="6" t="s">
        <v>9</v>
      </c>
      <c r="C1101" s="6" t="s">
        <v>3244</v>
      </c>
      <c r="D1101" s="6" t="s">
        <v>3245</v>
      </c>
      <c r="E1101" s="7">
        <v>44223.0</v>
      </c>
      <c r="F1101" s="6" t="s">
        <v>12</v>
      </c>
      <c r="G1101" s="8" t="s">
        <v>3246</v>
      </c>
      <c r="H1101" s="8" t="s">
        <v>3246</v>
      </c>
    </row>
    <row r="1102">
      <c r="A1102" s="6" t="s">
        <v>8</v>
      </c>
      <c r="B1102" s="6" t="s">
        <v>9</v>
      </c>
      <c r="C1102" s="6" t="s">
        <v>3247</v>
      </c>
      <c r="D1102" s="6" t="s">
        <v>3248</v>
      </c>
      <c r="E1102" s="7">
        <v>44263.0</v>
      </c>
      <c r="F1102" s="6" t="s">
        <v>12</v>
      </c>
      <c r="G1102" s="8" t="s">
        <v>3249</v>
      </c>
      <c r="H1102" s="8" t="s">
        <v>3249</v>
      </c>
    </row>
    <row r="1103">
      <c r="A1103" s="6" t="s">
        <v>8</v>
      </c>
      <c r="B1103" s="6" t="s">
        <v>9</v>
      </c>
      <c r="C1103" s="6" t="s">
        <v>3250</v>
      </c>
      <c r="D1103" s="6" t="s">
        <v>3251</v>
      </c>
      <c r="E1103" s="7">
        <v>44263.0</v>
      </c>
      <c r="F1103" s="6" t="s">
        <v>12</v>
      </c>
      <c r="G1103" s="8" t="s">
        <v>3252</v>
      </c>
      <c r="H1103" s="8" t="s">
        <v>3252</v>
      </c>
    </row>
    <row r="1104">
      <c r="A1104" s="6" t="s">
        <v>8</v>
      </c>
      <c r="B1104" s="6" t="s">
        <v>9</v>
      </c>
      <c r="C1104" s="6" t="s">
        <v>3253</v>
      </c>
      <c r="D1104" s="6" t="s">
        <v>3254</v>
      </c>
      <c r="E1104" s="7">
        <v>44263.0</v>
      </c>
      <c r="F1104" s="6" t="s">
        <v>12</v>
      </c>
      <c r="G1104" s="8" t="s">
        <v>3255</v>
      </c>
      <c r="H1104" s="8" t="s">
        <v>3255</v>
      </c>
    </row>
    <row r="1105">
      <c r="A1105" s="6" t="s">
        <v>8</v>
      </c>
      <c r="B1105" s="6" t="s">
        <v>9</v>
      </c>
      <c r="C1105" s="6" t="s">
        <v>3256</v>
      </c>
      <c r="D1105" s="6" t="s">
        <v>3257</v>
      </c>
      <c r="E1105" s="7">
        <v>44264.0</v>
      </c>
      <c r="F1105" s="6" t="s">
        <v>12</v>
      </c>
      <c r="G1105" s="8" t="s">
        <v>3258</v>
      </c>
      <c r="H1105" s="8" t="s">
        <v>3258</v>
      </c>
    </row>
    <row r="1106">
      <c r="A1106" s="6" t="s">
        <v>8</v>
      </c>
      <c r="B1106" s="6" t="s">
        <v>9</v>
      </c>
      <c r="C1106" s="6" t="s">
        <v>3259</v>
      </c>
      <c r="D1106" s="6" t="s">
        <v>3260</v>
      </c>
      <c r="E1106" s="7">
        <v>44295.0</v>
      </c>
      <c r="F1106" s="6" t="s">
        <v>12</v>
      </c>
      <c r="G1106" s="8" t="s">
        <v>3261</v>
      </c>
      <c r="H1106" s="8" t="s">
        <v>3261</v>
      </c>
    </row>
    <row r="1107">
      <c r="A1107" s="6" t="s">
        <v>8</v>
      </c>
      <c r="B1107" s="6" t="s">
        <v>9</v>
      </c>
      <c r="C1107" s="6" t="s">
        <v>3262</v>
      </c>
      <c r="D1107" s="6" t="s">
        <v>3263</v>
      </c>
      <c r="E1107" s="7">
        <v>44294.0</v>
      </c>
      <c r="F1107" s="6" t="s">
        <v>12</v>
      </c>
      <c r="G1107" s="8" t="s">
        <v>3264</v>
      </c>
      <c r="H1107" s="8" t="s">
        <v>3264</v>
      </c>
    </row>
    <row r="1108">
      <c r="A1108" s="6" t="s">
        <v>8</v>
      </c>
      <c r="B1108" s="6" t="s">
        <v>9</v>
      </c>
      <c r="C1108" s="6" t="s">
        <v>3265</v>
      </c>
      <c r="D1108" s="6" t="s">
        <v>1551</v>
      </c>
      <c r="E1108" s="7">
        <v>44232.0</v>
      </c>
      <c r="F1108" s="6" t="s">
        <v>12</v>
      </c>
      <c r="G1108" s="8" t="s">
        <v>3266</v>
      </c>
      <c r="H1108" s="8" t="s">
        <v>3266</v>
      </c>
    </row>
    <row r="1109">
      <c r="A1109" s="6" t="s">
        <v>8</v>
      </c>
      <c r="B1109" s="6" t="s">
        <v>9</v>
      </c>
      <c r="C1109" s="6" t="s">
        <v>3267</v>
      </c>
      <c r="D1109" s="6" t="s">
        <v>3268</v>
      </c>
      <c r="E1109" s="7">
        <v>44232.0</v>
      </c>
      <c r="F1109" s="6" t="s">
        <v>12</v>
      </c>
      <c r="G1109" s="8" t="s">
        <v>3269</v>
      </c>
      <c r="H1109" s="8" t="s">
        <v>3269</v>
      </c>
    </row>
    <row r="1110">
      <c r="A1110" s="6" t="s">
        <v>8</v>
      </c>
      <c r="B1110" s="6" t="s">
        <v>9</v>
      </c>
      <c r="C1110" s="6" t="s">
        <v>3270</v>
      </c>
      <c r="D1110" s="6" t="s">
        <v>491</v>
      </c>
      <c r="E1110" s="7">
        <v>44298.0</v>
      </c>
      <c r="F1110" s="6" t="s">
        <v>12</v>
      </c>
      <c r="G1110" s="8" t="s">
        <v>3271</v>
      </c>
      <c r="H1110" s="8" t="s">
        <v>3271</v>
      </c>
    </row>
    <row r="1111">
      <c r="A1111" s="6" t="s">
        <v>8</v>
      </c>
      <c r="B1111" s="6" t="s">
        <v>9</v>
      </c>
      <c r="C1111" s="6" t="s">
        <v>3272</v>
      </c>
      <c r="D1111" s="6" t="s">
        <v>3273</v>
      </c>
      <c r="E1111" s="7">
        <v>44312.0</v>
      </c>
      <c r="F1111" s="6" t="s">
        <v>12</v>
      </c>
      <c r="G1111" s="8" t="s">
        <v>3274</v>
      </c>
      <c r="H1111" s="8" t="s">
        <v>3274</v>
      </c>
    </row>
    <row r="1112">
      <c r="A1112" s="6" t="s">
        <v>8</v>
      </c>
      <c r="B1112" s="6" t="s">
        <v>9</v>
      </c>
      <c r="C1112" s="6" t="s">
        <v>3275</v>
      </c>
      <c r="D1112" s="6" t="s">
        <v>2001</v>
      </c>
      <c r="E1112" s="7">
        <v>44263.0</v>
      </c>
      <c r="F1112" s="6" t="s">
        <v>12</v>
      </c>
      <c r="G1112" s="8" t="s">
        <v>3276</v>
      </c>
      <c r="H1112" s="8" t="s">
        <v>3276</v>
      </c>
    </row>
    <row r="1113">
      <c r="A1113" s="6" t="s">
        <v>8</v>
      </c>
      <c r="B1113" s="6" t="s">
        <v>9</v>
      </c>
      <c r="C1113" s="6" t="s">
        <v>3277</v>
      </c>
      <c r="D1113" s="6" t="s">
        <v>2322</v>
      </c>
      <c r="E1113" s="7">
        <v>44263.0</v>
      </c>
      <c r="F1113" s="6" t="s">
        <v>12</v>
      </c>
      <c r="G1113" s="8" t="s">
        <v>3278</v>
      </c>
      <c r="H1113" s="8" t="s">
        <v>3278</v>
      </c>
    </row>
    <row r="1114">
      <c r="A1114" s="6" t="s">
        <v>8</v>
      </c>
      <c r="B1114" s="6" t="s">
        <v>9</v>
      </c>
      <c r="C1114" s="6" t="s">
        <v>3279</v>
      </c>
      <c r="D1114" s="6" t="s">
        <v>2325</v>
      </c>
      <c r="E1114" s="7">
        <v>44263.0</v>
      </c>
      <c r="F1114" s="6" t="s">
        <v>12</v>
      </c>
      <c r="G1114" s="8" t="s">
        <v>3280</v>
      </c>
      <c r="H1114" s="8" t="s">
        <v>3280</v>
      </c>
    </row>
    <row r="1115">
      <c r="A1115" s="6" t="s">
        <v>8</v>
      </c>
      <c r="B1115" s="6" t="s">
        <v>9</v>
      </c>
      <c r="C1115" s="6" t="s">
        <v>3281</v>
      </c>
      <c r="D1115" s="6" t="s">
        <v>1182</v>
      </c>
      <c r="E1115" s="7">
        <v>44263.0</v>
      </c>
      <c r="F1115" s="6" t="s">
        <v>12</v>
      </c>
      <c r="G1115" s="8" t="s">
        <v>3282</v>
      </c>
      <c r="H1115" s="8" t="s">
        <v>3282</v>
      </c>
    </row>
    <row r="1116">
      <c r="A1116" s="6" t="s">
        <v>8</v>
      </c>
      <c r="B1116" s="6" t="s">
        <v>9</v>
      </c>
      <c r="C1116" s="6" t="s">
        <v>3283</v>
      </c>
      <c r="D1116" s="6" t="s">
        <v>3284</v>
      </c>
      <c r="E1116" s="7">
        <v>44263.0</v>
      </c>
      <c r="F1116" s="6" t="s">
        <v>12</v>
      </c>
      <c r="G1116" s="8" t="s">
        <v>3285</v>
      </c>
      <c r="H1116" s="8" t="s">
        <v>3285</v>
      </c>
    </row>
    <row r="1117">
      <c r="A1117" s="6" t="s">
        <v>8</v>
      </c>
      <c r="B1117" s="6" t="s">
        <v>9</v>
      </c>
      <c r="C1117" s="6" t="s">
        <v>3286</v>
      </c>
      <c r="D1117" s="6" t="s">
        <v>1119</v>
      </c>
      <c r="E1117" s="7">
        <v>44263.0</v>
      </c>
      <c r="F1117" s="6" t="s">
        <v>12</v>
      </c>
      <c r="G1117" s="8" t="s">
        <v>3287</v>
      </c>
      <c r="H1117" s="8" t="s">
        <v>3287</v>
      </c>
    </row>
    <row r="1118">
      <c r="A1118" s="6" t="s">
        <v>8</v>
      </c>
      <c r="B1118" s="6" t="s">
        <v>9</v>
      </c>
      <c r="C1118" s="6" t="s">
        <v>3288</v>
      </c>
      <c r="D1118" s="6" t="s">
        <v>3289</v>
      </c>
      <c r="E1118" s="7">
        <v>44263.0</v>
      </c>
      <c r="F1118" s="6" t="s">
        <v>12</v>
      </c>
      <c r="G1118" s="8" t="s">
        <v>3290</v>
      </c>
      <c r="H1118" s="8" t="s">
        <v>3290</v>
      </c>
    </row>
    <row r="1119">
      <c r="A1119" s="6" t="s">
        <v>8</v>
      </c>
      <c r="B1119" s="6" t="s">
        <v>9</v>
      </c>
      <c r="C1119" s="6" t="s">
        <v>3291</v>
      </c>
      <c r="D1119" s="6" t="s">
        <v>3292</v>
      </c>
      <c r="E1119" s="7">
        <v>44284.0</v>
      </c>
      <c r="F1119" s="6" t="s">
        <v>12</v>
      </c>
      <c r="G1119" s="8" t="s">
        <v>3293</v>
      </c>
      <c r="H1119" s="8" t="s">
        <v>3293</v>
      </c>
    </row>
    <row r="1120">
      <c r="A1120" s="6" t="s">
        <v>8</v>
      </c>
      <c r="B1120" s="6" t="s">
        <v>9</v>
      </c>
      <c r="C1120" s="6" t="s">
        <v>3294</v>
      </c>
      <c r="D1120" s="6" t="s">
        <v>3295</v>
      </c>
      <c r="E1120" s="7">
        <v>44284.0</v>
      </c>
      <c r="F1120" s="6" t="s">
        <v>12</v>
      </c>
      <c r="G1120" s="8" t="s">
        <v>3296</v>
      </c>
      <c r="H1120" s="8" t="s">
        <v>3296</v>
      </c>
    </row>
    <row r="1121">
      <c r="A1121" s="6" t="s">
        <v>8</v>
      </c>
      <c r="B1121" s="6" t="s">
        <v>9</v>
      </c>
      <c r="C1121" s="6" t="s">
        <v>3297</v>
      </c>
      <c r="D1121" s="6" t="s">
        <v>3298</v>
      </c>
      <c r="E1121" s="7">
        <v>44294.0</v>
      </c>
      <c r="F1121" s="6" t="s">
        <v>12</v>
      </c>
      <c r="G1121" s="8" t="s">
        <v>3299</v>
      </c>
      <c r="H1121" s="8" t="s">
        <v>3299</v>
      </c>
    </row>
    <row r="1122">
      <c r="A1122" s="6" t="s">
        <v>8</v>
      </c>
      <c r="B1122" s="6" t="s">
        <v>9</v>
      </c>
      <c r="C1122" s="6" t="s">
        <v>3300</v>
      </c>
      <c r="D1122" s="6" t="s">
        <v>3301</v>
      </c>
      <c r="E1122" s="7">
        <v>44263.0</v>
      </c>
      <c r="F1122" s="6" t="s">
        <v>12</v>
      </c>
      <c r="G1122" s="8" t="s">
        <v>3302</v>
      </c>
      <c r="H1122" s="8" t="s">
        <v>3302</v>
      </c>
    </row>
    <row r="1123">
      <c r="A1123" s="6" t="s">
        <v>8</v>
      </c>
      <c r="B1123" s="6" t="s">
        <v>9</v>
      </c>
      <c r="C1123" s="6" t="s">
        <v>3303</v>
      </c>
      <c r="D1123" s="6" t="s">
        <v>3304</v>
      </c>
      <c r="E1123" s="7">
        <v>44263.0</v>
      </c>
      <c r="F1123" s="6" t="s">
        <v>12</v>
      </c>
      <c r="G1123" s="8" t="s">
        <v>3305</v>
      </c>
      <c r="H1123" s="8" t="s">
        <v>3305</v>
      </c>
    </row>
    <row r="1124">
      <c r="A1124" s="6" t="s">
        <v>8</v>
      </c>
      <c r="B1124" s="6" t="s">
        <v>9</v>
      </c>
      <c r="C1124" s="6" t="s">
        <v>3306</v>
      </c>
      <c r="D1124" s="6" t="s">
        <v>3307</v>
      </c>
      <c r="E1124" s="7">
        <v>44263.0</v>
      </c>
      <c r="F1124" s="6" t="s">
        <v>12</v>
      </c>
      <c r="G1124" s="8" t="s">
        <v>3308</v>
      </c>
      <c r="H1124" s="8" t="s">
        <v>3308</v>
      </c>
    </row>
    <row r="1125">
      <c r="A1125" s="6" t="s">
        <v>8</v>
      </c>
      <c r="B1125" s="6" t="s">
        <v>9</v>
      </c>
      <c r="C1125" s="6" t="s">
        <v>3309</v>
      </c>
      <c r="D1125" s="6" t="s">
        <v>3310</v>
      </c>
      <c r="E1125" s="7">
        <v>44277.0</v>
      </c>
      <c r="F1125" s="6" t="s">
        <v>12</v>
      </c>
      <c r="G1125" s="8" t="s">
        <v>3311</v>
      </c>
      <c r="H1125" s="8" t="s">
        <v>3311</v>
      </c>
    </row>
    <row r="1126">
      <c r="A1126" s="6" t="s">
        <v>8</v>
      </c>
      <c r="B1126" s="6" t="s">
        <v>9</v>
      </c>
      <c r="C1126" s="6" t="s">
        <v>3312</v>
      </c>
      <c r="D1126" s="6" t="s">
        <v>3313</v>
      </c>
      <c r="E1126" s="7">
        <v>44316.0</v>
      </c>
      <c r="F1126" s="6" t="s">
        <v>12</v>
      </c>
      <c r="G1126" s="8" t="s">
        <v>3314</v>
      </c>
      <c r="H1126" s="8" t="s">
        <v>3314</v>
      </c>
    </row>
    <row r="1127">
      <c r="A1127" s="6" t="s">
        <v>8</v>
      </c>
      <c r="B1127" s="6" t="s">
        <v>9</v>
      </c>
      <c r="C1127" s="6" t="s">
        <v>3315</v>
      </c>
      <c r="D1127" s="6" t="s">
        <v>3316</v>
      </c>
      <c r="E1127" s="7">
        <v>44316.0</v>
      </c>
      <c r="F1127" s="6" t="s">
        <v>12</v>
      </c>
      <c r="G1127" s="8" t="s">
        <v>3317</v>
      </c>
      <c r="H1127" s="8" t="s">
        <v>3317</v>
      </c>
    </row>
    <row r="1128">
      <c r="A1128" s="6" t="s">
        <v>8</v>
      </c>
      <c r="B1128" s="6" t="s">
        <v>9</v>
      </c>
      <c r="C1128" s="6" t="s">
        <v>3318</v>
      </c>
      <c r="D1128" s="6" t="s">
        <v>3319</v>
      </c>
      <c r="E1128" s="7">
        <v>44315.0</v>
      </c>
      <c r="F1128" s="6" t="s">
        <v>12</v>
      </c>
      <c r="G1128" s="8" t="s">
        <v>3320</v>
      </c>
      <c r="H1128" s="8" t="s">
        <v>3320</v>
      </c>
    </row>
    <row r="1129">
      <c r="A1129" s="6" t="s">
        <v>8</v>
      </c>
      <c r="B1129" s="6" t="s">
        <v>9</v>
      </c>
      <c r="C1129" s="6" t="s">
        <v>3321</v>
      </c>
      <c r="D1129" s="6" t="s">
        <v>3322</v>
      </c>
      <c r="E1129" s="7">
        <v>44186.0</v>
      </c>
      <c r="F1129" s="6" t="s">
        <v>12</v>
      </c>
      <c r="G1129" s="8" t="s">
        <v>3323</v>
      </c>
      <c r="H1129" s="8" t="s">
        <v>3323</v>
      </c>
    </row>
    <row r="1130">
      <c r="A1130" s="6" t="s">
        <v>8</v>
      </c>
      <c r="B1130" s="6" t="s">
        <v>9</v>
      </c>
      <c r="C1130" s="6" t="s">
        <v>3324</v>
      </c>
      <c r="D1130" s="6" t="s">
        <v>2996</v>
      </c>
      <c r="E1130" s="7">
        <v>44186.0</v>
      </c>
      <c r="F1130" s="6" t="s">
        <v>12</v>
      </c>
      <c r="G1130" s="8" t="s">
        <v>3325</v>
      </c>
      <c r="H1130" s="8" t="s">
        <v>3325</v>
      </c>
    </row>
    <row r="1131">
      <c r="A1131" s="6" t="s">
        <v>8</v>
      </c>
      <c r="B1131" s="6" t="s">
        <v>9</v>
      </c>
      <c r="C1131" s="6" t="s">
        <v>3326</v>
      </c>
      <c r="D1131" s="6" t="s">
        <v>3327</v>
      </c>
      <c r="E1131" s="7">
        <v>44186.0</v>
      </c>
      <c r="F1131" s="6" t="s">
        <v>12</v>
      </c>
      <c r="G1131" s="8" t="s">
        <v>3328</v>
      </c>
      <c r="H1131" s="8" t="s">
        <v>3328</v>
      </c>
    </row>
    <row r="1132">
      <c r="A1132" s="6" t="s">
        <v>8</v>
      </c>
      <c r="B1132" s="6" t="s">
        <v>9</v>
      </c>
      <c r="C1132" s="6" t="s">
        <v>3329</v>
      </c>
      <c r="D1132" s="6" t="s">
        <v>3330</v>
      </c>
      <c r="E1132" s="7">
        <v>44162.0</v>
      </c>
      <c r="F1132" s="6" t="s">
        <v>12</v>
      </c>
      <c r="G1132" s="8" t="s">
        <v>3331</v>
      </c>
      <c r="H1132" s="8" t="s">
        <v>3331</v>
      </c>
    </row>
    <row r="1133">
      <c r="A1133" s="6" t="s">
        <v>8</v>
      </c>
      <c r="B1133" s="6" t="s">
        <v>9</v>
      </c>
      <c r="C1133" s="6" t="s">
        <v>3332</v>
      </c>
      <c r="D1133" s="6" t="s">
        <v>3333</v>
      </c>
      <c r="E1133" s="7">
        <v>44162.0</v>
      </c>
      <c r="F1133" s="6" t="s">
        <v>12</v>
      </c>
      <c r="G1133" s="8" t="s">
        <v>3334</v>
      </c>
      <c r="H1133" s="8" t="s">
        <v>3334</v>
      </c>
    </row>
    <row r="1134">
      <c r="A1134" s="6" t="s">
        <v>8</v>
      </c>
      <c r="B1134" s="6" t="s">
        <v>9</v>
      </c>
      <c r="C1134" s="6" t="s">
        <v>3335</v>
      </c>
      <c r="D1134" s="6" t="s">
        <v>3336</v>
      </c>
      <c r="E1134" s="7">
        <v>44162.0</v>
      </c>
      <c r="F1134" s="6" t="s">
        <v>12</v>
      </c>
      <c r="G1134" s="8" t="s">
        <v>3337</v>
      </c>
      <c r="H1134" s="8" t="s">
        <v>3337</v>
      </c>
    </row>
    <row r="1135">
      <c r="A1135" s="6" t="s">
        <v>8</v>
      </c>
      <c r="B1135" s="6" t="s">
        <v>9</v>
      </c>
      <c r="C1135" s="6" t="s">
        <v>3338</v>
      </c>
      <c r="D1135" s="6" t="s">
        <v>3339</v>
      </c>
      <c r="E1135" s="7">
        <v>44187.0</v>
      </c>
      <c r="F1135" s="6" t="s">
        <v>12</v>
      </c>
      <c r="G1135" s="8" t="s">
        <v>3340</v>
      </c>
      <c r="H1135" s="8" t="s">
        <v>3340</v>
      </c>
    </row>
    <row r="1136">
      <c r="A1136" s="6" t="s">
        <v>8</v>
      </c>
      <c r="B1136" s="6" t="s">
        <v>9</v>
      </c>
      <c r="C1136" s="6" t="s">
        <v>3341</v>
      </c>
      <c r="D1136" s="6" t="s">
        <v>3194</v>
      </c>
      <c r="E1136" s="7">
        <v>44188.0</v>
      </c>
      <c r="F1136" s="6" t="s">
        <v>12</v>
      </c>
      <c r="G1136" s="8" t="s">
        <v>3342</v>
      </c>
      <c r="H1136" s="8" t="s">
        <v>3342</v>
      </c>
    </row>
    <row r="1137">
      <c r="A1137" s="6" t="s">
        <v>8</v>
      </c>
      <c r="B1137" s="6" t="s">
        <v>9</v>
      </c>
      <c r="C1137" s="6" t="s">
        <v>3343</v>
      </c>
      <c r="D1137" s="6" t="s">
        <v>3344</v>
      </c>
      <c r="E1137" s="7">
        <v>44189.0</v>
      </c>
      <c r="F1137" s="6" t="s">
        <v>12</v>
      </c>
      <c r="G1137" s="8" t="s">
        <v>3345</v>
      </c>
      <c r="H1137" s="8" t="s">
        <v>3345</v>
      </c>
    </row>
    <row r="1138">
      <c r="A1138" s="6" t="s">
        <v>8</v>
      </c>
      <c r="B1138" s="6" t="s">
        <v>9</v>
      </c>
      <c r="C1138" s="6" t="s">
        <v>3346</v>
      </c>
      <c r="D1138" s="6" t="s">
        <v>3347</v>
      </c>
      <c r="E1138" s="7">
        <v>44202.0</v>
      </c>
      <c r="F1138" s="6" t="s">
        <v>12</v>
      </c>
      <c r="G1138" s="8" t="s">
        <v>3348</v>
      </c>
      <c r="H1138" s="8" t="s">
        <v>3348</v>
      </c>
    </row>
    <row r="1139">
      <c r="A1139" s="6" t="s">
        <v>8</v>
      </c>
      <c r="B1139" s="6" t="s">
        <v>9</v>
      </c>
      <c r="C1139" s="6" t="s">
        <v>3349</v>
      </c>
      <c r="D1139" s="6" t="s">
        <v>3350</v>
      </c>
      <c r="E1139" s="7">
        <v>44202.0</v>
      </c>
      <c r="F1139" s="6" t="s">
        <v>12</v>
      </c>
      <c r="G1139" s="8" t="s">
        <v>3351</v>
      </c>
      <c r="H1139" s="8" t="s">
        <v>3351</v>
      </c>
    </row>
    <row r="1140">
      <c r="A1140" s="6" t="s">
        <v>8</v>
      </c>
      <c r="B1140" s="6" t="s">
        <v>9</v>
      </c>
      <c r="C1140" s="6" t="s">
        <v>3352</v>
      </c>
      <c r="D1140" s="6" t="s">
        <v>3353</v>
      </c>
      <c r="E1140" s="7">
        <v>44202.0</v>
      </c>
      <c r="F1140" s="6" t="s">
        <v>12</v>
      </c>
      <c r="G1140" s="8" t="s">
        <v>3354</v>
      </c>
      <c r="H1140" s="8" t="s">
        <v>3354</v>
      </c>
    </row>
    <row r="1141">
      <c r="A1141" s="6" t="s">
        <v>8</v>
      </c>
      <c r="B1141" s="6" t="s">
        <v>9</v>
      </c>
      <c r="C1141" s="6" t="s">
        <v>3355</v>
      </c>
      <c r="D1141" s="6" t="s">
        <v>3356</v>
      </c>
      <c r="E1141" s="7">
        <v>44203.0</v>
      </c>
      <c r="F1141" s="6" t="s">
        <v>12</v>
      </c>
      <c r="G1141" s="8" t="s">
        <v>3357</v>
      </c>
      <c r="H1141" s="8" t="s">
        <v>3357</v>
      </c>
    </row>
    <row r="1142">
      <c r="A1142" s="6" t="s">
        <v>8</v>
      </c>
      <c r="B1142" s="6" t="s">
        <v>9</v>
      </c>
      <c r="C1142" s="6" t="s">
        <v>3358</v>
      </c>
      <c r="D1142" s="6" t="s">
        <v>3359</v>
      </c>
      <c r="E1142" s="7">
        <v>44218.0</v>
      </c>
      <c r="F1142" s="6" t="s">
        <v>12</v>
      </c>
      <c r="G1142" s="8" t="s">
        <v>3360</v>
      </c>
      <c r="H1142" s="8" t="s">
        <v>3360</v>
      </c>
    </row>
    <row r="1143">
      <c r="A1143" s="6" t="s">
        <v>8</v>
      </c>
      <c r="B1143" s="6" t="s">
        <v>9</v>
      </c>
      <c r="C1143" s="6" t="s">
        <v>3361</v>
      </c>
      <c r="D1143" s="6" t="s">
        <v>3362</v>
      </c>
      <c r="E1143" s="7">
        <v>44223.0</v>
      </c>
      <c r="F1143" s="6" t="s">
        <v>12</v>
      </c>
      <c r="G1143" s="8" t="s">
        <v>3363</v>
      </c>
      <c r="H1143" s="8" t="s">
        <v>3363</v>
      </c>
    </row>
    <row r="1144">
      <c r="A1144" s="6" t="s">
        <v>8</v>
      </c>
      <c r="B1144" s="6" t="s">
        <v>9</v>
      </c>
      <c r="C1144" s="6" t="s">
        <v>3364</v>
      </c>
      <c r="D1144" s="6" t="s">
        <v>3365</v>
      </c>
      <c r="E1144" s="7">
        <v>44357.0</v>
      </c>
      <c r="F1144" s="6" t="s">
        <v>12</v>
      </c>
      <c r="G1144" s="8" t="s">
        <v>3366</v>
      </c>
      <c r="H1144" s="8" t="s">
        <v>3366</v>
      </c>
    </row>
    <row r="1145">
      <c r="A1145" s="6" t="s">
        <v>8</v>
      </c>
      <c r="B1145" s="6" t="s">
        <v>9</v>
      </c>
      <c r="C1145" s="6" t="s">
        <v>3367</v>
      </c>
      <c r="D1145" s="6" t="s">
        <v>3368</v>
      </c>
      <c r="E1145" s="7">
        <v>44357.0</v>
      </c>
      <c r="F1145" s="6" t="s">
        <v>12</v>
      </c>
      <c r="G1145" s="8" t="s">
        <v>3369</v>
      </c>
      <c r="H1145" s="8" t="s">
        <v>3369</v>
      </c>
    </row>
    <row r="1146">
      <c r="A1146" s="6" t="s">
        <v>8</v>
      </c>
      <c r="B1146" s="6" t="s">
        <v>9</v>
      </c>
      <c r="C1146" s="6" t="s">
        <v>3370</v>
      </c>
      <c r="D1146" s="6" t="s">
        <v>3371</v>
      </c>
      <c r="E1146" s="7">
        <v>44364.0</v>
      </c>
      <c r="F1146" s="6" t="s">
        <v>12</v>
      </c>
      <c r="G1146" s="8" t="s">
        <v>3372</v>
      </c>
      <c r="H1146" s="8" t="s">
        <v>3372</v>
      </c>
    </row>
    <row r="1147">
      <c r="A1147" s="6" t="s">
        <v>8</v>
      </c>
      <c r="B1147" s="6" t="s">
        <v>9</v>
      </c>
      <c r="C1147" s="6" t="s">
        <v>3373</v>
      </c>
      <c r="D1147" s="6" t="s">
        <v>3374</v>
      </c>
      <c r="E1147" s="7">
        <v>44357.0</v>
      </c>
      <c r="F1147" s="6" t="s">
        <v>12</v>
      </c>
      <c r="G1147" s="8" t="s">
        <v>3375</v>
      </c>
      <c r="H1147" s="8" t="s">
        <v>3375</v>
      </c>
    </row>
    <row r="1148">
      <c r="A1148" s="6" t="s">
        <v>8</v>
      </c>
      <c r="B1148" s="6" t="s">
        <v>9</v>
      </c>
      <c r="C1148" s="6" t="s">
        <v>3376</v>
      </c>
      <c r="D1148" s="6" t="s">
        <v>3377</v>
      </c>
      <c r="E1148" s="7">
        <v>44361.0</v>
      </c>
      <c r="F1148" s="6" t="s">
        <v>12</v>
      </c>
      <c r="G1148" s="8" t="s">
        <v>3378</v>
      </c>
      <c r="H1148" s="8" t="s">
        <v>3378</v>
      </c>
    </row>
    <row r="1149">
      <c r="A1149" s="6" t="s">
        <v>8</v>
      </c>
      <c r="B1149" s="6" t="s">
        <v>9</v>
      </c>
      <c r="C1149" s="6" t="s">
        <v>3379</v>
      </c>
      <c r="D1149" s="6" t="s">
        <v>3380</v>
      </c>
      <c r="E1149" s="7">
        <v>44362.0</v>
      </c>
      <c r="F1149" s="6" t="s">
        <v>12</v>
      </c>
      <c r="G1149" s="8" t="s">
        <v>3381</v>
      </c>
      <c r="H1149" s="8" t="s">
        <v>3381</v>
      </c>
    </row>
    <row r="1150">
      <c r="A1150" s="6" t="s">
        <v>8</v>
      </c>
      <c r="B1150" s="6" t="s">
        <v>9</v>
      </c>
      <c r="C1150" s="6" t="s">
        <v>3382</v>
      </c>
      <c r="D1150" s="6" t="s">
        <v>3383</v>
      </c>
      <c r="E1150" s="7">
        <v>44362.0</v>
      </c>
      <c r="F1150" s="6" t="s">
        <v>12</v>
      </c>
      <c r="G1150" s="8" t="s">
        <v>3384</v>
      </c>
      <c r="H1150" s="8" t="s">
        <v>3384</v>
      </c>
    </row>
    <row r="1151">
      <c r="A1151" s="6" t="s">
        <v>8</v>
      </c>
      <c r="B1151" s="6" t="s">
        <v>9</v>
      </c>
      <c r="C1151" s="6" t="s">
        <v>3385</v>
      </c>
      <c r="D1151" s="6" t="s">
        <v>3386</v>
      </c>
      <c r="E1151" s="7">
        <v>44369.0</v>
      </c>
      <c r="F1151" s="6" t="s">
        <v>12</v>
      </c>
      <c r="G1151" s="8" t="s">
        <v>3387</v>
      </c>
      <c r="H1151" s="8" t="s">
        <v>3387</v>
      </c>
    </row>
    <row r="1152">
      <c r="A1152" s="6" t="s">
        <v>8</v>
      </c>
      <c r="B1152" s="6" t="s">
        <v>9</v>
      </c>
      <c r="C1152" s="6" t="s">
        <v>3388</v>
      </c>
      <c r="D1152" s="6" t="s">
        <v>3389</v>
      </c>
      <c r="E1152" s="7">
        <v>44379.0</v>
      </c>
      <c r="F1152" s="6" t="s">
        <v>12</v>
      </c>
      <c r="G1152" s="8" t="s">
        <v>3390</v>
      </c>
      <c r="H1152" s="8" t="s">
        <v>3390</v>
      </c>
    </row>
    <row r="1153">
      <c r="A1153" s="6" t="s">
        <v>8</v>
      </c>
      <c r="B1153" s="6" t="s">
        <v>9</v>
      </c>
      <c r="C1153" s="6" t="s">
        <v>3391</v>
      </c>
      <c r="D1153" s="6" t="s">
        <v>3392</v>
      </c>
      <c r="E1153" s="7">
        <v>44379.0</v>
      </c>
      <c r="F1153" s="6" t="s">
        <v>12</v>
      </c>
      <c r="G1153" s="8" t="s">
        <v>3393</v>
      </c>
      <c r="H1153" s="8" t="s">
        <v>3393</v>
      </c>
    </row>
    <row r="1154">
      <c r="A1154" s="6" t="s">
        <v>8</v>
      </c>
      <c r="B1154" s="6" t="s">
        <v>9</v>
      </c>
      <c r="C1154" s="6" t="s">
        <v>3394</v>
      </c>
      <c r="D1154" s="6" t="s">
        <v>3395</v>
      </c>
      <c r="E1154" s="7">
        <v>44386.0</v>
      </c>
      <c r="F1154" s="6" t="s">
        <v>12</v>
      </c>
      <c r="G1154" s="8" t="s">
        <v>3396</v>
      </c>
      <c r="H1154" s="8" t="s">
        <v>3396</v>
      </c>
    </row>
    <row r="1155">
      <c r="A1155" s="6" t="s">
        <v>8</v>
      </c>
      <c r="B1155" s="6" t="s">
        <v>9</v>
      </c>
      <c r="C1155" s="6" t="s">
        <v>3397</v>
      </c>
      <c r="D1155" s="6" t="s">
        <v>3398</v>
      </c>
      <c r="E1155" s="7">
        <v>44378.0</v>
      </c>
      <c r="F1155" s="6" t="s">
        <v>12</v>
      </c>
      <c r="G1155" s="8" t="s">
        <v>3399</v>
      </c>
      <c r="H1155" s="8" t="s">
        <v>3399</v>
      </c>
    </row>
    <row r="1156">
      <c r="A1156" s="6" t="s">
        <v>8</v>
      </c>
      <c r="B1156" s="6" t="s">
        <v>9</v>
      </c>
      <c r="C1156" s="6" t="s">
        <v>3400</v>
      </c>
      <c r="D1156" s="6" t="s">
        <v>3401</v>
      </c>
      <c r="E1156" s="7">
        <v>44378.0</v>
      </c>
      <c r="F1156" s="6" t="s">
        <v>12</v>
      </c>
      <c r="G1156" s="8" t="s">
        <v>3402</v>
      </c>
      <c r="H1156" s="8" t="s">
        <v>3402</v>
      </c>
    </row>
    <row r="1157">
      <c r="A1157" s="6" t="s">
        <v>8</v>
      </c>
      <c r="B1157" s="6" t="s">
        <v>9</v>
      </c>
      <c r="C1157" s="6" t="s">
        <v>3403</v>
      </c>
      <c r="D1157" s="6" t="s">
        <v>1158</v>
      </c>
      <c r="E1157" s="7">
        <v>44378.0</v>
      </c>
      <c r="F1157" s="6" t="s">
        <v>12</v>
      </c>
      <c r="G1157" s="8" t="s">
        <v>3404</v>
      </c>
      <c r="H1157" s="8" t="s">
        <v>3404</v>
      </c>
    </row>
    <row r="1158">
      <c r="A1158" s="6" t="s">
        <v>8</v>
      </c>
      <c r="B1158" s="6" t="s">
        <v>9</v>
      </c>
      <c r="C1158" s="6" t="s">
        <v>3405</v>
      </c>
      <c r="D1158" s="6" t="s">
        <v>3406</v>
      </c>
      <c r="E1158" s="7">
        <v>44378.0</v>
      </c>
      <c r="F1158" s="6" t="s">
        <v>12</v>
      </c>
      <c r="G1158" s="8" t="s">
        <v>3407</v>
      </c>
      <c r="H1158" s="8" t="s">
        <v>3407</v>
      </c>
    </row>
    <row r="1159">
      <c r="A1159" s="6" t="s">
        <v>8</v>
      </c>
      <c r="B1159" s="6" t="s">
        <v>9</v>
      </c>
      <c r="C1159" s="6" t="s">
        <v>3408</v>
      </c>
      <c r="D1159" s="6" t="s">
        <v>962</v>
      </c>
      <c r="E1159" s="7">
        <v>44378.0</v>
      </c>
      <c r="F1159" s="6" t="s">
        <v>12</v>
      </c>
      <c r="G1159" s="8" t="s">
        <v>3409</v>
      </c>
      <c r="H1159" s="8" t="s">
        <v>3409</v>
      </c>
    </row>
    <row r="1160">
      <c r="A1160" s="6" t="s">
        <v>8</v>
      </c>
      <c r="B1160" s="6" t="s">
        <v>9</v>
      </c>
      <c r="C1160" s="6" t="s">
        <v>3410</v>
      </c>
      <c r="D1160" s="6" t="s">
        <v>3411</v>
      </c>
      <c r="E1160" s="7">
        <v>44378.0</v>
      </c>
      <c r="F1160" s="6" t="s">
        <v>12</v>
      </c>
      <c r="G1160" s="8" t="s">
        <v>3412</v>
      </c>
      <c r="H1160" s="8" t="s">
        <v>3412</v>
      </c>
    </row>
    <row r="1161">
      <c r="A1161" s="6" t="s">
        <v>8</v>
      </c>
      <c r="B1161" s="6" t="s">
        <v>9</v>
      </c>
      <c r="C1161" s="6" t="s">
        <v>3413</v>
      </c>
      <c r="D1161" s="6" t="s">
        <v>661</v>
      </c>
      <c r="E1161" s="7">
        <v>44378.0</v>
      </c>
      <c r="F1161" s="6" t="s">
        <v>12</v>
      </c>
      <c r="G1161" s="8" t="s">
        <v>3414</v>
      </c>
      <c r="H1161" s="8" t="s">
        <v>3414</v>
      </c>
    </row>
    <row r="1162">
      <c r="A1162" s="6" t="s">
        <v>8</v>
      </c>
      <c r="B1162" s="6" t="s">
        <v>9</v>
      </c>
      <c r="C1162" s="6" t="s">
        <v>3415</v>
      </c>
      <c r="D1162" s="6" t="s">
        <v>3416</v>
      </c>
      <c r="E1162" s="7">
        <v>44375.0</v>
      </c>
      <c r="F1162" s="6" t="s">
        <v>12</v>
      </c>
      <c r="G1162" s="8" t="s">
        <v>3417</v>
      </c>
      <c r="H1162" s="8" t="s">
        <v>3417</v>
      </c>
    </row>
    <row r="1163">
      <c r="A1163" s="6" t="s">
        <v>8</v>
      </c>
      <c r="B1163" s="6" t="s">
        <v>9</v>
      </c>
      <c r="C1163" s="6" t="s">
        <v>3418</v>
      </c>
      <c r="D1163" s="6" t="s">
        <v>3419</v>
      </c>
      <c r="E1163" s="7">
        <v>44385.0</v>
      </c>
      <c r="F1163" s="6" t="s">
        <v>12</v>
      </c>
      <c r="G1163" s="8" t="s">
        <v>3420</v>
      </c>
      <c r="H1163" s="8" t="s">
        <v>3420</v>
      </c>
    </row>
    <row r="1164">
      <c r="A1164" s="6" t="s">
        <v>8</v>
      </c>
      <c r="B1164" s="6" t="s">
        <v>9</v>
      </c>
      <c r="C1164" s="6" t="s">
        <v>3421</v>
      </c>
      <c r="D1164" s="6" t="s">
        <v>3422</v>
      </c>
      <c r="E1164" s="7">
        <v>44385.0</v>
      </c>
      <c r="F1164" s="6" t="s">
        <v>12</v>
      </c>
      <c r="G1164" s="8" t="s">
        <v>3423</v>
      </c>
      <c r="H1164" s="8" t="s">
        <v>3423</v>
      </c>
    </row>
    <row r="1165">
      <c r="A1165" s="6" t="s">
        <v>8</v>
      </c>
      <c r="B1165" s="6" t="s">
        <v>9</v>
      </c>
      <c r="C1165" s="6" t="s">
        <v>3424</v>
      </c>
      <c r="D1165" s="6" t="s">
        <v>3425</v>
      </c>
      <c r="E1165" s="7">
        <v>44482.0</v>
      </c>
      <c r="F1165" s="6" t="s">
        <v>12</v>
      </c>
      <c r="G1165" s="8" t="s">
        <v>3426</v>
      </c>
      <c r="H1165" s="8" t="s">
        <v>3426</v>
      </c>
    </row>
    <row r="1166">
      <c r="A1166" s="6" t="s">
        <v>8</v>
      </c>
      <c r="B1166" s="6" t="s">
        <v>9</v>
      </c>
      <c r="C1166" s="6" t="s">
        <v>3427</v>
      </c>
      <c r="D1166" s="6" t="s">
        <v>3428</v>
      </c>
      <c r="E1166" s="7">
        <v>44398.0</v>
      </c>
      <c r="F1166" s="6" t="s">
        <v>12</v>
      </c>
      <c r="G1166" s="8" t="s">
        <v>3429</v>
      </c>
      <c r="H1166" s="8" t="s">
        <v>3429</v>
      </c>
    </row>
    <row r="1167">
      <c r="A1167" s="6" t="s">
        <v>8</v>
      </c>
      <c r="B1167" s="6" t="s">
        <v>9</v>
      </c>
      <c r="C1167" s="6" t="s">
        <v>3430</v>
      </c>
      <c r="D1167" s="6" t="s">
        <v>3431</v>
      </c>
      <c r="E1167" s="7">
        <v>44400.0</v>
      </c>
      <c r="F1167" s="6" t="s">
        <v>12</v>
      </c>
      <c r="G1167" s="8" t="s">
        <v>3432</v>
      </c>
      <c r="H1167" s="8" t="s">
        <v>3432</v>
      </c>
    </row>
    <row r="1168">
      <c r="A1168" s="6" t="s">
        <v>8</v>
      </c>
      <c r="B1168" s="6" t="s">
        <v>9</v>
      </c>
      <c r="C1168" s="6" t="s">
        <v>3433</v>
      </c>
      <c r="D1168" s="6" t="s">
        <v>3434</v>
      </c>
      <c r="E1168" s="7">
        <v>44396.0</v>
      </c>
      <c r="F1168" s="6" t="s">
        <v>12</v>
      </c>
      <c r="G1168" s="8" t="s">
        <v>3435</v>
      </c>
      <c r="H1168" s="8" t="s">
        <v>3435</v>
      </c>
    </row>
    <row r="1169">
      <c r="A1169" s="6" t="s">
        <v>8</v>
      </c>
      <c r="B1169" s="6" t="s">
        <v>9</v>
      </c>
      <c r="C1169" s="6" t="s">
        <v>3436</v>
      </c>
      <c r="D1169" s="6" t="s">
        <v>3437</v>
      </c>
      <c r="E1169" s="7">
        <v>44396.0</v>
      </c>
      <c r="F1169" s="6" t="s">
        <v>12</v>
      </c>
      <c r="G1169" s="8" t="s">
        <v>3438</v>
      </c>
      <c r="H1169" s="8" t="s">
        <v>3438</v>
      </c>
    </row>
    <row r="1170">
      <c r="A1170" s="6" t="s">
        <v>8</v>
      </c>
      <c r="B1170" s="6" t="s">
        <v>9</v>
      </c>
      <c r="C1170" s="6" t="s">
        <v>3439</v>
      </c>
      <c r="D1170" s="6" t="s">
        <v>3440</v>
      </c>
      <c r="E1170" s="7">
        <v>44484.0</v>
      </c>
      <c r="F1170" s="6" t="s">
        <v>12</v>
      </c>
      <c r="G1170" s="8" t="s">
        <v>3441</v>
      </c>
      <c r="H1170" s="8" t="s">
        <v>3441</v>
      </c>
    </row>
    <row r="1171">
      <c r="A1171" s="6" t="s">
        <v>8</v>
      </c>
      <c r="B1171" s="6" t="s">
        <v>9</v>
      </c>
      <c r="C1171" s="6" t="s">
        <v>3442</v>
      </c>
      <c r="D1171" s="6" t="s">
        <v>3443</v>
      </c>
      <c r="E1171" s="7">
        <v>44397.0</v>
      </c>
      <c r="F1171" s="6" t="s">
        <v>12</v>
      </c>
      <c r="G1171" s="8" t="s">
        <v>3444</v>
      </c>
      <c r="H1171" s="8" t="s">
        <v>3444</v>
      </c>
    </row>
    <row r="1172">
      <c r="A1172" s="6" t="s">
        <v>8</v>
      </c>
      <c r="B1172" s="6" t="s">
        <v>9</v>
      </c>
      <c r="C1172" s="6" t="s">
        <v>3445</v>
      </c>
      <c r="D1172" s="6" t="s">
        <v>3446</v>
      </c>
      <c r="E1172" s="7">
        <v>44468.0</v>
      </c>
      <c r="F1172" s="6" t="s">
        <v>12</v>
      </c>
      <c r="G1172" s="8" t="s">
        <v>3447</v>
      </c>
      <c r="H1172" s="8" t="s">
        <v>3447</v>
      </c>
    </row>
    <row r="1173">
      <c r="A1173" s="6" t="s">
        <v>8</v>
      </c>
      <c r="B1173" s="6" t="s">
        <v>9</v>
      </c>
      <c r="C1173" s="6" t="s">
        <v>3448</v>
      </c>
      <c r="D1173" s="6" t="s">
        <v>3449</v>
      </c>
      <c r="E1173" s="7">
        <v>44468.0</v>
      </c>
      <c r="F1173" s="6" t="s">
        <v>12</v>
      </c>
      <c r="G1173" s="8" t="s">
        <v>3450</v>
      </c>
      <c r="H1173" s="8" t="s">
        <v>3450</v>
      </c>
    </row>
    <row r="1174">
      <c r="A1174" s="6" t="s">
        <v>8</v>
      </c>
      <c r="B1174" s="6" t="s">
        <v>9</v>
      </c>
      <c r="C1174" s="6" t="s">
        <v>3451</v>
      </c>
      <c r="D1174" s="6" t="s">
        <v>3452</v>
      </c>
      <c r="E1174" s="7">
        <v>44351.0</v>
      </c>
      <c r="F1174" s="6" t="s">
        <v>12</v>
      </c>
      <c r="G1174" s="8" t="s">
        <v>3453</v>
      </c>
      <c r="H1174" s="8" t="s">
        <v>3453</v>
      </c>
    </row>
    <row r="1175">
      <c r="A1175" s="6" t="s">
        <v>8</v>
      </c>
      <c r="B1175" s="6" t="s">
        <v>9</v>
      </c>
      <c r="C1175" s="6" t="s">
        <v>3454</v>
      </c>
      <c r="D1175" s="6" t="s">
        <v>3455</v>
      </c>
      <c r="E1175" s="7">
        <v>44418.0</v>
      </c>
      <c r="F1175" s="6" t="s">
        <v>12</v>
      </c>
      <c r="G1175" s="8" t="s">
        <v>3456</v>
      </c>
      <c r="H1175" s="8" t="s">
        <v>3456</v>
      </c>
    </row>
    <row r="1176">
      <c r="A1176" s="6" t="s">
        <v>8</v>
      </c>
      <c r="B1176" s="6" t="s">
        <v>9</v>
      </c>
      <c r="C1176" s="6" t="s">
        <v>3457</v>
      </c>
      <c r="D1176" s="6" t="s">
        <v>3458</v>
      </c>
      <c r="E1176" s="7">
        <v>44420.0</v>
      </c>
      <c r="F1176" s="6" t="s">
        <v>12</v>
      </c>
      <c r="G1176" s="8" t="s">
        <v>3459</v>
      </c>
      <c r="H1176" s="8" t="s">
        <v>3459</v>
      </c>
    </row>
    <row r="1177">
      <c r="A1177" s="6" t="s">
        <v>8</v>
      </c>
      <c r="B1177" s="6" t="s">
        <v>9</v>
      </c>
      <c r="C1177" s="6" t="s">
        <v>3460</v>
      </c>
      <c r="D1177" s="6" t="s">
        <v>3461</v>
      </c>
      <c r="E1177" s="7">
        <v>44420.0</v>
      </c>
      <c r="F1177" s="6" t="s">
        <v>12</v>
      </c>
      <c r="G1177" s="8" t="s">
        <v>3462</v>
      </c>
      <c r="H1177" s="8" t="s">
        <v>3462</v>
      </c>
    </row>
    <row r="1178">
      <c r="A1178" s="6" t="s">
        <v>8</v>
      </c>
      <c r="B1178" s="6" t="s">
        <v>9</v>
      </c>
      <c r="C1178" s="6" t="s">
        <v>3463</v>
      </c>
      <c r="D1178" s="6" t="s">
        <v>3464</v>
      </c>
      <c r="E1178" s="7">
        <v>44421.0</v>
      </c>
      <c r="F1178" s="6" t="s">
        <v>12</v>
      </c>
      <c r="G1178" s="8" t="s">
        <v>3465</v>
      </c>
      <c r="H1178" s="8" t="s">
        <v>3465</v>
      </c>
    </row>
    <row r="1179">
      <c r="A1179" s="6" t="s">
        <v>8</v>
      </c>
      <c r="B1179" s="6" t="s">
        <v>9</v>
      </c>
      <c r="C1179" s="6" t="s">
        <v>3466</v>
      </c>
      <c r="D1179" s="6" t="s">
        <v>3467</v>
      </c>
      <c r="E1179" s="7">
        <v>44347.0</v>
      </c>
      <c r="F1179" s="6" t="s">
        <v>12</v>
      </c>
      <c r="G1179" s="8" t="s">
        <v>3468</v>
      </c>
      <c r="H1179" s="8" t="s">
        <v>3468</v>
      </c>
    </row>
    <row r="1180">
      <c r="A1180" s="6" t="s">
        <v>8</v>
      </c>
      <c r="B1180" s="6" t="s">
        <v>9</v>
      </c>
      <c r="C1180" s="6" t="s">
        <v>3469</v>
      </c>
      <c r="D1180" s="6" t="s">
        <v>3470</v>
      </c>
      <c r="E1180" s="7">
        <v>44424.0</v>
      </c>
      <c r="F1180" s="6" t="s">
        <v>12</v>
      </c>
      <c r="G1180" s="8" t="s">
        <v>3471</v>
      </c>
      <c r="H1180" s="8" t="s">
        <v>3471</v>
      </c>
    </row>
    <row r="1181">
      <c r="A1181" s="6" t="s">
        <v>8</v>
      </c>
      <c r="B1181" s="6" t="s">
        <v>9</v>
      </c>
      <c r="C1181" s="6" t="s">
        <v>3472</v>
      </c>
      <c r="D1181" s="6" t="s">
        <v>3473</v>
      </c>
      <c r="E1181" s="7">
        <v>44382.0</v>
      </c>
      <c r="F1181" s="6" t="s">
        <v>12</v>
      </c>
      <c r="G1181" s="8" t="s">
        <v>3474</v>
      </c>
      <c r="H1181" s="8" t="s">
        <v>3474</v>
      </c>
    </row>
    <row r="1182">
      <c r="A1182" s="6" t="s">
        <v>8</v>
      </c>
      <c r="B1182" s="6" t="s">
        <v>9</v>
      </c>
      <c r="C1182" s="6" t="s">
        <v>3475</v>
      </c>
      <c r="D1182" s="6" t="s">
        <v>3476</v>
      </c>
      <c r="E1182" s="7">
        <v>44382.0</v>
      </c>
      <c r="F1182" s="6" t="s">
        <v>12</v>
      </c>
      <c r="G1182" s="8" t="s">
        <v>3477</v>
      </c>
      <c r="H1182" s="8" t="s">
        <v>3477</v>
      </c>
    </row>
    <row r="1183">
      <c r="A1183" s="6" t="s">
        <v>8</v>
      </c>
      <c r="B1183" s="6" t="s">
        <v>9</v>
      </c>
      <c r="C1183" s="6" t="s">
        <v>3478</v>
      </c>
      <c r="D1183" s="6" t="s">
        <v>1628</v>
      </c>
      <c r="E1183" s="7">
        <v>44334.0</v>
      </c>
      <c r="F1183" s="6" t="s">
        <v>12</v>
      </c>
      <c r="G1183" s="8" t="s">
        <v>3479</v>
      </c>
      <c r="H1183" s="8" t="s">
        <v>3479</v>
      </c>
    </row>
    <row r="1184">
      <c r="A1184" s="6" t="s">
        <v>8</v>
      </c>
      <c r="B1184" s="6" t="s">
        <v>9</v>
      </c>
      <c r="C1184" s="6" t="s">
        <v>3480</v>
      </c>
      <c r="D1184" s="6" t="s">
        <v>3481</v>
      </c>
      <c r="E1184" s="7">
        <v>44334.0</v>
      </c>
      <c r="F1184" s="6" t="s">
        <v>12</v>
      </c>
      <c r="G1184" s="8" t="s">
        <v>3482</v>
      </c>
      <c r="H1184" s="8" t="s">
        <v>3482</v>
      </c>
    </row>
    <row r="1185">
      <c r="A1185" s="6" t="s">
        <v>8</v>
      </c>
      <c r="B1185" s="6" t="s">
        <v>9</v>
      </c>
      <c r="C1185" s="6" t="s">
        <v>3483</v>
      </c>
      <c r="D1185" s="6" t="s">
        <v>3484</v>
      </c>
      <c r="E1185" s="7">
        <v>44334.0</v>
      </c>
      <c r="F1185" s="6" t="s">
        <v>12</v>
      </c>
      <c r="G1185" s="8" t="s">
        <v>3485</v>
      </c>
      <c r="H1185" s="8" t="s">
        <v>3485</v>
      </c>
    </row>
    <row r="1186">
      <c r="A1186" s="6" t="s">
        <v>8</v>
      </c>
      <c r="B1186" s="6" t="s">
        <v>9</v>
      </c>
      <c r="C1186" s="6" t="s">
        <v>3486</v>
      </c>
      <c r="D1186" s="6" t="s">
        <v>3487</v>
      </c>
      <c r="E1186" s="7">
        <v>44334.0</v>
      </c>
      <c r="F1186" s="6" t="s">
        <v>12</v>
      </c>
      <c r="G1186" s="8" t="s">
        <v>3488</v>
      </c>
      <c r="H1186" s="8" t="s">
        <v>3488</v>
      </c>
    </row>
    <row r="1187">
      <c r="A1187" s="6" t="s">
        <v>8</v>
      </c>
      <c r="B1187" s="6" t="s">
        <v>9</v>
      </c>
      <c r="C1187" s="6" t="s">
        <v>3489</v>
      </c>
      <c r="D1187" s="6" t="s">
        <v>3490</v>
      </c>
      <c r="E1187" s="7">
        <v>44334.0</v>
      </c>
      <c r="F1187" s="6" t="s">
        <v>12</v>
      </c>
      <c r="G1187" s="8" t="s">
        <v>3491</v>
      </c>
      <c r="H1187" s="8" t="s">
        <v>3491</v>
      </c>
    </row>
    <row r="1188">
      <c r="A1188" s="6" t="s">
        <v>8</v>
      </c>
      <c r="B1188" s="6" t="s">
        <v>9</v>
      </c>
      <c r="C1188" s="6" t="s">
        <v>3492</v>
      </c>
      <c r="D1188" s="6" t="s">
        <v>3493</v>
      </c>
      <c r="E1188" s="7">
        <v>44407.0</v>
      </c>
      <c r="F1188" s="6" t="s">
        <v>12</v>
      </c>
      <c r="G1188" s="8" t="s">
        <v>3494</v>
      </c>
      <c r="H1188" s="8" t="s">
        <v>3494</v>
      </c>
    </row>
    <row r="1189">
      <c r="A1189" s="6" t="s">
        <v>8</v>
      </c>
      <c r="B1189" s="6" t="s">
        <v>9</v>
      </c>
      <c r="C1189" s="6" t="s">
        <v>3495</v>
      </c>
      <c r="D1189" s="6" t="s">
        <v>3496</v>
      </c>
      <c r="E1189" s="7">
        <v>44407.0</v>
      </c>
      <c r="F1189" s="6" t="s">
        <v>12</v>
      </c>
      <c r="G1189" s="8" t="s">
        <v>3497</v>
      </c>
      <c r="H1189" s="8" t="s">
        <v>3497</v>
      </c>
    </row>
    <row r="1190">
      <c r="A1190" s="6" t="s">
        <v>8</v>
      </c>
      <c r="B1190" s="6" t="s">
        <v>9</v>
      </c>
      <c r="C1190" s="6" t="s">
        <v>3498</v>
      </c>
      <c r="D1190" s="6" t="s">
        <v>3499</v>
      </c>
      <c r="E1190" s="7">
        <v>44407.0</v>
      </c>
      <c r="F1190" s="6" t="s">
        <v>12</v>
      </c>
      <c r="G1190" s="8" t="s">
        <v>3500</v>
      </c>
      <c r="H1190" s="8" t="s">
        <v>3500</v>
      </c>
    </row>
    <row r="1191">
      <c r="A1191" s="6" t="s">
        <v>8</v>
      </c>
      <c r="B1191" s="6" t="s">
        <v>9</v>
      </c>
      <c r="C1191" s="6" t="s">
        <v>3501</v>
      </c>
      <c r="D1191" s="6" t="s">
        <v>3502</v>
      </c>
      <c r="E1191" s="7">
        <v>44410.0</v>
      </c>
      <c r="F1191" s="6" t="s">
        <v>12</v>
      </c>
      <c r="G1191" s="8" t="s">
        <v>3503</v>
      </c>
      <c r="H1191" s="8" t="s">
        <v>3503</v>
      </c>
    </row>
    <row r="1192">
      <c r="A1192" s="6" t="s">
        <v>8</v>
      </c>
      <c r="B1192" s="6" t="s">
        <v>9</v>
      </c>
      <c r="C1192" s="6" t="s">
        <v>3504</v>
      </c>
      <c r="D1192" s="6" t="s">
        <v>3505</v>
      </c>
      <c r="E1192" s="7">
        <v>44410.0</v>
      </c>
      <c r="F1192" s="6" t="s">
        <v>12</v>
      </c>
      <c r="G1192" s="8" t="s">
        <v>3506</v>
      </c>
      <c r="H1192" s="8" t="s">
        <v>3506</v>
      </c>
    </row>
    <row r="1193">
      <c r="A1193" s="6" t="s">
        <v>8</v>
      </c>
      <c r="B1193" s="6" t="s">
        <v>9</v>
      </c>
      <c r="C1193" s="6" t="s">
        <v>3507</v>
      </c>
      <c r="D1193" s="6" t="s">
        <v>3508</v>
      </c>
      <c r="E1193" s="7">
        <v>44410.0</v>
      </c>
      <c r="F1193" s="6" t="s">
        <v>12</v>
      </c>
      <c r="G1193" s="8" t="s">
        <v>3509</v>
      </c>
      <c r="H1193" s="8" t="s">
        <v>3509</v>
      </c>
    </row>
    <row r="1194">
      <c r="A1194" s="6" t="s">
        <v>8</v>
      </c>
      <c r="B1194" s="6" t="s">
        <v>9</v>
      </c>
      <c r="C1194" s="6" t="s">
        <v>3510</v>
      </c>
      <c r="D1194" s="6" t="s">
        <v>738</v>
      </c>
      <c r="E1194" s="7">
        <v>44410.0</v>
      </c>
      <c r="F1194" s="6" t="s">
        <v>12</v>
      </c>
      <c r="G1194" s="8" t="s">
        <v>3511</v>
      </c>
      <c r="H1194" s="8" t="s">
        <v>3511</v>
      </c>
    </row>
    <row r="1195">
      <c r="A1195" s="6" t="s">
        <v>8</v>
      </c>
      <c r="B1195" s="6" t="s">
        <v>9</v>
      </c>
      <c r="C1195" s="6" t="s">
        <v>3512</v>
      </c>
      <c r="D1195" s="6" t="s">
        <v>3513</v>
      </c>
      <c r="E1195" s="7">
        <v>44410.0</v>
      </c>
      <c r="F1195" s="6" t="s">
        <v>12</v>
      </c>
      <c r="G1195" s="8" t="s">
        <v>3514</v>
      </c>
      <c r="H1195" s="8" t="s">
        <v>3514</v>
      </c>
    </row>
    <row r="1196">
      <c r="A1196" s="6" t="s">
        <v>8</v>
      </c>
      <c r="B1196" s="6" t="s">
        <v>9</v>
      </c>
      <c r="C1196" s="6" t="s">
        <v>3515</v>
      </c>
      <c r="D1196" s="6" t="s">
        <v>3516</v>
      </c>
      <c r="E1196" s="7">
        <v>44410.0</v>
      </c>
      <c r="F1196" s="6" t="s">
        <v>12</v>
      </c>
      <c r="G1196" s="8" t="s">
        <v>3517</v>
      </c>
      <c r="H1196" s="8" t="s">
        <v>3517</v>
      </c>
    </row>
    <row r="1197">
      <c r="A1197" s="6" t="s">
        <v>8</v>
      </c>
      <c r="B1197" s="6" t="s">
        <v>9</v>
      </c>
      <c r="C1197" s="6" t="s">
        <v>3518</v>
      </c>
      <c r="D1197" s="6" t="s">
        <v>1176</v>
      </c>
      <c r="E1197" s="7">
        <v>44410.0</v>
      </c>
      <c r="F1197" s="6" t="s">
        <v>12</v>
      </c>
      <c r="G1197" s="8" t="s">
        <v>3519</v>
      </c>
      <c r="H1197" s="8" t="s">
        <v>3519</v>
      </c>
    </row>
    <row r="1198">
      <c r="A1198" s="6" t="s">
        <v>8</v>
      </c>
      <c r="B1198" s="6" t="s">
        <v>9</v>
      </c>
      <c r="C1198" s="6" t="s">
        <v>3520</v>
      </c>
      <c r="D1198" s="6" t="s">
        <v>3521</v>
      </c>
      <c r="E1198" s="7">
        <v>44462.0</v>
      </c>
      <c r="F1198" s="6" t="s">
        <v>12</v>
      </c>
      <c r="G1198" s="8" t="s">
        <v>3522</v>
      </c>
      <c r="H1198" s="8" t="s">
        <v>3522</v>
      </c>
    </row>
    <row r="1199">
      <c r="A1199" s="6" t="s">
        <v>8</v>
      </c>
      <c r="B1199" s="6" t="s">
        <v>9</v>
      </c>
      <c r="C1199" s="6" t="s">
        <v>3523</v>
      </c>
      <c r="D1199" s="6" t="s">
        <v>3524</v>
      </c>
      <c r="E1199" s="7">
        <v>44459.0</v>
      </c>
      <c r="F1199" s="6" t="s">
        <v>12</v>
      </c>
      <c r="G1199" s="8" t="s">
        <v>3525</v>
      </c>
      <c r="H1199" s="8" t="s">
        <v>3525</v>
      </c>
    </row>
    <row r="1200">
      <c r="A1200" s="6" t="s">
        <v>8</v>
      </c>
      <c r="B1200" s="6" t="s">
        <v>9</v>
      </c>
      <c r="C1200" s="6" t="s">
        <v>3526</v>
      </c>
      <c r="D1200" s="6" t="s">
        <v>3527</v>
      </c>
      <c r="E1200" s="7">
        <v>44467.0</v>
      </c>
      <c r="F1200" s="6" t="s">
        <v>12</v>
      </c>
      <c r="G1200" s="8" t="s">
        <v>3528</v>
      </c>
      <c r="H1200" s="8" t="s">
        <v>3528</v>
      </c>
    </row>
    <row r="1201">
      <c r="A1201" s="6" t="s">
        <v>8</v>
      </c>
      <c r="B1201" s="6" t="s">
        <v>9</v>
      </c>
      <c r="C1201" s="6" t="s">
        <v>3529</v>
      </c>
      <c r="D1201" s="6" t="s">
        <v>3530</v>
      </c>
      <c r="E1201" s="7">
        <v>44467.0</v>
      </c>
      <c r="F1201" s="6" t="s">
        <v>12</v>
      </c>
      <c r="G1201" s="8" t="s">
        <v>3531</v>
      </c>
      <c r="H1201" s="8" t="s">
        <v>3531</v>
      </c>
    </row>
    <row r="1202">
      <c r="A1202" s="6" t="s">
        <v>8</v>
      </c>
      <c r="B1202" s="6" t="s">
        <v>9</v>
      </c>
      <c r="C1202" s="6" t="s">
        <v>3532</v>
      </c>
      <c r="D1202" s="6" t="s">
        <v>3533</v>
      </c>
      <c r="E1202" s="7">
        <v>44467.0</v>
      </c>
      <c r="F1202" s="6" t="s">
        <v>12</v>
      </c>
      <c r="G1202" s="8" t="s">
        <v>3534</v>
      </c>
      <c r="H1202" s="8" t="s">
        <v>3534</v>
      </c>
    </row>
    <row r="1203">
      <c r="A1203" s="6" t="s">
        <v>8</v>
      </c>
      <c r="B1203" s="6" t="s">
        <v>9</v>
      </c>
      <c r="C1203" s="6" t="s">
        <v>3535</v>
      </c>
      <c r="D1203" s="6" t="s">
        <v>3536</v>
      </c>
      <c r="E1203" s="7">
        <v>44467.0</v>
      </c>
      <c r="F1203" s="6" t="s">
        <v>12</v>
      </c>
      <c r="G1203" s="8" t="s">
        <v>3537</v>
      </c>
      <c r="H1203" s="8" t="s">
        <v>3537</v>
      </c>
    </row>
    <row r="1204">
      <c r="A1204" s="6" t="s">
        <v>8</v>
      </c>
      <c r="B1204" s="6" t="s">
        <v>9</v>
      </c>
      <c r="C1204" s="6" t="s">
        <v>3538</v>
      </c>
      <c r="D1204" s="6" t="s">
        <v>539</v>
      </c>
      <c r="E1204" s="7">
        <v>44417.0</v>
      </c>
      <c r="F1204" s="6" t="s">
        <v>12</v>
      </c>
      <c r="G1204" s="8" t="s">
        <v>3539</v>
      </c>
      <c r="H1204" s="8" t="s">
        <v>3539</v>
      </c>
    </row>
    <row r="1205">
      <c r="A1205" s="6" t="s">
        <v>8</v>
      </c>
      <c r="B1205" s="6" t="s">
        <v>9</v>
      </c>
      <c r="C1205" s="6" t="s">
        <v>3540</v>
      </c>
      <c r="D1205" s="6" t="s">
        <v>3541</v>
      </c>
      <c r="E1205" s="7">
        <v>44361.0</v>
      </c>
      <c r="F1205" s="6" t="s">
        <v>12</v>
      </c>
      <c r="G1205" s="8" t="s">
        <v>3542</v>
      </c>
      <c r="H1205" s="8" t="s">
        <v>3542</v>
      </c>
    </row>
    <row r="1206">
      <c r="A1206" s="6" t="s">
        <v>8</v>
      </c>
      <c r="B1206" s="6" t="s">
        <v>9</v>
      </c>
      <c r="C1206" s="6" t="s">
        <v>3543</v>
      </c>
      <c r="D1206" s="6" t="s">
        <v>3544</v>
      </c>
      <c r="E1206" s="7">
        <v>44502.0</v>
      </c>
      <c r="F1206" s="6" t="s">
        <v>12</v>
      </c>
      <c r="G1206" s="8" t="s">
        <v>3545</v>
      </c>
      <c r="H1206" s="8" t="s">
        <v>3545</v>
      </c>
    </row>
    <row r="1207">
      <c r="A1207" s="6" t="s">
        <v>8</v>
      </c>
      <c r="B1207" s="6" t="s">
        <v>9</v>
      </c>
      <c r="C1207" s="6" t="s">
        <v>3546</v>
      </c>
      <c r="D1207" s="6" t="s">
        <v>3547</v>
      </c>
      <c r="E1207" s="7">
        <v>44370.0</v>
      </c>
      <c r="F1207" s="6" t="s">
        <v>12</v>
      </c>
      <c r="G1207" s="8" t="s">
        <v>3548</v>
      </c>
      <c r="H1207" s="8" t="s">
        <v>3548</v>
      </c>
    </row>
    <row r="1208">
      <c r="A1208" s="6" t="s">
        <v>8</v>
      </c>
      <c r="B1208" s="6" t="s">
        <v>9</v>
      </c>
      <c r="C1208" s="6" t="s">
        <v>3549</v>
      </c>
      <c r="D1208" s="6" t="s">
        <v>3550</v>
      </c>
      <c r="E1208" s="7">
        <v>44371.0</v>
      </c>
      <c r="F1208" s="6" t="s">
        <v>12</v>
      </c>
      <c r="G1208" s="8" t="s">
        <v>3551</v>
      </c>
      <c r="H1208" s="8" t="s">
        <v>3551</v>
      </c>
    </row>
    <row r="1209">
      <c r="A1209" s="6" t="s">
        <v>8</v>
      </c>
      <c r="B1209" s="6" t="s">
        <v>9</v>
      </c>
      <c r="C1209" s="6" t="s">
        <v>3552</v>
      </c>
      <c r="D1209" s="6" t="s">
        <v>3553</v>
      </c>
      <c r="E1209" s="7">
        <v>44371.0</v>
      </c>
      <c r="F1209" s="6" t="s">
        <v>12</v>
      </c>
      <c r="G1209" s="8" t="s">
        <v>3554</v>
      </c>
      <c r="H1209" s="8" t="s">
        <v>3554</v>
      </c>
    </row>
    <row r="1210">
      <c r="A1210" s="6" t="s">
        <v>8</v>
      </c>
      <c r="B1210" s="6" t="s">
        <v>9</v>
      </c>
      <c r="C1210" s="6" t="s">
        <v>3555</v>
      </c>
      <c r="D1210" s="6" t="s">
        <v>3556</v>
      </c>
      <c r="E1210" s="7">
        <v>44371.0</v>
      </c>
      <c r="F1210" s="6" t="s">
        <v>12</v>
      </c>
      <c r="G1210" s="8" t="s">
        <v>3557</v>
      </c>
      <c r="H1210" s="8" t="s">
        <v>3557</v>
      </c>
    </row>
    <row r="1211">
      <c r="A1211" s="6" t="s">
        <v>8</v>
      </c>
      <c r="B1211" s="6" t="s">
        <v>9</v>
      </c>
      <c r="C1211" s="6" t="s">
        <v>3558</v>
      </c>
      <c r="D1211" s="6" t="s">
        <v>3559</v>
      </c>
      <c r="E1211" s="7">
        <v>44446.0</v>
      </c>
      <c r="F1211" s="6" t="s">
        <v>12</v>
      </c>
      <c r="G1211" s="8" t="s">
        <v>3560</v>
      </c>
      <c r="H1211" s="8" t="s">
        <v>3560</v>
      </c>
    </row>
    <row r="1212">
      <c r="A1212" s="6" t="s">
        <v>8</v>
      </c>
      <c r="B1212" s="6" t="s">
        <v>9</v>
      </c>
      <c r="C1212" s="6" t="s">
        <v>3561</v>
      </c>
      <c r="D1212" s="6" t="s">
        <v>3562</v>
      </c>
      <c r="E1212" s="7">
        <v>44446.0</v>
      </c>
      <c r="F1212" s="6" t="s">
        <v>12</v>
      </c>
      <c r="G1212" s="8" t="s">
        <v>3563</v>
      </c>
      <c r="H1212" s="8" t="s">
        <v>3563</v>
      </c>
    </row>
    <row r="1213">
      <c r="A1213" s="6" t="s">
        <v>8</v>
      </c>
      <c r="B1213" s="6" t="s">
        <v>9</v>
      </c>
      <c r="C1213" s="6" t="s">
        <v>3564</v>
      </c>
      <c r="D1213" s="6" t="s">
        <v>117</v>
      </c>
      <c r="E1213" s="7">
        <v>44446.0</v>
      </c>
      <c r="F1213" s="6" t="s">
        <v>12</v>
      </c>
      <c r="G1213" s="8" t="s">
        <v>3565</v>
      </c>
      <c r="H1213" s="8" t="s">
        <v>3565</v>
      </c>
    </row>
    <row r="1214">
      <c r="A1214" s="6" t="s">
        <v>8</v>
      </c>
      <c r="B1214" s="6" t="s">
        <v>9</v>
      </c>
      <c r="C1214" s="6" t="s">
        <v>3566</v>
      </c>
      <c r="D1214" s="6" t="s">
        <v>2559</v>
      </c>
      <c r="E1214" s="7">
        <v>44446.0</v>
      </c>
      <c r="F1214" s="6" t="s">
        <v>12</v>
      </c>
      <c r="G1214" s="8" t="s">
        <v>3567</v>
      </c>
      <c r="H1214" s="8" t="s">
        <v>3567</v>
      </c>
    </row>
    <row r="1215">
      <c r="A1215" s="6" t="s">
        <v>8</v>
      </c>
      <c r="B1215" s="6" t="s">
        <v>9</v>
      </c>
      <c r="C1215" s="6" t="s">
        <v>3568</v>
      </c>
      <c r="D1215" s="6" t="s">
        <v>3569</v>
      </c>
      <c r="E1215" s="7">
        <v>44446.0</v>
      </c>
      <c r="F1215" s="6" t="s">
        <v>12</v>
      </c>
      <c r="G1215" s="8" t="s">
        <v>3570</v>
      </c>
      <c r="H1215" s="8" t="s">
        <v>3570</v>
      </c>
    </row>
    <row r="1216">
      <c r="A1216" s="6" t="s">
        <v>8</v>
      </c>
      <c r="B1216" s="6" t="s">
        <v>9</v>
      </c>
      <c r="C1216" s="6" t="s">
        <v>3571</v>
      </c>
      <c r="D1216" s="6" t="s">
        <v>3572</v>
      </c>
      <c r="E1216" s="7">
        <v>44446.0</v>
      </c>
      <c r="F1216" s="6" t="s">
        <v>12</v>
      </c>
      <c r="G1216" s="8" t="s">
        <v>3573</v>
      </c>
      <c r="H1216" s="8" t="s">
        <v>3573</v>
      </c>
    </row>
    <row r="1217">
      <c r="A1217" s="6" t="s">
        <v>8</v>
      </c>
      <c r="B1217" s="6" t="s">
        <v>9</v>
      </c>
      <c r="C1217" s="6" t="s">
        <v>3574</v>
      </c>
      <c r="D1217" s="6" t="s">
        <v>3575</v>
      </c>
      <c r="E1217" s="7">
        <v>44483.0</v>
      </c>
      <c r="F1217" s="6" t="s">
        <v>12</v>
      </c>
      <c r="G1217" s="8" t="s">
        <v>3576</v>
      </c>
      <c r="H1217" s="8" t="s">
        <v>3576</v>
      </c>
    </row>
    <row r="1218">
      <c r="A1218" s="6" t="s">
        <v>8</v>
      </c>
      <c r="B1218" s="6" t="s">
        <v>9</v>
      </c>
      <c r="C1218" s="6" t="s">
        <v>3577</v>
      </c>
      <c r="D1218" s="6" t="s">
        <v>3578</v>
      </c>
      <c r="E1218" s="7">
        <v>44483.0</v>
      </c>
      <c r="F1218" s="6" t="s">
        <v>12</v>
      </c>
      <c r="G1218" s="8" t="s">
        <v>3579</v>
      </c>
      <c r="H1218" s="8" t="s">
        <v>3579</v>
      </c>
    </row>
    <row r="1219">
      <c r="A1219" s="6" t="s">
        <v>8</v>
      </c>
      <c r="B1219" s="6" t="s">
        <v>9</v>
      </c>
      <c r="C1219" s="6" t="s">
        <v>3580</v>
      </c>
      <c r="D1219" s="6" t="s">
        <v>3581</v>
      </c>
      <c r="E1219" s="7">
        <v>44483.0</v>
      </c>
      <c r="F1219" s="6" t="s">
        <v>12</v>
      </c>
      <c r="G1219" s="8" t="s">
        <v>3582</v>
      </c>
      <c r="H1219" s="8" t="s">
        <v>3582</v>
      </c>
    </row>
    <row r="1220">
      <c r="A1220" s="6" t="s">
        <v>8</v>
      </c>
      <c r="B1220" s="6" t="s">
        <v>9</v>
      </c>
      <c r="C1220" s="6" t="s">
        <v>3583</v>
      </c>
      <c r="D1220" s="6" t="s">
        <v>3584</v>
      </c>
      <c r="E1220" s="7">
        <v>44483.0</v>
      </c>
      <c r="F1220" s="6" t="s">
        <v>12</v>
      </c>
      <c r="G1220" s="8" t="s">
        <v>3585</v>
      </c>
      <c r="H1220" s="8" t="s">
        <v>3585</v>
      </c>
    </row>
    <row r="1221">
      <c r="A1221" s="6" t="s">
        <v>8</v>
      </c>
      <c r="B1221" s="6" t="s">
        <v>9</v>
      </c>
      <c r="C1221" s="6" t="s">
        <v>3586</v>
      </c>
      <c r="D1221" s="6" t="s">
        <v>2325</v>
      </c>
      <c r="E1221" s="7">
        <v>44473.0</v>
      </c>
      <c r="F1221" s="6" t="s">
        <v>12</v>
      </c>
      <c r="G1221" s="8" t="s">
        <v>3587</v>
      </c>
      <c r="H1221" s="8" t="s">
        <v>3587</v>
      </c>
    </row>
    <row r="1222">
      <c r="A1222" s="6" t="s">
        <v>8</v>
      </c>
      <c r="B1222" s="6" t="s">
        <v>9</v>
      </c>
      <c r="C1222" s="6" t="s">
        <v>3588</v>
      </c>
      <c r="D1222" s="6" t="s">
        <v>3589</v>
      </c>
      <c r="E1222" s="7">
        <v>44473.0</v>
      </c>
      <c r="F1222" s="6" t="s">
        <v>12</v>
      </c>
      <c r="G1222" s="8" t="s">
        <v>3590</v>
      </c>
      <c r="H1222" s="8" t="s">
        <v>3590</v>
      </c>
    </row>
    <row r="1223">
      <c r="A1223" s="6" t="s">
        <v>8</v>
      </c>
      <c r="B1223" s="6" t="s">
        <v>9</v>
      </c>
      <c r="C1223" s="6" t="s">
        <v>3591</v>
      </c>
      <c r="D1223" s="6" t="s">
        <v>3592</v>
      </c>
      <c r="E1223" s="7">
        <v>44473.0</v>
      </c>
      <c r="F1223" s="6" t="s">
        <v>12</v>
      </c>
      <c r="G1223" s="8" t="s">
        <v>3593</v>
      </c>
      <c r="H1223" s="8" t="s">
        <v>3593</v>
      </c>
    </row>
    <row r="1224">
      <c r="A1224" s="6" t="s">
        <v>8</v>
      </c>
      <c r="B1224" s="6" t="s">
        <v>9</v>
      </c>
      <c r="C1224" s="6" t="s">
        <v>3594</v>
      </c>
      <c r="D1224" s="6" t="s">
        <v>3401</v>
      </c>
      <c r="E1224" s="7">
        <v>44473.0</v>
      </c>
      <c r="F1224" s="6" t="s">
        <v>12</v>
      </c>
      <c r="G1224" s="8" t="s">
        <v>3595</v>
      </c>
      <c r="H1224" s="8" t="s">
        <v>3595</v>
      </c>
    </row>
    <row r="1225">
      <c r="A1225" s="6" t="s">
        <v>8</v>
      </c>
      <c r="B1225" s="6" t="s">
        <v>9</v>
      </c>
      <c r="C1225" s="6" t="s">
        <v>3596</v>
      </c>
      <c r="D1225" s="6" t="s">
        <v>1631</v>
      </c>
      <c r="E1225" s="7">
        <v>44473.0</v>
      </c>
      <c r="F1225" s="6" t="s">
        <v>12</v>
      </c>
      <c r="G1225" s="8" t="s">
        <v>3597</v>
      </c>
      <c r="H1225" s="8" t="s">
        <v>3597</v>
      </c>
    </row>
    <row r="1226">
      <c r="A1226" s="6" t="s">
        <v>8</v>
      </c>
      <c r="B1226" s="6" t="s">
        <v>9</v>
      </c>
      <c r="C1226" s="6" t="s">
        <v>3598</v>
      </c>
      <c r="D1226" s="6" t="s">
        <v>447</v>
      </c>
      <c r="E1226" s="7">
        <v>44473.0</v>
      </c>
      <c r="F1226" s="6" t="s">
        <v>12</v>
      </c>
      <c r="G1226" s="8" t="s">
        <v>3599</v>
      </c>
      <c r="H1226" s="8" t="s">
        <v>3599</v>
      </c>
    </row>
    <row r="1227">
      <c r="A1227" s="6" t="s">
        <v>8</v>
      </c>
      <c r="B1227" s="6" t="s">
        <v>9</v>
      </c>
      <c r="C1227" s="6" t="s">
        <v>3600</v>
      </c>
      <c r="D1227" s="6" t="s">
        <v>3601</v>
      </c>
      <c r="E1227" s="7">
        <v>44498.0</v>
      </c>
      <c r="F1227" s="6" t="s">
        <v>12</v>
      </c>
      <c r="G1227" s="8" t="s">
        <v>3602</v>
      </c>
      <c r="H1227" s="8" t="s">
        <v>3602</v>
      </c>
    </row>
    <row r="1228">
      <c r="A1228" s="6" t="s">
        <v>8</v>
      </c>
      <c r="B1228" s="6" t="s">
        <v>9</v>
      </c>
      <c r="C1228" s="6" t="s">
        <v>3603</v>
      </c>
      <c r="D1228" s="6" t="s">
        <v>3604</v>
      </c>
      <c r="E1228" s="7">
        <v>44475.0</v>
      </c>
      <c r="F1228" s="6" t="s">
        <v>12</v>
      </c>
      <c r="G1228" s="8" t="s">
        <v>3605</v>
      </c>
      <c r="H1228" s="8" t="s">
        <v>3605</v>
      </c>
    </row>
    <row r="1229">
      <c r="A1229" s="6" t="s">
        <v>8</v>
      </c>
      <c r="B1229" s="6" t="s">
        <v>9</v>
      </c>
      <c r="C1229" s="6" t="s">
        <v>3606</v>
      </c>
      <c r="D1229" s="6" t="s">
        <v>3607</v>
      </c>
      <c r="E1229" s="7">
        <v>44490.0</v>
      </c>
      <c r="F1229" s="6" t="s">
        <v>12</v>
      </c>
      <c r="G1229" s="8" t="s">
        <v>3608</v>
      </c>
      <c r="H1229" s="8" t="s">
        <v>3608</v>
      </c>
    </row>
    <row r="1230">
      <c r="A1230" s="6" t="s">
        <v>8</v>
      </c>
      <c r="B1230" s="6" t="s">
        <v>9</v>
      </c>
      <c r="C1230" s="6" t="s">
        <v>3609</v>
      </c>
      <c r="D1230" s="6" t="s">
        <v>1060</v>
      </c>
      <c r="E1230" s="7">
        <v>44490.0</v>
      </c>
      <c r="F1230" s="6" t="s">
        <v>12</v>
      </c>
      <c r="G1230" s="8" t="s">
        <v>3610</v>
      </c>
      <c r="H1230" s="8" t="s">
        <v>3610</v>
      </c>
    </row>
    <row r="1231">
      <c r="A1231" s="6" t="s">
        <v>8</v>
      </c>
      <c r="B1231" s="6" t="s">
        <v>9</v>
      </c>
      <c r="C1231" s="6" t="s">
        <v>3611</v>
      </c>
      <c r="D1231" s="6" t="s">
        <v>3612</v>
      </c>
      <c r="E1231" s="7">
        <v>44477.0</v>
      </c>
      <c r="F1231" s="6" t="s">
        <v>12</v>
      </c>
      <c r="G1231" s="8" t="s">
        <v>3613</v>
      </c>
      <c r="H1231" s="8" t="s">
        <v>3613</v>
      </c>
    </row>
    <row r="1232">
      <c r="A1232" s="6" t="s">
        <v>8</v>
      </c>
      <c r="B1232" s="6" t="s">
        <v>9</v>
      </c>
      <c r="C1232" s="6" t="s">
        <v>3614</v>
      </c>
      <c r="D1232" s="6" t="s">
        <v>3615</v>
      </c>
      <c r="E1232" s="7">
        <v>44477.0</v>
      </c>
      <c r="F1232" s="6" t="s">
        <v>12</v>
      </c>
      <c r="G1232" s="8" t="s">
        <v>3616</v>
      </c>
      <c r="H1232" s="8" t="s">
        <v>3616</v>
      </c>
    </row>
    <row r="1233">
      <c r="A1233" s="6" t="s">
        <v>8</v>
      </c>
      <c r="B1233" s="6" t="s">
        <v>9</v>
      </c>
      <c r="C1233" s="6" t="s">
        <v>3617</v>
      </c>
      <c r="D1233" s="6" t="s">
        <v>3618</v>
      </c>
      <c r="E1233" s="7">
        <v>44491.0</v>
      </c>
      <c r="F1233" s="6" t="s">
        <v>12</v>
      </c>
      <c r="G1233" s="8" t="s">
        <v>3619</v>
      </c>
      <c r="H1233" s="8" t="s">
        <v>3619</v>
      </c>
    </row>
    <row r="1234">
      <c r="A1234" s="6" t="s">
        <v>8</v>
      </c>
      <c r="B1234" s="6" t="s">
        <v>9</v>
      </c>
      <c r="C1234" s="6" t="s">
        <v>3620</v>
      </c>
      <c r="D1234" s="6" t="s">
        <v>3621</v>
      </c>
      <c r="E1234" s="7">
        <v>44491.0</v>
      </c>
      <c r="F1234" s="6" t="s">
        <v>12</v>
      </c>
      <c r="G1234" s="8" t="s">
        <v>3622</v>
      </c>
      <c r="H1234" s="8" t="s">
        <v>3622</v>
      </c>
    </row>
    <row r="1235">
      <c r="A1235" s="6" t="s">
        <v>8</v>
      </c>
      <c r="B1235" s="6" t="s">
        <v>9</v>
      </c>
      <c r="C1235" s="6" t="s">
        <v>3623</v>
      </c>
      <c r="D1235" s="6" t="s">
        <v>3624</v>
      </c>
      <c r="E1235" s="7">
        <v>44490.0</v>
      </c>
      <c r="F1235" s="6" t="s">
        <v>12</v>
      </c>
      <c r="G1235" s="8" t="s">
        <v>3625</v>
      </c>
      <c r="H1235" s="8" t="s">
        <v>3625</v>
      </c>
    </row>
    <row r="1236">
      <c r="A1236" s="6" t="s">
        <v>8</v>
      </c>
      <c r="B1236" s="6" t="s">
        <v>9</v>
      </c>
      <c r="C1236" s="6" t="s">
        <v>3626</v>
      </c>
      <c r="D1236" s="6" t="s">
        <v>3627</v>
      </c>
      <c r="E1236" s="7">
        <v>44441.0</v>
      </c>
      <c r="F1236" s="6" t="s">
        <v>12</v>
      </c>
      <c r="G1236" s="8" t="s">
        <v>3628</v>
      </c>
      <c r="H1236" s="8" t="s">
        <v>3628</v>
      </c>
    </row>
    <row r="1237">
      <c r="A1237" s="6" t="s">
        <v>8</v>
      </c>
      <c r="B1237" s="6" t="s">
        <v>9</v>
      </c>
      <c r="C1237" s="6" t="s">
        <v>3629</v>
      </c>
      <c r="D1237" s="6" t="s">
        <v>3630</v>
      </c>
      <c r="E1237" s="7">
        <v>44445.0</v>
      </c>
      <c r="F1237" s="6" t="s">
        <v>12</v>
      </c>
      <c r="G1237" s="8" t="s">
        <v>3631</v>
      </c>
      <c r="H1237" s="8" t="s">
        <v>3631</v>
      </c>
    </row>
    <row r="1238">
      <c r="A1238" s="6" t="s">
        <v>8</v>
      </c>
      <c r="B1238" s="6" t="s">
        <v>9</v>
      </c>
      <c r="C1238" s="6" t="s">
        <v>3632</v>
      </c>
      <c r="D1238" s="6" t="s">
        <v>3633</v>
      </c>
      <c r="E1238" s="7">
        <v>44445.0</v>
      </c>
      <c r="F1238" s="6" t="s">
        <v>12</v>
      </c>
      <c r="G1238" s="8" t="s">
        <v>3634</v>
      </c>
      <c r="H1238" s="8" t="s">
        <v>3634</v>
      </c>
    </row>
    <row r="1239">
      <c r="A1239" s="6" t="s">
        <v>8</v>
      </c>
      <c r="B1239" s="6" t="s">
        <v>9</v>
      </c>
      <c r="C1239" s="6" t="s">
        <v>3635</v>
      </c>
      <c r="D1239" s="6" t="s">
        <v>3636</v>
      </c>
      <c r="E1239" s="7">
        <v>44445.0</v>
      </c>
      <c r="F1239" s="6" t="s">
        <v>12</v>
      </c>
      <c r="G1239" s="8" t="s">
        <v>3637</v>
      </c>
      <c r="H1239" s="8" t="s">
        <v>3637</v>
      </c>
    </row>
    <row r="1240">
      <c r="A1240" s="6" t="s">
        <v>8</v>
      </c>
      <c r="B1240" s="6" t="s">
        <v>9</v>
      </c>
      <c r="C1240" s="6" t="s">
        <v>3638</v>
      </c>
      <c r="D1240" s="6" t="s">
        <v>3639</v>
      </c>
      <c r="E1240" s="7">
        <v>44445.0</v>
      </c>
      <c r="F1240" s="6" t="s">
        <v>12</v>
      </c>
      <c r="G1240" s="8" t="s">
        <v>3640</v>
      </c>
      <c r="H1240" s="8" t="s">
        <v>3640</v>
      </c>
    </row>
    <row r="1241">
      <c r="A1241" s="6" t="s">
        <v>8</v>
      </c>
      <c r="B1241" s="6" t="s">
        <v>9</v>
      </c>
      <c r="C1241" s="6" t="s">
        <v>3641</v>
      </c>
      <c r="D1241" s="6" t="s">
        <v>3642</v>
      </c>
      <c r="E1241" s="7">
        <v>44445.0</v>
      </c>
      <c r="F1241" s="6" t="s">
        <v>12</v>
      </c>
      <c r="G1241" s="8" t="s">
        <v>3643</v>
      </c>
      <c r="H1241" s="8" t="s">
        <v>3643</v>
      </c>
    </row>
    <row r="1242">
      <c r="A1242" s="6" t="s">
        <v>8</v>
      </c>
      <c r="B1242" s="6" t="s">
        <v>9</v>
      </c>
      <c r="C1242" s="6" t="s">
        <v>3644</v>
      </c>
      <c r="D1242" s="6" t="s">
        <v>3645</v>
      </c>
      <c r="E1242" s="7">
        <v>44466.0</v>
      </c>
      <c r="F1242" s="6" t="s">
        <v>12</v>
      </c>
      <c r="G1242" s="8" t="s">
        <v>3646</v>
      </c>
      <c r="H1242" s="8" t="s">
        <v>3646</v>
      </c>
    </row>
    <row r="1243">
      <c r="A1243" s="6" t="s">
        <v>8</v>
      </c>
      <c r="B1243" s="6" t="s">
        <v>9</v>
      </c>
      <c r="C1243" s="6" t="s">
        <v>3647</v>
      </c>
      <c r="D1243" s="6" t="s">
        <v>1048</v>
      </c>
      <c r="E1243" s="7">
        <v>44466.0</v>
      </c>
      <c r="F1243" s="6" t="s">
        <v>12</v>
      </c>
      <c r="G1243" s="8" t="s">
        <v>3648</v>
      </c>
      <c r="H1243" s="8" t="s">
        <v>3648</v>
      </c>
    </row>
    <row r="1244">
      <c r="A1244" s="6" t="s">
        <v>8</v>
      </c>
      <c r="B1244" s="6" t="s">
        <v>9</v>
      </c>
      <c r="C1244" s="6" t="s">
        <v>3649</v>
      </c>
      <c r="D1244" s="6" t="s">
        <v>3650</v>
      </c>
      <c r="E1244" s="7">
        <v>44466.0</v>
      </c>
      <c r="F1244" s="6" t="s">
        <v>12</v>
      </c>
      <c r="G1244" s="8" t="s">
        <v>3651</v>
      </c>
      <c r="H1244" s="8" t="s">
        <v>3651</v>
      </c>
    </row>
    <row r="1245">
      <c r="A1245" s="6" t="s">
        <v>8</v>
      </c>
      <c r="B1245" s="6" t="s">
        <v>9</v>
      </c>
      <c r="C1245" s="6" t="s">
        <v>3652</v>
      </c>
      <c r="D1245" s="6" t="s">
        <v>3653</v>
      </c>
      <c r="E1245" s="7">
        <v>44481.0</v>
      </c>
      <c r="F1245" s="6" t="s">
        <v>12</v>
      </c>
      <c r="G1245" s="8" t="s">
        <v>3654</v>
      </c>
      <c r="H1245" s="8" t="s">
        <v>3654</v>
      </c>
    </row>
    <row r="1246">
      <c r="A1246" s="6" t="s">
        <v>8</v>
      </c>
      <c r="B1246" s="6" t="s">
        <v>9</v>
      </c>
      <c r="C1246" s="6" t="s">
        <v>3655</v>
      </c>
      <c r="D1246" s="6" t="s">
        <v>3656</v>
      </c>
      <c r="E1246" s="7">
        <v>44481.0</v>
      </c>
      <c r="F1246" s="6" t="s">
        <v>12</v>
      </c>
      <c r="G1246" s="8" t="s">
        <v>3657</v>
      </c>
      <c r="H1246" s="8" t="s">
        <v>3657</v>
      </c>
    </row>
    <row r="1247">
      <c r="A1247" s="6" t="s">
        <v>8</v>
      </c>
      <c r="B1247" s="6" t="s">
        <v>9</v>
      </c>
      <c r="C1247" s="6" t="s">
        <v>3658</v>
      </c>
      <c r="D1247" s="6" t="s">
        <v>3659</v>
      </c>
      <c r="E1247" s="7">
        <v>44481.0</v>
      </c>
      <c r="F1247" s="6" t="s">
        <v>12</v>
      </c>
      <c r="G1247" s="8" t="s">
        <v>3660</v>
      </c>
      <c r="H1247" s="8" t="s">
        <v>3660</v>
      </c>
    </row>
    <row r="1248">
      <c r="A1248" s="6" t="s">
        <v>8</v>
      </c>
      <c r="B1248" s="6" t="s">
        <v>9</v>
      </c>
      <c r="C1248" s="6" t="s">
        <v>3661</v>
      </c>
      <c r="D1248" s="6" t="s">
        <v>3662</v>
      </c>
      <c r="E1248" s="7">
        <v>44469.0</v>
      </c>
      <c r="F1248" s="6" t="s">
        <v>12</v>
      </c>
      <c r="G1248" s="8" t="s">
        <v>3663</v>
      </c>
      <c r="H1248" s="8" t="s">
        <v>3663</v>
      </c>
    </row>
    <row r="1249">
      <c r="A1249" s="6" t="s">
        <v>8</v>
      </c>
      <c r="B1249" s="6" t="s">
        <v>9</v>
      </c>
      <c r="C1249" s="6" t="s">
        <v>3664</v>
      </c>
      <c r="D1249" s="6" t="s">
        <v>747</v>
      </c>
      <c r="E1249" s="7">
        <v>44502.0</v>
      </c>
      <c r="F1249" s="6" t="s">
        <v>12</v>
      </c>
      <c r="G1249" s="8" t="s">
        <v>3665</v>
      </c>
      <c r="H1249" s="8" t="s">
        <v>3665</v>
      </c>
    </row>
    <row r="1250">
      <c r="A1250" s="6" t="s">
        <v>8</v>
      </c>
      <c r="B1250" s="6" t="s">
        <v>9</v>
      </c>
      <c r="C1250" s="6" t="s">
        <v>3666</v>
      </c>
      <c r="D1250" s="6" t="s">
        <v>3667</v>
      </c>
      <c r="E1250" s="7">
        <v>44502.0</v>
      </c>
      <c r="F1250" s="6" t="s">
        <v>12</v>
      </c>
      <c r="G1250" s="8" t="s">
        <v>3668</v>
      </c>
      <c r="H1250" s="8" t="s">
        <v>3668</v>
      </c>
    </row>
    <row r="1251">
      <c r="A1251" s="6" t="s">
        <v>8</v>
      </c>
      <c r="B1251" s="6" t="s">
        <v>9</v>
      </c>
      <c r="C1251" s="6" t="s">
        <v>3669</v>
      </c>
      <c r="D1251" s="6" t="s">
        <v>3670</v>
      </c>
      <c r="E1251" s="7">
        <v>44502.0</v>
      </c>
      <c r="F1251" s="6" t="s">
        <v>12</v>
      </c>
      <c r="G1251" s="8" t="s">
        <v>3671</v>
      </c>
      <c r="H1251" s="8" t="s">
        <v>3671</v>
      </c>
    </row>
    <row r="1252">
      <c r="A1252" s="6" t="s">
        <v>8</v>
      </c>
      <c r="B1252" s="6" t="s">
        <v>9</v>
      </c>
      <c r="C1252" s="6" t="s">
        <v>3672</v>
      </c>
      <c r="D1252" s="6" t="s">
        <v>3673</v>
      </c>
      <c r="E1252" s="7">
        <v>44502.0</v>
      </c>
      <c r="F1252" s="6" t="s">
        <v>12</v>
      </c>
      <c r="G1252" s="8" t="s">
        <v>3674</v>
      </c>
      <c r="H1252" s="8" t="s">
        <v>3674</v>
      </c>
    </row>
    <row r="1253">
      <c r="A1253" s="6" t="s">
        <v>8</v>
      </c>
      <c r="B1253" s="6" t="s">
        <v>9</v>
      </c>
      <c r="C1253" s="6" t="s">
        <v>3675</v>
      </c>
      <c r="D1253" s="6" t="s">
        <v>3676</v>
      </c>
      <c r="E1253" s="7">
        <v>44502.0</v>
      </c>
      <c r="F1253" s="6" t="s">
        <v>12</v>
      </c>
      <c r="G1253" s="8" t="s">
        <v>3677</v>
      </c>
      <c r="H1253" s="8" t="s">
        <v>3677</v>
      </c>
    </row>
    <row r="1254">
      <c r="A1254" s="6" t="s">
        <v>8</v>
      </c>
      <c r="B1254" s="6" t="s">
        <v>9</v>
      </c>
      <c r="C1254" s="6" t="s">
        <v>3678</v>
      </c>
      <c r="D1254" s="6" t="s">
        <v>1137</v>
      </c>
      <c r="E1254" s="7">
        <v>44502.0</v>
      </c>
      <c r="F1254" s="6" t="s">
        <v>12</v>
      </c>
      <c r="G1254" s="8" t="s">
        <v>3679</v>
      </c>
      <c r="H1254" s="8" t="s">
        <v>3679</v>
      </c>
    </row>
    <row r="1255">
      <c r="A1255" s="6" t="s">
        <v>8</v>
      </c>
      <c r="B1255" s="6" t="s">
        <v>9</v>
      </c>
      <c r="C1255" s="6" t="s">
        <v>3680</v>
      </c>
      <c r="D1255" s="6" t="s">
        <v>1738</v>
      </c>
      <c r="E1255" s="7">
        <v>44502.0</v>
      </c>
      <c r="F1255" s="6" t="s">
        <v>12</v>
      </c>
      <c r="G1255" s="8" t="s">
        <v>3681</v>
      </c>
      <c r="H1255" s="8" t="s">
        <v>3681</v>
      </c>
    </row>
    <row r="1256">
      <c r="A1256" s="6" t="s">
        <v>8</v>
      </c>
      <c r="B1256" s="6" t="s">
        <v>9</v>
      </c>
      <c r="C1256" s="6" t="s">
        <v>3682</v>
      </c>
      <c r="D1256" s="6" t="s">
        <v>3683</v>
      </c>
      <c r="E1256" s="7">
        <v>44498.0</v>
      </c>
      <c r="F1256" s="6" t="s">
        <v>12</v>
      </c>
      <c r="G1256" s="8" t="s">
        <v>3684</v>
      </c>
      <c r="H1256" s="8" t="s">
        <v>3684</v>
      </c>
    </row>
    <row r="1257">
      <c r="A1257" s="6" t="s">
        <v>8</v>
      </c>
      <c r="B1257" s="6" t="s">
        <v>9</v>
      </c>
      <c r="C1257" s="6" t="s">
        <v>3685</v>
      </c>
      <c r="D1257" s="6" t="s">
        <v>3686</v>
      </c>
      <c r="E1257" s="7">
        <v>44343.0</v>
      </c>
      <c r="F1257" s="6" t="s">
        <v>12</v>
      </c>
      <c r="G1257" s="8" t="s">
        <v>3687</v>
      </c>
      <c r="H1257" s="8" t="s">
        <v>3687</v>
      </c>
    </row>
    <row r="1258">
      <c r="A1258" s="6" t="s">
        <v>8</v>
      </c>
      <c r="B1258" s="6" t="s">
        <v>9</v>
      </c>
      <c r="C1258" s="6" t="s">
        <v>3688</v>
      </c>
      <c r="D1258" s="6" t="s">
        <v>3689</v>
      </c>
      <c r="E1258" s="7">
        <v>44350.0</v>
      </c>
      <c r="F1258" s="6" t="s">
        <v>12</v>
      </c>
      <c r="G1258" s="8" t="s">
        <v>3690</v>
      </c>
      <c r="H1258" s="8" t="s">
        <v>3690</v>
      </c>
    </row>
    <row r="1259">
      <c r="A1259" s="6" t="s">
        <v>8</v>
      </c>
      <c r="B1259" s="6" t="s">
        <v>9</v>
      </c>
      <c r="C1259" s="6" t="s">
        <v>3691</v>
      </c>
      <c r="D1259" s="6" t="s">
        <v>3692</v>
      </c>
      <c r="E1259" s="7">
        <v>44350.0</v>
      </c>
      <c r="F1259" s="6" t="s">
        <v>12</v>
      </c>
      <c r="G1259" s="8" t="s">
        <v>3693</v>
      </c>
      <c r="H1259" s="8" t="s">
        <v>3693</v>
      </c>
    </row>
    <row r="1260">
      <c r="A1260" s="6" t="s">
        <v>8</v>
      </c>
      <c r="B1260" s="6" t="s">
        <v>9</v>
      </c>
      <c r="C1260" s="6" t="s">
        <v>3694</v>
      </c>
      <c r="D1260" s="6" t="s">
        <v>3449</v>
      </c>
      <c r="E1260" s="7">
        <v>44335.0</v>
      </c>
      <c r="F1260" s="6" t="s">
        <v>12</v>
      </c>
      <c r="G1260" s="8" t="s">
        <v>3695</v>
      </c>
      <c r="H1260" s="8" t="s">
        <v>3695</v>
      </c>
    </row>
    <row r="1261">
      <c r="A1261" s="6" t="s">
        <v>8</v>
      </c>
      <c r="B1261" s="6" t="s">
        <v>9</v>
      </c>
      <c r="C1261" s="6" t="s">
        <v>3696</v>
      </c>
      <c r="D1261" s="6" t="s">
        <v>3697</v>
      </c>
      <c r="E1261" s="7">
        <v>44335.0</v>
      </c>
      <c r="F1261" s="6" t="s">
        <v>12</v>
      </c>
      <c r="G1261" s="8" t="s">
        <v>3698</v>
      </c>
      <c r="H1261" s="8" t="s">
        <v>3698</v>
      </c>
    </row>
    <row r="1262">
      <c r="A1262" s="6" t="s">
        <v>8</v>
      </c>
      <c r="B1262" s="6" t="s">
        <v>9</v>
      </c>
      <c r="C1262" s="6" t="s">
        <v>3699</v>
      </c>
      <c r="D1262" s="6" t="s">
        <v>1268</v>
      </c>
      <c r="E1262" s="7">
        <v>44335.0</v>
      </c>
      <c r="F1262" s="6" t="s">
        <v>12</v>
      </c>
      <c r="G1262" s="8" t="s">
        <v>3700</v>
      </c>
      <c r="H1262" s="8" t="s">
        <v>3700</v>
      </c>
    </row>
    <row r="1263">
      <c r="A1263" s="6" t="s">
        <v>8</v>
      </c>
      <c r="B1263" s="6" t="s">
        <v>9</v>
      </c>
      <c r="C1263" s="6" t="s">
        <v>3701</v>
      </c>
      <c r="D1263" s="6" t="s">
        <v>3702</v>
      </c>
      <c r="E1263" s="7">
        <v>44344.0</v>
      </c>
      <c r="F1263" s="6" t="s">
        <v>12</v>
      </c>
      <c r="G1263" s="8" t="s">
        <v>3703</v>
      </c>
      <c r="H1263" s="8" t="s">
        <v>3703</v>
      </c>
    </row>
    <row r="1264">
      <c r="A1264" s="6" t="s">
        <v>8</v>
      </c>
      <c r="B1264" s="6" t="s">
        <v>9</v>
      </c>
      <c r="C1264" s="6" t="s">
        <v>3704</v>
      </c>
      <c r="D1264" s="6" t="s">
        <v>3705</v>
      </c>
      <c r="E1264" s="7">
        <v>44386.0</v>
      </c>
      <c r="F1264" s="6" t="s">
        <v>12</v>
      </c>
      <c r="G1264" s="8" t="s">
        <v>3706</v>
      </c>
      <c r="H1264" s="8" t="s">
        <v>3706</v>
      </c>
    </row>
    <row r="1265">
      <c r="A1265" s="6" t="s">
        <v>8</v>
      </c>
      <c r="B1265" s="6" t="s">
        <v>9</v>
      </c>
      <c r="C1265" s="6" t="s">
        <v>3707</v>
      </c>
      <c r="D1265" s="6" t="s">
        <v>3708</v>
      </c>
      <c r="E1265" s="7">
        <v>44337.0</v>
      </c>
      <c r="F1265" s="6" t="s">
        <v>12</v>
      </c>
      <c r="G1265" s="8" t="s">
        <v>3709</v>
      </c>
      <c r="H1265" s="8" t="s">
        <v>3709</v>
      </c>
    </row>
    <row r="1266">
      <c r="A1266" s="6" t="s">
        <v>8</v>
      </c>
      <c r="B1266" s="6" t="s">
        <v>9</v>
      </c>
      <c r="C1266" s="6" t="s">
        <v>3710</v>
      </c>
      <c r="D1266" s="6" t="s">
        <v>3711</v>
      </c>
      <c r="E1266" s="7">
        <v>44337.0</v>
      </c>
      <c r="F1266" s="6" t="s">
        <v>12</v>
      </c>
      <c r="G1266" s="8" t="s">
        <v>3712</v>
      </c>
      <c r="H1266" s="8" t="s">
        <v>3712</v>
      </c>
    </row>
    <row r="1267">
      <c r="A1267" s="6" t="s">
        <v>8</v>
      </c>
      <c r="B1267" s="6" t="s">
        <v>9</v>
      </c>
      <c r="C1267" s="6" t="s">
        <v>3713</v>
      </c>
      <c r="D1267" s="6" t="s">
        <v>3714</v>
      </c>
      <c r="E1267" s="7">
        <v>44337.0</v>
      </c>
      <c r="F1267" s="6" t="s">
        <v>12</v>
      </c>
      <c r="G1267" s="8" t="s">
        <v>3715</v>
      </c>
      <c r="H1267" s="8" t="s">
        <v>3715</v>
      </c>
    </row>
    <row r="1268">
      <c r="A1268" s="6" t="s">
        <v>8</v>
      </c>
      <c r="B1268" s="6" t="s">
        <v>9</v>
      </c>
      <c r="C1268" s="6" t="s">
        <v>3716</v>
      </c>
      <c r="D1268" s="6" t="s">
        <v>2272</v>
      </c>
      <c r="E1268" s="7">
        <v>44351.0</v>
      </c>
      <c r="F1268" s="6" t="s">
        <v>12</v>
      </c>
      <c r="G1268" s="8" t="s">
        <v>3717</v>
      </c>
      <c r="H1268" s="8" t="s">
        <v>3717</v>
      </c>
    </row>
    <row r="1269">
      <c r="A1269" s="6" t="s">
        <v>8</v>
      </c>
      <c r="B1269" s="6" t="s">
        <v>9</v>
      </c>
      <c r="C1269" s="6" t="s">
        <v>3718</v>
      </c>
      <c r="D1269" s="6" t="s">
        <v>3719</v>
      </c>
      <c r="E1269" s="7">
        <v>44351.0</v>
      </c>
      <c r="F1269" s="6" t="s">
        <v>12</v>
      </c>
      <c r="G1269" s="8" t="s">
        <v>3720</v>
      </c>
      <c r="H1269" s="8" t="s">
        <v>3720</v>
      </c>
    </row>
    <row r="1270">
      <c r="A1270" s="6" t="s">
        <v>8</v>
      </c>
      <c r="B1270" s="6" t="s">
        <v>9</v>
      </c>
      <c r="C1270" s="6" t="s">
        <v>3721</v>
      </c>
      <c r="D1270" s="6" t="s">
        <v>2922</v>
      </c>
      <c r="E1270" s="7">
        <v>44351.0</v>
      </c>
      <c r="F1270" s="6" t="s">
        <v>12</v>
      </c>
      <c r="G1270" s="8" t="s">
        <v>3722</v>
      </c>
      <c r="H1270" s="8" t="s">
        <v>3722</v>
      </c>
    </row>
    <row r="1271">
      <c r="A1271" s="6" t="s">
        <v>8</v>
      </c>
      <c r="B1271" s="6" t="s">
        <v>9</v>
      </c>
      <c r="C1271" s="6" t="s">
        <v>3723</v>
      </c>
      <c r="D1271" s="6" t="s">
        <v>1078</v>
      </c>
      <c r="E1271" s="7">
        <v>44351.0</v>
      </c>
      <c r="F1271" s="6" t="s">
        <v>12</v>
      </c>
      <c r="G1271" s="8" t="s">
        <v>3724</v>
      </c>
      <c r="H1271" s="8" t="s">
        <v>3724</v>
      </c>
    </row>
    <row r="1272">
      <c r="A1272" s="6" t="s">
        <v>8</v>
      </c>
      <c r="B1272" s="6" t="s">
        <v>9</v>
      </c>
      <c r="C1272" s="6" t="s">
        <v>3725</v>
      </c>
      <c r="D1272" s="6" t="s">
        <v>2367</v>
      </c>
      <c r="E1272" s="7">
        <v>44351.0</v>
      </c>
      <c r="F1272" s="6" t="s">
        <v>12</v>
      </c>
      <c r="G1272" s="8" t="s">
        <v>3726</v>
      </c>
      <c r="H1272" s="8" t="s">
        <v>3726</v>
      </c>
    </row>
    <row r="1273">
      <c r="A1273" s="6" t="s">
        <v>8</v>
      </c>
      <c r="B1273" s="6" t="s">
        <v>9</v>
      </c>
      <c r="C1273" s="6" t="s">
        <v>3727</v>
      </c>
      <c r="D1273" s="6" t="s">
        <v>2267</v>
      </c>
      <c r="E1273" s="7">
        <v>44351.0</v>
      </c>
      <c r="F1273" s="6" t="s">
        <v>12</v>
      </c>
      <c r="G1273" s="8" t="s">
        <v>3728</v>
      </c>
      <c r="H1273" s="8" t="s">
        <v>3728</v>
      </c>
    </row>
    <row r="1274">
      <c r="A1274" s="6" t="s">
        <v>8</v>
      </c>
      <c r="B1274" s="6" t="s">
        <v>9</v>
      </c>
      <c r="C1274" s="6" t="s">
        <v>3729</v>
      </c>
      <c r="D1274" s="6" t="s">
        <v>3730</v>
      </c>
      <c r="E1274" s="7">
        <v>44351.0</v>
      </c>
      <c r="F1274" s="6" t="s">
        <v>12</v>
      </c>
      <c r="G1274" s="8" t="s">
        <v>3731</v>
      </c>
      <c r="H1274" s="8" t="s">
        <v>3731</v>
      </c>
    </row>
    <row r="1275">
      <c r="A1275" s="6" t="s">
        <v>8</v>
      </c>
      <c r="B1275" s="6" t="s">
        <v>9</v>
      </c>
      <c r="C1275" s="6" t="s">
        <v>3732</v>
      </c>
      <c r="D1275" s="6" t="s">
        <v>1738</v>
      </c>
      <c r="E1275" s="7">
        <v>44351.0</v>
      </c>
      <c r="F1275" s="6" t="s">
        <v>12</v>
      </c>
      <c r="G1275" s="8" t="s">
        <v>3733</v>
      </c>
      <c r="H1275" s="8" t="s">
        <v>3733</v>
      </c>
    </row>
    <row r="1276">
      <c r="A1276" s="6" t="s">
        <v>8</v>
      </c>
      <c r="B1276" s="6" t="s">
        <v>9</v>
      </c>
      <c r="C1276" s="6" t="s">
        <v>3734</v>
      </c>
      <c r="D1276" s="6" t="s">
        <v>3735</v>
      </c>
      <c r="E1276" s="7">
        <v>44382.0</v>
      </c>
      <c r="F1276" s="6" t="s">
        <v>12</v>
      </c>
      <c r="G1276" s="8" t="s">
        <v>3736</v>
      </c>
      <c r="H1276" s="8" t="s">
        <v>3736</v>
      </c>
    </row>
    <row r="1277">
      <c r="A1277" s="6" t="s">
        <v>8</v>
      </c>
      <c r="B1277" s="6" t="s">
        <v>9</v>
      </c>
      <c r="C1277" s="6" t="s">
        <v>3737</v>
      </c>
      <c r="D1277" s="6" t="s">
        <v>3301</v>
      </c>
      <c r="E1277" s="7">
        <v>44382.0</v>
      </c>
      <c r="F1277" s="6" t="s">
        <v>12</v>
      </c>
      <c r="G1277" s="8" t="s">
        <v>3738</v>
      </c>
      <c r="H1277" s="8" t="s">
        <v>3738</v>
      </c>
    </row>
    <row r="1278">
      <c r="A1278" s="6" t="s">
        <v>8</v>
      </c>
      <c r="B1278" s="6" t="s">
        <v>9</v>
      </c>
      <c r="C1278" s="6" t="s">
        <v>3739</v>
      </c>
      <c r="D1278" s="6" t="s">
        <v>3740</v>
      </c>
      <c r="E1278" s="7">
        <v>44382.0</v>
      </c>
      <c r="F1278" s="6" t="s">
        <v>12</v>
      </c>
      <c r="G1278" s="8" t="s">
        <v>3741</v>
      </c>
      <c r="H1278" s="8" t="s">
        <v>3741</v>
      </c>
    </row>
    <row r="1279">
      <c r="A1279" s="6" t="s">
        <v>8</v>
      </c>
      <c r="B1279" s="6" t="s">
        <v>9</v>
      </c>
      <c r="C1279" s="6" t="s">
        <v>3742</v>
      </c>
      <c r="D1279" s="6" t="s">
        <v>3743</v>
      </c>
      <c r="E1279" s="7">
        <v>44333.0</v>
      </c>
      <c r="F1279" s="6" t="s">
        <v>12</v>
      </c>
      <c r="G1279" s="8" t="s">
        <v>3744</v>
      </c>
      <c r="H1279" s="8" t="s">
        <v>3744</v>
      </c>
    </row>
    <row r="1280">
      <c r="A1280" s="6" t="s">
        <v>8</v>
      </c>
      <c r="B1280" s="6" t="s">
        <v>9</v>
      </c>
      <c r="C1280" s="6" t="s">
        <v>3745</v>
      </c>
      <c r="D1280" s="6" t="s">
        <v>3746</v>
      </c>
      <c r="E1280" s="7">
        <v>44351.0</v>
      </c>
      <c r="F1280" s="6" t="s">
        <v>12</v>
      </c>
      <c r="G1280" s="8" t="s">
        <v>3747</v>
      </c>
      <c r="H1280" s="8" t="s">
        <v>3747</v>
      </c>
    </row>
    <row r="1281">
      <c r="A1281" s="6" t="s">
        <v>8</v>
      </c>
      <c r="B1281" s="6" t="s">
        <v>9</v>
      </c>
      <c r="C1281" s="6" t="s">
        <v>3748</v>
      </c>
      <c r="D1281" s="6" t="s">
        <v>3749</v>
      </c>
      <c r="E1281" s="7">
        <v>44355.0</v>
      </c>
      <c r="F1281" s="6" t="s">
        <v>12</v>
      </c>
      <c r="G1281" s="8" t="s">
        <v>3750</v>
      </c>
      <c r="H1281" s="8" t="s">
        <v>3750</v>
      </c>
    </row>
    <row r="1282">
      <c r="A1282" s="6" t="s">
        <v>8</v>
      </c>
      <c r="B1282" s="6" t="s">
        <v>9</v>
      </c>
      <c r="C1282" s="6" t="s">
        <v>3751</v>
      </c>
      <c r="D1282" s="6" t="s">
        <v>3752</v>
      </c>
      <c r="E1282" s="7">
        <v>44355.0</v>
      </c>
      <c r="F1282" s="6" t="s">
        <v>12</v>
      </c>
      <c r="G1282" s="8" t="s">
        <v>3753</v>
      </c>
      <c r="H1282" s="8" t="s">
        <v>3753</v>
      </c>
    </row>
    <row r="1283">
      <c r="A1283" s="6" t="s">
        <v>8</v>
      </c>
      <c r="B1283" s="6" t="s">
        <v>9</v>
      </c>
      <c r="C1283" s="6" t="s">
        <v>3754</v>
      </c>
      <c r="D1283" s="6" t="s">
        <v>3755</v>
      </c>
      <c r="E1283" s="7">
        <v>44365.0</v>
      </c>
      <c r="F1283" s="6" t="s">
        <v>12</v>
      </c>
      <c r="G1283" s="8" t="s">
        <v>3756</v>
      </c>
      <c r="H1283" s="8" t="s">
        <v>3756</v>
      </c>
    </row>
    <row r="1284">
      <c r="A1284" s="6" t="s">
        <v>8</v>
      </c>
      <c r="B1284" s="6" t="s">
        <v>9</v>
      </c>
      <c r="C1284" s="6" t="s">
        <v>3757</v>
      </c>
      <c r="D1284" s="6" t="s">
        <v>3758</v>
      </c>
      <c r="E1284" s="7">
        <v>44531.0</v>
      </c>
      <c r="F1284" s="6" t="s">
        <v>12</v>
      </c>
      <c r="G1284" s="8" t="s">
        <v>3759</v>
      </c>
      <c r="H1284" s="8" t="s">
        <v>3759</v>
      </c>
    </row>
    <row r="1285">
      <c r="A1285" s="6" t="s">
        <v>8</v>
      </c>
      <c r="B1285" s="6" t="s">
        <v>9</v>
      </c>
      <c r="C1285" s="6" t="s">
        <v>3760</v>
      </c>
      <c r="D1285" s="6" t="s">
        <v>3761</v>
      </c>
      <c r="E1285" s="7">
        <v>44531.0</v>
      </c>
      <c r="F1285" s="6" t="s">
        <v>12</v>
      </c>
      <c r="G1285" s="8" t="s">
        <v>3762</v>
      </c>
      <c r="H1285" s="8" t="s">
        <v>3762</v>
      </c>
    </row>
    <row r="1286">
      <c r="A1286" s="6" t="s">
        <v>8</v>
      </c>
      <c r="B1286" s="6" t="s">
        <v>9</v>
      </c>
      <c r="C1286" s="6" t="s">
        <v>3763</v>
      </c>
      <c r="D1286" s="6" t="s">
        <v>3764</v>
      </c>
      <c r="E1286" s="7">
        <v>44531.0</v>
      </c>
      <c r="F1286" s="6" t="s">
        <v>12</v>
      </c>
      <c r="G1286" s="8" t="s">
        <v>3765</v>
      </c>
      <c r="H1286" s="8" t="s">
        <v>3765</v>
      </c>
    </row>
    <row r="1287">
      <c r="A1287" s="6" t="s">
        <v>8</v>
      </c>
      <c r="B1287" s="6" t="s">
        <v>9</v>
      </c>
      <c r="C1287" s="6" t="s">
        <v>3766</v>
      </c>
      <c r="D1287" s="6" t="s">
        <v>3767</v>
      </c>
      <c r="E1287" s="7">
        <v>44531.0</v>
      </c>
      <c r="F1287" s="6" t="s">
        <v>12</v>
      </c>
      <c r="G1287" s="8" t="s">
        <v>3768</v>
      </c>
      <c r="H1287" s="8" t="s">
        <v>3768</v>
      </c>
    </row>
    <row r="1288">
      <c r="A1288" s="6" t="s">
        <v>8</v>
      </c>
      <c r="B1288" s="6" t="s">
        <v>9</v>
      </c>
      <c r="C1288" s="6" t="s">
        <v>3769</v>
      </c>
      <c r="D1288" s="6" t="s">
        <v>3770</v>
      </c>
      <c r="E1288" s="7">
        <v>44531.0</v>
      </c>
      <c r="F1288" s="6" t="s">
        <v>12</v>
      </c>
      <c r="G1288" s="8" t="s">
        <v>3771</v>
      </c>
      <c r="H1288" s="8" t="s">
        <v>3771</v>
      </c>
    </row>
    <row r="1289">
      <c r="A1289" s="6" t="s">
        <v>8</v>
      </c>
      <c r="B1289" s="6" t="s">
        <v>9</v>
      </c>
      <c r="C1289" s="6" t="s">
        <v>3772</v>
      </c>
      <c r="D1289" s="6" t="s">
        <v>3773</v>
      </c>
      <c r="E1289" s="7">
        <v>44525.0</v>
      </c>
      <c r="F1289" s="6" t="s">
        <v>12</v>
      </c>
      <c r="G1289" s="8" t="s">
        <v>3774</v>
      </c>
      <c r="H1289" s="8" t="s">
        <v>3774</v>
      </c>
    </row>
    <row r="1290">
      <c r="A1290" s="6" t="s">
        <v>8</v>
      </c>
      <c r="B1290" s="6" t="s">
        <v>9</v>
      </c>
      <c r="C1290" s="6" t="s">
        <v>3775</v>
      </c>
      <c r="D1290" s="6" t="s">
        <v>1161</v>
      </c>
      <c r="E1290" s="7">
        <v>44525.0</v>
      </c>
      <c r="F1290" s="6" t="s">
        <v>12</v>
      </c>
      <c r="G1290" s="8" t="s">
        <v>3776</v>
      </c>
      <c r="H1290" s="8" t="s">
        <v>3776</v>
      </c>
    </row>
    <row r="1291">
      <c r="A1291" s="6" t="s">
        <v>8</v>
      </c>
      <c r="B1291" s="6" t="s">
        <v>9</v>
      </c>
      <c r="C1291" s="6" t="s">
        <v>3777</v>
      </c>
      <c r="D1291" s="6" t="s">
        <v>3778</v>
      </c>
      <c r="E1291" s="7">
        <v>44529.0</v>
      </c>
      <c r="F1291" s="6" t="s">
        <v>12</v>
      </c>
      <c r="G1291" s="8" t="s">
        <v>3779</v>
      </c>
      <c r="H1291" s="8" t="s">
        <v>3779</v>
      </c>
    </row>
    <row r="1292">
      <c r="A1292" s="6" t="s">
        <v>8</v>
      </c>
      <c r="B1292" s="6" t="s">
        <v>9</v>
      </c>
      <c r="C1292" s="6" t="s">
        <v>3780</v>
      </c>
      <c r="D1292" s="6" t="s">
        <v>3781</v>
      </c>
      <c r="E1292" s="7">
        <v>44526.0</v>
      </c>
      <c r="F1292" s="6" t="s">
        <v>12</v>
      </c>
      <c r="G1292" s="8" t="s">
        <v>3782</v>
      </c>
      <c r="H1292" s="8" t="s">
        <v>3782</v>
      </c>
    </row>
    <row r="1293">
      <c r="A1293" s="6" t="s">
        <v>8</v>
      </c>
      <c r="B1293" s="6" t="s">
        <v>9</v>
      </c>
      <c r="C1293" s="6" t="s">
        <v>3783</v>
      </c>
      <c r="D1293" s="6" t="s">
        <v>3784</v>
      </c>
      <c r="E1293" s="7">
        <v>44529.0</v>
      </c>
      <c r="F1293" s="6" t="s">
        <v>12</v>
      </c>
      <c r="G1293" s="8" t="s">
        <v>3785</v>
      </c>
      <c r="H1293" s="8" t="s">
        <v>3785</v>
      </c>
    </row>
    <row r="1294">
      <c r="A1294" s="6" t="s">
        <v>8</v>
      </c>
      <c r="B1294" s="6" t="s">
        <v>9</v>
      </c>
      <c r="C1294" s="6" t="s">
        <v>3786</v>
      </c>
      <c r="D1294" s="6" t="s">
        <v>3787</v>
      </c>
      <c r="E1294" s="7">
        <v>44529.0</v>
      </c>
      <c r="F1294" s="6" t="s">
        <v>12</v>
      </c>
      <c r="G1294" s="8" t="s">
        <v>3788</v>
      </c>
      <c r="H1294" s="8" t="s">
        <v>3788</v>
      </c>
    </row>
    <row r="1295">
      <c r="A1295" s="6" t="s">
        <v>8</v>
      </c>
      <c r="B1295" s="6" t="s">
        <v>9</v>
      </c>
      <c r="C1295" s="6" t="s">
        <v>3789</v>
      </c>
      <c r="D1295" s="6" t="s">
        <v>3790</v>
      </c>
      <c r="E1295" s="7">
        <v>44529.0</v>
      </c>
      <c r="F1295" s="6" t="s">
        <v>12</v>
      </c>
      <c r="G1295" s="8" t="s">
        <v>3791</v>
      </c>
      <c r="H1295" s="8" t="s">
        <v>3791</v>
      </c>
    </row>
    <row r="1296">
      <c r="A1296" s="6" t="s">
        <v>8</v>
      </c>
      <c r="B1296" s="6" t="s">
        <v>9</v>
      </c>
      <c r="C1296" s="6" t="s">
        <v>3792</v>
      </c>
      <c r="D1296" s="6" t="s">
        <v>3793</v>
      </c>
      <c r="E1296" s="7">
        <v>44512.0</v>
      </c>
      <c r="F1296" s="6" t="s">
        <v>12</v>
      </c>
      <c r="G1296" s="8" t="s">
        <v>3794</v>
      </c>
      <c r="H1296" s="8" t="s">
        <v>3794</v>
      </c>
    </row>
    <row r="1297">
      <c r="A1297" s="6" t="s">
        <v>8</v>
      </c>
      <c r="B1297" s="6" t="s">
        <v>9</v>
      </c>
      <c r="C1297" s="6" t="s">
        <v>3795</v>
      </c>
      <c r="D1297" s="6" t="s">
        <v>3796</v>
      </c>
      <c r="E1297" s="7">
        <v>44515.0</v>
      </c>
      <c r="F1297" s="6" t="s">
        <v>12</v>
      </c>
      <c r="G1297" s="8" t="s">
        <v>3797</v>
      </c>
      <c r="H1297" s="8" t="s">
        <v>3797</v>
      </c>
    </row>
    <row r="1298">
      <c r="A1298" s="6" t="s">
        <v>8</v>
      </c>
      <c r="B1298" s="6" t="s">
        <v>9</v>
      </c>
      <c r="C1298" s="6" t="s">
        <v>3798</v>
      </c>
      <c r="D1298" s="6" t="s">
        <v>3799</v>
      </c>
      <c r="E1298" s="7">
        <v>44517.0</v>
      </c>
      <c r="F1298" s="6" t="s">
        <v>12</v>
      </c>
      <c r="G1298" s="8" t="s">
        <v>3800</v>
      </c>
      <c r="H1298" s="8" t="s">
        <v>3800</v>
      </c>
    </row>
    <row r="1299">
      <c r="A1299" s="6" t="s">
        <v>8</v>
      </c>
      <c r="B1299" s="6" t="s">
        <v>9</v>
      </c>
      <c r="C1299" s="6" t="s">
        <v>3801</v>
      </c>
      <c r="D1299" s="6" t="s">
        <v>3802</v>
      </c>
      <c r="E1299" s="7">
        <v>44529.0</v>
      </c>
      <c r="F1299" s="6" t="s">
        <v>12</v>
      </c>
      <c r="G1299" s="8" t="s">
        <v>3803</v>
      </c>
      <c r="H1299" s="8" t="s">
        <v>3803</v>
      </c>
    </row>
    <row r="1300">
      <c r="A1300" s="6" t="s">
        <v>8</v>
      </c>
      <c r="B1300" s="6" t="s">
        <v>9</v>
      </c>
      <c r="C1300" s="6" t="s">
        <v>3804</v>
      </c>
      <c r="D1300" s="6" t="s">
        <v>1419</v>
      </c>
      <c r="E1300" s="7">
        <v>44519.0</v>
      </c>
      <c r="F1300" s="6" t="s">
        <v>12</v>
      </c>
      <c r="G1300" s="8" t="s">
        <v>3805</v>
      </c>
      <c r="H1300" s="8" t="s">
        <v>3805</v>
      </c>
    </row>
    <row r="1301">
      <c r="A1301" s="6" t="s">
        <v>8</v>
      </c>
      <c r="B1301" s="6" t="s">
        <v>9</v>
      </c>
      <c r="C1301" s="6" t="s">
        <v>3806</v>
      </c>
      <c r="D1301" s="6" t="s">
        <v>2635</v>
      </c>
      <c r="E1301" s="7">
        <v>44524.0</v>
      </c>
      <c r="F1301" s="6" t="s">
        <v>12</v>
      </c>
      <c r="G1301" s="8" t="s">
        <v>3807</v>
      </c>
      <c r="H1301" s="8" t="s">
        <v>3807</v>
      </c>
    </row>
    <row r="1302">
      <c r="A1302" s="6" t="s">
        <v>8</v>
      </c>
      <c r="B1302" s="6" t="s">
        <v>9</v>
      </c>
      <c r="C1302" s="6" t="s">
        <v>3808</v>
      </c>
      <c r="D1302" s="6" t="s">
        <v>3809</v>
      </c>
      <c r="E1302" s="7">
        <v>44523.0</v>
      </c>
      <c r="F1302" s="6" t="s">
        <v>12</v>
      </c>
      <c r="G1302" s="8" t="s">
        <v>3810</v>
      </c>
      <c r="H1302" s="8" t="s">
        <v>3810</v>
      </c>
    </row>
    <row r="1303">
      <c r="A1303" s="6" t="s">
        <v>8</v>
      </c>
      <c r="B1303" s="6" t="s">
        <v>9</v>
      </c>
      <c r="C1303" s="6" t="s">
        <v>3811</v>
      </c>
      <c r="D1303" s="6" t="s">
        <v>3812</v>
      </c>
      <c r="E1303" s="7">
        <v>44510.0</v>
      </c>
      <c r="F1303" s="6" t="s">
        <v>12</v>
      </c>
      <c r="G1303" s="8" t="s">
        <v>3813</v>
      </c>
      <c r="H1303" s="8" t="s">
        <v>3813</v>
      </c>
    </row>
    <row r="1304">
      <c r="A1304" s="6" t="s">
        <v>8</v>
      </c>
      <c r="B1304" s="6" t="s">
        <v>9</v>
      </c>
      <c r="C1304" s="6" t="s">
        <v>3814</v>
      </c>
      <c r="D1304" s="6" t="s">
        <v>3815</v>
      </c>
      <c r="E1304" s="7">
        <v>44530.0</v>
      </c>
      <c r="F1304" s="6" t="s">
        <v>12</v>
      </c>
      <c r="G1304" s="8" t="s">
        <v>3816</v>
      </c>
      <c r="H1304" s="8" t="s">
        <v>3816</v>
      </c>
    </row>
    <row r="1305">
      <c r="A1305" s="6" t="s">
        <v>8</v>
      </c>
      <c r="B1305" s="6" t="s">
        <v>9</v>
      </c>
      <c r="C1305" s="6" t="s">
        <v>3817</v>
      </c>
      <c r="D1305" s="6" t="s">
        <v>3818</v>
      </c>
      <c r="E1305" s="7">
        <v>44510.0</v>
      </c>
      <c r="F1305" s="6" t="s">
        <v>12</v>
      </c>
      <c r="G1305" s="8" t="s">
        <v>3819</v>
      </c>
      <c r="H1305" s="8" t="s">
        <v>3819</v>
      </c>
    </row>
    <row r="1306">
      <c r="A1306" s="6" t="s">
        <v>8</v>
      </c>
      <c r="B1306" s="6" t="s">
        <v>9</v>
      </c>
      <c r="C1306" s="6" t="s">
        <v>3820</v>
      </c>
      <c r="D1306" s="6" t="s">
        <v>3821</v>
      </c>
      <c r="E1306" s="7">
        <v>44510.0</v>
      </c>
      <c r="F1306" s="6" t="s">
        <v>12</v>
      </c>
      <c r="G1306" s="8" t="s">
        <v>3822</v>
      </c>
      <c r="H1306" s="8" t="s">
        <v>3822</v>
      </c>
    </row>
  </sheetData>
  <hyperlinks>
    <hyperlink r:id="rId1" ref="G3"/>
    <hyperlink r:id="rId2" ref="H3"/>
    <hyperlink r:id="rId3" ref="G4"/>
    <hyperlink r:id="rId4" ref="H4"/>
    <hyperlink r:id="rId5" ref="G5"/>
    <hyperlink r:id="rId6" ref="H5"/>
    <hyperlink r:id="rId7" ref="G6"/>
    <hyperlink r:id="rId8" ref="H6"/>
    <hyperlink r:id="rId9" ref="G7"/>
    <hyperlink r:id="rId10" ref="H7"/>
    <hyperlink r:id="rId11" ref="G8"/>
    <hyperlink r:id="rId12" ref="H8"/>
    <hyperlink r:id="rId13" ref="G9"/>
    <hyperlink r:id="rId14" ref="H9"/>
    <hyperlink r:id="rId15" ref="G10"/>
    <hyperlink r:id="rId16" ref="H10"/>
    <hyperlink r:id="rId17" ref="G11"/>
    <hyperlink r:id="rId18" ref="H11"/>
    <hyperlink r:id="rId19" ref="G12"/>
    <hyperlink r:id="rId20" ref="H12"/>
    <hyperlink r:id="rId21" ref="G13"/>
    <hyperlink r:id="rId22" ref="H13"/>
    <hyperlink r:id="rId23" ref="G14"/>
    <hyperlink r:id="rId24" ref="H14"/>
    <hyperlink r:id="rId25" ref="G15"/>
    <hyperlink r:id="rId26" ref="H15"/>
    <hyperlink r:id="rId27" ref="G16"/>
    <hyperlink r:id="rId28" ref="H16"/>
    <hyperlink r:id="rId29" ref="G17"/>
    <hyperlink r:id="rId30" ref="H17"/>
    <hyperlink r:id="rId31" ref="G18"/>
    <hyperlink r:id="rId32" ref="H18"/>
    <hyperlink r:id="rId33" ref="G19"/>
    <hyperlink r:id="rId34" ref="H19"/>
    <hyperlink r:id="rId35" ref="G20"/>
    <hyperlink r:id="rId36" ref="H20"/>
    <hyperlink r:id="rId37" ref="G21"/>
    <hyperlink r:id="rId38" ref="H21"/>
    <hyperlink r:id="rId39" ref="G22"/>
    <hyperlink r:id="rId40" ref="H22"/>
    <hyperlink r:id="rId41" ref="G23"/>
    <hyperlink r:id="rId42" ref="H23"/>
    <hyperlink r:id="rId43" ref="G24"/>
    <hyperlink r:id="rId44" ref="H24"/>
    <hyperlink r:id="rId45" ref="G25"/>
    <hyperlink r:id="rId46" ref="H25"/>
    <hyperlink r:id="rId47" ref="G26"/>
    <hyperlink r:id="rId48" ref="H26"/>
    <hyperlink r:id="rId49" ref="G27"/>
    <hyperlink r:id="rId50" ref="H27"/>
    <hyperlink r:id="rId51" ref="G28"/>
    <hyperlink r:id="rId52" ref="H28"/>
    <hyperlink r:id="rId53" ref="G29"/>
    <hyperlink r:id="rId54" ref="H29"/>
    <hyperlink r:id="rId55" ref="G30"/>
    <hyperlink r:id="rId56" ref="H30"/>
    <hyperlink r:id="rId57" ref="G31"/>
    <hyperlink r:id="rId58" ref="H31"/>
    <hyperlink r:id="rId59" ref="G32"/>
    <hyperlink r:id="rId60" ref="H32"/>
    <hyperlink r:id="rId61" ref="G33"/>
    <hyperlink r:id="rId62" ref="H33"/>
    <hyperlink r:id="rId63" ref="G34"/>
    <hyperlink r:id="rId64" ref="H34"/>
    <hyperlink r:id="rId65" ref="G35"/>
    <hyperlink r:id="rId66" ref="H35"/>
    <hyperlink r:id="rId67" ref="G36"/>
    <hyperlink r:id="rId68" ref="H36"/>
    <hyperlink r:id="rId69" ref="G37"/>
    <hyperlink r:id="rId70" ref="H37"/>
    <hyperlink r:id="rId71" ref="G38"/>
    <hyperlink r:id="rId72" ref="H38"/>
    <hyperlink r:id="rId73" ref="G39"/>
    <hyperlink r:id="rId74" ref="H39"/>
    <hyperlink r:id="rId75" ref="G40"/>
    <hyperlink r:id="rId76" ref="H40"/>
    <hyperlink r:id="rId77" ref="G41"/>
    <hyperlink r:id="rId78" ref="H41"/>
    <hyperlink r:id="rId79" ref="G42"/>
    <hyperlink r:id="rId80" ref="H42"/>
    <hyperlink r:id="rId81" ref="G43"/>
    <hyperlink r:id="rId82" ref="H43"/>
    <hyperlink r:id="rId83" ref="G44"/>
    <hyperlink r:id="rId84" ref="H44"/>
    <hyperlink r:id="rId85" ref="G45"/>
    <hyperlink r:id="rId86" ref="H45"/>
    <hyperlink r:id="rId87" ref="G46"/>
    <hyperlink r:id="rId88" ref="H46"/>
    <hyperlink r:id="rId89" ref="G47"/>
    <hyperlink r:id="rId90" ref="H47"/>
    <hyperlink r:id="rId91" ref="G48"/>
    <hyperlink r:id="rId92" ref="H48"/>
    <hyperlink r:id="rId93" ref="G49"/>
    <hyperlink r:id="rId94" ref="H49"/>
    <hyperlink r:id="rId95" ref="G50"/>
    <hyperlink r:id="rId96" ref="H50"/>
    <hyperlink r:id="rId97" ref="G51"/>
    <hyperlink r:id="rId98" ref="H51"/>
    <hyperlink r:id="rId99" ref="G52"/>
    <hyperlink r:id="rId100" ref="H52"/>
    <hyperlink r:id="rId101" ref="G53"/>
    <hyperlink r:id="rId102" ref="H53"/>
    <hyperlink r:id="rId103" ref="G54"/>
    <hyperlink r:id="rId104" ref="H54"/>
    <hyperlink r:id="rId105" ref="G55"/>
    <hyperlink r:id="rId106" ref="H55"/>
    <hyperlink r:id="rId107" ref="G56"/>
    <hyperlink r:id="rId108" ref="H56"/>
    <hyperlink r:id="rId109" ref="G57"/>
    <hyperlink r:id="rId110" ref="H57"/>
    <hyperlink r:id="rId111" ref="G58"/>
    <hyperlink r:id="rId112" ref="H58"/>
    <hyperlink r:id="rId113" ref="G59"/>
    <hyperlink r:id="rId114" ref="H59"/>
    <hyperlink r:id="rId115" ref="G60"/>
    <hyperlink r:id="rId116" ref="H60"/>
    <hyperlink r:id="rId117" ref="G61"/>
    <hyperlink r:id="rId118" ref="H61"/>
    <hyperlink r:id="rId119" ref="G62"/>
    <hyperlink r:id="rId120" ref="H62"/>
    <hyperlink r:id="rId121" ref="G63"/>
    <hyperlink r:id="rId122" ref="H63"/>
    <hyperlink r:id="rId123" ref="G64"/>
    <hyperlink r:id="rId124" ref="H64"/>
    <hyperlink r:id="rId125" ref="G65"/>
    <hyperlink r:id="rId126" ref="H65"/>
    <hyperlink r:id="rId127" ref="G66"/>
    <hyperlink r:id="rId128" ref="H66"/>
    <hyperlink r:id="rId129" ref="G67"/>
    <hyperlink r:id="rId130" ref="H67"/>
    <hyperlink r:id="rId131" ref="G68"/>
    <hyperlink r:id="rId132" ref="H68"/>
    <hyperlink r:id="rId133" ref="G69"/>
    <hyperlink r:id="rId134" ref="H69"/>
    <hyperlink r:id="rId135" ref="G70"/>
    <hyperlink r:id="rId136" ref="H70"/>
    <hyperlink r:id="rId137" ref="G71"/>
    <hyperlink r:id="rId138" ref="H71"/>
    <hyperlink r:id="rId139" ref="G72"/>
    <hyperlink r:id="rId140" ref="H72"/>
    <hyperlink r:id="rId141" ref="G73"/>
    <hyperlink r:id="rId142" ref="H73"/>
    <hyperlink r:id="rId143" ref="G74"/>
    <hyperlink r:id="rId144" ref="H74"/>
    <hyperlink r:id="rId145" ref="G75"/>
    <hyperlink r:id="rId146" ref="H75"/>
    <hyperlink r:id="rId147" ref="G76"/>
    <hyperlink r:id="rId148" ref="H76"/>
    <hyperlink r:id="rId149" ref="G77"/>
    <hyperlink r:id="rId150" ref="H77"/>
    <hyperlink r:id="rId151" ref="G78"/>
    <hyperlink r:id="rId152" ref="H78"/>
    <hyperlink r:id="rId153" ref="G79"/>
    <hyperlink r:id="rId154" ref="H79"/>
    <hyperlink r:id="rId155" ref="G80"/>
    <hyperlink r:id="rId156" ref="H80"/>
    <hyperlink r:id="rId157" ref="G81"/>
    <hyperlink r:id="rId158" ref="H81"/>
    <hyperlink r:id="rId159" ref="G82"/>
    <hyperlink r:id="rId160" ref="H82"/>
    <hyperlink r:id="rId161" ref="G83"/>
    <hyperlink r:id="rId162" ref="H83"/>
    <hyperlink r:id="rId163" ref="G84"/>
    <hyperlink r:id="rId164" ref="H84"/>
    <hyperlink r:id="rId165" ref="G85"/>
    <hyperlink r:id="rId166" ref="H85"/>
    <hyperlink r:id="rId167" ref="G86"/>
    <hyperlink r:id="rId168" ref="H86"/>
    <hyperlink r:id="rId169" ref="G87"/>
    <hyperlink r:id="rId170" ref="H87"/>
    <hyperlink r:id="rId171" ref="G88"/>
    <hyperlink r:id="rId172" ref="H88"/>
    <hyperlink r:id="rId173" ref="G89"/>
    <hyperlink r:id="rId174" ref="H89"/>
    <hyperlink r:id="rId175" ref="G90"/>
    <hyperlink r:id="rId176" ref="H90"/>
    <hyperlink r:id="rId177" ref="G91"/>
    <hyperlink r:id="rId178" ref="H91"/>
    <hyperlink r:id="rId179" ref="G92"/>
    <hyperlink r:id="rId180" ref="H92"/>
    <hyperlink r:id="rId181" ref="G93"/>
    <hyperlink r:id="rId182" ref="H93"/>
    <hyperlink r:id="rId183" ref="G94"/>
    <hyperlink r:id="rId184" ref="H94"/>
    <hyperlink r:id="rId185" ref="G95"/>
    <hyperlink r:id="rId186" ref="H95"/>
    <hyperlink r:id="rId187" ref="G96"/>
    <hyperlink r:id="rId188" ref="H96"/>
    <hyperlink r:id="rId189" ref="G97"/>
    <hyperlink r:id="rId190" ref="H97"/>
    <hyperlink r:id="rId191" ref="G98"/>
    <hyperlink r:id="rId192" ref="H98"/>
    <hyperlink r:id="rId193" ref="G99"/>
    <hyperlink r:id="rId194" ref="H99"/>
    <hyperlink r:id="rId195" ref="G100"/>
    <hyperlink r:id="rId196" ref="H100"/>
    <hyperlink r:id="rId197" ref="G101"/>
    <hyperlink r:id="rId198" ref="H101"/>
    <hyperlink r:id="rId199" ref="G102"/>
    <hyperlink r:id="rId200" ref="H102"/>
    <hyperlink r:id="rId201" ref="G103"/>
    <hyperlink r:id="rId202" ref="H103"/>
    <hyperlink r:id="rId203" ref="G104"/>
    <hyperlink r:id="rId204" ref="H104"/>
    <hyperlink r:id="rId205" ref="G105"/>
    <hyperlink r:id="rId206" ref="H105"/>
    <hyperlink r:id="rId207" ref="G106"/>
    <hyperlink r:id="rId208" ref="H106"/>
    <hyperlink r:id="rId209" ref="G107"/>
    <hyperlink r:id="rId210" ref="H107"/>
    <hyperlink r:id="rId211" ref="G108"/>
    <hyperlink r:id="rId212" ref="H108"/>
    <hyperlink r:id="rId213" ref="G109"/>
    <hyperlink r:id="rId214" ref="H109"/>
    <hyperlink r:id="rId215" ref="G110"/>
    <hyperlink r:id="rId216" ref="H110"/>
    <hyperlink r:id="rId217" ref="G111"/>
    <hyperlink r:id="rId218" ref="H111"/>
    <hyperlink r:id="rId219" ref="G112"/>
    <hyperlink r:id="rId220" ref="H112"/>
    <hyperlink r:id="rId221" ref="G113"/>
    <hyperlink r:id="rId222" ref="H113"/>
    <hyperlink r:id="rId223" ref="G114"/>
    <hyperlink r:id="rId224" ref="H114"/>
    <hyperlink r:id="rId225" ref="G115"/>
    <hyperlink r:id="rId226" ref="H115"/>
    <hyperlink r:id="rId227" ref="G116"/>
    <hyperlink r:id="rId228" ref="H116"/>
    <hyperlink r:id="rId229" ref="G117"/>
    <hyperlink r:id="rId230" ref="H117"/>
    <hyperlink r:id="rId231" ref="G118"/>
    <hyperlink r:id="rId232" ref="H118"/>
    <hyperlink r:id="rId233" ref="G119"/>
    <hyperlink r:id="rId234" ref="H119"/>
    <hyperlink r:id="rId235" ref="G120"/>
    <hyperlink r:id="rId236" ref="H120"/>
    <hyperlink r:id="rId237" ref="G121"/>
    <hyperlink r:id="rId238" ref="H121"/>
    <hyperlink r:id="rId239" ref="G122"/>
    <hyperlink r:id="rId240" ref="H122"/>
    <hyperlink r:id="rId241" ref="G123"/>
    <hyperlink r:id="rId242" ref="H123"/>
    <hyperlink r:id="rId243" ref="G124"/>
    <hyperlink r:id="rId244" ref="H124"/>
    <hyperlink r:id="rId245" ref="G125"/>
    <hyperlink r:id="rId246" ref="H125"/>
    <hyperlink r:id="rId247" ref="G126"/>
    <hyperlink r:id="rId248" ref="H126"/>
    <hyperlink r:id="rId249" ref="G127"/>
    <hyperlink r:id="rId250" ref="H127"/>
    <hyperlink r:id="rId251" ref="G128"/>
    <hyperlink r:id="rId252" ref="H128"/>
    <hyperlink r:id="rId253" ref="G129"/>
    <hyperlink r:id="rId254" ref="H129"/>
    <hyperlink r:id="rId255" ref="G130"/>
    <hyperlink r:id="rId256" ref="H130"/>
    <hyperlink r:id="rId257" ref="G131"/>
    <hyperlink r:id="rId258" ref="H131"/>
    <hyperlink r:id="rId259" ref="G132"/>
    <hyperlink r:id="rId260" ref="H132"/>
    <hyperlink r:id="rId261" ref="G133"/>
    <hyperlink r:id="rId262" ref="H133"/>
    <hyperlink r:id="rId263" ref="G134"/>
    <hyperlink r:id="rId264" ref="H134"/>
    <hyperlink r:id="rId265" ref="G135"/>
    <hyperlink r:id="rId266" ref="H135"/>
    <hyperlink r:id="rId267" ref="G136"/>
    <hyperlink r:id="rId268" ref="H136"/>
    <hyperlink r:id="rId269" ref="G137"/>
    <hyperlink r:id="rId270" ref="H137"/>
    <hyperlink r:id="rId271" ref="G138"/>
    <hyperlink r:id="rId272" ref="H138"/>
    <hyperlink r:id="rId273" ref="G139"/>
    <hyperlink r:id="rId274" ref="H139"/>
    <hyperlink r:id="rId275" ref="G140"/>
    <hyperlink r:id="rId276" ref="H140"/>
    <hyperlink r:id="rId277" ref="G141"/>
    <hyperlink r:id="rId278" ref="H141"/>
    <hyperlink r:id="rId279" ref="G142"/>
    <hyperlink r:id="rId280" ref="H142"/>
    <hyperlink r:id="rId281" ref="G143"/>
    <hyperlink r:id="rId282" ref="H143"/>
    <hyperlink r:id="rId283" ref="G144"/>
    <hyperlink r:id="rId284" ref="H144"/>
    <hyperlink r:id="rId285" ref="G145"/>
    <hyperlink r:id="rId286" ref="H145"/>
    <hyperlink r:id="rId287" ref="G146"/>
    <hyperlink r:id="rId288" ref="H146"/>
    <hyperlink r:id="rId289" ref="G147"/>
    <hyperlink r:id="rId290" ref="H147"/>
    <hyperlink r:id="rId291" ref="G148"/>
    <hyperlink r:id="rId292" ref="H148"/>
    <hyperlink r:id="rId293" ref="G149"/>
    <hyperlink r:id="rId294" ref="H149"/>
    <hyperlink r:id="rId295" ref="G150"/>
    <hyperlink r:id="rId296" ref="H150"/>
    <hyperlink r:id="rId297" ref="G151"/>
    <hyperlink r:id="rId298" ref="H151"/>
    <hyperlink r:id="rId299" ref="G152"/>
    <hyperlink r:id="rId300" ref="H152"/>
    <hyperlink r:id="rId301" ref="G153"/>
    <hyperlink r:id="rId302" ref="H153"/>
    <hyperlink r:id="rId303" ref="G154"/>
    <hyperlink r:id="rId304" ref="H154"/>
    <hyperlink r:id="rId305" ref="G155"/>
    <hyperlink r:id="rId306" ref="H155"/>
    <hyperlink r:id="rId307" ref="G156"/>
    <hyperlink r:id="rId308" ref="H156"/>
    <hyperlink r:id="rId309" ref="G157"/>
    <hyperlink r:id="rId310" ref="H157"/>
    <hyperlink r:id="rId311" ref="G158"/>
    <hyperlink r:id="rId312" ref="H158"/>
    <hyperlink r:id="rId313" ref="G159"/>
    <hyperlink r:id="rId314" ref="H159"/>
    <hyperlink r:id="rId315" ref="G160"/>
    <hyperlink r:id="rId316" ref="H160"/>
    <hyperlink r:id="rId317" ref="G161"/>
    <hyperlink r:id="rId318" ref="H161"/>
    <hyperlink r:id="rId319" ref="G162"/>
    <hyperlink r:id="rId320" ref="H162"/>
    <hyperlink r:id="rId321" ref="G163"/>
    <hyperlink r:id="rId322" ref="H163"/>
    <hyperlink r:id="rId323" ref="G164"/>
    <hyperlink r:id="rId324" ref="H164"/>
    <hyperlink r:id="rId325" ref="G165"/>
    <hyperlink r:id="rId326" ref="H165"/>
    <hyperlink r:id="rId327" ref="G166"/>
    <hyperlink r:id="rId328" ref="H166"/>
    <hyperlink r:id="rId329" ref="G167"/>
    <hyperlink r:id="rId330" ref="H167"/>
    <hyperlink r:id="rId331" ref="G168"/>
    <hyperlink r:id="rId332" ref="H168"/>
    <hyperlink r:id="rId333" ref="G169"/>
    <hyperlink r:id="rId334" ref="H169"/>
    <hyperlink r:id="rId335" ref="G170"/>
    <hyperlink r:id="rId336" ref="H170"/>
    <hyperlink r:id="rId337" ref="G171"/>
    <hyperlink r:id="rId338" ref="H171"/>
    <hyperlink r:id="rId339" ref="G172"/>
    <hyperlink r:id="rId340" ref="H172"/>
    <hyperlink r:id="rId341" ref="G173"/>
    <hyperlink r:id="rId342" ref="H173"/>
    <hyperlink r:id="rId343" ref="G174"/>
    <hyperlink r:id="rId344" ref="H174"/>
    <hyperlink r:id="rId345" ref="G175"/>
    <hyperlink r:id="rId346" ref="H175"/>
    <hyperlink r:id="rId347" ref="G176"/>
    <hyperlink r:id="rId348" ref="H176"/>
    <hyperlink r:id="rId349" ref="G177"/>
    <hyperlink r:id="rId350" ref="H177"/>
    <hyperlink r:id="rId351" ref="G178"/>
    <hyperlink r:id="rId352" ref="H178"/>
    <hyperlink r:id="rId353" ref="G179"/>
    <hyperlink r:id="rId354" ref="H179"/>
    <hyperlink r:id="rId355" ref="G180"/>
    <hyperlink r:id="rId356" ref="H180"/>
    <hyperlink r:id="rId357" ref="G181"/>
    <hyperlink r:id="rId358" ref="H181"/>
    <hyperlink r:id="rId359" ref="G182"/>
    <hyperlink r:id="rId360" ref="H182"/>
    <hyperlink r:id="rId361" ref="G183"/>
    <hyperlink r:id="rId362" ref="H183"/>
    <hyperlink r:id="rId363" ref="G184"/>
    <hyperlink r:id="rId364" ref="H184"/>
    <hyperlink r:id="rId365" ref="G185"/>
    <hyperlink r:id="rId366" ref="H185"/>
    <hyperlink r:id="rId367" ref="G186"/>
    <hyperlink r:id="rId368" ref="H186"/>
    <hyperlink r:id="rId369" ref="G187"/>
    <hyperlink r:id="rId370" ref="H187"/>
    <hyperlink r:id="rId371" ref="G188"/>
    <hyperlink r:id="rId372" ref="H188"/>
    <hyperlink r:id="rId373" ref="G189"/>
    <hyperlink r:id="rId374" ref="H189"/>
    <hyperlink r:id="rId375" ref="G190"/>
    <hyperlink r:id="rId376" ref="H190"/>
    <hyperlink r:id="rId377" ref="G191"/>
    <hyperlink r:id="rId378" ref="H191"/>
    <hyperlink r:id="rId379" ref="G192"/>
    <hyperlink r:id="rId380" ref="H192"/>
    <hyperlink r:id="rId381" ref="G193"/>
    <hyperlink r:id="rId382" ref="H193"/>
    <hyperlink r:id="rId383" ref="G194"/>
    <hyperlink r:id="rId384" ref="H194"/>
    <hyperlink r:id="rId385" ref="G195"/>
    <hyperlink r:id="rId386" ref="H195"/>
    <hyperlink r:id="rId387" ref="G196"/>
    <hyperlink r:id="rId388" ref="H196"/>
    <hyperlink r:id="rId389" ref="G197"/>
    <hyperlink r:id="rId390" ref="H197"/>
    <hyperlink r:id="rId391" ref="G198"/>
    <hyperlink r:id="rId392" ref="H198"/>
    <hyperlink r:id="rId393" ref="G199"/>
    <hyperlink r:id="rId394" ref="H199"/>
    <hyperlink r:id="rId395" ref="G200"/>
    <hyperlink r:id="rId396" ref="H200"/>
    <hyperlink r:id="rId397" ref="G201"/>
    <hyperlink r:id="rId398" ref="H201"/>
    <hyperlink r:id="rId399" ref="G202"/>
    <hyperlink r:id="rId400" ref="H202"/>
    <hyperlink r:id="rId401" ref="G203"/>
    <hyperlink r:id="rId402" ref="H203"/>
    <hyperlink r:id="rId403" ref="G204"/>
    <hyperlink r:id="rId404" ref="H204"/>
    <hyperlink r:id="rId405" ref="G205"/>
    <hyperlink r:id="rId406" ref="H205"/>
    <hyperlink r:id="rId407" ref="G206"/>
    <hyperlink r:id="rId408" ref="H206"/>
    <hyperlink r:id="rId409" ref="G207"/>
    <hyperlink r:id="rId410" ref="H207"/>
    <hyperlink r:id="rId411" ref="G208"/>
    <hyperlink r:id="rId412" ref="H208"/>
    <hyperlink r:id="rId413" ref="G209"/>
    <hyperlink r:id="rId414" ref="H209"/>
    <hyperlink r:id="rId415" ref="G210"/>
    <hyperlink r:id="rId416" ref="H210"/>
    <hyperlink r:id="rId417" ref="G211"/>
    <hyperlink r:id="rId418" ref="H211"/>
    <hyperlink r:id="rId419" ref="G212"/>
    <hyperlink r:id="rId420" ref="H212"/>
    <hyperlink r:id="rId421" ref="G213"/>
    <hyperlink r:id="rId422" ref="H213"/>
    <hyperlink r:id="rId423" ref="G214"/>
    <hyperlink r:id="rId424" ref="H214"/>
    <hyperlink r:id="rId425" ref="G215"/>
    <hyperlink r:id="rId426" ref="H215"/>
    <hyperlink r:id="rId427" ref="G216"/>
    <hyperlink r:id="rId428" ref="H216"/>
    <hyperlink r:id="rId429" ref="G217"/>
    <hyperlink r:id="rId430" ref="H217"/>
    <hyperlink r:id="rId431" ref="G218"/>
    <hyperlink r:id="rId432" ref="H218"/>
    <hyperlink r:id="rId433" ref="G219"/>
    <hyperlink r:id="rId434" ref="H219"/>
    <hyperlink r:id="rId435" ref="G220"/>
    <hyperlink r:id="rId436" ref="H220"/>
    <hyperlink r:id="rId437" ref="G221"/>
    <hyperlink r:id="rId438" ref="H221"/>
    <hyperlink r:id="rId439" ref="G222"/>
    <hyperlink r:id="rId440" ref="H222"/>
    <hyperlink r:id="rId441" ref="G223"/>
    <hyperlink r:id="rId442" ref="H223"/>
    <hyperlink r:id="rId443" ref="G224"/>
    <hyperlink r:id="rId444" ref="H224"/>
    <hyperlink r:id="rId445" ref="G225"/>
    <hyperlink r:id="rId446" ref="H225"/>
    <hyperlink r:id="rId447" ref="G226"/>
    <hyperlink r:id="rId448" ref="H226"/>
    <hyperlink r:id="rId449" ref="G227"/>
    <hyperlink r:id="rId450" ref="H227"/>
    <hyperlink r:id="rId451" ref="G228"/>
    <hyperlink r:id="rId452" ref="H228"/>
    <hyperlink r:id="rId453" ref="G229"/>
    <hyperlink r:id="rId454" ref="H229"/>
    <hyperlink r:id="rId455" ref="G230"/>
    <hyperlink r:id="rId456" ref="H230"/>
    <hyperlink r:id="rId457" ref="G231"/>
    <hyperlink r:id="rId458" ref="H231"/>
    <hyperlink r:id="rId459" ref="G232"/>
    <hyperlink r:id="rId460" ref="H232"/>
    <hyperlink r:id="rId461" ref="G233"/>
    <hyperlink r:id="rId462" ref="H233"/>
    <hyperlink r:id="rId463" ref="G234"/>
    <hyperlink r:id="rId464" ref="H234"/>
    <hyperlink r:id="rId465" ref="G235"/>
    <hyperlink r:id="rId466" ref="H235"/>
    <hyperlink r:id="rId467" ref="G236"/>
    <hyperlink r:id="rId468" ref="H236"/>
    <hyperlink r:id="rId469" ref="G237"/>
    <hyperlink r:id="rId470" ref="H237"/>
    <hyperlink r:id="rId471" ref="G238"/>
    <hyperlink r:id="rId472" ref="H238"/>
    <hyperlink r:id="rId473" ref="G239"/>
    <hyperlink r:id="rId474" ref="H239"/>
    <hyperlink r:id="rId475" ref="G240"/>
    <hyperlink r:id="rId476" ref="H240"/>
    <hyperlink r:id="rId477" ref="G241"/>
    <hyperlink r:id="rId478" ref="H241"/>
    <hyperlink r:id="rId479" ref="G242"/>
    <hyperlink r:id="rId480" ref="H242"/>
    <hyperlink r:id="rId481" ref="G243"/>
    <hyperlink r:id="rId482" ref="H243"/>
    <hyperlink r:id="rId483" ref="G244"/>
    <hyperlink r:id="rId484" ref="H244"/>
    <hyperlink r:id="rId485" ref="G245"/>
    <hyperlink r:id="rId486" ref="H245"/>
    <hyperlink r:id="rId487" ref="G246"/>
    <hyperlink r:id="rId488" ref="H246"/>
    <hyperlink r:id="rId489" ref="G247"/>
    <hyperlink r:id="rId490" ref="H247"/>
    <hyperlink r:id="rId491" ref="G248"/>
    <hyperlink r:id="rId492" ref="H248"/>
    <hyperlink r:id="rId493" ref="G249"/>
    <hyperlink r:id="rId494" ref="H249"/>
    <hyperlink r:id="rId495" ref="G250"/>
    <hyperlink r:id="rId496" ref="H250"/>
    <hyperlink r:id="rId497" ref="G251"/>
    <hyperlink r:id="rId498" ref="H251"/>
    <hyperlink r:id="rId499" ref="G252"/>
    <hyperlink r:id="rId500" ref="H252"/>
    <hyperlink r:id="rId501" ref="G253"/>
    <hyperlink r:id="rId502" ref="H253"/>
    <hyperlink r:id="rId503" ref="G254"/>
    <hyperlink r:id="rId504" ref="H254"/>
    <hyperlink r:id="rId505" ref="G255"/>
    <hyperlink r:id="rId506" ref="H255"/>
    <hyperlink r:id="rId507" ref="G256"/>
    <hyperlink r:id="rId508" ref="H256"/>
    <hyperlink r:id="rId509" ref="G257"/>
    <hyperlink r:id="rId510" ref="H257"/>
    <hyperlink r:id="rId511" ref="G258"/>
    <hyperlink r:id="rId512" ref="H258"/>
    <hyperlink r:id="rId513" ref="G259"/>
    <hyperlink r:id="rId514" ref="H259"/>
    <hyperlink r:id="rId515" ref="G260"/>
    <hyperlink r:id="rId516" ref="H260"/>
    <hyperlink r:id="rId517" ref="G261"/>
    <hyperlink r:id="rId518" ref="H261"/>
    <hyperlink r:id="rId519" ref="G262"/>
    <hyperlink r:id="rId520" ref="H262"/>
    <hyperlink r:id="rId521" ref="G263"/>
    <hyperlink r:id="rId522" ref="H263"/>
    <hyperlink r:id="rId523" ref="G264"/>
    <hyperlink r:id="rId524" ref="H264"/>
    <hyperlink r:id="rId525" ref="G265"/>
    <hyperlink r:id="rId526" ref="H265"/>
    <hyperlink r:id="rId527" ref="G266"/>
    <hyperlink r:id="rId528" ref="H266"/>
    <hyperlink r:id="rId529" ref="G267"/>
    <hyperlink r:id="rId530" ref="H267"/>
    <hyperlink r:id="rId531" ref="G268"/>
    <hyperlink r:id="rId532" ref="H268"/>
    <hyperlink r:id="rId533" ref="G269"/>
    <hyperlink r:id="rId534" ref="H269"/>
    <hyperlink r:id="rId535" ref="G270"/>
    <hyperlink r:id="rId536" ref="H270"/>
    <hyperlink r:id="rId537" ref="G271"/>
    <hyperlink r:id="rId538" ref="H271"/>
    <hyperlink r:id="rId539" ref="G272"/>
    <hyperlink r:id="rId540" ref="H272"/>
    <hyperlink r:id="rId541" ref="G273"/>
    <hyperlink r:id="rId542" ref="H273"/>
    <hyperlink r:id="rId543" ref="G274"/>
    <hyperlink r:id="rId544" ref="H274"/>
    <hyperlink r:id="rId545" ref="G275"/>
    <hyperlink r:id="rId546" ref="H275"/>
    <hyperlink r:id="rId547" ref="G276"/>
    <hyperlink r:id="rId548" ref="H276"/>
    <hyperlink r:id="rId549" ref="G277"/>
    <hyperlink r:id="rId550" ref="H277"/>
    <hyperlink r:id="rId551" ref="G278"/>
    <hyperlink r:id="rId552" ref="H278"/>
    <hyperlink r:id="rId553" ref="G279"/>
    <hyperlink r:id="rId554" ref="H279"/>
    <hyperlink r:id="rId555" ref="G280"/>
    <hyperlink r:id="rId556" ref="H280"/>
    <hyperlink r:id="rId557" ref="G281"/>
    <hyperlink r:id="rId558" ref="H281"/>
    <hyperlink r:id="rId559" ref="G282"/>
    <hyperlink r:id="rId560" ref="H282"/>
    <hyperlink r:id="rId561" ref="G283"/>
    <hyperlink r:id="rId562" ref="H283"/>
    <hyperlink r:id="rId563" ref="G284"/>
    <hyperlink r:id="rId564" ref="H284"/>
    <hyperlink r:id="rId565" ref="G285"/>
    <hyperlink r:id="rId566" ref="H285"/>
    <hyperlink r:id="rId567" ref="G286"/>
    <hyperlink r:id="rId568" ref="H286"/>
    <hyperlink r:id="rId569" ref="G287"/>
    <hyperlink r:id="rId570" ref="H287"/>
    <hyperlink r:id="rId571" ref="G288"/>
    <hyperlink r:id="rId572" ref="H288"/>
    <hyperlink r:id="rId573" ref="G289"/>
    <hyperlink r:id="rId574" ref="H289"/>
    <hyperlink r:id="rId575" ref="G290"/>
    <hyperlink r:id="rId576" ref="H290"/>
    <hyperlink r:id="rId577" ref="G291"/>
    <hyperlink r:id="rId578" ref="H291"/>
    <hyperlink r:id="rId579" ref="G292"/>
    <hyperlink r:id="rId580" ref="H292"/>
    <hyperlink r:id="rId581" ref="G293"/>
    <hyperlink r:id="rId582" ref="H293"/>
    <hyperlink r:id="rId583" ref="G294"/>
    <hyperlink r:id="rId584" ref="H294"/>
    <hyperlink r:id="rId585" ref="G295"/>
    <hyperlink r:id="rId586" ref="H295"/>
    <hyperlink r:id="rId587" ref="G296"/>
    <hyperlink r:id="rId588" ref="H296"/>
    <hyperlink r:id="rId589" ref="G297"/>
    <hyperlink r:id="rId590" ref="H297"/>
    <hyperlink r:id="rId591" ref="G298"/>
    <hyperlink r:id="rId592" ref="H298"/>
    <hyperlink r:id="rId593" ref="G299"/>
    <hyperlink r:id="rId594" ref="H299"/>
    <hyperlink r:id="rId595" ref="G300"/>
    <hyperlink r:id="rId596" ref="H300"/>
    <hyperlink r:id="rId597" ref="G301"/>
    <hyperlink r:id="rId598" ref="H301"/>
    <hyperlink r:id="rId599" ref="G302"/>
    <hyperlink r:id="rId600" ref="H302"/>
    <hyperlink r:id="rId601" ref="G303"/>
    <hyperlink r:id="rId602" ref="H303"/>
    <hyperlink r:id="rId603" ref="G304"/>
    <hyperlink r:id="rId604" ref="H304"/>
    <hyperlink r:id="rId605" ref="G305"/>
    <hyperlink r:id="rId606" ref="H305"/>
    <hyperlink r:id="rId607" ref="G306"/>
    <hyperlink r:id="rId608" ref="H306"/>
    <hyperlink r:id="rId609" ref="G307"/>
    <hyperlink r:id="rId610" ref="H307"/>
    <hyperlink r:id="rId611" ref="G308"/>
    <hyperlink r:id="rId612" ref="H308"/>
    <hyperlink r:id="rId613" ref="G309"/>
    <hyperlink r:id="rId614" ref="H309"/>
    <hyperlink r:id="rId615" ref="G310"/>
    <hyperlink r:id="rId616" ref="H310"/>
    <hyperlink r:id="rId617" ref="G311"/>
    <hyperlink r:id="rId618" ref="H311"/>
    <hyperlink r:id="rId619" ref="G312"/>
    <hyperlink r:id="rId620" ref="H312"/>
    <hyperlink r:id="rId621" ref="G313"/>
    <hyperlink r:id="rId622" ref="H313"/>
    <hyperlink r:id="rId623" ref="G314"/>
    <hyperlink r:id="rId624" ref="H314"/>
    <hyperlink r:id="rId625" ref="G315"/>
    <hyperlink r:id="rId626" ref="H315"/>
    <hyperlink r:id="rId627" ref="G316"/>
    <hyperlink r:id="rId628" ref="H316"/>
    <hyperlink r:id="rId629" ref="G317"/>
    <hyperlink r:id="rId630" ref="H317"/>
    <hyperlink r:id="rId631" ref="G318"/>
    <hyperlink r:id="rId632" ref="H318"/>
    <hyperlink r:id="rId633" ref="G319"/>
    <hyperlink r:id="rId634" ref="H319"/>
    <hyperlink r:id="rId635" ref="G320"/>
    <hyperlink r:id="rId636" ref="H320"/>
    <hyperlink r:id="rId637" ref="G321"/>
    <hyperlink r:id="rId638" ref="H321"/>
    <hyperlink r:id="rId639" ref="G322"/>
    <hyperlink r:id="rId640" ref="H322"/>
    <hyperlink r:id="rId641" ref="G323"/>
    <hyperlink r:id="rId642" ref="H323"/>
    <hyperlink r:id="rId643" ref="G324"/>
    <hyperlink r:id="rId644" ref="H324"/>
    <hyperlink r:id="rId645" ref="G325"/>
    <hyperlink r:id="rId646" ref="H325"/>
    <hyperlink r:id="rId647" ref="G326"/>
    <hyperlink r:id="rId648" ref="H326"/>
    <hyperlink r:id="rId649" ref="G327"/>
    <hyperlink r:id="rId650" ref="H327"/>
    <hyperlink r:id="rId651" ref="G328"/>
    <hyperlink r:id="rId652" ref="H328"/>
    <hyperlink r:id="rId653" ref="G329"/>
    <hyperlink r:id="rId654" ref="H329"/>
    <hyperlink r:id="rId655" ref="G330"/>
    <hyperlink r:id="rId656" ref="H330"/>
    <hyperlink r:id="rId657" ref="G331"/>
    <hyperlink r:id="rId658" ref="H331"/>
    <hyperlink r:id="rId659" ref="G332"/>
    <hyperlink r:id="rId660" ref="H332"/>
    <hyperlink r:id="rId661" ref="G333"/>
    <hyperlink r:id="rId662" ref="H333"/>
    <hyperlink r:id="rId663" ref="G334"/>
    <hyperlink r:id="rId664" ref="H334"/>
    <hyperlink r:id="rId665" ref="G335"/>
    <hyperlink r:id="rId666" ref="H335"/>
    <hyperlink r:id="rId667" ref="G336"/>
    <hyperlink r:id="rId668" ref="H336"/>
    <hyperlink r:id="rId669" ref="G337"/>
    <hyperlink r:id="rId670" ref="H337"/>
    <hyperlink r:id="rId671" ref="G338"/>
    <hyperlink r:id="rId672" ref="H338"/>
    <hyperlink r:id="rId673" ref="G339"/>
    <hyperlink r:id="rId674" ref="H339"/>
    <hyperlink r:id="rId675" ref="G340"/>
    <hyperlink r:id="rId676" ref="H340"/>
    <hyperlink r:id="rId677" ref="G341"/>
    <hyperlink r:id="rId678" ref="H341"/>
    <hyperlink r:id="rId679" ref="G342"/>
    <hyperlink r:id="rId680" ref="H342"/>
    <hyperlink r:id="rId681" ref="G343"/>
    <hyperlink r:id="rId682" ref="H343"/>
    <hyperlink r:id="rId683" ref="G344"/>
    <hyperlink r:id="rId684" ref="H344"/>
    <hyperlink r:id="rId685" ref="G345"/>
    <hyperlink r:id="rId686" ref="H345"/>
    <hyperlink r:id="rId687" ref="G346"/>
    <hyperlink r:id="rId688" ref="H346"/>
    <hyperlink r:id="rId689" ref="G347"/>
    <hyperlink r:id="rId690" ref="H347"/>
    <hyperlink r:id="rId691" ref="G348"/>
    <hyperlink r:id="rId692" ref="H348"/>
    <hyperlink r:id="rId693" ref="G349"/>
    <hyperlink r:id="rId694" ref="H349"/>
    <hyperlink r:id="rId695" ref="G350"/>
    <hyperlink r:id="rId696" ref="H350"/>
    <hyperlink r:id="rId697" ref="G351"/>
    <hyperlink r:id="rId698" ref="H351"/>
    <hyperlink r:id="rId699" ref="G352"/>
    <hyperlink r:id="rId700" ref="H352"/>
    <hyperlink r:id="rId701" ref="G353"/>
    <hyperlink r:id="rId702" ref="H353"/>
    <hyperlink r:id="rId703" ref="G354"/>
    <hyperlink r:id="rId704" ref="H354"/>
    <hyperlink r:id="rId705" ref="G355"/>
    <hyperlink r:id="rId706" ref="H355"/>
    <hyperlink r:id="rId707" ref="G356"/>
    <hyperlink r:id="rId708" ref="H356"/>
    <hyperlink r:id="rId709" ref="G357"/>
    <hyperlink r:id="rId710" ref="H357"/>
    <hyperlink r:id="rId711" ref="G358"/>
    <hyperlink r:id="rId712" ref="H358"/>
    <hyperlink r:id="rId713" ref="G359"/>
    <hyperlink r:id="rId714" ref="H359"/>
    <hyperlink r:id="rId715" ref="G360"/>
    <hyperlink r:id="rId716" ref="H360"/>
    <hyperlink r:id="rId717" ref="G361"/>
    <hyperlink r:id="rId718" ref="H361"/>
    <hyperlink r:id="rId719" ref="G362"/>
    <hyperlink r:id="rId720" ref="H362"/>
    <hyperlink r:id="rId721" ref="G363"/>
    <hyperlink r:id="rId722" ref="H363"/>
    <hyperlink r:id="rId723" ref="G364"/>
    <hyperlink r:id="rId724" ref="H364"/>
    <hyperlink r:id="rId725" ref="G365"/>
    <hyperlink r:id="rId726" ref="H365"/>
    <hyperlink r:id="rId727" ref="G366"/>
    <hyperlink r:id="rId728" ref="H366"/>
    <hyperlink r:id="rId729" ref="G367"/>
    <hyperlink r:id="rId730" ref="H367"/>
    <hyperlink r:id="rId731" ref="G368"/>
    <hyperlink r:id="rId732" ref="H368"/>
    <hyperlink r:id="rId733" ref="G369"/>
    <hyperlink r:id="rId734" ref="H369"/>
    <hyperlink r:id="rId735" ref="G370"/>
    <hyperlink r:id="rId736" ref="H370"/>
    <hyperlink r:id="rId737" ref="G371"/>
    <hyperlink r:id="rId738" ref="H371"/>
    <hyperlink r:id="rId739" ref="G372"/>
    <hyperlink r:id="rId740" ref="H372"/>
    <hyperlink r:id="rId741" ref="G373"/>
    <hyperlink r:id="rId742" ref="H373"/>
    <hyperlink r:id="rId743" ref="G374"/>
    <hyperlink r:id="rId744" ref="H374"/>
    <hyperlink r:id="rId745" ref="G375"/>
    <hyperlink r:id="rId746" ref="H375"/>
    <hyperlink r:id="rId747" ref="G376"/>
    <hyperlink r:id="rId748" ref="H376"/>
    <hyperlink r:id="rId749" ref="G377"/>
    <hyperlink r:id="rId750" ref="H377"/>
    <hyperlink r:id="rId751" ref="G378"/>
    <hyperlink r:id="rId752" ref="H378"/>
    <hyperlink r:id="rId753" ref="G379"/>
    <hyperlink r:id="rId754" ref="H379"/>
    <hyperlink r:id="rId755" ref="G380"/>
    <hyperlink r:id="rId756" ref="H380"/>
    <hyperlink r:id="rId757" ref="G381"/>
    <hyperlink r:id="rId758" ref="H381"/>
    <hyperlink r:id="rId759" ref="G382"/>
    <hyperlink r:id="rId760" ref="H382"/>
    <hyperlink r:id="rId761" ref="G383"/>
    <hyperlink r:id="rId762" ref="H383"/>
    <hyperlink r:id="rId763" ref="G384"/>
    <hyperlink r:id="rId764" ref="H384"/>
    <hyperlink r:id="rId765" ref="G385"/>
    <hyperlink r:id="rId766" ref="H385"/>
    <hyperlink r:id="rId767" ref="G386"/>
    <hyperlink r:id="rId768" ref="H386"/>
    <hyperlink r:id="rId769" ref="G387"/>
    <hyperlink r:id="rId770" ref="H387"/>
    <hyperlink r:id="rId771" ref="G388"/>
    <hyperlink r:id="rId772" ref="H388"/>
    <hyperlink r:id="rId773" ref="G389"/>
    <hyperlink r:id="rId774" ref="H389"/>
    <hyperlink r:id="rId775" ref="G390"/>
    <hyperlink r:id="rId776" ref="H390"/>
    <hyperlink r:id="rId777" ref="G391"/>
    <hyperlink r:id="rId778" ref="H391"/>
    <hyperlink r:id="rId779" ref="G392"/>
    <hyperlink r:id="rId780" ref="H392"/>
    <hyperlink r:id="rId781" ref="G393"/>
    <hyperlink r:id="rId782" ref="H393"/>
    <hyperlink r:id="rId783" ref="G394"/>
    <hyperlink r:id="rId784" ref="H394"/>
    <hyperlink r:id="rId785" ref="G395"/>
    <hyperlink r:id="rId786" ref="H395"/>
    <hyperlink r:id="rId787" ref="G396"/>
    <hyperlink r:id="rId788" ref="H396"/>
    <hyperlink r:id="rId789" ref="G397"/>
    <hyperlink r:id="rId790" ref="H397"/>
    <hyperlink r:id="rId791" ref="G398"/>
    <hyperlink r:id="rId792" ref="H398"/>
    <hyperlink r:id="rId793" ref="G399"/>
    <hyperlink r:id="rId794" ref="H399"/>
    <hyperlink r:id="rId795" ref="G400"/>
    <hyperlink r:id="rId796" ref="H400"/>
    <hyperlink r:id="rId797" ref="G401"/>
    <hyperlink r:id="rId798" ref="H401"/>
    <hyperlink r:id="rId799" ref="G402"/>
    <hyperlink r:id="rId800" ref="H402"/>
    <hyperlink r:id="rId801" ref="G403"/>
    <hyperlink r:id="rId802" ref="H403"/>
    <hyperlink r:id="rId803" ref="G404"/>
    <hyperlink r:id="rId804" ref="H404"/>
    <hyperlink r:id="rId805" ref="G405"/>
    <hyperlink r:id="rId806" ref="H405"/>
    <hyperlink r:id="rId807" ref="G406"/>
    <hyperlink r:id="rId808" ref="H406"/>
    <hyperlink r:id="rId809" ref="G407"/>
    <hyperlink r:id="rId810" ref="H407"/>
    <hyperlink r:id="rId811" ref="G408"/>
    <hyperlink r:id="rId812" ref="H408"/>
    <hyperlink r:id="rId813" ref="G409"/>
    <hyperlink r:id="rId814" ref="H409"/>
    <hyperlink r:id="rId815" ref="G410"/>
    <hyperlink r:id="rId816" ref="H410"/>
    <hyperlink r:id="rId817" ref="G411"/>
    <hyperlink r:id="rId818" ref="H411"/>
    <hyperlink r:id="rId819" ref="G412"/>
    <hyperlink r:id="rId820" ref="H412"/>
    <hyperlink r:id="rId821" ref="G413"/>
    <hyperlink r:id="rId822" ref="H413"/>
    <hyperlink r:id="rId823" ref="G414"/>
    <hyperlink r:id="rId824" ref="H414"/>
    <hyperlink r:id="rId825" ref="G415"/>
    <hyperlink r:id="rId826" ref="H415"/>
    <hyperlink r:id="rId827" ref="G416"/>
    <hyperlink r:id="rId828" ref="H416"/>
    <hyperlink r:id="rId829" ref="G417"/>
    <hyperlink r:id="rId830" ref="H417"/>
    <hyperlink r:id="rId831" ref="G418"/>
    <hyperlink r:id="rId832" ref="H418"/>
    <hyperlink r:id="rId833" ref="G419"/>
    <hyperlink r:id="rId834" ref="H419"/>
    <hyperlink r:id="rId835" ref="G420"/>
    <hyperlink r:id="rId836" ref="H420"/>
    <hyperlink r:id="rId837" ref="G421"/>
    <hyperlink r:id="rId838" ref="H421"/>
    <hyperlink r:id="rId839" ref="G422"/>
    <hyperlink r:id="rId840" ref="H422"/>
    <hyperlink r:id="rId841" ref="G423"/>
    <hyperlink r:id="rId842" ref="H423"/>
    <hyperlink r:id="rId843" ref="G424"/>
    <hyperlink r:id="rId844" ref="H424"/>
    <hyperlink r:id="rId845" ref="G425"/>
    <hyperlink r:id="rId846" ref="H425"/>
    <hyperlink r:id="rId847" ref="G426"/>
    <hyperlink r:id="rId848" ref="H426"/>
    <hyperlink r:id="rId849" ref="G427"/>
    <hyperlink r:id="rId850" ref="H427"/>
    <hyperlink r:id="rId851" ref="G428"/>
    <hyperlink r:id="rId852" ref="H428"/>
    <hyperlink r:id="rId853" ref="G429"/>
    <hyperlink r:id="rId854" ref="H429"/>
    <hyperlink r:id="rId855" ref="G430"/>
    <hyperlink r:id="rId856" ref="H430"/>
    <hyperlink r:id="rId857" ref="G431"/>
    <hyperlink r:id="rId858" ref="H431"/>
    <hyperlink r:id="rId859" ref="G432"/>
    <hyperlink r:id="rId860" ref="H432"/>
    <hyperlink r:id="rId861" ref="G433"/>
    <hyperlink r:id="rId862" ref="H433"/>
    <hyperlink r:id="rId863" ref="G434"/>
    <hyperlink r:id="rId864" ref="H434"/>
    <hyperlink r:id="rId865" ref="G435"/>
    <hyperlink r:id="rId866" ref="H435"/>
    <hyperlink r:id="rId867" ref="G436"/>
    <hyperlink r:id="rId868" ref="H436"/>
    <hyperlink r:id="rId869" ref="G437"/>
    <hyperlink r:id="rId870" ref="H437"/>
    <hyperlink r:id="rId871" ref="G438"/>
    <hyperlink r:id="rId872" ref="H438"/>
    <hyperlink r:id="rId873" ref="G439"/>
    <hyperlink r:id="rId874" ref="H439"/>
    <hyperlink r:id="rId875" ref="G440"/>
    <hyperlink r:id="rId876" ref="H440"/>
    <hyperlink r:id="rId877" ref="G441"/>
    <hyperlink r:id="rId878" ref="H441"/>
    <hyperlink r:id="rId879" ref="G442"/>
    <hyperlink r:id="rId880" ref="H442"/>
    <hyperlink r:id="rId881" ref="G443"/>
    <hyperlink r:id="rId882" ref="H443"/>
    <hyperlink r:id="rId883" ref="G444"/>
    <hyperlink r:id="rId884" ref="H444"/>
    <hyperlink r:id="rId885" ref="G445"/>
    <hyperlink r:id="rId886" ref="H445"/>
    <hyperlink r:id="rId887" ref="G446"/>
    <hyperlink r:id="rId888" ref="H446"/>
    <hyperlink r:id="rId889" ref="G447"/>
    <hyperlink r:id="rId890" ref="H447"/>
    <hyperlink r:id="rId891" ref="G448"/>
    <hyperlink r:id="rId892" ref="H448"/>
    <hyperlink r:id="rId893" ref="G449"/>
    <hyperlink r:id="rId894" ref="H449"/>
    <hyperlink r:id="rId895" ref="G450"/>
    <hyperlink r:id="rId896" ref="H450"/>
    <hyperlink r:id="rId897" ref="G451"/>
    <hyperlink r:id="rId898" ref="H451"/>
    <hyperlink r:id="rId899" ref="G452"/>
    <hyperlink r:id="rId900" ref="H452"/>
    <hyperlink r:id="rId901" ref="G453"/>
    <hyperlink r:id="rId902" ref="H453"/>
    <hyperlink r:id="rId903" ref="G454"/>
    <hyperlink r:id="rId904" ref="H454"/>
    <hyperlink r:id="rId905" ref="G455"/>
    <hyperlink r:id="rId906" ref="H455"/>
    <hyperlink r:id="rId907" ref="G456"/>
    <hyperlink r:id="rId908" ref="H456"/>
    <hyperlink r:id="rId909" ref="G457"/>
    <hyperlink r:id="rId910" ref="H457"/>
    <hyperlink r:id="rId911" ref="G458"/>
    <hyperlink r:id="rId912" ref="H458"/>
    <hyperlink r:id="rId913" ref="G459"/>
    <hyperlink r:id="rId914" ref="H459"/>
    <hyperlink r:id="rId915" ref="G460"/>
    <hyperlink r:id="rId916" ref="H460"/>
    <hyperlink r:id="rId917" ref="G461"/>
    <hyperlink r:id="rId918" ref="H461"/>
    <hyperlink r:id="rId919" ref="G462"/>
    <hyperlink r:id="rId920" ref="H462"/>
    <hyperlink r:id="rId921" ref="G463"/>
    <hyperlink r:id="rId922" ref="H463"/>
    <hyperlink r:id="rId923" ref="G464"/>
    <hyperlink r:id="rId924" ref="H464"/>
    <hyperlink r:id="rId925" ref="G465"/>
    <hyperlink r:id="rId926" ref="H465"/>
    <hyperlink r:id="rId927" ref="G466"/>
    <hyperlink r:id="rId928" ref="H466"/>
    <hyperlink r:id="rId929" ref="G467"/>
    <hyperlink r:id="rId930" ref="H467"/>
    <hyperlink r:id="rId931" ref="G468"/>
    <hyperlink r:id="rId932" ref="H468"/>
    <hyperlink r:id="rId933" ref="G469"/>
    <hyperlink r:id="rId934" ref="H469"/>
    <hyperlink r:id="rId935" ref="G470"/>
    <hyperlink r:id="rId936" ref="H470"/>
    <hyperlink r:id="rId937" ref="G471"/>
    <hyperlink r:id="rId938" ref="H471"/>
    <hyperlink r:id="rId939" ref="G472"/>
    <hyperlink r:id="rId940" ref="H472"/>
    <hyperlink r:id="rId941" ref="G473"/>
    <hyperlink r:id="rId942" ref="H473"/>
    <hyperlink r:id="rId943" ref="G474"/>
    <hyperlink r:id="rId944" ref="H474"/>
    <hyperlink r:id="rId945" ref="G475"/>
    <hyperlink r:id="rId946" ref="H475"/>
    <hyperlink r:id="rId947" ref="G476"/>
    <hyperlink r:id="rId948" ref="H476"/>
    <hyperlink r:id="rId949" ref="G477"/>
    <hyperlink r:id="rId950" ref="H477"/>
    <hyperlink r:id="rId951" ref="G478"/>
    <hyperlink r:id="rId952" ref="H478"/>
    <hyperlink r:id="rId953" ref="G479"/>
    <hyperlink r:id="rId954" ref="H479"/>
    <hyperlink r:id="rId955" ref="G480"/>
    <hyperlink r:id="rId956" ref="H480"/>
    <hyperlink r:id="rId957" ref="G481"/>
    <hyperlink r:id="rId958" ref="H481"/>
    <hyperlink r:id="rId959" ref="G482"/>
    <hyperlink r:id="rId960" ref="H482"/>
    <hyperlink r:id="rId961" ref="G483"/>
    <hyperlink r:id="rId962" ref="H483"/>
    <hyperlink r:id="rId963" ref="G484"/>
    <hyperlink r:id="rId964" ref="H484"/>
    <hyperlink r:id="rId965" ref="G485"/>
    <hyperlink r:id="rId966" ref="H485"/>
    <hyperlink r:id="rId967" ref="G486"/>
    <hyperlink r:id="rId968" ref="H486"/>
    <hyperlink r:id="rId969" ref="G487"/>
    <hyperlink r:id="rId970" ref="H487"/>
    <hyperlink r:id="rId971" ref="G488"/>
    <hyperlink r:id="rId972" ref="H488"/>
    <hyperlink r:id="rId973" ref="G489"/>
    <hyperlink r:id="rId974" ref="H489"/>
    <hyperlink r:id="rId975" ref="G490"/>
    <hyperlink r:id="rId976" ref="H490"/>
    <hyperlink r:id="rId977" ref="G491"/>
    <hyperlink r:id="rId978" ref="H491"/>
    <hyperlink r:id="rId979" ref="G492"/>
    <hyperlink r:id="rId980" ref="H492"/>
    <hyperlink r:id="rId981" ref="G493"/>
    <hyperlink r:id="rId982" ref="H493"/>
    <hyperlink r:id="rId983" ref="G494"/>
    <hyperlink r:id="rId984" ref="H494"/>
    <hyperlink r:id="rId985" ref="G495"/>
    <hyperlink r:id="rId986" ref="H495"/>
    <hyperlink r:id="rId987" ref="G496"/>
    <hyperlink r:id="rId988" ref="H496"/>
    <hyperlink r:id="rId989" ref="G497"/>
    <hyperlink r:id="rId990" ref="H497"/>
    <hyperlink r:id="rId991" ref="G498"/>
    <hyperlink r:id="rId992" ref="H498"/>
    <hyperlink r:id="rId993" ref="G499"/>
    <hyperlink r:id="rId994" ref="H499"/>
    <hyperlink r:id="rId995" ref="G500"/>
    <hyperlink r:id="rId996" ref="H500"/>
    <hyperlink r:id="rId997" ref="G501"/>
    <hyperlink r:id="rId998" ref="H501"/>
    <hyperlink r:id="rId999" ref="G502"/>
    <hyperlink r:id="rId1000" ref="H502"/>
    <hyperlink r:id="rId1001" ref="G503"/>
    <hyperlink r:id="rId1002" ref="H503"/>
    <hyperlink r:id="rId1003" ref="G504"/>
    <hyperlink r:id="rId1004" ref="H504"/>
    <hyperlink r:id="rId1005" ref="G505"/>
    <hyperlink r:id="rId1006" ref="H505"/>
    <hyperlink r:id="rId1007" ref="G506"/>
    <hyperlink r:id="rId1008" ref="H506"/>
    <hyperlink r:id="rId1009" ref="G507"/>
    <hyperlink r:id="rId1010" ref="H507"/>
    <hyperlink r:id="rId1011" ref="G508"/>
    <hyperlink r:id="rId1012" ref="H508"/>
    <hyperlink r:id="rId1013" ref="G509"/>
    <hyperlink r:id="rId1014" ref="H509"/>
    <hyperlink r:id="rId1015" ref="G510"/>
    <hyperlink r:id="rId1016" ref="H510"/>
    <hyperlink r:id="rId1017" ref="G511"/>
    <hyperlink r:id="rId1018" ref="H511"/>
    <hyperlink r:id="rId1019" ref="G512"/>
    <hyperlink r:id="rId1020" ref="H512"/>
    <hyperlink r:id="rId1021" ref="G513"/>
    <hyperlink r:id="rId1022" ref="H513"/>
    <hyperlink r:id="rId1023" ref="G514"/>
    <hyperlink r:id="rId1024" ref="H514"/>
    <hyperlink r:id="rId1025" ref="G515"/>
    <hyperlink r:id="rId1026" ref="H515"/>
    <hyperlink r:id="rId1027" ref="G516"/>
    <hyperlink r:id="rId1028" ref="H516"/>
    <hyperlink r:id="rId1029" ref="G517"/>
    <hyperlink r:id="rId1030" ref="H517"/>
    <hyperlink r:id="rId1031" ref="G518"/>
    <hyperlink r:id="rId1032" ref="H518"/>
    <hyperlink r:id="rId1033" ref="G519"/>
    <hyperlink r:id="rId1034" ref="H519"/>
    <hyperlink r:id="rId1035" ref="G520"/>
    <hyperlink r:id="rId1036" ref="H520"/>
    <hyperlink r:id="rId1037" ref="G521"/>
    <hyperlink r:id="rId1038" ref="H521"/>
    <hyperlink r:id="rId1039" ref="G522"/>
    <hyperlink r:id="rId1040" ref="H522"/>
    <hyperlink r:id="rId1041" ref="G523"/>
    <hyperlink r:id="rId1042" ref="H523"/>
    <hyperlink r:id="rId1043" ref="G524"/>
    <hyperlink r:id="rId1044" ref="H524"/>
    <hyperlink r:id="rId1045" ref="G525"/>
    <hyperlink r:id="rId1046" ref="H525"/>
    <hyperlink r:id="rId1047" ref="G526"/>
    <hyperlink r:id="rId1048" ref="H526"/>
    <hyperlink r:id="rId1049" ref="G527"/>
    <hyperlink r:id="rId1050" ref="H527"/>
    <hyperlink r:id="rId1051" ref="G528"/>
    <hyperlink r:id="rId1052" ref="H528"/>
    <hyperlink r:id="rId1053" ref="G529"/>
    <hyperlink r:id="rId1054" ref="H529"/>
    <hyperlink r:id="rId1055" ref="G530"/>
    <hyperlink r:id="rId1056" ref="H530"/>
    <hyperlink r:id="rId1057" ref="G531"/>
    <hyperlink r:id="rId1058" ref="H531"/>
    <hyperlink r:id="rId1059" ref="G532"/>
    <hyperlink r:id="rId1060" ref="H532"/>
    <hyperlink r:id="rId1061" ref="G533"/>
    <hyperlink r:id="rId1062" ref="H533"/>
    <hyperlink r:id="rId1063" ref="G534"/>
    <hyperlink r:id="rId1064" ref="H534"/>
    <hyperlink r:id="rId1065" ref="G535"/>
    <hyperlink r:id="rId1066" ref="H535"/>
    <hyperlink r:id="rId1067" ref="G536"/>
    <hyperlink r:id="rId1068" ref="H536"/>
    <hyperlink r:id="rId1069" ref="G537"/>
    <hyperlink r:id="rId1070" ref="H537"/>
    <hyperlink r:id="rId1071" ref="G538"/>
    <hyperlink r:id="rId1072" ref="H538"/>
    <hyperlink r:id="rId1073" ref="G539"/>
    <hyperlink r:id="rId1074" ref="H539"/>
    <hyperlink r:id="rId1075" ref="G540"/>
    <hyperlink r:id="rId1076" ref="H540"/>
    <hyperlink r:id="rId1077" ref="G541"/>
    <hyperlink r:id="rId1078" ref="H541"/>
    <hyperlink r:id="rId1079" ref="G542"/>
    <hyperlink r:id="rId1080" ref="H542"/>
    <hyperlink r:id="rId1081" ref="G543"/>
    <hyperlink r:id="rId1082" ref="H543"/>
    <hyperlink r:id="rId1083" ref="G544"/>
    <hyperlink r:id="rId1084" ref="H544"/>
    <hyperlink r:id="rId1085" ref="G545"/>
    <hyperlink r:id="rId1086" ref="H545"/>
    <hyperlink r:id="rId1087" ref="G546"/>
    <hyperlink r:id="rId1088" ref="H546"/>
    <hyperlink r:id="rId1089" ref="G547"/>
    <hyperlink r:id="rId1090" ref="H547"/>
    <hyperlink r:id="rId1091" ref="G548"/>
    <hyperlink r:id="rId1092" ref="H548"/>
    <hyperlink r:id="rId1093" ref="G549"/>
    <hyperlink r:id="rId1094" ref="H549"/>
    <hyperlink r:id="rId1095" ref="G550"/>
    <hyperlink r:id="rId1096" ref="H550"/>
    <hyperlink r:id="rId1097" ref="G551"/>
    <hyperlink r:id="rId1098" ref="H551"/>
    <hyperlink r:id="rId1099" ref="G552"/>
    <hyperlink r:id="rId1100" ref="H552"/>
    <hyperlink r:id="rId1101" ref="G553"/>
    <hyperlink r:id="rId1102" ref="H553"/>
    <hyperlink r:id="rId1103" ref="G554"/>
    <hyperlink r:id="rId1104" ref="H554"/>
    <hyperlink r:id="rId1105" ref="G555"/>
    <hyperlink r:id="rId1106" ref="H555"/>
    <hyperlink r:id="rId1107" ref="G556"/>
    <hyperlink r:id="rId1108" ref="H556"/>
    <hyperlink r:id="rId1109" ref="G557"/>
    <hyperlink r:id="rId1110" ref="H557"/>
    <hyperlink r:id="rId1111" ref="G558"/>
    <hyperlink r:id="rId1112" ref="H558"/>
    <hyperlink r:id="rId1113" ref="G559"/>
    <hyperlink r:id="rId1114" ref="H559"/>
    <hyperlink r:id="rId1115" ref="G560"/>
    <hyperlink r:id="rId1116" ref="H560"/>
    <hyperlink r:id="rId1117" ref="G561"/>
    <hyperlink r:id="rId1118" ref="H561"/>
    <hyperlink r:id="rId1119" ref="G562"/>
    <hyperlink r:id="rId1120" ref="H562"/>
    <hyperlink r:id="rId1121" ref="G563"/>
    <hyperlink r:id="rId1122" ref="H563"/>
    <hyperlink r:id="rId1123" ref="G564"/>
    <hyperlink r:id="rId1124" ref="H564"/>
    <hyperlink r:id="rId1125" ref="G565"/>
    <hyperlink r:id="rId1126" ref="H565"/>
    <hyperlink r:id="rId1127" ref="G566"/>
    <hyperlink r:id="rId1128" ref="H566"/>
    <hyperlink r:id="rId1129" ref="G567"/>
    <hyperlink r:id="rId1130" ref="H567"/>
    <hyperlink r:id="rId1131" ref="G568"/>
    <hyperlink r:id="rId1132" ref="H568"/>
    <hyperlink r:id="rId1133" ref="G569"/>
    <hyperlink r:id="rId1134" ref="H569"/>
    <hyperlink r:id="rId1135" ref="G570"/>
    <hyperlink r:id="rId1136" ref="H570"/>
    <hyperlink r:id="rId1137" ref="G571"/>
    <hyperlink r:id="rId1138" ref="H571"/>
    <hyperlink r:id="rId1139" ref="G572"/>
    <hyperlink r:id="rId1140" ref="H572"/>
    <hyperlink r:id="rId1141" ref="G573"/>
    <hyperlink r:id="rId1142" ref="H573"/>
    <hyperlink r:id="rId1143" ref="G574"/>
    <hyperlink r:id="rId1144" ref="H574"/>
    <hyperlink r:id="rId1145" ref="G575"/>
    <hyperlink r:id="rId1146" ref="H575"/>
    <hyperlink r:id="rId1147" ref="G576"/>
    <hyperlink r:id="rId1148" ref="H576"/>
    <hyperlink r:id="rId1149" ref="G577"/>
    <hyperlink r:id="rId1150" ref="H577"/>
    <hyperlink r:id="rId1151" ref="G578"/>
    <hyperlink r:id="rId1152" ref="H578"/>
    <hyperlink r:id="rId1153" ref="G579"/>
    <hyperlink r:id="rId1154" ref="H579"/>
    <hyperlink r:id="rId1155" ref="G580"/>
    <hyperlink r:id="rId1156" ref="H580"/>
    <hyperlink r:id="rId1157" ref="G581"/>
    <hyperlink r:id="rId1158" ref="H581"/>
    <hyperlink r:id="rId1159" ref="G582"/>
    <hyperlink r:id="rId1160" ref="H582"/>
    <hyperlink r:id="rId1161" ref="G583"/>
    <hyperlink r:id="rId1162" ref="H583"/>
    <hyperlink r:id="rId1163" ref="G584"/>
    <hyperlink r:id="rId1164" ref="H584"/>
    <hyperlink r:id="rId1165" ref="G585"/>
    <hyperlink r:id="rId1166" ref="H585"/>
    <hyperlink r:id="rId1167" ref="G586"/>
    <hyperlink r:id="rId1168" ref="H586"/>
    <hyperlink r:id="rId1169" ref="G587"/>
    <hyperlink r:id="rId1170" ref="H587"/>
    <hyperlink r:id="rId1171" ref="G588"/>
    <hyperlink r:id="rId1172" ref="H588"/>
    <hyperlink r:id="rId1173" ref="G589"/>
    <hyperlink r:id="rId1174" ref="H589"/>
    <hyperlink r:id="rId1175" ref="G590"/>
    <hyperlink r:id="rId1176" ref="H590"/>
    <hyperlink r:id="rId1177" ref="G591"/>
    <hyperlink r:id="rId1178" ref="H591"/>
    <hyperlink r:id="rId1179" ref="G592"/>
    <hyperlink r:id="rId1180" ref="H592"/>
    <hyperlink r:id="rId1181" ref="G593"/>
    <hyperlink r:id="rId1182" ref="H593"/>
    <hyperlink r:id="rId1183" ref="G594"/>
    <hyperlink r:id="rId1184" ref="H594"/>
    <hyperlink r:id="rId1185" ref="G595"/>
    <hyperlink r:id="rId1186" ref="H595"/>
    <hyperlink r:id="rId1187" ref="G596"/>
    <hyperlink r:id="rId1188" ref="H596"/>
    <hyperlink r:id="rId1189" ref="G597"/>
    <hyperlink r:id="rId1190" ref="H597"/>
    <hyperlink r:id="rId1191" ref="G598"/>
    <hyperlink r:id="rId1192" ref="H598"/>
    <hyperlink r:id="rId1193" ref="G599"/>
    <hyperlink r:id="rId1194" ref="H599"/>
    <hyperlink r:id="rId1195" ref="G600"/>
    <hyperlink r:id="rId1196" ref="H600"/>
    <hyperlink r:id="rId1197" ref="G601"/>
    <hyperlink r:id="rId1198" ref="H601"/>
    <hyperlink r:id="rId1199" ref="G602"/>
    <hyperlink r:id="rId1200" ref="H602"/>
    <hyperlink r:id="rId1201" ref="G603"/>
    <hyperlink r:id="rId1202" ref="H603"/>
    <hyperlink r:id="rId1203" ref="G604"/>
    <hyperlink r:id="rId1204" ref="H604"/>
    <hyperlink r:id="rId1205" ref="G605"/>
    <hyperlink r:id="rId1206" ref="H605"/>
    <hyperlink r:id="rId1207" ref="G606"/>
    <hyperlink r:id="rId1208" ref="H606"/>
    <hyperlink r:id="rId1209" ref="G607"/>
    <hyperlink r:id="rId1210" ref="H607"/>
    <hyperlink r:id="rId1211" ref="G608"/>
    <hyperlink r:id="rId1212" ref="H608"/>
    <hyperlink r:id="rId1213" ref="G609"/>
    <hyperlink r:id="rId1214" ref="H609"/>
    <hyperlink r:id="rId1215" ref="G610"/>
    <hyperlink r:id="rId1216" ref="H610"/>
    <hyperlink r:id="rId1217" ref="G611"/>
    <hyperlink r:id="rId1218" ref="H611"/>
    <hyperlink r:id="rId1219" ref="G612"/>
    <hyperlink r:id="rId1220" ref="H612"/>
    <hyperlink r:id="rId1221" ref="G613"/>
    <hyperlink r:id="rId1222" ref="H613"/>
    <hyperlink r:id="rId1223" ref="G614"/>
    <hyperlink r:id="rId1224" ref="H614"/>
    <hyperlink r:id="rId1225" ref="G615"/>
    <hyperlink r:id="rId1226" ref="H615"/>
    <hyperlink r:id="rId1227" ref="G616"/>
    <hyperlink r:id="rId1228" ref="H616"/>
    <hyperlink r:id="rId1229" ref="G617"/>
    <hyperlink r:id="rId1230" ref="H617"/>
    <hyperlink r:id="rId1231" ref="G618"/>
    <hyperlink r:id="rId1232" ref="H618"/>
    <hyperlink r:id="rId1233" ref="G619"/>
    <hyperlink r:id="rId1234" ref="H619"/>
    <hyperlink r:id="rId1235" ref="G620"/>
    <hyperlink r:id="rId1236" ref="H620"/>
    <hyperlink r:id="rId1237" ref="G621"/>
    <hyperlink r:id="rId1238" ref="H621"/>
    <hyperlink r:id="rId1239" ref="G622"/>
    <hyperlink r:id="rId1240" ref="H622"/>
    <hyperlink r:id="rId1241" ref="G623"/>
    <hyperlink r:id="rId1242" ref="H623"/>
    <hyperlink r:id="rId1243" ref="G624"/>
    <hyperlink r:id="rId1244" ref="H624"/>
    <hyperlink r:id="rId1245" ref="G625"/>
    <hyperlink r:id="rId1246" ref="H625"/>
    <hyperlink r:id="rId1247" ref="G626"/>
    <hyperlink r:id="rId1248" ref="H626"/>
    <hyperlink r:id="rId1249" ref="G627"/>
    <hyperlink r:id="rId1250" ref="H627"/>
    <hyperlink r:id="rId1251" ref="G628"/>
    <hyperlink r:id="rId1252" ref="H628"/>
    <hyperlink r:id="rId1253" ref="G629"/>
    <hyperlink r:id="rId1254" ref="H629"/>
    <hyperlink r:id="rId1255" ref="G630"/>
    <hyperlink r:id="rId1256" ref="H630"/>
    <hyperlink r:id="rId1257" ref="G631"/>
    <hyperlink r:id="rId1258" ref="H631"/>
    <hyperlink r:id="rId1259" ref="G632"/>
    <hyperlink r:id="rId1260" ref="H632"/>
    <hyperlink r:id="rId1261" ref="G633"/>
    <hyperlink r:id="rId1262" ref="H633"/>
    <hyperlink r:id="rId1263" ref="G634"/>
    <hyperlink r:id="rId1264" ref="H634"/>
    <hyperlink r:id="rId1265" ref="G635"/>
    <hyperlink r:id="rId1266" ref="H635"/>
    <hyperlink r:id="rId1267" ref="G636"/>
    <hyperlink r:id="rId1268" ref="H636"/>
    <hyperlink r:id="rId1269" ref="G637"/>
    <hyperlink r:id="rId1270" ref="H637"/>
    <hyperlink r:id="rId1271" ref="G638"/>
    <hyperlink r:id="rId1272" ref="H638"/>
    <hyperlink r:id="rId1273" ref="G639"/>
    <hyperlink r:id="rId1274" ref="H639"/>
    <hyperlink r:id="rId1275" ref="G640"/>
    <hyperlink r:id="rId1276" ref="H640"/>
    <hyperlink r:id="rId1277" ref="G641"/>
    <hyperlink r:id="rId1278" ref="H641"/>
    <hyperlink r:id="rId1279" ref="G642"/>
    <hyperlink r:id="rId1280" ref="H642"/>
    <hyperlink r:id="rId1281" ref="G643"/>
    <hyperlink r:id="rId1282" ref="H643"/>
    <hyperlink r:id="rId1283" ref="G644"/>
    <hyperlink r:id="rId1284" ref="H644"/>
    <hyperlink r:id="rId1285" ref="G645"/>
    <hyperlink r:id="rId1286" ref="H645"/>
    <hyperlink r:id="rId1287" ref="G646"/>
    <hyperlink r:id="rId1288" ref="H646"/>
    <hyperlink r:id="rId1289" ref="G647"/>
    <hyperlink r:id="rId1290" ref="H647"/>
    <hyperlink r:id="rId1291" ref="G648"/>
    <hyperlink r:id="rId1292" ref="H648"/>
    <hyperlink r:id="rId1293" ref="G649"/>
    <hyperlink r:id="rId1294" ref="H649"/>
    <hyperlink r:id="rId1295" ref="G650"/>
    <hyperlink r:id="rId1296" ref="H650"/>
    <hyperlink r:id="rId1297" ref="G651"/>
    <hyperlink r:id="rId1298" ref="H651"/>
    <hyperlink r:id="rId1299" ref="G652"/>
    <hyperlink r:id="rId1300" ref="H652"/>
    <hyperlink r:id="rId1301" ref="G653"/>
    <hyperlink r:id="rId1302" ref="H653"/>
    <hyperlink r:id="rId1303" ref="G654"/>
    <hyperlink r:id="rId1304" ref="H654"/>
    <hyperlink r:id="rId1305" ref="G655"/>
    <hyperlink r:id="rId1306" ref="H655"/>
    <hyperlink r:id="rId1307" ref="G656"/>
    <hyperlink r:id="rId1308" ref="H656"/>
    <hyperlink r:id="rId1309" ref="G657"/>
    <hyperlink r:id="rId1310" ref="H657"/>
    <hyperlink r:id="rId1311" ref="G658"/>
    <hyperlink r:id="rId1312" ref="H658"/>
    <hyperlink r:id="rId1313" ref="G659"/>
    <hyperlink r:id="rId1314" ref="H659"/>
    <hyperlink r:id="rId1315" ref="G660"/>
    <hyperlink r:id="rId1316" ref="H660"/>
    <hyperlink r:id="rId1317" ref="G661"/>
    <hyperlink r:id="rId1318" ref="H661"/>
    <hyperlink r:id="rId1319" ref="G662"/>
    <hyperlink r:id="rId1320" ref="H662"/>
    <hyperlink r:id="rId1321" ref="G663"/>
    <hyperlink r:id="rId1322" ref="H663"/>
    <hyperlink r:id="rId1323" ref="G664"/>
    <hyperlink r:id="rId1324" ref="H664"/>
    <hyperlink r:id="rId1325" ref="G665"/>
    <hyperlink r:id="rId1326" ref="H665"/>
    <hyperlink r:id="rId1327" ref="G666"/>
    <hyperlink r:id="rId1328" ref="H666"/>
    <hyperlink r:id="rId1329" ref="G667"/>
    <hyperlink r:id="rId1330" ref="H667"/>
    <hyperlink r:id="rId1331" ref="G668"/>
    <hyperlink r:id="rId1332" ref="H668"/>
    <hyperlink r:id="rId1333" ref="G669"/>
    <hyperlink r:id="rId1334" ref="H669"/>
    <hyperlink r:id="rId1335" ref="G670"/>
    <hyperlink r:id="rId1336" ref="H670"/>
    <hyperlink r:id="rId1337" ref="G671"/>
    <hyperlink r:id="rId1338" ref="H671"/>
    <hyperlink r:id="rId1339" ref="G672"/>
    <hyperlink r:id="rId1340" ref="H672"/>
    <hyperlink r:id="rId1341" ref="G673"/>
    <hyperlink r:id="rId1342" ref="H673"/>
    <hyperlink r:id="rId1343" ref="G674"/>
    <hyperlink r:id="rId1344" ref="H674"/>
    <hyperlink r:id="rId1345" ref="G675"/>
    <hyperlink r:id="rId1346" ref="H675"/>
    <hyperlink r:id="rId1347" ref="G676"/>
    <hyperlink r:id="rId1348" ref="H676"/>
    <hyperlink r:id="rId1349" ref="G677"/>
    <hyperlink r:id="rId1350" ref="H677"/>
    <hyperlink r:id="rId1351" ref="G678"/>
    <hyperlink r:id="rId1352" ref="H678"/>
    <hyperlink r:id="rId1353" ref="G679"/>
    <hyperlink r:id="rId1354" ref="H679"/>
    <hyperlink r:id="rId1355" ref="G680"/>
    <hyperlink r:id="rId1356" ref="H680"/>
    <hyperlink r:id="rId1357" ref="G681"/>
    <hyperlink r:id="rId1358" ref="H681"/>
    <hyperlink r:id="rId1359" ref="G682"/>
    <hyperlink r:id="rId1360" ref="H682"/>
    <hyperlink r:id="rId1361" ref="G683"/>
    <hyperlink r:id="rId1362" ref="H683"/>
    <hyperlink r:id="rId1363" ref="G684"/>
    <hyperlink r:id="rId1364" ref="H684"/>
    <hyperlink r:id="rId1365" ref="G685"/>
    <hyperlink r:id="rId1366" ref="H685"/>
    <hyperlink r:id="rId1367" ref="G686"/>
    <hyperlink r:id="rId1368" ref="H686"/>
    <hyperlink r:id="rId1369" ref="G687"/>
    <hyperlink r:id="rId1370" ref="H687"/>
    <hyperlink r:id="rId1371" ref="G688"/>
    <hyperlink r:id="rId1372" ref="H688"/>
    <hyperlink r:id="rId1373" ref="G689"/>
    <hyperlink r:id="rId1374" ref="H689"/>
    <hyperlink r:id="rId1375" ref="G690"/>
    <hyperlink r:id="rId1376" ref="H690"/>
    <hyperlink r:id="rId1377" ref="G691"/>
    <hyperlink r:id="rId1378" ref="H691"/>
    <hyperlink r:id="rId1379" ref="G692"/>
    <hyperlink r:id="rId1380" ref="H692"/>
    <hyperlink r:id="rId1381" ref="G693"/>
    <hyperlink r:id="rId1382" ref="H693"/>
    <hyperlink r:id="rId1383" ref="G694"/>
    <hyperlink r:id="rId1384" ref="H694"/>
    <hyperlink r:id="rId1385" ref="G695"/>
    <hyperlink r:id="rId1386" ref="H695"/>
    <hyperlink r:id="rId1387" ref="G696"/>
    <hyperlink r:id="rId1388" ref="H696"/>
    <hyperlink r:id="rId1389" ref="G697"/>
    <hyperlink r:id="rId1390" ref="H697"/>
    <hyperlink r:id="rId1391" ref="G698"/>
    <hyperlink r:id="rId1392" ref="H698"/>
    <hyperlink r:id="rId1393" ref="G699"/>
    <hyperlink r:id="rId1394" ref="H699"/>
    <hyperlink r:id="rId1395" ref="G700"/>
    <hyperlink r:id="rId1396" ref="H700"/>
    <hyperlink r:id="rId1397" ref="G701"/>
    <hyperlink r:id="rId1398" ref="H701"/>
    <hyperlink r:id="rId1399" ref="G702"/>
    <hyperlink r:id="rId1400" ref="H702"/>
    <hyperlink r:id="rId1401" ref="G703"/>
    <hyperlink r:id="rId1402" ref="H703"/>
    <hyperlink r:id="rId1403" ref="G704"/>
    <hyperlink r:id="rId1404" ref="H704"/>
    <hyperlink r:id="rId1405" ref="G705"/>
    <hyperlink r:id="rId1406" ref="H705"/>
    <hyperlink r:id="rId1407" ref="G706"/>
    <hyperlink r:id="rId1408" ref="H706"/>
    <hyperlink r:id="rId1409" ref="G707"/>
    <hyperlink r:id="rId1410" ref="H707"/>
    <hyperlink r:id="rId1411" ref="G708"/>
    <hyperlink r:id="rId1412" ref="H708"/>
    <hyperlink r:id="rId1413" ref="G709"/>
    <hyperlink r:id="rId1414" ref="H709"/>
    <hyperlink r:id="rId1415" ref="G710"/>
    <hyperlink r:id="rId1416" ref="H710"/>
    <hyperlink r:id="rId1417" ref="G711"/>
    <hyperlink r:id="rId1418" ref="H711"/>
    <hyperlink r:id="rId1419" ref="G712"/>
    <hyperlink r:id="rId1420" ref="H712"/>
    <hyperlink r:id="rId1421" ref="G713"/>
    <hyperlink r:id="rId1422" ref="H713"/>
    <hyperlink r:id="rId1423" ref="G714"/>
    <hyperlink r:id="rId1424" ref="H714"/>
    <hyperlink r:id="rId1425" ref="G715"/>
    <hyperlink r:id="rId1426" ref="H715"/>
    <hyperlink r:id="rId1427" ref="G716"/>
    <hyperlink r:id="rId1428" ref="H716"/>
    <hyperlink r:id="rId1429" ref="G717"/>
    <hyperlink r:id="rId1430" ref="H717"/>
    <hyperlink r:id="rId1431" ref="G718"/>
    <hyperlink r:id="rId1432" ref="H718"/>
    <hyperlink r:id="rId1433" ref="G719"/>
    <hyperlink r:id="rId1434" ref="H719"/>
    <hyperlink r:id="rId1435" ref="G720"/>
    <hyperlink r:id="rId1436" ref="H720"/>
    <hyperlink r:id="rId1437" ref="G721"/>
    <hyperlink r:id="rId1438" ref="H721"/>
    <hyperlink r:id="rId1439" ref="G722"/>
    <hyperlink r:id="rId1440" ref="H722"/>
    <hyperlink r:id="rId1441" ref="G723"/>
    <hyperlink r:id="rId1442" ref="H723"/>
    <hyperlink r:id="rId1443" ref="G724"/>
    <hyperlink r:id="rId1444" ref="H724"/>
    <hyperlink r:id="rId1445" ref="G725"/>
    <hyperlink r:id="rId1446" ref="H725"/>
    <hyperlink r:id="rId1447" ref="G726"/>
    <hyperlink r:id="rId1448" ref="H726"/>
    <hyperlink r:id="rId1449" ref="G727"/>
    <hyperlink r:id="rId1450" ref="H727"/>
    <hyperlink r:id="rId1451" ref="G728"/>
    <hyperlink r:id="rId1452" ref="H728"/>
    <hyperlink r:id="rId1453" ref="G729"/>
    <hyperlink r:id="rId1454" ref="H729"/>
    <hyperlink r:id="rId1455" ref="G730"/>
    <hyperlink r:id="rId1456" ref="H730"/>
    <hyperlink r:id="rId1457" ref="G731"/>
    <hyperlink r:id="rId1458" ref="H731"/>
    <hyperlink r:id="rId1459" ref="G732"/>
    <hyperlink r:id="rId1460" ref="H732"/>
    <hyperlink r:id="rId1461" ref="G733"/>
    <hyperlink r:id="rId1462" ref="H733"/>
    <hyperlink r:id="rId1463" ref="G734"/>
    <hyperlink r:id="rId1464" ref="H734"/>
    <hyperlink r:id="rId1465" ref="G735"/>
    <hyperlink r:id="rId1466" ref="H735"/>
    <hyperlink r:id="rId1467" ref="G736"/>
    <hyperlink r:id="rId1468" ref="H736"/>
    <hyperlink r:id="rId1469" ref="G737"/>
    <hyperlink r:id="rId1470" ref="H737"/>
    <hyperlink r:id="rId1471" ref="G738"/>
    <hyperlink r:id="rId1472" ref="H738"/>
    <hyperlink r:id="rId1473" ref="G739"/>
    <hyperlink r:id="rId1474" ref="H739"/>
    <hyperlink r:id="rId1475" ref="G740"/>
    <hyperlink r:id="rId1476" ref="H740"/>
    <hyperlink r:id="rId1477" ref="G741"/>
    <hyperlink r:id="rId1478" ref="H741"/>
    <hyperlink r:id="rId1479" ref="G742"/>
    <hyperlink r:id="rId1480" ref="H742"/>
    <hyperlink r:id="rId1481" ref="G743"/>
    <hyperlink r:id="rId1482" ref="H743"/>
    <hyperlink r:id="rId1483" ref="G744"/>
    <hyperlink r:id="rId1484" ref="H744"/>
    <hyperlink r:id="rId1485" ref="G745"/>
    <hyperlink r:id="rId1486" ref="H745"/>
    <hyperlink r:id="rId1487" ref="G746"/>
    <hyperlink r:id="rId1488" ref="H746"/>
    <hyperlink r:id="rId1489" ref="G747"/>
    <hyperlink r:id="rId1490" ref="H747"/>
    <hyperlink r:id="rId1491" ref="G748"/>
    <hyperlink r:id="rId1492" ref="H748"/>
    <hyperlink r:id="rId1493" ref="G749"/>
    <hyperlink r:id="rId1494" ref="H749"/>
    <hyperlink r:id="rId1495" ref="G750"/>
    <hyperlink r:id="rId1496" ref="H750"/>
    <hyperlink r:id="rId1497" ref="G751"/>
    <hyperlink r:id="rId1498" ref="H751"/>
    <hyperlink r:id="rId1499" ref="G752"/>
    <hyperlink r:id="rId1500" ref="H752"/>
    <hyperlink r:id="rId1501" ref="G753"/>
    <hyperlink r:id="rId1502" ref="H753"/>
    <hyperlink r:id="rId1503" ref="G754"/>
    <hyperlink r:id="rId1504" ref="H754"/>
    <hyperlink r:id="rId1505" ref="G755"/>
    <hyperlink r:id="rId1506" ref="H755"/>
    <hyperlink r:id="rId1507" ref="G756"/>
    <hyperlink r:id="rId1508" ref="H756"/>
    <hyperlink r:id="rId1509" ref="G757"/>
    <hyperlink r:id="rId1510" ref="H757"/>
    <hyperlink r:id="rId1511" ref="G758"/>
    <hyperlink r:id="rId1512" ref="H758"/>
    <hyperlink r:id="rId1513" ref="G759"/>
    <hyperlink r:id="rId1514" ref="H759"/>
    <hyperlink r:id="rId1515" ref="G760"/>
    <hyperlink r:id="rId1516" ref="H760"/>
    <hyperlink r:id="rId1517" ref="G761"/>
    <hyperlink r:id="rId1518" ref="H761"/>
    <hyperlink r:id="rId1519" ref="G762"/>
    <hyperlink r:id="rId1520" ref="H762"/>
    <hyperlink r:id="rId1521" ref="G763"/>
    <hyperlink r:id="rId1522" ref="H763"/>
    <hyperlink r:id="rId1523" ref="G764"/>
    <hyperlink r:id="rId1524" ref="H764"/>
    <hyperlink r:id="rId1525" ref="G765"/>
    <hyperlink r:id="rId1526" ref="H765"/>
    <hyperlink r:id="rId1527" ref="G766"/>
    <hyperlink r:id="rId1528" ref="H766"/>
    <hyperlink r:id="rId1529" ref="G767"/>
    <hyperlink r:id="rId1530" ref="H767"/>
    <hyperlink r:id="rId1531" ref="G768"/>
    <hyperlink r:id="rId1532" ref="H768"/>
    <hyperlink r:id="rId1533" ref="G769"/>
    <hyperlink r:id="rId1534" ref="H769"/>
    <hyperlink r:id="rId1535" ref="G770"/>
    <hyperlink r:id="rId1536" ref="H770"/>
    <hyperlink r:id="rId1537" ref="G771"/>
    <hyperlink r:id="rId1538" ref="H771"/>
    <hyperlink r:id="rId1539" ref="G772"/>
    <hyperlink r:id="rId1540" ref="H772"/>
    <hyperlink r:id="rId1541" ref="G773"/>
    <hyperlink r:id="rId1542" ref="H773"/>
    <hyperlink r:id="rId1543" ref="G774"/>
    <hyperlink r:id="rId1544" ref="H774"/>
    <hyperlink r:id="rId1545" ref="G775"/>
    <hyperlink r:id="rId1546" ref="H775"/>
    <hyperlink r:id="rId1547" ref="G776"/>
    <hyperlink r:id="rId1548" ref="H776"/>
    <hyperlink r:id="rId1549" ref="G777"/>
    <hyperlink r:id="rId1550" ref="H777"/>
    <hyperlink r:id="rId1551" ref="G778"/>
    <hyperlink r:id="rId1552" ref="H778"/>
    <hyperlink r:id="rId1553" ref="G779"/>
    <hyperlink r:id="rId1554" ref="H779"/>
    <hyperlink r:id="rId1555" ref="G780"/>
    <hyperlink r:id="rId1556" ref="H780"/>
    <hyperlink r:id="rId1557" ref="G781"/>
    <hyperlink r:id="rId1558" ref="H781"/>
    <hyperlink r:id="rId1559" ref="G782"/>
    <hyperlink r:id="rId1560" ref="H782"/>
    <hyperlink r:id="rId1561" ref="G783"/>
    <hyperlink r:id="rId1562" ref="H783"/>
    <hyperlink r:id="rId1563" ref="G784"/>
    <hyperlink r:id="rId1564" ref="H784"/>
    <hyperlink r:id="rId1565" ref="G785"/>
    <hyperlink r:id="rId1566" ref="H785"/>
    <hyperlink r:id="rId1567" ref="G786"/>
    <hyperlink r:id="rId1568" ref="H786"/>
    <hyperlink r:id="rId1569" ref="G787"/>
    <hyperlink r:id="rId1570" ref="H787"/>
    <hyperlink r:id="rId1571" ref="G788"/>
    <hyperlink r:id="rId1572" ref="H788"/>
    <hyperlink r:id="rId1573" ref="G789"/>
    <hyperlink r:id="rId1574" ref="H789"/>
    <hyperlink r:id="rId1575" ref="G790"/>
    <hyperlink r:id="rId1576" ref="H790"/>
    <hyperlink r:id="rId1577" ref="G791"/>
    <hyperlink r:id="rId1578" ref="H791"/>
    <hyperlink r:id="rId1579" ref="G792"/>
    <hyperlink r:id="rId1580" ref="H792"/>
    <hyperlink r:id="rId1581" ref="G793"/>
    <hyperlink r:id="rId1582" ref="H793"/>
    <hyperlink r:id="rId1583" ref="G794"/>
    <hyperlink r:id="rId1584" ref="H794"/>
    <hyperlink r:id="rId1585" ref="G795"/>
    <hyperlink r:id="rId1586" ref="H795"/>
    <hyperlink r:id="rId1587" ref="G796"/>
    <hyperlink r:id="rId1588" ref="H796"/>
    <hyperlink r:id="rId1589" ref="G797"/>
    <hyperlink r:id="rId1590" ref="H797"/>
    <hyperlink r:id="rId1591" ref="G798"/>
    <hyperlink r:id="rId1592" ref="H798"/>
    <hyperlink r:id="rId1593" ref="G799"/>
    <hyperlink r:id="rId1594" ref="H799"/>
    <hyperlink r:id="rId1595" ref="G800"/>
    <hyperlink r:id="rId1596" ref="H800"/>
    <hyperlink r:id="rId1597" ref="G801"/>
    <hyperlink r:id="rId1598" ref="H801"/>
    <hyperlink r:id="rId1599" ref="G802"/>
    <hyperlink r:id="rId1600" ref="H802"/>
    <hyperlink r:id="rId1601" ref="G803"/>
    <hyperlink r:id="rId1602" ref="H803"/>
    <hyperlink r:id="rId1603" ref="G804"/>
    <hyperlink r:id="rId1604" ref="H804"/>
    <hyperlink r:id="rId1605" ref="G805"/>
    <hyperlink r:id="rId1606" ref="H805"/>
    <hyperlink r:id="rId1607" ref="G806"/>
    <hyperlink r:id="rId1608" ref="H806"/>
    <hyperlink r:id="rId1609" ref="G807"/>
    <hyperlink r:id="rId1610" ref="H807"/>
    <hyperlink r:id="rId1611" ref="G808"/>
    <hyperlink r:id="rId1612" ref="H808"/>
    <hyperlink r:id="rId1613" ref="G809"/>
    <hyperlink r:id="rId1614" ref="H809"/>
    <hyperlink r:id="rId1615" ref="G810"/>
    <hyperlink r:id="rId1616" ref="H810"/>
    <hyperlink r:id="rId1617" ref="G811"/>
    <hyperlink r:id="rId1618" ref="H811"/>
    <hyperlink r:id="rId1619" ref="G812"/>
    <hyperlink r:id="rId1620" ref="H812"/>
    <hyperlink r:id="rId1621" ref="G813"/>
    <hyperlink r:id="rId1622" ref="H813"/>
    <hyperlink r:id="rId1623" ref="G814"/>
    <hyperlink r:id="rId1624" ref="H814"/>
    <hyperlink r:id="rId1625" ref="G815"/>
    <hyperlink r:id="rId1626" ref="H815"/>
    <hyperlink r:id="rId1627" ref="G816"/>
    <hyperlink r:id="rId1628" ref="H816"/>
    <hyperlink r:id="rId1629" ref="G817"/>
    <hyperlink r:id="rId1630" ref="H817"/>
    <hyperlink r:id="rId1631" ref="G818"/>
    <hyperlink r:id="rId1632" ref="H818"/>
    <hyperlink r:id="rId1633" ref="G819"/>
    <hyperlink r:id="rId1634" ref="H819"/>
    <hyperlink r:id="rId1635" ref="G820"/>
    <hyperlink r:id="rId1636" ref="H820"/>
    <hyperlink r:id="rId1637" ref="G821"/>
    <hyperlink r:id="rId1638" ref="H821"/>
    <hyperlink r:id="rId1639" ref="G822"/>
    <hyperlink r:id="rId1640" ref="H822"/>
    <hyperlink r:id="rId1641" ref="G823"/>
    <hyperlink r:id="rId1642" ref="H823"/>
    <hyperlink r:id="rId1643" ref="G824"/>
    <hyperlink r:id="rId1644" ref="H824"/>
    <hyperlink r:id="rId1645" ref="G825"/>
    <hyperlink r:id="rId1646" ref="H825"/>
    <hyperlink r:id="rId1647" ref="G826"/>
    <hyperlink r:id="rId1648" ref="H826"/>
    <hyperlink r:id="rId1649" ref="G827"/>
    <hyperlink r:id="rId1650" ref="H827"/>
    <hyperlink r:id="rId1651" ref="G828"/>
    <hyperlink r:id="rId1652" ref="H828"/>
    <hyperlink r:id="rId1653" ref="G829"/>
    <hyperlink r:id="rId1654" ref="H829"/>
    <hyperlink r:id="rId1655" ref="G830"/>
    <hyperlink r:id="rId1656" ref="H830"/>
    <hyperlink r:id="rId1657" ref="G831"/>
    <hyperlink r:id="rId1658" ref="H831"/>
    <hyperlink r:id="rId1659" ref="G832"/>
    <hyperlink r:id="rId1660" ref="H832"/>
    <hyperlink r:id="rId1661" ref="G833"/>
    <hyperlink r:id="rId1662" ref="H833"/>
    <hyperlink r:id="rId1663" ref="G834"/>
    <hyperlink r:id="rId1664" ref="H834"/>
    <hyperlink r:id="rId1665" ref="G835"/>
    <hyperlink r:id="rId1666" ref="H835"/>
    <hyperlink r:id="rId1667" ref="G836"/>
    <hyperlink r:id="rId1668" ref="H836"/>
    <hyperlink r:id="rId1669" ref="G837"/>
    <hyperlink r:id="rId1670" ref="H837"/>
    <hyperlink r:id="rId1671" ref="G838"/>
    <hyperlink r:id="rId1672" ref="H838"/>
    <hyperlink r:id="rId1673" ref="G839"/>
    <hyperlink r:id="rId1674" ref="H839"/>
    <hyperlink r:id="rId1675" ref="G840"/>
    <hyperlink r:id="rId1676" ref="H840"/>
    <hyperlink r:id="rId1677" ref="G841"/>
    <hyperlink r:id="rId1678" ref="H841"/>
    <hyperlink r:id="rId1679" ref="G842"/>
    <hyperlink r:id="rId1680" ref="H842"/>
    <hyperlink r:id="rId1681" ref="G843"/>
    <hyperlink r:id="rId1682" ref="H843"/>
    <hyperlink r:id="rId1683" ref="G844"/>
    <hyperlink r:id="rId1684" ref="H844"/>
    <hyperlink r:id="rId1685" ref="G845"/>
    <hyperlink r:id="rId1686" ref="H845"/>
    <hyperlink r:id="rId1687" ref="G846"/>
    <hyperlink r:id="rId1688" ref="H846"/>
    <hyperlink r:id="rId1689" ref="G847"/>
    <hyperlink r:id="rId1690" ref="H847"/>
    <hyperlink r:id="rId1691" ref="G848"/>
    <hyperlink r:id="rId1692" ref="H848"/>
    <hyperlink r:id="rId1693" ref="G849"/>
    <hyperlink r:id="rId1694" ref="H849"/>
    <hyperlink r:id="rId1695" ref="G850"/>
    <hyperlink r:id="rId1696" ref="H850"/>
    <hyperlink r:id="rId1697" ref="G851"/>
    <hyperlink r:id="rId1698" ref="H851"/>
    <hyperlink r:id="rId1699" ref="G852"/>
    <hyperlink r:id="rId1700" ref="H852"/>
    <hyperlink r:id="rId1701" ref="G853"/>
    <hyperlink r:id="rId1702" ref="H853"/>
    <hyperlink r:id="rId1703" ref="G854"/>
    <hyperlink r:id="rId1704" ref="H854"/>
    <hyperlink r:id="rId1705" ref="G855"/>
    <hyperlink r:id="rId1706" ref="H855"/>
    <hyperlink r:id="rId1707" ref="G856"/>
    <hyperlink r:id="rId1708" ref="H856"/>
    <hyperlink r:id="rId1709" ref="G857"/>
    <hyperlink r:id="rId1710" ref="H857"/>
    <hyperlink r:id="rId1711" ref="G858"/>
    <hyperlink r:id="rId1712" ref="H858"/>
    <hyperlink r:id="rId1713" ref="G859"/>
    <hyperlink r:id="rId1714" ref="H859"/>
    <hyperlink r:id="rId1715" ref="G860"/>
    <hyperlink r:id="rId1716" ref="H860"/>
    <hyperlink r:id="rId1717" ref="G861"/>
    <hyperlink r:id="rId1718" ref="H861"/>
    <hyperlink r:id="rId1719" ref="G862"/>
    <hyperlink r:id="rId1720" ref="H862"/>
    <hyperlink r:id="rId1721" ref="G863"/>
    <hyperlink r:id="rId1722" ref="H863"/>
    <hyperlink r:id="rId1723" ref="G864"/>
    <hyperlink r:id="rId1724" ref="H864"/>
    <hyperlink r:id="rId1725" ref="G865"/>
    <hyperlink r:id="rId1726" ref="H865"/>
    <hyperlink r:id="rId1727" ref="G866"/>
    <hyperlink r:id="rId1728" ref="H866"/>
    <hyperlink r:id="rId1729" ref="G867"/>
    <hyperlink r:id="rId1730" ref="H867"/>
    <hyperlink r:id="rId1731" ref="G868"/>
    <hyperlink r:id="rId1732" ref="H868"/>
    <hyperlink r:id="rId1733" ref="G869"/>
    <hyperlink r:id="rId1734" ref="H869"/>
    <hyperlink r:id="rId1735" ref="G870"/>
    <hyperlink r:id="rId1736" ref="H870"/>
    <hyperlink r:id="rId1737" ref="G871"/>
    <hyperlink r:id="rId1738" ref="H871"/>
    <hyperlink r:id="rId1739" ref="G872"/>
    <hyperlink r:id="rId1740" ref="H872"/>
    <hyperlink r:id="rId1741" ref="G873"/>
    <hyperlink r:id="rId1742" ref="H873"/>
    <hyperlink r:id="rId1743" ref="G874"/>
    <hyperlink r:id="rId1744" ref="H874"/>
    <hyperlink r:id="rId1745" ref="G875"/>
    <hyperlink r:id="rId1746" ref="H875"/>
    <hyperlink r:id="rId1747" ref="G876"/>
    <hyperlink r:id="rId1748" ref="H876"/>
    <hyperlink r:id="rId1749" ref="G877"/>
    <hyperlink r:id="rId1750" ref="H877"/>
    <hyperlink r:id="rId1751" ref="G878"/>
    <hyperlink r:id="rId1752" ref="H878"/>
    <hyperlink r:id="rId1753" ref="G879"/>
    <hyperlink r:id="rId1754" ref="H879"/>
    <hyperlink r:id="rId1755" ref="G880"/>
    <hyperlink r:id="rId1756" ref="H880"/>
    <hyperlink r:id="rId1757" ref="G881"/>
    <hyperlink r:id="rId1758" ref="H881"/>
    <hyperlink r:id="rId1759" ref="G882"/>
    <hyperlink r:id="rId1760" ref="H882"/>
    <hyperlink r:id="rId1761" ref="G883"/>
    <hyperlink r:id="rId1762" ref="H883"/>
    <hyperlink r:id="rId1763" ref="G884"/>
    <hyperlink r:id="rId1764" ref="H884"/>
    <hyperlink r:id="rId1765" ref="G885"/>
    <hyperlink r:id="rId1766" ref="H885"/>
    <hyperlink r:id="rId1767" ref="G886"/>
    <hyperlink r:id="rId1768" ref="H886"/>
    <hyperlink r:id="rId1769" ref="G887"/>
    <hyperlink r:id="rId1770" ref="H887"/>
    <hyperlink r:id="rId1771" ref="G888"/>
    <hyperlink r:id="rId1772" ref="H888"/>
    <hyperlink r:id="rId1773" ref="G889"/>
    <hyperlink r:id="rId1774" ref="H889"/>
    <hyperlink r:id="rId1775" ref="G890"/>
    <hyperlink r:id="rId1776" ref="H890"/>
    <hyperlink r:id="rId1777" ref="G891"/>
    <hyperlink r:id="rId1778" ref="H891"/>
    <hyperlink r:id="rId1779" ref="G892"/>
    <hyperlink r:id="rId1780" ref="H892"/>
    <hyperlink r:id="rId1781" ref="G893"/>
    <hyperlink r:id="rId1782" ref="H893"/>
    <hyperlink r:id="rId1783" ref="G894"/>
    <hyperlink r:id="rId1784" ref="H894"/>
    <hyperlink r:id="rId1785" ref="G895"/>
    <hyperlink r:id="rId1786" ref="H895"/>
    <hyperlink r:id="rId1787" ref="G896"/>
    <hyperlink r:id="rId1788" ref="H896"/>
    <hyperlink r:id="rId1789" ref="G897"/>
    <hyperlink r:id="rId1790" ref="H897"/>
    <hyperlink r:id="rId1791" ref="G898"/>
    <hyperlink r:id="rId1792" ref="H898"/>
    <hyperlink r:id="rId1793" ref="G899"/>
    <hyperlink r:id="rId1794" ref="H899"/>
    <hyperlink r:id="rId1795" ref="G900"/>
    <hyperlink r:id="rId1796" ref="H900"/>
    <hyperlink r:id="rId1797" ref="G901"/>
    <hyperlink r:id="rId1798" ref="H901"/>
    <hyperlink r:id="rId1799" ref="G902"/>
    <hyperlink r:id="rId1800" ref="H902"/>
    <hyperlink r:id="rId1801" ref="G903"/>
    <hyperlink r:id="rId1802" ref="H903"/>
    <hyperlink r:id="rId1803" ref="G904"/>
    <hyperlink r:id="rId1804" ref="H904"/>
    <hyperlink r:id="rId1805" ref="G905"/>
    <hyperlink r:id="rId1806" ref="H905"/>
    <hyperlink r:id="rId1807" ref="G906"/>
    <hyperlink r:id="rId1808" ref="H906"/>
    <hyperlink r:id="rId1809" ref="G907"/>
    <hyperlink r:id="rId1810" ref="H907"/>
    <hyperlink r:id="rId1811" ref="G908"/>
    <hyperlink r:id="rId1812" ref="H908"/>
    <hyperlink r:id="rId1813" ref="G909"/>
    <hyperlink r:id="rId1814" ref="H909"/>
    <hyperlink r:id="rId1815" ref="G910"/>
    <hyperlink r:id="rId1816" ref="H910"/>
    <hyperlink r:id="rId1817" ref="G911"/>
    <hyperlink r:id="rId1818" ref="H911"/>
    <hyperlink r:id="rId1819" ref="G912"/>
    <hyperlink r:id="rId1820" ref="H912"/>
    <hyperlink r:id="rId1821" ref="G913"/>
    <hyperlink r:id="rId1822" ref="H913"/>
    <hyperlink r:id="rId1823" ref="G914"/>
    <hyperlink r:id="rId1824" ref="H914"/>
    <hyperlink r:id="rId1825" ref="G915"/>
    <hyperlink r:id="rId1826" ref="H915"/>
    <hyperlink r:id="rId1827" ref="G916"/>
    <hyperlink r:id="rId1828" ref="H916"/>
    <hyperlink r:id="rId1829" ref="G917"/>
    <hyperlink r:id="rId1830" ref="H917"/>
    <hyperlink r:id="rId1831" ref="G918"/>
    <hyperlink r:id="rId1832" ref="H918"/>
    <hyperlink r:id="rId1833" ref="G919"/>
    <hyperlink r:id="rId1834" ref="H919"/>
    <hyperlink r:id="rId1835" ref="G920"/>
    <hyperlink r:id="rId1836" ref="H920"/>
    <hyperlink r:id="rId1837" ref="G921"/>
    <hyperlink r:id="rId1838" ref="H921"/>
    <hyperlink r:id="rId1839" ref="G922"/>
    <hyperlink r:id="rId1840" ref="H922"/>
    <hyperlink r:id="rId1841" ref="G923"/>
    <hyperlink r:id="rId1842" ref="H923"/>
    <hyperlink r:id="rId1843" ref="G924"/>
    <hyperlink r:id="rId1844" ref="H924"/>
    <hyperlink r:id="rId1845" ref="G925"/>
    <hyperlink r:id="rId1846" ref="H925"/>
    <hyperlink r:id="rId1847" ref="G926"/>
    <hyperlink r:id="rId1848" ref="H926"/>
    <hyperlink r:id="rId1849" ref="G927"/>
    <hyperlink r:id="rId1850" ref="H927"/>
    <hyperlink r:id="rId1851" ref="G928"/>
    <hyperlink r:id="rId1852" ref="H928"/>
    <hyperlink r:id="rId1853" ref="G929"/>
    <hyperlink r:id="rId1854" ref="H929"/>
    <hyperlink r:id="rId1855" ref="G930"/>
    <hyperlink r:id="rId1856" ref="H930"/>
    <hyperlink r:id="rId1857" ref="G931"/>
    <hyperlink r:id="rId1858" ref="H931"/>
    <hyperlink r:id="rId1859" ref="G932"/>
    <hyperlink r:id="rId1860" ref="H932"/>
    <hyperlink r:id="rId1861" ref="G933"/>
    <hyperlink r:id="rId1862" ref="H933"/>
    <hyperlink r:id="rId1863" ref="G934"/>
    <hyperlink r:id="rId1864" ref="H934"/>
    <hyperlink r:id="rId1865" ref="G935"/>
    <hyperlink r:id="rId1866" ref="H935"/>
    <hyperlink r:id="rId1867" ref="G936"/>
    <hyperlink r:id="rId1868" ref="H936"/>
    <hyperlink r:id="rId1869" ref="G937"/>
    <hyperlink r:id="rId1870" ref="H937"/>
    <hyperlink r:id="rId1871" ref="G938"/>
    <hyperlink r:id="rId1872" ref="H938"/>
    <hyperlink r:id="rId1873" ref="G939"/>
    <hyperlink r:id="rId1874" ref="H939"/>
    <hyperlink r:id="rId1875" ref="G940"/>
    <hyperlink r:id="rId1876" ref="H940"/>
    <hyperlink r:id="rId1877" ref="G941"/>
    <hyperlink r:id="rId1878" ref="H941"/>
    <hyperlink r:id="rId1879" ref="G942"/>
    <hyperlink r:id="rId1880" ref="H942"/>
    <hyperlink r:id="rId1881" ref="G943"/>
    <hyperlink r:id="rId1882" ref="H943"/>
    <hyperlink r:id="rId1883" ref="G944"/>
    <hyperlink r:id="rId1884" ref="H944"/>
    <hyperlink r:id="rId1885" ref="G945"/>
    <hyperlink r:id="rId1886" ref="H945"/>
    <hyperlink r:id="rId1887" ref="G946"/>
    <hyperlink r:id="rId1888" ref="H946"/>
    <hyperlink r:id="rId1889" ref="G947"/>
    <hyperlink r:id="rId1890" ref="H947"/>
    <hyperlink r:id="rId1891" ref="G948"/>
    <hyperlink r:id="rId1892" ref="H948"/>
    <hyperlink r:id="rId1893" ref="G949"/>
    <hyperlink r:id="rId1894" ref="H949"/>
    <hyperlink r:id="rId1895" ref="G950"/>
    <hyperlink r:id="rId1896" ref="H950"/>
    <hyperlink r:id="rId1897" ref="G951"/>
    <hyperlink r:id="rId1898" ref="H951"/>
    <hyperlink r:id="rId1899" ref="G952"/>
    <hyperlink r:id="rId1900" ref="H952"/>
    <hyperlink r:id="rId1901" ref="G953"/>
    <hyperlink r:id="rId1902" ref="H953"/>
    <hyperlink r:id="rId1903" ref="G954"/>
    <hyperlink r:id="rId1904" ref="H954"/>
    <hyperlink r:id="rId1905" ref="G955"/>
    <hyperlink r:id="rId1906" ref="H955"/>
    <hyperlink r:id="rId1907" ref="G956"/>
    <hyperlink r:id="rId1908" ref="H956"/>
    <hyperlink r:id="rId1909" ref="G957"/>
    <hyperlink r:id="rId1910" ref="H957"/>
    <hyperlink r:id="rId1911" ref="G958"/>
    <hyperlink r:id="rId1912" ref="H958"/>
    <hyperlink r:id="rId1913" ref="G959"/>
    <hyperlink r:id="rId1914" ref="H959"/>
    <hyperlink r:id="rId1915" ref="G960"/>
    <hyperlink r:id="rId1916" ref="H960"/>
    <hyperlink r:id="rId1917" ref="G961"/>
    <hyperlink r:id="rId1918" ref="H961"/>
    <hyperlink r:id="rId1919" ref="G962"/>
    <hyperlink r:id="rId1920" ref="H962"/>
    <hyperlink r:id="rId1921" ref="G963"/>
    <hyperlink r:id="rId1922" ref="H963"/>
    <hyperlink r:id="rId1923" ref="G964"/>
    <hyperlink r:id="rId1924" ref="H964"/>
    <hyperlink r:id="rId1925" ref="G965"/>
    <hyperlink r:id="rId1926" ref="H965"/>
    <hyperlink r:id="rId1927" ref="G966"/>
    <hyperlink r:id="rId1928" ref="H966"/>
    <hyperlink r:id="rId1929" ref="G967"/>
    <hyperlink r:id="rId1930" ref="H967"/>
    <hyperlink r:id="rId1931" ref="G968"/>
    <hyperlink r:id="rId1932" ref="H968"/>
    <hyperlink r:id="rId1933" ref="G969"/>
    <hyperlink r:id="rId1934" ref="H969"/>
    <hyperlink r:id="rId1935" ref="G970"/>
    <hyperlink r:id="rId1936" ref="H970"/>
    <hyperlink r:id="rId1937" ref="G971"/>
    <hyperlink r:id="rId1938" ref="H971"/>
    <hyperlink r:id="rId1939" ref="G972"/>
    <hyperlink r:id="rId1940" ref="H972"/>
    <hyperlink r:id="rId1941" ref="G973"/>
    <hyperlink r:id="rId1942" ref="H973"/>
    <hyperlink r:id="rId1943" ref="G974"/>
    <hyperlink r:id="rId1944" ref="H974"/>
    <hyperlink r:id="rId1945" ref="G975"/>
    <hyperlink r:id="rId1946" ref="H975"/>
    <hyperlink r:id="rId1947" ref="G976"/>
    <hyperlink r:id="rId1948" ref="H976"/>
    <hyperlink r:id="rId1949" ref="G977"/>
    <hyperlink r:id="rId1950" ref="H977"/>
    <hyperlink r:id="rId1951" ref="G978"/>
    <hyperlink r:id="rId1952" ref="H978"/>
    <hyperlink r:id="rId1953" ref="G979"/>
    <hyperlink r:id="rId1954" ref="H979"/>
    <hyperlink r:id="rId1955" ref="G980"/>
    <hyperlink r:id="rId1956" ref="H980"/>
    <hyperlink r:id="rId1957" ref="G981"/>
    <hyperlink r:id="rId1958" ref="H981"/>
    <hyperlink r:id="rId1959" ref="G982"/>
    <hyperlink r:id="rId1960" ref="H982"/>
    <hyperlink r:id="rId1961" ref="G983"/>
    <hyperlink r:id="rId1962" ref="H983"/>
    <hyperlink r:id="rId1963" ref="G984"/>
    <hyperlink r:id="rId1964" ref="H984"/>
    <hyperlink r:id="rId1965" ref="G985"/>
    <hyperlink r:id="rId1966" ref="H985"/>
    <hyperlink r:id="rId1967" ref="G986"/>
    <hyperlink r:id="rId1968" ref="H986"/>
    <hyperlink r:id="rId1969" ref="G987"/>
    <hyperlink r:id="rId1970" ref="H987"/>
    <hyperlink r:id="rId1971" ref="G988"/>
    <hyperlink r:id="rId1972" ref="H988"/>
    <hyperlink r:id="rId1973" ref="G989"/>
    <hyperlink r:id="rId1974" ref="H989"/>
    <hyperlink r:id="rId1975" ref="G990"/>
    <hyperlink r:id="rId1976" ref="H990"/>
    <hyperlink r:id="rId1977" ref="G991"/>
    <hyperlink r:id="rId1978" ref="H991"/>
    <hyperlink r:id="rId1979" ref="G992"/>
    <hyperlink r:id="rId1980" ref="H992"/>
    <hyperlink r:id="rId1981" ref="G993"/>
    <hyperlink r:id="rId1982" ref="H993"/>
    <hyperlink r:id="rId1983" ref="G994"/>
    <hyperlink r:id="rId1984" ref="H994"/>
    <hyperlink r:id="rId1985" ref="G995"/>
    <hyperlink r:id="rId1986" ref="H995"/>
    <hyperlink r:id="rId1987" ref="G996"/>
    <hyperlink r:id="rId1988" ref="H996"/>
    <hyperlink r:id="rId1989" ref="G997"/>
    <hyperlink r:id="rId1990" ref="H997"/>
    <hyperlink r:id="rId1991" ref="G998"/>
    <hyperlink r:id="rId1992" ref="H998"/>
    <hyperlink r:id="rId1993" ref="G999"/>
    <hyperlink r:id="rId1994" ref="H999"/>
    <hyperlink r:id="rId1995" ref="G1000"/>
    <hyperlink r:id="rId1996" ref="H1000"/>
    <hyperlink r:id="rId1997" ref="G1001"/>
    <hyperlink r:id="rId1998" ref="H1001"/>
    <hyperlink r:id="rId1999" ref="G1002"/>
    <hyperlink r:id="rId2000" ref="H1002"/>
    <hyperlink r:id="rId2001" ref="G1003"/>
    <hyperlink r:id="rId2002" ref="H1003"/>
    <hyperlink r:id="rId2003" ref="G1004"/>
    <hyperlink r:id="rId2004" ref="H1004"/>
    <hyperlink r:id="rId2005" ref="G1005"/>
    <hyperlink r:id="rId2006" ref="H1005"/>
    <hyperlink r:id="rId2007" ref="G1006"/>
    <hyperlink r:id="rId2008" ref="H1006"/>
    <hyperlink r:id="rId2009" ref="G1007"/>
    <hyperlink r:id="rId2010" ref="H1007"/>
    <hyperlink r:id="rId2011" ref="G1008"/>
    <hyperlink r:id="rId2012" ref="H1008"/>
    <hyperlink r:id="rId2013" ref="G1009"/>
    <hyperlink r:id="rId2014" ref="H1009"/>
    <hyperlink r:id="rId2015" ref="G1010"/>
    <hyperlink r:id="rId2016" ref="H1010"/>
    <hyperlink r:id="rId2017" ref="G1011"/>
    <hyperlink r:id="rId2018" ref="H1011"/>
    <hyperlink r:id="rId2019" ref="G1012"/>
    <hyperlink r:id="rId2020" ref="H1012"/>
    <hyperlink r:id="rId2021" ref="G1013"/>
    <hyperlink r:id="rId2022" ref="H1013"/>
    <hyperlink r:id="rId2023" ref="G1014"/>
    <hyperlink r:id="rId2024" ref="H1014"/>
    <hyperlink r:id="rId2025" ref="G1015"/>
    <hyperlink r:id="rId2026" ref="H1015"/>
    <hyperlink r:id="rId2027" ref="G1016"/>
    <hyperlink r:id="rId2028" ref="H1016"/>
    <hyperlink r:id="rId2029" ref="G1017"/>
    <hyperlink r:id="rId2030" ref="H1017"/>
    <hyperlink r:id="rId2031" ref="G1018"/>
    <hyperlink r:id="rId2032" ref="H1018"/>
    <hyperlink r:id="rId2033" ref="G1019"/>
    <hyperlink r:id="rId2034" ref="H1019"/>
    <hyperlink r:id="rId2035" ref="G1020"/>
    <hyperlink r:id="rId2036" ref="H1020"/>
    <hyperlink r:id="rId2037" ref="G1021"/>
    <hyperlink r:id="rId2038" ref="H1021"/>
    <hyperlink r:id="rId2039" ref="G1022"/>
    <hyperlink r:id="rId2040" ref="H1022"/>
    <hyperlink r:id="rId2041" ref="G1023"/>
    <hyperlink r:id="rId2042" ref="H1023"/>
    <hyperlink r:id="rId2043" ref="G1024"/>
    <hyperlink r:id="rId2044" ref="H1024"/>
    <hyperlink r:id="rId2045" ref="G1025"/>
    <hyperlink r:id="rId2046" ref="H1025"/>
    <hyperlink r:id="rId2047" ref="G1026"/>
    <hyperlink r:id="rId2048" ref="H1026"/>
    <hyperlink r:id="rId2049" ref="G1027"/>
    <hyperlink r:id="rId2050" ref="H1027"/>
    <hyperlink r:id="rId2051" ref="G1028"/>
    <hyperlink r:id="rId2052" ref="H1028"/>
    <hyperlink r:id="rId2053" ref="G1029"/>
    <hyperlink r:id="rId2054" ref="H1029"/>
    <hyperlink r:id="rId2055" ref="G1030"/>
    <hyperlink r:id="rId2056" ref="H1030"/>
    <hyperlink r:id="rId2057" ref="G1031"/>
    <hyperlink r:id="rId2058" ref="H1031"/>
    <hyperlink r:id="rId2059" ref="G1032"/>
    <hyperlink r:id="rId2060" ref="H1032"/>
    <hyperlink r:id="rId2061" ref="G1033"/>
    <hyperlink r:id="rId2062" ref="H1033"/>
    <hyperlink r:id="rId2063" ref="G1034"/>
    <hyperlink r:id="rId2064" ref="H1034"/>
    <hyperlink r:id="rId2065" ref="G1035"/>
    <hyperlink r:id="rId2066" ref="H1035"/>
    <hyperlink r:id="rId2067" ref="G1036"/>
    <hyperlink r:id="rId2068" ref="H1036"/>
    <hyperlink r:id="rId2069" ref="G1037"/>
    <hyperlink r:id="rId2070" ref="H1037"/>
    <hyperlink r:id="rId2071" ref="G1038"/>
    <hyperlink r:id="rId2072" ref="H1038"/>
    <hyperlink r:id="rId2073" ref="G1039"/>
    <hyperlink r:id="rId2074" ref="H1039"/>
    <hyperlink r:id="rId2075" ref="G1040"/>
    <hyperlink r:id="rId2076" ref="H1040"/>
    <hyperlink r:id="rId2077" ref="G1041"/>
    <hyperlink r:id="rId2078" ref="H1041"/>
    <hyperlink r:id="rId2079" ref="G1042"/>
    <hyperlink r:id="rId2080" ref="H1042"/>
    <hyperlink r:id="rId2081" ref="G1043"/>
    <hyperlink r:id="rId2082" ref="H1043"/>
    <hyperlink r:id="rId2083" ref="G1044"/>
    <hyperlink r:id="rId2084" ref="H1044"/>
    <hyperlink r:id="rId2085" ref="G1045"/>
    <hyperlink r:id="rId2086" ref="H1045"/>
    <hyperlink r:id="rId2087" ref="G1046"/>
    <hyperlink r:id="rId2088" ref="H1046"/>
    <hyperlink r:id="rId2089" ref="G1047"/>
    <hyperlink r:id="rId2090" ref="H1047"/>
    <hyperlink r:id="rId2091" ref="G1048"/>
    <hyperlink r:id="rId2092" ref="H1048"/>
    <hyperlink r:id="rId2093" ref="G1049"/>
    <hyperlink r:id="rId2094" ref="H1049"/>
    <hyperlink r:id="rId2095" ref="G1050"/>
    <hyperlink r:id="rId2096" ref="H1050"/>
    <hyperlink r:id="rId2097" ref="G1051"/>
    <hyperlink r:id="rId2098" ref="H1051"/>
    <hyperlink r:id="rId2099" ref="G1052"/>
    <hyperlink r:id="rId2100" ref="H1052"/>
    <hyperlink r:id="rId2101" ref="G1053"/>
    <hyperlink r:id="rId2102" ref="H1053"/>
    <hyperlink r:id="rId2103" ref="G1054"/>
    <hyperlink r:id="rId2104" ref="H1054"/>
    <hyperlink r:id="rId2105" ref="G1055"/>
    <hyperlink r:id="rId2106" ref="H1055"/>
    <hyperlink r:id="rId2107" ref="G1056"/>
    <hyperlink r:id="rId2108" ref="H1056"/>
    <hyperlink r:id="rId2109" ref="G1057"/>
    <hyperlink r:id="rId2110" ref="H1057"/>
    <hyperlink r:id="rId2111" ref="G1058"/>
    <hyperlink r:id="rId2112" ref="H1058"/>
    <hyperlink r:id="rId2113" ref="G1059"/>
    <hyperlink r:id="rId2114" ref="H1059"/>
    <hyperlink r:id="rId2115" ref="G1060"/>
    <hyperlink r:id="rId2116" ref="H1060"/>
    <hyperlink r:id="rId2117" ref="G1061"/>
    <hyperlink r:id="rId2118" ref="H1061"/>
    <hyperlink r:id="rId2119" ref="G1062"/>
    <hyperlink r:id="rId2120" ref="H1062"/>
    <hyperlink r:id="rId2121" ref="G1063"/>
    <hyperlink r:id="rId2122" ref="H1063"/>
    <hyperlink r:id="rId2123" ref="G1064"/>
    <hyperlink r:id="rId2124" ref="H1064"/>
    <hyperlink r:id="rId2125" ref="G1065"/>
    <hyperlink r:id="rId2126" ref="H1065"/>
    <hyperlink r:id="rId2127" ref="G1066"/>
    <hyperlink r:id="rId2128" ref="H1066"/>
    <hyperlink r:id="rId2129" ref="G1067"/>
    <hyperlink r:id="rId2130" ref="H1067"/>
    <hyperlink r:id="rId2131" ref="G1068"/>
    <hyperlink r:id="rId2132" ref="H1068"/>
    <hyperlink r:id="rId2133" ref="G1069"/>
    <hyperlink r:id="rId2134" ref="H1069"/>
    <hyperlink r:id="rId2135" ref="G1070"/>
    <hyperlink r:id="rId2136" ref="H1070"/>
    <hyperlink r:id="rId2137" ref="G1071"/>
    <hyperlink r:id="rId2138" ref="H1071"/>
    <hyperlink r:id="rId2139" ref="G1072"/>
    <hyperlink r:id="rId2140" ref="H1072"/>
    <hyperlink r:id="rId2141" ref="G1073"/>
    <hyperlink r:id="rId2142" ref="H1073"/>
    <hyperlink r:id="rId2143" ref="G1074"/>
    <hyperlink r:id="rId2144" ref="H1074"/>
    <hyperlink r:id="rId2145" ref="G1075"/>
    <hyperlink r:id="rId2146" ref="H1075"/>
    <hyperlink r:id="rId2147" ref="G1076"/>
    <hyperlink r:id="rId2148" ref="H1076"/>
    <hyperlink r:id="rId2149" ref="G1077"/>
    <hyperlink r:id="rId2150" ref="H1077"/>
    <hyperlink r:id="rId2151" ref="G1078"/>
    <hyperlink r:id="rId2152" ref="H1078"/>
    <hyperlink r:id="rId2153" ref="G1079"/>
    <hyperlink r:id="rId2154" ref="H1079"/>
    <hyperlink r:id="rId2155" ref="G1080"/>
    <hyperlink r:id="rId2156" ref="H1080"/>
    <hyperlink r:id="rId2157" ref="G1081"/>
    <hyperlink r:id="rId2158" ref="H1081"/>
    <hyperlink r:id="rId2159" ref="G1082"/>
    <hyperlink r:id="rId2160" ref="H1082"/>
    <hyperlink r:id="rId2161" ref="G1083"/>
    <hyperlink r:id="rId2162" ref="H1083"/>
    <hyperlink r:id="rId2163" ref="G1084"/>
    <hyperlink r:id="rId2164" ref="H1084"/>
    <hyperlink r:id="rId2165" ref="G1085"/>
    <hyperlink r:id="rId2166" ref="H1085"/>
    <hyperlink r:id="rId2167" ref="G1086"/>
    <hyperlink r:id="rId2168" ref="H1086"/>
    <hyperlink r:id="rId2169" ref="G1087"/>
    <hyperlink r:id="rId2170" ref="H1087"/>
    <hyperlink r:id="rId2171" ref="G1088"/>
    <hyperlink r:id="rId2172" ref="H1088"/>
    <hyperlink r:id="rId2173" ref="G1089"/>
    <hyperlink r:id="rId2174" ref="H1089"/>
    <hyperlink r:id="rId2175" ref="G1090"/>
    <hyperlink r:id="rId2176" ref="H1090"/>
    <hyperlink r:id="rId2177" ref="G1091"/>
    <hyperlink r:id="rId2178" ref="H1091"/>
    <hyperlink r:id="rId2179" ref="G1092"/>
    <hyperlink r:id="rId2180" ref="H1092"/>
    <hyperlink r:id="rId2181" ref="G1093"/>
    <hyperlink r:id="rId2182" ref="H1093"/>
    <hyperlink r:id="rId2183" ref="G1094"/>
    <hyperlink r:id="rId2184" ref="H1094"/>
    <hyperlink r:id="rId2185" ref="G1095"/>
    <hyperlink r:id="rId2186" ref="H1095"/>
    <hyperlink r:id="rId2187" ref="G1096"/>
    <hyperlink r:id="rId2188" ref="H1096"/>
    <hyperlink r:id="rId2189" ref="G1097"/>
    <hyperlink r:id="rId2190" ref="H1097"/>
    <hyperlink r:id="rId2191" ref="G1098"/>
    <hyperlink r:id="rId2192" ref="H1098"/>
    <hyperlink r:id="rId2193" ref="G1099"/>
    <hyperlink r:id="rId2194" ref="H1099"/>
    <hyperlink r:id="rId2195" ref="G1100"/>
    <hyperlink r:id="rId2196" ref="H1100"/>
    <hyperlink r:id="rId2197" ref="G1101"/>
    <hyperlink r:id="rId2198" ref="H1101"/>
    <hyperlink r:id="rId2199" ref="G1102"/>
    <hyperlink r:id="rId2200" ref="H1102"/>
    <hyperlink r:id="rId2201" ref="G1103"/>
    <hyperlink r:id="rId2202" ref="H1103"/>
    <hyperlink r:id="rId2203" ref="G1104"/>
    <hyperlink r:id="rId2204" ref="H1104"/>
    <hyperlink r:id="rId2205" ref="G1105"/>
    <hyperlink r:id="rId2206" ref="H1105"/>
    <hyperlink r:id="rId2207" ref="G1106"/>
    <hyperlink r:id="rId2208" ref="H1106"/>
    <hyperlink r:id="rId2209" ref="G1107"/>
    <hyperlink r:id="rId2210" ref="H1107"/>
    <hyperlink r:id="rId2211" ref="G1108"/>
    <hyperlink r:id="rId2212" ref="H1108"/>
    <hyperlink r:id="rId2213" ref="G1109"/>
    <hyperlink r:id="rId2214" ref="H1109"/>
    <hyperlink r:id="rId2215" ref="G1110"/>
    <hyperlink r:id="rId2216" ref="H1110"/>
    <hyperlink r:id="rId2217" ref="G1111"/>
    <hyperlink r:id="rId2218" ref="H1111"/>
    <hyperlink r:id="rId2219" ref="G1112"/>
    <hyperlink r:id="rId2220" ref="H1112"/>
    <hyperlink r:id="rId2221" ref="G1113"/>
    <hyperlink r:id="rId2222" ref="H1113"/>
    <hyperlink r:id="rId2223" ref="G1114"/>
    <hyperlink r:id="rId2224" ref="H1114"/>
    <hyperlink r:id="rId2225" ref="G1115"/>
    <hyperlink r:id="rId2226" ref="H1115"/>
    <hyperlink r:id="rId2227" ref="G1116"/>
    <hyperlink r:id="rId2228" ref="H1116"/>
    <hyperlink r:id="rId2229" ref="G1117"/>
    <hyperlink r:id="rId2230" ref="H1117"/>
    <hyperlink r:id="rId2231" ref="G1118"/>
    <hyperlink r:id="rId2232" ref="H1118"/>
    <hyperlink r:id="rId2233" ref="G1119"/>
    <hyperlink r:id="rId2234" ref="H1119"/>
    <hyperlink r:id="rId2235" ref="G1120"/>
    <hyperlink r:id="rId2236" ref="H1120"/>
    <hyperlink r:id="rId2237" ref="G1121"/>
    <hyperlink r:id="rId2238" ref="H1121"/>
    <hyperlink r:id="rId2239" ref="G1122"/>
    <hyperlink r:id="rId2240" ref="H1122"/>
    <hyperlink r:id="rId2241" ref="G1123"/>
    <hyperlink r:id="rId2242" ref="H1123"/>
    <hyperlink r:id="rId2243" ref="G1124"/>
    <hyperlink r:id="rId2244" ref="H1124"/>
    <hyperlink r:id="rId2245" ref="G1125"/>
    <hyperlink r:id="rId2246" ref="H1125"/>
    <hyperlink r:id="rId2247" ref="G1126"/>
    <hyperlink r:id="rId2248" ref="H1126"/>
    <hyperlink r:id="rId2249" ref="G1127"/>
    <hyperlink r:id="rId2250" ref="H1127"/>
    <hyperlink r:id="rId2251" ref="G1128"/>
    <hyperlink r:id="rId2252" ref="H1128"/>
    <hyperlink r:id="rId2253" ref="G1129"/>
    <hyperlink r:id="rId2254" ref="H1129"/>
    <hyperlink r:id="rId2255" ref="G1130"/>
    <hyperlink r:id="rId2256" ref="H1130"/>
    <hyperlink r:id="rId2257" ref="G1131"/>
    <hyperlink r:id="rId2258" ref="H1131"/>
    <hyperlink r:id="rId2259" ref="G1132"/>
    <hyperlink r:id="rId2260" ref="H1132"/>
    <hyperlink r:id="rId2261" ref="G1133"/>
    <hyperlink r:id="rId2262" ref="H1133"/>
    <hyperlink r:id="rId2263" ref="G1134"/>
    <hyperlink r:id="rId2264" ref="H1134"/>
    <hyperlink r:id="rId2265" ref="G1135"/>
    <hyperlink r:id="rId2266" ref="H1135"/>
    <hyperlink r:id="rId2267" ref="G1136"/>
    <hyperlink r:id="rId2268" ref="H1136"/>
    <hyperlink r:id="rId2269" ref="G1137"/>
    <hyperlink r:id="rId2270" ref="H1137"/>
    <hyperlink r:id="rId2271" ref="G1138"/>
    <hyperlink r:id="rId2272" ref="H1138"/>
    <hyperlink r:id="rId2273" ref="G1139"/>
    <hyperlink r:id="rId2274" ref="H1139"/>
    <hyperlink r:id="rId2275" ref="G1140"/>
    <hyperlink r:id="rId2276" ref="H1140"/>
    <hyperlink r:id="rId2277" ref="G1141"/>
    <hyperlink r:id="rId2278" ref="H1141"/>
    <hyperlink r:id="rId2279" ref="G1142"/>
    <hyperlink r:id="rId2280" ref="H1142"/>
    <hyperlink r:id="rId2281" ref="G1143"/>
    <hyperlink r:id="rId2282" ref="H1143"/>
    <hyperlink r:id="rId2283" ref="G1144"/>
    <hyperlink r:id="rId2284" ref="H1144"/>
    <hyperlink r:id="rId2285" ref="G1145"/>
    <hyperlink r:id="rId2286" ref="H1145"/>
    <hyperlink r:id="rId2287" ref="G1146"/>
    <hyperlink r:id="rId2288" ref="H1146"/>
    <hyperlink r:id="rId2289" ref="G1147"/>
    <hyperlink r:id="rId2290" ref="H1147"/>
    <hyperlink r:id="rId2291" ref="G1148"/>
    <hyperlink r:id="rId2292" ref="H1148"/>
    <hyperlink r:id="rId2293" ref="G1149"/>
    <hyperlink r:id="rId2294" ref="H1149"/>
    <hyperlink r:id="rId2295" ref="G1150"/>
    <hyperlink r:id="rId2296" ref="H1150"/>
    <hyperlink r:id="rId2297" ref="G1151"/>
    <hyperlink r:id="rId2298" ref="H1151"/>
    <hyperlink r:id="rId2299" ref="G1152"/>
    <hyperlink r:id="rId2300" ref="H1152"/>
    <hyperlink r:id="rId2301" ref="G1153"/>
    <hyperlink r:id="rId2302" ref="H1153"/>
    <hyperlink r:id="rId2303" ref="G1154"/>
    <hyperlink r:id="rId2304" ref="H1154"/>
    <hyperlink r:id="rId2305" ref="G1155"/>
    <hyperlink r:id="rId2306" ref="H1155"/>
    <hyperlink r:id="rId2307" ref="G1156"/>
    <hyperlink r:id="rId2308" ref="H1156"/>
    <hyperlink r:id="rId2309" ref="G1157"/>
    <hyperlink r:id="rId2310" ref="H1157"/>
    <hyperlink r:id="rId2311" ref="G1158"/>
    <hyperlink r:id="rId2312" ref="H1158"/>
    <hyperlink r:id="rId2313" ref="G1159"/>
    <hyperlink r:id="rId2314" ref="H1159"/>
    <hyperlink r:id="rId2315" ref="G1160"/>
    <hyperlink r:id="rId2316" ref="H1160"/>
    <hyperlink r:id="rId2317" ref="G1161"/>
    <hyperlink r:id="rId2318" ref="H1161"/>
    <hyperlink r:id="rId2319" ref="G1162"/>
    <hyperlink r:id="rId2320" ref="H1162"/>
    <hyperlink r:id="rId2321" ref="G1163"/>
    <hyperlink r:id="rId2322" ref="H1163"/>
    <hyperlink r:id="rId2323" ref="G1164"/>
    <hyperlink r:id="rId2324" ref="H1164"/>
    <hyperlink r:id="rId2325" ref="G1165"/>
    <hyperlink r:id="rId2326" ref="H1165"/>
    <hyperlink r:id="rId2327" ref="G1166"/>
    <hyperlink r:id="rId2328" ref="H1166"/>
    <hyperlink r:id="rId2329" ref="G1167"/>
    <hyperlink r:id="rId2330" ref="H1167"/>
    <hyperlink r:id="rId2331" ref="G1168"/>
    <hyperlink r:id="rId2332" ref="H1168"/>
    <hyperlink r:id="rId2333" ref="G1169"/>
    <hyperlink r:id="rId2334" ref="H1169"/>
    <hyperlink r:id="rId2335" ref="G1170"/>
    <hyperlink r:id="rId2336" ref="H1170"/>
    <hyperlink r:id="rId2337" ref="G1171"/>
    <hyperlink r:id="rId2338" ref="H1171"/>
    <hyperlink r:id="rId2339" ref="G1172"/>
    <hyperlink r:id="rId2340" ref="H1172"/>
    <hyperlink r:id="rId2341" ref="G1173"/>
    <hyperlink r:id="rId2342" ref="H1173"/>
    <hyperlink r:id="rId2343" ref="G1174"/>
    <hyperlink r:id="rId2344" ref="H1174"/>
    <hyperlink r:id="rId2345" ref="G1175"/>
    <hyperlink r:id="rId2346" ref="H1175"/>
    <hyperlink r:id="rId2347" ref="G1176"/>
    <hyperlink r:id="rId2348" ref="H1176"/>
    <hyperlink r:id="rId2349" ref="G1177"/>
    <hyperlink r:id="rId2350" ref="H1177"/>
    <hyperlink r:id="rId2351" ref="G1178"/>
    <hyperlink r:id="rId2352" ref="H1178"/>
    <hyperlink r:id="rId2353" ref="G1179"/>
    <hyperlink r:id="rId2354" ref="H1179"/>
    <hyperlink r:id="rId2355" ref="G1180"/>
    <hyperlink r:id="rId2356" ref="H1180"/>
    <hyperlink r:id="rId2357" ref="G1181"/>
    <hyperlink r:id="rId2358" ref="H1181"/>
    <hyperlink r:id="rId2359" ref="G1182"/>
    <hyperlink r:id="rId2360" ref="H1182"/>
    <hyperlink r:id="rId2361" ref="G1183"/>
    <hyperlink r:id="rId2362" ref="H1183"/>
    <hyperlink r:id="rId2363" ref="G1184"/>
    <hyperlink r:id="rId2364" ref="H1184"/>
    <hyperlink r:id="rId2365" ref="G1185"/>
    <hyperlink r:id="rId2366" ref="H1185"/>
    <hyperlink r:id="rId2367" ref="G1186"/>
    <hyperlink r:id="rId2368" ref="H1186"/>
    <hyperlink r:id="rId2369" ref="G1187"/>
    <hyperlink r:id="rId2370" ref="H1187"/>
    <hyperlink r:id="rId2371" ref="G1188"/>
    <hyperlink r:id="rId2372" ref="H1188"/>
    <hyperlink r:id="rId2373" ref="G1189"/>
    <hyperlink r:id="rId2374" ref="H1189"/>
    <hyperlink r:id="rId2375" ref="G1190"/>
    <hyperlink r:id="rId2376" ref="H1190"/>
    <hyperlink r:id="rId2377" ref="G1191"/>
    <hyperlink r:id="rId2378" ref="H1191"/>
    <hyperlink r:id="rId2379" ref="G1192"/>
    <hyperlink r:id="rId2380" ref="H1192"/>
    <hyperlink r:id="rId2381" ref="G1193"/>
    <hyperlink r:id="rId2382" ref="H1193"/>
    <hyperlink r:id="rId2383" ref="G1194"/>
    <hyperlink r:id="rId2384" ref="H1194"/>
    <hyperlink r:id="rId2385" ref="G1195"/>
    <hyperlink r:id="rId2386" ref="H1195"/>
    <hyperlink r:id="rId2387" ref="G1196"/>
    <hyperlink r:id="rId2388" ref="H1196"/>
    <hyperlink r:id="rId2389" ref="G1197"/>
    <hyperlink r:id="rId2390" ref="H1197"/>
    <hyperlink r:id="rId2391" ref="G1198"/>
    <hyperlink r:id="rId2392" ref="H1198"/>
    <hyperlink r:id="rId2393" ref="G1199"/>
    <hyperlink r:id="rId2394" ref="H1199"/>
    <hyperlink r:id="rId2395" ref="G1200"/>
    <hyperlink r:id="rId2396" ref="H1200"/>
    <hyperlink r:id="rId2397" ref="G1201"/>
    <hyperlink r:id="rId2398" ref="H1201"/>
    <hyperlink r:id="rId2399" ref="G1202"/>
    <hyperlink r:id="rId2400" ref="H1202"/>
    <hyperlink r:id="rId2401" ref="G1203"/>
    <hyperlink r:id="rId2402" ref="H1203"/>
    <hyperlink r:id="rId2403" ref="G1204"/>
    <hyperlink r:id="rId2404" ref="H1204"/>
    <hyperlink r:id="rId2405" ref="G1205"/>
    <hyperlink r:id="rId2406" ref="H1205"/>
    <hyperlink r:id="rId2407" ref="G1206"/>
    <hyperlink r:id="rId2408" ref="H1206"/>
    <hyperlink r:id="rId2409" ref="G1207"/>
    <hyperlink r:id="rId2410" ref="H1207"/>
    <hyperlink r:id="rId2411" ref="G1208"/>
    <hyperlink r:id="rId2412" ref="H1208"/>
    <hyperlink r:id="rId2413" ref="G1209"/>
    <hyperlink r:id="rId2414" ref="H1209"/>
    <hyperlink r:id="rId2415" ref="G1210"/>
    <hyperlink r:id="rId2416" ref="H1210"/>
    <hyperlink r:id="rId2417" ref="G1211"/>
    <hyperlink r:id="rId2418" ref="H1211"/>
    <hyperlink r:id="rId2419" ref="G1212"/>
    <hyperlink r:id="rId2420" ref="H1212"/>
    <hyperlink r:id="rId2421" ref="G1213"/>
    <hyperlink r:id="rId2422" ref="H1213"/>
    <hyperlink r:id="rId2423" ref="G1214"/>
    <hyperlink r:id="rId2424" ref="H1214"/>
    <hyperlink r:id="rId2425" ref="G1215"/>
    <hyperlink r:id="rId2426" ref="H1215"/>
    <hyperlink r:id="rId2427" ref="G1216"/>
    <hyperlink r:id="rId2428" ref="H1216"/>
    <hyperlink r:id="rId2429" ref="G1217"/>
    <hyperlink r:id="rId2430" ref="H1217"/>
    <hyperlink r:id="rId2431" ref="G1218"/>
    <hyperlink r:id="rId2432" ref="H1218"/>
    <hyperlink r:id="rId2433" ref="G1219"/>
    <hyperlink r:id="rId2434" ref="H1219"/>
    <hyperlink r:id="rId2435" ref="G1220"/>
    <hyperlink r:id="rId2436" ref="H1220"/>
    <hyperlink r:id="rId2437" ref="G1221"/>
    <hyperlink r:id="rId2438" ref="H1221"/>
    <hyperlink r:id="rId2439" ref="G1222"/>
    <hyperlink r:id="rId2440" ref="H1222"/>
    <hyperlink r:id="rId2441" ref="G1223"/>
    <hyperlink r:id="rId2442" ref="H1223"/>
    <hyperlink r:id="rId2443" ref="G1224"/>
    <hyperlink r:id="rId2444" ref="H1224"/>
    <hyperlink r:id="rId2445" ref="G1225"/>
    <hyperlink r:id="rId2446" ref="H1225"/>
    <hyperlink r:id="rId2447" ref="G1226"/>
    <hyperlink r:id="rId2448" ref="H1226"/>
    <hyperlink r:id="rId2449" ref="G1227"/>
    <hyperlink r:id="rId2450" ref="H1227"/>
    <hyperlink r:id="rId2451" ref="G1228"/>
    <hyperlink r:id="rId2452" ref="H1228"/>
    <hyperlink r:id="rId2453" ref="G1229"/>
    <hyperlink r:id="rId2454" ref="H1229"/>
    <hyperlink r:id="rId2455" ref="G1230"/>
    <hyperlink r:id="rId2456" ref="H1230"/>
    <hyperlink r:id="rId2457" ref="G1231"/>
    <hyperlink r:id="rId2458" ref="H1231"/>
    <hyperlink r:id="rId2459" ref="G1232"/>
    <hyperlink r:id="rId2460" ref="H1232"/>
    <hyperlink r:id="rId2461" ref="G1233"/>
    <hyperlink r:id="rId2462" ref="H1233"/>
    <hyperlink r:id="rId2463" ref="G1234"/>
    <hyperlink r:id="rId2464" ref="H1234"/>
    <hyperlink r:id="rId2465" ref="G1235"/>
    <hyperlink r:id="rId2466" ref="H1235"/>
    <hyperlink r:id="rId2467" ref="G1236"/>
    <hyperlink r:id="rId2468" ref="H1236"/>
    <hyperlink r:id="rId2469" ref="G1237"/>
    <hyperlink r:id="rId2470" ref="H1237"/>
    <hyperlink r:id="rId2471" ref="G1238"/>
    <hyperlink r:id="rId2472" ref="H1238"/>
    <hyperlink r:id="rId2473" ref="G1239"/>
    <hyperlink r:id="rId2474" ref="H1239"/>
    <hyperlink r:id="rId2475" ref="G1240"/>
    <hyperlink r:id="rId2476" ref="H1240"/>
    <hyperlink r:id="rId2477" ref="G1241"/>
    <hyperlink r:id="rId2478" ref="H1241"/>
    <hyperlink r:id="rId2479" ref="G1242"/>
    <hyperlink r:id="rId2480" ref="H1242"/>
    <hyperlink r:id="rId2481" ref="G1243"/>
    <hyperlink r:id="rId2482" ref="H1243"/>
    <hyperlink r:id="rId2483" ref="G1244"/>
    <hyperlink r:id="rId2484" ref="H1244"/>
    <hyperlink r:id="rId2485" ref="G1245"/>
    <hyperlink r:id="rId2486" ref="H1245"/>
    <hyperlink r:id="rId2487" ref="G1246"/>
    <hyperlink r:id="rId2488" ref="H1246"/>
    <hyperlink r:id="rId2489" ref="G1247"/>
    <hyperlink r:id="rId2490" ref="H1247"/>
    <hyperlink r:id="rId2491" ref="G1248"/>
    <hyperlink r:id="rId2492" ref="H1248"/>
    <hyperlink r:id="rId2493" ref="G1249"/>
    <hyperlink r:id="rId2494" ref="H1249"/>
    <hyperlink r:id="rId2495" ref="G1250"/>
    <hyperlink r:id="rId2496" ref="H1250"/>
    <hyperlink r:id="rId2497" ref="G1251"/>
    <hyperlink r:id="rId2498" ref="H1251"/>
    <hyperlink r:id="rId2499" ref="G1252"/>
    <hyperlink r:id="rId2500" ref="H1252"/>
    <hyperlink r:id="rId2501" ref="G1253"/>
    <hyperlink r:id="rId2502" ref="H1253"/>
    <hyperlink r:id="rId2503" ref="G1254"/>
    <hyperlink r:id="rId2504" ref="H1254"/>
    <hyperlink r:id="rId2505" ref="G1255"/>
    <hyperlink r:id="rId2506" ref="H1255"/>
    <hyperlink r:id="rId2507" ref="G1256"/>
    <hyperlink r:id="rId2508" ref="H1256"/>
    <hyperlink r:id="rId2509" ref="G1257"/>
    <hyperlink r:id="rId2510" ref="H1257"/>
    <hyperlink r:id="rId2511" ref="G1258"/>
    <hyperlink r:id="rId2512" ref="H1258"/>
    <hyperlink r:id="rId2513" ref="G1259"/>
    <hyperlink r:id="rId2514" ref="H1259"/>
    <hyperlink r:id="rId2515" ref="G1260"/>
    <hyperlink r:id="rId2516" ref="H1260"/>
    <hyperlink r:id="rId2517" ref="G1261"/>
    <hyperlink r:id="rId2518" ref="H1261"/>
    <hyperlink r:id="rId2519" ref="G1262"/>
    <hyperlink r:id="rId2520" ref="H1262"/>
    <hyperlink r:id="rId2521" ref="G1263"/>
    <hyperlink r:id="rId2522" ref="H1263"/>
    <hyperlink r:id="rId2523" ref="G1264"/>
    <hyperlink r:id="rId2524" ref="H1264"/>
    <hyperlink r:id="rId2525" ref="G1265"/>
    <hyperlink r:id="rId2526" ref="H1265"/>
    <hyperlink r:id="rId2527" ref="G1266"/>
    <hyperlink r:id="rId2528" ref="H1266"/>
    <hyperlink r:id="rId2529" ref="G1267"/>
    <hyperlink r:id="rId2530" ref="H1267"/>
    <hyperlink r:id="rId2531" ref="G1268"/>
    <hyperlink r:id="rId2532" ref="H1268"/>
    <hyperlink r:id="rId2533" ref="G1269"/>
    <hyperlink r:id="rId2534" ref="H1269"/>
    <hyperlink r:id="rId2535" ref="G1270"/>
    <hyperlink r:id="rId2536" ref="H1270"/>
    <hyperlink r:id="rId2537" ref="G1271"/>
    <hyperlink r:id="rId2538" ref="H1271"/>
    <hyperlink r:id="rId2539" ref="G1272"/>
    <hyperlink r:id="rId2540" ref="H1272"/>
    <hyperlink r:id="rId2541" ref="G1273"/>
    <hyperlink r:id="rId2542" ref="H1273"/>
    <hyperlink r:id="rId2543" ref="G1274"/>
    <hyperlink r:id="rId2544" ref="H1274"/>
    <hyperlink r:id="rId2545" ref="G1275"/>
    <hyperlink r:id="rId2546" ref="H1275"/>
    <hyperlink r:id="rId2547" ref="G1276"/>
    <hyperlink r:id="rId2548" ref="H1276"/>
    <hyperlink r:id="rId2549" ref="G1277"/>
    <hyperlink r:id="rId2550" ref="H1277"/>
    <hyperlink r:id="rId2551" ref="G1278"/>
    <hyperlink r:id="rId2552" ref="H1278"/>
    <hyperlink r:id="rId2553" ref="G1279"/>
    <hyperlink r:id="rId2554" ref="H1279"/>
    <hyperlink r:id="rId2555" ref="G1280"/>
    <hyperlink r:id="rId2556" ref="H1280"/>
    <hyperlink r:id="rId2557" ref="G1281"/>
    <hyperlink r:id="rId2558" ref="H1281"/>
    <hyperlink r:id="rId2559" ref="G1282"/>
    <hyperlink r:id="rId2560" ref="H1282"/>
    <hyperlink r:id="rId2561" ref="G1283"/>
    <hyperlink r:id="rId2562" ref="H1283"/>
    <hyperlink r:id="rId2563" ref="G1284"/>
    <hyperlink r:id="rId2564" ref="H1284"/>
    <hyperlink r:id="rId2565" ref="G1285"/>
    <hyperlink r:id="rId2566" ref="H1285"/>
    <hyperlink r:id="rId2567" ref="G1286"/>
    <hyperlink r:id="rId2568" ref="H1286"/>
    <hyperlink r:id="rId2569" ref="G1287"/>
    <hyperlink r:id="rId2570" ref="H1287"/>
    <hyperlink r:id="rId2571" ref="G1288"/>
    <hyperlink r:id="rId2572" ref="H1288"/>
    <hyperlink r:id="rId2573" ref="G1289"/>
    <hyperlink r:id="rId2574" ref="H1289"/>
    <hyperlink r:id="rId2575" ref="G1290"/>
    <hyperlink r:id="rId2576" ref="H1290"/>
    <hyperlink r:id="rId2577" ref="G1291"/>
    <hyperlink r:id="rId2578" ref="H1291"/>
    <hyperlink r:id="rId2579" ref="G1292"/>
    <hyperlink r:id="rId2580" ref="H1292"/>
    <hyperlink r:id="rId2581" ref="G1293"/>
    <hyperlink r:id="rId2582" ref="H1293"/>
    <hyperlink r:id="rId2583" ref="G1294"/>
    <hyperlink r:id="rId2584" ref="H1294"/>
    <hyperlink r:id="rId2585" ref="G1295"/>
    <hyperlink r:id="rId2586" ref="H1295"/>
    <hyperlink r:id="rId2587" ref="G1296"/>
    <hyperlink r:id="rId2588" ref="H1296"/>
    <hyperlink r:id="rId2589" ref="G1297"/>
    <hyperlink r:id="rId2590" ref="H1297"/>
    <hyperlink r:id="rId2591" ref="G1298"/>
    <hyperlink r:id="rId2592" ref="H1298"/>
    <hyperlink r:id="rId2593" ref="G1299"/>
    <hyperlink r:id="rId2594" ref="H1299"/>
    <hyperlink r:id="rId2595" ref="G1300"/>
    <hyperlink r:id="rId2596" ref="H1300"/>
    <hyperlink r:id="rId2597" ref="G1301"/>
    <hyperlink r:id="rId2598" ref="H1301"/>
    <hyperlink r:id="rId2599" ref="G1302"/>
    <hyperlink r:id="rId2600" ref="H1302"/>
    <hyperlink r:id="rId2601" ref="G1303"/>
    <hyperlink r:id="rId2602" ref="H1303"/>
    <hyperlink r:id="rId2603" ref="G1304"/>
    <hyperlink r:id="rId2604" ref="H1304"/>
    <hyperlink r:id="rId2605" ref="G1305"/>
    <hyperlink r:id="rId2606" ref="H1305"/>
    <hyperlink r:id="rId2607" ref="G1306"/>
    <hyperlink r:id="rId2608" ref="H1306"/>
  </hyperlinks>
  <drawing r:id="rId260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tr">
        <f>IFERROR(__xludf.DUMMYFUNCTION("IMPORTHTML(""https://www.insee.fr/fr/statistiques/3600878?sommaire=3554439"")"),"#N/A")</f>
        <v>#N/A</v>
      </c>
    </row>
    <row r="3">
      <c r="A3" t="str">
        <f>IFERROR(__xludf.DUMMYFUNCTION("IMPORTHTML(""https://www.insee.fr/fr/statistiques/3600878?sommaire=3554439"",""TABLE"")"),"")</f>
        <v/>
      </c>
      <c r="B3">
        <f>IFERROR(__xludf.DUMMYFUNCTION("""COMPUTED_VALUE"""),2017.0)</f>
        <v>2017</v>
      </c>
      <c r="D3">
        <f>IFERROR(__xludf.DUMMYFUNCTION("""COMPUTED_VALUE"""),2016.0)</f>
        <v>2016</v>
      </c>
    </row>
    <row r="4">
      <c r="B4" t="str">
        <f>IFERROR(__xludf.DUMMYFUNCTION("""COMPUTED_VALUE"""),"Montant (en millions d'euros)")</f>
        <v>Montant (en millions d'euros)</v>
      </c>
      <c r="C4" t="str">
        <f>IFERROR(__xludf.DUMMYFUNCTION("""COMPUTED_VALUE"""),"Part (en % du total)")</f>
        <v>Part (en % du total)</v>
      </c>
      <c r="D4" t="str">
        <f>IFERROR(__xludf.DUMMYFUNCTION("""COMPUTED_VALUE"""),"Montant (en millions d'euros)")</f>
        <v>Montant (en millions d'euros)</v>
      </c>
      <c r="E4" t="str">
        <f>IFERROR(__xludf.DUMMYFUNCTION("""COMPUTED_VALUE"""),"Part (en % du total)")</f>
        <v>Part (en % du total)</v>
      </c>
    </row>
    <row r="5">
      <c r="A5" t="str">
        <f>IFERROR(__xludf.DUMMYFUNCTION("""COMPUTED_VALUE"""),"Reversements ou redevances aux propriétaires des supports (activité de 
régie)")</f>
        <v>Reversements ou redevances aux propriétaires des supports (activité de 
régie)</v>
      </c>
      <c r="B5">
        <f>IFERROR(__xludf.DUMMYFUNCTION("""COMPUTED_VALUE"""),168.9)</f>
        <v>168.9</v>
      </c>
      <c r="C5">
        <f>IFERROR(__xludf.DUMMYFUNCTION("""COMPUTED_VALUE"""),33.8)</f>
        <v>33.8</v>
      </c>
      <c r="D5">
        <f>IFERROR(__xludf.DUMMYFUNCTION("""COMPUTED_VALUE"""),178.0)</f>
        <v>178</v>
      </c>
      <c r="E5">
        <f>IFERROR(__xludf.DUMMYFUNCTION("""COMPUTED_VALUE"""),39.4)</f>
        <v>39.4</v>
      </c>
    </row>
    <row r="6">
      <c r="A6" t="str">
        <f>IFERROR(__xludf.DUMMYFUNCTION("""COMPUTED_VALUE"""),"Dépenses liées à la diffusion - Dépenses de transmission (faisceaux 
hertziens, canaux satellite, transmissions par câble)")</f>
        <v>Dépenses liées à la diffusion - Dépenses de transmission (faisceaux 
hertziens, canaux satellite, transmissions par câble)</v>
      </c>
      <c r="B6">
        <f>IFERROR(__xludf.DUMMYFUNCTION("""COMPUTED_VALUE"""),98.3)</f>
        <v>98.3</v>
      </c>
      <c r="C6">
        <f>IFERROR(__xludf.DUMMYFUNCTION("""COMPUTED_VALUE"""),19.7)</f>
        <v>19.7</v>
      </c>
      <c r="D6">
        <f>IFERROR(__xludf.DUMMYFUNCTION("""COMPUTED_VALUE"""),109.9)</f>
        <v>109.9</v>
      </c>
      <c r="E6">
        <f>IFERROR(__xludf.DUMMYFUNCTION("""COMPUTED_VALUE"""),24.3)</f>
        <v>24.3</v>
      </c>
    </row>
    <row r="7">
      <c r="A7" t="str">
        <f>IFERROR(__xludf.DUMMYFUNCTION("""COMPUTED_VALUE"""),"Dépenses de radio, Achats de programmes radiophoniques")</f>
        <v>Dépenses de radio, Achats de programmes radiophoniques</v>
      </c>
      <c r="B7">
        <f>IFERROR(__xludf.DUMMYFUNCTION("""COMPUTED_VALUE"""),50.8)</f>
        <v>50.8</v>
      </c>
      <c r="C7">
        <f>IFERROR(__xludf.DUMMYFUNCTION("""COMPUTED_VALUE"""),10.2)</f>
        <v>10.2</v>
      </c>
      <c r="D7">
        <f>IFERROR(__xludf.DUMMYFUNCTION("""COMPUTED_VALUE"""),0.7)</f>
        <v>0.7</v>
      </c>
      <c r="E7">
        <f>IFERROR(__xludf.DUMMYFUNCTION("""COMPUTED_VALUE"""),0.1)</f>
        <v>0.1</v>
      </c>
    </row>
    <row r="8">
      <c r="A8" t="str">
        <f>IFERROR(__xludf.DUMMYFUNCTION("""COMPUTED_VALUE"""),"Autres dépenses, versements aux sociétés collectives de gestion de droits")</f>
        <v>Autres dépenses, versements aux sociétés collectives de gestion de droits</v>
      </c>
      <c r="B8">
        <f>IFERROR(__xludf.DUMMYFUNCTION("""COMPUTED_VALUE"""),48.5)</f>
        <v>48.5</v>
      </c>
      <c r="C8">
        <f>IFERROR(__xludf.DUMMYFUNCTION("""COMPUTED_VALUE"""),9.7)</f>
        <v>9.7</v>
      </c>
      <c r="D8">
        <f>IFERROR(__xludf.DUMMYFUNCTION("""COMPUTED_VALUE"""),48.4)</f>
        <v>48.4</v>
      </c>
      <c r="E8">
        <f>IFERROR(__xludf.DUMMYFUNCTION("""COMPUTED_VALUE"""),10.7)</f>
        <v>10.7</v>
      </c>
    </row>
    <row r="9">
      <c r="A9" t="str">
        <f>IFERROR(__xludf.DUMMYFUNCTION("""COMPUTED_VALUE"""),"Dépenses de publicité")</f>
        <v>Dépenses de publicité</v>
      </c>
      <c r="B9">
        <f>IFERROR(__xludf.DUMMYFUNCTION("""COMPUTED_VALUE"""),31.8)</f>
        <v>31.8</v>
      </c>
      <c r="C9">
        <f>IFERROR(__xludf.DUMMYFUNCTION("""COMPUTED_VALUE"""),6.4)</f>
        <v>6.4</v>
      </c>
      <c r="D9">
        <f>IFERROR(__xludf.DUMMYFUNCTION("""COMPUTED_VALUE"""),36.6)</f>
        <v>36.6</v>
      </c>
      <c r="E9">
        <f>IFERROR(__xludf.DUMMYFUNCTION("""COMPUTED_VALUE"""),8.1)</f>
        <v>8.1</v>
      </c>
    </row>
    <row r="10">
      <c r="A10" t="str">
        <f>IFERROR(__xludf.DUMMYFUNCTION("""COMPUTED_VALUE"""),"Total de toutes les dépenses professionnelles")</f>
        <v>Total de toutes les dépenses professionnelles</v>
      </c>
      <c r="B10">
        <f>IFERROR(__xludf.DUMMYFUNCTION("""COMPUTED_VALUE"""),500.0)</f>
        <v>500</v>
      </c>
      <c r="C10">
        <f>IFERROR(__xludf.DUMMYFUNCTION("""COMPUTED_VALUE"""),100.0)</f>
        <v>100</v>
      </c>
      <c r="D10">
        <f>IFERROR(__xludf.DUMMYFUNCTION("""COMPUTED_VALUE"""),452.1)</f>
        <v>452.1</v>
      </c>
      <c r="E10">
        <f>IFERROR(__xludf.DUMMYFUNCTION("""COMPUTED_VALUE"""),100.0)</f>
        <v>100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tr">
        <f>IFERROR(__xludf.DUMMYFUNCTION("IMPORTHTML(""https://fr.wikipedia.org/wiki/Liste_des_titres_musicaux_num%C3%A9ro_un_en_France_en_2020#Albums"",""TABLE"")"),"№")</f>
        <v>№</v>
      </c>
      <c r="B1" t="str">
        <f>IFERROR(__xludf.DUMMYFUNCTION("""COMPUTED_VALUE"""),"Date")</f>
        <v>Date</v>
      </c>
      <c r="C1" t="str">
        <f>IFERROR(__xludf.DUMMYFUNCTION("""COMPUTED_VALUE"""),"Mégafusion (Téléchargements + Streaming)")</f>
        <v>Mégafusion (Téléchargements + Streaming)</v>
      </c>
      <c r="F1" t="str">
        <f>IFERROR(__xludf.DUMMYFUNCTION("""COMPUTED_VALUE"""),"Ventes")</f>
        <v>Ventes</v>
      </c>
    </row>
    <row r="2">
      <c r="C2" t="str">
        <f>IFERROR(__xludf.DUMMYFUNCTION("""COMPUTED_VALUE"""),"Artiste")</f>
        <v>Artiste</v>
      </c>
      <c r="D2" t="str">
        <f>IFERROR(__xludf.DUMMYFUNCTION("""COMPUTED_VALUE"""),"Titre")</f>
        <v>Titre</v>
      </c>
      <c r="E2" t="str">
        <f>IFERROR(__xludf.DUMMYFUNCTION("""COMPUTED_VALUE"""),"Réf")</f>
        <v>Réf</v>
      </c>
      <c r="F2" t="str">
        <f>IFERROR(__xludf.DUMMYFUNCTION("""COMPUTED_VALUE"""),"Artiste")</f>
        <v>Artiste</v>
      </c>
      <c r="G2" t="str">
        <f>IFERROR(__xludf.DUMMYFUNCTION("""COMPUTED_VALUE"""),"Titre")</f>
        <v>Titre</v>
      </c>
      <c r="H2" t="str">
        <f>IFERROR(__xludf.DUMMYFUNCTION("""COMPUTED_VALUE"""),"Réf")</f>
        <v>Réf</v>
      </c>
    </row>
    <row r="3">
      <c r="A3">
        <f>IFERROR(__xludf.DUMMYFUNCTION("""COMPUTED_VALUE"""),1.0)</f>
        <v>1</v>
      </c>
      <c r="B3" s="9">
        <f>IFERROR(__xludf.DUMMYFUNCTION("""COMPUTED_VALUE"""),46025.0)</f>
        <v>46025</v>
      </c>
      <c r="C3" t="str">
        <f>IFERROR(__xludf.DUMMYFUNCTION("""COMPUTED_VALUE"""),"Gradur featuring Heuss l'Enfoiré")</f>
        <v>Gradur featuring Heuss l'Enfoiré</v>
      </c>
      <c r="D3" t="str">
        <f>IFERROR(__xludf.DUMMYFUNCTION("""COMPUTED_VALUE"""),"*Ne reviens pas*")</f>
        <v>*Ne reviens pas*</v>
      </c>
      <c r="E3" t="str">
        <f>IFERROR(__xludf.DUMMYFUNCTION("""COMPUTED_VALUE"""),"[1]")</f>
        <v>[1]</v>
      </c>
      <c r="F3" t="str">
        <f>IFERROR(__xludf.DUMMYFUNCTION("""COMPUTED_VALUE"""),"The Weeknd")</f>
        <v>The Weeknd</v>
      </c>
      <c r="G3" t="str">
        <f>IFERROR(__xludf.DUMMYFUNCTION("""COMPUTED_VALUE"""),"*Blinding Lights*")</f>
        <v>*Blinding Lights*</v>
      </c>
      <c r="H3" t="str">
        <f>IFERROR(__xludf.DUMMYFUNCTION("""COMPUTED_VALUE"""),"[2]")</f>
        <v>[2]</v>
      </c>
    </row>
    <row r="4">
      <c r="A4">
        <f>IFERROR(__xludf.DUMMYFUNCTION("""COMPUTED_VALUE"""),2.0)</f>
        <v>2</v>
      </c>
      <c r="B4" s="9">
        <f>IFERROR(__xludf.DUMMYFUNCTION("""COMPUTED_VALUE"""),46032.0)</f>
        <v>46032</v>
      </c>
      <c r="E4" t="str">
        <f>IFERROR(__xludf.DUMMYFUNCTION("""COMPUTED_VALUE"""),"[3]")</f>
        <v>[3]</v>
      </c>
      <c r="H4" t="str">
        <f>IFERROR(__xludf.DUMMYFUNCTION("""COMPUTED_VALUE"""),"[4]")</f>
        <v>[4]</v>
      </c>
    </row>
    <row r="5">
      <c r="A5">
        <f>IFERROR(__xludf.DUMMYFUNCTION("""COMPUTED_VALUE"""),3.0)</f>
        <v>3</v>
      </c>
      <c r="B5" s="9">
        <f>IFERROR(__xludf.DUMMYFUNCTION("""COMPUTED_VALUE"""),46039.0)</f>
        <v>46039</v>
      </c>
      <c r="E5" t="str">
        <f>IFERROR(__xludf.DUMMYFUNCTION("""COMPUTED_VALUE"""),"[5]")</f>
        <v>[5]</v>
      </c>
      <c r="H5" t="str">
        <f>IFERROR(__xludf.DUMMYFUNCTION("""COMPUTED_VALUE"""),"[6]")</f>
        <v>[6]</v>
      </c>
    </row>
    <row r="6">
      <c r="A6">
        <f>IFERROR(__xludf.DUMMYFUNCTION("""COMPUTED_VALUE"""),4.0)</f>
        <v>4</v>
      </c>
      <c r="B6" s="9">
        <f>IFERROR(__xludf.DUMMYFUNCTION("""COMPUTED_VALUE"""),46046.0)</f>
        <v>46046</v>
      </c>
      <c r="C6" t="str">
        <f>IFERROR(__xludf.DUMMYFUNCTION("""COMPUTED_VALUE"""),"Gambi featuring Heuss l'Enfoiré")</f>
        <v>Gambi featuring Heuss l'Enfoiré</v>
      </c>
      <c r="D6" t="str">
        <f>IFERROR(__xludf.DUMMYFUNCTION("""COMPUTED_VALUE"""),"*Dans l'espace*")</f>
        <v>*Dans l'espace*</v>
      </c>
      <c r="E6" t="str">
        <f>IFERROR(__xludf.DUMMYFUNCTION("""COMPUTED_VALUE"""),"[7]")</f>
        <v>[7]</v>
      </c>
      <c r="H6" t="str">
        <f>IFERROR(__xludf.DUMMYFUNCTION("""COMPUTED_VALUE"""),"[8]")</f>
        <v>[8]</v>
      </c>
    </row>
    <row r="7">
      <c r="A7">
        <f>IFERROR(__xludf.DUMMYFUNCTION("""COMPUTED_VALUE"""),5.0)</f>
        <v>5</v>
      </c>
      <c r="B7" s="9">
        <f>IFERROR(__xludf.DUMMYFUNCTION("""COMPUTED_VALUE"""),46053.0)</f>
        <v>46053</v>
      </c>
      <c r="E7" t="str">
        <f>IFERROR(__xludf.DUMMYFUNCTION("""COMPUTED_VALUE"""),"[9]")</f>
        <v>[9]</v>
      </c>
      <c r="H7" t="str">
        <f>IFERROR(__xludf.DUMMYFUNCTION("""COMPUTED_VALUE"""),"[10]")</f>
        <v>[10]</v>
      </c>
    </row>
    <row r="8">
      <c r="A8">
        <f>IFERROR(__xludf.DUMMYFUNCTION("""COMPUTED_VALUE"""),6.0)</f>
        <v>6</v>
      </c>
      <c r="B8" s="9">
        <f>IFERROR(__xludf.DUMMYFUNCTION("""COMPUTED_VALUE"""),46060.0)</f>
        <v>46060</v>
      </c>
      <c r="E8" t="str">
        <f>IFERROR(__xludf.DUMMYFUNCTION("""COMPUTED_VALUE"""),"[11]")</f>
        <v>[11]</v>
      </c>
      <c r="H8" t="str">
        <f>IFERROR(__xludf.DUMMYFUNCTION("""COMPUTED_VALUE"""),"[12]")</f>
        <v>[12]</v>
      </c>
    </row>
    <row r="9">
      <c r="A9">
        <f>IFERROR(__xludf.DUMMYFUNCTION("""COMPUTED_VALUE"""),7.0)</f>
        <v>7</v>
      </c>
      <c r="B9" s="9">
        <f>IFERROR(__xludf.DUMMYFUNCTION("""COMPUTED_VALUE"""),46067.0)</f>
        <v>46067</v>
      </c>
      <c r="C9" t="str">
        <f>IFERROR(__xludf.DUMMYFUNCTION("""COMPUTED_VALUE"""),"Gradur featuring Heuss l'Enfoiré")</f>
        <v>Gradur featuring Heuss l'Enfoiré</v>
      </c>
      <c r="D9" t="str">
        <f>IFERROR(__xludf.DUMMYFUNCTION("""COMPUTED_VALUE"""),"*Ne reviens pas*")</f>
        <v>*Ne reviens pas*</v>
      </c>
      <c r="E9" t="str">
        <f>IFERROR(__xludf.DUMMYFUNCTION("""COMPUTED_VALUE"""),"[13]")</f>
        <v>[13]</v>
      </c>
      <c r="H9" t="str">
        <f>IFERROR(__xludf.DUMMYFUNCTION("""COMPUTED_VALUE"""),"[14]")</f>
        <v>[14]</v>
      </c>
    </row>
    <row r="10">
      <c r="A10">
        <f>IFERROR(__xludf.DUMMYFUNCTION("""COMPUTED_VALUE"""),8.0)</f>
        <v>8</v>
      </c>
      <c r="B10" s="9">
        <f>IFERROR(__xludf.DUMMYFUNCTION("""COMPUTED_VALUE"""),46074.0)</f>
        <v>46074</v>
      </c>
      <c r="C10" t="str">
        <f>IFERROR(__xludf.DUMMYFUNCTION("""COMPUTED_VALUE"""),"The Weeknd")</f>
        <v>The Weeknd</v>
      </c>
      <c r="D10" t="str">
        <f>IFERROR(__xludf.DUMMYFUNCTION("""COMPUTED_VALUE"""),"*Blinding Lights*")</f>
        <v>*Blinding Lights*</v>
      </c>
      <c r="E10" t="str">
        <f>IFERROR(__xludf.DUMMYFUNCTION("""COMPUTED_VALUE"""),"[15]")</f>
        <v>[15]</v>
      </c>
      <c r="H10" t="str">
        <f>IFERROR(__xludf.DUMMYFUNCTION("""COMPUTED_VALUE"""),"[16]")</f>
        <v>[16]</v>
      </c>
    </row>
    <row r="11">
      <c r="A11">
        <f>IFERROR(__xludf.DUMMYFUNCTION("""COMPUTED_VALUE"""),9.0)</f>
        <v>9</v>
      </c>
      <c r="B11" s="9">
        <f>IFERROR(__xludf.DUMMYFUNCTION("""COMPUTED_VALUE"""),46081.0)</f>
        <v>46081</v>
      </c>
      <c r="C11" t="str">
        <f>IFERROR(__xludf.DUMMYFUNCTION("""COMPUTED_VALUE"""),"Naps featuring Ninho")</f>
        <v>Naps featuring Ninho</v>
      </c>
      <c r="D11" t="str">
        <f>IFERROR(__xludf.DUMMYFUNCTION("""COMPUTED_VALUE"""),"*6.3*")</f>
        <v>*6.3*</v>
      </c>
      <c r="E11" t="str">
        <f>IFERROR(__xludf.DUMMYFUNCTION("""COMPUTED_VALUE"""),"[17]")</f>
        <v>[17]</v>
      </c>
      <c r="F11" t="str">
        <f>IFERROR(__xludf.DUMMYFUNCTION("""COMPUTED_VALUE"""),"BTS featuring Sia")</f>
        <v>BTS featuring Sia</v>
      </c>
      <c r="G11" t="str">
        <f>IFERROR(__xludf.DUMMYFUNCTION("""COMPUTED_VALUE"""),"*On*")</f>
        <v>*On*</v>
      </c>
      <c r="H11" t="str">
        <f>IFERROR(__xludf.DUMMYFUNCTION("""COMPUTED_VALUE"""),"[18]")</f>
        <v>[18]</v>
      </c>
    </row>
    <row r="12">
      <c r="A12">
        <f>IFERROR(__xludf.DUMMYFUNCTION("""COMPUTED_VALUE"""),10.0)</f>
        <v>10</v>
      </c>
      <c r="B12" s="9">
        <f>IFERROR(__xludf.DUMMYFUNCTION("""COMPUTED_VALUE"""),46087.0)</f>
        <v>46087</v>
      </c>
      <c r="E12" t="str">
        <f>IFERROR(__xludf.DUMMYFUNCTION("""COMPUTED_VALUE"""),"[19]")</f>
        <v>[19]</v>
      </c>
      <c r="F12" t="str">
        <f>IFERROR(__xludf.DUMMYFUNCTION("""COMPUTED_VALUE"""),"Lady Gaga")</f>
        <v>Lady Gaga</v>
      </c>
      <c r="G12" t="str">
        <f>IFERROR(__xludf.DUMMYFUNCTION("""COMPUTED_VALUE"""),"*Stupid Love*")</f>
        <v>*Stupid Love*</v>
      </c>
      <c r="H12" t="str">
        <f>IFERROR(__xludf.DUMMYFUNCTION("""COMPUTED_VALUE"""),"[20]")</f>
        <v>[20]</v>
      </c>
    </row>
    <row r="13">
      <c r="A13">
        <f>IFERROR(__xludf.DUMMYFUNCTION("""COMPUTED_VALUE"""),11.0)</f>
        <v>11</v>
      </c>
      <c r="B13" s="9">
        <f>IFERROR(__xludf.DUMMYFUNCTION("""COMPUTED_VALUE"""),46094.0)</f>
        <v>46094</v>
      </c>
      <c r="C13" t="str">
        <f>IFERROR(__xludf.DUMMYFUNCTION("""COMPUTED_VALUE"""),"Ninho")</f>
        <v>Ninho</v>
      </c>
      <c r="D13" t="str">
        <f>IFERROR(__xludf.DUMMYFUNCTION("""COMPUTED_VALUE"""),"*Lettre à une femme*")</f>
        <v>*Lettre à une femme*</v>
      </c>
      <c r="E13" t="str">
        <f>IFERROR(__xludf.DUMMYFUNCTION("""COMPUTED_VALUE"""),"[21]")</f>
        <v>[21]</v>
      </c>
      <c r="F13" t="str">
        <f>IFERROR(__xludf.DUMMYFUNCTION("""COMPUTED_VALUE"""),"The Weeknd")</f>
        <v>The Weeknd</v>
      </c>
      <c r="G13" t="str">
        <f>IFERROR(__xludf.DUMMYFUNCTION("""COMPUTED_VALUE"""),"*Blinding Lights*")</f>
        <v>*Blinding Lights*</v>
      </c>
      <c r="H13" t="str">
        <f>IFERROR(__xludf.DUMMYFUNCTION("""COMPUTED_VALUE"""),"[22]")</f>
        <v>[22]</v>
      </c>
    </row>
    <row r="14">
      <c r="A14">
        <f>IFERROR(__xludf.DUMMYFUNCTION("""COMPUTED_VALUE"""),12.0)</f>
        <v>12</v>
      </c>
      <c r="B14" s="9">
        <f>IFERROR(__xludf.DUMMYFUNCTION("""COMPUTED_VALUE"""),46101.0)</f>
        <v>46101</v>
      </c>
      <c r="E14" t="str">
        <f>IFERROR(__xludf.DUMMYFUNCTION("""COMPUTED_VALUE"""),"[23]")</f>
        <v>[23]</v>
      </c>
      <c r="H14" t="str">
        <f>IFERROR(__xludf.DUMMYFUNCTION("""COMPUTED_VALUE"""),"[24]")</f>
        <v>[24]</v>
      </c>
    </row>
    <row r="15">
      <c r="A15">
        <f>IFERROR(__xludf.DUMMYFUNCTION("""COMPUTED_VALUE"""),13.0)</f>
        <v>13</v>
      </c>
      <c r="B15" s="9">
        <f>IFERROR(__xludf.DUMMYFUNCTION("""COMPUTED_VALUE"""),46108.0)</f>
        <v>46108</v>
      </c>
      <c r="E15" t="str">
        <f>IFERROR(__xludf.DUMMYFUNCTION("""COMPUTED_VALUE"""),"[25]")</f>
        <v>[25]</v>
      </c>
      <c r="F15" t="str">
        <f>IFERROR(__xludf.DUMMYFUNCTION("""COMPUTED_VALUE"""),"Calogero")</f>
        <v>Calogero</v>
      </c>
      <c r="G15" t="str">
        <f>IFERROR(__xludf.DUMMYFUNCTION("""COMPUTED_VALUE"""),"*On fait comme si*")</f>
        <v>*On fait comme si*</v>
      </c>
      <c r="H15" t="str">
        <f>IFERROR(__xludf.DUMMYFUNCTION("""COMPUTED_VALUE"""),"[26]")</f>
        <v>[26]</v>
      </c>
    </row>
    <row r="16">
      <c r="A16">
        <f>IFERROR(__xludf.DUMMYFUNCTION("""COMPUTED_VALUE"""),14.0)</f>
        <v>14</v>
      </c>
      <c r="B16" s="9">
        <f>IFERROR(__xludf.DUMMYFUNCTION("""COMPUTED_VALUE"""),46115.0)</f>
        <v>46115</v>
      </c>
      <c r="E16" t="str">
        <f>IFERROR(__xludf.DUMMYFUNCTION("""COMPUTED_VALUE"""),"[27]")</f>
        <v>[27]</v>
      </c>
      <c r="H16" t="str">
        <f>IFERROR(__xludf.DUMMYFUNCTION("""COMPUTED_VALUE"""),"[28]")</f>
        <v>[28]</v>
      </c>
    </row>
    <row r="17">
      <c r="A17">
        <f>IFERROR(__xludf.DUMMYFUNCTION("""COMPUTED_VALUE"""),15.0)</f>
        <v>15</v>
      </c>
      <c r="B17" s="9">
        <f>IFERROR(__xludf.DUMMYFUNCTION("""COMPUTED_VALUE"""),46122.0)</f>
        <v>46122</v>
      </c>
      <c r="E17" t="str">
        <f>IFERROR(__xludf.DUMMYFUNCTION("""COMPUTED_VALUE"""),"[29]")</f>
        <v>[29]</v>
      </c>
      <c r="F17" t="str">
        <f>IFERROR(__xludf.DUMMYFUNCTION("""COMPUTED_VALUE"""),"Florent Pagny &amp; Pascal Obispo &amp; Marc Lavoine")</f>
        <v>Florent Pagny &amp; Pascal Obispo &amp; Marc Lavoine</v>
      </c>
      <c r="G17" t="str">
        <f>IFERROR(__xludf.DUMMYFUNCTION("""COMPUTED_VALUE"""),"*Pour les gens du secours*")</f>
        <v>*Pour les gens du secours*</v>
      </c>
      <c r="H17" t="str">
        <f>IFERROR(__xludf.DUMMYFUNCTION("""COMPUTED_VALUE"""),"[30]")</f>
        <v>[30]</v>
      </c>
    </row>
    <row r="18">
      <c r="A18">
        <f>IFERROR(__xludf.DUMMYFUNCTION("""COMPUTED_VALUE"""),16.0)</f>
        <v>16</v>
      </c>
      <c r="B18" s="9">
        <f>IFERROR(__xludf.DUMMYFUNCTION("""COMPUTED_VALUE"""),46129.0)</f>
        <v>46129</v>
      </c>
      <c r="E18" t="str">
        <f>IFERROR(__xludf.DUMMYFUNCTION("""COMPUTED_VALUE"""),"[31]")</f>
        <v>[31]</v>
      </c>
      <c r="F18" t="str">
        <f>IFERROR(__xludf.DUMMYFUNCTION("""COMPUTED_VALUE"""),"Et demain ? Le Collectif")</f>
        <v>Et demain ? Le Collectif</v>
      </c>
      <c r="G18" t="str">
        <f>IFERROR(__xludf.DUMMYFUNCTION("""COMPUTED_VALUE"""),"*Et demain ?*")</f>
        <v>*Et demain ?*</v>
      </c>
      <c r="H18" t="str">
        <f>IFERROR(__xludf.DUMMYFUNCTION("""COMPUTED_VALUE"""),"[32]")</f>
        <v>[32]</v>
      </c>
    </row>
    <row r="19">
      <c r="A19">
        <f>IFERROR(__xludf.DUMMYFUNCTION("""COMPUTED_VALUE"""),17.0)</f>
        <v>17</v>
      </c>
      <c r="B19" s="9">
        <f>IFERROR(__xludf.DUMMYFUNCTION("""COMPUTED_VALUE"""),46136.0)</f>
        <v>46136</v>
      </c>
      <c r="C19" t="str">
        <f>IFERROR(__xludf.DUMMYFUNCTION("""COMPUTED_VALUE"""),"The Weeknd")</f>
        <v>The Weeknd</v>
      </c>
      <c r="D19" t="str">
        <f>IFERROR(__xludf.DUMMYFUNCTION("""COMPUTED_VALUE"""),"*Blinding Lights*")</f>
        <v>*Blinding Lights*</v>
      </c>
      <c r="E19" t="str">
        <f>IFERROR(__xludf.DUMMYFUNCTION("""COMPUTED_VALUE"""),"[33]")</f>
        <v>[33]</v>
      </c>
      <c r="F19" t="str">
        <f>IFERROR(__xludf.DUMMYFUNCTION("""COMPUTED_VALUE"""),"Christophe")</f>
        <v>Christophe</v>
      </c>
      <c r="G19" t="str">
        <f>IFERROR(__xludf.DUMMYFUNCTION("""COMPUTED_VALUE"""),"*Les mots bleus*")</f>
        <v>*Les mots bleus*</v>
      </c>
      <c r="H19" t="str">
        <f>IFERROR(__xludf.DUMMYFUNCTION("""COMPUTED_VALUE"""),"[34]")</f>
        <v>[34]</v>
      </c>
    </row>
    <row r="20">
      <c r="A20">
        <f>IFERROR(__xludf.DUMMYFUNCTION("""COMPUTED_VALUE"""),18.0)</f>
        <v>18</v>
      </c>
      <c r="B20" t="str">
        <f>IFERROR(__xludf.DUMMYFUNCTION("""COMPUTED_VALUE"""),"1er mai")</f>
        <v>1er mai</v>
      </c>
      <c r="E20" t="str">
        <f>IFERROR(__xludf.DUMMYFUNCTION("""COMPUTED_VALUE"""),"[35]")</f>
        <v>[35]</v>
      </c>
      <c r="F20" t="str">
        <f>IFERROR(__xludf.DUMMYFUNCTION("""COMPUTED_VALUE"""),"The Rolling Stones")</f>
        <v>The Rolling Stones</v>
      </c>
      <c r="G20" t="str">
        <f>IFERROR(__xludf.DUMMYFUNCTION("""COMPUTED_VALUE"""),"*Living in a Ghost Town*")</f>
        <v>*Living in a Ghost Town*</v>
      </c>
      <c r="H20" t="str">
        <f>IFERROR(__xludf.DUMMYFUNCTION("""COMPUTED_VALUE"""),"[36]")</f>
        <v>[36]</v>
      </c>
    </row>
    <row r="21">
      <c r="A21">
        <f>IFERROR(__xludf.DUMMYFUNCTION("""COMPUTED_VALUE"""),19.0)</f>
        <v>19</v>
      </c>
      <c r="B21" s="9">
        <f>IFERROR(__xludf.DUMMYFUNCTION("""COMPUTED_VALUE"""),46150.0)</f>
        <v>46150</v>
      </c>
      <c r="E21" t="str">
        <f>IFERROR(__xludf.DUMMYFUNCTION("""COMPUTED_VALUE"""),"[37]")</f>
        <v>[37]</v>
      </c>
      <c r="F21" t="str">
        <f>IFERROR(__xludf.DUMMYFUNCTION("""COMPUTED_VALUE"""),"Idir")</f>
        <v>Idir</v>
      </c>
      <c r="G21" t="str">
        <f>IFERROR(__xludf.DUMMYFUNCTION("""COMPUTED_VALUE"""),"*A Vava Inouva*")</f>
        <v>*A Vava Inouva*</v>
      </c>
      <c r="H21" t="str">
        <f>IFERROR(__xludf.DUMMYFUNCTION("""COMPUTED_VALUE"""),"[38]")</f>
        <v>[38]</v>
      </c>
    </row>
    <row r="22">
      <c r="A22">
        <f>IFERROR(__xludf.DUMMYFUNCTION("""COMPUTED_VALUE"""),20.0)</f>
        <v>20</v>
      </c>
      <c r="B22" s="9">
        <f>IFERROR(__xludf.DUMMYFUNCTION("""COMPUTED_VALUE"""),46157.0)</f>
        <v>46157</v>
      </c>
      <c r="C22" t="str">
        <f>IFERROR(__xludf.DUMMYFUNCTION("""COMPUTED_VALUE"""),"Booba featuring Zed")</f>
        <v>Booba featuring Zed</v>
      </c>
      <c r="D22" t="str">
        <f>IFERROR(__xludf.DUMMYFUNCTION("""COMPUTED_VALUE"""),"*Jauné*")</f>
        <v>*Jauné*</v>
      </c>
      <c r="E22" t="str">
        <f>IFERROR(__xludf.DUMMYFUNCTION("""COMPUTED_VALUE"""),"[39]")</f>
        <v>[39]</v>
      </c>
      <c r="F22" t="str">
        <f>IFERROR(__xludf.DUMMYFUNCTION("""COMPUTED_VALUE"""),"Ariana Grande &amp; Justin Bieber")</f>
        <v>Ariana Grande &amp; Justin Bieber</v>
      </c>
      <c r="G22" t="str">
        <f>IFERROR(__xludf.DUMMYFUNCTION("""COMPUTED_VALUE"""),"*Stuck with U*")</f>
        <v>*Stuck with U*</v>
      </c>
      <c r="H22" t="str">
        <f>IFERROR(__xludf.DUMMYFUNCTION("""COMPUTED_VALUE"""),"[40]")</f>
        <v>[40]</v>
      </c>
    </row>
    <row r="23">
      <c r="A23">
        <f>IFERROR(__xludf.DUMMYFUNCTION("""COMPUTED_VALUE"""),21.0)</f>
        <v>21</v>
      </c>
      <c r="B23" s="9">
        <f>IFERROR(__xludf.DUMMYFUNCTION("""COMPUTED_VALUE"""),46164.0)</f>
        <v>46164</v>
      </c>
      <c r="E23" t="str">
        <f>IFERROR(__xludf.DUMMYFUNCTION("""COMPUTED_VALUE"""),"[41]")</f>
        <v>[41]</v>
      </c>
      <c r="F23" t="str">
        <f>IFERROR(__xludf.DUMMYFUNCTION("""COMPUTED_VALUE"""),"The Weeknd")</f>
        <v>The Weeknd</v>
      </c>
      <c r="G23" t="str">
        <f>IFERROR(__xludf.DUMMYFUNCTION("""COMPUTED_VALUE"""),"*Blinding Lights*")</f>
        <v>*Blinding Lights*</v>
      </c>
      <c r="H23" t="str">
        <f>IFERROR(__xludf.DUMMYFUNCTION("""COMPUTED_VALUE"""),"[42]")</f>
        <v>[42]</v>
      </c>
    </row>
    <row r="24">
      <c r="A24">
        <f>IFERROR(__xludf.DUMMYFUNCTION("""COMPUTED_VALUE"""),22.0)</f>
        <v>22</v>
      </c>
      <c r="B24" s="9">
        <f>IFERROR(__xludf.DUMMYFUNCTION("""COMPUTED_VALUE"""),46171.0)</f>
        <v>46171</v>
      </c>
      <c r="C24" t="str">
        <f>IFERROR(__xludf.DUMMYFUNCTION("""COMPUTED_VALUE"""),"Hatik")</f>
        <v>Hatik</v>
      </c>
      <c r="D24" t="str">
        <f>IFERROR(__xludf.DUMMYFUNCTION("""COMPUTED_VALUE"""),"*Angela*")</f>
        <v>*Angela*</v>
      </c>
      <c r="E24" t="str">
        <f>IFERROR(__xludf.DUMMYFUNCTION("""COMPUTED_VALUE"""),"[43]")</f>
        <v>[43]</v>
      </c>
      <c r="F24" t="str">
        <f>IFERROR(__xludf.DUMMYFUNCTION("""COMPUTED_VALUE"""),"Indochine")</f>
        <v>Indochine</v>
      </c>
      <c r="G24" t="str">
        <f>IFERROR(__xludf.DUMMYFUNCTION("""COMPUTED_VALUE"""),"*Nos célébrations*")</f>
        <v>*Nos célébrations*</v>
      </c>
      <c r="H24" t="str">
        <f>IFERROR(__xludf.DUMMYFUNCTION("""COMPUTED_VALUE"""),"[44]")</f>
        <v>[44]</v>
      </c>
    </row>
    <row r="25">
      <c r="A25">
        <f>IFERROR(__xludf.DUMMYFUNCTION("""COMPUTED_VALUE"""),23.0)</f>
        <v>23</v>
      </c>
      <c r="B25" s="9">
        <f>IFERROR(__xludf.DUMMYFUNCTION("""COMPUTED_VALUE"""),46178.0)</f>
        <v>46178</v>
      </c>
      <c r="E25" t="str">
        <f>IFERROR(__xludf.DUMMYFUNCTION("""COMPUTED_VALUE"""),"[45]")</f>
        <v>[45]</v>
      </c>
      <c r="H25" t="str">
        <f>IFERROR(__xludf.DUMMYFUNCTION("""COMPUTED_VALUE"""),"[46]")</f>
        <v>[46]</v>
      </c>
    </row>
    <row r="26">
      <c r="A26">
        <f>IFERROR(__xludf.DUMMYFUNCTION("""COMPUTED_VALUE"""),24.0)</f>
        <v>24</v>
      </c>
      <c r="B26" s="9">
        <f>IFERROR(__xludf.DUMMYFUNCTION("""COMPUTED_VALUE"""),46185.0)</f>
        <v>46185</v>
      </c>
      <c r="C26" t="str">
        <f>IFERROR(__xludf.DUMMYFUNCTION("""COMPUTED_VALUE"""),"Bosh")</f>
        <v>Bosh</v>
      </c>
      <c r="D26" t="str">
        <f>IFERROR(__xludf.DUMMYFUNCTION("""COMPUTED_VALUE"""),"*Djomb*")</f>
        <v>*Djomb*</v>
      </c>
      <c r="E26" t="str">
        <f>IFERROR(__xludf.DUMMYFUNCTION("""COMPUTED_VALUE"""),"[47]")</f>
        <v>[47]</v>
      </c>
      <c r="H26" t="str">
        <f>IFERROR(__xludf.DUMMYFUNCTION("""COMPUTED_VALUE"""),"[48]")</f>
        <v>[48]</v>
      </c>
    </row>
    <row r="27">
      <c r="A27">
        <f>IFERROR(__xludf.DUMMYFUNCTION("""COMPUTED_VALUE"""),25.0)</f>
        <v>25</v>
      </c>
      <c r="B27" s="9">
        <f>IFERROR(__xludf.DUMMYFUNCTION("""COMPUTED_VALUE"""),46192.0)</f>
        <v>46192</v>
      </c>
      <c r="E27" t="str">
        <f>IFERROR(__xludf.DUMMYFUNCTION("""COMPUTED_VALUE"""),"[49]")</f>
        <v>[49]</v>
      </c>
      <c r="F27" t="str">
        <f>IFERROR(__xludf.DUMMYFUNCTION("""COMPUTED_VALUE"""),"Kendji Girac")</f>
        <v>Kendji Girac</v>
      </c>
      <c r="G27" t="str">
        <f>IFERROR(__xludf.DUMMYFUNCTION("""COMPUTED_VALUE"""),"*Habibi*")</f>
        <v>*Habibi*</v>
      </c>
      <c r="H27" t="str">
        <f>IFERROR(__xludf.DUMMYFUNCTION("""COMPUTED_VALUE"""),"[50]")</f>
        <v>[50]</v>
      </c>
    </row>
    <row r="28">
      <c r="A28">
        <f>IFERROR(__xludf.DUMMYFUNCTION("""COMPUTED_VALUE"""),26.0)</f>
        <v>26</v>
      </c>
      <c r="B28" s="9">
        <f>IFERROR(__xludf.DUMMYFUNCTION("""COMPUTED_VALUE"""),46199.0)</f>
        <v>46199</v>
      </c>
      <c r="E28" t="str">
        <f>IFERROR(__xludf.DUMMYFUNCTION("""COMPUTED_VALUE"""),"[51]")</f>
        <v>[51]</v>
      </c>
      <c r="F28" t="str">
        <f>IFERROR(__xludf.DUMMYFUNCTION("""COMPUTED_VALUE"""),"Grand Corps Malade &amp; Camille Lellouche")</f>
        <v>Grand Corps Malade &amp; Camille Lellouche</v>
      </c>
      <c r="G28" t="str">
        <f>IFERROR(__xludf.DUMMYFUNCTION("""COMPUTED_VALUE"""),"*Mais je t'aime*")</f>
        <v>*Mais je t'aime*</v>
      </c>
      <c r="H28" t="str">
        <f>IFERROR(__xludf.DUMMYFUNCTION("""COMPUTED_VALUE"""),"[52]")</f>
        <v>[52]</v>
      </c>
    </row>
    <row r="29">
      <c r="A29">
        <f>IFERROR(__xludf.DUMMYFUNCTION("""COMPUTED_VALUE"""),27.0)</f>
        <v>27</v>
      </c>
      <c r="B29" s="9">
        <f>IFERROR(__xludf.DUMMYFUNCTION("""COMPUTED_VALUE"""),46206.0)</f>
        <v>46206</v>
      </c>
      <c r="E29" t="str">
        <f>IFERROR(__xludf.DUMMYFUNCTION("""COMPUTED_VALUE"""),"[53]")</f>
        <v>[53]</v>
      </c>
      <c r="H29" t="str">
        <f>IFERROR(__xludf.DUMMYFUNCTION("""COMPUTED_VALUE"""),"[54]")</f>
        <v>[54]</v>
      </c>
    </row>
    <row r="30">
      <c r="A30">
        <f>IFERROR(__xludf.DUMMYFUNCTION("""COMPUTED_VALUE"""),28.0)</f>
        <v>28</v>
      </c>
      <c r="B30" s="9">
        <f>IFERROR(__xludf.DUMMYFUNCTION("""COMPUTED_VALUE"""),46213.0)</f>
        <v>46213</v>
      </c>
      <c r="E30" t="str">
        <f>IFERROR(__xludf.DUMMYFUNCTION("""COMPUTED_VALUE"""),"[55]")</f>
        <v>[55]</v>
      </c>
      <c r="H30" t="str">
        <f>IFERROR(__xludf.DUMMYFUNCTION("""COMPUTED_VALUE"""),"[56]")</f>
        <v>[56]</v>
      </c>
    </row>
    <row r="31">
      <c r="A31">
        <f>IFERROR(__xludf.DUMMYFUNCTION("""COMPUTED_VALUE"""),29.0)</f>
        <v>29</v>
      </c>
      <c r="B31" s="9">
        <f>IFERROR(__xludf.DUMMYFUNCTION("""COMPUTED_VALUE"""),46220.0)</f>
        <v>46220</v>
      </c>
      <c r="C31" t="str">
        <f>IFERROR(__xludf.DUMMYFUNCTION("""COMPUTED_VALUE"""),"Dadju &amp; Ninho")</f>
        <v>Dadju &amp; Ninho</v>
      </c>
      <c r="D31" t="str">
        <f>IFERROR(__xludf.DUMMYFUNCTION("""COMPUTED_VALUE"""),"*Grand bain*")</f>
        <v>*Grand bain*</v>
      </c>
      <c r="E31" t="str">
        <f>IFERROR(__xludf.DUMMYFUNCTION("""COMPUTED_VALUE"""),"[57]")</f>
        <v>[57]</v>
      </c>
      <c r="F31" t="str">
        <f>IFERROR(__xludf.DUMMYFUNCTION("""COMPUTED_VALUE"""),"Master KG featuring Burna Boy &amp; Nomcebo Zikode")</f>
        <v>Master KG featuring Burna Boy &amp; Nomcebo Zikode</v>
      </c>
      <c r="G31" t="str">
        <f>IFERROR(__xludf.DUMMYFUNCTION("""COMPUTED_VALUE"""),"*Jerusalema (remix)*")</f>
        <v>*Jerusalema (remix)*</v>
      </c>
      <c r="H31" t="str">
        <f>IFERROR(__xludf.DUMMYFUNCTION("""COMPUTED_VALUE"""),"[58]")</f>
        <v>[58]</v>
      </c>
    </row>
    <row r="32">
      <c r="A32">
        <f>IFERROR(__xludf.DUMMYFUNCTION("""COMPUTED_VALUE"""),30.0)</f>
        <v>30</v>
      </c>
      <c r="B32" s="9">
        <f>IFERROR(__xludf.DUMMYFUNCTION("""COMPUTED_VALUE"""),46227.0)</f>
        <v>46227</v>
      </c>
      <c r="C32" t="str">
        <f>IFERROR(__xludf.DUMMYFUNCTION("""COMPUTED_VALUE"""),"Aya Nakamura")</f>
        <v>Aya Nakamura</v>
      </c>
      <c r="D32" t="str">
        <f>IFERROR(__xludf.DUMMYFUNCTION("""COMPUTED_VALUE"""),"*Jolie Nana*")</f>
        <v>*Jolie Nana*</v>
      </c>
      <c r="E32" t="str">
        <f>IFERROR(__xludf.DUMMYFUNCTION("""COMPUTED_VALUE"""),"[59]")</f>
        <v>[59]</v>
      </c>
      <c r="H32" t="str">
        <f>IFERROR(__xludf.DUMMYFUNCTION("""COMPUTED_VALUE"""),"[60]")</f>
        <v>[60]</v>
      </c>
    </row>
    <row r="33">
      <c r="A33">
        <f>IFERROR(__xludf.DUMMYFUNCTION("""COMPUTED_VALUE"""),31.0)</f>
        <v>31</v>
      </c>
      <c r="B33" s="9">
        <f>IFERROR(__xludf.DUMMYFUNCTION("""COMPUTED_VALUE"""),46234.0)</f>
        <v>46234</v>
      </c>
      <c r="E33" t="str">
        <f>IFERROR(__xludf.DUMMYFUNCTION("""COMPUTED_VALUE"""),"[61]")</f>
        <v>[61]</v>
      </c>
      <c r="H33" t="str">
        <f>IFERROR(__xludf.DUMMYFUNCTION("""COMPUTED_VALUE"""),"[62]")</f>
        <v>[62]</v>
      </c>
    </row>
    <row r="34">
      <c r="A34">
        <f>IFERROR(__xludf.DUMMYFUNCTION("""COMPUTED_VALUE"""),32.0)</f>
        <v>32</v>
      </c>
      <c r="B34" s="9">
        <f>IFERROR(__xludf.DUMMYFUNCTION("""COMPUTED_VALUE"""),46241.0)</f>
        <v>46241</v>
      </c>
      <c r="E34" t="str">
        <f>IFERROR(__xludf.DUMMYFUNCTION("""COMPUTED_VALUE"""),"[63]")</f>
        <v>[63]</v>
      </c>
      <c r="H34" t="str">
        <f>IFERROR(__xludf.DUMMYFUNCTION("""COMPUTED_VALUE"""),"[64]")</f>
        <v>[64]</v>
      </c>
    </row>
    <row r="35">
      <c r="A35">
        <f>IFERROR(__xludf.DUMMYFUNCTION("""COMPUTED_VALUE"""),33.0)</f>
        <v>33</v>
      </c>
      <c r="B35" s="9">
        <f>IFERROR(__xludf.DUMMYFUNCTION("""COMPUTED_VALUE"""),46248.0)</f>
        <v>46248</v>
      </c>
      <c r="E35" t="str">
        <f>IFERROR(__xludf.DUMMYFUNCTION("""COMPUTED_VALUE"""),"[65]")</f>
        <v>[65]</v>
      </c>
      <c r="H35" t="str">
        <f>IFERROR(__xludf.DUMMYFUNCTION("""COMPUTED_VALUE"""),"[66]")</f>
        <v>[66]</v>
      </c>
    </row>
    <row r="36">
      <c r="A36">
        <f>IFERROR(__xludf.DUMMYFUNCTION("""COMPUTED_VALUE"""),34.0)</f>
        <v>34</v>
      </c>
      <c r="B36" s="9">
        <f>IFERROR(__xludf.DUMMYFUNCTION("""COMPUTED_VALUE"""),46255.0)</f>
        <v>46255</v>
      </c>
      <c r="C36" t="str">
        <f>IFERROR(__xludf.DUMMYFUNCTION("""COMPUTED_VALUE"""),"SCH &amp; Kofs &amp; Jul &amp; Naps &amp; Soso Maness &amp; Elams &amp; Solda &amp; Houari")</f>
        <v>SCH &amp; Kofs &amp; Jul &amp; Naps &amp; Soso Maness &amp; Elams &amp; Solda &amp; Houari</v>
      </c>
      <c r="D36" t="str">
        <f>IFERROR(__xludf.DUMMYFUNCTION("""COMPUTED_VALUE"""),"*Bande organisée*")</f>
        <v>*Bande organisée*</v>
      </c>
      <c r="E36" t="str">
        <f>IFERROR(__xludf.DUMMYFUNCTION("""COMPUTED_VALUE"""),"[67]")</f>
        <v>[67]</v>
      </c>
      <c r="H36" t="str">
        <f>IFERROR(__xludf.DUMMYFUNCTION("""COMPUTED_VALUE"""),"[68]")</f>
        <v>[68]</v>
      </c>
    </row>
    <row r="37">
      <c r="A37">
        <f>IFERROR(__xludf.DUMMYFUNCTION("""COMPUTED_VALUE"""),35.0)</f>
        <v>35</v>
      </c>
      <c r="B37" s="9">
        <f>IFERROR(__xludf.DUMMYFUNCTION("""COMPUTED_VALUE"""),46262.0)</f>
        <v>46262</v>
      </c>
      <c r="E37" t="str">
        <f>IFERROR(__xludf.DUMMYFUNCTION("""COMPUTED_VALUE"""),"[69]")</f>
        <v>[69]</v>
      </c>
      <c r="F37" t="str">
        <f>IFERROR(__xludf.DUMMYFUNCTION("""COMPUTED_VALUE"""),"BTS")</f>
        <v>BTS</v>
      </c>
      <c r="G37" t="str">
        <f>IFERROR(__xludf.DUMMYFUNCTION("""COMPUTED_VALUE"""),"*Dynamite*")</f>
        <v>*Dynamite*</v>
      </c>
      <c r="H37" t="str">
        <f>IFERROR(__xludf.DUMMYFUNCTION("""COMPUTED_VALUE"""),"[70]")</f>
        <v>[70]</v>
      </c>
    </row>
    <row r="38">
      <c r="A38">
        <f>IFERROR(__xludf.DUMMYFUNCTION("""COMPUTED_VALUE"""),36.0)</f>
        <v>36</v>
      </c>
      <c r="B38" s="9">
        <f>IFERROR(__xludf.DUMMYFUNCTION("""COMPUTED_VALUE"""),46269.0)</f>
        <v>46269</v>
      </c>
      <c r="E38" t="str">
        <f>IFERROR(__xludf.DUMMYFUNCTION("""COMPUTED_VALUE"""),"[71]")</f>
        <v>[71]</v>
      </c>
      <c r="F38" t="str">
        <f>IFERROR(__xludf.DUMMYFUNCTION("""COMPUTED_VALUE"""),"Master KG featuring Burna Boy &amp; Nomcebo Zikode")</f>
        <v>Master KG featuring Burna Boy &amp; Nomcebo Zikode</v>
      </c>
      <c r="G38" t="str">
        <f>IFERROR(__xludf.DUMMYFUNCTION("""COMPUTED_VALUE"""),"*Jerusalema (remix)*")</f>
        <v>*Jerusalema (remix)*</v>
      </c>
      <c r="H38" t="str">
        <f>IFERROR(__xludf.DUMMYFUNCTION("""COMPUTED_VALUE"""),"[72]")</f>
        <v>[72]</v>
      </c>
    </row>
    <row r="39">
      <c r="A39">
        <f>IFERROR(__xludf.DUMMYFUNCTION("""COMPUTED_VALUE"""),37.0)</f>
        <v>37</v>
      </c>
      <c r="B39" s="9">
        <f>IFERROR(__xludf.DUMMYFUNCTION("""COMPUTED_VALUE"""),46276.0)</f>
        <v>46276</v>
      </c>
      <c r="E39" t="str">
        <f>IFERROR(__xludf.DUMMYFUNCTION("""COMPUTED_VALUE"""),"[73]")</f>
        <v>[73]</v>
      </c>
      <c r="H39" t="str">
        <f>IFERROR(__xludf.DUMMYFUNCTION("""COMPUTED_VALUE"""),"[74]")</f>
        <v>[74]</v>
      </c>
    </row>
    <row r="40">
      <c r="A40">
        <f>IFERROR(__xludf.DUMMYFUNCTION("""COMPUTED_VALUE"""),38.0)</f>
        <v>38</v>
      </c>
      <c r="B40" s="9">
        <f>IFERROR(__xludf.DUMMYFUNCTION("""COMPUTED_VALUE"""),46283.0)</f>
        <v>46283</v>
      </c>
      <c r="E40" t="str">
        <f>IFERROR(__xludf.DUMMYFUNCTION("""COMPUTED_VALUE"""),"[75]")</f>
        <v>[75]</v>
      </c>
      <c r="H40" t="str">
        <f>IFERROR(__xludf.DUMMYFUNCTION("""COMPUTED_VALUE"""),"[76]")</f>
        <v>[76]</v>
      </c>
    </row>
    <row r="41">
      <c r="A41">
        <f>IFERROR(__xludf.DUMMYFUNCTION("""COMPUTED_VALUE"""),39.0)</f>
        <v>39</v>
      </c>
      <c r="B41" s="9">
        <f>IFERROR(__xludf.DUMMYFUNCTION("""COMPUTED_VALUE"""),46290.0)</f>
        <v>46290</v>
      </c>
      <c r="E41" t="str">
        <f>IFERROR(__xludf.DUMMYFUNCTION("""COMPUTED_VALUE"""),"[77]")</f>
        <v>[77]</v>
      </c>
      <c r="H41" t="str">
        <f>IFERROR(__xludf.DUMMYFUNCTION("""COMPUTED_VALUE"""),"[78]")</f>
        <v>[78]</v>
      </c>
    </row>
    <row r="42">
      <c r="A42">
        <f>IFERROR(__xludf.DUMMYFUNCTION("""COMPUTED_VALUE"""),40.0)</f>
        <v>40</v>
      </c>
      <c r="B42" s="9">
        <f>IFERROR(__xludf.DUMMYFUNCTION("""COMPUTED_VALUE"""),46297.0)</f>
        <v>46297</v>
      </c>
      <c r="E42" t="str">
        <f>IFERROR(__xludf.DUMMYFUNCTION("""COMPUTED_VALUE"""),"[79]")</f>
        <v>[79]</v>
      </c>
      <c r="H42" t="str">
        <f>IFERROR(__xludf.DUMMYFUNCTION("""COMPUTED_VALUE"""),"[80]")</f>
        <v>[80]</v>
      </c>
    </row>
    <row r="43">
      <c r="A43">
        <f>IFERROR(__xludf.DUMMYFUNCTION("""COMPUTED_VALUE"""),41.0)</f>
        <v>41</v>
      </c>
      <c r="B43" s="9">
        <f>IFERROR(__xludf.DUMMYFUNCTION("""COMPUTED_VALUE"""),46304.0)</f>
        <v>46304</v>
      </c>
      <c r="E43" t="str">
        <f>IFERROR(__xludf.DUMMYFUNCTION("""COMPUTED_VALUE"""),"[81]")</f>
        <v>[81]</v>
      </c>
      <c r="H43" t="str">
        <f>IFERROR(__xludf.DUMMYFUNCTION("""COMPUTED_VALUE"""),"[82]")</f>
        <v>[82]</v>
      </c>
    </row>
    <row r="44">
      <c r="A44">
        <f>IFERROR(__xludf.DUMMYFUNCTION("""COMPUTED_VALUE"""),42.0)</f>
        <v>42</v>
      </c>
      <c r="B44" s="9">
        <f>IFERROR(__xludf.DUMMYFUNCTION("""COMPUTED_VALUE"""),46311.0)</f>
        <v>46311</v>
      </c>
      <c r="E44" t="str">
        <f>IFERROR(__xludf.DUMMYFUNCTION("""COMPUTED_VALUE"""),"[83]")</f>
        <v>[83]</v>
      </c>
      <c r="F44" t="str">
        <f>IFERROR(__xludf.DUMMYFUNCTION("""COMPUTED_VALUE"""),"Johnny Hallyday")</f>
        <v>Johnny Hallyday</v>
      </c>
      <c r="G44" t="str">
        <f>IFERROR(__xludf.DUMMYFUNCTION("""COMPUTED_VALUE"""),"*Deux sortes d'hommes* / *Nashville Blues (Live)*")</f>
        <v>*Deux sortes d'hommes* / *Nashville Blues (Live)*</v>
      </c>
      <c r="H44" t="str">
        <f>IFERROR(__xludf.DUMMYFUNCTION("""COMPUTED_VALUE"""),"[84]")</f>
        <v>[84]</v>
      </c>
    </row>
    <row r="45">
      <c r="A45">
        <f>IFERROR(__xludf.DUMMYFUNCTION("""COMPUTED_VALUE"""),43.0)</f>
        <v>43</v>
      </c>
      <c r="B45" s="9">
        <f>IFERROR(__xludf.DUMMYFUNCTION("""COMPUTED_VALUE"""),46318.0)</f>
        <v>46318</v>
      </c>
      <c r="E45" t="str">
        <f>IFERROR(__xludf.DUMMYFUNCTION("""COMPUTED_VALUE"""),"[85]")</f>
        <v>[85]</v>
      </c>
      <c r="F45" t="str">
        <f>IFERROR(__xludf.DUMMYFUNCTION("""COMPUTED_VALUE"""),"Master KG featuring Burna Boy &amp; Nomcebo Zikode")</f>
        <v>Master KG featuring Burna Boy &amp; Nomcebo Zikode</v>
      </c>
      <c r="G45" t="str">
        <f>IFERROR(__xludf.DUMMYFUNCTION("""COMPUTED_VALUE"""),"*Jerusalema (remix)*")</f>
        <v>*Jerusalema (remix)*</v>
      </c>
      <c r="H45" t="str">
        <f>IFERROR(__xludf.DUMMYFUNCTION("""COMPUTED_VALUE"""),"[86]")</f>
        <v>[86]</v>
      </c>
    </row>
    <row r="46">
      <c r="A46">
        <f>IFERROR(__xludf.DUMMYFUNCTION("""COMPUTED_VALUE"""),44.0)</f>
        <v>44</v>
      </c>
      <c r="B46" s="9">
        <f>IFERROR(__xludf.DUMMYFUNCTION("""COMPUTED_VALUE"""),46325.0)</f>
        <v>46325</v>
      </c>
      <c r="E46" t="str">
        <f>IFERROR(__xludf.DUMMYFUNCTION("""COMPUTED_VALUE"""),"[87]")</f>
        <v>[87]</v>
      </c>
      <c r="H46" t="str">
        <f>IFERROR(__xludf.DUMMYFUNCTION("""COMPUTED_VALUE"""),"[88]")</f>
        <v>[88]</v>
      </c>
    </row>
    <row r="47">
      <c r="A47">
        <f>IFERROR(__xludf.DUMMYFUNCTION("""COMPUTED_VALUE"""),45.0)</f>
        <v>45</v>
      </c>
      <c r="B47" s="9">
        <f>IFERROR(__xludf.DUMMYFUNCTION("""COMPUTED_VALUE"""),46332.0)</f>
        <v>46332</v>
      </c>
      <c r="E47" t="str">
        <f>IFERROR(__xludf.DUMMYFUNCTION("""COMPUTED_VALUE"""),"[89]")</f>
        <v>[89]</v>
      </c>
      <c r="H47" t="str">
        <f>IFERROR(__xludf.DUMMYFUNCTION("""COMPUTED_VALUE"""),"[90]")</f>
        <v>[90]</v>
      </c>
    </row>
    <row r="48">
      <c r="A48">
        <f>IFERROR(__xludf.DUMMYFUNCTION("""COMPUTED_VALUE"""),46.0)</f>
        <v>46</v>
      </c>
      <c r="B48" s="9">
        <f>IFERROR(__xludf.DUMMYFUNCTION("""COMPUTED_VALUE"""),46339.0)</f>
        <v>46339</v>
      </c>
      <c r="C48" t="str">
        <f>IFERROR(__xludf.DUMMYFUNCTION("""COMPUTED_VALUE"""),"Booba")</f>
        <v>Booba</v>
      </c>
      <c r="D48" t="str">
        <f>IFERROR(__xludf.DUMMYFUNCTION("""COMPUTED_VALUE"""),"*5G*")</f>
        <v>*5G*</v>
      </c>
      <c r="E48" t="str">
        <f>IFERROR(__xludf.DUMMYFUNCTION("""COMPUTED_VALUE"""),"[91]")</f>
        <v>[91]</v>
      </c>
      <c r="H48" t="str">
        <f>IFERROR(__xludf.DUMMYFUNCTION("""COMPUTED_VALUE"""),"[92]")</f>
        <v>[92]</v>
      </c>
    </row>
    <row r="49">
      <c r="A49">
        <f>IFERROR(__xludf.DUMMYFUNCTION("""COMPUTED_VALUE"""),47.0)</f>
        <v>47</v>
      </c>
      <c r="B49" s="9">
        <f>IFERROR(__xludf.DUMMYFUNCTION("""COMPUTED_VALUE"""),46346.0)</f>
        <v>46346</v>
      </c>
      <c r="C49" t="str">
        <f>IFERROR(__xludf.DUMMYFUNCTION("""COMPUTED_VALUE"""),"Aya Nakamura featuring Stormzy")</f>
        <v>Aya Nakamura featuring Stormzy</v>
      </c>
      <c r="D49" t="str">
        <f>IFERROR(__xludf.DUMMYFUNCTION("""COMPUTED_VALUE"""),"*Plus jamais*")</f>
        <v>*Plus jamais*</v>
      </c>
      <c r="E49" t="str">
        <f>IFERROR(__xludf.DUMMYFUNCTION("""COMPUTED_VALUE"""),"[93]")</f>
        <v>[93]</v>
      </c>
      <c r="H49" t="str">
        <f>IFERROR(__xludf.DUMMYFUNCTION("""COMPUTED_VALUE"""),"[94]")</f>
        <v>[94]</v>
      </c>
    </row>
    <row r="50">
      <c r="A50">
        <f>IFERROR(__xludf.DUMMYFUNCTION("""COMPUTED_VALUE"""),48.0)</f>
        <v>48</v>
      </c>
      <c r="B50" s="9">
        <f>IFERROR(__xludf.DUMMYFUNCTION("""COMPUTED_VALUE"""),46353.0)</f>
        <v>46353</v>
      </c>
      <c r="C50" t="str">
        <f>IFERROR(__xludf.DUMMYFUNCTION("""COMPUTED_VALUE"""),"Zola featuring SCH")</f>
        <v>Zola featuring SCH</v>
      </c>
      <c r="D50" t="str">
        <f>IFERROR(__xludf.DUMMYFUNCTION("""COMPUTED_VALUE"""),"*9 1 1 3*")</f>
        <v>*9 1 1 3*</v>
      </c>
      <c r="E50" t="str">
        <f>IFERROR(__xludf.DUMMYFUNCTION("""COMPUTED_VALUE"""),"[95]")</f>
        <v>[95]</v>
      </c>
      <c r="F50" t="str">
        <f>IFERROR(__xludf.DUMMYFUNCTION("""COMPUTED_VALUE"""),"BTS")</f>
        <v>BTS</v>
      </c>
      <c r="G50" t="str">
        <f>IFERROR(__xludf.DUMMYFUNCTION("""COMPUTED_VALUE"""),"*Life Goes On*")</f>
        <v>*Life Goes On*</v>
      </c>
      <c r="H50" t="str">
        <f>IFERROR(__xludf.DUMMYFUNCTION("""COMPUTED_VALUE"""),"[96]")</f>
        <v>[96]</v>
      </c>
    </row>
    <row r="51">
      <c r="A51">
        <f>IFERROR(__xludf.DUMMYFUNCTION("""COMPUTED_VALUE"""),49.0)</f>
        <v>49</v>
      </c>
      <c r="B51" s="9">
        <f>IFERROR(__xludf.DUMMYFUNCTION("""COMPUTED_VALUE"""),46360.0)</f>
        <v>46360</v>
      </c>
      <c r="C51" t="str">
        <f>IFERROR(__xludf.DUMMYFUNCTION("""COMPUTED_VALUE"""),"Dinos featuring Nekfeu")</f>
        <v>Dinos featuring Nekfeu</v>
      </c>
      <c r="D51" t="str">
        <f>IFERROR(__xludf.DUMMYFUNCTION("""COMPUTED_VALUE"""),"*Moins un*")</f>
        <v>*Moins un*</v>
      </c>
      <c r="E51" t="str">
        <f>IFERROR(__xludf.DUMMYFUNCTION("""COMPUTED_VALUE"""),"[97]")</f>
        <v>[97]</v>
      </c>
      <c r="F51" t="str">
        <f>IFERROR(__xludf.DUMMYFUNCTION("""COMPUTED_VALUE"""),"Master KG featuring Burna Boy &amp; Nomcebo Zikode")</f>
        <v>Master KG featuring Burna Boy &amp; Nomcebo Zikode</v>
      </c>
      <c r="G51" t="str">
        <f>IFERROR(__xludf.DUMMYFUNCTION("""COMPUTED_VALUE"""),"*Jerusalema (remix)*")</f>
        <v>*Jerusalema (remix)*</v>
      </c>
      <c r="H51" t="str">
        <f>IFERROR(__xludf.DUMMYFUNCTION("""COMPUTED_VALUE"""),"[98]")</f>
        <v>[98]</v>
      </c>
    </row>
    <row r="52">
      <c r="A52">
        <f>IFERROR(__xludf.DUMMYFUNCTION("""COMPUTED_VALUE"""),50.0)</f>
        <v>50</v>
      </c>
      <c r="B52" s="9">
        <f>IFERROR(__xludf.DUMMYFUNCTION("""COMPUTED_VALUE"""),46367.0)</f>
        <v>46367</v>
      </c>
      <c r="C52" t="str">
        <f>IFERROR(__xludf.DUMMYFUNCTION("""COMPUTED_VALUE"""),"Dua Lipa feat. Angèle")</f>
        <v>Dua Lipa feat. Angèle</v>
      </c>
      <c r="D52" t="str">
        <f>IFERROR(__xludf.DUMMYFUNCTION("""COMPUTED_VALUE"""),"*Fever*")</f>
        <v>*Fever*</v>
      </c>
      <c r="E52" t="str">
        <f>IFERROR(__xludf.DUMMYFUNCTION("""COMPUTED_VALUE"""),"[99]")</f>
        <v>[99]</v>
      </c>
      <c r="F52" t="str">
        <f>IFERROR(__xludf.DUMMYFUNCTION("""COMPUTED_VALUE"""),"Mylène Farmer")</f>
        <v>Mylène Farmer</v>
      </c>
      <c r="G52" t="str">
        <f>IFERROR(__xludf.DUMMYFUNCTION("""COMPUTED_VALUE"""),"*L'Âme dans l'eau*")</f>
        <v>*L'Âme dans l'eau*</v>
      </c>
      <c r="H52" t="str">
        <f>IFERROR(__xludf.DUMMYFUNCTION("""COMPUTED_VALUE"""),"[100]")</f>
        <v>[100]</v>
      </c>
    </row>
    <row r="53">
      <c r="A53">
        <f>IFERROR(__xludf.DUMMYFUNCTION("""COMPUTED_VALUE"""),51.0)</f>
        <v>51</v>
      </c>
      <c r="B53" s="9">
        <f>IFERROR(__xludf.DUMMYFUNCTION("""COMPUTED_VALUE"""),46374.0)</f>
        <v>46374</v>
      </c>
      <c r="C53" t="str">
        <f>IFERROR(__xludf.DUMMYFUNCTION("""COMPUTED_VALUE"""),"Jul &amp; SCH")</f>
        <v>Jul &amp; SCH</v>
      </c>
      <c r="D53" t="str">
        <f>IFERROR(__xludf.DUMMYFUNCTION("""COMPUTED_VALUE"""),"*Mother fuck*")</f>
        <v>*Mother fuck*</v>
      </c>
      <c r="E53" t="str">
        <f>IFERROR(__xludf.DUMMYFUNCTION("""COMPUTED_VALUE"""),"[101]")</f>
        <v>[101]</v>
      </c>
      <c r="F53" t="str">
        <f>IFERROR(__xludf.DUMMYFUNCTION("""COMPUTED_VALUE"""),"Johnny Hallyday")</f>
        <v>Johnny Hallyday</v>
      </c>
      <c r="G53" t="str">
        <f>IFERROR(__xludf.DUMMYFUNCTION("""COMPUTED_VALUE"""),"*Le Cœur en deux (Live)*")</f>
        <v>*Le Cœur en deux (Live)*</v>
      </c>
      <c r="H53" t="str">
        <f>IFERROR(__xludf.DUMMYFUNCTION("""COMPUTED_VALUE"""),"[102]")</f>
        <v>[102]</v>
      </c>
    </row>
    <row r="54">
      <c r="A54">
        <f>IFERROR(__xludf.DUMMYFUNCTION("""COMPUTED_VALUE"""),52.0)</f>
        <v>52</v>
      </c>
      <c r="B54" s="9">
        <f>IFERROR(__xludf.DUMMYFUNCTION("""COMPUTED_VALUE"""),46381.0)</f>
        <v>46381</v>
      </c>
      <c r="E54" t="str">
        <f>IFERROR(__xludf.DUMMYFUNCTION("""COMPUTED_VALUE"""),"[103]")</f>
        <v>[103]</v>
      </c>
      <c r="F54" t="str">
        <f>IFERROR(__xludf.DUMMYFUNCTION("""COMPUTED_VALUE"""),"Dua Lipa feat. Angèle")</f>
        <v>Dua Lipa feat. Angèle</v>
      </c>
      <c r="G54" t="str">
        <f>IFERROR(__xludf.DUMMYFUNCTION("""COMPUTED_VALUE"""),"*Fever*")</f>
        <v>*Fever*</v>
      </c>
      <c r="H54" t="str">
        <f>IFERROR(__xludf.DUMMYFUNCTION("""COMPUTED_VALUE"""),"[104]")</f>
        <v>[104]</v>
      </c>
    </row>
    <row r="55">
      <c r="A55">
        <f>IFERROR(__xludf.DUMMYFUNCTION("""COMPUTED_VALUE"""),53.0)</f>
        <v>53</v>
      </c>
      <c r="B55" s="9">
        <f>IFERROR(__xludf.DUMMYFUNCTION("""COMPUTED_VALUE"""),46387.0)</f>
        <v>46387</v>
      </c>
      <c r="E55" t="str">
        <f>IFERROR(__xludf.DUMMYFUNCTION("""COMPUTED_VALUE"""),"[105]")</f>
        <v>[105]</v>
      </c>
      <c r="F55" t="str">
        <f>IFERROR(__xludf.DUMMYFUNCTION("""COMPUTED_VALUE"""),"Master KG featuring Burna Boy &amp; Nomcebo Zikode")</f>
        <v>Master KG featuring Burna Boy &amp; Nomcebo Zikode</v>
      </c>
      <c r="G55" t="str">
        <f>IFERROR(__xludf.DUMMYFUNCTION("""COMPUTED_VALUE"""),"*Jerusalema (remix)*")</f>
        <v>*Jerusalema (remix)*</v>
      </c>
      <c r="H55" t="str">
        <f>IFERROR(__xludf.DUMMYFUNCTION("""COMPUTED_VALUE"""),"[106]")</f>
        <v>[106]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tr">
        <f>IFERROR(__xludf.DUMMYFUNCTION("IMPORTHTML(""https://fr.wikipedia.org/wiki/Pedro_Almod%C3%B3var"",""table"")"),"Récompense")</f>
        <v>Récompense</v>
      </c>
      <c r="B1" t="str">
        <f>IFERROR(__xludf.DUMMYFUNCTION("""COMPUTED_VALUE"""),"Année")</f>
        <v>Année</v>
      </c>
      <c r="C1" t="str">
        <f>IFERROR(__xludf.DUMMYFUNCTION("""COMPUTED_VALUE"""),"Catégorie")</f>
        <v>Catégorie</v>
      </c>
      <c r="D1" t="str">
        <f>IFERROR(__xludf.DUMMYFUNCTION("""COMPUTED_VALUE"""),"Film")</f>
        <v>Film</v>
      </c>
      <c r="E1" t="str">
        <f>IFERROR(__xludf.DUMMYFUNCTION("""COMPUTED_VALUE"""),"Statut")</f>
        <v>Statut</v>
      </c>
    </row>
    <row r="2">
      <c r="A2" t="str">
        <f>IFERROR(__xludf.DUMMYFUNCTION("""COMPUTED_VALUE"""),"*Espagne*")</f>
        <v>*Espagne*</v>
      </c>
    </row>
    <row r="3">
      <c r="A3" t="str">
        <f>IFERROR(__xludf.DUMMYFUNCTION("""COMPUTED_VALUE"""),"Prix Goya")</f>
        <v>Prix Goya</v>
      </c>
      <c r="B3">
        <f>IFERROR(__xludf.DUMMYFUNCTION("""COMPUTED_VALUE"""),1989.0)</f>
        <v>1989</v>
      </c>
      <c r="C3" t="str">
        <f>IFERROR(__xludf.DUMMYFUNCTION("""COMPUTED_VALUE"""),"Meilleur film")</f>
        <v>Meilleur film</v>
      </c>
      <c r="D3" t="str">
        <f>IFERROR(__xludf.DUMMYFUNCTION("""COMPUTED_VALUE"""),"*Femmes au bord de la crise de nerfs*")</f>
        <v>*Femmes au bord de la crise de nerfs*</v>
      </c>
      <c r="E3" t="str">
        <f>IFERROR(__xludf.DUMMYFUNCTION("""COMPUTED_VALUE"""),"Lauréat")</f>
        <v>Lauréat</v>
      </c>
    </row>
    <row r="4">
      <c r="C4" t="str">
        <f>IFERROR(__xludf.DUMMYFUNCTION("""COMPUTED_VALUE"""),"Meilleur réalisateur")</f>
        <v>Meilleur réalisateur</v>
      </c>
      <c r="E4" t="str">
        <f>IFERROR(__xludf.DUMMYFUNCTION("""COMPUTED_VALUE"""),"Nomination")</f>
        <v>Nomination</v>
      </c>
    </row>
    <row r="5">
      <c r="C5" t="str">
        <f>IFERROR(__xludf.DUMMYFUNCTION("""COMPUTED_VALUE"""),"Meilleur scénario original")</f>
        <v>Meilleur scénario original</v>
      </c>
      <c r="E5" t="str">
        <f>IFERROR(__xludf.DUMMYFUNCTION("""COMPUTED_VALUE"""),"Lauréat")</f>
        <v>Lauréat</v>
      </c>
    </row>
    <row r="6">
      <c r="B6">
        <f>IFERROR(__xludf.DUMMYFUNCTION("""COMPUTED_VALUE"""),1991.0)</f>
        <v>1991</v>
      </c>
      <c r="C6" t="str">
        <f>IFERROR(__xludf.DUMMYFUNCTION("""COMPUTED_VALUE"""),"Meilleur film")</f>
        <v>Meilleur film</v>
      </c>
      <c r="D6" t="str">
        <f>IFERROR(__xludf.DUMMYFUNCTION("""COMPUTED_VALUE"""),"*Attache-moi !*")</f>
        <v>*Attache-moi !*</v>
      </c>
      <c r="E6" t="str">
        <f>IFERROR(__xludf.DUMMYFUNCTION("""COMPUTED_VALUE"""),"Nomination")</f>
        <v>Nomination</v>
      </c>
    </row>
    <row r="7">
      <c r="C7" t="str">
        <f>IFERROR(__xludf.DUMMYFUNCTION("""COMPUTED_VALUE"""),"Meilleur réalisateur")</f>
        <v>Meilleur réalisateur</v>
      </c>
      <c r="E7" t="str">
        <f>IFERROR(__xludf.DUMMYFUNCTION("""COMPUTED_VALUE"""),"Nomination")</f>
        <v>Nomination</v>
      </c>
    </row>
    <row r="8">
      <c r="C8" t="str">
        <f>IFERROR(__xludf.DUMMYFUNCTION("""COMPUTED_VALUE"""),"Meilleur scénario original")</f>
        <v>Meilleur scénario original</v>
      </c>
      <c r="E8" t="str">
        <f>IFERROR(__xludf.DUMMYFUNCTION("""COMPUTED_VALUE"""),"Nomination")</f>
        <v>Nomination</v>
      </c>
    </row>
    <row r="9">
      <c r="B9">
        <f>IFERROR(__xludf.DUMMYFUNCTION("""COMPUTED_VALUE"""),1996.0)</f>
        <v>1996</v>
      </c>
      <c r="C9" t="str">
        <f>IFERROR(__xludf.DUMMYFUNCTION("""COMPUTED_VALUE"""),"Meilleur réalisateur")</f>
        <v>Meilleur réalisateur</v>
      </c>
      <c r="D9" t="str">
        <f>IFERROR(__xludf.DUMMYFUNCTION("""COMPUTED_VALUE"""),"*La Fleur de mon secret*")</f>
        <v>*La Fleur de mon secret*</v>
      </c>
      <c r="E9" t="str">
        <f>IFERROR(__xludf.DUMMYFUNCTION("""COMPUTED_VALUE"""),"Nomination")</f>
        <v>Nomination</v>
      </c>
    </row>
    <row r="10">
      <c r="B10">
        <f>IFERROR(__xludf.DUMMYFUNCTION("""COMPUTED_VALUE"""),2000.0)</f>
        <v>2000</v>
      </c>
      <c r="C10" t="str">
        <f>IFERROR(__xludf.DUMMYFUNCTION("""COMPUTED_VALUE"""),"Meilleur film")</f>
        <v>Meilleur film</v>
      </c>
      <c r="D10" t="str">
        <f>IFERROR(__xludf.DUMMYFUNCTION("""COMPUTED_VALUE"""),"*Tout sur ma mère*")</f>
        <v>*Tout sur ma mère*</v>
      </c>
      <c r="E10" t="str">
        <f>IFERROR(__xludf.DUMMYFUNCTION("""COMPUTED_VALUE"""),"Lauréat")</f>
        <v>Lauréat</v>
      </c>
    </row>
    <row r="11">
      <c r="C11" t="str">
        <f>IFERROR(__xludf.DUMMYFUNCTION("""COMPUTED_VALUE"""),"Meilleur réalisateur")</f>
        <v>Meilleur réalisateur</v>
      </c>
      <c r="E11" t="str">
        <f>IFERROR(__xludf.DUMMYFUNCTION("""COMPUTED_VALUE"""),"Lauréat")</f>
        <v>Lauréat</v>
      </c>
    </row>
    <row r="12">
      <c r="C12" t="str">
        <f>IFERROR(__xludf.DUMMYFUNCTION("""COMPUTED_VALUE"""),"Meilleur scénario original")</f>
        <v>Meilleur scénario original</v>
      </c>
      <c r="E12" t="str">
        <f>IFERROR(__xludf.DUMMYFUNCTION("""COMPUTED_VALUE"""),"Nomination")</f>
        <v>Nomination</v>
      </c>
    </row>
    <row r="13">
      <c r="B13">
        <f>IFERROR(__xludf.DUMMYFUNCTION("""COMPUTED_VALUE"""),2003.0)</f>
        <v>2003</v>
      </c>
      <c r="C13" t="str">
        <f>IFERROR(__xludf.DUMMYFUNCTION("""COMPUTED_VALUE"""),"Meilleur film")</f>
        <v>Meilleur film</v>
      </c>
      <c r="D13" t="str">
        <f>IFERROR(__xludf.DUMMYFUNCTION("""COMPUTED_VALUE"""),"*Parle avec elle*")</f>
        <v>*Parle avec elle*</v>
      </c>
      <c r="E13" t="str">
        <f>IFERROR(__xludf.DUMMYFUNCTION("""COMPUTED_VALUE"""),"Nomination")</f>
        <v>Nomination</v>
      </c>
    </row>
    <row r="14">
      <c r="C14" t="str">
        <f>IFERROR(__xludf.DUMMYFUNCTION("""COMPUTED_VALUE"""),"Meilleur réalisateur")</f>
        <v>Meilleur réalisateur</v>
      </c>
      <c r="E14" t="str">
        <f>IFERROR(__xludf.DUMMYFUNCTION("""COMPUTED_VALUE"""),"Nomination")</f>
        <v>Nomination</v>
      </c>
    </row>
    <row r="15">
      <c r="C15" t="str">
        <f>IFERROR(__xludf.DUMMYFUNCTION("""COMPUTED_VALUE"""),"Meilleur scénario original")</f>
        <v>Meilleur scénario original</v>
      </c>
      <c r="E15" t="str">
        <f>IFERROR(__xludf.DUMMYFUNCTION("""COMPUTED_VALUE"""),"Nomination")</f>
        <v>Nomination</v>
      </c>
    </row>
    <row r="16">
      <c r="B16">
        <f>IFERROR(__xludf.DUMMYFUNCTION("""COMPUTED_VALUE"""),2005.0)</f>
        <v>2005</v>
      </c>
      <c r="C16" t="str">
        <f>IFERROR(__xludf.DUMMYFUNCTION("""COMPUTED_VALUE"""),"Meilleur film")</f>
        <v>Meilleur film</v>
      </c>
      <c r="D16" t="str">
        <f>IFERROR(__xludf.DUMMYFUNCTION("""COMPUTED_VALUE"""),"*La Mauvaise Éducation*")</f>
        <v>*La Mauvaise Éducation*</v>
      </c>
      <c r="E16" t="str">
        <f>IFERROR(__xludf.DUMMYFUNCTION("""COMPUTED_VALUE"""),"Nomination")</f>
        <v>Nomination</v>
      </c>
    </row>
    <row r="17">
      <c r="C17" t="str">
        <f>IFERROR(__xludf.DUMMYFUNCTION("""COMPUTED_VALUE"""),"Meilleur réalisateur")</f>
        <v>Meilleur réalisateur</v>
      </c>
      <c r="E17" t="str">
        <f>IFERROR(__xludf.DUMMYFUNCTION("""COMPUTED_VALUE"""),"Nomination")</f>
        <v>Nomination</v>
      </c>
    </row>
    <row r="18">
      <c r="B18">
        <f>IFERROR(__xludf.DUMMYFUNCTION("""COMPUTED_VALUE"""),2007.0)</f>
        <v>2007</v>
      </c>
      <c r="C18" t="str">
        <f>IFERROR(__xludf.DUMMYFUNCTION("""COMPUTED_VALUE"""),"Meilleur film")</f>
        <v>Meilleur film</v>
      </c>
      <c r="D18" t="str">
        <f>IFERROR(__xludf.DUMMYFUNCTION("""COMPUTED_VALUE"""),"*Volver*")</f>
        <v>*Volver*</v>
      </c>
      <c r="E18" t="str">
        <f>IFERROR(__xludf.DUMMYFUNCTION("""COMPUTED_VALUE"""),"Lauréat")</f>
        <v>Lauréat</v>
      </c>
    </row>
    <row r="19">
      <c r="C19" t="str">
        <f>IFERROR(__xludf.DUMMYFUNCTION("""COMPUTED_VALUE"""),"Meilleur réalisateur")</f>
        <v>Meilleur réalisateur</v>
      </c>
      <c r="E19" t="str">
        <f>IFERROR(__xludf.DUMMYFUNCTION("""COMPUTED_VALUE"""),"Lauréat")</f>
        <v>Lauréat</v>
      </c>
    </row>
    <row r="20">
      <c r="C20" t="str">
        <f>IFERROR(__xludf.DUMMYFUNCTION("""COMPUTED_VALUE"""),"Meilleur scénario original")</f>
        <v>Meilleur scénario original</v>
      </c>
      <c r="E20" t="str">
        <f>IFERROR(__xludf.DUMMYFUNCTION("""COMPUTED_VALUE"""),"Nomination")</f>
        <v>Nomination</v>
      </c>
    </row>
    <row r="21">
      <c r="B21">
        <f>IFERROR(__xludf.DUMMYFUNCTION("""COMPUTED_VALUE"""),2010.0)</f>
        <v>2010</v>
      </c>
      <c r="D21" t="str">
        <f>IFERROR(__xludf.DUMMYFUNCTION("""COMPUTED_VALUE"""),"*Étreintes brisées*")</f>
        <v>*Étreintes brisées*</v>
      </c>
      <c r="E21" t="str">
        <f>IFERROR(__xludf.DUMMYFUNCTION("""COMPUTED_VALUE"""),"Nomination")</f>
        <v>Nomination</v>
      </c>
    </row>
    <row r="22">
      <c r="B22">
        <f>IFERROR(__xludf.DUMMYFUNCTION("""COMPUTED_VALUE"""),2012.0)</f>
        <v>2012</v>
      </c>
      <c r="C22" t="str">
        <f>IFERROR(__xludf.DUMMYFUNCTION("""COMPUTED_VALUE"""),"Meilleur film")</f>
        <v>Meilleur film</v>
      </c>
      <c r="D22" t="str">
        <f>IFERROR(__xludf.DUMMYFUNCTION("""COMPUTED_VALUE"""),"*La piel que habito*")</f>
        <v>*La piel que habito*</v>
      </c>
      <c r="E22" t="str">
        <f>IFERROR(__xludf.DUMMYFUNCTION("""COMPUTED_VALUE"""),"Nomination")</f>
        <v>Nomination</v>
      </c>
    </row>
    <row r="23">
      <c r="C23" t="str">
        <f>IFERROR(__xludf.DUMMYFUNCTION("""COMPUTED_VALUE"""),"Meilleur réalisateur")</f>
        <v>Meilleur réalisateur</v>
      </c>
      <c r="E23" t="str">
        <f>IFERROR(__xludf.DUMMYFUNCTION("""COMPUTED_VALUE"""),"Nomination")</f>
        <v>Nomination</v>
      </c>
    </row>
    <row r="24">
      <c r="C24" t="str">
        <f>IFERROR(__xludf.DUMMYFUNCTION("""COMPUTED_VALUE"""),"Meilleur scénario adapté")</f>
        <v>Meilleur scénario adapté</v>
      </c>
      <c r="E24" t="str">
        <f>IFERROR(__xludf.DUMMYFUNCTION("""COMPUTED_VALUE"""),"Nomination")</f>
        <v>Nomination</v>
      </c>
    </row>
    <row r="25">
      <c r="B25">
        <f>IFERROR(__xludf.DUMMYFUNCTION("""COMPUTED_VALUE"""),2017.0)</f>
        <v>2017</v>
      </c>
      <c r="C25" t="str">
        <f>IFERROR(__xludf.DUMMYFUNCTION("""COMPUTED_VALUE"""),"Meilleur film")</f>
        <v>Meilleur film</v>
      </c>
      <c r="D25" t="str">
        <f>IFERROR(__xludf.DUMMYFUNCTION("""COMPUTED_VALUE"""),"*Julieta*")</f>
        <v>*Julieta*</v>
      </c>
      <c r="E25" t="str">
        <f>IFERROR(__xludf.DUMMYFUNCTION("""COMPUTED_VALUE"""),"Nomination")</f>
        <v>Nomination</v>
      </c>
    </row>
    <row r="26">
      <c r="C26" t="str">
        <f>IFERROR(__xludf.DUMMYFUNCTION("""COMPUTED_VALUE"""),"Meilleur réalisateur")</f>
        <v>Meilleur réalisateur</v>
      </c>
      <c r="E26" t="str">
        <f>IFERROR(__xludf.DUMMYFUNCTION("""COMPUTED_VALUE"""),"Nomination")</f>
        <v>Nomination</v>
      </c>
    </row>
    <row r="27">
      <c r="C27" t="str">
        <f>IFERROR(__xludf.DUMMYFUNCTION("""COMPUTED_VALUE"""),"Meilleur scénario adapté")</f>
        <v>Meilleur scénario adapté</v>
      </c>
      <c r="E27" t="str">
        <f>IFERROR(__xludf.DUMMYFUNCTION("""COMPUTED_VALUE"""),"Nomination")</f>
        <v>Nomination</v>
      </c>
    </row>
    <row r="28">
      <c r="B28">
        <f>IFERROR(__xludf.DUMMYFUNCTION("""COMPUTED_VALUE"""),2020.0)</f>
        <v>2020</v>
      </c>
      <c r="C28" t="str">
        <f>IFERROR(__xludf.DUMMYFUNCTION("""COMPUTED_VALUE"""),"Meilleur film")</f>
        <v>Meilleur film</v>
      </c>
      <c r="D28" t="str">
        <f>IFERROR(__xludf.DUMMYFUNCTION("""COMPUTED_VALUE"""),"*Douleur et Gloire*")</f>
        <v>*Douleur et Gloire*</v>
      </c>
      <c r="E28" t="str">
        <f>IFERROR(__xludf.DUMMYFUNCTION("""COMPUTED_VALUE"""),"Lauréat")</f>
        <v>Lauréat</v>
      </c>
    </row>
    <row r="29">
      <c r="C29" t="str">
        <f>IFERROR(__xludf.DUMMYFUNCTION("""COMPUTED_VALUE"""),"Meilleur réalisateur")</f>
        <v>Meilleur réalisateur</v>
      </c>
      <c r="E29" t="str">
        <f>IFERROR(__xludf.DUMMYFUNCTION("""COMPUTED_VALUE"""),"Lauréat")</f>
        <v>Lauréat</v>
      </c>
    </row>
    <row r="30">
      <c r="C30" t="str">
        <f>IFERROR(__xludf.DUMMYFUNCTION("""COMPUTED_VALUE"""),"Meilleur scénario original")</f>
        <v>Meilleur scénario original</v>
      </c>
      <c r="E30" t="str">
        <f>IFERROR(__xludf.DUMMYFUNCTION("""COMPUTED_VALUE"""),"Lauréat")</f>
        <v>Lauréat</v>
      </c>
    </row>
    <row r="31">
      <c r="B31">
        <f>IFERROR(__xludf.DUMMYFUNCTION("""COMPUTED_VALUE"""),2022.0)</f>
        <v>2022</v>
      </c>
      <c r="C31" t="str">
        <f>IFERROR(__xludf.DUMMYFUNCTION("""COMPUTED_VALUE"""),"Meilleur réalisateur")</f>
        <v>Meilleur réalisateur</v>
      </c>
      <c r="D31" t="str">
        <f>IFERROR(__xludf.DUMMYFUNCTION("""COMPUTED_VALUE"""),"*Madres paralelas*")</f>
        <v>*Madres paralelas*</v>
      </c>
      <c r="E31" t="str">
        <f>IFERROR(__xludf.DUMMYFUNCTION("""COMPUTED_VALUE"""),"Nomination")</f>
        <v>Nomination</v>
      </c>
    </row>
    <row r="32">
      <c r="A32" t="str">
        <f>IFERROR(__xludf.DUMMYFUNCTION("""COMPUTED_VALUE"""),"Fotogramas de Plata")</f>
        <v>Fotogramas de Plata</v>
      </c>
      <c r="B32">
        <f>IFERROR(__xludf.DUMMYFUNCTION("""COMPUTED_VALUE"""),1988.0)</f>
        <v>1988</v>
      </c>
      <c r="C32" t="str">
        <f>IFERROR(__xludf.DUMMYFUNCTION("""COMPUTED_VALUE"""),"Meilleur film espagnol")</f>
        <v>Meilleur film espagnol</v>
      </c>
      <c r="D32" t="str">
        <f>IFERROR(__xludf.DUMMYFUNCTION("""COMPUTED_VALUE"""),"*La Loi du désir*")</f>
        <v>*La Loi du désir*</v>
      </c>
      <c r="E32" t="str">
        <f>IFERROR(__xludf.DUMMYFUNCTION("""COMPUTED_VALUE"""),"Lauréat")</f>
        <v>Lauréat</v>
      </c>
    </row>
    <row r="33">
      <c r="B33">
        <f>IFERROR(__xludf.DUMMYFUNCTION("""COMPUTED_VALUE"""),1991.0)</f>
        <v>1991</v>
      </c>
      <c r="D33" t="str">
        <f>IFERROR(__xludf.DUMMYFUNCTION("""COMPUTED_VALUE"""),"*Attache-moi !*")</f>
        <v>*Attache-moi !*</v>
      </c>
      <c r="E33" t="str">
        <f>IFERROR(__xludf.DUMMYFUNCTION("""COMPUTED_VALUE"""),"Lauréat")</f>
        <v>Lauréat</v>
      </c>
    </row>
    <row r="34">
      <c r="B34">
        <f>IFERROR(__xludf.DUMMYFUNCTION("""COMPUTED_VALUE"""),2007.0)</f>
        <v>2007</v>
      </c>
      <c r="D34" t="str">
        <f>IFERROR(__xludf.DUMMYFUNCTION("""COMPUTED_VALUE"""),"*Volver*")</f>
        <v>*Volver*</v>
      </c>
      <c r="E34" t="str">
        <f>IFERROR(__xludf.DUMMYFUNCTION("""COMPUTED_VALUE"""),"Lauréat")</f>
        <v>Lauréat</v>
      </c>
    </row>
    <row r="35">
      <c r="A35" t="str">
        <f>IFERROR(__xludf.DUMMYFUNCTION("""COMPUTED_VALUE"""),"Médailles du
Círculo de Escritores Cinematográficos")</f>
        <v>Médailles du
Círculo de Escritores Cinematográficos</v>
      </c>
      <c r="B35">
        <f>IFERROR(__xludf.DUMMYFUNCTION("""COMPUTED_VALUE"""),2007.0)</f>
        <v>2007</v>
      </c>
      <c r="C35" t="str">
        <f>IFERROR(__xludf.DUMMYFUNCTION("""COMPUTED_VALUE"""),"Meilleur film")</f>
        <v>Meilleur film</v>
      </c>
      <c r="E35" t="str">
        <f>IFERROR(__xludf.DUMMYFUNCTION("""COMPUTED_VALUE"""),"Lauréat")</f>
        <v>Lauréat</v>
      </c>
    </row>
    <row r="36">
      <c r="C36" t="str">
        <f>IFERROR(__xludf.DUMMYFUNCTION("""COMPUTED_VALUE"""),"Meilleur réalisateur")</f>
        <v>Meilleur réalisateur</v>
      </c>
      <c r="E36" t="str">
        <f>IFERROR(__xludf.DUMMYFUNCTION("""COMPUTED_VALUE"""),"Nomination")</f>
        <v>Nomination</v>
      </c>
    </row>
    <row r="37">
      <c r="C37" t="str">
        <f>IFERROR(__xludf.DUMMYFUNCTION("""COMPUTED_VALUE"""),"Meilleur scénario original")</f>
        <v>Meilleur scénario original</v>
      </c>
      <c r="E37" t="str">
        <f>IFERROR(__xludf.DUMMYFUNCTION("""COMPUTED_VALUE"""),"Lauréat")</f>
        <v>Lauréat</v>
      </c>
    </row>
    <row r="38">
      <c r="B38">
        <f>IFERROR(__xludf.DUMMYFUNCTION("""COMPUTED_VALUE"""),2010.0)</f>
        <v>2010</v>
      </c>
      <c r="D38" t="str">
        <f>IFERROR(__xludf.DUMMYFUNCTION("""COMPUTED_VALUE"""),"*Étreintes brisées*")</f>
        <v>*Étreintes brisées*</v>
      </c>
      <c r="E38" t="str">
        <f>IFERROR(__xludf.DUMMYFUNCTION("""COMPUTED_VALUE"""),"Nomination")</f>
        <v>Nomination</v>
      </c>
    </row>
    <row r="39">
      <c r="B39">
        <f>IFERROR(__xludf.DUMMYFUNCTION("""COMPUTED_VALUE"""),2017.0)</f>
        <v>2017</v>
      </c>
      <c r="C39" t="str">
        <f>IFERROR(__xludf.DUMMYFUNCTION("""COMPUTED_VALUE"""),"Meilleur réalisateur")</f>
        <v>Meilleur réalisateur</v>
      </c>
      <c r="D39" t="str">
        <f>IFERROR(__xludf.DUMMYFUNCTION("""COMPUTED_VALUE"""),"*Julieta*")</f>
        <v>*Julieta*</v>
      </c>
      <c r="E39" t="str">
        <f>IFERROR(__xludf.DUMMYFUNCTION("""COMPUTED_VALUE"""),"Nomination")</f>
        <v>Nomination</v>
      </c>
    </row>
    <row r="40">
      <c r="C40" t="str">
        <f>IFERROR(__xludf.DUMMYFUNCTION("""COMPUTED_VALUE"""),"Meilleur scénario adapté")</f>
        <v>Meilleur scénario adapté</v>
      </c>
      <c r="E40" t="str">
        <f>IFERROR(__xludf.DUMMYFUNCTION("""COMPUTED_VALUE"""),"Nomination")</f>
        <v>Nomination</v>
      </c>
    </row>
    <row r="41">
      <c r="A41" t="str">
        <f>IFERROR(__xludf.DUMMYFUNCTION("""COMPUTED_VALUE"""),"Prix José María Forqué")</f>
        <v>Prix José María Forqué</v>
      </c>
      <c r="B41">
        <f>IFERROR(__xludf.DUMMYFUNCTION("""COMPUTED_VALUE"""),2000.0)</f>
        <v>2000</v>
      </c>
      <c r="C41" t="str">
        <f>IFERROR(__xludf.DUMMYFUNCTION("""COMPUTED_VALUE"""),"Meilleur film de l'année")</f>
        <v>Meilleur film de l'année</v>
      </c>
      <c r="D41" t="str">
        <f>IFERROR(__xludf.DUMMYFUNCTION("""COMPUTED_VALUE"""),"*Tout sur ma mère*")</f>
        <v>*Tout sur ma mère*</v>
      </c>
      <c r="E41" t="str">
        <f>IFERROR(__xludf.DUMMYFUNCTION("""COMPUTED_VALUE"""),"Nomination")</f>
        <v>Nomination</v>
      </c>
    </row>
    <row r="42">
      <c r="B42">
        <f>IFERROR(__xludf.DUMMYFUNCTION("""COMPUTED_VALUE"""),2003.0)</f>
        <v>2003</v>
      </c>
      <c r="D42" t="str">
        <f>IFERROR(__xludf.DUMMYFUNCTION("""COMPUTED_VALUE"""),"*Parle avec elle*")</f>
        <v>*Parle avec elle*</v>
      </c>
      <c r="E42" t="str">
        <f>IFERROR(__xludf.DUMMYFUNCTION("""COMPUTED_VALUE"""),"Nomination")</f>
        <v>Nomination</v>
      </c>
    </row>
    <row r="43">
      <c r="B43">
        <f>IFERROR(__xludf.DUMMYFUNCTION("""COMPUTED_VALUE"""),2005.0)</f>
        <v>2005</v>
      </c>
      <c r="D43" t="str">
        <f>IFERROR(__xludf.DUMMYFUNCTION("""COMPUTED_VALUE"""),"*La Mauvaise Éducation*")</f>
        <v>*La Mauvaise Éducation*</v>
      </c>
      <c r="E43" t="str">
        <f>IFERROR(__xludf.DUMMYFUNCTION("""COMPUTED_VALUE"""),"Nomination")</f>
        <v>Nomination</v>
      </c>
    </row>
    <row r="44">
      <c r="B44">
        <f>IFERROR(__xludf.DUMMYFUNCTION("""COMPUTED_VALUE"""),2007.0)</f>
        <v>2007</v>
      </c>
      <c r="D44" t="str">
        <f>IFERROR(__xludf.DUMMYFUNCTION("""COMPUTED_VALUE"""),"*Volver*")</f>
        <v>*Volver*</v>
      </c>
      <c r="E44" t="str">
        <f>IFERROR(__xludf.DUMMYFUNCTION("""COMPUTED_VALUE"""),"Nomination")</f>
        <v>Nomination</v>
      </c>
    </row>
    <row r="45">
      <c r="B45">
        <f>IFERROR(__xludf.DUMMYFUNCTION("""COMPUTED_VALUE"""),2012.0)</f>
        <v>2012</v>
      </c>
      <c r="D45" t="str">
        <f>IFERROR(__xludf.DUMMYFUNCTION("""COMPUTED_VALUE"""),"*La piel que habito*")</f>
        <v>*La piel que habito*</v>
      </c>
      <c r="E45" t="str">
        <f>IFERROR(__xludf.DUMMYFUNCTION("""COMPUTED_VALUE"""),"Nomination")</f>
        <v>Nomination</v>
      </c>
    </row>
    <row r="46">
      <c r="B46">
        <f>IFERROR(__xludf.DUMMYFUNCTION("""COMPUTED_VALUE"""),2017.0)</f>
        <v>2017</v>
      </c>
      <c r="D46" t="str">
        <f>IFERROR(__xludf.DUMMYFUNCTION("""COMPUTED_VALUE"""),"*Julieta*")</f>
        <v>*Julieta*</v>
      </c>
      <c r="E46" t="str">
        <f>IFERROR(__xludf.DUMMYFUNCTION("""COMPUTED_VALUE"""),"Nomination")</f>
        <v>Nomination</v>
      </c>
    </row>
    <row r="47">
      <c r="A47" t="str">
        <f>IFERROR(__xludf.DUMMYFUNCTION("""COMPUTED_VALUE"""),"Prix Feroz")</f>
        <v>Prix Feroz</v>
      </c>
      <c r="B47">
        <f>IFERROR(__xludf.DUMMYFUNCTION("""COMPUTED_VALUE"""),2017.0)</f>
        <v>2017</v>
      </c>
      <c r="C47" t="str">
        <f>IFERROR(__xludf.DUMMYFUNCTION("""COMPUTED_VALUE"""),"Meilleur film dramatique")</f>
        <v>Meilleur film dramatique</v>
      </c>
      <c r="E47" t="str">
        <f>IFERROR(__xludf.DUMMYFUNCTION("""COMPUTED_VALUE"""),"Nomination")</f>
        <v>Nomination</v>
      </c>
    </row>
    <row r="48">
      <c r="C48" t="str">
        <f>IFERROR(__xludf.DUMMYFUNCTION("""COMPUTED_VALUE"""),"Meilleur réalisateur")</f>
        <v>Meilleur réalisateur</v>
      </c>
      <c r="E48" t="str">
        <f>IFERROR(__xludf.DUMMYFUNCTION("""COMPUTED_VALUE"""),"Nomination")</f>
        <v>Nomination</v>
      </c>
    </row>
    <row r="49">
      <c r="C49" t="str">
        <f>IFERROR(__xludf.DUMMYFUNCTION("""COMPUTED_VALUE"""),"Meilleur scénario")</f>
        <v>Meilleur scénario</v>
      </c>
      <c r="E49" t="str">
        <f>IFERROR(__xludf.DUMMYFUNCTION("""COMPUTED_VALUE"""),"Nomination")</f>
        <v>Nomination</v>
      </c>
    </row>
    <row r="50">
      <c r="A50" t="str">
        <f>IFERROR(__xludf.DUMMYFUNCTION("""COMPUTED_VALUE"""),"*Allemagne*")</f>
        <v>*Allemagne*</v>
      </c>
    </row>
    <row r="51">
      <c r="A51" t="str">
        <f>IFERROR(__xludf.DUMMYFUNCTION("""COMPUTED_VALUE"""),"Deutscher Filmpreis")</f>
        <v>Deutscher Filmpreis</v>
      </c>
      <c r="B51">
        <f>IFERROR(__xludf.DUMMYFUNCTION("""COMPUTED_VALUE"""),2000.0)</f>
        <v>2000</v>
      </c>
      <c r="C51" t="str">
        <f>IFERROR(__xludf.DUMMYFUNCTION("""COMPUTED_VALUE"""),"Meilleur film étranger")</f>
        <v>Meilleur film étranger</v>
      </c>
      <c r="D51" t="str">
        <f>IFERROR(__xludf.DUMMYFUNCTION("""COMPUTED_VALUE"""),"*Tout sur ma mère*")</f>
        <v>*Tout sur ma mère*</v>
      </c>
      <c r="E51" t="str">
        <f>IFERROR(__xludf.DUMMYFUNCTION("""COMPUTED_VALUE"""),"Lauréat")</f>
        <v>Lauréat</v>
      </c>
    </row>
    <row r="52">
      <c r="A52" t="str">
        <f>IFERROR(__xludf.DUMMYFUNCTION("""COMPUTED_VALUE"""),"*Argentine*")</f>
        <v>*Argentine*</v>
      </c>
    </row>
    <row r="53">
      <c r="A53" t="str">
        <f>IFERROR(__xludf.DUMMYFUNCTION("""COMPUTED_VALUE"""),"Prix Cóndor de Plata")</f>
        <v>Prix Cóndor de Plata</v>
      </c>
    </row>
    <row r="54">
      <c r="B54">
        <f>IFERROR(__xludf.DUMMYFUNCTION("""COMPUTED_VALUE"""),2000.0)</f>
        <v>2000</v>
      </c>
      <c r="C54" t="str">
        <f>IFERROR(__xludf.DUMMYFUNCTION("""COMPUTED_VALUE"""),"Meilleur film étranger")</f>
        <v>Meilleur film étranger</v>
      </c>
      <c r="D54" t="str">
        <f>IFERROR(__xludf.DUMMYFUNCTION("""COMPUTED_VALUE"""),"*Tout sur ma mère*")</f>
        <v>*Tout sur ma mère*</v>
      </c>
      <c r="E54" t="str">
        <f>IFERROR(__xludf.DUMMYFUNCTION("""COMPUTED_VALUE"""),"Nomination")</f>
        <v>Nomination</v>
      </c>
    </row>
    <row r="55">
      <c r="B55">
        <f>IFERROR(__xludf.DUMMYFUNCTION("""COMPUTED_VALUE"""),2003.0)</f>
        <v>2003</v>
      </c>
      <c r="C55" t="str">
        <f>IFERROR(__xludf.DUMMYFUNCTION("""COMPUTED_VALUE"""),"Meilleur film en langue étrangère")</f>
        <v>Meilleur film en langue étrangère</v>
      </c>
      <c r="D55" t="str">
        <f>IFERROR(__xludf.DUMMYFUNCTION("""COMPUTED_VALUE"""),"*Parle avec elle*")</f>
        <v>*Parle avec elle*</v>
      </c>
      <c r="E55" t="str">
        <f>IFERROR(__xludf.DUMMYFUNCTION("""COMPUTED_VALUE"""),"Lauréat")</f>
        <v>Lauréat</v>
      </c>
    </row>
    <row r="56">
      <c r="B56">
        <f>IFERROR(__xludf.DUMMYFUNCTION("""COMPUTED_VALUE"""),2005.0)</f>
        <v>2005</v>
      </c>
      <c r="C56" t="str">
        <f>IFERROR(__xludf.DUMMYFUNCTION("""COMPUTED_VALUE"""),"Meilleur film ibéro-américain")</f>
        <v>Meilleur film ibéro-américain</v>
      </c>
      <c r="D56" t="str">
        <f>IFERROR(__xludf.DUMMYFUNCTION("""COMPUTED_VALUE"""),"*La Mauvaise Éducation*")</f>
        <v>*La Mauvaise Éducation*</v>
      </c>
      <c r="E56" t="str">
        <f>IFERROR(__xludf.DUMMYFUNCTION("""COMPUTED_VALUE"""),"Nomination")</f>
        <v>Nomination</v>
      </c>
    </row>
    <row r="57">
      <c r="B57">
        <f>IFERROR(__xludf.DUMMYFUNCTION("""COMPUTED_VALUE"""),2007.0)</f>
        <v>2007</v>
      </c>
      <c r="D57" t="str">
        <f>IFERROR(__xludf.DUMMYFUNCTION("""COMPUTED_VALUE"""),"*Volver*")</f>
        <v>*Volver*</v>
      </c>
      <c r="E57" t="str">
        <f>IFERROR(__xludf.DUMMYFUNCTION("""COMPUTED_VALUE"""),"Lauréat")</f>
        <v>Lauréat</v>
      </c>
    </row>
    <row r="58">
      <c r="B58">
        <f>IFERROR(__xludf.DUMMYFUNCTION("""COMPUTED_VALUE"""),2010.0)</f>
        <v>2010</v>
      </c>
      <c r="D58" t="str">
        <f>IFERROR(__xludf.DUMMYFUNCTION("""COMPUTED_VALUE"""),"*Étreintes brisées*")</f>
        <v>*Étreintes brisées*</v>
      </c>
      <c r="E58" t="str">
        <f>IFERROR(__xludf.DUMMYFUNCTION("""COMPUTED_VALUE"""),"Nomination")</f>
        <v>Nomination</v>
      </c>
    </row>
    <row r="59">
      <c r="B59">
        <f>IFERROR(__xludf.DUMMYFUNCTION("""COMPUTED_VALUE"""),2012.0)</f>
        <v>2012</v>
      </c>
      <c r="D59" t="str">
        <f>IFERROR(__xludf.DUMMYFUNCTION("""COMPUTED_VALUE"""),"*La piel que habito*")</f>
        <v>*La piel que habito*</v>
      </c>
      <c r="E59" t="str">
        <f>IFERROR(__xludf.DUMMYFUNCTION("""COMPUTED_VALUE"""),"Nomination")</f>
        <v>Nomination</v>
      </c>
    </row>
    <row r="60">
      <c r="B60">
        <f>IFERROR(__xludf.DUMMYFUNCTION("""COMPUTED_VALUE"""),2017.0)</f>
        <v>2017</v>
      </c>
      <c r="D60" t="str">
        <f>IFERROR(__xludf.DUMMYFUNCTION("""COMPUTED_VALUE"""),"*Julieta*")</f>
        <v>*Julieta*</v>
      </c>
      <c r="E60" t="str">
        <f>IFERROR(__xludf.DUMMYFUNCTION("""COMPUTED_VALUE"""),"Nomination")</f>
        <v>Nomination</v>
      </c>
    </row>
    <row r="61">
      <c r="A61" t="str">
        <f>IFERROR(__xludf.DUMMYFUNCTION("""COMPUTED_VALUE"""),"*États-Unis*")</f>
        <v>*États-Unis*</v>
      </c>
    </row>
    <row r="62">
      <c r="A62" t="str">
        <f>IFERROR(__xludf.DUMMYFUNCTION("""COMPUTED_VALUE"""),"Oscars du cinéma")</f>
        <v>Oscars du cinéma</v>
      </c>
      <c r="B62">
        <f>IFERROR(__xludf.DUMMYFUNCTION("""COMPUTED_VALUE"""),1989.0)</f>
        <v>1989</v>
      </c>
      <c r="C62" t="str">
        <f>IFERROR(__xludf.DUMMYFUNCTION("""COMPUTED_VALUE"""),"Meilleur film en langue étrangère")</f>
        <v>Meilleur film en langue étrangère</v>
      </c>
      <c r="D62" t="str">
        <f>IFERROR(__xludf.DUMMYFUNCTION("""COMPUTED_VALUE"""),"*Femmes au bord de la crise de nerfs*")</f>
        <v>*Femmes au bord de la crise de nerfs*</v>
      </c>
      <c r="E62" t="str">
        <f>IFERROR(__xludf.DUMMYFUNCTION("""COMPUTED_VALUE"""),"Nomination")</f>
        <v>Nomination</v>
      </c>
    </row>
    <row r="63">
      <c r="B63">
        <f>IFERROR(__xludf.DUMMYFUNCTION("""COMPUTED_VALUE"""),2000.0)</f>
        <v>2000</v>
      </c>
      <c r="D63" t="str">
        <f>IFERROR(__xludf.DUMMYFUNCTION("""COMPUTED_VALUE"""),"*Tout sur ma mère*")</f>
        <v>*Tout sur ma mère*</v>
      </c>
      <c r="E63" t="str">
        <f>IFERROR(__xludf.DUMMYFUNCTION("""COMPUTED_VALUE"""),"Lauréat")</f>
        <v>Lauréat</v>
      </c>
    </row>
    <row r="64">
      <c r="B64">
        <f>IFERROR(__xludf.DUMMYFUNCTION("""COMPUTED_VALUE"""),2003.0)</f>
        <v>2003</v>
      </c>
      <c r="C64" t="str">
        <f>IFERROR(__xludf.DUMMYFUNCTION("""COMPUTED_VALUE"""),"Meilleur réalisateur")</f>
        <v>Meilleur réalisateur</v>
      </c>
      <c r="D64" t="str">
        <f>IFERROR(__xludf.DUMMYFUNCTION("""COMPUTED_VALUE"""),"*Parle avec elle*")</f>
        <v>*Parle avec elle*</v>
      </c>
      <c r="E64" t="str">
        <f>IFERROR(__xludf.DUMMYFUNCTION("""COMPUTED_VALUE"""),"Nomination")</f>
        <v>Nomination</v>
      </c>
    </row>
    <row r="65">
      <c r="C65" t="str">
        <f>IFERROR(__xludf.DUMMYFUNCTION("""COMPUTED_VALUE"""),"Meilleur scénario original")</f>
        <v>Meilleur scénario original</v>
      </c>
      <c r="E65" t="str">
        <f>IFERROR(__xludf.DUMMYFUNCTION("""COMPUTED_VALUE"""),"Lauréat")</f>
        <v>Lauréat</v>
      </c>
    </row>
    <row r="66">
      <c r="B66">
        <f>IFERROR(__xludf.DUMMYFUNCTION("""COMPUTED_VALUE"""),2020.0)</f>
        <v>2020</v>
      </c>
      <c r="C66" t="str">
        <f>IFERROR(__xludf.DUMMYFUNCTION("""COMPUTED_VALUE"""),"Meilleur film international")</f>
        <v>Meilleur film international</v>
      </c>
      <c r="D66" t="str">
        <f>IFERROR(__xludf.DUMMYFUNCTION("""COMPUTED_VALUE"""),"*Douleur et Gloire*")</f>
        <v>*Douleur et Gloire*</v>
      </c>
      <c r="E66" t="str">
        <f>IFERROR(__xludf.DUMMYFUNCTION("""COMPUTED_VALUE"""),"Nomination")</f>
        <v>Nomination</v>
      </c>
    </row>
    <row r="67">
      <c r="A67" t="str">
        <f>IFERROR(__xludf.DUMMYFUNCTION("""COMPUTED_VALUE"""),"Golden Globes")</f>
        <v>Golden Globes</v>
      </c>
      <c r="B67">
        <f>IFERROR(__xludf.DUMMYFUNCTION("""COMPUTED_VALUE"""),1989.0)</f>
        <v>1989</v>
      </c>
      <c r="C67" t="str">
        <f>IFERROR(__xludf.DUMMYFUNCTION("""COMPUTED_VALUE"""),"Meilleur film en langue étrangère")</f>
        <v>Meilleur film en langue étrangère</v>
      </c>
      <c r="D67" t="str">
        <f>IFERROR(__xludf.DUMMYFUNCTION("""COMPUTED_VALUE"""),"*Femmes au bord de la crise de nerfs*")</f>
        <v>*Femmes au bord de la crise de nerfs*</v>
      </c>
      <c r="E67" t="str">
        <f>IFERROR(__xludf.DUMMYFUNCTION("""COMPUTED_VALUE"""),"Nomination")</f>
        <v>Nomination</v>
      </c>
    </row>
    <row r="68">
      <c r="B68">
        <f>IFERROR(__xludf.DUMMYFUNCTION("""COMPUTED_VALUE"""),1992.0)</f>
        <v>1992</v>
      </c>
      <c r="D68" t="str">
        <f>IFERROR(__xludf.DUMMYFUNCTION("""COMPUTED_VALUE"""),"*Talons aiguilles*")</f>
        <v>*Talons aiguilles*</v>
      </c>
      <c r="E68" t="str">
        <f>IFERROR(__xludf.DUMMYFUNCTION("""COMPUTED_VALUE"""),"Nomination")</f>
        <v>Nomination</v>
      </c>
    </row>
    <row r="69">
      <c r="B69">
        <f>IFERROR(__xludf.DUMMYFUNCTION("""COMPUTED_VALUE"""),2000.0)</f>
        <v>2000</v>
      </c>
      <c r="D69" t="str">
        <f>IFERROR(__xludf.DUMMYFUNCTION("""COMPUTED_VALUE"""),"*Tout sur ma mère*")</f>
        <v>*Tout sur ma mère*</v>
      </c>
      <c r="E69" t="str">
        <f>IFERROR(__xludf.DUMMYFUNCTION("""COMPUTED_VALUE"""),"Lauréat")</f>
        <v>Lauréat</v>
      </c>
    </row>
    <row r="70">
      <c r="B70">
        <f>IFERROR(__xludf.DUMMYFUNCTION("""COMPUTED_VALUE"""),2003.0)</f>
        <v>2003</v>
      </c>
      <c r="D70" t="str">
        <f>IFERROR(__xludf.DUMMYFUNCTION("""COMPUTED_VALUE"""),"*Parle avec elle*")</f>
        <v>*Parle avec elle*</v>
      </c>
      <c r="E70" t="str">
        <f>IFERROR(__xludf.DUMMYFUNCTION("""COMPUTED_VALUE"""),"Lauréat")</f>
        <v>Lauréat</v>
      </c>
    </row>
    <row r="71">
      <c r="B71">
        <f>IFERROR(__xludf.DUMMYFUNCTION("""COMPUTED_VALUE"""),2007.0)</f>
        <v>2007</v>
      </c>
      <c r="D71" t="str">
        <f>IFERROR(__xludf.DUMMYFUNCTION("""COMPUTED_VALUE"""),"*Volver*")</f>
        <v>*Volver*</v>
      </c>
      <c r="E71" t="str">
        <f>IFERROR(__xludf.DUMMYFUNCTION("""COMPUTED_VALUE"""),"Nomination")</f>
        <v>Nomination</v>
      </c>
    </row>
    <row r="72">
      <c r="B72">
        <f>IFERROR(__xludf.DUMMYFUNCTION("""COMPUTED_VALUE"""),2010.0)</f>
        <v>2010</v>
      </c>
      <c r="D72" t="str">
        <f>IFERROR(__xludf.DUMMYFUNCTION("""COMPUTED_VALUE"""),"*Étreintes brisées*")</f>
        <v>*Étreintes brisées*</v>
      </c>
      <c r="E72" t="str">
        <f>IFERROR(__xludf.DUMMYFUNCTION("""COMPUTED_VALUE"""),"Nomination")</f>
        <v>Nomination</v>
      </c>
    </row>
    <row r="73">
      <c r="B73">
        <f>IFERROR(__xludf.DUMMYFUNCTION("""COMPUTED_VALUE"""),2012.0)</f>
        <v>2012</v>
      </c>
      <c r="D73" t="str">
        <f>IFERROR(__xludf.DUMMYFUNCTION("""COMPUTED_VALUE"""),"*La piel que habito*")</f>
        <v>*La piel que habito*</v>
      </c>
      <c r="E73" t="str">
        <f>IFERROR(__xludf.DUMMYFUNCTION("""COMPUTED_VALUE"""),"Nomination")</f>
        <v>Nomination</v>
      </c>
    </row>
    <row r="74">
      <c r="B74">
        <f>IFERROR(__xludf.DUMMYFUNCTION("""COMPUTED_VALUE"""),2020.0)</f>
        <v>2020</v>
      </c>
      <c r="D74" t="str">
        <f>IFERROR(__xludf.DUMMYFUNCTION("""COMPUTED_VALUE"""),"*Douleur et Gloire*")</f>
        <v>*Douleur et Gloire*</v>
      </c>
      <c r="E74" t="str">
        <f>IFERROR(__xludf.DUMMYFUNCTION("""COMPUTED_VALUE"""),"Nomination")</f>
        <v>Nomination</v>
      </c>
    </row>
    <row r="75">
      <c r="B75">
        <f>IFERROR(__xludf.DUMMYFUNCTION("""COMPUTED_VALUE"""),2022.0)</f>
        <v>2022</v>
      </c>
      <c r="D75" t="str">
        <f>IFERROR(__xludf.DUMMYFUNCTION("""COMPUTED_VALUE"""),"*Madres paralelas*")</f>
        <v>*Madres paralelas*</v>
      </c>
      <c r="E75" t="str">
        <f>IFERROR(__xludf.DUMMYFUNCTION("""COMPUTED_VALUE"""),"Nomination")</f>
        <v>Nomination</v>
      </c>
    </row>
    <row r="76">
      <c r="A76" t="str">
        <f>IFERROR(__xludf.DUMMYFUNCTION("""COMPUTED_VALUE"""),"Chicago Film Critics Association")</f>
        <v>Chicago Film Critics Association</v>
      </c>
      <c r="B76">
        <f>IFERROR(__xludf.DUMMYFUNCTION("""COMPUTED_VALUE"""),1999.0)</f>
        <v>1999</v>
      </c>
      <c r="C76" t="str">
        <f>IFERROR(__xludf.DUMMYFUNCTION("""COMPUTED_VALUE"""),"Meilleure film en langue étrangère")</f>
        <v>Meilleure film en langue étrangère</v>
      </c>
      <c r="D76" t="str">
        <f>IFERROR(__xludf.DUMMYFUNCTION("""COMPUTED_VALUE"""),"*Tout sur ma mère*")</f>
        <v>*Tout sur ma mère*</v>
      </c>
      <c r="E76" t="str">
        <f>IFERROR(__xludf.DUMMYFUNCTION("""COMPUTED_VALUE"""),"Lauréat")</f>
        <v>Lauréat</v>
      </c>
    </row>
    <row r="77">
      <c r="B77">
        <f>IFERROR(__xludf.DUMMYFUNCTION("""COMPUTED_VALUE"""),2006.0)</f>
        <v>2006</v>
      </c>
      <c r="D77" t="str">
        <f>IFERROR(__xludf.DUMMYFUNCTION("""COMPUTED_VALUE"""),"*Volver*")</f>
        <v>*Volver*</v>
      </c>
      <c r="E77" t="str">
        <f>IFERROR(__xludf.DUMMYFUNCTION("""COMPUTED_VALUE"""),"Nomination")</f>
        <v>Nomination</v>
      </c>
    </row>
    <row r="78">
      <c r="B78">
        <f>IFERROR(__xludf.DUMMYFUNCTION("""COMPUTED_VALUE"""),2009.0)</f>
        <v>2009</v>
      </c>
      <c r="D78" t="str">
        <f>IFERROR(__xludf.DUMMYFUNCTION("""COMPUTED_VALUE"""),"*Étreintes brisées*")</f>
        <v>*Étreintes brisées*</v>
      </c>
      <c r="E78" t="str">
        <f>IFERROR(__xludf.DUMMYFUNCTION("""COMPUTED_VALUE"""),"Nomination")</f>
        <v>Nomination</v>
      </c>
    </row>
    <row r="79">
      <c r="B79">
        <f>IFERROR(__xludf.DUMMYFUNCTION("""COMPUTED_VALUE"""),2016.0)</f>
        <v>2016</v>
      </c>
      <c r="D79" t="str">
        <f>IFERROR(__xludf.DUMMYFUNCTION("""COMPUTED_VALUE"""),"*Julieta*")</f>
        <v>*Julieta*</v>
      </c>
      <c r="E79" t="str">
        <f>IFERROR(__xludf.DUMMYFUNCTION("""COMPUTED_VALUE"""),"Nomination")</f>
        <v>Nomination</v>
      </c>
    </row>
    <row r="80">
      <c r="A80" t="str">
        <f>IFERROR(__xludf.DUMMYFUNCTION("""COMPUTED_VALUE"""),"* Europe*")</f>
        <v>* Europe*</v>
      </c>
    </row>
    <row r="81">
      <c r="A81" t="str">
        <f>IFERROR(__xludf.DUMMYFUNCTION("""COMPUTED_VALUE"""),"Berlinale")</f>
        <v>Berlinale</v>
      </c>
      <c r="B81">
        <f>IFERROR(__xludf.DUMMYFUNCTION("""COMPUTED_VALUE"""),1987.0)</f>
        <v>1987</v>
      </c>
      <c r="C81" t="str">
        <f>IFERROR(__xludf.DUMMYFUNCTION("""COMPUTED_VALUE"""),"Teddy Award - Meilleur film")</f>
        <v>Teddy Award - Meilleur film</v>
      </c>
      <c r="D81" t="str">
        <f>IFERROR(__xludf.DUMMYFUNCTION("""COMPUTED_VALUE"""),"*La Loi du désir*")</f>
        <v>*La Loi du désir*</v>
      </c>
      <c r="E81" t="str">
        <f>IFERROR(__xludf.DUMMYFUNCTION("""COMPUTED_VALUE"""),"Lauréat")</f>
        <v>Lauréat</v>
      </c>
    </row>
    <row r="82">
      <c r="B82">
        <f>IFERROR(__xludf.DUMMYFUNCTION("""COMPUTED_VALUE"""),1990.0)</f>
        <v>1990</v>
      </c>
      <c r="C82" t="str">
        <f>IFERROR(__xludf.DUMMYFUNCTION("""COMPUTED_VALUE"""),"Ours d'or")</f>
        <v>Ours d'or</v>
      </c>
      <c r="D82" t="str">
        <f>IFERROR(__xludf.DUMMYFUNCTION("""COMPUTED_VALUE"""),"*Attache-moi !*")</f>
        <v>*Attache-moi !*</v>
      </c>
      <c r="E82" t="str">
        <f>IFERROR(__xludf.DUMMYFUNCTION("""COMPUTED_VALUE"""),"Nomination")</f>
        <v>Nomination</v>
      </c>
    </row>
    <row r="83">
      <c r="A83" t="str">
        <f>IFERROR(__xludf.DUMMYFUNCTION("""COMPUTED_VALUE"""),"Festival de Cannes")</f>
        <v>Festival de Cannes</v>
      </c>
      <c r="B83">
        <f>IFERROR(__xludf.DUMMYFUNCTION("""COMPUTED_VALUE"""),1999.0)</f>
        <v>1999</v>
      </c>
      <c r="C83" t="str">
        <f>IFERROR(__xludf.DUMMYFUNCTION("""COMPUTED_VALUE"""),"Palme d'or")</f>
        <v>Palme d'or</v>
      </c>
      <c r="D83" t="str">
        <f>IFERROR(__xludf.DUMMYFUNCTION("""COMPUTED_VALUE"""),"*Tout sur ma mère*")</f>
        <v>*Tout sur ma mère*</v>
      </c>
      <c r="E83" t="str">
        <f>IFERROR(__xludf.DUMMYFUNCTION("""COMPUTED_VALUE"""),"Nomination")</f>
        <v>Nomination</v>
      </c>
    </row>
    <row r="84">
      <c r="C84" t="str">
        <f>IFERROR(__xludf.DUMMYFUNCTION("""COMPUTED_VALUE"""),"Prix de la mise en scène")</f>
        <v>Prix de la mise en scène</v>
      </c>
      <c r="E84" t="str">
        <f>IFERROR(__xludf.DUMMYFUNCTION("""COMPUTED_VALUE"""),"Lauréat")</f>
        <v>Lauréat</v>
      </c>
    </row>
    <row r="85">
      <c r="C85" t="str">
        <f>IFERROR(__xludf.DUMMYFUNCTION("""COMPUTED_VALUE"""),"Prix du jury œcuménique")</f>
        <v>Prix du jury œcuménique</v>
      </c>
      <c r="E85" t="str">
        <f>IFERROR(__xludf.DUMMYFUNCTION("""COMPUTED_VALUE"""),"Lauréat")</f>
        <v>Lauréat</v>
      </c>
    </row>
    <row r="86">
      <c r="B86">
        <f>IFERROR(__xludf.DUMMYFUNCTION("""COMPUTED_VALUE"""),2006.0)</f>
        <v>2006</v>
      </c>
      <c r="C86" t="str">
        <f>IFERROR(__xludf.DUMMYFUNCTION("""COMPUTED_VALUE"""),"Palme d'or")</f>
        <v>Palme d'or</v>
      </c>
      <c r="D86" t="str">
        <f>IFERROR(__xludf.DUMMYFUNCTION("""COMPUTED_VALUE"""),"*Volver*")</f>
        <v>*Volver*</v>
      </c>
      <c r="E86" t="str">
        <f>IFERROR(__xludf.DUMMYFUNCTION("""COMPUTED_VALUE"""),"Nomination")</f>
        <v>Nomination</v>
      </c>
    </row>
    <row r="87">
      <c r="C87" t="str">
        <f>IFERROR(__xludf.DUMMYFUNCTION("""COMPUTED_VALUE"""),"Prix du scénario")</f>
        <v>Prix du scénario</v>
      </c>
      <c r="E87" t="str">
        <f>IFERROR(__xludf.DUMMYFUNCTION("""COMPUTED_VALUE"""),"Lauréat")</f>
        <v>Lauréat</v>
      </c>
    </row>
    <row r="88">
      <c r="B88">
        <f>IFERROR(__xludf.DUMMYFUNCTION("""COMPUTED_VALUE"""),2009.0)</f>
        <v>2009</v>
      </c>
      <c r="C88" t="str">
        <f>IFERROR(__xludf.DUMMYFUNCTION("""COMPUTED_VALUE"""),"Palme d'or")</f>
        <v>Palme d'or</v>
      </c>
      <c r="D88" t="str">
        <f>IFERROR(__xludf.DUMMYFUNCTION("""COMPUTED_VALUE"""),"*Étreintes brisées*")</f>
        <v>*Étreintes brisées*</v>
      </c>
      <c r="E88" t="str">
        <f>IFERROR(__xludf.DUMMYFUNCTION("""COMPUTED_VALUE"""),"Nomination")</f>
        <v>Nomination</v>
      </c>
    </row>
    <row r="89">
      <c r="B89">
        <f>IFERROR(__xludf.DUMMYFUNCTION("""COMPUTED_VALUE"""),2011.0)</f>
        <v>2011</v>
      </c>
      <c r="D89" t="str">
        <f>IFERROR(__xludf.DUMMYFUNCTION("""COMPUTED_VALUE"""),"*La piel que habito*")</f>
        <v>*La piel que habito*</v>
      </c>
      <c r="E89" t="str">
        <f>IFERROR(__xludf.DUMMYFUNCTION("""COMPUTED_VALUE"""),"Nomination")</f>
        <v>Nomination</v>
      </c>
    </row>
    <row r="90">
      <c r="C90" t="str">
        <f>IFERROR(__xludf.DUMMYFUNCTION("""COMPUTED_VALUE"""),"Queer Palm")</f>
        <v>Queer Palm</v>
      </c>
      <c r="E90" t="str">
        <f>IFERROR(__xludf.DUMMYFUNCTION("""COMPUTED_VALUE"""),"Nomination")</f>
        <v>Nomination</v>
      </c>
    </row>
    <row r="91">
      <c r="B91">
        <f>IFERROR(__xludf.DUMMYFUNCTION("""COMPUTED_VALUE"""),2016.0)</f>
        <v>2016</v>
      </c>
      <c r="C91" t="str">
        <f>IFERROR(__xludf.DUMMYFUNCTION("""COMPUTED_VALUE"""),"Palme d'or")</f>
        <v>Palme d'or</v>
      </c>
      <c r="D91" t="str">
        <f>IFERROR(__xludf.DUMMYFUNCTION("""COMPUTED_VALUE"""),"*Julieta*")</f>
        <v>*Julieta*</v>
      </c>
      <c r="E91" t="str">
        <f>IFERROR(__xludf.DUMMYFUNCTION("""COMPUTED_VALUE"""),"Nomination")</f>
        <v>Nomination</v>
      </c>
    </row>
    <row r="92">
      <c r="B92">
        <f>IFERROR(__xludf.DUMMYFUNCTION("""COMPUTED_VALUE"""),2019.0)</f>
        <v>2019</v>
      </c>
      <c r="D92" t="str">
        <f>IFERROR(__xludf.DUMMYFUNCTION("""COMPUTED_VALUE"""),"*Douleur et Gloire*")</f>
        <v>*Douleur et Gloire*</v>
      </c>
      <c r="E92" t="str">
        <f>IFERROR(__xludf.DUMMYFUNCTION("""COMPUTED_VALUE"""),"Nomination")</f>
        <v>Nomination</v>
      </c>
    </row>
    <row r="93">
      <c r="C93" t="str">
        <f>IFERROR(__xludf.DUMMYFUNCTION("""COMPUTED_VALUE"""),"Queer Palm")</f>
        <v>Queer Palm</v>
      </c>
      <c r="E93" t="str">
        <f>IFERROR(__xludf.DUMMYFUNCTION("""COMPUTED_VALUE"""),"Nomination")</f>
        <v>Nomination</v>
      </c>
    </row>
    <row r="94">
      <c r="B94">
        <f>IFERROR(__xludf.DUMMYFUNCTION("""COMPUTED_VALUE"""),2023.0)</f>
        <v>2023</v>
      </c>
      <c r="D94" t="str">
        <f>IFERROR(__xludf.DUMMYFUNCTION("""COMPUTED_VALUE"""),"*Strange Way of Life*")</f>
        <v>*Strange Way of Life*</v>
      </c>
      <c r="E94" t="str">
        <f>IFERROR(__xludf.DUMMYFUNCTION("""COMPUTED_VALUE"""),"Nomination")</f>
        <v>Nomination</v>
      </c>
    </row>
    <row r="95">
      <c r="A95" t="str">
        <f>IFERROR(__xludf.DUMMYFUNCTION("""COMPUTED_VALUE"""),"Mostra de Venise")</f>
        <v>Mostra de Venise</v>
      </c>
      <c r="B95">
        <f>IFERROR(__xludf.DUMMYFUNCTION("""COMPUTED_VALUE"""),1988.0)</f>
        <v>1988</v>
      </c>
      <c r="C95" t="str">
        <f>IFERROR(__xludf.DUMMYFUNCTION("""COMPUTED_VALUE"""),"Lion d'or")</f>
        <v>Lion d'or</v>
      </c>
      <c r="D95" t="str">
        <f>IFERROR(__xludf.DUMMYFUNCTION("""COMPUTED_VALUE"""),"*Femmes au bord de la crise de nerfs*")</f>
        <v>*Femmes au bord de la crise de nerfs*</v>
      </c>
      <c r="E95" t="str">
        <f>IFERROR(__xludf.DUMMYFUNCTION("""COMPUTED_VALUE"""),"Nomination")</f>
        <v>Nomination</v>
      </c>
    </row>
    <row r="96">
      <c r="C96" t="str">
        <f>IFERROR(__xludf.DUMMYFUNCTION("""COMPUTED_VALUE"""),"Prix Osella du meilleur scénario")</f>
        <v>Prix Osella du meilleur scénario</v>
      </c>
      <c r="E96" t="str">
        <f>IFERROR(__xludf.DUMMYFUNCTION("""COMPUTED_VALUE"""),"Lauréat")</f>
        <v>Lauréat</v>
      </c>
    </row>
    <row r="97">
      <c r="B97">
        <f>IFERROR(__xludf.DUMMYFUNCTION("""COMPUTED_VALUE"""),2019.0)</f>
        <v>2019</v>
      </c>
      <c r="C97" t="str">
        <f>IFERROR(__xludf.DUMMYFUNCTION("""COMPUTED_VALUE"""),"Lion d'or pour la carrière")</f>
        <v>Lion d'or pour la carrière</v>
      </c>
      <c r="E97" t="str">
        <f>IFERROR(__xludf.DUMMYFUNCTION("""COMPUTED_VALUE"""),"Lauréat")</f>
        <v>Lauréat</v>
      </c>
    </row>
    <row r="98">
      <c r="B98">
        <f>IFERROR(__xludf.DUMMYFUNCTION("""COMPUTED_VALUE"""),2021.0)</f>
        <v>2021</v>
      </c>
      <c r="C98" t="str">
        <f>IFERROR(__xludf.DUMMYFUNCTION("""COMPUTED_VALUE"""),"Lion d'or")</f>
        <v>Lion d'or</v>
      </c>
      <c r="D98" t="str">
        <f>IFERROR(__xludf.DUMMYFUNCTION("""COMPUTED_VALUE"""),"*Madres paralelas*")</f>
        <v>*Madres paralelas*</v>
      </c>
      <c r="E98" t="str">
        <f>IFERROR(__xludf.DUMMYFUNCTION("""COMPUTED_VALUE"""),"Nomination")</f>
        <v>Nomination</v>
      </c>
    </row>
    <row r="99">
      <c r="C99" t="str">
        <f>IFERROR(__xludf.DUMMYFUNCTION("""COMPUTED_VALUE"""),"Queer Lion")</f>
        <v>Queer Lion</v>
      </c>
      <c r="E99" t="str">
        <f>IFERROR(__xludf.DUMMYFUNCTION("""COMPUTED_VALUE"""),"Nomination")</f>
        <v>Nomination</v>
      </c>
    </row>
    <row r="100">
      <c r="B100">
        <f>IFERROR(__xludf.DUMMYFUNCTION("""COMPUTED_VALUE"""),2024.0)</f>
        <v>2024</v>
      </c>
      <c r="C100" t="str">
        <f>IFERROR(__xludf.DUMMYFUNCTION("""COMPUTED_VALUE"""),"Lion d'or")</f>
        <v>Lion d'or</v>
      </c>
      <c r="D100" t="str">
        <f>IFERROR(__xludf.DUMMYFUNCTION("""COMPUTED_VALUE"""),"*The Room Next Door*")</f>
        <v>*The Room Next Door*</v>
      </c>
      <c r="E100" t="str">
        <f>IFERROR(__xludf.DUMMYFUNCTION("""COMPUTED_VALUE"""),"Lauréat")</f>
        <v>Lauréat</v>
      </c>
    </row>
    <row r="101">
      <c r="A101" t="str">
        <f>IFERROR(__xludf.DUMMYFUNCTION("""COMPUTED_VALUE"""),"Prix du cinéma européen")</f>
        <v>Prix du cinéma européen</v>
      </c>
      <c r="B101">
        <f>IFERROR(__xludf.DUMMYFUNCTION("""COMPUTED_VALUE"""),1998.0)</f>
        <v>1998</v>
      </c>
      <c r="C101" t="str">
        <f>IFERROR(__xludf.DUMMYFUNCTION("""COMPUTED_VALUE"""),"Meilleur film")</f>
        <v>Meilleur film</v>
      </c>
      <c r="D101" t="str">
        <f>IFERROR(__xludf.DUMMYFUNCTION("""COMPUTED_VALUE"""),"*En chair et en os*")</f>
        <v>*En chair et en os*</v>
      </c>
      <c r="E101" t="str">
        <f>IFERROR(__xludf.DUMMYFUNCTION("""COMPUTED_VALUE"""),"Nomination")</f>
        <v>Nomination</v>
      </c>
    </row>
    <row r="102">
      <c r="B102">
        <f>IFERROR(__xludf.DUMMYFUNCTION("""COMPUTED_VALUE"""),1999.0)</f>
        <v>1999</v>
      </c>
      <c r="D102" t="str">
        <f>IFERROR(__xludf.DUMMYFUNCTION("""COMPUTED_VALUE"""),"*Tout sur ma mère*")</f>
        <v>*Tout sur ma mère*</v>
      </c>
      <c r="E102" t="str">
        <f>IFERROR(__xludf.DUMMYFUNCTION("""COMPUTED_VALUE"""),"Lauréat")</f>
        <v>Lauréat</v>
      </c>
    </row>
    <row r="103">
      <c r="C103" t="str">
        <f>IFERROR(__xludf.DUMMYFUNCTION("""COMPUTED_VALUE"""),"Prix du public - Meilleur réalisateur")</f>
        <v>Prix du public - Meilleur réalisateur</v>
      </c>
      <c r="E103" t="str">
        <f>IFERROR(__xludf.DUMMYFUNCTION("""COMPUTED_VALUE"""),"Lauréat")</f>
        <v>Lauréat</v>
      </c>
    </row>
    <row r="104">
      <c r="B104">
        <f>IFERROR(__xludf.DUMMYFUNCTION("""COMPUTED_VALUE"""),2002.0)</f>
        <v>2002</v>
      </c>
      <c r="C104" t="str">
        <f>IFERROR(__xludf.DUMMYFUNCTION("""COMPUTED_VALUE"""),"Meilleur film")</f>
        <v>Meilleur film</v>
      </c>
      <c r="D104" t="str">
        <f>IFERROR(__xludf.DUMMYFUNCTION("""COMPUTED_VALUE"""),"*Parle avec elle*")</f>
        <v>*Parle avec elle*</v>
      </c>
      <c r="E104" t="str">
        <f>IFERROR(__xludf.DUMMYFUNCTION("""COMPUTED_VALUE"""),"Lauréat")</f>
        <v>Lauréat</v>
      </c>
    </row>
    <row r="105">
      <c r="C105" t="str">
        <f>IFERROR(__xludf.DUMMYFUNCTION("""COMPUTED_VALUE"""),"Meilleur réalisateur")</f>
        <v>Meilleur réalisateur</v>
      </c>
      <c r="E105" t="str">
        <f>IFERROR(__xludf.DUMMYFUNCTION("""COMPUTED_VALUE"""),"Lauréat")</f>
        <v>Lauréat</v>
      </c>
    </row>
    <row r="106">
      <c r="C106" t="str">
        <f>IFERROR(__xludf.DUMMYFUNCTION("""COMPUTED_VALUE"""),"Meilleur scénario")</f>
        <v>Meilleur scénario</v>
      </c>
      <c r="E106" t="str">
        <f>IFERROR(__xludf.DUMMYFUNCTION("""COMPUTED_VALUE"""),"Lauréat")</f>
        <v>Lauréat</v>
      </c>
    </row>
    <row r="107">
      <c r="C107" t="str">
        <f>IFERROR(__xludf.DUMMYFUNCTION("""COMPUTED_VALUE"""),"Prix du public - Meilleur réalisateur")</f>
        <v>Prix du public - Meilleur réalisateur</v>
      </c>
      <c r="E107" t="str">
        <f>IFERROR(__xludf.DUMMYFUNCTION("""COMPUTED_VALUE"""),"Lauréat")</f>
        <v>Lauréat</v>
      </c>
    </row>
    <row r="108">
      <c r="B108">
        <f>IFERROR(__xludf.DUMMYFUNCTION("""COMPUTED_VALUE"""),2004.0)</f>
        <v>2004</v>
      </c>
      <c r="C108" t="str">
        <f>IFERROR(__xludf.DUMMYFUNCTION("""COMPUTED_VALUE"""),"Meilleur film")</f>
        <v>Meilleur film</v>
      </c>
      <c r="D108" t="str">
        <f>IFERROR(__xludf.DUMMYFUNCTION("""COMPUTED_VALUE"""),"*La Mauvaise Éducation*")</f>
        <v>*La Mauvaise Éducation*</v>
      </c>
      <c r="E108" t="str">
        <f>IFERROR(__xludf.DUMMYFUNCTION("""COMPUTED_VALUE"""),"Nomination")</f>
        <v>Nomination</v>
      </c>
    </row>
    <row r="109">
      <c r="C109" t="str">
        <f>IFERROR(__xludf.DUMMYFUNCTION("""COMPUTED_VALUE"""),"Meilleur réalisateur")</f>
        <v>Meilleur réalisateur</v>
      </c>
      <c r="E109" t="str">
        <f>IFERROR(__xludf.DUMMYFUNCTION("""COMPUTED_VALUE"""),"Nomination")</f>
        <v>Nomination</v>
      </c>
    </row>
    <row r="110">
      <c r="C110" t="str">
        <f>IFERROR(__xludf.DUMMYFUNCTION("""COMPUTED_VALUE"""),"Meilleur scénario")</f>
        <v>Meilleur scénario</v>
      </c>
      <c r="E110" t="str">
        <f>IFERROR(__xludf.DUMMYFUNCTION("""COMPUTED_VALUE"""),"Nomination")</f>
        <v>Nomination</v>
      </c>
    </row>
    <row r="111">
      <c r="C111" t="str">
        <f>IFERROR(__xludf.DUMMYFUNCTION("""COMPUTED_VALUE"""),"Prix du public - Meilleur réalisateur")</f>
        <v>Prix du public - Meilleur réalisateur</v>
      </c>
      <c r="E111" t="str">
        <f>IFERROR(__xludf.DUMMYFUNCTION("""COMPUTED_VALUE"""),"Nomination")</f>
        <v>Nomination</v>
      </c>
    </row>
    <row r="112">
      <c r="B112">
        <f>IFERROR(__xludf.DUMMYFUNCTION("""COMPUTED_VALUE"""),2006.0)</f>
        <v>2006</v>
      </c>
      <c r="C112" t="str">
        <f>IFERROR(__xludf.DUMMYFUNCTION("""COMPUTED_VALUE"""),"Meilleur film")</f>
        <v>Meilleur film</v>
      </c>
      <c r="D112" t="str">
        <f>IFERROR(__xludf.DUMMYFUNCTION("""COMPUTED_VALUE"""),"*Volver*")</f>
        <v>*Volver*</v>
      </c>
      <c r="E112" t="str">
        <f>IFERROR(__xludf.DUMMYFUNCTION("""COMPUTED_VALUE"""),"Nomination")</f>
        <v>Nomination</v>
      </c>
    </row>
    <row r="113">
      <c r="C113" t="str">
        <f>IFERROR(__xludf.DUMMYFUNCTION("""COMPUTED_VALUE"""),"Meilleur réalisateur")</f>
        <v>Meilleur réalisateur</v>
      </c>
      <c r="E113" t="str">
        <f>IFERROR(__xludf.DUMMYFUNCTION("""COMPUTED_VALUE"""),"Lauréat")</f>
        <v>Lauréat</v>
      </c>
    </row>
    <row r="114">
      <c r="C114" t="str">
        <f>IFERROR(__xludf.DUMMYFUNCTION("""COMPUTED_VALUE"""),"Meilleur scénario")</f>
        <v>Meilleur scénario</v>
      </c>
      <c r="E114" t="str">
        <f>IFERROR(__xludf.DUMMYFUNCTION("""COMPUTED_VALUE"""),"Nomination")</f>
        <v>Nomination</v>
      </c>
    </row>
    <row r="115">
      <c r="C115" t="str">
        <f>IFERROR(__xludf.DUMMYFUNCTION("""COMPUTED_VALUE"""),"Prix du public - Meilleur film")</f>
        <v>Prix du public - Meilleur film</v>
      </c>
      <c r="E115" t="str">
        <f>IFERROR(__xludf.DUMMYFUNCTION("""COMPUTED_VALUE"""),"Lauréat")</f>
        <v>Lauréat</v>
      </c>
    </row>
    <row r="116">
      <c r="B116">
        <f>IFERROR(__xludf.DUMMYFUNCTION("""COMPUTED_VALUE"""),2009.0)</f>
        <v>2009</v>
      </c>
      <c r="C116" t="str">
        <f>IFERROR(__xludf.DUMMYFUNCTION("""COMPUTED_VALUE"""),"Meilleur réalisateur")</f>
        <v>Meilleur réalisateur</v>
      </c>
      <c r="D116" t="str">
        <f>IFERROR(__xludf.DUMMYFUNCTION("""COMPUTED_VALUE"""),"*Étreintes brisées*")</f>
        <v>*Étreintes brisées*</v>
      </c>
      <c r="E116" t="str">
        <f>IFERROR(__xludf.DUMMYFUNCTION("""COMPUTED_VALUE"""),"Nomination")</f>
        <v>Nomination</v>
      </c>
    </row>
    <row r="117">
      <c r="C117" t="str">
        <f>IFERROR(__xludf.DUMMYFUNCTION("""COMPUTED_VALUE"""),"Prix du public - Meilleur film")</f>
        <v>Prix du public - Meilleur film</v>
      </c>
      <c r="E117" t="str">
        <f>IFERROR(__xludf.DUMMYFUNCTION("""COMPUTED_VALUE"""),"Nomination")</f>
        <v>Nomination</v>
      </c>
    </row>
    <row r="118">
      <c r="B118">
        <f>IFERROR(__xludf.DUMMYFUNCTION("""COMPUTED_VALUE"""),2013.0)</f>
        <v>2013</v>
      </c>
      <c r="C118" t="str">
        <f>IFERROR(__xludf.DUMMYFUNCTION("""COMPUTED_VALUE"""),"Meilleure comédie")</f>
        <v>Meilleure comédie</v>
      </c>
      <c r="D118" t="str">
        <f>IFERROR(__xludf.DUMMYFUNCTION("""COMPUTED_VALUE"""),"*Les Amants passagers*")</f>
        <v>*Les Amants passagers*</v>
      </c>
      <c r="E118" t="str">
        <f>IFERROR(__xludf.DUMMYFUNCTION("""COMPUTED_VALUE"""),"Nomination")</f>
        <v>Nomination</v>
      </c>
    </row>
    <row r="119">
      <c r="C119" t="str">
        <f>IFERROR(__xludf.DUMMYFUNCTION("""COMPUTED_VALUE"""),"Prix du public - Meilleur film")</f>
        <v>Prix du public - Meilleur film</v>
      </c>
      <c r="E119" t="str">
        <f>IFERROR(__xludf.DUMMYFUNCTION("""COMPUTED_VALUE"""),"Nomination")</f>
        <v>Nomination</v>
      </c>
    </row>
    <row r="120">
      <c r="B120">
        <f>IFERROR(__xludf.DUMMYFUNCTION("""COMPUTED_VALUE"""),2016.0)</f>
        <v>2016</v>
      </c>
      <c r="C120" t="str">
        <f>IFERROR(__xludf.DUMMYFUNCTION("""COMPUTED_VALUE"""),"Meilleur film")</f>
        <v>Meilleur film</v>
      </c>
      <c r="D120" t="str">
        <f>IFERROR(__xludf.DUMMYFUNCTION("""COMPUTED_VALUE"""),"*Julieta*")</f>
        <v>*Julieta*</v>
      </c>
      <c r="E120" t="str">
        <f>IFERROR(__xludf.DUMMYFUNCTION("""COMPUTED_VALUE"""),"Nomination")</f>
        <v>Nomination</v>
      </c>
    </row>
    <row r="121">
      <c r="C121" t="str">
        <f>IFERROR(__xludf.DUMMYFUNCTION("""COMPUTED_VALUE"""),"Meilleur réalisateur")</f>
        <v>Meilleur réalisateur</v>
      </c>
      <c r="E121" t="str">
        <f>IFERROR(__xludf.DUMMYFUNCTION("""COMPUTED_VALUE"""),"Nomination")</f>
        <v>Nomination</v>
      </c>
    </row>
    <row r="122">
      <c r="C122" t="str">
        <f>IFERROR(__xludf.DUMMYFUNCTION("""COMPUTED_VALUE"""),"Prix du public - Meilleur film")</f>
        <v>Prix du public - Meilleur film</v>
      </c>
      <c r="E122" t="str">
        <f>IFERROR(__xludf.DUMMYFUNCTION("""COMPUTED_VALUE"""),"Nomination")</f>
        <v>Nomination</v>
      </c>
    </row>
    <row r="123">
      <c r="B123">
        <f>IFERROR(__xludf.DUMMYFUNCTION("""COMPUTED_VALUE"""),2019.0)</f>
        <v>2019</v>
      </c>
      <c r="C123" t="str">
        <f>IFERROR(__xludf.DUMMYFUNCTION("""COMPUTED_VALUE"""),"Meilleur film")</f>
        <v>Meilleur film</v>
      </c>
      <c r="D123" t="str">
        <f>IFERROR(__xludf.DUMMYFUNCTION("""COMPUTED_VALUE"""),"*Douleur et Gloire*")</f>
        <v>*Douleur et Gloire*</v>
      </c>
      <c r="E123" t="str">
        <f>IFERROR(__xludf.DUMMYFUNCTION("""COMPUTED_VALUE"""),"Nomination")</f>
        <v>Nomination</v>
      </c>
    </row>
    <row r="124">
      <c r="C124" t="str">
        <f>IFERROR(__xludf.DUMMYFUNCTION("""COMPUTED_VALUE"""),"Meilleur réalisateur")</f>
        <v>Meilleur réalisateur</v>
      </c>
      <c r="E124" t="str">
        <f>IFERROR(__xludf.DUMMYFUNCTION("""COMPUTED_VALUE"""),"Nomination")</f>
        <v>Nomination</v>
      </c>
    </row>
    <row r="125">
      <c r="C125" t="str">
        <f>IFERROR(__xludf.DUMMYFUNCTION("""COMPUTED_VALUE"""),"Meilleur scénario")</f>
        <v>Meilleur scénario</v>
      </c>
      <c r="E125" t="str">
        <f>IFERROR(__xludf.DUMMYFUNCTION("""COMPUTED_VALUE"""),"Nomination")</f>
        <v>Nomination</v>
      </c>
    </row>
    <row r="126">
      <c r="C126" t="str">
        <f>IFERROR(__xludf.DUMMYFUNCTION("""COMPUTED_VALUE"""),"Prix du public - Meilleur film")</f>
        <v>Prix du public - Meilleur film</v>
      </c>
      <c r="E126" t="str">
        <f>IFERROR(__xludf.DUMMYFUNCTION("""COMPUTED_VALUE"""),"Nomination")</f>
        <v>Nomination</v>
      </c>
    </row>
    <row r="127">
      <c r="A127" t="str">
        <f>IFERROR(__xludf.DUMMYFUNCTION("""COMPUTED_VALUE"""),"*France*")</f>
        <v>*France*</v>
      </c>
    </row>
    <row r="128">
      <c r="A128" t="str">
        <f>IFERROR(__xludf.DUMMYFUNCTION("""COMPUTED_VALUE"""),"César du cinéma")</f>
        <v>César du cinéma</v>
      </c>
      <c r="B128">
        <f>IFERROR(__xludf.DUMMYFUNCTION("""COMPUTED_VALUE"""),1991.0)</f>
        <v>1991</v>
      </c>
      <c r="C128" t="str">
        <f>IFERROR(__xludf.DUMMYFUNCTION("""COMPUTED_VALUE"""),"Meilleur film étranger")</f>
        <v>Meilleur film étranger</v>
      </c>
      <c r="D128" t="str">
        <f>IFERROR(__xludf.DUMMYFUNCTION("""COMPUTED_VALUE"""),"*Attache-moi*")</f>
        <v>*Attache-moi*</v>
      </c>
      <c r="E128" t="str">
        <f>IFERROR(__xludf.DUMMYFUNCTION("""COMPUTED_VALUE"""),"Nomination")</f>
        <v>Nomination</v>
      </c>
    </row>
    <row r="129">
      <c r="B129">
        <f>IFERROR(__xludf.DUMMYFUNCTION("""COMPUTED_VALUE"""),1993.0)</f>
        <v>1993</v>
      </c>
      <c r="D129" t="str">
        <f>IFERROR(__xludf.DUMMYFUNCTION("""COMPUTED_VALUE"""),"*Talons aiguilles*")</f>
        <v>*Talons aiguilles*</v>
      </c>
      <c r="E129" t="str">
        <f>IFERROR(__xludf.DUMMYFUNCTION("""COMPUTED_VALUE"""),"Lauréat")</f>
        <v>Lauréat</v>
      </c>
    </row>
    <row r="130">
      <c r="B130">
        <f>IFERROR(__xludf.DUMMYFUNCTION("""COMPUTED_VALUE"""),1999.0)</f>
        <v>1999</v>
      </c>
      <c r="C130" t="str">
        <f>IFERROR(__xludf.DUMMYFUNCTION("""COMPUTED_VALUE"""),"César d'honneur")</f>
        <v>César d'honneur</v>
      </c>
      <c r="E130" t="str">
        <f>IFERROR(__xludf.DUMMYFUNCTION("""COMPUTED_VALUE"""),"Lauréat")</f>
        <v>Lauréat</v>
      </c>
    </row>
    <row r="131">
      <c r="B131">
        <f>IFERROR(__xludf.DUMMYFUNCTION("""COMPUTED_VALUE"""),2000.0)</f>
        <v>2000</v>
      </c>
      <c r="C131" t="str">
        <f>IFERROR(__xludf.DUMMYFUNCTION("""COMPUTED_VALUE"""),"Meilleur film étranger")</f>
        <v>Meilleur film étranger</v>
      </c>
      <c r="D131" t="str">
        <f>IFERROR(__xludf.DUMMYFUNCTION("""COMPUTED_VALUE"""),"*Tout sur ma mère*")</f>
        <v>*Tout sur ma mère*</v>
      </c>
      <c r="E131" t="str">
        <f>IFERROR(__xludf.DUMMYFUNCTION("""COMPUTED_VALUE"""),"Lauréat")</f>
        <v>Lauréat</v>
      </c>
    </row>
    <row r="132">
      <c r="B132">
        <f>IFERROR(__xludf.DUMMYFUNCTION("""COMPUTED_VALUE"""),2003.0)</f>
        <v>2003</v>
      </c>
      <c r="C132" t="str">
        <f>IFERROR(__xludf.DUMMYFUNCTION("""COMPUTED_VALUE"""),"Meilleur film de l'Union européenne")</f>
        <v>Meilleur film de l'Union européenne</v>
      </c>
      <c r="D132" t="str">
        <f>IFERROR(__xludf.DUMMYFUNCTION("""COMPUTED_VALUE"""),"*Parle avec elle*")</f>
        <v>*Parle avec elle*</v>
      </c>
      <c r="E132" t="str">
        <f>IFERROR(__xludf.DUMMYFUNCTION("""COMPUTED_VALUE"""),"Lauréat")</f>
        <v>Lauréat</v>
      </c>
    </row>
    <row r="133">
      <c r="B133">
        <f>IFERROR(__xludf.DUMMYFUNCTION("""COMPUTED_VALUE"""),2005.0)</f>
        <v>2005</v>
      </c>
      <c r="D133" t="str">
        <f>IFERROR(__xludf.DUMMYFUNCTION("""COMPUTED_VALUE"""),"*La Mauvaise Éducation*")</f>
        <v>*La Mauvaise Éducation*</v>
      </c>
      <c r="E133" t="str">
        <f>IFERROR(__xludf.DUMMYFUNCTION("""COMPUTED_VALUE"""),"Nomination")</f>
        <v>Nomination</v>
      </c>
    </row>
    <row r="134">
      <c r="B134">
        <f>IFERROR(__xludf.DUMMYFUNCTION("""COMPUTED_VALUE"""),2007.0)</f>
        <v>2007</v>
      </c>
      <c r="C134" t="str">
        <f>IFERROR(__xludf.DUMMYFUNCTION("""COMPUTED_VALUE"""),"Meilleur film étranger")</f>
        <v>Meilleur film étranger</v>
      </c>
      <c r="D134" t="str">
        <f>IFERROR(__xludf.DUMMYFUNCTION("""COMPUTED_VALUE"""),"*Volver*")</f>
        <v>*Volver*</v>
      </c>
      <c r="E134" t="str">
        <f>IFERROR(__xludf.DUMMYFUNCTION("""COMPUTED_VALUE"""),"Nomination")</f>
        <v>Nomination</v>
      </c>
    </row>
    <row r="135">
      <c r="B135">
        <f>IFERROR(__xludf.DUMMYFUNCTION("""COMPUTED_VALUE"""),2020.0)</f>
        <v>2020</v>
      </c>
      <c r="D135" t="str">
        <f>IFERROR(__xludf.DUMMYFUNCTION("""COMPUTED_VALUE"""),"*Douleur et Gloire*")</f>
        <v>*Douleur et Gloire*</v>
      </c>
      <c r="E135" t="str">
        <f>IFERROR(__xludf.DUMMYFUNCTION("""COMPUTED_VALUE"""),"Nomination")</f>
        <v>Nomination</v>
      </c>
    </row>
    <row r="136">
      <c r="B136">
        <f>IFERROR(__xludf.DUMMYFUNCTION("""COMPUTED_VALUE"""),2022.0)</f>
        <v>2022</v>
      </c>
      <c r="D136" t="str">
        <f>IFERROR(__xludf.DUMMYFUNCTION("""COMPUTED_VALUE"""),"*Madres paralelas*")</f>
        <v>*Madres paralelas*</v>
      </c>
      <c r="E136" t="str">
        <f>IFERROR(__xludf.DUMMYFUNCTION("""COMPUTED_VALUE"""),"Nomination")</f>
        <v>Nomination</v>
      </c>
    </row>
    <row r="137">
      <c r="A137" t="str">
        <f>IFERROR(__xludf.DUMMYFUNCTION("""COMPUTED_VALUE"""),"Prix Lumières")</f>
        <v>Prix Lumières</v>
      </c>
      <c r="B137">
        <f>IFERROR(__xludf.DUMMYFUNCTION("""COMPUTED_VALUE"""),2000.0)</f>
        <v>2000</v>
      </c>
      <c r="C137" t="str">
        <f>IFERROR(__xludf.DUMMYFUNCTION("""COMPUTED_VALUE"""),"Meilleur film étranger")</f>
        <v>Meilleur film étranger</v>
      </c>
      <c r="D137" t="str">
        <f>IFERROR(__xludf.DUMMYFUNCTION("""COMPUTED_VALUE"""),"*Tout sur ma mère*")</f>
        <v>*Tout sur ma mère*</v>
      </c>
      <c r="E137" t="str">
        <f>IFERROR(__xludf.DUMMYFUNCTION("""COMPUTED_VALUE"""),"Lauréat")</f>
        <v>Lauréat</v>
      </c>
    </row>
    <row r="138">
      <c r="A138" t="str">
        <f>IFERROR(__xludf.DUMMYFUNCTION("""COMPUTED_VALUE"""),"Prix du Syndicat français de la critique
de cinéma et des films de télévision")</f>
        <v>Prix du Syndicat français de la critique
de cinéma et des films de télévision</v>
      </c>
      <c r="B138">
        <f>IFERROR(__xludf.DUMMYFUNCTION("""COMPUTED_VALUE"""),2003.0)</f>
        <v>2003</v>
      </c>
      <c r="C138" t="str">
        <f>IFERROR(__xludf.DUMMYFUNCTION("""COMPUTED_VALUE"""),"Meilleur film étranger")</f>
        <v>Meilleur film étranger</v>
      </c>
      <c r="D138" t="str">
        <f>IFERROR(__xludf.DUMMYFUNCTION("""COMPUTED_VALUE"""),"*Parle avec elle*")</f>
        <v>*Parle avec elle*</v>
      </c>
      <c r="E138" t="str">
        <f>IFERROR(__xludf.DUMMYFUNCTION("""COMPUTED_VALUE"""),"Lauréat")</f>
        <v>Lauréat</v>
      </c>
    </row>
    <row r="139">
      <c r="B139">
        <f>IFERROR(__xludf.DUMMYFUNCTION("""COMPUTED_VALUE"""),2007.0)</f>
        <v>2007</v>
      </c>
      <c r="D139" t="str">
        <f>IFERROR(__xludf.DUMMYFUNCTION("""COMPUTED_VALUE"""),"*Volver*")</f>
        <v>*Volver*</v>
      </c>
      <c r="E139" t="str">
        <f>IFERROR(__xludf.DUMMYFUNCTION("""COMPUTED_VALUE"""),"Lauréat")</f>
        <v>Lauréat</v>
      </c>
    </row>
    <row r="140">
      <c r="A140" t="str">
        <f>IFERROR(__xludf.DUMMYFUNCTION("""COMPUTED_VALUE"""),"*Italie*")</f>
        <v>*Italie*</v>
      </c>
    </row>
    <row r="141">
      <c r="A141" t="str">
        <f>IFERROR(__xludf.DUMMYFUNCTION("""COMPUTED_VALUE"""),"David di Donatello")</f>
        <v>David di Donatello</v>
      </c>
      <c r="B141">
        <f>IFERROR(__xludf.DUMMYFUNCTION("""COMPUTED_VALUE"""),1989.0)</f>
        <v>1989</v>
      </c>
      <c r="C141" t="str">
        <f>IFERROR(__xludf.DUMMYFUNCTION("""COMPUTED_VALUE"""),"Meilleur film étranger")</f>
        <v>Meilleur film étranger</v>
      </c>
      <c r="D141" t="str">
        <f>IFERROR(__xludf.DUMMYFUNCTION("""COMPUTED_VALUE"""),"*Femmes au bord de la crise de nerfs*")</f>
        <v>*Femmes au bord de la crise de nerfs*</v>
      </c>
      <c r="E141" t="str">
        <f>IFERROR(__xludf.DUMMYFUNCTION("""COMPUTED_VALUE"""),"Nomination")</f>
        <v>Nomination</v>
      </c>
    </row>
    <row r="142">
      <c r="C142" t="str">
        <f>IFERROR(__xludf.DUMMYFUNCTION("""COMPUTED_VALUE"""),"Meilleur réalisateur étranger")</f>
        <v>Meilleur réalisateur étranger</v>
      </c>
      <c r="E142" t="str">
        <f>IFERROR(__xludf.DUMMYFUNCTION("""COMPUTED_VALUE"""),"Lauréat")</f>
        <v>Lauréat</v>
      </c>
    </row>
    <row r="143">
      <c r="B143">
        <f>IFERROR(__xludf.DUMMYFUNCTION("""COMPUTED_VALUE"""),2000.0)</f>
        <v>2000</v>
      </c>
      <c r="C143" t="str">
        <f>IFERROR(__xludf.DUMMYFUNCTION("""COMPUTED_VALUE"""),"Meilleur film étranger")</f>
        <v>Meilleur film étranger</v>
      </c>
      <c r="D143" t="str">
        <f>IFERROR(__xludf.DUMMYFUNCTION("""COMPUTED_VALUE"""),"*Tout sur ma mère*")</f>
        <v>*Tout sur ma mère*</v>
      </c>
      <c r="E143" t="str">
        <f>IFERROR(__xludf.DUMMYFUNCTION("""COMPUTED_VALUE"""),"Lauréat")</f>
        <v>Lauréat</v>
      </c>
    </row>
    <row r="144">
      <c r="B144">
        <f>IFERROR(__xludf.DUMMYFUNCTION("""COMPUTED_VALUE"""),2003.0)</f>
        <v>2003</v>
      </c>
      <c r="D144" t="str">
        <f>IFERROR(__xludf.DUMMYFUNCTION("""COMPUTED_VALUE"""),"*Parle avec elle*")</f>
        <v>*Parle avec elle*</v>
      </c>
      <c r="E144" t="str">
        <f>IFERROR(__xludf.DUMMYFUNCTION("""COMPUTED_VALUE"""),"Nomination")</f>
        <v>Nomination</v>
      </c>
    </row>
    <row r="145">
      <c r="B145">
        <f>IFERROR(__xludf.DUMMYFUNCTION("""COMPUTED_VALUE"""),2007.0)</f>
        <v>2007</v>
      </c>
      <c r="C145" t="str">
        <f>IFERROR(__xludf.DUMMYFUNCTION("""COMPUTED_VALUE"""),"Meilleur film de l'Union européenne")</f>
        <v>Meilleur film de l'Union européenne</v>
      </c>
      <c r="D145" t="str">
        <f>IFERROR(__xludf.DUMMYFUNCTION("""COMPUTED_VALUE"""),"*Volver*")</f>
        <v>*Volver*</v>
      </c>
      <c r="E145" t="str">
        <f>IFERROR(__xludf.DUMMYFUNCTION("""COMPUTED_VALUE"""),"Nomination")</f>
        <v>Nomination</v>
      </c>
    </row>
    <row r="146">
      <c r="B146">
        <f>IFERROR(__xludf.DUMMYFUNCTION("""COMPUTED_VALUE"""),2017.0)</f>
        <v>2017</v>
      </c>
      <c r="D146" t="str">
        <f>IFERROR(__xludf.DUMMYFUNCTION("""COMPUTED_VALUE"""),"*Julieta*")</f>
        <v>*Julieta*</v>
      </c>
      <c r="E146" t="str">
        <f>IFERROR(__xludf.DUMMYFUNCTION("""COMPUTED_VALUE"""),"Nomination")</f>
        <v>Nomination</v>
      </c>
    </row>
    <row r="147">
      <c r="A147" t="str">
        <f>IFERROR(__xludf.DUMMYFUNCTION("""COMPUTED_VALUE"""),"Ruban d'argent")</f>
        <v>Ruban d'argent</v>
      </c>
      <c r="B147">
        <f>IFERROR(__xludf.DUMMYFUNCTION("""COMPUTED_VALUE"""),2005.0)</f>
        <v>2005</v>
      </c>
      <c r="C147" t="str">
        <f>IFERROR(__xludf.DUMMYFUNCTION("""COMPUTED_VALUE"""),"Meilleur film étranger")</f>
        <v>Meilleur film étranger</v>
      </c>
      <c r="D147" t="str">
        <f>IFERROR(__xludf.DUMMYFUNCTION("""COMPUTED_VALUE"""),"*La Mauvaise Éducation*")</f>
        <v>*La Mauvaise Éducation*</v>
      </c>
      <c r="E147" t="str">
        <f>IFERROR(__xludf.DUMMYFUNCTION("""COMPUTED_VALUE"""),"Lauréat")</f>
        <v>Lauréat</v>
      </c>
    </row>
    <row r="148">
      <c r="A148" t="str">
        <f>IFERROR(__xludf.DUMMYFUNCTION("""COMPUTED_VALUE"""),"*Royaume-Uni*")</f>
        <v>*Royaume-Uni*</v>
      </c>
    </row>
    <row r="149">
      <c r="A149" t="str">
        <f>IFERROR(__xludf.DUMMYFUNCTION("""COMPUTED_VALUE"""),"BAFTA")</f>
        <v>BAFTA</v>
      </c>
      <c r="B149">
        <f>IFERROR(__xludf.DUMMYFUNCTION("""COMPUTED_VALUE"""),1990.0)</f>
        <v>1990</v>
      </c>
      <c r="C149" t="str">
        <f>IFERROR(__xludf.DUMMYFUNCTION("""COMPUTED_VALUE"""),"Meilleur film en langue étrangère")</f>
        <v>Meilleur film en langue étrangère</v>
      </c>
      <c r="D149" t="str">
        <f>IFERROR(__xludf.DUMMYFUNCTION("""COMPUTED_VALUE"""),"*Femmes au bord de la crise de nerfs*")</f>
        <v>*Femmes au bord de la crise de nerfs*</v>
      </c>
      <c r="E149" t="str">
        <f>IFERROR(__xludf.DUMMYFUNCTION("""COMPUTED_VALUE"""),"Nomination")</f>
        <v>Nomination</v>
      </c>
    </row>
    <row r="150">
      <c r="B150">
        <f>IFERROR(__xludf.DUMMYFUNCTION("""COMPUTED_VALUE"""),1999.0)</f>
        <v>1999</v>
      </c>
      <c r="D150" t="str">
        <f>IFERROR(__xludf.DUMMYFUNCTION("""COMPUTED_VALUE"""),"*En chair et en os*")</f>
        <v>*En chair et en os*</v>
      </c>
      <c r="E150" t="str">
        <f>IFERROR(__xludf.DUMMYFUNCTION("""COMPUTED_VALUE"""),"Nomination")</f>
        <v>Nomination</v>
      </c>
    </row>
    <row r="151">
      <c r="B151">
        <f>IFERROR(__xludf.DUMMYFUNCTION("""COMPUTED_VALUE"""),2000.0)</f>
        <v>2000</v>
      </c>
      <c r="D151" t="str">
        <f>IFERROR(__xludf.DUMMYFUNCTION("""COMPUTED_VALUE"""),"*Tout sur ma mère*")</f>
        <v>*Tout sur ma mère*</v>
      </c>
      <c r="E151" t="str">
        <f>IFERROR(__xludf.DUMMYFUNCTION("""COMPUTED_VALUE"""),"Lauréat")</f>
        <v>Lauréat</v>
      </c>
    </row>
    <row r="152">
      <c r="C152" t="str">
        <f>IFERROR(__xludf.DUMMYFUNCTION("""COMPUTED_VALUE"""),"Meilleur réalisateur")</f>
        <v>Meilleur réalisateur</v>
      </c>
      <c r="E152" t="str">
        <f>IFERROR(__xludf.DUMMYFUNCTION("""COMPUTED_VALUE"""),"Lauréat")</f>
        <v>Lauréat</v>
      </c>
    </row>
    <row r="153">
      <c r="C153" t="str">
        <f>IFERROR(__xludf.DUMMYFUNCTION("""COMPUTED_VALUE"""),"Meilleur scénario original")</f>
        <v>Meilleur scénario original</v>
      </c>
      <c r="E153" t="str">
        <f>IFERROR(__xludf.DUMMYFUNCTION("""COMPUTED_VALUE"""),"Nomination")</f>
        <v>Nomination</v>
      </c>
    </row>
    <row r="154">
      <c r="B154">
        <f>IFERROR(__xludf.DUMMYFUNCTION("""COMPUTED_VALUE"""),2003.0)</f>
        <v>2003</v>
      </c>
      <c r="C154" t="str">
        <f>IFERROR(__xludf.DUMMYFUNCTION("""COMPUTED_VALUE"""),"Meilleur scénario original")</f>
        <v>Meilleur scénario original</v>
      </c>
      <c r="D154" t="str">
        <f>IFERROR(__xludf.DUMMYFUNCTION("""COMPUTED_VALUE"""),"*Parle avec elle*")</f>
        <v>*Parle avec elle*</v>
      </c>
      <c r="E154" t="str">
        <f>IFERROR(__xludf.DUMMYFUNCTION("""COMPUTED_VALUE"""),"Lauréat")</f>
        <v>Lauréat</v>
      </c>
    </row>
    <row r="155">
      <c r="C155" t="str">
        <f>IFERROR(__xludf.DUMMYFUNCTION("""COMPUTED_VALUE"""),"Meilleur film en langue étrangère")</f>
        <v>Meilleur film en langue étrangère</v>
      </c>
      <c r="E155" t="str">
        <f>IFERROR(__xludf.DUMMYFUNCTION("""COMPUTED_VALUE"""),"Lauréat")</f>
        <v>Lauréat</v>
      </c>
    </row>
    <row r="156">
      <c r="B156">
        <f>IFERROR(__xludf.DUMMYFUNCTION("""COMPUTED_VALUE"""),2005.0)</f>
        <v>2005</v>
      </c>
      <c r="D156" t="str">
        <f>IFERROR(__xludf.DUMMYFUNCTION("""COMPUTED_VALUE"""),"*La Mauvaise Éducation*")</f>
        <v>*La Mauvaise Éducation*</v>
      </c>
      <c r="E156" t="str">
        <f>IFERROR(__xludf.DUMMYFUNCTION("""COMPUTED_VALUE"""),"Nomination")</f>
        <v>Nomination</v>
      </c>
    </row>
    <row r="157">
      <c r="B157">
        <f>IFERROR(__xludf.DUMMYFUNCTION("""COMPUTED_VALUE"""),2007.0)</f>
        <v>2007</v>
      </c>
      <c r="D157" t="str">
        <f>IFERROR(__xludf.DUMMYFUNCTION("""COMPUTED_VALUE"""),"*Volver*")</f>
        <v>*Volver*</v>
      </c>
      <c r="E157" t="str">
        <f>IFERROR(__xludf.DUMMYFUNCTION("""COMPUTED_VALUE"""),"Nomination")</f>
        <v>Nomination</v>
      </c>
    </row>
    <row r="158">
      <c r="B158">
        <f>IFERROR(__xludf.DUMMYFUNCTION("""COMPUTED_VALUE"""),2010.0)</f>
        <v>2010</v>
      </c>
      <c r="D158" t="str">
        <f>IFERROR(__xludf.DUMMYFUNCTION("""COMPUTED_VALUE"""),"*Étreintes brisées*")</f>
        <v>*Étreintes brisées*</v>
      </c>
      <c r="E158" t="str">
        <f>IFERROR(__xludf.DUMMYFUNCTION("""COMPUTED_VALUE"""),"Nomination")</f>
        <v>Nomination</v>
      </c>
    </row>
    <row r="159">
      <c r="B159">
        <f>IFERROR(__xludf.DUMMYFUNCTION("""COMPUTED_VALUE"""),2012.0)</f>
        <v>2012</v>
      </c>
      <c r="D159" t="str">
        <f>IFERROR(__xludf.DUMMYFUNCTION("""COMPUTED_VALUE"""),"*La piel que habito*")</f>
        <v>*La piel que habito*</v>
      </c>
      <c r="E159" t="str">
        <f>IFERROR(__xludf.DUMMYFUNCTION("""COMPUTED_VALUE"""),"Lauréat")</f>
        <v>Lauréat</v>
      </c>
    </row>
    <row r="160">
      <c r="B160">
        <f>IFERROR(__xludf.DUMMYFUNCTION("""COMPUTED_VALUE"""),2017.0)</f>
        <v>2017</v>
      </c>
      <c r="D160" t="str">
        <f>IFERROR(__xludf.DUMMYFUNCTION("""COMPUTED_VALUE"""),"*Julieta*")</f>
        <v>*Julieta*</v>
      </c>
      <c r="E160" t="str">
        <f>IFERROR(__xludf.DUMMYFUNCTION("""COMPUTED_VALUE"""),"Nomination")</f>
        <v>Nomination</v>
      </c>
    </row>
    <row r="161">
      <c r="B161">
        <f>IFERROR(__xludf.DUMMYFUNCTION("""COMPUTED_VALUE"""),2020.0)</f>
        <v>2020</v>
      </c>
      <c r="D161" t="str">
        <f>IFERROR(__xludf.DUMMYFUNCTION("""COMPUTED_VALUE"""),"*Douleur et Gloire*")</f>
        <v>*Douleur et Gloire*</v>
      </c>
      <c r="E161" t="str">
        <f>IFERROR(__xludf.DUMMYFUNCTION("""COMPUTED_VALUE"""),"Nomination")</f>
        <v>Nomination</v>
      </c>
    </row>
    <row r="162">
      <c r="B162">
        <f>IFERROR(__xludf.DUMMYFUNCTION("""COMPUTED_VALUE"""),2022.0)</f>
        <v>2022</v>
      </c>
      <c r="D162" t="str">
        <f>IFERROR(__xludf.DUMMYFUNCTION("""COMPUTED_VALUE"""),"*Madres paralelas*")</f>
        <v>*Madres paralelas*</v>
      </c>
      <c r="E162" t="str">
        <f>IFERROR(__xludf.DUMMYFUNCTION("""COMPUTED_VALUE"""),"Nomination")</f>
        <v>Nomination</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3823</v>
      </c>
      <c r="B1" s="6" t="s">
        <v>3824</v>
      </c>
      <c r="C1" s="6" t="s">
        <v>3825</v>
      </c>
      <c r="D1" s="6" t="s">
        <v>3826</v>
      </c>
      <c r="E1" s="6" t="s">
        <v>3827</v>
      </c>
      <c r="F1" s="6" t="s">
        <v>3828</v>
      </c>
      <c r="G1" s="6" t="s">
        <v>3829</v>
      </c>
      <c r="H1" s="6" t="s">
        <v>3830</v>
      </c>
      <c r="I1" s="6" t="s">
        <v>3831</v>
      </c>
      <c r="J1" s="6" t="s">
        <v>3832</v>
      </c>
    </row>
    <row r="2">
      <c r="A2" s="6" t="s">
        <v>3833</v>
      </c>
      <c r="B2" s="6" t="s">
        <v>3834</v>
      </c>
      <c r="C2" s="6" t="s">
        <v>3835</v>
      </c>
      <c r="D2" s="6">
        <v>1.0</v>
      </c>
      <c r="E2" s="6" t="s">
        <v>3836</v>
      </c>
      <c r="F2" s="7">
        <v>43164.0</v>
      </c>
      <c r="G2" s="6" t="s">
        <v>3837</v>
      </c>
      <c r="H2" s="6">
        <v>0.0</v>
      </c>
      <c r="I2" s="6" t="s">
        <v>3837</v>
      </c>
      <c r="J2" s="7">
        <v>43231.0</v>
      </c>
    </row>
    <row r="3">
      <c r="A3" s="6" t="s">
        <v>3838</v>
      </c>
      <c r="B3" s="6" t="s">
        <v>3839</v>
      </c>
      <c r="C3" s="6" t="s">
        <v>3840</v>
      </c>
      <c r="D3" s="6">
        <v>1.0</v>
      </c>
      <c r="E3" s="6" t="s">
        <v>3841</v>
      </c>
      <c r="F3" s="7">
        <v>43226.0</v>
      </c>
      <c r="G3" s="6">
        <v>323025.0</v>
      </c>
      <c r="H3" s="6">
        <v>0.0</v>
      </c>
      <c r="I3" s="6">
        <v>323025.0</v>
      </c>
      <c r="J3" s="7">
        <v>43413.0</v>
      </c>
    </row>
    <row r="4">
      <c r="A4" s="6" t="s">
        <v>3842</v>
      </c>
      <c r="B4" s="6" t="s">
        <v>3843</v>
      </c>
      <c r="C4" s="6" t="s">
        <v>3844</v>
      </c>
      <c r="D4" s="6">
        <v>1.0</v>
      </c>
      <c r="E4" s="6" t="s">
        <v>3845</v>
      </c>
      <c r="F4" s="7">
        <v>43208.0</v>
      </c>
      <c r="G4" s="6" t="s">
        <v>3846</v>
      </c>
      <c r="H4" s="6">
        <v>0.0</v>
      </c>
      <c r="I4" s="6" t="s">
        <v>3846</v>
      </c>
      <c r="J4" s="7">
        <v>43320.0</v>
      </c>
    </row>
    <row r="5">
      <c r="A5" s="6" t="s">
        <v>3847</v>
      </c>
      <c r="B5" s="6" t="s">
        <v>3848</v>
      </c>
      <c r="C5" s="6" t="s">
        <v>3849</v>
      </c>
      <c r="D5" s="6">
        <v>1.0</v>
      </c>
      <c r="E5" s="6" t="s">
        <v>3850</v>
      </c>
      <c r="F5" s="7">
        <v>43175.0</v>
      </c>
      <c r="G5" s="6" t="s">
        <v>3846</v>
      </c>
      <c r="H5" s="6">
        <v>0.0</v>
      </c>
      <c r="I5" s="6" t="s">
        <v>3846</v>
      </c>
      <c r="J5" s="7">
        <v>43356.0</v>
      </c>
    </row>
    <row r="6">
      <c r="A6" s="6" t="s">
        <v>3851</v>
      </c>
      <c r="B6" s="6" t="s">
        <v>3852</v>
      </c>
      <c r="C6" s="6" t="s">
        <v>3853</v>
      </c>
      <c r="D6" s="6">
        <v>2.0</v>
      </c>
      <c r="E6" s="6" t="s">
        <v>3850</v>
      </c>
      <c r="F6" s="7">
        <v>43117.0</v>
      </c>
      <c r="G6" s="6" t="s">
        <v>3854</v>
      </c>
      <c r="H6" s="6">
        <v>0.0</v>
      </c>
      <c r="I6" s="6" t="s">
        <v>3854</v>
      </c>
    </row>
    <row r="7">
      <c r="A7" s="6" t="s">
        <v>3855</v>
      </c>
      <c r="B7" s="6" t="s">
        <v>3856</v>
      </c>
      <c r="C7" s="6" t="s">
        <v>3857</v>
      </c>
      <c r="D7" s="6">
        <v>1.0</v>
      </c>
      <c r="E7" s="6" t="s">
        <v>3858</v>
      </c>
      <c r="F7" s="7">
        <v>43347.0</v>
      </c>
      <c r="G7" s="6">
        <v>849529.0</v>
      </c>
      <c r="H7" s="6">
        <v>0.0</v>
      </c>
      <c r="I7" s="6">
        <v>849529.0</v>
      </c>
      <c r="J7" s="7">
        <v>43343.0</v>
      </c>
    </row>
    <row r="8">
      <c r="A8" s="6" t="s">
        <v>3859</v>
      </c>
      <c r="B8" s="6" t="s">
        <v>3860</v>
      </c>
      <c r="C8" s="6" t="s">
        <v>3861</v>
      </c>
      <c r="D8" s="6">
        <v>1.0</v>
      </c>
      <c r="E8" s="6" t="s">
        <v>3862</v>
      </c>
      <c r="F8" s="7">
        <v>43221.0</v>
      </c>
      <c r="G8" s="6" t="s">
        <v>3854</v>
      </c>
      <c r="H8" s="6">
        <v>0.0</v>
      </c>
      <c r="I8" s="6" t="s">
        <v>3854</v>
      </c>
      <c r="J8" s="7">
        <v>43258.0</v>
      </c>
    </row>
    <row r="9">
      <c r="A9" s="6" t="s">
        <v>3851</v>
      </c>
      <c r="B9" s="6" t="s">
        <v>3863</v>
      </c>
      <c r="C9" s="6" t="s">
        <v>3853</v>
      </c>
      <c r="D9" s="6">
        <v>1.0</v>
      </c>
      <c r="E9" s="6" t="s">
        <v>3850</v>
      </c>
      <c r="F9" s="7">
        <v>43117.0</v>
      </c>
      <c r="G9" s="6" t="s">
        <v>3854</v>
      </c>
      <c r="H9" s="6">
        <v>0.0</v>
      </c>
      <c r="I9" s="6" t="s">
        <v>3854</v>
      </c>
      <c r="J9" s="7">
        <v>43318.0</v>
      </c>
    </row>
    <row r="10">
      <c r="A10" s="6" t="s">
        <v>3864</v>
      </c>
      <c r="B10" s="6" t="s">
        <v>3865</v>
      </c>
      <c r="C10" s="6" t="s">
        <v>3866</v>
      </c>
      <c r="D10" s="6">
        <v>1.0</v>
      </c>
      <c r="E10" s="6" t="s">
        <v>3867</v>
      </c>
      <c r="F10" s="7">
        <v>43253.0</v>
      </c>
      <c r="G10" s="6" t="s">
        <v>3854</v>
      </c>
      <c r="H10" s="6">
        <v>0.0</v>
      </c>
      <c r="I10" s="6" t="s">
        <v>3846</v>
      </c>
    </row>
    <row r="11">
      <c r="A11" s="6" t="s">
        <v>3868</v>
      </c>
      <c r="B11" s="6" t="s">
        <v>3869</v>
      </c>
      <c r="C11" s="6" t="s">
        <v>3870</v>
      </c>
      <c r="D11" s="6">
        <v>1.0</v>
      </c>
      <c r="E11" s="6" t="s">
        <v>3871</v>
      </c>
      <c r="F11" s="7">
        <v>43346.0</v>
      </c>
      <c r="G11" s="6" t="s">
        <v>3846</v>
      </c>
      <c r="I11" s="6" t="s">
        <v>3846</v>
      </c>
      <c r="J11" s="7">
        <v>43413.0</v>
      </c>
    </row>
    <row r="12">
      <c r="A12" s="6" t="s">
        <v>3868</v>
      </c>
      <c r="B12" s="6" t="s">
        <v>3869</v>
      </c>
      <c r="C12" s="6" t="s">
        <v>3872</v>
      </c>
      <c r="D12" s="6">
        <v>1.0</v>
      </c>
      <c r="E12" s="6" t="s">
        <v>3871</v>
      </c>
      <c r="F12" s="7">
        <v>43346.0</v>
      </c>
      <c r="G12" s="6" t="s">
        <v>3846</v>
      </c>
      <c r="I12" s="6" t="s">
        <v>3846</v>
      </c>
      <c r="J12" s="7">
        <v>43413.0</v>
      </c>
    </row>
    <row r="13">
      <c r="A13" s="6" t="s">
        <v>3873</v>
      </c>
      <c r="B13" s="6" t="s">
        <v>3874</v>
      </c>
      <c r="C13" s="6" t="s">
        <v>3875</v>
      </c>
      <c r="D13" s="6">
        <v>1.0</v>
      </c>
      <c r="E13" s="6" t="s">
        <v>3871</v>
      </c>
      <c r="F13" s="7">
        <v>43346.0</v>
      </c>
      <c r="G13" s="6" t="s">
        <v>3846</v>
      </c>
      <c r="I13" s="6" t="s">
        <v>3846</v>
      </c>
      <c r="J13" s="7">
        <v>43329.0</v>
      </c>
    </row>
    <row r="14">
      <c r="A14" s="6" t="s">
        <v>3876</v>
      </c>
      <c r="B14" s="6" t="s">
        <v>3877</v>
      </c>
      <c r="C14" s="6" t="s">
        <v>3878</v>
      </c>
      <c r="D14" s="6">
        <v>1.0</v>
      </c>
      <c r="E14" s="6" t="s">
        <v>3879</v>
      </c>
      <c r="F14" s="7">
        <v>43158.0</v>
      </c>
      <c r="G14" s="6" t="s">
        <v>3846</v>
      </c>
      <c r="H14" s="6">
        <v>0.0</v>
      </c>
      <c r="I14" s="6" t="s">
        <v>3846</v>
      </c>
      <c r="J14" s="7">
        <v>43408.0</v>
      </c>
    </row>
    <row r="15">
      <c r="A15" s="6" t="s">
        <v>3880</v>
      </c>
      <c r="B15" s="6" t="s">
        <v>3881</v>
      </c>
      <c r="C15" s="6" t="s">
        <v>3882</v>
      </c>
      <c r="D15" s="6">
        <v>1.0</v>
      </c>
      <c r="E15" s="6" t="s">
        <v>3883</v>
      </c>
      <c r="F15" s="7">
        <v>43230.0</v>
      </c>
      <c r="G15" s="6" t="s">
        <v>3884</v>
      </c>
      <c r="H15" s="6">
        <v>0.0</v>
      </c>
      <c r="I15" s="6" t="s">
        <v>3884</v>
      </c>
      <c r="J15" s="7">
        <v>43446.0</v>
      </c>
    </row>
    <row r="16">
      <c r="A16" s="6" t="s">
        <v>3885</v>
      </c>
      <c r="B16" s="6" t="s">
        <v>3886</v>
      </c>
      <c r="C16" s="6" t="s">
        <v>3887</v>
      </c>
      <c r="D16" s="6">
        <v>1.0</v>
      </c>
      <c r="E16" s="6" t="s">
        <v>3888</v>
      </c>
      <c r="F16" s="7">
        <v>43187.0</v>
      </c>
      <c r="G16" s="6" t="s">
        <v>3889</v>
      </c>
      <c r="H16" s="6">
        <v>0.0</v>
      </c>
      <c r="I16" s="6" t="s">
        <v>3837</v>
      </c>
      <c r="J16" s="7">
        <v>43417.0</v>
      </c>
    </row>
    <row r="17">
      <c r="A17" s="6" t="s">
        <v>3890</v>
      </c>
      <c r="B17" s="6" t="s">
        <v>3891</v>
      </c>
      <c r="C17" s="6" t="s">
        <v>3892</v>
      </c>
      <c r="D17" s="6">
        <v>1.0</v>
      </c>
      <c r="E17" s="6" t="s">
        <v>3893</v>
      </c>
      <c r="F17" s="7">
        <v>43106.0</v>
      </c>
      <c r="G17" s="6" t="s">
        <v>3837</v>
      </c>
      <c r="H17" s="6">
        <v>0.0</v>
      </c>
      <c r="I17" s="6" t="s">
        <v>3837</v>
      </c>
      <c r="J17" s="7">
        <v>43426.0</v>
      </c>
    </row>
    <row r="18">
      <c r="A18" s="6" t="s">
        <v>3847</v>
      </c>
      <c r="B18" s="6" t="s">
        <v>3848</v>
      </c>
      <c r="C18" s="6" t="s">
        <v>3849</v>
      </c>
      <c r="D18" s="6">
        <v>2.0</v>
      </c>
      <c r="E18" s="6" t="s">
        <v>3850</v>
      </c>
      <c r="F18" s="7">
        <v>43175.0</v>
      </c>
      <c r="G18" s="6" t="s">
        <v>3846</v>
      </c>
      <c r="H18" s="6">
        <v>0.0</v>
      </c>
      <c r="I18" s="6" t="s">
        <v>3846</v>
      </c>
      <c r="J18" s="7">
        <v>43399.0</v>
      </c>
    </row>
    <row r="19">
      <c r="A19" s="6" t="s">
        <v>3894</v>
      </c>
      <c r="B19" s="6" t="s">
        <v>3895</v>
      </c>
      <c r="C19" s="6" t="s">
        <v>3896</v>
      </c>
      <c r="D19" s="6">
        <v>2.0</v>
      </c>
      <c r="E19" s="6" t="s">
        <v>3897</v>
      </c>
      <c r="F19" s="7">
        <v>43316.0</v>
      </c>
      <c r="G19" s="6" t="s">
        <v>3898</v>
      </c>
      <c r="I19" s="6" t="s">
        <v>3899</v>
      </c>
      <c r="J19" s="7">
        <v>43323.0</v>
      </c>
    </row>
    <row r="20">
      <c r="A20" s="6" t="s">
        <v>3900</v>
      </c>
      <c r="B20" s="6" t="s">
        <v>3901</v>
      </c>
      <c r="C20" s="6" t="s">
        <v>3902</v>
      </c>
      <c r="D20" s="6">
        <v>1.0</v>
      </c>
      <c r="E20" s="6" t="s">
        <v>3903</v>
      </c>
      <c r="F20" s="7">
        <v>43238.0</v>
      </c>
      <c r="G20" s="6">
        <v>358375.71</v>
      </c>
      <c r="H20" s="6">
        <v>0.0</v>
      </c>
      <c r="I20" s="6">
        <v>358375.71</v>
      </c>
      <c r="J20" s="7">
        <v>43389.0</v>
      </c>
    </row>
    <row r="21">
      <c r="A21" s="6" t="s">
        <v>3904</v>
      </c>
      <c r="B21" s="6" t="s">
        <v>3905</v>
      </c>
      <c r="C21" s="6" t="s">
        <v>3906</v>
      </c>
      <c r="D21" s="6">
        <v>1.0</v>
      </c>
      <c r="E21" s="6" t="s">
        <v>3850</v>
      </c>
      <c r="F21" s="7">
        <v>43313.0</v>
      </c>
      <c r="G21" s="6">
        <v>250000.0</v>
      </c>
      <c r="H21" s="6">
        <v>0.0</v>
      </c>
      <c r="I21" s="6">
        <v>250000.0</v>
      </c>
      <c r="J21" s="7">
        <v>43354.0</v>
      </c>
    </row>
    <row r="22">
      <c r="A22" s="6" t="s">
        <v>3907</v>
      </c>
      <c r="B22" s="6" t="s">
        <v>3908</v>
      </c>
      <c r="C22" s="6" t="s">
        <v>3909</v>
      </c>
      <c r="D22" s="6">
        <v>1.0</v>
      </c>
      <c r="E22" s="6" t="s">
        <v>3858</v>
      </c>
      <c r="F22" s="7">
        <v>43347.0</v>
      </c>
      <c r="G22" s="6">
        <v>634968.7</v>
      </c>
      <c r="H22" s="6">
        <v>0.0</v>
      </c>
      <c r="I22" s="6">
        <v>634968.7</v>
      </c>
      <c r="J22" s="7">
        <v>43343.0</v>
      </c>
    </row>
    <row r="23">
      <c r="A23" s="6" t="s">
        <v>3910</v>
      </c>
      <c r="B23" s="6" t="s">
        <v>3911</v>
      </c>
      <c r="C23" s="6" t="s">
        <v>3861</v>
      </c>
      <c r="D23" s="6">
        <v>1.0</v>
      </c>
      <c r="E23" s="6" t="s">
        <v>3862</v>
      </c>
      <c r="F23" s="7">
        <v>43221.0</v>
      </c>
      <c r="G23" s="6" t="s">
        <v>3846</v>
      </c>
      <c r="H23" s="6">
        <v>0.0</v>
      </c>
      <c r="I23" s="6" t="s">
        <v>3846</v>
      </c>
      <c r="J23" s="7">
        <v>43380.0</v>
      </c>
    </row>
    <row r="24">
      <c r="A24" s="6" t="s">
        <v>3912</v>
      </c>
      <c r="B24" s="6" t="s">
        <v>3913</v>
      </c>
      <c r="C24" s="6" t="s">
        <v>3861</v>
      </c>
      <c r="D24" s="6">
        <v>1.0</v>
      </c>
      <c r="E24" s="6" t="s">
        <v>3862</v>
      </c>
      <c r="F24" s="7">
        <v>43221.0</v>
      </c>
      <c r="G24" s="6" t="s">
        <v>3846</v>
      </c>
      <c r="H24" s="6">
        <v>0.0</v>
      </c>
      <c r="I24" s="6" t="s">
        <v>3846</v>
      </c>
      <c r="J24" s="7">
        <v>43380.0</v>
      </c>
    </row>
    <row r="25">
      <c r="A25" s="6" t="s">
        <v>3914</v>
      </c>
      <c r="B25" s="6" t="s">
        <v>3915</v>
      </c>
      <c r="C25" s="6" t="s">
        <v>3916</v>
      </c>
      <c r="D25" s="6">
        <v>1.0</v>
      </c>
      <c r="E25" s="6" t="s">
        <v>3917</v>
      </c>
      <c r="F25" s="7">
        <v>43146.0</v>
      </c>
      <c r="G25" s="6" t="s">
        <v>3846</v>
      </c>
      <c r="H25" s="6">
        <v>0.0</v>
      </c>
      <c r="I25" s="6" t="s">
        <v>3846</v>
      </c>
      <c r="J25" s="7">
        <v>43277.0</v>
      </c>
    </row>
    <row r="26">
      <c r="A26" s="6" t="s">
        <v>3873</v>
      </c>
      <c r="B26" s="6" t="s">
        <v>3874</v>
      </c>
      <c r="C26" s="6" t="s">
        <v>3918</v>
      </c>
      <c r="D26" s="6">
        <v>1.0</v>
      </c>
      <c r="E26" s="6" t="s">
        <v>3871</v>
      </c>
      <c r="F26" s="7">
        <v>43346.0</v>
      </c>
      <c r="G26" s="6" t="s">
        <v>3846</v>
      </c>
      <c r="I26" s="6" t="s">
        <v>3846</v>
      </c>
      <c r="J26" s="7">
        <v>43332.0</v>
      </c>
    </row>
    <row r="27">
      <c r="A27" s="6" t="s">
        <v>3919</v>
      </c>
      <c r="B27" s="6" t="s">
        <v>3920</v>
      </c>
      <c r="C27" s="6" t="s">
        <v>3921</v>
      </c>
      <c r="D27" s="6">
        <v>1.0</v>
      </c>
      <c r="E27" s="6" t="s">
        <v>3922</v>
      </c>
      <c r="F27" s="7">
        <v>43283.0</v>
      </c>
      <c r="G27" s="6">
        <v>600000.0</v>
      </c>
      <c r="H27" s="6">
        <v>0.0</v>
      </c>
      <c r="I27" s="6">
        <v>600000.0</v>
      </c>
      <c r="J27" s="7">
        <v>43427.0</v>
      </c>
    </row>
    <row r="28">
      <c r="A28" s="6" t="s">
        <v>3923</v>
      </c>
      <c r="B28" s="6" t="s">
        <v>3924</v>
      </c>
      <c r="C28" s="6" t="s">
        <v>3925</v>
      </c>
      <c r="D28" s="6">
        <v>1.0</v>
      </c>
      <c r="E28" s="6" t="s">
        <v>3926</v>
      </c>
      <c r="F28" s="7">
        <v>43288.0</v>
      </c>
      <c r="G28" s="6">
        <v>3774968.6</v>
      </c>
      <c r="H28" s="6">
        <v>0.0</v>
      </c>
      <c r="I28" s="6">
        <v>3774968.6</v>
      </c>
      <c r="J28" s="7">
        <v>43451.0</v>
      </c>
    </row>
    <row r="29">
      <c r="A29" s="6" t="s">
        <v>3927</v>
      </c>
      <c r="B29" s="6" t="s">
        <v>3928</v>
      </c>
      <c r="C29" s="6" t="s">
        <v>3929</v>
      </c>
      <c r="D29" s="6">
        <v>1.0</v>
      </c>
      <c r="E29" s="6" t="s">
        <v>3930</v>
      </c>
      <c r="F29" s="7">
        <v>43124.0</v>
      </c>
      <c r="G29" s="6">
        <v>179500.0</v>
      </c>
      <c r="H29" s="6">
        <v>0.0</v>
      </c>
      <c r="I29" s="6">
        <v>179500.0</v>
      </c>
      <c r="J29" s="7">
        <v>43430.0</v>
      </c>
    </row>
    <row r="30">
      <c r="A30" s="6" t="s">
        <v>3931</v>
      </c>
      <c r="B30" s="6" t="s">
        <v>3932</v>
      </c>
      <c r="C30" s="6" t="s">
        <v>3933</v>
      </c>
      <c r="D30" s="6">
        <v>1.0</v>
      </c>
      <c r="E30" s="6" t="s">
        <v>3934</v>
      </c>
      <c r="F30" s="7">
        <v>43236.0</v>
      </c>
      <c r="G30" s="6" t="s">
        <v>3935</v>
      </c>
      <c r="H30" s="6">
        <v>0.0</v>
      </c>
      <c r="I30" s="6" t="s">
        <v>3935</v>
      </c>
      <c r="J30" s="7">
        <v>43230.0</v>
      </c>
    </row>
    <row r="31">
      <c r="A31" s="6" t="s">
        <v>3936</v>
      </c>
      <c r="B31" s="6" t="s">
        <v>3937</v>
      </c>
      <c r="C31" s="6" t="s">
        <v>3938</v>
      </c>
      <c r="D31" s="6">
        <v>1.0</v>
      </c>
      <c r="E31" s="6" t="s">
        <v>3903</v>
      </c>
      <c r="F31" s="7">
        <v>43238.0</v>
      </c>
      <c r="G31" s="6">
        <v>3232115.18</v>
      </c>
      <c r="H31" s="6">
        <v>0.0</v>
      </c>
      <c r="I31" s="6">
        <v>3232115.18</v>
      </c>
      <c r="J31" s="7">
        <v>43230.0</v>
      </c>
    </row>
    <row r="32">
      <c r="A32" s="6" t="s">
        <v>3939</v>
      </c>
      <c r="B32" s="6" t="s">
        <v>3940</v>
      </c>
      <c r="C32" s="6" t="s">
        <v>3941</v>
      </c>
      <c r="D32" s="6">
        <v>1.0</v>
      </c>
      <c r="E32" s="6" t="s">
        <v>3903</v>
      </c>
      <c r="F32" s="7">
        <v>43238.0</v>
      </c>
      <c r="G32" s="6">
        <v>199947.84</v>
      </c>
      <c r="H32" s="6">
        <v>0.0</v>
      </c>
      <c r="I32" s="6">
        <v>199947.84</v>
      </c>
      <c r="J32" s="7">
        <v>43390.0</v>
      </c>
    </row>
    <row r="33">
      <c r="A33" s="6" t="s">
        <v>3942</v>
      </c>
      <c r="B33" s="6" t="s">
        <v>3943</v>
      </c>
      <c r="C33" s="6" t="s">
        <v>3944</v>
      </c>
      <c r="D33" s="6">
        <v>1.0</v>
      </c>
      <c r="E33" s="6" t="s">
        <v>3945</v>
      </c>
      <c r="F33" s="7">
        <v>43103.0</v>
      </c>
      <c r="G33" s="6">
        <v>59030.0</v>
      </c>
      <c r="H33" s="6">
        <v>2892.0</v>
      </c>
      <c r="I33" s="6">
        <v>61922.0</v>
      </c>
      <c r="J33" s="7">
        <v>43110.0</v>
      </c>
    </row>
    <row r="34">
      <c r="A34" s="6" t="s">
        <v>3946</v>
      </c>
      <c r="B34" s="6" t="s">
        <v>3947</v>
      </c>
      <c r="C34" s="6" t="s">
        <v>3948</v>
      </c>
      <c r="D34" s="6">
        <v>1.0</v>
      </c>
      <c r="E34" s="6" t="s">
        <v>3945</v>
      </c>
      <c r="F34" s="7">
        <v>43103.0</v>
      </c>
      <c r="G34" s="6">
        <v>227780.0</v>
      </c>
      <c r="H34" s="6">
        <v>5520.0</v>
      </c>
      <c r="I34" s="6">
        <v>233300.0</v>
      </c>
      <c r="J34" s="7">
        <v>43262.0</v>
      </c>
    </row>
    <row r="35">
      <c r="A35" s="6" t="s">
        <v>3949</v>
      </c>
      <c r="B35" s="6" t="s">
        <v>3950</v>
      </c>
      <c r="C35" s="6" t="s">
        <v>3951</v>
      </c>
      <c r="D35" s="6">
        <v>1.0</v>
      </c>
      <c r="E35" s="6" t="s">
        <v>3862</v>
      </c>
      <c r="F35" s="7">
        <v>43221.0</v>
      </c>
      <c r="G35" s="6" t="s">
        <v>3846</v>
      </c>
      <c r="H35" s="6">
        <v>0.0</v>
      </c>
      <c r="I35" s="6" t="s">
        <v>3846</v>
      </c>
      <c r="J35" s="7">
        <v>43279.0</v>
      </c>
    </row>
    <row r="36">
      <c r="A36" s="6" t="s">
        <v>3952</v>
      </c>
      <c r="B36" s="6" t="s">
        <v>3953</v>
      </c>
      <c r="C36" s="6" t="s">
        <v>3951</v>
      </c>
      <c r="D36" s="6">
        <v>1.0</v>
      </c>
      <c r="E36" s="6" t="s">
        <v>3862</v>
      </c>
      <c r="F36" s="7">
        <v>43221.0</v>
      </c>
      <c r="G36" s="6" t="s">
        <v>3846</v>
      </c>
      <c r="H36" s="6">
        <v>0.0</v>
      </c>
      <c r="I36" s="6" t="s">
        <v>3846</v>
      </c>
      <c r="J36" s="7">
        <v>43279.0</v>
      </c>
    </row>
    <row r="37">
      <c r="A37" s="6" t="s">
        <v>3954</v>
      </c>
      <c r="B37" s="6" t="s">
        <v>3955</v>
      </c>
      <c r="C37" s="6" t="s">
        <v>3956</v>
      </c>
      <c r="D37" s="6">
        <v>1.0</v>
      </c>
      <c r="E37" s="6" t="s">
        <v>3930</v>
      </c>
      <c r="F37" s="7">
        <v>43287.0</v>
      </c>
      <c r="G37" s="6">
        <v>629007.0</v>
      </c>
      <c r="H37" s="6">
        <v>3964.9</v>
      </c>
      <c r="I37" s="6">
        <v>632971.9</v>
      </c>
    </row>
    <row r="38">
      <c r="A38" s="6" t="s">
        <v>3957</v>
      </c>
      <c r="B38" s="6" t="s">
        <v>3958</v>
      </c>
      <c r="C38" s="6" t="s">
        <v>3951</v>
      </c>
      <c r="D38" s="6">
        <v>1.0</v>
      </c>
      <c r="E38" s="6" t="s">
        <v>3862</v>
      </c>
      <c r="F38" s="7">
        <v>43221.0</v>
      </c>
      <c r="G38" s="6" t="s">
        <v>3854</v>
      </c>
      <c r="H38" s="6">
        <v>0.0</v>
      </c>
      <c r="I38" s="6" t="s">
        <v>3854</v>
      </c>
      <c r="J38" s="7">
        <v>43279.0</v>
      </c>
    </row>
    <row r="39">
      <c r="A39" s="6" t="s">
        <v>3959</v>
      </c>
      <c r="B39" s="6" t="s">
        <v>3960</v>
      </c>
      <c r="C39" s="6" t="s">
        <v>3961</v>
      </c>
      <c r="D39" s="6">
        <v>1.0</v>
      </c>
      <c r="E39" s="6" t="s">
        <v>3871</v>
      </c>
      <c r="F39" s="7">
        <v>43346.0</v>
      </c>
      <c r="G39" s="6" t="s">
        <v>3846</v>
      </c>
      <c r="H39" s="6">
        <v>0.0</v>
      </c>
      <c r="I39" s="6" t="s">
        <v>3846</v>
      </c>
      <c r="J39" s="7">
        <v>43326.0</v>
      </c>
    </row>
    <row r="40">
      <c r="A40" s="6" t="s">
        <v>3959</v>
      </c>
      <c r="B40" s="6" t="s">
        <v>3960</v>
      </c>
      <c r="C40" s="6" t="s">
        <v>3962</v>
      </c>
      <c r="D40" s="6">
        <v>1.0</v>
      </c>
      <c r="E40" s="6" t="s">
        <v>3871</v>
      </c>
      <c r="F40" s="7">
        <v>43346.0</v>
      </c>
      <c r="G40" s="6" t="s">
        <v>3846</v>
      </c>
      <c r="H40" s="6">
        <v>0.0</v>
      </c>
      <c r="I40" s="6" t="s">
        <v>3846</v>
      </c>
      <c r="J40" s="7">
        <v>43326.0</v>
      </c>
    </row>
    <row r="41">
      <c r="A41" s="6" t="s">
        <v>3873</v>
      </c>
      <c r="B41" s="6" t="s">
        <v>3874</v>
      </c>
      <c r="C41" s="6" t="s">
        <v>3963</v>
      </c>
      <c r="D41" s="6">
        <v>1.0</v>
      </c>
      <c r="E41" s="6" t="s">
        <v>3871</v>
      </c>
      <c r="F41" s="7">
        <v>43346.0</v>
      </c>
      <c r="G41" s="6" t="s">
        <v>3846</v>
      </c>
      <c r="I41" s="6" t="s">
        <v>3846</v>
      </c>
      <c r="J41" s="7">
        <v>43340.0</v>
      </c>
    </row>
    <row r="42">
      <c r="A42" s="6" t="s">
        <v>3964</v>
      </c>
      <c r="B42" s="6" t="s">
        <v>3965</v>
      </c>
      <c r="C42" s="6" t="s">
        <v>3966</v>
      </c>
      <c r="D42" s="6">
        <v>1.0</v>
      </c>
      <c r="E42" s="6" t="s">
        <v>3967</v>
      </c>
      <c r="F42" s="7">
        <v>43346.0</v>
      </c>
      <c r="G42" s="6">
        <v>164400.0</v>
      </c>
      <c r="H42" s="6">
        <v>0.0</v>
      </c>
      <c r="I42" s="6">
        <v>164400.0</v>
      </c>
      <c r="J42" s="7">
        <v>43206.0</v>
      </c>
    </row>
    <row r="43">
      <c r="A43" s="6" t="s">
        <v>3968</v>
      </c>
      <c r="B43" s="6" t="s">
        <v>3969</v>
      </c>
      <c r="C43" s="6" t="s">
        <v>3970</v>
      </c>
      <c r="D43" s="6">
        <v>1.0</v>
      </c>
      <c r="E43" s="6" t="s">
        <v>3922</v>
      </c>
      <c r="F43" s="7">
        <v>43130.0</v>
      </c>
      <c r="G43" s="6">
        <v>200000.0</v>
      </c>
      <c r="H43" s="6">
        <v>0.0</v>
      </c>
      <c r="I43" s="6">
        <v>200000.0</v>
      </c>
      <c r="J43" s="7">
        <v>43293.0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3971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7">
      <c r="A7" s="6" t="str">
        <f>IFERROR(__xludf.DUMMYFUNCTION("IMPORTHTML(""https://fr.wikipedia.org/wiki/Liste_des_plus_gros_succ%C3%A8s_du_box-office_en_France"",""table"")"),"Rang")</f>
        <v>Rang</v>
      </c>
      <c r="B7" t="str">
        <f>IFERROR(__xludf.DUMMYFUNCTION("""COMPUTED_VALUE"""),"Titre")</f>
        <v>Titre</v>
      </c>
      <c r="C7" t="str">
        <f>IFERROR(__xludf.DUMMYFUNCTION("""COMPUTED_VALUE"""),"Réalisateur")</f>
        <v>Réalisateur</v>
      </c>
      <c r="D7" t="str">
        <f>IFERROR(__xludf.DUMMYFUNCTION("""COMPUTED_VALUE"""),"Année")</f>
        <v>Année</v>
      </c>
      <c r="E7" t="str">
        <f>IFERROR(__xludf.DUMMYFUNCTION("""COMPUTED_VALUE"""),"Entrées[9],[10],[Note 3]")</f>
        <v>Entrées[9],[10],[Note 3]</v>
      </c>
      <c r="F7" t="str">
        <f>IFERROR(__xludf.DUMMYFUNCTION("""COMPUTED_VALUE"""),"Pays[Note 4]")</f>
        <v>Pays[Note 4]</v>
      </c>
    </row>
    <row r="8">
      <c r="A8">
        <f>IFERROR(__xludf.DUMMYFUNCTION("""COMPUTED_VALUE"""),1.0)</f>
        <v>1</v>
      </c>
      <c r="B8" t="str">
        <f>IFERROR(__xludf.DUMMYFUNCTION("""COMPUTED_VALUE"""),"*Titanic*")</f>
        <v>*Titanic*</v>
      </c>
      <c r="C8" t="str">
        <f>IFERROR(__xludf.DUMMYFUNCTION("""COMPUTED_VALUE"""),"James Cameron")</f>
        <v>James Cameron</v>
      </c>
      <c r="D8">
        <f>IFERROR(__xludf.DUMMYFUNCTION("""COMPUTED_VALUE"""),1998.0)</f>
        <v>1998</v>
      </c>
      <c r="E8" t="str">
        <f>IFERROR(__xludf.DUMMYFUNCTION("""COMPUTED_VALUE"""),"22 319 783[11]")</f>
        <v>22 319 783[11]</v>
      </c>
    </row>
    <row r="9">
      <c r="A9">
        <f>IFERROR(__xludf.DUMMYFUNCTION("""COMPUTED_VALUE"""),2.0)</f>
        <v>2</v>
      </c>
      <c r="B9" t="str">
        <f>IFERROR(__xludf.DUMMYFUNCTION("""COMPUTED_VALUE"""),"*Bienvenue chez les Ch'tis*")</f>
        <v>*Bienvenue chez les Ch'tis*</v>
      </c>
      <c r="C9" t="str">
        <f>IFERROR(__xludf.DUMMYFUNCTION("""COMPUTED_VALUE"""),"Dany Boon")</f>
        <v>Dany Boon</v>
      </c>
      <c r="D9">
        <f>IFERROR(__xludf.DUMMYFUNCTION("""COMPUTED_VALUE"""),2008.0)</f>
        <v>2008</v>
      </c>
      <c r="E9">
        <f>IFERROR(__xludf.DUMMYFUNCTION("""COMPUTED_VALUE"""),2.0489303E7)</f>
        <v>20489303</v>
      </c>
    </row>
    <row r="10">
      <c r="A10">
        <f>IFERROR(__xludf.DUMMYFUNCTION("""COMPUTED_VALUE"""),3.0)</f>
        <v>3</v>
      </c>
      <c r="B10" t="str">
        <f>IFERROR(__xludf.DUMMYFUNCTION("""COMPUTED_VALUE"""),"*Intouchables*")</f>
        <v>*Intouchables*</v>
      </c>
      <c r="C10" t="str">
        <f>IFERROR(__xludf.DUMMYFUNCTION("""COMPUTED_VALUE"""),"Éric Toledano / Olivier Nakache")</f>
        <v>Éric Toledano / Olivier Nakache</v>
      </c>
      <c r="D10">
        <f>IFERROR(__xludf.DUMMYFUNCTION("""COMPUTED_VALUE"""),2011.0)</f>
        <v>2011</v>
      </c>
      <c r="E10" t="str">
        <f>IFERROR(__xludf.DUMMYFUNCTION("""COMPUTED_VALUE"""),"19 511 427[11]")</f>
        <v>19 511 427[11]</v>
      </c>
    </row>
    <row r="11">
      <c r="A11">
        <f>IFERROR(__xludf.DUMMYFUNCTION("""COMPUTED_VALUE"""),4.0)</f>
        <v>4</v>
      </c>
      <c r="B11" t="str">
        <f>IFERROR(__xludf.DUMMYFUNCTION("""COMPUTED_VALUE"""),"*Blanche-Neige et les Sept Nains*")</f>
        <v>*Blanche-Neige et les Sept Nains*</v>
      </c>
      <c r="C11" t="str">
        <f>IFERROR(__xludf.DUMMYFUNCTION("""COMPUTED_VALUE"""),"David Hand")</f>
        <v>David Hand</v>
      </c>
      <c r="D11">
        <f>IFERROR(__xludf.DUMMYFUNCTION("""COMPUTED_VALUE"""),1938.0)</f>
        <v>1938</v>
      </c>
      <c r="E11" t="str">
        <f>IFERROR(__xludf.DUMMYFUNCTION("""COMPUTED_VALUE"""),"18 353 225[11]")</f>
        <v>18 353 225[11]</v>
      </c>
    </row>
    <row r="12">
      <c r="A12">
        <f>IFERROR(__xludf.DUMMYFUNCTION("""COMPUTED_VALUE"""),5.0)</f>
        <v>5</v>
      </c>
      <c r="B12" t="str">
        <f>IFERROR(__xludf.DUMMYFUNCTION("""COMPUTED_VALUE"""),"*La Grande Vadrouille*")</f>
        <v>*La Grande Vadrouille*</v>
      </c>
      <c r="C12" t="str">
        <f>IFERROR(__xludf.DUMMYFUNCTION("""COMPUTED_VALUE"""),"Gérard Oury")</f>
        <v>Gérard Oury</v>
      </c>
      <c r="D12">
        <f>IFERROR(__xludf.DUMMYFUNCTION("""COMPUTED_VALUE"""),1966.0)</f>
        <v>1966</v>
      </c>
      <c r="E12" t="str">
        <f>IFERROR(__xludf.DUMMYFUNCTION("""COMPUTED_VALUE"""),"17 331 552[11]")</f>
        <v>17 331 552[11]</v>
      </c>
    </row>
    <row r="13">
      <c r="A13">
        <f>IFERROR(__xludf.DUMMYFUNCTION("""COMPUTED_VALUE"""),6.0)</f>
        <v>6</v>
      </c>
      <c r="B13" t="str">
        <f>IFERROR(__xludf.DUMMYFUNCTION("""COMPUTED_VALUE"""),"*Autant en emporte le vent*")</f>
        <v>*Autant en emporte le vent*</v>
      </c>
      <c r="C13" t="str">
        <f>IFERROR(__xludf.DUMMYFUNCTION("""COMPUTED_VALUE"""),"Victor Fleming")</f>
        <v>Victor Fleming</v>
      </c>
      <c r="D13">
        <f>IFERROR(__xludf.DUMMYFUNCTION("""COMPUTED_VALUE"""),1950.0)</f>
        <v>1950</v>
      </c>
      <c r="E13" t="str">
        <f>IFERROR(__xludf.DUMMYFUNCTION("""COMPUTED_VALUE"""),"16 730 059[11]")</f>
        <v>16 730 059[11]</v>
      </c>
    </row>
    <row r="14">
      <c r="A14">
        <f>IFERROR(__xludf.DUMMYFUNCTION("""COMPUTED_VALUE"""),7.0)</f>
        <v>7</v>
      </c>
      <c r="B14" t="str">
        <f>IFERROR(__xludf.DUMMYFUNCTION("""COMPUTED_VALUE"""),"*Avatar*")</f>
        <v>*Avatar*</v>
      </c>
      <c r="C14" t="str">
        <f>IFERROR(__xludf.DUMMYFUNCTION("""COMPUTED_VALUE"""),"James Cameron")</f>
        <v>James Cameron</v>
      </c>
      <c r="D14">
        <f>IFERROR(__xludf.DUMMYFUNCTION("""COMPUTED_VALUE"""),2009.0)</f>
        <v>2009</v>
      </c>
      <c r="E14" t="str">
        <f>IFERROR(__xludf.DUMMYFUNCTION("""COMPUTED_VALUE"""),"15 344 098[11]")</f>
        <v>15 344 098[11]</v>
      </c>
    </row>
    <row r="15">
      <c r="A15">
        <f>IFERROR(__xludf.DUMMYFUNCTION("""COMPUTED_VALUE"""),8.0)</f>
        <v>8</v>
      </c>
      <c r="B15" t="str">
        <f>IFERROR(__xludf.DUMMYFUNCTION("""COMPUTED_VALUE"""),"*Astérix et Obélix : Mission Cléopâtre*")</f>
        <v>*Astérix et Obélix : Mission Cléopâtre*</v>
      </c>
      <c r="C15" t="str">
        <f>IFERROR(__xludf.DUMMYFUNCTION("""COMPUTED_VALUE"""),"Alain Chabat")</f>
        <v>Alain Chabat</v>
      </c>
      <c r="D15">
        <f>IFERROR(__xludf.DUMMYFUNCTION("""COMPUTED_VALUE"""),2002.0)</f>
        <v>2002</v>
      </c>
      <c r="E15">
        <f>IFERROR(__xludf.DUMMYFUNCTION("""COMPUTED_VALUE"""),1.4967407E7)</f>
        <v>14967407</v>
      </c>
    </row>
    <row r="16">
      <c r="A16">
        <f>IFERROR(__xludf.DUMMYFUNCTION("""COMPUTED_VALUE"""),9.0)</f>
        <v>9</v>
      </c>
      <c r="B16" t="str">
        <f>IFERROR(__xludf.DUMMYFUNCTION("""COMPUTED_VALUE"""),"*Il était une fois dans l'Ouest*")</f>
        <v>*Il était une fois dans l'Ouest*</v>
      </c>
      <c r="C16" t="str">
        <f>IFERROR(__xludf.DUMMYFUNCTION("""COMPUTED_VALUE"""),"Sergio Leone")</f>
        <v>Sergio Leone</v>
      </c>
      <c r="D16">
        <f>IFERROR(__xludf.DUMMYFUNCTION("""COMPUTED_VALUE"""),1968.0)</f>
        <v>1968</v>
      </c>
      <c r="E16" t="str">
        <f>IFERROR(__xludf.DUMMYFUNCTION("""COMPUTED_VALUE"""),"14 894 485[11]")</f>
        <v>14 894 485[11]</v>
      </c>
    </row>
    <row r="17">
      <c r="A17">
        <f>IFERROR(__xludf.DUMMYFUNCTION("""COMPUTED_VALUE"""),10.0)</f>
        <v>10</v>
      </c>
      <c r="B17" t="str">
        <f>IFERROR(__xludf.DUMMYFUNCTION("""COMPUTED_VALUE"""),"*Le Livre de la jungle*")</f>
        <v>*Le Livre de la jungle*</v>
      </c>
      <c r="C17" t="str">
        <f>IFERROR(__xludf.DUMMYFUNCTION("""COMPUTED_VALUE"""),"Wolfgang Reitherman")</f>
        <v>Wolfgang Reitherman</v>
      </c>
      <c r="E17" t="str">
        <f>IFERROR(__xludf.DUMMYFUNCTION("""COMPUTED_VALUE"""),"14 809 564[11]")</f>
        <v>14 809 564[11]</v>
      </c>
    </row>
    <row r="18">
      <c r="A18">
        <f>IFERROR(__xludf.DUMMYFUNCTION("""COMPUTED_VALUE"""),11.0)</f>
        <v>11</v>
      </c>
      <c r="B18" t="str">
        <f>IFERROR(__xludf.DUMMYFUNCTION("""COMPUTED_VALUE"""),"*Les 101 Dalmatiens*")</f>
        <v>*Les 101 Dalmatiens*</v>
      </c>
      <c r="C18" t="str">
        <f>IFERROR(__xludf.DUMMYFUNCTION("""COMPUTED_VALUE"""),"Wolfgang Reitherman / Clyde Geronimi / Hamilton Luske")</f>
        <v>Wolfgang Reitherman / Clyde Geronimi / Hamilton Luske</v>
      </c>
      <c r="D18">
        <f>IFERROR(__xludf.DUMMYFUNCTION("""COMPUTED_VALUE"""),1961.0)</f>
        <v>1961</v>
      </c>
      <c r="E18" t="str">
        <f>IFERROR(__xludf.DUMMYFUNCTION("""COMPUTED_VALUE"""),"14 701 445[11]")</f>
        <v>14 701 445[11]</v>
      </c>
    </row>
    <row r="19">
      <c r="A19">
        <f>IFERROR(__xludf.DUMMYFUNCTION("""COMPUTED_VALUE"""),12.0)</f>
        <v>12</v>
      </c>
      <c r="B19" t="str">
        <f>IFERROR(__xludf.DUMMYFUNCTION("""COMPUTED_VALUE"""),"*Les Dix Commandements*")</f>
        <v>*Les Dix Commandements*</v>
      </c>
      <c r="C19" t="str">
        <f>IFERROR(__xludf.DUMMYFUNCTION("""COMPUTED_VALUE"""),"Cecil B. DeMille")</f>
        <v>Cecil B. DeMille</v>
      </c>
      <c r="D19">
        <f>IFERROR(__xludf.DUMMYFUNCTION("""COMPUTED_VALUE"""),1958.0)</f>
        <v>1958</v>
      </c>
      <c r="E19" t="str">
        <f>IFERROR(__xludf.DUMMYFUNCTION("""COMPUTED_VALUE"""),"14 237 371[11]")</f>
        <v>14 237 371[11]</v>
      </c>
    </row>
    <row r="20">
      <c r="A20">
        <f>IFERROR(__xludf.DUMMYFUNCTION("""COMPUTED_VALUE"""),13.0)</f>
        <v>13</v>
      </c>
      <c r="B20" t="str">
        <f>IFERROR(__xludf.DUMMYFUNCTION("""COMPUTED_VALUE"""),"*Avatar : La Voie de l'eau*")</f>
        <v>*Avatar : La Voie de l'eau*</v>
      </c>
      <c r="C20" t="str">
        <f>IFERROR(__xludf.DUMMYFUNCTION("""COMPUTED_VALUE"""),"James Cameron")</f>
        <v>James Cameron</v>
      </c>
      <c r="D20">
        <f>IFERROR(__xludf.DUMMYFUNCTION("""COMPUTED_VALUE"""),2022.0)</f>
        <v>2022</v>
      </c>
      <c r="E20">
        <f>IFERROR(__xludf.DUMMYFUNCTION("""COMPUTED_VALUE"""),1.405843E7)</f>
        <v>14058430</v>
      </c>
    </row>
    <row r="21">
      <c r="A21">
        <f>IFERROR(__xludf.DUMMYFUNCTION("""COMPUTED_VALUE"""),14.0)</f>
        <v>14</v>
      </c>
      <c r="B21" t="str">
        <f>IFERROR(__xludf.DUMMYFUNCTION("""COMPUTED_VALUE"""),"*Ben-Hur*")</f>
        <v>*Ben-Hur*</v>
      </c>
      <c r="C21" t="str">
        <f>IFERROR(__xludf.DUMMYFUNCTION("""COMPUTED_VALUE"""),"William Wyler")</f>
        <v>William Wyler</v>
      </c>
      <c r="D21">
        <f>IFERROR(__xludf.DUMMYFUNCTION("""COMPUTED_VALUE"""),1960.0)</f>
        <v>1960</v>
      </c>
      <c r="E21" t="str">
        <f>IFERROR(__xludf.DUMMYFUNCTION("""COMPUTED_VALUE"""),"13 858 588[11]")</f>
        <v>13 858 588[11]</v>
      </c>
    </row>
    <row r="22">
      <c r="A22">
        <f>IFERROR(__xludf.DUMMYFUNCTION("""COMPUTED_VALUE"""),15.0)</f>
        <v>15</v>
      </c>
      <c r="B22" t="str">
        <f>IFERROR(__xludf.DUMMYFUNCTION("""COMPUTED_VALUE"""),"*Les Visiteurs*")</f>
        <v>*Les Visiteurs*</v>
      </c>
      <c r="C22" t="str">
        <f>IFERROR(__xludf.DUMMYFUNCTION("""COMPUTED_VALUE"""),"Jean-Marie Poiré")</f>
        <v>Jean-Marie Poiré</v>
      </c>
      <c r="D22">
        <f>IFERROR(__xludf.DUMMYFUNCTION("""COMPUTED_VALUE"""),1993.0)</f>
        <v>1993</v>
      </c>
      <c r="E22">
        <f>IFERROR(__xludf.DUMMYFUNCTION("""COMPUTED_VALUE"""),1.3782991E7)</f>
        <v>13782991</v>
      </c>
    </row>
    <row r="23">
      <c r="A23">
        <f>IFERROR(__xludf.DUMMYFUNCTION("""COMPUTED_VALUE"""),16.0)</f>
        <v>16</v>
      </c>
      <c r="B23" t="str">
        <f>IFERROR(__xludf.DUMMYFUNCTION("""COMPUTED_VALUE"""),"*Le Pont de la rivière Kwaï*")</f>
        <v>*Le Pont de la rivière Kwaï*</v>
      </c>
      <c r="C23" t="str">
        <f>IFERROR(__xludf.DUMMYFUNCTION("""COMPUTED_VALUE"""),"David Lean")</f>
        <v>David Lean</v>
      </c>
      <c r="D23">
        <f>IFERROR(__xludf.DUMMYFUNCTION("""COMPUTED_VALUE"""),1957.0)</f>
        <v>1957</v>
      </c>
      <c r="E23">
        <f>IFERROR(__xludf.DUMMYFUNCTION("""COMPUTED_VALUE"""),1.348175E7)</f>
        <v>13481750</v>
      </c>
    </row>
    <row r="24">
      <c r="A24">
        <f>IFERROR(__xludf.DUMMYFUNCTION("""COMPUTED_VALUE"""),17.0)</f>
        <v>17</v>
      </c>
      <c r="B24" t="str">
        <f>IFERROR(__xludf.DUMMYFUNCTION("""COMPUTED_VALUE"""),"*Cendrillon*")</f>
        <v>*Cendrillon*</v>
      </c>
      <c r="C24" t="str">
        <f>IFERROR(__xludf.DUMMYFUNCTION("""COMPUTED_VALUE"""),"Wilfred Jackson /Clyde Geronimi / Hamilton Luske")</f>
        <v>Wilfred Jackson /Clyde Geronimi / Hamilton Luske</v>
      </c>
      <c r="D24">
        <f>IFERROR(__xludf.DUMMYFUNCTION("""COMPUTED_VALUE"""),1950.0)</f>
        <v>1950</v>
      </c>
      <c r="E24" t="str">
        <f>IFERROR(__xludf.DUMMYFUNCTION("""COMPUTED_VALUE"""),"13 271 449[11]")</f>
        <v>13 271 449[11]</v>
      </c>
    </row>
    <row r="25">
      <c r="A25">
        <f>IFERROR(__xludf.DUMMYFUNCTION("""COMPUTED_VALUE"""),18.0)</f>
        <v>18</v>
      </c>
      <c r="B25" t="str">
        <f>IFERROR(__xludf.DUMMYFUNCTION("""COMPUTED_VALUE"""),"*Le Petit Monde de don Camillo*")</f>
        <v>*Le Petit Monde de don Camillo*</v>
      </c>
      <c r="C25" t="str">
        <f>IFERROR(__xludf.DUMMYFUNCTION("""COMPUTED_VALUE"""),"Julien Duvivier")</f>
        <v>Julien Duvivier</v>
      </c>
      <c r="D25">
        <f>IFERROR(__xludf.DUMMYFUNCTION("""COMPUTED_VALUE"""),1952.0)</f>
        <v>1952</v>
      </c>
      <c r="E25" t="str">
        <f>IFERROR(__xludf.DUMMYFUNCTION("""COMPUTED_VALUE"""),"12 798 591[Note 5]")</f>
        <v>12 798 591[Note 5]</v>
      </c>
    </row>
    <row r="26">
      <c r="A26">
        <f>IFERROR(__xludf.DUMMYFUNCTION("""COMPUTED_VALUE"""),19.0)</f>
        <v>19</v>
      </c>
      <c r="B26" t="str">
        <f>IFERROR(__xludf.DUMMYFUNCTION("""COMPUTED_VALUE"""),"*Les Aristochats*")</f>
        <v>*Les Aristochats*</v>
      </c>
      <c r="C26" t="str">
        <f>IFERROR(__xludf.DUMMYFUNCTION("""COMPUTED_VALUE"""),"Wolfgang Reitherman")</f>
        <v>Wolfgang Reitherman</v>
      </c>
      <c r="D26">
        <f>IFERROR(__xludf.DUMMYFUNCTION("""COMPUTED_VALUE"""),1971.0)</f>
        <v>1971</v>
      </c>
      <c r="E26" t="str">
        <f>IFERROR(__xludf.DUMMYFUNCTION("""COMPUTED_VALUE"""),"12 748 970[11]")</f>
        <v>12 748 970[11]</v>
      </c>
    </row>
    <row r="27">
      <c r="A27">
        <f>IFERROR(__xludf.DUMMYFUNCTION("""COMPUTED_VALUE"""),20.0)</f>
        <v>20</v>
      </c>
      <c r="B27" t="str">
        <f>IFERROR(__xludf.DUMMYFUNCTION("""COMPUTED_VALUE"""),"*La Grande Illusion*")</f>
        <v>*La Grande Illusion*</v>
      </c>
      <c r="C27" t="str">
        <f>IFERROR(__xludf.DUMMYFUNCTION("""COMPUTED_VALUE"""),"Jean Renoir")</f>
        <v>Jean Renoir</v>
      </c>
      <c r="D27">
        <f>IFERROR(__xludf.DUMMYFUNCTION("""COMPUTED_VALUE"""),1937.0)</f>
        <v>1937</v>
      </c>
      <c r="E27">
        <f>IFERROR(__xludf.DUMMYFUNCTION("""COMPUTED_VALUE"""),1.25E7)</f>
        <v>12500000</v>
      </c>
    </row>
    <row r="28">
      <c r="A28">
        <f>IFERROR(__xludf.DUMMYFUNCTION("""COMPUTED_VALUE"""),21.0)</f>
        <v>21</v>
      </c>
      <c r="B28" t="str">
        <f>IFERROR(__xludf.DUMMYFUNCTION("""COMPUTED_VALUE"""),"*Qu'est-ce qu'on a fait au Bon Dieu ?*")</f>
        <v>*Qu'est-ce qu'on a fait au Bon Dieu ?*</v>
      </c>
      <c r="C28" t="str">
        <f>IFERROR(__xludf.DUMMYFUNCTION("""COMPUTED_VALUE"""),"Philippe de Chauveron")</f>
        <v>Philippe de Chauveron</v>
      </c>
      <c r="D28">
        <f>IFERROR(__xludf.DUMMYFUNCTION("""COMPUTED_VALUE"""),2014.0)</f>
        <v>2014</v>
      </c>
      <c r="E28">
        <f>IFERROR(__xludf.DUMMYFUNCTION("""COMPUTED_VALUE"""),1.2366033E7)</f>
        <v>12366033</v>
      </c>
    </row>
    <row r="29">
      <c r="A29">
        <f>IFERROR(__xludf.DUMMYFUNCTION("""COMPUTED_VALUE"""),22.0)</f>
        <v>22</v>
      </c>
      <c r="B29" t="str">
        <f>IFERROR(__xludf.DUMMYFUNCTION("""COMPUTED_VALUE"""),"*Le Jour le plus long*")</f>
        <v>*Le Jour le plus long*</v>
      </c>
      <c r="C29" t="str">
        <f>IFERROR(__xludf.DUMMYFUNCTION("""COMPUTED_VALUE"""),"Ken Annakin / Andrew Marton / Bernhard Wicki")</f>
        <v>Ken Annakin / Andrew Marton / Bernhard Wicki</v>
      </c>
      <c r="D29">
        <f>IFERROR(__xludf.DUMMYFUNCTION("""COMPUTED_VALUE"""),1962.0)</f>
        <v>1962</v>
      </c>
      <c r="E29">
        <f>IFERROR(__xludf.DUMMYFUNCTION("""COMPUTED_VALUE"""),1.1933629E7)</f>
        <v>11933629</v>
      </c>
    </row>
    <row r="30">
      <c r="A30">
        <f>IFERROR(__xludf.DUMMYFUNCTION("""COMPUTED_VALUE"""),23.0)</f>
        <v>23</v>
      </c>
      <c r="B30" t="str">
        <f>IFERROR(__xludf.DUMMYFUNCTION("""COMPUTED_VALUE"""),"*Le Corniaud*")</f>
        <v>*Le Corniaud*</v>
      </c>
      <c r="C30" t="str">
        <f>IFERROR(__xludf.DUMMYFUNCTION("""COMPUTED_VALUE"""),"Gérard Oury")</f>
        <v>Gérard Oury</v>
      </c>
      <c r="D30">
        <f>IFERROR(__xludf.DUMMYFUNCTION("""COMPUTED_VALUE"""),1965.0)</f>
        <v>1965</v>
      </c>
      <c r="E30" t="str">
        <f>IFERROR(__xludf.DUMMYFUNCTION("""COMPUTED_VALUE"""),"11 746 633[11]")</f>
        <v>11 746 633[11]</v>
      </c>
    </row>
    <row r="31">
      <c r="A31">
        <f>IFERROR(__xludf.DUMMYFUNCTION("""COMPUTED_VALUE"""),24.0)</f>
        <v>24</v>
      </c>
      <c r="B31" t="str">
        <f>IFERROR(__xludf.DUMMYFUNCTION("""COMPUTED_VALUE"""),"*La Belle et le Clochard*")</f>
        <v>*La Belle et le Clochard*</v>
      </c>
      <c r="C31" t="str">
        <f>IFERROR(__xludf.DUMMYFUNCTION("""COMPUTED_VALUE"""),"Hamilton Luske / Wilfred Jackson / Clyde Geronimi")</f>
        <v>Hamilton Luske / Wilfred Jackson / Clyde Geronimi</v>
      </c>
      <c r="D31">
        <f>IFERROR(__xludf.DUMMYFUNCTION("""COMPUTED_VALUE"""),1955.0)</f>
        <v>1955</v>
      </c>
      <c r="E31" t="str">
        <f>IFERROR(__xludf.DUMMYFUNCTION("""COMPUTED_VALUE"""),"11 256 612[11]")</f>
        <v>11 256 612[11]</v>
      </c>
    </row>
    <row r="32">
      <c r="A32">
        <f>IFERROR(__xludf.DUMMYFUNCTION("""COMPUTED_VALUE"""),25.0)</f>
        <v>25</v>
      </c>
      <c r="B32" t="str">
        <f>IFERROR(__xludf.DUMMYFUNCTION("""COMPUTED_VALUE"""),"*Un p'tit truc en plus*")</f>
        <v>*Un p'tit truc en plus*</v>
      </c>
      <c r="C32" t="str">
        <f>IFERROR(__xludf.DUMMYFUNCTION("""COMPUTED_VALUE"""),"Artus")</f>
        <v>Artus</v>
      </c>
      <c r="D32">
        <f>IFERROR(__xludf.DUMMYFUNCTION("""COMPUTED_VALUE"""),2024.0)</f>
        <v>2024</v>
      </c>
      <c r="E32">
        <f>IFERROR(__xludf.DUMMYFUNCTION("""COMPUTED_VALUE"""),1.0830209E7)</f>
        <v>10830209</v>
      </c>
    </row>
    <row r="33">
      <c r="A33">
        <f>IFERROR(__xludf.DUMMYFUNCTION("""COMPUTED_VALUE"""),26.0)</f>
        <v>26</v>
      </c>
      <c r="B33" t="str">
        <f>IFERROR(__xludf.DUMMYFUNCTION("""COMPUTED_VALUE"""),"*Le Roi lion*")</f>
        <v>*Le Roi lion*</v>
      </c>
      <c r="C33" t="str">
        <f>IFERROR(__xludf.DUMMYFUNCTION("""COMPUTED_VALUE"""),"Roger Allers / Rob Minkoff")</f>
        <v>Roger Allers / Rob Minkoff</v>
      </c>
      <c r="D33">
        <f>IFERROR(__xludf.DUMMYFUNCTION("""COMPUTED_VALUE"""),1994.0)</f>
        <v>1994</v>
      </c>
      <c r="E33" t="str">
        <f>IFERROR(__xludf.DUMMYFUNCTION("""COMPUTED_VALUE"""),"10 757 254[11]")</f>
        <v>10 757 254[11]</v>
      </c>
    </row>
    <row r="34">
      <c r="A34">
        <f>IFERROR(__xludf.DUMMYFUNCTION("""COMPUTED_VALUE"""),27.0)</f>
        <v>27</v>
      </c>
      <c r="B34" t="str">
        <f>IFERROR(__xludf.DUMMYFUNCTION("""COMPUTED_VALUE"""),"*Bambi*")</f>
        <v>*Bambi*</v>
      </c>
      <c r="C34" t="str">
        <f>IFERROR(__xludf.DUMMYFUNCTION("""COMPUTED_VALUE"""),"David Hand")</f>
        <v>David Hand</v>
      </c>
      <c r="D34">
        <f>IFERROR(__xludf.DUMMYFUNCTION("""COMPUTED_VALUE"""),1948.0)</f>
        <v>1948</v>
      </c>
      <c r="E34" t="str">
        <f>IFERROR(__xludf.DUMMYFUNCTION("""COMPUTED_VALUE"""),"10 717 059[11]")</f>
        <v>10 717 059[11]</v>
      </c>
    </row>
    <row r="35">
      <c r="A35">
        <f>IFERROR(__xludf.DUMMYFUNCTION("""COMPUTED_VALUE"""),28.0)</f>
        <v>28</v>
      </c>
      <c r="B35" t="str">
        <f>IFERROR(__xludf.DUMMYFUNCTION("""COMPUTED_VALUE"""),"*Star Wars, épisode VII : Le Réveil de la Force*")</f>
        <v>*Star Wars, épisode VII : Le Réveil de la Force*</v>
      </c>
      <c r="C35" t="str">
        <f>IFERROR(__xludf.DUMMYFUNCTION("""COMPUTED_VALUE"""),"J. J. Abrams")</f>
        <v>J. J. Abrams</v>
      </c>
      <c r="D35">
        <f>IFERROR(__xludf.DUMMYFUNCTION("""COMPUTED_VALUE"""),2015.0)</f>
        <v>2015</v>
      </c>
      <c r="E35">
        <f>IFERROR(__xludf.DUMMYFUNCTION("""COMPUTED_VALUE"""),1.0507561E7)</f>
        <v>10507561</v>
      </c>
    </row>
    <row r="36">
      <c r="A36">
        <f>IFERROR(__xludf.DUMMYFUNCTION("""COMPUTED_VALUE"""),29.0)</f>
        <v>29</v>
      </c>
      <c r="B36" t="str">
        <f>IFERROR(__xludf.DUMMYFUNCTION("""COMPUTED_VALUE"""),"*Les Bronzés 3*")</f>
        <v>*Les Bronzés 3*</v>
      </c>
      <c r="C36" t="str">
        <f>IFERROR(__xludf.DUMMYFUNCTION("""COMPUTED_VALUE"""),"Patrice Leconte")</f>
        <v>Patrice Leconte</v>
      </c>
      <c r="D36">
        <f>IFERROR(__xludf.DUMMYFUNCTION("""COMPUTED_VALUE"""),2006.0)</f>
        <v>2006</v>
      </c>
      <c r="E36">
        <f>IFERROR(__xludf.DUMMYFUNCTION("""COMPUTED_VALUE"""),1.035593E7)</f>
        <v>10355930</v>
      </c>
    </row>
    <row r="37">
      <c r="A37">
        <f>IFERROR(__xludf.DUMMYFUNCTION("""COMPUTED_VALUE"""),30.0)</f>
        <v>30</v>
      </c>
      <c r="B37" t="str">
        <f>IFERROR(__xludf.DUMMYFUNCTION("""COMPUTED_VALUE"""),"*Taxi 2*")</f>
        <v>*Taxi 2*</v>
      </c>
      <c r="C37" t="str">
        <f>IFERROR(__xludf.DUMMYFUNCTION("""COMPUTED_VALUE"""),"Gérard Krawczyk")</f>
        <v>Gérard Krawczyk</v>
      </c>
      <c r="D37">
        <f>IFERROR(__xludf.DUMMYFUNCTION("""COMPUTED_VALUE"""),2000.0)</f>
        <v>2000</v>
      </c>
      <c r="E37">
        <f>IFERROR(__xludf.DUMMYFUNCTION("""COMPUTED_VALUE"""),1.0345901E7)</f>
        <v>10345901</v>
      </c>
    </row>
    <row r="38">
      <c r="A38">
        <f>IFERROR(__xludf.DUMMYFUNCTION("""COMPUTED_VALUE"""),31.0)</f>
        <v>31</v>
      </c>
      <c r="B38" t="str">
        <f>IFERROR(__xludf.DUMMYFUNCTION("""COMPUTED_VALUE"""),"*Trois Hommes et un couffin*")</f>
        <v>*Trois Hommes et un couffin*</v>
      </c>
      <c r="C38" t="str">
        <f>IFERROR(__xludf.DUMMYFUNCTION("""COMPUTED_VALUE"""),"Coline Serreau")</f>
        <v>Coline Serreau</v>
      </c>
      <c r="D38">
        <f>IFERROR(__xludf.DUMMYFUNCTION("""COMPUTED_VALUE"""),1985.0)</f>
        <v>1985</v>
      </c>
      <c r="E38" t="str">
        <f>IFERROR(__xludf.DUMMYFUNCTION("""COMPUTED_VALUE"""),"10 251 840[11]")</f>
        <v>10 251 840[11]</v>
      </c>
    </row>
    <row r="39">
      <c r="A39">
        <f>IFERROR(__xludf.DUMMYFUNCTION("""COMPUTED_VALUE"""),32.0)</f>
        <v>32</v>
      </c>
      <c r="B39" t="str">
        <f>IFERROR(__xludf.DUMMYFUNCTION("""COMPUTED_VALUE"""),"*Les Canons de Navarone*")</f>
        <v>*Les Canons de Navarone*</v>
      </c>
      <c r="C39" t="str">
        <f>IFERROR(__xludf.DUMMYFUNCTION("""COMPUTED_VALUE"""),"J. Lee Thompson")</f>
        <v>J. Lee Thompson</v>
      </c>
      <c r="D39">
        <f>IFERROR(__xludf.DUMMYFUNCTION("""COMPUTED_VALUE"""),1961.0)</f>
        <v>1961</v>
      </c>
      <c r="E39">
        <f>IFERROR(__xludf.DUMMYFUNCTION("""COMPUTED_VALUE"""),1.0197729E7)</f>
        <v>10197729</v>
      </c>
    </row>
    <row r="40">
      <c r="A40">
        <f>IFERROR(__xludf.DUMMYFUNCTION("""COMPUTED_VALUE"""),33.0)</f>
        <v>33</v>
      </c>
      <c r="B40" t="str">
        <f>IFERROR(__xludf.DUMMYFUNCTION("""COMPUTED_VALUE"""),"*La Guerre des boutons*")</f>
        <v>*La Guerre des boutons*</v>
      </c>
      <c r="C40" t="str">
        <f>IFERROR(__xludf.DUMMYFUNCTION("""COMPUTED_VALUE"""),"Yves Robert")</f>
        <v>Yves Robert</v>
      </c>
      <c r="D40">
        <f>IFERROR(__xludf.DUMMYFUNCTION("""COMPUTED_VALUE"""),1962.0)</f>
        <v>1962</v>
      </c>
      <c r="E40" t="str">
        <f>IFERROR(__xludf.DUMMYFUNCTION("""COMPUTED_VALUE"""),"10 058 795[11]")</f>
        <v>10 058 795[11]</v>
      </c>
    </row>
    <row r="41">
      <c r="A41">
        <f>IFERROR(__xludf.DUMMYFUNCTION("""COMPUTED_VALUE"""),34.0)</f>
        <v>34</v>
      </c>
      <c r="B41" t="str">
        <f>IFERROR(__xludf.DUMMYFUNCTION("""COMPUTED_VALUE"""),"*Le Roi lion*")</f>
        <v>*Le Roi lion*</v>
      </c>
      <c r="C41" t="str">
        <f>IFERROR(__xludf.DUMMYFUNCTION("""COMPUTED_VALUE"""),"Jon Favreau")</f>
        <v>Jon Favreau</v>
      </c>
      <c r="D41">
        <f>IFERROR(__xludf.DUMMYFUNCTION("""COMPUTED_VALUE"""),2019.0)</f>
        <v>2019</v>
      </c>
      <c r="E41">
        <f>IFERROR(__xludf.DUMMYFUNCTION("""COMPUTED_VALUE"""),1.0017995E7)</f>
        <v>10017995</v>
      </c>
    </row>
    <row r="42">
      <c r="A42">
        <f>IFERROR(__xludf.DUMMYFUNCTION("""COMPUTED_VALUE"""),35.0)</f>
        <v>35</v>
      </c>
      <c r="B42" t="str">
        <f>IFERROR(__xludf.DUMMYFUNCTION("""COMPUTED_VALUE"""),"*Les Misérables*")</f>
        <v>*Les Misérables*</v>
      </c>
      <c r="C42" t="str">
        <f>IFERROR(__xludf.DUMMYFUNCTION("""COMPUTED_VALUE"""),"Jean-Paul Le Chanois")</f>
        <v>Jean-Paul Le Chanois</v>
      </c>
      <c r="D42">
        <f>IFERROR(__xludf.DUMMYFUNCTION("""COMPUTED_VALUE"""),1957.0)</f>
        <v>1957</v>
      </c>
      <c r="E42" t="str">
        <f>IFERROR(__xludf.DUMMYFUNCTION("""COMPUTED_VALUE"""),"9 969 112[11]")</f>
        <v>9 969 112[11]</v>
      </c>
    </row>
    <row r="43">
      <c r="A43">
        <f>IFERROR(__xludf.DUMMYFUNCTION("""COMPUTED_VALUE"""),36.0)</f>
        <v>36</v>
      </c>
      <c r="B43" t="str">
        <f>IFERROR(__xludf.DUMMYFUNCTION("""COMPUTED_VALUE"""),"*E.T., l'extra-terrestre*")</f>
        <v>*E.T., l'extra-terrestre*</v>
      </c>
      <c r="C43" t="str">
        <f>IFERROR(__xludf.DUMMYFUNCTION("""COMPUTED_VALUE"""),"Steven Spielberg")</f>
        <v>Steven Spielberg</v>
      </c>
      <c r="D43">
        <f>IFERROR(__xludf.DUMMYFUNCTION("""COMPUTED_VALUE"""),1982.0)</f>
        <v>1982</v>
      </c>
      <c r="E43" t="str">
        <f>IFERROR(__xludf.DUMMYFUNCTION("""COMPUTED_VALUE"""),"9 959 911[11]")</f>
        <v>9 959 911[11]</v>
      </c>
    </row>
    <row r="44">
      <c r="A44">
        <f>IFERROR(__xludf.DUMMYFUNCTION("""COMPUTED_VALUE"""),37.0)</f>
        <v>37</v>
      </c>
      <c r="B44" t="str">
        <f>IFERROR(__xludf.DUMMYFUNCTION("""COMPUTED_VALUE"""),"*Le Docteur Jivago*")</f>
        <v>*Le Docteur Jivago*</v>
      </c>
      <c r="C44" t="str">
        <f>IFERROR(__xludf.DUMMYFUNCTION("""COMPUTED_VALUE"""),"David Lean")</f>
        <v>David Lean</v>
      </c>
      <c r="D44">
        <f>IFERROR(__xludf.DUMMYFUNCTION("""COMPUTED_VALUE"""),1966.0)</f>
        <v>1966</v>
      </c>
      <c r="E44" t="str">
        <f>IFERROR(__xludf.DUMMYFUNCTION("""COMPUTED_VALUE"""),"9 818 566[11]")</f>
        <v>9 818 566[11]</v>
      </c>
    </row>
    <row r="45">
      <c r="A45">
        <f>IFERROR(__xludf.DUMMYFUNCTION("""COMPUTED_VALUE"""),38.0)</f>
        <v>38</v>
      </c>
      <c r="B45" t="str">
        <f>IFERROR(__xludf.DUMMYFUNCTION("""COMPUTED_VALUE"""),"*Vingt Mille Lieues sous les mers*")</f>
        <v>*Vingt Mille Lieues sous les mers*</v>
      </c>
      <c r="C45" t="str">
        <f>IFERROR(__xludf.DUMMYFUNCTION("""COMPUTED_VALUE"""),"Richard Fleischer")</f>
        <v>Richard Fleischer</v>
      </c>
      <c r="D45">
        <f>IFERROR(__xludf.DUMMYFUNCTION("""COMPUTED_VALUE"""),1955.0)</f>
        <v>1955</v>
      </c>
      <c r="E45" t="str">
        <f>IFERROR(__xludf.DUMMYFUNCTION("""COMPUTED_VALUE"""),"9 628 665[11]")</f>
        <v>9 628 665[11]</v>
      </c>
    </row>
    <row r="46">
      <c r="A46">
        <f>IFERROR(__xludf.DUMMYFUNCTION("""COMPUTED_VALUE"""),39.0)</f>
        <v>39</v>
      </c>
      <c r="B46" t="str">
        <f>IFERROR(__xludf.DUMMYFUNCTION("""COMPUTED_VALUE"""),"*Harry Potter à l'école des sorciers*")</f>
        <v>*Harry Potter à l'école des sorciers*</v>
      </c>
      <c r="C46" t="str">
        <f>IFERROR(__xludf.DUMMYFUNCTION("""COMPUTED_VALUE"""),"Chris Columbus")</f>
        <v>Chris Columbus</v>
      </c>
      <c r="D46">
        <f>IFERROR(__xludf.DUMMYFUNCTION("""COMPUTED_VALUE"""),2001.0)</f>
        <v>2001</v>
      </c>
      <c r="E46">
        <f>IFERROR(__xludf.DUMMYFUNCTION("""COMPUTED_VALUE"""),9608331.0)</f>
        <v>9608331</v>
      </c>
    </row>
    <row r="47">
      <c r="A47">
        <f>IFERROR(__xludf.DUMMYFUNCTION("""COMPUTED_VALUE"""),40.0)</f>
        <v>40</v>
      </c>
      <c r="B47" t="str">
        <f>IFERROR(__xludf.DUMMYFUNCTION("""COMPUTED_VALUE"""),"*Le Monde de Nemo*")</f>
        <v>*Le Monde de Nemo*</v>
      </c>
      <c r="C47" t="str">
        <f>IFERROR(__xludf.DUMMYFUNCTION("""COMPUTED_VALUE"""),"Andrew Stanton / Lee Unkrich")</f>
        <v>Andrew Stanton / Lee Unkrich</v>
      </c>
      <c r="D47">
        <f>IFERROR(__xludf.DUMMYFUNCTION("""COMPUTED_VALUE"""),2003.0)</f>
        <v>2003</v>
      </c>
      <c r="E47">
        <f>IFERROR(__xludf.DUMMYFUNCTION("""COMPUTED_VALUE"""),9528033.0)</f>
        <v>9528033</v>
      </c>
    </row>
    <row r="48">
      <c r="A48">
        <f>IFERROR(__xludf.DUMMYFUNCTION("""COMPUTED_VALUE"""),41.0)</f>
        <v>41</v>
      </c>
      <c r="B48" t="str">
        <f>IFERROR(__xludf.DUMMYFUNCTION("""COMPUTED_VALUE"""),"*Sous le plus grand chapiteau du monde*")</f>
        <v>*Sous le plus grand chapiteau du monde*</v>
      </c>
      <c r="C48" t="str">
        <f>IFERROR(__xludf.DUMMYFUNCTION("""COMPUTED_VALUE"""),"Cecil B. DeMille")</f>
        <v>Cecil B. DeMille</v>
      </c>
      <c r="D48">
        <f>IFERROR(__xludf.DUMMYFUNCTION("""COMPUTED_VALUE"""),1953.0)</f>
        <v>1953</v>
      </c>
      <c r="E48">
        <f>IFERROR(__xludf.DUMMYFUNCTION("""COMPUTED_VALUE"""),9488114.0)</f>
        <v>9488114</v>
      </c>
    </row>
    <row r="49">
      <c r="A49">
        <f>IFERROR(__xludf.DUMMYFUNCTION("""COMPUTED_VALUE"""),42.0)</f>
        <v>42</v>
      </c>
      <c r="B49" t="str">
        <f>IFERROR(__xludf.DUMMYFUNCTION("""COMPUTED_VALUE"""),"*Le Comte de Monte-Cristo*")</f>
        <v>*Le Comte de Monte-Cristo*</v>
      </c>
      <c r="C49" t="str">
        <f>IFERROR(__xludf.DUMMYFUNCTION("""COMPUTED_VALUE"""),"Alexandre de La Patellière / Matthieu Delaporte")</f>
        <v>Alexandre de La Patellière / Matthieu Delaporte</v>
      </c>
      <c r="D49">
        <f>IFERROR(__xludf.DUMMYFUNCTION("""COMPUTED_VALUE"""),2024.0)</f>
        <v>2024</v>
      </c>
      <c r="E49">
        <f>IFERROR(__xludf.DUMMYFUNCTION("""COMPUTED_VALUE"""),9428032.0)</f>
        <v>9428032</v>
      </c>
    </row>
    <row r="50">
      <c r="A50">
        <f>IFERROR(__xludf.DUMMYFUNCTION("""COMPUTED_VALUE"""),43.0)</f>
        <v>43</v>
      </c>
      <c r="B50" t="str">
        <f>IFERROR(__xludf.DUMMYFUNCTION("""COMPUTED_VALUE"""),"*Le Dîner de cons*")</f>
        <v>*Le Dîner de cons*</v>
      </c>
      <c r="C50" t="str">
        <f>IFERROR(__xludf.DUMMYFUNCTION("""COMPUTED_VALUE"""),"Francis Veber")</f>
        <v>Francis Veber</v>
      </c>
      <c r="D50">
        <f>IFERROR(__xludf.DUMMYFUNCTION("""COMPUTED_VALUE"""),1998.0)</f>
        <v>1998</v>
      </c>
      <c r="E50">
        <f>IFERROR(__xludf.DUMMYFUNCTION("""COMPUTED_VALUE"""),9250441.0)</f>
        <v>9250441</v>
      </c>
    </row>
    <row r="51">
      <c r="A51">
        <f>IFERROR(__xludf.DUMMYFUNCTION("""COMPUTED_VALUE"""),44.0)</f>
        <v>44</v>
      </c>
      <c r="B51" t="str">
        <f>IFERROR(__xludf.DUMMYFUNCTION("""COMPUTED_VALUE"""),"*Le Grand Bleu*")</f>
        <v>*Le Grand Bleu*</v>
      </c>
      <c r="C51" t="str">
        <f>IFERROR(__xludf.DUMMYFUNCTION("""COMPUTED_VALUE"""),"Luc Besson")</f>
        <v>Luc Besson</v>
      </c>
      <c r="D51">
        <f>IFERROR(__xludf.DUMMYFUNCTION("""COMPUTED_VALUE"""),1988.0)</f>
        <v>1988</v>
      </c>
      <c r="E51" t="str">
        <f>IFERROR(__xludf.DUMMYFUNCTION("""COMPUTED_VALUE"""),"9 204 525[11]")</f>
        <v>9 204 525[11]</v>
      </c>
    </row>
    <row r="52">
      <c r="A52">
        <f>IFERROR(__xludf.DUMMYFUNCTION("""COMPUTED_VALUE"""),45.0)</f>
        <v>45</v>
      </c>
      <c r="B52" t="str">
        <f>IFERROR(__xludf.DUMMYFUNCTION("""COMPUTED_VALUE"""),"*Harry Potter et la Chambre des secrets*")</f>
        <v>*Harry Potter et la Chambre des secrets*</v>
      </c>
      <c r="C52" t="str">
        <f>IFERROR(__xludf.DUMMYFUNCTION("""COMPUTED_VALUE"""),"Chris Columbus")</f>
        <v>Chris Columbus</v>
      </c>
      <c r="D52">
        <f>IFERROR(__xludf.DUMMYFUNCTION("""COMPUTED_VALUE"""),2002.0)</f>
        <v>2002</v>
      </c>
      <c r="E52">
        <f>IFERROR(__xludf.DUMMYFUNCTION("""COMPUTED_VALUE"""),9144701.0)</f>
        <v>9144701</v>
      </c>
    </row>
    <row r="53">
      <c r="A53">
        <f>IFERROR(__xludf.DUMMYFUNCTION("""COMPUTED_VALUE"""),46.0)</f>
        <v>46</v>
      </c>
      <c r="B53" t="str">
        <f>IFERROR(__xludf.DUMMYFUNCTION("""COMPUTED_VALUE"""),"*L'Ours*")</f>
        <v>*L'Ours*</v>
      </c>
      <c r="C53" t="str">
        <f>IFERROR(__xludf.DUMMYFUNCTION("""COMPUTED_VALUE"""),"Jean-Jacques Annaud")</f>
        <v>Jean-Jacques Annaud</v>
      </c>
      <c r="D53">
        <f>IFERROR(__xludf.DUMMYFUNCTION("""COMPUTED_VALUE"""),1988.0)</f>
        <v>1988</v>
      </c>
      <c r="E53" t="str">
        <f>IFERROR(__xludf.DUMMYFUNCTION("""COMPUTED_VALUE"""),"9 143 016[11]")</f>
        <v>9 143 016[11]</v>
      </c>
    </row>
    <row r="54">
      <c r="A54">
        <f>IFERROR(__xludf.DUMMYFUNCTION("""COMPUTED_VALUE"""),47.0)</f>
        <v>47</v>
      </c>
      <c r="B54" t="str">
        <f>IFERROR(__xludf.DUMMYFUNCTION("""COMPUTED_VALUE"""),"*Astérix et Obélix contre César*")</f>
        <v>*Astérix et Obélix contre César*</v>
      </c>
      <c r="C54" t="str">
        <f>IFERROR(__xludf.DUMMYFUNCTION("""COMPUTED_VALUE"""),"Claude Zidi")</f>
        <v>Claude Zidi</v>
      </c>
      <c r="D54">
        <f>IFERROR(__xludf.DUMMYFUNCTION("""COMPUTED_VALUE"""),1999.0)</f>
        <v>1999</v>
      </c>
      <c r="E54">
        <f>IFERROR(__xludf.DUMMYFUNCTION("""COMPUTED_VALUE"""),8948624.0)</f>
        <v>8948624</v>
      </c>
    </row>
    <row r="55">
      <c r="A55">
        <f>IFERROR(__xludf.DUMMYFUNCTION("""COMPUTED_VALUE"""),48.0)</f>
        <v>48</v>
      </c>
      <c r="B55" t="str">
        <f>IFERROR(__xludf.DUMMYFUNCTION("""COMPUTED_VALUE"""),"*Emmanuelle*")</f>
        <v>*Emmanuelle*</v>
      </c>
      <c r="C55" t="str">
        <f>IFERROR(__xludf.DUMMYFUNCTION("""COMPUTED_VALUE"""),"Just Jaeckin")</f>
        <v>Just Jaeckin</v>
      </c>
      <c r="D55">
        <f>IFERROR(__xludf.DUMMYFUNCTION("""COMPUTED_VALUE"""),1974.0)</f>
        <v>1974</v>
      </c>
      <c r="E55" t="str">
        <f>IFERROR(__xludf.DUMMYFUNCTION("""COMPUTED_VALUE"""),"8 894 170[11]")</f>
        <v>8 894 170[11]</v>
      </c>
    </row>
    <row r="56">
      <c r="A56">
        <f>IFERROR(__xludf.DUMMYFUNCTION("""COMPUTED_VALUE"""),49.0)</f>
        <v>49</v>
      </c>
      <c r="B56" t="str">
        <f>IFERROR(__xludf.DUMMYFUNCTION("""COMPUTED_VALUE"""),"*La Vache et le Prisonnier*")</f>
        <v>*La Vache et le Prisonnier*</v>
      </c>
      <c r="C56" t="str">
        <f>IFERROR(__xludf.DUMMYFUNCTION("""COMPUTED_VALUE"""),"Henri Verneuil")</f>
        <v>Henri Verneuil</v>
      </c>
      <c r="D56">
        <f>IFERROR(__xludf.DUMMYFUNCTION("""COMPUTED_VALUE"""),1959.0)</f>
        <v>1959</v>
      </c>
      <c r="E56" t="str">
        <f>IFERROR(__xludf.DUMMYFUNCTION("""COMPUTED_VALUE"""),"8 851 261[11]")</f>
        <v>8 851 261[11]</v>
      </c>
    </row>
    <row r="57">
      <c r="A57">
        <f>IFERROR(__xludf.DUMMYFUNCTION("""COMPUTED_VALUE"""),50.0)</f>
        <v>50</v>
      </c>
      <c r="B57" t="str">
        <f>IFERROR(__xludf.DUMMYFUNCTION("""COMPUTED_VALUE"""),"*West Side Story*")</f>
        <v>*West Side Story*</v>
      </c>
      <c r="C57" t="str">
        <f>IFERROR(__xludf.DUMMYFUNCTION("""COMPUTED_VALUE"""),"Robert Wise / Jerome Robbins")</f>
        <v>Robert Wise / Jerome Robbins</v>
      </c>
      <c r="D57">
        <f>IFERROR(__xludf.DUMMYFUNCTION("""COMPUTED_VALUE"""),1962.0)</f>
        <v>1962</v>
      </c>
      <c r="E57" t="str">
        <f>IFERROR(__xludf.DUMMYFUNCTION("""COMPUTED_VALUE"""),"8 786 067[11]")</f>
        <v>8 786 067[11]</v>
      </c>
    </row>
    <row r="58">
      <c r="A58">
        <f>IFERROR(__xludf.DUMMYFUNCTION("""COMPUTED_VALUE"""),51.0)</f>
        <v>51</v>
      </c>
      <c r="B58" t="str">
        <f>IFERROR(__xludf.DUMMYFUNCTION("""COMPUTED_VALUE"""),"*La Grande Évasion*")</f>
        <v>*La Grande Évasion*</v>
      </c>
      <c r="C58" t="str">
        <f>IFERROR(__xludf.DUMMYFUNCTION("""COMPUTED_VALUE"""),"John Sturges")</f>
        <v>John Sturges</v>
      </c>
      <c r="D58">
        <f>IFERROR(__xludf.DUMMYFUNCTION("""COMPUTED_VALUE"""),1963.0)</f>
        <v>1963</v>
      </c>
      <c r="E58" t="str">
        <f>IFERROR(__xludf.DUMMYFUNCTION("""COMPUTED_VALUE"""),"8 757 709[11]")</f>
        <v>8 757 709[11]</v>
      </c>
    </row>
    <row r="59">
      <c r="A59">
        <f>IFERROR(__xludf.DUMMYFUNCTION("""COMPUTED_VALUE"""),52.0)</f>
        <v>52</v>
      </c>
      <c r="B59" t="str">
        <f>IFERROR(__xludf.DUMMYFUNCTION("""COMPUTED_VALUE"""),"*Les Choristes*")</f>
        <v>*Les Choristes*</v>
      </c>
      <c r="C59" t="str">
        <f>IFERROR(__xludf.DUMMYFUNCTION("""COMPUTED_VALUE"""),"Christophe Barratier")</f>
        <v>Christophe Barratier</v>
      </c>
      <c r="D59">
        <f>IFERROR(__xludf.DUMMYFUNCTION("""COMPUTED_VALUE"""),2004.0)</f>
        <v>2004</v>
      </c>
      <c r="E59">
        <f>IFERROR(__xludf.DUMMYFUNCTION("""COMPUTED_VALUE"""),8689891.0)</f>
        <v>8689891</v>
      </c>
    </row>
    <row r="60">
      <c r="A60">
        <f>IFERROR(__xludf.DUMMYFUNCTION("""COMPUTED_VALUE"""),53.0)</f>
        <v>53</v>
      </c>
      <c r="B60" t="str">
        <f>IFERROR(__xludf.DUMMYFUNCTION("""COMPUTED_VALUE"""),"*Le Bataillon du ciel*")</f>
        <v>*Le Bataillon du ciel*</v>
      </c>
      <c r="C60" t="str">
        <f>IFERROR(__xludf.DUMMYFUNCTION("""COMPUTED_VALUE"""),"Alexander Esway")</f>
        <v>Alexander Esway</v>
      </c>
      <c r="D60">
        <f>IFERROR(__xludf.DUMMYFUNCTION("""COMPUTED_VALUE"""),1947.0)</f>
        <v>1947</v>
      </c>
      <c r="E60" t="str">
        <f>IFERROR(__xludf.DUMMYFUNCTION("""COMPUTED_VALUE"""),"8 676 496[Note 6]")</f>
        <v>8 676 496[Note 6]</v>
      </c>
    </row>
    <row r="61">
      <c r="A61">
        <f>IFERROR(__xludf.DUMMYFUNCTION("""COMPUTED_VALUE"""),54.0)</f>
        <v>54</v>
      </c>
      <c r="B61" t="str">
        <f>IFERROR(__xludf.DUMMYFUNCTION("""COMPUTED_VALUE"""),"*Le Fabuleux Destin d'Amélie Poulain*")</f>
        <v>*Le Fabuleux Destin d'Amélie Poulain*</v>
      </c>
      <c r="C61" t="str">
        <f>IFERROR(__xludf.DUMMYFUNCTION("""COMPUTED_VALUE"""),"Jean-Pierre Jeunet")</f>
        <v>Jean-Pierre Jeunet</v>
      </c>
      <c r="D61">
        <f>IFERROR(__xludf.DUMMYFUNCTION("""COMPUTED_VALUE"""),2001.0)</f>
        <v>2001</v>
      </c>
      <c r="E61">
        <f>IFERROR(__xludf.DUMMYFUNCTION("""COMPUTED_VALUE"""),8670926.0)</f>
        <v>8670926</v>
      </c>
    </row>
    <row r="62">
      <c r="A62">
        <f>IFERROR(__xludf.DUMMYFUNCTION("""COMPUTED_VALUE"""),55.0)</f>
        <v>55</v>
      </c>
      <c r="B62" t="str">
        <f>IFERROR(__xludf.DUMMYFUNCTION("""COMPUTED_VALUE"""),"*Avatar : De feu et de cendres*")</f>
        <v>*Avatar : De feu et de cendres*</v>
      </c>
      <c r="C62" t="str">
        <f>IFERROR(__xludf.DUMMYFUNCTION("""COMPUTED_VALUE"""),"James Cameron")</f>
        <v>James Cameron</v>
      </c>
      <c r="D62">
        <f>IFERROR(__xludf.DUMMYFUNCTION("""COMPUTED_VALUE"""),2025.0)</f>
        <v>2025</v>
      </c>
      <c r="E62">
        <f>IFERROR(__xludf.DUMMYFUNCTION("""COMPUTED_VALUE"""),8601303.0)</f>
        <v>8601303</v>
      </c>
    </row>
    <row r="63">
      <c r="A63">
        <f>IFERROR(__xludf.DUMMYFUNCTION("""COMPUTED_VALUE"""),56.0)</f>
        <v>56</v>
      </c>
      <c r="B63" t="str">
        <f>IFERROR(__xludf.DUMMYFUNCTION("""COMPUTED_VALUE"""),"*Vice-versa 2*")</f>
        <v>*Vice-versa 2*</v>
      </c>
      <c r="C63" t="str">
        <f>IFERROR(__xludf.DUMMYFUNCTION("""COMPUTED_VALUE"""),"Kelsey Mann")</f>
        <v>Kelsey Mann</v>
      </c>
      <c r="D63">
        <f>IFERROR(__xludf.DUMMYFUNCTION("""COMPUTED_VALUE"""),2024.0)</f>
        <v>2024</v>
      </c>
      <c r="E63">
        <f>IFERROR(__xludf.DUMMYFUNCTION("""COMPUTED_VALUE"""),8427652.0)</f>
        <v>8427652</v>
      </c>
    </row>
    <row r="64">
      <c r="A64">
        <f>IFERROR(__xludf.DUMMYFUNCTION("""COMPUTED_VALUE"""),57.0)</f>
        <v>57</v>
      </c>
      <c r="B64" t="str">
        <f>IFERROR(__xludf.DUMMYFUNCTION("""COMPUTED_VALUE"""),"*Le Dictateur*")</f>
        <v>*Le Dictateur*</v>
      </c>
      <c r="C64" t="str">
        <f>IFERROR(__xludf.DUMMYFUNCTION("""COMPUTED_VALUE"""),"Charlie Chaplin")</f>
        <v>Charlie Chaplin</v>
      </c>
      <c r="D64">
        <f>IFERROR(__xludf.DUMMYFUNCTION("""COMPUTED_VALUE"""),1945.0)</f>
        <v>1945</v>
      </c>
      <c r="E64" t="str">
        <f>IFERROR(__xludf.DUMMYFUNCTION("""COMPUTED_VALUE"""),"8 423 257[11]")</f>
        <v>8 423 257[11]</v>
      </c>
    </row>
    <row r="65">
      <c r="A65">
        <f>IFERROR(__xludf.DUMMYFUNCTION("""COMPUTED_VALUE"""),58.0)</f>
        <v>58</v>
      </c>
      <c r="B65" t="str">
        <f>IFERROR(__xludf.DUMMYFUNCTION("""COMPUTED_VALUE"""),"*Zootopie 2*")</f>
        <v>*Zootopie 2*</v>
      </c>
      <c r="C65" t="str">
        <f>IFERROR(__xludf.DUMMYFUNCTION("""COMPUTED_VALUE"""),"Jared Bush / Byron Howard")</f>
        <v>Jared Bush / Byron Howard</v>
      </c>
      <c r="D65">
        <f>IFERROR(__xludf.DUMMYFUNCTION("""COMPUTED_VALUE"""),2025.0)</f>
        <v>2025</v>
      </c>
      <c r="E65">
        <f>IFERROR(__xludf.DUMMYFUNCTION("""COMPUTED_VALUE"""),8405159.0)</f>
        <v>8405159</v>
      </c>
    </row>
    <row r="66">
      <c r="A66">
        <f>IFERROR(__xludf.DUMMYFUNCTION("""COMPUTED_VALUE"""),59.0)</f>
        <v>59</v>
      </c>
      <c r="B66" t="str">
        <f>IFERROR(__xludf.DUMMYFUNCTION("""COMPUTED_VALUE"""),"*Pour qui sonne le glas*")</f>
        <v>*Pour qui sonne le glas*</v>
      </c>
      <c r="C66" t="str">
        <f>IFERROR(__xludf.DUMMYFUNCTION("""COMPUTED_VALUE"""),"Sam Wood")</f>
        <v>Sam Wood</v>
      </c>
      <c r="D66">
        <f>IFERROR(__xludf.DUMMYFUNCTION("""COMPUTED_VALUE"""),1947.0)</f>
        <v>1947</v>
      </c>
      <c r="E66" t="str">
        <f>IFERROR(__xludf.DUMMYFUNCTION("""COMPUTED_VALUE"""),"8 274 759[Note 7]")</f>
        <v>8 274 759[Note 7]</v>
      </c>
    </row>
    <row r="67">
      <c r="A67">
        <f>IFERROR(__xludf.DUMMYFUNCTION("""COMPUTED_VALUE"""),60.0)</f>
        <v>60</v>
      </c>
      <c r="B67" t="str">
        <f>IFERROR(__xludf.DUMMYFUNCTION("""COMPUTED_VALUE"""),"*Rien à déclarer*")</f>
        <v>*Rien à déclarer*</v>
      </c>
      <c r="C67" t="str">
        <f>IFERROR(__xludf.DUMMYFUNCTION("""COMPUTED_VALUE"""),"Dany Boon")</f>
        <v>Dany Boon</v>
      </c>
      <c r="D67">
        <f>IFERROR(__xludf.DUMMYFUNCTION("""COMPUTED_VALUE"""),2011.0)</f>
        <v>2011</v>
      </c>
      <c r="E67">
        <f>IFERROR(__xludf.DUMMYFUNCTION("""COMPUTED_VALUE"""),8150825.0)</f>
        <v>8150825</v>
      </c>
    </row>
    <row r="68">
      <c r="A68">
        <f>IFERROR(__xludf.DUMMYFUNCTION("""COMPUTED_VALUE"""),61.0)</f>
        <v>61</v>
      </c>
      <c r="B68" t="str">
        <f>IFERROR(__xludf.DUMMYFUNCTION("""COMPUTED_VALUE"""),"*Violettes impériales*")</f>
        <v>*Violettes impériales*</v>
      </c>
      <c r="C68" t="str">
        <f>IFERROR(__xludf.DUMMYFUNCTION("""COMPUTED_VALUE"""),"Richard Pottier")</f>
        <v>Richard Pottier</v>
      </c>
      <c r="D68">
        <f>IFERROR(__xludf.DUMMYFUNCTION("""COMPUTED_VALUE"""),1952.0)</f>
        <v>1952</v>
      </c>
      <c r="E68" t="str">
        <f>IFERROR(__xludf.DUMMYFUNCTION("""COMPUTED_VALUE"""),"8 125 846[11]")</f>
        <v>8 125 846[11]</v>
      </c>
    </row>
    <row r="69">
      <c r="A69">
        <f>IFERROR(__xludf.DUMMYFUNCTION("""COMPUTED_VALUE"""),62.0)</f>
        <v>62</v>
      </c>
      <c r="B69" t="str">
        <f>IFERROR(__xludf.DUMMYFUNCTION("""COMPUTED_VALUE"""),"*Vaiana 2*")</f>
        <v>*Vaiana 2*</v>
      </c>
      <c r="C69" t="str">
        <f>IFERROR(__xludf.DUMMYFUNCTION("""COMPUTED_VALUE"""),"David Derrick Jr. (en)")</f>
        <v>David Derrick Jr. (en)</v>
      </c>
      <c r="D69">
        <f>IFERROR(__xludf.DUMMYFUNCTION("""COMPUTED_VALUE"""),2024.0)</f>
        <v>2024</v>
      </c>
      <c r="E69">
        <f>IFERROR(__xludf.DUMMYFUNCTION("""COMPUTED_VALUE"""),8081044.0)</f>
        <v>8081044</v>
      </c>
    </row>
    <row r="70">
      <c r="A70">
        <f>IFERROR(__xludf.DUMMYFUNCTION("""COMPUTED_VALUE"""),63.0)</f>
        <v>63</v>
      </c>
      <c r="B70" t="str">
        <f>IFERROR(__xludf.DUMMYFUNCTION("""COMPUTED_VALUE"""),"*Les Couloirs du temps : Les Visiteurs 2*")</f>
        <v>*Les Couloirs du temps : Les Visiteurs 2*</v>
      </c>
      <c r="C70" t="str">
        <f>IFERROR(__xludf.DUMMYFUNCTION("""COMPUTED_VALUE"""),"Jean-Marie Poiré")</f>
        <v>Jean-Marie Poiré</v>
      </c>
      <c r="D70">
        <f>IFERROR(__xludf.DUMMYFUNCTION("""COMPUTED_VALUE"""),1998.0)</f>
        <v>1998</v>
      </c>
      <c r="E70">
        <f>IFERROR(__xludf.DUMMYFUNCTION("""COMPUTED_VALUE"""),8043129.0)</f>
        <v>8043129</v>
      </c>
    </row>
    <row r="71">
      <c r="A71">
        <f>IFERROR(__xludf.DUMMYFUNCTION("""COMPUTED_VALUE"""),64.0)</f>
        <v>64</v>
      </c>
      <c r="B71" t="str">
        <f>IFERROR(__xludf.DUMMYFUNCTION("""COMPUTED_VALUE"""),"*Star Wars, épisode I : La Menace fantôme*")</f>
        <v>*Star Wars, épisode I : La Menace fantôme*</v>
      </c>
      <c r="C71" t="str">
        <f>IFERROR(__xludf.DUMMYFUNCTION("""COMPUTED_VALUE"""),"George Lucas")</f>
        <v>George Lucas</v>
      </c>
      <c r="D71">
        <f>IFERROR(__xludf.DUMMYFUNCTION("""COMPUTED_VALUE"""),1999.0)</f>
        <v>1999</v>
      </c>
      <c r="E71">
        <f>IFERROR(__xludf.DUMMYFUNCTION("""COMPUTED_VALUE"""),7975313.0)</f>
        <v>7975313</v>
      </c>
    </row>
    <row r="72">
      <c r="A72">
        <f>IFERROR(__xludf.DUMMYFUNCTION("""COMPUTED_VALUE"""),65.0)</f>
        <v>65</v>
      </c>
      <c r="B72" t="str">
        <f>IFERROR(__xludf.DUMMYFUNCTION("""COMPUTED_VALUE"""),"*Le Boulanger de Valorgue*")</f>
        <v>*Le Boulanger de Valorgue*</v>
      </c>
      <c r="C72" t="str">
        <f>IFERROR(__xludf.DUMMYFUNCTION("""COMPUTED_VALUE"""),"Henri Verneuil")</f>
        <v>Henri Verneuil</v>
      </c>
      <c r="D72">
        <f>IFERROR(__xludf.DUMMYFUNCTION("""COMPUTED_VALUE"""),1953.0)</f>
        <v>1953</v>
      </c>
      <c r="E72" t="str">
        <f>IFERROR(__xludf.DUMMYFUNCTION("""COMPUTED_VALUE"""),"7 889 091[Note 8]")</f>
        <v>7 889 091[Note 8]</v>
      </c>
    </row>
    <row r="73">
      <c r="A73">
        <f>IFERROR(__xludf.DUMMYFUNCTION("""COMPUTED_VALUE"""),66.0)</f>
        <v>66</v>
      </c>
      <c r="B73" t="str">
        <f>IFERROR(__xludf.DUMMYFUNCTION("""COMPUTED_VALUE"""),"*Un Indien dans la ville*")</f>
        <v>*Un Indien dans la ville*</v>
      </c>
      <c r="C73" t="str">
        <f>IFERROR(__xludf.DUMMYFUNCTION("""COMPUTED_VALUE"""),"Hervé Palud")</f>
        <v>Hervé Palud</v>
      </c>
      <c r="D73">
        <f>IFERROR(__xludf.DUMMYFUNCTION("""COMPUTED_VALUE"""),1994.0)</f>
        <v>1994</v>
      </c>
      <c r="E73" t="str">
        <f>IFERROR(__xludf.DUMMYFUNCTION("""COMPUTED_VALUE"""),"7 888 024[11]")</f>
        <v>7 888 024[11]</v>
      </c>
    </row>
    <row r="74">
      <c r="A74">
        <f>IFERROR(__xludf.DUMMYFUNCTION("""COMPUTED_VALUE"""),67.0)</f>
        <v>67</v>
      </c>
      <c r="B74" t="str">
        <f>IFERROR(__xludf.DUMMYFUNCTION("""COMPUTED_VALUE"""),"*Tarzan*")</f>
        <v>*Tarzan*</v>
      </c>
      <c r="C74" t="str">
        <f>IFERROR(__xludf.DUMMYFUNCTION("""COMPUTED_VALUE"""),"Kevin Lima / Chris Buck")</f>
        <v>Kevin Lima / Chris Buck</v>
      </c>
      <c r="D74">
        <f>IFERROR(__xludf.DUMMYFUNCTION("""COMPUTED_VALUE"""),1999.0)</f>
        <v>1999</v>
      </c>
      <c r="E74">
        <f>IFERROR(__xludf.DUMMYFUNCTION("""COMPUTED_VALUE"""),7859751.0)</f>
        <v>7859751</v>
      </c>
    </row>
    <row r="75">
      <c r="A75">
        <f>IFERROR(__xludf.DUMMYFUNCTION("""COMPUTED_VALUE"""),68.0)</f>
        <v>68</v>
      </c>
      <c r="B75" t="str">
        <f>IFERROR(__xludf.DUMMYFUNCTION("""COMPUTED_VALUE"""),"*Pinocchio*")</f>
        <v>*Pinocchio*</v>
      </c>
      <c r="C75" t="str">
        <f>IFERROR(__xludf.DUMMYFUNCTION("""COMPUTED_VALUE"""),"Hamilton Luske / Ben Sharpsteen")</f>
        <v>Hamilton Luske / Ben Sharpsteen</v>
      </c>
      <c r="D75">
        <f>IFERROR(__xludf.DUMMYFUNCTION("""COMPUTED_VALUE"""),1946.0)</f>
        <v>1946</v>
      </c>
      <c r="E75">
        <f>IFERROR(__xludf.DUMMYFUNCTION("""COMPUTED_VALUE"""),7855236.0)</f>
        <v>7855236</v>
      </c>
    </row>
    <row r="76">
      <c r="A76">
        <f>IFERROR(__xludf.DUMMYFUNCTION("""COMPUTED_VALUE"""),69.0)</f>
        <v>69</v>
      </c>
      <c r="B76" t="str">
        <f>IFERROR(__xludf.DUMMYFUNCTION("""COMPUTED_VALUE"""),"*Ratatouille*")</f>
        <v>*Ratatouille*</v>
      </c>
      <c r="C76" t="str">
        <f>IFERROR(__xludf.DUMMYFUNCTION("""COMPUTED_VALUE"""),"Brad Bird")</f>
        <v>Brad Bird</v>
      </c>
      <c r="D76">
        <f>IFERROR(__xludf.DUMMYFUNCTION("""COMPUTED_VALUE"""),2007.0)</f>
        <v>2007</v>
      </c>
      <c r="E76">
        <f>IFERROR(__xludf.DUMMYFUNCTION("""COMPUTED_VALUE"""),7845210.0)</f>
        <v>7845210</v>
      </c>
    </row>
    <row r="77">
      <c r="A77">
        <f>IFERROR(__xludf.DUMMYFUNCTION("""COMPUTED_VALUE"""),70.0)</f>
        <v>70</v>
      </c>
      <c r="B77" t="str">
        <f>IFERROR(__xludf.DUMMYFUNCTION("""COMPUTED_VALUE"""),"*L'Âge de glace 3 : Le Temps des dinosaures*")</f>
        <v>*L'Âge de glace 3 : Le Temps des dinosaures*</v>
      </c>
      <c r="C77" t="str">
        <f>IFERROR(__xludf.DUMMYFUNCTION("""COMPUTED_VALUE"""),"Carlos Saldanha / Mike Thurmeier")</f>
        <v>Carlos Saldanha / Mike Thurmeier</v>
      </c>
      <c r="D77">
        <f>IFERROR(__xludf.DUMMYFUNCTION("""COMPUTED_VALUE"""),2009.0)</f>
        <v>2009</v>
      </c>
      <c r="E77">
        <f>IFERROR(__xludf.DUMMYFUNCTION("""COMPUTED_VALUE"""),7836584.0)</f>
        <v>7836584</v>
      </c>
    </row>
    <row r="78">
      <c r="A78">
        <f>IFERROR(__xludf.DUMMYFUNCTION("""COMPUTED_VALUE"""),71.0)</f>
        <v>71</v>
      </c>
      <c r="B78" t="str">
        <f>IFERROR(__xludf.DUMMYFUNCTION("""COMPUTED_VALUE"""),"*La Vérité si je mens ! 2*")</f>
        <v>*La Vérité si je mens ! 2*</v>
      </c>
      <c r="C78" t="str">
        <f>IFERROR(__xludf.DUMMYFUNCTION("""COMPUTED_VALUE"""),"Thomas Gilou")</f>
        <v>Thomas Gilou</v>
      </c>
      <c r="D78">
        <f>IFERROR(__xludf.DUMMYFUNCTION("""COMPUTED_VALUE"""),2001.0)</f>
        <v>2001</v>
      </c>
      <c r="E78">
        <f>IFERROR(__xludf.DUMMYFUNCTION("""COMPUTED_VALUE"""),7826393.0)</f>
        <v>7826393</v>
      </c>
    </row>
    <row r="79">
      <c r="A79">
        <f>IFERROR(__xludf.DUMMYFUNCTION("""COMPUTED_VALUE"""),72.0)</f>
        <v>72</v>
      </c>
      <c r="B79" t="str">
        <f>IFERROR(__xludf.DUMMYFUNCTION("""COMPUTED_VALUE"""),"*Le Gendarme de Saint-Tropez*")</f>
        <v>*Le Gendarme de Saint-Tropez*</v>
      </c>
      <c r="C79" t="str">
        <f>IFERROR(__xludf.DUMMYFUNCTION("""COMPUTED_VALUE"""),"Jean Girault")</f>
        <v>Jean Girault</v>
      </c>
      <c r="D79">
        <f>IFERROR(__xludf.DUMMYFUNCTION("""COMPUTED_VALUE"""),1964.0)</f>
        <v>1964</v>
      </c>
      <c r="E79" t="str">
        <f>IFERROR(__xludf.DUMMYFUNCTION("""COMPUTED_VALUE"""),"7 811 598[11]")</f>
        <v>7 811 598[11]</v>
      </c>
    </row>
    <row r="80">
      <c r="A80">
        <f>IFERROR(__xludf.DUMMYFUNCTION("""COMPUTED_VALUE"""),73.0)</f>
        <v>73</v>
      </c>
      <c r="B80" t="str">
        <f>IFERROR(__xludf.DUMMYFUNCTION("""COMPUTED_VALUE"""),"*Sixième Sens*")</f>
        <v>*Sixième Sens*</v>
      </c>
      <c r="C80" t="str">
        <f>IFERROR(__xludf.DUMMYFUNCTION("""COMPUTED_VALUE"""),"M. Night Shyamalan")</f>
        <v>M. Night Shyamalan</v>
      </c>
      <c r="D80">
        <f>IFERROR(__xludf.DUMMYFUNCTION("""COMPUTED_VALUE"""),2000.0)</f>
        <v>2000</v>
      </c>
      <c r="E80">
        <f>IFERROR(__xludf.DUMMYFUNCTION("""COMPUTED_VALUE"""),7799130.0)</f>
        <v>7799130</v>
      </c>
    </row>
    <row r="81">
      <c r="A81">
        <f>IFERROR(__xludf.DUMMYFUNCTION("""COMPUTED_VALUE"""),74.0)</f>
        <v>74</v>
      </c>
      <c r="B81" t="str">
        <f>IFERROR(__xludf.DUMMYFUNCTION("""COMPUTED_VALUE"""),"*Le Comte de Monte-Cristo*")</f>
        <v>*Le Comte de Monte-Cristo*</v>
      </c>
      <c r="C81" t="str">
        <f>IFERROR(__xludf.DUMMYFUNCTION("""COMPUTED_VALUE"""),"Robert Vernay")</f>
        <v>Robert Vernay</v>
      </c>
      <c r="D81">
        <f>IFERROR(__xludf.DUMMYFUNCTION("""COMPUTED_VALUE"""),1955.0)</f>
        <v>1955</v>
      </c>
      <c r="E81" t="str">
        <f>IFERROR(__xludf.DUMMYFUNCTION("""COMPUTED_VALUE"""),"7 780 963[11]")</f>
        <v>7 780 963[11]</v>
      </c>
    </row>
    <row r="82">
      <c r="A82">
        <f>IFERROR(__xludf.DUMMYFUNCTION("""COMPUTED_VALUE"""),75.0)</f>
        <v>75</v>
      </c>
      <c r="B82" t="str">
        <f>IFERROR(__xludf.DUMMYFUNCTION("""COMPUTED_VALUE"""),"*Harry Potter et la Coupe de feu*")</f>
        <v>*Harry Potter et la Coupe de feu*</v>
      </c>
      <c r="C82" t="str">
        <f>IFERROR(__xludf.DUMMYFUNCTION("""COMPUTED_VALUE"""),"Mike Newell")</f>
        <v>Mike Newell</v>
      </c>
      <c r="D82">
        <f>IFERROR(__xludf.DUMMYFUNCTION("""COMPUTED_VALUE"""),2005.0)</f>
        <v>2005</v>
      </c>
      <c r="E82" t="str">
        <f>IFERROR(__xludf.DUMMYFUNCTION("""COMPUTED_VALUE"""),"7 733 047[11]")</f>
        <v>7 733 047[11]</v>
      </c>
    </row>
    <row r="83">
      <c r="A83">
        <f>IFERROR(__xludf.DUMMYFUNCTION("""COMPUTED_VALUE"""),76.0)</f>
        <v>76</v>
      </c>
      <c r="B83" t="str">
        <f>IFERROR(__xludf.DUMMYFUNCTION("""COMPUTED_VALUE"""),"*Le Cinquième Élément*")</f>
        <v>*Le Cinquième Élément*</v>
      </c>
      <c r="C83" t="str">
        <f>IFERROR(__xludf.DUMMYFUNCTION("""COMPUTED_VALUE"""),"Luc Besson")</f>
        <v>Luc Besson</v>
      </c>
      <c r="D83">
        <f>IFERROR(__xludf.DUMMYFUNCTION("""COMPUTED_VALUE"""),1997.0)</f>
        <v>1997</v>
      </c>
      <c r="E83">
        <f>IFERROR(__xludf.DUMMYFUNCTION("""COMPUTED_VALUE"""),7727697.0)</f>
        <v>7727697</v>
      </c>
    </row>
    <row r="84">
      <c r="A84">
        <f>IFERROR(__xludf.DUMMYFUNCTION("""COMPUTED_VALUE"""),77.0)</f>
        <v>77</v>
      </c>
      <c r="B84" t="str">
        <f>IFERROR(__xludf.DUMMYFUNCTION("""COMPUTED_VALUE"""),"*La Famille Bélier*")</f>
        <v>*La Famille Bélier*</v>
      </c>
      <c r="C84" t="str">
        <f>IFERROR(__xludf.DUMMYFUNCTION("""COMPUTED_VALUE"""),"Éric Lartigau")</f>
        <v>Éric Lartigau</v>
      </c>
      <c r="D84">
        <f>IFERROR(__xludf.DUMMYFUNCTION("""COMPUTED_VALUE"""),2014.0)</f>
        <v>2014</v>
      </c>
      <c r="E84" t="str">
        <f>IFERROR(__xludf.DUMMYFUNCTION("""COMPUTED_VALUE"""),"7 704 919[11]")</f>
        <v>7 704 919[11]</v>
      </c>
    </row>
    <row r="85">
      <c r="A85">
        <f>IFERROR(__xludf.DUMMYFUNCTION("""COMPUTED_VALUE"""),78.0)</f>
        <v>78</v>
      </c>
      <c r="B85" t="str">
        <f>IFERROR(__xludf.DUMMYFUNCTION("""COMPUTED_VALUE"""),"*La Reine des neiges 2*")</f>
        <v>*La Reine des neiges 2*</v>
      </c>
      <c r="C85" t="str">
        <f>IFERROR(__xludf.DUMMYFUNCTION("""COMPUTED_VALUE"""),"Jennifer Lee / Chris Buck")</f>
        <v>Jennifer Lee / Chris Buck</v>
      </c>
      <c r="D85">
        <f>IFERROR(__xludf.DUMMYFUNCTION("""COMPUTED_VALUE"""),2019.0)</f>
        <v>2019</v>
      </c>
      <c r="E85" t="str">
        <f>IFERROR(__xludf.DUMMYFUNCTION("""COMPUTED_VALUE"""),"7 646 432[12]")</f>
        <v>7 646 432[12]</v>
      </c>
    </row>
    <row r="86">
      <c r="A86">
        <f>IFERROR(__xludf.DUMMYFUNCTION("""COMPUTED_VALUE"""),79.0)</f>
        <v>79</v>
      </c>
      <c r="B86" t="str">
        <f>IFERROR(__xludf.DUMMYFUNCTION("""COMPUTED_VALUE"""),"*Orange mécanique*")</f>
        <v>*Orange mécanique*</v>
      </c>
      <c r="C86" t="str">
        <f>IFERROR(__xludf.DUMMYFUNCTION("""COMPUTED_VALUE"""),"Stanley Kubrick")</f>
        <v>Stanley Kubrick</v>
      </c>
      <c r="D86">
        <f>IFERROR(__xludf.DUMMYFUNCTION("""COMPUTED_VALUE"""),1972.0)</f>
        <v>1972</v>
      </c>
      <c r="E86" t="str">
        <f>IFERROR(__xludf.DUMMYFUNCTION("""COMPUTED_VALUE"""),"7 640 778[11]")</f>
        <v>7 640 778[11]</v>
      </c>
    </row>
    <row r="87">
      <c r="A87">
        <f>IFERROR(__xludf.DUMMYFUNCTION("""COMPUTED_VALUE"""),80.0)</f>
        <v>80</v>
      </c>
      <c r="B87" t="str">
        <f>IFERROR(__xludf.DUMMYFUNCTION("""COMPUTED_VALUE"""),"*Jour de Fête*")</f>
        <v>*Jour de Fête*</v>
      </c>
      <c r="C87" t="str">
        <f>IFERROR(__xludf.DUMMYFUNCTION("""COMPUTED_VALUE"""),"Jacques Tati")</f>
        <v>Jacques Tati</v>
      </c>
      <c r="D87">
        <f>IFERROR(__xludf.DUMMYFUNCTION("""COMPUTED_VALUE"""),1949.0)</f>
        <v>1949</v>
      </c>
      <c r="E87" t="str">
        <f>IFERROR(__xludf.DUMMYFUNCTION("""COMPUTED_VALUE"""),"7 465 834[11]")</f>
        <v>7 465 834[11]</v>
      </c>
    </row>
    <row r="88">
      <c r="A88">
        <f>IFERROR(__xludf.DUMMYFUNCTION("""COMPUTED_VALUE"""),81.0)</f>
        <v>81</v>
      </c>
      <c r="B88" t="str">
        <f>IFERROR(__xludf.DUMMYFUNCTION("""COMPUTED_VALUE"""),"*Les Bidasses en folie*")</f>
        <v>*Les Bidasses en folie*</v>
      </c>
      <c r="C88" t="str">
        <f>IFERROR(__xludf.DUMMYFUNCTION("""COMPUTED_VALUE"""),"Claude Zidi")</f>
        <v>Claude Zidi</v>
      </c>
      <c r="D88">
        <f>IFERROR(__xludf.DUMMYFUNCTION("""COMPUTED_VALUE"""),1971.0)</f>
        <v>1971</v>
      </c>
      <c r="E88">
        <f>IFERROR(__xludf.DUMMYFUNCTION("""COMPUTED_VALUE"""),7460911.0)</f>
        <v>7460911</v>
      </c>
    </row>
    <row r="89">
      <c r="A89">
        <f>IFERROR(__xludf.DUMMYFUNCTION("""COMPUTED_VALUE"""),82.0)</f>
        <v>82</v>
      </c>
      <c r="B89" t="str">
        <f>IFERROR(__xludf.DUMMYFUNCTION("""COMPUTED_VALUE"""),"*Le Seigneur des anneaux : Le Retour du roi*")</f>
        <v>*Le Seigneur des anneaux : Le Retour du roi*</v>
      </c>
      <c r="C89" t="str">
        <f>IFERROR(__xludf.DUMMYFUNCTION("""COMPUTED_VALUE"""),"Peter Jackson")</f>
        <v>Peter Jackson</v>
      </c>
      <c r="D89">
        <f>IFERROR(__xludf.DUMMYFUNCTION("""COMPUTED_VALUE"""),2003.0)</f>
        <v>2003</v>
      </c>
      <c r="E89">
        <f>IFERROR(__xludf.DUMMYFUNCTION("""COMPUTED_VALUE"""),7453594.0)</f>
        <v>7453594</v>
      </c>
    </row>
    <row r="90">
      <c r="A90">
        <f>IFERROR(__xludf.DUMMYFUNCTION("""COMPUTED_VALUE"""),83.0)</f>
        <v>83</v>
      </c>
      <c r="B90" t="str">
        <f>IFERROR(__xludf.DUMMYFUNCTION("""COMPUTED_VALUE"""),"*Le Retour de don Camillo*")</f>
        <v>*Le Retour de don Camillo*</v>
      </c>
      <c r="C90" t="str">
        <f>IFERROR(__xludf.DUMMYFUNCTION("""COMPUTED_VALUE"""),"Julien Duvivier")</f>
        <v>Julien Duvivier</v>
      </c>
      <c r="D90">
        <f>IFERROR(__xludf.DUMMYFUNCTION("""COMPUTED_VALUE"""),1953.0)</f>
        <v>1953</v>
      </c>
      <c r="E90">
        <f>IFERROR(__xludf.DUMMYFUNCTION("""COMPUTED_VALUE"""),7425550.0)</f>
        <v>7425550</v>
      </c>
    </row>
    <row r="91">
      <c r="A91">
        <f>IFERROR(__xludf.DUMMYFUNCTION("""COMPUTED_VALUE"""),84.0)</f>
        <v>84</v>
      </c>
      <c r="B91" t="str">
        <f>IFERROR(__xludf.DUMMYFUNCTION("""COMPUTED_VALUE"""),"*Star Wars, épisode III : La Revanche des Sith*")</f>
        <v>*Star Wars, épisode III : La Revanche des Sith*</v>
      </c>
      <c r="C91" t="str">
        <f>IFERROR(__xludf.DUMMYFUNCTION("""COMPUTED_VALUE"""),"George Lucas")</f>
        <v>George Lucas</v>
      </c>
      <c r="D91">
        <f>IFERROR(__xludf.DUMMYFUNCTION("""COMPUTED_VALUE"""),2005.0)</f>
        <v>2005</v>
      </c>
      <c r="E91">
        <f>IFERROR(__xludf.DUMMYFUNCTION("""COMPUTED_VALUE"""),7396877.0)</f>
        <v>7396877</v>
      </c>
    </row>
    <row r="92">
      <c r="A92">
        <f>IFERROR(__xludf.DUMMYFUNCTION("""COMPUTED_VALUE"""),85.0)</f>
        <v>85</v>
      </c>
      <c r="B92" t="str">
        <f>IFERROR(__xludf.DUMMYFUNCTION("""COMPUTED_VALUE"""),"*Spider-Man: No Way Home*")</f>
        <v>*Spider-Man: No Way Home*</v>
      </c>
      <c r="C92" t="str">
        <f>IFERROR(__xludf.DUMMYFUNCTION("""COMPUTED_VALUE"""),"Jon Watts")</f>
        <v>Jon Watts</v>
      </c>
      <c r="D92">
        <f>IFERROR(__xludf.DUMMYFUNCTION("""COMPUTED_VALUE"""),2021.0)</f>
        <v>2021</v>
      </c>
      <c r="E92">
        <f>IFERROR(__xludf.DUMMYFUNCTION("""COMPUTED_VALUE"""),7387844.0)</f>
        <v>7387844</v>
      </c>
    </row>
    <row r="93">
      <c r="A93">
        <f>IFERROR(__xludf.DUMMYFUNCTION("""COMPUTED_VALUE"""),86.0)</f>
        <v>86</v>
      </c>
      <c r="B93" t="str">
        <f>IFERROR(__xludf.DUMMYFUNCTION("""COMPUTED_VALUE"""),"*Super Mario Bros., le film*")</f>
        <v>*Super Mario Bros., le film*</v>
      </c>
      <c r="C93" t="str">
        <f>IFERROR(__xludf.DUMMYFUNCTION("""COMPUTED_VALUE"""),"Aaron Horvath / Michael Jelenic")</f>
        <v>Aaron Horvath / Michael Jelenic</v>
      </c>
      <c r="D93">
        <f>IFERROR(__xludf.DUMMYFUNCTION("""COMPUTED_VALUE"""),2023.0)</f>
        <v>2023</v>
      </c>
      <c r="E93">
        <f>IFERROR(__xludf.DUMMYFUNCTION("""COMPUTED_VALUE"""),7359395.0)</f>
        <v>7359395</v>
      </c>
    </row>
    <row r="94">
      <c r="A94">
        <f>IFERROR(__xludf.DUMMYFUNCTION("""COMPUTED_VALUE"""),87.0)</f>
        <v>87</v>
      </c>
      <c r="B94" t="str">
        <f>IFERROR(__xludf.DUMMYFUNCTION("""COMPUTED_VALUE"""),"*Aladdin*")</f>
        <v>*Aladdin*</v>
      </c>
      <c r="C94" t="str">
        <f>IFERROR(__xludf.DUMMYFUNCTION("""COMPUTED_VALUE"""),"Ron Clements / John Musker")</f>
        <v>Ron Clements / John Musker</v>
      </c>
      <c r="D94">
        <f>IFERROR(__xludf.DUMMYFUNCTION("""COMPUTED_VALUE"""),1993.0)</f>
        <v>1993</v>
      </c>
      <c r="E94" t="str">
        <f>IFERROR(__xludf.DUMMYFUNCTION("""COMPUTED_VALUE"""),"7 358 678[11]")</f>
        <v>7 358 678[11]</v>
      </c>
    </row>
    <row r="95">
      <c r="A95">
        <f>IFERROR(__xludf.DUMMYFUNCTION("""COMPUTED_VALUE"""),88.0)</f>
        <v>88</v>
      </c>
      <c r="B95" t="str">
        <f>IFERROR(__xludf.DUMMYFUNCTION("""COMPUTED_VALUE"""),"*Peter Pan*")</f>
        <v>*Peter Pan*</v>
      </c>
      <c r="C95" t="str">
        <f>IFERROR(__xludf.DUMMYFUNCTION("""COMPUTED_VALUE"""),"Clyde Geronimi / Wilfred Jackson / Hamilton Luske")</f>
        <v>Clyde Geronimi / Wilfred Jackson / Hamilton Luske</v>
      </c>
      <c r="D95">
        <f>IFERROR(__xludf.DUMMYFUNCTION("""COMPUTED_VALUE"""),1953.0)</f>
        <v>1953</v>
      </c>
      <c r="E95" t="str">
        <f>IFERROR(__xludf.DUMMYFUNCTION("""COMPUTED_VALUE"""),"7 351 080[11]")</f>
        <v>7 351 080[11]</v>
      </c>
    </row>
    <row r="96">
      <c r="A96">
        <f>IFERROR(__xludf.DUMMYFUNCTION("""COMPUTED_VALUE"""),89.0)</f>
        <v>89</v>
      </c>
      <c r="B96" t="str">
        <f>IFERROR(__xludf.DUMMYFUNCTION("""COMPUTED_VALUE"""),"*Les Aventures de Rabbi Jacob*")</f>
        <v>*Les Aventures de Rabbi Jacob*</v>
      </c>
      <c r="C96" t="str">
        <f>IFERROR(__xludf.DUMMYFUNCTION("""COMPUTED_VALUE"""),"Gérard Oury")</f>
        <v>Gérard Oury</v>
      </c>
      <c r="D96">
        <f>IFERROR(__xludf.DUMMYFUNCTION("""COMPUTED_VALUE"""),1973.0)</f>
        <v>1973</v>
      </c>
      <c r="E96">
        <f>IFERROR(__xludf.DUMMYFUNCTION("""COMPUTED_VALUE"""),7308284.0)</f>
        <v>7308284</v>
      </c>
    </row>
    <row r="97">
      <c r="A97">
        <f>IFERROR(__xludf.DUMMYFUNCTION("""COMPUTED_VALUE"""),90.0)</f>
        <v>90</v>
      </c>
      <c r="B97" t="str">
        <f>IFERROR(__xludf.DUMMYFUNCTION("""COMPUTED_VALUE"""),"*Danse avec les loups*")</f>
        <v>*Danse avec les loups*</v>
      </c>
      <c r="C97" t="str">
        <f>IFERROR(__xludf.DUMMYFUNCTION("""COMPUTED_VALUE"""),"Kevin Costner")</f>
        <v>Kevin Costner</v>
      </c>
      <c r="D97">
        <f>IFERROR(__xludf.DUMMYFUNCTION("""COMPUTED_VALUE"""),1991.0)</f>
        <v>1991</v>
      </c>
      <c r="E97" t="str">
        <f>IFERROR(__xludf.DUMMYFUNCTION("""COMPUTED_VALUE"""),"7 281 824[11]")</f>
        <v>7 281 824[11]</v>
      </c>
    </row>
    <row r="98">
      <c r="A98">
        <f>IFERROR(__xludf.DUMMYFUNCTION("""COMPUTED_VALUE"""),91.0)</f>
        <v>91</v>
      </c>
      <c r="B98" t="str">
        <f>IFERROR(__xludf.DUMMYFUNCTION("""COMPUTED_VALUE"""),"*Les Aventures de Bernard et Bianca*")</f>
        <v>*Les Aventures de Bernard et Bianca*</v>
      </c>
      <c r="C98" t="str">
        <f>IFERROR(__xludf.DUMMYFUNCTION("""COMPUTED_VALUE"""),"Wolfgang Reitherman / Art Stevens / John Lounsbery")</f>
        <v>Wolfgang Reitherman / Art Stevens / John Lounsbery</v>
      </c>
      <c r="D98">
        <f>IFERROR(__xludf.DUMMYFUNCTION("""COMPUTED_VALUE"""),1977.0)</f>
        <v>1977</v>
      </c>
      <c r="E98" t="str">
        <f>IFERROR(__xludf.DUMMYFUNCTION("""COMPUTED_VALUE"""),"7 246 721[11]")</f>
        <v>7 246 721[11]</v>
      </c>
    </row>
    <row r="99">
      <c r="A99">
        <f>IFERROR(__xludf.DUMMYFUNCTION("""COMPUTED_VALUE"""),92.0)</f>
        <v>92</v>
      </c>
      <c r="B99" t="str">
        <f>IFERROR(__xludf.DUMMYFUNCTION("""COMPUTED_VALUE"""),"*Jean de Florette*")</f>
        <v>*Jean de Florette*</v>
      </c>
      <c r="C99" t="str">
        <f>IFERROR(__xludf.DUMMYFUNCTION("""COMPUTED_VALUE"""),"Claude Berri")</f>
        <v>Claude Berri</v>
      </c>
      <c r="D99">
        <f>IFERROR(__xludf.DUMMYFUNCTION("""COMPUTED_VALUE"""),1986.0)</f>
        <v>1986</v>
      </c>
      <c r="E99" t="str">
        <f>IFERROR(__xludf.DUMMYFUNCTION("""COMPUTED_VALUE"""),"7 225 779[11]")</f>
        <v>7 225 779[11]</v>
      </c>
    </row>
    <row r="100">
      <c r="A100">
        <f>IFERROR(__xludf.DUMMYFUNCTION("""COMPUTED_VALUE"""),93.0)</f>
        <v>93</v>
      </c>
      <c r="B100" t="str">
        <f>IFERROR(__xludf.DUMMYFUNCTION("""COMPUTED_VALUE"""),"*Shrek 2*")</f>
        <v>*Shrek 2*</v>
      </c>
      <c r="C100" t="str">
        <f>IFERROR(__xludf.DUMMYFUNCTION("""COMPUTED_VALUE"""),"Andrew Adamson / Kelly Asbury / Conrad Vernon")</f>
        <v>Andrew Adamson / Kelly Asbury / Conrad Vernon</v>
      </c>
      <c r="D100">
        <f>IFERROR(__xludf.DUMMYFUNCTION("""COMPUTED_VALUE"""),2004.0)</f>
        <v>2004</v>
      </c>
      <c r="E100">
        <f>IFERROR(__xludf.DUMMYFUNCTION("""COMPUTED_VALUE"""),7185626.0)</f>
        <v>7185626</v>
      </c>
    </row>
    <row r="101">
      <c r="A101">
        <f>IFERROR(__xludf.DUMMYFUNCTION("""COMPUTED_VALUE"""),94.0)</f>
        <v>94</v>
      </c>
      <c r="B101" t="str">
        <f>IFERROR(__xludf.DUMMYFUNCTION("""COMPUTED_VALUE"""),"*Harry Potter et le Prisonnier d'Azkaban*")</f>
        <v>*Harry Potter et le Prisonnier d'Azkaban*</v>
      </c>
      <c r="C101" t="str">
        <f>IFERROR(__xludf.DUMMYFUNCTION("""COMPUTED_VALUE"""),"Alfonso Cuarón")</f>
        <v>Alfonso Cuarón</v>
      </c>
      <c r="E101" t="str">
        <f>IFERROR(__xludf.DUMMYFUNCTION("""COMPUTED_VALUE"""),"7 174 103[11]")</f>
        <v>7 174 103[11]</v>
      </c>
    </row>
    <row r="102">
      <c r="A102">
        <f>IFERROR(__xludf.DUMMYFUNCTION("""COMPUTED_VALUE"""),95.0)</f>
        <v>95</v>
      </c>
      <c r="B102" t="str">
        <f>IFERROR(__xludf.DUMMYFUNCTION("""COMPUTED_VALUE"""),"*Le Seigneur des anneaux : Les Deux Tours*")</f>
        <v>*Le Seigneur des anneaux : Les Deux Tours*</v>
      </c>
      <c r="C102" t="str">
        <f>IFERROR(__xludf.DUMMYFUNCTION("""COMPUTED_VALUE"""),"Peter Jackson")</f>
        <v>Peter Jackson</v>
      </c>
      <c r="D102">
        <f>IFERROR(__xludf.DUMMYFUNCTION("""COMPUTED_VALUE"""),2002.0)</f>
        <v>2002</v>
      </c>
      <c r="E102" t="str">
        <f>IFERROR(__xludf.DUMMYFUNCTION("""COMPUTED_VALUE"""),"7 158 122[11]")</f>
        <v>7 158 122[11]</v>
      </c>
    </row>
    <row r="103">
      <c r="A103">
        <f>IFERROR(__xludf.DUMMYFUNCTION("""COMPUTED_VALUE"""),96.0)</f>
        <v>96</v>
      </c>
      <c r="B103" t="str">
        <f>IFERROR(__xludf.DUMMYFUNCTION("""COMPUTED_VALUE"""),"*Samson et Dalila*")</f>
        <v>*Samson et Dalila*</v>
      </c>
      <c r="C103" t="str">
        <f>IFERROR(__xludf.DUMMYFUNCTION("""COMPUTED_VALUE"""),"Cecil B. DeMille")</f>
        <v>Cecil B. DeMille</v>
      </c>
      <c r="D103">
        <f>IFERROR(__xludf.DUMMYFUNCTION("""COMPUTED_VALUE"""),1951.0)</f>
        <v>1951</v>
      </c>
      <c r="E103" t="str">
        <f>IFERROR(__xludf.DUMMYFUNCTION("""COMPUTED_VALUE"""),"7 116 461[11]")</f>
        <v>7 116 461[11]</v>
      </c>
    </row>
    <row r="104">
      <c r="A104">
        <f>IFERROR(__xludf.DUMMYFUNCTION("""COMPUTED_VALUE"""),97.0)</f>
        <v>97</v>
      </c>
      <c r="B104" t="str">
        <f>IFERROR(__xludf.DUMMYFUNCTION("""COMPUTED_VALUE"""),"*Star Wars, épisode VIII : Les Derniers Jedi*")</f>
        <v>*Star Wars, épisode VIII : Les Derniers Jedi*</v>
      </c>
      <c r="C104" t="str">
        <f>IFERROR(__xludf.DUMMYFUNCTION("""COMPUTED_VALUE"""),"Rian Johnson")</f>
        <v>Rian Johnson</v>
      </c>
      <c r="D104">
        <f>IFERROR(__xludf.DUMMYFUNCTION("""COMPUTED_VALUE"""),2017.0)</f>
        <v>2017</v>
      </c>
      <c r="E104">
        <f>IFERROR(__xludf.DUMMYFUNCTION("""COMPUTED_VALUE"""),7094310.0)</f>
        <v>7094310</v>
      </c>
    </row>
    <row r="105">
      <c r="A105">
        <f>IFERROR(__xludf.DUMMYFUNCTION("""COMPUTED_VALUE"""),98.0)</f>
        <v>98</v>
      </c>
      <c r="B105" t="str">
        <f>IFERROR(__xludf.DUMMYFUNCTION("""COMPUTED_VALUE"""),"*Jeanne d'Arc*")</f>
        <v>*Jeanne d'Arc*</v>
      </c>
      <c r="C105" t="str">
        <f>IFERROR(__xludf.DUMMYFUNCTION("""COMPUTED_VALUE"""),"Victor Fleming")</f>
        <v>Victor Fleming</v>
      </c>
      <c r="D105">
        <f>IFERROR(__xludf.DUMMYFUNCTION("""COMPUTED_VALUE"""),1949.0)</f>
        <v>1949</v>
      </c>
      <c r="E105" t="str">
        <f>IFERROR(__xludf.DUMMYFUNCTION("""COMPUTED_VALUE"""),"7 092 805[11]")</f>
        <v>7 092 805[11]</v>
      </c>
    </row>
    <row r="106">
      <c r="A106">
        <f>IFERROR(__xludf.DUMMYFUNCTION("""COMPUTED_VALUE"""),99.0)</f>
        <v>99</v>
      </c>
      <c r="B106" t="str">
        <f>IFERROR(__xludf.DUMMYFUNCTION("""COMPUTED_VALUE"""),"*La Chèvre*")</f>
        <v>*La Chèvre*</v>
      </c>
      <c r="C106" t="str">
        <f>IFERROR(__xludf.DUMMYFUNCTION("""COMPUTED_VALUE"""),"Francis Veber")</f>
        <v>Francis Veber</v>
      </c>
      <c r="D106">
        <f>IFERROR(__xludf.DUMMYFUNCTION("""COMPUTED_VALUE"""),1981.0)</f>
        <v>1981</v>
      </c>
      <c r="E106" t="str">
        <f>IFERROR(__xludf.DUMMYFUNCTION("""COMPUTED_VALUE"""),"7 081 324[11]")</f>
        <v>7 081 324[11]</v>
      </c>
    </row>
    <row r="107">
      <c r="A107">
        <f>IFERROR(__xludf.DUMMYFUNCTION("""COMPUTED_VALUE"""),100.0)</f>
        <v>100</v>
      </c>
      <c r="B107" t="str">
        <f>IFERROR(__xludf.DUMMYFUNCTION("""COMPUTED_VALUE"""),"*Monsieur Vincent*")</f>
        <v>*Monsieur Vincent*</v>
      </c>
      <c r="C107" t="str">
        <f>IFERROR(__xludf.DUMMYFUNCTION("""COMPUTED_VALUE"""),"Maurice Cloche")</f>
        <v>Maurice Cloche</v>
      </c>
      <c r="D107">
        <f>IFERROR(__xludf.DUMMYFUNCTION("""COMPUTED_VALUE"""),1947.0)</f>
        <v>1947</v>
      </c>
      <c r="E107" t="str">
        <f>IFERROR(__xludf.DUMMYFUNCTION("""COMPUTED_VALUE"""),"7 058 106[Note 9]")</f>
        <v>7 058 106[Note 9]</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IFERROR(__xludf.DUMMYFUNCTION("IMPORTHTML(""https://fr.wikipedia.org/wiki/Liste_des_meilleurs_marqueurs_en_NBA_en_carri%C3%A8re"",""table"")"),"Rang")</f>
        <v>Rang</v>
      </c>
      <c r="B1" t="str">
        <f>IFERROR(__xludf.DUMMYFUNCTION("""COMPUTED_VALUE"""),"Nom")</f>
        <v>Nom</v>
      </c>
      <c r="C1" t="str">
        <f>IFERROR(__xludf.DUMMYFUNCTION("""COMPUTED_VALUE"""),"Poste")</f>
        <v>Poste</v>
      </c>
      <c r="D1" t="str">
        <f>IFERROR(__xludf.DUMMYFUNCTION("""COMPUTED_VALUE"""),"Points")</f>
        <v>Points</v>
      </c>
      <c r="E1" t="str">
        <f>IFERROR(__xludf.DUMMYFUNCTION("""COMPUTED_VALUE"""),"M")</f>
        <v>M</v>
      </c>
      <c r="F1" t="str">
        <f>IFERROR(__xludf.DUMMYFUNCTION("""COMPUTED_VALUE"""),"PPM")</f>
        <v>PPM</v>
      </c>
      <c r="G1" t="str">
        <f>IFERROR(__xludf.DUMMYFUNCTION("""COMPUTED_VALUE"""),"Tirs")</f>
        <v>Tirs</v>
      </c>
      <c r="H1" t="str">
        <f>IFERROR(__xludf.DUMMYFUNCTION("""COMPUTED_VALUE"""),"3 pts")</f>
        <v>3 pts</v>
      </c>
      <c r="I1" t="str">
        <f>IFERROR(__xludf.DUMMYFUNCTION("""COMPUTED_VALUE"""),"LF")</f>
        <v>LF</v>
      </c>
      <c r="J1" t="str">
        <f>IFERROR(__xludf.DUMMYFUNCTION("""COMPUTED_VALUE"""),"C")</f>
        <v>C</v>
      </c>
    </row>
    <row r="2">
      <c r="A2">
        <f>IFERROR(__xludf.DUMMYFUNCTION("""COMPUTED_VALUE"""),51.0)</f>
        <v>51</v>
      </c>
      <c r="B2" t="str">
        <f>IFERROR(__xludf.DUMMYFUNCTION("""COMPUTED_VALUE"""),"Tom Chambers")</f>
        <v>Tom Chambers</v>
      </c>
      <c r="C2" t="str">
        <f>IFERROR(__xludf.DUMMYFUNCTION("""COMPUTED_VALUE"""),"Ailier fort")</f>
        <v>Ailier fort</v>
      </c>
      <c r="D2">
        <f>IFERROR(__xludf.DUMMYFUNCTION("""COMPUTED_VALUE"""),20049.0)</f>
        <v>20049</v>
      </c>
      <c r="E2">
        <f>IFERROR(__xludf.DUMMYFUNCTION("""COMPUTED_VALUE"""),1107.0)</f>
        <v>1107</v>
      </c>
      <c r="F2">
        <f>IFERROR(__xludf.DUMMYFUNCTION("""COMPUTED_VALUE"""),18.11)</f>
        <v>18.11</v>
      </c>
      <c r="G2">
        <f>IFERROR(__xludf.DUMMYFUNCTION("""COMPUTED_VALUE"""),7378.0)</f>
        <v>7378</v>
      </c>
      <c r="H2">
        <f>IFERROR(__xludf.DUMMYFUNCTION("""COMPUTED_VALUE"""),227.0)</f>
        <v>227</v>
      </c>
      <c r="I2">
        <f>IFERROR(__xludf.DUMMYFUNCTION("""COMPUTED_VALUE"""),5066.0)</f>
        <v>5066</v>
      </c>
    </row>
    <row r="3">
      <c r="A3">
        <f>IFERROR(__xludf.DUMMYFUNCTION("""COMPUTED_VALUE"""),52.0)</f>
        <v>52</v>
      </c>
      <c r="B3" t="str">
        <f>IFERROR(__xludf.DUMMYFUNCTION("""COMPUTED_VALUE"""),"Antawn Jamison")</f>
        <v>Antawn Jamison</v>
      </c>
      <c r="C3" t="str">
        <f>IFERROR(__xludf.DUMMYFUNCTION("""COMPUTED_VALUE"""),"Ailier fort")</f>
        <v>Ailier fort</v>
      </c>
      <c r="D3">
        <f>IFERROR(__xludf.DUMMYFUNCTION("""COMPUTED_VALUE"""),20042.0)</f>
        <v>20042</v>
      </c>
      <c r="E3">
        <f>IFERROR(__xludf.DUMMYFUNCTION("""COMPUTED_VALUE"""),1083.0)</f>
        <v>1083</v>
      </c>
      <c r="F3">
        <f>IFERROR(__xludf.DUMMYFUNCTION("""COMPUTED_VALUE"""),18.51)</f>
        <v>18.51</v>
      </c>
      <c r="G3">
        <f>IFERROR(__xludf.DUMMYFUNCTION("""COMPUTED_VALUE"""),7679.0)</f>
        <v>7679</v>
      </c>
      <c r="H3">
        <f>IFERROR(__xludf.DUMMYFUNCTION("""COMPUTED_VALUE"""),1163.0)</f>
        <v>1163</v>
      </c>
      <c r="I3">
        <f>IFERROR(__xludf.DUMMYFUNCTION("""COMPUTED_VALUE"""),3521.0)</f>
        <v>3521</v>
      </c>
    </row>
    <row r="4">
      <c r="A4">
        <f>IFERROR(__xludf.DUMMYFUNCTION("""COMPUTED_VALUE"""),53.0)</f>
        <v>53</v>
      </c>
      <c r="B4" t="str">
        <f>IFERROR(__xludf.DUMMYFUNCTION("""COMPUTED_VALUE"""),"John Stockton")</f>
        <v>John Stockton</v>
      </c>
      <c r="C4" t="str">
        <f>IFERROR(__xludf.DUMMYFUNCTION("""COMPUTED_VALUE"""),"Meneur")</f>
        <v>Meneur</v>
      </c>
      <c r="D4">
        <f>IFERROR(__xludf.DUMMYFUNCTION("""COMPUTED_VALUE"""),19711.0)</f>
        <v>19711</v>
      </c>
      <c r="E4">
        <f>IFERROR(__xludf.DUMMYFUNCTION("""COMPUTED_VALUE"""),1504.0)</f>
        <v>1504</v>
      </c>
      <c r="F4">
        <f>IFERROR(__xludf.DUMMYFUNCTION("""COMPUTED_VALUE"""),13.11)</f>
        <v>13.11</v>
      </c>
      <c r="G4">
        <f>IFERROR(__xludf.DUMMYFUNCTION("""COMPUTED_VALUE"""),7039.0)</f>
        <v>7039</v>
      </c>
      <c r="H4">
        <f>IFERROR(__xludf.DUMMYFUNCTION("""COMPUTED_VALUE"""),845.0)</f>
        <v>845</v>
      </c>
      <c r="I4">
        <f>IFERROR(__xludf.DUMMYFUNCTION("""COMPUTED_VALUE"""),4788.0)</f>
        <v>4788</v>
      </c>
      <c r="J4" t="str">
        <f>IFERROR(__xludf.DUMMYFUNCTION("""COMPUTED_VALUE"""),"*")</f>
        <v>*</v>
      </c>
    </row>
    <row r="5">
      <c r="A5">
        <f>IFERROR(__xludf.DUMMYFUNCTION("""COMPUTED_VALUE"""),54.0)</f>
        <v>54</v>
      </c>
      <c r="B5" t="str">
        <f>IFERROR(__xludf.DUMMYFUNCTION("""COMPUTED_VALUE"""),"Bernard King")</f>
        <v>Bernard King</v>
      </c>
      <c r="C5" t="str">
        <f>IFERROR(__xludf.DUMMYFUNCTION("""COMPUTED_VALUE"""),"Ailier")</f>
        <v>Ailier</v>
      </c>
      <c r="D5">
        <f>IFERROR(__xludf.DUMMYFUNCTION("""COMPUTED_VALUE"""),19655.0)</f>
        <v>19655</v>
      </c>
      <c r="E5">
        <f>IFERROR(__xludf.DUMMYFUNCTION("""COMPUTED_VALUE"""),874.0)</f>
        <v>874</v>
      </c>
      <c r="F5">
        <f>IFERROR(__xludf.DUMMYFUNCTION("""COMPUTED_VALUE"""),22.49)</f>
        <v>22.49</v>
      </c>
      <c r="G5">
        <f>IFERROR(__xludf.DUMMYFUNCTION("""COMPUTED_VALUE"""),7830.0)</f>
        <v>7830</v>
      </c>
      <c r="H5">
        <f>IFERROR(__xludf.DUMMYFUNCTION("""COMPUTED_VALUE"""),23.0)</f>
        <v>23</v>
      </c>
      <c r="I5">
        <f>IFERROR(__xludf.DUMMYFUNCTION("""COMPUTED_VALUE"""),3972.0)</f>
        <v>3972</v>
      </c>
      <c r="J5" t="str">
        <f>IFERROR(__xludf.DUMMYFUNCTION("""COMPUTED_VALUE"""),"*")</f>
        <v>*</v>
      </c>
    </row>
    <row r="6">
      <c r="A6">
        <f>IFERROR(__xludf.DUMMYFUNCTION("""COMPUTED_VALUE"""),55.0)</f>
        <v>55</v>
      </c>
      <c r="B6" t="str">
        <f>IFERROR(__xludf.DUMMYFUNCTION("""COMPUTED_VALUE"""),"Clifford Robinson")</f>
        <v>Clifford Robinson</v>
      </c>
      <c r="C6" t="str">
        <f>IFERROR(__xludf.DUMMYFUNCTION("""COMPUTED_VALUE"""),"Pivot")</f>
        <v>Pivot</v>
      </c>
      <c r="D6">
        <f>IFERROR(__xludf.DUMMYFUNCTION("""COMPUTED_VALUE"""),19591.0)</f>
        <v>19591</v>
      </c>
      <c r="E6">
        <f>IFERROR(__xludf.DUMMYFUNCTION("""COMPUTED_VALUE"""),1380.0)</f>
        <v>1380</v>
      </c>
      <c r="F6">
        <f>IFERROR(__xludf.DUMMYFUNCTION("""COMPUTED_VALUE"""),14.2)</f>
        <v>14.2</v>
      </c>
      <c r="G6">
        <f>IFERROR(__xludf.DUMMYFUNCTION("""COMPUTED_VALUE"""),7389.0)</f>
        <v>7389</v>
      </c>
      <c r="H6">
        <f>IFERROR(__xludf.DUMMYFUNCTION("""COMPUTED_VALUE"""),1253.0)</f>
        <v>1253</v>
      </c>
      <c r="I6">
        <f>IFERROR(__xludf.DUMMYFUNCTION("""COMPUTED_VALUE"""),3560.0)</f>
        <v>3560</v>
      </c>
    </row>
    <row r="7">
      <c r="A7">
        <f>IFERROR(__xludf.DUMMYFUNCTION("""COMPUTED_VALUE"""),56.0)</f>
        <v>56</v>
      </c>
      <c r="B7" t="str">
        <f>IFERROR(__xludf.DUMMYFUNCTION("""COMPUTED_VALUE"""),"Walter Davis")</f>
        <v>Walter Davis</v>
      </c>
      <c r="C7" t="str">
        <f>IFERROR(__xludf.DUMMYFUNCTION("""COMPUTED_VALUE"""),"Arrière")</f>
        <v>Arrière</v>
      </c>
      <c r="D7">
        <f>IFERROR(__xludf.DUMMYFUNCTION("""COMPUTED_VALUE"""),19521.0)</f>
        <v>19521</v>
      </c>
      <c r="E7">
        <f>IFERROR(__xludf.DUMMYFUNCTION("""COMPUTED_VALUE"""),1033.0)</f>
        <v>1033</v>
      </c>
      <c r="F7">
        <f>IFERROR(__xludf.DUMMYFUNCTION("""COMPUTED_VALUE"""),18.9)</f>
        <v>18.9</v>
      </c>
      <c r="G7">
        <f>IFERROR(__xludf.DUMMYFUNCTION("""COMPUTED_VALUE"""),8118.0)</f>
        <v>8118</v>
      </c>
      <c r="H7">
        <f>IFERROR(__xludf.DUMMYFUNCTION("""COMPUTED_VALUE"""),157.0)</f>
        <v>157</v>
      </c>
      <c r="I7">
        <f>IFERROR(__xludf.DUMMYFUNCTION("""COMPUTED_VALUE"""),3128.0)</f>
        <v>3128</v>
      </c>
      <c r="J7" t="str">
        <f>IFERROR(__xludf.DUMMYFUNCTION("""COMPUTED_VALUE"""),"*")</f>
        <v>*</v>
      </c>
    </row>
    <row r="8">
      <c r="A8">
        <f>IFERROR(__xludf.DUMMYFUNCTION("""COMPUTED_VALUE"""),57.0)</f>
        <v>57</v>
      </c>
      <c r="B8" t="str">
        <f>IFERROR(__xludf.DUMMYFUNCTION("""COMPUTED_VALUE"""),"Dwight Howard")</f>
        <v>Dwight Howard</v>
      </c>
      <c r="C8" t="str">
        <f>IFERROR(__xludf.DUMMYFUNCTION("""COMPUTED_VALUE"""),"Pivot")</f>
        <v>Pivot</v>
      </c>
      <c r="D8">
        <f>IFERROR(__xludf.DUMMYFUNCTION("""COMPUTED_VALUE"""),19485.0)</f>
        <v>19485</v>
      </c>
      <c r="E8">
        <f>IFERROR(__xludf.DUMMYFUNCTION("""COMPUTED_VALUE"""),1242.0)</f>
        <v>1242</v>
      </c>
      <c r="F8">
        <f>IFERROR(__xludf.DUMMYFUNCTION("""COMPUTED_VALUE"""),15.69)</f>
        <v>15.69</v>
      </c>
      <c r="G8">
        <f>IFERROR(__xludf.DUMMYFUNCTION("""COMPUTED_VALUE"""),7051.0)</f>
        <v>7051</v>
      </c>
      <c r="H8">
        <f>IFERROR(__xludf.DUMMYFUNCTION("""COMPUTED_VALUE"""),22.0)</f>
        <v>22</v>
      </c>
      <c r="I8">
        <f>IFERROR(__xludf.DUMMYFUNCTION("""COMPUTED_VALUE"""),5361.0)</f>
        <v>5361</v>
      </c>
      <c r="J8" t="str">
        <f>IFERROR(__xludf.DUMMYFUNCTION("""COMPUTED_VALUE"""),"°")</f>
        <v>°</v>
      </c>
    </row>
    <row r="9">
      <c r="A9">
        <f>IFERROR(__xludf.DUMMYFUNCTION("""COMPUTED_VALUE"""),58.0)</f>
        <v>58</v>
      </c>
      <c r="B9" t="str">
        <f>IFERROR(__xludf.DUMMYFUNCTION("""COMPUTED_VALUE"""),"Tony Parker")</f>
        <v>Tony Parker</v>
      </c>
      <c r="C9" t="str">
        <f>IFERROR(__xludf.DUMMYFUNCTION("""COMPUTED_VALUE"""),"Meneur")</f>
        <v>Meneur</v>
      </c>
      <c r="D9">
        <f>IFERROR(__xludf.DUMMYFUNCTION("""COMPUTED_VALUE"""),19473.0)</f>
        <v>19473</v>
      </c>
      <c r="E9">
        <f>IFERROR(__xludf.DUMMYFUNCTION("""COMPUTED_VALUE"""),1254.0)</f>
        <v>1254</v>
      </c>
      <c r="F9">
        <f>IFERROR(__xludf.DUMMYFUNCTION("""COMPUTED_VALUE"""),15.53)</f>
        <v>15.53</v>
      </c>
      <c r="G9">
        <f>IFERROR(__xludf.DUMMYFUNCTION("""COMPUTED_VALUE"""),7777.0)</f>
        <v>7777</v>
      </c>
      <c r="H9">
        <f>IFERROR(__xludf.DUMMYFUNCTION("""COMPUTED_VALUE"""),519.0)</f>
        <v>519</v>
      </c>
      <c r="I9">
        <f>IFERROR(__xludf.DUMMYFUNCTION("""COMPUTED_VALUE"""),3400.0)</f>
        <v>3400</v>
      </c>
      <c r="J9" t="str">
        <f>IFERROR(__xludf.DUMMYFUNCTION("""COMPUTED_VALUE"""),"*")</f>
        <v>*</v>
      </c>
    </row>
    <row r="10">
      <c r="A10">
        <f>IFERROR(__xludf.DUMMYFUNCTION("""COMPUTED_VALUE"""),59.0)</f>
        <v>59</v>
      </c>
      <c r="B10" t="str">
        <f>IFERROR(__xludf.DUMMYFUNCTION("""COMPUTED_VALUE"""),"Terry Cummings")</f>
        <v>Terry Cummings</v>
      </c>
      <c r="C10" t="str">
        <f>IFERROR(__xludf.DUMMYFUNCTION("""COMPUTED_VALUE"""),"Ailier fort")</f>
        <v>Ailier fort</v>
      </c>
      <c r="D10">
        <f>IFERROR(__xludf.DUMMYFUNCTION("""COMPUTED_VALUE"""),19460.0)</f>
        <v>19460</v>
      </c>
      <c r="E10">
        <f>IFERROR(__xludf.DUMMYFUNCTION("""COMPUTED_VALUE"""),1183.0)</f>
        <v>1183</v>
      </c>
      <c r="F10">
        <f>IFERROR(__xludf.DUMMYFUNCTION("""COMPUTED_VALUE"""),16.45)</f>
        <v>16.45</v>
      </c>
      <c r="G10">
        <f>IFERROR(__xludf.DUMMYFUNCTION("""COMPUTED_VALUE"""),8045.0)</f>
        <v>8045</v>
      </c>
      <c r="H10">
        <f>IFERROR(__xludf.DUMMYFUNCTION("""COMPUTED_VALUE"""),44.0)</f>
        <v>44</v>
      </c>
      <c r="I10">
        <f>IFERROR(__xludf.DUMMYFUNCTION("""COMPUTED_VALUE"""),3326.0)</f>
        <v>3326</v>
      </c>
    </row>
    <row r="11">
      <c r="A11">
        <f>IFERROR(__xludf.DUMMYFUNCTION("""COMPUTED_VALUE"""),60.0)</f>
        <v>60</v>
      </c>
      <c r="B11" t="str">
        <f>IFERROR(__xludf.DUMMYFUNCTION("""COMPUTED_VALUE"""),"Jamal Crawford")</f>
        <v>Jamal Crawford</v>
      </c>
      <c r="C11" t="str">
        <f>IFERROR(__xludf.DUMMYFUNCTION("""COMPUTED_VALUE"""),"Arrière")</f>
        <v>Arrière</v>
      </c>
      <c r="D11">
        <f>IFERROR(__xludf.DUMMYFUNCTION("""COMPUTED_VALUE"""),19419.0)</f>
        <v>19419</v>
      </c>
      <c r="E11">
        <f>IFERROR(__xludf.DUMMYFUNCTION("""COMPUTED_VALUE"""),1327.0)</f>
        <v>1327</v>
      </c>
      <c r="F11">
        <f>IFERROR(__xludf.DUMMYFUNCTION("""COMPUTED_VALUE"""),14.63)</f>
        <v>14.63</v>
      </c>
      <c r="G11">
        <f>IFERROR(__xludf.DUMMYFUNCTION("""COMPUTED_VALUE"""),6752.0)</f>
        <v>6752</v>
      </c>
      <c r="H11">
        <f>IFERROR(__xludf.DUMMYFUNCTION("""COMPUTED_VALUE"""),2221.0)</f>
        <v>2221</v>
      </c>
      <c r="I11">
        <f>IFERROR(__xludf.DUMMYFUNCTION("""COMPUTED_VALUE"""),3694.0)</f>
        <v>3694</v>
      </c>
    </row>
    <row r="12">
      <c r="A12">
        <f>IFERROR(__xludf.DUMMYFUNCTION("""COMPUTED_VALUE"""),61.0)</f>
        <v>61</v>
      </c>
      <c r="B12" t="str">
        <f>IFERROR(__xludf.DUMMYFUNCTION("""COMPUTED_VALUE"""),"Anthony Davis")</f>
        <v>Anthony Davis</v>
      </c>
      <c r="C12" t="str">
        <f>IFERROR(__xludf.DUMMYFUNCTION("""COMPUTED_VALUE"""),"Ailier fort")</f>
        <v>Ailier fort</v>
      </c>
      <c r="D12">
        <f>IFERROR(__xludf.DUMMYFUNCTION("""COMPUTED_VALUE"""),19383.0)</f>
        <v>19383</v>
      </c>
      <c r="E12">
        <f>IFERROR(__xludf.DUMMYFUNCTION("""COMPUTED_VALUE"""),807.0)</f>
        <v>807</v>
      </c>
      <c r="F12">
        <f>IFERROR(__xludf.DUMMYFUNCTION("""COMPUTED_VALUE"""),24.02)</f>
        <v>24.02</v>
      </c>
      <c r="G12">
        <f>IFERROR(__xludf.DUMMYFUNCTION("""COMPUTED_VALUE"""),7268.0)</f>
        <v>7268</v>
      </c>
      <c r="H12">
        <f>IFERROR(__xludf.DUMMYFUNCTION("""COMPUTED_VALUE"""),385.0)</f>
        <v>385</v>
      </c>
      <c r="I12">
        <f>IFERROR(__xludf.DUMMYFUNCTION("""COMPUTED_VALUE"""),4462.0)</f>
        <v>4462</v>
      </c>
      <c r="J12" t="str">
        <f>IFERROR(__xludf.DUMMYFUNCTION("""COMPUTED_VALUE"""),"^")</f>
        <v>^</v>
      </c>
    </row>
    <row r="13">
      <c r="A13">
        <f>IFERROR(__xludf.DUMMYFUNCTION("""COMPUTED_VALUE"""),62.0)</f>
        <v>62</v>
      </c>
      <c r="B13" t="str">
        <f>IFERROR(__xludf.DUMMYFUNCTION("""COMPUTED_VALUE"""),"Bob Lanier")</f>
        <v>Bob Lanier</v>
      </c>
      <c r="C13" t="str">
        <f>IFERROR(__xludf.DUMMYFUNCTION("""COMPUTED_VALUE"""),"Pivot")</f>
        <v>Pivot</v>
      </c>
      <c r="D13">
        <f>IFERROR(__xludf.DUMMYFUNCTION("""COMPUTED_VALUE"""),19248.0)</f>
        <v>19248</v>
      </c>
      <c r="E13">
        <f>IFERROR(__xludf.DUMMYFUNCTION("""COMPUTED_VALUE"""),959.0)</f>
        <v>959</v>
      </c>
      <c r="F13">
        <f>IFERROR(__xludf.DUMMYFUNCTION("""COMPUTED_VALUE"""),20.07)</f>
        <v>20.07</v>
      </c>
      <c r="G13">
        <f>IFERROR(__xludf.DUMMYFUNCTION("""COMPUTED_VALUE"""),7761.0)</f>
        <v>7761</v>
      </c>
      <c r="H13">
        <f>IFERROR(__xludf.DUMMYFUNCTION("""COMPUTED_VALUE"""),2.0)</f>
        <v>2</v>
      </c>
      <c r="I13">
        <f>IFERROR(__xludf.DUMMYFUNCTION("""COMPUTED_VALUE"""),3724.0)</f>
        <v>3724</v>
      </c>
      <c r="J13" t="str">
        <f>IFERROR(__xludf.DUMMYFUNCTION("""COMPUTED_VALUE"""),"*")</f>
        <v>*</v>
      </c>
    </row>
    <row r="14">
      <c r="A14">
        <f>IFERROR(__xludf.DUMMYFUNCTION("""COMPUTED_VALUE"""),63.0)</f>
        <v>63</v>
      </c>
      <c r="B14" t="str">
        <f>IFERROR(__xludf.DUMMYFUNCTION("""COMPUTED_VALUE"""),"Edward Arnet Johnson")</f>
        <v>Edward Arnet Johnson</v>
      </c>
      <c r="C14" t="str">
        <f>IFERROR(__xludf.DUMMYFUNCTION("""COMPUTED_VALUE"""),"Allier")</f>
        <v>Allier</v>
      </c>
      <c r="D14">
        <f>IFERROR(__xludf.DUMMYFUNCTION("""COMPUTED_VALUE"""),19202.0)</f>
        <v>19202</v>
      </c>
      <c r="E14">
        <f>IFERROR(__xludf.DUMMYFUNCTION("""COMPUTED_VALUE"""),1199.0)</f>
        <v>1199</v>
      </c>
      <c r="F14">
        <f>IFERROR(__xludf.DUMMYFUNCTION("""COMPUTED_VALUE"""),16.02)</f>
        <v>16.02</v>
      </c>
      <c r="G14">
        <f>IFERROR(__xludf.DUMMYFUNCTION("""COMPUTED_VALUE"""),7727.0)</f>
        <v>7727</v>
      </c>
      <c r="H14">
        <f>IFERROR(__xludf.DUMMYFUNCTION("""COMPUTED_VALUE"""),562.0)</f>
        <v>562</v>
      </c>
      <c r="I14">
        <f>IFERROR(__xludf.DUMMYFUNCTION("""COMPUTED_VALUE"""),3186.0)</f>
        <v>3186</v>
      </c>
    </row>
    <row r="15">
      <c r="A15">
        <f>IFERROR(__xludf.DUMMYFUNCTION("""COMPUTED_VALUE"""),64.0)</f>
        <v>64</v>
      </c>
      <c r="B15" t="str">
        <f>IFERROR(__xludf.DUMMYFUNCTION("""COMPUTED_VALUE"""),"Gail Goodrich")</f>
        <v>Gail Goodrich</v>
      </c>
      <c r="C15" t="str">
        <f>IFERROR(__xludf.DUMMYFUNCTION("""COMPUTED_VALUE"""),"Meneur")</f>
        <v>Meneur</v>
      </c>
      <c r="D15">
        <f>IFERROR(__xludf.DUMMYFUNCTION("""COMPUTED_VALUE"""),19181.0)</f>
        <v>19181</v>
      </c>
      <c r="E15">
        <f>IFERROR(__xludf.DUMMYFUNCTION("""COMPUTED_VALUE"""),1031.0)</f>
        <v>1031</v>
      </c>
      <c r="F15">
        <f>IFERROR(__xludf.DUMMYFUNCTION("""COMPUTED_VALUE"""),18.6)</f>
        <v>18.6</v>
      </c>
      <c r="G15">
        <f>IFERROR(__xludf.DUMMYFUNCTION("""COMPUTED_VALUE"""),7431.0)</f>
        <v>7431</v>
      </c>
      <c r="H15">
        <f>IFERROR(__xludf.DUMMYFUNCTION("""COMPUTED_VALUE"""),0.0)</f>
        <v>0</v>
      </c>
      <c r="I15">
        <f>IFERROR(__xludf.DUMMYFUNCTION("""COMPUTED_VALUE"""),4319.0)</f>
        <v>4319</v>
      </c>
      <c r="J15" t="str">
        <f>IFERROR(__xludf.DUMMYFUNCTION("""COMPUTED_VALUE"""),"*")</f>
        <v>*</v>
      </c>
    </row>
    <row r="16">
      <c r="A16">
        <f>IFERROR(__xludf.DUMMYFUNCTION("""COMPUTED_VALUE"""),65.0)</f>
        <v>65</v>
      </c>
      <c r="B16" t="str">
        <f>IFERROR(__xludf.DUMMYFUNCTION("""COMPUTED_VALUE"""),"Paul George")</f>
        <v>Paul George</v>
      </c>
      <c r="C16" t="str">
        <f>IFERROR(__xludf.DUMMYFUNCTION("""COMPUTED_VALUE"""),"Ailier")</f>
        <v>Ailier</v>
      </c>
      <c r="D16">
        <f>IFERROR(__xludf.DUMMYFUNCTION("""COMPUTED_VALUE"""),19128.0)</f>
        <v>19128</v>
      </c>
      <c r="E16">
        <f>IFERROR(__xludf.DUMMYFUNCTION("""COMPUTED_VALUE"""),935.0)</f>
        <v>935</v>
      </c>
      <c r="F16">
        <f>IFERROR(__xludf.DUMMYFUNCTION("""COMPUTED_VALUE"""),20.46)</f>
        <v>20.46</v>
      </c>
      <c r="G16">
        <f>IFERROR(__xludf.DUMMYFUNCTION("""COMPUTED_VALUE"""),6550.0)</f>
        <v>6550</v>
      </c>
      <c r="H16">
        <f>IFERROR(__xludf.DUMMYFUNCTION("""COMPUTED_VALUE"""),2415.0)</f>
        <v>2415</v>
      </c>
      <c r="I16">
        <f>IFERROR(__xludf.DUMMYFUNCTION("""COMPUTED_VALUE"""),3613.0)</f>
        <v>3613</v>
      </c>
      <c r="J16" t="str">
        <f>IFERROR(__xludf.DUMMYFUNCTION("""COMPUTED_VALUE"""),"^")</f>
        <v>^</v>
      </c>
    </row>
    <row r="17">
      <c r="A17">
        <f>IFERROR(__xludf.DUMMYFUNCTION("""COMPUTED_VALUE"""),66.0)</f>
        <v>66</v>
      </c>
      <c r="B17" t="str">
        <f>IFERROR(__xludf.DUMMYFUNCTION("""COMPUTED_VALUE"""),"Reggie Theus")</f>
        <v>Reggie Theus</v>
      </c>
      <c r="C17" t="str">
        <f>IFERROR(__xludf.DUMMYFUNCTION("""COMPUTED_VALUE"""),"Arrière")</f>
        <v>Arrière</v>
      </c>
      <c r="D17">
        <f>IFERROR(__xludf.DUMMYFUNCTION("""COMPUTED_VALUE"""),19015.0)</f>
        <v>19015</v>
      </c>
      <c r="E17">
        <f>IFERROR(__xludf.DUMMYFUNCTION("""COMPUTED_VALUE"""),1026.0)</f>
        <v>1026</v>
      </c>
      <c r="F17">
        <f>IFERROR(__xludf.DUMMYFUNCTION("""COMPUTED_VALUE"""),18.53)</f>
        <v>18.53</v>
      </c>
      <c r="G17">
        <f>IFERROR(__xludf.DUMMYFUNCTION("""COMPUTED_VALUE"""),7057.0)</f>
        <v>7057</v>
      </c>
      <c r="H17">
        <f>IFERROR(__xludf.DUMMYFUNCTION("""COMPUTED_VALUE"""),238.0)</f>
        <v>238</v>
      </c>
      <c r="I17">
        <f>IFERROR(__xludf.DUMMYFUNCTION("""COMPUTED_VALUE"""),4663.0)</f>
        <v>4663</v>
      </c>
    </row>
    <row r="18">
      <c r="A18">
        <f>IFERROR(__xludf.DUMMYFUNCTION("""COMPUTED_VALUE"""),67.0)</f>
        <v>67</v>
      </c>
      <c r="B18" t="str">
        <f>IFERROR(__xludf.DUMMYFUNCTION("""COMPUTED_VALUE"""),"Dale Ellis")</f>
        <v>Dale Ellis</v>
      </c>
      <c r="C18" t="str">
        <f>IFERROR(__xludf.DUMMYFUNCTION("""COMPUTED_VALUE"""),"Arrière")</f>
        <v>Arrière</v>
      </c>
      <c r="D18">
        <f>IFERROR(__xludf.DUMMYFUNCTION("""COMPUTED_VALUE"""),19004.0)</f>
        <v>19004</v>
      </c>
      <c r="E18">
        <f>IFERROR(__xludf.DUMMYFUNCTION("""COMPUTED_VALUE"""),1209.0)</f>
        <v>1209</v>
      </c>
      <c r="F18">
        <f>IFERROR(__xludf.DUMMYFUNCTION("""COMPUTED_VALUE"""),15.72)</f>
        <v>15.72</v>
      </c>
      <c r="G18">
        <f>IFERROR(__xludf.DUMMYFUNCTION("""COMPUTED_VALUE"""),7323.0)</f>
        <v>7323</v>
      </c>
      <c r="H18">
        <f>IFERROR(__xludf.DUMMYFUNCTION("""COMPUTED_VALUE"""),1719.0)</f>
        <v>1719</v>
      </c>
      <c r="I18">
        <f>IFERROR(__xludf.DUMMYFUNCTION("""COMPUTED_VALUE"""),2639.0)</f>
        <v>2639</v>
      </c>
    </row>
    <row r="19">
      <c r="A19">
        <f>IFERROR(__xludf.DUMMYFUNCTION("""COMPUTED_VALUE"""),68.0)</f>
        <v>68</v>
      </c>
      <c r="B19" t="str">
        <f>IFERROR(__xludf.DUMMYFUNCTION("""COMPUTED_VALUE"""),"Scottie Pippen")</f>
        <v>Scottie Pippen</v>
      </c>
      <c r="C19" t="str">
        <f>IFERROR(__xludf.DUMMYFUNCTION("""COMPUTED_VALUE"""),"Ailier")</f>
        <v>Ailier</v>
      </c>
      <c r="D19">
        <f>IFERROR(__xludf.DUMMYFUNCTION("""COMPUTED_VALUE"""),18940.0)</f>
        <v>18940</v>
      </c>
      <c r="E19">
        <f>IFERROR(__xludf.DUMMYFUNCTION("""COMPUTED_VALUE"""),1178.0)</f>
        <v>1178</v>
      </c>
      <c r="F19">
        <f>IFERROR(__xludf.DUMMYFUNCTION("""COMPUTED_VALUE"""),16.08)</f>
        <v>16.08</v>
      </c>
      <c r="G19">
        <f>IFERROR(__xludf.DUMMYFUNCTION("""COMPUTED_VALUE"""),7420.0)</f>
        <v>7420</v>
      </c>
      <c r="H19">
        <f>IFERROR(__xludf.DUMMYFUNCTION("""COMPUTED_VALUE"""),978.0)</f>
        <v>978</v>
      </c>
      <c r="I19">
        <f>IFERROR(__xludf.DUMMYFUNCTION("""COMPUTED_VALUE"""),3122.0)</f>
        <v>3122</v>
      </c>
      <c r="J19" t="str">
        <f>IFERROR(__xludf.DUMMYFUNCTION("""COMPUTED_VALUE"""),"*")</f>
        <v>*</v>
      </c>
    </row>
    <row r="20">
      <c r="A20">
        <f>IFERROR(__xludf.DUMMYFUNCTION("""COMPUTED_VALUE"""),69.0)</f>
        <v>69</v>
      </c>
      <c r="B20" t="str">
        <f>IFERROR(__xludf.DUMMYFUNCTION("""COMPUTED_VALUE"""),"Jason Terry")</f>
        <v>Jason Terry</v>
      </c>
      <c r="C20" t="str">
        <f>IFERROR(__xludf.DUMMYFUNCTION("""COMPUTED_VALUE"""),"Arrière")</f>
        <v>Arrière</v>
      </c>
      <c r="D20">
        <f>IFERROR(__xludf.DUMMYFUNCTION("""COMPUTED_VALUE"""),18879.0)</f>
        <v>18879</v>
      </c>
      <c r="E20">
        <f>IFERROR(__xludf.DUMMYFUNCTION("""COMPUTED_VALUE"""),1408.0)</f>
        <v>1408</v>
      </c>
      <c r="F20">
        <f>IFERROR(__xludf.DUMMYFUNCTION("""COMPUTED_VALUE"""),13.41)</f>
        <v>13.41</v>
      </c>
      <c r="G20">
        <f>IFERROR(__xludf.DUMMYFUNCTION("""COMPUTED_VALUE"""),6913.0)</f>
        <v>6913</v>
      </c>
      <c r="H20">
        <f>IFERROR(__xludf.DUMMYFUNCTION("""COMPUTED_VALUE"""),2282.0)</f>
        <v>2282</v>
      </c>
      <c r="I20">
        <f>IFERROR(__xludf.DUMMYFUNCTION("""COMPUTED_VALUE"""),2771.0)</f>
        <v>2771</v>
      </c>
    </row>
    <row r="21">
      <c r="A21">
        <f>IFERROR(__xludf.DUMMYFUNCTION("""COMPUTED_VALUE"""),70.0)</f>
        <v>70</v>
      </c>
      <c r="B21" t="str">
        <f>IFERROR(__xludf.DUMMYFUNCTION("""COMPUTED_VALUE"""),"Chet Walker")</f>
        <v>Chet Walker</v>
      </c>
      <c r="C21" t="str">
        <f>IFERROR(__xludf.DUMMYFUNCTION("""COMPUTED_VALUE"""),"Ailier")</f>
        <v>Ailier</v>
      </c>
      <c r="D21">
        <f>IFERROR(__xludf.DUMMYFUNCTION("""COMPUTED_VALUE"""),18831.0)</f>
        <v>18831</v>
      </c>
      <c r="E21">
        <f>IFERROR(__xludf.DUMMYFUNCTION("""COMPUTED_VALUE"""),1032.0)</f>
        <v>1032</v>
      </c>
      <c r="F21">
        <f>IFERROR(__xludf.DUMMYFUNCTION("""COMPUTED_VALUE"""),18.25)</f>
        <v>18.25</v>
      </c>
      <c r="G21">
        <f>IFERROR(__xludf.DUMMYFUNCTION("""COMPUTED_VALUE"""),6876.0)</f>
        <v>6876</v>
      </c>
      <c r="H21">
        <f>IFERROR(__xludf.DUMMYFUNCTION("""COMPUTED_VALUE"""),0.0)</f>
        <v>0</v>
      </c>
      <c r="I21">
        <f>IFERROR(__xludf.DUMMYFUNCTION("""COMPUTED_VALUE"""),5079.0)</f>
        <v>5079</v>
      </c>
      <c r="J21" t="str">
        <f>IFERROR(__xludf.DUMMYFUNCTION("""COMPUTED_VALUE"""),"*")</f>
        <v>*</v>
      </c>
    </row>
    <row r="22">
      <c r="A22">
        <f>IFERROR(__xludf.DUMMYFUNCTION("""COMPUTED_VALUE"""),71.0)</f>
        <v>71</v>
      </c>
      <c r="B22" t="str">
        <f>IFERROR(__xludf.DUMMYFUNCTION("""COMPUTED_VALUE"""),"Isiah Thomas")</f>
        <v>Isiah Thomas</v>
      </c>
      <c r="C22" t="str">
        <f>IFERROR(__xludf.DUMMYFUNCTION("""COMPUTED_VALUE"""),"Meneur")</f>
        <v>Meneur</v>
      </c>
      <c r="D22">
        <f>IFERROR(__xludf.DUMMYFUNCTION("""COMPUTED_VALUE"""),18822.0)</f>
        <v>18822</v>
      </c>
      <c r="E22">
        <f>IFERROR(__xludf.DUMMYFUNCTION("""COMPUTED_VALUE"""),979.0)</f>
        <v>979</v>
      </c>
      <c r="F22">
        <f>IFERROR(__xludf.DUMMYFUNCTION("""COMPUTED_VALUE"""),19.23)</f>
        <v>19.23</v>
      </c>
      <c r="G22">
        <f>IFERROR(__xludf.DUMMYFUNCTION("""COMPUTED_VALUE"""),7194.0)</f>
        <v>7194</v>
      </c>
      <c r="H22">
        <f>IFERROR(__xludf.DUMMYFUNCTION("""COMPUTED_VALUE"""),398.0)</f>
        <v>398</v>
      </c>
      <c r="I22">
        <f>IFERROR(__xludf.DUMMYFUNCTION("""COMPUTED_VALUE"""),4036.0)</f>
        <v>4036</v>
      </c>
      <c r="J22" t="str">
        <f>IFERROR(__xludf.DUMMYFUNCTION("""COMPUTED_VALUE"""),"*")</f>
        <v>*</v>
      </c>
    </row>
    <row r="23">
      <c r="A23">
        <f>IFERROR(__xludf.DUMMYFUNCTION("""COMPUTED_VALUE"""),72.0)</f>
        <v>72</v>
      </c>
      <c r="B23" t="str">
        <f>IFERROR(__xludf.DUMMYFUNCTION("""COMPUTED_VALUE"""),"Bob McAdoo")</f>
        <v>Bob McAdoo</v>
      </c>
      <c r="C23" t="str">
        <f>IFERROR(__xludf.DUMMYFUNCTION("""COMPUTED_VALUE"""),"Ailier fort")</f>
        <v>Ailier fort</v>
      </c>
      <c r="D23">
        <f>IFERROR(__xludf.DUMMYFUNCTION("""COMPUTED_VALUE"""),18787.0)</f>
        <v>18787</v>
      </c>
      <c r="E23">
        <f>IFERROR(__xludf.DUMMYFUNCTION("""COMPUTED_VALUE"""),852.0)</f>
        <v>852</v>
      </c>
      <c r="F23">
        <f>IFERROR(__xludf.DUMMYFUNCTION("""COMPUTED_VALUE"""),22.05)</f>
        <v>22.05</v>
      </c>
      <c r="G23">
        <f>IFERROR(__xludf.DUMMYFUNCTION("""COMPUTED_VALUE"""),7420.0)</f>
        <v>7420</v>
      </c>
      <c r="H23">
        <f>IFERROR(__xludf.DUMMYFUNCTION("""COMPUTED_VALUE"""),3.0)</f>
        <v>3</v>
      </c>
      <c r="I23">
        <f>IFERROR(__xludf.DUMMYFUNCTION("""COMPUTED_VALUE"""),3944.0)</f>
        <v>3944</v>
      </c>
      <c r="J23" t="str">
        <f>IFERROR(__xludf.DUMMYFUNCTION("""COMPUTED_VALUE"""),"*")</f>
        <v>*</v>
      </c>
    </row>
    <row r="24">
      <c r="A24">
        <f>IFERROR(__xludf.DUMMYFUNCTION("""COMPUTED_VALUE"""),73.0)</f>
        <v>73</v>
      </c>
      <c r="B24" t="str">
        <f>IFERROR(__xludf.DUMMYFUNCTION("""COMPUTED_VALUE"""),"Zach Randolph")</f>
        <v>Zach Randolph</v>
      </c>
      <c r="C24" t="str">
        <f>IFERROR(__xludf.DUMMYFUNCTION("""COMPUTED_VALUE"""),"Ailier fort")</f>
        <v>Ailier fort</v>
      </c>
      <c r="D24">
        <f>IFERROR(__xludf.DUMMYFUNCTION("""COMPUTED_VALUE"""),18578.0)</f>
        <v>18578</v>
      </c>
      <c r="E24">
        <f>IFERROR(__xludf.DUMMYFUNCTION("""COMPUTED_VALUE"""),1116.0)</f>
        <v>1116</v>
      </c>
      <c r="F24">
        <f>IFERROR(__xludf.DUMMYFUNCTION("""COMPUTED_VALUE"""),16.65)</f>
        <v>16.65</v>
      </c>
      <c r="G24">
        <f>IFERROR(__xludf.DUMMYFUNCTION("""COMPUTED_VALUE"""),7436.0)</f>
        <v>7436</v>
      </c>
      <c r="H24">
        <f>IFERROR(__xludf.DUMMYFUNCTION("""COMPUTED_VALUE"""),199.0)</f>
        <v>199</v>
      </c>
      <c r="I24">
        <f>IFERROR(__xludf.DUMMYFUNCTION("""COMPUTED_VALUE"""),3507.0)</f>
        <v>3507</v>
      </c>
      <c r="J24" t="str">
        <f>IFERROR(__xludf.DUMMYFUNCTION("""COMPUTED_VALUE"""),"°")</f>
        <v>°</v>
      </c>
    </row>
    <row r="25">
      <c r="A25">
        <f>IFERROR(__xludf.DUMMYFUNCTION("""COMPUTED_VALUE"""),74.0)</f>
        <v>74</v>
      </c>
      <c r="B25" t="str">
        <f>IFERROR(__xludf.DUMMYFUNCTION("""COMPUTED_VALUE"""),"Mark Aguirre")</f>
        <v>Mark Aguirre</v>
      </c>
      <c r="C25" t="str">
        <f>IFERROR(__xludf.DUMMYFUNCTION("""COMPUTED_VALUE"""),"Ailier")</f>
        <v>Ailier</v>
      </c>
      <c r="D25">
        <f>IFERROR(__xludf.DUMMYFUNCTION("""COMPUTED_VALUE"""),18458.0)</f>
        <v>18458</v>
      </c>
      <c r="E25">
        <f>IFERROR(__xludf.DUMMYFUNCTION("""COMPUTED_VALUE"""),923.0)</f>
        <v>923</v>
      </c>
      <c r="F25">
        <f>IFERROR(__xludf.DUMMYFUNCTION("""COMPUTED_VALUE"""),20.0)</f>
        <v>20</v>
      </c>
      <c r="G25">
        <f>IFERROR(__xludf.DUMMYFUNCTION("""COMPUTED_VALUE"""),7201.0)</f>
        <v>7201</v>
      </c>
      <c r="H25">
        <f>IFERROR(__xludf.DUMMYFUNCTION("""COMPUTED_VALUE"""),1258.0)</f>
        <v>1258</v>
      </c>
      <c r="I25">
        <f>IFERROR(__xludf.DUMMYFUNCTION("""COMPUTED_VALUE"""),3664.0)</f>
        <v>3664</v>
      </c>
    </row>
    <row r="26">
      <c r="A26">
        <f>IFERROR(__xludf.DUMMYFUNCTION("""COMPUTED_VALUE"""),75.0)</f>
        <v>75</v>
      </c>
      <c r="B26" t="str">
        <f>IFERROR(__xludf.DUMMYFUNCTION("""COMPUTED_VALUE"""),"Dolph Schayes")</f>
        <v>Dolph Schayes</v>
      </c>
      <c r="C26" t="str">
        <f>IFERROR(__xludf.DUMMYFUNCTION("""COMPUTED_VALUE"""),"Ailier fort")</f>
        <v>Ailier fort</v>
      </c>
      <c r="D26">
        <f>IFERROR(__xludf.DUMMYFUNCTION("""COMPUTED_VALUE"""),18438.0)</f>
        <v>18438</v>
      </c>
      <c r="E26">
        <f>IFERROR(__xludf.DUMMYFUNCTION("""COMPUTED_VALUE"""),996.0)</f>
        <v>996</v>
      </c>
      <c r="F26">
        <f>IFERROR(__xludf.DUMMYFUNCTION("""COMPUTED_VALUE"""),18.51)</f>
        <v>18.51</v>
      </c>
      <c r="G26">
        <f>IFERROR(__xludf.DUMMYFUNCTION("""COMPUTED_VALUE"""),5863.0)</f>
        <v>5863</v>
      </c>
      <c r="I26">
        <f>IFERROR(__xludf.DUMMYFUNCTION("""COMPUTED_VALUE"""),6712.0)</f>
        <v>6712</v>
      </c>
      <c r="J26" t="str">
        <f>IFERROR(__xludf.DUMMYFUNCTION("""COMPUTED_VALUE"""),"*")</f>
        <v>*</v>
      </c>
    </row>
    <row r="27">
      <c r="A27">
        <f>IFERROR(__xludf.DUMMYFUNCTION("""COMPUTED_VALUE"""),76.0)</f>
        <v>76</v>
      </c>
      <c r="B27" t="str">
        <f>IFERROR(__xludf.DUMMYFUNCTION("""COMPUTED_VALUE"""),"Kyrie Irving")</f>
        <v>Kyrie Irving</v>
      </c>
      <c r="C27" t="str">
        <f>IFERROR(__xludf.DUMMYFUNCTION("""COMPUTED_VALUE"""),"Meneur")</f>
        <v>Meneur</v>
      </c>
      <c r="D27">
        <f>IFERROR(__xludf.DUMMYFUNCTION("""COMPUTED_VALUE"""),18433.0)</f>
        <v>18433</v>
      </c>
      <c r="E27">
        <f>IFERROR(__xludf.DUMMYFUNCTION("""COMPUTED_VALUE"""),779.0)</f>
        <v>779</v>
      </c>
      <c r="F27">
        <f>IFERROR(__xludf.DUMMYFUNCTION("""COMPUTED_VALUE"""),23.66)</f>
        <v>23.66</v>
      </c>
      <c r="G27">
        <f>IFERROR(__xludf.DUMMYFUNCTION("""COMPUTED_VALUE"""),6787.0)</f>
        <v>6787</v>
      </c>
      <c r="H27">
        <f>IFERROR(__xludf.DUMMYFUNCTION("""COMPUTED_VALUE"""),1876.0)</f>
        <v>1876</v>
      </c>
      <c r="I27">
        <f>IFERROR(__xludf.DUMMYFUNCTION("""COMPUTED_VALUE"""),2983.0)</f>
        <v>2983</v>
      </c>
      <c r="J27" t="str">
        <f>IFERROR(__xludf.DUMMYFUNCTION("""COMPUTED_VALUE"""),"^")</f>
        <v>^</v>
      </c>
    </row>
    <row r="28">
      <c r="A28">
        <f>IFERROR(__xludf.DUMMYFUNCTION("""COMPUTED_VALUE"""),77.0)</f>
        <v>77</v>
      </c>
      <c r="B28" t="str">
        <f>IFERROR(__xludf.DUMMYFUNCTION("""COMPUTED_VALUE"""),"Rick Barry")</f>
        <v>Rick Barry</v>
      </c>
      <c r="C28" t="str">
        <f>IFERROR(__xludf.DUMMYFUNCTION("""COMPUTED_VALUE"""),"Ailier")</f>
        <v>Ailier</v>
      </c>
      <c r="D28">
        <f>IFERROR(__xludf.DUMMYFUNCTION("""COMPUTED_VALUE"""),18395.0)</f>
        <v>18395</v>
      </c>
      <c r="E28">
        <f>IFERROR(__xludf.DUMMYFUNCTION("""COMPUTED_VALUE"""),1020.0)</f>
        <v>1020</v>
      </c>
      <c r="F28">
        <f>IFERROR(__xludf.DUMMYFUNCTION("""COMPUTED_VALUE"""),18.03)</f>
        <v>18.03</v>
      </c>
      <c r="G28">
        <f>IFERROR(__xludf.DUMMYFUNCTION("""COMPUTED_VALUE"""),7252.0)</f>
        <v>7252</v>
      </c>
      <c r="H28">
        <f>IFERROR(__xludf.DUMMYFUNCTION("""COMPUTED_VALUE"""),176.0)</f>
        <v>176</v>
      </c>
      <c r="I28">
        <f>IFERROR(__xludf.DUMMYFUNCTION("""COMPUTED_VALUE"""),3818.0)</f>
        <v>3818</v>
      </c>
      <c r="J28" t="str">
        <f>IFERROR(__xludf.DUMMYFUNCTION("""COMPUTED_VALUE"""),"*")</f>
        <v>*</v>
      </c>
    </row>
    <row r="29">
      <c r="A29">
        <f>IFERROR(__xludf.DUMMYFUNCTION("""COMPUTED_VALUE"""),78.0)</f>
        <v>78</v>
      </c>
      <c r="B29" t="str">
        <f>IFERROR(__xludf.DUMMYFUNCTION("""COMPUTED_VALUE"""),"Tracy McGrady")</f>
        <v>Tracy McGrady</v>
      </c>
      <c r="C29" t="str">
        <f>IFERROR(__xludf.DUMMYFUNCTION("""COMPUTED_VALUE"""),"Arrière")</f>
        <v>Arrière</v>
      </c>
      <c r="D29">
        <f>IFERROR(__xludf.DUMMYFUNCTION("""COMPUTED_VALUE"""),18381.0)</f>
        <v>18381</v>
      </c>
      <c r="E29">
        <f>IFERROR(__xludf.DUMMYFUNCTION("""COMPUTED_VALUE"""),938.0)</f>
        <v>938</v>
      </c>
      <c r="F29">
        <f>IFERROR(__xludf.DUMMYFUNCTION("""COMPUTED_VALUE"""),19.6)</f>
        <v>19.6</v>
      </c>
      <c r="G29">
        <f>IFERROR(__xludf.DUMMYFUNCTION("""COMPUTED_VALUE"""),6709.0)</f>
        <v>6709</v>
      </c>
      <c r="H29">
        <f>IFERROR(__xludf.DUMMYFUNCTION("""COMPUTED_VALUE"""),1081.0)</f>
        <v>1081</v>
      </c>
      <c r="I29">
        <f>IFERROR(__xludf.DUMMYFUNCTION("""COMPUTED_VALUE"""),3882.0)</f>
        <v>3882</v>
      </c>
      <c r="J29" t="str">
        <f>IFERROR(__xludf.DUMMYFUNCTION("""COMPUTED_VALUE"""),"*")</f>
        <v>*</v>
      </c>
    </row>
    <row r="30">
      <c r="A30">
        <f>IFERROR(__xludf.DUMMYFUNCTION("""COMPUTED_VALUE"""),79.0)</f>
        <v>79</v>
      </c>
      <c r="B30" t="str">
        <f>IFERROR(__xludf.DUMMYFUNCTION("""COMPUTED_VALUE"""),"Julius Erving")</f>
        <v>Julius Erving</v>
      </c>
      <c r="C30" t="str">
        <f>IFERROR(__xludf.DUMMYFUNCTION("""COMPUTED_VALUE"""),"Ailier")</f>
        <v>Ailier</v>
      </c>
      <c r="D30">
        <f>IFERROR(__xludf.DUMMYFUNCTION("""COMPUTED_VALUE"""),18364.0)</f>
        <v>18364</v>
      </c>
      <c r="E30">
        <f>IFERROR(__xludf.DUMMYFUNCTION("""COMPUTED_VALUE"""),836.0)</f>
        <v>836</v>
      </c>
      <c r="F30">
        <f>IFERROR(__xludf.DUMMYFUNCTION("""COMPUTED_VALUE"""),21.97)</f>
        <v>21.97</v>
      </c>
      <c r="G30">
        <f>IFERROR(__xludf.DUMMYFUNCTION("""COMPUTED_VALUE"""),7237.0)</f>
        <v>7237</v>
      </c>
      <c r="H30">
        <f>IFERROR(__xludf.DUMMYFUNCTION("""COMPUTED_VALUE"""),46.0)</f>
        <v>46</v>
      </c>
      <c r="I30">
        <f>IFERROR(__xludf.DUMMYFUNCTION("""COMPUTED_VALUE"""),3844.0)</f>
        <v>3844</v>
      </c>
      <c r="J30" t="str">
        <f>IFERROR(__xludf.DUMMYFUNCTION("""COMPUTED_VALUE"""),"*")</f>
        <v>*</v>
      </c>
    </row>
    <row r="31">
      <c r="A31">
        <f>IFERROR(__xludf.DUMMYFUNCTION("""COMPUTED_VALUE"""),80.0)</f>
        <v>80</v>
      </c>
      <c r="B31" t="str">
        <f>IFERROR(__xludf.DUMMYFUNCTION("""COMPUTED_VALUE"""),"Glen Rice")</f>
        <v>Glen Rice</v>
      </c>
      <c r="C31" t="str">
        <f>IFERROR(__xludf.DUMMYFUNCTION("""COMPUTED_VALUE"""),"Ailier")</f>
        <v>Ailier</v>
      </c>
      <c r="D31">
        <f>IFERROR(__xludf.DUMMYFUNCTION("""COMPUTED_VALUE"""),18336.0)</f>
        <v>18336</v>
      </c>
      <c r="E31">
        <f>IFERROR(__xludf.DUMMYFUNCTION("""COMPUTED_VALUE"""),1000.0)</f>
        <v>1000</v>
      </c>
      <c r="F31">
        <f>IFERROR(__xludf.DUMMYFUNCTION("""COMPUTED_VALUE"""),18.34)</f>
        <v>18.34</v>
      </c>
      <c r="G31">
        <f>IFERROR(__xludf.DUMMYFUNCTION("""COMPUTED_VALUE"""),6776.0)</f>
        <v>6776</v>
      </c>
      <c r="H31">
        <f>IFERROR(__xludf.DUMMYFUNCTION("""COMPUTED_VALUE"""),1559.0)</f>
        <v>1559</v>
      </c>
      <c r="I31">
        <f>IFERROR(__xludf.DUMMYFUNCTION("""COMPUTED_VALUE"""),3225.0)</f>
        <v>3225</v>
      </c>
    </row>
    <row r="32">
      <c r="A32">
        <f>IFERROR(__xludf.DUMMYFUNCTION("""COMPUTED_VALUE"""),81.0)</f>
        <v>81</v>
      </c>
      <c r="B32" t="str">
        <f>IFERROR(__xludf.DUMMYFUNCTION("""COMPUTED_VALUE"""),"Dave Bing")</f>
        <v>Dave Bing</v>
      </c>
      <c r="C32" t="str">
        <f>IFERROR(__xludf.DUMMYFUNCTION("""COMPUTED_VALUE"""),"Arrière")</f>
        <v>Arrière</v>
      </c>
      <c r="D32">
        <f>IFERROR(__xludf.DUMMYFUNCTION("""COMPUTED_VALUE"""),18327.0)</f>
        <v>18327</v>
      </c>
      <c r="E32">
        <f>IFERROR(__xludf.DUMMYFUNCTION("""COMPUTED_VALUE"""),901.0)</f>
        <v>901</v>
      </c>
      <c r="F32">
        <f>IFERROR(__xludf.DUMMYFUNCTION("""COMPUTED_VALUE"""),20.34)</f>
        <v>20.34</v>
      </c>
      <c r="G32">
        <f>IFERROR(__xludf.DUMMYFUNCTION("""COMPUTED_VALUE"""),6962.0)</f>
        <v>6962</v>
      </c>
      <c r="I32">
        <f>IFERROR(__xludf.DUMMYFUNCTION("""COMPUTED_VALUE"""),4403.0)</f>
        <v>4403</v>
      </c>
      <c r="J32" t="str">
        <f>IFERROR(__xludf.DUMMYFUNCTION("""COMPUTED_VALUE"""),"*")</f>
        <v>*</v>
      </c>
    </row>
    <row r="33">
      <c r="A33">
        <f>IFERROR(__xludf.DUMMYFUNCTION("""COMPUTED_VALUE"""),82.0)</f>
        <v>82</v>
      </c>
      <c r="B33" t="str">
        <f>IFERROR(__xludf.DUMMYFUNCTION("""COMPUTED_VALUE"""),"World B. Free[Note 2]")</f>
        <v>World B. Free[Note 2]</v>
      </c>
      <c r="C33" t="str">
        <f>IFERROR(__xludf.DUMMYFUNCTION("""COMPUTED_VALUE"""),"Meneur")</f>
        <v>Meneur</v>
      </c>
      <c r="D33">
        <f>IFERROR(__xludf.DUMMYFUNCTION("""COMPUTED_VALUE"""),17955.0)</f>
        <v>17955</v>
      </c>
      <c r="E33">
        <f>IFERROR(__xludf.DUMMYFUNCTION("""COMPUTED_VALUE"""),886.0)</f>
        <v>886</v>
      </c>
      <c r="F33">
        <f>IFERROR(__xludf.DUMMYFUNCTION("""COMPUTED_VALUE"""),20.27)</f>
        <v>20.27</v>
      </c>
      <c r="G33">
        <f>IFERROR(__xludf.DUMMYFUNCTION("""COMPUTED_VALUE"""),6512.0)</f>
        <v>6512</v>
      </c>
      <c r="H33">
        <f>IFERROR(__xludf.DUMMYFUNCTION("""COMPUTED_VALUE"""),213.0)</f>
        <v>213</v>
      </c>
      <c r="I33">
        <f>IFERROR(__xludf.DUMMYFUNCTION("""COMPUTED_VALUE"""),4718.0)</f>
        <v>4718</v>
      </c>
    </row>
    <row r="34">
      <c r="A34">
        <f>IFERROR(__xludf.DUMMYFUNCTION("""COMPUTED_VALUE"""),83.0)</f>
        <v>83</v>
      </c>
      <c r="B34" t="str">
        <f>IFERROR(__xludf.DUMMYFUNCTION("""COMPUTED_VALUE"""),"Calvin Murphy")</f>
        <v>Calvin Murphy</v>
      </c>
      <c r="C34" t="str">
        <f>IFERROR(__xludf.DUMMYFUNCTION("""COMPUTED_VALUE"""),"Meneur")</f>
        <v>Meneur</v>
      </c>
      <c r="D34">
        <f>IFERROR(__xludf.DUMMYFUNCTION("""COMPUTED_VALUE"""),17949.0)</f>
        <v>17949</v>
      </c>
      <c r="E34">
        <f>IFERROR(__xludf.DUMMYFUNCTION("""COMPUTED_VALUE"""),1002.0)</f>
        <v>1002</v>
      </c>
      <c r="F34">
        <f>IFERROR(__xludf.DUMMYFUNCTION("""COMPUTED_VALUE"""),17.91)</f>
        <v>17.91</v>
      </c>
      <c r="G34">
        <f>IFERROR(__xludf.DUMMYFUNCTION("""COMPUTED_VALUE"""),7247.0)</f>
        <v>7247</v>
      </c>
      <c r="H34">
        <f>IFERROR(__xludf.DUMMYFUNCTION("""COMPUTED_VALUE"""),10.0)</f>
        <v>10</v>
      </c>
      <c r="I34">
        <f>IFERROR(__xludf.DUMMYFUNCTION("""COMPUTED_VALUE"""),3445.0)</f>
        <v>3445</v>
      </c>
      <c r="J34" t="str">
        <f>IFERROR(__xludf.DUMMYFUNCTION("""COMPUTED_VALUE"""),"*")</f>
        <v>*</v>
      </c>
    </row>
    <row r="35">
      <c r="A35">
        <f>IFERROR(__xludf.DUMMYFUNCTION("""COMPUTED_VALUE"""),84.0)</f>
        <v>84</v>
      </c>
      <c r="B35" t="str">
        <f>IFERROR(__xludf.DUMMYFUNCTION("""COMPUTED_VALUE"""),"Lou Hudson")</f>
        <v>Lou Hudson</v>
      </c>
      <c r="C35" t="str">
        <f>IFERROR(__xludf.DUMMYFUNCTION("""COMPUTED_VALUE"""),"Arrière")</f>
        <v>Arrière</v>
      </c>
      <c r="D35">
        <f>IFERROR(__xludf.DUMMYFUNCTION("""COMPUTED_VALUE"""),17940.0)</f>
        <v>17940</v>
      </c>
      <c r="E35">
        <f>IFERROR(__xludf.DUMMYFUNCTION("""COMPUTED_VALUE"""),890.0)</f>
        <v>890</v>
      </c>
      <c r="F35">
        <f>IFERROR(__xludf.DUMMYFUNCTION("""COMPUTED_VALUE"""),20.16)</f>
        <v>20.16</v>
      </c>
      <c r="G35">
        <f>IFERROR(__xludf.DUMMYFUNCTION("""COMPUTED_VALUE"""),7392.0)</f>
        <v>7392</v>
      </c>
      <c r="I35">
        <f>IFERROR(__xludf.DUMMYFUNCTION("""COMPUTED_VALUE"""),3156.0)</f>
        <v>3156</v>
      </c>
    </row>
    <row r="36">
      <c r="A36">
        <f>IFERROR(__xludf.DUMMYFUNCTION("""COMPUTED_VALUE"""),85.0)</f>
        <v>85</v>
      </c>
      <c r="B36" t="str">
        <f>IFERROR(__xludf.DUMMYFUNCTION("""COMPUTED_VALUE"""),"Chris Mullin")</f>
        <v>Chris Mullin</v>
      </c>
      <c r="C36" t="str">
        <f>IFERROR(__xludf.DUMMYFUNCTION("""COMPUTED_VALUE"""),"Ailier")</f>
        <v>Ailier</v>
      </c>
      <c r="D36">
        <f>IFERROR(__xludf.DUMMYFUNCTION("""COMPUTED_VALUE"""),17911.0)</f>
        <v>17911</v>
      </c>
      <c r="E36">
        <f>IFERROR(__xludf.DUMMYFUNCTION("""COMPUTED_VALUE"""),986.0)</f>
        <v>986</v>
      </c>
      <c r="F36">
        <f>IFERROR(__xludf.DUMMYFUNCTION("""COMPUTED_VALUE"""),18.17)</f>
        <v>18.17</v>
      </c>
      <c r="G36">
        <f>IFERROR(__xludf.DUMMYFUNCTION("""COMPUTED_VALUE"""),6740.0)</f>
        <v>6740</v>
      </c>
      <c r="H36">
        <f>IFERROR(__xludf.DUMMYFUNCTION("""COMPUTED_VALUE"""),815.0)</f>
        <v>815</v>
      </c>
      <c r="I36">
        <f>IFERROR(__xludf.DUMMYFUNCTION("""COMPUTED_VALUE"""),3616.0)</f>
        <v>3616</v>
      </c>
      <c r="J36" t="str">
        <f>IFERROR(__xludf.DUMMYFUNCTION("""COMPUTED_VALUE"""),"*")</f>
        <v>*</v>
      </c>
    </row>
    <row r="37">
      <c r="A37">
        <f>IFERROR(__xludf.DUMMYFUNCTION("""COMPUTED_VALUE"""),86.0)</f>
        <v>86</v>
      </c>
      <c r="B37" t="str">
        <f>IFERROR(__xludf.DUMMYFUNCTION("""COMPUTED_VALUE"""),"Brook Lopez")</f>
        <v>Brook Lopez</v>
      </c>
      <c r="C37" t="str">
        <f>IFERROR(__xludf.DUMMYFUNCTION("""COMPUTED_VALUE"""),"Pivot")</f>
        <v>Pivot</v>
      </c>
      <c r="D37">
        <f>IFERROR(__xludf.DUMMYFUNCTION("""COMPUTED_VALUE"""),17837.0)</f>
        <v>17837</v>
      </c>
      <c r="E37">
        <f>IFERROR(__xludf.DUMMYFUNCTION("""COMPUTED_VALUE"""),1152.0)</f>
        <v>1152</v>
      </c>
      <c r="F37">
        <f>IFERROR(__xludf.DUMMYFUNCTION("""COMPUTED_VALUE"""),15.5)</f>
        <v>15.5</v>
      </c>
      <c r="G37">
        <f>IFERROR(__xludf.DUMMYFUNCTION("""COMPUTED_VALUE"""),6791.0)</f>
        <v>6791</v>
      </c>
      <c r="H37">
        <f>IFERROR(__xludf.DUMMYFUNCTION("""COMPUTED_VALUE"""),1144.0)</f>
        <v>1144</v>
      </c>
      <c r="I37">
        <f>IFERROR(__xludf.DUMMYFUNCTION("""COMPUTED_VALUE"""),3111.0)</f>
        <v>3111</v>
      </c>
      <c r="J37" t="str">
        <f>IFERROR(__xludf.DUMMYFUNCTION("""COMPUTED_VALUE"""),"^")</f>
        <v>^</v>
      </c>
    </row>
    <row r="38">
      <c r="A38">
        <f>IFERROR(__xludf.DUMMYFUNCTION("""COMPUTED_VALUE"""),87.0)</f>
        <v>87</v>
      </c>
      <c r="B38" t="str">
        <f>IFERROR(__xludf.DUMMYFUNCTION("""COMPUTED_VALUE"""),"Lenny Wilkens")</f>
        <v>Lenny Wilkens</v>
      </c>
      <c r="C38" t="str">
        <f>IFERROR(__xludf.DUMMYFUNCTION("""COMPUTED_VALUE"""),"Meneur")</f>
        <v>Meneur</v>
      </c>
      <c r="D38">
        <f>IFERROR(__xludf.DUMMYFUNCTION("""COMPUTED_VALUE"""),17772.0)</f>
        <v>17772</v>
      </c>
      <c r="E38">
        <f>IFERROR(__xludf.DUMMYFUNCTION("""COMPUTED_VALUE"""),1077.0)</f>
        <v>1077</v>
      </c>
      <c r="F38">
        <f>IFERROR(__xludf.DUMMYFUNCTION("""COMPUTED_VALUE"""),16.5)</f>
        <v>16.5</v>
      </c>
      <c r="G38">
        <f>IFERROR(__xludf.DUMMYFUNCTION("""COMPUTED_VALUE"""),6189.0)</f>
        <v>6189</v>
      </c>
      <c r="I38">
        <f>IFERROR(__xludf.DUMMYFUNCTION("""COMPUTED_VALUE"""),5394.0)</f>
        <v>5394</v>
      </c>
      <c r="J38" t="str">
        <f>IFERROR(__xludf.DUMMYFUNCTION("""COMPUTED_VALUE"""),"*")</f>
        <v>*</v>
      </c>
    </row>
    <row r="39">
      <c r="A39">
        <f>IFERROR(__xludf.DUMMYFUNCTION("""COMPUTED_VALUE"""),88.0)</f>
        <v>88</v>
      </c>
      <c r="B39" t="str">
        <f>IFERROR(__xludf.DUMMYFUNCTION("""COMPUTED_VALUE"""),"Bailey Howell")</f>
        <v>Bailey Howell</v>
      </c>
      <c r="C39" t="str">
        <f>IFERROR(__xludf.DUMMYFUNCTION("""COMPUTED_VALUE"""),"Ailier")</f>
        <v>Ailier</v>
      </c>
      <c r="D39">
        <f>IFERROR(__xludf.DUMMYFUNCTION("""COMPUTED_VALUE"""),17770.0)</f>
        <v>17770</v>
      </c>
      <c r="E39">
        <f>IFERROR(__xludf.DUMMYFUNCTION("""COMPUTED_VALUE"""),950.0)</f>
        <v>950</v>
      </c>
      <c r="F39">
        <f>IFERROR(__xludf.DUMMYFUNCTION("""COMPUTED_VALUE"""),18.71)</f>
        <v>18.71</v>
      </c>
      <c r="G39">
        <f>IFERROR(__xludf.DUMMYFUNCTION("""COMPUTED_VALUE"""),6515.0)</f>
        <v>6515</v>
      </c>
      <c r="I39">
        <f>IFERROR(__xludf.DUMMYFUNCTION("""COMPUTED_VALUE"""),4740.0)</f>
        <v>4740</v>
      </c>
      <c r="J39" t="str">
        <f>IFERROR(__xludf.DUMMYFUNCTION("""COMPUTED_VALUE"""),"*")</f>
        <v>*</v>
      </c>
    </row>
    <row r="40">
      <c r="A40">
        <f>IFERROR(__xludf.DUMMYFUNCTION("""COMPUTED_VALUE"""),89.0)</f>
        <v>89</v>
      </c>
      <c r="B40" t="str">
        <f>IFERROR(__xludf.DUMMYFUNCTION("""COMPUTED_VALUE"""),"Magic Johnson")</f>
        <v>Magic Johnson</v>
      </c>
      <c r="C40" t="str">
        <f>IFERROR(__xludf.DUMMYFUNCTION("""COMPUTED_VALUE"""),"Meneur")</f>
        <v>Meneur</v>
      </c>
      <c r="D40">
        <f>IFERROR(__xludf.DUMMYFUNCTION("""COMPUTED_VALUE"""),17707.0)</f>
        <v>17707</v>
      </c>
      <c r="E40">
        <f>IFERROR(__xludf.DUMMYFUNCTION("""COMPUTED_VALUE"""),906.0)</f>
        <v>906</v>
      </c>
      <c r="F40">
        <f>IFERROR(__xludf.DUMMYFUNCTION("""COMPUTED_VALUE"""),19.54)</f>
        <v>19.54</v>
      </c>
      <c r="G40">
        <f>IFERROR(__xludf.DUMMYFUNCTION("""COMPUTED_VALUE"""),6211.0)</f>
        <v>6211</v>
      </c>
      <c r="H40">
        <f>IFERROR(__xludf.DUMMYFUNCTION("""COMPUTED_VALUE"""),325.0)</f>
        <v>325</v>
      </c>
      <c r="I40">
        <f>IFERROR(__xludf.DUMMYFUNCTION("""COMPUTED_VALUE"""),4960.0)</f>
        <v>4960</v>
      </c>
      <c r="J40" t="str">
        <f>IFERROR(__xludf.DUMMYFUNCTION("""COMPUTED_VALUE"""),"*")</f>
        <v>*</v>
      </c>
    </row>
    <row r="41">
      <c r="A41">
        <f>IFERROR(__xludf.DUMMYFUNCTION("""COMPUTED_VALUE"""),90.0)</f>
        <v>90</v>
      </c>
      <c r="B41" t="str">
        <f>IFERROR(__xludf.DUMMYFUNCTION("""COMPUTED_VALUE"""),"Shawn Marion")</f>
        <v>Shawn Marion</v>
      </c>
      <c r="C41" t="str">
        <f>IFERROR(__xludf.DUMMYFUNCTION("""COMPUTED_VALUE"""),"Ailier")</f>
        <v>Ailier</v>
      </c>
      <c r="D41">
        <f>IFERROR(__xludf.DUMMYFUNCTION("""COMPUTED_VALUE"""),17700.0)</f>
        <v>17700</v>
      </c>
      <c r="E41">
        <f>IFERROR(__xludf.DUMMYFUNCTION("""COMPUTED_VALUE"""),1163.0)</f>
        <v>1163</v>
      </c>
      <c r="F41">
        <f>IFERROR(__xludf.DUMMYFUNCTION("""COMPUTED_VALUE"""),15.22)</f>
        <v>15.22</v>
      </c>
      <c r="G41">
        <f>IFERROR(__xludf.DUMMYFUNCTION("""COMPUTED_VALUE"""),7289.0)</f>
        <v>7289</v>
      </c>
      <c r="H41">
        <f>IFERROR(__xludf.DUMMYFUNCTION("""COMPUTED_VALUE"""),791.0)</f>
        <v>791</v>
      </c>
      <c r="I41">
        <f>IFERROR(__xludf.DUMMYFUNCTION("""COMPUTED_VALUE"""),2331.0)</f>
        <v>2331</v>
      </c>
    </row>
    <row r="42">
      <c r="A42">
        <f>IFERROR(__xludf.DUMMYFUNCTION("""COMPUTED_VALUE"""),91.0)</f>
        <v>91</v>
      </c>
      <c r="B42" t="str">
        <f>IFERROR(__xludf.DUMMYFUNCTION("""COMPUTED_VALUE"""),"Rudy Gay")</f>
        <v>Rudy Gay</v>
      </c>
      <c r="C42" t="str">
        <f>IFERROR(__xludf.DUMMYFUNCTION("""COMPUTED_VALUE"""),"Ailier")</f>
        <v>Ailier</v>
      </c>
      <c r="D42">
        <f>IFERROR(__xludf.DUMMYFUNCTION("""COMPUTED_VALUE"""),17642.0)</f>
        <v>17642</v>
      </c>
      <c r="E42">
        <f>IFERROR(__xludf.DUMMYFUNCTION("""COMPUTED_VALUE"""),1120.0)</f>
        <v>1120</v>
      </c>
      <c r="F42">
        <f>IFERROR(__xludf.DUMMYFUNCTION("""COMPUTED_VALUE"""),15.75)</f>
        <v>15.75</v>
      </c>
      <c r="G42">
        <f>IFERROR(__xludf.DUMMYFUNCTION("""COMPUTED_VALUE"""),6670.0)</f>
        <v>6670</v>
      </c>
      <c r="H42">
        <f>IFERROR(__xludf.DUMMYFUNCTION("""COMPUTED_VALUE"""),1186.0)</f>
        <v>1186</v>
      </c>
      <c r="I42">
        <f>IFERROR(__xludf.DUMMYFUNCTION("""COMPUTED_VALUE"""),3116.0)</f>
        <v>3116</v>
      </c>
      <c r="J42" t="str">
        <f>IFERROR(__xludf.DUMMYFUNCTION("""COMPUTED_VALUE"""),"°")</f>
        <v>°</v>
      </c>
    </row>
    <row r="43">
      <c r="A43">
        <f>IFERROR(__xludf.DUMMYFUNCTION("""COMPUTED_VALUE"""),92.0)</f>
        <v>92</v>
      </c>
      <c r="B43" t="str">
        <f>IFERROR(__xludf.DUMMYFUNCTION("""COMPUTED_VALUE"""),"Rolando Blackman")</f>
        <v>Rolando Blackman</v>
      </c>
      <c r="C43" t="str">
        <f>IFERROR(__xludf.DUMMYFUNCTION("""COMPUTED_VALUE"""),"Arrière")</f>
        <v>Arrière</v>
      </c>
      <c r="D43">
        <f>IFERROR(__xludf.DUMMYFUNCTION("""COMPUTED_VALUE"""),17623.0)</f>
        <v>17623</v>
      </c>
      <c r="E43">
        <f>IFERROR(__xludf.DUMMYFUNCTION("""COMPUTED_VALUE"""),980.0)</f>
        <v>980</v>
      </c>
      <c r="F43">
        <f>IFERROR(__xludf.DUMMYFUNCTION("""COMPUTED_VALUE"""),17.98)</f>
        <v>17.98</v>
      </c>
      <c r="G43">
        <f>IFERROR(__xludf.DUMMYFUNCTION("""COMPUTED_VALUE"""),6887.0)</f>
        <v>6887</v>
      </c>
      <c r="H43">
        <f>IFERROR(__xludf.DUMMYFUNCTION("""COMPUTED_VALUE"""),229.0)</f>
        <v>229</v>
      </c>
      <c r="I43">
        <f>IFERROR(__xludf.DUMMYFUNCTION("""COMPUTED_VALUE"""),3620.0)</f>
        <v>3620</v>
      </c>
    </row>
    <row r="44">
      <c r="A44">
        <f>IFERROR(__xludf.DUMMYFUNCTION("""COMPUTED_VALUE"""),93.0)</f>
        <v>93</v>
      </c>
      <c r="B44" t="str">
        <f>IFERROR(__xludf.DUMMYFUNCTION("""COMPUTED_VALUE"""),"Otis Thorpe")</f>
        <v>Otis Thorpe</v>
      </c>
      <c r="C44" t="str">
        <f>IFERROR(__xludf.DUMMYFUNCTION("""COMPUTED_VALUE"""),"Ailier fort")</f>
        <v>Ailier fort</v>
      </c>
      <c r="D44">
        <f>IFERROR(__xludf.DUMMYFUNCTION("""COMPUTED_VALUE"""),17600.0)</f>
        <v>17600</v>
      </c>
      <c r="E44">
        <f>IFERROR(__xludf.DUMMYFUNCTION("""COMPUTED_VALUE"""),1257.0)</f>
        <v>1257</v>
      </c>
      <c r="F44">
        <f>IFERROR(__xludf.DUMMYFUNCTION("""COMPUTED_VALUE"""),14.0)</f>
        <v>14</v>
      </c>
      <c r="G44">
        <f>IFERROR(__xludf.DUMMYFUNCTION("""COMPUTED_VALUE"""),6872.0)</f>
        <v>6872</v>
      </c>
      <c r="H44">
        <f>IFERROR(__xludf.DUMMYFUNCTION("""COMPUTED_VALUE"""),3.0)</f>
        <v>3</v>
      </c>
      <c r="I44">
        <f>IFERROR(__xludf.DUMMYFUNCTION("""COMPUTED_VALUE"""),3853.0)</f>
        <v>3853</v>
      </c>
    </row>
    <row r="45">
      <c r="A45">
        <f>IFERROR(__xludf.DUMMYFUNCTION("""COMPUTED_VALUE"""),94.0)</f>
        <v>94</v>
      </c>
      <c r="B45" t="str">
        <f>IFERROR(__xludf.DUMMYFUNCTION("""COMPUTED_VALUE"""),"Nikola Vučević")</f>
        <v>Nikola Vučević</v>
      </c>
      <c r="C45" t="str">
        <f>IFERROR(__xludf.DUMMYFUNCTION("""COMPUTED_VALUE"""),"Pivot")</f>
        <v>Pivot</v>
      </c>
      <c r="D45">
        <f>IFERROR(__xludf.DUMMYFUNCTION("""COMPUTED_VALUE"""),17570.0)</f>
        <v>17570</v>
      </c>
      <c r="E45">
        <f>IFERROR(__xludf.DUMMYFUNCTION("""COMPUTED_VALUE"""),1023.0)</f>
        <v>1023</v>
      </c>
      <c r="F45">
        <f>IFERROR(__xludf.DUMMYFUNCTION("""COMPUTED_VALUE"""),17.18)</f>
        <v>17.18</v>
      </c>
      <c r="G45">
        <f>IFERROR(__xludf.DUMMYFUNCTION("""COMPUTED_VALUE"""),7479.0)</f>
        <v>7479</v>
      </c>
      <c r="H45">
        <f>IFERROR(__xludf.DUMMYFUNCTION("""COMPUTED_VALUE"""),985.0)</f>
        <v>985</v>
      </c>
      <c r="I45">
        <f>IFERROR(__xludf.DUMMYFUNCTION("""COMPUTED_VALUE"""),1627.0)</f>
        <v>1627</v>
      </c>
      <c r="J45" t="str">
        <f>IFERROR(__xludf.DUMMYFUNCTION("""COMPUTED_VALUE"""),"^")</f>
        <v>^</v>
      </c>
    </row>
    <row r="46">
      <c r="A46">
        <f>IFERROR(__xludf.DUMMYFUNCTION("""COMPUTED_VALUE"""),95.0)</f>
        <v>95</v>
      </c>
      <c r="B46" t="str">
        <f>IFERROR(__xludf.DUMMYFUNCTION("""COMPUTED_VALUE"""),"Devin Booker")</f>
        <v>Devin Booker</v>
      </c>
      <c r="C46" t="str">
        <f>IFERROR(__xludf.DUMMYFUNCTION("""COMPUTED_VALUE"""),"Arrière")</f>
        <v>Arrière</v>
      </c>
      <c r="D46">
        <f>IFERROR(__xludf.DUMMYFUNCTION("""COMPUTED_VALUE"""),17535.0)</f>
        <v>17535</v>
      </c>
      <c r="E46">
        <f>IFERROR(__xludf.DUMMYFUNCTION("""COMPUTED_VALUE"""),716.0)</f>
        <v>716</v>
      </c>
      <c r="F46">
        <f>IFERROR(__xludf.DUMMYFUNCTION("""COMPUTED_VALUE"""),24.5)</f>
        <v>24.5</v>
      </c>
      <c r="G46">
        <f>IFERROR(__xludf.DUMMYFUNCTION("""COMPUTED_VALUE"""),6105.0)</f>
        <v>6105</v>
      </c>
      <c r="H46">
        <f>IFERROR(__xludf.DUMMYFUNCTION("""COMPUTED_VALUE"""),1498.0)</f>
        <v>1498</v>
      </c>
      <c r="I46">
        <f>IFERROR(__xludf.DUMMYFUNCTION("""COMPUTED_VALUE"""),3827.0)</f>
        <v>3827</v>
      </c>
      <c r="J46" t="str">
        <f>IFERROR(__xludf.DUMMYFUNCTION("""COMPUTED_VALUE"""),"^")</f>
        <v>^</v>
      </c>
    </row>
    <row r="47">
      <c r="A47">
        <f>IFERROR(__xludf.DUMMYFUNCTION("""COMPUTED_VALUE"""),96.0)</f>
        <v>96</v>
      </c>
      <c r="B47" t="str">
        <f>IFERROR(__xludf.DUMMYFUNCTION("""COMPUTED_VALUE"""),"Jason Kidd")</f>
        <v>Jason Kidd</v>
      </c>
      <c r="C47" t="str">
        <f>IFERROR(__xludf.DUMMYFUNCTION("""COMPUTED_VALUE"""),"Meneur")</f>
        <v>Meneur</v>
      </c>
      <c r="D47">
        <f>IFERROR(__xludf.DUMMYFUNCTION("""COMPUTED_VALUE"""),17529.0)</f>
        <v>17529</v>
      </c>
      <c r="E47">
        <f>IFERROR(__xludf.DUMMYFUNCTION("""COMPUTED_VALUE"""),1391.0)</f>
        <v>1391</v>
      </c>
      <c r="F47">
        <f>IFERROR(__xludf.DUMMYFUNCTION("""COMPUTED_VALUE"""),12.6)</f>
        <v>12.6</v>
      </c>
      <c r="G47">
        <f>IFERROR(__xludf.DUMMYFUNCTION("""COMPUTED_VALUE"""),6219.0)</f>
        <v>6219</v>
      </c>
      <c r="H47">
        <f>IFERROR(__xludf.DUMMYFUNCTION("""COMPUTED_VALUE"""),1988.0)</f>
        <v>1988</v>
      </c>
      <c r="I47">
        <f>IFERROR(__xludf.DUMMYFUNCTION("""COMPUTED_VALUE"""),3103.0)</f>
        <v>3103</v>
      </c>
      <c r="J47" t="str">
        <f>IFERROR(__xludf.DUMMYFUNCTION("""COMPUTED_VALUE"""),"*")</f>
        <v>*</v>
      </c>
    </row>
    <row r="48">
      <c r="A48">
        <f>IFERROR(__xludf.DUMMYFUNCTION("""COMPUTED_VALUE"""),97.0)</f>
        <v>97</v>
      </c>
      <c r="B48" t="str">
        <f>IFERROR(__xludf.DUMMYFUNCTION("""COMPUTED_VALUE"""),"Earl Monroe")</f>
        <v>Earl Monroe</v>
      </c>
      <c r="C48" t="str">
        <f>IFERROR(__xludf.DUMMYFUNCTION("""COMPUTED_VALUE"""),"Meneur")</f>
        <v>Meneur</v>
      </c>
      <c r="D48">
        <f>IFERROR(__xludf.DUMMYFUNCTION("""COMPUTED_VALUE"""),17454.0)</f>
        <v>17454</v>
      </c>
      <c r="E48">
        <f>IFERROR(__xludf.DUMMYFUNCTION("""COMPUTED_VALUE"""),926.0)</f>
        <v>926</v>
      </c>
      <c r="F48">
        <f>IFERROR(__xludf.DUMMYFUNCTION("""COMPUTED_VALUE"""),18.85)</f>
        <v>18.85</v>
      </c>
      <c r="G48">
        <f>IFERROR(__xludf.DUMMYFUNCTION("""COMPUTED_VALUE"""),6906.0)</f>
        <v>6906</v>
      </c>
      <c r="H48">
        <f>IFERROR(__xludf.DUMMYFUNCTION("""COMPUTED_VALUE"""),0.0)</f>
        <v>0</v>
      </c>
      <c r="I48">
        <f>IFERROR(__xludf.DUMMYFUNCTION("""COMPUTED_VALUE"""),3642.0)</f>
        <v>3642</v>
      </c>
      <c r="J48" t="str">
        <f>IFERROR(__xludf.DUMMYFUNCTION("""COMPUTED_VALUE"""),"*")</f>
        <v>*</v>
      </c>
    </row>
    <row r="49">
      <c r="A49">
        <f>IFERROR(__xludf.DUMMYFUNCTION("""COMPUTED_VALUE"""),98.0)</f>
        <v>98</v>
      </c>
      <c r="B49" t="str">
        <f>IFERROR(__xludf.DUMMYFUNCTION("""COMPUTED_VALUE"""),"Steve Nash")</f>
        <v>Steve Nash</v>
      </c>
      <c r="C49" t="str">
        <f>IFERROR(__xludf.DUMMYFUNCTION("""COMPUTED_VALUE"""),"Meneur")</f>
        <v>Meneur</v>
      </c>
      <c r="D49">
        <f>IFERROR(__xludf.DUMMYFUNCTION("""COMPUTED_VALUE"""),17387.0)</f>
        <v>17387</v>
      </c>
      <c r="E49">
        <f>IFERROR(__xludf.DUMMYFUNCTION("""COMPUTED_VALUE"""),1217.0)</f>
        <v>1217</v>
      </c>
      <c r="F49">
        <f>IFERROR(__xludf.DUMMYFUNCTION("""COMPUTED_VALUE"""),14.29)</f>
        <v>14.29</v>
      </c>
      <c r="G49">
        <f>IFERROR(__xludf.DUMMYFUNCTION("""COMPUTED_VALUE"""),6321.0)</f>
        <v>6321</v>
      </c>
      <c r="H49">
        <f>IFERROR(__xludf.DUMMYFUNCTION("""COMPUTED_VALUE"""),1685.0)</f>
        <v>1685</v>
      </c>
      <c r="I49">
        <f>IFERROR(__xludf.DUMMYFUNCTION("""COMPUTED_VALUE"""),3060.0)</f>
        <v>3060</v>
      </c>
      <c r="J49" t="str">
        <f>IFERROR(__xludf.DUMMYFUNCTION("""COMPUTED_VALUE"""),"*")</f>
        <v>*</v>
      </c>
    </row>
    <row r="50">
      <c r="A50">
        <f>IFERROR(__xludf.DUMMYFUNCTION("""COMPUTED_VALUE"""),99.0)</f>
        <v>99</v>
      </c>
      <c r="B50" t="str">
        <f>IFERROR(__xludf.DUMMYFUNCTION("""COMPUTED_VALUE"""),"Kevin McHale")</f>
        <v>Kevin McHale</v>
      </c>
      <c r="C50" t="str">
        <f>IFERROR(__xludf.DUMMYFUNCTION("""COMPUTED_VALUE"""),"Ailier fort")</f>
        <v>Ailier fort</v>
      </c>
      <c r="D50">
        <f>IFERROR(__xludf.DUMMYFUNCTION("""COMPUTED_VALUE"""),17335.0)</f>
        <v>17335</v>
      </c>
      <c r="E50">
        <f>IFERROR(__xludf.DUMMYFUNCTION("""COMPUTED_VALUE"""),971.0)</f>
        <v>971</v>
      </c>
      <c r="F50">
        <f>IFERROR(__xludf.DUMMYFUNCTION("""COMPUTED_VALUE"""),17.85)</f>
        <v>17.85</v>
      </c>
      <c r="G50">
        <f>IFERROR(__xludf.DUMMYFUNCTION("""COMPUTED_VALUE"""),6830.0)</f>
        <v>6830</v>
      </c>
      <c r="H50">
        <f>IFERROR(__xludf.DUMMYFUNCTION("""COMPUTED_VALUE"""),41.0)</f>
        <v>41</v>
      </c>
      <c r="I50">
        <f>IFERROR(__xludf.DUMMYFUNCTION("""COMPUTED_VALUE"""),3634.0)</f>
        <v>3634</v>
      </c>
      <c r="J50" t="str">
        <f>IFERROR(__xludf.DUMMYFUNCTION("""COMPUTED_VALUE"""),"*")</f>
        <v>*</v>
      </c>
    </row>
    <row r="51">
      <c r="A51">
        <f>IFERROR(__xludf.DUMMYFUNCTION("""COMPUTED_VALUE"""),100.0)</f>
        <v>100</v>
      </c>
      <c r="B51" t="str">
        <f>IFERROR(__xludf.DUMMYFUNCTION("""COMPUTED_VALUE"""),"Nikola Jokić")</f>
        <v>Nikola Jokić</v>
      </c>
      <c r="C51" t="str">
        <f>IFERROR(__xludf.DUMMYFUNCTION("""COMPUTED_VALUE"""),"Pivot")</f>
        <v>Pivot</v>
      </c>
      <c r="D51">
        <f>IFERROR(__xludf.DUMMYFUNCTION("""COMPUTED_VALUE"""),17329.0)</f>
        <v>17329</v>
      </c>
      <c r="E51">
        <f>IFERROR(__xludf.DUMMYFUNCTION("""COMPUTED_VALUE"""),784.0)</f>
        <v>784</v>
      </c>
      <c r="F51">
        <f>IFERROR(__xludf.DUMMYFUNCTION("""COMPUTED_VALUE"""),22.1)</f>
        <v>22.1</v>
      </c>
      <c r="G51">
        <f>IFERROR(__xludf.DUMMYFUNCTION("""COMPUTED_VALUE"""),6629.0)</f>
        <v>6629</v>
      </c>
      <c r="H51">
        <f>IFERROR(__xludf.DUMMYFUNCTION("""COMPUTED_VALUE"""),890.0)</f>
        <v>890</v>
      </c>
      <c r="I51">
        <f>IFERROR(__xludf.DUMMYFUNCTION("""COMPUTED_VALUE"""),3181.0)</f>
        <v>3181</v>
      </c>
      <c r="J51" t="str">
        <f>IFERROR(__xludf.DUMMYFUNCTION("""COMPUTED_VALUE"""),"^")</f>
        <v>^</v>
      </c>
    </row>
    <row r="52">
      <c r="A52">
        <f>IFERROR(__xludf.DUMMYFUNCTION("""COMPUTED_VALUE"""),101.0)</f>
        <v>101</v>
      </c>
      <c r="B52" t="str">
        <f>IFERROR(__xludf.DUMMYFUNCTION("""COMPUTED_VALUE"""),"Michael Finley")</f>
        <v>Michael Finley</v>
      </c>
      <c r="C52" t="str">
        <f>IFERROR(__xludf.DUMMYFUNCTION("""COMPUTED_VALUE"""),"Arrière")</f>
        <v>Arrière</v>
      </c>
      <c r="D52">
        <f>IFERROR(__xludf.DUMMYFUNCTION("""COMPUTED_VALUE"""),17306.0)</f>
        <v>17306</v>
      </c>
      <c r="E52">
        <f>IFERROR(__xludf.DUMMYFUNCTION("""COMPUTED_VALUE"""),1103.0)</f>
        <v>1103</v>
      </c>
      <c r="F52">
        <f>IFERROR(__xludf.DUMMYFUNCTION("""COMPUTED_VALUE"""),15.69)</f>
        <v>15.69</v>
      </c>
      <c r="G52">
        <f>IFERROR(__xludf.DUMMYFUNCTION("""COMPUTED_VALUE"""),6696.0)</f>
        <v>6696</v>
      </c>
      <c r="H52">
        <f>IFERROR(__xludf.DUMMYFUNCTION("""COMPUTED_VALUE"""),1454.0)</f>
        <v>1454</v>
      </c>
      <c r="I52">
        <f>IFERROR(__xludf.DUMMYFUNCTION("""COMPUTED_VALUE"""),2460.0)</f>
        <v>2460</v>
      </c>
    </row>
    <row r="53">
      <c r="A53">
        <f>IFERROR(__xludf.DUMMYFUNCTION("""COMPUTED_VALUE"""),101.0)</f>
        <v>101</v>
      </c>
      <c r="B53" t="str">
        <f>IFERROR(__xludf.DUMMYFUNCTION("""COMPUTED_VALUE"""),"Bradley Beal")</f>
        <v>Bradley Beal</v>
      </c>
      <c r="C53" t="str">
        <f>IFERROR(__xludf.DUMMYFUNCTION("""COMPUTED_VALUE"""),"Arrière")</f>
        <v>Arrière</v>
      </c>
      <c r="D53">
        <f>IFERROR(__xludf.DUMMYFUNCTION("""COMPUTED_VALUE"""),17306.0)</f>
        <v>17306</v>
      </c>
      <c r="E53">
        <f>IFERROR(__xludf.DUMMYFUNCTION("""COMPUTED_VALUE"""),807.0)</f>
        <v>807</v>
      </c>
      <c r="F53">
        <f>IFERROR(__xludf.DUMMYFUNCTION("""COMPUTED_VALUE"""),21.44)</f>
        <v>21.44</v>
      </c>
      <c r="G53">
        <f>IFERROR(__xludf.DUMMYFUNCTION("""COMPUTED_VALUE"""),6364.0)</f>
        <v>6364</v>
      </c>
      <c r="H53">
        <f>IFERROR(__xludf.DUMMYFUNCTION("""COMPUTED_VALUE"""),1724.0)</f>
        <v>1724</v>
      </c>
      <c r="I53">
        <f>IFERROR(__xludf.DUMMYFUNCTION("""COMPUTED_VALUE"""),2854.0)</f>
        <v>2854</v>
      </c>
      <c r="J53" t="str">
        <f>IFERROR(__xludf.DUMMYFUNCTION("""COMPUTED_VALUE"""),"^")</f>
        <v>^</v>
      </c>
    </row>
    <row r="54">
      <c r="A54">
        <f>IFERROR(__xludf.DUMMYFUNCTION("""COMPUTED_VALUE"""),103.0)</f>
        <v>103</v>
      </c>
      <c r="B54" t="str">
        <f>IFERROR(__xludf.DUMMYFUNCTION("""COMPUTED_VALUE"""),"Jack Sikma")</f>
        <v>Jack Sikma</v>
      </c>
      <c r="C54" t="str">
        <f>IFERROR(__xludf.DUMMYFUNCTION("""COMPUTED_VALUE"""),"Pivot")</f>
        <v>Pivot</v>
      </c>
      <c r="D54">
        <f>IFERROR(__xludf.DUMMYFUNCTION("""COMPUTED_VALUE"""),17287.0)</f>
        <v>17287</v>
      </c>
      <c r="E54">
        <f>IFERROR(__xludf.DUMMYFUNCTION("""COMPUTED_VALUE"""),1107.0)</f>
        <v>1107</v>
      </c>
      <c r="F54">
        <f>IFERROR(__xludf.DUMMYFUNCTION("""COMPUTED_VALUE"""),15.62)</f>
        <v>15.62</v>
      </c>
      <c r="G54">
        <f>IFERROR(__xludf.DUMMYFUNCTION("""COMPUTED_VALUE"""),6396.0)</f>
        <v>6396</v>
      </c>
      <c r="H54">
        <f>IFERROR(__xludf.DUMMYFUNCTION("""COMPUTED_VALUE"""),203.0)</f>
        <v>203</v>
      </c>
      <c r="I54">
        <f>IFERROR(__xludf.DUMMYFUNCTION("""COMPUTED_VALUE"""),4292.0)</f>
        <v>4292</v>
      </c>
      <c r="J54" t="str">
        <f>IFERROR(__xludf.DUMMYFUNCTION("""COMPUTED_VALUE"""),"*")</f>
        <v>*</v>
      </c>
    </row>
    <row r="55">
      <c r="A55">
        <f>IFERROR(__xludf.DUMMYFUNCTION("""COMPUTED_VALUE"""),104.0)</f>
        <v>104</v>
      </c>
      <c r="B55" t="str">
        <f>IFERROR(__xludf.DUMMYFUNCTION("""COMPUTED_VALUE"""),"Kevin Willis")</f>
        <v>Kevin Willis</v>
      </c>
      <c r="C55" t="str">
        <f>IFERROR(__xludf.DUMMYFUNCTION("""COMPUTED_VALUE"""),"Pivot")</f>
        <v>Pivot</v>
      </c>
      <c r="D55">
        <f>IFERROR(__xludf.DUMMYFUNCTION("""COMPUTED_VALUE"""),17253.0)</f>
        <v>17253</v>
      </c>
      <c r="E55">
        <f>IFERROR(__xludf.DUMMYFUNCTION("""COMPUTED_VALUE"""),1424.0)</f>
        <v>1424</v>
      </c>
      <c r="F55">
        <f>IFERROR(__xludf.DUMMYFUNCTION("""COMPUTED_VALUE"""),12.12)</f>
        <v>12.12</v>
      </c>
      <c r="G55">
        <f>IFERROR(__xludf.DUMMYFUNCTION("""COMPUTED_VALUE"""),7095.0)</f>
        <v>7095</v>
      </c>
      <c r="H55">
        <f>IFERROR(__xludf.DUMMYFUNCTION("""COMPUTED_VALUE"""),40.0)</f>
        <v>40</v>
      </c>
      <c r="I55">
        <f>IFERROR(__xludf.DUMMYFUNCTION("""COMPUTED_VALUE"""),3023.0)</f>
        <v>3023</v>
      </c>
    </row>
    <row r="56">
      <c r="A56">
        <f>IFERROR(__xludf.DUMMYFUNCTION("""COMPUTED_VALUE"""),105.0)</f>
        <v>105</v>
      </c>
      <c r="B56" t="str">
        <f>IFERROR(__xludf.DUMMYFUNCTION("""COMPUTED_VALUE"""),"Jeff Malone")</f>
        <v>Jeff Malone</v>
      </c>
      <c r="C56" t="str">
        <f>IFERROR(__xludf.DUMMYFUNCTION("""COMPUTED_VALUE"""),"Arrière")</f>
        <v>Arrière</v>
      </c>
      <c r="D56">
        <f>IFERROR(__xludf.DUMMYFUNCTION("""COMPUTED_VALUE"""),17231.0)</f>
        <v>17231</v>
      </c>
      <c r="E56">
        <f>IFERROR(__xludf.DUMMYFUNCTION("""COMPUTED_VALUE"""),905.0)</f>
        <v>905</v>
      </c>
      <c r="F56">
        <f>IFERROR(__xludf.DUMMYFUNCTION("""COMPUTED_VALUE"""),19.04)</f>
        <v>19.04</v>
      </c>
      <c r="G56">
        <f>IFERROR(__xludf.DUMMYFUNCTION("""COMPUTED_VALUE"""),7099.0)</f>
        <v>7099</v>
      </c>
      <c r="H56">
        <f>IFERROR(__xludf.DUMMYFUNCTION("""COMPUTED_VALUE"""),86.0)</f>
        <v>86</v>
      </c>
      <c r="I56">
        <f>IFERROR(__xludf.DUMMYFUNCTION("""COMPUTED_VALUE"""),2947.0)</f>
        <v>2947</v>
      </c>
    </row>
    <row r="57">
      <c r="A57">
        <f>IFERROR(__xludf.DUMMYFUNCTION("""COMPUTED_VALUE"""),106.0)</f>
        <v>106</v>
      </c>
      <c r="B57" t="str">
        <f>IFERROR(__xludf.DUMMYFUNCTION("""COMPUTED_VALUE"""),"Chris Bosh")</f>
        <v>Chris Bosh</v>
      </c>
      <c r="C57" t="str">
        <f>IFERROR(__xludf.DUMMYFUNCTION("""COMPUTED_VALUE"""),"Ailier fort")</f>
        <v>Ailier fort</v>
      </c>
      <c r="D57">
        <f>IFERROR(__xludf.DUMMYFUNCTION("""COMPUTED_VALUE"""),17189.0)</f>
        <v>17189</v>
      </c>
      <c r="E57">
        <f>IFERROR(__xludf.DUMMYFUNCTION("""COMPUTED_VALUE"""),893.0)</f>
        <v>893</v>
      </c>
      <c r="F57">
        <f>IFERROR(__xludf.DUMMYFUNCTION("""COMPUTED_VALUE"""),19.25)</f>
        <v>19.25</v>
      </c>
      <c r="G57">
        <f>IFERROR(__xludf.DUMMYFUNCTION("""COMPUTED_VALUE"""),6209.0)</f>
        <v>6209</v>
      </c>
      <c r="H57">
        <f>IFERROR(__xludf.DUMMYFUNCTION("""COMPUTED_VALUE"""),305.0)</f>
        <v>305</v>
      </c>
      <c r="I57">
        <f>IFERROR(__xludf.DUMMYFUNCTION("""COMPUTED_VALUE"""),4466.0)</f>
        <v>4466</v>
      </c>
      <c r="J57" t="str">
        <f>IFERROR(__xludf.DUMMYFUNCTION("""COMPUTED_VALUE"""),"*")</f>
        <v>*</v>
      </c>
    </row>
    <row r="58">
      <c r="A58">
        <f>IFERROR(__xludf.DUMMYFUNCTION("""COMPUTED_VALUE"""),107.0)</f>
        <v>107</v>
      </c>
      <c r="B58" t="str">
        <f>IFERROR(__xludf.DUMMYFUNCTION("""COMPUTED_VALUE"""),"Chris Webber")</f>
        <v>Chris Webber</v>
      </c>
      <c r="C58" t="str">
        <f>IFERROR(__xludf.DUMMYFUNCTION("""COMPUTED_VALUE"""),"Ailier fort")</f>
        <v>Ailier fort</v>
      </c>
      <c r="D58">
        <f>IFERROR(__xludf.DUMMYFUNCTION("""COMPUTED_VALUE"""),17182.0)</f>
        <v>17182</v>
      </c>
      <c r="E58">
        <f>IFERROR(__xludf.DUMMYFUNCTION("""COMPUTED_VALUE"""),831.0)</f>
        <v>831</v>
      </c>
      <c r="F58">
        <f>IFERROR(__xludf.DUMMYFUNCTION("""COMPUTED_VALUE"""),20.68)</f>
        <v>20.68</v>
      </c>
      <c r="G58">
        <f>IFERROR(__xludf.DUMMYFUNCTION("""COMPUTED_VALUE"""),7192.0)</f>
        <v>7192</v>
      </c>
      <c r="H58">
        <f>IFERROR(__xludf.DUMMYFUNCTION("""COMPUTED_VALUE"""),264.0)</f>
        <v>264</v>
      </c>
      <c r="I58">
        <f>IFERROR(__xludf.DUMMYFUNCTION("""COMPUTED_VALUE"""),2534.0)</f>
        <v>2534</v>
      </c>
      <c r="J58" t="str">
        <f>IFERROR(__xludf.DUMMYFUNCTION("""COMPUTED_VALUE"""),"*")</f>
        <v>*</v>
      </c>
    </row>
    <row r="59">
      <c r="A59">
        <f>IFERROR(__xludf.DUMMYFUNCTION("""COMPUTED_VALUE"""),108.0)</f>
        <v>108</v>
      </c>
      <c r="B59" t="str">
        <f>IFERROR(__xludf.DUMMYFUNCTION("""COMPUTED_VALUE"""),"Grant Hill")</f>
        <v>Grant Hill</v>
      </c>
      <c r="C59" t="str">
        <f>IFERROR(__xludf.DUMMYFUNCTION("""COMPUTED_VALUE"""),"Ailier")</f>
        <v>Ailier</v>
      </c>
      <c r="D59">
        <f>IFERROR(__xludf.DUMMYFUNCTION("""COMPUTED_VALUE"""),17137.0)</f>
        <v>17137</v>
      </c>
      <c r="E59">
        <f>IFERROR(__xludf.DUMMYFUNCTION("""COMPUTED_VALUE"""),1026.0)</f>
        <v>1026</v>
      </c>
      <c r="F59">
        <f>IFERROR(__xludf.DUMMYFUNCTION("""COMPUTED_VALUE"""),16.7)</f>
        <v>16.7</v>
      </c>
      <c r="G59">
        <f>IFERROR(__xludf.DUMMYFUNCTION("""COMPUTED_VALUE"""),6345.0)</f>
        <v>6345</v>
      </c>
      <c r="H59">
        <f>IFERROR(__xludf.DUMMYFUNCTION("""COMPUTED_VALUE"""),219.0)</f>
        <v>219</v>
      </c>
      <c r="I59">
        <f>IFERROR(__xludf.DUMMYFUNCTION("""COMPUTED_VALUE"""),4228.0)</f>
        <v>4228</v>
      </c>
      <c r="J59" t="str">
        <f>IFERROR(__xludf.DUMMYFUNCTION("""COMPUTED_VALUE"""),"*")</f>
        <v>*</v>
      </c>
    </row>
    <row r="60">
      <c r="A60">
        <f>IFERROR(__xludf.DUMMYFUNCTION("""COMPUTED_VALUE"""),109.0)</f>
        <v>109</v>
      </c>
      <c r="B60" t="str">
        <f>IFERROR(__xludf.DUMMYFUNCTION("""COMPUTED_VALUE"""),"Klay Thompson")</f>
        <v>Klay Thompson</v>
      </c>
      <c r="C60" t="str">
        <f>IFERROR(__xludf.DUMMYFUNCTION("""COMPUTED_VALUE"""),"Arrière")</f>
        <v>Arrière</v>
      </c>
      <c r="D60">
        <f>IFERROR(__xludf.DUMMYFUNCTION("""COMPUTED_VALUE"""),17103.0)</f>
        <v>17103</v>
      </c>
      <c r="E60">
        <f>IFERROR(__xludf.DUMMYFUNCTION("""COMPUTED_VALUE"""),914.0)</f>
        <v>914</v>
      </c>
      <c r="F60">
        <f>IFERROR(__xludf.DUMMYFUNCTION("""COMPUTED_VALUE"""),18.72)</f>
        <v>18.72</v>
      </c>
      <c r="G60">
        <f>IFERROR(__xludf.DUMMYFUNCTION("""COMPUTED_VALUE"""),6355.0)</f>
        <v>6355</v>
      </c>
      <c r="H60">
        <f>IFERROR(__xludf.DUMMYFUNCTION("""COMPUTED_VALUE"""),2837.0)</f>
        <v>2837</v>
      </c>
      <c r="I60">
        <f>IFERROR(__xludf.DUMMYFUNCTION("""COMPUTED_VALUE"""),1556.0)</f>
        <v>1556</v>
      </c>
      <c r="J60" t="str">
        <f>IFERROR(__xludf.DUMMYFUNCTION("""COMPUTED_VALUE"""),"^")</f>
        <v>^</v>
      </c>
    </row>
    <row r="61">
      <c r="A61">
        <f>IFERROR(__xludf.DUMMYFUNCTION("""COMPUTED_VALUE"""),110.0)</f>
        <v>110</v>
      </c>
      <c r="B61" t="str">
        <f>IFERROR(__xludf.DUMMYFUNCTION("""COMPUTED_VALUE"""),"Bob Cousy")</f>
        <v>Bob Cousy</v>
      </c>
      <c r="C61" t="str">
        <f>IFERROR(__xludf.DUMMYFUNCTION("""COMPUTED_VALUE"""),"Meneur")</f>
        <v>Meneur</v>
      </c>
      <c r="D61">
        <f>IFERROR(__xludf.DUMMYFUNCTION("""COMPUTED_VALUE"""),16960.0)</f>
        <v>16960</v>
      </c>
      <c r="E61">
        <f>IFERROR(__xludf.DUMMYFUNCTION("""COMPUTED_VALUE"""),924.0)</f>
        <v>924</v>
      </c>
      <c r="F61">
        <f>IFERROR(__xludf.DUMMYFUNCTION("""COMPUTED_VALUE"""),18.35)</f>
        <v>18.35</v>
      </c>
      <c r="G61">
        <f>IFERROR(__xludf.DUMMYFUNCTION("""COMPUTED_VALUE"""),6168.0)</f>
        <v>6168</v>
      </c>
      <c r="I61">
        <f>IFERROR(__xludf.DUMMYFUNCTION("""COMPUTED_VALUE"""),4624.0)</f>
        <v>4624</v>
      </c>
      <c r="J61" t="str">
        <f>IFERROR(__xludf.DUMMYFUNCTION("""COMPUTED_VALUE"""),"*")</f>
        <v>*</v>
      </c>
    </row>
    <row r="62">
      <c r="A62">
        <f>IFERROR(__xludf.DUMMYFUNCTION("""COMPUTED_VALUE"""),111.0)</f>
        <v>111</v>
      </c>
      <c r="B62" t="str">
        <f>IFERROR(__xludf.DUMMYFUNCTION("""COMPUTED_VALUE"""),"Jrue Holiday")</f>
        <v>Jrue Holiday</v>
      </c>
      <c r="C62" t="str">
        <f>IFERROR(__xludf.DUMMYFUNCTION("""COMPUTED_VALUE"""),"Arrière")</f>
        <v>Arrière</v>
      </c>
      <c r="D62">
        <f>IFERROR(__xludf.DUMMYFUNCTION("""COMPUTED_VALUE"""),16846.0)</f>
        <v>16846</v>
      </c>
      <c r="E62">
        <f>IFERROR(__xludf.DUMMYFUNCTION("""COMPUTED_VALUE"""),1064.0)</f>
        <v>1064</v>
      </c>
      <c r="F62">
        <f>IFERROR(__xludf.DUMMYFUNCTION("""COMPUTED_VALUE"""),15.81)</f>
        <v>15.81</v>
      </c>
      <c r="G62">
        <f>IFERROR(__xludf.DUMMYFUNCTION("""COMPUTED_VALUE"""),6591.0)</f>
        <v>6591</v>
      </c>
      <c r="H62">
        <f>IFERROR(__xludf.DUMMYFUNCTION("""COMPUTED_VALUE"""),1638.0)</f>
        <v>1638</v>
      </c>
      <c r="I62">
        <f>IFERROR(__xludf.DUMMYFUNCTION("""COMPUTED_VALUE"""),2026.0)</f>
        <v>2026</v>
      </c>
      <c r="J62" t="str">
        <f>IFERROR(__xludf.DUMMYFUNCTION("""COMPUTED_VALUE"""),"^")</f>
        <v>^</v>
      </c>
    </row>
    <row r="63">
      <c r="A63">
        <f>IFERROR(__xludf.DUMMYFUNCTION("""COMPUTED_VALUE"""),112.0)</f>
        <v>112</v>
      </c>
      <c r="B63" t="str">
        <f>IFERROR(__xludf.DUMMYFUNCTION("""COMPUTED_VALUE"""),"Elton Brand")</f>
        <v>Elton Brand</v>
      </c>
      <c r="C63" t="str">
        <f>IFERROR(__xludf.DUMMYFUNCTION("""COMPUTED_VALUE"""),"Ailier fort")</f>
        <v>Ailier fort</v>
      </c>
      <c r="D63">
        <f>IFERROR(__xludf.DUMMYFUNCTION("""COMPUTED_VALUE"""),16827.0)</f>
        <v>16827</v>
      </c>
      <c r="E63">
        <f>IFERROR(__xludf.DUMMYFUNCTION("""COMPUTED_VALUE"""),1058.0)</f>
        <v>1058</v>
      </c>
      <c r="F63">
        <f>IFERROR(__xludf.DUMMYFUNCTION("""COMPUTED_VALUE"""),15.9)</f>
        <v>15.9</v>
      </c>
      <c r="G63">
        <f>IFERROR(__xludf.DUMMYFUNCTION("""COMPUTED_VALUE"""),6599.0)</f>
        <v>6599</v>
      </c>
      <c r="H63">
        <f>IFERROR(__xludf.DUMMYFUNCTION("""COMPUTED_VALUE"""),2.0)</f>
        <v>2</v>
      </c>
      <c r="I63">
        <f>IFERROR(__xludf.DUMMYFUNCTION("""COMPUTED_VALUE"""),3627.0)</f>
        <v>3627</v>
      </c>
    </row>
    <row r="64">
      <c r="A64">
        <f>IFERROR(__xludf.DUMMYFUNCTION("""COMPUTED_VALUE"""),113.0)</f>
        <v>113</v>
      </c>
      <c r="B64" t="str">
        <f>IFERROR(__xludf.DUMMYFUNCTION("""COMPUTED_VALUE"""),"Buck Williams")</f>
        <v>Buck Williams</v>
      </c>
      <c r="C64" t="str">
        <f>IFERROR(__xludf.DUMMYFUNCTION("""COMPUTED_VALUE"""),"Ailier fort")</f>
        <v>Ailier fort</v>
      </c>
      <c r="D64">
        <f>IFERROR(__xludf.DUMMYFUNCTION("""COMPUTED_VALUE"""),16784.0)</f>
        <v>16784</v>
      </c>
      <c r="E64">
        <f>IFERROR(__xludf.DUMMYFUNCTION("""COMPUTED_VALUE"""),1307.0)</f>
        <v>1307</v>
      </c>
      <c r="F64">
        <f>IFERROR(__xludf.DUMMYFUNCTION("""COMPUTED_VALUE"""),12.84)</f>
        <v>12.84</v>
      </c>
      <c r="G64">
        <f>IFERROR(__xludf.DUMMYFUNCTION("""COMPUTED_VALUE"""),6404.0)</f>
        <v>6404</v>
      </c>
      <c r="H64">
        <f>IFERROR(__xludf.DUMMYFUNCTION("""COMPUTED_VALUE"""),5.0)</f>
        <v>5</v>
      </c>
      <c r="I64">
        <f>IFERROR(__xludf.DUMMYFUNCTION("""COMPUTED_VALUE"""),3971.0)</f>
        <v>3971</v>
      </c>
    </row>
    <row r="65">
      <c r="A65">
        <f>IFERROR(__xludf.DUMMYFUNCTION("""COMPUTED_VALUE"""),114.0)</f>
        <v>114</v>
      </c>
      <c r="B65" t="str">
        <f>IFERROR(__xludf.DUMMYFUNCTION("""COMPUTED_VALUE"""),"Latrell Sprewell")</f>
        <v>Latrell Sprewell</v>
      </c>
      <c r="C65" t="str">
        <f>IFERROR(__xludf.DUMMYFUNCTION("""COMPUTED_VALUE"""),"Arrière")</f>
        <v>Arrière</v>
      </c>
      <c r="D65">
        <f>IFERROR(__xludf.DUMMYFUNCTION("""COMPUTED_VALUE"""),16712.0)</f>
        <v>16712</v>
      </c>
      <c r="E65">
        <f>IFERROR(__xludf.DUMMYFUNCTION("""COMPUTED_VALUE"""),913.0)</f>
        <v>913</v>
      </c>
      <c r="F65">
        <f>IFERROR(__xludf.DUMMYFUNCTION("""COMPUTED_VALUE"""),18.3)</f>
        <v>18.3</v>
      </c>
      <c r="G65">
        <f>IFERROR(__xludf.DUMMYFUNCTION("""COMPUTED_VALUE"""),6076.0)</f>
        <v>6076</v>
      </c>
      <c r="H65">
        <f>IFERROR(__xludf.DUMMYFUNCTION("""COMPUTED_VALUE"""),1104.0)</f>
        <v>1104</v>
      </c>
      <c r="I65">
        <f>IFERROR(__xludf.DUMMYFUNCTION("""COMPUTED_VALUE"""),3456.0)</f>
        <v>3456</v>
      </c>
    </row>
    <row r="66">
      <c r="A66">
        <f>IFERROR(__xludf.DUMMYFUNCTION("""COMPUTED_VALUE"""),115.0)</f>
        <v>115</v>
      </c>
      <c r="B66" t="str">
        <f>IFERROR(__xludf.DUMMYFUNCTION("""COMPUTED_VALUE"""),"Mike Conley")</f>
        <v>Mike Conley</v>
      </c>
      <c r="C66" t="str">
        <f>IFERROR(__xludf.DUMMYFUNCTION("""COMPUTED_VALUE"""),"Meneur")</f>
        <v>Meneur</v>
      </c>
      <c r="D66">
        <f>IFERROR(__xludf.DUMMYFUNCTION("""COMPUTED_VALUE"""),16665.0)</f>
        <v>16665</v>
      </c>
      <c r="E66">
        <f>IFERROR(__xludf.DUMMYFUNCTION("""COMPUTED_VALUE"""),1216.0)</f>
        <v>1216</v>
      </c>
      <c r="F66">
        <f>IFERROR(__xludf.DUMMYFUNCTION("""COMPUTED_VALUE"""),13.74)</f>
        <v>13.74</v>
      </c>
      <c r="G66">
        <f>IFERROR(__xludf.DUMMYFUNCTION("""COMPUTED_VALUE"""),5840.0)</f>
        <v>5840</v>
      </c>
      <c r="H66">
        <f>IFERROR(__xludf.DUMMYFUNCTION("""COMPUTED_VALUE"""),1972.0)</f>
        <v>1972</v>
      </c>
      <c r="I66">
        <f>IFERROR(__xludf.DUMMYFUNCTION("""COMPUTED_VALUE"""),3013.0)</f>
        <v>3013</v>
      </c>
      <c r="J66" t="str">
        <f>IFERROR(__xludf.DUMMYFUNCTION("""COMPUTED_VALUE"""),"^")</f>
        <v>^</v>
      </c>
    </row>
    <row r="67">
      <c r="A67">
        <f>IFERROR(__xludf.DUMMYFUNCTION("""COMPUTED_VALUE"""),116.0)</f>
        <v>116</v>
      </c>
      <c r="B67" t="str">
        <f>IFERROR(__xludf.DUMMYFUNCTION("""COMPUTED_VALUE"""),"Jimmy Butler")</f>
        <v>Jimmy Butler</v>
      </c>
      <c r="C67" t="str">
        <f>IFERROR(__xludf.DUMMYFUNCTION("""COMPUTED_VALUE"""),"Ailier")</f>
        <v>Ailier</v>
      </c>
      <c r="D67">
        <f>IFERROR(__xludf.DUMMYFUNCTION("""COMPUTED_VALUE"""),16658.0)</f>
        <v>16658</v>
      </c>
      <c r="E67">
        <f>IFERROR(__xludf.DUMMYFUNCTION("""COMPUTED_VALUE"""),907.0)</f>
        <v>907</v>
      </c>
      <c r="F67">
        <f>IFERROR(__xludf.DUMMYFUNCTION("""COMPUTED_VALUE"""),18.37)</f>
        <v>18.37</v>
      </c>
      <c r="G67">
        <f>IFERROR(__xludf.DUMMYFUNCTION("""COMPUTED_VALUE"""),5387.0)</f>
        <v>5387</v>
      </c>
      <c r="H67">
        <f>IFERROR(__xludf.DUMMYFUNCTION("""COMPUTED_VALUE"""),716.0)</f>
        <v>716</v>
      </c>
      <c r="I67">
        <f>IFERROR(__xludf.DUMMYFUNCTION("""COMPUTED_VALUE"""),5168.0)</f>
        <v>5168</v>
      </c>
      <c r="J67" t="str">
        <f>IFERROR(__xludf.DUMMYFUNCTION("""COMPUTED_VALUE"""),"^")</f>
        <v>^</v>
      </c>
    </row>
    <row r="68">
      <c r="A68">
        <f>IFERROR(__xludf.DUMMYFUNCTION("""COMPUTED_VALUE"""),117.0)</f>
        <v>117</v>
      </c>
      <c r="B68" t="str">
        <f>IFERROR(__xludf.DUMMYFUNCTION("""COMPUTED_VALUE"""),"Nate Archibald")</f>
        <v>Nate Archibald</v>
      </c>
      <c r="C68" t="str">
        <f>IFERROR(__xludf.DUMMYFUNCTION("""COMPUTED_VALUE"""),"Meneur")</f>
        <v>Meneur</v>
      </c>
      <c r="D68">
        <f>IFERROR(__xludf.DUMMYFUNCTION("""COMPUTED_VALUE"""),16481.0)</f>
        <v>16481</v>
      </c>
      <c r="E68">
        <f>IFERROR(__xludf.DUMMYFUNCTION("""COMPUTED_VALUE"""),876.0)</f>
        <v>876</v>
      </c>
      <c r="F68">
        <f>IFERROR(__xludf.DUMMYFUNCTION("""COMPUTED_VALUE"""),18.81)</f>
        <v>18.81</v>
      </c>
      <c r="G68">
        <f>IFERROR(__xludf.DUMMYFUNCTION("""COMPUTED_VALUE"""),5899.0)</f>
        <v>5899</v>
      </c>
      <c r="H68">
        <f>IFERROR(__xludf.DUMMYFUNCTION("""COMPUTED_VALUE"""),19.0)</f>
        <v>19</v>
      </c>
      <c r="I68">
        <f>IFERROR(__xludf.DUMMYFUNCTION("""COMPUTED_VALUE"""),4664.0)</f>
        <v>4664</v>
      </c>
      <c r="J68" t="str">
        <f>IFERROR(__xludf.DUMMYFUNCTION("""COMPUTED_VALUE"""),"*")</f>
        <v>*</v>
      </c>
    </row>
    <row r="69">
      <c r="A69">
        <f>IFERROR(__xludf.DUMMYFUNCTION("""COMPUTED_VALUE"""),118.0)</f>
        <v>118</v>
      </c>
      <c r="B69" t="str">
        <f>IFERROR(__xludf.DUMMYFUNCTION("""COMPUTED_VALUE"""),"Jerry Stackhouse")</f>
        <v>Jerry Stackhouse</v>
      </c>
      <c r="C69" t="str">
        <f>IFERROR(__xludf.DUMMYFUNCTION("""COMPUTED_VALUE"""),"Arrière")</f>
        <v>Arrière</v>
      </c>
      <c r="D69">
        <f>IFERROR(__xludf.DUMMYFUNCTION("""COMPUTED_VALUE"""),16409.0)</f>
        <v>16409</v>
      </c>
      <c r="E69">
        <f>IFERROR(__xludf.DUMMYFUNCTION("""COMPUTED_VALUE"""),970.0)</f>
        <v>970</v>
      </c>
      <c r="F69">
        <f>IFERROR(__xludf.DUMMYFUNCTION("""COMPUTED_VALUE"""),16.92)</f>
        <v>16.92</v>
      </c>
      <c r="G69">
        <f>IFERROR(__xludf.DUMMYFUNCTION("""COMPUTED_VALUE"""),5386.0)</f>
        <v>5386</v>
      </c>
      <c r="H69">
        <f>IFERROR(__xludf.DUMMYFUNCTION("""COMPUTED_VALUE"""),988.0)</f>
        <v>988</v>
      </c>
      <c r="I69">
        <f>IFERROR(__xludf.DUMMYFUNCTION("""COMPUTED_VALUE"""),4649.0)</f>
        <v>4649</v>
      </c>
    </row>
    <row r="70">
      <c r="A70">
        <f>IFERROR(__xludf.DUMMYFUNCTION("""COMPUTED_VALUE"""),119.0)</f>
        <v>119</v>
      </c>
      <c r="B70" t="str">
        <f>IFERROR(__xludf.DUMMYFUNCTION("""COMPUTED_VALUE"""),"Joe Dumars")</f>
        <v>Joe Dumars</v>
      </c>
      <c r="C70" t="str">
        <f>IFERROR(__xludf.DUMMYFUNCTION("""COMPUTED_VALUE"""),"Arrière")</f>
        <v>Arrière</v>
      </c>
      <c r="D70">
        <f>IFERROR(__xludf.DUMMYFUNCTION("""COMPUTED_VALUE"""),16401.0)</f>
        <v>16401</v>
      </c>
      <c r="E70">
        <f>IFERROR(__xludf.DUMMYFUNCTION("""COMPUTED_VALUE"""),1018.0)</f>
        <v>1018</v>
      </c>
      <c r="F70">
        <f>IFERROR(__xludf.DUMMYFUNCTION("""COMPUTED_VALUE"""),16.11)</f>
        <v>16.11</v>
      </c>
      <c r="G70">
        <f>IFERROR(__xludf.DUMMYFUNCTION("""COMPUTED_VALUE"""),5994.0)</f>
        <v>5994</v>
      </c>
      <c r="H70">
        <f>IFERROR(__xludf.DUMMYFUNCTION("""COMPUTED_VALUE"""),990.0)</f>
        <v>990</v>
      </c>
      <c r="I70">
        <f>IFERROR(__xludf.DUMMYFUNCTION("""COMPUTED_VALUE"""),3423.0)</f>
        <v>3423</v>
      </c>
      <c r="J70" t="str">
        <f>IFERROR(__xludf.DUMMYFUNCTION("""COMPUTED_VALUE"""),"*")</f>
        <v>*</v>
      </c>
    </row>
    <row r="71">
      <c r="A71">
        <f>IFERROR(__xludf.DUMMYFUNCTION("""COMPUTED_VALUE"""),120.0)</f>
        <v>120</v>
      </c>
      <c r="B71" t="str">
        <f>IFERROR(__xludf.DUMMYFUNCTION("""COMPUTED_VALUE"""),"C.J. McCollum")</f>
        <v>C.J. McCollum</v>
      </c>
      <c r="C71" t="str">
        <f>IFERROR(__xludf.DUMMYFUNCTION("""COMPUTED_VALUE"""),"Arrière")</f>
        <v>Arrière</v>
      </c>
      <c r="D71">
        <f>IFERROR(__xludf.DUMMYFUNCTION("""COMPUTED_VALUE"""),16371.0)</f>
        <v>16371</v>
      </c>
      <c r="E71">
        <f>IFERROR(__xludf.DUMMYFUNCTION("""COMPUTED_VALUE"""),838.0)</f>
        <v>838</v>
      </c>
      <c r="F71">
        <f>IFERROR(__xludf.DUMMYFUNCTION("""COMPUTED_VALUE"""),19.52)</f>
        <v>19.52</v>
      </c>
      <c r="G71">
        <f>IFERROR(__xludf.DUMMYFUNCTION("""COMPUTED_VALUE"""),6225.0)</f>
        <v>6225</v>
      </c>
      <c r="H71">
        <f>IFERROR(__xludf.DUMMYFUNCTION("""COMPUTED_VALUE"""),2121.0)</f>
        <v>2121</v>
      </c>
      <c r="I71">
        <f>IFERROR(__xludf.DUMMYFUNCTION("""COMPUTED_VALUE"""),1800.0)</f>
        <v>1800</v>
      </c>
      <c r="J71" t="str">
        <f>IFERROR(__xludf.DUMMYFUNCTION("""COMPUTED_VALUE"""),"^")</f>
        <v>^</v>
      </c>
    </row>
    <row r="72">
      <c r="A72">
        <f>IFERROR(__xludf.DUMMYFUNCTION("""COMPUTED_VALUE"""),121.0)</f>
        <v>121</v>
      </c>
      <c r="B72" t="str">
        <f>IFERROR(__xludf.DUMMYFUNCTION("""COMPUTED_VALUE"""),"Kyle Lowry")</f>
        <v>Kyle Lowry</v>
      </c>
      <c r="C72" t="str">
        <f>IFERROR(__xludf.DUMMYFUNCTION("""COMPUTED_VALUE"""),"Meneur")</f>
        <v>Meneur</v>
      </c>
      <c r="D72">
        <f>IFERROR(__xludf.DUMMYFUNCTION("""COMPUTED_VALUE"""),16368.0)</f>
        <v>16368</v>
      </c>
      <c r="E72">
        <f>IFERROR(__xludf.DUMMYFUNCTION("""COMPUTED_VALUE"""),1180.0)</f>
        <v>1180</v>
      </c>
      <c r="F72">
        <f>IFERROR(__xludf.DUMMYFUNCTION("""COMPUTED_VALUE"""),13.88)</f>
        <v>13.88</v>
      </c>
      <c r="G72">
        <f>IFERROR(__xludf.DUMMYFUNCTION("""COMPUTED_VALUE"""),5253.0)</f>
        <v>5253</v>
      </c>
      <c r="H72">
        <f>IFERROR(__xludf.DUMMYFUNCTION("""COMPUTED_VALUE"""),2208.0)</f>
        <v>2208</v>
      </c>
      <c r="I72">
        <f>IFERROR(__xludf.DUMMYFUNCTION("""COMPUTED_VALUE"""),3654.0)</f>
        <v>3654</v>
      </c>
      <c r="J72" t="str">
        <f>IFERROR(__xludf.DUMMYFUNCTION("""COMPUTED_VALUE"""),"^")</f>
        <v>^</v>
      </c>
    </row>
    <row r="73">
      <c r="A73">
        <f>IFERROR(__xludf.DUMMYFUNCTION("""COMPUTED_VALUE"""),122.0)</f>
        <v>122</v>
      </c>
      <c r="B73" t="str">
        <f>IFERROR(__xludf.DUMMYFUNCTION("""COMPUTED_VALUE"""),"James Worthy")</f>
        <v>James Worthy</v>
      </c>
      <c r="C73" t="str">
        <f>IFERROR(__xludf.DUMMYFUNCTION("""COMPUTED_VALUE"""),"Ailier")</f>
        <v>Ailier</v>
      </c>
      <c r="D73">
        <f>IFERROR(__xludf.DUMMYFUNCTION("""COMPUTED_VALUE"""),16320.0)</f>
        <v>16320</v>
      </c>
      <c r="E73">
        <f>IFERROR(__xludf.DUMMYFUNCTION("""COMPUTED_VALUE"""),926.0)</f>
        <v>926</v>
      </c>
      <c r="F73">
        <f>IFERROR(__xludf.DUMMYFUNCTION("""COMPUTED_VALUE"""),17.62)</f>
        <v>17.62</v>
      </c>
      <c r="G73">
        <f>IFERROR(__xludf.DUMMYFUNCTION("""COMPUTED_VALUE"""),6878.0)</f>
        <v>6878</v>
      </c>
      <c r="H73">
        <f>IFERROR(__xludf.DUMMYFUNCTION("""COMPUTED_VALUE"""),117.0)</f>
        <v>117</v>
      </c>
      <c r="I73">
        <f>IFERROR(__xludf.DUMMYFUNCTION("""COMPUTED_VALUE"""),2447.0)</f>
        <v>2447</v>
      </c>
      <c r="J73" t="str">
        <f>IFERROR(__xludf.DUMMYFUNCTION("""COMPUTED_VALUE"""),"*")</f>
        <v>*</v>
      </c>
    </row>
    <row r="74">
      <c r="A74">
        <f>IFERROR(__xludf.DUMMYFUNCTION("""COMPUTED_VALUE"""),123.0)</f>
        <v>123</v>
      </c>
      <c r="B74" t="str">
        <f>IFERROR(__xludf.DUMMYFUNCTION("""COMPUTED_VALUE"""),"Stephon Marbury")</f>
        <v>Stephon Marbury</v>
      </c>
      <c r="C74" t="str">
        <f>IFERROR(__xludf.DUMMYFUNCTION("""COMPUTED_VALUE"""),"Meneur")</f>
        <v>Meneur</v>
      </c>
      <c r="D74">
        <f>IFERROR(__xludf.DUMMYFUNCTION("""COMPUTED_VALUE"""),16297.0)</f>
        <v>16297</v>
      </c>
      <c r="E74">
        <f>IFERROR(__xludf.DUMMYFUNCTION("""COMPUTED_VALUE"""),846.0)</f>
        <v>846</v>
      </c>
      <c r="F74">
        <f>IFERROR(__xludf.DUMMYFUNCTION("""COMPUTED_VALUE"""),19.26)</f>
        <v>19.26</v>
      </c>
      <c r="G74">
        <f>IFERROR(__xludf.DUMMYFUNCTION("""COMPUTED_VALUE"""),5769.0)</f>
        <v>5769</v>
      </c>
      <c r="H74">
        <f>IFERROR(__xludf.DUMMYFUNCTION("""COMPUTED_VALUE"""),991.0)</f>
        <v>991</v>
      </c>
      <c r="I74">
        <f>IFERROR(__xludf.DUMMYFUNCTION("""COMPUTED_VALUE"""),3768.0)</f>
        <v>3768</v>
      </c>
    </row>
    <row r="75">
      <c r="A75">
        <f>IFERROR(__xludf.DUMMYFUNCTION("""COMPUTED_VALUE"""),124.0)</f>
        <v>124</v>
      </c>
      <c r="B75" t="str">
        <f>IFERROR(__xludf.DUMMYFUNCTION("""COMPUTED_VALUE"""),"Andre Miller")</f>
        <v>Andre Miller</v>
      </c>
      <c r="C75" t="str">
        <f>IFERROR(__xludf.DUMMYFUNCTION("""COMPUTED_VALUE"""),"Meneur")</f>
        <v>Meneur</v>
      </c>
      <c r="D75">
        <f>IFERROR(__xludf.DUMMYFUNCTION("""COMPUTED_VALUE"""),16278.0)</f>
        <v>16278</v>
      </c>
      <c r="E75">
        <f>IFERROR(__xludf.DUMMYFUNCTION("""COMPUTED_VALUE"""),1304.0)</f>
        <v>1304</v>
      </c>
      <c r="F75">
        <f>IFERROR(__xludf.DUMMYFUNCTION("""COMPUTED_VALUE"""),12.48)</f>
        <v>12.48</v>
      </c>
      <c r="G75">
        <f>IFERROR(__xludf.DUMMYFUNCTION("""COMPUTED_VALUE"""),6035.0)</f>
        <v>6035</v>
      </c>
      <c r="H75">
        <f>IFERROR(__xludf.DUMMYFUNCTION("""COMPUTED_VALUE"""),193.0)</f>
        <v>193</v>
      </c>
      <c r="I75">
        <f>IFERROR(__xludf.DUMMYFUNCTION("""COMPUTED_VALUE"""),4015.0)</f>
        <v>4015</v>
      </c>
    </row>
    <row r="76">
      <c r="A76">
        <f>IFERROR(__xludf.DUMMYFUNCTION("""COMPUTED_VALUE"""),125.0)</f>
        <v>125</v>
      </c>
      <c r="B76" t="str">
        <f>IFERROR(__xludf.DUMMYFUNCTION("""COMPUTED_VALUE"""),"Paul Arizin")</f>
        <v>Paul Arizin</v>
      </c>
      <c r="C76" t="str">
        <f>IFERROR(__xludf.DUMMYFUNCTION("""COMPUTED_VALUE"""),"Ailier")</f>
        <v>Ailier</v>
      </c>
      <c r="D76">
        <f>IFERROR(__xludf.DUMMYFUNCTION("""COMPUTED_VALUE"""),16266.0)</f>
        <v>16266</v>
      </c>
      <c r="E76">
        <f>IFERROR(__xludf.DUMMYFUNCTION("""COMPUTED_VALUE"""),713.0)</f>
        <v>713</v>
      </c>
      <c r="F76">
        <f>IFERROR(__xludf.DUMMYFUNCTION("""COMPUTED_VALUE"""),22.81)</f>
        <v>22.81</v>
      </c>
      <c r="G76">
        <f>IFERROR(__xludf.DUMMYFUNCTION("""COMPUTED_VALUE"""),5628.0)</f>
        <v>5628</v>
      </c>
      <c r="H76">
        <f>IFERROR(__xludf.DUMMYFUNCTION("""COMPUTED_VALUE"""),0.0)</f>
        <v>0</v>
      </c>
      <c r="I76">
        <f>IFERROR(__xludf.DUMMYFUNCTION("""COMPUTED_VALUE"""),5010.0)</f>
        <v>5010</v>
      </c>
      <c r="J76" t="str">
        <f>IFERROR(__xludf.DUMMYFUNCTION("""COMPUTED_VALUE"""),"*")</f>
        <v>*</v>
      </c>
    </row>
    <row r="77">
      <c r="A77">
        <f>IFERROR(__xludf.DUMMYFUNCTION("""COMPUTED_VALUE"""),126.0)</f>
        <v>126</v>
      </c>
      <c r="B77" t="str">
        <f>IFERROR(__xludf.DUMMYFUNCTION("""COMPUTED_VALUE"""),"Randy Smith")</f>
        <v>Randy Smith</v>
      </c>
      <c r="C77" t="str">
        <f>IFERROR(__xludf.DUMMYFUNCTION("""COMPUTED_VALUE"""),"Arrière")</f>
        <v>Arrière</v>
      </c>
      <c r="D77">
        <f>IFERROR(__xludf.DUMMYFUNCTION("""COMPUTED_VALUE"""),16262.0)</f>
        <v>16262</v>
      </c>
      <c r="E77">
        <f>IFERROR(__xludf.DUMMYFUNCTION("""COMPUTED_VALUE"""),976.0)</f>
        <v>976</v>
      </c>
      <c r="F77">
        <f>IFERROR(__xludf.DUMMYFUNCTION("""COMPUTED_VALUE"""),16.66)</f>
        <v>16.66</v>
      </c>
      <c r="G77">
        <f>IFERROR(__xludf.DUMMYFUNCTION("""COMPUTED_VALUE"""),6676.0)</f>
        <v>6676</v>
      </c>
      <c r="H77">
        <f>IFERROR(__xludf.DUMMYFUNCTION("""COMPUTED_VALUE"""),17.0)</f>
        <v>17</v>
      </c>
      <c r="I77">
        <f>IFERROR(__xludf.DUMMYFUNCTION("""COMPUTED_VALUE"""),2893.0)</f>
        <v>2893</v>
      </c>
    </row>
    <row r="78">
      <c r="A78">
        <f>IFERROR(__xludf.DUMMYFUNCTION("""COMPUTED_VALUE"""),127.0)</f>
        <v>127</v>
      </c>
      <c r="B78" t="str">
        <f>IFERROR(__xludf.DUMMYFUNCTION("""COMPUTED_VALUE"""),"Juwan Howard")</f>
        <v>Juwan Howard</v>
      </c>
      <c r="C78" t="str">
        <f>IFERROR(__xludf.DUMMYFUNCTION("""COMPUTED_VALUE"""),"Ailier fort")</f>
        <v>Ailier fort</v>
      </c>
      <c r="D78">
        <f>IFERROR(__xludf.DUMMYFUNCTION("""COMPUTED_VALUE"""),16159.0)</f>
        <v>16159</v>
      </c>
      <c r="E78">
        <f>IFERROR(__xludf.DUMMYFUNCTION("""COMPUTED_VALUE"""),1208.0)</f>
        <v>1208</v>
      </c>
      <c r="F78">
        <f>IFERROR(__xludf.DUMMYFUNCTION("""COMPUTED_VALUE"""),13.38)</f>
        <v>13.38</v>
      </c>
      <c r="G78">
        <f>IFERROR(__xludf.DUMMYFUNCTION("""COMPUTED_VALUE"""),6543.0)</f>
        <v>6543</v>
      </c>
      <c r="H78">
        <f>IFERROR(__xludf.DUMMYFUNCTION("""COMPUTED_VALUE"""),6.0)</f>
        <v>6</v>
      </c>
      <c r="I78">
        <f>IFERROR(__xludf.DUMMYFUNCTION("""COMPUTED_VALUE"""),3067.0)</f>
        <v>3067</v>
      </c>
    </row>
    <row r="79">
      <c r="A79">
        <f>IFERROR(__xludf.DUMMYFUNCTION("""COMPUTED_VALUE"""),128.0)</f>
        <v>128</v>
      </c>
      <c r="B79" t="str">
        <f>IFERROR(__xludf.DUMMYFUNCTION("""COMPUTED_VALUE"""),"Tobias Harris")</f>
        <v>Tobias Harris</v>
      </c>
      <c r="C79" t="str">
        <f>IFERROR(__xludf.DUMMYFUNCTION("""COMPUTED_VALUE"""),"Ailier fort")</f>
        <v>Ailier fort</v>
      </c>
      <c r="D79">
        <f>IFERROR(__xludf.DUMMYFUNCTION("""COMPUTED_VALUE"""),16101.0)</f>
        <v>16101</v>
      </c>
      <c r="E79">
        <f>IFERROR(__xludf.DUMMYFUNCTION("""COMPUTED_VALUE"""),1007.0)</f>
        <v>1007</v>
      </c>
      <c r="F79">
        <f>IFERROR(__xludf.DUMMYFUNCTION("""COMPUTED_VALUE"""),16.0)</f>
        <v>16</v>
      </c>
      <c r="G79">
        <f>IFERROR(__xludf.DUMMYFUNCTION("""COMPUTED_VALUE"""),6155.0)</f>
        <v>6155</v>
      </c>
      <c r="H79">
        <f>IFERROR(__xludf.DUMMYFUNCTION("""COMPUTED_VALUE"""),1361.0)</f>
        <v>1361</v>
      </c>
      <c r="I79">
        <f>IFERROR(__xludf.DUMMYFUNCTION("""COMPUTED_VALUE"""),2430.0)</f>
        <v>2430</v>
      </c>
      <c r="J79" t="str">
        <f>IFERROR(__xludf.DUMMYFUNCTION("""COMPUTED_VALUE"""),"^")</f>
        <v>^</v>
      </c>
    </row>
    <row r="80">
      <c r="A80">
        <f>IFERROR(__xludf.DUMMYFUNCTION("""COMPUTED_VALUE"""),129.0)</f>
        <v>129</v>
      </c>
      <c r="B80" t="str">
        <f>IFERROR(__xludf.DUMMYFUNCTION("""COMPUTED_VALUE"""),"Derek Harper")</f>
        <v>Derek Harper</v>
      </c>
      <c r="C80" t="str">
        <f>IFERROR(__xludf.DUMMYFUNCTION("""COMPUTED_VALUE"""),"Meneur")</f>
        <v>Meneur</v>
      </c>
      <c r="D80">
        <f>IFERROR(__xludf.DUMMYFUNCTION("""COMPUTED_VALUE"""),16006.0)</f>
        <v>16006</v>
      </c>
      <c r="E80">
        <f>IFERROR(__xludf.DUMMYFUNCTION("""COMPUTED_VALUE"""),1199.0)</f>
        <v>1199</v>
      </c>
      <c r="F80">
        <f>IFERROR(__xludf.DUMMYFUNCTION("""COMPUTED_VALUE"""),13.35)</f>
        <v>13.35</v>
      </c>
      <c r="G80">
        <f>IFERROR(__xludf.DUMMYFUNCTION("""COMPUTED_VALUE"""),6192.0)</f>
        <v>6192</v>
      </c>
      <c r="H80">
        <f>IFERROR(__xludf.DUMMYFUNCTION("""COMPUTED_VALUE"""),1070.0)</f>
        <v>1070</v>
      </c>
      <c r="I80">
        <f>IFERROR(__xludf.DUMMYFUNCTION("""COMPUTED_VALUE"""),2554.0)</f>
        <v>2554</v>
      </c>
    </row>
    <row r="81">
      <c r="B81" t="str">
        <f>IFERROR(__xludf.DUMMYFUNCTION("""COMPUTED_VALUE"""),"Rasheed Wallace")</f>
        <v>Rasheed Wallace</v>
      </c>
      <c r="C81" t="str">
        <f>IFERROR(__xludf.DUMMYFUNCTION("""COMPUTED_VALUE"""),"Ailier fort")</f>
        <v>Ailier fort</v>
      </c>
      <c r="D81">
        <f>IFERROR(__xludf.DUMMYFUNCTION("""COMPUTED_VALUE"""),16006.0)</f>
        <v>16006</v>
      </c>
      <c r="E81">
        <f>IFERROR(__xludf.DUMMYFUNCTION("""COMPUTED_VALUE"""),1109.0)</f>
        <v>1109</v>
      </c>
      <c r="F81">
        <f>IFERROR(__xludf.DUMMYFUNCTION("""COMPUTED_VALUE"""),14.43)</f>
        <v>14.43</v>
      </c>
      <c r="G81">
        <f>IFERROR(__xludf.DUMMYFUNCTION("""COMPUTED_VALUE"""),6320.0)</f>
        <v>6320</v>
      </c>
      <c r="H81">
        <f>IFERROR(__xludf.DUMMYFUNCTION("""COMPUTED_VALUE"""),1086.0)</f>
        <v>1086</v>
      </c>
      <c r="I81">
        <f>IFERROR(__xludf.DUMMYFUNCTION("""COMPUTED_VALUE"""),2280.0)</f>
        <v>2280</v>
      </c>
    </row>
    <row r="82">
      <c r="A82">
        <f>IFERROR(__xludf.DUMMYFUNCTION("""COMPUTED_VALUE"""),131.0)</f>
        <v>131</v>
      </c>
      <c r="B82" t="str">
        <f>IFERROR(__xludf.DUMMYFUNCTION("""COMPUTED_VALUE"""),"Amar'e Stoudemire")</f>
        <v>Amar'e Stoudemire</v>
      </c>
      <c r="C82" t="str">
        <f>IFERROR(__xludf.DUMMYFUNCTION("""COMPUTED_VALUE"""),"Ailier fort")</f>
        <v>Ailier fort</v>
      </c>
      <c r="D82">
        <f>IFERROR(__xludf.DUMMYFUNCTION("""COMPUTED_VALUE"""),15994.0)</f>
        <v>15994</v>
      </c>
      <c r="E82">
        <f>IFERROR(__xludf.DUMMYFUNCTION("""COMPUTED_VALUE"""),846.0)</f>
        <v>846</v>
      </c>
      <c r="F82">
        <f>IFERROR(__xludf.DUMMYFUNCTION("""COMPUTED_VALUE"""),18.91)</f>
        <v>18.91</v>
      </c>
      <c r="G82">
        <f>IFERROR(__xludf.DUMMYFUNCTION("""COMPUTED_VALUE"""),5911.0)</f>
        <v>5911</v>
      </c>
      <c r="H82">
        <f>IFERROR(__xludf.DUMMYFUNCTION("""COMPUTED_VALUE"""),30.0)</f>
        <v>30</v>
      </c>
      <c r="I82">
        <f>IFERROR(__xludf.DUMMYFUNCTION("""COMPUTED_VALUE"""),4142.0)</f>
        <v>4142</v>
      </c>
    </row>
    <row r="83">
      <c r="A83">
        <f>IFERROR(__xludf.DUMMYFUNCTION("""COMPUTED_VALUE"""),132.0)</f>
        <v>132</v>
      </c>
      <c r="B83" t="str">
        <f>IFERROR(__xludf.DUMMYFUNCTION("""COMPUTED_VALUE"""),"Kiki Vandeweghe")</f>
        <v>Kiki Vandeweghe</v>
      </c>
      <c r="C83" t="str">
        <f>IFERROR(__xludf.DUMMYFUNCTION("""COMPUTED_VALUE"""),"Ailier")</f>
        <v>Ailier</v>
      </c>
      <c r="D83">
        <f>IFERROR(__xludf.DUMMYFUNCTION("""COMPUTED_VALUE"""),15980.0)</f>
        <v>15980</v>
      </c>
      <c r="E83">
        <f>IFERROR(__xludf.DUMMYFUNCTION("""COMPUTED_VALUE"""),810.0)</f>
        <v>810</v>
      </c>
      <c r="F83">
        <f>IFERROR(__xludf.DUMMYFUNCTION("""COMPUTED_VALUE"""),19.73)</f>
        <v>19.73</v>
      </c>
      <c r="G83">
        <f>IFERROR(__xludf.DUMMYFUNCTION("""COMPUTED_VALUE"""),6139.0)</f>
        <v>6139</v>
      </c>
      <c r="H83">
        <f>IFERROR(__xludf.DUMMYFUNCTION("""COMPUTED_VALUE"""),218.0)</f>
        <v>218</v>
      </c>
      <c r="I83">
        <f>IFERROR(__xludf.DUMMYFUNCTION("""COMPUTED_VALUE"""),3484.0)</f>
        <v>3484</v>
      </c>
    </row>
    <row r="84">
      <c r="A84">
        <f>IFERROR(__xludf.DUMMYFUNCTION("""COMPUTED_VALUE"""),133.0)</f>
        <v>133</v>
      </c>
      <c r="B84" t="str">
        <f>IFERROR(__xludf.DUMMYFUNCTION("""COMPUTED_VALUE"""),"Pete Maravich")</f>
        <v>Pete Maravich</v>
      </c>
      <c r="C84" t="str">
        <f>IFERROR(__xludf.DUMMYFUNCTION("""COMPUTED_VALUE"""),"Arrière")</f>
        <v>Arrière</v>
      </c>
      <c r="D84">
        <f>IFERROR(__xludf.DUMMYFUNCTION("""COMPUTED_VALUE"""),15948.0)</f>
        <v>15948</v>
      </c>
      <c r="E84">
        <f>IFERROR(__xludf.DUMMYFUNCTION("""COMPUTED_VALUE"""),658.0)</f>
        <v>658</v>
      </c>
      <c r="F84">
        <f>IFERROR(__xludf.DUMMYFUNCTION("""COMPUTED_VALUE"""),24.24)</f>
        <v>24.24</v>
      </c>
      <c r="G84">
        <f>IFERROR(__xludf.DUMMYFUNCTION("""COMPUTED_VALUE"""),6187.0)</f>
        <v>6187</v>
      </c>
      <c r="H84">
        <f>IFERROR(__xludf.DUMMYFUNCTION("""COMPUTED_VALUE"""),10.0)</f>
        <v>10</v>
      </c>
      <c r="I84">
        <f>IFERROR(__xludf.DUMMYFUNCTION("""COMPUTED_VALUE"""),3564.0)</f>
        <v>3564</v>
      </c>
      <c r="J84" t="str">
        <f>IFERROR(__xludf.DUMMYFUNCTION("""COMPUTED_VALUE"""),"*")</f>
        <v>*</v>
      </c>
    </row>
    <row r="85">
      <c r="A85">
        <f>IFERROR(__xludf.DUMMYFUNCTION("""COMPUTED_VALUE"""),134.0)</f>
        <v>134</v>
      </c>
      <c r="B85" t="str">
        <f>IFERROR(__xludf.DUMMYFUNCTION("""COMPUTED_VALUE"""),"Karl-Anthony Towns")</f>
        <v>Karl-Anthony Towns</v>
      </c>
      <c r="C85" t="str">
        <f>IFERROR(__xludf.DUMMYFUNCTION("""COMPUTED_VALUE"""),"Pivot")</f>
        <v>Pivot</v>
      </c>
      <c r="D85">
        <f>IFERROR(__xludf.DUMMYFUNCTION("""COMPUTED_VALUE"""),15890.0)</f>
        <v>15890</v>
      </c>
      <c r="E85">
        <f>IFERROR(__xludf.DUMMYFUNCTION("""COMPUTED_VALUE"""),696.0)</f>
        <v>696</v>
      </c>
      <c r="F85">
        <f>IFERROR(__xludf.DUMMYFUNCTION("""COMPUTED_VALUE"""),22.85)</f>
        <v>22.85</v>
      </c>
      <c r="G85">
        <f>IFERROR(__xludf.DUMMYFUNCTION("""COMPUTED_VALUE"""),5793.0)</f>
        <v>5793</v>
      </c>
      <c r="H85">
        <f>IFERROR(__xludf.DUMMYFUNCTION("""COMPUTED_VALUE"""),1197.0)</f>
        <v>1197</v>
      </c>
      <c r="I85">
        <f>IFERROR(__xludf.DUMMYFUNCTION("""COMPUTED_VALUE"""),3107.0)</f>
        <v>3107</v>
      </c>
      <c r="J85" t="str">
        <f>IFERROR(__xludf.DUMMYFUNCTION("""COMPUTED_VALUE"""),"^")</f>
        <v>^</v>
      </c>
    </row>
    <row r="86">
      <c r="A86">
        <f>IFERROR(__xludf.DUMMYFUNCTION("""COMPUTED_VALUE"""),135.0)</f>
        <v>135</v>
      </c>
      <c r="B86" t="str">
        <f>IFERROR(__xludf.DUMMYFUNCTION("""COMPUTED_VALUE"""),"Kawhi Leonard")</f>
        <v>Kawhi Leonard</v>
      </c>
      <c r="C86" t="str">
        <f>IFERROR(__xludf.DUMMYFUNCTION("""COMPUTED_VALUE"""),"Ailier")</f>
        <v>Ailier</v>
      </c>
      <c r="D86">
        <f>IFERROR(__xludf.DUMMYFUNCTION("""COMPUTED_VALUE"""),15876.0)</f>
        <v>15876</v>
      </c>
      <c r="E86">
        <f>IFERROR(__xludf.DUMMYFUNCTION("""COMPUTED_VALUE"""),774.0)</f>
        <v>774</v>
      </c>
      <c r="F86">
        <f>IFERROR(__xludf.DUMMYFUNCTION("""COMPUTED_VALUE"""),20.47)</f>
        <v>20.47</v>
      </c>
      <c r="G86">
        <f>IFERROR(__xludf.DUMMYFUNCTION("""COMPUTED_VALUE"""),5749.0)</f>
        <v>5749</v>
      </c>
      <c r="H86">
        <f>IFERROR(__xludf.DUMMYFUNCTION("""COMPUTED_VALUE"""),1297.0)</f>
        <v>1297</v>
      </c>
      <c r="I86">
        <f>IFERROR(__xludf.DUMMYFUNCTION("""COMPUTED_VALUE"""),3081.0)</f>
        <v>3081</v>
      </c>
      <c r="J86" t="str">
        <f>IFERROR(__xludf.DUMMYFUNCTION("""COMPUTED_VALUE"""),"^")</f>
        <v>^</v>
      </c>
    </row>
    <row r="87">
      <c r="A87">
        <f>IFERROR(__xludf.DUMMYFUNCTION("""COMPUTED_VALUE"""),136.0)</f>
        <v>136</v>
      </c>
      <c r="B87" t="str">
        <f>IFERROR(__xludf.DUMMYFUNCTION("""COMPUTED_VALUE"""),"Jack Twyman")</f>
        <v>Jack Twyman</v>
      </c>
      <c r="C87" t="str">
        <f>IFERROR(__xludf.DUMMYFUNCTION("""COMPUTED_VALUE"""),"Ailier")</f>
        <v>Ailier</v>
      </c>
      <c r="D87">
        <f>IFERROR(__xludf.DUMMYFUNCTION("""COMPUTED_VALUE"""),15840.0)</f>
        <v>15840</v>
      </c>
      <c r="E87">
        <f>IFERROR(__xludf.DUMMYFUNCTION("""COMPUTED_VALUE"""),823.0)</f>
        <v>823</v>
      </c>
      <c r="F87">
        <f>IFERROR(__xludf.DUMMYFUNCTION("""COMPUTED_VALUE"""),19.25)</f>
        <v>19.25</v>
      </c>
      <c r="G87">
        <f>IFERROR(__xludf.DUMMYFUNCTION("""COMPUTED_VALUE"""),6237.0)</f>
        <v>6237</v>
      </c>
      <c r="H87">
        <f>IFERROR(__xludf.DUMMYFUNCTION("""COMPUTED_VALUE"""),0.0)</f>
        <v>0</v>
      </c>
      <c r="I87">
        <f>IFERROR(__xludf.DUMMYFUNCTION("""COMPUTED_VALUE"""),3366.0)</f>
        <v>3366</v>
      </c>
      <c r="J87" t="str">
        <f>IFERROR(__xludf.DUMMYFUNCTION("""COMPUTED_VALUE"""),"*")</f>
        <v>*</v>
      </c>
    </row>
    <row r="88">
      <c r="A88">
        <f>IFERROR(__xludf.DUMMYFUNCTION("""COMPUTED_VALUE"""),137.0)</f>
        <v>137</v>
      </c>
      <c r="B88" t="str">
        <f>IFERROR(__xludf.DUMMYFUNCTION("""COMPUTED_VALUE"""),"Chauncey Billups")</f>
        <v>Chauncey Billups</v>
      </c>
      <c r="C88" t="str">
        <f>IFERROR(__xludf.DUMMYFUNCTION("""COMPUTED_VALUE"""),"Meneur")</f>
        <v>Meneur</v>
      </c>
      <c r="D88">
        <f>IFERROR(__xludf.DUMMYFUNCTION("""COMPUTED_VALUE"""),15802.0)</f>
        <v>15802</v>
      </c>
      <c r="E88">
        <f>IFERROR(__xludf.DUMMYFUNCTION("""COMPUTED_VALUE"""),1043.0)</f>
        <v>1043</v>
      </c>
      <c r="F88">
        <f>IFERROR(__xludf.DUMMYFUNCTION("""COMPUTED_VALUE"""),15.15)</f>
        <v>15.15</v>
      </c>
      <c r="G88">
        <f>IFERROR(__xludf.DUMMYFUNCTION("""COMPUTED_VALUE"""),4738.0)</f>
        <v>4738</v>
      </c>
      <c r="H88">
        <f>IFERROR(__xludf.DUMMYFUNCTION("""COMPUTED_VALUE"""),1830.0)</f>
        <v>1830</v>
      </c>
      <c r="I88">
        <f>IFERROR(__xludf.DUMMYFUNCTION("""COMPUTED_VALUE"""),4496.0)</f>
        <v>4496</v>
      </c>
      <c r="J88" t="str">
        <f>IFERROR(__xludf.DUMMYFUNCTION("""COMPUTED_VALUE"""),"*")</f>
        <v>*</v>
      </c>
    </row>
    <row r="89">
      <c r="A89">
        <f>IFERROR(__xludf.DUMMYFUNCTION("""COMPUTED_VALUE"""),138.0)</f>
        <v>138</v>
      </c>
      <c r="B89" t="str">
        <f>IFERROR(__xludf.DUMMYFUNCTION("""COMPUTED_VALUE"""),"Detlef Schrempf")</f>
        <v>Detlef Schrempf</v>
      </c>
      <c r="C89" t="str">
        <f>IFERROR(__xludf.DUMMYFUNCTION("""COMPUTED_VALUE"""),"Ailier fort")</f>
        <v>Ailier fort</v>
      </c>
      <c r="D89">
        <f>IFERROR(__xludf.DUMMYFUNCTION("""COMPUTED_VALUE"""),15761.0)</f>
        <v>15761</v>
      </c>
      <c r="E89">
        <f>IFERROR(__xludf.DUMMYFUNCTION("""COMPUTED_VALUE"""),1163.0)</f>
        <v>1163</v>
      </c>
      <c r="F89">
        <f>IFERROR(__xludf.DUMMYFUNCTION("""COMPUTED_VALUE"""),13.55)</f>
        <v>13.55</v>
      </c>
      <c r="G89">
        <f>IFERROR(__xludf.DUMMYFUNCTION("""COMPUTED_VALUE"""),5400.0)</f>
        <v>5400</v>
      </c>
      <c r="H89">
        <f>IFERROR(__xludf.DUMMYFUNCTION("""COMPUTED_VALUE"""),475.0)</f>
        <v>475</v>
      </c>
      <c r="I89">
        <f>IFERROR(__xludf.DUMMYFUNCTION("""COMPUTED_VALUE"""),4486.0)</f>
        <v>4486</v>
      </c>
    </row>
    <row r="90">
      <c r="A90">
        <f>IFERROR(__xludf.DUMMYFUNCTION("""COMPUTED_VALUE"""),139.0)</f>
        <v>139</v>
      </c>
      <c r="B90" t="str">
        <f>IFERROR(__xludf.DUMMYFUNCTION("""COMPUTED_VALUE"""),"Richard Hamilton")</f>
        <v>Richard Hamilton</v>
      </c>
      <c r="C90" t="str">
        <f>IFERROR(__xludf.DUMMYFUNCTION("""COMPUTED_VALUE"""),"Arrière")</f>
        <v>Arrière</v>
      </c>
      <c r="D90">
        <f>IFERROR(__xludf.DUMMYFUNCTION("""COMPUTED_VALUE"""),15708.0)</f>
        <v>15708</v>
      </c>
      <c r="E90">
        <f>IFERROR(__xludf.DUMMYFUNCTION("""COMPUTED_VALUE"""),921.0)</f>
        <v>921</v>
      </c>
      <c r="F90">
        <f>IFERROR(__xludf.DUMMYFUNCTION("""COMPUTED_VALUE"""),17.06)</f>
        <v>17.06</v>
      </c>
      <c r="G90">
        <f>IFERROR(__xludf.DUMMYFUNCTION("""COMPUTED_VALUE"""),5969.0)</f>
        <v>5969</v>
      </c>
      <c r="H90">
        <f>IFERROR(__xludf.DUMMYFUNCTION("""COMPUTED_VALUE"""),530.0)</f>
        <v>530</v>
      </c>
      <c r="I90">
        <f>IFERROR(__xludf.DUMMYFUNCTION("""COMPUTED_VALUE"""),3240.0)</f>
        <v>3240</v>
      </c>
    </row>
    <row r="91">
      <c r="A91">
        <f>IFERROR(__xludf.DUMMYFUNCTION("""COMPUTED_VALUE"""),140.0)</f>
        <v>140</v>
      </c>
      <c r="B91" t="str">
        <f>IFERROR(__xludf.DUMMYFUNCTION("""COMPUTED_VALUE"""),"Larry Nance")</f>
        <v>Larry Nance</v>
      </c>
      <c r="C91" t="str">
        <f>IFERROR(__xludf.DUMMYFUNCTION("""COMPUTED_VALUE"""),"Ailier fort")</f>
        <v>Ailier fort</v>
      </c>
      <c r="D91">
        <f>IFERROR(__xludf.DUMMYFUNCTION("""COMPUTED_VALUE"""),15687.0)</f>
        <v>15687</v>
      </c>
      <c r="E91">
        <f>IFERROR(__xludf.DUMMYFUNCTION("""COMPUTED_VALUE"""),920.0)</f>
        <v>920</v>
      </c>
      <c r="F91">
        <f>IFERROR(__xludf.DUMMYFUNCTION("""COMPUTED_VALUE"""),17.05)</f>
        <v>17.05</v>
      </c>
      <c r="G91">
        <f>IFERROR(__xludf.DUMMYFUNCTION("""COMPUTED_VALUE"""),6370.0)</f>
        <v>6370</v>
      </c>
      <c r="H91">
        <f>IFERROR(__xludf.DUMMYFUNCTION("""COMPUTED_VALUE"""),8.0)</f>
        <v>8</v>
      </c>
      <c r="I91">
        <f>IFERROR(__xludf.DUMMYFUNCTION("""COMPUTED_VALUE"""),2939.0)</f>
        <v>2939</v>
      </c>
    </row>
    <row r="92">
      <c r="A92">
        <f>IFERROR(__xludf.DUMMYFUNCTION("""COMPUTED_VALUE"""),141.0)</f>
        <v>141</v>
      </c>
      <c r="B92" t="str">
        <f>IFERROR(__xludf.DUMMYFUNCTION("""COMPUTED_VALUE"""),"Jeff Hornacek")</f>
        <v>Jeff Hornacek</v>
      </c>
      <c r="C92" t="str">
        <f>IFERROR(__xludf.DUMMYFUNCTION("""COMPUTED_VALUE"""),"Arrière")</f>
        <v>Arrière</v>
      </c>
      <c r="D92">
        <f>IFERROR(__xludf.DUMMYFUNCTION("""COMPUTED_VALUE"""),15659.0)</f>
        <v>15659</v>
      </c>
      <c r="E92">
        <f>IFERROR(__xludf.DUMMYFUNCTION("""COMPUTED_VALUE"""),1077.0)</f>
        <v>1077</v>
      </c>
      <c r="F92">
        <f>IFERROR(__xludf.DUMMYFUNCTION("""COMPUTED_VALUE"""),14.54)</f>
        <v>14.54</v>
      </c>
      <c r="G92">
        <f>IFERROR(__xludf.DUMMYFUNCTION("""COMPUTED_VALUE"""),5929.0)</f>
        <v>5929</v>
      </c>
      <c r="H92">
        <f>IFERROR(__xludf.DUMMYFUNCTION("""COMPUTED_VALUE"""),828.0)</f>
        <v>828</v>
      </c>
      <c r="I92">
        <f>IFERROR(__xludf.DUMMYFUNCTION("""COMPUTED_VALUE"""),2973.0)</f>
        <v>2973</v>
      </c>
    </row>
    <row r="93">
      <c r="A93">
        <f>IFERROR(__xludf.DUMMYFUNCTION("""COMPUTED_VALUE"""),142.0)</f>
        <v>142</v>
      </c>
      <c r="B93" t="str">
        <f>IFERROR(__xludf.DUMMYFUNCTION("""COMPUTED_VALUE"""),"Antoine Walker")</f>
        <v>Antoine Walker</v>
      </c>
      <c r="C93" t="str">
        <f>IFERROR(__xludf.DUMMYFUNCTION("""COMPUTED_VALUE"""),"Ailier fort")</f>
        <v>Ailier fort</v>
      </c>
      <c r="D93">
        <f>IFERROR(__xludf.DUMMYFUNCTION("""COMPUTED_VALUE"""),15647.0)</f>
        <v>15647</v>
      </c>
      <c r="E93">
        <f>IFERROR(__xludf.DUMMYFUNCTION("""COMPUTED_VALUE"""),893.0)</f>
        <v>893</v>
      </c>
      <c r="F93">
        <f>IFERROR(__xludf.DUMMYFUNCTION("""COMPUTED_VALUE"""),17.52)</f>
        <v>17.52</v>
      </c>
      <c r="G93">
        <f>IFERROR(__xludf.DUMMYFUNCTION("""COMPUTED_VALUE"""),6085.0)</f>
        <v>6085</v>
      </c>
      <c r="H93">
        <f>IFERROR(__xludf.DUMMYFUNCTION("""COMPUTED_VALUE"""),1386.0)</f>
        <v>1386</v>
      </c>
      <c r="I93">
        <f>IFERROR(__xludf.DUMMYFUNCTION("""COMPUTED_VALUE"""),2091.0)</f>
        <v>2091</v>
      </c>
    </row>
    <row r="94">
      <c r="A94">
        <f>IFERROR(__xludf.DUMMYFUNCTION("""COMPUTED_VALUE"""),143.0)</f>
        <v>143</v>
      </c>
      <c r="B94" t="str">
        <f>IFERROR(__xludf.DUMMYFUNCTION("""COMPUTED_VALUE"""),"Sam Cassell")</f>
        <v>Sam Cassell</v>
      </c>
      <c r="C94" t="str">
        <f>IFERROR(__xludf.DUMMYFUNCTION("""COMPUTED_VALUE"""),"Meneur")</f>
        <v>Meneur</v>
      </c>
      <c r="D94">
        <f>IFERROR(__xludf.DUMMYFUNCTION("""COMPUTED_VALUE"""),15635.0)</f>
        <v>15635</v>
      </c>
      <c r="E94">
        <f>IFERROR(__xludf.DUMMYFUNCTION("""COMPUTED_VALUE"""),993.0)</f>
        <v>993</v>
      </c>
      <c r="F94">
        <f>IFERROR(__xludf.DUMMYFUNCTION("""COMPUTED_VALUE"""),15.75)</f>
        <v>15.75</v>
      </c>
      <c r="G94">
        <f>IFERROR(__xludf.DUMMYFUNCTION("""COMPUTED_VALUE"""),5698.0)</f>
        <v>5698</v>
      </c>
      <c r="H94">
        <f>IFERROR(__xludf.DUMMYFUNCTION("""COMPUTED_VALUE"""),672.0)</f>
        <v>672</v>
      </c>
      <c r="I94">
        <f>IFERROR(__xludf.DUMMYFUNCTION("""COMPUTED_VALUE"""),3567.0)</f>
        <v>3567</v>
      </c>
    </row>
    <row r="95">
      <c r="A95">
        <f>IFERROR(__xludf.DUMMYFUNCTION("""COMPUTED_VALUE"""),144.0)</f>
        <v>144</v>
      </c>
      <c r="B95" t="str">
        <f>IFERROR(__xludf.DUMMYFUNCTION("""COMPUTED_VALUE"""),"Kevin Love")</f>
        <v>Kevin Love</v>
      </c>
      <c r="C95" t="str">
        <f>IFERROR(__xludf.DUMMYFUNCTION("""COMPUTED_VALUE"""),"Ailier fort")</f>
        <v>Ailier fort</v>
      </c>
      <c r="D95">
        <f>IFERROR(__xludf.DUMMYFUNCTION("""COMPUTED_VALUE"""),15623.0)</f>
        <v>15623</v>
      </c>
      <c r="E95">
        <f>IFERROR(__xludf.DUMMYFUNCTION("""COMPUTED_VALUE"""),981.0)</f>
        <v>981</v>
      </c>
      <c r="F95">
        <f>IFERROR(__xludf.DUMMYFUNCTION("""COMPUTED_VALUE"""),15.94)</f>
        <v>15.94</v>
      </c>
      <c r="G95">
        <f>IFERROR(__xludf.DUMMYFUNCTION("""COMPUTED_VALUE"""),5139.0)</f>
        <v>5139</v>
      </c>
      <c r="H95">
        <f>IFERROR(__xludf.DUMMYFUNCTION("""COMPUTED_VALUE"""),1715.0)</f>
        <v>1715</v>
      </c>
      <c r="I95">
        <f>IFERROR(__xludf.DUMMYFUNCTION("""COMPUTED_VALUE"""),3630.0)</f>
        <v>3630</v>
      </c>
      <c r="J95" t="str">
        <f>IFERROR(__xludf.DUMMYFUNCTION("""COMPUTED_VALUE"""),"^")</f>
        <v>^</v>
      </c>
    </row>
    <row r="96">
      <c r="A96">
        <f>IFERROR(__xludf.DUMMYFUNCTION("""COMPUTED_VALUE"""),145.0)</f>
        <v>145</v>
      </c>
      <c r="B96" t="str">
        <f>IFERROR(__xludf.DUMMYFUNCTION("""COMPUTED_VALUE"""),"Lou Williams")</f>
        <v>Lou Williams</v>
      </c>
      <c r="C96" t="str">
        <f>IFERROR(__xludf.DUMMYFUNCTION("""COMPUTED_VALUE"""),"Arrière")</f>
        <v>Arrière</v>
      </c>
      <c r="D96">
        <f>IFERROR(__xludf.DUMMYFUNCTION("""COMPUTED_VALUE"""),15593.0)</f>
        <v>15593</v>
      </c>
      <c r="E96">
        <f>IFERROR(__xludf.DUMMYFUNCTION("""COMPUTED_VALUE"""),1123.0)</f>
        <v>1123</v>
      </c>
      <c r="F96">
        <f>IFERROR(__xludf.DUMMYFUNCTION("""COMPUTED_VALUE"""),13.89)</f>
        <v>13.89</v>
      </c>
      <c r="G96">
        <f>IFERROR(__xludf.DUMMYFUNCTION("""COMPUTED_VALUE"""),5047.0)</f>
        <v>5047</v>
      </c>
      <c r="H96">
        <f>IFERROR(__xludf.DUMMYFUNCTION("""COMPUTED_VALUE"""),1457.0)</f>
        <v>1457</v>
      </c>
      <c r="I96">
        <f>IFERROR(__xludf.DUMMYFUNCTION("""COMPUTED_VALUE"""),4042.0)</f>
        <v>4042</v>
      </c>
      <c r="J96" t="str">
        <f>IFERROR(__xludf.DUMMYFUNCTION("""COMPUTED_VALUE"""),"°")</f>
        <v>°</v>
      </c>
    </row>
    <row r="97">
      <c r="A97">
        <f>IFERROR(__xludf.DUMMYFUNCTION("""COMPUTED_VALUE"""),146.0)</f>
        <v>146</v>
      </c>
      <c r="B97" t="str">
        <f>IFERROR(__xludf.DUMMYFUNCTION("""COMPUTED_VALUE"""),"Terry Porter")</f>
        <v>Terry Porter</v>
      </c>
      <c r="C97" t="str">
        <f>IFERROR(__xludf.DUMMYFUNCTION("""COMPUTED_VALUE"""),"Meneur")</f>
        <v>Meneur</v>
      </c>
      <c r="D97">
        <f>IFERROR(__xludf.DUMMYFUNCTION("""COMPUTED_VALUE"""),15586.0)</f>
        <v>15586</v>
      </c>
      <c r="E97">
        <f>IFERROR(__xludf.DUMMYFUNCTION("""COMPUTED_VALUE"""),1274.0)</f>
        <v>1274</v>
      </c>
      <c r="F97">
        <f>IFERROR(__xludf.DUMMYFUNCTION("""COMPUTED_VALUE"""),12.23)</f>
        <v>12.23</v>
      </c>
      <c r="G97">
        <f>IFERROR(__xludf.DUMMYFUNCTION("""COMPUTED_VALUE"""),5428.0)</f>
        <v>5428</v>
      </c>
      <c r="H97">
        <f>IFERROR(__xludf.DUMMYFUNCTION("""COMPUTED_VALUE"""),1297.0)</f>
        <v>1297</v>
      </c>
      <c r="I97">
        <f>IFERROR(__xludf.DUMMYFUNCTION("""COMPUTED_VALUE"""),3433.0)</f>
        <v>3433</v>
      </c>
    </row>
    <row r="98">
      <c r="A98">
        <f>IFERROR(__xludf.DUMMYFUNCTION("""COMPUTED_VALUE"""),147.0)</f>
        <v>147</v>
      </c>
      <c r="B98" t="str">
        <f>IFERROR(__xludf.DUMMYFUNCTION("""COMPUTED_VALUE"""),"Walt Frazier")</f>
        <v>Walt Frazier</v>
      </c>
      <c r="C98" t="str">
        <f>IFERROR(__xludf.DUMMYFUNCTION("""COMPUTED_VALUE"""),"Meneur")</f>
        <v>Meneur</v>
      </c>
      <c r="D98">
        <f>IFERROR(__xludf.DUMMYFUNCTION("""COMPUTED_VALUE"""),15581.0)</f>
        <v>15581</v>
      </c>
      <c r="E98">
        <f>IFERROR(__xludf.DUMMYFUNCTION("""COMPUTED_VALUE"""),825.0)</f>
        <v>825</v>
      </c>
      <c r="F98">
        <f>IFERROR(__xludf.DUMMYFUNCTION("""COMPUTED_VALUE"""),18.89)</f>
        <v>18.89</v>
      </c>
      <c r="G98">
        <f>IFERROR(__xludf.DUMMYFUNCTION("""COMPUTED_VALUE"""),6130.0)</f>
        <v>6130</v>
      </c>
      <c r="H98">
        <f>IFERROR(__xludf.DUMMYFUNCTION("""COMPUTED_VALUE"""),0.0)</f>
        <v>0</v>
      </c>
      <c r="I98">
        <f>IFERROR(__xludf.DUMMYFUNCTION("""COMPUTED_VALUE"""),3321.0)</f>
        <v>3321</v>
      </c>
      <c r="J98" t="str">
        <f>IFERROR(__xludf.DUMMYFUNCTION("""COMPUTED_VALUE"""),"*")</f>
        <v>*</v>
      </c>
    </row>
    <row r="99">
      <c r="A99">
        <f>IFERROR(__xludf.DUMMYFUNCTION("""COMPUTED_VALUE"""),148.0)</f>
        <v>148</v>
      </c>
      <c r="B99" t="str">
        <f>IFERROR(__xludf.DUMMYFUNCTION("""COMPUTED_VALUE"""),"Rashard Lewis")</f>
        <v>Rashard Lewis</v>
      </c>
      <c r="C99" t="str">
        <f>IFERROR(__xludf.DUMMYFUNCTION("""COMPUTED_VALUE"""),"Ailier")</f>
        <v>Ailier</v>
      </c>
      <c r="D99">
        <f>IFERROR(__xludf.DUMMYFUNCTION("""COMPUTED_VALUE"""),15579.0)</f>
        <v>15579</v>
      </c>
      <c r="E99">
        <f>IFERROR(__xludf.DUMMYFUNCTION("""COMPUTED_VALUE"""),1049.0)</f>
        <v>1049</v>
      </c>
      <c r="F99">
        <f>IFERROR(__xludf.DUMMYFUNCTION("""COMPUTED_VALUE"""),14.85)</f>
        <v>14.85</v>
      </c>
      <c r="G99">
        <f>IFERROR(__xludf.DUMMYFUNCTION("""COMPUTED_VALUE"""),5644.0)</f>
        <v>5644</v>
      </c>
      <c r="H99">
        <f>IFERROR(__xludf.DUMMYFUNCTION("""COMPUTED_VALUE"""),1787.0)</f>
        <v>1787</v>
      </c>
      <c r="I99">
        <f>IFERROR(__xludf.DUMMYFUNCTION("""COMPUTED_VALUE"""),2504.0)</f>
        <v>2504</v>
      </c>
    </row>
    <row r="100">
      <c r="B100" t="str">
        <f>IFERROR(__xludf.DUMMYFUNCTION("""COMPUTED_VALUE"""),"Artis Gilmore")</f>
        <v>Artis Gilmore</v>
      </c>
      <c r="C100" t="str">
        <f>IFERROR(__xludf.DUMMYFUNCTION("""COMPUTED_VALUE"""),"Pivot")</f>
        <v>Pivot</v>
      </c>
      <c r="D100">
        <f>IFERROR(__xludf.DUMMYFUNCTION("""COMPUTED_VALUE"""),15579.0)</f>
        <v>15579</v>
      </c>
      <c r="E100">
        <f>IFERROR(__xludf.DUMMYFUNCTION("""COMPUTED_VALUE"""),909.0)</f>
        <v>909</v>
      </c>
      <c r="F100">
        <f>IFERROR(__xludf.DUMMYFUNCTION("""COMPUTED_VALUE"""),17.14)</f>
        <v>17.14</v>
      </c>
      <c r="G100">
        <f>IFERROR(__xludf.DUMMYFUNCTION("""COMPUTED_VALUE"""),5732.0)</f>
        <v>5732</v>
      </c>
      <c r="H100">
        <f>IFERROR(__xludf.DUMMYFUNCTION("""COMPUTED_VALUE"""),1.0)</f>
        <v>1</v>
      </c>
      <c r="I100">
        <f>IFERROR(__xludf.DUMMYFUNCTION("""COMPUTED_VALUE"""),4114.0)</f>
        <v>4114</v>
      </c>
      <c r="J100" t="str">
        <f>IFERROR(__xludf.DUMMYFUNCTION("""COMPUTED_VALUE"""),"*")</f>
        <v>*</v>
      </c>
    </row>
    <row r="101">
      <c r="A101">
        <f>IFERROR(__xludf.DUMMYFUNCTION("""COMPUTED_VALUE"""),150.0)</f>
        <v>150</v>
      </c>
      <c r="B101" t="str">
        <f>IFERROR(__xludf.DUMMYFUNCTION("""COMPUTED_VALUE"""),"Dennis Johnson")</f>
        <v>Dennis Johnson</v>
      </c>
      <c r="C101" t="str">
        <f>IFERROR(__xludf.DUMMYFUNCTION("""COMPUTED_VALUE"""),"Arrière")</f>
        <v>Arrière</v>
      </c>
      <c r="D101">
        <f>IFERROR(__xludf.DUMMYFUNCTION("""COMPUTED_VALUE"""),15535.0)</f>
        <v>15535</v>
      </c>
      <c r="E101">
        <f>IFERROR(__xludf.DUMMYFUNCTION("""COMPUTED_VALUE"""),1100.0)</f>
        <v>1100</v>
      </c>
      <c r="F101">
        <f>IFERROR(__xludf.DUMMYFUNCTION("""COMPUTED_VALUE"""),14.12)</f>
        <v>14.12</v>
      </c>
      <c r="G101">
        <f>IFERROR(__xludf.DUMMYFUNCTION("""COMPUTED_VALUE"""),5832.0)</f>
        <v>5832</v>
      </c>
      <c r="H101">
        <f>IFERROR(__xludf.DUMMYFUNCTION("""COMPUTED_VALUE"""),80.0)</f>
        <v>80</v>
      </c>
      <c r="I101">
        <f>IFERROR(__xludf.DUMMYFUNCTION("""COMPUTED_VALUE"""),3791.0)</f>
        <v>3791</v>
      </c>
      <c r="J101" t="str">
        <f>IFERROR(__xludf.DUMMYFUNCTION("""COMPUTED_VALUE"""),"*")</f>
        <v>*</v>
      </c>
    </row>
    <row r="102">
      <c r="A102">
        <f>IFERROR(__xludf.DUMMYFUNCTION("""COMPUTED_VALUE"""),151.0)</f>
        <v>151</v>
      </c>
      <c r="B102" t="str">
        <f>IFERROR(__xludf.DUMMYFUNCTION("""COMPUTED_VALUE"""),"Bob Dandridge")</f>
        <v>Bob Dandridge</v>
      </c>
      <c r="C102" t="str">
        <f>IFERROR(__xludf.DUMMYFUNCTION("""COMPUTED_VALUE"""),"Ailier")</f>
        <v>Ailier</v>
      </c>
      <c r="D102">
        <f>IFERROR(__xludf.DUMMYFUNCTION("""COMPUTED_VALUE"""),15530.0)</f>
        <v>15530</v>
      </c>
      <c r="E102">
        <f>IFERROR(__xludf.DUMMYFUNCTION("""COMPUTED_VALUE"""),839.0)</f>
        <v>839</v>
      </c>
      <c r="F102">
        <f>IFERROR(__xludf.DUMMYFUNCTION("""COMPUTED_VALUE"""),18.51)</f>
        <v>18.51</v>
      </c>
      <c r="G102">
        <f>IFERROR(__xludf.DUMMYFUNCTION("""COMPUTED_VALUE"""),6445.0)</f>
        <v>6445</v>
      </c>
      <c r="H102">
        <f>IFERROR(__xludf.DUMMYFUNCTION("""COMPUTED_VALUE"""),2.0)</f>
        <v>2</v>
      </c>
      <c r="I102">
        <f>IFERROR(__xludf.DUMMYFUNCTION("""COMPUTED_VALUE"""),2638.0)</f>
        <v>2638</v>
      </c>
    </row>
    <row r="103">
      <c r="A103">
        <f>IFERROR(__xludf.DUMMYFUNCTION("""COMPUTED_VALUE"""),152.0)</f>
        <v>152</v>
      </c>
      <c r="B103" t="str">
        <f>IFERROR(__xludf.DUMMYFUNCTION("""COMPUTED_VALUE"""),"Sam Jones")</f>
        <v>Sam Jones</v>
      </c>
      <c r="C103" t="str">
        <f>IFERROR(__xludf.DUMMYFUNCTION("""COMPUTED_VALUE"""),"Arrière")</f>
        <v>Arrière</v>
      </c>
      <c r="D103">
        <f>IFERROR(__xludf.DUMMYFUNCTION("""COMPUTED_VALUE"""),15411.0)</f>
        <v>15411</v>
      </c>
      <c r="E103">
        <f>IFERROR(__xludf.DUMMYFUNCTION("""COMPUTED_VALUE"""),871.0)</f>
        <v>871</v>
      </c>
      <c r="F103">
        <f>IFERROR(__xludf.DUMMYFUNCTION("""COMPUTED_VALUE"""),17.69)</f>
        <v>17.69</v>
      </c>
      <c r="G103">
        <f>IFERROR(__xludf.DUMMYFUNCTION("""COMPUTED_VALUE"""),6271.0)</f>
        <v>6271</v>
      </c>
      <c r="I103">
        <f>IFERROR(__xludf.DUMMYFUNCTION("""COMPUTED_VALUE"""),2869.0)</f>
        <v>2869</v>
      </c>
      <c r="J103" t="str">
        <f>IFERROR(__xludf.DUMMYFUNCTION("""COMPUTED_VALUE"""),"*")</f>
        <v>*</v>
      </c>
    </row>
    <row r="104">
      <c r="A104">
        <f>IFERROR(__xludf.DUMMYFUNCTION("""COMPUTED_VALUE"""),153.0)</f>
        <v>153</v>
      </c>
      <c r="B104" t="str">
        <f>IFERROR(__xludf.DUMMYFUNCTION("""COMPUTED_VALUE"""),"Tim Hardaway")</f>
        <v>Tim Hardaway</v>
      </c>
      <c r="C104" t="str">
        <f>IFERROR(__xludf.DUMMYFUNCTION("""COMPUTED_VALUE"""),"Meneur")</f>
        <v>Meneur</v>
      </c>
      <c r="D104">
        <f>IFERROR(__xludf.DUMMYFUNCTION("""COMPUTED_VALUE"""),15373.0)</f>
        <v>15373</v>
      </c>
      <c r="E104">
        <f>IFERROR(__xludf.DUMMYFUNCTION("""COMPUTED_VALUE"""),867.0)</f>
        <v>867</v>
      </c>
      <c r="F104">
        <f>IFERROR(__xludf.DUMMYFUNCTION("""COMPUTED_VALUE"""),17.73)</f>
        <v>17.73</v>
      </c>
      <c r="G104">
        <f>IFERROR(__xludf.DUMMYFUNCTION("""COMPUTED_VALUE"""),5640.0)</f>
        <v>5640</v>
      </c>
      <c r="H104">
        <f>IFERROR(__xludf.DUMMYFUNCTION("""COMPUTED_VALUE"""),1542.0)</f>
        <v>1542</v>
      </c>
      <c r="I104">
        <f>IFERROR(__xludf.DUMMYFUNCTION("""COMPUTED_VALUE"""),2551.0)</f>
        <v>2551</v>
      </c>
      <c r="J104" t="str">
        <f>IFERROR(__xludf.DUMMYFUNCTION("""COMPUTED_VALUE"""),"*")</f>
        <v>*</v>
      </c>
    </row>
    <row r="105">
      <c r="A105">
        <f>IFERROR(__xludf.DUMMYFUNCTION("""COMPUTED_VALUE"""),154.0)</f>
        <v>154</v>
      </c>
      <c r="B105" t="str">
        <f>IFERROR(__xludf.DUMMYFUNCTION("""COMPUTED_VALUE"""),"Dick Barnett")</f>
        <v>Dick Barnett</v>
      </c>
      <c r="C105" t="str">
        <f>IFERROR(__xludf.DUMMYFUNCTION("""COMPUTED_VALUE"""),"Arrière")</f>
        <v>Arrière</v>
      </c>
      <c r="D105">
        <f>IFERROR(__xludf.DUMMYFUNCTION("""COMPUTED_VALUE"""),15358.0)</f>
        <v>15358</v>
      </c>
      <c r="E105">
        <f>IFERROR(__xludf.DUMMYFUNCTION("""COMPUTED_VALUE"""),971.0)</f>
        <v>971</v>
      </c>
      <c r="F105">
        <f>IFERROR(__xludf.DUMMYFUNCTION("""COMPUTED_VALUE"""),15.82)</f>
        <v>15.82</v>
      </c>
      <c r="G105">
        <f>IFERROR(__xludf.DUMMYFUNCTION("""COMPUTED_VALUE"""),6034.0)</f>
        <v>6034</v>
      </c>
      <c r="I105">
        <f>IFERROR(__xludf.DUMMYFUNCTION("""COMPUTED_VALUE"""),3290.0)</f>
        <v>3290</v>
      </c>
    </row>
    <row r="106">
      <c r="A106">
        <f>IFERROR(__xludf.DUMMYFUNCTION("""COMPUTED_VALUE"""),155.0)</f>
        <v>155</v>
      </c>
      <c r="B106" t="str">
        <f>IFERROR(__xludf.DUMMYFUNCTION("""COMPUTED_VALUE"""),"Shawn Kemp")</f>
        <v>Shawn Kemp</v>
      </c>
      <c r="C106" t="str">
        <f>IFERROR(__xludf.DUMMYFUNCTION("""COMPUTED_VALUE"""),"Ailier fort")</f>
        <v>Ailier fort</v>
      </c>
      <c r="D106">
        <f>IFERROR(__xludf.DUMMYFUNCTION("""COMPUTED_VALUE"""),15347.0)</f>
        <v>15347</v>
      </c>
      <c r="E106">
        <f>IFERROR(__xludf.DUMMYFUNCTION("""COMPUTED_VALUE"""),1051.0)</f>
        <v>1051</v>
      </c>
      <c r="F106">
        <f>IFERROR(__xludf.DUMMYFUNCTION("""COMPUTED_VALUE"""),14.6)</f>
        <v>14.6</v>
      </c>
      <c r="G106">
        <f>IFERROR(__xludf.DUMMYFUNCTION("""COMPUTED_VALUE"""),5505.0)</f>
        <v>5505</v>
      </c>
      <c r="H106">
        <f>IFERROR(__xludf.DUMMYFUNCTION("""COMPUTED_VALUE"""),33.0)</f>
        <v>33</v>
      </c>
      <c r="I106">
        <f>IFERROR(__xludf.DUMMYFUNCTION("""COMPUTED_VALUE"""),5472.0)</f>
        <v>5472</v>
      </c>
    </row>
    <row r="107">
      <c r="A107">
        <f>IFERROR(__xludf.DUMMYFUNCTION("""COMPUTED_VALUE"""),156.0)</f>
        <v>156</v>
      </c>
      <c r="B107" t="str">
        <f>IFERROR(__xludf.DUMMYFUNCTION("""COMPUTED_VALUE"""),"Sam Perkins")</f>
        <v>Sam Perkins</v>
      </c>
      <c r="C107" t="str">
        <f>IFERROR(__xludf.DUMMYFUNCTION("""COMPUTED_VALUE"""),"Ailier fort")</f>
        <v>Ailier fort</v>
      </c>
      <c r="D107">
        <f>IFERROR(__xludf.DUMMYFUNCTION("""COMPUTED_VALUE"""),15324.0)</f>
        <v>15324</v>
      </c>
      <c r="E107">
        <f>IFERROR(__xludf.DUMMYFUNCTION("""COMPUTED_VALUE"""),1286.0)</f>
        <v>1286</v>
      </c>
      <c r="F107">
        <f>IFERROR(__xludf.DUMMYFUNCTION("""COMPUTED_VALUE"""),11.92)</f>
        <v>11.92</v>
      </c>
      <c r="G107">
        <f>IFERROR(__xludf.DUMMYFUNCTION("""COMPUTED_VALUE"""),5498.0)</f>
        <v>5498</v>
      </c>
      <c r="H107">
        <f>IFERROR(__xludf.DUMMYFUNCTION("""COMPUTED_VALUE"""),849.0)</f>
        <v>849</v>
      </c>
      <c r="I107">
        <f>IFERROR(__xludf.DUMMYFUNCTION("""COMPUTED_VALUE"""),3479.0)</f>
        <v>3479</v>
      </c>
    </row>
    <row r="108">
      <c r="A108">
        <f>IFERROR(__xludf.DUMMYFUNCTION("""COMPUTED_VALUE"""),157.0)</f>
        <v>157</v>
      </c>
      <c r="B108" t="str">
        <f>IFERROR(__xludf.DUMMYFUNCTION("""COMPUTED_VALUE"""),"John Drew")</f>
        <v>John Drew</v>
      </c>
      <c r="C108" t="str">
        <f>IFERROR(__xludf.DUMMYFUNCTION("""COMPUTED_VALUE"""),"Ailier")</f>
        <v>Ailier</v>
      </c>
      <c r="D108">
        <f>IFERROR(__xludf.DUMMYFUNCTION("""COMPUTED_VALUE"""),15291.0)</f>
        <v>15291</v>
      </c>
      <c r="E108">
        <f>IFERROR(__xludf.DUMMYFUNCTION("""COMPUTED_VALUE"""),739.0)</f>
        <v>739</v>
      </c>
      <c r="F108">
        <f>IFERROR(__xludf.DUMMYFUNCTION("""COMPUTED_VALUE"""),20.69)</f>
        <v>20.69</v>
      </c>
      <c r="G108">
        <f>IFERROR(__xludf.DUMMYFUNCTION("""COMPUTED_VALUE"""),5481.0)</f>
        <v>5481</v>
      </c>
      <c r="H108">
        <f>IFERROR(__xludf.DUMMYFUNCTION("""COMPUTED_VALUE"""),10.0)</f>
        <v>10</v>
      </c>
      <c r="I108">
        <f>IFERROR(__xludf.DUMMYFUNCTION("""COMPUTED_VALUE"""),4319.0)</f>
        <v>4319</v>
      </c>
    </row>
    <row r="109">
      <c r="A109">
        <f>IFERROR(__xludf.DUMMYFUNCTION("""COMPUTED_VALUE"""),158.0)</f>
        <v>158</v>
      </c>
      <c r="B109" t="str">
        <f>IFERROR(__xludf.DUMMYFUNCTION("""COMPUTED_VALUE"""),"Byron Scott")</f>
        <v>Byron Scott</v>
      </c>
      <c r="C109" t="str">
        <f>IFERROR(__xludf.DUMMYFUNCTION("""COMPUTED_VALUE"""),"Arrière")</f>
        <v>Arrière</v>
      </c>
      <c r="D109">
        <f>IFERROR(__xludf.DUMMYFUNCTION("""COMPUTED_VALUE"""),15097.0)</f>
        <v>15097</v>
      </c>
      <c r="E109">
        <f>IFERROR(__xludf.DUMMYFUNCTION("""COMPUTED_VALUE"""),1073.0)</f>
        <v>1073</v>
      </c>
      <c r="F109">
        <f>IFERROR(__xludf.DUMMYFUNCTION("""COMPUTED_VALUE"""),14.07)</f>
        <v>14.07</v>
      </c>
      <c r="G109">
        <f>IFERROR(__xludf.DUMMYFUNCTION("""COMPUTED_VALUE"""),5918.0)</f>
        <v>5918</v>
      </c>
      <c r="H109">
        <f>IFERROR(__xludf.DUMMYFUNCTION("""COMPUTED_VALUE"""),775.0)</f>
        <v>775</v>
      </c>
      <c r="I109">
        <f>IFERROR(__xludf.DUMMYFUNCTION("""COMPUTED_VALUE"""),2486.0)</f>
        <v>2486</v>
      </c>
    </row>
    <row r="110">
      <c r="A110">
        <f>IFERROR(__xludf.DUMMYFUNCTION("""COMPUTED_VALUE"""),159.0)</f>
        <v>159</v>
      </c>
      <c r="B110" t="str">
        <f>IFERROR(__xludf.DUMMYFUNCTION("""COMPUTED_VALUE"""),"Dick Van Arsdale")</f>
        <v>Dick Van Arsdale</v>
      </c>
      <c r="C110" t="str">
        <f>IFERROR(__xludf.DUMMYFUNCTION("""COMPUTED_VALUE"""),"Arrière")</f>
        <v>Arrière</v>
      </c>
      <c r="D110">
        <f>IFERROR(__xludf.DUMMYFUNCTION("""COMPUTED_VALUE"""),15079.0)</f>
        <v>15079</v>
      </c>
      <c r="E110">
        <f>IFERROR(__xludf.DUMMYFUNCTION("""COMPUTED_VALUE"""),921.0)</f>
        <v>921</v>
      </c>
      <c r="F110">
        <f>IFERROR(__xludf.DUMMYFUNCTION("""COMPUTED_VALUE"""),16.37)</f>
        <v>16.37</v>
      </c>
      <c r="G110">
        <f>IFERROR(__xludf.DUMMYFUNCTION("""COMPUTED_VALUE"""),5413.0)</f>
        <v>5413</v>
      </c>
      <c r="I110">
        <f>IFERROR(__xludf.DUMMYFUNCTION("""COMPUTED_VALUE"""),4253.0)</f>
        <v>4253</v>
      </c>
    </row>
    <row r="111">
      <c r="A111">
        <f>IFERROR(__xludf.DUMMYFUNCTION("""COMPUTED_VALUE"""),160.0)</f>
        <v>160</v>
      </c>
      <c r="B111" t="str">
        <f>IFERROR(__xludf.DUMMYFUNCTION("""COMPUTED_VALUE"""),"Shareef Abdur-Rahim")</f>
        <v>Shareef Abdur-Rahim</v>
      </c>
      <c r="C111" t="str">
        <f>IFERROR(__xludf.DUMMYFUNCTION("""COMPUTED_VALUE"""),"Ailier fort")</f>
        <v>Ailier fort</v>
      </c>
      <c r="D111">
        <f>IFERROR(__xludf.DUMMYFUNCTION("""COMPUTED_VALUE"""),15028.0)</f>
        <v>15028</v>
      </c>
      <c r="E111">
        <f>IFERROR(__xludf.DUMMYFUNCTION("""COMPUTED_VALUE"""),830.0)</f>
        <v>830</v>
      </c>
      <c r="F111">
        <f>IFERROR(__xludf.DUMMYFUNCTION("""COMPUTED_VALUE"""),18.1)</f>
        <v>18.1</v>
      </c>
      <c r="G111">
        <f>IFERROR(__xludf.DUMMYFUNCTION("""COMPUTED_VALUE"""),5434.0)</f>
        <v>5434</v>
      </c>
      <c r="H111">
        <f>IFERROR(__xludf.DUMMYFUNCTION("""COMPUTED_VALUE"""),154.0)</f>
        <v>154</v>
      </c>
      <c r="I111">
        <f>IFERROR(__xludf.DUMMYFUNCTION("""COMPUTED_VALUE"""),4006.0)</f>
        <v>4006</v>
      </c>
    </row>
    <row r="112">
      <c r="A112">
        <f>IFERROR(__xludf.DUMMYFUNCTION("""COMPUTED_VALUE"""),161.0)</f>
        <v>161</v>
      </c>
      <c r="B112" t="str">
        <f>IFERROR(__xludf.DUMMYFUNCTION("""COMPUTED_VALUE"""),"Mike Mitchell")</f>
        <v>Mike Mitchell</v>
      </c>
      <c r="C112" t="str">
        <f>IFERROR(__xludf.DUMMYFUNCTION("""COMPUTED_VALUE"""),"Ailier")</f>
        <v>Ailier</v>
      </c>
      <c r="D112">
        <f>IFERROR(__xludf.DUMMYFUNCTION("""COMPUTED_VALUE"""),15016.0)</f>
        <v>15016</v>
      </c>
      <c r="E112">
        <f>IFERROR(__xludf.DUMMYFUNCTION("""COMPUTED_VALUE"""),759.0)</f>
        <v>759</v>
      </c>
      <c r="F112">
        <f>IFERROR(__xludf.DUMMYFUNCTION("""COMPUTED_VALUE"""),19.78)</f>
        <v>19.78</v>
      </c>
      <c r="G112">
        <f>IFERROR(__xludf.DUMMYFUNCTION("""COMPUTED_VALUE"""),6371.0)</f>
        <v>6371</v>
      </c>
      <c r="H112">
        <f>IFERROR(__xludf.DUMMYFUNCTION("""COMPUTED_VALUE"""),19.0)</f>
        <v>19</v>
      </c>
      <c r="I112">
        <f>IFERROR(__xludf.DUMMYFUNCTION("""COMPUTED_VALUE"""),2255.0)</f>
        <v>2255</v>
      </c>
    </row>
    <row r="113">
      <c r="A113">
        <f>IFERROR(__xludf.DUMMYFUNCTION("""COMPUTED_VALUE"""),162.0)</f>
        <v>162</v>
      </c>
      <c r="B113" t="str">
        <f>IFERROR(__xludf.DUMMYFUNCTION("""COMPUTED_VALUE"""),"Andrew Wiggins")</f>
        <v>Andrew Wiggins</v>
      </c>
      <c r="C113" t="str">
        <f>IFERROR(__xludf.DUMMYFUNCTION("""COMPUTED_VALUE"""),"Ailier")</f>
        <v>Ailier</v>
      </c>
      <c r="D113">
        <f>IFERROR(__xludf.DUMMYFUNCTION("""COMPUTED_VALUE"""),14966.0)</f>
        <v>14966</v>
      </c>
      <c r="E113">
        <f>IFERROR(__xludf.DUMMYFUNCTION("""COMPUTED_VALUE"""),816.0)</f>
        <v>816</v>
      </c>
      <c r="F113">
        <f>IFERROR(__xludf.DUMMYFUNCTION("""COMPUTED_VALUE"""),18.34)</f>
        <v>18.34</v>
      </c>
      <c r="G113">
        <f>IFERROR(__xludf.DUMMYFUNCTION("""COMPUTED_VALUE"""),5568.0)</f>
        <v>5568</v>
      </c>
      <c r="H113">
        <f>IFERROR(__xludf.DUMMYFUNCTION("""COMPUTED_VALUE"""),1245.0)</f>
        <v>1245</v>
      </c>
      <c r="I113">
        <f>IFERROR(__xludf.DUMMYFUNCTION("""COMPUTED_VALUE"""),2585.0)</f>
        <v>2585</v>
      </c>
      <c r="J113" t="str">
        <f>IFERROR(__xludf.DUMMYFUNCTION("""COMPUTED_VALUE"""),"^")</f>
        <v>^</v>
      </c>
    </row>
    <row r="114">
      <c r="A114">
        <f>IFERROR(__xludf.DUMMYFUNCTION("""COMPUTED_VALUE"""),163.0)</f>
        <v>163</v>
      </c>
      <c r="B114" t="str">
        <f>IFERROR(__xludf.DUMMYFUNCTION("""COMPUTED_VALUE"""),"Al Horford")</f>
        <v>Al Horford</v>
      </c>
      <c r="C114" t="str">
        <f>IFERROR(__xludf.DUMMYFUNCTION("""COMPUTED_VALUE"""),"Pivot")</f>
        <v>Pivot</v>
      </c>
      <c r="D114">
        <f>IFERROR(__xludf.DUMMYFUNCTION("""COMPUTED_VALUE"""),14963.0)</f>
        <v>14963</v>
      </c>
      <c r="E114">
        <f>IFERROR(__xludf.DUMMYFUNCTION("""COMPUTED_VALUE"""),1172.0)</f>
        <v>1172</v>
      </c>
      <c r="F114">
        <f>IFERROR(__xludf.DUMMYFUNCTION("""COMPUTED_VALUE"""),12.77)</f>
        <v>12.77</v>
      </c>
      <c r="G114">
        <f>IFERROR(__xludf.DUMMYFUNCTION("""COMPUTED_VALUE"""),6158.0)</f>
        <v>6158</v>
      </c>
      <c r="H114">
        <f>IFERROR(__xludf.DUMMYFUNCTION("""COMPUTED_VALUE"""),1025.0)</f>
        <v>1025</v>
      </c>
      <c r="I114">
        <f>IFERROR(__xludf.DUMMYFUNCTION("""COMPUTED_VALUE"""),1622.0)</f>
        <v>1622</v>
      </c>
      <c r="J114" t="str">
        <f>IFERROR(__xludf.DUMMYFUNCTION("""COMPUTED_VALUE"""),"^")</f>
        <v>^</v>
      </c>
    </row>
    <row r="115">
      <c r="A115">
        <f>IFERROR(__xludf.DUMMYFUNCTION("""COMPUTED_VALUE"""),164.0)</f>
        <v>164</v>
      </c>
      <c r="B115" t="str">
        <f>IFERROR(__xludf.DUMMYFUNCTION("""COMPUTED_VALUE"""),"Richard Jefferson")</f>
        <v>Richard Jefferson</v>
      </c>
      <c r="C115" t="str">
        <f>IFERROR(__xludf.DUMMYFUNCTION("""COMPUTED_VALUE"""),"Ailier")</f>
        <v>Ailier</v>
      </c>
      <c r="D115">
        <f>IFERROR(__xludf.DUMMYFUNCTION("""COMPUTED_VALUE"""),14904.0)</f>
        <v>14904</v>
      </c>
      <c r="E115">
        <f>IFERROR(__xludf.DUMMYFUNCTION("""COMPUTED_VALUE"""),1178.0)</f>
        <v>1178</v>
      </c>
      <c r="F115">
        <f>IFERROR(__xludf.DUMMYFUNCTION("""COMPUTED_VALUE"""),12.65)</f>
        <v>12.65</v>
      </c>
      <c r="G115">
        <f>IFERROR(__xludf.DUMMYFUNCTION("""COMPUTED_VALUE"""),5150.0)</f>
        <v>5150</v>
      </c>
      <c r="H115">
        <f>IFERROR(__xludf.DUMMYFUNCTION("""COMPUTED_VALUE"""),1042.0)</f>
        <v>1042</v>
      </c>
      <c r="I115">
        <f>IFERROR(__xludf.DUMMYFUNCTION("""COMPUTED_VALUE"""),3562.0)</f>
        <v>3562</v>
      </c>
    </row>
    <row r="116">
      <c r="A116">
        <f>IFERROR(__xludf.DUMMYFUNCTION("""COMPUTED_VALUE"""),165.0)</f>
        <v>165</v>
      </c>
      <c r="B116" t="str">
        <f>IFERROR(__xludf.DUMMYFUNCTION("""COMPUTED_VALUE"""),"James Edwards")</f>
        <v>James Edwards</v>
      </c>
      <c r="C116" t="str">
        <f>IFERROR(__xludf.DUMMYFUNCTION("""COMPUTED_VALUE"""),"Pivot")</f>
        <v>Pivot</v>
      </c>
      <c r="D116">
        <f>IFERROR(__xludf.DUMMYFUNCTION("""COMPUTED_VALUE"""),14862.0)</f>
        <v>14862</v>
      </c>
      <c r="E116">
        <f>IFERROR(__xludf.DUMMYFUNCTION("""COMPUTED_VALUE"""),1168.0)</f>
        <v>1168</v>
      </c>
      <c r="F116">
        <f>IFERROR(__xludf.DUMMYFUNCTION("""COMPUTED_VALUE"""),12.72)</f>
        <v>12.72</v>
      </c>
      <c r="G116">
        <f>IFERROR(__xludf.DUMMYFUNCTION("""COMPUTED_VALUE"""),5802.0)</f>
        <v>5802</v>
      </c>
      <c r="H116">
        <f>IFERROR(__xludf.DUMMYFUNCTION("""COMPUTED_VALUE"""),1.0)</f>
        <v>1</v>
      </c>
      <c r="I116">
        <f>IFERROR(__xludf.DUMMYFUNCTION("""COMPUTED_VALUE"""),3257.0)</f>
        <v>3257</v>
      </c>
    </row>
    <row r="117">
      <c r="A117">
        <f>IFERROR(__xludf.DUMMYFUNCTION("""COMPUTED_VALUE"""),166.0)</f>
        <v>166</v>
      </c>
      <c r="B117" t="str">
        <f>IFERROR(__xludf.DUMMYFUNCTION("""COMPUTED_VALUE"""),"Monta Ellis")</f>
        <v>Monta Ellis</v>
      </c>
      <c r="C117" t="str">
        <f>IFERROR(__xludf.DUMMYFUNCTION("""COMPUTED_VALUE"""),"Arrière")</f>
        <v>Arrière</v>
      </c>
      <c r="D117">
        <f>IFERROR(__xludf.DUMMYFUNCTION("""COMPUTED_VALUE"""),14858.0)</f>
        <v>14858</v>
      </c>
      <c r="E117">
        <f>IFERROR(__xludf.DUMMYFUNCTION("""COMPUTED_VALUE"""),833.0)</f>
        <v>833</v>
      </c>
      <c r="F117">
        <f>IFERROR(__xludf.DUMMYFUNCTION("""COMPUTED_VALUE"""),17.84)</f>
        <v>17.84</v>
      </c>
      <c r="G117">
        <f>IFERROR(__xludf.DUMMYFUNCTION("""COMPUTED_VALUE"""),5723.0)</f>
        <v>5723</v>
      </c>
      <c r="H117">
        <f>IFERROR(__xludf.DUMMYFUNCTION("""COMPUTED_VALUE"""),737.0)</f>
        <v>737</v>
      </c>
      <c r="I117">
        <f>IFERROR(__xludf.DUMMYFUNCTION("""COMPUTED_VALUE"""),2675.0)</f>
        <v>2675</v>
      </c>
    </row>
    <row r="118">
      <c r="A118">
        <f>IFERROR(__xludf.DUMMYFUNCTION("""COMPUTED_VALUE"""),167.0)</f>
        <v>167</v>
      </c>
      <c r="B118" t="str">
        <f>IFERROR(__xludf.DUMMYFUNCTION("""COMPUTED_VALUE"""),"Donovan Mitchell")</f>
        <v>Donovan Mitchell</v>
      </c>
      <c r="C118" t="str">
        <f>IFERROR(__xludf.DUMMYFUNCTION("""COMPUTED_VALUE"""),"Arrière")</f>
        <v>Arrière</v>
      </c>
      <c r="D118">
        <f>IFERROR(__xludf.DUMMYFUNCTION("""COMPUTED_VALUE"""),14798.0)</f>
        <v>14798</v>
      </c>
      <c r="E118">
        <f>IFERROR(__xludf.DUMMYFUNCTION("""COMPUTED_VALUE"""),590.0)</f>
        <v>590</v>
      </c>
      <c r="F118">
        <f>IFERROR(__xludf.DUMMYFUNCTION("""COMPUTED_VALUE"""),25.06)</f>
        <v>25.06</v>
      </c>
      <c r="G118">
        <f>IFERROR(__xludf.DUMMYFUNCTION("""COMPUTED_VALUE"""),5236.0)</f>
        <v>5236</v>
      </c>
      <c r="H118">
        <f>IFERROR(__xludf.DUMMYFUNCTION("""COMPUTED_VALUE"""),1803.0)</f>
        <v>1803</v>
      </c>
      <c r="I118">
        <f>IFERROR(__xludf.DUMMYFUNCTION("""COMPUTED_VALUE"""),2523.0)</f>
        <v>2523</v>
      </c>
      <c r="J118" t="str">
        <f>IFERROR(__xludf.DUMMYFUNCTION("""COMPUTED_VALUE"""),"^")</f>
        <v>^</v>
      </c>
    </row>
    <row r="119">
      <c r="A119">
        <f>IFERROR(__xludf.DUMMYFUNCTION("""COMPUTED_VALUE"""),168.0)</f>
        <v>168</v>
      </c>
      <c r="B119" t="str">
        <f>IFERROR(__xludf.DUMMYFUNCTION("""COMPUTED_VALUE"""),"Julius Randle")</f>
        <v>Julius Randle</v>
      </c>
      <c r="C119" t="str">
        <f>IFERROR(__xludf.DUMMYFUNCTION("""COMPUTED_VALUE"""),"Ailier Fort")</f>
        <v>Ailier Fort</v>
      </c>
      <c r="D119">
        <f>IFERROR(__xludf.DUMMYFUNCTION("""COMPUTED_VALUE"""),14768.0)</f>
        <v>14768</v>
      </c>
      <c r="E119">
        <f>IFERROR(__xludf.DUMMYFUNCTION("""COMPUTED_VALUE"""),766.0)</f>
        <v>766</v>
      </c>
      <c r="F119">
        <f>IFERROR(__xludf.DUMMYFUNCTION("""COMPUTED_VALUE"""),19.26)</f>
        <v>19.26</v>
      </c>
      <c r="G119">
        <f>IFERROR(__xludf.DUMMYFUNCTION("""COMPUTED_VALUE"""),5334.0)</f>
        <v>5334</v>
      </c>
      <c r="H119">
        <f>IFERROR(__xludf.DUMMYFUNCTION("""COMPUTED_VALUE"""),937.0)</f>
        <v>937</v>
      </c>
      <c r="I119">
        <f>IFERROR(__xludf.DUMMYFUNCTION("""COMPUTED_VALUE"""),3163.0)</f>
        <v>3163</v>
      </c>
      <c r="J119" t="str">
        <f>IFERROR(__xludf.DUMMYFUNCTION("""COMPUTED_VALUE"""),"^")</f>
        <v>^</v>
      </c>
    </row>
    <row r="120">
      <c r="A120">
        <f>IFERROR(__xludf.DUMMYFUNCTION("""COMPUTED_VALUE"""),169.0)</f>
        <v>169</v>
      </c>
      <c r="B120" t="str">
        <f>IFERROR(__xludf.DUMMYFUNCTION("""COMPUTED_VALUE"""),"Mike Bibby")</f>
        <v>Mike Bibby</v>
      </c>
      <c r="C120" t="str">
        <f>IFERROR(__xludf.DUMMYFUNCTION("""COMPUTED_VALUE"""),"Meneur")</f>
        <v>Meneur</v>
      </c>
      <c r="D120">
        <f>IFERROR(__xludf.DUMMYFUNCTION("""COMPUTED_VALUE"""),14698.0)</f>
        <v>14698</v>
      </c>
      <c r="E120">
        <f>IFERROR(__xludf.DUMMYFUNCTION("""COMPUTED_VALUE"""),1001.0)</f>
        <v>1001</v>
      </c>
      <c r="F120">
        <f>IFERROR(__xludf.DUMMYFUNCTION("""COMPUTED_VALUE"""),14.68)</f>
        <v>14.68</v>
      </c>
      <c r="G120">
        <f>IFERROR(__xludf.DUMMYFUNCTION("""COMPUTED_VALUE"""),5410.0)</f>
        <v>5410</v>
      </c>
      <c r="H120">
        <f>IFERROR(__xludf.DUMMYFUNCTION("""COMPUTED_VALUE"""),1517.0)</f>
        <v>1517</v>
      </c>
      <c r="I120">
        <f>IFERROR(__xludf.DUMMYFUNCTION("""COMPUTED_VALUE"""),2361.0)</f>
        <v>2361</v>
      </c>
    </row>
    <row r="121">
      <c r="A121">
        <f>IFERROR(__xludf.DUMMYFUNCTION("""COMPUTED_VALUE"""),170.0)</f>
        <v>170</v>
      </c>
      <c r="B121" t="str">
        <f>IFERROR(__xludf.DUMMYFUNCTION("""COMPUTED_VALUE"""),"Richie Guerin")</f>
        <v>Richie Guerin</v>
      </c>
      <c r="C121" t="str">
        <f>IFERROR(__xludf.DUMMYFUNCTION("""COMPUTED_VALUE"""),"Arrière")</f>
        <v>Arrière</v>
      </c>
      <c r="D121">
        <f>IFERROR(__xludf.DUMMYFUNCTION("""COMPUTED_VALUE"""),14676.0)</f>
        <v>14676</v>
      </c>
      <c r="E121">
        <f>IFERROR(__xludf.DUMMYFUNCTION("""COMPUTED_VALUE"""),848.0)</f>
        <v>848</v>
      </c>
      <c r="F121">
        <f>IFERROR(__xludf.DUMMYFUNCTION("""COMPUTED_VALUE"""),17.31)</f>
        <v>17.31</v>
      </c>
      <c r="G121">
        <f>IFERROR(__xludf.DUMMYFUNCTION("""COMPUTED_VALUE"""),5174.0)</f>
        <v>5174</v>
      </c>
      <c r="I121">
        <f>IFERROR(__xludf.DUMMYFUNCTION("""COMPUTED_VALUE"""),4328.0)</f>
        <v>4328</v>
      </c>
      <c r="J121" t="str">
        <f>IFERROR(__xludf.DUMMYFUNCTION("""COMPUTED_VALUE"""),"*")</f>
        <v>*</v>
      </c>
    </row>
    <row r="122">
      <c r="A122">
        <f>IFERROR(__xludf.DUMMYFUNCTION("""COMPUTED_VALUE"""),171.0)</f>
        <v>171</v>
      </c>
      <c r="B122" t="str">
        <f>IFERROR(__xludf.DUMMYFUNCTION("""COMPUTED_VALUE"""),"Dan Issel")</f>
        <v>Dan Issel</v>
      </c>
      <c r="C122" t="str">
        <f>IFERROR(__xludf.DUMMYFUNCTION("""COMPUTED_VALUE"""),"Pivot")</f>
        <v>Pivot</v>
      </c>
      <c r="D122">
        <f>IFERROR(__xludf.DUMMYFUNCTION("""COMPUTED_VALUE"""),14659.0)</f>
        <v>14659</v>
      </c>
      <c r="E122">
        <f>IFERROR(__xludf.DUMMYFUNCTION("""COMPUTED_VALUE"""),718.0)</f>
        <v>718</v>
      </c>
      <c r="F122">
        <f>IFERROR(__xludf.DUMMYFUNCTION("""COMPUTED_VALUE"""),20.42)</f>
        <v>20.42</v>
      </c>
      <c r="G122">
        <f>IFERROR(__xludf.DUMMYFUNCTION("""COMPUTED_VALUE"""),5424.0)</f>
        <v>5424</v>
      </c>
      <c r="H122">
        <f>IFERROR(__xludf.DUMMYFUNCTION("""COMPUTED_VALUE"""),19.0)</f>
        <v>19</v>
      </c>
      <c r="I122">
        <f>IFERROR(__xludf.DUMMYFUNCTION("""COMPUTED_VALUE"""),3792.0)</f>
        <v>3792</v>
      </c>
      <c r="J122" t="str">
        <f>IFERROR(__xludf.DUMMYFUNCTION("""COMPUTED_VALUE"""),"*")</f>
        <v>*</v>
      </c>
    </row>
    <row r="123">
      <c r="A123">
        <f>IFERROR(__xludf.DUMMYFUNCTION("""COMPUTED_VALUE"""),172.0)</f>
        <v>172</v>
      </c>
      <c r="B123" t="str">
        <f>IFERROR(__xludf.DUMMYFUNCTION("""COMPUTED_VALUE"""),"Jason Richardson")</f>
        <v>Jason Richardson</v>
      </c>
      <c r="C123" t="str">
        <f>IFERROR(__xludf.DUMMYFUNCTION("""COMPUTED_VALUE"""),"Arrière")</f>
        <v>Arrière</v>
      </c>
      <c r="D123">
        <f>IFERROR(__xludf.DUMMYFUNCTION("""COMPUTED_VALUE"""),14644.0)</f>
        <v>14644</v>
      </c>
      <c r="E123">
        <f>IFERROR(__xludf.DUMMYFUNCTION("""COMPUTED_VALUE"""),857.0)</f>
        <v>857</v>
      </c>
      <c r="F123">
        <f>IFERROR(__xludf.DUMMYFUNCTION("""COMPUTED_VALUE"""),17.09)</f>
        <v>17.09</v>
      </c>
      <c r="G123">
        <f>IFERROR(__xludf.DUMMYFUNCTION("""COMPUTED_VALUE"""),5558.0)</f>
        <v>5558</v>
      </c>
      <c r="H123">
        <f>IFERROR(__xludf.DUMMYFUNCTION("""COMPUTED_VALUE"""),1608.0)</f>
        <v>1608</v>
      </c>
      <c r="I123">
        <f>IFERROR(__xludf.DUMMYFUNCTION("""COMPUTED_VALUE"""),1920.0)</f>
        <v>1920</v>
      </c>
    </row>
    <row r="124">
      <c r="B124" t="str">
        <f>IFERROR(__xludf.DUMMYFUNCTION("""COMPUTED_VALUE"""),"Jamaal Wilkes")</f>
        <v>Jamaal Wilkes</v>
      </c>
      <c r="C124" t="str">
        <f>IFERROR(__xludf.DUMMYFUNCTION("""COMPUTED_VALUE"""),"Ailier")</f>
        <v>Ailier</v>
      </c>
      <c r="D124">
        <f>IFERROR(__xludf.DUMMYFUNCTION("""COMPUTED_VALUE"""),14644.0)</f>
        <v>14644</v>
      </c>
      <c r="E124">
        <f>IFERROR(__xludf.DUMMYFUNCTION("""COMPUTED_VALUE"""),828.0)</f>
        <v>828</v>
      </c>
      <c r="F124">
        <f>IFERROR(__xludf.DUMMYFUNCTION("""COMPUTED_VALUE"""),17.69)</f>
        <v>17.69</v>
      </c>
      <c r="G124">
        <f>IFERROR(__xludf.DUMMYFUNCTION("""COMPUTED_VALUE"""),6226.0)</f>
        <v>6226</v>
      </c>
      <c r="H124">
        <f>IFERROR(__xludf.DUMMYFUNCTION("""COMPUTED_VALUE"""),7.0)</f>
        <v>7</v>
      </c>
      <c r="I124">
        <f>IFERROR(__xludf.DUMMYFUNCTION("""COMPUTED_VALUE"""),2185.0)</f>
        <v>2185</v>
      </c>
      <c r="J124" t="str">
        <f>IFERROR(__xludf.DUMMYFUNCTION("""COMPUTED_VALUE"""),"*")</f>
        <v>*</v>
      </c>
    </row>
    <row r="125">
      <c r="A125">
        <f>IFERROR(__xludf.DUMMYFUNCTION("""COMPUTED_VALUE"""),174.0)</f>
        <v>174</v>
      </c>
      <c r="B125" t="str">
        <f>IFERROR(__xludf.DUMMYFUNCTION("""COMPUTED_VALUE"""),"Purvis Short")</f>
        <v>Purvis Short</v>
      </c>
      <c r="C125" t="str">
        <f>IFERROR(__xludf.DUMMYFUNCTION("""COMPUTED_VALUE"""),"Ailier")</f>
        <v>Ailier</v>
      </c>
      <c r="D125">
        <f>IFERROR(__xludf.DUMMYFUNCTION("""COMPUTED_VALUE"""),14607.0)</f>
        <v>14607</v>
      </c>
      <c r="E125">
        <f>IFERROR(__xludf.DUMMYFUNCTION("""COMPUTED_VALUE"""),842.0)</f>
        <v>842</v>
      </c>
      <c r="F125">
        <f>IFERROR(__xludf.DUMMYFUNCTION("""COMPUTED_VALUE"""),17.35)</f>
        <v>17.35</v>
      </c>
      <c r="G125">
        <f>IFERROR(__xludf.DUMMYFUNCTION("""COMPUTED_VALUE"""),5934.0)</f>
        <v>5934</v>
      </c>
      <c r="H125">
        <f>IFERROR(__xludf.DUMMYFUNCTION("""COMPUTED_VALUE"""),125.0)</f>
        <v>125</v>
      </c>
      <c r="I125">
        <f>IFERROR(__xludf.DUMMYFUNCTION("""COMPUTED_VALUE"""),2614.0)</f>
        <v>2614</v>
      </c>
    </row>
    <row r="126">
      <c r="A126">
        <f>IFERROR(__xludf.DUMMYFUNCTION("""COMPUTED_VALUE"""),175.0)</f>
        <v>175</v>
      </c>
      <c r="B126" t="str">
        <f>IFERROR(__xludf.DUMMYFUNCTION("""COMPUTED_VALUE"""),"Spencer Haywood")</f>
        <v>Spencer Haywood</v>
      </c>
      <c r="C126" t="str">
        <f>IFERROR(__xludf.DUMMYFUNCTION("""COMPUTED_VALUE"""),"Ailier fort")</f>
        <v>Ailier fort</v>
      </c>
      <c r="D126">
        <f>IFERROR(__xludf.DUMMYFUNCTION("""COMPUTED_VALUE"""),14592.0)</f>
        <v>14592</v>
      </c>
      <c r="E126">
        <f>IFERROR(__xludf.DUMMYFUNCTION("""COMPUTED_VALUE"""),760.0)</f>
        <v>760</v>
      </c>
      <c r="F126">
        <f>IFERROR(__xludf.DUMMYFUNCTION("""COMPUTED_VALUE"""),19.2)</f>
        <v>19.2</v>
      </c>
      <c r="G126">
        <f>IFERROR(__xludf.DUMMYFUNCTION("""COMPUTED_VALUE"""),5790.0)</f>
        <v>5790</v>
      </c>
      <c r="H126">
        <f>IFERROR(__xludf.DUMMYFUNCTION("""COMPUTED_VALUE"""),1.0)</f>
        <v>1</v>
      </c>
      <c r="I126">
        <f>IFERROR(__xludf.DUMMYFUNCTION("""COMPUTED_VALUE"""),3011.0)</f>
        <v>3011</v>
      </c>
      <c r="J126" t="str">
        <f>IFERROR(__xludf.DUMMYFUNCTION("""COMPUTED_VALUE"""),"*")</f>
        <v>*</v>
      </c>
    </row>
    <row r="127">
      <c r="A127">
        <f>IFERROR(__xludf.DUMMYFUNCTION("""COMPUTED_VALUE"""),176.0)</f>
        <v>176</v>
      </c>
      <c r="B127" t="str">
        <f>IFERROR(__xludf.DUMMYFUNCTION("""COMPUTED_VALUE"""),"Allan Houston")</f>
        <v>Allan Houston</v>
      </c>
      <c r="C127" t="str">
        <f>IFERROR(__xludf.DUMMYFUNCTION("""COMPUTED_VALUE"""),"Arrière")</f>
        <v>Arrière</v>
      </c>
      <c r="D127">
        <f>IFERROR(__xludf.DUMMYFUNCTION("""COMPUTED_VALUE"""),14551.0)</f>
        <v>14551</v>
      </c>
      <c r="E127">
        <f>IFERROR(__xludf.DUMMYFUNCTION("""COMPUTED_VALUE"""),839.0)</f>
        <v>839</v>
      </c>
      <c r="F127">
        <f>IFERROR(__xludf.DUMMYFUNCTION("""COMPUTED_VALUE"""),17.34)</f>
        <v>17.34</v>
      </c>
      <c r="G127">
        <f>IFERROR(__xludf.DUMMYFUNCTION("""COMPUTED_VALUE"""),4032.0)</f>
        <v>4032</v>
      </c>
      <c r="H127">
        <f>IFERROR(__xludf.DUMMYFUNCTION("""COMPUTED_VALUE"""),1305.0)</f>
        <v>1305</v>
      </c>
      <c r="I127">
        <f>IFERROR(__xludf.DUMMYFUNCTION("""COMPUTED_VALUE"""),2572.0)</f>
        <v>2572</v>
      </c>
    </row>
    <row r="128">
      <c r="A128">
        <f>IFERROR(__xludf.DUMMYFUNCTION("""COMPUTED_VALUE"""),177.0)</f>
        <v>177</v>
      </c>
      <c r="B128" t="str">
        <f>IFERROR(__xludf.DUMMYFUNCTION("""COMPUTED_VALUE"""),"Paul Millsap")</f>
        <v>Paul Millsap</v>
      </c>
      <c r="C128" t="str">
        <f>IFERROR(__xludf.DUMMYFUNCTION("""COMPUTED_VALUE"""),"Ailier fort")</f>
        <v>Ailier fort</v>
      </c>
      <c r="D128">
        <f>IFERROR(__xludf.DUMMYFUNCTION("""COMPUTED_VALUE"""),14536.0)</f>
        <v>14536</v>
      </c>
      <c r="E128">
        <f>IFERROR(__xludf.DUMMYFUNCTION("""COMPUTED_VALUE"""),1085.0)</f>
        <v>1085</v>
      </c>
      <c r="F128">
        <f>IFERROR(__xludf.DUMMYFUNCTION("""COMPUTED_VALUE"""),13.4)</f>
        <v>13.4</v>
      </c>
      <c r="G128">
        <f>IFERROR(__xludf.DUMMYFUNCTION("""COMPUTED_VALUE"""),5455.0)</f>
        <v>5455</v>
      </c>
      <c r="H128">
        <f>IFERROR(__xludf.DUMMYFUNCTION("""COMPUTED_VALUE"""),541.0)</f>
        <v>541</v>
      </c>
      <c r="I128">
        <f>IFERROR(__xludf.DUMMYFUNCTION("""COMPUTED_VALUE"""),3085.0)</f>
        <v>3085</v>
      </c>
      <c r="J128" t="str">
        <f>IFERROR(__xludf.DUMMYFUNCTION("""COMPUTED_VALUE"""),"°")</f>
        <v>°</v>
      </c>
    </row>
    <row r="129">
      <c r="A129">
        <f>IFERROR(__xludf.DUMMYFUNCTION("""COMPUTED_VALUE"""),178.0)</f>
        <v>178</v>
      </c>
      <c r="B129" t="str">
        <f>IFERROR(__xludf.DUMMYFUNCTION("""COMPUTED_VALUE"""),"Bill Russell")</f>
        <v>Bill Russell</v>
      </c>
      <c r="C129" t="str">
        <f>IFERROR(__xludf.DUMMYFUNCTION("""COMPUTED_VALUE"""),"Pivot")</f>
        <v>Pivot</v>
      </c>
      <c r="D129">
        <f>IFERROR(__xludf.DUMMYFUNCTION("""COMPUTED_VALUE"""),14522.0)</f>
        <v>14522</v>
      </c>
      <c r="E129">
        <f>IFERROR(__xludf.DUMMYFUNCTION("""COMPUTED_VALUE"""),963.0)</f>
        <v>963</v>
      </c>
      <c r="F129">
        <f>IFERROR(__xludf.DUMMYFUNCTION("""COMPUTED_VALUE"""),15.08)</f>
        <v>15.08</v>
      </c>
      <c r="G129">
        <f>IFERROR(__xludf.DUMMYFUNCTION("""COMPUTED_VALUE"""),5687.0)</f>
        <v>5687</v>
      </c>
      <c r="I129">
        <f>IFERROR(__xludf.DUMMYFUNCTION("""COMPUTED_VALUE"""),3148.0)</f>
        <v>3148</v>
      </c>
      <c r="J129" t="str">
        <f>IFERROR(__xludf.DUMMYFUNCTION("""COMPUTED_VALUE"""),"*")</f>
        <v>*</v>
      </c>
    </row>
    <row r="130">
      <c r="A130">
        <f>IFERROR(__xludf.DUMMYFUNCTION("""COMPUTED_VALUE"""),179.0)</f>
        <v>179</v>
      </c>
      <c r="B130" t="str">
        <f>IFERROR(__xludf.DUMMYFUNCTION("""COMPUTED_VALUE"""),"Blake Griffin")</f>
        <v>Blake Griffin</v>
      </c>
      <c r="C130" t="str">
        <f>IFERROR(__xludf.DUMMYFUNCTION("""COMPUTED_VALUE"""),"Ailier fort")</f>
        <v>Ailier fort</v>
      </c>
      <c r="D130">
        <f>IFERROR(__xludf.DUMMYFUNCTION("""COMPUTED_VALUE"""),14513.0)</f>
        <v>14513</v>
      </c>
      <c r="E130">
        <f>IFERROR(__xludf.DUMMYFUNCTION("""COMPUTED_VALUE"""),765.0)</f>
        <v>765</v>
      </c>
      <c r="F130">
        <f>IFERROR(__xludf.DUMMYFUNCTION("""COMPUTED_VALUE"""),18.97)</f>
        <v>18.97</v>
      </c>
      <c r="G130">
        <f>IFERROR(__xludf.DUMMYFUNCTION("""COMPUTED_VALUE"""),5419.0)</f>
        <v>5419</v>
      </c>
      <c r="H130">
        <f>IFERROR(__xludf.DUMMYFUNCTION("""COMPUTED_VALUE"""),538.0)</f>
        <v>538</v>
      </c>
      <c r="I130">
        <f>IFERROR(__xludf.DUMMYFUNCTION("""COMPUTED_VALUE"""),3137.0)</f>
        <v>3137</v>
      </c>
      <c r="J130" t="str">
        <f>IFERROR(__xludf.DUMMYFUNCTION("""COMPUTED_VALUE"""),"°")</f>
        <v>°</v>
      </c>
    </row>
    <row r="131">
      <c r="A131">
        <f>IFERROR(__xludf.DUMMYFUNCTION("""COMPUTED_VALUE"""),180.0)</f>
        <v>180</v>
      </c>
      <c r="B131" t="str">
        <f>IFERROR(__xludf.DUMMYFUNCTION("""COMPUTED_VALUE"""),"Kemba Walker")</f>
        <v>Kemba Walker</v>
      </c>
      <c r="C131" t="str">
        <f>IFERROR(__xludf.DUMMYFUNCTION("""COMPUTED_VALUE"""),"Meneur")</f>
        <v>Meneur</v>
      </c>
      <c r="D131">
        <f>IFERROR(__xludf.DUMMYFUNCTION("""COMPUTED_VALUE"""),14486.0)</f>
        <v>14486</v>
      </c>
      <c r="E131">
        <f>IFERROR(__xludf.DUMMYFUNCTION("""COMPUTED_VALUE"""),750.0)</f>
        <v>750</v>
      </c>
      <c r="F131">
        <f>IFERROR(__xludf.DUMMYFUNCTION("""COMPUTED_VALUE"""),19.31)</f>
        <v>19.31</v>
      </c>
      <c r="G131">
        <f>IFERROR(__xludf.DUMMYFUNCTION("""COMPUTED_VALUE"""),4999.0)</f>
        <v>4999</v>
      </c>
      <c r="H131">
        <f>IFERROR(__xludf.DUMMYFUNCTION("""COMPUTED_VALUE"""),1670.0)</f>
        <v>1670</v>
      </c>
      <c r="I131">
        <f>IFERROR(__xludf.DUMMYFUNCTION("""COMPUTED_VALUE"""),2818.0)</f>
        <v>2818</v>
      </c>
      <c r="J131" t="str">
        <f>IFERROR(__xludf.DUMMYFUNCTION("""COMPUTED_VALUE"""),"°")</f>
        <v>°</v>
      </c>
    </row>
    <row r="132">
      <c r="A132">
        <f>IFERROR(__xludf.DUMMYFUNCTION("""COMPUTED_VALUE"""),181.0)</f>
        <v>181</v>
      </c>
      <c r="B132" t="str">
        <f>IFERROR(__xludf.DUMMYFUNCTION("""COMPUTED_VALUE"""),"Hersey Hawkins")</f>
        <v>Hersey Hawkins</v>
      </c>
      <c r="C132" t="str">
        <f>IFERROR(__xludf.DUMMYFUNCTION("""COMPUTED_VALUE"""),"Arrière")</f>
        <v>Arrière</v>
      </c>
      <c r="D132">
        <f>IFERROR(__xludf.DUMMYFUNCTION("""COMPUTED_VALUE"""),14470.0)</f>
        <v>14470</v>
      </c>
      <c r="E132">
        <f>IFERROR(__xludf.DUMMYFUNCTION("""COMPUTED_VALUE"""),983.0)</f>
        <v>983</v>
      </c>
      <c r="F132">
        <f>IFERROR(__xludf.DUMMYFUNCTION("""COMPUTED_VALUE"""),14.72)</f>
        <v>14.72</v>
      </c>
      <c r="G132">
        <f>IFERROR(__xludf.DUMMYFUNCTION("""COMPUTED_VALUE"""),4889.0)</f>
        <v>4889</v>
      </c>
      <c r="H132">
        <f>IFERROR(__xludf.DUMMYFUNCTION("""COMPUTED_VALUE"""),1226.0)</f>
        <v>1226</v>
      </c>
      <c r="I132">
        <f>IFERROR(__xludf.DUMMYFUNCTION("""COMPUTED_VALUE"""),3466.0)</f>
        <v>3466</v>
      </c>
    </row>
    <row r="133">
      <c r="A133">
        <f>IFERROR(__xludf.DUMMYFUNCTION("""COMPUTED_VALUE"""),182.0)</f>
        <v>182</v>
      </c>
      <c r="B133" t="str">
        <f>IFERROR(__xludf.DUMMYFUNCTION("""COMPUTED_VALUE"""),"Ricky Pierce")</f>
        <v>Ricky Pierce</v>
      </c>
      <c r="C133" t="str">
        <f>IFERROR(__xludf.DUMMYFUNCTION("""COMPUTED_VALUE"""),"Arrière")</f>
        <v>Arrière</v>
      </c>
      <c r="D133">
        <f>IFERROR(__xludf.DUMMYFUNCTION("""COMPUTED_VALUE"""),14467.0)</f>
        <v>14467</v>
      </c>
      <c r="E133">
        <f>IFERROR(__xludf.DUMMYFUNCTION("""COMPUTED_VALUE"""),969.0)</f>
        <v>969</v>
      </c>
      <c r="F133">
        <f>IFERROR(__xludf.DUMMYFUNCTION("""COMPUTED_VALUE"""),14.93)</f>
        <v>14.93</v>
      </c>
      <c r="G133">
        <f>IFERROR(__xludf.DUMMYFUNCTION("""COMPUTED_VALUE"""),5391.0)</f>
        <v>5391</v>
      </c>
      <c r="H133">
        <f>IFERROR(__xludf.DUMMYFUNCTION("""COMPUTED_VALUE"""),296.0)</f>
        <v>296</v>
      </c>
      <c r="I133">
        <f>IFERROR(__xludf.DUMMYFUNCTION("""COMPUTED_VALUE"""),3389.0)</f>
        <v>3389</v>
      </c>
    </row>
    <row r="134">
      <c r="A134">
        <f>IFERROR(__xludf.DUMMYFUNCTION("""COMPUTED_VALUE"""),183.0)</f>
        <v>183</v>
      </c>
      <c r="B134" t="str">
        <f>IFERROR(__xludf.DUMMYFUNCTION("""COMPUTED_VALUE"""),"Rod Strickland")</f>
        <v>Rod Strickland</v>
      </c>
      <c r="C134" t="str">
        <f>IFERROR(__xludf.DUMMYFUNCTION("""COMPUTED_VALUE"""),"Meneur")</f>
        <v>Meneur</v>
      </c>
      <c r="D134">
        <f>IFERROR(__xludf.DUMMYFUNCTION("""COMPUTED_VALUE"""),14463.0)</f>
        <v>14463</v>
      </c>
      <c r="E134">
        <f>IFERROR(__xludf.DUMMYFUNCTION("""COMPUTED_VALUE"""),1094.0)</f>
        <v>1094</v>
      </c>
      <c r="F134">
        <f>IFERROR(__xludf.DUMMYFUNCTION("""COMPUTED_VALUE"""),13.22)</f>
        <v>13.22</v>
      </c>
      <c r="G134">
        <f>IFERROR(__xludf.DUMMYFUNCTION("""COMPUTED_VALUE"""),5418.0)</f>
        <v>5418</v>
      </c>
      <c r="H134">
        <f>IFERROR(__xludf.DUMMYFUNCTION("""COMPUTED_VALUE"""),195.0)</f>
        <v>195</v>
      </c>
      <c r="I134">
        <f>IFERROR(__xludf.DUMMYFUNCTION("""COMPUTED_VALUE"""),3432.0)</f>
        <v>3432</v>
      </c>
    </row>
    <row r="135">
      <c r="A135">
        <f>IFERROR(__xludf.DUMMYFUNCTION("""COMPUTED_VALUE"""),184.0)</f>
        <v>184</v>
      </c>
      <c r="B135" t="str">
        <f>IFERROR(__xludf.DUMMYFUNCTION("""COMPUTED_VALUE"""),"Jeff Green")</f>
        <v>Jeff Green</v>
      </c>
      <c r="C135" t="str">
        <f>IFERROR(__xludf.DUMMYFUNCTION("""COMPUTED_VALUE"""),"Ailier")</f>
        <v>Ailier</v>
      </c>
      <c r="D135">
        <f>IFERROR(__xludf.DUMMYFUNCTION("""COMPUTED_VALUE"""),14454.0)</f>
        <v>14454</v>
      </c>
      <c r="E135">
        <f>IFERROR(__xludf.DUMMYFUNCTION("""COMPUTED_VALUE"""),1235.0)</f>
        <v>1235</v>
      </c>
      <c r="F135">
        <f>IFERROR(__xludf.DUMMYFUNCTION("""COMPUTED_VALUE"""),11.7)</f>
        <v>11.7</v>
      </c>
      <c r="G135">
        <f>IFERROR(__xludf.DUMMYFUNCTION("""COMPUTED_VALUE"""),5218.0)</f>
        <v>5218</v>
      </c>
      <c r="H135">
        <f>IFERROR(__xludf.DUMMYFUNCTION("""COMPUTED_VALUE"""),1211.0)</f>
        <v>1211</v>
      </c>
      <c r="I135">
        <f>IFERROR(__xludf.DUMMYFUNCTION("""COMPUTED_VALUE"""),2807.0)</f>
        <v>2807</v>
      </c>
      <c r="J135" t="str">
        <f>IFERROR(__xludf.DUMMYFUNCTION("""COMPUTED_VALUE"""),"^")</f>
        <v>^</v>
      </c>
    </row>
    <row r="136">
      <c r="A136">
        <f>IFERROR(__xludf.DUMMYFUNCTION("""COMPUTED_VALUE"""),185.0)</f>
        <v>185</v>
      </c>
      <c r="B136" t="str">
        <f>IFERROR(__xludf.DUMMYFUNCTION("""COMPUTED_VALUE"""),"Nate Thurmond")</f>
        <v>Nate Thurmond</v>
      </c>
      <c r="C136" t="str">
        <f>IFERROR(__xludf.DUMMYFUNCTION("""COMPUTED_VALUE"""),"Pivot")</f>
        <v>Pivot</v>
      </c>
      <c r="D136">
        <f>IFERROR(__xludf.DUMMYFUNCTION("""COMPUTED_VALUE"""),14437.0)</f>
        <v>14437</v>
      </c>
      <c r="E136">
        <f>IFERROR(__xludf.DUMMYFUNCTION("""COMPUTED_VALUE"""),964.0)</f>
        <v>964</v>
      </c>
      <c r="F136">
        <f>IFERROR(__xludf.DUMMYFUNCTION("""COMPUTED_VALUE"""),14.97)</f>
        <v>14.97</v>
      </c>
      <c r="G136">
        <f>IFERROR(__xludf.DUMMYFUNCTION("""COMPUTED_VALUE"""),5521.0)</f>
        <v>5521</v>
      </c>
      <c r="I136">
        <f>IFERROR(__xludf.DUMMYFUNCTION("""COMPUTED_VALUE"""),3395.0)</f>
        <v>3395</v>
      </c>
      <c r="J136" t="str">
        <f>IFERROR(__xludf.DUMMYFUNCTION("""COMPUTED_VALUE"""),"*")</f>
        <v>*</v>
      </c>
    </row>
    <row r="137">
      <c r="A137">
        <f>IFERROR(__xludf.DUMMYFUNCTION("""COMPUTED_VALUE"""),186.0)</f>
        <v>186</v>
      </c>
      <c r="B137" t="str">
        <f>IFERROR(__xludf.DUMMYFUNCTION("""COMPUTED_VALUE"""),"Jo Jo White")</f>
        <v>Jo Jo White</v>
      </c>
      <c r="C137" t="str">
        <f>IFERROR(__xludf.DUMMYFUNCTION("""COMPUTED_VALUE"""),"Meneur")</f>
        <v>Meneur</v>
      </c>
      <c r="D137">
        <f>IFERROR(__xludf.DUMMYFUNCTION("""COMPUTED_VALUE"""),14399.0)</f>
        <v>14399</v>
      </c>
      <c r="E137">
        <f>IFERROR(__xludf.DUMMYFUNCTION("""COMPUTED_VALUE"""),837.0)</f>
        <v>837</v>
      </c>
      <c r="F137">
        <f>IFERROR(__xludf.DUMMYFUNCTION("""COMPUTED_VALUE"""),17.2)</f>
        <v>17.2</v>
      </c>
      <c r="G137">
        <f>IFERROR(__xludf.DUMMYFUNCTION("""COMPUTED_VALUE"""),6169.0)</f>
        <v>6169</v>
      </c>
      <c r="H137">
        <f>IFERROR(__xludf.DUMMYFUNCTION("""COMPUTED_VALUE"""),1.0)</f>
        <v>1</v>
      </c>
      <c r="I137">
        <f>IFERROR(__xludf.DUMMYFUNCTION("""COMPUTED_VALUE"""),2060.0)</f>
        <v>2060</v>
      </c>
      <c r="J137" t="str">
        <f>IFERROR(__xludf.DUMMYFUNCTION("""COMPUTED_VALUE"""),"*")</f>
        <v>*</v>
      </c>
    </row>
    <row r="138">
      <c r="A138">
        <f>IFERROR(__xludf.DUMMYFUNCTION("""COMPUTED_VALUE"""),187.0)</f>
        <v>187</v>
      </c>
      <c r="B138" t="str">
        <f>IFERROR(__xludf.DUMMYFUNCTION("""COMPUTED_VALUE"""),"Harrison Barnes")</f>
        <v>Harrison Barnes</v>
      </c>
      <c r="C138" t="str">
        <f>IFERROR(__xludf.DUMMYFUNCTION("""COMPUTED_VALUE"""),"Ailier")</f>
        <v>Ailier</v>
      </c>
      <c r="D138">
        <f>IFERROR(__xludf.DUMMYFUNCTION("""COMPUTED_VALUE"""),14379.0)</f>
        <v>14379</v>
      </c>
      <c r="E138">
        <f>IFERROR(__xludf.DUMMYFUNCTION("""COMPUTED_VALUE"""),1047.0)</f>
        <v>1047</v>
      </c>
      <c r="F138">
        <f>IFERROR(__xludf.DUMMYFUNCTION("""COMPUTED_VALUE"""),13.74)</f>
        <v>13.74</v>
      </c>
      <c r="G138">
        <f>IFERROR(__xludf.DUMMYFUNCTION("""COMPUTED_VALUE"""),5063.0)</f>
        <v>5063</v>
      </c>
      <c r="H138">
        <f>IFERROR(__xludf.DUMMYFUNCTION("""COMPUTED_VALUE"""),1541.0)</f>
        <v>1541</v>
      </c>
      <c r="I138">
        <f>IFERROR(__xludf.DUMMYFUNCTION("""COMPUTED_VALUE"""),2712.0)</f>
        <v>2712</v>
      </c>
      <c r="J138" t="str">
        <f>IFERROR(__xludf.DUMMYFUNCTION("""COMPUTED_VALUE"""),"^")</f>
        <v>^</v>
      </c>
    </row>
    <row r="139">
      <c r="A139">
        <f>IFERROR(__xludf.DUMMYFUNCTION("""COMPUTED_VALUE"""),188.0)</f>
        <v>188</v>
      </c>
      <c r="B139" t="str">
        <f>IFERROR(__xludf.DUMMYFUNCTION("""COMPUTED_VALUE"""),"Al Jefferson")</f>
        <v>Al Jefferson</v>
      </c>
      <c r="C139" t="str">
        <f>IFERROR(__xludf.DUMMYFUNCTION("""COMPUTED_VALUE"""),"Pivot")</f>
        <v>Pivot</v>
      </c>
      <c r="D139">
        <f>IFERROR(__xludf.DUMMYFUNCTION("""COMPUTED_VALUE"""),14343.0)</f>
        <v>14343</v>
      </c>
      <c r="E139">
        <f>IFERROR(__xludf.DUMMYFUNCTION("""COMPUTED_VALUE"""),915.0)</f>
        <v>915</v>
      </c>
      <c r="F139">
        <f>IFERROR(__xludf.DUMMYFUNCTION("""COMPUTED_VALUE"""),15.68)</f>
        <v>15.68</v>
      </c>
      <c r="G139">
        <f>IFERROR(__xludf.DUMMYFUNCTION("""COMPUTED_VALUE"""),6161.0)</f>
        <v>6161</v>
      </c>
      <c r="H139">
        <f>IFERROR(__xludf.DUMMYFUNCTION("""COMPUTED_VALUE"""),8.0)</f>
        <v>8</v>
      </c>
      <c r="I139">
        <f>IFERROR(__xludf.DUMMYFUNCTION("""COMPUTED_VALUE"""),2013.0)</f>
        <v>2013</v>
      </c>
    </row>
    <row r="140">
      <c r="A140">
        <f>IFERROR(__xludf.DUMMYFUNCTION("""COMPUTED_VALUE"""),189.0)</f>
        <v>189</v>
      </c>
      <c r="B140" t="str">
        <f>IFERROR(__xludf.DUMMYFUNCTION("""COMPUTED_VALUE"""),"Zach LaVine")</f>
        <v>Zach LaVine</v>
      </c>
      <c r="C140" t="str">
        <f>IFERROR(__xludf.DUMMYFUNCTION("""COMPUTED_VALUE"""),"Arrière")</f>
        <v>Arrière</v>
      </c>
      <c r="D140">
        <f>IFERROR(__xludf.DUMMYFUNCTION("""COMPUTED_VALUE"""),14338.0)</f>
        <v>14338</v>
      </c>
      <c r="E140">
        <f>IFERROR(__xludf.DUMMYFUNCTION("""COMPUTED_VALUE"""),693.0)</f>
        <v>693</v>
      </c>
      <c r="F140">
        <f>IFERROR(__xludf.DUMMYFUNCTION("""COMPUTED_VALUE"""),20.69)</f>
        <v>20.69</v>
      </c>
      <c r="G140">
        <f>IFERROR(__xludf.DUMMYFUNCTION("""COMPUTED_VALUE"""),5114.0)</f>
        <v>5114</v>
      </c>
      <c r="H140">
        <f>IFERROR(__xludf.DUMMYFUNCTION("""COMPUTED_VALUE"""),1632.0)</f>
        <v>1632</v>
      </c>
      <c r="I140">
        <f>IFERROR(__xludf.DUMMYFUNCTION("""COMPUTED_VALUE"""),2478.0)</f>
        <v>2478</v>
      </c>
      <c r="J140" t="str">
        <f>IFERROR(__xludf.DUMMYFUNCTION("""COMPUTED_VALUE"""),"^")</f>
        <v>^</v>
      </c>
    </row>
    <row r="141">
      <c r="A141">
        <f>IFERROR(__xludf.DUMMYFUNCTION("""COMPUTED_VALUE"""),190.0)</f>
        <v>190</v>
      </c>
      <c r="B141" t="str">
        <f>IFERROR(__xludf.DUMMYFUNCTION("""COMPUTED_VALUE"""),"Alonzo Mourning")</f>
        <v>Alonzo Mourning</v>
      </c>
      <c r="C141" t="str">
        <f>IFERROR(__xludf.DUMMYFUNCTION("""COMPUTED_VALUE"""),"Pivot")</f>
        <v>Pivot</v>
      </c>
      <c r="D141">
        <f>IFERROR(__xludf.DUMMYFUNCTION("""COMPUTED_VALUE"""),14311.0)</f>
        <v>14311</v>
      </c>
      <c r="E141">
        <f>IFERROR(__xludf.DUMMYFUNCTION("""COMPUTED_VALUE"""),838.0)</f>
        <v>838</v>
      </c>
      <c r="F141">
        <f>IFERROR(__xludf.DUMMYFUNCTION("""COMPUTED_VALUE"""),17.08)</f>
        <v>17.08</v>
      </c>
      <c r="G141">
        <f>IFERROR(__xludf.DUMMYFUNCTION("""COMPUTED_VALUE"""),5116.0)</f>
        <v>5116</v>
      </c>
      <c r="H141">
        <f>IFERROR(__xludf.DUMMYFUNCTION("""COMPUTED_VALUE"""),22.0)</f>
        <v>22</v>
      </c>
      <c r="I141">
        <f>IFERROR(__xludf.DUMMYFUNCTION("""COMPUTED_VALUE"""),4057.0)</f>
        <v>4057</v>
      </c>
      <c r="J141" t="str">
        <f>IFERROR(__xludf.DUMMYFUNCTION("""COMPUTED_VALUE"""),"*")</f>
        <v>*</v>
      </c>
    </row>
    <row r="142">
      <c r="A142">
        <f>IFERROR(__xludf.DUMMYFUNCTION("""COMPUTED_VALUE"""),191.0)</f>
        <v>191</v>
      </c>
      <c r="B142" t="str">
        <f>IFERROR(__xludf.DUMMYFUNCTION("""COMPUTED_VALUE"""),"Luka Dončić")</f>
        <v>Luka Dončić</v>
      </c>
      <c r="C142" t="str">
        <f>IFERROR(__xludf.DUMMYFUNCTION("""COMPUTED_VALUE"""),"Meneur")</f>
        <v>Meneur</v>
      </c>
      <c r="D142">
        <f>IFERROR(__xludf.DUMMYFUNCTION("""COMPUTED_VALUE"""),14257.0)</f>
        <v>14257</v>
      </c>
      <c r="E142">
        <f>IFERROR(__xludf.DUMMYFUNCTION("""COMPUTED_VALUE"""),492.0)</f>
        <v>492</v>
      </c>
      <c r="F142">
        <f>IFERROR(__xludf.DUMMYFUNCTION("""COMPUTED_VALUE"""),28.98)</f>
        <v>28.98</v>
      </c>
      <c r="G142">
        <f>IFERROR(__xludf.DUMMYFUNCTION("""COMPUTED_VALUE"""),4796.0)</f>
        <v>4796</v>
      </c>
      <c r="H142">
        <f>IFERROR(__xludf.DUMMYFUNCTION("""COMPUTED_VALUE"""),1527.0)</f>
        <v>1527</v>
      </c>
      <c r="I142">
        <f>IFERROR(__xludf.DUMMYFUNCTION("""COMPUTED_VALUE"""),3138.0)</f>
        <v>3138</v>
      </c>
      <c r="J142" t="str">
        <f>IFERROR(__xludf.DUMMYFUNCTION("""COMPUTED_VALUE"""),"^")</f>
        <v>^</v>
      </c>
    </row>
    <row r="143">
      <c r="A143">
        <f>IFERROR(__xludf.DUMMYFUNCTION("""COMPUTED_VALUE"""),192.0)</f>
        <v>192</v>
      </c>
      <c r="B143" t="str">
        <f>IFERROR(__xludf.DUMMYFUNCTION("""COMPUTED_VALUE"""),"Glenn Robinson")</f>
        <v>Glenn Robinson</v>
      </c>
      <c r="C143" t="str">
        <f>IFERROR(__xludf.DUMMYFUNCTION("""COMPUTED_VALUE"""),"Ailier")</f>
        <v>Ailier</v>
      </c>
      <c r="D143">
        <f>IFERROR(__xludf.DUMMYFUNCTION("""COMPUTED_VALUE"""),14234.0)</f>
        <v>14234</v>
      </c>
      <c r="E143">
        <f>IFERROR(__xludf.DUMMYFUNCTION("""COMPUTED_VALUE"""),688.0)</f>
        <v>688</v>
      </c>
      <c r="F143">
        <f>IFERROR(__xludf.DUMMYFUNCTION("""COMPUTED_VALUE"""),20.69)</f>
        <v>20.69</v>
      </c>
      <c r="G143">
        <f>IFERROR(__xludf.DUMMYFUNCTION("""COMPUTED_VALUE"""),5571.0)</f>
        <v>5571</v>
      </c>
      <c r="H143">
        <f>IFERROR(__xludf.DUMMYFUNCTION("""COMPUTED_VALUE"""),620.0)</f>
        <v>620</v>
      </c>
      <c r="I143">
        <f>IFERROR(__xludf.DUMMYFUNCTION("""COMPUTED_VALUE"""),2472.0)</f>
        <v>2472</v>
      </c>
    </row>
    <row r="144">
      <c r="A144">
        <f>IFERROR(__xludf.DUMMYFUNCTION("""COMPUTED_VALUE"""),193.0)</f>
        <v>193</v>
      </c>
      <c r="B144" t="str">
        <f>IFERROR(__xludf.DUMMYFUNCTION("""COMPUTED_VALUE"""),"Tom Van Arsdale")</f>
        <v>Tom Van Arsdale</v>
      </c>
      <c r="C144" t="str">
        <f>IFERROR(__xludf.DUMMYFUNCTION("""COMPUTED_VALUE"""),"Ailier")</f>
        <v>Ailier</v>
      </c>
      <c r="D144">
        <f>IFERROR(__xludf.DUMMYFUNCTION("""COMPUTED_VALUE"""),14232.0)</f>
        <v>14232</v>
      </c>
      <c r="E144">
        <f>IFERROR(__xludf.DUMMYFUNCTION("""COMPUTED_VALUE"""),929.0)</f>
        <v>929</v>
      </c>
      <c r="F144">
        <f>IFERROR(__xludf.DUMMYFUNCTION("""COMPUTED_VALUE"""),15.32)</f>
        <v>15.32</v>
      </c>
      <c r="G144">
        <f>IFERROR(__xludf.DUMMYFUNCTION("""COMPUTED_VALUE"""),5505.0)</f>
        <v>5505</v>
      </c>
      <c r="I144">
        <f>IFERROR(__xludf.DUMMYFUNCTION("""COMPUTED_VALUE"""),3222.0)</f>
        <v>3222</v>
      </c>
    </row>
    <row r="145">
      <c r="A145">
        <f>IFERROR(__xludf.DUMMYFUNCTION("""COMPUTED_VALUE"""),194.0)</f>
        <v>194</v>
      </c>
      <c r="B145" t="str">
        <f>IFERROR(__xludf.DUMMYFUNCTION("""COMPUTED_VALUE"""),"Thaddeus Young")</f>
        <v>Thaddeus Young</v>
      </c>
      <c r="C145" t="str">
        <f>IFERROR(__xludf.DUMMYFUNCTION("""COMPUTED_VALUE"""),"Ailier fort")</f>
        <v>Ailier fort</v>
      </c>
      <c r="D145">
        <f>IFERROR(__xludf.DUMMYFUNCTION("""COMPUTED_VALUE"""),14225.0)</f>
        <v>14225</v>
      </c>
      <c r="E145">
        <f>IFERROR(__xludf.DUMMYFUNCTION("""COMPUTED_VALUE"""),1172.0)</f>
        <v>1172</v>
      </c>
      <c r="F145">
        <f>IFERROR(__xludf.DUMMYFUNCTION("""COMPUTED_VALUE"""),12.14)</f>
        <v>12.14</v>
      </c>
      <c r="G145">
        <f>IFERROR(__xludf.DUMMYFUNCTION("""COMPUTED_VALUE"""),6143.0)</f>
        <v>6143</v>
      </c>
      <c r="H145">
        <f>IFERROR(__xludf.DUMMYFUNCTION("""COMPUTED_VALUE"""),522.0)</f>
        <v>522</v>
      </c>
      <c r="I145">
        <f>IFERROR(__xludf.DUMMYFUNCTION("""COMPUTED_VALUE"""),1417.0)</f>
        <v>1417</v>
      </c>
    </row>
    <row r="146">
      <c r="A146">
        <f>IFERROR(__xludf.DUMMYFUNCTION("""COMPUTED_VALUE"""),195.0)</f>
        <v>195</v>
      </c>
      <c r="B146" t="str">
        <f>IFERROR(__xludf.DUMMYFUNCTION("""COMPUTED_VALUE"""),"Eric Gordon")</f>
        <v>Eric Gordon</v>
      </c>
      <c r="C146" t="str">
        <f>IFERROR(__xludf.DUMMYFUNCTION("""COMPUTED_VALUE"""),"Arrière")</f>
        <v>Arrière</v>
      </c>
      <c r="D146">
        <f>IFERROR(__xludf.DUMMYFUNCTION("""COMPUTED_VALUE"""),14167.0)</f>
        <v>14167</v>
      </c>
      <c r="E146">
        <f>IFERROR(__xludf.DUMMYFUNCTION("""COMPUTED_VALUE"""),931.0)</f>
        <v>931</v>
      </c>
      <c r="F146">
        <f>IFERROR(__xludf.DUMMYFUNCTION("""COMPUTED_VALUE"""),15.22)</f>
        <v>15.22</v>
      </c>
      <c r="G146">
        <f>IFERROR(__xludf.DUMMYFUNCTION("""COMPUTED_VALUE"""),4833.0)</f>
        <v>4833</v>
      </c>
      <c r="H146">
        <f>IFERROR(__xludf.DUMMYFUNCTION("""COMPUTED_VALUE"""),2092.0)</f>
        <v>2092</v>
      </c>
      <c r="I146">
        <f>IFERROR(__xludf.DUMMYFUNCTION("""COMPUTED_VALUE"""),2409.0)</f>
        <v>2409</v>
      </c>
      <c r="J146" t="str">
        <f>IFERROR(__xludf.DUMMYFUNCTION("""COMPUTED_VALUE"""),"^")</f>
        <v>^</v>
      </c>
    </row>
    <row r="147">
      <c r="A147">
        <f>IFERROR(__xludf.DUMMYFUNCTION("""COMPUTED_VALUE"""),196.0)</f>
        <v>196</v>
      </c>
      <c r="B147" t="str">
        <f>IFERROR(__xludf.DUMMYFUNCTION("""COMPUTED_VALUE"""),"Eddie Jones")</f>
        <v>Eddie Jones</v>
      </c>
      <c r="C147" t="str">
        <f>IFERROR(__xludf.DUMMYFUNCTION("""COMPUTED_VALUE"""),"Arrière")</f>
        <v>Arrière</v>
      </c>
      <c r="D147">
        <f>IFERROR(__xludf.DUMMYFUNCTION("""COMPUTED_VALUE"""),14155.0)</f>
        <v>14155</v>
      </c>
      <c r="E147">
        <f>IFERROR(__xludf.DUMMYFUNCTION("""COMPUTED_VALUE"""),954.0)</f>
        <v>954</v>
      </c>
      <c r="F147">
        <f>IFERROR(__xludf.DUMMYFUNCTION("""COMPUTED_VALUE"""),14.84)</f>
        <v>14.84</v>
      </c>
      <c r="G147">
        <f>IFERROR(__xludf.DUMMYFUNCTION("""COMPUTED_VALUE"""),4932.0)</f>
        <v>4932</v>
      </c>
      <c r="H147">
        <f>IFERROR(__xludf.DUMMYFUNCTION("""COMPUTED_VALUE"""),1546.0)</f>
        <v>1546</v>
      </c>
      <c r="I147">
        <f>IFERROR(__xludf.DUMMYFUNCTION("""COMPUTED_VALUE"""),2745.0)</f>
        <v>2745</v>
      </c>
    </row>
    <row r="148">
      <c r="A148">
        <f>IFERROR(__xludf.DUMMYFUNCTION("""COMPUTED_VALUE"""),197.0)</f>
        <v>197</v>
      </c>
      <c r="B148" t="str">
        <f>IFERROR(__xludf.DUMMYFUNCTION("""COMPUTED_VALUE"""),"Gus Williams")</f>
        <v>Gus Williams</v>
      </c>
      <c r="C148" t="str">
        <f>IFERROR(__xludf.DUMMYFUNCTION("""COMPUTED_VALUE"""),"Meneur")</f>
        <v>Meneur</v>
      </c>
      <c r="D148">
        <f>IFERROR(__xludf.DUMMYFUNCTION("""COMPUTED_VALUE"""),14093.0)</f>
        <v>14093</v>
      </c>
      <c r="E148">
        <f>IFERROR(__xludf.DUMMYFUNCTION("""COMPUTED_VALUE"""),825.0)</f>
        <v>825</v>
      </c>
      <c r="F148">
        <f>IFERROR(__xludf.DUMMYFUNCTION("""COMPUTED_VALUE"""),17.08)</f>
        <v>17.08</v>
      </c>
      <c r="G148">
        <f>IFERROR(__xludf.DUMMYFUNCTION("""COMPUTED_VALUE"""),5793.0)</f>
        <v>5793</v>
      </c>
      <c r="H148">
        <f>IFERROR(__xludf.DUMMYFUNCTION("""COMPUTED_VALUE"""),108.0)</f>
        <v>108</v>
      </c>
      <c r="I148">
        <f>IFERROR(__xludf.DUMMYFUNCTION("""COMPUTED_VALUE"""),2399.0)</f>
        <v>2399</v>
      </c>
    </row>
    <row r="149">
      <c r="A149">
        <f>IFERROR(__xludf.DUMMYFUNCTION("""COMPUTED_VALUE"""),198.0)</f>
        <v>198</v>
      </c>
      <c r="B149" t="str">
        <f>IFERROR(__xludf.DUMMYFUNCTION("""COMPUTED_VALUE"""),"Jerry Lucas")</f>
        <v>Jerry Lucas</v>
      </c>
      <c r="C149" t="str">
        <f>IFERROR(__xludf.DUMMYFUNCTION("""COMPUTED_VALUE"""),"Ailier fort")</f>
        <v>Ailier fort</v>
      </c>
      <c r="D149">
        <f>IFERROR(__xludf.DUMMYFUNCTION("""COMPUTED_VALUE"""),14053.0)</f>
        <v>14053</v>
      </c>
      <c r="E149">
        <f>IFERROR(__xludf.DUMMYFUNCTION("""COMPUTED_VALUE"""),829.0)</f>
        <v>829</v>
      </c>
      <c r="F149">
        <f>IFERROR(__xludf.DUMMYFUNCTION("""COMPUTED_VALUE"""),16.95)</f>
        <v>16.95</v>
      </c>
      <c r="G149">
        <f>IFERROR(__xludf.DUMMYFUNCTION("""COMPUTED_VALUE"""),5709.0)</f>
        <v>5709</v>
      </c>
      <c r="I149">
        <f>IFERROR(__xludf.DUMMYFUNCTION("""COMPUTED_VALUE"""),2635.0)</f>
        <v>2635</v>
      </c>
      <c r="J149" t="str">
        <f>IFERROR(__xludf.DUMMYFUNCTION("""COMPUTED_VALUE"""),"*")</f>
        <v>*</v>
      </c>
    </row>
    <row r="150">
      <c r="B150" t="str">
        <f>IFERROR(__xludf.DUMMYFUNCTION("""COMPUTED_VALUE"""),"Dave DeBusschere")</f>
        <v>Dave DeBusschere</v>
      </c>
      <c r="C150" t="str">
        <f>IFERROR(__xludf.DUMMYFUNCTION("""COMPUTED_VALUE"""),"Ailier fort")</f>
        <v>Ailier fort</v>
      </c>
      <c r="D150">
        <f>IFERROR(__xludf.DUMMYFUNCTION("""COMPUTED_VALUE"""),14053.0)</f>
        <v>14053</v>
      </c>
      <c r="E150">
        <f>IFERROR(__xludf.DUMMYFUNCTION("""COMPUTED_VALUE"""),875.0)</f>
        <v>875</v>
      </c>
      <c r="F150">
        <f>IFERROR(__xludf.DUMMYFUNCTION("""COMPUTED_VALUE"""),16.06)</f>
        <v>16.06</v>
      </c>
      <c r="G150">
        <f>IFERROR(__xludf.DUMMYFUNCTION("""COMPUTED_VALUE"""),5722.0)</f>
        <v>5722</v>
      </c>
      <c r="I150">
        <f>IFERROR(__xludf.DUMMYFUNCTION("""COMPUTED_VALUE"""),2609.0)</f>
        <v>2609</v>
      </c>
      <c r="J150" t="str">
        <f>IFERROR(__xludf.DUMMYFUNCTION("""COMPUTED_VALUE"""),"*")</f>
        <v>*</v>
      </c>
    </row>
    <row r="151">
      <c r="A151">
        <f>IFERROR(__xludf.DUMMYFUNCTION("""COMPUTED_VALUE"""),200.0)</f>
        <v>200</v>
      </c>
      <c r="B151" t="str">
        <f>IFERROR(__xludf.DUMMYFUNCTION("""COMPUTED_VALUE"""),"Manu Ginóbili")</f>
        <v>Manu Ginóbili</v>
      </c>
      <c r="C151" t="str">
        <f>IFERROR(__xludf.DUMMYFUNCTION("""COMPUTED_VALUE"""),"Arrière")</f>
        <v>Arrière</v>
      </c>
      <c r="D151">
        <f>IFERROR(__xludf.DUMMYFUNCTION("""COMPUTED_VALUE"""),14043.0)</f>
        <v>14043</v>
      </c>
      <c r="E151">
        <f>IFERROR(__xludf.DUMMYFUNCTION("""COMPUTED_VALUE"""),1057.0)</f>
        <v>1057</v>
      </c>
      <c r="F151">
        <f>IFERROR(__xludf.DUMMYFUNCTION("""COMPUTED_VALUE"""),13.29)</f>
        <v>13.29</v>
      </c>
      <c r="G151">
        <f>IFERROR(__xludf.DUMMYFUNCTION("""COMPUTED_VALUE"""),4584.0)</f>
        <v>4584</v>
      </c>
      <c r="H151">
        <f>IFERROR(__xludf.DUMMYFUNCTION("""COMPUTED_VALUE"""),1495.0)</f>
        <v>1495</v>
      </c>
      <c r="I151">
        <f>IFERROR(__xludf.DUMMYFUNCTION("""COMPUTED_VALUE"""),3380.0)</f>
        <v>3380</v>
      </c>
      <c r="J151" t="str">
        <f>IFERROR(__xludf.DUMMYFUNCTION("""COMPUTED_VALUE"""),"*")</f>
        <v>*</v>
      </c>
    </row>
    <row r="154">
      <c r="A154" t="str">
        <f>IFERROR(__xludf.DUMMYFUNCTION("IMPORTHTML(""https://fr.wikipedia.org/wiki/Liste_des_meilleurs_marqueurs_en_NBA_en_carri%C3%A8re"",""table"",1)"),"^")</f>
        <v>^</v>
      </c>
      <c r="B154" t="str">
        <f>IFERROR(__xludf.DUMMYFUNCTION("""COMPUTED_VALUE"""),"Joueur toujours en activité en NBA")</f>
        <v>Joueur toujours en activité en NBA</v>
      </c>
    </row>
    <row r="155">
      <c r="A155" t="str">
        <f>IFERROR(__xludf.DUMMYFUNCTION("""COMPUTED_VALUE"""),"*")</f>
        <v>*</v>
      </c>
      <c r="B155" t="str">
        <f>IFERROR(__xludf.DUMMYFUNCTION("""COMPUTED_VALUE"""),"Joueur intronisé au Basketball Hall of Fame")</f>
        <v>Joueur intronisé au Basketball Hall of Fame</v>
      </c>
    </row>
    <row r="156">
      <c r="A156" t="str">
        <f>IFERROR(__xludf.DUMMYFUNCTION("""COMPUTED_VALUE"""),"°")</f>
        <v>°</v>
      </c>
      <c r="B156" t="str">
        <f>IFERROR(__xludf.DUMMYFUNCTION("""COMPUTED_VALUE"""),"Joueur ne répondant pas aux critères du Basketball Hall of Fame[Note 1]")</f>
        <v>Joueur ne répondant pas aux critères du Basketball Hall of Fame[Note 1]</v>
      </c>
    </row>
    <row r="158">
      <c r="A158" t="str">
        <f>IFERROR(__xludf.DUMMYFUNCTION("IMPORTHTML(""https://fr.wikipedia.org/wiki/Liste_des_meilleurs_marqueurs_en_NBA_en_carri%C3%A8re"",""table"",2)"),"Rang")</f>
        <v>Rang</v>
      </c>
      <c r="B158" t="str">
        <f>IFERROR(__xludf.DUMMYFUNCTION("""COMPUTED_VALUE"""),"Nom")</f>
        <v>Nom</v>
      </c>
      <c r="C158" t="str">
        <f>IFERROR(__xludf.DUMMYFUNCTION("""COMPUTED_VALUE"""),"Poste")</f>
        <v>Poste</v>
      </c>
      <c r="D158" t="str">
        <f>IFERROR(__xludf.DUMMYFUNCTION("""COMPUTED_VALUE"""),"Points")</f>
        <v>Points</v>
      </c>
      <c r="E158" t="str">
        <f>IFERROR(__xludf.DUMMYFUNCTION("""COMPUTED_VALUE"""),"M")</f>
        <v>M</v>
      </c>
      <c r="F158" t="str">
        <f>IFERROR(__xludf.DUMMYFUNCTION("""COMPUTED_VALUE"""),"PPM")</f>
        <v>PPM</v>
      </c>
      <c r="G158" t="str">
        <f>IFERROR(__xludf.DUMMYFUNCTION("""COMPUTED_VALUE"""),"Tirs")</f>
        <v>Tirs</v>
      </c>
      <c r="H158" t="str">
        <f>IFERROR(__xludf.DUMMYFUNCTION("""COMPUTED_VALUE"""),"3 pts")</f>
        <v>3 pts</v>
      </c>
      <c r="I158" t="str">
        <f>IFERROR(__xludf.DUMMYFUNCTION("""COMPUTED_VALUE"""),"LF")</f>
        <v>LF</v>
      </c>
      <c r="J158" t="str">
        <f>IFERROR(__xludf.DUMMYFUNCTION("""COMPUTED_VALUE"""),"C")</f>
        <v>C</v>
      </c>
    </row>
    <row r="159">
      <c r="A159">
        <f>IFERROR(__xludf.DUMMYFUNCTION("""COMPUTED_VALUE"""),1.0)</f>
        <v>1</v>
      </c>
      <c r="B159" t="str">
        <f>IFERROR(__xludf.DUMMYFUNCTION("""COMPUTED_VALUE"""),"LeBron James")</f>
        <v>LeBron James</v>
      </c>
      <c r="C159" t="str">
        <f>IFERROR(__xludf.DUMMYFUNCTION("""COMPUTED_VALUE"""),"Ailier")</f>
        <v>Ailier</v>
      </c>
      <c r="D159" t="str">
        <f>IFERROR(__xludf.DUMMYFUNCTION("""COMPUTED_VALUE"""),"*42 975*")</f>
        <v>*42 975*</v>
      </c>
      <c r="E159">
        <f>IFERROR(__xludf.DUMMYFUNCTION("""COMPUTED_VALUE"""),1598.0)</f>
        <v>1598</v>
      </c>
      <c r="F159">
        <f>IFERROR(__xludf.DUMMYFUNCTION("""COMPUTED_VALUE"""),26.89)</f>
        <v>26.89</v>
      </c>
      <c r="G159">
        <f>IFERROR(__xludf.DUMMYFUNCTION("""COMPUTED_VALUE"""),15783.0)</f>
        <v>15783</v>
      </c>
      <c r="H159">
        <f>IFERROR(__xludf.DUMMYFUNCTION("""COMPUTED_VALUE"""),2610.0)</f>
        <v>2610</v>
      </c>
      <c r="I159">
        <f>IFERROR(__xludf.DUMMYFUNCTION("""COMPUTED_VALUE"""),8799.0)</f>
        <v>8799</v>
      </c>
      <c r="J159" t="str">
        <f>IFERROR(__xludf.DUMMYFUNCTION("""COMPUTED_VALUE"""),"^")</f>
        <v>^</v>
      </c>
    </row>
    <row r="160">
      <c r="A160">
        <f>IFERROR(__xludf.DUMMYFUNCTION("""COMPUTED_VALUE"""),2.0)</f>
        <v>2</v>
      </c>
      <c r="B160" t="str">
        <f>IFERROR(__xludf.DUMMYFUNCTION("""COMPUTED_VALUE"""),"Kareem Abdul-Jabbar")</f>
        <v>Kareem Abdul-Jabbar</v>
      </c>
      <c r="C160" t="str">
        <f>IFERROR(__xludf.DUMMYFUNCTION("""COMPUTED_VALUE"""),"Pivot")</f>
        <v>Pivot</v>
      </c>
      <c r="D160">
        <f>IFERROR(__xludf.DUMMYFUNCTION("""COMPUTED_VALUE"""),38387.0)</f>
        <v>38387</v>
      </c>
      <c r="E160">
        <f>IFERROR(__xludf.DUMMYFUNCTION("""COMPUTED_VALUE"""),1560.0)</f>
        <v>1560</v>
      </c>
      <c r="F160">
        <f>IFERROR(__xludf.DUMMYFUNCTION("""COMPUTED_VALUE"""),24.61)</f>
        <v>24.61</v>
      </c>
      <c r="G160" t="str">
        <f>IFERROR(__xludf.DUMMYFUNCTION("""COMPUTED_VALUE"""),"*15 836*")</f>
        <v>*15 836*</v>
      </c>
      <c r="H160">
        <f>IFERROR(__xludf.DUMMYFUNCTION("""COMPUTED_VALUE"""),1.0)</f>
        <v>1</v>
      </c>
      <c r="I160">
        <f>IFERROR(__xludf.DUMMYFUNCTION("""COMPUTED_VALUE"""),6712.0)</f>
        <v>6712</v>
      </c>
      <c r="J160" t="str">
        <f>IFERROR(__xludf.DUMMYFUNCTION("""COMPUTED_VALUE"""),"*")</f>
        <v>*</v>
      </c>
    </row>
    <row r="161">
      <c r="A161">
        <f>IFERROR(__xludf.DUMMYFUNCTION("""COMPUTED_VALUE"""),3.0)</f>
        <v>3</v>
      </c>
      <c r="B161" t="str">
        <f>IFERROR(__xludf.DUMMYFUNCTION("""COMPUTED_VALUE"""),"Karl Malone")</f>
        <v>Karl Malone</v>
      </c>
      <c r="C161" t="str">
        <f>IFERROR(__xludf.DUMMYFUNCTION("""COMPUTED_VALUE"""),"Ailier fort")</f>
        <v>Ailier fort</v>
      </c>
      <c r="D161">
        <f>IFERROR(__xludf.DUMMYFUNCTION("""COMPUTED_VALUE"""),36928.0)</f>
        <v>36928</v>
      </c>
      <c r="E161">
        <f>IFERROR(__xludf.DUMMYFUNCTION("""COMPUTED_VALUE"""),1476.0)</f>
        <v>1476</v>
      </c>
      <c r="F161">
        <f>IFERROR(__xludf.DUMMYFUNCTION("""COMPUTED_VALUE"""),25.02)</f>
        <v>25.02</v>
      </c>
      <c r="G161">
        <f>IFERROR(__xludf.DUMMYFUNCTION("""COMPUTED_VALUE"""),13528.0)</f>
        <v>13528</v>
      </c>
      <c r="H161">
        <f>IFERROR(__xludf.DUMMYFUNCTION("""COMPUTED_VALUE"""),85.0)</f>
        <v>85</v>
      </c>
      <c r="I161" t="str">
        <f>IFERROR(__xludf.DUMMYFUNCTION("""COMPUTED_VALUE"""),"*9 787*")</f>
        <v>*9 787*</v>
      </c>
      <c r="J161" t="str">
        <f>IFERROR(__xludf.DUMMYFUNCTION("""COMPUTED_VALUE"""),"*")</f>
        <v>*</v>
      </c>
    </row>
    <row r="162">
      <c r="A162">
        <f>IFERROR(__xludf.DUMMYFUNCTION("""COMPUTED_VALUE"""),4.0)</f>
        <v>4</v>
      </c>
      <c r="B162" t="str">
        <f>IFERROR(__xludf.DUMMYFUNCTION("""COMPUTED_VALUE"""),"Kobe Bryant")</f>
        <v>Kobe Bryant</v>
      </c>
      <c r="C162" t="str">
        <f>IFERROR(__xludf.DUMMYFUNCTION("""COMPUTED_VALUE"""),"Arrière")</f>
        <v>Arrière</v>
      </c>
      <c r="D162">
        <f>IFERROR(__xludf.DUMMYFUNCTION("""COMPUTED_VALUE"""),33643.0)</f>
        <v>33643</v>
      </c>
      <c r="E162">
        <f>IFERROR(__xludf.DUMMYFUNCTION("""COMPUTED_VALUE"""),1346.0)</f>
        <v>1346</v>
      </c>
      <c r="F162">
        <f>IFERROR(__xludf.DUMMYFUNCTION("""COMPUTED_VALUE"""),24.99)</f>
        <v>24.99</v>
      </c>
      <c r="G162">
        <f>IFERROR(__xludf.DUMMYFUNCTION("""COMPUTED_VALUE"""),11719.0)</f>
        <v>11719</v>
      </c>
      <c r="H162">
        <f>IFERROR(__xludf.DUMMYFUNCTION("""COMPUTED_VALUE"""),1827.0)</f>
        <v>1827</v>
      </c>
      <c r="I162">
        <f>IFERROR(__xludf.DUMMYFUNCTION("""COMPUTED_VALUE"""),8378.0)</f>
        <v>8378</v>
      </c>
      <c r="J162" t="str">
        <f>IFERROR(__xludf.DUMMYFUNCTION("""COMPUTED_VALUE"""),"*")</f>
        <v>*</v>
      </c>
    </row>
    <row r="163">
      <c r="A163">
        <f>IFERROR(__xludf.DUMMYFUNCTION("""COMPUTED_VALUE"""),5.0)</f>
        <v>5</v>
      </c>
      <c r="B163" t="str">
        <f>IFERROR(__xludf.DUMMYFUNCTION("""COMPUTED_VALUE"""),"Michael Jordan")</f>
        <v>Michael Jordan</v>
      </c>
      <c r="C163" t="str">
        <f>IFERROR(__xludf.DUMMYFUNCTION("""COMPUTED_VALUE"""),"Arrière")</f>
        <v>Arrière</v>
      </c>
      <c r="D163">
        <f>IFERROR(__xludf.DUMMYFUNCTION("""COMPUTED_VALUE"""),32292.0)</f>
        <v>32292</v>
      </c>
      <c r="E163">
        <f>IFERROR(__xludf.DUMMYFUNCTION("""COMPUTED_VALUE"""),1072.0)</f>
        <v>1072</v>
      </c>
      <c r="F163" t="str">
        <f>IFERROR(__xludf.DUMMYFUNCTION("""COMPUTED_VALUE"""),"*30,12*")</f>
        <v>*30,12*</v>
      </c>
      <c r="G163">
        <f>IFERROR(__xludf.DUMMYFUNCTION("""COMPUTED_VALUE"""),12192.0)</f>
        <v>12192</v>
      </c>
      <c r="H163">
        <f>IFERROR(__xludf.DUMMYFUNCTION("""COMPUTED_VALUE"""),581.0)</f>
        <v>581</v>
      </c>
      <c r="I163">
        <f>IFERROR(__xludf.DUMMYFUNCTION("""COMPUTED_VALUE"""),7327.0)</f>
        <v>7327</v>
      </c>
      <c r="J163" t="str">
        <f>IFERROR(__xludf.DUMMYFUNCTION("""COMPUTED_VALUE"""),"*")</f>
        <v>*</v>
      </c>
    </row>
    <row r="164">
      <c r="A164">
        <f>IFERROR(__xludf.DUMMYFUNCTION("""COMPUTED_VALUE"""),6.0)</f>
        <v>6</v>
      </c>
      <c r="B164" t="str">
        <f>IFERROR(__xludf.DUMMYFUNCTION("""COMPUTED_VALUE"""),"Kevin Durant")</f>
        <v>Kevin Durant</v>
      </c>
      <c r="C164" t="str">
        <f>IFERROR(__xludf.DUMMYFUNCTION("""COMPUTED_VALUE"""),"Ailier")</f>
        <v>Ailier</v>
      </c>
      <c r="D164">
        <f>IFERROR(__xludf.DUMMYFUNCTION("""COMPUTED_VALUE"""),31862.0)</f>
        <v>31862</v>
      </c>
      <c r="E164">
        <f>IFERROR(__xludf.DUMMYFUNCTION("""COMPUTED_VALUE"""),1173.0)</f>
        <v>1173</v>
      </c>
      <c r="F164">
        <f>IFERROR(__xludf.DUMMYFUNCTION("""COMPUTED_VALUE"""),27.17)</f>
        <v>27.17</v>
      </c>
      <c r="G164">
        <f>IFERROR(__xludf.DUMMYFUNCTION("""COMPUTED_VALUE"""),10994.0)</f>
        <v>10994</v>
      </c>
      <c r="H164">
        <f>IFERROR(__xludf.DUMMYFUNCTION("""COMPUTED_VALUE"""),2307.0)</f>
        <v>2307</v>
      </c>
      <c r="I164">
        <f>IFERROR(__xludf.DUMMYFUNCTION("""COMPUTED_VALUE"""),7567.0)</f>
        <v>7567</v>
      </c>
      <c r="J164" t="str">
        <f>IFERROR(__xludf.DUMMYFUNCTION("""COMPUTED_VALUE"""),"^")</f>
        <v>^</v>
      </c>
    </row>
    <row r="165">
      <c r="A165">
        <f>IFERROR(__xludf.DUMMYFUNCTION("""COMPUTED_VALUE"""),7.0)</f>
        <v>7</v>
      </c>
      <c r="B165" t="str">
        <f>IFERROR(__xludf.DUMMYFUNCTION("""COMPUTED_VALUE"""),"Dirk Nowitzki")</f>
        <v>Dirk Nowitzki</v>
      </c>
      <c r="C165" t="str">
        <f>IFERROR(__xludf.DUMMYFUNCTION("""COMPUTED_VALUE"""),"Ailier fort")</f>
        <v>Ailier fort</v>
      </c>
      <c r="D165">
        <f>IFERROR(__xludf.DUMMYFUNCTION("""COMPUTED_VALUE"""),31560.0)</f>
        <v>31560</v>
      </c>
      <c r="E165">
        <f>IFERROR(__xludf.DUMMYFUNCTION("""COMPUTED_VALUE"""),1522.0)</f>
        <v>1522</v>
      </c>
      <c r="F165">
        <f>IFERROR(__xludf.DUMMYFUNCTION("""COMPUTED_VALUE"""),20.74)</f>
        <v>20.74</v>
      </c>
      <c r="G165">
        <f>IFERROR(__xludf.DUMMYFUNCTION("""COMPUTED_VALUE"""),11169.0)</f>
        <v>11169</v>
      </c>
      <c r="H165">
        <f>IFERROR(__xludf.DUMMYFUNCTION("""COMPUTED_VALUE"""),1982.0)</f>
        <v>1982</v>
      </c>
      <c r="I165">
        <f>IFERROR(__xludf.DUMMYFUNCTION("""COMPUTED_VALUE"""),7240.0)</f>
        <v>7240</v>
      </c>
      <c r="J165" t="str">
        <f>IFERROR(__xludf.DUMMYFUNCTION("""COMPUTED_VALUE"""),"*")</f>
        <v>*</v>
      </c>
    </row>
    <row r="166">
      <c r="A166">
        <f>IFERROR(__xludf.DUMMYFUNCTION("""COMPUTED_VALUE"""),8.0)</f>
        <v>8</v>
      </c>
      <c r="B166" t="str">
        <f>IFERROR(__xludf.DUMMYFUNCTION("""COMPUTED_VALUE"""),"Wilt Chamberlain")</f>
        <v>Wilt Chamberlain</v>
      </c>
      <c r="C166" t="str">
        <f>IFERROR(__xludf.DUMMYFUNCTION("""COMPUTED_VALUE"""),"Pivot")</f>
        <v>Pivot</v>
      </c>
      <c r="D166">
        <f>IFERROR(__xludf.DUMMYFUNCTION("""COMPUTED_VALUE"""),31419.0)</f>
        <v>31419</v>
      </c>
      <c r="E166">
        <f>IFERROR(__xludf.DUMMYFUNCTION("""COMPUTED_VALUE"""),1045.0)</f>
        <v>1045</v>
      </c>
      <c r="F166">
        <f>IFERROR(__xludf.DUMMYFUNCTION("""COMPUTED_VALUE"""),30.07)</f>
        <v>30.07</v>
      </c>
      <c r="G166">
        <f>IFERROR(__xludf.DUMMYFUNCTION("""COMPUTED_VALUE"""),12681.0)</f>
        <v>12681</v>
      </c>
      <c r="H166">
        <f>IFERROR(__xludf.DUMMYFUNCTION("""COMPUTED_VALUE"""),0.0)</f>
        <v>0</v>
      </c>
      <c r="I166">
        <f>IFERROR(__xludf.DUMMYFUNCTION("""COMPUTED_VALUE"""),6057.0)</f>
        <v>6057</v>
      </c>
      <c r="J166" t="str">
        <f>IFERROR(__xludf.DUMMYFUNCTION("""COMPUTED_VALUE"""),"*")</f>
        <v>*</v>
      </c>
    </row>
    <row r="167">
      <c r="A167">
        <f>IFERROR(__xludf.DUMMYFUNCTION("""COMPUTED_VALUE"""),9.0)</f>
        <v>9</v>
      </c>
      <c r="B167" t="str">
        <f>IFERROR(__xludf.DUMMYFUNCTION("""COMPUTED_VALUE"""),"James Harden")</f>
        <v>James Harden</v>
      </c>
      <c r="C167" t="str">
        <f>IFERROR(__xludf.DUMMYFUNCTION("""COMPUTED_VALUE"""),"Arrière")</f>
        <v>Arrière</v>
      </c>
      <c r="D167">
        <f>IFERROR(__xludf.DUMMYFUNCTION("""COMPUTED_VALUE"""),28863.0)</f>
        <v>28863</v>
      </c>
      <c r="E167">
        <f>IFERROR(__xludf.DUMMYFUNCTION("""COMPUTED_VALUE"""),1198.0)</f>
        <v>1198</v>
      </c>
      <c r="F167">
        <f>IFERROR(__xludf.DUMMYFUNCTION("""COMPUTED_VALUE"""),24.1)</f>
        <v>24.1</v>
      </c>
      <c r="G167">
        <f>IFERROR(__xludf.DUMMYFUNCTION("""COMPUTED_VALUE"""),8512.0)</f>
        <v>8512</v>
      </c>
      <c r="H167">
        <f>IFERROR(__xludf.DUMMYFUNCTION("""COMPUTED_VALUE"""),3318.0)</f>
        <v>3318</v>
      </c>
      <c r="I167">
        <f>IFERROR(__xludf.DUMMYFUNCTION("""COMPUTED_VALUE"""),8521.0)</f>
        <v>8521</v>
      </c>
      <c r="J167" t="str">
        <f>IFERROR(__xludf.DUMMYFUNCTION("""COMPUTED_VALUE"""),"^")</f>
        <v>^</v>
      </c>
    </row>
    <row r="168">
      <c r="A168">
        <f>IFERROR(__xludf.DUMMYFUNCTION("""COMPUTED_VALUE"""),10.0)</f>
        <v>10</v>
      </c>
      <c r="B168" t="str">
        <f>IFERROR(__xludf.DUMMYFUNCTION("""COMPUTED_VALUE"""),"Shaquille O'Neal")</f>
        <v>Shaquille O'Neal</v>
      </c>
      <c r="C168" t="str">
        <f>IFERROR(__xludf.DUMMYFUNCTION("""COMPUTED_VALUE"""),"Pivot")</f>
        <v>Pivot</v>
      </c>
      <c r="D168">
        <f>IFERROR(__xludf.DUMMYFUNCTION("""COMPUTED_VALUE"""),28596.0)</f>
        <v>28596</v>
      </c>
      <c r="E168">
        <f>IFERROR(__xludf.DUMMYFUNCTION("""COMPUTED_VALUE"""),1207.0)</f>
        <v>1207</v>
      </c>
      <c r="F168">
        <f>IFERROR(__xludf.DUMMYFUNCTION("""COMPUTED_VALUE"""),23.69)</f>
        <v>23.69</v>
      </c>
      <c r="G168">
        <f>IFERROR(__xludf.DUMMYFUNCTION("""COMPUTED_VALUE"""),11330.0)</f>
        <v>11330</v>
      </c>
      <c r="H168">
        <f>IFERROR(__xludf.DUMMYFUNCTION("""COMPUTED_VALUE"""),1.0)</f>
        <v>1</v>
      </c>
      <c r="I168">
        <f>IFERROR(__xludf.DUMMYFUNCTION("""COMPUTED_VALUE"""),5935.0)</f>
        <v>5935</v>
      </c>
      <c r="J168" t="str">
        <f>IFERROR(__xludf.DUMMYFUNCTION("""COMPUTED_VALUE"""),"*")</f>
        <v>*</v>
      </c>
    </row>
    <row r="169">
      <c r="A169">
        <f>IFERROR(__xludf.DUMMYFUNCTION("""COMPUTED_VALUE"""),11.0)</f>
        <v>11</v>
      </c>
      <c r="B169" t="str">
        <f>IFERROR(__xludf.DUMMYFUNCTION("""COMPUTED_VALUE"""),"Carmelo Anthony")</f>
        <v>Carmelo Anthony</v>
      </c>
      <c r="C169" t="str">
        <f>IFERROR(__xludf.DUMMYFUNCTION("""COMPUTED_VALUE"""),"Ailier")</f>
        <v>Ailier</v>
      </c>
      <c r="D169">
        <f>IFERROR(__xludf.DUMMYFUNCTION("""COMPUTED_VALUE"""),28289.0)</f>
        <v>28289</v>
      </c>
      <c r="E169">
        <f>IFERROR(__xludf.DUMMYFUNCTION("""COMPUTED_VALUE"""),1260.0)</f>
        <v>1260</v>
      </c>
      <c r="F169">
        <f>IFERROR(__xludf.DUMMYFUNCTION("""COMPUTED_VALUE"""),22.45)</f>
        <v>22.45</v>
      </c>
      <c r="G169">
        <f>IFERROR(__xludf.DUMMYFUNCTION("""COMPUTED_VALUE"""),10119.0)</f>
        <v>10119</v>
      </c>
      <c r="H169">
        <f>IFERROR(__xludf.DUMMYFUNCTION("""COMPUTED_VALUE"""),1731.0)</f>
        <v>1731</v>
      </c>
      <c r="I169">
        <f>IFERROR(__xludf.DUMMYFUNCTION("""COMPUTED_VALUE"""),6320.0)</f>
        <v>6320</v>
      </c>
      <c r="J169" t="str">
        <f>IFERROR(__xludf.DUMMYFUNCTION("""COMPUTED_VALUE"""),"*")</f>
        <v>*</v>
      </c>
    </row>
    <row r="170">
      <c r="A170">
        <f>IFERROR(__xludf.DUMMYFUNCTION("""COMPUTED_VALUE"""),12.0)</f>
        <v>12</v>
      </c>
      <c r="B170" t="str">
        <f>IFERROR(__xludf.DUMMYFUNCTION("""COMPUTED_VALUE"""),"Moses Malone")</f>
        <v>Moses Malone</v>
      </c>
      <c r="C170" t="str">
        <f>IFERROR(__xludf.DUMMYFUNCTION("""COMPUTED_VALUE"""),"Pivot")</f>
        <v>Pivot</v>
      </c>
      <c r="D170">
        <f>IFERROR(__xludf.DUMMYFUNCTION("""COMPUTED_VALUE"""),27409.0)</f>
        <v>27409</v>
      </c>
      <c r="E170">
        <f>IFERROR(__xludf.DUMMYFUNCTION("""COMPUTED_VALUE"""),1329.0)</f>
        <v>1329</v>
      </c>
      <c r="F170">
        <f>IFERROR(__xludf.DUMMYFUNCTION("""COMPUTED_VALUE"""),20.62)</f>
        <v>20.62</v>
      </c>
      <c r="G170">
        <f>IFERROR(__xludf.DUMMYFUNCTION("""COMPUTED_VALUE"""),9435.0)</f>
        <v>9435</v>
      </c>
      <c r="H170">
        <f>IFERROR(__xludf.DUMMYFUNCTION("""COMPUTED_VALUE"""),8.0)</f>
        <v>8</v>
      </c>
      <c r="I170">
        <f>IFERROR(__xludf.DUMMYFUNCTION("""COMPUTED_VALUE"""),8531.0)</f>
        <v>8531</v>
      </c>
      <c r="J170" t="str">
        <f>IFERROR(__xludf.DUMMYFUNCTION("""COMPUTED_VALUE"""),"*")</f>
        <v>*</v>
      </c>
    </row>
    <row r="171">
      <c r="A171">
        <f>IFERROR(__xludf.DUMMYFUNCTION("""COMPUTED_VALUE"""),13.0)</f>
        <v>13</v>
      </c>
      <c r="B171" t="str">
        <f>IFERROR(__xludf.DUMMYFUNCTION("""COMPUTED_VALUE"""),"Elvin Hayes")</f>
        <v>Elvin Hayes</v>
      </c>
      <c r="C171" t="str">
        <f>IFERROR(__xludf.DUMMYFUNCTION("""COMPUTED_VALUE"""),"Ailier fort")</f>
        <v>Ailier fort</v>
      </c>
      <c r="D171">
        <f>IFERROR(__xludf.DUMMYFUNCTION("""COMPUTED_VALUE"""),27313.0)</f>
        <v>27313</v>
      </c>
      <c r="E171">
        <f>IFERROR(__xludf.DUMMYFUNCTION("""COMPUTED_VALUE"""),1303.0)</f>
        <v>1303</v>
      </c>
      <c r="F171">
        <f>IFERROR(__xludf.DUMMYFUNCTION("""COMPUTED_VALUE"""),20.96)</f>
        <v>20.96</v>
      </c>
      <c r="G171">
        <f>IFERROR(__xludf.DUMMYFUNCTION("""COMPUTED_VALUE"""),10976.0)</f>
        <v>10976</v>
      </c>
      <c r="H171">
        <f>IFERROR(__xludf.DUMMYFUNCTION("""COMPUTED_VALUE"""),5.0)</f>
        <v>5</v>
      </c>
      <c r="I171">
        <f>IFERROR(__xludf.DUMMYFUNCTION("""COMPUTED_VALUE"""),5356.0)</f>
        <v>5356</v>
      </c>
      <c r="J171" t="str">
        <f>IFERROR(__xludf.DUMMYFUNCTION("""COMPUTED_VALUE"""),"*")</f>
        <v>*</v>
      </c>
    </row>
    <row r="172">
      <c r="A172">
        <f>IFERROR(__xludf.DUMMYFUNCTION("""COMPUTED_VALUE"""),14.0)</f>
        <v>14</v>
      </c>
      <c r="B172" t="str">
        <f>IFERROR(__xludf.DUMMYFUNCTION("""COMPUTED_VALUE"""),"Russell Westbrook")</f>
        <v>Russell Westbrook</v>
      </c>
      <c r="C172" t="str">
        <f>IFERROR(__xludf.DUMMYFUNCTION("""COMPUTED_VALUE"""),"Meneur")</f>
        <v>Meneur</v>
      </c>
      <c r="D172">
        <f>IFERROR(__xludf.DUMMYFUNCTION("""COMPUTED_VALUE"""),27001.0)</f>
        <v>27001</v>
      </c>
      <c r="E172">
        <f>IFERROR(__xludf.DUMMYFUNCTION("""COMPUTED_VALUE"""),1289.0)</f>
        <v>1289</v>
      </c>
      <c r="F172">
        <f>IFERROR(__xludf.DUMMYFUNCTION("""COMPUTED_VALUE"""),20.95)</f>
        <v>20.95</v>
      </c>
      <c r="G172">
        <f>IFERROR(__xludf.DUMMYFUNCTION("""COMPUTED_VALUE"""),9722.0)</f>
        <v>9722</v>
      </c>
      <c r="H172">
        <f>IFERROR(__xludf.DUMMYFUNCTION("""COMPUTED_VALUE"""),1474.0)</f>
        <v>1474</v>
      </c>
      <c r="I172">
        <f>IFERROR(__xludf.DUMMYFUNCTION("""COMPUTED_VALUE"""),6083.0)</f>
        <v>6083</v>
      </c>
      <c r="J172" t="str">
        <f>IFERROR(__xludf.DUMMYFUNCTION("""COMPUTED_VALUE"""),"^")</f>
        <v>^</v>
      </c>
    </row>
    <row r="173">
      <c r="A173">
        <f>IFERROR(__xludf.DUMMYFUNCTION("""COMPUTED_VALUE"""),15.0)</f>
        <v>15</v>
      </c>
      <c r="B173" t="str">
        <f>IFERROR(__xludf.DUMMYFUNCTION("""COMPUTED_VALUE"""),"Hakeem Olajuwon")</f>
        <v>Hakeem Olajuwon</v>
      </c>
      <c r="C173" t="str">
        <f>IFERROR(__xludf.DUMMYFUNCTION("""COMPUTED_VALUE"""),"Pivot")</f>
        <v>Pivot</v>
      </c>
      <c r="D173">
        <f>IFERROR(__xludf.DUMMYFUNCTION("""COMPUTED_VALUE"""),26946.0)</f>
        <v>26946</v>
      </c>
      <c r="E173">
        <f>IFERROR(__xludf.DUMMYFUNCTION("""COMPUTED_VALUE"""),1238.0)</f>
        <v>1238</v>
      </c>
      <c r="F173">
        <f>IFERROR(__xludf.DUMMYFUNCTION("""COMPUTED_VALUE"""),21.77)</f>
        <v>21.77</v>
      </c>
      <c r="G173">
        <f>IFERROR(__xludf.DUMMYFUNCTION("""COMPUTED_VALUE"""),10749.0)</f>
        <v>10749</v>
      </c>
      <c r="H173">
        <f>IFERROR(__xludf.DUMMYFUNCTION("""COMPUTED_VALUE"""),25.0)</f>
        <v>25</v>
      </c>
      <c r="I173">
        <f>IFERROR(__xludf.DUMMYFUNCTION("""COMPUTED_VALUE"""),5423.0)</f>
        <v>5423</v>
      </c>
      <c r="J173" t="str">
        <f>IFERROR(__xludf.DUMMYFUNCTION("""COMPUTED_VALUE"""),"*")</f>
        <v>*</v>
      </c>
    </row>
    <row r="174">
      <c r="A174">
        <f>IFERROR(__xludf.DUMMYFUNCTION("""COMPUTED_VALUE"""),16.0)</f>
        <v>16</v>
      </c>
      <c r="B174" t="str">
        <f>IFERROR(__xludf.DUMMYFUNCTION("""COMPUTED_VALUE"""),"Oscar Robertson")</f>
        <v>Oscar Robertson</v>
      </c>
      <c r="C174" t="str">
        <f>IFERROR(__xludf.DUMMYFUNCTION("""COMPUTED_VALUE"""),"Meneur")</f>
        <v>Meneur</v>
      </c>
      <c r="D174">
        <f>IFERROR(__xludf.DUMMYFUNCTION("""COMPUTED_VALUE"""),26710.0)</f>
        <v>26710</v>
      </c>
      <c r="E174">
        <f>IFERROR(__xludf.DUMMYFUNCTION("""COMPUTED_VALUE"""),1040.0)</f>
        <v>1040</v>
      </c>
      <c r="F174">
        <f>IFERROR(__xludf.DUMMYFUNCTION("""COMPUTED_VALUE"""),25.68)</f>
        <v>25.68</v>
      </c>
      <c r="G174">
        <f>IFERROR(__xludf.DUMMYFUNCTION("""COMPUTED_VALUE"""),9508.0)</f>
        <v>9508</v>
      </c>
      <c r="H174">
        <f>IFERROR(__xludf.DUMMYFUNCTION("""COMPUTED_VALUE"""),0.0)</f>
        <v>0</v>
      </c>
      <c r="I174">
        <f>IFERROR(__xludf.DUMMYFUNCTION("""COMPUTED_VALUE"""),7694.0)</f>
        <v>7694</v>
      </c>
      <c r="J174" t="str">
        <f>IFERROR(__xludf.DUMMYFUNCTION("""COMPUTED_VALUE"""),"*")</f>
        <v>*</v>
      </c>
    </row>
    <row r="175">
      <c r="A175">
        <f>IFERROR(__xludf.DUMMYFUNCTION("""COMPUTED_VALUE"""),17.0)</f>
        <v>17</v>
      </c>
      <c r="B175" t="str">
        <f>IFERROR(__xludf.DUMMYFUNCTION("""COMPUTED_VALUE"""),"Dominique Wilkins")</f>
        <v>Dominique Wilkins</v>
      </c>
      <c r="C175" t="str">
        <f>IFERROR(__xludf.DUMMYFUNCTION("""COMPUTED_VALUE"""),"Ailier")</f>
        <v>Ailier</v>
      </c>
      <c r="D175">
        <f>IFERROR(__xludf.DUMMYFUNCTION("""COMPUTED_VALUE"""),26668.0)</f>
        <v>26668</v>
      </c>
      <c r="E175">
        <f>IFERROR(__xludf.DUMMYFUNCTION("""COMPUTED_VALUE"""),1074.0)</f>
        <v>1074</v>
      </c>
      <c r="F175">
        <f>IFERROR(__xludf.DUMMYFUNCTION("""COMPUTED_VALUE"""),24.83)</f>
        <v>24.83</v>
      </c>
      <c r="G175">
        <f>IFERROR(__xludf.DUMMYFUNCTION("""COMPUTED_VALUE"""),9963.0)</f>
        <v>9963</v>
      </c>
      <c r="H175">
        <f>IFERROR(__xludf.DUMMYFUNCTION("""COMPUTED_VALUE"""),711.0)</f>
        <v>711</v>
      </c>
      <c r="I175">
        <f>IFERROR(__xludf.DUMMYFUNCTION("""COMPUTED_VALUE"""),6031.0)</f>
        <v>6031</v>
      </c>
      <c r="J175" t="str">
        <f>IFERROR(__xludf.DUMMYFUNCTION("""COMPUTED_VALUE"""),"*")</f>
        <v>*</v>
      </c>
    </row>
    <row r="176">
      <c r="A176">
        <f>IFERROR(__xludf.DUMMYFUNCTION("""COMPUTED_VALUE"""),18.0)</f>
        <v>18</v>
      </c>
      <c r="B176" t="str">
        <f>IFERROR(__xludf.DUMMYFUNCTION("""COMPUTED_VALUE"""),"Tim Duncan")</f>
        <v>Tim Duncan</v>
      </c>
      <c r="C176" t="str">
        <f>IFERROR(__xludf.DUMMYFUNCTION("""COMPUTED_VALUE"""),"Ailier fort")</f>
        <v>Ailier fort</v>
      </c>
      <c r="D176">
        <f>IFERROR(__xludf.DUMMYFUNCTION("""COMPUTED_VALUE"""),26496.0)</f>
        <v>26496</v>
      </c>
      <c r="E176">
        <f>IFERROR(__xludf.DUMMYFUNCTION("""COMPUTED_VALUE"""),1392.0)</f>
        <v>1392</v>
      </c>
      <c r="F176">
        <f>IFERROR(__xludf.DUMMYFUNCTION("""COMPUTED_VALUE"""),19.03)</f>
        <v>19.03</v>
      </c>
      <c r="G176">
        <f>IFERROR(__xludf.DUMMYFUNCTION("""COMPUTED_VALUE"""),10285.0)</f>
        <v>10285</v>
      </c>
      <c r="H176">
        <f>IFERROR(__xludf.DUMMYFUNCTION("""COMPUTED_VALUE"""),30.0)</f>
        <v>30</v>
      </c>
      <c r="I176">
        <f>IFERROR(__xludf.DUMMYFUNCTION("""COMPUTED_VALUE"""),5896.0)</f>
        <v>5896</v>
      </c>
      <c r="J176" t="str">
        <f>IFERROR(__xludf.DUMMYFUNCTION("""COMPUTED_VALUE"""),"*")</f>
        <v>*</v>
      </c>
    </row>
    <row r="177">
      <c r="A177">
        <f>IFERROR(__xludf.DUMMYFUNCTION("""COMPUTED_VALUE"""),19.0)</f>
        <v>19</v>
      </c>
      <c r="B177" t="str">
        <f>IFERROR(__xludf.DUMMYFUNCTION("""COMPUTED_VALUE"""),"Stephen Curry")</f>
        <v>Stephen Curry</v>
      </c>
      <c r="C177" t="str">
        <f>IFERROR(__xludf.DUMMYFUNCTION("""COMPUTED_VALUE"""),"Meneur")</f>
        <v>Meneur</v>
      </c>
      <c r="D177">
        <f>IFERROR(__xludf.DUMMYFUNCTION("""COMPUTED_VALUE"""),26447.0)</f>
        <v>26447</v>
      </c>
      <c r="E177">
        <f>IFERROR(__xludf.DUMMYFUNCTION("""COMPUTED_VALUE"""),1065.0)</f>
        <v>1065</v>
      </c>
      <c r="F177">
        <f>IFERROR(__xludf.DUMMYFUNCTION("""COMPUTED_VALUE"""),24.83)</f>
        <v>24.83</v>
      </c>
      <c r="G177">
        <f>IFERROR(__xludf.DUMMYFUNCTION("""COMPUTED_VALUE"""),8996.0)</f>
        <v>8996</v>
      </c>
      <c r="H177" t="str">
        <f>IFERROR(__xludf.DUMMYFUNCTION("""COMPUTED_VALUE"""),"*4 233*")</f>
        <v>*4 233*</v>
      </c>
      <c r="I177">
        <f>IFERROR(__xludf.DUMMYFUNCTION("""COMPUTED_VALUE"""),4222.0)</f>
        <v>4222</v>
      </c>
      <c r="J177" t="str">
        <f>IFERROR(__xludf.DUMMYFUNCTION("""COMPUTED_VALUE"""),"^")</f>
        <v>^</v>
      </c>
    </row>
    <row r="178">
      <c r="A178">
        <f>IFERROR(__xludf.DUMMYFUNCTION("""COMPUTED_VALUE"""),20.0)</f>
        <v>20</v>
      </c>
      <c r="B178" t="str">
        <f>IFERROR(__xludf.DUMMYFUNCTION("""COMPUTED_VALUE"""),"Paul Pierce")</f>
        <v>Paul Pierce</v>
      </c>
      <c r="C178" t="str">
        <f>IFERROR(__xludf.DUMMYFUNCTION("""COMPUTED_VALUE"""),"Ailier")</f>
        <v>Ailier</v>
      </c>
      <c r="D178">
        <f>IFERROR(__xludf.DUMMYFUNCTION("""COMPUTED_VALUE"""),26397.0)</f>
        <v>26397</v>
      </c>
      <c r="E178">
        <f>IFERROR(__xludf.DUMMYFUNCTION("""COMPUTED_VALUE"""),1270.0)</f>
        <v>1270</v>
      </c>
      <c r="F178">
        <f>IFERROR(__xludf.DUMMYFUNCTION("""COMPUTED_VALUE"""),19.66)</f>
        <v>19.66</v>
      </c>
      <c r="G178">
        <f>IFERROR(__xludf.DUMMYFUNCTION("""COMPUTED_VALUE"""),8668.0)</f>
        <v>8668</v>
      </c>
      <c r="H178">
        <f>IFERROR(__xludf.DUMMYFUNCTION("""COMPUTED_VALUE"""),2143.0)</f>
        <v>2143</v>
      </c>
      <c r="I178">
        <f>IFERROR(__xludf.DUMMYFUNCTION("""COMPUTED_VALUE"""),6918.0)</f>
        <v>6918</v>
      </c>
      <c r="J178" t="str">
        <f>IFERROR(__xludf.DUMMYFUNCTION("""COMPUTED_VALUE"""),"*")</f>
        <v>*</v>
      </c>
    </row>
    <row r="179">
      <c r="A179">
        <f>IFERROR(__xludf.DUMMYFUNCTION("""COMPUTED_VALUE"""),21.0)</f>
        <v>21</v>
      </c>
      <c r="B179" t="str">
        <f>IFERROR(__xludf.DUMMYFUNCTION("""COMPUTED_VALUE"""),"John Havlicek")</f>
        <v>John Havlicek</v>
      </c>
      <c r="C179" t="str">
        <f>IFERROR(__xludf.DUMMYFUNCTION("""COMPUTED_VALUE"""),"Ailier")</f>
        <v>Ailier</v>
      </c>
      <c r="D179">
        <f>IFERROR(__xludf.DUMMYFUNCTION("""COMPUTED_VALUE"""),26395.0)</f>
        <v>26395</v>
      </c>
      <c r="E179">
        <f>IFERROR(__xludf.DUMMYFUNCTION("""COMPUTED_VALUE"""),1343.0)</f>
        <v>1343</v>
      </c>
      <c r="F179">
        <f>IFERROR(__xludf.DUMMYFUNCTION("""COMPUTED_VALUE"""),20.78)</f>
        <v>20.78</v>
      </c>
      <c r="G179">
        <f>IFERROR(__xludf.DUMMYFUNCTION("""COMPUTED_VALUE"""),10513.0)</f>
        <v>10513</v>
      </c>
      <c r="H179">
        <f>IFERROR(__xludf.DUMMYFUNCTION("""COMPUTED_VALUE"""),0.0)</f>
        <v>0</v>
      </c>
      <c r="I179">
        <f>IFERROR(__xludf.DUMMYFUNCTION("""COMPUTED_VALUE"""),5369.0)</f>
        <v>5369</v>
      </c>
      <c r="J179" t="str">
        <f>IFERROR(__xludf.DUMMYFUNCTION("""COMPUTED_VALUE"""),"*")</f>
        <v>*</v>
      </c>
    </row>
    <row r="180">
      <c r="A180">
        <f>IFERROR(__xludf.DUMMYFUNCTION("""COMPUTED_VALUE"""),22.0)</f>
        <v>22</v>
      </c>
      <c r="B180" t="str">
        <f>IFERROR(__xludf.DUMMYFUNCTION("""COMPUTED_VALUE"""),"DeMar DeRozan")</f>
        <v>DeMar DeRozan</v>
      </c>
      <c r="C180" t="str">
        <f>IFERROR(__xludf.DUMMYFUNCTION("""COMPUTED_VALUE"""),"Ailier")</f>
        <v>Ailier</v>
      </c>
      <c r="D180">
        <f>IFERROR(__xludf.DUMMYFUNCTION("""COMPUTED_VALUE"""),26339.0)</f>
        <v>26339</v>
      </c>
      <c r="E180">
        <f>IFERROR(__xludf.DUMMYFUNCTION("""COMPUTED_VALUE"""),1243.0)</f>
        <v>1243</v>
      </c>
      <c r="F180">
        <f>IFERROR(__xludf.DUMMYFUNCTION("""COMPUTED_VALUE"""),21.2)</f>
        <v>21.2</v>
      </c>
      <c r="G180">
        <f>IFERROR(__xludf.DUMMYFUNCTION("""COMPUTED_VALUE"""),9434.0)</f>
        <v>9434</v>
      </c>
      <c r="H180">
        <f>IFERROR(__xludf.DUMMYFUNCTION("""COMPUTED_VALUE"""),656.0)</f>
        <v>656</v>
      </c>
      <c r="I180">
        <f>IFERROR(__xludf.DUMMYFUNCTION("""COMPUTED_VALUE"""),6815.0)</f>
        <v>6815</v>
      </c>
      <c r="J180" t="str">
        <f>IFERROR(__xludf.DUMMYFUNCTION("""COMPUTED_VALUE"""),"^")</f>
        <v>^</v>
      </c>
    </row>
    <row r="181">
      <c r="A181">
        <f>IFERROR(__xludf.DUMMYFUNCTION("""COMPUTED_VALUE"""),23.0)</f>
        <v>23</v>
      </c>
      <c r="B181" t="str">
        <f>IFERROR(__xludf.DUMMYFUNCTION("""COMPUTED_VALUE"""),"Kevin Garnett")</f>
        <v>Kevin Garnett</v>
      </c>
      <c r="C181" t="str">
        <f>IFERROR(__xludf.DUMMYFUNCTION("""COMPUTED_VALUE"""),"Ailier fort")</f>
        <v>Ailier fort</v>
      </c>
      <c r="D181">
        <f>IFERROR(__xludf.DUMMYFUNCTION("""COMPUTED_VALUE"""),26071.0)</f>
        <v>26071</v>
      </c>
      <c r="E181">
        <f>IFERROR(__xludf.DUMMYFUNCTION("""COMPUTED_VALUE"""),1462.0)</f>
        <v>1462</v>
      </c>
      <c r="F181">
        <f>IFERROR(__xludf.DUMMYFUNCTION("""COMPUTED_VALUE"""),17.83)</f>
        <v>17.83</v>
      </c>
      <c r="G181">
        <f>IFERROR(__xludf.DUMMYFUNCTION("""COMPUTED_VALUE"""),10505.0)</f>
        <v>10505</v>
      </c>
      <c r="H181">
        <f>IFERROR(__xludf.DUMMYFUNCTION("""COMPUTED_VALUE"""),174.0)</f>
        <v>174</v>
      </c>
      <c r="I181">
        <f>IFERROR(__xludf.DUMMYFUNCTION("""COMPUTED_VALUE"""),4887.0)</f>
        <v>4887</v>
      </c>
      <c r="J181" t="str">
        <f>IFERROR(__xludf.DUMMYFUNCTION("""COMPUTED_VALUE"""),"*")</f>
        <v>*</v>
      </c>
    </row>
    <row r="182">
      <c r="A182">
        <f>IFERROR(__xludf.DUMMYFUNCTION("""COMPUTED_VALUE"""),24.0)</f>
        <v>24</v>
      </c>
      <c r="B182" t="str">
        <f>IFERROR(__xludf.DUMMYFUNCTION("""COMPUTED_VALUE"""),"Vince Carter")</f>
        <v>Vince Carter</v>
      </c>
      <c r="C182" t="str">
        <f>IFERROR(__xludf.DUMMYFUNCTION("""COMPUTED_VALUE"""),"Ailier")</f>
        <v>Ailier</v>
      </c>
      <c r="D182">
        <f>IFERROR(__xludf.DUMMYFUNCTION("""COMPUTED_VALUE"""),25728.0)</f>
        <v>25728</v>
      </c>
      <c r="E182">
        <f>IFERROR(__xludf.DUMMYFUNCTION("""COMPUTED_VALUE"""),1541.0)</f>
        <v>1541</v>
      </c>
      <c r="F182">
        <f>IFERROR(__xludf.DUMMYFUNCTION("""COMPUTED_VALUE"""),16.69)</f>
        <v>16.69</v>
      </c>
      <c r="G182">
        <f>IFERROR(__xludf.DUMMYFUNCTION("""COMPUTED_VALUE"""),9293.0)</f>
        <v>9293</v>
      </c>
      <c r="H182">
        <f>IFERROR(__xludf.DUMMYFUNCTION("""COMPUTED_VALUE"""),2290.0)</f>
        <v>2290</v>
      </c>
      <c r="I182">
        <f>IFERROR(__xludf.DUMMYFUNCTION("""COMPUTED_VALUE"""),4852.0)</f>
        <v>4852</v>
      </c>
      <c r="J182" t="str">
        <f>IFERROR(__xludf.DUMMYFUNCTION("""COMPUTED_VALUE"""),"*")</f>
        <v>*</v>
      </c>
    </row>
    <row r="183">
      <c r="A183">
        <f>IFERROR(__xludf.DUMMYFUNCTION("""COMPUTED_VALUE"""),25.0)</f>
        <v>25</v>
      </c>
      <c r="B183" t="str">
        <f>IFERROR(__xludf.DUMMYFUNCTION("""COMPUTED_VALUE"""),"Alex English")</f>
        <v>Alex English</v>
      </c>
      <c r="C183" t="str">
        <f>IFERROR(__xludf.DUMMYFUNCTION("""COMPUTED_VALUE"""),"Ailier")</f>
        <v>Ailier</v>
      </c>
      <c r="D183">
        <f>IFERROR(__xludf.DUMMYFUNCTION("""COMPUTED_VALUE"""),25613.0)</f>
        <v>25613</v>
      </c>
      <c r="E183">
        <f>IFERROR(__xludf.DUMMYFUNCTION("""COMPUTED_VALUE"""),1193.0)</f>
        <v>1193</v>
      </c>
      <c r="F183">
        <f>IFERROR(__xludf.DUMMYFUNCTION("""COMPUTED_VALUE"""),21.47)</f>
        <v>21.47</v>
      </c>
      <c r="G183">
        <f>IFERROR(__xludf.DUMMYFUNCTION("""COMPUTED_VALUE"""),10659.0)</f>
        <v>10659</v>
      </c>
      <c r="H183">
        <f>IFERROR(__xludf.DUMMYFUNCTION("""COMPUTED_VALUE"""),18.0)</f>
        <v>18</v>
      </c>
      <c r="I183">
        <f>IFERROR(__xludf.DUMMYFUNCTION("""COMPUTED_VALUE"""),4277.0)</f>
        <v>4277</v>
      </c>
      <c r="J183" t="str">
        <f>IFERROR(__xludf.DUMMYFUNCTION("""COMPUTED_VALUE"""),"*")</f>
        <v>*</v>
      </c>
    </row>
    <row r="184">
      <c r="A184">
        <f>IFERROR(__xludf.DUMMYFUNCTION("""COMPUTED_VALUE"""),26.0)</f>
        <v>26</v>
      </c>
      <c r="B184" t="str">
        <f>IFERROR(__xludf.DUMMYFUNCTION("""COMPUTED_VALUE"""),"Reggie Miller")</f>
        <v>Reggie Miller</v>
      </c>
      <c r="C184" t="str">
        <f>IFERROR(__xludf.DUMMYFUNCTION("""COMPUTED_VALUE"""),"Arrière")</f>
        <v>Arrière</v>
      </c>
      <c r="D184">
        <f>IFERROR(__xludf.DUMMYFUNCTION("""COMPUTED_VALUE"""),25279.0)</f>
        <v>25279</v>
      </c>
      <c r="E184">
        <f>IFERROR(__xludf.DUMMYFUNCTION("""COMPUTED_VALUE"""),1389.0)</f>
        <v>1389</v>
      </c>
      <c r="F184">
        <f>IFERROR(__xludf.DUMMYFUNCTION("""COMPUTED_VALUE"""),18.2)</f>
        <v>18.2</v>
      </c>
      <c r="G184">
        <f>IFERROR(__xludf.DUMMYFUNCTION("""COMPUTED_VALUE"""),8241.0)</f>
        <v>8241</v>
      </c>
      <c r="H184">
        <f>IFERROR(__xludf.DUMMYFUNCTION("""COMPUTED_VALUE"""),2560.0)</f>
        <v>2560</v>
      </c>
      <c r="I184">
        <f>IFERROR(__xludf.DUMMYFUNCTION("""COMPUTED_VALUE"""),6237.0)</f>
        <v>6237</v>
      </c>
      <c r="J184" t="str">
        <f>IFERROR(__xludf.DUMMYFUNCTION("""COMPUTED_VALUE"""),"*")</f>
        <v>*</v>
      </c>
    </row>
    <row r="185">
      <c r="A185">
        <f>IFERROR(__xludf.DUMMYFUNCTION("""COMPUTED_VALUE"""),27.0)</f>
        <v>27</v>
      </c>
      <c r="B185" t="str">
        <f>IFERROR(__xludf.DUMMYFUNCTION("""COMPUTED_VALUE"""),"Jerry West")</f>
        <v>Jerry West</v>
      </c>
      <c r="C185" t="str">
        <f>IFERROR(__xludf.DUMMYFUNCTION("""COMPUTED_VALUE"""),"Meneur")</f>
        <v>Meneur</v>
      </c>
      <c r="D185">
        <f>IFERROR(__xludf.DUMMYFUNCTION("""COMPUTED_VALUE"""),25192.0)</f>
        <v>25192</v>
      </c>
      <c r="E185">
        <f>IFERROR(__xludf.DUMMYFUNCTION("""COMPUTED_VALUE"""),932.0)</f>
        <v>932</v>
      </c>
      <c r="F185">
        <f>IFERROR(__xludf.DUMMYFUNCTION("""COMPUTED_VALUE"""),27.03)</f>
        <v>27.03</v>
      </c>
      <c r="G185">
        <f>IFERROR(__xludf.DUMMYFUNCTION("""COMPUTED_VALUE"""),9016.0)</f>
        <v>9016</v>
      </c>
      <c r="H185">
        <f>IFERROR(__xludf.DUMMYFUNCTION("""COMPUTED_VALUE"""),0.0)</f>
        <v>0</v>
      </c>
      <c r="I185">
        <f>IFERROR(__xludf.DUMMYFUNCTION("""COMPUTED_VALUE"""),7160.0)</f>
        <v>7160</v>
      </c>
      <c r="J185" t="str">
        <f>IFERROR(__xludf.DUMMYFUNCTION("""COMPUTED_VALUE"""),"*")</f>
        <v>*</v>
      </c>
    </row>
    <row r="186">
      <c r="A186">
        <f>IFERROR(__xludf.DUMMYFUNCTION("""COMPUTED_VALUE"""),28.0)</f>
        <v>28</v>
      </c>
      <c r="B186" t="str">
        <f>IFERROR(__xludf.DUMMYFUNCTION("""COMPUTED_VALUE"""),"Patrick Ewing")</f>
        <v>Patrick Ewing</v>
      </c>
      <c r="C186" t="str">
        <f>IFERROR(__xludf.DUMMYFUNCTION("""COMPUTED_VALUE"""),"Pivot")</f>
        <v>Pivot</v>
      </c>
      <c r="D186">
        <f>IFERROR(__xludf.DUMMYFUNCTION("""COMPUTED_VALUE"""),24815.0)</f>
        <v>24815</v>
      </c>
      <c r="E186">
        <f>IFERROR(__xludf.DUMMYFUNCTION("""COMPUTED_VALUE"""),1183.0)</f>
        <v>1183</v>
      </c>
      <c r="F186">
        <f>IFERROR(__xludf.DUMMYFUNCTION("""COMPUTED_VALUE"""),20.98)</f>
        <v>20.98</v>
      </c>
      <c r="G186">
        <f>IFERROR(__xludf.DUMMYFUNCTION("""COMPUTED_VALUE"""),9702.0)</f>
        <v>9702</v>
      </c>
      <c r="H186">
        <f>IFERROR(__xludf.DUMMYFUNCTION("""COMPUTED_VALUE"""),19.0)</f>
        <v>19</v>
      </c>
      <c r="I186">
        <f>IFERROR(__xludf.DUMMYFUNCTION("""COMPUTED_VALUE"""),5392.0)</f>
        <v>5392</v>
      </c>
      <c r="J186" t="str">
        <f>IFERROR(__xludf.DUMMYFUNCTION("""COMPUTED_VALUE"""),"*")</f>
        <v>*</v>
      </c>
    </row>
    <row r="187">
      <c r="A187">
        <f>IFERROR(__xludf.DUMMYFUNCTION("""COMPUTED_VALUE"""),29.0)</f>
        <v>29</v>
      </c>
      <c r="B187" t="str">
        <f>IFERROR(__xludf.DUMMYFUNCTION("""COMPUTED_VALUE"""),"Ray Allen")</f>
        <v>Ray Allen</v>
      </c>
      <c r="C187" t="str">
        <f>IFERROR(__xludf.DUMMYFUNCTION("""COMPUTED_VALUE"""),"Arrière")</f>
        <v>Arrière</v>
      </c>
      <c r="D187">
        <f>IFERROR(__xludf.DUMMYFUNCTION("""COMPUTED_VALUE"""),24505.0)</f>
        <v>24505</v>
      </c>
      <c r="E187">
        <f>IFERROR(__xludf.DUMMYFUNCTION("""COMPUTED_VALUE"""),1300.0)</f>
        <v>1300</v>
      </c>
      <c r="F187">
        <f>IFERROR(__xludf.DUMMYFUNCTION("""COMPUTED_VALUE"""),18.85)</f>
        <v>18.85</v>
      </c>
      <c r="G187">
        <f>IFERROR(__xludf.DUMMYFUNCTION("""COMPUTED_VALUE"""),8567.0)</f>
        <v>8567</v>
      </c>
      <c r="H187">
        <f>IFERROR(__xludf.DUMMYFUNCTION("""COMPUTED_VALUE"""),2973.0)</f>
        <v>2973</v>
      </c>
      <c r="I187">
        <f>IFERROR(__xludf.DUMMYFUNCTION("""COMPUTED_VALUE"""),4398.0)</f>
        <v>4398</v>
      </c>
      <c r="J187" t="str">
        <f>IFERROR(__xludf.DUMMYFUNCTION("""COMPUTED_VALUE"""),"*")</f>
        <v>*</v>
      </c>
    </row>
    <row r="188">
      <c r="A188">
        <f>IFERROR(__xludf.DUMMYFUNCTION("""COMPUTED_VALUE"""),30.0)</f>
        <v>30</v>
      </c>
      <c r="B188" t="str">
        <f>IFERROR(__xludf.DUMMYFUNCTION("""COMPUTED_VALUE"""),"Allen Iverson")</f>
        <v>Allen Iverson</v>
      </c>
      <c r="C188" t="str">
        <f>IFERROR(__xludf.DUMMYFUNCTION("""COMPUTED_VALUE"""),"Arrière")</f>
        <v>Arrière</v>
      </c>
      <c r="D188">
        <f>IFERROR(__xludf.DUMMYFUNCTION("""COMPUTED_VALUE"""),24368.0)</f>
        <v>24368</v>
      </c>
      <c r="E188">
        <f>IFERROR(__xludf.DUMMYFUNCTION("""COMPUTED_VALUE"""),914.0)</f>
        <v>914</v>
      </c>
      <c r="F188">
        <f>IFERROR(__xludf.DUMMYFUNCTION("""COMPUTED_VALUE"""),26.66)</f>
        <v>26.66</v>
      </c>
      <c r="G188">
        <f>IFERROR(__xludf.DUMMYFUNCTION("""COMPUTED_VALUE"""),8467.0)</f>
        <v>8467</v>
      </c>
      <c r="H188">
        <f>IFERROR(__xludf.DUMMYFUNCTION("""COMPUTED_VALUE"""),1059.0)</f>
        <v>1059</v>
      </c>
      <c r="I188">
        <f>IFERROR(__xludf.DUMMYFUNCTION("""COMPUTED_VALUE"""),6375.0)</f>
        <v>6375</v>
      </c>
      <c r="J188" t="str">
        <f>IFERROR(__xludf.DUMMYFUNCTION("""COMPUTED_VALUE"""),"*")</f>
        <v>*</v>
      </c>
    </row>
    <row r="189">
      <c r="A189">
        <f>IFERROR(__xludf.DUMMYFUNCTION("""COMPUTED_VALUE"""),31.0)</f>
        <v>31</v>
      </c>
      <c r="B189" t="str">
        <f>IFERROR(__xludf.DUMMYFUNCTION("""COMPUTED_VALUE"""),"Charles Barkley")</f>
        <v>Charles Barkley</v>
      </c>
      <c r="C189" t="str">
        <f>IFERROR(__xludf.DUMMYFUNCTION("""COMPUTED_VALUE"""),"Ailier fort")</f>
        <v>Ailier fort</v>
      </c>
      <c r="D189">
        <f>IFERROR(__xludf.DUMMYFUNCTION("""COMPUTED_VALUE"""),23757.0)</f>
        <v>23757</v>
      </c>
      <c r="E189">
        <f>IFERROR(__xludf.DUMMYFUNCTION("""COMPUTED_VALUE"""),1073.0)</f>
        <v>1073</v>
      </c>
      <c r="F189">
        <f>IFERROR(__xludf.DUMMYFUNCTION("""COMPUTED_VALUE"""),22.14)</f>
        <v>22.14</v>
      </c>
      <c r="G189">
        <f>IFERROR(__xludf.DUMMYFUNCTION("""COMPUTED_VALUE"""),8435.0)</f>
        <v>8435</v>
      </c>
      <c r="H189">
        <f>IFERROR(__xludf.DUMMYFUNCTION("""COMPUTED_VALUE"""),538.0)</f>
        <v>538</v>
      </c>
      <c r="I189">
        <f>IFERROR(__xludf.DUMMYFUNCTION("""COMPUTED_VALUE"""),6349.0)</f>
        <v>6349</v>
      </c>
      <c r="J189" t="str">
        <f>IFERROR(__xludf.DUMMYFUNCTION("""COMPUTED_VALUE"""),"*")</f>
        <v>*</v>
      </c>
    </row>
    <row r="190">
      <c r="A190">
        <f>IFERROR(__xludf.DUMMYFUNCTION("""COMPUTED_VALUE"""),32.0)</f>
        <v>32</v>
      </c>
      <c r="B190" t="str">
        <f>IFERROR(__xludf.DUMMYFUNCTION("""COMPUTED_VALUE"""),"Robert Parish")</f>
        <v>Robert Parish</v>
      </c>
      <c r="C190" t="str">
        <f>IFERROR(__xludf.DUMMYFUNCTION("""COMPUTED_VALUE"""),"Pivot")</f>
        <v>Pivot</v>
      </c>
      <c r="D190">
        <f>IFERROR(__xludf.DUMMYFUNCTION("""COMPUTED_VALUE"""),23334.0)</f>
        <v>23334</v>
      </c>
      <c r="E190" t="str">
        <f>IFERROR(__xludf.DUMMYFUNCTION("""COMPUTED_VALUE"""),"*1 611*")</f>
        <v>*1 611*</v>
      </c>
      <c r="F190">
        <f>IFERROR(__xludf.DUMMYFUNCTION("""COMPUTED_VALUE"""),14.48)</f>
        <v>14.48</v>
      </c>
      <c r="G190">
        <f>IFERROR(__xludf.DUMMYFUNCTION("""COMPUTED_VALUE"""),9614.0)</f>
        <v>9614</v>
      </c>
      <c r="H190">
        <f>IFERROR(__xludf.DUMMYFUNCTION("""COMPUTED_VALUE"""),0.0)</f>
        <v>0</v>
      </c>
      <c r="I190">
        <f>IFERROR(__xludf.DUMMYFUNCTION("""COMPUTED_VALUE"""),4106.0)</f>
        <v>4106</v>
      </c>
      <c r="J190" t="str">
        <f>IFERROR(__xludf.DUMMYFUNCTION("""COMPUTED_VALUE"""),"*")</f>
        <v>*</v>
      </c>
    </row>
    <row r="191">
      <c r="A191">
        <f>IFERROR(__xludf.DUMMYFUNCTION("""COMPUTED_VALUE"""),33.0)</f>
        <v>33</v>
      </c>
      <c r="B191" t="str">
        <f>IFERROR(__xludf.DUMMYFUNCTION("""COMPUTED_VALUE"""),"Adrian Dantley")</f>
        <v>Adrian Dantley</v>
      </c>
      <c r="C191" t="str">
        <f>IFERROR(__xludf.DUMMYFUNCTION("""COMPUTED_VALUE"""),"Ailier")</f>
        <v>Ailier</v>
      </c>
      <c r="D191">
        <f>IFERROR(__xludf.DUMMYFUNCTION("""COMPUTED_VALUE"""),23177.0)</f>
        <v>23177</v>
      </c>
      <c r="E191">
        <f>IFERROR(__xludf.DUMMYFUNCTION("""COMPUTED_VALUE"""),955.0)</f>
        <v>955</v>
      </c>
      <c r="F191">
        <f>IFERROR(__xludf.DUMMYFUNCTION("""COMPUTED_VALUE"""),24.27)</f>
        <v>24.27</v>
      </c>
      <c r="G191">
        <f>IFERROR(__xludf.DUMMYFUNCTION("""COMPUTED_VALUE"""),8169.0)</f>
        <v>8169</v>
      </c>
      <c r="H191">
        <f>IFERROR(__xludf.DUMMYFUNCTION("""COMPUTED_VALUE"""),7.0)</f>
        <v>7</v>
      </c>
      <c r="I191">
        <f>IFERROR(__xludf.DUMMYFUNCTION("""COMPUTED_VALUE"""),6832.0)</f>
        <v>6832</v>
      </c>
      <c r="J191" t="str">
        <f>IFERROR(__xludf.DUMMYFUNCTION("""COMPUTED_VALUE"""),"*")</f>
        <v>*</v>
      </c>
    </row>
    <row r="192">
      <c r="A192">
        <f>IFERROR(__xludf.DUMMYFUNCTION("""COMPUTED_VALUE"""),34.0)</f>
        <v>34</v>
      </c>
      <c r="B192" t="str">
        <f>IFERROR(__xludf.DUMMYFUNCTION("""COMPUTED_VALUE"""),"Dwyane Wade")</f>
        <v>Dwyane Wade</v>
      </c>
      <c r="C192" t="str">
        <f>IFERROR(__xludf.DUMMYFUNCTION("""COMPUTED_VALUE"""),"Arrière")</f>
        <v>Arrière</v>
      </c>
      <c r="D192">
        <f>IFERROR(__xludf.DUMMYFUNCTION("""COMPUTED_VALUE"""),23165.0)</f>
        <v>23165</v>
      </c>
      <c r="E192">
        <f>IFERROR(__xludf.DUMMYFUNCTION("""COMPUTED_VALUE"""),1054.0)</f>
        <v>1054</v>
      </c>
      <c r="F192">
        <f>IFERROR(__xludf.DUMMYFUNCTION("""COMPUTED_VALUE"""),21.98)</f>
        <v>21.98</v>
      </c>
      <c r="G192">
        <f>IFERROR(__xludf.DUMMYFUNCTION("""COMPUTED_VALUE"""),8454.0)</f>
        <v>8454</v>
      </c>
      <c r="H192">
        <f>IFERROR(__xludf.DUMMYFUNCTION("""COMPUTED_VALUE"""),549.0)</f>
        <v>549</v>
      </c>
      <c r="I192">
        <f>IFERROR(__xludf.DUMMYFUNCTION("""COMPUTED_VALUE"""),5708.0)</f>
        <v>5708</v>
      </c>
      <c r="J192" t="str">
        <f>IFERROR(__xludf.DUMMYFUNCTION("""COMPUTED_VALUE"""),"*")</f>
        <v>*</v>
      </c>
    </row>
    <row r="193">
      <c r="A193">
        <f>IFERROR(__xludf.DUMMYFUNCTION("""COMPUTED_VALUE"""),35.0)</f>
        <v>35</v>
      </c>
      <c r="B193" t="str">
        <f>IFERROR(__xludf.DUMMYFUNCTION("""COMPUTED_VALUE"""),"Elgin Baylor")</f>
        <v>Elgin Baylor</v>
      </c>
      <c r="C193" t="str">
        <f>IFERROR(__xludf.DUMMYFUNCTION("""COMPUTED_VALUE"""),"Ailier fort")</f>
        <v>Ailier fort</v>
      </c>
      <c r="D193">
        <f>IFERROR(__xludf.DUMMYFUNCTION("""COMPUTED_VALUE"""),23149.0)</f>
        <v>23149</v>
      </c>
      <c r="E193">
        <f>IFERROR(__xludf.DUMMYFUNCTION("""COMPUTED_VALUE"""),846.0)</f>
        <v>846</v>
      </c>
      <c r="F193">
        <f>IFERROR(__xludf.DUMMYFUNCTION("""COMPUTED_VALUE"""),27.36)</f>
        <v>27.36</v>
      </c>
      <c r="G193">
        <f>IFERROR(__xludf.DUMMYFUNCTION("""COMPUTED_VALUE"""),8693.0)</f>
        <v>8693</v>
      </c>
      <c r="H193">
        <f>IFERROR(__xludf.DUMMYFUNCTION("""COMPUTED_VALUE"""),0.0)</f>
        <v>0</v>
      </c>
      <c r="I193">
        <f>IFERROR(__xludf.DUMMYFUNCTION("""COMPUTED_VALUE"""),5763.0)</f>
        <v>5763</v>
      </c>
      <c r="J193" t="str">
        <f>IFERROR(__xludf.DUMMYFUNCTION("""COMPUTED_VALUE"""),"*")</f>
        <v>*</v>
      </c>
    </row>
    <row r="194">
      <c r="A194">
        <f>IFERROR(__xludf.DUMMYFUNCTION("""COMPUTED_VALUE"""),36.0)</f>
        <v>36</v>
      </c>
      <c r="B194" t="str">
        <f>IFERROR(__xludf.DUMMYFUNCTION("""COMPUTED_VALUE"""),"Chris Paul")</f>
        <v>Chris Paul</v>
      </c>
      <c r="C194" t="str">
        <f>IFERROR(__xludf.DUMMYFUNCTION("""COMPUTED_VALUE"""),"Meneur")</f>
        <v>Meneur</v>
      </c>
      <c r="D194">
        <f>IFERROR(__xludf.DUMMYFUNCTION("""COMPUTED_VALUE"""),23058.0)</f>
        <v>23058</v>
      </c>
      <c r="E194">
        <f>IFERROR(__xludf.DUMMYFUNCTION("""COMPUTED_VALUE"""),1370.0)</f>
        <v>1370</v>
      </c>
      <c r="F194">
        <f>IFERROR(__xludf.DUMMYFUNCTION("""COMPUTED_VALUE"""),16.83)</f>
        <v>16.83</v>
      </c>
      <c r="G194">
        <f>IFERROR(__xludf.DUMMYFUNCTION("""COMPUTED_VALUE"""),8165.0)</f>
        <v>8165</v>
      </c>
      <c r="H194">
        <f>IFERROR(__xludf.DUMMYFUNCTION("""COMPUTED_VALUE"""),1870.0)</f>
        <v>1870</v>
      </c>
      <c r="I194">
        <f>IFERROR(__xludf.DUMMYFUNCTION("""COMPUTED_VALUE"""),4858.0)</f>
        <v>4858</v>
      </c>
      <c r="J194" t="str">
        <f>IFERROR(__xludf.DUMMYFUNCTION("""COMPUTED_VALUE"""),"°")</f>
        <v>°</v>
      </c>
    </row>
    <row r="195">
      <c r="A195">
        <f>IFERROR(__xludf.DUMMYFUNCTION("""COMPUTED_VALUE"""),37.0)</f>
        <v>37</v>
      </c>
      <c r="B195" t="str">
        <f>IFERROR(__xludf.DUMMYFUNCTION("""COMPUTED_VALUE"""),"Damian Lillard")</f>
        <v>Damian Lillard</v>
      </c>
      <c r="C195" t="str">
        <f>IFERROR(__xludf.DUMMYFUNCTION("""COMPUTED_VALUE"""),"Meneur")</f>
        <v>Meneur</v>
      </c>
      <c r="D195">
        <f>IFERROR(__xludf.DUMMYFUNCTION("""COMPUTED_VALUE"""),22598.0)</f>
        <v>22598</v>
      </c>
      <c r="E195">
        <f>IFERROR(__xludf.DUMMYFUNCTION("""COMPUTED_VALUE"""),900.0)</f>
        <v>900</v>
      </c>
      <c r="F195">
        <f>IFERROR(__xludf.DUMMYFUNCTION("""COMPUTED_VALUE"""),25.11)</f>
        <v>25.11</v>
      </c>
      <c r="G195">
        <f>IFERROR(__xludf.DUMMYFUNCTION("""COMPUTED_VALUE"""),7266.0)</f>
        <v>7266</v>
      </c>
      <c r="H195">
        <f>IFERROR(__xludf.DUMMYFUNCTION("""COMPUTED_VALUE"""),2804.0)</f>
        <v>2804</v>
      </c>
      <c r="I195">
        <f>IFERROR(__xludf.DUMMYFUNCTION("""COMPUTED_VALUE"""),5262.0)</f>
        <v>5262</v>
      </c>
      <c r="J195" t="str">
        <f>IFERROR(__xludf.DUMMYFUNCTION("""COMPUTED_VALUE"""),"^")</f>
        <v>^</v>
      </c>
    </row>
    <row r="196">
      <c r="A196">
        <f>IFERROR(__xludf.DUMMYFUNCTION("""COMPUTED_VALUE"""),38.0)</f>
        <v>38</v>
      </c>
      <c r="B196" t="str">
        <f>IFERROR(__xludf.DUMMYFUNCTION("""COMPUTED_VALUE"""),"Clyde Drexler")</f>
        <v>Clyde Drexler</v>
      </c>
      <c r="C196" t="str">
        <f>IFERROR(__xludf.DUMMYFUNCTION("""COMPUTED_VALUE"""),"Arrière")</f>
        <v>Arrière</v>
      </c>
      <c r="D196">
        <f>IFERROR(__xludf.DUMMYFUNCTION("""COMPUTED_VALUE"""),22195.0)</f>
        <v>22195</v>
      </c>
      <c r="E196">
        <f>IFERROR(__xludf.DUMMYFUNCTION("""COMPUTED_VALUE"""),1086.0)</f>
        <v>1086</v>
      </c>
      <c r="F196">
        <f>IFERROR(__xludf.DUMMYFUNCTION("""COMPUTED_VALUE"""),20.44)</f>
        <v>20.44</v>
      </c>
      <c r="G196">
        <f>IFERROR(__xludf.DUMMYFUNCTION("""COMPUTED_VALUE"""),8335.0)</f>
        <v>8335</v>
      </c>
      <c r="H196">
        <f>IFERROR(__xludf.DUMMYFUNCTION("""COMPUTED_VALUE"""),827.0)</f>
        <v>827</v>
      </c>
      <c r="I196">
        <f>IFERROR(__xludf.DUMMYFUNCTION("""COMPUTED_VALUE"""),4698.0)</f>
        <v>4698</v>
      </c>
      <c r="J196" t="str">
        <f>IFERROR(__xludf.DUMMYFUNCTION("""COMPUTED_VALUE"""),"*")</f>
        <v>*</v>
      </c>
    </row>
    <row r="197">
      <c r="A197">
        <f>IFERROR(__xludf.DUMMYFUNCTION("""COMPUTED_VALUE"""),39.0)</f>
        <v>39</v>
      </c>
      <c r="B197" t="str">
        <f>IFERROR(__xludf.DUMMYFUNCTION("""COMPUTED_VALUE"""),"Gary Payton")</f>
        <v>Gary Payton</v>
      </c>
      <c r="C197" t="str">
        <f>IFERROR(__xludf.DUMMYFUNCTION("""COMPUTED_VALUE"""),"Meneur")</f>
        <v>Meneur</v>
      </c>
      <c r="D197">
        <f>IFERROR(__xludf.DUMMYFUNCTION("""COMPUTED_VALUE"""),21813.0)</f>
        <v>21813</v>
      </c>
      <c r="E197">
        <f>IFERROR(__xludf.DUMMYFUNCTION("""COMPUTED_VALUE"""),1335.0)</f>
        <v>1335</v>
      </c>
      <c r="F197">
        <f>IFERROR(__xludf.DUMMYFUNCTION("""COMPUTED_VALUE"""),16.34)</f>
        <v>16.34</v>
      </c>
      <c r="G197">
        <f>IFERROR(__xludf.DUMMYFUNCTION("""COMPUTED_VALUE"""),8708.0)</f>
        <v>8708</v>
      </c>
      <c r="H197">
        <f>IFERROR(__xludf.DUMMYFUNCTION("""COMPUTED_VALUE"""),1132.0)</f>
        <v>1132</v>
      </c>
      <c r="I197">
        <f>IFERROR(__xludf.DUMMYFUNCTION("""COMPUTED_VALUE"""),3265.0)</f>
        <v>3265</v>
      </c>
      <c r="J197" t="str">
        <f>IFERROR(__xludf.DUMMYFUNCTION("""COMPUTED_VALUE"""),"*")</f>
        <v>*</v>
      </c>
    </row>
    <row r="198">
      <c r="A198">
        <f>IFERROR(__xludf.DUMMYFUNCTION("""COMPUTED_VALUE"""),40.0)</f>
        <v>40</v>
      </c>
      <c r="B198" t="str">
        <f>IFERROR(__xludf.DUMMYFUNCTION("""COMPUTED_VALUE"""),"Larry Bird")</f>
        <v>Larry Bird</v>
      </c>
      <c r="C198" t="str">
        <f>IFERROR(__xludf.DUMMYFUNCTION("""COMPUTED_VALUE"""),"Ailier")</f>
        <v>Ailier</v>
      </c>
      <c r="D198">
        <f>IFERROR(__xludf.DUMMYFUNCTION("""COMPUTED_VALUE"""),21791.0)</f>
        <v>21791</v>
      </c>
      <c r="E198">
        <f>IFERROR(__xludf.DUMMYFUNCTION("""COMPUTED_VALUE"""),897.0)</f>
        <v>897</v>
      </c>
      <c r="F198">
        <f>IFERROR(__xludf.DUMMYFUNCTION("""COMPUTED_VALUE"""),24.29)</f>
        <v>24.29</v>
      </c>
      <c r="G198">
        <f>IFERROR(__xludf.DUMMYFUNCTION("""COMPUTED_VALUE"""),8591.0)</f>
        <v>8591</v>
      </c>
      <c r="H198">
        <f>IFERROR(__xludf.DUMMYFUNCTION("""COMPUTED_VALUE"""),649.0)</f>
        <v>649</v>
      </c>
      <c r="I198">
        <f>IFERROR(__xludf.DUMMYFUNCTION("""COMPUTED_VALUE"""),3960.0)</f>
        <v>3960</v>
      </c>
      <c r="J198" t="str">
        <f>IFERROR(__xludf.DUMMYFUNCTION("""COMPUTED_VALUE"""),"*")</f>
        <v>*</v>
      </c>
    </row>
    <row r="199">
      <c r="A199">
        <f>IFERROR(__xludf.DUMMYFUNCTION("""COMPUTED_VALUE"""),41.0)</f>
        <v>41</v>
      </c>
      <c r="B199" t="str">
        <f>IFERROR(__xludf.DUMMYFUNCTION("""COMPUTED_VALUE"""),"Hal Greer")</f>
        <v>Hal Greer</v>
      </c>
      <c r="C199" t="str">
        <f>IFERROR(__xludf.DUMMYFUNCTION("""COMPUTED_VALUE"""),"Arrière")</f>
        <v>Arrière</v>
      </c>
      <c r="D199">
        <f>IFERROR(__xludf.DUMMYFUNCTION("""COMPUTED_VALUE"""),21586.0)</f>
        <v>21586</v>
      </c>
      <c r="E199">
        <f>IFERROR(__xludf.DUMMYFUNCTION("""COMPUTED_VALUE"""),967.0)</f>
        <v>967</v>
      </c>
      <c r="F199">
        <f>IFERROR(__xludf.DUMMYFUNCTION("""COMPUTED_VALUE"""),22.32)</f>
        <v>22.32</v>
      </c>
      <c r="G199">
        <f>IFERROR(__xludf.DUMMYFUNCTION("""COMPUTED_VALUE"""),8504.0)</f>
        <v>8504</v>
      </c>
      <c r="H199">
        <f>IFERROR(__xludf.DUMMYFUNCTION("""COMPUTED_VALUE"""),0.0)</f>
        <v>0</v>
      </c>
      <c r="I199">
        <f>IFERROR(__xludf.DUMMYFUNCTION("""COMPUTED_VALUE"""),4578.0)</f>
        <v>4578</v>
      </c>
      <c r="J199" t="str">
        <f>IFERROR(__xludf.DUMMYFUNCTION("""COMPUTED_VALUE"""),"*")</f>
        <v>*</v>
      </c>
    </row>
    <row r="200">
      <c r="A200">
        <f>IFERROR(__xludf.DUMMYFUNCTION("""COMPUTED_VALUE"""),42.0)</f>
        <v>42</v>
      </c>
      <c r="B200" t="str">
        <f>IFERROR(__xludf.DUMMYFUNCTION("""COMPUTED_VALUE"""),"Giánnis Antetokoúnmpo")</f>
        <v>Giánnis Antetokoúnmpo</v>
      </c>
      <c r="C200" t="str">
        <f>IFERROR(__xludf.DUMMYFUNCTION("""COMPUTED_VALUE"""),"Ailier fort")</f>
        <v>Ailier fort</v>
      </c>
      <c r="D200">
        <f>IFERROR(__xludf.DUMMYFUNCTION("""COMPUTED_VALUE"""),21377.0)</f>
        <v>21377</v>
      </c>
      <c r="E200">
        <f>IFERROR(__xludf.DUMMYFUNCTION("""COMPUTED_VALUE"""),889.0)</f>
        <v>889</v>
      </c>
      <c r="F200">
        <f>IFERROR(__xludf.DUMMYFUNCTION("""COMPUTED_VALUE"""),24.05)</f>
        <v>24.05</v>
      </c>
      <c r="G200">
        <f>IFERROR(__xludf.DUMMYFUNCTION("""COMPUTED_VALUE"""),7839.0)</f>
        <v>7839</v>
      </c>
      <c r="H200">
        <f>IFERROR(__xludf.DUMMYFUNCTION("""COMPUTED_VALUE"""),557.0)</f>
        <v>557</v>
      </c>
      <c r="I200">
        <f>IFERROR(__xludf.DUMMYFUNCTION("""COMPUTED_VALUE"""),5142.0)</f>
        <v>5142</v>
      </c>
      <c r="J200" t="str">
        <f>IFERROR(__xludf.DUMMYFUNCTION("""COMPUTED_VALUE"""),"^")</f>
        <v>^</v>
      </c>
    </row>
    <row r="201">
      <c r="A201">
        <f>IFERROR(__xludf.DUMMYFUNCTION("""COMPUTED_VALUE"""),43.0)</f>
        <v>43</v>
      </c>
      <c r="B201" t="str">
        <f>IFERROR(__xludf.DUMMYFUNCTION("""COMPUTED_VALUE"""),"Walt Bellamy")</f>
        <v>Walt Bellamy</v>
      </c>
      <c r="C201" t="str">
        <f>IFERROR(__xludf.DUMMYFUNCTION("""COMPUTED_VALUE"""),"Pivot")</f>
        <v>Pivot</v>
      </c>
      <c r="D201">
        <f>IFERROR(__xludf.DUMMYFUNCTION("""COMPUTED_VALUE"""),20941.0)</f>
        <v>20941</v>
      </c>
      <c r="E201">
        <f>IFERROR(__xludf.DUMMYFUNCTION("""COMPUTED_VALUE"""),1043.0)</f>
        <v>1043</v>
      </c>
      <c r="F201">
        <f>IFERROR(__xludf.DUMMYFUNCTION("""COMPUTED_VALUE"""),20.08)</f>
        <v>20.08</v>
      </c>
      <c r="G201">
        <f>IFERROR(__xludf.DUMMYFUNCTION("""COMPUTED_VALUE"""),7914.0)</f>
        <v>7914</v>
      </c>
      <c r="H201">
        <f>IFERROR(__xludf.DUMMYFUNCTION("""COMPUTED_VALUE"""),0.0)</f>
        <v>0</v>
      </c>
      <c r="I201">
        <f>IFERROR(__xludf.DUMMYFUNCTION("""COMPUTED_VALUE"""),5113.0)</f>
        <v>5113</v>
      </c>
      <c r="J201" t="str">
        <f>IFERROR(__xludf.DUMMYFUNCTION("""COMPUTED_VALUE"""),"*")</f>
        <v>*</v>
      </c>
    </row>
    <row r="202">
      <c r="A202">
        <f>IFERROR(__xludf.DUMMYFUNCTION("""COMPUTED_VALUE"""),44.0)</f>
        <v>44</v>
      </c>
      <c r="B202" t="str">
        <f>IFERROR(__xludf.DUMMYFUNCTION("""COMPUTED_VALUE"""),"Pau Gasol")</f>
        <v>Pau Gasol</v>
      </c>
      <c r="C202" t="str">
        <f>IFERROR(__xludf.DUMMYFUNCTION("""COMPUTED_VALUE"""),"Pivot")</f>
        <v>Pivot</v>
      </c>
      <c r="D202">
        <f>IFERROR(__xludf.DUMMYFUNCTION("""COMPUTED_VALUE"""),20894.0)</f>
        <v>20894</v>
      </c>
      <c r="E202">
        <f>IFERROR(__xludf.DUMMYFUNCTION("""COMPUTED_VALUE"""),1226.0)</f>
        <v>1226</v>
      </c>
      <c r="F202">
        <f>IFERROR(__xludf.DUMMYFUNCTION("""COMPUTED_VALUE"""),17.04)</f>
        <v>17.04</v>
      </c>
      <c r="G202">
        <f>IFERROR(__xludf.DUMMYFUNCTION("""COMPUTED_VALUE"""),7980.0)</f>
        <v>7980</v>
      </c>
      <c r="H202">
        <f>IFERROR(__xludf.DUMMYFUNCTION("""COMPUTED_VALUE"""),179.0)</f>
        <v>179</v>
      </c>
      <c r="I202">
        <f>IFERROR(__xludf.DUMMYFUNCTION("""COMPUTED_VALUE"""),4755.0)</f>
        <v>4755</v>
      </c>
      <c r="J202" t="str">
        <f>IFERROR(__xludf.DUMMYFUNCTION("""COMPUTED_VALUE"""),"*")</f>
        <v>*</v>
      </c>
    </row>
    <row r="203">
      <c r="A203">
        <f>IFERROR(__xludf.DUMMYFUNCTION("""COMPUTED_VALUE"""),45.0)</f>
        <v>45</v>
      </c>
      <c r="B203" t="str">
        <f>IFERROR(__xludf.DUMMYFUNCTION("""COMPUTED_VALUE"""),"Bob Pettit")</f>
        <v>Bob Pettit</v>
      </c>
      <c r="C203" t="str">
        <f>IFERROR(__xludf.DUMMYFUNCTION("""COMPUTED_VALUE"""),"Ailier fort")</f>
        <v>Ailier fort</v>
      </c>
      <c r="D203">
        <f>IFERROR(__xludf.DUMMYFUNCTION("""COMPUTED_VALUE"""),20880.0)</f>
        <v>20880</v>
      </c>
      <c r="E203">
        <f>IFERROR(__xludf.DUMMYFUNCTION("""COMPUTED_VALUE"""),792.0)</f>
        <v>792</v>
      </c>
      <c r="F203">
        <f>IFERROR(__xludf.DUMMYFUNCTION("""COMPUTED_VALUE"""),26.36)</f>
        <v>26.36</v>
      </c>
      <c r="G203">
        <f>IFERROR(__xludf.DUMMYFUNCTION("""COMPUTED_VALUE"""),7423.0)</f>
        <v>7423</v>
      </c>
      <c r="H203">
        <f>IFERROR(__xludf.DUMMYFUNCTION("""COMPUTED_VALUE"""),0.0)</f>
        <v>0</v>
      </c>
      <c r="I203">
        <f>IFERROR(__xludf.DUMMYFUNCTION("""COMPUTED_VALUE"""),6182.0)</f>
        <v>6182</v>
      </c>
      <c r="J203" t="str">
        <f>IFERROR(__xludf.DUMMYFUNCTION("""COMPUTED_VALUE"""),"*")</f>
        <v>*</v>
      </c>
    </row>
    <row r="204">
      <c r="A204">
        <f>IFERROR(__xludf.DUMMYFUNCTION("""COMPUTED_VALUE"""),46.0)</f>
        <v>46</v>
      </c>
      <c r="B204" t="str">
        <f>IFERROR(__xludf.DUMMYFUNCTION("""COMPUTED_VALUE"""),"David Robinson")</f>
        <v>David Robinson</v>
      </c>
      <c r="C204" t="str">
        <f>IFERROR(__xludf.DUMMYFUNCTION("""COMPUTED_VALUE"""),"Pivot")</f>
        <v>Pivot</v>
      </c>
      <c r="D204">
        <f>IFERROR(__xludf.DUMMYFUNCTION("""COMPUTED_VALUE"""),20790.0)</f>
        <v>20790</v>
      </c>
      <c r="E204">
        <f>IFERROR(__xludf.DUMMYFUNCTION("""COMPUTED_VALUE"""),987.0)</f>
        <v>987</v>
      </c>
      <c r="F204">
        <f>IFERROR(__xludf.DUMMYFUNCTION("""COMPUTED_VALUE"""),21.06)</f>
        <v>21.06</v>
      </c>
      <c r="G204">
        <f>IFERROR(__xludf.DUMMYFUNCTION("""COMPUTED_VALUE"""),7365.0)</f>
        <v>7365</v>
      </c>
      <c r="H204">
        <f>IFERROR(__xludf.DUMMYFUNCTION("""COMPUTED_VALUE"""),25.0)</f>
        <v>25</v>
      </c>
      <c r="I204">
        <f>IFERROR(__xludf.DUMMYFUNCTION("""COMPUTED_VALUE"""),6035.0)</f>
        <v>6035</v>
      </c>
      <c r="J204" t="str">
        <f>IFERROR(__xludf.DUMMYFUNCTION("""COMPUTED_VALUE"""),"*")</f>
        <v>*</v>
      </c>
    </row>
    <row r="205">
      <c r="A205">
        <f>IFERROR(__xludf.DUMMYFUNCTION("""COMPUTED_VALUE"""),47.0)</f>
        <v>47</v>
      </c>
      <c r="B205" t="str">
        <f>IFERROR(__xludf.DUMMYFUNCTION("""COMPUTED_VALUE"""),"George Gervin")</f>
        <v>George Gervin</v>
      </c>
      <c r="C205" t="str">
        <f>IFERROR(__xludf.DUMMYFUNCTION("""COMPUTED_VALUE"""),"Arrière")</f>
        <v>Arrière</v>
      </c>
      <c r="D205">
        <f>IFERROR(__xludf.DUMMYFUNCTION("""COMPUTED_VALUE"""),20708.0)</f>
        <v>20708</v>
      </c>
      <c r="E205">
        <f>IFERROR(__xludf.DUMMYFUNCTION("""COMPUTED_VALUE"""),791.0)</f>
        <v>791</v>
      </c>
      <c r="F205">
        <f>IFERROR(__xludf.DUMMYFUNCTION("""COMPUTED_VALUE"""),26.18)</f>
        <v>26.18</v>
      </c>
      <c r="G205">
        <f>IFERROR(__xludf.DUMMYFUNCTION("""COMPUTED_VALUE"""),8045.0)</f>
        <v>8045</v>
      </c>
      <c r="H205">
        <f>IFERROR(__xludf.DUMMYFUNCTION("""COMPUTED_VALUE"""),77.0)</f>
        <v>77</v>
      </c>
      <c r="I205">
        <f>IFERROR(__xludf.DUMMYFUNCTION("""COMPUTED_VALUE"""),4541.0)</f>
        <v>4541</v>
      </c>
      <c r="J205" t="str">
        <f>IFERROR(__xludf.DUMMYFUNCTION("""COMPUTED_VALUE"""),"*")</f>
        <v>*</v>
      </c>
    </row>
    <row r="206">
      <c r="A206">
        <f>IFERROR(__xludf.DUMMYFUNCTION("""COMPUTED_VALUE"""),48.0)</f>
        <v>48</v>
      </c>
      <c r="B206" t="str">
        <f>IFERROR(__xludf.DUMMYFUNCTION("""COMPUTED_VALUE"""),"LaMarcus Aldridge")</f>
        <v>LaMarcus Aldridge</v>
      </c>
      <c r="C206" t="str">
        <f>IFERROR(__xludf.DUMMYFUNCTION("""COMPUTED_VALUE"""),"Ailier fort")</f>
        <v>Ailier fort</v>
      </c>
      <c r="D206">
        <f>IFERROR(__xludf.DUMMYFUNCTION("""COMPUTED_VALUE"""),20558.0)</f>
        <v>20558</v>
      </c>
      <c r="E206">
        <f>IFERROR(__xludf.DUMMYFUNCTION("""COMPUTED_VALUE"""),1076.0)</f>
        <v>1076</v>
      </c>
      <c r="F206">
        <f>IFERROR(__xludf.DUMMYFUNCTION("""COMPUTED_VALUE"""),19.1)</f>
        <v>19.1</v>
      </c>
      <c r="G206">
        <f>IFERROR(__xludf.DUMMYFUNCTION("""COMPUTED_VALUE"""),8311.0)</f>
        <v>8311</v>
      </c>
      <c r="H206">
        <f>IFERROR(__xludf.DUMMYFUNCTION("""COMPUTED_VALUE"""),227.0)</f>
        <v>227</v>
      </c>
      <c r="I206">
        <f>IFERROR(__xludf.DUMMYFUNCTION("""COMPUTED_VALUE"""),3709.0)</f>
        <v>3709</v>
      </c>
      <c r="J206" t="str">
        <f>IFERROR(__xludf.DUMMYFUNCTION("""COMPUTED_VALUE"""),"°")</f>
        <v>°</v>
      </c>
    </row>
    <row r="207">
      <c r="A207">
        <f>IFERROR(__xludf.DUMMYFUNCTION("""COMPUTED_VALUE"""),49.0)</f>
        <v>49</v>
      </c>
      <c r="B207" t="str">
        <f>IFERROR(__xludf.DUMMYFUNCTION("""COMPUTED_VALUE"""),"Mitch Richmond")</f>
        <v>Mitch Richmond</v>
      </c>
      <c r="C207" t="str">
        <f>IFERROR(__xludf.DUMMYFUNCTION("""COMPUTED_VALUE"""),"Arrière")</f>
        <v>Arrière</v>
      </c>
      <c r="D207">
        <f>IFERROR(__xludf.DUMMYFUNCTION("""COMPUTED_VALUE"""),20497.0)</f>
        <v>20497</v>
      </c>
      <c r="E207">
        <f>IFERROR(__xludf.DUMMYFUNCTION("""COMPUTED_VALUE"""),976.0)</f>
        <v>976</v>
      </c>
      <c r="F207">
        <f>IFERROR(__xludf.DUMMYFUNCTION("""COMPUTED_VALUE"""),21.0)</f>
        <v>21</v>
      </c>
      <c r="G207">
        <f>IFERROR(__xludf.DUMMYFUNCTION("""COMPUTED_VALUE"""),7305.0)</f>
        <v>7305</v>
      </c>
      <c r="H207">
        <f>IFERROR(__xludf.DUMMYFUNCTION("""COMPUTED_VALUE"""),1326.0)</f>
        <v>1326</v>
      </c>
      <c r="I207">
        <f>IFERROR(__xludf.DUMMYFUNCTION("""COMPUTED_VALUE"""),4561.0)</f>
        <v>4561</v>
      </c>
      <c r="J207" t="str">
        <f>IFERROR(__xludf.DUMMYFUNCTION("""COMPUTED_VALUE"""),"*")</f>
        <v>*</v>
      </c>
    </row>
    <row r="208">
      <c r="A208">
        <f>IFERROR(__xludf.DUMMYFUNCTION("""COMPUTED_VALUE"""),50.0)</f>
        <v>50</v>
      </c>
      <c r="B208" t="str">
        <f>IFERROR(__xludf.DUMMYFUNCTION("""COMPUTED_VALUE"""),"Joe Johnson")</f>
        <v>Joe Johnson</v>
      </c>
      <c r="C208" t="str">
        <f>IFERROR(__xludf.DUMMYFUNCTION("""COMPUTED_VALUE"""),"Arrière")</f>
        <v>Arrière</v>
      </c>
      <c r="D208">
        <f>IFERROR(__xludf.DUMMYFUNCTION("""COMPUTED_VALUE"""),20407.0)</f>
        <v>20407</v>
      </c>
      <c r="E208">
        <f>IFERROR(__xludf.DUMMYFUNCTION("""COMPUTED_VALUE"""),1277.0)</f>
        <v>1277</v>
      </c>
      <c r="F208">
        <f>IFERROR(__xludf.DUMMYFUNCTION("""COMPUTED_VALUE"""),15.98)</f>
        <v>15.98</v>
      </c>
      <c r="G208">
        <f>IFERROR(__xludf.DUMMYFUNCTION("""COMPUTED_VALUE"""),7823.0)</f>
        <v>7823</v>
      </c>
      <c r="H208">
        <f>IFERROR(__xludf.DUMMYFUNCTION("""COMPUTED_VALUE"""),1978.0)</f>
        <v>1978</v>
      </c>
      <c r="I208">
        <f>IFERROR(__xludf.DUMMYFUNCTION("""COMPUTED_VALUE"""),2783.0)</f>
        <v>2783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3972</v>
      </c>
      <c r="F1" t="str">
        <f>IFERROR(__xludf.DUMMYFUNCTION("IMPORTHTML(""https://fr.wikipedia.org/wiki/Liste_des_aéroports_les_plus_fréquentés_du_monde_par_nombre_de_passagers"" , ""table"" )"),"Rang")</f>
        <v>Rang</v>
      </c>
      <c r="G1" t="str">
        <f>IFERROR(__xludf.DUMMYFUNCTION("""COMPUTED_VALUE"""),"Pays")</f>
        <v>Pays</v>
      </c>
      <c r="H1" t="str">
        <f>IFERROR(__xludf.DUMMYFUNCTION("""COMPUTED_VALUE"""),"Aéroport")</f>
        <v>Aéroport</v>
      </c>
      <c r="I1" t="str">
        <f>IFERROR(__xludf.DUMMYFUNCTION("""COMPUTED_VALUE"""),"Ville")</f>
        <v>Ville</v>
      </c>
      <c r="J1" t="str">
        <f>IFERROR(__xludf.DUMMYFUNCTION("""COMPUTED_VALUE"""),"Code AITA")</f>
        <v>Code AITA</v>
      </c>
      <c r="K1" t="str">
        <f>IFERROR(__xludf.DUMMYFUNCTION("""COMPUTED_VALUE"""),"Code OACI")</f>
        <v>Code OACI</v>
      </c>
      <c r="L1" t="str">
        <f>IFERROR(__xludf.DUMMYFUNCTION("""COMPUTED_VALUE"""),"Passagers totaux")</f>
        <v>Passagers totaux</v>
      </c>
      <c r="M1" t="str">
        <f>IFERROR(__xludf.DUMMYFUNCTION("""COMPUTED_VALUE"""),"Évol° de rang")</f>
        <v>Évol° de rang</v>
      </c>
      <c r="N1" t="str">
        <f>IFERROR(__xludf.DUMMYFUNCTION("""COMPUTED_VALUE"""),"%
Changement")</f>
        <v>%
Changement</v>
      </c>
    </row>
    <row r="2">
      <c r="F2" t="str">
        <f>IFERROR(__xludf.DUMMYFUNCTION("""COMPUTED_VALUE"""),"1.")</f>
        <v>1.</v>
      </c>
      <c r="G2" t="str">
        <f>IFERROR(__xludf.DUMMYFUNCTION("""COMPUTED_VALUE"""),"USA")</f>
        <v>USA</v>
      </c>
      <c r="H2" t="str">
        <f>IFERROR(__xludf.DUMMYFUNCTION("""COMPUTED_VALUE"""),"Atlanta H.-Jackson")</f>
        <v>Atlanta H.-Jackson</v>
      </c>
      <c r="I2" t="str">
        <f>IFERROR(__xludf.DUMMYFUNCTION("""COMPUTED_VALUE"""),"Atlanta (Géorgie)")</f>
        <v>Atlanta (Géorgie)</v>
      </c>
      <c r="J2" t="str">
        <f>IFERROR(__xludf.DUMMYFUNCTION("""COMPUTED_VALUE"""),"ATL")</f>
        <v>ATL</v>
      </c>
      <c r="K2" t="str">
        <f>IFERROR(__xludf.DUMMYFUNCTION("""COMPUTED_VALUE"""),"KATL")</f>
        <v>KATL</v>
      </c>
      <c r="L2">
        <f>IFERROR(__xludf.DUMMYFUNCTION("""COMPUTED_VALUE"""),1.07394029E8)</f>
        <v>107394029</v>
      </c>
      <c r="N2" t="str">
        <f>IFERROR(__xludf.DUMMYFUNCTION("""COMPUTED_VALUE"""),"3,3 %")</f>
        <v>3,3 %</v>
      </c>
    </row>
    <row r="3">
      <c r="F3" t="str">
        <f>IFERROR(__xludf.DUMMYFUNCTION("""COMPUTED_VALUE"""),"2.")</f>
        <v>2.</v>
      </c>
      <c r="G3" t="str">
        <f>IFERROR(__xludf.DUMMYFUNCTION("""COMPUTED_VALUE"""),"PRC")</f>
        <v>PRC</v>
      </c>
      <c r="H3" t="str">
        <f>IFERROR(__xludf.DUMMYFUNCTION("""COMPUTED_VALUE"""),"Pékin-Capitale")</f>
        <v>Pékin-Capitale</v>
      </c>
      <c r="I3" t="str">
        <f>IFERROR(__xludf.DUMMYFUNCTION("""COMPUTED_VALUE"""),"Chaoyang-Shunyi, Pékin")</f>
        <v>Chaoyang-Shunyi, Pékin</v>
      </c>
      <c r="J3" t="str">
        <f>IFERROR(__xludf.DUMMYFUNCTION("""COMPUTED_VALUE"""),"PEK")</f>
        <v>PEK</v>
      </c>
      <c r="K3" t="str">
        <f>IFERROR(__xludf.DUMMYFUNCTION("""COMPUTED_VALUE"""),"ZBAA")</f>
        <v>ZBAA</v>
      </c>
      <c r="L3">
        <f>IFERROR(__xludf.DUMMYFUNCTION("""COMPUTED_VALUE"""),1.0098329E8)</f>
        <v>100983290</v>
      </c>
      <c r="N3" t="str">
        <f>IFERROR(__xludf.DUMMYFUNCTION("""COMPUTED_VALUE"""),"5,4 %")</f>
        <v>5,4 %</v>
      </c>
    </row>
    <row r="4">
      <c r="F4" t="str">
        <f>IFERROR(__xludf.DUMMYFUNCTION("""COMPUTED_VALUE"""),"3.")</f>
        <v>3.</v>
      </c>
      <c r="G4" t="str">
        <f>IFERROR(__xludf.DUMMYFUNCTION("""COMPUTED_VALUE"""),"UAE")</f>
        <v>UAE</v>
      </c>
      <c r="H4" t="str">
        <f>IFERROR(__xludf.DUMMYFUNCTION("""COMPUTED_VALUE"""),"Dubaï")</f>
        <v>Dubaï</v>
      </c>
      <c r="I4" t="str">
        <f>IFERROR(__xludf.DUMMYFUNCTION("""COMPUTED_VALUE"""),"Garhoud, Dubai")</f>
        <v>Garhoud, Dubai</v>
      </c>
      <c r="J4" t="str">
        <f>IFERROR(__xludf.DUMMYFUNCTION("""COMPUTED_VALUE"""),"DXB")</f>
        <v>DXB</v>
      </c>
      <c r="K4" t="str">
        <f>IFERROR(__xludf.DUMMYFUNCTION("""COMPUTED_VALUE"""),"OMDB")</f>
        <v>OMDB</v>
      </c>
      <c r="L4">
        <f>IFERROR(__xludf.DUMMYFUNCTION("""COMPUTED_VALUE"""),8.9149387E7)</f>
        <v>89149387</v>
      </c>
      <c r="N4" t="str">
        <f>IFERROR(__xludf.DUMMYFUNCTION("""COMPUTED_VALUE"""),"1,0 %")</f>
        <v>1,0 %</v>
      </c>
    </row>
    <row r="5">
      <c r="F5" t="str">
        <f>IFERROR(__xludf.DUMMYFUNCTION("""COMPUTED_VALUE"""),"4.")</f>
        <v>4.</v>
      </c>
      <c r="G5" t="str">
        <f>IFERROR(__xludf.DUMMYFUNCTION("""COMPUTED_VALUE"""),"USA")</f>
        <v>USA</v>
      </c>
      <c r="H5" t="str">
        <f>IFERROR(__xludf.DUMMYFUNCTION("""COMPUTED_VALUE"""),"Los Angeles")</f>
        <v>Los Angeles</v>
      </c>
      <c r="I5" t="str">
        <f>IFERROR(__xludf.DUMMYFUNCTION("""COMPUTED_VALUE"""),"Los Angeles, Californie")</f>
        <v>Los Angeles, Californie</v>
      </c>
      <c r="J5" t="str">
        <f>IFERROR(__xludf.DUMMYFUNCTION("""COMPUTED_VALUE"""),"LAX")</f>
        <v>LAX</v>
      </c>
      <c r="K5" t="str">
        <f>IFERROR(__xludf.DUMMYFUNCTION("""COMPUTED_VALUE"""),"KLAX")</f>
        <v>KLAX</v>
      </c>
      <c r="L5">
        <f>IFERROR(__xludf.DUMMYFUNCTION("""COMPUTED_VALUE"""),8.7534384E7)</f>
        <v>87534384</v>
      </c>
      <c r="M5">
        <f>IFERROR(__xludf.DUMMYFUNCTION("""COMPUTED_VALUE"""),1.0)</f>
        <v>1</v>
      </c>
      <c r="N5" t="str">
        <f>IFERROR(__xludf.DUMMYFUNCTION("""COMPUTED_VALUE"""),"3,5 %")</f>
        <v>3,5 %</v>
      </c>
    </row>
    <row r="6">
      <c r="F6" t="str">
        <f>IFERROR(__xludf.DUMMYFUNCTION("""COMPUTED_VALUE"""),"5.")</f>
        <v>5.</v>
      </c>
      <c r="G6" t="str">
        <f>IFERROR(__xludf.DUMMYFUNCTION("""COMPUTED_VALUE"""),"JPN")</f>
        <v>JPN</v>
      </c>
      <c r="H6" t="str">
        <f>IFERROR(__xludf.DUMMYFUNCTION("""COMPUTED_VALUE"""),"Tokyo-Haneda")</f>
        <v>Tokyo-Haneda</v>
      </c>
      <c r="I6" t="str">
        <f>IFERROR(__xludf.DUMMYFUNCTION("""COMPUTED_VALUE"""),"Ōta, Tokyo")</f>
        <v>Ōta, Tokyo</v>
      </c>
      <c r="J6" t="str">
        <f>IFERROR(__xludf.DUMMYFUNCTION("""COMPUTED_VALUE"""),"HND")</f>
        <v>HND</v>
      </c>
      <c r="K6" t="str">
        <f>IFERROR(__xludf.DUMMYFUNCTION("""COMPUTED_VALUE"""),"RJTT")</f>
        <v>RJTT</v>
      </c>
      <c r="L6">
        <f>IFERROR(__xludf.DUMMYFUNCTION("""COMPUTED_VALUE"""),8.7131973E7)</f>
        <v>87131973</v>
      </c>
      <c r="M6">
        <f>IFERROR(__xludf.DUMMYFUNCTION("""COMPUTED_VALUE"""),1.0)</f>
        <v>1</v>
      </c>
      <c r="N6" t="str">
        <f>IFERROR(__xludf.DUMMYFUNCTION("""COMPUTED_VALUE"""),"2,0 %")</f>
        <v>2,0 %</v>
      </c>
    </row>
    <row r="7">
      <c r="F7" t="str">
        <f>IFERROR(__xludf.DUMMYFUNCTION("""COMPUTED_VALUE"""),"6.")</f>
        <v>6.</v>
      </c>
      <c r="G7" t="str">
        <f>IFERROR(__xludf.DUMMYFUNCTION("""COMPUTED_VALUE"""),"USA")</f>
        <v>USA</v>
      </c>
      <c r="H7" t="str">
        <f>IFERROR(__xludf.DUMMYFUNCTION("""COMPUTED_VALUE"""),"Chicago-O'Hare")</f>
        <v>Chicago-O'Hare</v>
      </c>
      <c r="I7" t="str">
        <f>IFERROR(__xludf.DUMMYFUNCTION("""COMPUTED_VALUE"""),"Chicago, Illinois")</f>
        <v>Chicago, Illinois</v>
      </c>
      <c r="J7" t="str">
        <f>IFERROR(__xludf.DUMMYFUNCTION("""COMPUTED_VALUE"""),"ORD")</f>
        <v>ORD</v>
      </c>
      <c r="K7" t="str">
        <f>IFERROR(__xludf.DUMMYFUNCTION("""COMPUTED_VALUE"""),"KORD")</f>
        <v>KORD</v>
      </c>
      <c r="L7">
        <f>IFERROR(__xludf.DUMMYFUNCTION("""COMPUTED_VALUE"""),8.3339186E7)</f>
        <v>83339186</v>
      </c>
      <c r="N7" t="str">
        <f>IFERROR(__xludf.DUMMYFUNCTION("""COMPUTED_VALUE"""),"4,4 %")</f>
        <v>4,4 %</v>
      </c>
    </row>
    <row r="8">
      <c r="F8" t="str">
        <f>IFERROR(__xludf.DUMMYFUNCTION("""COMPUTED_VALUE"""),"7.")</f>
        <v>7.</v>
      </c>
      <c r="G8" t="str">
        <f>IFERROR(__xludf.DUMMYFUNCTION("""COMPUTED_VALUE"""),"GBR")</f>
        <v>GBR</v>
      </c>
      <c r="H8" t="str">
        <f>IFERROR(__xludf.DUMMYFUNCTION("""COMPUTED_VALUE"""),"Londres-Heathrow")</f>
        <v>Londres-Heathrow</v>
      </c>
      <c r="I8" t="str">
        <f>IFERROR(__xludf.DUMMYFUNCTION("""COMPUTED_VALUE"""),"Hillingdon, Londres")</f>
        <v>Hillingdon, Londres</v>
      </c>
      <c r="J8" t="str">
        <f>IFERROR(__xludf.DUMMYFUNCTION("""COMPUTED_VALUE"""),"LHR")</f>
        <v>LHR</v>
      </c>
      <c r="K8" t="str">
        <f>IFERROR(__xludf.DUMMYFUNCTION("""COMPUTED_VALUE"""),"EGLL")</f>
        <v>EGLL</v>
      </c>
      <c r="L8">
        <f>IFERROR(__xludf.DUMMYFUNCTION("""COMPUTED_VALUE"""),8.012632E7)</f>
        <v>80126320</v>
      </c>
      <c r="N8" t="str">
        <f>IFERROR(__xludf.DUMMYFUNCTION("""COMPUTED_VALUE"""),"2,7 %")</f>
        <v>2,7 %</v>
      </c>
    </row>
    <row r="9">
      <c r="F9" t="str">
        <f>IFERROR(__xludf.DUMMYFUNCTION("""COMPUTED_VALUE"""),"8.")</f>
        <v>8.</v>
      </c>
      <c r="G9" t="str">
        <f>IFERROR(__xludf.DUMMYFUNCTION("""COMPUTED_VALUE"""),"HKG")</f>
        <v>HKG</v>
      </c>
      <c r="H9" t="str">
        <f>IFERROR(__xludf.DUMMYFUNCTION("""COMPUTED_VALUE"""),"Hong Kong")</f>
        <v>Hong Kong</v>
      </c>
      <c r="I9" t="str">
        <f>IFERROR(__xludf.DUMMYFUNCTION("""COMPUTED_VALUE"""),"Chek Lap Kok, Islands, New Territories")</f>
        <v>Chek Lap Kok, Islands, New Territories</v>
      </c>
      <c r="J9" t="str">
        <f>IFERROR(__xludf.DUMMYFUNCTION("""COMPUTED_VALUE"""),"HKG")</f>
        <v>HKG</v>
      </c>
      <c r="K9" t="str">
        <f>IFERROR(__xludf.DUMMYFUNCTION("""COMPUTED_VALUE"""),"VHHH")</f>
        <v>VHHH</v>
      </c>
      <c r="L9">
        <f>IFERROR(__xludf.DUMMYFUNCTION("""COMPUTED_VALUE"""),7.4517402E7)</f>
        <v>74517402</v>
      </c>
      <c r="N9" t="str">
        <f>IFERROR(__xludf.DUMMYFUNCTION("""COMPUTED_VALUE"""),"2,6 %")</f>
        <v>2,6 %</v>
      </c>
    </row>
    <row r="10">
      <c r="F10" t="str">
        <f>IFERROR(__xludf.DUMMYFUNCTION("""COMPUTED_VALUE"""),"9.")</f>
        <v>9.</v>
      </c>
      <c r="G10" t="str">
        <f>IFERROR(__xludf.DUMMYFUNCTION("""COMPUTED_VALUE"""),"PRC")</f>
        <v>PRC</v>
      </c>
      <c r="H10" t="str">
        <f>IFERROR(__xludf.DUMMYFUNCTION("""COMPUTED_VALUE"""),"Shanghai-Pudong")</f>
        <v>Shanghai-Pudong</v>
      </c>
      <c r="I10" t="str">
        <f>IFERROR(__xludf.DUMMYFUNCTION("""COMPUTED_VALUE"""),"Pudong, Shanghai")</f>
        <v>Pudong, Shanghai</v>
      </c>
      <c r="J10" t="str">
        <f>IFERROR(__xludf.DUMMYFUNCTION("""COMPUTED_VALUE"""),"PVG")</f>
        <v>PVG</v>
      </c>
      <c r="K10" t="str">
        <f>IFERROR(__xludf.DUMMYFUNCTION("""COMPUTED_VALUE"""),"ZSPD")</f>
        <v>ZSPD</v>
      </c>
      <c r="L10">
        <f>IFERROR(__xludf.DUMMYFUNCTION("""COMPUTED_VALUE"""),7.4006331E7)</f>
        <v>74006331</v>
      </c>
      <c r="N10" t="str">
        <f>IFERROR(__xludf.DUMMYFUNCTION("""COMPUTED_VALUE"""),"5,7 %")</f>
        <v>5,7 %</v>
      </c>
    </row>
    <row r="11">
      <c r="F11" t="str">
        <f>IFERROR(__xludf.DUMMYFUNCTION("""COMPUTED_VALUE"""),"10.")</f>
        <v>10.</v>
      </c>
      <c r="G11" t="str">
        <f>IFERROR(__xludf.DUMMYFUNCTION("""COMPUTED_VALUE"""),"FRA")</f>
        <v>FRA</v>
      </c>
      <c r="H11" t="str">
        <f>IFERROR(__xludf.DUMMYFUNCTION("""COMPUTED_VALUE"""),"Paris-Charles de Gaulle")</f>
        <v>Paris-Charles de Gaulle</v>
      </c>
      <c r="I11" t="str">
        <f>IFERROR(__xludf.DUMMYFUNCTION("""COMPUTED_VALUE"""),"Roissy-en-France, Île-de-France")</f>
        <v>Roissy-en-France, Île-de-France</v>
      </c>
      <c r="J11" t="str">
        <f>IFERROR(__xludf.DUMMYFUNCTION("""COMPUTED_VALUE"""),"CDG")</f>
        <v>CDG</v>
      </c>
      <c r="K11" t="str">
        <f>IFERROR(__xludf.DUMMYFUNCTION("""COMPUTED_VALUE"""),"LFPG")</f>
        <v>LFPG</v>
      </c>
      <c r="L11">
        <f>IFERROR(__xludf.DUMMYFUNCTION("""COMPUTED_VALUE"""),7.2229723E7)</f>
        <v>72229723</v>
      </c>
      <c r="N11" t="str">
        <f>IFERROR(__xludf.DUMMYFUNCTION("""COMPUTED_VALUE"""),"4,0 %")</f>
        <v>4,0 %</v>
      </c>
    </row>
    <row r="12">
      <c r="F12" t="str">
        <f>IFERROR(__xludf.DUMMYFUNCTION("""COMPUTED_VALUE"""),"11.")</f>
        <v>11.</v>
      </c>
      <c r="G12" t="str">
        <f>IFERROR(__xludf.DUMMYFUNCTION("""COMPUTED_VALUE"""),"NED")</f>
        <v>NED</v>
      </c>
      <c r="H12" t="str">
        <f>IFERROR(__xludf.DUMMYFUNCTION("""COMPUTED_VALUE"""),"Amsterdam")</f>
        <v>Amsterdam</v>
      </c>
      <c r="I12" t="str">
        <f>IFERROR(__xludf.DUMMYFUNCTION("""COMPUTED_VALUE"""),"Haarlemmermeer, North Holland")</f>
        <v>Haarlemmermeer, North Holland</v>
      </c>
      <c r="J12" t="str">
        <f>IFERROR(__xludf.DUMMYFUNCTION("""COMPUTED_VALUE"""),"AMS")</f>
        <v>AMS</v>
      </c>
      <c r="K12" t="str">
        <f>IFERROR(__xludf.DUMMYFUNCTION("""COMPUTED_VALUE"""),"EHAM")</f>
        <v>EHAM</v>
      </c>
      <c r="L12">
        <f>IFERROR(__xludf.DUMMYFUNCTION("""COMPUTED_VALUE"""),7.1053157E7)</f>
        <v>71053157</v>
      </c>
      <c r="N12" t="str">
        <f>IFERROR(__xludf.DUMMYFUNCTION("""COMPUTED_VALUE"""),"3,7 %")</f>
        <v>3,7 %</v>
      </c>
    </row>
    <row r="13">
      <c r="F13" t="str">
        <f>IFERROR(__xludf.DUMMYFUNCTION("""COMPUTED_VALUE"""),"12.")</f>
        <v>12.</v>
      </c>
      <c r="G13" t="str">
        <f>IFERROR(__xludf.DUMMYFUNCTION("""COMPUTED_VALUE"""),"IND")</f>
        <v>IND</v>
      </c>
      <c r="H13" t="str">
        <f>IFERROR(__xludf.DUMMYFUNCTION("""COMPUTED_VALUE"""),"Delhi-Indira Gandhi")</f>
        <v>Delhi-Indira Gandhi</v>
      </c>
      <c r="I13" t="str">
        <f>IFERROR(__xludf.DUMMYFUNCTION("""COMPUTED_VALUE"""),"Delhi")</f>
        <v>Delhi</v>
      </c>
      <c r="J13" t="str">
        <f>IFERROR(__xludf.DUMMYFUNCTION("""COMPUTED_VALUE"""),"DEL")</f>
        <v>DEL</v>
      </c>
      <c r="K13" t="str">
        <f>IFERROR(__xludf.DUMMYFUNCTION("""COMPUTED_VALUE"""),"VIDP")</f>
        <v>VIDP</v>
      </c>
      <c r="L13">
        <f>IFERROR(__xludf.DUMMYFUNCTION("""COMPUTED_VALUE"""),6.9900938E7)</f>
        <v>69900938</v>
      </c>
      <c r="M13">
        <f>IFERROR(__xludf.DUMMYFUNCTION("""COMPUTED_VALUE"""),4.0)</f>
        <v>4</v>
      </c>
      <c r="N13" t="str">
        <f>IFERROR(__xludf.DUMMYFUNCTION("""COMPUTED_VALUE"""),"10,2 %")</f>
        <v>10,2 %</v>
      </c>
    </row>
    <row r="14">
      <c r="F14" t="str">
        <f>IFERROR(__xludf.DUMMYFUNCTION("""COMPUTED_VALUE"""),"13.")</f>
        <v>13.</v>
      </c>
      <c r="G14" t="str">
        <f>IFERROR(__xludf.DUMMYFUNCTION("""COMPUTED_VALUE"""),"PRC")</f>
        <v>PRC</v>
      </c>
      <c r="H14" t="str">
        <f>IFERROR(__xludf.DUMMYFUNCTION("""COMPUTED_VALUE"""),"Canton-Baiyun")</f>
        <v>Canton-Baiyun</v>
      </c>
      <c r="I14" t="str">
        <f>IFERROR(__xludf.DUMMYFUNCTION("""COMPUTED_VALUE"""),"Baiyun-Huadu, Guangzhou, Guangdong")</f>
        <v>Baiyun-Huadu, Guangzhou, Guangdong</v>
      </c>
      <c r="J14" t="str">
        <f>IFERROR(__xludf.DUMMYFUNCTION("""COMPUTED_VALUE"""),"CAN")</f>
        <v>CAN</v>
      </c>
      <c r="K14" t="str">
        <f>IFERROR(__xludf.DUMMYFUNCTION("""COMPUTED_VALUE"""),"ZGGG")</f>
        <v>ZGGG</v>
      </c>
      <c r="L14">
        <f>IFERROR(__xludf.DUMMYFUNCTION("""COMPUTED_VALUE"""),6.9769497E7)</f>
        <v>69769497</v>
      </c>
      <c r="N14" t="str">
        <f>IFERROR(__xludf.DUMMYFUNCTION("""COMPUTED_VALUE"""),"6,0 %")</f>
        <v>6,0 %</v>
      </c>
    </row>
    <row r="15">
      <c r="F15" t="str">
        <f>IFERROR(__xludf.DUMMYFUNCTION("""COMPUTED_VALUE"""),"14.")</f>
        <v>14.</v>
      </c>
      <c r="G15" t="str">
        <f>IFERROR(__xludf.DUMMYFUNCTION("""COMPUTED_VALUE"""),"GER")</f>
        <v>GER</v>
      </c>
      <c r="H15" t="str">
        <f>IFERROR(__xludf.DUMMYFUNCTION("""COMPUTED_VALUE"""),"Francfort")</f>
        <v>Francfort</v>
      </c>
      <c r="I15" t="str">
        <f>IFERROR(__xludf.DUMMYFUNCTION("""COMPUTED_VALUE"""),"Frankfurt, Hesse")</f>
        <v>Frankfurt, Hesse</v>
      </c>
      <c r="J15" t="str">
        <f>IFERROR(__xludf.DUMMYFUNCTION("""COMPUTED_VALUE"""),"FRA")</f>
        <v>FRA</v>
      </c>
      <c r="K15" t="str">
        <f>IFERROR(__xludf.DUMMYFUNCTION("""COMPUTED_VALUE"""),"EDDF")</f>
        <v>EDDF</v>
      </c>
      <c r="L15">
        <f>IFERROR(__xludf.DUMMYFUNCTION("""COMPUTED_VALUE"""),6.9510269E7)</f>
        <v>69510269</v>
      </c>
      <c r="N15" t="str">
        <f>IFERROR(__xludf.DUMMYFUNCTION("""COMPUTED_VALUE"""),"7,8 %")</f>
        <v>7,8 %</v>
      </c>
    </row>
    <row r="16">
      <c r="F16" t="str">
        <f>IFERROR(__xludf.DUMMYFUNCTION("""COMPUTED_VALUE"""),"15.")</f>
        <v>15.</v>
      </c>
      <c r="G16" t="str">
        <f>IFERROR(__xludf.DUMMYFUNCTION("""COMPUTED_VALUE"""),"USA")</f>
        <v>USA</v>
      </c>
      <c r="H16" t="str">
        <f>IFERROR(__xludf.DUMMYFUNCTION("""COMPUTED_VALUE"""),"Dallas-Fort Worth")</f>
        <v>Dallas-Fort Worth</v>
      </c>
      <c r="I16" t="str">
        <f>IFERROR(__xludf.DUMMYFUNCTION("""COMPUTED_VALUE"""),"Dallas-Fort Worth (Texas)")</f>
        <v>Dallas-Fort Worth (Texas)</v>
      </c>
      <c r="J16" t="str">
        <f>IFERROR(__xludf.DUMMYFUNCTION("""COMPUTED_VALUE"""),"DFW")</f>
        <v>DFW</v>
      </c>
      <c r="K16" t="str">
        <f>IFERROR(__xludf.DUMMYFUNCTION("""COMPUTED_VALUE"""),"KDFW")</f>
        <v>KDFW</v>
      </c>
      <c r="L16">
        <f>IFERROR(__xludf.DUMMYFUNCTION("""COMPUTED_VALUE"""),6.9112607E7)</f>
        <v>69112607</v>
      </c>
      <c r="M16">
        <f>IFERROR(__xludf.DUMMYFUNCTION("""COMPUTED_VALUE"""),3.0)</f>
        <v>3</v>
      </c>
      <c r="N16" t="str">
        <f>IFERROR(__xludf.DUMMYFUNCTION("""COMPUTED_VALUE"""),"3,0 %")</f>
        <v>3,0 %</v>
      </c>
    </row>
    <row r="17">
      <c r="F17" t="str">
        <f>IFERROR(__xludf.DUMMYFUNCTION("""COMPUTED_VALUE"""),"16.")</f>
        <v>16.</v>
      </c>
      <c r="G17" t="str">
        <f>IFERROR(__xludf.DUMMYFUNCTION("""COMPUTED_VALUE"""),"KOR")</f>
        <v>KOR</v>
      </c>
      <c r="H17" t="str">
        <f>IFERROR(__xludf.DUMMYFUNCTION("""COMPUTED_VALUE"""),"Séoul-Incheon")</f>
        <v>Séoul-Incheon</v>
      </c>
      <c r="I17" t="str">
        <f>IFERROR(__xludf.DUMMYFUNCTION("""COMPUTED_VALUE"""),"Incheon")</f>
        <v>Incheon</v>
      </c>
      <c r="J17" t="str">
        <f>IFERROR(__xludf.DUMMYFUNCTION("""COMPUTED_VALUE"""),"ICN")</f>
        <v>ICN</v>
      </c>
      <c r="K17" t="str">
        <f>IFERROR(__xludf.DUMMYFUNCTION("""COMPUTED_VALUE"""),"RKSI")</f>
        <v>RKSI</v>
      </c>
      <c r="L17">
        <f>IFERROR(__xludf.DUMMYFUNCTION("""COMPUTED_VALUE"""),6.8350784E7)</f>
        <v>68350784</v>
      </c>
      <c r="M17">
        <f>IFERROR(__xludf.DUMMYFUNCTION("""COMPUTED_VALUE"""),3.0)</f>
        <v>3</v>
      </c>
      <c r="N17" t="str">
        <f>IFERROR(__xludf.DUMMYFUNCTION("""COMPUTED_VALUE"""),"10,0 %")</f>
        <v>10,0 %</v>
      </c>
    </row>
    <row r="18">
      <c r="F18" t="str">
        <f>IFERROR(__xludf.DUMMYFUNCTION("""COMPUTED_VALUE"""),"17.")</f>
        <v>17.</v>
      </c>
      <c r="G18" t="str">
        <f>IFERROR(__xludf.DUMMYFUNCTION("""COMPUTED_VALUE"""),"TUR")</f>
        <v>TUR</v>
      </c>
      <c r="H18" t="str">
        <f>IFERROR(__xludf.DUMMYFUNCTION("""COMPUTED_VALUE"""),"Istanbul")</f>
        <v>Istanbul</v>
      </c>
      <c r="I18" t="str">
        <f>IFERROR(__xludf.DUMMYFUNCTION("""COMPUTED_VALUE"""),"Yeşilköy, Istanbul")</f>
        <v>Yeşilköy, Istanbul</v>
      </c>
      <c r="J18" t="str">
        <f>IFERROR(__xludf.DUMMYFUNCTION("""COMPUTED_VALUE"""),"IST")</f>
        <v>IST</v>
      </c>
      <c r="K18" t="str">
        <f>IFERROR(__xludf.DUMMYFUNCTION("""COMPUTED_VALUE"""),"LTBA")</f>
        <v>LTBA</v>
      </c>
      <c r="L18">
        <f>IFERROR(__xludf.DUMMYFUNCTION("""COMPUTED_VALUE"""),6.8192683E7)</f>
        <v>68192683</v>
      </c>
      <c r="M18">
        <f>IFERROR(__xludf.DUMMYFUNCTION("""COMPUTED_VALUE"""),2.0)</f>
        <v>2</v>
      </c>
      <c r="N18" t="str">
        <f>IFERROR(__xludf.DUMMYFUNCTION("""COMPUTED_VALUE"""),"6,4 %")</f>
        <v>6,4 %</v>
      </c>
    </row>
    <row r="19">
      <c r="F19" t="str">
        <f>IFERROR(__xludf.DUMMYFUNCTION("""COMPUTED_VALUE"""),"18.")</f>
        <v>18.</v>
      </c>
      <c r="G19" t="str">
        <f>IFERROR(__xludf.DUMMYFUNCTION("""COMPUTED_VALUE"""),"INA")</f>
        <v>INA</v>
      </c>
      <c r="H19" t="str">
        <f>IFERROR(__xludf.DUMMYFUNCTION("""COMPUTED_VALUE"""),"Djakarta-S.-Hatta")</f>
        <v>Djakarta-S.-Hatta</v>
      </c>
      <c r="I19" t="str">
        <f>IFERROR(__xludf.DUMMYFUNCTION("""COMPUTED_VALUE"""),"Tangerang, Banten")</f>
        <v>Tangerang, Banten</v>
      </c>
      <c r="J19" t="str">
        <f>IFERROR(__xludf.DUMMYFUNCTION("""COMPUTED_VALUE"""),"CGK")</f>
        <v>CGK</v>
      </c>
      <c r="K19" t="str">
        <f>IFERROR(__xludf.DUMMYFUNCTION("""COMPUTED_VALUE"""),"WIII")</f>
        <v>WIII</v>
      </c>
      <c r="L19">
        <f>IFERROR(__xludf.DUMMYFUNCTION("""COMPUTED_VALUE"""),6.6908159E7)</f>
        <v>66908159</v>
      </c>
      <c r="M19">
        <f>IFERROR(__xludf.DUMMYFUNCTION("""COMPUTED_VALUE"""),1.0)</f>
        <v>1</v>
      </c>
      <c r="N19" t="str">
        <f>IFERROR(__xludf.DUMMYFUNCTION("""COMPUTED_VALUE"""),"6,2 %")</f>
        <v>6,2 %</v>
      </c>
    </row>
    <row r="20">
      <c r="F20" t="str">
        <f>IFERROR(__xludf.DUMMYFUNCTION("""COMPUTED_VALUE"""),"19.")</f>
        <v>19.</v>
      </c>
      <c r="G20" t="str">
        <f>IFERROR(__xludf.DUMMYFUNCTION("""COMPUTED_VALUE"""),"SIN")</f>
        <v>SIN</v>
      </c>
      <c r="H20" t="str">
        <f>IFERROR(__xludf.DUMMYFUNCTION("""COMPUTED_VALUE"""),"Singapour-Changi")</f>
        <v>Singapour-Changi</v>
      </c>
      <c r="I20" t="str">
        <f>IFERROR(__xludf.DUMMYFUNCTION("""COMPUTED_VALUE"""),"Changi, East Region")</f>
        <v>Changi, East Region</v>
      </c>
      <c r="J20" t="str">
        <f>IFERROR(__xludf.DUMMYFUNCTION("""COMPUTED_VALUE"""),"SIN")</f>
        <v>SIN</v>
      </c>
      <c r="K20" t="str">
        <f>IFERROR(__xludf.DUMMYFUNCTION("""COMPUTED_VALUE"""),"WSSS")</f>
        <v>WSSS</v>
      </c>
      <c r="L20">
        <f>IFERROR(__xludf.DUMMYFUNCTION("""COMPUTED_VALUE"""),6.5628E7)</f>
        <v>65628000</v>
      </c>
      <c r="M20">
        <f>IFERROR(__xludf.DUMMYFUNCTION("""COMPUTED_VALUE"""),1.0)</f>
        <v>1</v>
      </c>
      <c r="N20" t="str">
        <f>IFERROR(__xludf.DUMMYFUNCTION("""COMPUTED_VALUE"""),"5,5 %")</f>
        <v>5,5 %</v>
      </c>
    </row>
    <row r="21">
      <c r="F21" t="str">
        <f>IFERROR(__xludf.DUMMYFUNCTION("""COMPUTED_VALUE"""),"20.")</f>
        <v>20.</v>
      </c>
      <c r="G21" t="str">
        <f>IFERROR(__xludf.DUMMYFUNCTION("""COMPUTED_VALUE"""),"USA")</f>
        <v>USA</v>
      </c>
      <c r="H21" t="str">
        <f>IFERROR(__xludf.DUMMYFUNCTION("""COMPUTED_VALUE"""),"Denver")</f>
        <v>Denver</v>
      </c>
      <c r="I21" t="str">
        <f>IFERROR(__xludf.DUMMYFUNCTION("""COMPUTED_VALUE"""),"Denver (Colorado)")</f>
        <v>Denver (Colorado)</v>
      </c>
      <c r="J21" t="str">
        <f>IFERROR(__xludf.DUMMYFUNCTION("""COMPUTED_VALUE"""),"DEN")</f>
        <v>DEN</v>
      </c>
      <c r="K21" t="str">
        <f>IFERROR(__xludf.DUMMYFUNCTION("""COMPUTED_VALUE"""),"KDEN")</f>
        <v>KDEN</v>
      </c>
      <c r="L21">
        <f>IFERROR(__xludf.DUMMYFUNCTION("""COMPUTED_VALUE"""),6.4494613E7)</f>
        <v>64494613</v>
      </c>
      <c r="N21" t="str">
        <f>IFERROR(__xludf.DUMMYFUNCTION("""COMPUTED_VALUE"""),"5,1 %")</f>
        <v>5,1 %</v>
      </c>
    </row>
    <row r="22">
      <c r="F22" t="str">
        <f>IFERROR(__xludf.DUMMYFUNCTION("""COMPUTED_VALUE"""),"21.")</f>
        <v>21.</v>
      </c>
      <c r="G22" t="str">
        <f>IFERROR(__xludf.DUMMYFUNCTION("""COMPUTED_VALUE"""),"THA")</f>
        <v>THA</v>
      </c>
      <c r="H22" t="str">
        <f>IFERROR(__xludf.DUMMYFUNCTION("""COMPUTED_VALUE"""),"Bangkok-Suvarnabhumi")</f>
        <v>Bangkok-Suvarnabhumi</v>
      </c>
      <c r="I22" t="str">
        <f>IFERROR(__xludf.DUMMYFUNCTION("""COMPUTED_VALUE"""),"Bang Phli, Samut Prakan")</f>
        <v>Bang Phli, Samut Prakan</v>
      </c>
      <c r="J22" t="str">
        <f>IFERROR(__xludf.DUMMYFUNCTION("""COMPUTED_VALUE"""),"BKK")</f>
        <v>BKK</v>
      </c>
      <c r="K22" t="str">
        <f>IFERROR(__xludf.DUMMYFUNCTION("""COMPUTED_VALUE"""),"VTBS")</f>
        <v>VTBS</v>
      </c>
      <c r="L22">
        <f>IFERROR(__xludf.DUMMYFUNCTION("""COMPUTED_VALUE"""),6.3378923E7)</f>
        <v>63378923</v>
      </c>
      <c r="N22" t="str">
        <f>IFERROR(__xludf.DUMMYFUNCTION("""COMPUTED_VALUE"""),"4,1 %")</f>
        <v>4,1 %</v>
      </c>
    </row>
    <row r="23">
      <c r="F23" t="str">
        <f>IFERROR(__xludf.DUMMYFUNCTION("""COMPUTED_VALUE"""),"22.")</f>
        <v>22.</v>
      </c>
      <c r="G23" t="str">
        <f>IFERROR(__xludf.DUMMYFUNCTION("""COMPUTED_VALUE"""),"USA")</f>
        <v>USA</v>
      </c>
      <c r="H23" t="str">
        <f>IFERROR(__xludf.DUMMYFUNCTION("""COMPUTED_VALUE"""),"New York-John F. Kennedy")</f>
        <v>New York-John F. Kennedy</v>
      </c>
      <c r="I23" t="str">
        <f>IFERROR(__xludf.DUMMYFUNCTION("""COMPUTED_VALUE"""),"Queens, New York, New York")</f>
        <v>Queens, New York, New York</v>
      </c>
      <c r="J23" t="str">
        <f>IFERROR(__xludf.DUMMYFUNCTION("""COMPUTED_VALUE"""),"JFK")</f>
        <v>JFK</v>
      </c>
      <c r="K23" t="str">
        <f>IFERROR(__xludf.DUMMYFUNCTION("""COMPUTED_VALUE"""),"KJFK")</f>
        <v>KJFK</v>
      </c>
      <c r="L23">
        <f>IFERROR(__xludf.DUMMYFUNCTION("""COMPUTED_VALUE"""),6.1909148E7)</f>
        <v>61909148</v>
      </c>
      <c r="N23" t="str">
        <f>IFERROR(__xludf.DUMMYFUNCTION("""COMPUTED_VALUE"""),"4,4 %")</f>
        <v>4,4 %</v>
      </c>
    </row>
    <row r="24">
      <c r="F24" t="str">
        <f>IFERROR(__xludf.DUMMYFUNCTION("""COMPUTED_VALUE"""),"23.")</f>
        <v>23.</v>
      </c>
      <c r="G24" t="str">
        <f>IFERROR(__xludf.DUMMYFUNCTION("""COMPUTED_VALUE"""),"MAS")</f>
        <v>MAS</v>
      </c>
      <c r="H24" t="str">
        <f>IFERROR(__xludf.DUMMYFUNCTION("""COMPUTED_VALUE"""),"Kuala Lumpur")</f>
        <v>Kuala Lumpur</v>
      </c>
      <c r="I24" t="str">
        <f>IFERROR(__xludf.DUMMYFUNCTION("""COMPUTED_VALUE"""),"Sepang, Selangor")</f>
        <v>Sepang, Selangor</v>
      </c>
      <c r="J24" t="str">
        <f>IFERROR(__xludf.DUMMYFUNCTION("""COMPUTED_VALUE"""),"KUL")</f>
        <v>KUL</v>
      </c>
      <c r="K24" t="str">
        <f>IFERROR(__xludf.DUMMYFUNCTION("""COMPUTED_VALUE"""),"WMKK")</f>
        <v>WMKK</v>
      </c>
      <c r="L24">
        <f>IFERROR(__xludf.DUMMYFUNCTION("""COMPUTED_VALUE"""),5.9959E7)</f>
        <v>59959000</v>
      </c>
      <c r="N24" t="str">
        <f>IFERROR(__xludf.DUMMYFUNCTION("""COMPUTED_VALUE"""),"2,4 %")</f>
        <v>2,4 %</v>
      </c>
    </row>
    <row r="25">
      <c r="F25" t="str">
        <f>IFERROR(__xludf.DUMMYFUNCTION("""COMPUTED_VALUE"""),"24.")</f>
        <v>24.</v>
      </c>
      <c r="G25" t="str">
        <f>IFERROR(__xludf.DUMMYFUNCTION("""COMPUTED_VALUE"""),"ESP")</f>
        <v>ESP</v>
      </c>
      <c r="H25" t="str">
        <f>IFERROR(__xludf.DUMMYFUNCTION("""COMPUTED_VALUE"""),"Madrid-Barajas")</f>
        <v>Madrid-Barajas</v>
      </c>
      <c r="I25" t="str">
        <f>IFERROR(__xludf.DUMMYFUNCTION("""COMPUTED_VALUE"""),"Barajas, Madrid")</f>
        <v>Barajas, Madrid</v>
      </c>
      <c r="J25" t="str">
        <f>IFERROR(__xludf.DUMMYFUNCTION("""COMPUTED_VALUE"""),"MAD")</f>
        <v>MAD</v>
      </c>
      <c r="K25" t="str">
        <f>IFERROR(__xludf.DUMMYFUNCTION("""COMPUTED_VALUE"""),"LEMD")</f>
        <v>LEMD</v>
      </c>
      <c r="L25">
        <f>IFERROR(__xludf.DUMMYFUNCTION("""COMPUTED_VALUE"""),5.789134E7)</f>
        <v>57891340</v>
      </c>
      <c r="M25">
        <f>IFERROR(__xludf.DUMMYFUNCTION("""COMPUTED_VALUE"""),1.0)</f>
        <v>1</v>
      </c>
      <c r="N25" t="str">
        <f>IFERROR(__xludf.DUMMYFUNCTION("""COMPUTED_VALUE"""),"8,4 %")</f>
        <v>8,4 %</v>
      </c>
    </row>
    <row r="26">
      <c r="F26" t="str">
        <f>IFERROR(__xludf.DUMMYFUNCTION("""COMPUTED_VALUE"""),"25.")</f>
        <v>25.</v>
      </c>
      <c r="G26" t="str">
        <f>IFERROR(__xludf.DUMMYFUNCTION("""COMPUTED_VALUE"""),"USA")</f>
        <v>USA</v>
      </c>
      <c r="H26" t="str">
        <f>IFERROR(__xludf.DUMMYFUNCTION("""COMPUTED_VALUE"""),"San Francisco")</f>
        <v>San Francisco</v>
      </c>
      <c r="I26" t="str">
        <f>IFERROR(__xludf.DUMMYFUNCTION("""COMPUTED_VALUE"""),"San Mateo County, Californie")</f>
        <v>San Mateo County, Californie</v>
      </c>
      <c r="J26" t="str">
        <f>IFERROR(__xludf.DUMMYFUNCTION("""COMPUTED_VALUE"""),"SFO")</f>
        <v>SFO</v>
      </c>
      <c r="K26" t="str">
        <f>IFERROR(__xludf.DUMMYFUNCTION("""COMPUTED_VALUE"""),"KSFO")</f>
        <v>KSFO</v>
      </c>
      <c r="L26">
        <f>IFERROR(__xludf.DUMMYFUNCTION("""COMPUTED_VALUE"""),5.7793313E7)</f>
        <v>57793313</v>
      </c>
      <c r="M26">
        <f>IFERROR(__xludf.DUMMYFUNCTION("""COMPUTED_VALUE"""),1.0)</f>
        <v>1</v>
      </c>
      <c r="N26" t="str">
        <f>IFERROR(__xludf.DUMMYFUNCTION("""COMPUTED_VALUE"""),"3,5 %")</f>
        <v>3,5 %</v>
      </c>
    </row>
    <row r="27">
      <c r="F27" t="str">
        <f>IFERROR(__xludf.DUMMYFUNCTION("""COMPUTED_VALUE"""),"26.")</f>
        <v>26.</v>
      </c>
      <c r="G27" t="str">
        <f>IFERROR(__xludf.DUMMYFUNCTION("""COMPUTED_VALUE"""),"PRC")</f>
        <v>PRC</v>
      </c>
      <c r="H27" t="str">
        <f>IFERROR(__xludf.DUMMYFUNCTION("""COMPUTED_VALUE"""),"Chengdu-Shuangliu")</f>
        <v>Chengdu-Shuangliu</v>
      </c>
      <c r="I27" t="str">
        <f>IFERROR(__xludf.DUMMYFUNCTION("""COMPUTED_VALUE"""),"Shuangliu-Wuhou, Chengdu, Sichuan")</f>
        <v>Shuangliu-Wuhou, Chengdu, Sichuan</v>
      </c>
      <c r="J27" t="str">
        <f>IFERROR(__xludf.DUMMYFUNCTION("""COMPUTED_VALUE"""),"CTU")</f>
        <v>CTU</v>
      </c>
      <c r="K27" t="str">
        <f>IFERROR(__xludf.DUMMYFUNCTION("""COMPUTED_VALUE"""),"ZUUU")</f>
        <v>ZUUU</v>
      </c>
      <c r="L27">
        <f>IFERROR(__xludf.DUMMYFUNCTION("""COMPUTED_VALUE"""),5.295E7)</f>
        <v>52950000</v>
      </c>
      <c r="N27" t="str">
        <f>IFERROR(__xludf.DUMMYFUNCTION("""COMPUTED_VALUE"""),"6,3 %")</f>
        <v>6,3 %</v>
      </c>
    </row>
    <row r="28">
      <c r="F28" t="str">
        <f>IFERROR(__xludf.DUMMYFUNCTION("""COMPUTED_VALUE"""),"27.")</f>
        <v>27.</v>
      </c>
      <c r="G28" t="str">
        <f>IFERROR(__xludf.DUMMYFUNCTION("""COMPUTED_VALUE"""),"ESP")</f>
        <v>ESP</v>
      </c>
      <c r="H28" t="str">
        <f>IFERROR(__xludf.DUMMYFUNCTION("""COMPUTED_VALUE"""),"Barcelone-El Prat")</f>
        <v>Barcelone-El Prat</v>
      </c>
      <c r="I28" t="str">
        <f>IFERROR(__xludf.DUMMYFUNCTION("""COMPUTED_VALUE"""),"Barcelone")</f>
        <v>Barcelone</v>
      </c>
      <c r="J28" t="str">
        <f>IFERROR(__xludf.DUMMYFUNCTION("""COMPUTED_VALUE"""),"BCN")</f>
        <v>BCN</v>
      </c>
      <c r="K28" t="str">
        <f>IFERROR(__xludf.DUMMYFUNCTION("""COMPUTED_VALUE"""),"LEBL")</f>
        <v>LEBL</v>
      </c>
      <c r="L28">
        <f>IFERROR(__xludf.DUMMYFUNCTION("""COMPUTED_VALUE"""),5.0172457E7)</f>
        <v>50172457</v>
      </c>
      <c r="M28">
        <f>IFERROR(__xludf.DUMMYFUNCTION("""COMPUTED_VALUE"""),1.0)</f>
        <v>1</v>
      </c>
      <c r="N28" t="str">
        <f>IFERROR(__xludf.DUMMYFUNCTION("""COMPUTED_VALUE"""),"6,1 %")</f>
        <v>6,1 %</v>
      </c>
    </row>
    <row r="29">
      <c r="F29" t="str">
        <f>IFERROR(__xludf.DUMMYFUNCTION("""COMPUTED_VALUE"""),"28.")</f>
        <v>28.</v>
      </c>
      <c r="G29" t="str">
        <f>IFERROR(__xludf.DUMMYFUNCTION("""COMPUTED_VALUE"""),"IND")</f>
        <v>IND</v>
      </c>
      <c r="H29" t="str">
        <f>IFERROR(__xludf.DUMMYFUNCTION("""COMPUTED_VALUE"""),"Bombay-Chhatrapati-Shivaji")</f>
        <v>Bombay-Chhatrapati-Shivaji</v>
      </c>
      <c r="I29" t="str">
        <f>IFERROR(__xludf.DUMMYFUNCTION("""COMPUTED_VALUE"""),"Bombay, Maharashtra")</f>
        <v>Bombay, Maharashtra</v>
      </c>
      <c r="J29" t="str">
        <f>IFERROR(__xludf.DUMMYFUNCTION("""COMPUTED_VALUE"""),"BOM")</f>
        <v>BOM</v>
      </c>
      <c r="K29" t="str">
        <f>IFERROR(__xludf.DUMMYFUNCTION("""COMPUTED_VALUE"""),"VABB")</f>
        <v>VABB</v>
      </c>
      <c r="L29">
        <f>IFERROR(__xludf.DUMMYFUNCTION("""COMPUTED_VALUE"""),4.9877918E7)</f>
        <v>49877918</v>
      </c>
      <c r="M29">
        <f>IFERROR(__xludf.DUMMYFUNCTION("""COMPUTED_VALUE"""),1.0)</f>
        <v>1</v>
      </c>
      <c r="N29" t="str">
        <f>IFERROR(__xludf.DUMMYFUNCTION("""COMPUTED_VALUE"""),"5,7 %")</f>
        <v>5,7 %</v>
      </c>
    </row>
    <row r="30">
      <c r="F30" t="str">
        <f>IFERROR(__xludf.DUMMYFUNCTION("""COMPUTED_VALUE"""),"29.")</f>
        <v>29.</v>
      </c>
      <c r="G30" t="str">
        <f>IFERROR(__xludf.DUMMYFUNCTION("""COMPUTED_VALUE"""),"USA")</f>
        <v>USA</v>
      </c>
      <c r="H30" t="str">
        <f>IFERROR(__xludf.DUMMYFUNCTION("""COMPUTED_VALUE"""),"Seattle-Tacoma")</f>
        <v>Seattle-Tacoma</v>
      </c>
      <c r="I30" t="str">
        <f>IFERROR(__xludf.DUMMYFUNCTION("""COMPUTED_VALUE"""),"SeaTac, Washington")</f>
        <v>SeaTac, Washington</v>
      </c>
      <c r="J30" t="str">
        <f>IFERROR(__xludf.DUMMYFUNCTION("""COMPUTED_VALUE"""),"SEA")</f>
        <v>SEA</v>
      </c>
      <c r="K30" t="str">
        <f>IFERROR(__xludf.DUMMYFUNCTION("""COMPUTED_VALUE"""),"KSEA")</f>
        <v>KSEA</v>
      </c>
      <c r="L30">
        <f>IFERROR(__xludf.DUMMYFUNCTION("""COMPUTED_VALUE"""),4.984952E7)</f>
        <v>49849520</v>
      </c>
      <c r="M30">
        <f>IFERROR(__xludf.DUMMYFUNCTION("""COMPUTED_VALUE"""),2.0)</f>
        <v>2</v>
      </c>
      <c r="N30" t="str">
        <f>IFERROR(__xludf.DUMMYFUNCTION("""COMPUTED_VALUE"""),"6,2 %")</f>
        <v>6,2 %</v>
      </c>
    </row>
    <row r="31">
      <c r="F31" t="str">
        <f>IFERROR(__xludf.DUMMYFUNCTION("""COMPUTED_VALUE"""),"30.")</f>
        <v>30.</v>
      </c>
      <c r="G31" t="str">
        <f>IFERROR(__xludf.DUMMYFUNCTION("""COMPUTED_VALUE"""),"USA")</f>
        <v>USA</v>
      </c>
      <c r="H31" t="str">
        <f>IFERROR(__xludf.DUMMYFUNCTION("""COMPUTED_VALUE"""),"Las Vegas-Harry-Reid")</f>
        <v>Las Vegas-Harry-Reid</v>
      </c>
      <c r="I31" t="str">
        <f>IFERROR(__xludf.DUMMYFUNCTION("""COMPUTED_VALUE"""),"Las Vegas, Nevada")</f>
        <v>Las Vegas, Nevada</v>
      </c>
      <c r="J31" t="str">
        <f>IFERROR(__xludf.DUMMYFUNCTION("""COMPUTED_VALUE"""),"LAS")</f>
        <v>LAS</v>
      </c>
      <c r="K31" t="str">
        <f>IFERROR(__xludf.DUMMYFUNCTION("""COMPUTED_VALUE"""),"KLAS")</f>
        <v>KLAS</v>
      </c>
      <c r="L31">
        <f>IFERROR(__xludf.DUMMYFUNCTION("""COMPUTED_VALUE"""),4.9716584E7)</f>
        <v>49716584</v>
      </c>
      <c r="M31">
        <f>IFERROR(__xludf.DUMMYFUNCTION("""COMPUTED_VALUE"""),3.0)</f>
        <v>3</v>
      </c>
      <c r="N31" t="str">
        <f>IFERROR(__xludf.DUMMYFUNCTION("""COMPUTED_VALUE"""),"2,4 %")</f>
        <v>2,4 %</v>
      </c>
    </row>
    <row r="32">
      <c r="F32" t="str">
        <f>IFERROR(__xludf.DUMMYFUNCTION("""COMPUTED_VALUE"""),"31.")</f>
        <v>31.</v>
      </c>
      <c r="G32" t="str">
        <f>IFERROR(__xludf.DUMMYFUNCTION("""COMPUTED_VALUE"""),"CAN")</f>
        <v>CAN</v>
      </c>
      <c r="H32" t="str">
        <f>IFERROR(__xludf.DUMMYFUNCTION("""COMPUTED_VALUE"""),"Toronto (Pearson)")</f>
        <v>Toronto (Pearson)</v>
      </c>
      <c r="I32" t="str">
        <f>IFERROR(__xludf.DUMMYFUNCTION("""COMPUTED_VALUE"""),"Mississauga, Ontario")</f>
        <v>Mississauga, Ontario</v>
      </c>
      <c r="J32" t="str">
        <f>IFERROR(__xludf.DUMMYFUNCTION("""COMPUTED_VALUE"""),"YYZ")</f>
        <v>YYZ</v>
      </c>
      <c r="K32" t="str">
        <f>IFERROR(__xludf.DUMMYFUNCTION("""COMPUTED_VALUE"""),"CYYZ")</f>
        <v>CYYZ</v>
      </c>
      <c r="L32">
        <f>IFERROR(__xludf.DUMMYFUNCTION("""COMPUTED_VALUE"""),4.9507418E7)</f>
        <v>49507418</v>
      </c>
      <c r="M32">
        <f>IFERROR(__xludf.DUMMYFUNCTION("""COMPUTED_VALUE"""),1.0)</f>
        <v>1</v>
      </c>
      <c r="N32" t="str">
        <f>IFERROR(__xludf.DUMMYFUNCTION("""COMPUTED_VALUE"""),"5,0 %")</f>
        <v>5,0 %</v>
      </c>
    </row>
    <row r="33">
      <c r="F33" t="str">
        <f>IFERROR(__xludf.DUMMYFUNCTION("""COMPUTED_VALUE"""),"32.")</f>
        <v>32.</v>
      </c>
      <c r="G33" t="str">
        <f>IFERROR(__xludf.DUMMYFUNCTION("""COMPUTED_VALUE"""),"PRC")</f>
        <v>PRC</v>
      </c>
      <c r="H33" t="str">
        <f>IFERROR(__xludf.DUMMYFUNCTION("""COMPUTED_VALUE"""),"Shenzhen-Bao'an")</f>
        <v>Shenzhen-Bao'an</v>
      </c>
      <c r="I33" t="str">
        <f>IFERROR(__xludf.DUMMYFUNCTION("""COMPUTED_VALUE"""),"Bao'an, Shenzhen, Guangdong")</f>
        <v>Bao'an, Shenzhen, Guangdong</v>
      </c>
      <c r="J33" t="str">
        <f>IFERROR(__xludf.DUMMYFUNCTION("""COMPUTED_VALUE"""),"SZX")</f>
        <v>SZX</v>
      </c>
      <c r="K33" t="str">
        <f>IFERROR(__xludf.DUMMYFUNCTION("""COMPUTED_VALUE"""),"ZGSZ")</f>
        <v>ZGSZ</v>
      </c>
      <c r="L33">
        <f>IFERROR(__xludf.DUMMYFUNCTION("""COMPUTED_VALUE"""),4.935E7)</f>
        <v>49350000</v>
      </c>
      <c r="M33">
        <f>IFERROR(__xludf.DUMMYFUNCTION("""COMPUTED_VALUE"""),2.0)</f>
        <v>2</v>
      </c>
      <c r="N33" t="str">
        <f>IFERROR(__xludf.DUMMYFUNCTION("""COMPUTED_VALUE"""),"8,2 %")</f>
        <v>8,2 %</v>
      </c>
    </row>
    <row r="34">
      <c r="F34" t="str">
        <f>IFERROR(__xludf.DUMMYFUNCTION("""COMPUTED_VALUE"""),"33.")</f>
        <v>33.</v>
      </c>
      <c r="G34" t="str">
        <f>IFERROR(__xludf.DUMMYFUNCTION("""COMPUTED_VALUE"""),"MEX")</f>
        <v>MEX</v>
      </c>
      <c r="H34" t="str">
        <f>IFERROR(__xludf.DUMMYFUNCTION("""COMPUTED_VALUE"""),"Mexico-B. Juárez")</f>
        <v>Mexico-B. Juárez</v>
      </c>
      <c r="I34" t="str">
        <f>IFERROR(__xludf.DUMMYFUNCTION("""COMPUTED_VALUE"""),"Venustiano Carranza, Mexico")</f>
        <v>Venustiano Carranza, Mexico</v>
      </c>
      <c r="J34" t="str">
        <f>IFERROR(__xludf.DUMMYFUNCTION("""COMPUTED_VALUE"""),"MEX")</f>
        <v>MEX</v>
      </c>
      <c r="K34" t="str">
        <f>IFERROR(__xludf.DUMMYFUNCTION("""COMPUTED_VALUE"""),"MMMX")</f>
        <v>MMMX</v>
      </c>
      <c r="L34">
        <f>IFERROR(__xludf.DUMMYFUNCTION("""COMPUTED_VALUE"""),4.7700547E7)</f>
        <v>47700547</v>
      </c>
      <c r="M34">
        <f>IFERROR(__xludf.DUMMYFUNCTION("""COMPUTED_VALUE"""),3.0)</f>
        <v>3</v>
      </c>
      <c r="N34" t="str">
        <f>IFERROR(__xludf.DUMMYFUNCTION("""COMPUTED_VALUE"""),"6,6 %")</f>
        <v>6,6 %</v>
      </c>
    </row>
    <row r="35">
      <c r="F35" t="str">
        <f>IFERROR(__xludf.DUMMYFUNCTION("""COMPUTED_VALUE"""),"34.")</f>
        <v>34.</v>
      </c>
      <c r="G35" t="str">
        <f>IFERROR(__xludf.DUMMYFUNCTION("""COMPUTED_VALUE"""),"USA")</f>
        <v>USA</v>
      </c>
      <c r="H35" t="str">
        <f>IFERROR(__xludf.DUMMYFUNCTION("""COMPUTED_VALUE"""),"Orlando")</f>
        <v>Orlando</v>
      </c>
      <c r="I35" t="str">
        <f>IFERROR(__xludf.DUMMYFUNCTION("""COMPUTED_VALUE"""),"Orlando (Floride)")</f>
        <v>Orlando (Floride)</v>
      </c>
      <c r="J35" t="str">
        <f>IFERROR(__xludf.DUMMYFUNCTION("""COMPUTED_VALUE"""),"MCO")</f>
        <v>MCO</v>
      </c>
      <c r="K35" t="str">
        <f>IFERROR(__xludf.DUMMYFUNCTION("""COMPUTED_VALUE"""),"KMCO")</f>
        <v>KMCO</v>
      </c>
      <c r="L35">
        <f>IFERROR(__xludf.DUMMYFUNCTION("""COMPUTED_VALUE"""),4.7696627E7)</f>
        <v>47696627</v>
      </c>
      <c r="M35">
        <f>IFERROR(__xludf.DUMMYFUNCTION("""COMPUTED_VALUE"""),5.0)</f>
        <v>5</v>
      </c>
      <c r="N35" t="str">
        <f>IFERROR(__xludf.DUMMYFUNCTION("""COMPUTED_VALUE"""),"7,2 %")</f>
        <v>7,2 %</v>
      </c>
    </row>
    <row r="36">
      <c r="F36" t="str">
        <f>IFERROR(__xludf.DUMMYFUNCTION("""COMPUTED_VALUE"""),"35.")</f>
        <v>35.</v>
      </c>
      <c r="G36" t="str">
        <f>IFERROR(__xludf.DUMMYFUNCTION("""COMPUTED_VALUE"""),"PRC")</f>
        <v>PRC</v>
      </c>
      <c r="H36" t="str">
        <f>IFERROR(__xludf.DUMMYFUNCTION("""COMPUTED_VALUE"""),"Kunming-Changshui")</f>
        <v>Kunming-Changshui</v>
      </c>
      <c r="I36" t="str">
        <f>IFERROR(__xludf.DUMMYFUNCTION("""COMPUTED_VALUE"""),"Guandu, Kunming, Yunnan")</f>
        <v>Guandu, Kunming, Yunnan</v>
      </c>
      <c r="J36" t="str">
        <f>IFERROR(__xludf.DUMMYFUNCTION("""COMPUTED_VALUE"""),"KMG")</f>
        <v>KMG</v>
      </c>
      <c r="K36" t="str">
        <f>IFERROR(__xludf.DUMMYFUNCTION("""COMPUTED_VALUE"""),"ZPPP")</f>
        <v>ZPPP</v>
      </c>
      <c r="L36">
        <f>IFERROR(__xludf.DUMMYFUNCTION("""COMPUTED_VALUE"""),4.709E7)</f>
        <v>47090000</v>
      </c>
      <c r="M36">
        <f>IFERROR(__xludf.DUMMYFUNCTION("""COMPUTED_VALUE"""),2.0)</f>
        <v>2</v>
      </c>
      <c r="N36" t="str">
        <f>IFERROR(__xludf.DUMMYFUNCTION("""COMPUTED_VALUE"""),"5,3 %")</f>
        <v>5,3 %</v>
      </c>
    </row>
    <row r="37">
      <c r="F37" t="str">
        <f>IFERROR(__xludf.DUMMYFUNCTION("""COMPUTED_VALUE"""),"36.")</f>
        <v>36.</v>
      </c>
      <c r="G37" t="str">
        <f>IFERROR(__xludf.DUMMYFUNCTION("""COMPUTED_VALUE"""),"TWN")</f>
        <v>TWN</v>
      </c>
      <c r="H37" t="str">
        <f>IFERROR(__xludf.DUMMYFUNCTION("""COMPUTED_VALUE"""),"Taïwan-Taoyuan")</f>
        <v>Taïwan-Taoyuan</v>
      </c>
      <c r="I37" t="str">
        <f>IFERROR(__xludf.DUMMYFUNCTION("""COMPUTED_VALUE"""),"Dayuan, Taoyuan")</f>
        <v>Dayuan, Taoyuan</v>
      </c>
      <c r="J37" t="str">
        <f>IFERROR(__xludf.DUMMYFUNCTION("""COMPUTED_VALUE"""),"TPE")</f>
        <v>TPE</v>
      </c>
      <c r="K37" t="str">
        <f>IFERROR(__xludf.DUMMYFUNCTION("""COMPUTED_VALUE"""),"RCTP")</f>
        <v>RCTP</v>
      </c>
      <c r="L37">
        <f>IFERROR(__xludf.DUMMYFUNCTION("""COMPUTED_VALUE"""),4.653518E7)</f>
        <v>46535180</v>
      </c>
      <c r="M37">
        <f>IFERROR(__xludf.DUMMYFUNCTION("""COMPUTED_VALUE"""),1.0)</f>
        <v>1</v>
      </c>
      <c r="N37" t="str">
        <f>IFERROR(__xludf.DUMMYFUNCTION("""COMPUTED_VALUE"""),"3,7 %")</f>
        <v>3,7 %</v>
      </c>
    </row>
    <row r="38">
      <c r="F38" t="str">
        <f>IFERROR(__xludf.DUMMYFUNCTION("""COMPUTED_VALUE"""),"37.")</f>
        <v>37.</v>
      </c>
      <c r="G38" t="str">
        <f>IFERROR(__xludf.DUMMYFUNCTION("""COMPUTED_VALUE"""),"USA")</f>
        <v>USA</v>
      </c>
      <c r="H38" t="str">
        <f>IFERROR(__xludf.DUMMYFUNCTION("""COMPUTED_VALUE"""),"Charlotte-Douglas")</f>
        <v>Charlotte-Douglas</v>
      </c>
      <c r="I38" t="str">
        <f>IFERROR(__xludf.DUMMYFUNCTION("""COMPUTED_VALUE"""),"Charlotte (Caroline du Nord")</f>
        <v>Charlotte (Caroline du Nord</v>
      </c>
      <c r="J38" t="str">
        <f>IFERROR(__xludf.DUMMYFUNCTION("""COMPUTED_VALUE"""),"CLT")</f>
        <v>CLT</v>
      </c>
      <c r="K38" t="str">
        <f>IFERROR(__xludf.DUMMYFUNCTION("""COMPUTED_VALUE"""),"KCLT")</f>
        <v>KCLT</v>
      </c>
      <c r="L38">
        <f>IFERROR(__xludf.DUMMYFUNCTION("""COMPUTED_VALUE"""),4.644438E7)</f>
        <v>46444380</v>
      </c>
      <c r="M38">
        <f>IFERROR(__xludf.DUMMYFUNCTION("""COMPUTED_VALUE"""),5.0)</f>
        <v>5</v>
      </c>
      <c r="N38" t="str">
        <f>IFERROR(__xludf.DUMMYFUNCTION("""COMPUTED_VALUE"""),"1,1 %")</f>
        <v>1,1 %</v>
      </c>
    </row>
    <row r="39">
      <c r="F39" t="str">
        <f>IFERROR(__xludf.DUMMYFUNCTION("""COMPUTED_VALUE"""),"38.")</f>
        <v>38.</v>
      </c>
      <c r="G39" t="str">
        <f>IFERROR(__xludf.DUMMYFUNCTION("""COMPUTED_VALUE"""),"GER")</f>
        <v>GER</v>
      </c>
      <c r="H39" t="str">
        <f>IFERROR(__xludf.DUMMYFUNCTION("""COMPUTED_VALUE"""),"Munich-F. J. Strauß")</f>
        <v>Munich-F. J. Strauß</v>
      </c>
      <c r="I39" t="str">
        <f>IFERROR(__xludf.DUMMYFUNCTION("""COMPUTED_VALUE"""),"Freising, Bavière")</f>
        <v>Freising, Bavière</v>
      </c>
      <c r="J39" t="str">
        <f>IFERROR(__xludf.DUMMYFUNCTION("""COMPUTED_VALUE"""),"MUC")</f>
        <v>MUC</v>
      </c>
      <c r="K39" t="str">
        <f>IFERROR(__xludf.DUMMYFUNCTION("""COMPUTED_VALUE"""),"EDDM")</f>
        <v>EDDM</v>
      </c>
      <c r="L39">
        <f>IFERROR(__xludf.DUMMYFUNCTION("""COMPUTED_VALUE"""),4.6253623E7)</f>
        <v>46253623</v>
      </c>
      <c r="N39" t="str">
        <f>IFERROR(__xludf.DUMMYFUNCTION("""COMPUTED_VALUE"""),"3,8 %")</f>
        <v>3,8 %</v>
      </c>
    </row>
    <row r="40">
      <c r="F40" t="str">
        <f>IFERROR(__xludf.DUMMYFUNCTION("""COMPUTED_VALUE"""),"39.")</f>
        <v>39.</v>
      </c>
      <c r="G40" t="str">
        <f>IFERROR(__xludf.DUMMYFUNCTION("""COMPUTED_VALUE"""),"GBR")</f>
        <v>GBR</v>
      </c>
      <c r="H40" t="str">
        <f>IFERROR(__xludf.DUMMYFUNCTION("""COMPUTED_VALUE"""),"Londres-Gatwick")</f>
        <v>Londres-Gatwick</v>
      </c>
      <c r="I40" t="str">
        <f>IFERROR(__xludf.DUMMYFUNCTION("""COMPUTED_VALUE"""),"Crawley, Sussex de l'Ouest")</f>
        <v>Crawley, Sussex de l'Ouest</v>
      </c>
      <c r="J40" t="str">
        <f>IFERROR(__xludf.DUMMYFUNCTION("""COMPUTED_VALUE"""),"LGW")</f>
        <v>LGW</v>
      </c>
      <c r="K40" t="str">
        <f>IFERROR(__xludf.DUMMYFUNCTION("""COMPUTED_VALUE"""),"EGKK")</f>
        <v>EGKK</v>
      </c>
      <c r="L40">
        <f>IFERROR(__xludf.DUMMYFUNCTION("""COMPUTED_VALUE"""),4.60754E7)</f>
        <v>46075400</v>
      </c>
      <c r="M40">
        <f>IFERROR(__xludf.DUMMYFUNCTION("""COMPUTED_VALUE"""),6.0)</f>
        <v>6</v>
      </c>
      <c r="N40" t="str">
        <f>IFERROR(__xludf.DUMMYFUNCTION("""COMPUTED_VALUE"""),"1,1 %")</f>
        <v>1,1 %</v>
      </c>
    </row>
    <row r="41">
      <c r="F41" t="str">
        <f>IFERROR(__xludf.DUMMYFUNCTION("""COMPUTED_VALUE"""),"40.")</f>
        <v>40.</v>
      </c>
      <c r="G41" t="str">
        <f>IFERROR(__xludf.DUMMYFUNCTION("""COMPUTED_VALUE"""),"USA")</f>
        <v>USA</v>
      </c>
      <c r="H41" t="str">
        <f>IFERROR(__xludf.DUMMYFUNCTION("""COMPUTED_VALUE"""),"Newark-Liberty")</f>
        <v>Newark-Liberty</v>
      </c>
      <c r="I41" t="str">
        <f>IFERROR(__xludf.DUMMYFUNCTION("""COMPUTED_VALUE"""),"Newark (New Jersey)")</f>
        <v>Newark (New Jersey)</v>
      </c>
      <c r="J41" t="str">
        <f>IFERROR(__xludf.DUMMYFUNCTION("""COMPUTED_VALUE"""),"EWR")</f>
        <v>EWR</v>
      </c>
      <c r="K41" t="str">
        <f>IFERROR(__xludf.DUMMYFUNCTION("""COMPUTED_VALUE"""),"KEWR")</f>
        <v>KEWR</v>
      </c>
      <c r="L41">
        <f>IFERROR(__xludf.DUMMYFUNCTION("""COMPUTED_VALUE"""),4.6065175E7)</f>
        <v>46065175</v>
      </c>
      <c r="M41">
        <f>IFERROR(__xludf.DUMMYFUNCTION("""COMPUTED_VALUE"""),3.0)</f>
        <v>3</v>
      </c>
      <c r="N41" t="str">
        <f>IFERROR(__xludf.DUMMYFUNCTION("""COMPUTED_VALUE"""),"6,2 %")</f>
        <v>6,2 %</v>
      </c>
    </row>
    <row r="42">
      <c r="F42" t="str">
        <f>IFERROR(__xludf.DUMMYFUNCTION("""COMPUTED_VALUE"""),"41.")</f>
        <v>41.</v>
      </c>
      <c r="G42" t="str">
        <f>IFERROR(__xludf.DUMMYFUNCTION("""COMPUTED_VALUE"""),"RUS")</f>
        <v>RUS</v>
      </c>
      <c r="H42" t="str">
        <f>IFERROR(__xludf.DUMMYFUNCTION("""COMPUTED_VALUE"""),"Moscou Chérémétiévo")</f>
        <v>Moscou Chérémétiévo</v>
      </c>
      <c r="I42" t="str">
        <f>IFERROR(__xludf.DUMMYFUNCTION("""COMPUTED_VALUE"""),"Khimki, oblast de Moscou")</f>
        <v>Khimki, oblast de Moscou</v>
      </c>
      <c r="J42" t="str">
        <f>IFERROR(__xludf.DUMMYFUNCTION("""COMPUTED_VALUE"""),"SVO")</f>
        <v>SVO</v>
      </c>
      <c r="K42" t="str">
        <f>IFERROR(__xludf.DUMMYFUNCTION("""COMPUTED_VALUE"""),"UUEE")</f>
        <v>UUEE</v>
      </c>
      <c r="L42">
        <f>IFERROR(__xludf.DUMMYFUNCTION("""COMPUTED_VALUE"""),4.5836E7)</f>
        <v>45836000</v>
      </c>
      <c r="M42">
        <f>IFERROR(__xludf.DUMMYFUNCTION("""COMPUTED_VALUE"""),9.0)</f>
        <v>9</v>
      </c>
      <c r="N42" t="str">
        <f>IFERROR(__xludf.DUMMYFUNCTION("""COMPUTED_VALUE"""),"14,3 %")</f>
        <v>14,3 %</v>
      </c>
    </row>
    <row r="43">
      <c r="F43" t="str">
        <f>IFERROR(__xludf.DUMMYFUNCTION("""COMPUTED_VALUE"""),"42.")</f>
        <v>42.</v>
      </c>
      <c r="G43" t="str">
        <f>IFERROR(__xludf.DUMMYFUNCTION("""COMPUTED_VALUE"""),"PHL")</f>
        <v>PHL</v>
      </c>
      <c r="H43" t="str">
        <f>IFERROR(__xludf.DUMMYFUNCTION("""COMPUTED_VALUE"""),"Manille-N. Aquino")</f>
        <v>Manille-N. Aquino</v>
      </c>
      <c r="I43" t="str">
        <f>IFERROR(__xludf.DUMMYFUNCTION("""COMPUTED_VALUE"""),"Pasay, Parañaque, Metro Manila")</f>
        <v>Pasay, Parañaque, Metro Manila</v>
      </c>
      <c r="J43" t="str">
        <f>IFERROR(__xludf.DUMMYFUNCTION("""COMPUTED_VALUE"""),"MNL")</f>
        <v>MNL</v>
      </c>
      <c r="K43" t="str">
        <f>IFERROR(__xludf.DUMMYFUNCTION("""COMPUTED_VALUE"""),"RPLL")</f>
        <v>RPLL</v>
      </c>
      <c r="L43">
        <f>IFERROR(__xludf.DUMMYFUNCTION("""COMPUTED_VALUE"""),4.5082544E7)</f>
        <v>45082544</v>
      </c>
      <c r="M43">
        <f>IFERROR(__xludf.DUMMYFUNCTION("""COMPUTED_VALUE"""),2.0)</f>
        <v>2</v>
      </c>
      <c r="N43" t="str">
        <f>IFERROR(__xludf.DUMMYFUNCTION("""COMPUTED_VALUE"""),"6,7 %")</f>
        <v>6,7 %</v>
      </c>
    </row>
    <row r="44">
      <c r="F44" t="str">
        <f>IFERROR(__xludf.DUMMYFUNCTION("""COMPUTED_VALUE"""),"43.")</f>
        <v>43.</v>
      </c>
      <c r="G44" t="str">
        <f>IFERROR(__xludf.DUMMYFUNCTION("""COMPUTED_VALUE"""),"USA")</f>
        <v>USA</v>
      </c>
      <c r="H44" t="str">
        <f>IFERROR(__xludf.DUMMYFUNCTION("""COMPUTED_VALUE"""),"Miami")</f>
        <v>Miami</v>
      </c>
      <c r="I44" t="str">
        <f>IFERROR(__xludf.DUMMYFUNCTION("""COMPUTED_VALUE"""),"Miami-Dade County (Floride)")</f>
        <v>Miami-Dade County (Floride)</v>
      </c>
      <c r="J44" t="str">
        <f>IFERROR(__xludf.DUMMYFUNCTION("""COMPUTED_VALUE"""),"MIA")</f>
        <v>MIA</v>
      </c>
      <c r="K44" t="str">
        <f>IFERROR(__xludf.DUMMYFUNCTION("""COMPUTED_VALUE"""),"KMIA")</f>
        <v>KMIA</v>
      </c>
      <c r="L44">
        <f>IFERROR(__xludf.DUMMYFUNCTION("""COMPUTED_VALUE"""),4.5044312E7)</f>
        <v>45044312</v>
      </c>
      <c r="M44">
        <f>IFERROR(__xludf.DUMMYFUNCTION("""COMPUTED_VALUE"""),3.0)</f>
        <v>3</v>
      </c>
      <c r="N44" t="str">
        <f>IFERROR(__xludf.DUMMYFUNCTION("""COMPUTED_VALUE"""),"2,1 %")</f>
        <v>2,1 %</v>
      </c>
    </row>
    <row r="45">
      <c r="F45" t="str">
        <f>IFERROR(__xludf.DUMMYFUNCTION("""COMPUTED_VALUE"""),"44.")</f>
        <v>44.</v>
      </c>
      <c r="G45" t="str">
        <f>IFERROR(__xludf.DUMMYFUNCTION("""COMPUTED_VALUE"""),"USA")</f>
        <v>USA</v>
      </c>
      <c r="H45" t="str">
        <f>IFERROR(__xludf.DUMMYFUNCTION("""COMPUTED_VALUE"""),"Phoenix-Sky Harbor")</f>
        <v>Phoenix-Sky Harbor</v>
      </c>
      <c r="I45" t="str">
        <f>IFERROR(__xludf.DUMMYFUNCTION("""COMPUTED_VALUE"""),"Phoenix (Arizona)")</f>
        <v>Phoenix (Arizona)</v>
      </c>
      <c r="J45" t="str">
        <f>IFERROR(__xludf.DUMMYFUNCTION("""COMPUTED_VALUE"""),"PHX")</f>
        <v>PHX</v>
      </c>
      <c r="K45" t="str">
        <f>IFERROR(__xludf.DUMMYFUNCTION("""COMPUTED_VALUE"""),"KPHX")</f>
        <v>KPHX</v>
      </c>
      <c r="L45">
        <f>IFERROR(__xludf.DUMMYFUNCTION("""COMPUTED_VALUE"""),4.4943686E7)</f>
        <v>44943686</v>
      </c>
      <c r="M45">
        <f>IFERROR(__xludf.DUMMYFUNCTION("""COMPUTED_VALUE"""),3.0)</f>
        <v>3</v>
      </c>
      <c r="N45" t="str">
        <f>IFERROR(__xludf.DUMMYFUNCTION("""COMPUTED_VALUE"""),"2,2 %")</f>
        <v>2,2 %</v>
      </c>
    </row>
    <row r="46">
      <c r="F46" t="str">
        <f>IFERROR(__xludf.DUMMYFUNCTION("""COMPUTED_VALUE"""),"45.")</f>
        <v>45.</v>
      </c>
      <c r="G46" t="str">
        <f>IFERROR(__xludf.DUMMYFUNCTION("""COMPUTED_VALUE"""),"PRC")</f>
        <v>PRC</v>
      </c>
      <c r="H46" t="str">
        <f>IFERROR(__xludf.DUMMYFUNCTION("""COMPUTED_VALUE"""),"Xi'an-Xianyang")</f>
        <v>Xi'an-Xianyang</v>
      </c>
      <c r="I46" t="str">
        <f>IFERROR(__xludf.DUMMYFUNCTION("""COMPUTED_VALUE"""),"Weicheng, Xianyang, Shaanxi")</f>
        <v>Weicheng, Xianyang, Shaanxi</v>
      </c>
      <c r="J46" t="str">
        <f>IFERROR(__xludf.DUMMYFUNCTION("""COMPUTED_VALUE"""),"XIY")</f>
        <v>XIY</v>
      </c>
      <c r="K46" t="str">
        <f>IFERROR(__xludf.DUMMYFUNCTION("""COMPUTED_VALUE"""),"ZLXY")</f>
        <v>ZLXY</v>
      </c>
      <c r="L46">
        <f>IFERROR(__xludf.DUMMYFUNCTION("""COMPUTED_VALUE"""),4.4653311E7)</f>
        <v>44653311</v>
      </c>
      <c r="M46">
        <f>IFERROR(__xludf.DUMMYFUNCTION("""COMPUTED_VALUE"""),1.0)</f>
        <v>1</v>
      </c>
      <c r="N46" t="str">
        <f>IFERROR(__xludf.DUMMYFUNCTION("""COMPUTED_VALUE"""),"6,2 %")</f>
        <v>6,2 %</v>
      </c>
    </row>
    <row r="47">
      <c r="F47" t="str">
        <f>IFERROR(__xludf.DUMMYFUNCTION("""COMPUTED_VALUE"""),"46.")</f>
        <v>46.</v>
      </c>
      <c r="G47" t="str">
        <f>IFERROR(__xludf.DUMMYFUNCTION("""COMPUTED_VALUE"""),"AUS")</f>
        <v>AUS</v>
      </c>
      <c r="H47" t="str">
        <f>IFERROR(__xludf.DUMMYFUNCTION("""COMPUTED_VALUE"""),"Sydney-K. Smith")</f>
        <v>Sydney-K. Smith</v>
      </c>
      <c r="I47" t="str">
        <f>IFERROR(__xludf.DUMMYFUNCTION("""COMPUTED_VALUE"""),"Mascot, New South Wales")</f>
        <v>Mascot, New South Wales</v>
      </c>
      <c r="J47" t="str">
        <f>IFERROR(__xludf.DUMMYFUNCTION("""COMPUTED_VALUE"""),"SYD")</f>
        <v>SYD</v>
      </c>
      <c r="K47" t="str">
        <f>IFERROR(__xludf.DUMMYFUNCTION("""COMPUTED_VALUE"""),"YSSY")</f>
        <v>YSSY</v>
      </c>
      <c r="L47">
        <f>IFERROR(__xludf.DUMMYFUNCTION("""COMPUTED_VALUE"""),4.4389E7)</f>
        <v>44389000</v>
      </c>
      <c r="M47">
        <f>IFERROR(__xludf.DUMMYFUNCTION("""COMPUTED_VALUE"""),4.0)</f>
        <v>4</v>
      </c>
      <c r="N47" t="str">
        <f>IFERROR(__xludf.DUMMYFUNCTION("""COMPUTED_VALUE"""),"5,4 %")</f>
        <v>5,4 %</v>
      </c>
    </row>
    <row r="48">
      <c r="F48" t="str">
        <f>IFERROR(__xludf.DUMMYFUNCTION("""COMPUTED_VALUE"""),"47.")</f>
        <v>47.</v>
      </c>
      <c r="G48" t="str">
        <f>IFERROR(__xludf.DUMMYFUNCTION("""COMPUTED_VALUE"""),"USA")</f>
        <v>USA</v>
      </c>
      <c r="H48" t="str">
        <f>IFERROR(__xludf.DUMMYFUNCTION("""COMPUTED_VALUE"""),"Houston-George Bush")</f>
        <v>Houston-George Bush</v>
      </c>
      <c r="I48" t="str">
        <f>IFERROR(__xludf.DUMMYFUNCTION("""COMPUTED_VALUE"""),"Houston (Texas)")</f>
        <v>Houston (Texas)</v>
      </c>
      <c r="J48" t="str">
        <f>IFERROR(__xludf.DUMMYFUNCTION("""COMPUTED_VALUE"""),"IAH")</f>
        <v>IAH</v>
      </c>
      <c r="K48" t="str">
        <f>IFERROR(__xludf.DUMMYFUNCTION("""COMPUTED_VALUE"""),"KIAH")</f>
        <v>KIAH</v>
      </c>
      <c r="L48">
        <f>IFERROR(__xludf.DUMMYFUNCTION("""COMPUTED_VALUE"""),4.3807539E7)</f>
        <v>43807539</v>
      </c>
      <c r="M48">
        <f>IFERROR(__xludf.DUMMYFUNCTION("""COMPUTED_VALUE"""),1.0)</f>
        <v>1</v>
      </c>
      <c r="N48" t="str">
        <f>IFERROR(__xludf.DUMMYFUNCTION("""COMPUTED_VALUE"""),"7,6 %")</f>
        <v>7,6 %</v>
      </c>
    </row>
    <row r="49">
      <c r="F49" t="str">
        <f>IFERROR(__xludf.DUMMYFUNCTION("""COMPUTED_VALUE"""),"48.")</f>
        <v>48.</v>
      </c>
      <c r="G49" t="str">
        <f>IFERROR(__xludf.DUMMYFUNCTION("""COMPUTED_VALUE"""),"PRC")</f>
        <v>PRC</v>
      </c>
      <c r="H49" t="str">
        <f>IFERROR(__xludf.DUMMYFUNCTION("""COMPUTED_VALUE"""),"Shanghai-Hongqiao")</f>
        <v>Shanghai-Hongqiao</v>
      </c>
      <c r="I49" t="str">
        <f>IFERROR(__xludf.DUMMYFUNCTION("""COMPUTED_VALUE"""),"Changning-Minhang, Shanghai")</f>
        <v>Changning-Minhang, Shanghai</v>
      </c>
      <c r="J49" t="str">
        <f>IFERROR(__xludf.DUMMYFUNCTION("""COMPUTED_VALUE"""),"SHA")</f>
        <v>SHA</v>
      </c>
      <c r="K49" t="str">
        <f>IFERROR(__xludf.DUMMYFUNCTION("""COMPUTED_VALUE"""),"ZSSS")</f>
        <v>ZSSS</v>
      </c>
      <c r="L49">
        <f>IFERROR(__xludf.DUMMYFUNCTION("""COMPUTED_VALUE"""),4.363E7)</f>
        <v>43630000</v>
      </c>
      <c r="M49">
        <f>IFERROR(__xludf.DUMMYFUNCTION("""COMPUTED_VALUE"""),2.0)</f>
        <v>2</v>
      </c>
      <c r="N49" t="str">
        <f>IFERROR(__xludf.DUMMYFUNCTION("""COMPUTED_VALUE"""),"4,2 %")</f>
        <v>4,2 %</v>
      </c>
    </row>
    <row r="50">
      <c r="F50" t="str">
        <f>IFERROR(__xludf.DUMMYFUNCTION("""COMPUTED_VALUE"""),"49.")</f>
        <v>49.</v>
      </c>
      <c r="G50" t="str">
        <f>IFERROR(__xludf.DUMMYFUNCTION("""COMPUTED_VALUE"""),"ITA")</f>
        <v>ITA</v>
      </c>
      <c r="H50" t="str">
        <f>IFERROR(__xludf.DUMMYFUNCTION("""COMPUTED_VALUE"""),"Rome Léonard-de-Vinci/Fiumicino")</f>
        <v>Rome Léonard-de-Vinci/Fiumicino</v>
      </c>
      <c r="I50" t="str">
        <f>IFERROR(__xludf.DUMMYFUNCTION("""COMPUTED_VALUE"""),"Rome-Fiumicino, Latium")</f>
        <v>Rome-Fiumicino, Latium</v>
      </c>
      <c r="J50" t="str">
        <f>IFERROR(__xludf.DUMMYFUNCTION("""COMPUTED_VALUE"""),"FCO")</f>
        <v>FCO</v>
      </c>
      <c r="K50" t="str">
        <f>IFERROR(__xludf.DUMMYFUNCTION("""COMPUTED_VALUE"""),"LIRF")</f>
        <v>LIRF</v>
      </c>
      <c r="L50">
        <f>IFERROR(__xludf.DUMMYFUNCTION("""COMPUTED_VALUE"""),4.2995119E7)</f>
        <v>42995119</v>
      </c>
      <c r="M50">
        <f>IFERROR(__xludf.DUMMYFUNCTION("""COMPUTED_VALUE"""),1.0)</f>
        <v>1</v>
      </c>
      <c r="N50" t="str">
        <f>IFERROR(__xludf.DUMMYFUNCTION("""COMPUTED_VALUE"""),"4,9 %")</f>
        <v>4,9 %</v>
      </c>
    </row>
    <row r="51">
      <c r="F51" t="str">
        <f>IFERROR(__xludf.DUMMYFUNCTION("""COMPUTED_VALUE"""),"50.")</f>
        <v>50.</v>
      </c>
      <c r="G51" t="str">
        <f>IFERROR(__xludf.DUMMYFUNCTION("""COMPUTED_VALUE"""),"BRA")</f>
        <v>BRA</v>
      </c>
      <c r="H51" t="str">
        <f>IFERROR(__xludf.DUMMYFUNCTION("""COMPUTED_VALUE"""),"São Paulo/Guarulhos")</f>
        <v>São Paulo/Guarulhos</v>
      </c>
      <c r="I51" t="str">
        <f>IFERROR(__xludf.DUMMYFUNCTION("""COMPUTED_VALUE"""),"Guarulhos (São Paulo)")</f>
        <v>Guarulhos (São Paulo)</v>
      </c>
      <c r="J51" t="str">
        <f>IFERROR(__xludf.DUMMYFUNCTION("""COMPUTED_VALUE"""),"GRU")</f>
        <v>GRU</v>
      </c>
      <c r="K51" t="str">
        <f>IFERROR(__xludf.DUMMYFUNCTION("""COMPUTED_VALUE"""),"SBGR")</f>
        <v>SBGR</v>
      </c>
      <c r="L51">
        <f>IFERROR(__xludf.DUMMYFUNCTION("""COMPUTED_VALUE"""),4.2831981E7)</f>
        <v>42831981</v>
      </c>
      <c r="M51" t="str">
        <f>IFERROR(__xludf.DUMMYFUNCTION("""COMPUTED_VALUE"""),"?")</f>
        <v>?</v>
      </c>
      <c r="N51" t="str">
        <f>IFERROR(__xludf.DUMMYFUNCTION("""COMPUTED_VALUE"""),"13,4 %")</f>
        <v>13,4 %</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3" max="3" width="41.13"/>
  </cols>
  <sheetData>
    <row r="1">
      <c r="A1" t="str">
        <f>IFERROR(__xludf.DUMMYFUNCTION("IMPORTHTML(""https://fr.wikipedia.org/wiki/Liste_des_pays_par_IDH_ajust%C3%A9_selon_les_in%C3%A9galit%C3%A9s"",""table"")"),"Pays")</f>
        <v>Pays</v>
      </c>
      <c r="B1" t="str">
        <f>IFERROR(__xludf.DUMMYFUNCTION("""COMPUTED_VALUE"""),"Revenus des 40 % les plus pauvres")</f>
        <v>Revenus des 40 % les plus pauvres</v>
      </c>
      <c r="C1" t="str">
        <f>IFERROR(__xludf.DUMMYFUNCTION("""COMPUTED_VALUE"""),"Revenus des 10 % les plus riches")</f>
        <v>Revenus des 10 % les plus riches</v>
      </c>
      <c r="D1" t="str">
        <f>IFERROR(__xludf.DUMMYFUNCTION("""COMPUTED_VALUE"""),"Revenus des 1 % les plus riches")</f>
        <v>Revenus des 1 % les plus riches</v>
      </c>
    </row>
    <row r="2">
      <c r="A2" t="str">
        <f>IFERROR(__xludf.DUMMYFUNCTION("""COMPUTED_VALUE"""),"*Monde*")</f>
        <v>*Monde*</v>
      </c>
      <c r="B2" t="str">
        <f>IFERROR(__xludf.DUMMYFUNCTION("""COMPUTED_VALUE"""),"*18,7 %*")</f>
        <v>*18,7 %*</v>
      </c>
      <c r="C2" t="str">
        <f>IFERROR(__xludf.DUMMYFUNCTION("""COMPUTED_VALUE"""),"*28,6 %*")</f>
        <v>*28,6 %*</v>
      </c>
      <c r="D2" t="str">
        <f>IFERROR(__xludf.DUMMYFUNCTION("""COMPUTED_VALUE"""),"*17,9 %*")</f>
        <v>*17,9 %*</v>
      </c>
    </row>
    <row r="3">
      <c r="A3" t="str">
        <f>IFERROR(__xludf.DUMMYFUNCTION("""COMPUTED_VALUE"""),"Pays-Bas")</f>
        <v>Pays-Bas</v>
      </c>
      <c r="B3" t="str">
        <f>IFERROR(__xludf.DUMMYFUNCTION("""COMPUTED_VALUE"""),"24,0 %")</f>
        <v>24,0 %</v>
      </c>
      <c r="C3" t="str">
        <f>IFERROR(__xludf.DUMMYFUNCTION("""COMPUTED_VALUE"""),"21,4 %")</f>
        <v>21,4 %</v>
      </c>
      <c r="D3" t="str">
        <f>IFERROR(__xludf.DUMMYFUNCTION("""COMPUTED_VALUE"""),"6,8 %")</f>
        <v>6,8 %</v>
      </c>
    </row>
    <row r="4">
      <c r="A4" t="str">
        <f>IFERROR(__xludf.DUMMYFUNCTION("""COMPUTED_VALUE"""),"Macédoine du Nord")</f>
        <v>Macédoine du Nord</v>
      </c>
      <c r="B4" t="str">
        <f>IFERROR(__xludf.DUMMYFUNCTION("""COMPUTED_VALUE"""),"18,1 %")</f>
        <v>18,1 %</v>
      </c>
      <c r="C4" t="str">
        <f>IFERROR(__xludf.DUMMYFUNCTION("""COMPUTED_VALUE"""),"22,9 %")</f>
        <v>22,9 %</v>
      </c>
      <c r="D4" t="str">
        <f>IFERROR(__xludf.DUMMYFUNCTION("""COMPUTED_VALUE"""),"6,9 %")</f>
        <v>6,9 %</v>
      </c>
    </row>
    <row r="5">
      <c r="A5" t="str">
        <f>IFERROR(__xludf.DUMMYFUNCTION("""COMPUTED_VALUE"""),"Islande")</f>
        <v>Islande</v>
      </c>
      <c r="B5" t="str">
        <f>IFERROR(__xludf.DUMMYFUNCTION("""COMPUTED_VALUE"""),"23,9 %")</f>
        <v>23,9 %</v>
      </c>
      <c r="C5" t="str">
        <f>IFERROR(__xludf.DUMMYFUNCTION("""COMPUTED_VALUE"""),"22,0 %")</f>
        <v>22,0 %</v>
      </c>
      <c r="D5" t="str">
        <f>IFERROR(__xludf.DUMMYFUNCTION("""COMPUTED_VALUE"""),"8,0 %")</f>
        <v>8,0 %</v>
      </c>
    </row>
    <row r="6">
      <c r="A6" t="str">
        <f>IFERROR(__xludf.DUMMYFUNCTION("""COMPUTED_VALUE"""),"Slovénie")</f>
        <v>Slovénie</v>
      </c>
      <c r="B6" t="str">
        <f>IFERROR(__xludf.DUMMYFUNCTION("""COMPUTED_VALUE"""),"24,9 %")</f>
        <v>24,9 %</v>
      </c>
      <c r="C6" t="str">
        <f>IFERROR(__xludf.DUMMYFUNCTION("""COMPUTED_VALUE"""),"20,6 %")</f>
        <v>20,6 %</v>
      </c>
      <c r="D6" t="str">
        <f>IFERROR(__xludf.DUMMYFUNCTION("""COMPUTED_VALUE"""),"8,0 %")</f>
        <v>8,0 %</v>
      </c>
    </row>
    <row r="7">
      <c r="A7" t="str">
        <f>IFERROR(__xludf.DUMMYFUNCTION("""COMPUTED_VALUE"""),"Chypre")</f>
        <v>Chypre</v>
      </c>
      <c r="B7" t="str">
        <f>IFERROR(__xludf.DUMMYFUNCTION("""COMPUTED_VALUE"""),"21,4 %")</f>
        <v>21,4 %</v>
      </c>
      <c r="C7" t="str">
        <f>IFERROR(__xludf.DUMMYFUNCTION("""COMPUTED_VALUE"""),"25,7 %")</f>
        <v>25,7 %</v>
      </c>
      <c r="D7" t="str">
        <f>IFERROR(__xludf.DUMMYFUNCTION("""COMPUTED_VALUE"""),"8,4 %")</f>
        <v>8,4 %</v>
      </c>
    </row>
    <row r="8">
      <c r="A8" t="str">
        <f>IFERROR(__xludf.DUMMYFUNCTION("""COMPUTED_VALUE"""),"Belgique")</f>
        <v>Belgique</v>
      </c>
      <c r="B8" t="str">
        <f>IFERROR(__xludf.DUMMYFUNCTION("""COMPUTED_VALUE"""),"23,6 %")</f>
        <v>23,6 %</v>
      </c>
      <c r="C8" t="str">
        <f>IFERROR(__xludf.DUMMYFUNCTION("""COMPUTED_VALUE"""),"21,9 %")</f>
        <v>21,9 %</v>
      </c>
      <c r="D8" t="str">
        <f>IFERROR(__xludf.DUMMYFUNCTION("""COMPUTED_VALUE"""),"8,5 %")</f>
        <v>8,5 %</v>
      </c>
    </row>
    <row r="9">
      <c r="A9" t="str">
        <f>IFERROR(__xludf.DUMMYFUNCTION("""COMPUTED_VALUE"""),"Guinée")</f>
        <v>Guinée</v>
      </c>
      <c r="B9" t="str">
        <f>IFERROR(__xludf.DUMMYFUNCTION("""COMPUTED_VALUE"""),"21,6 %")</f>
        <v>21,6 %</v>
      </c>
      <c r="C9" t="str">
        <f>IFERROR(__xludf.DUMMYFUNCTION("""COMPUTED_VALUE"""),"23,1 %")</f>
        <v>23,1 %</v>
      </c>
      <c r="D9" t="str">
        <f>IFERROR(__xludf.DUMMYFUNCTION("""COMPUTED_VALUE"""),"8,7 %")</f>
        <v>8,7 %</v>
      </c>
    </row>
    <row r="10">
      <c r="A10" t="str">
        <f>IFERROR(__xludf.DUMMYFUNCTION("""COMPUTED_VALUE"""),"Albanie")</f>
        <v>Albanie</v>
      </c>
      <c r="B10" t="str">
        <f>IFERROR(__xludf.DUMMYFUNCTION("""COMPUTED_VALUE"""),"21,6 %")</f>
        <v>21,6 %</v>
      </c>
      <c r="C10" t="str">
        <f>IFERROR(__xludf.DUMMYFUNCTION("""COMPUTED_VALUE"""),"22,8 %")</f>
        <v>22,8 %</v>
      </c>
      <c r="D10" t="str">
        <f>IFERROR(__xludf.DUMMYFUNCTION("""COMPUTED_VALUE"""),"8,9 %")</f>
        <v>8,9 %</v>
      </c>
    </row>
    <row r="11">
      <c r="A11" t="str">
        <f>IFERROR(__xludf.DUMMYFUNCTION("""COMPUTED_VALUE"""),"Malte")</f>
        <v>Malte</v>
      </c>
      <c r="B11" t="str">
        <f>IFERROR(__xludf.DUMMYFUNCTION("""COMPUTED_VALUE"""),"21,0 %")</f>
        <v>21,0 %</v>
      </c>
      <c r="C11" t="str">
        <f>IFERROR(__xludf.DUMMYFUNCTION("""COMPUTED_VALUE"""),"25,1 %")</f>
        <v>25,1 %</v>
      </c>
      <c r="D11" t="str">
        <f>IFERROR(__xludf.DUMMYFUNCTION("""COMPUTED_VALUE"""),"9,0 %")</f>
        <v>9,0 %</v>
      </c>
    </row>
    <row r="12">
      <c r="A12" t="str">
        <f>IFERROR(__xludf.DUMMYFUNCTION("""COMPUTED_VALUE"""),"Croatie")</f>
        <v>Croatie</v>
      </c>
      <c r="B12" t="str">
        <f>IFERROR(__xludf.DUMMYFUNCTION("""COMPUTED_VALUE"""),"21,8 %")</f>
        <v>21,8 %</v>
      </c>
      <c r="C12" t="str">
        <f>IFERROR(__xludf.DUMMYFUNCTION("""COMPUTED_VALUE"""),"22,3 %")</f>
        <v>22,3 %</v>
      </c>
      <c r="D12" t="str">
        <f>IFERROR(__xludf.DUMMYFUNCTION("""COMPUTED_VALUE"""),"9,0 %")</f>
        <v>9,0 %</v>
      </c>
    </row>
    <row r="13">
      <c r="A13" t="str">
        <f>IFERROR(__xludf.DUMMYFUNCTION("""COMPUTED_VALUE"""),"Slovaquie")</f>
        <v>Slovaquie</v>
      </c>
      <c r="B13" t="str">
        <f>IFERROR(__xludf.DUMMYFUNCTION("""COMPUTED_VALUE"""),"24,3 %")</f>
        <v>24,3 %</v>
      </c>
      <c r="C13" t="str">
        <f>IFERROR(__xludf.DUMMYFUNCTION("""COMPUTED_VALUE"""),"19,1 %")</f>
        <v>19,1 %</v>
      </c>
      <c r="D13" t="str">
        <f>IFERROR(__xludf.DUMMYFUNCTION("""COMPUTED_VALUE"""),"9,2 %")</f>
        <v>9,2 %</v>
      </c>
    </row>
    <row r="14">
      <c r="A14" t="str">
        <f>IFERROR(__xludf.DUMMYFUNCTION("""COMPUTED_VALUE"""),"Bosnie-Herzégovine")</f>
        <v>Bosnie-Herzégovine</v>
      </c>
      <c r="B14" t="str">
        <f>IFERROR(__xludf.DUMMYFUNCTION("""COMPUTED_VALUE"""),"19,8 %")</f>
        <v>19,8 %</v>
      </c>
      <c r="C14" t="str">
        <f>IFERROR(__xludf.DUMMYFUNCTION("""COMPUTED_VALUE"""),"25,1 %")</f>
        <v>25,1 %</v>
      </c>
      <c r="D14" t="str">
        <f>IFERROR(__xludf.DUMMYFUNCTION("""COMPUTED_VALUE"""),"9,3 %")</f>
        <v>9,3 %</v>
      </c>
    </row>
    <row r="15">
      <c r="A15" t="str">
        <f>IFERROR(__xludf.DUMMYFUNCTION("""COMPUTED_VALUE"""),"Ukraine")</f>
        <v>Ukraine</v>
      </c>
      <c r="B15" t="str">
        <f>IFERROR(__xludf.DUMMYFUNCTION("""COMPUTED_VALUE"""),"24,3 %")</f>
        <v>24,3 %</v>
      </c>
      <c r="C15" t="str">
        <f>IFERROR(__xludf.DUMMYFUNCTION("""COMPUTED_VALUE"""),"21,7 %")</f>
        <v>21,7 %</v>
      </c>
      <c r="D15" t="str">
        <f>IFERROR(__xludf.DUMMYFUNCTION("""COMPUTED_VALUE"""),"9,3 %")</f>
        <v>9,3 %</v>
      </c>
    </row>
    <row r="16">
      <c r="A16" t="str">
        <f>IFERROR(__xludf.DUMMYFUNCTION("""COMPUTED_VALUE"""),"Norvège")</f>
        <v>Norvège</v>
      </c>
      <c r="B16" t="str">
        <f>IFERROR(__xludf.DUMMYFUNCTION("""COMPUTED_VALUE"""),"22,9 %")</f>
        <v>22,9 %</v>
      </c>
      <c r="C16" t="str">
        <f>IFERROR(__xludf.DUMMYFUNCTION("""COMPUTED_VALUE"""),"22,4 %")</f>
        <v>22,4 %</v>
      </c>
      <c r="D16" t="str">
        <f>IFERROR(__xludf.DUMMYFUNCTION("""COMPUTED_VALUE"""),"9,3 %")</f>
        <v>9,3 %</v>
      </c>
    </row>
    <row r="17">
      <c r="A17" t="str">
        <f>IFERROR(__xludf.DUMMYFUNCTION("""COMPUTED_VALUE"""),"Lituanie")</f>
        <v>Lituanie</v>
      </c>
      <c r="B17" t="str">
        <f>IFERROR(__xludf.DUMMYFUNCTION("""COMPUTED_VALUE"""),"18,7 %")</f>
        <v>18,7 %</v>
      </c>
      <c r="C17" t="str">
        <f>IFERROR(__xludf.DUMMYFUNCTION("""COMPUTED_VALUE"""),"29,1 %")</f>
        <v>29,1 %</v>
      </c>
      <c r="D17" t="str">
        <f>IFERROR(__xludf.DUMMYFUNCTION("""COMPUTED_VALUE"""),"9,6 %")</f>
        <v>9,6 %</v>
      </c>
    </row>
    <row r="18">
      <c r="A18" t="str">
        <f>IFERROR(__xludf.DUMMYFUNCTION("""COMPUTED_VALUE"""),"Biélorussie")</f>
        <v>Biélorussie</v>
      </c>
      <c r="B18" t="str">
        <f>IFERROR(__xludf.DUMMYFUNCTION("""COMPUTED_VALUE"""),"24,8 %")</f>
        <v>24,8 %</v>
      </c>
      <c r="C18" t="str">
        <f>IFERROR(__xludf.DUMMYFUNCTION("""COMPUTED_VALUE"""),"20,7 %")</f>
        <v>20,7 %</v>
      </c>
      <c r="D18" t="str">
        <f>IFERROR(__xludf.DUMMYFUNCTION("""COMPUTED_VALUE"""),"9,6 %")</f>
        <v>9,6 %</v>
      </c>
    </row>
    <row r="19">
      <c r="A19" t="str">
        <f>IFERROR(__xludf.DUMMYFUNCTION("""COMPUTED_VALUE"""),"Portugal")</f>
        <v>Portugal</v>
      </c>
      <c r="B19" t="str">
        <f>IFERROR(__xludf.DUMMYFUNCTION("""COMPUTED_VALUE"""),"19,6 %")</f>
        <v>19,6 %</v>
      </c>
      <c r="C19" t="str">
        <f>IFERROR(__xludf.DUMMYFUNCTION("""COMPUTED_VALUE"""),"27,5 %")</f>
        <v>27,5 %</v>
      </c>
      <c r="D19" t="str">
        <f>IFERROR(__xludf.DUMMYFUNCTION("""COMPUTED_VALUE"""),"9,7 %")</f>
        <v>9,7 %</v>
      </c>
    </row>
    <row r="20">
      <c r="A20" t="str">
        <f>IFERROR(__xludf.DUMMYFUNCTION("""COMPUTED_VALUE"""),"Tchéquie")</f>
        <v>Tchéquie</v>
      </c>
      <c r="B20" t="str">
        <f>IFERROR(__xludf.DUMMYFUNCTION("""COMPUTED_VALUE"""),"24,1 %")</f>
        <v>24,1 %</v>
      </c>
      <c r="C20" t="str">
        <f>IFERROR(__xludf.DUMMYFUNCTION("""COMPUTED_VALUE"""),"22,2 %")</f>
        <v>22,2 %</v>
      </c>
      <c r="D20" t="str">
        <f>IFERROR(__xludf.DUMMYFUNCTION("""COMPUTED_VALUE"""),"9,7 %")</f>
        <v>9,7 %</v>
      </c>
    </row>
    <row r="21">
      <c r="A21" t="str">
        <f>IFERROR(__xludf.DUMMYFUNCTION("""COMPUTED_VALUE"""),"Suisse")</f>
        <v>Suisse</v>
      </c>
      <c r="B21" t="str">
        <f>IFERROR(__xludf.DUMMYFUNCTION("""COMPUTED_VALUE"""),"19,7 %")</f>
        <v>19,7 %</v>
      </c>
      <c r="C21" t="str">
        <f>IFERROR(__xludf.DUMMYFUNCTION("""COMPUTED_VALUE"""),"26,4 %")</f>
        <v>26,4 %</v>
      </c>
      <c r="D21" t="str">
        <f>IFERROR(__xludf.DUMMYFUNCTION("""COMPUTED_VALUE"""),"9,8 %")</f>
        <v>9,8 %</v>
      </c>
    </row>
    <row r="22">
      <c r="A22" t="str">
        <f>IFERROR(__xludf.DUMMYFUNCTION("""COMPUTED_VALUE"""),"Hongrie")</f>
        <v>Hongrie</v>
      </c>
      <c r="B22" t="str">
        <f>IFERROR(__xludf.DUMMYFUNCTION("""COMPUTED_VALUE"""),"22,2 %")</f>
        <v>22,2 %</v>
      </c>
      <c r="C22" t="str">
        <f>IFERROR(__xludf.DUMMYFUNCTION("""COMPUTED_VALUE"""),"24,1 %")</f>
        <v>24,1 %</v>
      </c>
      <c r="D22" t="str">
        <f>IFERROR(__xludf.DUMMYFUNCTION("""COMPUTED_VALUE"""),"9,8 %")</f>
        <v>9,8 %</v>
      </c>
    </row>
    <row r="23">
      <c r="A23" t="str">
        <f>IFERROR(__xludf.DUMMYFUNCTION("""COMPUTED_VALUE"""),"Monténégro")</f>
        <v>Monténégro</v>
      </c>
      <c r="B23" t="str">
        <f>IFERROR(__xludf.DUMMYFUNCTION("""COMPUTED_VALUE"""),"18,3 %")</f>
        <v>18,3 %</v>
      </c>
      <c r="C23" t="str">
        <f>IFERROR(__xludf.DUMMYFUNCTION("""COMPUTED_VALUE"""),"24,7 %")</f>
        <v>24,7 %</v>
      </c>
      <c r="D23" t="str">
        <f>IFERROR(__xludf.DUMMYFUNCTION("""COMPUTED_VALUE"""),"9,9 %")</f>
        <v>9,9 %</v>
      </c>
    </row>
    <row r="24">
      <c r="A24" t="str">
        <f>IFERROR(__xludf.DUMMYFUNCTION("""COMPUTED_VALUE"""),"Australie")</f>
        <v>Australie</v>
      </c>
      <c r="B24" t="str">
        <f>IFERROR(__xludf.DUMMYFUNCTION("""COMPUTED_VALUE"""),"19,6 %")</f>
        <v>19,6 %</v>
      </c>
      <c r="C24" t="str">
        <f>IFERROR(__xludf.DUMMYFUNCTION("""COMPUTED_VALUE"""),"26,2 %")</f>
        <v>26,2 %</v>
      </c>
      <c r="D24" t="str">
        <f>IFERROR(__xludf.DUMMYFUNCTION("""COMPUTED_VALUE"""),"9,9 %")</f>
        <v>9,9 %</v>
      </c>
    </row>
    <row r="25">
      <c r="A25" t="str">
        <f>IFERROR(__xludf.DUMMYFUNCTION("""COMPUTED_VALUE"""),"Mauritanie")</f>
        <v>Mauritanie</v>
      </c>
      <c r="B25" t="str">
        <f>IFERROR(__xludf.DUMMYFUNCTION("""COMPUTED_VALUE"""),"20,3 %")</f>
        <v>20,3 %</v>
      </c>
      <c r="C25" t="str">
        <f>IFERROR(__xludf.DUMMYFUNCTION("""COMPUTED_VALUE"""),"24,6 %")</f>
        <v>24,6 %</v>
      </c>
      <c r="D25" t="str">
        <f>IFERROR(__xludf.DUMMYFUNCTION("""COMPUTED_VALUE"""),"10,0 %")</f>
        <v>10,0 %</v>
      </c>
    </row>
    <row r="26">
      <c r="A26" t="str">
        <f>IFERROR(__xludf.DUMMYFUNCTION("""COMPUTED_VALUE"""),"Moldavie")</f>
        <v>Moldavie</v>
      </c>
      <c r="B26" t="str">
        <f>IFERROR(__xludf.DUMMYFUNCTION("""COMPUTED_VALUE"""),"24,3 %")</f>
        <v>24,3 %</v>
      </c>
      <c r="C26" t="str">
        <f>IFERROR(__xludf.DUMMYFUNCTION("""COMPUTED_VALUE"""),"22,1 %")</f>
        <v>22,1 %</v>
      </c>
      <c r="D26" t="str">
        <f>IFERROR(__xludf.DUMMYFUNCTION("""COMPUTED_VALUE"""),"10,4 %")</f>
        <v>10,4 %</v>
      </c>
    </row>
    <row r="27">
      <c r="A27" t="str">
        <f>IFERROR(__xludf.DUMMYFUNCTION("""COMPUTED_VALUE"""),"Lettonie")</f>
        <v>Lettonie</v>
      </c>
      <c r="B27" t="str">
        <f>IFERROR(__xludf.DUMMYFUNCTION("""COMPUTED_VALUE"""),"19,2 %")</f>
        <v>19,2 %</v>
      </c>
      <c r="C27" t="str">
        <f>IFERROR(__xludf.DUMMYFUNCTION("""COMPUTED_VALUE"""),"26,2 %")</f>
        <v>26,2 %</v>
      </c>
      <c r="D27" t="str">
        <f>IFERROR(__xludf.DUMMYFUNCTION("""COMPUTED_VALUE"""),"10,7 %")</f>
        <v>10,7 %</v>
      </c>
    </row>
    <row r="28">
      <c r="A28" t="str">
        <f>IFERROR(__xludf.DUMMYFUNCTION("""COMPUTED_VALUE"""),"Suède")</f>
        <v>Suède</v>
      </c>
      <c r="B28" t="str">
        <f>IFERROR(__xludf.DUMMYFUNCTION("""COMPUTED_VALUE"""),"21,5 %")</f>
        <v>21,5 %</v>
      </c>
      <c r="C28" t="str">
        <f>IFERROR(__xludf.DUMMYFUNCTION("""COMPUTED_VALUE"""),"22,7 %")</f>
        <v>22,7 %</v>
      </c>
      <c r="D28" t="str">
        <f>IFERROR(__xludf.DUMMYFUNCTION("""COMPUTED_VALUE"""),"10,9 %")</f>
        <v>10,9 %</v>
      </c>
    </row>
    <row r="29">
      <c r="A29" t="str">
        <f>IFERROR(__xludf.DUMMYFUNCTION("""COMPUTED_VALUE"""),"Gabon")</f>
        <v>Gabon</v>
      </c>
      <c r="B29" t="str">
        <f>IFERROR(__xludf.DUMMYFUNCTION("""COMPUTED_VALUE"""),"16,8 %")</f>
        <v>16,8 %</v>
      </c>
      <c r="C29" t="str">
        <f>IFERROR(__xludf.DUMMYFUNCTION("""COMPUTED_VALUE"""),"27,7 %")</f>
        <v>27,7 %</v>
      </c>
      <c r="D29" t="str">
        <f>IFERROR(__xludf.DUMMYFUNCTION("""COMPUTED_VALUE"""),"11,0 %")</f>
        <v>11,0 %</v>
      </c>
    </row>
    <row r="30">
      <c r="A30" t="str">
        <f>IFERROR(__xludf.DUMMYFUNCTION("""COMPUTED_VALUE"""),"Guinée-Bissau")</f>
        <v>Guinée-Bissau</v>
      </c>
      <c r="B30" t="str">
        <f>IFERROR(__xludf.DUMMYFUNCTION("""COMPUTED_VALUE"""),"19,8 %")</f>
        <v>19,8 %</v>
      </c>
      <c r="C30" t="str">
        <f>IFERROR(__xludf.DUMMYFUNCTION("""COMPUTED_VALUE"""),"26,1 %")</f>
        <v>26,1 %</v>
      </c>
      <c r="D30" t="str">
        <f>IFERROR(__xludf.DUMMYFUNCTION("""COMPUTED_VALUE"""),"11,0 %")</f>
        <v>11,0 %</v>
      </c>
    </row>
    <row r="31">
      <c r="A31" t="str">
        <f>IFERROR(__xludf.DUMMYFUNCTION("""COMPUTED_VALUE"""),"Finlande")</f>
        <v>Finlande</v>
      </c>
      <c r="B31" t="str">
        <f>IFERROR(__xludf.DUMMYFUNCTION("""COMPUTED_VALUE"""),"23,2 %")</f>
        <v>23,2 %</v>
      </c>
      <c r="C31" t="str">
        <f>IFERROR(__xludf.DUMMYFUNCTION("""COMPUTED_VALUE"""),"22,9 %")</f>
        <v>22,9 %</v>
      </c>
      <c r="D31" t="str">
        <f>IFERROR(__xludf.DUMMYFUNCTION("""COMPUTED_VALUE"""),"11,1 %")</f>
        <v>11,1 %</v>
      </c>
    </row>
    <row r="32">
      <c r="A32" t="str">
        <f>IFERROR(__xludf.DUMMYFUNCTION("""COMPUTED_VALUE"""),"Liechtenstein")</f>
        <v>Liechtenstein</v>
      </c>
      <c r="B32" t="str">
        <f>IFERROR(__xludf.DUMMYFUNCTION("""COMPUTED_VALUE"""),"NC")</f>
        <v>NC</v>
      </c>
      <c r="C32" t="str">
        <f>IFERROR(__xludf.DUMMYFUNCTION("""COMPUTED_VALUE"""),"NC")</f>
        <v>NC</v>
      </c>
      <c r="D32" t="str">
        <f>IFERROR(__xludf.DUMMYFUNCTION("""COMPUTED_VALUE"""),"11,5 %")</f>
        <v>11,5 %</v>
      </c>
    </row>
    <row r="33">
      <c r="A33" t="str">
        <f>IFERROR(__xludf.DUMMYFUNCTION("""COMPUTED_VALUE"""),"Saint-Marin")</f>
        <v>Saint-Marin</v>
      </c>
      <c r="B33" t="str">
        <f>IFERROR(__xludf.DUMMYFUNCTION("""COMPUTED_VALUE"""),"NC")</f>
        <v>NC</v>
      </c>
      <c r="C33" t="str">
        <f>IFERROR(__xludf.DUMMYFUNCTION("""COMPUTED_VALUE"""),"NC")</f>
        <v>NC</v>
      </c>
      <c r="D33" t="str">
        <f>IFERROR(__xludf.DUMMYFUNCTION("""COMPUTED_VALUE"""),"11,5 %")</f>
        <v>11,5 %</v>
      </c>
    </row>
    <row r="34">
      <c r="A34" t="str">
        <f>IFERROR(__xludf.DUMMYFUNCTION("""COMPUTED_VALUE"""),"Andorre")</f>
        <v>Andorre</v>
      </c>
      <c r="B34" t="str">
        <f>IFERROR(__xludf.DUMMYFUNCTION("""COMPUTED_VALUE"""),"NC")</f>
        <v>NC</v>
      </c>
      <c r="C34" t="str">
        <f>IFERROR(__xludf.DUMMYFUNCTION("""COMPUTED_VALUE"""),"NC")</f>
        <v>NC</v>
      </c>
      <c r="D34" t="str">
        <f>IFERROR(__xludf.DUMMYFUNCTION("""COMPUTED_VALUE"""),"11,5 %")</f>
        <v>11,5 %</v>
      </c>
    </row>
    <row r="35">
      <c r="A35" t="str">
        <f>IFERROR(__xludf.DUMMYFUNCTION("""COMPUTED_VALUE"""),"Autriche")</f>
        <v>Autriche</v>
      </c>
      <c r="B35" t="str">
        <f>IFERROR(__xludf.DUMMYFUNCTION("""COMPUTED_VALUE"""),"21,0 %")</f>
        <v>21,0 %</v>
      </c>
      <c r="C35" t="str">
        <f>IFERROR(__xludf.DUMMYFUNCTION("""COMPUTED_VALUE"""),"23,8 %")</f>
        <v>23,8 %</v>
      </c>
      <c r="D35" t="str">
        <f>IFERROR(__xludf.DUMMYFUNCTION("""COMPUTED_VALUE"""),"11,5 %")</f>
        <v>11,5 %</v>
      </c>
    </row>
    <row r="36">
      <c r="A36" t="str">
        <f>IFERROR(__xludf.DUMMYFUNCTION("""COMPUTED_VALUE"""),"Nigeria")</f>
        <v>Nigeria</v>
      </c>
      <c r="B36" t="str">
        <f>IFERROR(__xludf.DUMMYFUNCTION("""COMPUTED_VALUE"""),"18,7 %")</f>
        <v>18,7 %</v>
      </c>
      <c r="C36" t="str">
        <f>IFERROR(__xludf.DUMMYFUNCTION("""COMPUTED_VALUE"""),"26,7 %")</f>
        <v>26,7 %</v>
      </c>
      <c r="D36" t="str">
        <f>IFERROR(__xludf.DUMMYFUNCTION("""COMPUTED_VALUE"""),"11,6 %")</f>
        <v>11,6 %</v>
      </c>
    </row>
    <row r="37">
      <c r="A37" t="str">
        <f>IFERROR(__xludf.DUMMYFUNCTION("""COMPUTED_VALUE"""),"Canada")</f>
        <v>Canada</v>
      </c>
      <c r="B37" t="str">
        <f>IFERROR(__xludf.DUMMYFUNCTION("""COMPUTED_VALUE"""),"20,5 %")</f>
        <v>20,5 %</v>
      </c>
      <c r="C37" t="str">
        <f>IFERROR(__xludf.DUMMYFUNCTION("""COMPUTED_VALUE"""),"24,0 %")</f>
        <v>24,0 %</v>
      </c>
      <c r="D37" t="str">
        <f>IFERROR(__xludf.DUMMYFUNCTION("""COMPUTED_VALUE"""),"11,6 %")</f>
        <v>11,6 %</v>
      </c>
    </row>
    <row r="38">
      <c r="A38" t="str">
        <f>IFERROR(__xludf.DUMMYFUNCTION("""COMPUTED_VALUE"""),"Danemark")</f>
        <v>Danemark</v>
      </c>
      <c r="B38" t="str">
        <f>IFERROR(__xludf.DUMMYFUNCTION("""COMPUTED_VALUE"""),"23,1 %")</f>
        <v>23,1 %</v>
      </c>
      <c r="C38" t="str">
        <f>IFERROR(__xludf.DUMMYFUNCTION("""COMPUTED_VALUE"""),"23,8 %")</f>
        <v>23,8 %</v>
      </c>
      <c r="D38" t="str">
        <f>IFERROR(__xludf.DUMMYFUNCTION("""COMPUTED_VALUE"""),"12,0 %")</f>
        <v>12,0 %</v>
      </c>
    </row>
    <row r="39">
      <c r="A39" t="str">
        <f>IFERROR(__xludf.DUMMYFUNCTION("""COMPUTED_VALUE"""),"France")</f>
        <v>France</v>
      </c>
      <c r="B39" t="str">
        <f>IFERROR(__xludf.DUMMYFUNCTION("""COMPUTED_VALUE"""),"20,8 %")</f>
        <v>20,8 %</v>
      </c>
      <c r="C39" t="str">
        <f>IFERROR(__xludf.DUMMYFUNCTION("""COMPUTED_VALUE"""),"24,9 %")</f>
        <v>24,9 %</v>
      </c>
      <c r="D39" t="str">
        <f>IFERROR(__xludf.DUMMYFUNCTION("""COMPUTED_VALUE"""),"12,1 %")</f>
        <v>12,1 %</v>
      </c>
    </row>
    <row r="40">
      <c r="A40" t="str">
        <f>IFERROR(__xludf.DUMMYFUNCTION("""COMPUTED_VALUE"""),"Nouvelle-Zélande")</f>
        <v>Nouvelle-Zélande</v>
      </c>
      <c r="B40" t="str">
        <f>IFERROR(__xludf.DUMMYFUNCTION("""COMPUTED_VALUE"""),"NC")</f>
        <v>NC</v>
      </c>
      <c r="C40" t="str">
        <f>IFERROR(__xludf.DUMMYFUNCTION("""COMPUTED_VALUE"""),"NC")</f>
        <v>NC</v>
      </c>
      <c r="D40" t="str">
        <f>IFERROR(__xludf.DUMMYFUNCTION("""COMPUTED_VALUE"""),"12,1 %")</f>
        <v>12,1 %</v>
      </c>
    </row>
    <row r="41">
      <c r="A41" t="str">
        <f>IFERROR(__xludf.DUMMYFUNCTION("""COMPUTED_VALUE"""),"Espagne")</f>
        <v>Espagne</v>
      </c>
      <c r="B41" t="str">
        <f>IFERROR(__xludf.DUMMYFUNCTION("""COMPUTED_VALUE"""),"18,7 %")</f>
        <v>18,7 %</v>
      </c>
      <c r="C41" t="str">
        <f>IFERROR(__xludf.DUMMYFUNCTION("""COMPUTED_VALUE"""),"24,7 %")</f>
        <v>24,7 %</v>
      </c>
      <c r="D41" t="str">
        <f>IFERROR(__xludf.DUMMYFUNCTION("""COMPUTED_VALUE"""),"12,1 %")</f>
        <v>12,1 %</v>
      </c>
    </row>
    <row r="42">
      <c r="A42" t="str">
        <f>IFERROR(__xludf.DUMMYFUNCTION("""COMPUTED_VALUE"""),"Mali")</f>
        <v>Mali</v>
      </c>
      <c r="B42" t="str">
        <f>IFERROR(__xludf.DUMMYFUNCTION("""COMPUTED_VALUE"""),"19,1 %")</f>
        <v>19,1 %</v>
      </c>
      <c r="C42" t="str">
        <f>IFERROR(__xludf.DUMMYFUNCTION("""COMPUTED_VALUE"""),"28,3 %")</f>
        <v>28,3 %</v>
      </c>
      <c r="D42" t="str">
        <f>IFERROR(__xludf.DUMMYFUNCTION("""COMPUTED_VALUE"""),"12,1 %")</f>
        <v>12,1 %</v>
      </c>
    </row>
    <row r="43">
      <c r="A43" t="str">
        <f>IFERROR(__xludf.DUMMYFUNCTION("""COMPUTED_VALUE"""),"Liberia")</f>
        <v>Liberia</v>
      </c>
      <c r="B43" t="str">
        <f>IFERROR(__xludf.DUMMYFUNCTION("""COMPUTED_VALUE"""),"18,8 %")</f>
        <v>18,8 %</v>
      </c>
      <c r="C43" t="str">
        <f>IFERROR(__xludf.DUMMYFUNCTION("""COMPUTED_VALUE"""),"27,1 %")</f>
        <v>27,1 %</v>
      </c>
      <c r="D43" t="str">
        <f>IFERROR(__xludf.DUMMYFUNCTION("""COMPUTED_VALUE"""),"12,2 %")</f>
        <v>12,2 %</v>
      </c>
    </row>
    <row r="44">
      <c r="A44" t="str">
        <f>IFERROR(__xludf.DUMMYFUNCTION("""COMPUTED_VALUE"""),"Italie")</f>
        <v>Italie</v>
      </c>
      <c r="B44" t="str">
        <f>IFERROR(__xludf.DUMMYFUNCTION("""COMPUTED_VALUE"""),"18,6 %")</f>
        <v>18,6 %</v>
      </c>
      <c r="C44" t="str">
        <f>IFERROR(__xludf.DUMMYFUNCTION("""COMPUTED_VALUE"""),"26,2 %")</f>
        <v>26,2 %</v>
      </c>
      <c r="D44" t="str">
        <f>IFERROR(__xludf.DUMMYFUNCTION("""COMPUTED_VALUE"""),"12,3 %")</f>
        <v>12,3 %</v>
      </c>
    </row>
    <row r="45">
      <c r="A45" t="str">
        <f>IFERROR(__xludf.DUMMYFUNCTION("""COMPUTED_VALUE"""),"Argentine")</f>
        <v>Argentine</v>
      </c>
      <c r="B45" t="str">
        <f>IFERROR(__xludf.DUMMYFUNCTION("""COMPUTED_VALUE"""),"15,5 %")</f>
        <v>15,5 %</v>
      </c>
      <c r="C45" t="str">
        <f>IFERROR(__xludf.DUMMYFUNCTION("""COMPUTED_VALUE"""),"29,8 %")</f>
        <v>29,8 %</v>
      </c>
      <c r="D45" t="str">
        <f>IFERROR(__xludf.DUMMYFUNCTION("""COMPUTED_VALUE"""),"12,4 %")</f>
        <v>12,4 %</v>
      </c>
    </row>
    <row r="46">
      <c r="A46" t="str">
        <f>IFERROR(__xludf.DUMMYFUNCTION("""COMPUTED_VALUE"""),"Serbie")</f>
        <v>Serbie</v>
      </c>
      <c r="B46" t="str">
        <f>IFERROR(__xludf.DUMMYFUNCTION("""COMPUTED_VALUE"""),"20,0 %")</f>
        <v>20,0 %</v>
      </c>
      <c r="C46" t="str">
        <f>IFERROR(__xludf.DUMMYFUNCTION("""COMPUTED_VALUE"""),"25,9 %")</f>
        <v>25,9 %</v>
      </c>
      <c r="D46" t="str">
        <f>IFERROR(__xludf.DUMMYFUNCTION("""COMPUTED_VALUE"""),"12,5 %")</f>
        <v>12,5 %</v>
      </c>
    </row>
    <row r="47">
      <c r="A47" t="str">
        <f>IFERROR(__xludf.DUMMYFUNCTION("""COMPUTED_VALUE"""),"Japon")</f>
        <v>Japon</v>
      </c>
      <c r="B47" t="str">
        <f>IFERROR(__xludf.DUMMYFUNCTION("""COMPUTED_VALUE"""),"20,8 %")</f>
        <v>20,8 %</v>
      </c>
      <c r="C47" t="str">
        <f>IFERROR(__xludf.DUMMYFUNCTION("""COMPUTED_VALUE"""),"26,1 %")</f>
        <v>26,1 %</v>
      </c>
      <c r="D47" t="str">
        <f>IFERROR(__xludf.DUMMYFUNCTION("""COMPUTED_VALUE"""),"12,7 %")</f>
        <v>12,7 %</v>
      </c>
    </row>
    <row r="48">
      <c r="A48" t="str">
        <f>IFERROR(__xludf.DUMMYFUNCTION("""COMPUTED_VALUE"""),"Estonie")</f>
        <v>Estonie</v>
      </c>
      <c r="B48" t="str">
        <f>IFERROR(__xludf.DUMMYFUNCTION("""COMPUTED_VALUE"""),"20,4 %")</f>
        <v>20,4 %</v>
      </c>
      <c r="C48" t="str">
        <f>IFERROR(__xludf.DUMMYFUNCTION("""COMPUTED_VALUE"""),"24,3 %")</f>
        <v>24,3 %</v>
      </c>
      <c r="D48" t="str">
        <f>IFERROR(__xludf.DUMMYFUNCTION("""COMPUTED_VALUE"""),"12,8 %")</f>
        <v>12,8 %</v>
      </c>
    </row>
    <row r="49">
      <c r="A49" t="str">
        <f>IFERROR(__xludf.DUMMYFUNCTION("""COMPUTED_VALUE"""),"Salvador")</f>
        <v>Salvador</v>
      </c>
      <c r="B49" t="str">
        <f>IFERROR(__xludf.DUMMYFUNCTION("""COMPUTED_VALUE"""),"16,6 %")</f>
        <v>16,6 %</v>
      </c>
      <c r="C49" t="str">
        <f>IFERROR(__xludf.DUMMYFUNCTION("""COMPUTED_VALUE"""),"28,7 %")</f>
        <v>28,7 %</v>
      </c>
      <c r="D49" t="str">
        <f>IFERROR(__xludf.DUMMYFUNCTION("""COMPUTED_VALUE"""),"12,8 %")</f>
        <v>12,8 %</v>
      </c>
    </row>
    <row r="50">
      <c r="A50" t="str">
        <f>IFERROR(__xludf.DUMMYFUNCTION("""COMPUTED_VALUE"""),"Allemagne")</f>
        <v>Allemagne</v>
      </c>
      <c r="B50" t="str">
        <f>IFERROR(__xludf.DUMMYFUNCTION("""COMPUTED_VALUE"""),"20,6 %")</f>
        <v>20,6 %</v>
      </c>
      <c r="C50" t="str">
        <f>IFERROR(__xludf.DUMMYFUNCTION("""COMPUTED_VALUE"""),"25,0 %")</f>
        <v>25,0 %</v>
      </c>
      <c r="D50" t="str">
        <f>IFERROR(__xludf.DUMMYFUNCTION("""COMPUTED_VALUE"""),"12,8 %")</f>
        <v>12,8 %</v>
      </c>
    </row>
    <row r="51">
      <c r="A51" t="str">
        <f>IFERROR(__xludf.DUMMYFUNCTION("""COMPUTED_VALUE"""),"Tchad")</f>
        <v>Tchad</v>
      </c>
      <c r="B51" t="str">
        <f>IFERROR(__xludf.DUMMYFUNCTION("""COMPUTED_VALUE"""),"17,9 %")</f>
        <v>17,9 %</v>
      </c>
      <c r="C51" t="str">
        <f>IFERROR(__xludf.DUMMYFUNCTION("""COMPUTED_VALUE"""),"29,5 %")</f>
        <v>29,5 %</v>
      </c>
      <c r="D51" t="str">
        <f>IFERROR(__xludf.DUMMYFUNCTION("""COMPUTED_VALUE"""),"12,8 %")</f>
        <v>12,8 %</v>
      </c>
    </row>
    <row r="52">
      <c r="A52" t="str">
        <f>IFERROR(__xludf.DUMMYFUNCTION("""COMPUTED_VALUE"""),"Bénin")</f>
        <v>Bénin</v>
      </c>
      <c r="B52" t="str">
        <f>IFERROR(__xludf.DUMMYFUNCTION("""COMPUTED_VALUE"""),"19,5 %")</f>
        <v>19,5 %</v>
      </c>
      <c r="C52" t="str">
        <f>IFERROR(__xludf.DUMMYFUNCTION("""COMPUTED_VALUE"""),"27,2 %")</f>
        <v>27,2 %</v>
      </c>
      <c r="D52" t="str">
        <f>IFERROR(__xludf.DUMMYFUNCTION("""COMPUTED_VALUE"""),"12,8 %")</f>
        <v>12,8 %</v>
      </c>
    </row>
    <row r="53">
      <c r="A53" t="str">
        <f>IFERROR(__xludf.DUMMYFUNCTION("""COMPUTED_VALUE"""),"Sénégal")</f>
        <v>Sénégal</v>
      </c>
      <c r="B53" t="str">
        <f>IFERROR(__xludf.DUMMYFUNCTION("""COMPUTED_VALUE"""),"18,8 %")</f>
        <v>18,8 %</v>
      </c>
      <c r="C53" t="str">
        <f>IFERROR(__xludf.DUMMYFUNCTION("""COMPUTED_VALUE"""),"28,8 %")</f>
        <v>28,8 %</v>
      </c>
      <c r="D53" t="str">
        <f>IFERROR(__xludf.DUMMYFUNCTION("""COMPUTED_VALUE"""),"13,0 %")</f>
        <v>13,0 %</v>
      </c>
    </row>
    <row r="54">
      <c r="A54" t="str">
        <f>IFERROR(__xludf.DUMMYFUNCTION("""COMPUTED_VALUE"""),"Maldives")</f>
        <v>Maldives</v>
      </c>
      <c r="B54" t="str">
        <f>IFERROR(__xludf.DUMMYFUNCTION("""COMPUTED_VALUE"""),"22,1 %")</f>
        <v>22,1 %</v>
      </c>
      <c r="C54" t="str">
        <f>IFERROR(__xludf.DUMMYFUNCTION("""COMPUTED_VALUE"""),"23,3 %")</f>
        <v>23,3 %</v>
      </c>
      <c r="D54" t="str">
        <f>IFERROR(__xludf.DUMMYFUNCTION("""COMPUTED_VALUE"""),"13,1 %")</f>
        <v>13,1 %</v>
      </c>
    </row>
    <row r="55">
      <c r="A55" t="str">
        <f>IFERROR(__xludf.DUMMYFUNCTION("""COMPUTED_VALUE"""),"Royaume-Uni")</f>
        <v>Royaume-Uni</v>
      </c>
      <c r="B55" t="str">
        <f>IFERROR(__xludf.DUMMYFUNCTION("""COMPUTED_VALUE"""),"20,2 %")</f>
        <v>20,2 %</v>
      </c>
      <c r="C55" t="str">
        <f>IFERROR(__xludf.DUMMYFUNCTION("""COMPUTED_VALUE"""),"24,6 %")</f>
        <v>24,6 %</v>
      </c>
      <c r="D55" t="str">
        <f>IFERROR(__xludf.DUMMYFUNCTION("""COMPUTED_VALUE"""),"13,1 %")</f>
        <v>13,1 %</v>
      </c>
    </row>
    <row r="56">
      <c r="A56" t="str">
        <f>IFERROR(__xludf.DUMMYFUNCTION("""COMPUTED_VALUE"""),"Luxembourg")</f>
        <v>Luxembourg</v>
      </c>
      <c r="B56" t="str">
        <f>IFERROR(__xludf.DUMMYFUNCTION("""COMPUTED_VALUE"""),"19,5 %")</f>
        <v>19,5 %</v>
      </c>
      <c r="C56" t="str">
        <f>IFERROR(__xludf.DUMMYFUNCTION("""COMPUTED_VALUE"""),"24,5 %")</f>
        <v>24,5 %</v>
      </c>
      <c r="D56" t="str">
        <f>IFERROR(__xludf.DUMMYFUNCTION("""COMPUTED_VALUE"""),"13,1 %")</f>
        <v>13,1 %</v>
      </c>
    </row>
    <row r="57">
      <c r="A57" t="str">
        <f>IFERROR(__xludf.DUMMYFUNCTION("""COMPUTED_VALUE"""),"Brunei")</f>
        <v>Brunei</v>
      </c>
      <c r="B57" t="str">
        <f>IFERROR(__xludf.DUMMYFUNCTION("""COMPUTED_VALUE"""),"NC")</f>
        <v>NC</v>
      </c>
      <c r="C57" t="str">
        <f>IFERROR(__xludf.DUMMYFUNCTION("""COMPUTED_VALUE"""),"NC")</f>
        <v>NC</v>
      </c>
      <c r="D57" t="str">
        <f>IFERROR(__xludf.DUMMYFUNCTION("""COMPUTED_VALUE"""),"13,1 %")</f>
        <v>13,1 %</v>
      </c>
    </row>
    <row r="58">
      <c r="A58" t="str">
        <f>IFERROR(__xludf.DUMMYFUNCTION("""COMPUTED_VALUE"""),"Cameroun")</f>
        <v>Cameroun</v>
      </c>
      <c r="B58" t="str">
        <f>IFERROR(__xludf.DUMMYFUNCTION("""COMPUTED_VALUE"""),"15,0 %")</f>
        <v>15,0 %</v>
      </c>
      <c r="C58" t="str">
        <f>IFERROR(__xludf.DUMMYFUNCTION("""COMPUTED_VALUE"""),"31,1 %")</f>
        <v>31,1 %</v>
      </c>
      <c r="D58" t="str">
        <f>IFERROR(__xludf.DUMMYFUNCTION("""COMPUTED_VALUE"""),"13,3 %")</f>
        <v>13,3 %</v>
      </c>
    </row>
    <row r="59">
      <c r="A59" t="str">
        <f>IFERROR(__xludf.DUMMYFUNCTION("""COMPUTED_VALUE"""),"Roumanie")</f>
        <v>Roumanie</v>
      </c>
      <c r="B59" t="str">
        <f>IFERROR(__xludf.DUMMYFUNCTION("""COMPUTED_VALUE"""),"18,4 %")</f>
        <v>18,4 %</v>
      </c>
      <c r="C59" t="str">
        <f>IFERROR(__xludf.DUMMYFUNCTION("""COMPUTED_VALUE"""),"24,0 %")</f>
        <v>24,0 %</v>
      </c>
      <c r="D59" t="str">
        <f>IFERROR(__xludf.DUMMYFUNCTION("""COMPUTED_VALUE"""),"13,3 %")</f>
        <v>13,3 %</v>
      </c>
    </row>
    <row r="60">
      <c r="A60" t="str">
        <f>IFERROR(__xludf.DUMMYFUNCTION("""COMPUTED_VALUE"""),"Maroc")</f>
        <v>Maroc</v>
      </c>
      <c r="B60" t="str">
        <f>IFERROR(__xludf.DUMMYFUNCTION("""COMPUTED_VALUE"""),"17,4 %")</f>
        <v>17,4 %</v>
      </c>
      <c r="C60" t="str">
        <f>IFERROR(__xludf.DUMMYFUNCTION("""COMPUTED_VALUE"""),"31,9 %")</f>
        <v>31,9 %</v>
      </c>
      <c r="D60" t="str">
        <f>IFERROR(__xludf.DUMMYFUNCTION("""COMPUTED_VALUE"""),"13,4 %")</f>
        <v>13,4 %</v>
      </c>
    </row>
    <row r="61">
      <c r="A61" t="str">
        <f>IFERROR(__xludf.DUMMYFUNCTION("""COMPUTED_VALUE"""),"Irlande")</f>
        <v>Irlande</v>
      </c>
      <c r="B61" t="str">
        <f>IFERROR(__xludf.DUMMYFUNCTION("""COMPUTED_VALUE"""),"22,0 %")</f>
        <v>22,0 %</v>
      </c>
      <c r="C61" t="str">
        <f>IFERROR(__xludf.DUMMYFUNCTION("""COMPUTED_VALUE"""),"24,8 %")</f>
        <v>24,8 %</v>
      </c>
      <c r="D61" t="str">
        <f>IFERROR(__xludf.DUMMYFUNCTION("""COMPUTED_VALUE"""),"13,6 %")</f>
        <v>13,6 %</v>
      </c>
    </row>
    <row r="62">
      <c r="A62" t="str">
        <f>IFERROR(__xludf.DUMMYFUNCTION("""COMPUTED_VALUE"""),"Cuba")</f>
        <v>Cuba</v>
      </c>
      <c r="B62" t="str">
        <f>IFERROR(__xludf.DUMMYFUNCTION("""COMPUTED_VALUE"""),"NC")</f>
        <v>NC</v>
      </c>
      <c r="C62" t="str">
        <f>IFERROR(__xludf.DUMMYFUNCTION("""COMPUTED_VALUE"""),"NC")</f>
        <v>NC</v>
      </c>
      <c r="D62" t="str">
        <f>IFERROR(__xludf.DUMMYFUNCTION("""COMPUTED_VALUE"""),"13,7 %")</f>
        <v>13,7 %</v>
      </c>
    </row>
    <row r="63">
      <c r="A63" t="str">
        <f>IFERROR(__xludf.DUMMYFUNCTION("""COMPUTED_VALUE"""),"Népal")</f>
        <v>Népal</v>
      </c>
      <c r="B63" t="str">
        <f>IFERROR(__xludf.DUMMYFUNCTION("""COMPUTED_VALUE"""),"21,8 %")</f>
        <v>21,8 %</v>
      </c>
      <c r="C63" t="str">
        <f>IFERROR(__xludf.DUMMYFUNCTION("""COMPUTED_VALUE"""),"24,2 %")</f>
        <v>24,2 %</v>
      </c>
      <c r="D63" t="str">
        <f>IFERROR(__xludf.DUMMYFUNCTION("""COMPUTED_VALUE"""),"13,7 %")</f>
        <v>13,7 %</v>
      </c>
    </row>
    <row r="64">
      <c r="A64" t="str">
        <f>IFERROR(__xludf.DUMMYFUNCTION("""COMPUTED_VALUE"""),"Érythrée")</f>
        <v>Érythrée</v>
      </c>
      <c r="B64" t="str">
        <f>IFERROR(__xludf.DUMMYFUNCTION("""COMPUTED_VALUE"""),"NC")</f>
        <v>NC</v>
      </c>
      <c r="C64" t="str">
        <f>IFERROR(__xludf.DUMMYFUNCTION("""COMPUTED_VALUE"""),"NC")</f>
        <v>NC</v>
      </c>
      <c r="D64" t="str">
        <f>IFERROR(__xludf.DUMMYFUNCTION("""COMPUTED_VALUE"""),"13,8 %")</f>
        <v>13,8 %</v>
      </c>
    </row>
    <row r="65">
      <c r="A65" t="str">
        <f>IFERROR(__xludf.DUMMYFUNCTION("""COMPUTED_VALUE"""),"Éthiopie")</f>
        <v>Éthiopie</v>
      </c>
      <c r="B65" t="str">
        <f>IFERROR(__xludf.DUMMYFUNCTION("""COMPUTED_VALUE"""),"19,4 %")</f>
        <v>19,4 %</v>
      </c>
      <c r="C65" t="str">
        <f>IFERROR(__xludf.DUMMYFUNCTION("""COMPUTED_VALUE"""),"28,5 %")</f>
        <v>28,5 %</v>
      </c>
      <c r="D65" t="str">
        <f>IFERROR(__xludf.DUMMYFUNCTION("""COMPUTED_VALUE"""),"13,8 %")</f>
        <v>13,8 %</v>
      </c>
    </row>
    <row r="66">
      <c r="A66" t="str">
        <f>IFERROR(__xludf.DUMMYFUNCTION("""COMPUTED_VALUE"""),"Cap-Vert")</f>
        <v>Cap-Vert</v>
      </c>
      <c r="B66" t="str">
        <f>IFERROR(__xludf.DUMMYFUNCTION("""COMPUTED_VALUE"""),"15,4 %")</f>
        <v>15,4 %</v>
      </c>
      <c r="C66" t="str">
        <f>IFERROR(__xludf.DUMMYFUNCTION("""COMPUTED_VALUE"""),"32,3 %")</f>
        <v>32,3 %</v>
      </c>
      <c r="D66" t="str">
        <f>IFERROR(__xludf.DUMMYFUNCTION("""COMPUTED_VALUE"""),"13,9 %")</f>
        <v>13,9 %</v>
      </c>
    </row>
    <row r="67">
      <c r="A67" t="str">
        <f>IFERROR(__xludf.DUMMYFUNCTION("""COMPUTED_VALUE"""),"Azerbaïdjan")</f>
        <v>Azerbaïdjan</v>
      </c>
      <c r="B67" t="str">
        <f>IFERROR(__xludf.DUMMYFUNCTION("""COMPUTED_VALUE"""),"NC")</f>
        <v>NC</v>
      </c>
      <c r="C67" t="str">
        <f>IFERROR(__xludf.DUMMYFUNCTION("""COMPUTED_VALUE"""),"NC")</f>
        <v>NC</v>
      </c>
      <c r="D67" t="str">
        <f>IFERROR(__xludf.DUMMYFUNCTION("""COMPUTED_VALUE"""),"14,0 %")</f>
        <v>14,0 %</v>
      </c>
    </row>
    <row r="68">
      <c r="A68" t="str">
        <f>IFERROR(__xludf.DUMMYFUNCTION("""COMPUTED_VALUE"""),"Équateur")</f>
        <v>Équateur</v>
      </c>
      <c r="B68" t="str">
        <f>IFERROR(__xludf.DUMMYFUNCTION("""COMPUTED_VALUE"""),"14,0 %")</f>
        <v>14,0 %</v>
      </c>
      <c r="C68" t="str">
        <f>IFERROR(__xludf.DUMMYFUNCTION("""COMPUTED_VALUE"""),"33,2 %")</f>
        <v>33,2 %</v>
      </c>
      <c r="D68" t="str">
        <f>IFERROR(__xludf.DUMMYFUNCTION("""COMPUTED_VALUE"""),"14,0 %")</f>
        <v>14,0 %</v>
      </c>
    </row>
    <row r="69">
      <c r="A69" t="str">
        <f>IFERROR(__xludf.DUMMYFUNCTION("""COMPUTED_VALUE"""),"Bhoutan")</f>
        <v>Bhoutan</v>
      </c>
      <c r="B69" t="str">
        <f>IFERROR(__xludf.DUMMYFUNCTION("""COMPUTED_VALUE"""),"22,3 %")</f>
        <v>22,3 %</v>
      </c>
      <c r="C69" t="str">
        <f>IFERROR(__xludf.DUMMYFUNCTION("""COMPUTED_VALUE"""),"22,7 %")</f>
        <v>22,7 %</v>
      </c>
      <c r="D69" t="str">
        <f>IFERROR(__xludf.DUMMYFUNCTION("""COMPUTED_VALUE"""),"14,0 %")</f>
        <v>14,0 %</v>
      </c>
    </row>
    <row r="70">
      <c r="A70" t="str">
        <f>IFERROR(__xludf.DUMMYFUNCTION("""COMPUTED_VALUE"""),"Togo")</f>
        <v>Togo</v>
      </c>
      <c r="B70" t="str">
        <f>IFERROR(__xludf.DUMMYFUNCTION("""COMPUTED_VALUE"""),"17,8 %")</f>
        <v>17,8 %</v>
      </c>
      <c r="C70" t="str">
        <f>IFERROR(__xludf.DUMMYFUNCTION("""COMPUTED_VALUE"""),"29,6 %")</f>
        <v>29,6 %</v>
      </c>
      <c r="D70" t="str">
        <f>IFERROR(__xludf.DUMMYFUNCTION("""COMPUTED_VALUE"""),"14,1 %")</f>
        <v>14,1 %</v>
      </c>
    </row>
    <row r="71">
      <c r="A71" t="str">
        <f>IFERROR(__xludf.DUMMYFUNCTION("""COMPUTED_VALUE"""),"Niger")</f>
        <v>Niger</v>
      </c>
      <c r="B71" t="str">
        <f>IFERROR(__xludf.DUMMYFUNCTION("""COMPUTED_VALUE"""),"21,1 %")</f>
        <v>21,1 %</v>
      </c>
      <c r="C71" t="str">
        <f>IFERROR(__xludf.DUMMYFUNCTION("""COMPUTED_VALUE"""),"27,8 %")</f>
        <v>27,8 %</v>
      </c>
      <c r="D71" t="str">
        <f>IFERROR(__xludf.DUMMYFUNCTION("""COMPUTED_VALUE"""),"14,1 %")</f>
        <v>14,1 %</v>
      </c>
    </row>
    <row r="72">
      <c r="A72" t="str">
        <f>IFERROR(__xludf.DUMMYFUNCTION("""COMPUTED_VALUE"""),"Comores")</f>
        <v>Comores</v>
      </c>
      <c r="B72" t="str">
        <f>IFERROR(__xludf.DUMMYFUNCTION("""COMPUTED_VALUE"""),"13,6 %")</f>
        <v>13,6 %</v>
      </c>
      <c r="C72" t="str">
        <f>IFERROR(__xludf.DUMMYFUNCTION("""COMPUTED_VALUE"""),"33,6 %")</f>
        <v>33,6 %</v>
      </c>
      <c r="D72" t="str">
        <f>IFERROR(__xludf.DUMMYFUNCTION("""COMPUTED_VALUE"""),"14,2 %")</f>
        <v>14,2 %</v>
      </c>
    </row>
    <row r="73">
      <c r="A73" t="str">
        <f>IFERROR(__xludf.DUMMYFUNCTION("""COMPUTED_VALUE"""),"Singapour")</f>
        <v>Singapour</v>
      </c>
      <c r="B73" t="str">
        <f>IFERROR(__xludf.DUMMYFUNCTION("""COMPUTED_VALUE"""),"NC")</f>
        <v>NC</v>
      </c>
      <c r="C73" t="str">
        <f>IFERROR(__xludf.DUMMYFUNCTION("""COMPUTED_VALUE"""),"NC")</f>
        <v>NC</v>
      </c>
      <c r="D73" t="str">
        <f>IFERROR(__xludf.DUMMYFUNCTION("""COMPUTED_VALUE"""),"14,2 %")</f>
        <v>14,2 %</v>
      </c>
    </row>
    <row r="74">
      <c r="A74" t="str">
        <f>IFERROR(__xludf.DUMMYFUNCTION("""COMPUTED_VALUE"""),"Grèce")</f>
        <v>Grèce</v>
      </c>
      <c r="B74" t="str">
        <f>IFERROR(__xludf.DUMMYFUNCTION("""COMPUTED_VALUE"""),"19,6 %")</f>
        <v>19,6 %</v>
      </c>
      <c r="C74" t="str">
        <f>IFERROR(__xludf.DUMMYFUNCTION("""COMPUTED_VALUE"""),"24,8 %")</f>
        <v>24,8 %</v>
      </c>
      <c r="D74" t="str">
        <f>IFERROR(__xludf.DUMMYFUNCTION("""COMPUTED_VALUE"""),"14,3 %")</f>
        <v>14,3 %</v>
      </c>
    </row>
    <row r="75">
      <c r="A75" t="str">
        <f>IFERROR(__xludf.DUMMYFUNCTION("""COMPUTED_VALUE"""),"Lesotho")</f>
        <v>Lesotho</v>
      </c>
      <c r="B75" t="str">
        <f>IFERROR(__xludf.DUMMYFUNCTION("""COMPUTED_VALUE"""),"13,5 %")</f>
        <v>13,5 %</v>
      </c>
      <c r="C75" t="str">
        <f>IFERROR(__xludf.DUMMYFUNCTION("""COMPUTED_VALUE"""),"32,9 %")</f>
        <v>32,9 %</v>
      </c>
      <c r="D75" t="str">
        <f>IFERROR(__xludf.DUMMYFUNCTION("""COMPUTED_VALUE"""),"14,4 %")</f>
        <v>14,4 %</v>
      </c>
    </row>
    <row r="76">
      <c r="A76" t="str">
        <f>IFERROR(__xludf.DUMMYFUNCTION("""COMPUTED_VALUE"""),"Burundi")</f>
        <v>Burundi</v>
      </c>
      <c r="B76" t="str">
        <f>IFERROR(__xludf.DUMMYFUNCTION("""COMPUTED_VALUE"""),"18,3 %")</f>
        <v>18,3 %</v>
      </c>
      <c r="C76" t="str">
        <f>IFERROR(__xludf.DUMMYFUNCTION("""COMPUTED_VALUE"""),"29,9 %")</f>
        <v>29,9 %</v>
      </c>
      <c r="D76" t="str">
        <f>IFERROR(__xludf.DUMMYFUNCTION("""COMPUTED_VALUE"""),"14,5 %")</f>
        <v>14,5 %</v>
      </c>
    </row>
    <row r="77">
      <c r="A77" t="str">
        <f>IFERROR(__xludf.DUMMYFUNCTION("""COMPUTED_VALUE"""),"Tadjikistan")</f>
        <v>Tadjikistan</v>
      </c>
      <c r="B77" t="str">
        <f>IFERROR(__xludf.DUMMYFUNCTION("""COMPUTED_VALUE"""),"19,4 %")</f>
        <v>19,4 %</v>
      </c>
      <c r="C77" t="str">
        <f>IFERROR(__xludf.DUMMYFUNCTION("""COMPUTED_VALUE"""),"26,4 %")</f>
        <v>26,4 %</v>
      </c>
      <c r="D77" t="str">
        <f>IFERROR(__xludf.DUMMYFUNCTION("""COMPUTED_VALUE"""),"14,5 %")</f>
        <v>14,5 %</v>
      </c>
    </row>
    <row r="78">
      <c r="A78" t="str">
        <f>IFERROR(__xludf.DUMMYFUNCTION("""COMPUTED_VALUE"""),"Burkina Faso")</f>
        <v>Burkina Faso</v>
      </c>
      <c r="B78" t="str">
        <f>IFERROR(__xludf.DUMMYFUNCTION("""COMPUTED_VALUE"""),"18,5 %")</f>
        <v>18,5 %</v>
      </c>
      <c r="C78" t="str">
        <f>IFERROR(__xludf.DUMMYFUNCTION("""COMPUTED_VALUE"""),"30,2 %")</f>
        <v>30,2 %</v>
      </c>
      <c r="D78" t="str">
        <f>IFERROR(__xludf.DUMMYFUNCTION("""COMPUTED_VALUE"""),"14,7 %")</f>
        <v>14,7 %</v>
      </c>
    </row>
    <row r="79">
      <c r="A79" t="str">
        <f>IFERROR(__xludf.DUMMYFUNCTION("""COMPUTED_VALUE"""),"Uruguay")</f>
        <v>Uruguay</v>
      </c>
      <c r="B79" t="str">
        <f>IFERROR(__xludf.DUMMYFUNCTION("""COMPUTED_VALUE"""),"15,9 %")</f>
        <v>15,9 %</v>
      </c>
      <c r="C79" t="str">
        <f>IFERROR(__xludf.DUMMYFUNCTION("""COMPUTED_VALUE"""),"30,5 %")</f>
        <v>30,5 %</v>
      </c>
      <c r="D79" t="str">
        <f>IFERROR(__xludf.DUMMYFUNCTION("""COMPUTED_VALUE"""),"14,8 %")</f>
        <v>14,8 %</v>
      </c>
    </row>
    <row r="80">
      <c r="A80" t="str">
        <f>IFERROR(__xludf.DUMMYFUNCTION("""COMPUTED_VALUE"""),"Malaisie")</f>
        <v>Malaisie</v>
      </c>
      <c r="B80" t="str">
        <f>IFERROR(__xludf.DUMMYFUNCTION("""COMPUTED_VALUE"""),"16,1 %")</f>
        <v>16,1 %</v>
      </c>
      <c r="C80" t="str">
        <f>IFERROR(__xludf.DUMMYFUNCTION("""COMPUTED_VALUE"""),"30,9 %")</f>
        <v>30,9 %</v>
      </c>
      <c r="D80" t="str">
        <f>IFERROR(__xludf.DUMMYFUNCTION("""COMPUTED_VALUE"""),"14,9 %")</f>
        <v>14,9 %</v>
      </c>
    </row>
    <row r="81">
      <c r="A81" t="str">
        <f>IFERROR(__xludf.DUMMYFUNCTION("""COMPUTED_VALUE"""),"Kazakhstan")</f>
        <v>Kazakhstan</v>
      </c>
      <c r="B81" t="str">
        <f>IFERROR(__xludf.DUMMYFUNCTION("""COMPUTED_VALUE"""),"22,9 %")</f>
        <v>22,9 %</v>
      </c>
      <c r="C81" t="str">
        <f>IFERROR(__xludf.DUMMYFUNCTION("""COMPUTED_VALUE"""),"24,8 %")</f>
        <v>24,8 %</v>
      </c>
      <c r="D81" t="str">
        <f>IFERROR(__xludf.DUMMYFUNCTION("""COMPUTED_VALUE"""),"14,9 %")</f>
        <v>14,9 %</v>
      </c>
    </row>
    <row r="82">
      <c r="A82" t="str">
        <f>IFERROR(__xludf.DUMMYFUNCTION("""COMPUTED_VALUE"""),"Arménie")</f>
        <v>Arménie</v>
      </c>
      <c r="B82" t="str">
        <f>IFERROR(__xludf.DUMMYFUNCTION("""COMPUTED_VALUE"""),"22,8 %")</f>
        <v>22,8 %</v>
      </c>
      <c r="C82" t="str">
        <f>IFERROR(__xludf.DUMMYFUNCTION("""COMPUTED_VALUE"""),"23,0 %")</f>
        <v>23,0 %</v>
      </c>
      <c r="D82" t="str">
        <f>IFERROR(__xludf.DUMMYFUNCTION("""COMPUTED_VALUE"""),"15,0 %")</f>
        <v>15,0 %</v>
      </c>
    </row>
    <row r="83">
      <c r="A83" t="str">
        <f>IFERROR(__xludf.DUMMYFUNCTION("""COMPUTED_VALUE"""),"Sierra Leone")</f>
        <v>Sierra Leone</v>
      </c>
      <c r="B83" t="str">
        <f>IFERROR(__xludf.DUMMYFUNCTION("""COMPUTED_VALUE"""),"19,6 %")</f>
        <v>19,6 %</v>
      </c>
      <c r="C83" t="str">
        <f>IFERROR(__xludf.DUMMYFUNCTION("""COMPUTED_VALUE"""),"29,4 %")</f>
        <v>29,4 %</v>
      </c>
      <c r="D83" t="str">
        <f>IFERROR(__xludf.DUMMYFUNCTION("""COMPUTED_VALUE"""),"15,0 %")</f>
        <v>15,0 %</v>
      </c>
    </row>
    <row r="84">
      <c r="A84" t="str">
        <f>IFERROR(__xludf.DUMMYFUNCTION("""COMPUTED_VALUE"""),"Afghanistan")</f>
        <v>Afghanistan</v>
      </c>
      <c r="B84" t="str">
        <f>IFERROR(__xludf.DUMMYFUNCTION("""COMPUTED_VALUE"""),"NC")</f>
        <v>NC</v>
      </c>
      <c r="C84" t="str">
        <f>IFERROR(__xludf.DUMMYFUNCTION("""COMPUTED_VALUE"""),"NC")</f>
        <v>NC</v>
      </c>
      <c r="D84" t="str">
        <f>IFERROR(__xludf.DUMMYFUNCTION("""COMPUTED_VALUE"""),"15,1 %")</f>
        <v>15,1 %</v>
      </c>
    </row>
    <row r="85">
      <c r="A85" t="str">
        <f>IFERROR(__xludf.DUMMYFUNCTION("""COMPUTED_VALUE"""),"Corée du Sud")</f>
        <v>Corée du Sud</v>
      </c>
      <c r="B85" t="str">
        <f>IFERROR(__xludf.DUMMYFUNCTION("""COMPUTED_VALUE"""),"19,9 %")</f>
        <v>19,9 %</v>
      </c>
      <c r="C85" t="str">
        <f>IFERROR(__xludf.DUMMYFUNCTION("""COMPUTED_VALUE"""),"24,6 %")</f>
        <v>24,6 %</v>
      </c>
      <c r="D85" t="str">
        <f>IFERROR(__xludf.DUMMYFUNCTION("""COMPUTED_VALUE"""),"15,1 %")</f>
        <v>15,1 %</v>
      </c>
    </row>
    <row r="86">
      <c r="A86" t="str">
        <f>IFERROR(__xludf.DUMMYFUNCTION("""COMPUTED_VALUE"""),"Madagascar")</f>
        <v>Madagascar</v>
      </c>
      <c r="B86" t="str">
        <f>IFERROR(__xludf.DUMMYFUNCTION("""COMPUTED_VALUE"""),"15,8 %")</f>
        <v>15,8 %</v>
      </c>
      <c r="C86" t="str">
        <f>IFERROR(__xludf.DUMMYFUNCTION("""COMPUTED_VALUE"""),"33,5 %")</f>
        <v>33,5 %</v>
      </c>
      <c r="D86" t="str">
        <f>IFERROR(__xludf.DUMMYFUNCTION("""COMPUTED_VALUE"""),"15,2 %")</f>
        <v>15,2 %</v>
      </c>
    </row>
    <row r="87">
      <c r="A87" t="str">
        <f>IFERROR(__xludf.DUMMYFUNCTION("""COMPUTED_VALUE"""),"République dominicaine")</f>
        <v>République dominicaine</v>
      </c>
      <c r="B87" t="str">
        <f>IFERROR(__xludf.DUMMYFUNCTION("""COMPUTED_VALUE"""),"17,9 %")</f>
        <v>17,9 %</v>
      </c>
      <c r="C87" t="str">
        <f>IFERROR(__xludf.DUMMYFUNCTION("""COMPUTED_VALUE"""),"28,3 %")</f>
        <v>28,3 %</v>
      </c>
      <c r="D87" t="str">
        <f>IFERROR(__xludf.DUMMYFUNCTION("""COMPUTED_VALUE"""),"15,2 %")</f>
        <v>15,2 %</v>
      </c>
    </row>
    <row r="88">
      <c r="A88" t="str">
        <f>IFERROR(__xludf.DUMMYFUNCTION("""COMPUTED_VALUE"""),"Ghana")</f>
        <v>Ghana</v>
      </c>
      <c r="B88" t="str">
        <f>IFERROR(__xludf.DUMMYFUNCTION("""COMPUTED_VALUE"""),"14,3 %")</f>
        <v>14,3 %</v>
      </c>
      <c r="C88" t="str">
        <f>IFERROR(__xludf.DUMMYFUNCTION("""COMPUTED_VALUE"""),"32,2 %")</f>
        <v>32,2 %</v>
      </c>
      <c r="D88" t="str">
        <f>IFERROR(__xludf.DUMMYFUNCTION("""COMPUTED_VALUE"""),"15,2 %")</f>
        <v>15,2 %</v>
      </c>
    </row>
    <row r="89">
      <c r="A89" t="str">
        <f>IFERROR(__xludf.DUMMYFUNCTION("""COMPUTED_VALUE"""),"Pologne")</f>
        <v>Pologne</v>
      </c>
      <c r="B89" t="str">
        <f>IFERROR(__xludf.DUMMYFUNCTION("""COMPUTED_VALUE"""),"22,4 %")</f>
        <v>22,4 %</v>
      </c>
      <c r="C89" t="str">
        <f>IFERROR(__xludf.DUMMYFUNCTION("""COMPUTED_VALUE"""),"22,8 %")</f>
        <v>22,8 %</v>
      </c>
      <c r="D89" t="str">
        <f>IFERROR(__xludf.DUMMYFUNCTION("""COMPUTED_VALUE"""),"15,2 %")</f>
        <v>15,2 %</v>
      </c>
    </row>
    <row r="90">
      <c r="A90" t="str">
        <f>IFERROR(__xludf.DUMMYFUNCTION("""COMPUTED_VALUE"""),"Malawi")</f>
        <v>Malawi</v>
      </c>
      <c r="B90" t="str">
        <f>IFERROR(__xludf.DUMMYFUNCTION("""COMPUTED_VALUE"""),"18,0 %")</f>
        <v>18,0 %</v>
      </c>
      <c r="C90" t="str">
        <f>IFERROR(__xludf.DUMMYFUNCTION("""COMPUTED_VALUE"""),"31,0 %")</f>
        <v>31,0 %</v>
      </c>
      <c r="D90" t="str">
        <f>IFERROR(__xludf.DUMMYFUNCTION("""COMPUTED_VALUE"""),"15,2 %")</f>
        <v>15,2 %</v>
      </c>
    </row>
    <row r="91">
      <c r="A91" t="str">
        <f>IFERROR(__xludf.DUMMYFUNCTION("""COMPUTED_VALUE"""),"Timor oriental")</f>
        <v>Timor oriental</v>
      </c>
      <c r="B91" t="str">
        <f>IFERROR(__xludf.DUMMYFUNCTION("""COMPUTED_VALUE"""),"22,8 %")</f>
        <v>22,8 %</v>
      </c>
      <c r="C91" t="str">
        <f>IFERROR(__xludf.DUMMYFUNCTION("""COMPUTED_VALUE"""),"24,0 %")</f>
        <v>24,0 %</v>
      </c>
      <c r="D91" t="str">
        <f>IFERROR(__xludf.DUMMYFUNCTION("""COMPUTED_VALUE"""),"15,2 %")</f>
        <v>15,2 %</v>
      </c>
    </row>
    <row r="92">
      <c r="A92" t="str">
        <f>IFERROR(__xludf.DUMMYFUNCTION("""COMPUTED_VALUE"""),"Soudan")</f>
        <v>Soudan</v>
      </c>
      <c r="B92" t="str">
        <f>IFERROR(__xludf.DUMMYFUNCTION("""COMPUTED_VALUE"""),"19,9 %")</f>
        <v>19,9 %</v>
      </c>
      <c r="C92" t="str">
        <f>IFERROR(__xludf.DUMMYFUNCTION("""COMPUTED_VALUE"""),"27,8 %")</f>
        <v>27,8 %</v>
      </c>
      <c r="D92" t="str">
        <f>IFERROR(__xludf.DUMMYFUNCTION("""COMPUTED_VALUE"""),"15,3 %")</f>
        <v>15,3 %</v>
      </c>
    </row>
    <row r="93">
      <c r="A93" t="str">
        <f>IFERROR(__xludf.DUMMYFUNCTION("""COMPUTED_VALUE"""),"République centrafricaine")</f>
        <v>République centrafricaine</v>
      </c>
      <c r="B93" t="str">
        <f>IFERROR(__xludf.DUMMYFUNCTION("""COMPUTED_VALUE"""),"15,3 %")</f>
        <v>15,3 %</v>
      </c>
      <c r="C93" t="str">
        <f>IFERROR(__xludf.DUMMYFUNCTION("""COMPUTED_VALUE"""),"33,1 %")</f>
        <v>33,1 %</v>
      </c>
      <c r="D93" t="str">
        <f>IFERROR(__xludf.DUMMYFUNCTION("""COMPUTED_VALUE"""),"15,6 %")</f>
        <v>15,6 %</v>
      </c>
    </row>
    <row r="94">
      <c r="A94" t="str">
        <f>IFERROR(__xludf.DUMMYFUNCTION("""COMPUTED_VALUE"""),"Irak")</f>
        <v>Irak</v>
      </c>
      <c r="B94" t="str">
        <f>IFERROR(__xludf.DUMMYFUNCTION("""COMPUTED_VALUE"""),"21,9 %")</f>
        <v>21,9 %</v>
      </c>
      <c r="C94" t="str">
        <f>IFERROR(__xludf.DUMMYFUNCTION("""COMPUTED_VALUE"""),"23,7 %")</f>
        <v>23,7 %</v>
      </c>
      <c r="D94" t="str">
        <f>IFERROR(__xludf.DUMMYFUNCTION("""COMPUTED_VALUE"""),"15,7 %")</f>
        <v>15,7 %</v>
      </c>
    </row>
    <row r="95">
      <c r="A95" t="str">
        <f>IFERROR(__xludf.DUMMYFUNCTION("""COMPUTED_VALUE"""),"Vietnam")</f>
        <v>Vietnam</v>
      </c>
      <c r="B95" t="str">
        <f>IFERROR(__xludf.DUMMYFUNCTION("""COMPUTED_VALUE"""),"18,6 %")</f>
        <v>18,6 %</v>
      </c>
      <c r="C95" t="str">
        <f>IFERROR(__xludf.DUMMYFUNCTION("""COMPUTED_VALUE"""),"28,1 %")</f>
        <v>28,1 %</v>
      </c>
      <c r="D95" t="str">
        <f>IFERROR(__xludf.DUMMYFUNCTION("""COMPUTED_VALUE"""),"15,7 %")</f>
        <v>15,7 %</v>
      </c>
    </row>
    <row r="96">
      <c r="A96" t="str">
        <f>IFERROR(__xludf.DUMMYFUNCTION("""COMPUTED_VALUE"""),"Chine")</f>
        <v>Chine</v>
      </c>
      <c r="B96" t="str">
        <f>IFERROR(__xludf.DUMMYFUNCTION("""COMPUTED_VALUE"""),"18,8 %")</f>
        <v>18,8 %</v>
      </c>
      <c r="C96" t="str">
        <f>IFERROR(__xludf.DUMMYFUNCTION("""COMPUTED_VALUE"""),"28,2 %")</f>
        <v>28,2 %</v>
      </c>
      <c r="D96" t="str">
        <f>IFERROR(__xludf.DUMMYFUNCTION("""COMPUTED_VALUE"""),"15,8 %")</f>
        <v>15,8 %</v>
      </c>
    </row>
    <row r="97">
      <c r="A97" t="str">
        <f>IFERROR(__xludf.DUMMYFUNCTION("""COMPUTED_VALUE"""),"Djibouti")</f>
        <v>Djibouti</v>
      </c>
      <c r="B97" t="str">
        <f>IFERROR(__xludf.DUMMYFUNCTION("""COMPUTED_VALUE"""),"15,8 %")</f>
        <v>15,8 %</v>
      </c>
      <c r="C97" t="str">
        <f>IFERROR(__xludf.DUMMYFUNCTION("""COMPUTED_VALUE"""),"32,3 %")</f>
        <v>32,3 %</v>
      </c>
      <c r="D97" t="str">
        <f>IFERROR(__xludf.DUMMYFUNCTION("""COMPUTED_VALUE"""),"15,9 %")</f>
        <v>15,9 %</v>
      </c>
    </row>
    <row r="98">
      <c r="A98" t="str">
        <f>IFERROR(__xludf.DUMMYFUNCTION("""COMPUTED_VALUE"""),"Maurice")</f>
        <v>Maurice</v>
      </c>
      <c r="B98" t="str">
        <f>IFERROR(__xludf.DUMMYFUNCTION("""COMPUTED_VALUE"""),"18,8 %")</f>
        <v>18,8 %</v>
      </c>
      <c r="C98" t="str">
        <f>IFERROR(__xludf.DUMMYFUNCTION("""COMPUTED_VALUE"""),"29,9 %")</f>
        <v>29,9 %</v>
      </c>
      <c r="D98" t="str">
        <f>IFERROR(__xludf.DUMMYFUNCTION("""COMPUTED_VALUE"""),"15,9 %")</f>
        <v>15,9 %</v>
      </c>
    </row>
    <row r="99">
      <c r="A99" t="str">
        <f>IFERROR(__xludf.DUMMYFUNCTION("""COMPUTED_VALUE"""),"Kenya")</f>
        <v>Kenya</v>
      </c>
      <c r="B99" t="str">
        <f>IFERROR(__xludf.DUMMYFUNCTION("""COMPUTED_VALUE"""),"18,2 %")</f>
        <v>18,2 %</v>
      </c>
      <c r="C99" t="str">
        <f>IFERROR(__xludf.DUMMYFUNCTION("""COMPUTED_VALUE"""),"31,8 %")</f>
        <v>31,8 %</v>
      </c>
      <c r="D99" t="str">
        <f>IFERROR(__xludf.DUMMYFUNCTION("""COMPUTED_VALUE"""),"15,9 %")</f>
        <v>15,9 %</v>
      </c>
    </row>
    <row r="100">
      <c r="A100" t="str">
        <f>IFERROR(__xludf.DUMMYFUNCTION("""COMPUTED_VALUE"""),"Gambie")</f>
        <v>Gambie</v>
      </c>
      <c r="B100" t="str">
        <f>IFERROR(__xludf.DUMMYFUNCTION("""COMPUTED_VALUE"""),"17,5 %")</f>
        <v>17,5 %</v>
      </c>
      <c r="C100" t="str">
        <f>IFERROR(__xludf.DUMMYFUNCTION("""COMPUTED_VALUE"""),"30,5 %")</f>
        <v>30,5 %</v>
      </c>
      <c r="D100" t="str">
        <f>IFERROR(__xludf.DUMMYFUNCTION("""COMPUTED_VALUE"""),"15,9 %")</f>
        <v>15,9 %</v>
      </c>
    </row>
    <row r="101">
      <c r="A101" t="str">
        <f>IFERROR(__xludf.DUMMYFUNCTION("""COMPUTED_VALUE"""),"Sao Tomé-et-Principe")</f>
        <v>Sao Tomé-et-Principe</v>
      </c>
      <c r="B101" t="str">
        <f>IFERROR(__xludf.DUMMYFUNCTION("""COMPUTED_VALUE"""),"16,8 %")</f>
        <v>16,8 %</v>
      </c>
      <c r="C101" t="str">
        <f>IFERROR(__xludf.DUMMYFUNCTION("""COMPUTED_VALUE"""),"32,8 %")</f>
        <v>32,8 %</v>
      </c>
      <c r="D101" t="str">
        <f>IFERROR(__xludf.DUMMYFUNCTION("""COMPUTED_VALUE"""),"16,0 %")</f>
        <v>16,0 %</v>
      </c>
    </row>
    <row r="102">
      <c r="A102" t="str">
        <f>IFERROR(__xludf.DUMMYFUNCTION("""COMPUTED_VALUE"""),"Mongolie")</f>
        <v>Mongolie</v>
      </c>
      <c r="B102" t="str">
        <f>IFERROR(__xludf.DUMMYFUNCTION("""COMPUTED_VALUE"""),"20,8 %")</f>
        <v>20,8 %</v>
      </c>
      <c r="C102" t="str">
        <f>IFERROR(__xludf.DUMMYFUNCTION("""COMPUTED_VALUE"""),"24,6 %")</f>
        <v>24,6 %</v>
      </c>
      <c r="D102" t="str">
        <f>IFERROR(__xludf.DUMMYFUNCTION("""COMPUTED_VALUE"""),"16,1 %")</f>
        <v>16,1 %</v>
      </c>
    </row>
    <row r="103">
      <c r="A103" t="str">
        <f>IFERROR(__xludf.DUMMYFUNCTION("""COMPUTED_VALUE"""),"Palaos")</f>
        <v>Palaos</v>
      </c>
      <c r="B103" t="str">
        <f>IFERROR(__xludf.DUMMYFUNCTION("""COMPUTED_VALUE"""),"NC")</f>
        <v>NC</v>
      </c>
      <c r="C103" t="str">
        <f>IFERROR(__xludf.DUMMYFUNCTION("""COMPUTED_VALUE"""),"NC")</f>
        <v>NC</v>
      </c>
      <c r="D103" t="str">
        <f>IFERROR(__xludf.DUMMYFUNCTION("""COMPUTED_VALUE"""),"16,1 %")</f>
        <v>16,1 %</v>
      </c>
    </row>
    <row r="104">
      <c r="A104" t="str">
        <f>IFERROR(__xludf.DUMMYFUNCTION("""COMPUTED_VALUE"""),"Tonga")</f>
        <v>Tonga</v>
      </c>
      <c r="B104" t="str">
        <f>IFERROR(__xludf.DUMMYFUNCTION("""COMPUTED_VALUE"""),"23,1 %")</f>
        <v>23,1 %</v>
      </c>
      <c r="C104" t="str">
        <f>IFERROR(__xludf.DUMMYFUNCTION("""COMPUTED_VALUE"""),"22,0 %")</f>
        <v>22,0 %</v>
      </c>
      <c r="D104" t="str">
        <f>IFERROR(__xludf.DUMMYFUNCTION("""COMPUTED_VALUE"""),"16,1 %")</f>
        <v>16,1 %</v>
      </c>
    </row>
    <row r="105">
      <c r="A105" t="str">
        <f>IFERROR(__xludf.DUMMYFUNCTION("""COMPUTED_VALUE"""),"Îles Marshall")</f>
        <v>Îles Marshall</v>
      </c>
      <c r="B105" t="str">
        <f>IFERROR(__xludf.DUMMYFUNCTION("""COMPUTED_VALUE"""),"18,9 %")</f>
        <v>18,9 %</v>
      </c>
      <c r="C105" t="str">
        <f>IFERROR(__xludf.DUMMYFUNCTION("""COMPUTED_VALUE"""),"27,5 %")</f>
        <v>27,5 %</v>
      </c>
      <c r="D105" t="str">
        <f>IFERROR(__xludf.DUMMYFUNCTION("""COMPUTED_VALUE"""),"16,1 %")</f>
        <v>16,1 %</v>
      </c>
    </row>
    <row r="106">
      <c r="A106" t="str">
        <f>IFERROR(__xludf.DUMMYFUNCTION("""COMPUTED_VALUE"""),"Fidji")</f>
        <v>Fidji</v>
      </c>
      <c r="B106" t="str">
        <f>IFERROR(__xludf.DUMMYFUNCTION("""COMPUTED_VALUE"""),"21,3 %")</f>
        <v>21,3 %</v>
      </c>
      <c r="C106" t="str">
        <f>IFERROR(__xludf.DUMMYFUNCTION("""COMPUTED_VALUE"""),"24,2 %")</f>
        <v>24,2 %</v>
      </c>
      <c r="D106" t="str">
        <f>IFERROR(__xludf.DUMMYFUNCTION("""COMPUTED_VALUE"""),"16,1 %")</f>
        <v>16,1 %</v>
      </c>
    </row>
    <row r="107">
      <c r="A107" t="str">
        <f>IFERROR(__xludf.DUMMYFUNCTION("""COMPUTED_VALUE"""),"Samoa")</f>
        <v>Samoa</v>
      </c>
      <c r="B107" t="str">
        <f>IFERROR(__xludf.DUMMYFUNCTION("""COMPUTED_VALUE"""),"17,8 %")</f>
        <v>17,8 %</v>
      </c>
      <c r="C107" t="str">
        <f>IFERROR(__xludf.DUMMYFUNCTION("""COMPUTED_VALUE"""),"31,3 %")</f>
        <v>31,3 %</v>
      </c>
      <c r="D107" t="str">
        <f>IFERROR(__xludf.DUMMYFUNCTION("""COMPUTED_VALUE"""),"16,1 %")</f>
        <v>16,1 %</v>
      </c>
    </row>
    <row r="108">
      <c r="A108" t="str">
        <f>IFERROR(__xludf.DUMMYFUNCTION("""COMPUTED_VALUE"""),"Nauru")</f>
        <v>Nauru</v>
      </c>
      <c r="B108" t="str">
        <f>IFERROR(__xludf.DUMMYFUNCTION("""COMPUTED_VALUE"""),"20,5 %")</f>
        <v>20,5 %</v>
      </c>
      <c r="C108" t="str">
        <f>IFERROR(__xludf.DUMMYFUNCTION("""COMPUTED_VALUE"""),"25,3 %")</f>
        <v>25,3 %</v>
      </c>
      <c r="D108" t="str">
        <f>IFERROR(__xludf.DUMMYFUNCTION("""COMPUTED_VALUE"""),"16,1 %")</f>
        <v>16,1 %</v>
      </c>
    </row>
    <row r="109">
      <c r="A109" t="str">
        <f>IFERROR(__xludf.DUMMYFUNCTION("""COMPUTED_VALUE"""),"Tuvalu")</f>
        <v>Tuvalu</v>
      </c>
      <c r="B109" t="str">
        <f>IFERROR(__xludf.DUMMYFUNCTION("""COMPUTED_VALUE"""),"17,4 %")</f>
        <v>17,4 %</v>
      </c>
      <c r="C109" t="str">
        <f>IFERROR(__xludf.DUMMYFUNCTION("""COMPUTED_VALUE"""),"30,8 %")</f>
        <v>30,8 %</v>
      </c>
      <c r="D109" t="str">
        <f>IFERROR(__xludf.DUMMYFUNCTION("""COMPUTED_VALUE"""),"16,1 %")</f>
        <v>16,1 %</v>
      </c>
    </row>
    <row r="110">
      <c r="A110" t="str">
        <f>IFERROR(__xludf.DUMMYFUNCTION("""COMPUTED_VALUE"""),"Kiribati")</f>
        <v>Kiribati</v>
      </c>
      <c r="B110" t="str">
        <f>IFERROR(__xludf.DUMMYFUNCTION("""COMPUTED_VALUE"""),"23,0 %")</f>
        <v>23,0 %</v>
      </c>
      <c r="C110" t="str">
        <f>IFERROR(__xludf.DUMMYFUNCTION("""COMPUTED_VALUE"""),"22,8 %")</f>
        <v>22,8 %</v>
      </c>
      <c r="D110" t="str">
        <f>IFERROR(__xludf.DUMMYFUNCTION("""COMPUTED_VALUE"""),"16,1 %")</f>
        <v>16,1 %</v>
      </c>
    </row>
    <row r="111">
      <c r="A111" t="str">
        <f>IFERROR(__xludf.DUMMYFUNCTION("""COMPUTED_VALUE"""),"Vanuatu")</f>
        <v>Vanuatu</v>
      </c>
      <c r="B111" t="str">
        <f>IFERROR(__xludf.DUMMYFUNCTION("""COMPUTED_VALUE"""),"20,0 %")</f>
        <v>20,0 %</v>
      </c>
      <c r="C111" t="str">
        <f>IFERROR(__xludf.DUMMYFUNCTION("""COMPUTED_VALUE"""),"24,7 %")</f>
        <v>24,7 %</v>
      </c>
      <c r="D111" t="str">
        <f>IFERROR(__xludf.DUMMYFUNCTION("""COMPUTED_VALUE"""),"16,1 %")</f>
        <v>16,1 %</v>
      </c>
    </row>
    <row r="112">
      <c r="A112" t="str">
        <f>IFERROR(__xludf.DUMMYFUNCTION("""COMPUTED_VALUE"""),"États fédérés de Micronésie")</f>
        <v>États fédérés de Micronésie</v>
      </c>
      <c r="B112" t="str">
        <f>IFERROR(__xludf.DUMMYFUNCTION("""COMPUTED_VALUE"""),"16,2 %")</f>
        <v>16,2 %</v>
      </c>
      <c r="C112" t="str">
        <f>IFERROR(__xludf.DUMMYFUNCTION("""COMPUTED_VALUE"""),"29,7 %")</f>
        <v>29,7 %</v>
      </c>
      <c r="D112" t="str">
        <f>IFERROR(__xludf.DUMMYFUNCTION("""COMPUTED_VALUE"""),"16,1 %")</f>
        <v>16,1 %</v>
      </c>
    </row>
    <row r="113">
      <c r="A113" t="str">
        <f>IFERROR(__xludf.DUMMYFUNCTION("""COMPUTED_VALUE"""),"Îles Salomon")</f>
        <v>Îles Salomon</v>
      </c>
      <c r="B113" t="str">
        <f>IFERROR(__xludf.DUMMYFUNCTION("""COMPUTED_VALUE"""),"18,4 %")</f>
        <v>18,4 %</v>
      </c>
      <c r="C113" t="str">
        <f>IFERROR(__xludf.DUMMYFUNCTION("""COMPUTED_VALUE"""),"29,2 %")</f>
        <v>29,2 %</v>
      </c>
      <c r="D113" t="str">
        <f>IFERROR(__xludf.DUMMYFUNCTION("""COMPUTED_VALUE"""),"16,1 %")</f>
        <v>16,1 %</v>
      </c>
    </row>
    <row r="114">
      <c r="A114" t="str">
        <f>IFERROR(__xludf.DUMMYFUNCTION("""COMPUTED_VALUE"""),"Émirats arabes unis")</f>
        <v>Émirats arabes unis</v>
      </c>
      <c r="B114" t="str">
        <f>IFERROR(__xludf.DUMMYFUNCTION("""COMPUTED_VALUE"""),"23,0 %")</f>
        <v>23,0 %</v>
      </c>
      <c r="C114" t="str">
        <f>IFERROR(__xludf.DUMMYFUNCTION("""COMPUTED_VALUE"""),"20,5 %")</f>
        <v>20,5 %</v>
      </c>
      <c r="D114" t="str">
        <f>IFERROR(__xludf.DUMMYFUNCTION("""COMPUTED_VALUE"""),"16,1 %")</f>
        <v>16,1 %</v>
      </c>
    </row>
    <row r="115">
      <c r="A115" t="str">
        <f>IFERROR(__xludf.DUMMYFUNCTION("""COMPUTED_VALUE"""),"Bangladesh")</f>
        <v>Bangladesh</v>
      </c>
      <c r="B115" t="str">
        <f>IFERROR(__xludf.DUMMYFUNCTION("""COMPUTED_VALUE"""),"20,4 %")</f>
        <v>20,4 %</v>
      </c>
      <c r="C115" t="str">
        <f>IFERROR(__xludf.DUMMYFUNCTION("""COMPUTED_VALUE"""),"27,4 %")</f>
        <v>27,4 %</v>
      </c>
      <c r="D115" t="str">
        <f>IFERROR(__xludf.DUMMYFUNCTION("""COMPUTED_VALUE"""),"16,2 %")</f>
        <v>16,2 %</v>
      </c>
    </row>
    <row r="116">
      <c r="A116" t="str">
        <f>IFERROR(__xludf.DUMMYFUNCTION("""COMPUTED_VALUE"""),"Somalie")</f>
        <v>Somalie</v>
      </c>
      <c r="B116" t="str">
        <f>IFERROR(__xludf.DUMMYFUNCTION("""COMPUTED_VALUE"""),"NC")</f>
        <v>NC</v>
      </c>
      <c r="C116" t="str">
        <f>IFERROR(__xludf.DUMMYFUNCTION("""COMPUTED_VALUE"""),"NC")</f>
        <v>NC</v>
      </c>
      <c r="D116" t="str">
        <f>IFERROR(__xludf.DUMMYFUNCTION("""COMPUTED_VALUE"""),"16,2 %")</f>
        <v>16,2 %</v>
      </c>
    </row>
    <row r="117">
      <c r="A117" t="str">
        <f>IFERROR(__xludf.DUMMYFUNCTION("""COMPUTED_VALUE"""),"Papouasie-Nouvelle-Guinée")</f>
        <v>Papouasie-Nouvelle-Guinée</v>
      </c>
      <c r="B117" t="str">
        <f>IFERROR(__xludf.DUMMYFUNCTION("""COMPUTED_VALUE"""),"NC")</f>
        <v>NC</v>
      </c>
      <c r="C117" t="str">
        <f>IFERROR(__xludf.DUMMYFUNCTION("""COMPUTED_VALUE"""),"NC")</f>
        <v>NC</v>
      </c>
      <c r="D117" t="str">
        <f>IFERROR(__xludf.DUMMYFUNCTION("""COMPUTED_VALUE"""),"16,4 %")</f>
        <v>16,4 %</v>
      </c>
    </row>
    <row r="118">
      <c r="A118" t="str">
        <f>IFERROR(__xludf.DUMMYFUNCTION("""COMPUTED_VALUE"""),"Philippines")</f>
        <v>Philippines</v>
      </c>
      <c r="B118" t="str">
        <f>IFERROR(__xludf.DUMMYFUNCTION("""COMPUTED_VALUE"""),"16,9 %")</f>
        <v>16,9 %</v>
      </c>
      <c r="C118" t="str">
        <f>IFERROR(__xludf.DUMMYFUNCTION("""COMPUTED_VALUE"""),"32,5 %")</f>
        <v>32,5 %</v>
      </c>
      <c r="D118" t="str">
        <f>IFERROR(__xludf.DUMMYFUNCTION("""COMPUTED_VALUE"""),"16,6 %")</f>
        <v>16,6 %</v>
      </c>
    </row>
    <row r="119">
      <c r="A119" t="str">
        <f>IFERROR(__xludf.DUMMYFUNCTION("""COMPUTED_VALUE"""),"Ouzbékistan")</f>
        <v>Ouzbékistan</v>
      </c>
      <c r="B119" t="str">
        <f>IFERROR(__xludf.DUMMYFUNCTION("""COMPUTED_VALUE"""),"20,4 %")</f>
        <v>20,4 %</v>
      </c>
      <c r="C119" t="str">
        <f>IFERROR(__xludf.DUMMYFUNCTION("""COMPUTED_VALUE"""),"23,2 %")</f>
        <v>23,2 %</v>
      </c>
      <c r="D119" t="str">
        <f>IFERROR(__xludf.DUMMYFUNCTION("""COMPUTED_VALUE"""),"16,6 %")</f>
        <v>16,6 %</v>
      </c>
    </row>
    <row r="120">
      <c r="A120" t="str">
        <f>IFERROR(__xludf.DUMMYFUNCTION("""COMPUTED_VALUE"""),"Pakistan")</f>
        <v>Pakistan</v>
      </c>
      <c r="B120" t="str">
        <f>IFERROR(__xludf.DUMMYFUNCTION("""COMPUTED_VALUE"""),"22,7 %")</f>
        <v>22,7 %</v>
      </c>
      <c r="C120" t="str">
        <f>IFERROR(__xludf.DUMMYFUNCTION("""COMPUTED_VALUE"""),"25,5 %")</f>
        <v>25,5 %</v>
      </c>
      <c r="D120" t="str">
        <f>IFERROR(__xludf.DUMMYFUNCTION("""COMPUTED_VALUE"""),"16,6 %")</f>
        <v>16,6 %</v>
      </c>
    </row>
    <row r="121">
      <c r="A121" t="str">
        <f>IFERROR(__xludf.DUMMYFUNCTION("""COMPUTED_VALUE"""),"Birmanie")</f>
        <v>Birmanie</v>
      </c>
      <c r="B121" t="str">
        <f>IFERROR(__xludf.DUMMYFUNCTION("""COMPUTED_VALUE"""),"21,9 %")</f>
        <v>21,9 %</v>
      </c>
      <c r="C121" t="str">
        <f>IFERROR(__xludf.DUMMYFUNCTION("""COMPUTED_VALUE"""),"25,5 %")</f>
        <v>25,5 %</v>
      </c>
      <c r="D121" t="str">
        <f>IFERROR(__xludf.DUMMYFUNCTION("""COMPUTED_VALUE"""),"16,7 %")</f>
        <v>16,7 %</v>
      </c>
    </row>
    <row r="122">
      <c r="A122" t="str">
        <f>IFERROR(__xludf.DUMMYFUNCTION("""COMPUTED_VALUE"""),"Libye")</f>
        <v>Libye</v>
      </c>
      <c r="B122" t="str">
        <f>IFERROR(__xludf.DUMMYFUNCTION("""COMPUTED_VALUE"""),"NC")</f>
        <v>NC</v>
      </c>
      <c r="C122" t="str">
        <f>IFERROR(__xludf.DUMMYFUNCTION("""COMPUTED_VALUE"""),"NC")</f>
        <v>NC</v>
      </c>
      <c r="D122" t="str">
        <f>IFERROR(__xludf.DUMMYFUNCTION("""COMPUTED_VALUE"""),"16,8 %")</f>
        <v>16,8 %</v>
      </c>
    </row>
    <row r="123">
      <c r="A123" t="str">
        <f>IFERROR(__xludf.DUMMYFUNCTION("""COMPUTED_VALUE"""),"Israël")</f>
        <v>Israël</v>
      </c>
      <c r="B123" t="str">
        <f>IFERROR(__xludf.DUMMYFUNCTION("""COMPUTED_VALUE"""),"16,6 %")</f>
        <v>16,6 %</v>
      </c>
      <c r="C123" t="str">
        <f>IFERROR(__xludf.DUMMYFUNCTION("""COMPUTED_VALUE"""),"26,6 %")</f>
        <v>26,6 %</v>
      </c>
      <c r="D123" t="str">
        <f>IFERROR(__xludf.DUMMYFUNCTION("""COMPUTED_VALUE"""),"16,8 %")</f>
        <v>16,8 %</v>
      </c>
    </row>
    <row r="124">
      <c r="A124" t="str">
        <f>IFERROR(__xludf.DUMMYFUNCTION("""COMPUTED_VALUE"""),"Bulgarie")</f>
        <v>Bulgarie</v>
      </c>
      <c r="B124" t="str">
        <f>IFERROR(__xludf.DUMMYFUNCTION("""COMPUTED_VALUE"""),"17,1 %")</f>
        <v>17,1 %</v>
      </c>
      <c r="C124" t="str">
        <f>IFERROR(__xludf.DUMMYFUNCTION("""COMPUTED_VALUE"""),"29,9 %")</f>
        <v>29,9 %</v>
      </c>
      <c r="D124" t="str">
        <f>IFERROR(__xludf.DUMMYFUNCTION("""COMPUTED_VALUE"""),"16,9 %")</f>
        <v>16,9 %</v>
      </c>
    </row>
    <row r="125">
      <c r="A125" t="str">
        <f>IFERROR(__xludf.DUMMYFUNCTION("""COMPUTED_VALUE"""),"Zimbabwe")</f>
        <v>Zimbabwe</v>
      </c>
      <c r="B125" t="str">
        <f>IFERROR(__xludf.DUMMYFUNCTION("""COMPUTED_VALUE"""),"15,1 %")</f>
        <v>15,1 %</v>
      </c>
      <c r="C125" t="str">
        <f>IFERROR(__xludf.DUMMYFUNCTION("""COMPUTED_VALUE"""),"34,8 %")</f>
        <v>34,8 %</v>
      </c>
      <c r="D125" t="str">
        <f>IFERROR(__xludf.DUMMYFUNCTION("""COMPUTED_VALUE"""),"17,5 %")</f>
        <v>17,5 %</v>
      </c>
    </row>
    <row r="126">
      <c r="A126" t="str">
        <f>IFERROR(__xludf.DUMMYFUNCTION("""COMPUTED_VALUE"""),"Koweït")</f>
        <v>Koweït</v>
      </c>
      <c r="B126" t="str">
        <f>IFERROR(__xludf.DUMMYFUNCTION("""COMPUTED_VALUE"""),"NC")</f>
        <v>NC</v>
      </c>
      <c r="C126" t="str">
        <f>IFERROR(__xludf.DUMMYFUNCTION("""COMPUTED_VALUE"""),"NC")</f>
        <v>NC</v>
      </c>
      <c r="D126" t="str">
        <f>IFERROR(__xludf.DUMMYFUNCTION("""COMPUTED_VALUE"""),"17,6 %")</f>
        <v>17,6 %</v>
      </c>
    </row>
    <row r="127">
      <c r="A127" t="str">
        <f>IFERROR(__xludf.DUMMYFUNCTION("""COMPUTED_VALUE"""),"Hong Kong")</f>
        <v>Hong Kong</v>
      </c>
      <c r="B127" t="str">
        <f>IFERROR(__xludf.DUMMYFUNCTION("""COMPUTED_VALUE"""),"NC")</f>
        <v>NC</v>
      </c>
      <c r="C127" t="str">
        <f>IFERROR(__xludf.DUMMYFUNCTION("""COMPUTED_VALUE"""),"NC")</f>
        <v>NC</v>
      </c>
      <c r="D127" t="str">
        <f>IFERROR(__xludf.DUMMYFUNCTION("""COMPUTED_VALUE"""),"17,9 %")</f>
        <v>17,9 %</v>
      </c>
    </row>
    <row r="128">
      <c r="A128" t="str">
        <f>IFERROR(__xludf.DUMMYFUNCTION("""COMPUTED_VALUE"""),"Indonésie")</f>
        <v>Indonésie</v>
      </c>
      <c r="B128" t="str">
        <f>IFERROR(__xludf.DUMMYFUNCTION("""COMPUTED_VALUE"""),"19,5 %")</f>
        <v>19,5 %</v>
      </c>
      <c r="C128" t="str">
        <f>IFERROR(__xludf.DUMMYFUNCTION("""COMPUTED_VALUE"""),"29,9 %")</f>
        <v>29,9 %</v>
      </c>
      <c r="D128" t="str">
        <f>IFERROR(__xludf.DUMMYFUNCTION("""COMPUTED_VALUE"""),"17,9 %")</f>
        <v>17,9 %</v>
      </c>
    </row>
    <row r="129">
      <c r="A129" t="str">
        <f>IFERROR(__xludf.DUMMYFUNCTION("""COMPUTED_VALUE"""),"Panama")</f>
        <v>Panama</v>
      </c>
      <c r="B129" t="str">
        <f>IFERROR(__xludf.DUMMYFUNCTION("""COMPUTED_VALUE"""),"12,1 %")</f>
        <v>12,1 %</v>
      </c>
      <c r="C129" t="str">
        <f>IFERROR(__xludf.DUMMYFUNCTION("""COMPUTED_VALUE"""),"36,9 %")</f>
        <v>36,9 %</v>
      </c>
      <c r="D129" t="str">
        <f>IFERROR(__xludf.DUMMYFUNCTION("""COMPUTED_VALUE"""),"17,9 %")</f>
        <v>17,9 %</v>
      </c>
    </row>
    <row r="130">
      <c r="A130" t="str">
        <f>IFERROR(__xludf.DUMMYFUNCTION("""COMPUTED_VALUE"""),"Bahamas")</f>
        <v>Bahamas</v>
      </c>
      <c r="B130" t="str">
        <f>IFERROR(__xludf.DUMMYFUNCTION("""COMPUTED_VALUE"""),"NC")</f>
        <v>NC</v>
      </c>
      <c r="C130" t="str">
        <f>IFERROR(__xludf.DUMMYFUNCTION("""COMPUTED_VALUE"""),"NC")</f>
        <v>NC</v>
      </c>
      <c r="D130" t="str">
        <f>IFERROR(__xludf.DUMMYFUNCTION("""COMPUTED_VALUE"""),"17,9 %")</f>
        <v>17,9 %</v>
      </c>
    </row>
    <row r="131">
      <c r="A131" t="str">
        <f>IFERROR(__xludf.DUMMYFUNCTION("""COMPUTED_VALUE"""),"Trinité-et-Tobago")</f>
        <v>Trinité-et-Tobago</v>
      </c>
      <c r="B131" t="str">
        <f>IFERROR(__xludf.DUMMYFUNCTION("""COMPUTED_VALUE"""),"NC")</f>
        <v>NC</v>
      </c>
      <c r="C131" t="str">
        <f>IFERROR(__xludf.DUMMYFUNCTION("""COMPUTED_VALUE"""),"NC")</f>
        <v>NC</v>
      </c>
      <c r="D131" t="str">
        <f>IFERROR(__xludf.DUMMYFUNCTION("""COMPUTED_VALUE"""),"17,9 %")</f>
        <v>17,9 %</v>
      </c>
    </row>
    <row r="132">
      <c r="A132" t="str">
        <f>IFERROR(__xludf.DUMMYFUNCTION("""COMPUTED_VALUE"""),"Guyana")</f>
        <v>Guyana</v>
      </c>
      <c r="B132" t="str">
        <f>IFERROR(__xludf.DUMMYFUNCTION("""COMPUTED_VALUE"""),"NC")</f>
        <v>NC</v>
      </c>
      <c r="C132" t="str">
        <f>IFERROR(__xludf.DUMMYFUNCTION("""COMPUTED_VALUE"""),"NC")</f>
        <v>NC</v>
      </c>
      <c r="D132" t="str">
        <f>IFERROR(__xludf.DUMMYFUNCTION("""COMPUTED_VALUE"""),"17,9 %")</f>
        <v>17,9 %</v>
      </c>
    </row>
    <row r="133">
      <c r="A133" t="str">
        <f>IFERROR(__xludf.DUMMYFUNCTION("""COMPUTED_VALUE"""),"Paraguay")</f>
        <v>Paraguay</v>
      </c>
      <c r="B133" t="str">
        <f>IFERROR(__xludf.DUMMYFUNCTION("""COMPUTED_VALUE"""),"14,5 %")</f>
        <v>14,5 %</v>
      </c>
      <c r="C133" t="str">
        <f>IFERROR(__xludf.DUMMYFUNCTION("""COMPUTED_VALUE"""),"35,4 %")</f>
        <v>35,4 %</v>
      </c>
      <c r="D133" t="str">
        <f>IFERROR(__xludf.DUMMYFUNCTION("""COMPUTED_VALUE"""),"17,9 %")</f>
        <v>17,9 %</v>
      </c>
    </row>
    <row r="134">
      <c r="A134" t="str">
        <f>IFERROR(__xludf.DUMMYFUNCTION("""COMPUTED_VALUE"""),"Bolivie")</f>
        <v>Bolivie</v>
      </c>
      <c r="B134" t="str">
        <f>IFERROR(__xludf.DUMMYFUNCTION("""COMPUTED_VALUE"""),"15,7 %")</f>
        <v>15,7 %</v>
      </c>
      <c r="C134" t="str">
        <f>IFERROR(__xludf.DUMMYFUNCTION("""COMPUTED_VALUE"""),"30,3 %")</f>
        <v>30,3 %</v>
      </c>
      <c r="D134" t="str">
        <f>IFERROR(__xludf.DUMMYFUNCTION("""COMPUTED_VALUE"""),"17,9 %")</f>
        <v>17,9 %</v>
      </c>
    </row>
    <row r="135">
      <c r="A135" t="str">
        <f>IFERROR(__xludf.DUMMYFUNCTION("""COMPUTED_VALUE"""),"Suriname")</f>
        <v>Suriname</v>
      </c>
      <c r="B135" t="str">
        <f>IFERROR(__xludf.DUMMYFUNCTION("""COMPUTED_VALUE"""),"17,0 %")</f>
        <v>17,0 %</v>
      </c>
      <c r="C135" t="str">
        <f>IFERROR(__xludf.DUMMYFUNCTION("""COMPUTED_VALUE"""),"30,1 %")</f>
        <v>30,1 %</v>
      </c>
      <c r="D135" t="str">
        <f>IFERROR(__xludf.DUMMYFUNCTION("""COMPUTED_VALUE"""),"17,9 %")</f>
        <v>17,9 %</v>
      </c>
    </row>
    <row r="136">
      <c r="A136" t="str">
        <f>IFERROR(__xludf.DUMMYFUNCTION("""COMPUTED_VALUE"""),"Belize")</f>
        <v>Belize</v>
      </c>
      <c r="B136" t="str">
        <f>IFERROR(__xludf.DUMMYFUNCTION("""COMPUTED_VALUE"""),"NC")</f>
        <v>NC</v>
      </c>
      <c r="C136" t="str">
        <f>IFERROR(__xludf.DUMMYFUNCTION("""COMPUTED_VALUE"""),"NC")</f>
        <v>NC</v>
      </c>
      <c r="D136" t="str">
        <f>IFERROR(__xludf.DUMMYFUNCTION("""COMPUTED_VALUE"""),"17,9 %")</f>
        <v>17,9 %</v>
      </c>
    </row>
    <row r="137">
      <c r="A137" t="str">
        <f>IFERROR(__xludf.DUMMYFUNCTION("""COMPUTED_VALUE"""),"Jamaïque")</f>
        <v>Jamaïque</v>
      </c>
      <c r="B137" t="str">
        <f>IFERROR(__xludf.DUMMYFUNCTION("""COMPUTED_VALUE"""),"16,0 %")</f>
        <v>16,0 %</v>
      </c>
      <c r="C137" t="str">
        <f>IFERROR(__xludf.DUMMYFUNCTION("""COMPUTED_VALUE"""),"29,9 %")</f>
        <v>29,9 %</v>
      </c>
      <c r="D137" t="str">
        <f>IFERROR(__xludf.DUMMYFUNCTION("""COMPUTED_VALUE"""),"17,9 %")</f>
        <v>17,9 %</v>
      </c>
    </row>
    <row r="138">
      <c r="A138" t="str">
        <f>IFERROR(__xludf.DUMMYFUNCTION("""COMPUTED_VALUE"""),"Venezuela")</f>
        <v>Venezuela</v>
      </c>
      <c r="B138" t="str">
        <f>IFERROR(__xludf.DUMMYFUNCTION("""COMPUTED_VALUE"""),"NC")</f>
        <v>NC</v>
      </c>
      <c r="C138" t="str">
        <f>IFERROR(__xludf.DUMMYFUNCTION("""COMPUTED_VALUE"""),"NC")</f>
        <v>NC</v>
      </c>
      <c r="D138" t="str">
        <f>IFERROR(__xludf.DUMMYFUNCTION("""COMPUTED_VALUE"""),"17,9 %")</f>
        <v>17,9 %</v>
      </c>
    </row>
    <row r="139">
      <c r="A139" t="str">
        <f>IFERROR(__xludf.DUMMYFUNCTION("""COMPUTED_VALUE"""),"Nicaragua")</f>
        <v>Nicaragua</v>
      </c>
      <c r="B139" t="str">
        <f>IFERROR(__xludf.DUMMYFUNCTION("""COMPUTED_VALUE"""),"14,3 %")</f>
        <v>14,3 %</v>
      </c>
      <c r="C139" t="str">
        <f>IFERROR(__xludf.DUMMYFUNCTION("""COMPUTED_VALUE"""),"37,2 %")</f>
        <v>37,2 %</v>
      </c>
      <c r="D139" t="str">
        <f>IFERROR(__xludf.DUMMYFUNCTION("""COMPUTED_VALUE"""),"17,9 %")</f>
        <v>17,9 %</v>
      </c>
    </row>
    <row r="140">
      <c r="A140" t="str">
        <f>IFERROR(__xludf.DUMMYFUNCTION("""COMPUTED_VALUE"""),"Guatemala")</f>
        <v>Guatemala</v>
      </c>
      <c r="B140" t="str">
        <f>IFERROR(__xludf.DUMMYFUNCTION("""COMPUTED_VALUE"""),"13,1 %")</f>
        <v>13,1 %</v>
      </c>
      <c r="C140" t="str">
        <f>IFERROR(__xludf.DUMMYFUNCTION("""COMPUTED_VALUE"""),"38,0 %")</f>
        <v>38,0 %</v>
      </c>
      <c r="D140" t="str">
        <f>IFERROR(__xludf.DUMMYFUNCTION("""COMPUTED_VALUE"""),"17,9 %")</f>
        <v>17,9 %</v>
      </c>
    </row>
    <row r="141">
      <c r="A141" t="str">
        <f>IFERROR(__xludf.DUMMYFUNCTION("""COMPUTED_VALUE"""),"Honduras")</f>
        <v>Honduras</v>
      </c>
      <c r="B141" t="str">
        <f>IFERROR(__xludf.DUMMYFUNCTION("""COMPUTED_VALUE"""),"11,6 %")</f>
        <v>11,6 %</v>
      </c>
      <c r="C141" t="str">
        <f>IFERROR(__xludf.DUMMYFUNCTION("""COMPUTED_VALUE"""),"34,6 %")</f>
        <v>34,6 %</v>
      </c>
      <c r="D141" t="str">
        <f>IFERROR(__xludf.DUMMYFUNCTION("""COMPUTED_VALUE"""),"17,9 %")</f>
        <v>17,9 %</v>
      </c>
    </row>
    <row r="142">
      <c r="A142" t="str">
        <f>IFERROR(__xludf.DUMMYFUNCTION("""COMPUTED_VALUE"""),"Haïti")</f>
        <v>Haïti</v>
      </c>
      <c r="B142" t="str">
        <f>IFERROR(__xludf.DUMMYFUNCTION("""COMPUTED_VALUE"""),"15,8 %")</f>
        <v>15,8 %</v>
      </c>
      <c r="C142" t="str">
        <f>IFERROR(__xludf.DUMMYFUNCTION("""COMPUTED_VALUE"""),"31,2 %")</f>
        <v>31,2 %</v>
      </c>
      <c r="D142" t="str">
        <f>IFERROR(__xludf.DUMMYFUNCTION("""COMPUTED_VALUE"""),"17,9 %")</f>
        <v>17,9 %</v>
      </c>
    </row>
    <row r="143">
      <c r="A143" t="str">
        <f>IFERROR(__xludf.DUMMYFUNCTION("""COMPUTED_VALUE"""),"Colombie")</f>
        <v>Colombie</v>
      </c>
      <c r="B143" t="str">
        <f>IFERROR(__xludf.DUMMYFUNCTION("""COMPUTED_VALUE"""),"10,3 %")</f>
        <v>10,3 %</v>
      </c>
      <c r="C143" t="str">
        <f>IFERROR(__xludf.DUMMYFUNCTION("""COMPUTED_VALUE"""),"43,5 %")</f>
        <v>43,5 %</v>
      </c>
      <c r="D143" t="str">
        <f>IFERROR(__xludf.DUMMYFUNCTION("""COMPUTED_VALUE"""),"17,9 %")</f>
        <v>17,9 %</v>
      </c>
    </row>
    <row r="144">
      <c r="A144" t="str">
        <f>IFERROR(__xludf.DUMMYFUNCTION("""COMPUTED_VALUE"""),"Zambie")</f>
        <v>Zambie</v>
      </c>
      <c r="B144" t="str">
        <f>IFERROR(__xludf.DUMMYFUNCTION("""COMPUTED_VALUE"""),"11,2 %")</f>
        <v>11,2 %</v>
      </c>
      <c r="C144" t="str">
        <f>IFERROR(__xludf.DUMMYFUNCTION("""COMPUTED_VALUE"""),"39,1 %")</f>
        <v>39,1 %</v>
      </c>
      <c r="D144" t="str">
        <f>IFERROR(__xludf.DUMMYFUNCTION("""COMPUTED_VALUE"""),"18,0 %")</f>
        <v>18,0 %</v>
      </c>
    </row>
    <row r="145">
      <c r="A145" t="str">
        <f>IFERROR(__xludf.DUMMYFUNCTION("""COMPUTED_VALUE"""),"Kirghizistan")</f>
        <v>Kirghizistan</v>
      </c>
      <c r="B145" t="str">
        <f>IFERROR(__xludf.DUMMYFUNCTION("""COMPUTED_VALUE"""),"23,8 %")</f>
        <v>23,8 %</v>
      </c>
      <c r="C145" t="str">
        <f>IFERROR(__xludf.DUMMYFUNCTION("""COMPUTED_VALUE"""),"22,0 %")</f>
        <v>22,0 %</v>
      </c>
      <c r="D145" t="str">
        <f>IFERROR(__xludf.DUMMYFUNCTION("""COMPUTED_VALUE"""),"18,1 %")</f>
        <v>18,1 %</v>
      </c>
    </row>
    <row r="146">
      <c r="A146" t="str">
        <f>IFERROR(__xludf.DUMMYFUNCTION("""COMPUTED_VALUE"""),"Cambodge")</f>
        <v>Cambodge</v>
      </c>
      <c r="B146" t="str">
        <f>IFERROR(__xludf.DUMMYFUNCTION("""COMPUTED_VALUE"""),"NC")</f>
        <v>NC</v>
      </c>
      <c r="C146" t="str">
        <f>IFERROR(__xludf.DUMMYFUNCTION("""COMPUTED_VALUE"""),"NC")</f>
        <v>NC</v>
      </c>
      <c r="D146" t="str">
        <f>IFERROR(__xludf.DUMMYFUNCTION("""COMPUTED_VALUE"""),"18,1 %")</f>
        <v>18,1 %</v>
      </c>
    </row>
    <row r="147">
      <c r="A147" t="str">
        <f>IFERROR(__xludf.DUMMYFUNCTION("""COMPUTED_VALUE"""),"Tanzanie")</f>
        <v>Tanzanie</v>
      </c>
      <c r="B147" t="str">
        <f>IFERROR(__xludf.DUMMYFUNCTION("""COMPUTED_VALUE"""),"17,4 %")</f>
        <v>17,4 %</v>
      </c>
      <c r="C147" t="str">
        <f>IFERROR(__xludf.DUMMYFUNCTION("""COMPUTED_VALUE"""),"33,1 %")</f>
        <v>33,1 %</v>
      </c>
      <c r="D147" t="str">
        <f>IFERROR(__xludf.DUMMYFUNCTION("""COMPUTED_VALUE"""),"18,1 %")</f>
        <v>18,1 %</v>
      </c>
    </row>
    <row r="148">
      <c r="A148" t="str">
        <f>IFERROR(__xludf.DUMMYFUNCTION("""COMPUTED_VALUE"""),"Costa Rica")</f>
        <v>Costa Rica</v>
      </c>
      <c r="B148" t="str">
        <f>IFERROR(__xludf.DUMMYFUNCTION("""COMPUTED_VALUE"""),"13,2 %")</f>
        <v>13,2 %</v>
      </c>
      <c r="C148" t="str">
        <f>IFERROR(__xludf.DUMMYFUNCTION("""COMPUTED_VALUE"""),"35,1 %")</f>
        <v>35,1 %</v>
      </c>
      <c r="D148" t="str">
        <f>IFERROR(__xludf.DUMMYFUNCTION("""COMPUTED_VALUE"""),"18,2 %")</f>
        <v>18,2 %</v>
      </c>
    </row>
    <row r="149">
      <c r="A149" t="str">
        <f>IFERROR(__xludf.DUMMYFUNCTION("""COMPUTED_VALUE"""),"Palestine")</f>
        <v>Palestine</v>
      </c>
      <c r="B149" t="str">
        <f>IFERROR(__xludf.DUMMYFUNCTION("""COMPUTED_VALUE"""),"19,2 %")</f>
        <v>19,2 %</v>
      </c>
      <c r="C149" t="str">
        <f>IFERROR(__xludf.DUMMYFUNCTION("""COMPUTED_VALUE"""),"25,2 %")</f>
        <v>25,2 %</v>
      </c>
      <c r="D149" t="str">
        <f>IFERROR(__xludf.DUMMYFUNCTION("""COMPUTED_VALUE"""),"18,2 %")</f>
        <v>18,2 %</v>
      </c>
    </row>
    <row r="150">
      <c r="A150" t="str">
        <f>IFERROR(__xludf.DUMMYFUNCTION("""COMPUTED_VALUE"""),"Iran")</f>
        <v>Iran</v>
      </c>
      <c r="B150" t="str">
        <f>IFERROR(__xludf.DUMMYFUNCTION("""COMPUTED_VALUE"""),"19,1 %")</f>
        <v>19,1 %</v>
      </c>
      <c r="C150" t="str">
        <f>IFERROR(__xludf.DUMMYFUNCTION("""COMPUTED_VALUE"""),"26,8 %")</f>
        <v>26,8 %</v>
      </c>
      <c r="D150" t="str">
        <f>IFERROR(__xludf.DUMMYFUNCTION("""COMPUTED_VALUE"""),"18,3 %")</f>
        <v>18,3 %</v>
      </c>
    </row>
    <row r="151">
      <c r="A151" t="str">
        <f>IFERROR(__xludf.DUMMYFUNCTION("""COMPUTED_VALUE"""),"Géorgie")</f>
        <v>Géorgie</v>
      </c>
      <c r="B151" t="str">
        <f>IFERROR(__xludf.DUMMYFUNCTION("""COMPUTED_VALUE"""),"19,3 %")</f>
        <v>19,3 %</v>
      </c>
      <c r="C151" t="str">
        <f>IFERROR(__xludf.DUMMYFUNCTION("""COMPUTED_VALUE"""),"25,2 %")</f>
        <v>25,2 %</v>
      </c>
      <c r="D151" t="str">
        <f>IFERROR(__xludf.DUMMYFUNCTION("""COMPUTED_VALUE"""),"18,5 %")</f>
        <v>18,5 %</v>
      </c>
    </row>
    <row r="152">
      <c r="A152" t="str">
        <f>IFERROR(__xludf.DUMMYFUNCTION("""COMPUTED_VALUE"""),"Guinée équatoriale")</f>
        <v>Guinée équatoriale</v>
      </c>
      <c r="B152" t="str">
        <f>IFERROR(__xludf.DUMMYFUNCTION("""COMPUTED_VALUE"""),"NC")</f>
        <v>NC</v>
      </c>
      <c r="C152" t="str">
        <f>IFERROR(__xludf.DUMMYFUNCTION("""COMPUTED_VALUE"""),"NC")</f>
        <v>NC</v>
      </c>
      <c r="D152" t="str">
        <f>IFERROR(__xludf.DUMMYFUNCTION("""COMPUTED_VALUE"""),"18,9 %")</f>
        <v>18,9 %</v>
      </c>
    </row>
    <row r="153">
      <c r="A153" t="str">
        <f>IFERROR(__xludf.DUMMYFUNCTION("""COMPUTED_VALUE"""),"Égypte")</f>
        <v>Égypte</v>
      </c>
      <c r="B153" t="str">
        <f>IFERROR(__xludf.DUMMYFUNCTION("""COMPUTED_VALUE"""),"21,8 %")</f>
        <v>21,8 %</v>
      </c>
      <c r="C153" t="str">
        <f>IFERROR(__xludf.DUMMYFUNCTION("""COMPUTED_VALUE"""),"27,5 %")</f>
        <v>27,5 %</v>
      </c>
      <c r="D153" t="str">
        <f>IFERROR(__xludf.DUMMYFUNCTION("""COMPUTED_VALUE"""),"19,1 %")</f>
        <v>19,1 %</v>
      </c>
    </row>
    <row r="154">
      <c r="A154" t="str">
        <f>IFERROR(__xludf.DUMMYFUNCTION("""COMPUTED_VALUE"""),"Eswatini")</f>
        <v>Eswatini</v>
      </c>
      <c r="B154" t="str">
        <f>IFERROR(__xludf.DUMMYFUNCTION("""COMPUTED_VALUE"""),"10,5 %")</f>
        <v>10,5 %</v>
      </c>
      <c r="C154" t="str">
        <f>IFERROR(__xludf.DUMMYFUNCTION("""COMPUTED_VALUE"""),"42,7 %")</f>
        <v>42,7 %</v>
      </c>
      <c r="D154" t="str">
        <f>IFERROR(__xludf.DUMMYFUNCTION("""COMPUTED_VALUE"""),"19,3 %")</f>
        <v>19,3 %</v>
      </c>
    </row>
    <row r="155">
      <c r="A155" t="str">
        <f>IFERROR(__xludf.DUMMYFUNCTION("""COMPUTED_VALUE"""),"République démocratique du Congo")</f>
        <v>République démocratique du Congo</v>
      </c>
      <c r="B155" t="str">
        <f>IFERROR(__xludf.DUMMYFUNCTION("""COMPUTED_VALUE"""),"15,1 %")</f>
        <v>15,1 %</v>
      </c>
      <c r="C155" t="str">
        <f>IFERROR(__xludf.DUMMYFUNCTION("""COMPUTED_VALUE"""),"35,7 %")</f>
        <v>35,7 %</v>
      </c>
      <c r="D155" t="str">
        <f>IFERROR(__xludf.DUMMYFUNCTION("""COMPUTED_VALUE"""),"19,4 %")</f>
        <v>19,4 %</v>
      </c>
    </row>
    <row r="156">
      <c r="A156" t="str">
        <f>IFERROR(__xludf.DUMMYFUNCTION("""COMPUTED_VALUE"""),"Afrique du Sud")</f>
        <v>Afrique du Sud</v>
      </c>
      <c r="B156" t="str">
        <f>IFERROR(__xludf.DUMMYFUNCTION("""COMPUTED_VALUE"""),"7,2 %")</f>
        <v>7,2 %</v>
      </c>
      <c r="C156" t="str">
        <f>IFERROR(__xludf.DUMMYFUNCTION("""COMPUTED_VALUE"""),"50,5 %")</f>
        <v>50,5 %</v>
      </c>
      <c r="D156" t="str">
        <f>IFERROR(__xludf.DUMMYFUNCTION("""COMPUTED_VALUE"""),"19,4 %")</f>
        <v>19,4 %</v>
      </c>
    </row>
    <row r="157">
      <c r="A157" t="str">
        <f>IFERROR(__xludf.DUMMYFUNCTION("""COMPUTED_VALUE"""),"Turkménistan")</f>
        <v>Turkménistan</v>
      </c>
      <c r="B157" t="str">
        <f>IFERROR(__xludf.DUMMYFUNCTION("""COMPUTED_VALUE"""),"NC")</f>
        <v>NC</v>
      </c>
      <c r="C157" t="str">
        <f>IFERROR(__xludf.DUMMYFUNCTION("""COMPUTED_VALUE"""),"NC")</f>
        <v>NC</v>
      </c>
      <c r="D157" t="str">
        <f>IFERROR(__xludf.DUMMYFUNCTION("""COMPUTED_VALUE"""),"19,5 %")</f>
        <v>19,5 %</v>
      </c>
    </row>
    <row r="158">
      <c r="A158" t="str">
        <f>IFERROR(__xludf.DUMMYFUNCTION("""COMPUTED_VALUE"""),"Laos")</f>
        <v>Laos</v>
      </c>
      <c r="B158" t="str">
        <f>IFERROR(__xludf.DUMMYFUNCTION("""COMPUTED_VALUE"""),"17,8 %")</f>
        <v>17,8 %</v>
      </c>
      <c r="C158" t="str">
        <f>IFERROR(__xludf.DUMMYFUNCTION("""COMPUTED_VALUE"""),"31,2 %")</f>
        <v>31,2 %</v>
      </c>
      <c r="D158" t="str">
        <f>IFERROR(__xludf.DUMMYFUNCTION("""COMPUTED_VALUE"""),"19,7 %")</f>
        <v>19,7 %</v>
      </c>
    </row>
    <row r="159">
      <c r="A159" t="str">
        <f>IFERROR(__xludf.DUMMYFUNCTION("""COMPUTED_VALUE"""),"Thaïlande")</f>
        <v>Thaïlande</v>
      </c>
      <c r="B159" t="str">
        <f>IFERROR(__xludf.DUMMYFUNCTION("""COMPUTED_VALUE"""),"19,1 %")</f>
        <v>19,1 %</v>
      </c>
      <c r="C159" t="str">
        <f>IFERROR(__xludf.DUMMYFUNCTION("""COMPUTED_VALUE"""),"27,1 %")</f>
        <v>27,1 %</v>
      </c>
      <c r="D159" t="str">
        <f>IFERROR(__xludf.DUMMYFUNCTION("""COMPUTED_VALUE"""),"19,8 %")</f>
        <v>19,8 %</v>
      </c>
    </row>
    <row r="160">
      <c r="A160" t="str">
        <f>IFERROR(__xludf.DUMMYFUNCTION("""COMPUTED_VALUE"""),"Oman")</f>
        <v>Oman</v>
      </c>
      <c r="B160" t="str">
        <f>IFERROR(__xludf.DUMMYFUNCTION("""COMPUTED_VALUE"""),"NC")</f>
        <v>NC</v>
      </c>
      <c r="C160" t="str">
        <f>IFERROR(__xludf.DUMMYFUNCTION("""COMPUTED_VALUE"""),"NC")</f>
        <v>NC</v>
      </c>
      <c r="D160" t="str">
        <f>IFERROR(__xludf.DUMMYFUNCTION("""COMPUTED_VALUE"""),"19,9 %")</f>
        <v>19,9 %</v>
      </c>
    </row>
    <row r="161">
      <c r="A161" t="str">
        <f>IFERROR(__xludf.DUMMYFUNCTION("""COMPUTED_VALUE"""),"Rwanda")</f>
        <v>Rwanda</v>
      </c>
      <c r="B161" t="str">
        <f>IFERROR(__xludf.DUMMYFUNCTION("""COMPUTED_VALUE"""),"15,8 %")</f>
        <v>15,8 %</v>
      </c>
      <c r="C161" t="str">
        <f>IFERROR(__xludf.DUMMYFUNCTION("""COMPUTED_VALUE"""),"35,6 %")</f>
        <v>35,6 %</v>
      </c>
      <c r="D161" t="str">
        <f>IFERROR(__xludf.DUMMYFUNCTION("""COMPUTED_VALUE"""),"19,9 %")</f>
        <v>19,9 %</v>
      </c>
    </row>
    <row r="162">
      <c r="A162" t="str">
        <f>IFERROR(__xludf.DUMMYFUNCTION("""COMPUTED_VALUE"""),"Jordanie")</f>
        <v>Jordanie</v>
      </c>
      <c r="B162" t="str">
        <f>IFERROR(__xludf.DUMMYFUNCTION("""COMPUTED_VALUE"""),"20,3 %")</f>
        <v>20,3 %</v>
      </c>
      <c r="C162" t="str">
        <f>IFERROR(__xludf.DUMMYFUNCTION("""COMPUTED_VALUE"""),"27,4 %")</f>
        <v>27,4 %</v>
      </c>
      <c r="D162" t="str">
        <f>IFERROR(__xludf.DUMMYFUNCTION("""COMPUTED_VALUE"""),"20,4 %")</f>
        <v>20,4 %</v>
      </c>
    </row>
    <row r="163">
      <c r="A163" t="str">
        <f>IFERROR(__xludf.DUMMYFUNCTION("""COMPUTED_VALUE"""),"Seychelles")</f>
        <v>Seychelles</v>
      </c>
      <c r="B163" t="str">
        <f>IFERROR(__xludf.DUMMYFUNCTION("""COMPUTED_VALUE"""),"19,7 %")</f>
        <v>19,7 %</v>
      </c>
      <c r="C163" t="str">
        <f>IFERROR(__xludf.DUMMYFUNCTION("""COMPUTED_VALUE"""),"23,9 %")</f>
        <v>23,9 %</v>
      </c>
      <c r="D163" t="str">
        <f>IFERROR(__xludf.DUMMYFUNCTION("""COMPUTED_VALUE"""),"20,4 %")</f>
        <v>20,4 %</v>
      </c>
    </row>
    <row r="164">
      <c r="A164" t="str">
        <f>IFERROR(__xludf.DUMMYFUNCTION("""COMPUTED_VALUE"""),"Sri Lanka")</f>
        <v>Sri Lanka</v>
      </c>
      <c r="B164" t="str">
        <f>IFERROR(__xludf.DUMMYFUNCTION("""COMPUTED_VALUE"""),"18,5 %")</f>
        <v>18,5 %</v>
      </c>
      <c r="C164" t="str">
        <f>IFERROR(__xludf.DUMMYFUNCTION("""COMPUTED_VALUE"""),"30,8 %")</f>
        <v>30,8 %</v>
      </c>
      <c r="D164" t="str">
        <f>IFERROR(__xludf.DUMMYFUNCTION("""COMPUTED_VALUE"""),"20,5 %")</f>
        <v>20,5 %</v>
      </c>
    </row>
    <row r="165">
      <c r="A165" t="str">
        <f>IFERROR(__xludf.DUMMYFUNCTION("""COMPUTED_VALUE"""),"République du Congo")</f>
        <v>République du Congo</v>
      </c>
      <c r="B165" t="str">
        <f>IFERROR(__xludf.DUMMYFUNCTION("""COMPUTED_VALUE"""),"12,4 %")</f>
        <v>12,4 %</v>
      </c>
      <c r="C165" t="str">
        <f>IFERROR(__xludf.DUMMYFUNCTION("""COMPUTED_VALUE"""),"37,9 %")</f>
        <v>37,9 %</v>
      </c>
      <c r="D165" t="str">
        <f>IFERROR(__xludf.DUMMYFUNCTION("""COMPUTED_VALUE"""),"20,5 %")</f>
        <v>20,5 %</v>
      </c>
    </row>
    <row r="166">
      <c r="A166" t="str">
        <f>IFERROR(__xludf.DUMMYFUNCTION("""COMPUTED_VALUE"""),"États-Unis")</f>
        <v>États-Unis</v>
      </c>
      <c r="B166" t="str">
        <f>IFERROR(__xludf.DUMMYFUNCTION("""COMPUTED_VALUE"""),"15,6 %")</f>
        <v>15,6 %</v>
      </c>
      <c r="C166" t="str">
        <f>IFERROR(__xludf.DUMMYFUNCTION("""COMPUTED_VALUE"""),"30,2 %")</f>
        <v>30,2 %</v>
      </c>
      <c r="D166" t="str">
        <f>IFERROR(__xludf.DUMMYFUNCTION("""COMPUTED_VALUE"""),"20,7 %")</f>
        <v>20,7 %</v>
      </c>
    </row>
    <row r="167">
      <c r="A167" t="str">
        <f>IFERROR(__xludf.DUMMYFUNCTION("""COMPUTED_VALUE"""),"Côte d'Ivoire")</f>
        <v>Côte d'Ivoire</v>
      </c>
      <c r="B167" t="str">
        <f>IFERROR(__xludf.DUMMYFUNCTION("""COMPUTED_VALUE"""),"19,2 %")</f>
        <v>19,2 %</v>
      </c>
      <c r="C167" t="str">
        <f>IFERROR(__xludf.DUMMYFUNCTION("""COMPUTED_VALUE"""),"27,8 %")</f>
        <v>27,8 %</v>
      </c>
      <c r="D167" t="str">
        <f>IFERROR(__xludf.DUMMYFUNCTION("""COMPUTED_VALUE"""),"21,0 %")</f>
        <v>21,0 %</v>
      </c>
    </row>
    <row r="168">
      <c r="A168" t="str">
        <f>IFERROR(__xludf.DUMMYFUNCTION("""COMPUTED_VALUE"""),"Brésil")</f>
        <v>Brésil</v>
      </c>
      <c r="B168" t="str">
        <f>IFERROR(__xludf.DUMMYFUNCTION("""COMPUTED_VALUE"""),"11,3 %")</f>
        <v>11,3 %</v>
      </c>
      <c r="C168" t="str">
        <f>IFERROR(__xludf.DUMMYFUNCTION("""COMPUTED_VALUE"""),"41,0 %")</f>
        <v>41,0 %</v>
      </c>
      <c r="D168" t="str">
        <f>IFERROR(__xludf.DUMMYFUNCTION("""COMPUTED_VALUE"""),"21,1 %")</f>
        <v>21,1 %</v>
      </c>
    </row>
    <row r="169">
      <c r="A169" t="str">
        <f>IFERROR(__xludf.DUMMYFUNCTION("""COMPUTED_VALUE"""),"Antigua-et-Barbuda")</f>
        <v>Antigua-et-Barbuda</v>
      </c>
      <c r="B169" t="str">
        <f>IFERROR(__xludf.DUMMYFUNCTION("""COMPUTED_VALUE"""),"NC")</f>
        <v>NC</v>
      </c>
      <c r="C169" t="str">
        <f>IFERROR(__xludf.DUMMYFUNCTION("""COMPUTED_VALUE"""),"NC")</f>
        <v>NC</v>
      </c>
      <c r="D169" t="str">
        <f>IFERROR(__xludf.DUMMYFUNCTION("""COMPUTED_VALUE"""),"21,2 %")</f>
        <v>21,2 %</v>
      </c>
    </row>
    <row r="170">
      <c r="A170" t="str">
        <f>IFERROR(__xludf.DUMMYFUNCTION("""COMPUTED_VALUE"""),"Saint-Christophe-et-Niévès")</f>
        <v>Saint-Christophe-et-Niévès</v>
      </c>
      <c r="B170" t="str">
        <f>IFERROR(__xludf.DUMMYFUNCTION("""COMPUTED_VALUE"""),"NC")</f>
        <v>NC</v>
      </c>
      <c r="C170" t="str">
        <f>IFERROR(__xludf.DUMMYFUNCTION("""COMPUTED_VALUE"""),"NC")</f>
        <v>NC</v>
      </c>
      <c r="D170" t="str">
        <f>IFERROR(__xludf.DUMMYFUNCTION("""COMPUTED_VALUE"""),"21,2 %")</f>
        <v>21,2 %</v>
      </c>
    </row>
    <row r="171">
      <c r="A171" t="str">
        <f>IFERROR(__xludf.DUMMYFUNCTION("""COMPUTED_VALUE"""),"Barbade")</f>
        <v>Barbade</v>
      </c>
      <c r="B171" t="str">
        <f>IFERROR(__xludf.DUMMYFUNCTION("""COMPUTED_VALUE"""),"NC")</f>
        <v>NC</v>
      </c>
      <c r="C171" t="str">
        <f>IFERROR(__xludf.DUMMYFUNCTION("""COMPUTED_VALUE"""),"NC")</f>
        <v>NC</v>
      </c>
      <c r="D171" t="str">
        <f>IFERROR(__xludf.DUMMYFUNCTION("""COMPUTED_VALUE"""),"21,2 %")</f>
        <v>21,2 %</v>
      </c>
    </row>
    <row r="172">
      <c r="A172" t="str">
        <f>IFERROR(__xludf.DUMMYFUNCTION("""COMPUTED_VALUE"""),"Saint-Vincent-et-les-Grenadines")</f>
        <v>Saint-Vincent-et-les-Grenadines</v>
      </c>
      <c r="B172" t="str">
        <f>IFERROR(__xludf.DUMMYFUNCTION("""COMPUTED_VALUE"""),"NC")</f>
        <v>NC</v>
      </c>
      <c r="C172" t="str">
        <f>IFERROR(__xludf.DUMMYFUNCTION("""COMPUTED_VALUE"""),"NC")</f>
        <v>NC</v>
      </c>
      <c r="D172" t="str">
        <f>IFERROR(__xludf.DUMMYFUNCTION("""COMPUTED_VALUE"""),"21,2 %")</f>
        <v>21,2 %</v>
      </c>
    </row>
    <row r="173">
      <c r="A173" t="str">
        <f>IFERROR(__xludf.DUMMYFUNCTION("""COMPUTED_VALUE"""),"Grenade")</f>
        <v>Grenade</v>
      </c>
      <c r="B173" t="str">
        <f>IFERROR(__xludf.DUMMYFUNCTION("""COMPUTED_VALUE"""),"15,2 %")</f>
        <v>15,2 %</v>
      </c>
      <c r="C173" t="str">
        <f>IFERROR(__xludf.DUMMYFUNCTION("""COMPUTED_VALUE"""),"33,7 %")</f>
        <v>33,7 %</v>
      </c>
      <c r="D173" t="str">
        <f>IFERROR(__xludf.DUMMYFUNCTION("""COMPUTED_VALUE"""),"21,2 %")</f>
        <v>21,2 %</v>
      </c>
    </row>
    <row r="174">
      <c r="A174" t="str">
        <f>IFERROR(__xludf.DUMMYFUNCTION("""COMPUTED_VALUE"""),"Dominique")</f>
        <v>Dominique</v>
      </c>
      <c r="B174" t="str">
        <f>IFERROR(__xludf.DUMMYFUNCTION("""COMPUTED_VALUE"""),"NC")</f>
        <v>NC</v>
      </c>
      <c r="C174" t="str">
        <f>IFERROR(__xludf.DUMMYFUNCTION("""COMPUTED_VALUE"""),"NC")</f>
        <v>NC</v>
      </c>
      <c r="D174" t="str">
        <f>IFERROR(__xludf.DUMMYFUNCTION("""COMPUTED_VALUE"""),"21,2 %")</f>
        <v>21,2 %</v>
      </c>
    </row>
    <row r="175">
      <c r="A175" t="str">
        <f>IFERROR(__xludf.DUMMYFUNCTION("""COMPUTED_VALUE"""),"Sainte-Lucie")</f>
        <v>Sainte-Lucie</v>
      </c>
      <c r="B175" t="str">
        <f>IFERROR(__xludf.DUMMYFUNCTION("""COMPUTED_VALUE"""),"15,1 %")</f>
        <v>15,1 %</v>
      </c>
      <c r="C175" t="str">
        <f>IFERROR(__xludf.DUMMYFUNCTION("""COMPUTED_VALUE"""),"34,1 %")</f>
        <v>34,1 %</v>
      </c>
      <c r="D175" t="str">
        <f>IFERROR(__xludf.DUMMYFUNCTION("""COMPUTED_VALUE"""),"21,2 %")</f>
        <v>21,2 %</v>
      </c>
    </row>
    <row r="176">
      <c r="A176" t="str">
        <f>IFERROR(__xludf.DUMMYFUNCTION("""COMPUTED_VALUE"""),"Liban")</f>
        <v>Liban</v>
      </c>
      <c r="B176" t="str">
        <f>IFERROR(__xludf.DUMMYFUNCTION("""COMPUTED_VALUE"""),"20,6 %")</f>
        <v>20,6 %</v>
      </c>
      <c r="C176" t="str">
        <f>IFERROR(__xludf.DUMMYFUNCTION("""COMPUTED_VALUE"""),"24,7 %")</f>
        <v>24,7 %</v>
      </c>
      <c r="D176" t="str">
        <f>IFERROR(__xludf.DUMMYFUNCTION("""COMPUTED_VALUE"""),"21,3 %")</f>
        <v>21,3 %</v>
      </c>
    </row>
    <row r="177">
      <c r="A177" t="str">
        <f>IFERROR(__xludf.DUMMYFUNCTION("""COMPUTED_VALUE"""),"Ouganda")</f>
        <v>Ouganda</v>
      </c>
      <c r="B177" t="str">
        <f>IFERROR(__xludf.DUMMYFUNCTION("""COMPUTED_VALUE"""),"16,1 %")</f>
        <v>16,1 %</v>
      </c>
      <c r="C177" t="str">
        <f>IFERROR(__xludf.DUMMYFUNCTION("""COMPUTED_VALUE"""),"34,5 %")</f>
        <v>34,5 %</v>
      </c>
      <c r="D177" t="str">
        <f>IFERROR(__xludf.DUMMYFUNCTION("""COMPUTED_VALUE"""),"21,4 %")</f>
        <v>21,4 %</v>
      </c>
    </row>
    <row r="178">
      <c r="A178" t="str">
        <f>IFERROR(__xludf.DUMMYFUNCTION("""COMPUTED_VALUE"""),"Namibie")</f>
        <v>Namibie</v>
      </c>
      <c r="B178" t="str">
        <f>IFERROR(__xludf.DUMMYFUNCTION("""COMPUTED_VALUE"""),"8,6 %")</f>
        <v>8,6 %</v>
      </c>
      <c r="C178" t="str">
        <f>IFERROR(__xludf.DUMMYFUNCTION("""COMPUTED_VALUE"""),"47,2 %")</f>
        <v>47,2 %</v>
      </c>
      <c r="D178" t="str">
        <f>IFERROR(__xludf.DUMMYFUNCTION("""COMPUTED_VALUE"""),"21,6 %")</f>
        <v>21,6 %</v>
      </c>
    </row>
    <row r="179">
      <c r="A179" t="str">
        <f>IFERROR(__xludf.DUMMYFUNCTION("""COMPUTED_VALUE"""),"Syrie")</f>
        <v>Syrie</v>
      </c>
      <c r="B179" t="str">
        <f>IFERROR(__xludf.DUMMYFUNCTION("""COMPUTED_VALUE"""),"23,2 %")</f>
        <v>23,2 %</v>
      </c>
      <c r="C179" t="str">
        <f>IFERROR(__xludf.DUMMYFUNCTION("""COMPUTED_VALUE"""),"21,1 %")</f>
        <v>21,1 %</v>
      </c>
      <c r="D179" t="str">
        <f>IFERROR(__xludf.DUMMYFUNCTION("""COMPUTED_VALUE"""),"21,6 %")</f>
        <v>21,6 %</v>
      </c>
    </row>
    <row r="180">
      <c r="A180" t="str">
        <f>IFERROR(__xludf.DUMMYFUNCTION("""COMPUTED_VALUE"""),"Mexique")</f>
        <v>Mexique</v>
      </c>
      <c r="B180" t="str">
        <f>IFERROR(__xludf.DUMMYFUNCTION("""COMPUTED_VALUE"""),"15,4 %")</f>
        <v>15,4 %</v>
      </c>
      <c r="C180" t="str">
        <f>IFERROR(__xludf.DUMMYFUNCTION("""COMPUTED_VALUE"""),"34,4 %")</f>
        <v>34,4 %</v>
      </c>
      <c r="D180" t="str">
        <f>IFERROR(__xludf.DUMMYFUNCTION("""COMPUTED_VALUE"""),"21,6 %")</f>
        <v>21,6 %</v>
      </c>
    </row>
    <row r="181">
      <c r="A181" t="str">
        <f>IFERROR(__xludf.DUMMYFUNCTION("""COMPUTED_VALUE"""),"Chili")</f>
        <v>Chili</v>
      </c>
      <c r="B181" t="str">
        <f>IFERROR(__xludf.DUMMYFUNCTION("""COMPUTED_VALUE"""),"15,8 %")</f>
        <v>15,8 %</v>
      </c>
      <c r="C181" t="str">
        <f>IFERROR(__xludf.DUMMYFUNCTION("""COMPUTED_VALUE"""),"34,5 %")</f>
        <v>34,5 %</v>
      </c>
      <c r="D181" t="str">
        <f>IFERROR(__xludf.DUMMYFUNCTION("""COMPUTED_VALUE"""),"22,0 %")</f>
        <v>22,0 %</v>
      </c>
    </row>
    <row r="182">
      <c r="A182" t="str">
        <f>IFERROR(__xludf.DUMMYFUNCTION("""COMPUTED_VALUE"""),"Tunisie")</f>
        <v>Tunisie</v>
      </c>
      <c r="B182" t="str">
        <f>IFERROR(__xludf.DUMMYFUNCTION("""COMPUTED_VALUE"""),"20,0 %")</f>
        <v>20,0 %</v>
      </c>
      <c r="C182" t="str">
        <f>IFERROR(__xludf.DUMMYFUNCTION("""COMPUTED_VALUE"""),"27,0 %")</f>
        <v>27,0 %</v>
      </c>
      <c r="D182" t="str">
        <f>IFERROR(__xludf.DUMMYFUNCTION("""COMPUTED_VALUE"""),"22,6 %")</f>
        <v>22,6 %</v>
      </c>
    </row>
    <row r="183">
      <c r="A183" t="str">
        <f>IFERROR(__xludf.DUMMYFUNCTION("""COMPUTED_VALUE"""),"Botswana")</f>
        <v>Botswana</v>
      </c>
      <c r="B183" t="str">
        <f>IFERROR(__xludf.DUMMYFUNCTION("""COMPUTED_VALUE"""),"10,9 %")</f>
        <v>10,9 %</v>
      </c>
      <c r="C183" t="str">
        <f>IFERROR(__xludf.DUMMYFUNCTION("""COMPUTED_VALUE"""),"41,5 %")</f>
        <v>41,5 %</v>
      </c>
      <c r="D183" t="str">
        <f>IFERROR(__xludf.DUMMYFUNCTION("""COMPUTED_VALUE"""),"22,7 %")</f>
        <v>22,7 %</v>
      </c>
    </row>
    <row r="184">
      <c r="A184" t="str">
        <f>IFERROR(__xludf.DUMMYFUNCTION("""COMPUTED_VALUE"""),"Inde")</f>
        <v>Inde</v>
      </c>
      <c r="B184" t="str">
        <f>IFERROR(__xludf.DUMMYFUNCTION("""COMPUTED_VALUE"""),"20,2 %")</f>
        <v>20,2 %</v>
      </c>
      <c r="C184" t="str">
        <f>IFERROR(__xludf.DUMMYFUNCTION("""COMPUTED_VALUE"""),"25,5 %")</f>
        <v>25,5 %</v>
      </c>
      <c r="D184" t="str">
        <f>IFERROR(__xludf.DUMMYFUNCTION("""COMPUTED_VALUE"""),"23,1 %")</f>
        <v>23,1 %</v>
      </c>
    </row>
    <row r="185">
      <c r="A185" t="str">
        <f>IFERROR(__xludf.DUMMYFUNCTION("""COMPUTED_VALUE"""),"Algérie")</f>
        <v>Algérie</v>
      </c>
      <c r="B185" t="str">
        <f>IFERROR(__xludf.DUMMYFUNCTION("""COMPUTED_VALUE"""),"23,1 %")</f>
        <v>23,1 %</v>
      </c>
      <c r="C185" t="str">
        <f>IFERROR(__xludf.DUMMYFUNCTION("""COMPUTED_VALUE"""),"22,9 %")</f>
        <v>22,9 %</v>
      </c>
      <c r="D185" t="str">
        <f>IFERROR(__xludf.DUMMYFUNCTION("""COMPUTED_VALUE"""),"23,3 %")</f>
        <v>23,3 %</v>
      </c>
    </row>
    <row r="186">
      <c r="A186" t="str">
        <f>IFERROR(__xludf.DUMMYFUNCTION("""COMPUTED_VALUE"""),"Russie")</f>
        <v>Russie</v>
      </c>
      <c r="B186" t="str">
        <f>IFERROR(__xludf.DUMMYFUNCTION("""COMPUTED_VALUE"""),"18,7 %")</f>
        <v>18,7 %</v>
      </c>
      <c r="C186" t="str">
        <f>IFERROR(__xludf.DUMMYFUNCTION("""COMPUTED_VALUE"""),"26,6 %")</f>
        <v>26,6 %</v>
      </c>
      <c r="D186" t="str">
        <f>IFERROR(__xludf.DUMMYFUNCTION("""COMPUTED_VALUE"""),"23,8 %")</f>
        <v>23,8 %</v>
      </c>
    </row>
    <row r="187">
      <c r="A187" t="str">
        <f>IFERROR(__xludf.DUMMYFUNCTION("""COMPUTED_VALUE"""),"Qatar")</f>
        <v>Qatar</v>
      </c>
      <c r="B187" t="str">
        <f>IFERROR(__xludf.DUMMYFUNCTION("""COMPUTED_VALUE"""),"18,1 %")</f>
        <v>18,1 %</v>
      </c>
      <c r="C187" t="str">
        <f>IFERROR(__xludf.DUMMYFUNCTION("""COMPUTED_VALUE"""),"25,8 %")</f>
        <v>25,8 %</v>
      </c>
      <c r="D187" t="str">
        <f>IFERROR(__xludf.DUMMYFUNCTION("""COMPUTED_VALUE"""),"24,3 %")</f>
        <v>24,3 %</v>
      </c>
    </row>
    <row r="188">
      <c r="A188" t="str">
        <f>IFERROR(__xludf.DUMMYFUNCTION("""COMPUTED_VALUE"""),"Turquie")</f>
        <v>Turquie</v>
      </c>
      <c r="B188" t="str">
        <f>IFERROR(__xludf.DUMMYFUNCTION("""COMPUTED_VALUE"""),"14,7 %")</f>
        <v>14,7 %</v>
      </c>
      <c r="C188" t="str">
        <f>IFERROR(__xludf.DUMMYFUNCTION("""COMPUTED_VALUE"""),"34,7 %")</f>
        <v>34,7 %</v>
      </c>
      <c r="D188" t="str">
        <f>IFERROR(__xludf.DUMMYFUNCTION("""COMPUTED_VALUE"""),"24,4 %")</f>
        <v>24,4 %</v>
      </c>
    </row>
    <row r="189">
      <c r="A189" t="str">
        <f>IFERROR(__xludf.DUMMYFUNCTION("""COMPUTED_VALUE"""),"Mozambique")</f>
        <v>Mozambique</v>
      </c>
      <c r="B189" t="str">
        <f>IFERROR(__xludf.DUMMYFUNCTION("""COMPUTED_VALUE"""),"12,9 %")</f>
        <v>12,9 %</v>
      </c>
      <c r="C189" t="str">
        <f>IFERROR(__xludf.DUMMYFUNCTION("""COMPUTED_VALUE"""),"41,1 %")</f>
        <v>41,1 %</v>
      </c>
      <c r="D189" t="str">
        <f>IFERROR(__xludf.DUMMYFUNCTION("""COMPUTED_VALUE"""),"24,8 %")</f>
        <v>24,8 %</v>
      </c>
    </row>
    <row r="190">
      <c r="A190" t="str">
        <f>IFERROR(__xludf.DUMMYFUNCTION("""COMPUTED_VALUE"""),"Yémen")</f>
        <v>Yémen</v>
      </c>
      <c r="B190" t="str">
        <f>IFERROR(__xludf.DUMMYFUNCTION("""COMPUTED_VALUE"""),"18,8 %")</f>
        <v>18,8 %</v>
      </c>
      <c r="C190" t="str">
        <f>IFERROR(__xludf.DUMMYFUNCTION("""COMPUTED_VALUE"""),"29,4 %")</f>
        <v>29,4 %</v>
      </c>
      <c r="D190" t="str">
        <f>IFERROR(__xludf.DUMMYFUNCTION("""COMPUTED_VALUE"""),"25,0 %")</f>
        <v>25,0 %</v>
      </c>
    </row>
    <row r="191">
      <c r="A191" t="str">
        <f>IFERROR(__xludf.DUMMYFUNCTION("""COMPUTED_VALUE"""),"Arabie saoudite")</f>
        <v>Arabie saoudite</v>
      </c>
      <c r="B191" t="str">
        <f>IFERROR(__xludf.DUMMYFUNCTION("""COMPUTED_VALUE"""),"NC")</f>
        <v>NC</v>
      </c>
      <c r="C191" t="str">
        <f>IFERROR(__xludf.DUMMYFUNCTION("""COMPUTED_VALUE"""),"NC")</f>
        <v>NC</v>
      </c>
      <c r="D191" t="str">
        <f>IFERROR(__xludf.DUMMYFUNCTION("""COMPUTED_VALUE"""),"25,2 %")</f>
        <v>25,2 %</v>
      </c>
    </row>
    <row r="192">
      <c r="A192" t="str">
        <f>IFERROR(__xludf.DUMMYFUNCTION("""COMPUTED_VALUE"""),"Bahreïn")</f>
        <v>Bahreïn</v>
      </c>
      <c r="B192" t="str">
        <f>IFERROR(__xludf.DUMMYFUNCTION("""COMPUTED_VALUE"""),"NC")</f>
        <v>NC</v>
      </c>
      <c r="C192" t="str">
        <f>IFERROR(__xludf.DUMMYFUNCTION("""COMPUTED_VALUE"""),"NC")</f>
        <v>NC</v>
      </c>
      <c r="D192" t="str">
        <f>IFERROR(__xludf.DUMMYFUNCTION("""COMPUTED_VALUE"""),"25,5 %")</f>
        <v>25,5 %</v>
      </c>
    </row>
    <row r="193">
      <c r="A193" t="str">
        <f>IFERROR(__xludf.DUMMYFUNCTION("""COMPUTED_VALUE"""),"Angola")</f>
        <v>Angola</v>
      </c>
      <c r="B193" t="str">
        <f>IFERROR(__xludf.DUMMYFUNCTION("""COMPUTED_VALUE"""),"11,5 %")</f>
        <v>11,5 %</v>
      </c>
      <c r="C193" t="str">
        <f>IFERROR(__xludf.DUMMYFUNCTION("""COMPUTED_VALUE"""),"39,6 %")</f>
        <v>39,6 %</v>
      </c>
      <c r="D193" t="str">
        <f>IFERROR(__xludf.DUMMYFUNCTION("""COMPUTED_VALUE"""),"26,0 %")</f>
        <v>26,0 %</v>
      </c>
    </row>
    <row r="194">
      <c r="A194" t="str">
        <f>IFERROR(__xludf.DUMMYFUNCTION("""COMPUTED_VALUE"""),"Pérou")</f>
        <v>Pérou</v>
      </c>
      <c r="B194" t="str">
        <f>IFERROR(__xludf.DUMMYFUNCTION("""COMPUTED_VALUE"""),"16,2 %")</f>
        <v>16,2 %</v>
      </c>
      <c r="C194" t="str">
        <f>IFERROR(__xludf.DUMMYFUNCTION("""COMPUTED_VALUE"""),"30,7 %")</f>
        <v>30,7 %</v>
      </c>
      <c r="D194" t="str">
        <f>IFERROR(__xludf.DUMMYFUNCTION("""COMPUTED_VALUE"""),"26,9 %")</f>
        <v>26,9 %</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tr">
        <f>IFERROR(__xludf.DUMMYFUNCTION("IMPORTHTML(""https://fr.wikipedia.org/wiki/D%C3%A9mographie_du_Limousin"",""table"")"),"Année")</f>
        <v>Année</v>
      </c>
      <c r="B1" t="str">
        <f>IFERROR(__xludf.DUMMYFUNCTION("""COMPUTED_VALUE"""),"département de la
Corrèze")</f>
        <v>département de la
Corrèze</v>
      </c>
      <c r="C1" t="str">
        <f>IFERROR(__xludf.DUMMYFUNCTION("""COMPUTED_VALUE"""),"département de la
Creuse")</f>
        <v>département de la
Creuse</v>
      </c>
      <c r="D1" t="str">
        <f>IFERROR(__xludf.DUMMYFUNCTION("""COMPUTED_VALUE"""),"département de la
Haute-Vienne")</f>
        <v>département de la
Haute-Vienne</v>
      </c>
      <c r="E1" t="str">
        <f>IFERROR(__xludf.DUMMYFUNCTION("""COMPUTED_VALUE"""),"Total Limousin")</f>
        <v>Total Limousin</v>
      </c>
    </row>
    <row r="2">
      <c r="A2">
        <f>IFERROR(__xludf.DUMMYFUNCTION("""COMPUTED_VALUE"""),1801.0)</f>
        <v>1801</v>
      </c>
      <c r="B2">
        <f>IFERROR(__xludf.DUMMYFUNCTION("""COMPUTED_VALUE"""),243654.0)</f>
        <v>243654</v>
      </c>
      <c r="C2">
        <f>IFERROR(__xludf.DUMMYFUNCTION("""COMPUTED_VALUE"""),218041.0)</f>
        <v>218041</v>
      </c>
      <c r="D2">
        <f>IFERROR(__xludf.DUMMYFUNCTION("""COMPUTED_VALUE"""),245150.0)</f>
        <v>245150</v>
      </c>
      <c r="E2">
        <f>IFERROR(__xludf.DUMMYFUNCTION("""COMPUTED_VALUE"""),706845.0)</f>
        <v>706845</v>
      </c>
    </row>
    <row r="3">
      <c r="A3">
        <f>IFERROR(__xludf.DUMMYFUNCTION("""COMPUTED_VALUE"""),1851.0)</f>
        <v>1851</v>
      </c>
      <c r="B3">
        <f>IFERROR(__xludf.DUMMYFUNCTION("""COMPUTED_VALUE"""),320866.0)</f>
        <v>320866</v>
      </c>
      <c r="C3">
        <f>IFERROR(__xludf.DUMMYFUNCTION("""COMPUTED_VALUE"""),287075.0)</f>
        <v>287075</v>
      </c>
      <c r="D3">
        <f>IFERROR(__xludf.DUMMYFUNCTION("""COMPUTED_VALUE"""),319377.0)</f>
        <v>319377</v>
      </c>
      <c r="E3">
        <f>IFERROR(__xludf.DUMMYFUNCTION("""COMPUTED_VALUE"""),927318.0)</f>
        <v>927318</v>
      </c>
    </row>
    <row r="4">
      <c r="A4">
        <f>IFERROR(__xludf.DUMMYFUNCTION("""COMPUTED_VALUE"""),1901.0)</f>
        <v>1901</v>
      </c>
      <c r="B4">
        <f>IFERROR(__xludf.DUMMYFUNCTION("""COMPUTED_VALUE"""),318000.0)</f>
        <v>318000</v>
      </c>
      <c r="C4">
        <f>IFERROR(__xludf.DUMMYFUNCTION("""COMPUTED_VALUE"""),278000.0)</f>
        <v>278000</v>
      </c>
      <c r="D4">
        <f>IFERROR(__xludf.DUMMYFUNCTION("""COMPUTED_VALUE"""),282000.0)</f>
        <v>282000</v>
      </c>
      <c r="E4">
        <f>IFERROR(__xludf.DUMMYFUNCTION("""COMPUTED_VALUE"""),978000.0)</f>
        <v>978000</v>
      </c>
    </row>
    <row r="5">
      <c r="A5">
        <f>IFERROR(__xludf.DUMMYFUNCTION("""COMPUTED_VALUE"""),1936.0)</f>
        <v>1936</v>
      </c>
      <c r="B5">
        <f>IFERROR(__xludf.DUMMYFUNCTION("""COMPUTED_VALUE"""),262743.0)</f>
        <v>262743</v>
      </c>
      <c r="C5">
        <f>IFERROR(__xludf.DUMMYFUNCTION("""COMPUTED_VALUE"""),201844.0)</f>
        <v>201844</v>
      </c>
      <c r="D5">
        <f>IFERROR(__xludf.DUMMYFUNCTION("""COMPUTED_VALUE"""),333589.0)</f>
        <v>333589</v>
      </c>
      <c r="E5">
        <f>IFERROR(__xludf.DUMMYFUNCTION("""COMPUTED_VALUE"""),798175.0)</f>
        <v>798175</v>
      </c>
    </row>
    <row r="6">
      <c r="A6">
        <f>IFERROR(__xludf.DUMMYFUNCTION("""COMPUTED_VALUE"""),1954.0)</f>
        <v>1954</v>
      </c>
      <c r="B6">
        <f>IFERROR(__xludf.DUMMYFUNCTION("""COMPUTED_VALUE"""),242798.0)</f>
        <v>242798</v>
      </c>
      <c r="C6">
        <f>IFERROR(__xludf.DUMMYFUNCTION("""COMPUTED_VALUE"""),172702.0)</f>
        <v>172702</v>
      </c>
      <c r="D6">
        <f>IFERROR(__xludf.DUMMYFUNCTION("""COMPUTED_VALUE"""),324429.0)</f>
        <v>324429</v>
      </c>
      <c r="E6">
        <f>IFERROR(__xludf.DUMMYFUNCTION("""COMPUTED_VALUE"""),739929.0)</f>
        <v>739929</v>
      </c>
    </row>
    <row r="7">
      <c r="A7">
        <f>IFERROR(__xludf.DUMMYFUNCTION("""COMPUTED_VALUE"""),1968.0)</f>
        <v>1968</v>
      </c>
      <c r="B7">
        <f>IFERROR(__xludf.DUMMYFUNCTION("""COMPUTED_VALUE"""),237858.0)</f>
        <v>237858</v>
      </c>
      <c r="C7">
        <f>IFERROR(__xludf.DUMMYFUNCTION("""COMPUTED_VALUE"""),156876.0)</f>
        <v>156876</v>
      </c>
      <c r="D7">
        <f>IFERROR(__xludf.DUMMYFUNCTION("""COMPUTED_VALUE"""),352149.0)</f>
        <v>352149</v>
      </c>
      <c r="E7">
        <f>IFERROR(__xludf.DUMMYFUNCTION("""COMPUTED_VALUE"""),736323.0)</f>
        <v>736323</v>
      </c>
    </row>
    <row r="8">
      <c r="A8">
        <f>IFERROR(__xludf.DUMMYFUNCTION("""COMPUTED_VALUE"""),1975.0)</f>
        <v>1975</v>
      </c>
      <c r="B8">
        <f>IFERROR(__xludf.DUMMYFUNCTION("""COMPUTED_VALUE"""),240363.0)</f>
        <v>240363</v>
      </c>
      <c r="C8">
        <f>IFERROR(__xludf.DUMMYFUNCTION("""COMPUTED_VALUE"""),146214.0)</f>
        <v>146214</v>
      </c>
      <c r="D8">
        <f>IFERROR(__xludf.DUMMYFUNCTION("""COMPUTED_VALUE"""),352149.0)</f>
        <v>352149</v>
      </c>
      <c r="E8">
        <f>IFERROR(__xludf.DUMMYFUNCTION("""COMPUTED_VALUE"""),738726.0)</f>
        <v>738726</v>
      </c>
    </row>
    <row r="9">
      <c r="A9">
        <f>IFERROR(__xludf.DUMMYFUNCTION("""COMPUTED_VALUE"""),1982.0)</f>
        <v>1982</v>
      </c>
      <c r="B9">
        <f>IFERROR(__xludf.DUMMYFUNCTION("""COMPUTED_VALUE"""),241448.0)</f>
        <v>241448</v>
      </c>
      <c r="C9">
        <f>IFERROR(__xludf.DUMMYFUNCTION("""COMPUTED_VALUE"""),139968.0)</f>
        <v>139968</v>
      </c>
      <c r="D9">
        <f>IFERROR(__xludf.DUMMYFUNCTION("""COMPUTED_VALUE"""),355737.0)</f>
        <v>355737</v>
      </c>
      <c r="E9">
        <f>IFERROR(__xludf.DUMMYFUNCTION("""COMPUTED_VALUE"""),737153.0)</f>
        <v>737153</v>
      </c>
    </row>
    <row r="10">
      <c r="A10">
        <f>IFERROR(__xludf.DUMMYFUNCTION("""COMPUTED_VALUE"""),1990.0)</f>
        <v>1990</v>
      </c>
      <c r="B10">
        <f>IFERROR(__xludf.DUMMYFUNCTION("""COMPUTED_VALUE"""),238051.0)</f>
        <v>238051</v>
      </c>
      <c r="C10">
        <f>IFERROR(__xludf.DUMMYFUNCTION("""COMPUTED_VALUE"""),131585.0)</f>
        <v>131585</v>
      </c>
      <c r="D10">
        <f>IFERROR(__xludf.DUMMYFUNCTION("""COMPUTED_VALUE"""),353824.0)</f>
        <v>353824</v>
      </c>
      <c r="E10">
        <f>IFERROR(__xludf.DUMMYFUNCTION("""COMPUTED_VALUE"""),723460.0)</f>
        <v>723460</v>
      </c>
    </row>
    <row r="11">
      <c r="A11">
        <f>IFERROR(__xludf.DUMMYFUNCTION("""COMPUTED_VALUE"""),1991.0)</f>
        <v>1991</v>
      </c>
      <c r="B11">
        <f>IFERROR(__xludf.DUMMYFUNCTION("""COMPUTED_VALUE"""),237510.0)</f>
        <v>237510</v>
      </c>
      <c r="C11">
        <f>IFERROR(__xludf.DUMMYFUNCTION("""COMPUTED_VALUE"""),130554.0)</f>
        <v>130554</v>
      </c>
      <c r="D11">
        <f>IFERROR(__xludf.DUMMYFUNCTION("""COMPUTED_VALUE"""),353818.0)</f>
        <v>353818</v>
      </c>
      <c r="E11">
        <f>IFERROR(__xludf.DUMMYFUNCTION("""COMPUTED_VALUE"""),721882.0)</f>
        <v>721882</v>
      </c>
    </row>
    <row r="12">
      <c r="A12">
        <f>IFERROR(__xludf.DUMMYFUNCTION("""COMPUTED_VALUE"""),1992.0)</f>
        <v>1992</v>
      </c>
      <c r="B12">
        <f>IFERROR(__xludf.DUMMYFUNCTION("""COMPUTED_VALUE"""),236942.0)</f>
        <v>236942</v>
      </c>
      <c r="C12">
        <f>IFERROR(__xludf.DUMMYFUNCTION("""COMPUTED_VALUE"""),129648.0)</f>
        <v>129648</v>
      </c>
      <c r="D12">
        <f>IFERROR(__xludf.DUMMYFUNCTION("""COMPUTED_VALUE"""),354331.0)</f>
        <v>354331</v>
      </c>
      <c r="E12">
        <f>IFERROR(__xludf.DUMMYFUNCTION("""COMPUTED_VALUE"""),720921.0)</f>
        <v>720921</v>
      </c>
    </row>
    <row r="13">
      <c r="A13">
        <f>IFERROR(__xludf.DUMMYFUNCTION("""COMPUTED_VALUE"""),1993.0)</f>
        <v>1993</v>
      </c>
      <c r="B13">
        <f>IFERROR(__xludf.DUMMYFUNCTION("""COMPUTED_VALUE"""),236308.0)</f>
        <v>236308</v>
      </c>
      <c r="C13">
        <f>IFERROR(__xludf.DUMMYFUNCTION("""COMPUTED_VALUE"""),128976.0)</f>
        <v>128976</v>
      </c>
      <c r="D13">
        <f>IFERROR(__xludf.DUMMYFUNCTION("""COMPUTED_VALUE"""),354418.0)</f>
        <v>354418</v>
      </c>
      <c r="E13">
        <f>IFERROR(__xludf.DUMMYFUNCTION("""COMPUTED_VALUE"""),719702.0)</f>
        <v>719702</v>
      </c>
    </row>
    <row r="14">
      <c r="A14">
        <f>IFERROR(__xludf.DUMMYFUNCTION("""COMPUTED_VALUE"""),1994.0)</f>
        <v>1994</v>
      </c>
      <c r="B14">
        <f>IFERROR(__xludf.DUMMYFUNCTION("""COMPUTED_VALUE"""),235827.0)</f>
        <v>235827</v>
      </c>
      <c r="C14">
        <f>IFERROR(__xludf.DUMMYFUNCTION("""COMPUTED_VALUE"""),127959.0)</f>
        <v>127959</v>
      </c>
      <c r="D14">
        <f>IFERROR(__xludf.DUMMYFUNCTION("""COMPUTED_VALUE"""),354744.0)</f>
        <v>354744</v>
      </c>
      <c r="E14">
        <f>IFERROR(__xludf.DUMMYFUNCTION("""COMPUTED_VALUE"""),718530.0)</f>
        <v>718530</v>
      </c>
    </row>
    <row r="15">
      <c r="A15">
        <f>IFERROR(__xludf.DUMMYFUNCTION("""COMPUTED_VALUE"""),1995.0)</f>
        <v>1995</v>
      </c>
      <c r="B15">
        <f>IFERROR(__xludf.DUMMYFUNCTION("""COMPUTED_VALUE"""),235422.0)</f>
        <v>235422</v>
      </c>
      <c r="C15">
        <f>IFERROR(__xludf.DUMMYFUNCTION("""COMPUTED_VALUE"""),127002.0)</f>
        <v>127002</v>
      </c>
      <c r="D15">
        <f>IFERROR(__xludf.DUMMYFUNCTION("""COMPUTED_VALUE"""),354518.0)</f>
        <v>354518</v>
      </c>
      <c r="E15">
        <f>IFERROR(__xludf.DUMMYFUNCTION("""COMPUTED_VALUE"""),716942.0)</f>
        <v>716942</v>
      </c>
    </row>
    <row r="16">
      <c r="A16">
        <f>IFERROR(__xludf.DUMMYFUNCTION("""COMPUTED_VALUE"""),1996.0)</f>
        <v>1996</v>
      </c>
      <c r="B16">
        <f>IFERROR(__xludf.DUMMYFUNCTION("""COMPUTED_VALUE"""),234541.0)</f>
        <v>234541</v>
      </c>
      <c r="C16">
        <f>IFERROR(__xludf.DUMMYFUNCTION("""COMPUTED_VALUE"""),126359.0)</f>
        <v>126359</v>
      </c>
      <c r="D16">
        <f>IFERROR(__xludf.DUMMYFUNCTION("""COMPUTED_VALUE"""),354415.0)</f>
        <v>354415</v>
      </c>
      <c r="E16">
        <f>IFERROR(__xludf.DUMMYFUNCTION("""COMPUTED_VALUE"""),715315.0)</f>
        <v>715315</v>
      </c>
    </row>
    <row r="17">
      <c r="A17">
        <f>IFERROR(__xludf.DUMMYFUNCTION("""COMPUTED_VALUE"""),1997.0)</f>
        <v>1997</v>
      </c>
      <c r="B17">
        <f>IFERROR(__xludf.DUMMYFUNCTION("""COMPUTED_VALUE"""),233767.0)</f>
        <v>233767</v>
      </c>
      <c r="C17">
        <f>IFERROR(__xludf.DUMMYFUNCTION("""COMPUTED_VALUE"""),125856.0)</f>
        <v>125856</v>
      </c>
      <c r="D17">
        <f>IFERROR(__xludf.DUMMYFUNCTION("""COMPUTED_VALUE"""),354424.0)</f>
        <v>354424</v>
      </c>
      <c r="E17">
        <f>IFERROR(__xludf.DUMMYFUNCTION("""COMPUTED_VALUE"""),714047.0)</f>
        <v>714047</v>
      </c>
    </row>
    <row r="18">
      <c r="A18">
        <f>IFERROR(__xludf.DUMMYFUNCTION("""COMPUTED_VALUE"""),1998.0)</f>
        <v>1998</v>
      </c>
      <c r="B18">
        <f>IFERROR(__xludf.DUMMYFUNCTION("""COMPUTED_VALUE"""),233347.0)</f>
        <v>233347</v>
      </c>
      <c r="C18">
        <f>IFERROR(__xludf.DUMMYFUNCTION("""COMPUTED_VALUE"""),125314.0)</f>
        <v>125314</v>
      </c>
      <c r="D18">
        <f>IFERROR(__xludf.DUMMYFUNCTION("""COMPUTED_VALUE"""),353941.0)</f>
        <v>353941</v>
      </c>
      <c r="E18">
        <f>IFERROR(__xludf.DUMMYFUNCTION("""COMPUTED_VALUE"""),712602.0)</f>
        <v>712602</v>
      </c>
    </row>
    <row r="19">
      <c r="A19">
        <f>IFERROR(__xludf.DUMMYFUNCTION("""COMPUTED_VALUE"""),1999.0)</f>
        <v>1999</v>
      </c>
      <c r="B19">
        <f>IFERROR(__xludf.DUMMYFUNCTION("""COMPUTED_VALUE"""),232819.0)</f>
        <v>232819</v>
      </c>
      <c r="C19">
        <f>IFERROR(__xludf.DUMMYFUNCTION("""COMPUTED_VALUE"""),124597.0)</f>
        <v>124597</v>
      </c>
      <c r="D19">
        <f>IFERROR(__xludf.DUMMYFUNCTION("""COMPUTED_VALUE"""),354055.0)</f>
        <v>354055</v>
      </c>
      <c r="E19">
        <f>IFERROR(__xludf.DUMMYFUNCTION("""COMPUTED_VALUE"""),711471.0)</f>
        <v>711471</v>
      </c>
    </row>
    <row r="20">
      <c r="A20">
        <f>IFERROR(__xludf.DUMMYFUNCTION("""COMPUTED_VALUE"""),2000.0)</f>
        <v>2000</v>
      </c>
      <c r="B20">
        <f>IFERROR(__xludf.DUMMYFUNCTION("""COMPUTED_VALUE"""),233631.0)</f>
        <v>233631</v>
      </c>
      <c r="C20">
        <f>IFERROR(__xludf.DUMMYFUNCTION("""COMPUTED_VALUE"""),124303.0)</f>
        <v>124303</v>
      </c>
      <c r="D20">
        <f>IFERROR(__xludf.DUMMYFUNCTION("""COMPUTED_VALUE"""),355315.0)</f>
        <v>355315</v>
      </c>
      <c r="E20">
        <f>IFERROR(__xludf.DUMMYFUNCTION("""COMPUTED_VALUE"""),713249.0)</f>
        <v>713249</v>
      </c>
    </row>
    <row r="21">
      <c r="A21">
        <f>IFERROR(__xludf.DUMMYFUNCTION("""COMPUTED_VALUE"""),2001.0)</f>
        <v>2001</v>
      </c>
      <c r="B21">
        <f>IFERROR(__xludf.DUMMYFUNCTION("""COMPUTED_VALUE"""),234567.0)</f>
        <v>234567</v>
      </c>
      <c r="C21">
        <f>IFERROR(__xludf.DUMMYFUNCTION("""COMPUTED_VALUE"""),124095.0)</f>
        <v>124095</v>
      </c>
      <c r="D21">
        <f>IFERROR(__xludf.DUMMYFUNCTION("""COMPUTED_VALUE"""),357134.0)</f>
        <v>357134</v>
      </c>
      <c r="E21">
        <f>IFERROR(__xludf.DUMMYFUNCTION("""COMPUTED_VALUE"""),715796.0)</f>
        <v>715796</v>
      </c>
    </row>
    <row r="22">
      <c r="A22">
        <f>IFERROR(__xludf.DUMMYFUNCTION("""COMPUTED_VALUE"""),2002.0)</f>
        <v>2002</v>
      </c>
      <c r="B22">
        <f>IFERROR(__xludf.DUMMYFUNCTION("""COMPUTED_VALUE"""),235775.0)</f>
        <v>235775</v>
      </c>
      <c r="C22">
        <f>IFERROR(__xludf.DUMMYFUNCTION("""COMPUTED_VALUE"""),123953.0)</f>
        <v>123953</v>
      </c>
      <c r="D22">
        <f>IFERROR(__xludf.DUMMYFUNCTION("""COMPUTED_VALUE"""),358988.0)</f>
        <v>358988</v>
      </c>
      <c r="E22">
        <f>IFERROR(__xludf.DUMMYFUNCTION("""COMPUTED_VALUE"""),718716.0)</f>
        <v>718716</v>
      </c>
    </row>
    <row r="23">
      <c r="A23">
        <f>IFERROR(__xludf.DUMMYFUNCTION("""COMPUTED_VALUE"""),2003.0)</f>
        <v>2003</v>
      </c>
      <c r="B23">
        <f>IFERROR(__xludf.DUMMYFUNCTION("""COMPUTED_VALUE"""),236805.0)</f>
        <v>236805</v>
      </c>
      <c r="C23">
        <f>IFERROR(__xludf.DUMMYFUNCTION("""COMPUTED_VALUE"""),123797.0)</f>
        <v>123797</v>
      </c>
      <c r="D23">
        <f>IFERROR(__xludf.DUMMYFUNCTION("""COMPUTED_VALUE"""),360749.0)</f>
        <v>360749</v>
      </c>
      <c r="E23">
        <f>IFERROR(__xludf.DUMMYFUNCTION("""COMPUTED_VALUE"""),721351.0)</f>
        <v>721351</v>
      </c>
    </row>
    <row r="24">
      <c r="A24">
        <f>IFERROR(__xludf.DUMMYFUNCTION("""COMPUTED_VALUE"""),2004.0)</f>
        <v>2004</v>
      </c>
      <c r="B24">
        <f>IFERROR(__xludf.DUMMYFUNCTION("""COMPUTED_VALUE"""),237823.0)</f>
        <v>237823</v>
      </c>
      <c r="C24">
        <f>IFERROR(__xludf.DUMMYFUNCTION("""COMPUTED_VALUE"""),123561.0)</f>
        <v>123561</v>
      </c>
      <c r="D24">
        <f>IFERROR(__xludf.DUMMYFUNCTION("""COMPUTED_VALUE"""),362522.0)</f>
        <v>362522</v>
      </c>
      <c r="E24">
        <f>IFERROR(__xludf.DUMMYFUNCTION("""COMPUTED_VALUE"""),723906.0)</f>
        <v>723906</v>
      </c>
    </row>
    <row r="25">
      <c r="A25">
        <f>IFERROR(__xludf.DUMMYFUNCTION("""COMPUTED_VALUE"""),2005.0)</f>
        <v>2005</v>
      </c>
      <c r="B25">
        <f>IFERROR(__xludf.DUMMYFUNCTION("""COMPUTED_VALUE"""),239185.0)</f>
        <v>239185</v>
      </c>
      <c r="C25">
        <f>IFERROR(__xludf.DUMMYFUNCTION("""COMPUTED_VALUE"""),123423.0)</f>
        <v>123423</v>
      </c>
      <c r="D25">
        <f>IFERROR(__xludf.DUMMYFUNCTION("""COMPUTED_VALUE"""),364879.0)</f>
        <v>364879</v>
      </c>
      <c r="E25">
        <f>IFERROR(__xludf.DUMMYFUNCTION("""COMPUTED_VALUE"""),727487.0)</f>
        <v>727487</v>
      </c>
    </row>
    <row r="26">
      <c r="A26" t="str">
        <f>IFERROR(__xludf.DUMMYFUNCTION("""COMPUTED_VALUE"""),"2006[1]")</f>
        <v>2006[1]</v>
      </c>
      <c r="B26">
        <f>IFERROR(__xludf.DUMMYFUNCTION("""COMPUTED_VALUE"""),240363.0)</f>
        <v>240363</v>
      </c>
      <c r="C26">
        <f>IFERROR(__xludf.DUMMYFUNCTION("""COMPUTED_VALUE"""),123401.0)</f>
        <v>123401</v>
      </c>
      <c r="D26">
        <f>IFERROR(__xludf.DUMMYFUNCTION("""COMPUTED_VALUE"""),367156.0)</f>
        <v>367156</v>
      </c>
      <c r="E26">
        <f>IFERROR(__xludf.DUMMYFUNCTION("""COMPUTED_VALUE"""),730920.0)</f>
        <v>730920</v>
      </c>
    </row>
    <row r="27">
      <c r="A27" t="str">
        <f>IFERROR(__xludf.DUMMYFUNCTION("""COMPUTED_VALUE"""),"2007[2]")</f>
        <v>2007[2]</v>
      </c>
      <c r="B27">
        <f>IFERROR(__xludf.DUMMYFUNCTION("""COMPUTED_VALUE"""),242038.0)</f>
        <v>242038</v>
      </c>
      <c r="C27">
        <f>IFERROR(__xludf.DUMMYFUNCTION("""COMPUTED_VALUE"""),123861.0)</f>
        <v>123861</v>
      </c>
      <c r="D27">
        <f>IFERROR(__xludf.DUMMYFUNCTION("""COMPUTED_VALUE"""),371102.0)</f>
        <v>371102</v>
      </c>
      <c r="E27">
        <f>IFERROR(__xludf.DUMMYFUNCTION("""COMPUTED_VALUE"""),737001.0)</f>
        <v>737001</v>
      </c>
    </row>
    <row r="28">
      <c r="A28">
        <f>IFERROR(__xludf.DUMMYFUNCTION("""COMPUTED_VALUE"""),2008.0)</f>
        <v>2008</v>
      </c>
      <c r="B28">
        <f>IFERROR(__xludf.DUMMYFUNCTION("""COMPUTED_VALUE"""),242896.0)</f>
        <v>242896</v>
      </c>
      <c r="C28">
        <f>IFERROR(__xludf.DUMMYFUNCTION("""COMPUTED_VALUE"""),123907.0)</f>
        <v>123907</v>
      </c>
      <c r="D28">
        <f>IFERROR(__xludf.DUMMYFUNCTION("""COMPUTED_VALUE"""),373940.0)</f>
        <v>373940</v>
      </c>
      <c r="E28">
        <f>IFERROR(__xludf.DUMMYFUNCTION("""COMPUTED_VALUE"""),740743.0)</f>
        <v>740743</v>
      </c>
    </row>
    <row r="29">
      <c r="A29">
        <f>IFERROR(__xludf.DUMMYFUNCTION("""COMPUTED_VALUE"""),2009.0)</f>
        <v>2009</v>
      </c>
      <c r="B29">
        <f>IFERROR(__xludf.DUMMYFUNCTION("""COMPUTED_VALUE"""),243352.0)</f>
        <v>243352</v>
      </c>
      <c r="C29">
        <f>IFERROR(__xludf.DUMMYFUNCTION("""COMPUTED_VALUE"""),123584.0)</f>
        <v>123584</v>
      </c>
      <c r="D29">
        <f>IFERROR(__xludf.DUMMYFUNCTION("""COMPUTED_VALUE"""),374849.0)</f>
        <v>374849</v>
      </c>
      <c r="E29">
        <f>IFERROR(__xludf.DUMMYFUNCTION("""COMPUTED_VALUE"""),741785.0)</f>
        <v>741785</v>
      </c>
    </row>
    <row r="30">
      <c r="A30">
        <f>IFERROR(__xludf.DUMMYFUNCTION("""COMPUTED_VALUE"""),2010.0)</f>
        <v>2010</v>
      </c>
      <c r="B30">
        <f>IFERROR(__xludf.DUMMYFUNCTION("""COMPUTED_VALUE"""),243551.0)</f>
        <v>243551</v>
      </c>
      <c r="C30">
        <f>IFERROR(__xludf.DUMMYFUNCTION("""COMPUTED_VALUE"""),123029.0)</f>
        <v>123029</v>
      </c>
      <c r="D30">
        <f>IFERROR(__xludf.DUMMYFUNCTION("""COMPUTED_VALUE"""),376191.0)</f>
        <v>376191</v>
      </c>
      <c r="E30">
        <f>IFERROR(__xludf.DUMMYFUNCTION("""COMPUTED_VALUE"""),742771.0)</f>
        <v>742771</v>
      </c>
    </row>
    <row r="31">
      <c r="A31">
        <f>IFERROR(__xludf.DUMMYFUNCTION("""COMPUTED_VALUE"""),2011.0)</f>
        <v>2011</v>
      </c>
      <c r="B31">
        <f>IFERROR(__xludf.DUMMYFUNCTION("""COMPUTED_VALUE"""),242454.0)</f>
        <v>242454</v>
      </c>
      <c r="C31">
        <f>IFERROR(__xludf.DUMMYFUNCTION("""COMPUTED_VALUE"""),122560.0)</f>
        <v>122560</v>
      </c>
      <c r="D31">
        <f>IFERROR(__xludf.DUMMYFUNCTION("""COMPUTED_VALUE"""),376058.0)</f>
        <v>376058</v>
      </c>
      <c r="E31">
        <f>IFERROR(__xludf.DUMMYFUNCTION("""COMPUTED_VALUE"""),741072.0)</f>
        <v>741072</v>
      </c>
    </row>
    <row r="32">
      <c r="A32">
        <f>IFERROR(__xludf.DUMMYFUNCTION("""COMPUTED_VALUE"""),2012.0)</f>
        <v>2012</v>
      </c>
      <c r="B32">
        <f>IFERROR(__xludf.DUMMYFUNCTION("""COMPUTED_VALUE"""),241247.0)</f>
        <v>241247</v>
      </c>
      <c r="C32">
        <f>IFERROR(__xludf.DUMMYFUNCTION("""COMPUTED_VALUE"""),121517.0)</f>
        <v>121517</v>
      </c>
      <c r="D32">
        <f>IFERROR(__xludf.DUMMYFUNCTION("""COMPUTED_VALUE"""),375869.0)</f>
        <v>375869</v>
      </c>
      <c r="E32">
        <f>IFERROR(__xludf.DUMMYFUNCTION("""COMPUTED_VALUE"""),738633.0)</f>
        <v>738633</v>
      </c>
    </row>
    <row r="33">
      <c r="A33" t="str">
        <f>IFERROR(__xludf.DUMMYFUNCTION("""COMPUTED_VALUE"""),"Année")</f>
        <v>Année</v>
      </c>
      <c r="B33" t="str">
        <f>IFERROR(__xludf.DUMMYFUNCTION("""COMPUTED_VALUE"""),"département de la
Corrèze")</f>
        <v>département de la
Corrèze</v>
      </c>
      <c r="C33" t="str">
        <f>IFERROR(__xludf.DUMMYFUNCTION("""COMPUTED_VALUE"""),"département de la
Creuse")</f>
        <v>département de la
Creuse</v>
      </c>
      <c r="D33" t="str">
        <f>IFERROR(__xludf.DUMMYFUNCTION("""COMPUTED_VALUE"""),"département de la
Haute-Vienne")</f>
        <v>département de la
Haute-Vienne</v>
      </c>
      <c r="E33" t="str">
        <f>IFERROR(__xludf.DUMMYFUNCTION("""COMPUTED_VALUE"""),"Total Limousin")</f>
        <v>Total Limousin</v>
      </c>
    </row>
    <row r="205">
      <c r="D205" s="6" t="s">
        <v>3973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3" max="3" width="24.0"/>
    <col customWidth="1" min="4" max="4" width="21.38"/>
    <col customWidth="1" min="5" max="5" width="19.25"/>
  </cols>
  <sheetData>
    <row r="1">
      <c r="A1" s="6" t="str">
        <f>IFERROR(__xludf.DUMMYFUNCTION("IMPORTHTML(""https://fr.wikipedia.org/wiki/Liste_des_pays_par_taux_de_natalit%C3%A9"",""table"")"),"Pays")</f>
        <v>Pays</v>
      </c>
      <c r="B1" t="str">
        <f>IFERROR(__xludf.DUMMYFUNCTION("""COMPUTED_VALUE"""),"Taux de fécondité")</f>
        <v>Taux de fécondité</v>
      </c>
      <c r="D1" t="str">
        <f>IFERROR(__xludf.DUMMYFUNCTION("""COMPUTED_VALUE"""),"Taux de natalité (‰ hab)")</f>
        <v>Taux de natalité (‰ hab)</v>
      </c>
    </row>
    <row r="2">
      <c r="B2" t="str">
        <f>IFERROR(__xludf.DUMMYFUNCTION("""COMPUTED_VALUE"""),"CIA Factbook 2016[1]")</f>
        <v>CIA Factbook 2016[1]</v>
      </c>
      <c r="C2" t="str">
        <f>IFERROR(__xludf.DUMMYFUNCTION("""COMPUTED_VALUE"""),"ONU 2010–2015[2]")</f>
        <v>ONU 2010–2015[2]</v>
      </c>
      <c r="D2" t="str">
        <f>IFERROR(__xludf.DUMMYFUNCTION("""COMPUTED_VALUE"""),"CIA Factbook 2016[3]")</f>
        <v>CIA Factbook 2016[3]</v>
      </c>
      <c r="E2" t="str">
        <f>IFERROR(__xludf.DUMMYFUNCTION("""COMPUTED_VALUE"""),"CIA factobook 2025[4]")</f>
        <v>CIA factobook 2025[4]</v>
      </c>
      <c r="F2" t="str">
        <f>IFERROR(__xludf.DUMMYFUNCTION("""COMPUTED_VALUE"""),"ONU 2010–2015[2]")</f>
        <v>ONU 2010–2015[2]</v>
      </c>
      <c r="G2" t="str">
        <f>IFERROR(__xludf.DUMMYFUNCTION("""COMPUTED_VALUE"""),"Ined 2023[5]")</f>
        <v>Ined 2023[5]</v>
      </c>
    </row>
    <row r="3">
      <c r="A3" t="str">
        <f>IFERROR(__xludf.DUMMYFUNCTION("""COMPUTED_VALUE"""),"Niger")</f>
        <v>Niger</v>
      </c>
      <c r="B3">
        <f>IFERROR(__xludf.DUMMYFUNCTION("""COMPUTED_VALUE"""),6.62)</f>
        <v>6.62</v>
      </c>
      <c r="C3">
        <f>IFERROR(__xludf.DUMMYFUNCTION("""COMPUTED_VALUE"""),7.4)</f>
        <v>7.4</v>
      </c>
      <c r="D3">
        <f>IFERROR(__xludf.DUMMYFUNCTION("""COMPUTED_VALUE"""),46.8)</f>
        <v>46.8</v>
      </c>
      <c r="E3">
        <f>IFERROR(__xludf.DUMMYFUNCTION("""COMPUTED_VALUE"""),46.6)</f>
        <v>46.6</v>
      </c>
      <c r="F3">
        <f>IFERROR(__xludf.DUMMYFUNCTION("""COMPUTED_VALUE"""),49.2)</f>
        <v>49.2</v>
      </c>
    </row>
    <row r="4">
      <c r="A4" t="str">
        <f>IFERROR(__xludf.DUMMYFUNCTION("""COMPUTED_VALUE"""),"Burundi")</f>
        <v>Burundi</v>
      </c>
      <c r="B4">
        <f>IFERROR(__xludf.DUMMYFUNCTION("""COMPUTED_VALUE"""),6.04)</f>
        <v>6.04</v>
      </c>
      <c r="C4">
        <f>IFERROR(__xludf.DUMMYFUNCTION("""COMPUTED_VALUE"""),6.0)</f>
        <v>6</v>
      </c>
      <c r="D4">
        <f>IFERROR(__xludf.DUMMYFUNCTION("""COMPUTED_VALUE"""),41.7)</f>
        <v>41.7</v>
      </c>
      <c r="E4">
        <f>IFERROR(__xludf.DUMMYFUNCTION("""COMPUTED_VALUE"""),34.6)</f>
        <v>34.6</v>
      </c>
      <c r="F4">
        <f>IFERROR(__xludf.DUMMYFUNCTION("""COMPUTED_VALUE"""),43.3)</f>
        <v>43.3</v>
      </c>
    </row>
    <row r="5">
      <c r="A5" t="str">
        <f>IFERROR(__xludf.DUMMYFUNCTION("""COMPUTED_VALUE"""),"Mali")</f>
        <v>Mali</v>
      </c>
      <c r="B5">
        <f>IFERROR(__xludf.DUMMYFUNCTION("""COMPUTED_VALUE"""),5.95)</f>
        <v>5.95</v>
      </c>
      <c r="C5">
        <f>IFERROR(__xludf.DUMMYFUNCTION("""COMPUTED_VALUE"""),6.35)</f>
        <v>6.35</v>
      </c>
      <c r="D5">
        <f>IFERROR(__xludf.DUMMYFUNCTION("""COMPUTED_VALUE"""),44.4)</f>
        <v>44.4</v>
      </c>
      <c r="E5">
        <f>IFERROR(__xludf.DUMMYFUNCTION("""COMPUTED_VALUE"""),40.0)</f>
        <v>40</v>
      </c>
      <c r="F5">
        <f>IFERROR(__xludf.DUMMYFUNCTION("""COMPUTED_VALUE"""),44.7)</f>
        <v>44.7</v>
      </c>
    </row>
    <row r="6">
      <c r="A6" t="str">
        <f>IFERROR(__xludf.DUMMYFUNCTION("""COMPUTED_VALUE"""),"Somalie")</f>
        <v>Somalie</v>
      </c>
      <c r="B6">
        <f>IFERROR(__xludf.DUMMYFUNCTION("""COMPUTED_VALUE"""),5.89)</f>
        <v>5.89</v>
      </c>
      <c r="C6">
        <f>IFERROR(__xludf.DUMMYFUNCTION("""COMPUTED_VALUE"""),6.61)</f>
        <v>6.61</v>
      </c>
      <c r="D6">
        <f>IFERROR(__xludf.DUMMYFUNCTION("""COMPUTED_VALUE"""),40.0)</f>
        <v>40</v>
      </c>
      <c r="E6">
        <f>IFERROR(__xludf.DUMMYFUNCTION("""COMPUTED_VALUE"""),37.4)</f>
        <v>37.4</v>
      </c>
      <c r="F6">
        <f>IFERROR(__xludf.DUMMYFUNCTION("""COMPUTED_VALUE"""),44.4)</f>
        <v>44.4</v>
      </c>
    </row>
    <row r="7">
      <c r="A7" t="str">
        <f>IFERROR(__xludf.DUMMYFUNCTION("""COMPUTED_VALUE"""),"Ouganda")</f>
        <v>Ouganda</v>
      </c>
      <c r="B7">
        <f>IFERROR(__xludf.DUMMYFUNCTION("""COMPUTED_VALUE"""),5.8)</f>
        <v>5.8</v>
      </c>
      <c r="C7">
        <f>IFERROR(__xludf.DUMMYFUNCTION("""COMPUTED_VALUE"""),5.91)</f>
        <v>5.91</v>
      </c>
      <c r="D7">
        <f>IFERROR(__xludf.DUMMYFUNCTION("""COMPUTED_VALUE"""),43.4)</f>
        <v>43.4</v>
      </c>
      <c r="E7">
        <f>IFERROR(__xludf.DUMMYFUNCTION("""COMPUTED_VALUE"""),39.6)</f>
        <v>39.6</v>
      </c>
      <c r="F7">
        <f>IFERROR(__xludf.DUMMYFUNCTION("""COMPUTED_VALUE"""),43.9)</f>
        <v>43.9</v>
      </c>
    </row>
    <row r="8">
      <c r="A8" t="str">
        <f>IFERROR(__xludf.DUMMYFUNCTION("""COMPUTED_VALUE"""),"Burkina Faso")</f>
        <v>Burkina Faso</v>
      </c>
      <c r="B8">
        <f>IFERROR(__xludf.DUMMYFUNCTION("""COMPUTED_VALUE"""),5.79)</f>
        <v>5.79</v>
      </c>
      <c r="C8">
        <f>IFERROR(__xludf.DUMMYFUNCTION("""COMPUTED_VALUE"""),5.65)</f>
        <v>5.65</v>
      </c>
      <c r="D8">
        <f>IFERROR(__xludf.DUMMYFUNCTION("""COMPUTED_VALUE"""),41.6)</f>
        <v>41.6</v>
      </c>
      <c r="E8">
        <f>IFERROR(__xludf.DUMMYFUNCTION("""COMPUTED_VALUE"""),31.9)</f>
        <v>31.9</v>
      </c>
      <c r="F8">
        <f>IFERROR(__xludf.DUMMYFUNCTION("""COMPUTED_VALUE"""),40.8)</f>
        <v>40.8</v>
      </c>
    </row>
    <row r="9">
      <c r="A9" t="str">
        <f>IFERROR(__xludf.DUMMYFUNCTION("""COMPUTED_VALUE"""),"Zambie")</f>
        <v>Zambie</v>
      </c>
      <c r="B9">
        <f>IFERROR(__xludf.DUMMYFUNCTION("""COMPUTED_VALUE"""),5.67)</f>
        <v>5.67</v>
      </c>
      <c r="C9">
        <f>IFERROR(__xludf.DUMMYFUNCTION("""COMPUTED_VALUE"""),5.2)</f>
        <v>5.2</v>
      </c>
      <c r="D9">
        <f>IFERROR(__xludf.DUMMYFUNCTION("""COMPUTED_VALUE"""),41.8)</f>
        <v>41.8</v>
      </c>
      <c r="E9">
        <f>IFERROR(__xludf.DUMMYFUNCTION("""COMPUTED_VALUE"""),34.1)</f>
        <v>34.1</v>
      </c>
      <c r="F9">
        <f>IFERROR(__xludf.DUMMYFUNCTION("""COMPUTED_VALUE"""),39.3)</f>
        <v>39.3</v>
      </c>
    </row>
    <row r="10">
      <c r="A10" t="str">
        <f>IFERROR(__xludf.DUMMYFUNCTION("""COMPUTED_VALUE"""),"Malawi")</f>
        <v>Malawi</v>
      </c>
      <c r="B10">
        <f>IFERROR(__xludf.DUMMYFUNCTION("""COMPUTED_VALUE"""),5.54)</f>
        <v>5.54</v>
      </c>
      <c r="C10">
        <f>IFERROR(__xludf.DUMMYFUNCTION("""COMPUTED_VALUE"""),4.88)</f>
        <v>4.88</v>
      </c>
      <c r="D10">
        <f>IFERROR(__xludf.DUMMYFUNCTION("""COMPUTED_VALUE"""),41.3)</f>
        <v>41.3</v>
      </c>
      <c r="E10">
        <f>IFERROR(__xludf.DUMMYFUNCTION("""COMPUTED_VALUE"""),26.6)</f>
        <v>26.6</v>
      </c>
      <c r="F10">
        <f>IFERROR(__xludf.DUMMYFUNCTION("""COMPUTED_VALUE"""),38.1)</f>
        <v>38.1</v>
      </c>
    </row>
    <row r="11">
      <c r="A11" t="str">
        <f>IFERROR(__xludf.DUMMYFUNCTION("""COMPUTED_VALUE"""),"Angola")</f>
        <v>Angola</v>
      </c>
      <c r="B11">
        <f>IFERROR(__xludf.DUMMYFUNCTION("""COMPUTED_VALUE"""),5.31)</f>
        <v>5.31</v>
      </c>
      <c r="C11">
        <f>IFERROR(__xludf.DUMMYFUNCTION("""COMPUTED_VALUE"""),5.95)</f>
        <v>5.95</v>
      </c>
      <c r="D11">
        <f>IFERROR(__xludf.DUMMYFUNCTION("""COMPUTED_VALUE"""),38.6)</f>
        <v>38.6</v>
      </c>
      <c r="E11">
        <f>IFERROR(__xludf.DUMMYFUNCTION("""COMPUTED_VALUE"""),41.1)</f>
        <v>41.1</v>
      </c>
      <c r="F11">
        <f>IFERROR(__xludf.DUMMYFUNCTION("""COMPUTED_VALUE"""),43.7)</f>
        <v>43.7</v>
      </c>
    </row>
    <row r="12">
      <c r="A12" t="str">
        <f>IFERROR(__xludf.DUMMYFUNCTION("""COMPUTED_VALUE"""),"Afghanistan")</f>
        <v>Afghanistan</v>
      </c>
      <c r="B12">
        <f>IFERROR(__xludf.DUMMYFUNCTION("""COMPUTED_VALUE"""),5.22)</f>
        <v>5.22</v>
      </c>
      <c r="C12">
        <f>IFERROR(__xludf.DUMMYFUNCTION("""COMPUTED_VALUE"""),5.26)</f>
        <v>5.26</v>
      </c>
      <c r="D12">
        <f>IFERROR(__xludf.DUMMYFUNCTION("""COMPUTED_VALUE"""),38.3)</f>
        <v>38.3</v>
      </c>
      <c r="E12">
        <f>IFERROR(__xludf.DUMMYFUNCTION("""COMPUTED_VALUE"""),34.2)</f>
        <v>34.2</v>
      </c>
      <c r="F12">
        <f>IFERROR(__xludf.DUMMYFUNCTION("""COMPUTED_VALUE"""),36.2)</f>
        <v>36.2</v>
      </c>
    </row>
    <row r="13">
      <c r="A13" t="str">
        <f>IFERROR(__xludf.DUMMYFUNCTION("""COMPUTED_VALUE"""),"Soudan du Sud")</f>
        <v>Soudan du Sud</v>
      </c>
      <c r="B13">
        <f>IFERROR(__xludf.DUMMYFUNCTION("""COMPUTED_VALUE"""),5.19)</f>
        <v>5.19</v>
      </c>
      <c r="C13">
        <f>IFERROR(__xludf.DUMMYFUNCTION("""COMPUTED_VALUE"""),5.15)</f>
        <v>5.15</v>
      </c>
      <c r="D13">
        <f>IFERROR(__xludf.DUMMYFUNCTION("""COMPUTED_VALUE"""),36.2)</f>
        <v>36.2</v>
      </c>
      <c r="E13">
        <f>IFERROR(__xludf.DUMMYFUNCTION("""COMPUTED_VALUE"""),36.4)</f>
        <v>36.4</v>
      </c>
      <c r="F13">
        <f>IFERROR(__xludf.DUMMYFUNCTION("""COMPUTED_VALUE"""),37.3)</f>
        <v>37.3</v>
      </c>
    </row>
    <row r="14">
      <c r="A14" t="str">
        <f>IFERROR(__xludf.DUMMYFUNCTION("""COMPUTED_VALUE"""),"Mozambique")</f>
        <v>Mozambique</v>
      </c>
      <c r="B14">
        <f>IFERROR(__xludf.DUMMYFUNCTION("""COMPUTED_VALUE"""),5.15)</f>
        <v>5.15</v>
      </c>
      <c r="C14">
        <f>IFERROR(__xludf.DUMMYFUNCTION("""COMPUTED_VALUE"""),5.45)</f>
        <v>5.45</v>
      </c>
      <c r="D14">
        <f>IFERROR(__xludf.DUMMYFUNCTION("""COMPUTED_VALUE"""),38.3)</f>
        <v>38.3</v>
      </c>
      <c r="E14">
        <f>IFERROR(__xludf.DUMMYFUNCTION("""COMPUTED_VALUE"""),36.5)</f>
        <v>36.5</v>
      </c>
      <c r="F14">
        <f>IFERROR(__xludf.DUMMYFUNCTION("""COMPUTED_VALUE"""),40.4)</f>
        <v>40.4</v>
      </c>
    </row>
    <row r="15">
      <c r="A15" t="str">
        <f>IFERROR(__xludf.DUMMYFUNCTION("""COMPUTED_VALUE"""),"Nigeria")</f>
        <v>Nigeria</v>
      </c>
      <c r="B15">
        <f>IFERROR(__xludf.DUMMYFUNCTION("""COMPUTED_VALUE"""),5.13)</f>
        <v>5.13</v>
      </c>
      <c r="C15">
        <f>IFERROR(__xludf.DUMMYFUNCTION("""COMPUTED_VALUE"""),5.74)</f>
        <v>5.74</v>
      </c>
      <c r="D15">
        <f>IFERROR(__xludf.DUMMYFUNCTION("""COMPUTED_VALUE"""),37.3)</f>
        <v>37.3</v>
      </c>
      <c r="E15">
        <f>IFERROR(__xludf.DUMMYFUNCTION("""COMPUTED_VALUE"""),33.8)</f>
        <v>33.8</v>
      </c>
      <c r="F15">
        <f>IFERROR(__xludf.DUMMYFUNCTION("""COMPUTED_VALUE"""),40.5)</f>
        <v>40.5</v>
      </c>
    </row>
    <row r="16">
      <c r="A16" t="str">
        <f>IFERROR(__xludf.DUMMYFUNCTION("""COMPUTED_VALUE"""),"Éthiopie")</f>
        <v>Éthiopie</v>
      </c>
      <c r="B16">
        <f>IFERROR(__xludf.DUMMYFUNCTION("""COMPUTED_VALUE"""),5.07)</f>
        <v>5.07</v>
      </c>
      <c r="C16">
        <f>IFERROR(__xludf.DUMMYFUNCTION("""COMPUTED_VALUE"""),4.63)</f>
        <v>4.63</v>
      </c>
      <c r="D16">
        <f>IFERROR(__xludf.DUMMYFUNCTION("""COMPUTED_VALUE"""),36.9)</f>
        <v>36.9</v>
      </c>
      <c r="E16">
        <f>IFERROR(__xludf.DUMMYFUNCTION("""COMPUTED_VALUE"""),29.6)</f>
        <v>29.6</v>
      </c>
      <c r="F16">
        <f>IFERROR(__xludf.DUMMYFUNCTION("""COMPUTED_VALUE"""),33.6)</f>
        <v>33.6</v>
      </c>
    </row>
    <row r="17">
      <c r="A17" t="str">
        <f>IFERROR(__xludf.DUMMYFUNCTION("""COMPUTED_VALUE"""),"Timor oriental")</f>
        <v>Timor oriental</v>
      </c>
      <c r="B17">
        <f>IFERROR(__xludf.DUMMYFUNCTION("""COMPUTED_VALUE"""),4.9)</f>
        <v>4.9</v>
      </c>
      <c r="C17">
        <f>IFERROR(__xludf.DUMMYFUNCTION("""COMPUTED_VALUE"""),5.91)</f>
        <v>5.91</v>
      </c>
      <c r="D17">
        <f>IFERROR(__xludf.DUMMYFUNCTION("""COMPUTED_VALUE"""),33.8)</f>
        <v>33.8</v>
      </c>
      <c r="E17">
        <f>IFERROR(__xludf.DUMMYFUNCTION("""COMPUTED_VALUE"""),29.7)</f>
        <v>29.7</v>
      </c>
      <c r="F17">
        <f>IFERROR(__xludf.DUMMYFUNCTION("""COMPUTED_VALUE"""),36.8)</f>
        <v>36.8</v>
      </c>
    </row>
    <row r="18">
      <c r="A18" t="str">
        <f>IFERROR(__xludf.DUMMYFUNCTION("""COMPUTED_VALUE"""),"Bénin")</f>
        <v>Bénin</v>
      </c>
      <c r="B18">
        <f>IFERROR(__xludf.DUMMYFUNCTION("""COMPUTED_VALUE"""),4.86)</f>
        <v>4.86</v>
      </c>
      <c r="C18">
        <f>IFERROR(__xludf.DUMMYFUNCTION("""COMPUTED_VALUE"""),5.22)</f>
        <v>5.22</v>
      </c>
      <c r="D18">
        <f>IFERROR(__xludf.DUMMYFUNCTION("""COMPUTED_VALUE"""),35.5)</f>
        <v>35.5</v>
      </c>
      <c r="E18">
        <f>IFERROR(__xludf.DUMMYFUNCTION("""COMPUTED_VALUE"""),40.3)</f>
        <v>40.3</v>
      </c>
      <c r="F18">
        <f>IFERROR(__xludf.DUMMYFUNCTION("""COMPUTED_VALUE"""),38.4)</f>
        <v>38.4</v>
      </c>
    </row>
    <row r="19">
      <c r="A19" t="str">
        <f>IFERROR(__xludf.DUMMYFUNCTION("""COMPUTED_VALUE"""),"Tanzanie")</f>
        <v>Tanzanie</v>
      </c>
      <c r="B19">
        <f>IFERROR(__xludf.DUMMYFUNCTION("""COMPUTED_VALUE"""),4.83)</f>
        <v>4.83</v>
      </c>
      <c r="C19">
        <f>IFERROR(__xludf.DUMMYFUNCTION("""COMPUTED_VALUE"""),5.24)</f>
        <v>5.24</v>
      </c>
      <c r="D19">
        <f>IFERROR(__xludf.DUMMYFUNCTION("""COMPUTED_VALUE"""),36.0)</f>
        <v>36</v>
      </c>
      <c r="E19">
        <f>IFERROR(__xludf.DUMMYFUNCTION("""COMPUTED_VALUE"""),32.5)</f>
        <v>32.5</v>
      </c>
      <c r="F19">
        <f>IFERROR(__xludf.DUMMYFUNCTION("""COMPUTED_VALUE"""),39.8)</f>
        <v>39.8</v>
      </c>
    </row>
    <row r="20">
      <c r="A20" t="str">
        <f>IFERROR(__xludf.DUMMYFUNCTION("""COMPUTED_VALUE"""),"Guinée")</f>
        <v>Guinée</v>
      </c>
      <c r="B20">
        <f>IFERROR(__xludf.DUMMYFUNCTION("""COMPUTED_VALUE"""),4.82)</f>
        <v>4.82</v>
      </c>
      <c r="C20">
        <f>IFERROR(__xludf.DUMMYFUNCTION("""COMPUTED_VALUE"""),5.13)</f>
        <v>5.13</v>
      </c>
      <c r="D20">
        <f>IFERROR(__xludf.DUMMYFUNCTION("""COMPUTED_VALUE"""),35.4)</f>
        <v>35.4</v>
      </c>
      <c r="E20">
        <f>IFERROR(__xludf.DUMMYFUNCTION("""COMPUTED_VALUE"""),35.3)</f>
        <v>35.3</v>
      </c>
      <c r="F20">
        <f>IFERROR(__xludf.DUMMYFUNCTION("""COMPUTED_VALUE"""),37.5)</f>
        <v>37.5</v>
      </c>
    </row>
    <row r="21">
      <c r="A21" t="str">
        <f>IFERROR(__xludf.DUMMYFUNCTION("""COMPUTED_VALUE"""),"Sierra Leone")</f>
        <v>Sierra Leone</v>
      </c>
      <c r="B21">
        <f>IFERROR(__xludf.DUMMYFUNCTION("""COMPUTED_VALUE"""),4.76)</f>
        <v>4.76</v>
      </c>
      <c r="C21">
        <f>IFERROR(__xludf.DUMMYFUNCTION("""COMPUTED_VALUE"""),4.84)</f>
        <v>4.84</v>
      </c>
      <c r="D21">
        <f>IFERROR(__xludf.DUMMYFUNCTION("""COMPUTED_VALUE"""),36.7)</f>
        <v>36.7</v>
      </c>
      <c r="E21">
        <f>IFERROR(__xludf.DUMMYFUNCTION("""COMPUTED_VALUE"""),30.8)</f>
        <v>30.8</v>
      </c>
      <c r="F21">
        <f>IFERROR(__xludf.DUMMYFUNCTION("""COMPUTED_VALUE"""),37.3)</f>
        <v>37.3</v>
      </c>
    </row>
    <row r="22">
      <c r="A22" t="str">
        <f>IFERROR(__xludf.DUMMYFUNCTION("""COMPUTED_VALUE"""),"Cameroun")</f>
        <v>Cameroun</v>
      </c>
      <c r="B22">
        <f>IFERROR(__xludf.DUMMYFUNCTION("""COMPUTED_VALUE"""),4.7)</f>
        <v>4.7</v>
      </c>
      <c r="C22">
        <f>IFERROR(__xludf.DUMMYFUNCTION("""COMPUTED_VALUE"""),4.95)</f>
        <v>4.95</v>
      </c>
      <c r="D22">
        <f>IFERROR(__xludf.DUMMYFUNCTION("""COMPUTED_VALUE"""),35.8)</f>
        <v>35.8</v>
      </c>
      <c r="E22">
        <f>IFERROR(__xludf.DUMMYFUNCTION("""COMPUTED_VALUE"""),34.7)</f>
        <v>34.7</v>
      </c>
      <c r="F22">
        <f>IFERROR(__xludf.DUMMYFUNCTION("""COMPUTED_VALUE"""),38.2)</f>
        <v>38.2</v>
      </c>
    </row>
    <row r="23">
      <c r="A23" t="str">
        <f>IFERROR(__xludf.DUMMYFUNCTION("""COMPUTED_VALUE"""),"République du Congo")</f>
        <v>République du Congo</v>
      </c>
      <c r="B23">
        <f>IFERROR(__xludf.DUMMYFUNCTION("""COMPUTED_VALUE"""),4.63)</f>
        <v>4.63</v>
      </c>
      <c r="C23">
        <f>IFERROR(__xludf.DUMMYFUNCTION("""COMPUTED_VALUE"""),4.86)</f>
        <v>4.86</v>
      </c>
      <c r="D23">
        <f>IFERROR(__xludf.DUMMYFUNCTION("""COMPUTED_VALUE"""),35.1)</f>
        <v>35.1</v>
      </c>
      <c r="E23">
        <f>IFERROR(__xludf.DUMMYFUNCTION("""COMPUTED_VALUE"""),28.7)</f>
        <v>28.7</v>
      </c>
      <c r="F23">
        <f>IFERROR(__xludf.DUMMYFUNCTION("""COMPUTED_VALUE"""),36.8)</f>
        <v>36.8</v>
      </c>
    </row>
    <row r="24">
      <c r="A24" t="str">
        <f>IFERROR(__xludf.DUMMYFUNCTION("""COMPUTED_VALUE"""),"Liberia")</f>
        <v>Liberia</v>
      </c>
      <c r="B24">
        <f>IFERROR(__xludf.DUMMYFUNCTION("""COMPUTED_VALUE"""),4.6)</f>
        <v>4.6</v>
      </c>
      <c r="C24">
        <f>IFERROR(__xludf.DUMMYFUNCTION("""COMPUTED_VALUE"""),4.83)</f>
        <v>4.83</v>
      </c>
      <c r="D24">
        <f>IFERROR(__xludf.DUMMYFUNCTION("""COMPUTED_VALUE"""),33.9)</f>
        <v>33.9</v>
      </c>
      <c r="E24">
        <f>IFERROR(__xludf.DUMMYFUNCTION("""COMPUTED_VALUE"""),32.4)</f>
        <v>32.4</v>
      </c>
      <c r="F24">
        <f>IFERROR(__xludf.DUMMYFUNCTION("""COMPUTED_VALUE"""),35.8)</f>
        <v>35.8</v>
      </c>
    </row>
    <row r="25">
      <c r="A25" t="str">
        <f>IFERROR(__xludf.DUMMYFUNCTION("""COMPUTED_VALUE"""),"République démocratique du Congo")</f>
        <v>République démocratique du Congo</v>
      </c>
      <c r="B25">
        <f>IFERROR(__xludf.DUMMYFUNCTION("""COMPUTED_VALUE"""),4.53)</f>
        <v>4.53</v>
      </c>
      <c r="C25">
        <f>IFERROR(__xludf.DUMMYFUNCTION("""COMPUTED_VALUE"""),6.4)</f>
        <v>6.4</v>
      </c>
      <c r="D25">
        <f>IFERROR(__xludf.DUMMYFUNCTION("""COMPUTED_VALUE"""),34.2)</f>
        <v>34.2</v>
      </c>
      <c r="E25">
        <f>IFERROR(__xludf.DUMMYFUNCTION("""COMPUTED_VALUE"""),39.2)</f>
        <v>39.2</v>
      </c>
      <c r="F25">
        <f>IFERROR(__xludf.DUMMYFUNCTION("""COMPUTED_VALUE"""),44.0)</f>
        <v>44</v>
      </c>
    </row>
    <row r="26">
      <c r="A26" t="str">
        <f>IFERROR(__xludf.DUMMYFUNCTION("""COMPUTED_VALUE"""),"Guinée équatoriale")</f>
        <v>Guinée équatoriale</v>
      </c>
      <c r="B26">
        <f>IFERROR(__xludf.DUMMYFUNCTION("""COMPUTED_VALUE"""),4.48)</f>
        <v>4.48</v>
      </c>
      <c r="C26">
        <f>IFERROR(__xludf.DUMMYFUNCTION("""COMPUTED_VALUE"""),4.99)</f>
        <v>4.99</v>
      </c>
      <c r="D26">
        <f>IFERROR(__xludf.DUMMYFUNCTION("""COMPUTED_VALUE"""),32.8)</f>
        <v>32.8</v>
      </c>
      <c r="E26">
        <f>IFERROR(__xludf.DUMMYFUNCTION("""COMPUTED_VALUE"""),29.0)</f>
        <v>29</v>
      </c>
      <c r="F26">
        <f>IFERROR(__xludf.DUMMYFUNCTION("""COMPUTED_VALUE"""),36.0)</f>
        <v>36</v>
      </c>
    </row>
    <row r="27">
      <c r="A27" t="str">
        <f>IFERROR(__xludf.DUMMYFUNCTION("""COMPUTED_VALUE"""),"Rwanda")</f>
        <v>Rwanda</v>
      </c>
      <c r="B27">
        <f>IFERROR(__xludf.DUMMYFUNCTION("""COMPUTED_VALUE"""),4.46)</f>
        <v>4.46</v>
      </c>
      <c r="C27">
        <f>IFERROR(__xludf.DUMMYFUNCTION("""COMPUTED_VALUE"""),4.2)</f>
        <v>4.2</v>
      </c>
      <c r="D27">
        <f>IFERROR(__xludf.DUMMYFUNCTION("""COMPUTED_VALUE"""),33.3)</f>
        <v>33.3</v>
      </c>
      <c r="E27">
        <f>IFERROR(__xludf.DUMMYFUNCTION("""COMPUTED_VALUE"""),25.0)</f>
        <v>25</v>
      </c>
      <c r="F27">
        <f>IFERROR(__xludf.DUMMYFUNCTION("""COMPUTED_VALUE"""),33.5)</f>
        <v>33.5</v>
      </c>
    </row>
    <row r="28">
      <c r="A28" t="str">
        <f>IFERROR(__xludf.DUMMYFUNCTION("""COMPUTED_VALUE"""),"Tchad")</f>
        <v>Tchad</v>
      </c>
      <c r="B28">
        <f>IFERROR(__xludf.DUMMYFUNCTION("""COMPUTED_VALUE"""),4.45)</f>
        <v>4.45</v>
      </c>
      <c r="C28">
        <f>IFERROR(__xludf.DUMMYFUNCTION("""COMPUTED_VALUE"""),6.31)</f>
        <v>6.31</v>
      </c>
      <c r="D28">
        <f>IFERROR(__xludf.DUMMYFUNCTION("""COMPUTED_VALUE"""),36.1)</f>
        <v>36.1</v>
      </c>
      <c r="E28">
        <f>IFERROR(__xludf.DUMMYFUNCTION("""COMPUTED_VALUE"""),39.2)</f>
        <v>39.2</v>
      </c>
      <c r="F28">
        <f>IFERROR(__xludf.DUMMYFUNCTION("""COMPUTED_VALUE"""),45.2)</f>
        <v>45.2</v>
      </c>
    </row>
    <row r="29">
      <c r="A29" t="str">
        <f>IFERROR(__xludf.DUMMYFUNCTION("""COMPUTED_VALUE"""),"Togo")</f>
        <v>Togo</v>
      </c>
      <c r="B29">
        <f>IFERROR(__xludf.DUMMYFUNCTION("""COMPUTED_VALUE"""),4.43)</f>
        <v>4.43</v>
      </c>
      <c r="C29">
        <f>IFERROR(__xludf.DUMMYFUNCTION("""COMPUTED_VALUE"""),4.69)</f>
        <v>4.69</v>
      </c>
      <c r="D29">
        <f>IFERROR(__xludf.DUMMYFUNCTION("""COMPUTED_VALUE"""),33.7)</f>
        <v>33.7</v>
      </c>
      <c r="E29">
        <f>IFERROR(__xludf.DUMMYFUNCTION("""COMPUTED_VALUE"""),30.9)</f>
        <v>30.9</v>
      </c>
      <c r="F29">
        <f>IFERROR(__xludf.DUMMYFUNCTION("""COMPUTED_VALUE"""),35.8)</f>
        <v>35.8</v>
      </c>
    </row>
    <row r="30">
      <c r="A30" t="str">
        <f>IFERROR(__xludf.DUMMYFUNCTION("""COMPUTED_VALUE"""),"Gabon")</f>
        <v>Gabon</v>
      </c>
      <c r="B30">
        <f>IFERROR(__xludf.DUMMYFUNCTION("""COMPUTED_VALUE"""),4.43)</f>
        <v>4.43</v>
      </c>
      <c r="C30">
        <f>IFERROR(__xludf.DUMMYFUNCTION("""COMPUTED_VALUE"""),4.0)</f>
        <v>4</v>
      </c>
      <c r="D30">
        <f>IFERROR(__xludf.DUMMYFUNCTION("""COMPUTED_VALUE"""),34.3)</f>
        <v>34.3</v>
      </c>
      <c r="E30">
        <f>IFERROR(__xludf.DUMMYFUNCTION("""COMPUTED_VALUE"""),25.7)</f>
        <v>25.7</v>
      </c>
      <c r="F30">
        <f>IFERROR(__xludf.DUMMYFUNCTION("""COMPUTED_VALUE"""),31.3)</f>
        <v>31.3</v>
      </c>
    </row>
    <row r="31">
      <c r="A31" t="str">
        <f>IFERROR(__xludf.DUMMYFUNCTION("""COMPUTED_VALUE"""),"Sao Tomé-et-Principe")</f>
        <v>Sao Tomé-et-Principe</v>
      </c>
      <c r="B31">
        <f>IFERROR(__xludf.DUMMYFUNCTION("""COMPUTED_VALUE"""),4.4)</f>
        <v>4.4</v>
      </c>
      <c r="C31">
        <f>IFERROR(__xludf.DUMMYFUNCTION("""COMPUTED_VALUE"""),4.67)</f>
        <v>4.67</v>
      </c>
      <c r="D31">
        <f>IFERROR(__xludf.DUMMYFUNCTION("""COMPUTED_VALUE"""),33.3)</f>
        <v>33.3</v>
      </c>
      <c r="E31">
        <f>IFERROR(__xludf.DUMMYFUNCTION("""COMPUTED_VALUE"""),26.7)</f>
        <v>26.7</v>
      </c>
      <c r="F31">
        <f>IFERROR(__xludf.DUMMYFUNCTION("""COMPUTED_VALUE"""),35.6)</f>
        <v>35.6</v>
      </c>
    </row>
    <row r="32">
      <c r="A32" t="str">
        <f>IFERROR(__xludf.DUMMYFUNCTION("""COMPUTED_VALUE"""),"Sénégal")</f>
        <v>Sénégal</v>
      </c>
      <c r="B32">
        <f>IFERROR(__xludf.DUMMYFUNCTION("""COMPUTED_VALUE"""),4.36)</f>
        <v>4.36</v>
      </c>
      <c r="C32">
        <f>IFERROR(__xludf.DUMMYFUNCTION("""COMPUTED_VALUE"""),5.0)</f>
        <v>5</v>
      </c>
      <c r="D32">
        <f>IFERROR(__xludf.DUMMYFUNCTION("""COMPUTED_VALUE"""),34.0)</f>
        <v>34</v>
      </c>
      <c r="E32">
        <f>IFERROR(__xludf.DUMMYFUNCTION("""COMPUTED_VALUE"""),30.2)</f>
        <v>30.2</v>
      </c>
      <c r="F32">
        <f>IFERROR(__xludf.DUMMYFUNCTION("""COMPUTED_VALUE"""),37.6)</f>
        <v>37.6</v>
      </c>
    </row>
    <row r="33">
      <c r="A33" t="str">
        <f>IFERROR(__xludf.DUMMYFUNCTION("""COMPUTED_VALUE"""),"République centrafricaine")</f>
        <v>République centrafricaine</v>
      </c>
      <c r="B33">
        <f>IFERROR(__xludf.DUMMYFUNCTION("""COMPUTED_VALUE"""),4.36)</f>
        <v>4.36</v>
      </c>
      <c r="C33">
        <f>IFERROR(__xludf.DUMMYFUNCTION("""COMPUTED_VALUE"""),5.1)</f>
        <v>5.1</v>
      </c>
      <c r="D33">
        <f>IFERROR(__xludf.DUMMYFUNCTION("""COMPUTED_VALUE"""),34.7)</f>
        <v>34.7</v>
      </c>
      <c r="E33">
        <f>IFERROR(__xludf.DUMMYFUNCTION("""COMPUTED_VALUE"""),31.9)</f>
        <v>31.9</v>
      </c>
      <c r="F33">
        <f>IFERROR(__xludf.DUMMYFUNCTION("""COMPUTED_VALUE"""),37.3)</f>
        <v>37.3</v>
      </c>
    </row>
    <row r="34">
      <c r="A34" t="str">
        <f>IFERROR(__xludf.DUMMYFUNCTION("""COMPUTED_VALUE"""),"Guinée-Bissau")</f>
        <v>Guinée-Bissau</v>
      </c>
      <c r="B34">
        <f>IFERROR(__xludf.DUMMYFUNCTION("""COMPUTED_VALUE"""),4.16)</f>
        <v>4.16</v>
      </c>
      <c r="C34">
        <f>IFERROR(__xludf.DUMMYFUNCTION("""COMPUTED_VALUE"""),4.9)</f>
        <v>4.9</v>
      </c>
      <c r="D34">
        <f>IFERROR(__xludf.DUMMYFUNCTION("""COMPUTED_VALUE"""),32.9)</f>
        <v>32.9</v>
      </c>
      <c r="E34">
        <f>IFERROR(__xludf.DUMMYFUNCTION("""COMPUTED_VALUE"""),36.0)</f>
        <v>36</v>
      </c>
      <c r="F34">
        <f>IFERROR(__xludf.DUMMYFUNCTION("""COMPUTED_VALUE"""),38.4)</f>
        <v>38.4</v>
      </c>
    </row>
    <row r="35">
      <c r="A35" t="str">
        <f>IFERROR(__xludf.DUMMYFUNCTION("""COMPUTED_VALUE"""),"Madagascar")</f>
        <v>Madagascar</v>
      </c>
      <c r="B35">
        <f>IFERROR(__xludf.DUMMYFUNCTION("""COMPUTED_VALUE"""),4.12)</f>
        <v>4.12</v>
      </c>
      <c r="C35">
        <f>IFERROR(__xludf.DUMMYFUNCTION("""COMPUTED_VALUE"""),4.4)</f>
        <v>4.4</v>
      </c>
      <c r="D35">
        <f>IFERROR(__xludf.DUMMYFUNCTION("""COMPUTED_VALUE"""),32.1)</f>
        <v>32.1</v>
      </c>
      <c r="E35">
        <f>IFERROR(__xludf.DUMMYFUNCTION("""COMPUTED_VALUE"""),27.6)</f>
        <v>27.6</v>
      </c>
      <c r="F35">
        <f>IFERROR(__xludf.DUMMYFUNCTION("""COMPUTED_VALUE"""),34.1)</f>
        <v>34.1</v>
      </c>
    </row>
    <row r="36">
      <c r="A36" t="str">
        <f>IFERROR(__xludf.DUMMYFUNCTION("""COMPUTED_VALUE"""),"Érythrée")</f>
        <v>Érythrée</v>
      </c>
      <c r="B36">
        <f>IFERROR(__xludf.DUMMYFUNCTION("""COMPUTED_VALUE"""),4.07)</f>
        <v>4.07</v>
      </c>
      <c r="C36">
        <f>IFERROR(__xludf.DUMMYFUNCTION("""COMPUTED_VALUE"""),4.4)</f>
        <v>4.4</v>
      </c>
      <c r="D36">
        <f>IFERROR(__xludf.DUMMYFUNCTION("""COMPUTED_VALUE"""),30.1)</f>
        <v>30.1</v>
      </c>
      <c r="E36">
        <f>IFERROR(__xludf.DUMMYFUNCTION("""COMPUTED_VALUE"""),26.3)</f>
        <v>26.3</v>
      </c>
      <c r="F36">
        <f>IFERROR(__xludf.DUMMYFUNCTION("""COMPUTED_VALUE"""),34.3)</f>
        <v>34.3</v>
      </c>
    </row>
    <row r="37">
      <c r="A37" t="str">
        <f>IFERROR(__xludf.DUMMYFUNCTION("""COMPUTED_VALUE"""),"Irak")</f>
        <v>Irak</v>
      </c>
      <c r="B37">
        <f>IFERROR(__xludf.DUMMYFUNCTION("""COMPUTED_VALUE"""),4.06)</f>
        <v>4.06</v>
      </c>
      <c r="C37">
        <f>IFERROR(__xludf.DUMMYFUNCTION("""COMPUTED_VALUE"""),4.55)</f>
        <v>4.55</v>
      </c>
      <c r="D37">
        <f>IFERROR(__xludf.DUMMYFUNCTION("""COMPUTED_VALUE"""),30.9)</f>
        <v>30.9</v>
      </c>
      <c r="E37">
        <f>IFERROR(__xludf.DUMMYFUNCTION("""COMPUTED_VALUE"""),23.7)</f>
        <v>23.7</v>
      </c>
      <c r="F37">
        <f>IFERROR(__xludf.DUMMYFUNCTION("""COMPUTED_VALUE"""),34.5)</f>
        <v>34.5</v>
      </c>
    </row>
    <row r="38">
      <c r="A38" t="str">
        <f>IFERROR(__xludf.DUMMYFUNCTION("""COMPUTED_VALUE"""),"Ghana")</f>
        <v>Ghana</v>
      </c>
      <c r="B38">
        <f>IFERROR(__xludf.DUMMYFUNCTION("""COMPUTED_VALUE"""),4.03)</f>
        <v>4.03</v>
      </c>
      <c r="C38">
        <f>IFERROR(__xludf.DUMMYFUNCTION("""COMPUTED_VALUE"""),4.18)</f>
        <v>4.18</v>
      </c>
      <c r="D38">
        <f>IFERROR(__xludf.DUMMYFUNCTION("""COMPUTED_VALUE"""),30.8)</f>
        <v>30.8</v>
      </c>
      <c r="E38">
        <f>IFERROR(__xludf.DUMMYFUNCTION("""COMPUTED_VALUE"""),27.6)</f>
        <v>27.6</v>
      </c>
      <c r="F38">
        <f>IFERROR(__xludf.DUMMYFUNCTION("""COMPUTED_VALUE"""),32.7)</f>
        <v>32.7</v>
      </c>
    </row>
    <row r="39">
      <c r="A39" t="str">
        <f>IFERROR(__xludf.DUMMYFUNCTION("""COMPUTED_VALUE"""),"Sahara occidental")</f>
        <v>Sahara occidental</v>
      </c>
      <c r="B39">
        <f>IFERROR(__xludf.DUMMYFUNCTION("""COMPUTED_VALUE"""),3.93)</f>
        <v>3.93</v>
      </c>
      <c r="C39">
        <f>IFERROR(__xludf.DUMMYFUNCTION("""COMPUTED_VALUE"""),2.6)</f>
        <v>2.6</v>
      </c>
      <c r="D39">
        <f>IFERROR(__xludf.DUMMYFUNCTION("""COMPUTED_VALUE"""),29.8)</f>
        <v>29.8</v>
      </c>
      <c r="F39">
        <f>IFERROR(__xludf.DUMMYFUNCTION("""COMPUTED_VALUE"""),22.2)</f>
        <v>22.2</v>
      </c>
    </row>
    <row r="40">
      <c r="A40" t="str">
        <f>IFERROR(__xludf.DUMMYFUNCTION("""COMPUTED_VALUE"""),"Mauritanie")</f>
        <v>Mauritanie</v>
      </c>
      <c r="B40">
        <f>IFERROR(__xludf.DUMMYFUNCTION("""COMPUTED_VALUE"""),3.93)</f>
        <v>3.93</v>
      </c>
      <c r="C40">
        <f>IFERROR(__xludf.DUMMYFUNCTION("""COMPUTED_VALUE"""),4.88)</f>
        <v>4.88</v>
      </c>
      <c r="D40">
        <f>IFERROR(__xludf.DUMMYFUNCTION("""COMPUTED_VALUE"""),30.9)</f>
        <v>30.9</v>
      </c>
      <c r="E40">
        <f>IFERROR(__xludf.DUMMYFUNCTION("""COMPUTED_VALUE"""),27.2)</f>
        <v>27.2</v>
      </c>
      <c r="F40">
        <f>IFERROR(__xludf.DUMMYFUNCTION("""COMPUTED_VALUE"""),35.5)</f>
        <v>35.5</v>
      </c>
    </row>
    <row r="41">
      <c r="A41" t="str">
        <f>IFERROR(__xludf.DUMMYFUNCTION("""COMPUTED_VALUE"""),"Palestine")</f>
        <v>Palestine</v>
      </c>
      <c r="B41">
        <f>IFERROR(__xludf.DUMMYFUNCTION("""COMPUTED_VALUE"""),3.86)</f>
        <v>3.86</v>
      </c>
      <c r="C41">
        <f>IFERROR(__xludf.DUMMYFUNCTION("""COMPUTED_VALUE"""),4.25)</f>
        <v>4.25</v>
      </c>
      <c r="D41">
        <f>IFERROR(__xludf.DUMMYFUNCTION("""COMPUTED_VALUE"""),29.4)</f>
        <v>29.4</v>
      </c>
      <c r="E41">
        <f>IFERROR(__xludf.DUMMYFUNCTION("""COMPUTED_VALUE"""),27.8)</f>
        <v>27.8</v>
      </c>
      <c r="F41">
        <f>IFERROR(__xludf.DUMMYFUNCTION("""COMPUTED_VALUE"""),32.9)</f>
        <v>32.9</v>
      </c>
    </row>
    <row r="42">
      <c r="A42" t="str">
        <f>IFERROR(__xludf.DUMMYFUNCTION("""COMPUTED_VALUE"""),"Yémen")</f>
        <v>Yémen</v>
      </c>
      <c r="B42">
        <f>IFERROR(__xludf.DUMMYFUNCTION("""COMPUTED_VALUE"""),3.77)</f>
        <v>3.77</v>
      </c>
      <c r="C42">
        <f>IFERROR(__xludf.DUMMYFUNCTION("""COMPUTED_VALUE"""),4.4)</f>
        <v>4.4</v>
      </c>
      <c r="D42">
        <f>IFERROR(__xludf.DUMMYFUNCTION("""COMPUTED_VALUE"""),29.2)</f>
        <v>29.2</v>
      </c>
      <c r="E42">
        <f>IFERROR(__xludf.DUMMYFUNCTION("""COMPUTED_VALUE"""),23.4)</f>
        <v>23.4</v>
      </c>
      <c r="F42">
        <f>IFERROR(__xludf.DUMMYFUNCTION("""COMPUTED_VALUE"""),33.6)</f>
        <v>33.6</v>
      </c>
    </row>
    <row r="43">
      <c r="A43" t="str">
        <f>IFERROR(__xludf.DUMMYFUNCTION("""COMPUTED_VALUE"""),"Soudan")</f>
        <v>Soudan</v>
      </c>
      <c r="B43">
        <f>IFERROR(__xludf.DUMMYFUNCTION("""COMPUTED_VALUE"""),3.68)</f>
        <v>3.68</v>
      </c>
      <c r="C43">
        <f>IFERROR(__xludf.DUMMYFUNCTION("""COMPUTED_VALUE"""),4.75)</f>
        <v>4.75</v>
      </c>
      <c r="D43">
        <f>IFERROR(__xludf.DUMMYFUNCTION("""COMPUTED_VALUE"""),28.5)</f>
        <v>28.5</v>
      </c>
      <c r="E43">
        <f>IFERROR(__xludf.DUMMYFUNCTION("""COMPUTED_VALUE"""),33.1)</f>
        <v>33.1</v>
      </c>
      <c r="F43">
        <f>IFERROR(__xludf.DUMMYFUNCTION("""COMPUTED_VALUE"""),34.4)</f>
        <v>34.4</v>
      </c>
    </row>
    <row r="44">
      <c r="A44" t="str">
        <f>IFERROR(__xludf.DUMMYFUNCTION("""COMPUTED_VALUE"""),"Gambie")</f>
        <v>Gambie</v>
      </c>
      <c r="B44">
        <f>IFERROR(__xludf.DUMMYFUNCTION("""COMPUTED_VALUE"""),3.63)</f>
        <v>3.63</v>
      </c>
      <c r="C44">
        <f>IFERROR(__xludf.DUMMYFUNCTION("""COMPUTED_VALUE"""),5.62)</f>
        <v>5.62</v>
      </c>
      <c r="D44">
        <f>IFERROR(__xludf.DUMMYFUNCTION("""COMPUTED_VALUE"""),30.1)</f>
        <v>30.1</v>
      </c>
      <c r="E44">
        <f>IFERROR(__xludf.DUMMYFUNCTION("""COMPUTED_VALUE"""),27.3)</f>
        <v>27.3</v>
      </c>
      <c r="F44">
        <f>IFERROR(__xludf.DUMMYFUNCTION("""COMPUTED_VALUE"""),41.2)</f>
        <v>41.2</v>
      </c>
    </row>
    <row r="45">
      <c r="A45" t="str">
        <f>IFERROR(__xludf.DUMMYFUNCTION("""COMPUTED_VALUE"""),"Égypte")</f>
        <v>Égypte</v>
      </c>
      <c r="B45">
        <f>IFERROR(__xludf.DUMMYFUNCTION("""COMPUTED_VALUE"""),3.53)</f>
        <v>3.53</v>
      </c>
      <c r="C45">
        <f>IFERROR(__xludf.DUMMYFUNCTION("""COMPUTED_VALUE"""),3.38)</f>
        <v>3.38</v>
      </c>
      <c r="D45">
        <f>IFERROR(__xludf.DUMMYFUNCTION("""COMPUTED_VALUE"""),30.3)</f>
        <v>30.3</v>
      </c>
      <c r="E45">
        <f>IFERROR(__xludf.DUMMYFUNCTION("""COMPUTED_VALUE"""),19.5)</f>
        <v>19.5</v>
      </c>
      <c r="F45">
        <f>IFERROR(__xludf.DUMMYFUNCTION("""COMPUTED_VALUE"""),28.5)</f>
        <v>28.5</v>
      </c>
    </row>
    <row r="46">
      <c r="A46" t="str">
        <f>IFERROR(__xludf.DUMMYFUNCTION("""COMPUTED_VALUE"""),"Zimbabwe")</f>
        <v>Zimbabwe</v>
      </c>
      <c r="B46">
        <f>IFERROR(__xludf.DUMMYFUNCTION("""COMPUTED_VALUE"""),3.5)</f>
        <v>3.5</v>
      </c>
      <c r="C46">
        <f>IFERROR(__xludf.DUMMYFUNCTION("""COMPUTED_VALUE"""),4.0)</f>
        <v>4</v>
      </c>
      <c r="D46">
        <f>IFERROR(__xludf.DUMMYFUNCTION("""COMPUTED_VALUE"""),31.9)</f>
        <v>31.9</v>
      </c>
      <c r="E46">
        <f>IFERROR(__xludf.DUMMYFUNCTION("""COMPUTED_VALUE"""),28.8)</f>
        <v>28.8</v>
      </c>
      <c r="F46">
        <f>IFERROR(__xludf.DUMMYFUNCTION("""COMPUTED_VALUE"""),35.6)</f>
        <v>35.6</v>
      </c>
    </row>
    <row r="47">
      <c r="A47" t="str">
        <f>IFERROR(__xludf.DUMMYFUNCTION("""COMPUTED_VALUE"""),"Comores")</f>
        <v>Comores</v>
      </c>
      <c r="B47">
        <f>IFERROR(__xludf.DUMMYFUNCTION("""COMPUTED_VALUE"""),3.47)</f>
        <v>3.47</v>
      </c>
      <c r="C47">
        <f>IFERROR(__xludf.DUMMYFUNCTION("""COMPUTED_VALUE"""),4.6)</f>
        <v>4.6</v>
      </c>
      <c r="D47">
        <f>IFERROR(__xludf.DUMMYFUNCTION("""COMPUTED_VALUE"""),26.9)</f>
        <v>26.9</v>
      </c>
      <c r="E47">
        <f>IFERROR(__xludf.DUMMYFUNCTION("""COMPUTED_VALUE"""),21.6)</f>
        <v>21.6</v>
      </c>
      <c r="F47">
        <f>IFERROR(__xludf.DUMMYFUNCTION("""COMPUTED_VALUE"""),34.4)</f>
        <v>34.4</v>
      </c>
    </row>
    <row r="48">
      <c r="A48" t="str">
        <f>IFERROR(__xludf.DUMMYFUNCTION("""COMPUTED_VALUE"""),"Côte d'Ivoire")</f>
        <v>Côte d'Ivoire</v>
      </c>
      <c r="B48">
        <f>IFERROR(__xludf.DUMMYFUNCTION("""COMPUTED_VALUE"""),3.46)</f>
        <v>3.46</v>
      </c>
      <c r="C48">
        <f>IFERROR(__xludf.DUMMYFUNCTION("""COMPUTED_VALUE"""),5.14)</f>
        <v>5.14</v>
      </c>
      <c r="D48">
        <f>IFERROR(__xludf.DUMMYFUNCTION("""COMPUTED_VALUE"""),28.8)</f>
        <v>28.8</v>
      </c>
      <c r="E48">
        <f>IFERROR(__xludf.DUMMYFUNCTION("""COMPUTED_VALUE"""),27.5)</f>
        <v>27.5</v>
      </c>
      <c r="F48">
        <f>IFERROR(__xludf.DUMMYFUNCTION("""COMPUTED_VALUE"""),37.7)</f>
        <v>37.7</v>
      </c>
    </row>
    <row r="49">
      <c r="A49" t="str">
        <f>IFERROR(__xludf.DUMMYFUNCTION("""COMPUTED_VALUE"""),"Namibie")</f>
        <v>Namibie</v>
      </c>
      <c r="B49">
        <f>IFERROR(__xludf.DUMMYFUNCTION("""COMPUTED_VALUE"""),3.36)</f>
        <v>3.36</v>
      </c>
      <c r="C49">
        <f>IFERROR(__xludf.DUMMYFUNCTION("""COMPUTED_VALUE"""),3.6)</f>
        <v>3.6</v>
      </c>
      <c r="D49">
        <f>IFERROR(__xludf.DUMMYFUNCTION("""COMPUTED_VALUE"""),27.9)</f>
        <v>27.9</v>
      </c>
      <c r="E49">
        <f>IFERROR(__xludf.DUMMYFUNCTION("""COMPUTED_VALUE"""),24.3)</f>
        <v>24.3</v>
      </c>
      <c r="F49">
        <f>IFERROR(__xludf.DUMMYFUNCTION("""COMPUTED_VALUE"""),30.4)</f>
        <v>30.4</v>
      </c>
    </row>
    <row r="50">
      <c r="A50" t="str">
        <f>IFERROR(__xludf.DUMMYFUNCTION("""COMPUTED_VALUE"""),"Îles Salomon")</f>
        <v>Îles Salomon</v>
      </c>
      <c r="B50">
        <f>IFERROR(__xludf.DUMMYFUNCTION("""COMPUTED_VALUE"""),3.22)</f>
        <v>3.22</v>
      </c>
      <c r="C50">
        <f>IFERROR(__xludf.DUMMYFUNCTION("""COMPUTED_VALUE"""),4.06)</f>
        <v>4.06</v>
      </c>
      <c r="D50">
        <f>IFERROR(__xludf.DUMMYFUNCTION("""COMPUTED_VALUE"""),25.3)</f>
        <v>25.3</v>
      </c>
      <c r="E50">
        <f>IFERROR(__xludf.DUMMYFUNCTION("""COMPUTED_VALUE"""),22.0)</f>
        <v>22</v>
      </c>
      <c r="F50">
        <f>IFERROR(__xludf.DUMMYFUNCTION("""COMPUTED_VALUE"""),30.8)</f>
        <v>30.8</v>
      </c>
    </row>
    <row r="51">
      <c r="A51" t="str">
        <f>IFERROR(__xludf.DUMMYFUNCTION("""COMPUTED_VALUE"""),"Jordanie")</f>
        <v>Jordanie</v>
      </c>
      <c r="B51">
        <f>IFERROR(__xludf.DUMMYFUNCTION("""COMPUTED_VALUE"""),3.18)</f>
        <v>3.18</v>
      </c>
      <c r="C51">
        <f>IFERROR(__xludf.DUMMYFUNCTION("""COMPUTED_VALUE"""),3.6)</f>
        <v>3.6</v>
      </c>
      <c r="D51">
        <f>IFERROR(__xludf.DUMMYFUNCTION("""COMPUTED_VALUE"""),25.5)</f>
        <v>25.5</v>
      </c>
      <c r="E51">
        <f>IFERROR(__xludf.DUMMYFUNCTION("""COMPUTED_VALUE"""),22.2)</f>
        <v>22.2</v>
      </c>
      <c r="F51">
        <f>IFERROR(__xludf.DUMMYFUNCTION("""COMPUTED_VALUE"""),28.4)</f>
        <v>28.4</v>
      </c>
    </row>
    <row r="52">
      <c r="A52" t="str">
        <f>IFERROR(__xludf.DUMMYFUNCTION("""COMPUTED_VALUE"""),"Tonga")</f>
        <v>Tonga</v>
      </c>
      <c r="B52">
        <f>IFERROR(__xludf.DUMMYFUNCTION("""COMPUTED_VALUE"""),3.18)</f>
        <v>3.18</v>
      </c>
      <c r="C52">
        <f>IFERROR(__xludf.DUMMYFUNCTION("""COMPUTED_VALUE"""),3.79)</f>
        <v>3.79</v>
      </c>
      <c r="D52">
        <f>IFERROR(__xludf.DUMMYFUNCTION("""COMPUTED_VALUE"""),22.6)</f>
        <v>22.6</v>
      </c>
      <c r="E52">
        <f>IFERROR(__xludf.DUMMYFUNCTION("""COMPUTED_VALUE"""),19.7)</f>
        <v>19.7</v>
      </c>
      <c r="F52">
        <f>IFERROR(__xludf.DUMMYFUNCTION("""COMPUTED_VALUE"""),25.7)</f>
        <v>25.7</v>
      </c>
    </row>
    <row r="53">
      <c r="A53" t="str">
        <f>IFERROR(__xludf.DUMMYFUNCTION("""COMPUTED_VALUE"""),"Vanuatu")</f>
        <v>Vanuatu</v>
      </c>
      <c r="B53">
        <f>IFERROR(__xludf.DUMMYFUNCTION("""COMPUTED_VALUE"""),3.16)</f>
        <v>3.16</v>
      </c>
      <c r="C53">
        <f>IFERROR(__xludf.DUMMYFUNCTION("""COMPUTED_VALUE"""),3.41)</f>
        <v>3.41</v>
      </c>
      <c r="D53">
        <f>IFERROR(__xludf.DUMMYFUNCTION("""COMPUTED_VALUE"""),24.5)</f>
        <v>24.5</v>
      </c>
      <c r="E53">
        <f>IFERROR(__xludf.DUMMYFUNCTION("""COMPUTED_VALUE"""),20.8)</f>
        <v>20.8</v>
      </c>
      <c r="F53">
        <f>IFERROR(__xludf.DUMMYFUNCTION("""COMPUTED_VALUE"""),26.9)</f>
        <v>26.9</v>
      </c>
    </row>
    <row r="54">
      <c r="A54" t="str">
        <f>IFERROR(__xludf.DUMMYFUNCTION("""COMPUTED_VALUE"""),"Kenya")</f>
        <v>Kenya</v>
      </c>
      <c r="B54">
        <f>IFERROR(__xludf.DUMMYFUNCTION("""COMPUTED_VALUE"""),3.14)</f>
        <v>3.14</v>
      </c>
      <c r="C54">
        <f>IFERROR(__xludf.DUMMYFUNCTION("""COMPUTED_VALUE"""),4.1)</f>
        <v>4.1</v>
      </c>
      <c r="D54">
        <f>IFERROR(__xludf.DUMMYFUNCTION("""COMPUTED_VALUE"""),25.1)</f>
        <v>25.1</v>
      </c>
      <c r="E54">
        <f>IFERROR(__xludf.DUMMYFUNCTION("""COMPUTED_VALUE"""),25.6)</f>
        <v>25.6</v>
      </c>
      <c r="F54">
        <f>IFERROR(__xludf.DUMMYFUNCTION("""COMPUTED_VALUE"""),33.1)</f>
        <v>33.1</v>
      </c>
    </row>
    <row r="55">
      <c r="A55" t="str">
        <f>IFERROR(__xludf.DUMMYFUNCTION("""COMPUTED_VALUE"""),"Papouasie-Nouvelle-Guinée")</f>
        <v>Papouasie-Nouvelle-Guinée</v>
      </c>
      <c r="B55">
        <f>IFERROR(__xludf.DUMMYFUNCTION("""COMPUTED_VALUE"""),3.1)</f>
        <v>3.1</v>
      </c>
      <c r="C55">
        <f>IFERROR(__xludf.DUMMYFUNCTION("""COMPUTED_VALUE"""),3.84)</f>
        <v>3.84</v>
      </c>
      <c r="D55">
        <f>IFERROR(__xludf.DUMMYFUNCTION("""COMPUTED_VALUE"""),24.0)</f>
        <v>24</v>
      </c>
      <c r="E55">
        <f>IFERROR(__xludf.DUMMYFUNCTION("""COMPUTED_VALUE"""),28.1)</f>
        <v>28.1</v>
      </c>
      <c r="F55">
        <f>IFERROR(__xludf.DUMMYFUNCTION("""COMPUTED_VALUE"""),28.8)</f>
        <v>28.8</v>
      </c>
    </row>
    <row r="56">
      <c r="A56" t="str">
        <f>IFERROR(__xludf.DUMMYFUNCTION("""COMPUTED_VALUE"""),"Îles Marshall")</f>
        <v>Îles Marshall</v>
      </c>
      <c r="B56">
        <f>IFERROR(__xludf.DUMMYFUNCTION("""COMPUTED_VALUE"""),3.09)</f>
        <v>3.09</v>
      </c>
      <c r="C56">
        <f>IFERROR(__xludf.DUMMYFUNCTION("""COMPUTED_VALUE"""),3.23)</f>
        <v>3.23</v>
      </c>
      <c r="D56">
        <f>IFERROR(__xludf.DUMMYFUNCTION("""COMPUTED_VALUE"""),25.0)</f>
        <v>25</v>
      </c>
      <c r="E56">
        <f>IFERROR(__xludf.DUMMYFUNCTION("""COMPUTED_VALUE"""),21.2)</f>
        <v>21.2</v>
      </c>
      <c r="F56">
        <f>IFERROR(__xludf.DUMMYFUNCTION("""COMPUTED_VALUE"""),24.9)</f>
        <v>24.9</v>
      </c>
    </row>
    <row r="57">
      <c r="A57" t="str">
        <f>IFERROR(__xludf.DUMMYFUNCTION("""COMPUTED_VALUE"""),"Philippines")</f>
        <v>Philippines</v>
      </c>
      <c r="B57">
        <f>IFERROR(__xludf.DUMMYFUNCTION("""COMPUTED_VALUE"""),3.06)</f>
        <v>3.06</v>
      </c>
      <c r="C57">
        <f>IFERROR(__xludf.DUMMYFUNCTION("""COMPUTED_VALUE"""),3.05)</f>
        <v>3.05</v>
      </c>
      <c r="D57">
        <f>IFERROR(__xludf.DUMMYFUNCTION("""COMPUTED_VALUE"""),24.0)</f>
        <v>24</v>
      </c>
      <c r="E57">
        <f>IFERROR(__xludf.DUMMYFUNCTION("""COMPUTED_VALUE"""),22.1)</f>
        <v>22.1</v>
      </c>
      <c r="F57">
        <f>IFERROR(__xludf.DUMMYFUNCTION("""COMPUTED_VALUE"""),24.1)</f>
        <v>24.1</v>
      </c>
    </row>
    <row r="58">
      <c r="A58" t="str">
        <f>IFERROR(__xludf.DUMMYFUNCTION("""COMPUTED_VALUE"""),"Tuvalu")</f>
        <v>Tuvalu</v>
      </c>
      <c r="B58">
        <f>IFERROR(__xludf.DUMMYFUNCTION("""COMPUTED_VALUE"""),2.98)</f>
        <v>2.98</v>
      </c>
      <c r="C58">
        <f>IFERROR(__xludf.DUMMYFUNCTION("""COMPUTED_VALUE"""),3.45)</f>
        <v>3.45</v>
      </c>
      <c r="D58">
        <f>IFERROR(__xludf.DUMMYFUNCTION("""COMPUTED_VALUE"""),23.8)</f>
        <v>23.8</v>
      </c>
      <c r="E58">
        <f>IFERROR(__xludf.DUMMYFUNCTION("""COMPUTED_VALUE"""),22.0)</f>
        <v>22</v>
      </c>
      <c r="F58">
        <f>IFERROR(__xludf.DUMMYFUNCTION("""COMPUTED_VALUE"""),27.4)</f>
        <v>27.4</v>
      </c>
    </row>
    <row r="59">
      <c r="A59" t="str">
        <f>IFERROR(__xludf.DUMMYFUNCTION("""COMPUTED_VALUE"""),"Belize")</f>
        <v>Belize</v>
      </c>
      <c r="B59">
        <f>IFERROR(__xludf.DUMMYFUNCTION("""COMPUTED_VALUE"""),2.9)</f>
        <v>2.9</v>
      </c>
      <c r="C59">
        <f>IFERROR(__xludf.DUMMYFUNCTION("""COMPUTED_VALUE"""),2.64)</f>
        <v>2.64</v>
      </c>
      <c r="D59">
        <f>IFERROR(__xludf.DUMMYFUNCTION("""COMPUTED_VALUE"""),24.3)</f>
        <v>24.3</v>
      </c>
      <c r="E59">
        <f>IFERROR(__xludf.DUMMYFUNCTION("""COMPUTED_VALUE"""),17.7)</f>
        <v>17.7</v>
      </c>
      <c r="F59">
        <f>IFERROR(__xludf.DUMMYFUNCTION("""COMPUTED_VALUE"""),23.3)</f>
        <v>23.3</v>
      </c>
    </row>
    <row r="60">
      <c r="A60" t="str">
        <f>IFERROR(__xludf.DUMMYFUNCTION("""COMPUTED_VALUE"""),"Nauru")</f>
        <v>Nauru</v>
      </c>
      <c r="B60">
        <f>IFERROR(__xludf.DUMMYFUNCTION("""COMPUTED_VALUE"""),2.84)</f>
        <v>2.84</v>
      </c>
      <c r="C60">
        <f>IFERROR(__xludf.DUMMYFUNCTION("""COMPUTED_VALUE"""),3.24)</f>
        <v>3.24</v>
      </c>
      <c r="D60">
        <f>IFERROR(__xludf.DUMMYFUNCTION("""COMPUTED_VALUE"""),24.4)</f>
        <v>24.4</v>
      </c>
      <c r="E60">
        <f>IFERROR(__xludf.DUMMYFUNCTION("""COMPUTED_VALUE"""),20.2)</f>
        <v>20.2</v>
      </c>
      <c r="F60">
        <f>IFERROR(__xludf.DUMMYFUNCTION("""COMPUTED_VALUE"""),25.1)</f>
        <v>25.1</v>
      </c>
    </row>
    <row r="61">
      <c r="A61" t="str">
        <f>IFERROR(__xludf.DUMMYFUNCTION("""COMPUTED_VALUE"""),"Oman")</f>
        <v>Oman</v>
      </c>
      <c r="B61">
        <f>IFERROR(__xludf.DUMMYFUNCTION("""COMPUTED_VALUE"""),2.84)</f>
        <v>2.84</v>
      </c>
      <c r="C61">
        <f>IFERROR(__xludf.DUMMYFUNCTION("""COMPUTED_VALUE"""),2.92)</f>
        <v>2.92</v>
      </c>
      <c r="D61">
        <f>IFERROR(__xludf.DUMMYFUNCTION("""COMPUTED_VALUE"""),24.3)</f>
        <v>24.3</v>
      </c>
      <c r="E61">
        <f>IFERROR(__xludf.DUMMYFUNCTION("""COMPUTED_VALUE"""),21.1)</f>
        <v>21.1</v>
      </c>
      <c r="F61">
        <f>IFERROR(__xludf.DUMMYFUNCTION("""COMPUTED_VALUE"""),21.5)</f>
        <v>21.5</v>
      </c>
    </row>
    <row r="62">
      <c r="A62" t="str">
        <f>IFERROR(__xludf.DUMMYFUNCTION("""COMPUTED_VALUE"""),"Guatemala")</f>
        <v>Guatemala</v>
      </c>
      <c r="B62">
        <f>IFERROR(__xludf.DUMMYFUNCTION("""COMPUTED_VALUE"""),2.83)</f>
        <v>2.83</v>
      </c>
      <c r="C62">
        <f>IFERROR(__xludf.DUMMYFUNCTION("""COMPUTED_VALUE"""),3.19)</f>
        <v>3.19</v>
      </c>
      <c r="D62">
        <f>IFERROR(__xludf.DUMMYFUNCTION("""COMPUTED_VALUE"""),24.5)</f>
        <v>24.5</v>
      </c>
      <c r="E62">
        <f>IFERROR(__xludf.DUMMYFUNCTION("""COMPUTED_VALUE"""),21.4)</f>
        <v>21.4</v>
      </c>
      <c r="F62">
        <f>IFERROR(__xludf.DUMMYFUNCTION("""COMPUTED_VALUE"""),26.6)</f>
        <v>26.6</v>
      </c>
    </row>
    <row r="63">
      <c r="A63" t="str">
        <f>IFERROR(__xludf.DUMMYFUNCTION("""COMPUTED_VALUE"""),"Haïti")</f>
        <v>Haïti</v>
      </c>
      <c r="B63">
        <f>IFERROR(__xludf.DUMMYFUNCTION("""COMPUTED_VALUE"""),2.79)</f>
        <v>2.79</v>
      </c>
      <c r="C63">
        <f>IFERROR(__xludf.DUMMYFUNCTION("""COMPUTED_VALUE"""),3.13)</f>
        <v>3.13</v>
      </c>
      <c r="D63">
        <f>IFERROR(__xludf.DUMMYFUNCTION("""COMPUTED_VALUE"""),23.3)</f>
        <v>23.3</v>
      </c>
      <c r="E63">
        <f>IFERROR(__xludf.DUMMYFUNCTION("""COMPUTED_VALUE"""),21.2)</f>
        <v>21.2</v>
      </c>
      <c r="F63">
        <f>IFERROR(__xludf.DUMMYFUNCTION("""COMPUTED_VALUE"""),25.5)</f>
        <v>25.5</v>
      </c>
    </row>
    <row r="64">
      <c r="A64" t="str">
        <f>IFERROR(__xludf.DUMMYFUNCTION("""COMPUTED_VALUE"""),"Samoa")</f>
        <v>Samoa</v>
      </c>
      <c r="B64">
        <f>IFERROR(__xludf.DUMMYFUNCTION("""COMPUTED_VALUE"""),2.77)</f>
        <v>2.77</v>
      </c>
      <c r="C64">
        <f>IFERROR(__xludf.DUMMYFUNCTION("""COMPUTED_VALUE"""),4.16)</f>
        <v>4.16</v>
      </c>
      <c r="D64">
        <f>IFERROR(__xludf.DUMMYFUNCTION("""COMPUTED_VALUE"""),20.6)</f>
        <v>20.6</v>
      </c>
      <c r="E64">
        <f>IFERROR(__xludf.DUMMYFUNCTION("""COMPUTED_VALUE"""),18.8)</f>
        <v>18.8</v>
      </c>
      <c r="F64">
        <f>IFERROR(__xludf.DUMMYFUNCTION("""COMPUTED_VALUE"""),26.4)</f>
        <v>26.4</v>
      </c>
    </row>
    <row r="65">
      <c r="A65" t="str">
        <f>IFERROR(__xludf.DUMMYFUNCTION("""COMPUTED_VALUE"""),"Laos")</f>
        <v>Laos</v>
      </c>
      <c r="B65">
        <f>IFERROR(__xludf.DUMMYFUNCTION("""COMPUTED_VALUE"""),2.76)</f>
        <v>2.76</v>
      </c>
      <c r="C65">
        <f>IFERROR(__xludf.DUMMYFUNCTION("""COMPUTED_VALUE"""),2.93)</f>
        <v>2.93</v>
      </c>
      <c r="D65">
        <f>IFERROR(__xludf.DUMMYFUNCTION("""COMPUTED_VALUE"""),23.9)</f>
        <v>23.9</v>
      </c>
      <c r="E65">
        <f>IFERROR(__xludf.DUMMYFUNCTION("""COMPUTED_VALUE"""),19.8)</f>
        <v>19.8</v>
      </c>
      <c r="F65">
        <f>IFERROR(__xludf.DUMMYFUNCTION("""COMPUTED_VALUE"""),25.5)</f>
        <v>25.5</v>
      </c>
    </row>
    <row r="66">
      <c r="A66" t="str">
        <f>IFERROR(__xludf.DUMMYFUNCTION("""COMPUTED_VALUE"""),"Algérie")</f>
        <v>Algérie</v>
      </c>
      <c r="B66">
        <f>IFERROR(__xludf.DUMMYFUNCTION("""COMPUTED_VALUE"""),2.74)</f>
        <v>2.74</v>
      </c>
      <c r="C66">
        <f>IFERROR(__xludf.DUMMYFUNCTION("""COMPUTED_VALUE"""),2.96)</f>
        <v>2.96</v>
      </c>
      <c r="D66">
        <f>IFERROR(__xludf.DUMMYFUNCTION("""COMPUTED_VALUE"""),23.0)</f>
        <v>23</v>
      </c>
      <c r="E66">
        <f>IFERROR(__xludf.DUMMYFUNCTION("""COMPUTED_VALUE"""),20.2)</f>
        <v>20.2</v>
      </c>
      <c r="F66">
        <f>IFERROR(__xludf.DUMMYFUNCTION("""COMPUTED_VALUE"""),25.3)</f>
        <v>25.3</v>
      </c>
    </row>
    <row r="67">
      <c r="A67" t="str">
        <f>IFERROR(__xludf.DUMMYFUNCTION("""COMPUTED_VALUE"""),"Eswatini")</f>
        <v>Eswatini</v>
      </c>
      <c r="B67">
        <f>IFERROR(__xludf.DUMMYFUNCTION("""COMPUTED_VALUE"""),2.74)</f>
        <v>2.74</v>
      </c>
      <c r="C67">
        <f>IFERROR(__xludf.DUMMYFUNCTION("""COMPUTED_VALUE"""),3.3)</f>
        <v>3.3</v>
      </c>
      <c r="D67">
        <f>IFERROR(__xludf.DUMMYFUNCTION("""COMPUTED_VALUE"""),24.3)</f>
        <v>24.3</v>
      </c>
      <c r="E67">
        <f>IFERROR(__xludf.DUMMYFUNCTION("""COMPUTED_VALUE"""),22.3)</f>
        <v>22.3</v>
      </c>
      <c r="F67">
        <f>IFERROR(__xludf.DUMMYFUNCTION("""COMPUTED_VALUE"""),30.2)</f>
        <v>30.2</v>
      </c>
    </row>
    <row r="68">
      <c r="A68" t="str">
        <f>IFERROR(__xludf.DUMMYFUNCTION("""COMPUTED_VALUE"""),"Honduras")</f>
        <v>Honduras</v>
      </c>
      <c r="B68">
        <f>IFERROR(__xludf.DUMMYFUNCTION("""COMPUTED_VALUE"""),2.72)</f>
        <v>2.72</v>
      </c>
      <c r="C68">
        <f>IFERROR(__xludf.DUMMYFUNCTION("""COMPUTED_VALUE"""),2.65)</f>
        <v>2.65</v>
      </c>
      <c r="D68">
        <f>IFERROR(__xludf.DUMMYFUNCTION("""COMPUTED_VALUE"""),22.8)</f>
        <v>22.8</v>
      </c>
      <c r="E68">
        <f>IFERROR(__xludf.DUMMYFUNCTION("""COMPUTED_VALUE"""),19.9)</f>
        <v>19.9</v>
      </c>
      <c r="F68">
        <f>IFERROR(__xludf.DUMMYFUNCTION("""COMPUTED_VALUE"""),23.0)</f>
        <v>23</v>
      </c>
    </row>
    <row r="69">
      <c r="A69" t="str">
        <f>IFERROR(__xludf.DUMMYFUNCTION("""COMPUTED_VALUE"""),"Bolivie")</f>
        <v>Bolivie</v>
      </c>
      <c r="B69">
        <f>IFERROR(__xludf.DUMMYFUNCTION("""COMPUTED_VALUE"""),2.68)</f>
        <v>2.68</v>
      </c>
      <c r="C69">
        <f>IFERROR(__xludf.DUMMYFUNCTION("""COMPUTED_VALUE"""),3.04)</f>
        <v>3.04</v>
      </c>
      <c r="D69">
        <f>IFERROR(__xludf.DUMMYFUNCTION("""COMPUTED_VALUE"""),22.4)</f>
        <v>22.4</v>
      </c>
      <c r="E69">
        <f>IFERROR(__xludf.DUMMYFUNCTION("""COMPUTED_VALUE"""),17.6)</f>
        <v>17.6</v>
      </c>
      <c r="F69">
        <f>IFERROR(__xludf.DUMMYFUNCTION("""COMPUTED_VALUE"""),24.4)</f>
        <v>24.4</v>
      </c>
    </row>
    <row r="70">
      <c r="A70" t="str">
        <f>IFERROR(__xludf.DUMMYFUNCTION("""COMPUTED_VALUE"""),"Lesotho")</f>
        <v>Lesotho</v>
      </c>
      <c r="B70">
        <f>IFERROR(__xludf.DUMMYFUNCTION("""COMPUTED_VALUE"""),2.68)</f>
        <v>2.68</v>
      </c>
      <c r="C70">
        <f>IFERROR(__xludf.DUMMYFUNCTION("""COMPUTED_VALUE"""),3.26)</f>
        <v>3.26</v>
      </c>
      <c r="D70">
        <f>IFERROR(__xludf.DUMMYFUNCTION("""COMPUTED_VALUE"""),25.1)</f>
        <v>25.1</v>
      </c>
      <c r="E70">
        <f>IFERROR(__xludf.DUMMYFUNCTION("""COMPUTED_VALUE"""),22.9)</f>
        <v>22.9</v>
      </c>
      <c r="F70">
        <f>IFERROR(__xludf.DUMMYFUNCTION("""COMPUTED_VALUE"""),28.7)</f>
        <v>28.7</v>
      </c>
    </row>
    <row r="71">
      <c r="A71" t="str">
        <f>IFERROR(__xludf.DUMMYFUNCTION("""COMPUTED_VALUE"""),"Pakistan")</f>
        <v>Pakistan</v>
      </c>
      <c r="B71">
        <f>IFERROR(__xludf.DUMMYFUNCTION("""COMPUTED_VALUE"""),2.68)</f>
        <v>2.68</v>
      </c>
      <c r="C71">
        <f>IFERROR(__xludf.DUMMYFUNCTION("""COMPUTED_VALUE"""),3.72)</f>
        <v>3.72</v>
      </c>
      <c r="D71">
        <f>IFERROR(__xludf.DUMMYFUNCTION("""COMPUTED_VALUE"""),22.3)</f>
        <v>22.3</v>
      </c>
      <c r="E71">
        <f>IFERROR(__xludf.DUMMYFUNCTION("""COMPUTED_VALUE"""),25.5)</f>
        <v>25.5</v>
      </c>
      <c r="F71">
        <f>IFERROR(__xludf.DUMMYFUNCTION("""COMPUTED_VALUE"""),29.7)</f>
        <v>29.7</v>
      </c>
    </row>
    <row r="72">
      <c r="A72" t="str">
        <f>IFERROR(__xludf.DUMMYFUNCTION("""COMPUTED_VALUE"""),"Tadjikistan")</f>
        <v>Tadjikistan</v>
      </c>
      <c r="B72">
        <f>IFERROR(__xludf.DUMMYFUNCTION("""COMPUTED_VALUE"""),2.67)</f>
        <v>2.67</v>
      </c>
      <c r="C72">
        <f>IFERROR(__xludf.DUMMYFUNCTION("""COMPUTED_VALUE"""),3.5)</f>
        <v>3.5</v>
      </c>
      <c r="D72">
        <f>IFERROR(__xludf.DUMMYFUNCTION("""COMPUTED_VALUE"""),23.8)</f>
        <v>23.8</v>
      </c>
      <c r="E72">
        <f>IFERROR(__xludf.DUMMYFUNCTION("""COMPUTED_VALUE"""),25.8)</f>
        <v>25.8</v>
      </c>
      <c r="F72">
        <f>IFERROR(__xludf.DUMMYFUNCTION("""COMPUTED_VALUE"""),30.2)</f>
        <v>30.2</v>
      </c>
    </row>
    <row r="73">
      <c r="A73" t="str">
        <f>IFERROR(__xludf.DUMMYFUNCTION("""COMPUTED_VALUE"""),"Israël")</f>
        <v>Israël</v>
      </c>
      <c r="B73">
        <f>IFERROR(__xludf.DUMMYFUNCTION("""COMPUTED_VALUE"""),2.66)</f>
        <v>2.66</v>
      </c>
      <c r="C73">
        <f>IFERROR(__xludf.DUMMYFUNCTION("""COMPUTED_VALUE"""),3.04)</f>
        <v>3.04</v>
      </c>
      <c r="D73">
        <f>IFERROR(__xludf.DUMMYFUNCTION("""COMPUTED_VALUE"""),18.3)</f>
        <v>18.3</v>
      </c>
      <c r="E73">
        <f>IFERROR(__xludf.DUMMYFUNCTION("""COMPUTED_VALUE"""),19.1)</f>
        <v>19.1</v>
      </c>
      <c r="F73">
        <f>IFERROR(__xludf.DUMMYFUNCTION("""COMPUTED_VALUE"""),21.4)</f>
        <v>21.4</v>
      </c>
      <c r="G73">
        <f>IFERROR(__xludf.DUMMYFUNCTION("""COMPUTED_VALUE"""),18.6)</f>
        <v>18.6</v>
      </c>
    </row>
    <row r="74">
      <c r="A74" t="str">
        <f>IFERROR(__xludf.DUMMYFUNCTION("""COMPUTED_VALUE"""),"Kirghizistan")</f>
        <v>Kirghizistan</v>
      </c>
      <c r="B74">
        <f>IFERROR(__xludf.DUMMYFUNCTION("""COMPUTED_VALUE"""),2.64)</f>
        <v>2.64</v>
      </c>
      <c r="C74">
        <f>IFERROR(__xludf.DUMMYFUNCTION("""COMPUTED_VALUE"""),3.12)</f>
        <v>3.12</v>
      </c>
      <c r="D74">
        <f>IFERROR(__xludf.DUMMYFUNCTION("""COMPUTED_VALUE"""),22.6)</f>
        <v>22.6</v>
      </c>
      <c r="E74">
        <f>IFERROR(__xludf.DUMMYFUNCTION("""COMPUTED_VALUE"""),18.7)</f>
        <v>18.7</v>
      </c>
      <c r="F74">
        <f>IFERROR(__xludf.DUMMYFUNCTION("""COMPUTED_VALUE"""),27.1)</f>
        <v>27.1</v>
      </c>
    </row>
    <row r="75">
      <c r="A75" t="str">
        <f>IFERROR(__xludf.DUMMYFUNCTION("""COMPUTED_VALUE"""),"Cambodge")</f>
        <v>Cambodge</v>
      </c>
      <c r="B75">
        <f>IFERROR(__xludf.DUMMYFUNCTION("""COMPUTED_VALUE"""),2.56)</f>
        <v>2.56</v>
      </c>
      <c r="C75">
        <f>IFERROR(__xludf.DUMMYFUNCTION("""COMPUTED_VALUE"""),2.7)</f>
        <v>2.7</v>
      </c>
      <c r="D75">
        <f>IFERROR(__xludf.DUMMYFUNCTION("""COMPUTED_VALUE"""),23.4)</f>
        <v>23.4</v>
      </c>
      <c r="E75">
        <f>IFERROR(__xludf.DUMMYFUNCTION("""COMPUTED_VALUE"""),18.2)</f>
        <v>18.2</v>
      </c>
      <c r="F75">
        <f>IFERROR(__xludf.DUMMYFUNCTION("""COMPUTED_VALUE"""),24.5)</f>
        <v>24.5</v>
      </c>
    </row>
    <row r="76">
      <c r="A76" t="str">
        <f>IFERROR(__xludf.DUMMYFUNCTION("""COMPUTED_VALUE"""),"Syrie")</f>
        <v>Syrie</v>
      </c>
      <c r="B76">
        <f>IFERROR(__xludf.DUMMYFUNCTION("""COMPUTED_VALUE"""),2.55)</f>
        <v>2.55</v>
      </c>
      <c r="C76">
        <f>IFERROR(__xludf.DUMMYFUNCTION("""COMPUTED_VALUE"""),3.1)</f>
        <v>3.1</v>
      </c>
      <c r="D76">
        <f>IFERROR(__xludf.DUMMYFUNCTION("""COMPUTED_VALUE"""),21.7)</f>
        <v>21.7</v>
      </c>
      <c r="E76">
        <f>IFERROR(__xludf.DUMMYFUNCTION("""COMPUTED_VALUE"""),21.7)</f>
        <v>21.7</v>
      </c>
      <c r="F76">
        <f>IFERROR(__xludf.DUMMYFUNCTION("""COMPUTED_VALUE"""),24.3)</f>
        <v>24.3</v>
      </c>
    </row>
    <row r="77">
      <c r="A77" t="str">
        <f>IFERROR(__xludf.DUMMYFUNCTION("""COMPUTED_VALUE"""),"Malaisie")</f>
        <v>Malaisie</v>
      </c>
      <c r="B77">
        <f>IFERROR(__xludf.DUMMYFUNCTION("""COMPUTED_VALUE"""),2.53)</f>
        <v>2.53</v>
      </c>
      <c r="C77">
        <f>IFERROR(__xludf.DUMMYFUNCTION("""COMPUTED_VALUE"""),2.11)</f>
        <v>2.11</v>
      </c>
      <c r="D77">
        <f>IFERROR(__xludf.DUMMYFUNCTION("""COMPUTED_VALUE"""),19.4)</f>
        <v>19.4</v>
      </c>
      <c r="E77">
        <f>IFERROR(__xludf.DUMMYFUNCTION("""COMPUTED_VALUE"""),14.2)</f>
        <v>14.2</v>
      </c>
      <c r="F77">
        <f>IFERROR(__xludf.DUMMYFUNCTION("""COMPUTED_VALUE"""),17.2)</f>
        <v>17.2</v>
      </c>
    </row>
    <row r="78">
      <c r="A78" t="str">
        <f>IFERROR(__xludf.DUMMYFUNCTION("""COMPUTED_VALUE"""),"États fédérés de Micronésie")</f>
        <v>États fédérés de Micronésie</v>
      </c>
      <c r="B78">
        <f>IFERROR(__xludf.DUMMYFUNCTION("""COMPUTED_VALUE"""),2.45)</f>
        <v>2.45</v>
      </c>
      <c r="C78">
        <f>IFERROR(__xludf.DUMMYFUNCTION("""COMPUTED_VALUE"""),3.0)</f>
        <v>3</v>
      </c>
      <c r="D78">
        <f>IFERROR(__xludf.DUMMYFUNCTION("""COMPUTED_VALUE"""),20.3)</f>
        <v>20.3</v>
      </c>
      <c r="E78">
        <f>IFERROR(__xludf.DUMMYFUNCTION("""COMPUTED_VALUE"""),17.8)</f>
        <v>17.8</v>
      </c>
      <c r="F78">
        <f>IFERROR(__xludf.DUMMYFUNCTION("""COMPUTED_VALUE"""),23.6)</f>
        <v>23.6</v>
      </c>
    </row>
    <row r="79">
      <c r="A79" t="str">
        <f>IFERROR(__xludf.DUMMYFUNCTION("""COMPUTED_VALUE"""),"Fidji")</f>
        <v>Fidji</v>
      </c>
      <c r="B79">
        <f>IFERROR(__xludf.DUMMYFUNCTION("""COMPUTED_VALUE"""),2.44)</f>
        <v>2.44</v>
      </c>
      <c r="C79">
        <f>IFERROR(__xludf.DUMMYFUNCTION("""COMPUTED_VALUE"""),2.6)</f>
        <v>2.6</v>
      </c>
      <c r="D79">
        <f>IFERROR(__xludf.DUMMYFUNCTION("""COMPUTED_VALUE"""),19.0)</f>
        <v>19</v>
      </c>
      <c r="E79">
        <f>IFERROR(__xludf.DUMMYFUNCTION("""COMPUTED_VALUE"""),15.9)</f>
        <v>15.9</v>
      </c>
      <c r="F79">
        <f>IFERROR(__xludf.DUMMYFUNCTION("""COMPUTED_VALUE"""),20.7)</f>
        <v>20.7</v>
      </c>
    </row>
    <row r="80">
      <c r="A80" t="str">
        <f>IFERROR(__xludf.DUMMYFUNCTION("""COMPUTED_VALUE"""),"Koweït")</f>
        <v>Koweït</v>
      </c>
      <c r="B80">
        <f>IFERROR(__xludf.DUMMYFUNCTION("""COMPUTED_VALUE"""),2.44)</f>
        <v>2.44</v>
      </c>
      <c r="C80">
        <f>IFERROR(__xludf.DUMMYFUNCTION("""COMPUTED_VALUE"""),2.05)</f>
        <v>2.05</v>
      </c>
      <c r="D80">
        <f>IFERROR(__xludf.DUMMYFUNCTION("""COMPUTED_VALUE"""),19.6)</f>
        <v>19.6</v>
      </c>
      <c r="E80">
        <f>IFERROR(__xludf.DUMMYFUNCTION("""COMPUTED_VALUE"""),17.5)</f>
        <v>17.5</v>
      </c>
      <c r="F80">
        <f>IFERROR(__xludf.DUMMYFUNCTION("""COMPUTED_VALUE"""),18.0)</f>
        <v>18</v>
      </c>
    </row>
    <row r="81">
      <c r="A81" t="str">
        <f>IFERROR(__xludf.DUMMYFUNCTION("""COMPUTED_VALUE"""),"Kiribati")</f>
        <v>Kiribati</v>
      </c>
      <c r="B81">
        <f>IFERROR(__xludf.DUMMYFUNCTION("""COMPUTED_VALUE"""),2.43)</f>
        <v>2.43</v>
      </c>
      <c r="C81">
        <f>IFERROR(__xludf.DUMMYFUNCTION("""COMPUTED_VALUE"""),3.79)</f>
        <v>3.79</v>
      </c>
      <c r="D81">
        <f>IFERROR(__xludf.DUMMYFUNCTION("""COMPUTED_VALUE"""),21.3)</f>
        <v>21.3</v>
      </c>
      <c r="E81">
        <f>IFERROR(__xludf.DUMMYFUNCTION("""COMPUTED_VALUE"""),19.7)</f>
        <v>19.7</v>
      </c>
      <c r="F81">
        <f>IFERROR(__xludf.DUMMYFUNCTION("""COMPUTED_VALUE"""),29.2)</f>
        <v>29.2</v>
      </c>
    </row>
    <row r="82">
      <c r="A82" t="str">
        <f>IFERROR(__xludf.DUMMYFUNCTION("""COMPUTED_VALUE"""),"*Moyenne mondiale*")</f>
        <v>*Moyenne mondiale*</v>
      </c>
      <c r="B82" t="str">
        <f>IFERROR(__xludf.DUMMYFUNCTION("""COMPUTED_VALUE"""),"*2,41*")</f>
        <v>*2,41*</v>
      </c>
      <c r="C82" t="str">
        <f>IFERROR(__xludf.DUMMYFUNCTION("""COMPUTED_VALUE"""),"*2,47*")</f>
        <v>*2,47*</v>
      </c>
      <c r="D82" t="str">
        <f>IFERROR(__xludf.DUMMYFUNCTION("""COMPUTED_VALUE"""),"*19,3*")</f>
        <v>*19,3*</v>
      </c>
      <c r="F82" t="str">
        <f>IFERROR(__xludf.DUMMYFUNCTION("""COMPUTED_VALUE"""),"*19,6*")</f>
        <v>*19,6*</v>
      </c>
    </row>
    <row r="83">
      <c r="A83" t="str">
        <f>IFERROR(__xludf.DUMMYFUNCTION("""COMPUTED_VALUE"""),"Inde")</f>
        <v>Inde</v>
      </c>
      <c r="B83">
        <f>IFERROR(__xludf.DUMMYFUNCTION("""COMPUTED_VALUE"""),2.38)</f>
        <v>2.38</v>
      </c>
      <c r="C83">
        <f>IFERROR(__xludf.DUMMYFUNCTION("""COMPUTED_VALUE"""),2.44)</f>
        <v>2.44</v>
      </c>
      <c r="D83">
        <f>IFERROR(__xludf.DUMMYFUNCTION("""COMPUTED_VALUE"""),19.3)</f>
        <v>19.3</v>
      </c>
      <c r="E83">
        <f>IFERROR(__xludf.DUMMYFUNCTION("""COMPUTED_VALUE"""),16.2)</f>
        <v>16.2</v>
      </c>
      <c r="F83">
        <f>IFERROR(__xludf.DUMMYFUNCTION("""COMPUTED_VALUE"""),20.0)</f>
        <v>20</v>
      </c>
    </row>
    <row r="84">
      <c r="A84" t="str">
        <f>IFERROR(__xludf.DUMMYFUNCTION("""COMPUTED_VALUE"""),"Djibouti")</f>
        <v>Djibouti</v>
      </c>
      <c r="B84">
        <f>IFERROR(__xludf.DUMMYFUNCTION("""COMPUTED_VALUE"""),2.35)</f>
        <v>2.35</v>
      </c>
      <c r="C84">
        <f>IFERROR(__xludf.DUMMYFUNCTION("""COMPUTED_VALUE"""),3.1)</f>
        <v>3.1</v>
      </c>
      <c r="D84">
        <f>IFERROR(__xludf.DUMMYFUNCTION("""COMPUTED_VALUE"""),23.6)</f>
        <v>23.6</v>
      </c>
      <c r="E84">
        <f>IFERROR(__xludf.DUMMYFUNCTION("""COMPUTED_VALUE"""),21.8)</f>
        <v>21.8</v>
      </c>
      <c r="F84">
        <f>IFERROR(__xludf.DUMMYFUNCTION("""COMPUTED_VALUE"""),24.3)</f>
        <v>24.3</v>
      </c>
    </row>
    <row r="85">
      <c r="A85" t="str">
        <f>IFERROR(__xludf.DUMMYFUNCTION("""COMPUTED_VALUE"""),"Venezuela")</f>
        <v>Venezuela</v>
      </c>
      <c r="B85">
        <f>IFERROR(__xludf.DUMMYFUNCTION("""COMPUTED_VALUE"""),2.35)</f>
        <v>2.35</v>
      </c>
      <c r="C85">
        <f>IFERROR(__xludf.DUMMYFUNCTION("""COMPUTED_VALUE"""),2.4)</f>
        <v>2.4</v>
      </c>
      <c r="D85">
        <f>IFERROR(__xludf.DUMMYFUNCTION("""COMPUTED_VALUE"""),19.2)</f>
        <v>19.2</v>
      </c>
      <c r="E85">
        <f>IFERROR(__xludf.DUMMYFUNCTION("""COMPUTED_VALUE"""),16.7)</f>
        <v>16.7</v>
      </c>
      <c r="F85">
        <f>IFERROR(__xludf.DUMMYFUNCTION("""COMPUTED_VALUE"""),20.1)</f>
        <v>20.1</v>
      </c>
    </row>
    <row r="86">
      <c r="A86" t="str">
        <f>IFERROR(__xludf.DUMMYFUNCTION("""COMPUTED_VALUE"""),"Émirats arabes unis")</f>
        <v>Émirats arabes unis</v>
      </c>
      <c r="B86">
        <f>IFERROR(__xludf.DUMMYFUNCTION("""COMPUTED_VALUE"""),2.33)</f>
        <v>2.33</v>
      </c>
      <c r="C86">
        <f>IFERROR(__xludf.DUMMYFUNCTION("""COMPUTED_VALUE"""),1.82)</f>
        <v>1.82</v>
      </c>
      <c r="D86">
        <f>IFERROR(__xludf.DUMMYFUNCTION("""COMPUTED_VALUE"""),15.3)</f>
        <v>15.3</v>
      </c>
      <c r="F86">
        <f>IFERROR(__xludf.DUMMYFUNCTION("""COMPUTED_VALUE"""),10.8)</f>
        <v>10.8</v>
      </c>
    </row>
    <row r="87">
      <c r="A87" t="str">
        <f>IFERROR(__xludf.DUMMYFUNCTION("""COMPUTED_VALUE"""),"Panama")</f>
        <v>Panama</v>
      </c>
      <c r="B87">
        <f>IFERROR(__xludf.DUMMYFUNCTION("""COMPUTED_VALUE"""),2.33)</f>
        <v>2.33</v>
      </c>
      <c r="C87">
        <f>IFERROR(__xludf.DUMMYFUNCTION("""COMPUTED_VALUE"""),2.6)</f>
        <v>2.6</v>
      </c>
      <c r="D87">
        <f>IFERROR(__xludf.DUMMYFUNCTION("""COMPUTED_VALUE"""),18.1)</f>
        <v>18.1</v>
      </c>
      <c r="E87">
        <f>IFERROR(__xludf.DUMMYFUNCTION("""COMPUTED_VALUE"""),17.4)</f>
        <v>17.4</v>
      </c>
      <c r="F87">
        <f>IFERROR(__xludf.DUMMYFUNCTION("""COMPUTED_VALUE"""),20.6)</f>
        <v>20.6</v>
      </c>
    </row>
    <row r="88">
      <c r="A88" t="str">
        <f>IFERROR(__xludf.DUMMYFUNCTION("""COMPUTED_VALUE"""),"Guam")</f>
        <v>Guam</v>
      </c>
      <c r="B88">
        <f>IFERROR(__xludf.DUMMYFUNCTION("""COMPUTED_VALUE"""),2.31)</f>
        <v>2.31</v>
      </c>
      <c r="C88">
        <f>IFERROR(__xludf.DUMMYFUNCTION("""COMPUTED_VALUE"""),2.42)</f>
        <v>2.42</v>
      </c>
      <c r="D88">
        <f>IFERROR(__xludf.DUMMYFUNCTION("""COMPUTED_VALUE"""),16.7)</f>
        <v>16.7</v>
      </c>
      <c r="E88">
        <f>IFERROR(__xludf.DUMMYFUNCTION("""COMPUTED_VALUE"""),18.1)</f>
        <v>18.1</v>
      </c>
      <c r="F88">
        <f>IFERROR(__xludf.DUMMYFUNCTION("""COMPUTED_VALUE"""),17.3)</f>
        <v>17.3</v>
      </c>
    </row>
    <row r="89">
      <c r="A89" t="str">
        <f>IFERROR(__xludf.DUMMYFUNCTION("""COMPUTED_VALUE"""),"Afrique du Sud")</f>
        <v>Afrique du Sud</v>
      </c>
      <c r="B89">
        <f>IFERROR(__xludf.DUMMYFUNCTION("""COMPUTED_VALUE"""),2.31)</f>
        <v>2.31</v>
      </c>
      <c r="C89">
        <f>IFERROR(__xludf.DUMMYFUNCTION("""COMPUTED_VALUE"""),2.55)</f>
        <v>2.55</v>
      </c>
      <c r="D89">
        <f>IFERROR(__xludf.DUMMYFUNCTION("""COMPUTED_VALUE"""),20.5)</f>
        <v>20.5</v>
      </c>
      <c r="E89">
        <f>IFERROR(__xludf.DUMMYFUNCTION("""COMPUTED_VALUE"""),17.7)</f>
        <v>17.7</v>
      </c>
      <c r="F89">
        <f>IFERROR(__xludf.DUMMYFUNCTION("""COMPUTED_VALUE"""),22.0)</f>
        <v>22</v>
      </c>
    </row>
    <row r="90">
      <c r="A90" t="str">
        <f>IFERROR(__xludf.DUMMYFUNCTION("""COMPUTED_VALUE"""),"République dominicaine")</f>
        <v>République dominicaine</v>
      </c>
      <c r="B90">
        <f>IFERROR(__xludf.DUMMYFUNCTION("""COMPUTED_VALUE"""),2.31)</f>
        <v>2.31</v>
      </c>
      <c r="C90">
        <f>IFERROR(__xludf.DUMMYFUNCTION("""COMPUTED_VALUE"""),2.53)</f>
        <v>2.53</v>
      </c>
      <c r="D90">
        <f>IFERROR(__xludf.DUMMYFUNCTION("""COMPUTED_VALUE"""),18.6)</f>
        <v>18.6</v>
      </c>
      <c r="E90">
        <f>IFERROR(__xludf.DUMMYFUNCTION("""COMPUTED_VALUE"""),17.3)</f>
        <v>17.3</v>
      </c>
      <c r="F90">
        <f>IFERROR(__xludf.DUMMYFUNCTION("""COMPUTED_VALUE"""),21.4)</f>
        <v>21.4</v>
      </c>
    </row>
    <row r="91">
      <c r="A91" t="str">
        <f>IFERROR(__xludf.DUMMYFUNCTION("""COMPUTED_VALUE"""),"Botswana")</f>
        <v>Botswana</v>
      </c>
      <c r="B91">
        <f>IFERROR(__xludf.DUMMYFUNCTION("""COMPUTED_VALUE"""),2.3)</f>
        <v>2.3</v>
      </c>
      <c r="C91">
        <f>IFERROR(__xludf.DUMMYFUNCTION("""COMPUTED_VALUE"""),2.88)</f>
        <v>2.88</v>
      </c>
      <c r="D91">
        <f>IFERROR(__xludf.DUMMYFUNCTION("""COMPUTED_VALUE"""),20.7)</f>
        <v>20.7</v>
      </c>
      <c r="E91">
        <f>IFERROR(__xludf.DUMMYFUNCTION("""COMPUTED_VALUE"""),19.6)</f>
        <v>19.6</v>
      </c>
      <c r="F91">
        <f>IFERROR(__xludf.DUMMYFUNCTION("""COMPUTED_VALUE"""),25.1)</f>
        <v>25.1</v>
      </c>
    </row>
    <row r="92">
      <c r="A92" t="str">
        <f>IFERROR(__xludf.DUMMYFUNCTION("""COMPUTED_VALUE"""),"Argentine")</f>
        <v>Argentine</v>
      </c>
      <c r="B92">
        <f>IFERROR(__xludf.DUMMYFUNCTION("""COMPUTED_VALUE"""),2.28)</f>
        <v>2.28</v>
      </c>
      <c r="C92">
        <f>IFERROR(__xludf.DUMMYFUNCTION("""COMPUTED_VALUE"""),2.34)</f>
        <v>2.34</v>
      </c>
      <c r="D92">
        <f>IFERROR(__xludf.DUMMYFUNCTION("""COMPUTED_VALUE"""),17.0)</f>
        <v>17</v>
      </c>
      <c r="E92">
        <f>IFERROR(__xludf.DUMMYFUNCTION("""COMPUTED_VALUE"""),15.2)</f>
        <v>15.2</v>
      </c>
      <c r="F92">
        <f>IFERROR(__xludf.DUMMYFUNCTION("""COMPUTED_VALUE"""),17.8)</f>
        <v>17.8</v>
      </c>
    </row>
    <row r="93">
      <c r="A93" t="str">
        <f>IFERROR(__xludf.DUMMYFUNCTION("""COMPUTED_VALUE"""),"Kazakhstan")</f>
        <v>Kazakhstan</v>
      </c>
      <c r="B93">
        <f>IFERROR(__xludf.DUMMYFUNCTION("""COMPUTED_VALUE"""),2.28)</f>
        <v>2.28</v>
      </c>
      <c r="C93">
        <f>IFERROR(__xludf.DUMMYFUNCTION("""COMPUTED_VALUE"""),2.7)</f>
        <v>2.7</v>
      </c>
      <c r="D93">
        <f>IFERROR(__xludf.DUMMYFUNCTION("""COMPUTED_VALUE"""),18.7)</f>
        <v>18.7</v>
      </c>
      <c r="E93">
        <f>IFERROR(__xludf.DUMMYFUNCTION("""COMPUTED_VALUE"""),17.2)</f>
        <v>17.2</v>
      </c>
      <c r="F93">
        <f>IFERROR(__xludf.DUMMYFUNCTION("""COMPUTED_VALUE"""),22.8)</f>
        <v>22.8</v>
      </c>
    </row>
    <row r="94">
      <c r="A94" t="str">
        <f>IFERROR(__xludf.DUMMYFUNCTION("""COMPUTED_VALUE"""),"Cap-Vert")</f>
        <v>Cap-Vert</v>
      </c>
      <c r="B94">
        <f>IFERROR(__xludf.DUMMYFUNCTION("""COMPUTED_VALUE"""),2.26)</f>
        <v>2.26</v>
      </c>
      <c r="C94">
        <f>IFERROR(__xludf.DUMMYFUNCTION("""COMPUTED_VALUE"""),2.5)</f>
        <v>2.5</v>
      </c>
      <c r="D94">
        <f>IFERROR(__xludf.DUMMYFUNCTION("""COMPUTED_VALUE"""),20.2)</f>
        <v>20.2</v>
      </c>
      <c r="E94">
        <f>IFERROR(__xludf.DUMMYFUNCTION("""COMPUTED_VALUE"""),17.9)</f>
        <v>17.9</v>
      </c>
      <c r="F94">
        <f>IFERROR(__xludf.DUMMYFUNCTION("""COMPUTED_VALUE"""),21.8)</f>
        <v>21.8</v>
      </c>
    </row>
    <row r="95">
      <c r="A95" t="str">
        <f>IFERROR(__xludf.DUMMYFUNCTION("""COMPUTED_VALUE"""),"Équateur")</f>
        <v>Équateur</v>
      </c>
      <c r="B95">
        <f>IFERROR(__xludf.DUMMYFUNCTION("""COMPUTED_VALUE"""),2.22)</f>
        <v>2.22</v>
      </c>
      <c r="C95">
        <f>IFERROR(__xludf.DUMMYFUNCTION("""COMPUTED_VALUE"""),2.56)</f>
        <v>2.56</v>
      </c>
      <c r="D95">
        <f>IFERROR(__xludf.DUMMYFUNCTION("""COMPUTED_VALUE"""),18.2)</f>
        <v>18.2</v>
      </c>
      <c r="E95">
        <f>IFERROR(__xludf.DUMMYFUNCTION("""COMPUTED_VALUE"""),17.7)</f>
        <v>17.7</v>
      </c>
      <c r="F95">
        <f>IFERROR(__xludf.DUMMYFUNCTION("""COMPUTED_VALUE"""),21.2)</f>
        <v>21.2</v>
      </c>
    </row>
    <row r="96">
      <c r="A96" t="str">
        <f>IFERROR(__xludf.DUMMYFUNCTION("""COMPUTED_VALUE"""),"Bangladesh")</f>
        <v>Bangladesh</v>
      </c>
      <c r="B96">
        <f>IFERROR(__xludf.DUMMYFUNCTION("""COMPUTED_VALUE"""),2.19)</f>
        <v>2.19</v>
      </c>
      <c r="C96">
        <f>IFERROR(__xludf.DUMMYFUNCTION("""COMPUTED_VALUE"""),2.22)</f>
        <v>2.22</v>
      </c>
      <c r="D96">
        <f>IFERROR(__xludf.DUMMYFUNCTION("""COMPUTED_VALUE"""),19.0)</f>
        <v>19</v>
      </c>
      <c r="E96">
        <f>IFERROR(__xludf.DUMMYFUNCTION("""COMPUTED_VALUE"""),17.3)</f>
        <v>17.3</v>
      </c>
      <c r="F96">
        <f>IFERROR(__xludf.DUMMYFUNCTION("""COMPUTED_VALUE"""),20.2)</f>
        <v>20.2</v>
      </c>
    </row>
    <row r="97">
      <c r="A97" t="str">
        <f>IFERROR(__xludf.DUMMYFUNCTION("""COMPUTED_VALUE"""),"Népal")</f>
        <v>Népal</v>
      </c>
      <c r="B97">
        <f>IFERROR(__xludf.DUMMYFUNCTION("""COMPUTED_VALUE"""),2.18)</f>
        <v>2.18</v>
      </c>
      <c r="C97">
        <f>IFERROR(__xludf.DUMMYFUNCTION("""COMPUTED_VALUE"""),2.32)</f>
        <v>2.32</v>
      </c>
      <c r="D97">
        <f>IFERROR(__xludf.DUMMYFUNCTION("""COMPUTED_VALUE"""),19.9)</f>
        <v>19.9</v>
      </c>
      <c r="E97">
        <f>IFERROR(__xludf.DUMMYFUNCTION("""COMPUTED_VALUE"""),17.0)</f>
        <v>17</v>
      </c>
      <c r="F97">
        <f>IFERROR(__xludf.DUMMYFUNCTION("""COMPUTED_VALUE"""),20.9)</f>
        <v>20.9</v>
      </c>
    </row>
    <row r="98">
      <c r="A98" t="str">
        <f>IFERROR(__xludf.DUMMYFUNCTION("""COMPUTED_VALUE"""),"Mexique")</f>
        <v>Mexique</v>
      </c>
      <c r="B98">
        <f>IFERROR(__xludf.DUMMYFUNCTION("""COMPUTED_VALUE"""),2.16)</f>
        <v>2.16</v>
      </c>
      <c r="C98">
        <f>IFERROR(__xludf.DUMMYFUNCTION("""COMPUTED_VALUE"""),2.29)</f>
        <v>2.29</v>
      </c>
      <c r="D98">
        <f>IFERROR(__xludf.DUMMYFUNCTION("""COMPUTED_VALUE"""),18.3)</f>
        <v>18.3</v>
      </c>
      <c r="E98">
        <f>IFERROR(__xludf.DUMMYFUNCTION("""COMPUTED_VALUE"""),14.3)</f>
        <v>14.3</v>
      </c>
      <c r="F98">
        <f>IFERROR(__xludf.DUMMYFUNCTION("""COMPUTED_VALUE"""),19.4)</f>
        <v>19.4</v>
      </c>
      <c r="G98">
        <f>IFERROR(__xludf.DUMMYFUNCTION("""COMPUTED_VALUE"""),15.7)</f>
        <v>15.7</v>
      </c>
    </row>
    <row r="99">
      <c r="A99" t="str">
        <f>IFERROR(__xludf.DUMMYFUNCTION("""COMPUTED_VALUE"""),"Pérou")</f>
        <v>Pérou</v>
      </c>
      <c r="B99">
        <f>IFERROR(__xludf.DUMMYFUNCTION("""COMPUTED_VALUE"""),2.15)</f>
        <v>2.15</v>
      </c>
      <c r="C99">
        <f>IFERROR(__xludf.DUMMYFUNCTION("""COMPUTED_VALUE"""),2.5)</f>
        <v>2.5</v>
      </c>
      <c r="D99">
        <f>IFERROR(__xludf.DUMMYFUNCTION("""COMPUTED_VALUE"""),18.0)</f>
        <v>18</v>
      </c>
      <c r="E99">
        <f>IFERROR(__xludf.DUMMYFUNCTION("""COMPUTED_VALUE"""),16.7)</f>
        <v>16.7</v>
      </c>
      <c r="F99">
        <f>IFERROR(__xludf.DUMMYFUNCTION("""COMPUTED_VALUE"""),20.4)</f>
        <v>20.4</v>
      </c>
    </row>
    <row r="100">
      <c r="A100" t="str">
        <f>IFERROR(__xludf.DUMMYFUNCTION("""COMPUTED_VALUE"""),"Birmanie")</f>
        <v>Birmanie</v>
      </c>
      <c r="B100">
        <f>IFERROR(__xludf.DUMMYFUNCTION("""COMPUTED_VALUE"""),2.15)</f>
        <v>2.15</v>
      </c>
      <c r="C100">
        <f>IFERROR(__xludf.DUMMYFUNCTION("""COMPUTED_VALUE"""),2.3)</f>
        <v>2.3</v>
      </c>
      <c r="D100">
        <f>IFERROR(__xludf.DUMMYFUNCTION("""COMPUTED_VALUE"""),18.2)</f>
        <v>18.2</v>
      </c>
      <c r="E100">
        <f>IFERROR(__xludf.DUMMYFUNCTION("""COMPUTED_VALUE"""),15.7)</f>
        <v>15.7</v>
      </c>
      <c r="F100">
        <f>IFERROR(__xludf.DUMMYFUNCTION("""COMPUTED_VALUE"""),18.7)</f>
        <v>18.7</v>
      </c>
    </row>
    <row r="101">
      <c r="A101" t="str">
        <f>IFERROR(__xludf.DUMMYFUNCTION("""COMPUTED_VALUE"""),"Indonésie")</f>
        <v>Indonésie</v>
      </c>
      <c r="B101">
        <f>IFERROR(__xludf.DUMMYFUNCTION("""COMPUTED_VALUE"""),2.13)</f>
        <v>2.13</v>
      </c>
      <c r="C101">
        <f>IFERROR(__xludf.DUMMYFUNCTION("""COMPUTED_VALUE"""),2.45)</f>
        <v>2.45</v>
      </c>
      <c r="D101">
        <f>IFERROR(__xludf.DUMMYFUNCTION("""COMPUTED_VALUE"""),16.4)</f>
        <v>16.4</v>
      </c>
      <c r="E101">
        <f>IFERROR(__xludf.DUMMYFUNCTION("""COMPUTED_VALUE"""),14.8)</f>
        <v>14.8</v>
      </c>
      <c r="F101">
        <f>IFERROR(__xludf.DUMMYFUNCTION("""COMPUTED_VALUE"""),20.2)</f>
        <v>20.2</v>
      </c>
    </row>
    <row r="102">
      <c r="A102" t="str">
        <f>IFERROR(__xludf.DUMMYFUNCTION("""COMPUTED_VALUE"""),"Mongolie")</f>
        <v>Mongolie</v>
      </c>
      <c r="B102">
        <f>IFERROR(__xludf.DUMMYFUNCTION("""COMPUTED_VALUE"""),2.13)</f>
        <v>2.13</v>
      </c>
      <c r="C102">
        <f>IFERROR(__xludf.DUMMYFUNCTION("""COMPUTED_VALUE"""),2.83)</f>
        <v>2.83</v>
      </c>
      <c r="D102">
        <f>IFERROR(__xludf.DUMMYFUNCTION("""COMPUTED_VALUE"""),19.6)</f>
        <v>19.6</v>
      </c>
      <c r="E102">
        <f>IFERROR(__xludf.DUMMYFUNCTION("""COMPUTED_VALUE"""),14.9)</f>
        <v>14.9</v>
      </c>
      <c r="F102">
        <f>IFERROR(__xludf.DUMMYFUNCTION("""COMPUTED_VALUE"""),26.0)</f>
        <v>26</v>
      </c>
    </row>
    <row r="103">
      <c r="A103" t="str">
        <f>IFERROR(__xludf.DUMMYFUNCTION("""COMPUTED_VALUE"""),"Maroc")</f>
        <v>Maroc</v>
      </c>
      <c r="B103">
        <f>IFERROR(__xludf.DUMMYFUNCTION("""COMPUTED_VALUE"""),2.12)</f>
        <v>2.12</v>
      </c>
      <c r="C103">
        <f>IFERROR(__xludf.DUMMYFUNCTION("""COMPUTED_VALUE"""),2.6)</f>
        <v>2.6</v>
      </c>
      <c r="D103">
        <f>IFERROR(__xludf.DUMMYFUNCTION("""COMPUTED_VALUE"""),18.0)</f>
        <v>18</v>
      </c>
      <c r="E103">
        <f>IFERROR(__xludf.DUMMYFUNCTION("""COMPUTED_VALUE"""),16.8)</f>
        <v>16.8</v>
      </c>
      <c r="F103">
        <f>IFERROR(__xludf.DUMMYFUNCTION("""COMPUTED_VALUE"""),21.3)</f>
        <v>21.3</v>
      </c>
    </row>
    <row r="104">
      <c r="A104" t="str">
        <f>IFERROR(__xludf.DUMMYFUNCTION("""COMPUTED_VALUE"""),"Arabie saoudite")</f>
        <v>Arabie saoudite</v>
      </c>
      <c r="B104">
        <f>IFERROR(__xludf.DUMMYFUNCTION("""COMPUTED_VALUE"""),2.11)</f>
        <v>2.11</v>
      </c>
      <c r="C104">
        <f>IFERROR(__xludf.DUMMYFUNCTION("""COMPUTED_VALUE"""),2.72)</f>
        <v>2.72</v>
      </c>
      <c r="D104">
        <f>IFERROR(__xludf.DUMMYFUNCTION("""COMPUTED_VALUE"""),18.4)</f>
        <v>18.4</v>
      </c>
      <c r="E104">
        <f>IFERROR(__xludf.DUMMYFUNCTION("""COMPUTED_VALUE"""),13.6)</f>
        <v>13.6</v>
      </c>
      <c r="F104">
        <f>IFERROR(__xludf.DUMMYFUNCTION("""COMPUTED_VALUE"""),20.8)</f>
        <v>20.8</v>
      </c>
    </row>
    <row r="105">
      <c r="A105" t="str">
        <f>IFERROR(__xludf.DUMMYFUNCTION("""COMPUTED_VALUE"""),"Sri Lanka")</f>
        <v>Sri Lanka</v>
      </c>
      <c r="B105">
        <f>IFERROR(__xludf.DUMMYFUNCTION("""COMPUTED_VALUE"""),2.09)</f>
        <v>2.09</v>
      </c>
      <c r="C105">
        <f>IFERROR(__xludf.DUMMYFUNCTION("""COMPUTED_VALUE"""),2.11)</f>
        <v>2.11</v>
      </c>
      <c r="D105">
        <f>IFERROR(__xludf.DUMMYFUNCTION("""COMPUTED_VALUE"""),15.5)</f>
        <v>15.5</v>
      </c>
      <c r="E105">
        <f>IFERROR(__xludf.DUMMYFUNCTION("""COMPUTED_VALUE"""),14.5)</f>
        <v>14.5</v>
      </c>
      <c r="F105">
        <f>IFERROR(__xludf.DUMMYFUNCTION("""COMPUTED_VALUE"""),16.4)</f>
        <v>16.4</v>
      </c>
    </row>
    <row r="106">
      <c r="A106" t="str">
        <f>IFERROR(__xludf.DUMMYFUNCTION("""COMPUTED_VALUE"""),"Turkménistan")</f>
        <v>Turkménistan</v>
      </c>
      <c r="B106">
        <f>IFERROR(__xludf.DUMMYFUNCTION("""COMPUTED_VALUE"""),2.08)</f>
        <v>2.08</v>
      </c>
      <c r="C106">
        <f>IFERROR(__xludf.DUMMYFUNCTION("""COMPUTED_VALUE"""),3.0)</f>
        <v>3</v>
      </c>
      <c r="D106">
        <f>IFERROR(__xludf.DUMMYFUNCTION("""COMPUTED_VALUE"""),19.3)</f>
        <v>19.3</v>
      </c>
      <c r="E106">
        <f>IFERROR(__xludf.DUMMYFUNCTION("""COMPUTED_VALUE"""),16.8)</f>
        <v>16.8</v>
      </c>
      <c r="F106">
        <f>IFERROR(__xludf.DUMMYFUNCTION("""COMPUTED_VALUE"""),27.0)</f>
        <v>27</v>
      </c>
    </row>
    <row r="107">
      <c r="A107" t="str">
        <f>IFERROR(__xludf.DUMMYFUNCTION("""COMPUTED_VALUE"""),"France")</f>
        <v>France</v>
      </c>
      <c r="B107">
        <f>IFERROR(__xludf.DUMMYFUNCTION("""COMPUTED_VALUE"""),2.07)</f>
        <v>2.07</v>
      </c>
      <c r="C107">
        <f>IFERROR(__xludf.DUMMYFUNCTION("""COMPUTED_VALUE"""),1.98)</f>
        <v>1.98</v>
      </c>
      <c r="D107">
        <f>IFERROR(__xludf.DUMMYFUNCTION("""COMPUTED_VALUE"""),12.3)</f>
        <v>12.3</v>
      </c>
      <c r="E107">
        <f>IFERROR(__xludf.DUMMYFUNCTION("""COMPUTED_VALUE"""),10.9)</f>
        <v>10.9</v>
      </c>
      <c r="F107">
        <f>IFERROR(__xludf.DUMMYFUNCTION("""COMPUTED_VALUE"""),12.1)</f>
        <v>12.1</v>
      </c>
      <c r="G107">
        <f>IFERROR(__xludf.DUMMYFUNCTION("""COMPUTED_VALUE"""),9.9)</f>
        <v>9.9</v>
      </c>
    </row>
    <row r="108">
      <c r="A108" t="str">
        <f>IFERROR(__xludf.DUMMYFUNCTION("""COMPUTED_VALUE"""),"Dominique")</f>
        <v>Dominique</v>
      </c>
      <c r="B108">
        <f>IFERROR(__xludf.DUMMYFUNCTION("""COMPUTED_VALUE"""),2.04)</f>
        <v>2.04</v>
      </c>
      <c r="C108">
        <f>IFERROR(__xludf.DUMMYFUNCTION("""COMPUTED_VALUE"""),2.12)</f>
        <v>2.12</v>
      </c>
      <c r="D108">
        <f>IFERROR(__xludf.DUMMYFUNCTION("""COMPUTED_VALUE"""),15.2)</f>
        <v>15.2</v>
      </c>
      <c r="E108">
        <f>IFERROR(__xludf.DUMMYFUNCTION("""COMPUTED_VALUE"""),13.3)</f>
        <v>13.3</v>
      </c>
      <c r="F108">
        <f>IFERROR(__xludf.DUMMYFUNCTION("""COMPUTED_VALUE"""),15.6)</f>
        <v>15.6</v>
      </c>
    </row>
    <row r="109">
      <c r="A109" t="str">
        <f>IFERROR(__xludf.DUMMYFUNCTION("""COMPUTED_VALUE"""),"Grenade")</f>
        <v>Grenade</v>
      </c>
      <c r="B109">
        <f>IFERROR(__xludf.DUMMYFUNCTION("""COMPUTED_VALUE"""),2.04)</f>
        <v>2.04</v>
      </c>
      <c r="C109">
        <f>IFERROR(__xludf.DUMMYFUNCTION("""COMPUTED_VALUE"""),2.18)</f>
        <v>2.18</v>
      </c>
      <c r="D109">
        <f>IFERROR(__xludf.DUMMYFUNCTION("""COMPUTED_VALUE"""),15.8)</f>
        <v>15.8</v>
      </c>
      <c r="E109">
        <f>IFERROR(__xludf.DUMMYFUNCTION("""COMPUTED_VALUE"""),13.3)</f>
        <v>13.3</v>
      </c>
      <c r="F109">
        <f>IFERROR(__xludf.DUMMYFUNCTION("""COMPUTED_VALUE"""),17.4)</f>
        <v>17.4</v>
      </c>
    </row>
    <row r="110">
      <c r="A110" t="str">
        <f>IFERROR(__xludf.DUMMYFUNCTION("""COMPUTED_VALUE"""),"Guyana")</f>
        <v>Guyana</v>
      </c>
      <c r="B110">
        <f>IFERROR(__xludf.DUMMYFUNCTION("""COMPUTED_VALUE"""),2.04)</f>
        <v>2.04</v>
      </c>
      <c r="C110">
        <f>IFERROR(__xludf.DUMMYFUNCTION("""COMPUTED_VALUE"""),2.6)</f>
        <v>2.6</v>
      </c>
      <c r="D110">
        <f>IFERROR(__xludf.DUMMYFUNCTION("""COMPUTED_VALUE"""),15.5)</f>
        <v>15.5</v>
      </c>
      <c r="E110">
        <f>IFERROR(__xludf.DUMMYFUNCTION("""COMPUTED_VALUE"""),16.7)</f>
        <v>16.7</v>
      </c>
      <c r="F110">
        <f>IFERROR(__xludf.DUMMYFUNCTION("""COMPUTED_VALUE"""),21.1)</f>
        <v>21.1</v>
      </c>
    </row>
    <row r="111">
      <c r="A111" t="str">
        <f>IFERROR(__xludf.DUMMYFUNCTION("""COMPUTED_VALUE"""),"Libye")</f>
        <v>Libye</v>
      </c>
      <c r="B111">
        <f>IFERROR(__xludf.DUMMYFUNCTION("""COMPUTED_VALUE"""),2.04)</f>
        <v>2.04</v>
      </c>
      <c r="C111">
        <f>IFERROR(__xludf.DUMMYFUNCTION("""COMPUTED_VALUE"""),2.4)</f>
        <v>2.4</v>
      </c>
      <c r="D111">
        <f>IFERROR(__xludf.DUMMYFUNCTION("""COMPUTED_VALUE"""),17.8)</f>
        <v>17.8</v>
      </c>
      <c r="E111">
        <f>IFERROR(__xludf.DUMMYFUNCTION("""COMPUTED_VALUE"""),20.3)</f>
        <v>20.3</v>
      </c>
      <c r="F111">
        <f>IFERROR(__xludf.DUMMYFUNCTION("""COMPUTED_VALUE"""),21.3)</f>
        <v>21.3</v>
      </c>
    </row>
    <row r="112">
      <c r="A112" t="str">
        <f>IFERROR(__xludf.DUMMYFUNCTION("""COMPUTED_VALUE"""),"Turquie")</f>
        <v>Turquie</v>
      </c>
      <c r="B112">
        <f>IFERROR(__xludf.DUMMYFUNCTION("""COMPUTED_VALUE"""),2.03)</f>
        <v>2.03</v>
      </c>
      <c r="C112">
        <f>IFERROR(__xludf.DUMMYFUNCTION("""COMPUTED_VALUE"""),2.12)</f>
        <v>2.12</v>
      </c>
      <c r="D112">
        <f>IFERROR(__xludf.DUMMYFUNCTION("""COMPUTED_VALUE"""),16.0)</f>
        <v>16</v>
      </c>
      <c r="E112">
        <f>IFERROR(__xludf.DUMMYFUNCTION("""COMPUTED_VALUE"""),13.8)</f>
        <v>13.8</v>
      </c>
      <c r="F112">
        <f>IFERROR(__xludf.DUMMYFUNCTION("""COMPUTED_VALUE"""),17.3)</f>
        <v>17.3</v>
      </c>
    </row>
    <row r="113">
      <c r="A113" t="str">
        <f>IFERROR(__xludf.DUMMYFUNCTION("""COMPUTED_VALUE"""),"Nouvelle-Zélande")</f>
        <v>Nouvelle-Zélande</v>
      </c>
      <c r="B113">
        <f>IFERROR(__xludf.DUMMYFUNCTION("""COMPUTED_VALUE"""),2.03)</f>
        <v>2.03</v>
      </c>
      <c r="C113">
        <f>IFERROR(__xludf.DUMMYFUNCTION("""COMPUTED_VALUE"""),2.04)</f>
        <v>2.04</v>
      </c>
      <c r="D113">
        <f>IFERROR(__xludf.DUMMYFUNCTION("""COMPUTED_VALUE"""),13.3)</f>
        <v>13.3</v>
      </c>
      <c r="E113">
        <f>IFERROR(__xludf.DUMMYFUNCTION("""COMPUTED_VALUE"""),12.6)</f>
        <v>12.6</v>
      </c>
      <c r="F113">
        <f>IFERROR(__xludf.DUMMYFUNCTION("""COMPUTED_VALUE"""),13.7)</f>
        <v>13.7</v>
      </c>
      <c r="G113">
        <f>IFERROR(__xludf.DUMMYFUNCTION("""COMPUTED_VALUE"""),11.5)</f>
        <v>11.5</v>
      </c>
    </row>
    <row r="114">
      <c r="A114" t="str">
        <f>IFERROR(__xludf.DUMMYFUNCTION("""COMPUTED_VALUE"""),"Colombie")</f>
        <v>Colombie</v>
      </c>
      <c r="B114">
        <f>IFERROR(__xludf.DUMMYFUNCTION("""COMPUTED_VALUE"""),2.02)</f>
        <v>2.02</v>
      </c>
      <c r="C114">
        <f>IFERROR(__xludf.DUMMYFUNCTION("""COMPUTED_VALUE"""),1.93)</f>
        <v>1.93</v>
      </c>
      <c r="D114">
        <f>IFERROR(__xludf.DUMMYFUNCTION("""COMPUTED_VALUE"""),16.3)</f>
        <v>16.3</v>
      </c>
      <c r="E114">
        <f>IFERROR(__xludf.DUMMYFUNCTION("""COMPUTED_VALUE"""),14.9)</f>
        <v>14.9</v>
      </c>
      <c r="F114">
        <f>IFERROR(__xludf.DUMMYFUNCTION("""COMPUTED_VALUE"""),16.2)</f>
        <v>16.2</v>
      </c>
      <c r="G114">
        <f>IFERROR(__xludf.DUMMYFUNCTION("""COMPUTED_VALUE"""),13.5)</f>
        <v>13.5</v>
      </c>
    </row>
    <row r="115">
      <c r="A115" t="str">
        <f>IFERROR(__xludf.DUMMYFUNCTION("""COMPUTED_VALUE"""),"Antigua-et-Barbuda")</f>
        <v>Antigua-et-Barbuda</v>
      </c>
      <c r="B115">
        <f>IFERROR(__xludf.DUMMYFUNCTION("""COMPUTED_VALUE"""),2.01)</f>
        <v>2.01</v>
      </c>
      <c r="C115">
        <f>IFERROR(__xludf.DUMMYFUNCTION("""COMPUTED_VALUE"""),2.1)</f>
        <v>2.1</v>
      </c>
      <c r="D115">
        <f>IFERROR(__xludf.DUMMYFUNCTION("""COMPUTED_VALUE"""),15.8)</f>
        <v>15.8</v>
      </c>
      <c r="E115">
        <f>IFERROR(__xludf.DUMMYFUNCTION("""COMPUTED_VALUE"""),14.9)</f>
        <v>14.9</v>
      </c>
      <c r="F115">
        <f>IFERROR(__xludf.DUMMYFUNCTION("""COMPUTED_VALUE"""),16.8)</f>
        <v>16.8</v>
      </c>
    </row>
    <row r="116">
      <c r="A116" t="str">
        <f>IFERROR(__xludf.DUMMYFUNCTION("""COMPUTED_VALUE"""),"Islande")</f>
        <v>Islande</v>
      </c>
      <c r="B116">
        <f>IFERROR(__xludf.DUMMYFUNCTION("""COMPUTED_VALUE"""),2.01)</f>
        <v>2.01</v>
      </c>
      <c r="C116">
        <f>IFERROR(__xludf.DUMMYFUNCTION("""COMPUTED_VALUE"""),1.98)</f>
        <v>1.98</v>
      </c>
      <c r="D116">
        <f>IFERROR(__xludf.DUMMYFUNCTION("""COMPUTED_VALUE"""),13.8)</f>
        <v>13.8</v>
      </c>
      <c r="E116">
        <f>IFERROR(__xludf.DUMMYFUNCTION("""COMPUTED_VALUE"""),12.6)</f>
        <v>12.6</v>
      </c>
      <c r="F116">
        <f>IFERROR(__xludf.DUMMYFUNCTION("""COMPUTED_VALUE"""),13.8)</f>
        <v>13.8</v>
      </c>
      <c r="G116">
        <f>IFERROR(__xludf.DUMMYFUNCTION("""COMPUTED_VALUE"""),11.0)</f>
        <v>11</v>
      </c>
    </row>
    <row r="117">
      <c r="A117" t="str">
        <f>IFERROR(__xludf.DUMMYFUNCTION("""COMPUTED_VALUE"""),"Jamaïque")</f>
        <v>Jamaïque</v>
      </c>
      <c r="B117">
        <f>IFERROR(__xludf.DUMMYFUNCTION("""COMPUTED_VALUE"""),1.99)</f>
        <v>1.99</v>
      </c>
      <c r="C117">
        <f>IFERROR(__xludf.DUMMYFUNCTION("""COMPUTED_VALUE"""),2.08)</f>
        <v>2.08</v>
      </c>
      <c r="D117">
        <f>IFERROR(__xludf.DUMMYFUNCTION("""COMPUTED_VALUE"""),18.0)</f>
        <v>18</v>
      </c>
      <c r="E117">
        <f>IFERROR(__xludf.DUMMYFUNCTION("""COMPUTED_VALUE"""),15.6)</f>
        <v>15.6</v>
      </c>
      <c r="F117">
        <f>IFERROR(__xludf.DUMMYFUNCTION("""COMPUTED_VALUE"""),17.2)</f>
        <v>17.2</v>
      </c>
    </row>
    <row r="118">
      <c r="A118" t="str">
        <f>IFERROR(__xludf.DUMMYFUNCTION("""COMPUTED_VALUE"""),"Irlande")</f>
        <v>Irlande</v>
      </c>
      <c r="B118">
        <f>IFERROR(__xludf.DUMMYFUNCTION("""COMPUTED_VALUE"""),1.98)</f>
        <v>1.98</v>
      </c>
      <c r="C118">
        <f>IFERROR(__xludf.DUMMYFUNCTION("""COMPUTED_VALUE"""),2.0)</f>
        <v>2</v>
      </c>
      <c r="D118">
        <f>IFERROR(__xludf.DUMMYFUNCTION("""COMPUTED_VALUE"""),14.5)</f>
        <v>14.5</v>
      </c>
      <c r="E118">
        <f>IFERROR(__xludf.DUMMYFUNCTION("""COMPUTED_VALUE"""),11.1)</f>
        <v>11.1</v>
      </c>
      <c r="F118">
        <f>IFERROR(__xludf.DUMMYFUNCTION("""COMPUTED_VALUE"""),15.4)</f>
        <v>15.4</v>
      </c>
    </row>
    <row r="119">
      <c r="A119" t="str">
        <f>IFERROR(__xludf.DUMMYFUNCTION("""COMPUTED_VALUE"""),"Tunisie")</f>
        <v>Tunisie</v>
      </c>
      <c r="B119">
        <f>IFERROR(__xludf.DUMMYFUNCTION("""COMPUTED_VALUE"""),1.98)</f>
        <v>1.98</v>
      </c>
      <c r="C119">
        <f>IFERROR(__xludf.DUMMYFUNCTION("""COMPUTED_VALUE"""),2.25)</f>
        <v>2.25</v>
      </c>
      <c r="D119">
        <f>IFERROR(__xludf.DUMMYFUNCTION("""COMPUTED_VALUE"""),16.4)</f>
        <v>16.4</v>
      </c>
      <c r="E119">
        <f>IFERROR(__xludf.DUMMYFUNCTION("""COMPUTED_VALUE"""),13.5)</f>
        <v>13.5</v>
      </c>
      <c r="F119">
        <f>IFERROR(__xludf.DUMMYFUNCTION("""COMPUTED_VALUE"""),19.1)</f>
        <v>19.1</v>
      </c>
    </row>
    <row r="120">
      <c r="A120" t="str">
        <f>IFERROR(__xludf.DUMMYFUNCTION("""COMPUTED_VALUE"""),"Corée du Nord")</f>
        <v>Corée du Nord</v>
      </c>
      <c r="B120">
        <f>IFERROR(__xludf.DUMMYFUNCTION("""COMPUTED_VALUE"""),1.96)</f>
        <v>1.96</v>
      </c>
      <c r="C120">
        <f>IFERROR(__xludf.DUMMYFUNCTION("""COMPUTED_VALUE"""),1.95)</f>
        <v>1.95</v>
      </c>
      <c r="D120">
        <f>IFERROR(__xludf.DUMMYFUNCTION("""COMPUTED_VALUE"""),14.6)</f>
        <v>14.6</v>
      </c>
      <c r="E120">
        <f>IFERROR(__xludf.DUMMYFUNCTION("""COMPUTED_VALUE"""),13.2)</f>
        <v>13.2</v>
      </c>
      <c r="F120">
        <f>IFERROR(__xludf.DUMMYFUNCTION("""COMPUTED_VALUE"""),14.0)</f>
        <v>14</v>
      </c>
    </row>
    <row r="121">
      <c r="A121" t="str">
        <f>IFERROR(__xludf.DUMMYFUNCTION("""COMPUTED_VALUE"""),"Suriname")</f>
        <v>Suriname</v>
      </c>
      <c r="B121">
        <f>IFERROR(__xludf.DUMMYFUNCTION("""COMPUTED_VALUE"""),1.95)</f>
        <v>1.95</v>
      </c>
      <c r="C121">
        <f>IFERROR(__xludf.DUMMYFUNCTION("""COMPUTED_VALUE"""),2.45)</f>
        <v>2.45</v>
      </c>
      <c r="D121">
        <f>IFERROR(__xludf.DUMMYFUNCTION("""COMPUTED_VALUE"""),16.0)</f>
        <v>16</v>
      </c>
      <c r="E121">
        <f>IFERROR(__xludf.DUMMYFUNCTION("""COMPUTED_VALUE"""),14.9)</f>
        <v>14.9</v>
      </c>
      <c r="F121">
        <f>IFERROR(__xludf.DUMMYFUNCTION("""COMPUTED_VALUE"""),19.0)</f>
        <v>19</v>
      </c>
    </row>
    <row r="122">
      <c r="A122" t="str">
        <f>IFERROR(__xludf.DUMMYFUNCTION("""COMPUTED_VALUE"""),"Bahamas")</f>
        <v>Bahamas</v>
      </c>
      <c r="B122">
        <f>IFERROR(__xludf.DUMMYFUNCTION("""COMPUTED_VALUE"""),1.95)</f>
        <v>1.95</v>
      </c>
      <c r="C122">
        <f>IFERROR(__xludf.DUMMYFUNCTION("""COMPUTED_VALUE"""),1.81)</f>
        <v>1.81</v>
      </c>
      <c r="D122">
        <f>IFERROR(__xludf.DUMMYFUNCTION("""COMPUTED_VALUE"""),15.4)</f>
        <v>15.4</v>
      </c>
      <c r="E122">
        <f>IFERROR(__xludf.DUMMYFUNCTION("""COMPUTED_VALUE"""),13.1)</f>
        <v>13.1</v>
      </c>
      <c r="F122">
        <f>IFERROR(__xludf.DUMMYFUNCTION("""COMPUTED_VALUE"""),14.8)</f>
        <v>14.8</v>
      </c>
    </row>
    <row r="123">
      <c r="A123" t="str">
        <f>IFERROR(__xludf.DUMMYFUNCTION("""COMPUTED_VALUE"""),"Bhoutan")</f>
        <v>Bhoutan</v>
      </c>
      <c r="B123">
        <f>IFERROR(__xludf.DUMMYFUNCTION("""COMPUTED_VALUE"""),1.93)</f>
        <v>1.93</v>
      </c>
      <c r="C123">
        <f>IFERROR(__xludf.DUMMYFUNCTION("""COMPUTED_VALUE"""),2.2)</f>
        <v>2.2</v>
      </c>
      <c r="D123">
        <f>IFERROR(__xludf.DUMMYFUNCTION("""COMPUTED_VALUE"""),17.5)</f>
        <v>17.5</v>
      </c>
      <c r="E123">
        <f>IFERROR(__xludf.DUMMYFUNCTION("""COMPUTED_VALUE"""),15.3)</f>
        <v>15.3</v>
      </c>
      <c r="F123">
        <f>IFERROR(__xludf.DUMMYFUNCTION("""COMPUTED_VALUE"""),19.3)</f>
        <v>19.3</v>
      </c>
    </row>
    <row r="124">
      <c r="A124" t="str">
        <f>IFERROR(__xludf.DUMMYFUNCTION("""COMPUTED_VALUE"""),"Nicaragua")</f>
        <v>Nicaragua</v>
      </c>
      <c r="B124">
        <f>IFERROR(__xludf.DUMMYFUNCTION("""COMPUTED_VALUE"""),1.92)</f>
        <v>1.92</v>
      </c>
      <c r="C124">
        <f>IFERROR(__xludf.DUMMYFUNCTION("""COMPUTED_VALUE"""),2.32)</f>
        <v>2.32</v>
      </c>
      <c r="D124">
        <f>IFERROR(__xludf.DUMMYFUNCTION("""COMPUTED_VALUE"""),17.9)</f>
        <v>17.9</v>
      </c>
      <c r="E124">
        <f>IFERROR(__xludf.DUMMYFUNCTION("""COMPUTED_VALUE"""),16.4)</f>
        <v>16.4</v>
      </c>
      <c r="F124">
        <f>IFERROR(__xludf.DUMMYFUNCTION("""COMPUTED_VALUE"""),21.0)</f>
        <v>21</v>
      </c>
    </row>
    <row r="125">
      <c r="A125" t="str">
        <f>IFERROR(__xludf.DUMMYFUNCTION("""COMPUTED_VALUE"""),"Paraguay")</f>
        <v>Paraguay</v>
      </c>
      <c r="B125">
        <f>IFERROR(__xludf.DUMMYFUNCTION("""COMPUTED_VALUE"""),1.91)</f>
        <v>1.91</v>
      </c>
      <c r="C125">
        <f>IFERROR(__xludf.DUMMYFUNCTION("""COMPUTED_VALUE"""),2.6)</f>
        <v>2.6</v>
      </c>
      <c r="D125">
        <f>IFERROR(__xludf.DUMMYFUNCTION("""COMPUTED_VALUE"""),16.5)</f>
        <v>16.5</v>
      </c>
      <c r="E125">
        <f>IFERROR(__xludf.DUMMYFUNCTION("""COMPUTED_VALUE"""),15.9)</f>
        <v>15.9</v>
      </c>
      <c r="F125">
        <f>IFERROR(__xludf.DUMMYFUNCTION("""COMPUTED_VALUE"""),21.7)</f>
        <v>21.7</v>
      </c>
    </row>
    <row r="126">
      <c r="A126" t="str">
        <f>IFERROR(__xludf.DUMMYFUNCTION("""COMPUTED_VALUE"""),"Costa Rica")</f>
        <v>Costa Rica</v>
      </c>
      <c r="B126">
        <f>IFERROR(__xludf.DUMMYFUNCTION("""COMPUTED_VALUE"""),1.9)</f>
        <v>1.9</v>
      </c>
      <c r="C126">
        <f>IFERROR(__xludf.DUMMYFUNCTION("""COMPUTED_VALUE"""),1.85)</f>
        <v>1.85</v>
      </c>
      <c r="D126">
        <f>IFERROR(__xludf.DUMMYFUNCTION("""COMPUTED_VALUE"""),15.7)</f>
        <v>15.7</v>
      </c>
      <c r="E126">
        <f>IFERROR(__xludf.DUMMYFUNCTION("""COMPUTED_VALUE"""),10.8)</f>
        <v>10.8</v>
      </c>
      <c r="F126">
        <f>IFERROR(__xludf.DUMMYFUNCTION("""COMPUTED_VALUE"""),15.1)</f>
        <v>15.1</v>
      </c>
    </row>
    <row r="127">
      <c r="A127" t="str">
        <f>IFERROR(__xludf.DUMMYFUNCTION("""COMPUTED_VALUE"""),"Qatar")</f>
        <v>Qatar</v>
      </c>
      <c r="B127">
        <f>IFERROR(__xludf.DUMMYFUNCTION("""COMPUTED_VALUE"""),1.9)</f>
        <v>1.9</v>
      </c>
      <c r="C127">
        <f>IFERROR(__xludf.DUMMYFUNCTION("""COMPUTED_VALUE"""),2.0)</f>
        <v>2</v>
      </c>
      <c r="D127">
        <f>IFERROR(__xludf.DUMMYFUNCTION("""COMPUTED_VALUE"""),9.7)</f>
        <v>9.7</v>
      </c>
      <c r="E127">
        <f>IFERROR(__xludf.DUMMYFUNCTION("""COMPUTED_VALUE"""),9.2)</f>
        <v>9.2</v>
      </c>
      <c r="F127">
        <f>IFERROR(__xludf.DUMMYFUNCTION("""COMPUTED_VALUE"""),10.9)</f>
        <v>10.9</v>
      </c>
    </row>
    <row r="128">
      <c r="A128" t="str">
        <f>IFERROR(__xludf.DUMMYFUNCTION("""COMPUTED_VALUE"""),"Azerbaïdjan")</f>
        <v>Azerbaïdjan</v>
      </c>
      <c r="B128">
        <f>IFERROR(__xludf.DUMMYFUNCTION("""COMPUTED_VALUE"""),1.9)</f>
        <v>1.9</v>
      </c>
      <c r="C128">
        <f>IFERROR(__xludf.DUMMYFUNCTION("""COMPUTED_VALUE"""),2.1)</f>
        <v>2.1</v>
      </c>
      <c r="D128">
        <f>IFERROR(__xludf.DUMMYFUNCTION("""COMPUTED_VALUE"""),16.2)</f>
        <v>16.2</v>
      </c>
      <c r="E128">
        <f>IFERROR(__xludf.DUMMYFUNCTION("""COMPUTED_VALUE"""),11.2)</f>
        <v>11.2</v>
      </c>
      <c r="F128">
        <f>IFERROR(__xludf.DUMMYFUNCTION("""COMPUTED_VALUE"""),19.2)</f>
        <v>19.2</v>
      </c>
    </row>
    <row r="129">
      <c r="A129" t="str">
        <f>IFERROR(__xludf.DUMMYFUNCTION("""COMPUTED_VALUE"""),"Royaume-Uni")</f>
        <v>Royaume-Uni</v>
      </c>
      <c r="B129">
        <f>IFERROR(__xludf.DUMMYFUNCTION("""COMPUTED_VALUE"""),1.89)</f>
        <v>1.89</v>
      </c>
      <c r="C129">
        <f>IFERROR(__xludf.DUMMYFUNCTION("""COMPUTED_VALUE"""),1.88)</f>
        <v>1.88</v>
      </c>
      <c r="D129">
        <f>IFERROR(__xludf.DUMMYFUNCTION("""COMPUTED_VALUE"""),12.1)</f>
        <v>12.1</v>
      </c>
      <c r="E129">
        <f>IFERROR(__xludf.DUMMYFUNCTION("""COMPUTED_VALUE"""),10.8)</f>
        <v>10.8</v>
      </c>
      <c r="F129">
        <f>IFERROR(__xludf.DUMMYFUNCTION("""COMPUTED_VALUE"""),12.4)</f>
        <v>12.4</v>
      </c>
    </row>
    <row r="130">
      <c r="A130" t="str">
        <f>IFERROR(__xludf.DUMMYFUNCTION("""COMPUTED_VALUE"""),"Salvador")</f>
        <v>Salvador</v>
      </c>
      <c r="B130">
        <f>IFERROR(__xludf.DUMMYFUNCTION("""COMPUTED_VALUE"""),1.89)</f>
        <v>1.89</v>
      </c>
      <c r="C130">
        <f>IFERROR(__xludf.DUMMYFUNCTION("""COMPUTED_VALUE"""),2.17)</f>
        <v>2.17</v>
      </c>
      <c r="D130">
        <f>IFERROR(__xludf.DUMMYFUNCTION("""COMPUTED_VALUE"""),16.3)</f>
        <v>16.3</v>
      </c>
      <c r="F130">
        <f>IFERROR(__xludf.DUMMYFUNCTION("""COMPUTED_VALUE"""),19.1)</f>
        <v>19.1</v>
      </c>
    </row>
    <row r="131">
      <c r="A131" t="str">
        <f>IFERROR(__xludf.DUMMYFUNCTION("""COMPUTED_VALUE"""),"Suède")</f>
        <v>Suède</v>
      </c>
      <c r="B131">
        <f>IFERROR(__xludf.DUMMYFUNCTION("""COMPUTED_VALUE"""),1.88)</f>
        <v>1.88</v>
      </c>
      <c r="C131">
        <f>IFERROR(__xludf.DUMMYFUNCTION("""COMPUTED_VALUE"""),1.9)</f>
        <v>1.9</v>
      </c>
      <c r="D131">
        <f>IFERROR(__xludf.DUMMYFUNCTION("""COMPUTED_VALUE"""),12.0)</f>
        <v>12</v>
      </c>
      <c r="F131">
        <f>IFERROR(__xludf.DUMMYFUNCTION("""COMPUTED_VALUE"""),12.0)</f>
        <v>12</v>
      </c>
      <c r="G131">
        <f>IFERROR(__xludf.DUMMYFUNCTION("""COMPUTED_VALUE"""),9.5)</f>
        <v>9.5</v>
      </c>
    </row>
    <row r="132">
      <c r="A132" t="str">
        <f>IFERROR(__xludf.DUMMYFUNCTION("""COMPUTED_VALUE"""),"États-Unis")</f>
        <v>États-Unis</v>
      </c>
      <c r="B132">
        <f>IFERROR(__xludf.DUMMYFUNCTION("""COMPUTED_VALUE"""),1.87)</f>
        <v>1.87</v>
      </c>
      <c r="C132">
        <f>IFERROR(__xludf.DUMMYFUNCTION("""COMPUTED_VALUE"""),1.88)</f>
        <v>1.88</v>
      </c>
      <c r="D132">
        <f>IFERROR(__xludf.DUMMYFUNCTION("""COMPUTED_VALUE"""),12.5)</f>
        <v>12.5</v>
      </c>
      <c r="F132">
        <f>IFERROR(__xludf.DUMMYFUNCTION("""COMPUTED_VALUE"""),12.5)</f>
        <v>12.5</v>
      </c>
      <c r="G132">
        <f>IFERROR(__xludf.DUMMYFUNCTION("""COMPUTED_VALUE"""),10.6)</f>
        <v>10.6</v>
      </c>
    </row>
    <row r="133">
      <c r="A133" t="str">
        <f>IFERROR(__xludf.DUMMYFUNCTION("""COMPUTED_VALUE"""),"Norvège")</f>
        <v>Norvège</v>
      </c>
      <c r="B133">
        <f>IFERROR(__xludf.DUMMYFUNCTION("""COMPUTED_VALUE"""),1.86)</f>
        <v>1.86</v>
      </c>
      <c r="C133">
        <f>IFERROR(__xludf.DUMMYFUNCTION("""COMPUTED_VALUE"""),1.82)</f>
        <v>1.82</v>
      </c>
      <c r="D133">
        <f>IFERROR(__xludf.DUMMYFUNCTION("""COMPUTED_VALUE"""),12.2)</f>
        <v>12.2</v>
      </c>
      <c r="F133">
        <f>IFERROR(__xludf.DUMMYFUNCTION("""COMPUTED_VALUE"""),11.9)</f>
        <v>11.9</v>
      </c>
    </row>
    <row r="134">
      <c r="A134" t="str">
        <f>IFERROR(__xludf.DUMMYFUNCTION("""COMPUTED_VALUE"""),"Seychelles")</f>
        <v>Seychelles</v>
      </c>
      <c r="B134">
        <f>IFERROR(__xludf.DUMMYFUNCTION("""COMPUTED_VALUE"""),1.86)</f>
        <v>1.86</v>
      </c>
      <c r="C134">
        <f>IFERROR(__xludf.DUMMYFUNCTION("""COMPUTED_VALUE"""),2.38)</f>
        <v>2.38</v>
      </c>
      <c r="D134">
        <f>IFERROR(__xludf.DUMMYFUNCTION("""COMPUTED_VALUE"""),13.9)</f>
        <v>13.9</v>
      </c>
      <c r="F134">
        <f>IFERROR(__xludf.DUMMYFUNCTION("""COMPUTED_VALUE"""),17.7)</f>
        <v>17.7</v>
      </c>
    </row>
    <row r="135">
      <c r="A135" t="str">
        <f>IFERROR(__xludf.DUMMYFUNCTION("""COMPUTED_VALUE"""),"Iran")</f>
        <v>Iran</v>
      </c>
      <c r="B135">
        <f>IFERROR(__xludf.DUMMYFUNCTION("""COMPUTED_VALUE"""),1.83)</f>
        <v>1.83</v>
      </c>
      <c r="C135">
        <f>IFERROR(__xludf.DUMMYFUNCTION("""COMPUTED_VALUE"""),1.75)</f>
        <v>1.75</v>
      </c>
      <c r="D135">
        <f>IFERROR(__xludf.DUMMYFUNCTION("""COMPUTED_VALUE"""),17.8)</f>
        <v>17.8</v>
      </c>
      <c r="F135">
        <f>IFERROR(__xludf.DUMMYFUNCTION("""COMPUTED_VALUE"""),18.2)</f>
        <v>18.2</v>
      </c>
    </row>
    <row r="136">
      <c r="A136" t="str">
        <f>IFERROR(__xludf.DUMMYFUNCTION("""COMPUTED_VALUE"""),"Vietnam")</f>
        <v>Vietnam</v>
      </c>
      <c r="B136">
        <f>IFERROR(__xludf.DUMMYFUNCTION("""COMPUTED_VALUE"""),1.82)</f>
        <v>1.82</v>
      </c>
      <c r="C136">
        <f>IFERROR(__xludf.DUMMYFUNCTION("""COMPUTED_VALUE"""),1.96)</f>
        <v>1.96</v>
      </c>
      <c r="D136">
        <f>IFERROR(__xludf.DUMMYFUNCTION("""COMPUTED_VALUE"""),15.7)</f>
        <v>15.7</v>
      </c>
      <c r="F136">
        <f>IFERROR(__xludf.DUMMYFUNCTION("""COMPUTED_VALUE"""),17.4)</f>
        <v>17.4</v>
      </c>
    </row>
    <row r="137">
      <c r="A137" t="str">
        <f>IFERROR(__xludf.DUMMYFUNCTION("""COMPUTED_VALUE"""),"Chili")</f>
        <v>Chili</v>
      </c>
      <c r="B137">
        <f>IFERROR(__xludf.DUMMYFUNCTION("""COMPUTED_VALUE"""),1.81)</f>
        <v>1.81</v>
      </c>
      <c r="C137">
        <f>IFERROR(__xludf.DUMMYFUNCTION("""COMPUTED_VALUE"""),1.82)</f>
        <v>1.82</v>
      </c>
      <c r="D137">
        <f>IFERROR(__xludf.DUMMYFUNCTION("""COMPUTED_VALUE"""),13.7)</f>
        <v>13.7</v>
      </c>
      <c r="F137">
        <f>IFERROR(__xludf.DUMMYFUNCTION("""COMPUTED_VALUE"""),13.9)</f>
        <v>13.9</v>
      </c>
      <c r="G137">
        <f>IFERROR(__xludf.DUMMYFUNCTION("""COMPUTED_VALUE"""),9.0)</f>
        <v>9</v>
      </c>
    </row>
    <row r="138">
      <c r="A138" t="str">
        <f>IFERROR(__xludf.DUMMYFUNCTION("""COMPUTED_VALUE"""),"Saint-Vincent-et-les-Grenadines")</f>
        <v>Saint-Vincent-et-les-Grenadines</v>
      </c>
      <c r="B138">
        <f>IFERROR(__xludf.DUMMYFUNCTION("""COMPUTED_VALUE"""),1.81)</f>
        <v>1.81</v>
      </c>
      <c r="C138">
        <f>IFERROR(__xludf.DUMMYFUNCTION("""COMPUTED_VALUE"""),2.0)</f>
        <v>2</v>
      </c>
      <c r="D138">
        <f>IFERROR(__xludf.DUMMYFUNCTION("""COMPUTED_VALUE"""),13.4)</f>
        <v>13.4</v>
      </c>
      <c r="F138">
        <f>IFERROR(__xludf.DUMMYFUNCTION("""COMPUTED_VALUE"""),16.4)</f>
        <v>16.4</v>
      </c>
    </row>
    <row r="139">
      <c r="A139" t="str">
        <f>IFERROR(__xludf.DUMMYFUNCTION("""COMPUTED_VALUE"""),"Uruguay")</f>
        <v>Uruguay</v>
      </c>
      <c r="B139">
        <f>IFERROR(__xludf.DUMMYFUNCTION("""COMPUTED_VALUE"""),1.81)</f>
        <v>1.81</v>
      </c>
      <c r="C139">
        <f>IFERROR(__xludf.DUMMYFUNCTION("""COMPUTED_VALUE"""),2.04)</f>
        <v>2.04</v>
      </c>
      <c r="D139">
        <f>IFERROR(__xludf.DUMMYFUNCTION("""COMPUTED_VALUE"""),13.0)</f>
        <v>13</v>
      </c>
      <c r="F139">
        <f>IFERROR(__xludf.DUMMYFUNCTION("""COMPUTED_VALUE"""),14.4)</f>
        <v>14.4</v>
      </c>
    </row>
    <row r="140">
      <c r="A140" t="str">
        <f>IFERROR(__xludf.DUMMYFUNCTION("""COMPUTED_VALUE"""),"Monténégro")</f>
        <v>Monténégro</v>
      </c>
      <c r="B140">
        <f>IFERROR(__xludf.DUMMYFUNCTION("""COMPUTED_VALUE"""),1.8)</f>
        <v>1.8</v>
      </c>
      <c r="C140">
        <f>IFERROR(__xludf.DUMMYFUNCTION("""COMPUTED_VALUE"""),1.71)</f>
        <v>1.71</v>
      </c>
      <c r="D140">
        <f>IFERROR(__xludf.DUMMYFUNCTION("""COMPUTED_VALUE"""),12.2)</f>
        <v>12.2</v>
      </c>
      <c r="F140">
        <f>IFERROR(__xludf.DUMMYFUNCTION("""COMPUTED_VALUE"""),12.0)</f>
        <v>12</v>
      </c>
    </row>
    <row r="141">
      <c r="A141" t="str">
        <f>IFERROR(__xludf.DUMMYFUNCTION("""COMPUTED_VALUE"""),"Bahreïn")</f>
        <v>Bahreïn</v>
      </c>
      <c r="B141">
        <f>IFERROR(__xludf.DUMMYFUNCTION("""COMPUTED_VALUE"""),1.79)</f>
        <v>1.79</v>
      </c>
      <c r="C141">
        <f>IFERROR(__xludf.DUMMYFUNCTION("""COMPUTED_VALUE"""),1.9)</f>
        <v>1.9</v>
      </c>
      <c r="D141">
        <f>IFERROR(__xludf.DUMMYFUNCTION("""COMPUTED_VALUE"""),17.2)</f>
        <v>17.2</v>
      </c>
      <c r="F141">
        <f>IFERROR(__xludf.DUMMYFUNCTION("""COMPUTED_VALUE"""),16.7)</f>
        <v>16.7</v>
      </c>
    </row>
    <row r="142">
      <c r="A142" t="str">
        <f>IFERROR(__xludf.DUMMYFUNCTION("""COMPUTED_VALUE"""),"Belgique")</f>
        <v>Belgique</v>
      </c>
      <c r="B142">
        <f>IFERROR(__xludf.DUMMYFUNCTION("""COMPUTED_VALUE"""),1.78)</f>
        <v>1.78</v>
      </c>
      <c r="C142">
        <f>IFERROR(__xludf.DUMMYFUNCTION("""COMPUTED_VALUE"""),1.78)</f>
        <v>1.78</v>
      </c>
      <c r="D142">
        <f>IFERROR(__xludf.DUMMYFUNCTION("""COMPUTED_VALUE"""),11.4)</f>
        <v>11.4</v>
      </c>
      <c r="F142">
        <f>IFERROR(__xludf.DUMMYFUNCTION("""COMPUTED_VALUE"""),11.4)</f>
        <v>11.4</v>
      </c>
    </row>
    <row r="143">
      <c r="A143" t="str">
        <f>IFERROR(__xludf.DUMMYFUNCTION("""COMPUTED_VALUE"""),"Pays-Bas")</f>
        <v>Pays-Bas</v>
      </c>
      <c r="B143">
        <f>IFERROR(__xludf.DUMMYFUNCTION("""COMPUTED_VALUE"""),1.78)</f>
        <v>1.78</v>
      </c>
      <c r="C143">
        <f>IFERROR(__xludf.DUMMYFUNCTION("""COMPUTED_VALUE"""),1.73)</f>
        <v>1.73</v>
      </c>
      <c r="D143">
        <f>IFERROR(__xludf.DUMMYFUNCTION("""COMPUTED_VALUE"""),10.9)</f>
        <v>10.9</v>
      </c>
      <c r="F143">
        <f>IFERROR(__xludf.DUMMYFUNCTION("""COMPUTED_VALUE"""),10.6)</f>
        <v>10.6</v>
      </c>
    </row>
    <row r="144">
      <c r="A144" t="str">
        <f>IFERROR(__xludf.DUMMYFUNCTION("""COMPUTED_VALUE"""),"Saint-Christophe-et-Niévès")</f>
        <v>Saint-Christophe-et-Niévès</v>
      </c>
      <c r="B144">
        <f>IFERROR(__xludf.DUMMYFUNCTION("""COMPUTED_VALUE"""),1.78)</f>
        <v>1.78</v>
      </c>
      <c r="C144">
        <f>IFERROR(__xludf.DUMMYFUNCTION("""COMPUTED_VALUE"""),1.74)</f>
        <v>1.74</v>
      </c>
      <c r="D144">
        <f>IFERROR(__xludf.DUMMYFUNCTION("""COMPUTED_VALUE"""),13.3)</f>
        <v>13.3</v>
      </c>
      <c r="F144">
        <f>IFERROR(__xludf.DUMMYFUNCTION("""COMPUTED_VALUE"""),13.4)</f>
        <v>13.4</v>
      </c>
    </row>
    <row r="145">
      <c r="A145" t="str">
        <f>IFERROR(__xludf.DUMMYFUNCTION("""COMPUTED_VALUE"""),"Ouzbékistan")</f>
        <v>Ouzbékistan</v>
      </c>
      <c r="B145">
        <f>IFERROR(__xludf.DUMMYFUNCTION("""COMPUTED_VALUE"""),1.78)</f>
        <v>1.78</v>
      </c>
      <c r="C145">
        <f>IFERROR(__xludf.DUMMYFUNCTION("""COMPUTED_VALUE"""),2.38)</f>
        <v>2.38</v>
      </c>
      <c r="D145">
        <f>IFERROR(__xludf.DUMMYFUNCTION("""COMPUTED_VALUE"""),16.9)</f>
        <v>16.9</v>
      </c>
      <c r="F145">
        <f>IFERROR(__xludf.DUMMYFUNCTION("""COMPUTED_VALUE"""),22.2)</f>
        <v>22.2</v>
      </c>
    </row>
    <row r="146">
      <c r="A146" t="str">
        <f>IFERROR(__xludf.DUMMYFUNCTION("""COMPUTED_VALUE"""),"Australie")</f>
        <v>Australie</v>
      </c>
      <c r="B146">
        <f>IFERROR(__xludf.DUMMYFUNCTION("""COMPUTED_VALUE"""),1.77)</f>
        <v>1.77</v>
      </c>
      <c r="C146">
        <f>IFERROR(__xludf.DUMMYFUNCTION("""COMPUTED_VALUE"""),1.88)</f>
        <v>1.88</v>
      </c>
      <c r="D146">
        <f>IFERROR(__xludf.DUMMYFUNCTION("""COMPUTED_VALUE"""),12.1)</f>
        <v>12.1</v>
      </c>
      <c r="F146">
        <f>IFERROR(__xludf.DUMMYFUNCTION("""COMPUTED_VALUE"""),13.3)</f>
        <v>13.3</v>
      </c>
      <c r="G146">
        <f>IFERROR(__xludf.DUMMYFUNCTION("""COMPUTED_VALUE"""),11.5)</f>
        <v>11.5</v>
      </c>
    </row>
    <row r="147">
      <c r="A147" t="str">
        <f>IFERROR(__xludf.DUMMYFUNCTION("""COMPUTED_VALUE"""),"Bahreïn")</f>
        <v>Bahreïn</v>
      </c>
      <c r="B147">
        <f>IFERROR(__xludf.DUMMYFUNCTION("""COMPUTED_VALUE"""),1.77)</f>
        <v>1.77</v>
      </c>
      <c r="C147">
        <f>IFERROR(__xludf.DUMMYFUNCTION("""COMPUTED_VALUE"""),2.12)</f>
        <v>2.12</v>
      </c>
      <c r="D147">
        <f>IFERROR(__xludf.DUMMYFUNCTION("""COMPUTED_VALUE"""),13.5)</f>
        <v>13.5</v>
      </c>
      <c r="F147">
        <f>IFERROR(__xludf.DUMMYFUNCTION("""COMPUTED_VALUE"""),16.0)</f>
        <v>16</v>
      </c>
    </row>
    <row r="148">
      <c r="A148" t="str">
        <f>IFERROR(__xludf.DUMMYFUNCTION("""COMPUTED_VALUE"""),"Brésil")</f>
        <v>Brésil</v>
      </c>
      <c r="B148">
        <f>IFERROR(__xludf.DUMMYFUNCTION("""COMPUTED_VALUE"""),1.76)</f>
        <v>1.76</v>
      </c>
      <c r="C148">
        <f>IFERROR(__xludf.DUMMYFUNCTION("""COMPUTED_VALUE"""),1.78)</f>
        <v>1.78</v>
      </c>
      <c r="D148">
        <f>IFERROR(__xludf.DUMMYFUNCTION("""COMPUTED_VALUE"""),14.3)</f>
        <v>14.3</v>
      </c>
      <c r="F148">
        <f>IFERROR(__xludf.DUMMYFUNCTION("""COMPUTED_VALUE"""),15.0)</f>
        <v>15</v>
      </c>
    </row>
    <row r="149">
      <c r="A149" t="str">
        <f>IFERROR(__xludf.DUMMYFUNCTION("""COMPUTED_VALUE"""),"Géorgie")</f>
        <v>Géorgie</v>
      </c>
      <c r="B149">
        <f>IFERROR(__xludf.DUMMYFUNCTION("""COMPUTED_VALUE"""),1.76)</f>
        <v>1.76</v>
      </c>
      <c r="C149">
        <f>IFERROR(__xludf.DUMMYFUNCTION("""COMPUTED_VALUE"""),2.0)</f>
        <v>2</v>
      </c>
      <c r="D149">
        <f>IFERROR(__xludf.DUMMYFUNCTION("""COMPUTED_VALUE"""),12.5)</f>
        <v>12.5</v>
      </c>
      <c r="F149">
        <f>IFERROR(__xludf.DUMMYFUNCTION("""COMPUTED_VALUE"""),14.4)</f>
        <v>14.4</v>
      </c>
    </row>
    <row r="150">
      <c r="A150" t="str">
        <f>IFERROR(__xludf.DUMMYFUNCTION("""COMPUTED_VALUE"""),"Russie")</f>
        <v>Russie</v>
      </c>
      <c r="B150">
        <f>IFERROR(__xludf.DUMMYFUNCTION("""COMPUTED_VALUE"""),1.76)</f>
        <v>1.76</v>
      </c>
      <c r="C150">
        <f>IFERROR(__xludf.DUMMYFUNCTION("""COMPUTED_VALUE"""),1.7)</f>
        <v>1.7</v>
      </c>
      <c r="D150">
        <f>IFERROR(__xludf.DUMMYFUNCTION("""COMPUTED_VALUE"""),12.2)</f>
        <v>12.2</v>
      </c>
      <c r="F150">
        <f>IFERROR(__xludf.DUMMYFUNCTION("""COMPUTED_VALUE"""),13.0)</f>
        <v>13</v>
      </c>
    </row>
    <row r="151">
      <c r="A151" t="str">
        <f>IFERROR(__xludf.DUMMYFUNCTION("""COMPUTED_VALUE"""),"Finlande")</f>
        <v>Finlande</v>
      </c>
      <c r="B151">
        <f>IFERROR(__xludf.DUMMYFUNCTION("""COMPUTED_VALUE"""),1.75)</f>
        <v>1.75</v>
      </c>
      <c r="C151">
        <f>IFERROR(__xludf.DUMMYFUNCTION("""COMPUTED_VALUE"""),1.77)</f>
        <v>1.77</v>
      </c>
      <c r="D151">
        <f>IFERROR(__xludf.DUMMYFUNCTION("""COMPUTED_VALUE"""),10.7)</f>
        <v>10.7</v>
      </c>
      <c r="F151">
        <f>IFERROR(__xludf.DUMMYFUNCTION("""COMPUTED_VALUE"""),10.8)</f>
        <v>10.8</v>
      </c>
    </row>
    <row r="152">
      <c r="A152" t="str">
        <f>IFERROR(__xludf.DUMMYFUNCTION("""COMPUTED_VALUE"""),"Sainte-Lucie")</f>
        <v>Sainte-Lucie</v>
      </c>
      <c r="B152">
        <f>IFERROR(__xludf.DUMMYFUNCTION("""COMPUTED_VALUE"""),1.75)</f>
        <v>1.75</v>
      </c>
      <c r="C152">
        <f>IFERROR(__xludf.DUMMYFUNCTION("""COMPUTED_VALUE"""),1.51)</f>
        <v>1.51</v>
      </c>
      <c r="D152">
        <f>IFERROR(__xludf.DUMMYFUNCTION("""COMPUTED_VALUE"""),13.5)</f>
        <v>13.5</v>
      </c>
      <c r="F152">
        <f>IFERROR(__xludf.DUMMYFUNCTION("""COMPUTED_VALUE"""),12.6)</f>
        <v>12.6</v>
      </c>
    </row>
    <row r="153">
      <c r="A153" t="str">
        <f>IFERROR(__xludf.DUMMYFUNCTION("""COMPUTED_VALUE"""),"Maurice")</f>
        <v>Maurice</v>
      </c>
      <c r="B153">
        <f>IFERROR(__xludf.DUMMYFUNCTION("""COMPUTED_VALUE"""),1.75)</f>
        <v>1.75</v>
      </c>
      <c r="C153">
        <f>IFERROR(__xludf.DUMMYFUNCTION("""COMPUTED_VALUE"""),1.49)</f>
        <v>1.49</v>
      </c>
      <c r="D153">
        <f>IFERROR(__xludf.DUMMYFUNCTION("""COMPUTED_VALUE"""),13.1)</f>
        <v>13.1</v>
      </c>
      <c r="F153">
        <f>IFERROR(__xludf.DUMMYFUNCTION("""COMPUTED_VALUE"""),11.1)</f>
        <v>11.1</v>
      </c>
    </row>
    <row r="154">
      <c r="A154" t="str">
        <f>IFERROR(__xludf.DUMMYFUNCTION("""COMPUTED_VALUE"""),"Danemark")</f>
        <v>Danemark</v>
      </c>
      <c r="B154">
        <f>IFERROR(__xludf.DUMMYFUNCTION("""COMPUTED_VALUE"""),1.73)</f>
        <v>1.73</v>
      </c>
      <c r="C154">
        <f>IFERROR(__xludf.DUMMYFUNCTION("""COMPUTED_VALUE"""),1.73)</f>
        <v>1.73</v>
      </c>
      <c r="D154">
        <f>IFERROR(__xludf.DUMMYFUNCTION("""COMPUTED_VALUE"""),10.4)</f>
        <v>10.4</v>
      </c>
      <c r="F154">
        <f>IFERROR(__xludf.DUMMYFUNCTION("""COMPUTED_VALUE"""),10.4)</f>
        <v>10.4</v>
      </c>
    </row>
    <row r="155">
      <c r="A155" t="str">
        <f>IFERROR(__xludf.DUMMYFUNCTION("""COMPUTED_VALUE"""),"Maldives")</f>
        <v>Maldives</v>
      </c>
      <c r="B155">
        <f>IFERROR(__xludf.DUMMYFUNCTION("""COMPUTED_VALUE"""),1.73)</f>
        <v>1.73</v>
      </c>
      <c r="C155">
        <f>IFERROR(__xludf.DUMMYFUNCTION("""COMPUTED_VALUE"""),2.22)</f>
        <v>2.22</v>
      </c>
      <c r="D155">
        <f>IFERROR(__xludf.DUMMYFUNCTION("""COMPUTED_VALUE"""),16.0)</f>
        <v>16</v>
      </c>
      <c r="F155">
        <f>IFERROR(__xludf.DUMMYFUNCTION("""COMPUTED_VALUE"""),19.8)</f>
        <v>19.8</v>
      </c>
    </row>
    <row r="156">
      <c r="A156" t="str">
        <f>IFERROR(__xludf.DUMMYFUNCTION("""COMPUTED_VALUE"""),"Liban")</f>
        <v>Liban</v>
      </c>
      <c r="B156">
        <f>IFERROR(__xludf.DUMMYFUNCTION("""COMPUTED_VALUE"""),1.73)</f>
        <v>1.73</v>
      </c>
      <c r="C156">
        <f>IFERROR(__xludf.DUMMYFUNCTION("""COMPUTED_VALUE"""),1.72)</f>
        <v>1.72</v>
      </c>
      <c r="D156">
        <f>IFERROR(__xludf.DUMMYFUNCTION("""COMPUTED_VALUE"""),14.4)</f>
        <v>14.4</v>
      </c>
      <c r="F156">
        <f>IFERROR(__xludf.DUMMYFUNCTION("""COMPUTED_VALUE"""),15.0)</f>
        <v>15</v>
      </c>
    </row>
    <row r="157">
      <c r="A157" t="str">
        <f>IFERROR(__xludf.DUMMYFUNCTION("""COMPUTED_VALUE"""),"Trinité-et-Tobago")</f>
        <v>Trinité-et-Tobago</v>
      </c>
      <c r="B157">
        <f>IFERROR(__xludf.DUMMYFUNCTION("""COMPUTED_VALUE"""),1.71)</f>
        <v>1.71</v>
      </c>
      <c r="C157">
        <f>IFERROR(__xludf.DUMMYFUNCTION("""COMPUTED_VALUE"""),1.8)</f>
        <v>1.8</v>
      </c>
      <c r="D157">
        <f>IFERROR(__xludf.DUMMYFUNCTION("""COMPUTED_VALUE"""),13.1)</f>
        <v>13.1</v>
      </c>
      <c r="F157">
        <f>IFERROR(__xludf.DUMMYFUNCTION("""COMPUTED_VALUE"""),14.7)</f>
        <v>14.7</v>
      </c>
    </row>
    <row r="158">
      <c r="A158" t="str">
        <f>IFERROR(__xludf.DUMMYFUNCTION("""COMPUTED_VALUE"""),"Palaos")</f>
        <v>Palaos</v>
      </c>
      <c r="B158">
        <f>IFERROR(__xludf.DUMMYFUNCTION("""COMPUTED_VALUE"""),1.71)</f>
        <v>1.71</v>
      </c>
      <c r="C158">
        <f>IFERROR(__xludf.DUMMYFUNCTION("""COMPUTED_VALUE"""),1.98)</f>
        <v>1.98</v>
      </c>
      <c r="D158">
        <f>IFERROR(__xludf.DUMMYFUNCTION("""COMPUTED_VALUE"""),11.2)</f>
        <v>11.2</v>
      </c>
      <c r="F158">
        <f>IFERROR(__xludf.DUMMYFUNCTION("""COMPUTED_VALUE"""),13.5)</f>
        <v>13.5</v>
      </c>
    </row>
    <row r="159">
      <c r="A159" t="str">
        <f>IFERROR(__xludf.DUMMYFUNCTION("""COMPUTED_VALUE"""),"Cuba")</f>
        <v>Cuba</v>
      </c>
      <c r="B159">
        <f>IFERROR(__xludf.DUMMYFUNCTION("""COMPUTED_VALUE"""),1.71)</f>
        <v>1.71</v>
      </c>
      <c r="C159">
        <f>IFERROR(__xludf.DUMMYFUNCTION("""COMPUTED_VALUE"""),1.71)</f>
        <v>1.71</v>
      </c>
      <c r="D159">
        <f>IFERROR(__xludf.DUMMYFUNCTION("""COMPUTED_VALUE"""),10.8)</f>
        <v>10.8</v>
      </c>
      <c r="F159">
        <f>IFERROR(__xludf.DUMMYFUNCTION("""COMPUTED_VALUE"""),11.2)</f>
        <v>11.2</v>
      </c>
    </row>
    <row r="160">
      <c r="A160" t="str">
        <f>IFERROR(__xludf.DUMMYFUNCTION("""COMPUTED_VALUE"""),"Liechtenstein")</f>
        <v>Liechtenstein</v>
      </c>
      <c r="B160">
        <f>IFERROR(__xludf.DUMMYFUNCTION("""COMPUTED_VALUE"""),1.69)</f>
        <v>1.69</v>
      </c>
      <c r="C160">
        <f>IFERROR(__xludf.DUMMYFUNCTION("""COMPUTED_VALUE"""),1.73)</f>
        <v>1.73</v>
      </c>
      <c r="D160">
        <f>IFERROR(__xludf.DUMMYFUNCTION("""COMPUTED_VALUE"""),9.7)</f>
        <v>9.7</v>
      </c>
      <c r="F160">
        <f>IFERROR(__xludf.DUMMYFUNCTION("""COMPUTED_VALUE"""),9.8)</f>
        <v>9.8</v>
      </c>
    </row>
    <row r="161">
      <c r="A161" t="str">
        <f>IFERROR(__xludf.DUMMYFUNCTION("""COMPUTED_VALUE"""),"Barbade")</f>
        <v>Barbade</v>
      </c>
      <c r="B161">
        <f>IFERROR(__xludf.DUMMYFUNCTION("""COMPUTED_VALUE"""),1.68)</f>
        <v>1.68</v>
      </c>
      <c r="C161">
        <f>IFERROR(__xludf.DUMMYFUNCTION("""COMPUTED_VALUE"""),1.79)</f>
        <v>1.79</v>
      </c>
      <c r="D161">
        <f>IFERROR(__xludf.DUMMYFUNCTION("""COMPUTED_VALUE"""),11.8)</f>
        <v>11.8</v>
      </c>
      <c r="F161">
        <f>IFERROR(__xludf.DUMMYFUNCTION("""COMPUTED_VALUE"""),12.2)</f>
        <v>12.2</v>
      </c>
    </row>
    <row r="162">
      <c r="A162" t="str">
        <f>IFERROR(__xludf.DUMMYFUNCTION("""COMPUTED_VALUE"""),"Arménie")</f>
        <v>Arménie</v>
      </c>
      <c r="B162">
        <f>IFERROR(__xludf.DUMMYFUNCTION("""COMPUTED_VALUE"""),1.64)</f>
        <v>1.64</v>
      </c>
      <c r="C162">
        <f>IFERROR(__xludf.DUMMYFUNCTION("""COMPUTED_VALUE"""),1.65)</f>
        <v>1.65</v>
      </c>
      <c r="D162">
        <f>IFERROR(__xludf.DUMMYFUNCTION("""COMPUTED_VALUE"""),13.3)</f>
        <v>13.3</v>
      </c>
      <c r="F162">
        <f>IFERROR(__xludf.DUMMYFUNCTION("""COMPUTED_VALUE"""),14.5)</f>
        <v>14.5</v>
      </c>
    </row>
    <row r="163">
      <c r="A163" t="str">
        <f>IFERROR(__xludf.DUMMYFUNCTION("""COMPUTED_VALUE"""),"Porto Rico")</f>
        <v>Porto Rico</v>
      </c>
      <c r="B163">
        <f>IFERROR(__xludf.DUMMYFUNCTION("""COMPUTED_VALUE"""),1.64)</f>
        <v>1.64</v>
      </c>
      <c r="C163">
        <f>IFERROR(__xludf.DUMMYFUNCTION("""COMPUTED_VALUE"""),1.52)</f>
        <v>1.52</v>
      </c>
      <c r="D163">
        <f>IFERROR(__xludf.DUMMYFUNCTION("""COMPUTED_VALUE"""),10.8)</f>
        <v>10.8</v>
      </c>
      <c r="F163">
        <f>IFERROR(__xludf.DUMMYFUNCTION("""COMPUTED_VALUE"""),11.2)</f>
        <v>11.2</v>
      </c>
    </row>
    <row r="164">
      <c r="A164" t="str">
        <f>IFERROR(__xludf.DUMMYFUNCTION("""COMPUTED_VALUE"""),"Tchéquie")</f>
        <v>Tchéquie</v>
      </c>
      <c r="B164">
        <f>IFERROR(__xludf.DUMMYFUNCTION("""COMPUTED_VALUE"""),1.63)</f>
        <v>1.63</v>
      </c>
      <c r="C164">
        <f>IFERROR(__xludf.DUMMYFUNCTION("""COMPUTED_VALUE"""),1.48)</f>
        <v>1.48</v>
      </c>
      <c r="D164">
        <f>IFERROR(__xludf.DUMMYFUNCTION("""COMPUTED_VALUE"""),10.7)</f>
        <v>10.7</v>
      </c>
      <c r="F164">
        <f>IFERROR(__xludf.DUMMYFUNCTION("""COMPUTED_VALUE"""),10.4)</f>
        <v>10.4</v>
      </c>
      <c r="G164">
        <f>IFERROR(__xludf.DUMMYFUNCTION("""COMPUTED_VALUE"""),8.4)</f>
        <v>8.4</v>
      </c>
    </row>
    <row r="165">
      <c r="A165" t="str">
        <f>IFERROR(__xludf.DUMMYFUNCTION("""COMPUTED_VALUE"""),"Luxembourg")</f>
        <v>Luxembourg</v>
      </c>
      <c r="B165">
        <f>IFERROR(__xludf.DUMMYFUNCTION("""COMPUTED_VALUE"""),1.61)</f>
        <v>1.61</v>
      </c>
      <c r="C165">
        <f>IFERROR(__xludf.DUMMYFUNCTION("""COMPUTED_VALUE"""),1.55)</f>
        <v>1.55</v>
      </c>
      <c r="D165">
        <f>IFERROR(__xludf.DUMMYFUNCTION("""COMPUTED_VALUE"""),11.4)</f>
        <v>11.4</v>
      </c>
      <c r="F165">
        <f>IFERROR(__xludf.DUMMYFUNCTION("""COMPUTED_VALUE"""),11.2)</f>
        <v>11.2</v>
      </c>
      <c r="G165">
        <f>IFERROR(__xludf.DUMMYFUNCTION("""COMPUTED_VALUE"""),9.5)</f>
        <v>9.5</v>
      </c>
    </row>
    <row r="166">
      <c r="A166" t="str">
        <f>IFERROR(__xludf.DUMMYFUNCTION("""COMPUTED_VALUE"""),"Macédoine du Nord")</f>
        <v>Macédoine du Nord</v>
      </c>
      <c r="B166">
        <f>IFERROR(__xludf.DUMMYFUNCTION("""COMPUTED_VALUE"""),1.6)</f>
        <v>1.6</v>
      </c>
      <c r="C166">
        <f>IFERROR(__xludf.DUMMYFUNCTION("""COMPUTED_VALUE"""),1.5)</f>
        <v>1.5</v>
      </c>
      <c r="D166">
        <f>IFERROR(__xludf.DUMMYFUNCTION("""COMPUTED_VALUE"""),11.5)</f>
        <v>11.5</v>
      </c>
      <c r="F166">
        <f>IFERROR(__xludf.DUMMYFUNCTION("""COMPUTED_VALUE"""),11.3)</f>
        <v>11.3</v>
      </c>
    </row>
    <row r="167">
      <c r="A167" t="str">
        <f>IFERROR(__xludf.DUMMYFUNCTION("""COMPUTED_VALUE"""),"Chine")</f>
        <v>Chine</v>
      </c>
      <c r="B167">
        <f>IFERROR(__xludf.DUMMYFUNCTION("""COMPUTED_VALUE"""),1.6)</f>
        <v>1.6</v>
      </c>
      <c r="C167">
        <f>IFERROR(__xludf.DUMMYFUNCTION("""COMPUTED_VALUE"""),1.6)</f>
        <v>1.6</v>
      </c>
      <c r="D167">
        <f>IFERROR(__xludf.DUMMYFUNCTION("""COMPUTED_VALUE"""),12.4)</f>
        <v>12.4</v>
      </c>
      <c r="F167">
        <f>IFERROR(__xludf.DUMMYFUNCTION("""COMPUTED_VALUE"""),12.6)</f>
        <v>12.6</v>
      </c>
    </row>
    <row r="168">
      <c r="A168" t="str">
        <f>IFERROR(__xludf.DUMMYFUNCTION("""COMPUTED_VALUE"""),"Canada")</f>
        <v>Canada</v>
      </c>
      <c r="B168">
        <f>IFERROR(__xludf.DUMMYFUNCTION("""COMPUTED_VALUE"""),1.6)</f>
        <v>1.6</v>
      </c>
      <c r="C168">
        <f>IFERROR(__xludf.DUMMYFUNCTION("""COMPUTED_VALUE"""),1.61)</f>
        <v>1.61</v>
      </c>
      <c r="D168">
        <f>IFERROR(__xludf.DUMMYFUNCTION("""COMPUTED_VALUE"""),10.3)</f>
        <v>10.3</v>
      </c>
      <c r="F168">
        <f>IFERROR(__xludf.DUMMYFUNCTION("""COMPUTED_VALUE"""),10.9)</f>
        <v>10.9</v>
      </c>
      <c r="G168">
        <f>IFERROR(__xludf.DUMMYFUNCTION("""COMPUTED_VALUE"""),9.1)</f>
        <v>9.1</v>
      </c>
    </row>
    <row r="169">
      <c r="A169" t="str">
        <f>IFERROR(__xludf.DUMMYFUNCTION("""COMPUTED_VALUE"""),"Estonie")</f>
        <v>Estonie</v>
      </c>
      <c r="B169">
        <f>IFERROR(__xludf.DUMMYFUNCTION("""COMPUTED_VALUE"""),1.6)</f>
        <v>1.6</v>
      </c>
      <c r="C169">
        <f>IFERROR(__xludf.DUMMYFUNCTION("""COMPUTED_VALUE"""),1.59)</f>
        <v>1.59</v>
      </c>
      <c r="D169">
        <f>IFERROR(__xludf.DUMMYFUNCTION("""COMPUTED_VALUE"""),10.3)</f>
        <v>10.3</v>
      </c>
      <c r="F169">
        <f>IFERROR(__xludf.DUMMYFUNCTION("""COMPUTED_VALUE"""),10.8)</f>
        <v>10.8</v>
      </c>
      <c r="G169">
        <f>IFERROR(__xludf.DUMMYFUNCTION("""COMPUTED_VALUE"""),8.0)</f>
        <v>8</v>
      </c>
    </row>
    <row r="170">
      <c r="A170" t="str">
        <f>IFERROR(__xludf.DUMMYFUNCTION("""COMPUTED_VALUE"""),"Lituanie")</f>
        <v>Lituanie</v>
      </c>
      <c r="B170">
        <f>IFERROR(__xludf.DUMMYFUNCTION("""COMPUTED_VALUE"""),1.59)</f>
        <v>1.59</v>
      </c>
      <c r="C170">
        <f>IFERROR(__xludf.DUMMYFUNCTION("""COMPUTED_VALUE"""),1.59)</f>
        <v>1.59</v>
      </c>
      <c r="D170">
        <f>IFERROR(__xludf.DUMMYFUNCTION("""COMPUTED_VALUE"""),10.0)</f>
        <v>10</v>
      </c>
      <c r="F170">
        <f>IFERROR(__xludf.DUMMYFUNCTION("""COMPUTED_VALUE"""),10.4)</f>
        <v>10.4</v>
      </c>
    </row>
    <row r="171">
      <c r="A171" t="str">
        <f>IFERROR(__xludf.DUMMYFUNCTION("""COMPUTED_VALUE"""),"Slovénie")</f>
        <v>Slovénie</v>
      </c>
      <c r="B171">
        <f>IFERROR(__xludf.DUMMYFUNCTION("""COMPUTED_VALUE"""),1.58)</f>
        <v>1.58</v>
      </c>
      <c r="C171">
        <f>IFERROR(__xludf.DUMMYFUNCTION("""COMPUTED_VALUE"""),1.58)</f>
        <v>1.58</v>
      </c>
      <c r="D171">
        <f>IFERROR(__xludf.DUMMYFUNCTION("""COMPUTED_VALUE"""),9.9)</f>
        <v>9.9</v>
      </c>
      <c r="F171">
        <f>IFERROR(__xludf.DUMMYFUNCTION("""COMPUTED_VALUE"""),10.5)</f>
        <v>10.5</v>
      </c>
      <c r="G171">
        <f>IFERROR(__xludf.DUMMYFUNCTION("""COMPUTED_VALUE"""),8.0)</f>
        <v>8</v>
      </c>
    </row>
    <row r="172">
      <c r="A172" t="str">
        <f>IFERROR(__xludf.DUMMYFUNCTION("""COMPUTED_VALUE"""),"Suisse")</f>
        <v>Suisse</v>
      </c>
      <c r="B172">
        <f>IFERROR(__xludf.DUMMYFUNCTION("""COMPUTED_VALUE"""),1.55)</f>
        <v>1.55</v>
      </c>
      <c r="C172">
        <f>IFERROR(__xludf.DUMMYFUNCTION("""COMPUTED_VALUE"""),1.53)</f>
        <v>1.53</v>
      </c>
      <c r="D172">
        <f>IFERROR(__xludf.DUMMYFUNCTION("""COMPUTED_VALUE"""),10.5)</f>
        <v>10.5</v>
      </c>
      <c r="F172">
        <f>IFERROR(__xludf.DUMMYFUNCTION("""COMPUTED_VALUE"""),10.3)</f>
        <v>10.3</v>
      </c>
    </row>
    <row r="173">
      <c r="A173" t="str">
        <f>IFERROR(__xludf.DUMMYFUNCTION("""COMPUTED_VALUE"""),"Malte")</f>
        <v>Malte</v>
      </c>
      <c r="B173">
        <f>IFERROR(__xludf.DUMMYFUNCTION("""COMPUTED_VALUE"""),1.55)</f>
        <v>1.55</v>
      </c>
      <c r="C173">
        <f>IFERROR(__xludf.DUMMYFUNCTION("""COMPUTED_VALUE"""),1.41)</f>
        <v>1.41</v>
      </c>
      <c r="D173">
        <f>IFERROR(__xludf.DUMMYFUNCTION("""COMPUTED_VALUE"""),10.1)</f>
        <v>10.1</v>
      </c>
      <c r="F173">
        <f>IFERROR(__xludf.DUMMYFUNCTION("""COMPUTED_VALUE"""),9.7)</f>
        <v>9.7</v>
      </c>
      <c r="G173">
        <f>IFERROR(__xludf.DUMMYFUNCTION("""COMPUTED_VALUE"""),8.1)</f>
        <v>8.1</v>
      </c>
    </row>
    <row r="174">
      <c r="A174" t="str">
        <f>IFERROR(__xludf.DUMMYFUNCTION("""COMPUTED_VALUE"""),"Ukraine")</f>
        <v>Ukraine</v>
      </c>
      <c r="B174">
        <f>IFERROR(__xludf.DUMMYFUNCTION("""COMPUTED_VALUE"""),1.54)</f>
        <v>1.54</v>
      </c>
      <c r="C174">
        <f>IFERROR(__xludf.DUMMYFUNCTION("""COMPUTED_VALUE"""),1.49)</f>
        <v>1.49</v>
      </c>
      <c r="D174">
        <f>IFERROR(__xludf.DUMMYFUNCTION("""COMPUTED_VALUE"""),10.5)</f>
        <v>10.5</v>
      </c>
      <c r="F174">
        <f>IFERROR(__xludf.DUMMYFUNCTION("""COMPUTED_VALUE"""),10.8)</f>
        <v>10.8</v>
      </c>
    </row>
    <row r="175">
      <c r="A175" t="str">
        <f>IFERROR(__xludf.DUMMYFUNCTION("""COMPUTED_VALUE"""),"Monaco")</f>
        <v>Monaco</v>
      </c>
      <c r="B175">
        <f>IFERROR(__xludf.DUMMYFUNCTION("""COMPUTED_VALUE"""),1.53)</f>
        <v>1.53</v>
      </c>
      <c r="C175">
        <f>IFERROR(__xludf.DUMMYFUNCTION("""COMPUTED_VALUE"""),1.76)</f>
        <v>1.76</v>
      </c>
      <c r="D175">
        <f>IFERROR(__xludf.DUMMYFUNCTION("""COMPUTED_VALUE"""),6.6)</f>
        <v>6.6</v>
      </c>
      <c r="F175">
        <f>IFERROR(__xludf.DUMMYFUNCTION("""COMPUTED_VALUE"""),7.3)</f>
        <v>7.3</v>
      </c>
    </row>
    <row r="176">
      <c r="A176" t="str">
        <f>IFERROR(__xludf.DUMMYFUNCTION("""COMPUTED_VALUE"""),"Lettonie")</f>
        <v>Lettonie</v>
      </c>
      <c r="B176">
        <f>IFERROR(__xludf.DUMMYFUNCTION("""COMPUTED_VALUE"""),1.51)</f>
        <v>1.51</v>
      </c>
      <c r="C176">
        <f>IFERROR(__xludf.DUMMYFUNCTION("""COMPUTED_VALUE"""),1.5)</f>
        <v>1.5</v>
      </c>
      <c r="D176">
        <f>IFERROR(__xludf.DUMMYFUNCTION("""COMPUTED_VALUE"""),9.9)</f>
        <v>9.9</v>
      </c>
      <c r="F176">
        <f>IFERROR(__xludf.DUMMYFUNCTION("""COMPUTED_VALUE"""),10.2)</f>
        <v>10.2</v>
      </c>
    </row>
    <row r="177">
      <c r="A177" t="str">
        <f>IFERROR(__xludf.DUMMYFUNCTION("""COMPUTED_VALUE"""),"Thaïlande")</f>
        <v>Thaïlande</v>
      </c>
      <c r="B177">
        <f>IFERROR(__xludf.DUMMYFUNCTION("""COMPUTED_VALUE"""),1.51)</f>
        <v>1.51</v>
      </c>
      <c r="C177">
        <f>IFERROR(__xludf.DUMMYFUNCTION("""COMPUTED_VALUE"""),1.53)</f>
        <v>1.53</v>
      </c>
      <c r="D177">
        <f>IFERROR(__xludf.DUMMYFUNCTION("""COMPUTED_VALUE"""),11.1)</f>
        <v>11.1</v>
      </c>
      <c r="F177">
        <f>IFERROR(__xludf.DUMMYFUNCTION("""COMPUTED_VALUE"""),11.3)</f>
        <v>11.3</v>
      </c>
    </row>
    <row r="178">
      <c r="A178" t="str">
        <f>IFERROR(__xludf.DUMMYFUNCTION("""COMPUTED_VALUE"""),"Albanie")</f>
        <v>Albanie</v>
      </c>
      <c r="B178">
        <f>IFERROR(__xludf.DUMMYFUNCTION("""COMPUTED_VALUE"""),1.51)</f>
        <v>1.51</v>
      </c>
      <c r="C178">
        <f>IFERROR(__xludf.DUMMYFUNCTION("""COMPUTED_VALUE"""),1.71)</f>
        <v>1.71</v>
      </c>
      <c r="D178">
        <f>IFERROR(__xludf.DUMMYFUNCTION("""COMPUTED_VALUE"""),13.1)</f>
        <v>13.1</v>
      </c>
      <c r="F178">
        <f>IFERROR(__xludf.DUMMYFUNCTION("""COMPUTED_VALUE"""),14.0)</f>
        <v>14</v>
      </c>
      <c r="G178">
        <f>IFERROR(__xludf.DUMMYFUNCTION("""COMPUTED_VALUE"""),8.9)</f>
        <v>8.9</v>
      </c>
    </row>
    <row r="179">
      <c r="A179" t="str">
        <f>IFERROR(__xludf.DUMMYFUNCTION("""COMPUTED_VALUE"""),"Saint-Marin")</f>
        <v>Saint-Marin</v>
      </c>
      <c r="B179">
        <f>IFERROR(__xludf.DUMMYFUNCTION("""COMPUTED_VALUE"""),1.5)</f>
        <v>1.5</v>
      </c>
      <c r="C179">
        <f>IFERROR(__xludf.DUMMYFUNCTION("""COMPUTED_VALUE"""),1.53)</f>
        <v>1.53</v>
      </c>
      <c r="D179">
        <f>IFERROR(__xludf.DUMMYFUNCTION("""COMPUTED_VALUE"""),8.6)</f>
        <v>8.6</v>
      </c>
      <c r="F179">
        <f>IFERROR(__xludf.DUMMYFUNCTION("""COMPUTED_VALUE"""),8.6)</f>
        <v>8.6</v>
      </c>
    </row>
    <row r="180">
      <c r="A180" t="str">
        <f>IFERROR(__xludf.DUMMYFUNCTION("""COMPUTED_VALUE"""),"Allemagne")</f>
        <v>Allemagne</v>
      </c>
      <c r="B180">
        <f>IFERROR(__xludf.DUMMYFUNCTION("""COMPUTED_VALUE"""),1.49)</f>
        <v>1.49</v>
      </c>
      <c r="C180">
        <f>IFERROR(__xludf.DUMMYFUNCTION("""COMPUTED_VALUE"""),1.43)</f>
        <v>1.43</v>
      </c>
      <c r="D180">
        <f>IFERROR(__xludf.DUMMYFUNCTION("""COMPUTED_VALUE"""),8.5)</f>
        <v>8.5</v>
      </c>
      <c r="F180">
        <f>IFERROR(__xludf.DUMMYFUNCTION("""COMPUTED_VALUE"""),8.5)</f>
        <v>8.5</v>
      </c>
      <c r="G180">
        <f>IFERROR(__xludf.DUMMYFUNCTION("""COMPUTED_VALUE"""),8.3)</f>
        <v>8.3</v>
      </c>
    </row>
    <row r="181">
      <c r="A181" t="str">
        <f>IFERROR(__xludf.DUMMYFUNCTION("""COMPUTED_VALUE"""),"Espagne")</f>
        <v>Espagne</v>
      </c>
      <c r="B181">
        <f>IFERROR(__xludf.DUMMYFUNCTION("""COMPUTED_VALUE"""),1.49)</f>
        <v>1.49</v>
      </c>
      <c r="C181">
        <f>IFERROR(__xludf.DUMMYFUNCTION("""COMPUTED_VALUE"""),1.33)</f>
        <v>1.33</v>
      </c>
      <c r="D181">
        <f>IFERROR(__xludf.DUMMYFUNCTION("""COMPUTED_VALUE"""),9.4)</f>
        <v>9.4</v>
      </c>
      <c r="F181">
        <f>IFERROR(__xludf.DUMMYFUNCTION("""COMPUTED_VALUE"""),9.4)</f>
        <v>9.4</v>
      </c>
      <c r="G181">
        <f>IFERROR(__xludf.DUMMYFUNCTION("""COMPUTED_VALUE"""),6.7)</f>
        <v>6.7</v>
      </c>
    </row>
    <row r="182">
      <c r="A182" t="str">
        <f>IFERROR(__xludf.DUMMYFUNCTION("""COMPUTED_VALUE"""),"Biélorussie")</f>
        <v>Biélorussie</v>
      </c>
      <c r="B182">
        <f>IFERROR(__xludf.DUMMYFUNCTION("""COMPUTED_VALUE"""),1.48)</f>
        <v>1.48</v>
      </c>
      <c r="C182">
        <f>IFERROR(__xludf.DUMMYFUNCTION("""COMPUTED_VALUE"""),1.64)</f>
        <v>1.64</v>
      </c>
      <c r="D182">
        <f>IFERROR(__xludf.DUMMYFUNCTION("""COMPUTED_VALUE"""),10.5)</f>
        <v>10.5</v>
      </c>
      <c r="F182">
        <f>IFERROR(__xludf.DUMMYFUNCTION("""COMPUTED_VALUE"""),12.1)</f>
        <v>12.1</v>
      </c>
      <c r="G182">
        <f>IFERROR(__xludf.DUMMYFUNCTION("""COMPUTED_VALUE"""),7.1)</f>
        <v>7.1</v>
      </c>
    </row>
    <row r="183">
      <c r="A183" t="str">
        <f>IFERROR(__xludf.DUMMYFUNCTION("""COMPUTED_VALUE"""),"Slovaquie")</f>
        <v>Slovaquie</v>
      </c>
      <c r="B183">
        <f>IFERROR(__xludf.DUMMYFUNCTION("""COMPUTED_VALUE"""),1.48)</f>
        <v>1.48</v>
      </c>
      <c r="C183">
        <f>IFERROR(__xludf.DUMMYFUNCTION("""COMPUTED_VALUE"""),1.39)</f>
        <v>1.39</v>
      </c>
      <c r="D183">
        <f>IFERROR(__xludf.DUMMYFUNCTION("""COMPUTED_VALUE"""),9.9)</f>
        <v>9.9</v>
      </c>
      <c r="F183">
        <f>IFERROR(__xludf.DUMMYFUNCTION("""COMPUTED_VALUE"""),10.5)</f>
        <v>10.5</v>
      </c>
    </row>
    <row r="184">
      <c r="A184" t="str">
        <f>IFERROR(__xludf.DUMMYFUNCTION("""COMPUTED_VALUE"""),"Chypre")</f>
        <v>Chypre</v>
      </c>
      <c r="B184">
        <f>IFERROR(__xludf.DUMMYFUNCTION("""COMPUTED_VALUE"""),1.47)</f>
        <v>1.47</v>
      </c>
      <c r="C184">
        <f>IFERROR(__xludf.DUMMYFUNCTION("""COMPUTED_VALUE"""),1.38)</f>
        <v>1.38</v>
      </c>
      <c r="D184">
        <f>IFERROR(__xludf.DUMMYFUNCTION("""COMPUTED_VALUE"""),11.4)</f>
        <v>11.4</v>
      </c>
      <c r="F184">
        <f>IFERROR(__xludf.DUMMYFUNCTION("""COMPUTED_VALUE"""),11.3)</f>
        <v>11.3</v>
      </c>
    </row>
    <row r="185">
      <c r="A185" t="str">
        <f>IFERROR(__xludf.DUMMYFUNCTION("""COMPUTED_VALUE"""),"Autriche")</f>
        <v>Autriche</v>
      </c>
      <c r="B185">
        <f>IFERROR(__xludf.DUMMYFUNCTION("""COMPUTED_VALUE"""),1.47)</f>
        <v>1.47</v>
      </c>
      <c r="C185">
        <f>IFERROR(__xludf.DUMMYFUNCTION("""COMPUTED_VALUE"""),1.45)</f>
        <v>1.45</v>
      </c>
      <c r="D185">
        <f>IFERROR(__xludf.DUMMYFUNCTION("""COMPUTED_VALUE"""),9.5)</f>
        <v>9.5</v>
      </c>
      <c r="F185">
        <f>IFERROR(__xludf.DUMMYFUNCTION("""COMPUTED_VALUE"""),9.4)</f>
        <v>9.4</v>
      </c>
      <c r="G185">
        <f>IFERROR(__xludf.DUMMYFUNCTION("""COMPUTED_VALUE"""),8.5)</f>
        <v>8.5</v>
      </c>
    </row>
    <row r="186">
      <c r="A186" t="str">
        <f>IFERROR(__xludf.DUMMYFUNCTION("""COMPUTED_VALUE"""),"Bulgarie")</f>
        <v>Bulgarie</v>
      </c>
      <c r="B186">
        <f>IFERROR(__xludf.DUMMYFUNCTION("""COMPUTED_VALUE"""),1.46)</f>
        <v>1.46</v>
      </c>
      <c r="C186">
        <f>IFERROR(__xludf.DUMMYFUNCTION("""COMPUTED_VALUE"""),1.51)</f>
        <v>1.51</v>
      </c>
      <c r="D186">
        <f>IFERROR(__xludf.DUMMYFUNCTION("""COMPUTED_VALUE"""),8.8)</f>
        <v>8.8</v>
      </c>
      <c r="F186">
        <f>IFERROR(__xludf.DUMMYFUNCTION("""COMPUTED_VALUE"""),9.4)</f>
        <v>9.4</v>
      </c>
    </row>
    <row r="187">
      <c r="A187" t="str">
        <f>IFERROR(__xludf.DUMMYFUNCTION("""COMPUTED_VALUE"""),"Hongrie")</f>
        <v>Hongrie</v>
      </c>
      <c r="B187">
        <f>IFERROR(__xludf.DUMMYFUNCTION("""COMPUTED_VALUE"""),1.44)</f>
        <v>1.44</v>
      </c>
      <c r="C187">
        <f>IFERROR(__xludf.DUMMYFUNCTION("""COMPUTED_VALUE"""),1.33)</f>
        <v>1.33</v>
      </c>
      <c r="D187">
        <f>IFERROR(__xludf.DUMMYFUNCTION("""COMPUTED_VALUE"""),9.1)</f>
        <v>9.1</v>
      </c>
      <c r="F187">
        <f>IFERROR(__xludf.DUMMYFUNCTION("""COMPUTED_VALUE"""),9.1)</f>
        <v>9.1</v>
      </c>
    </row>
    <row r="188">
      <c r="A188" t="str">
        <f>IFERROR(__xludf.DUMMYFUNCTION("""COMPUTED_VALUE"""),"Japon")</f>
        <v>Japon</v>
      </c>
      <c r="B188">
        <f>IFERROR(__xludf.DUMMYFUNCTION("""COMPUTED_VALUE"""),1.44)</f>
        <v>1.44</v>
      </c>
      <c r="C188">
        <f>IFERROR(__xludf.DUMMYFUNCTION("""COMPUTED_VALUE"""),1.41)</f>
        <v>1.41</v>
      </c>
      <c r="D188">
        <f>IFERROR(__xludf.DUMMYFUNCTION("""COMPUTED_VALUE"""),7.8)</f>
        <v>7.8</v>
      </c>
      <c r="F188">
        <f>IFERROR(__xludf.DUMMYFUNCTION("""COMPUTED_VALUE"""),8.4)</f>
        <v>8.4</v>
      </c>
      <c r="G188">
        <f>IFERROR(__xludf.DUMMYFUNCTION("""COMPUTED_VALUE"""),6.0)</f>
        <v>6</v>
      </c>
    </row>
    <row r="189">
      <c r="A189" t="str">
        <f>IFERROR(__xludf.DUMMYFUNCTION("""COMPUTED_VALUE"""),"Serbie")</f>
        <v>Serbie</v>
      </c>
      <c r="B189">
        <f>IFERROR(__xludf.DUMMYFUNCTION("""COMPUTED_VALUE"""),1.43)</f>
        <v>1.43</v>
      </c>
      <c r="C189">
        <f>IFERROR(__xludf.DUMMYFUNCTION("""COMPUTED_VALUE"""),1.59)</f>
        <v>1.59</v>
      </c>
      <c r="D189">
        <f>IFERROR(__xludf.DUMMYFUNCTION("""COMPUTED_VALUE"""),9.0)</f>
        <v>9</v>
      </c>
      <c r="F189">
        <f>IFERROR(__xludf.DUMMYFUNCTION("""COMPUTED_VALUE"""),10.6)</f>
        <v>10.6</v>
      </c>
    </row>
    <row r="190">
      <c r="A190" t="str">
        <f>IFERROR(__xludf.DUMMYFUNCTION("""COMPUTED_VALUE"""),"Italie")</f>
        <v>Italie</v>
      </c>
      <c r="B190">
        <f>IFERROR(__xludf.DUMMYFUNCTION("""COMPUTED_VALUE"""),1.43)</f>
        <v>1.43</v>
      </c>
      <c r="C190">
        <f>IFERROR(__xludf.DUMMYFUNCTION("""COMPUTED_VALUE"""),1.43)</f>
        <v>1.43</v>
      </c>
      <c r="D190">
        <f>IFERROR(__xludf.DUMMYFUNCTION("""COMPUTED_VALUE"""),8.7)</f>
        <v>8.7</v>
      </c>
      <c r="F190">
        <f>IFERROR(__xludf.DUMMYFUNCTION("""COMPUTED_VALUE"""),8.6)</f>
        <v>8.6</v>
      </c>
    </row>
    <row r="191">
      <c r="A191" t="str">
        <f>IFERROR(__xludf.DUMMYFUNCTION("""COMPUTED_VALUE"""),"Grèce")</f>
        <v>Grèce</v>
      </c>
      <c r="B191">
        <f>IFERROR(__xludf.DUMMYFUNCTION("""COMPUTED_VALUE"""),1.42)</f>
        <v>1.42</v>
      </c>
      <c r="C191">
        <f>IFERROR(__xludf.DUMMYFUNCTION("""COMPUTED_VALUE"""),1.34)</f>
        <v>1.34</v>
      </c>
      <c r="D191">
        <f>IFERROR(__xludf.DUMMYFUNCTION("""COMPUTED_VALUE"""),8.5)</f>
        <v>8.5</v>
      </c>
      <c r="F191">
        <f>IFERROR(__xludf.DUMMYFUNCTION("""COMPUTED_VALUE"""),9.0)</f>
        <v>9</v>
      </c>
    </row>
    <row r="192">
      <c r="A192" t="str">
        <f>IFERROR(__xludf.DUMMYFUNCTION("""COMPUTED_VALUE"""),"Croatie")</f>
        <v>Croatie</v>
      </c>
      <c r="B192">
        <f>IFERROR(__xludf.DUMMYFUNCTION("""COMPUTED_VALUE"""),1.42)</f>
        <v>1.42</v>
      </c>
      <c r="C192">
        <f>IFERROR(__xludf.DUMMYFUNCTION("""COMPUTED_VALUE"""),1.49)</f>
        <v>1.49</v>
      </c>
      <c r="D192">
        <f>IFERROR(__xludf.DUMMYFUNCTION("""COMPUTED_VALUE"""),9.0)</f>
        <v>9</v>
      </c>
      <c r="F192">
        <f>IFERROR(__xludf.DUMMYFUNCTION("""COMPUTED_VALUE"""),9.6)</f>
        <v>9.6</v>
      </c>
    </row>
    <row r="193">
      <c r="A193" t="str">
        <f>IFERROR(__xludf.DUMMYFUNCTION("""COMPUTED_VALUE"""),"Andorre")</f>
        <v>Andorre</v>
      </c>
      <c r="B193">
        <f>IFERROR(__xludf.DUMMYFUNCTION("""COMPUTED_VALUE"""),1.39)</f>
        <v>1.39</v>
      </c>
      <c r="C193">
        <f>IFERROR(__xludf.DUMMYFUNCTION("""COMPUTED_VALUE"""),1.46)</f>
        <v>1.46</v>
      </c>
      <c r="D193">
        <f>IFERROR(__xludf.DUMMYFUNCTION("""COMPUTED_VALUE"""),7.8)</f>
        <v>7.8</v>
      </c>
      <c r="F193">
        <f>IFERROR(__xludf.DUMMYFUNCTION("""COMPUTED_VALUE"""),8.3)</f>
        <v>8.3</v>
      </c>
    </row>
    <row r="194">
      <c r="A194" t="str">
        <f>IFERROR(__xludf.DUMMYFUNCTION("""COMPUTED_VALUE"""),"Portugal")</f>
        <v>Portugal</v>
      </c>
      <c r="B194">
        <f>IFERROR(__xludf.DUMMYFUNCTION("""COMPUTED_VALUE"""),1.38)</f>
        <v>1.38</v>
      </c>
      <c r="C194">
        <f>IFERROR(__xludf.DUMMYFUNCTION("""COMPUTED_VALUE"""),1.28)</f>
        <v>1.28</v>
      </c>
      <c r="D194">
        <f>IFERROR(__xludf.DUMMYFUNCTION("""COMPUTED_VALUE"""),9.1)</f>
        <v>9.1</v>
      </c>
      <c r="F194">
        <f>IFERROR(__xludf.DUMMYFUNCTION("""COMPUTED_VALUE"""),8.5)</f>
        <v>8.5</v>
      </c>
    </row>
    <row r="195">
      <c r="A195" t="str">
        <f>IFERROR(__xludf.DUMMYFUNCTION("""COMPUTED_VALUE"""),"Pologne")</f>
        <v>Pologne</v>
      </c>
      <c r="B195">
        <f>IFERROR(__xludf.DUMMYFUNCTION("""COMPUTED_VALUE"""),1.34)</f>
        <v>1.34</v>
      </c>
      <c r="C195">
        <f>IFERROR(__xludf.DUMMYFUNCTION("""COMPUTED_VALUE"""),1.33)</f>
        <v>1.33</v>
      </c>
      <c r="D195">
        <f>IFERROR(__xludf.DUMMYFUNCTION("""COMPUTED_VALUE"""),9.6)</f>
        <v>9.6</v>
      </c>
      <c r="F195">
        <f>IFERROR(__xludf.DUMMYFUNCTION("""COMPUTED_VALUE"""),10.0)</f>
        <v>10</v>
      </c>
    </row>
    <row r="196">
      <c r="A196" t="str">
        <f>IFERROR(__xludf.DUMMYFUNCTION("""COMPUTED_VALUE"""),"Roumanie")</f>
        <v>Roumanie</v>
      </c>
      <c r="B196">
        <f>IFERROR(__xludf.DUMMYFUNCTION("""COMPUTED_VALUE"""),1.34)</f>
        <v>1.34</v>
      </c>
      <c r="C196">
        <f>IFERROR(__xludf.DUMMYFUNCTION("""COMPUTED_VALUE"""),1.48)</f>
        <v>1.48</v>
      </c>
      <c r="D196">
        <f>IFERROR(__xludf.DUMMYFUNCTION("""COMPUTED_VALUE"""),9.0)</f>
        <v>9</v>
      </c>
      <c r="F196">
        <f>IFERROR(__xludf.DUMMYFUNCTION("""COMPUTED_VALUE"""),9.8)</f>
        <v>9.8</v>
      </c>
      <c r="G196">
        <f>IFERROR(__xludf.DUMMYFUNCTION("""COMPUTED_VALUE"""),8.0)</f>
        <v>8</v>
      </c>
    </row>
    <row r="197">
      <c r="A197" t="str">
        <f>IFERROR(__xludf.DUMMYFUNCTION("""COMPUTED_VALUE"""),"Moldavie")</f>
        <v>Moldavie</v>
      </c>
      <c r="B197">
        <f>IFERROR(__xludf.DUMMYFUNCTION("""COMPUTED_VALUE"""),1.33)</f>
        <v>1.33</v>
      </c>
      <c r="C197">
        <f>IFERROR(__xludf.DUMMYFUNCTION("""COMPUTED_VALUE"""),1.27)</f>
        <v>1.27</v>
      </c>
      <c r="D197">
        <f>IFERROR(__xludf.DUMMYFUNCTION("""COMPUTED_VALUE"""),10.6)</f>
        <v>10.6</v>
      </c>
      <c r="F197">
        <f>IFERROR(__xludf.DUMMYFUNCTION("""COMPUTED_VALUE"""),10.9)</f>
        <v>10.9</v>
      </c>
    </row>
    <row r="198">
      <c r="A198" t="str">
        <f>IFERROR(__xludf.DUMMYFUNCTION("""COMPUTED_VALUE"""),"Bosnie-Herzégovine")</f>
        <v>Bosnie-Herzégovine</v>
      </c>
      <c r="B198">
        <f>IFERROR(__xludf.DUMMYFUNCTION("""COMPUTED_VALUE"""),1.28)</f>
        <v>1.28</v>
      </c>
      <c r="C198">
        <f>IFERROR(__xludf.DUMMYFUNCTION("""COMPUTED_VALUE"""),1.31)</f>
        <v>1.31</v>
      </c>
      <c r="D198">
        <f>IFERROR(__xludf.DUMMYFUNCTION("""COMPUTED_VALUE"""),8.8)</f>
        <v>8.8</v>
      </c>
      <c r="F198">
        <f>IFERROR(__xludf.DUMMYFUNCTION("""COMPUTED_VALUE"""),9.1)</f>
        <v>9.1</v>
      </c>
      <c r="G198">
        <f>IFERROR(__xludf.DUMMYFUNCTION("""COMPUTED_VALUE"""),7.3)</f>
        <v>7.3</v>
      </c>
    </row>
    <row r="199">
      <c r="A199" t="str">
        <f>IFERROR(__xludf.DUMMYFUNCTION("""COMPUTED_VALUE"""),"Corée du Sud")</f>
        <v>Corée du Sud</v>
      </c>
      <c r="B199">
        <f>IFERROR(__xludf.DUMMYFUNCTION("""COMPUTED_VALUE"""),1.25)</f>
        <v>1.25</v>
      </c>
      <c r="C199">
        <f>IFERROR(__xludf.DUMMYFUNCTION("""COMPUTED_VALUE"""),1.23)</f>
        <v>1.23</v>
      </c>
      <c r="D199">
        <f>IFERROR(__xludf.DUMMYFUNCTION("""COMPUTED_VALUE"""),8.4)</f>
        <v>8.4</v>
      </c>
      <c r="F199">
        <f>IFERROR(__xludf.DUMMYFUNCTION("""COMPUTED_VALUE"""),8.9)</f>
        <v>8.9</v>
      </c>
      <c r="G199">
        <f>IFERROR(__xludf.DUMMYFUNCTION("""COMPUTED_VALUE"""),4.6)</f>
        <v>4.6</v>
      </c>
    </row>
    <row r="200">
      <c r="A200" t="str">
        <f>IFERROR(__xludf.DUMMYFUNCTION("""COMPUTED_VALUE"""),"Hong Kong")</f>
        <v>Hong Kong</v>
      </c>
      <c r="B200">
        <f>IFERROR(__xludf.DUMMYFUNCTION("""COMPUTED_VALUE"""),1.19)</f>
        <v>1.19</v>
      </c>
      <c r="C200">
        <f>IFERROR(__xludf.DUMMYFUNCTION("""COMPUTED_VALUE"""),1.2)</f>
        <v>1.2</v>
      </c>
      <c r="D200">
        <f>IFERROR(__xludf.DUMMYFUNCTION("""COMPUTED_VALUE"""),9.1)</f>
        <v>9.1</v>
      </c>
      <c r="F200">
        <f>IFERROR(__xludf.DUMMYFUNCTION("""COMPUTED_VALUE"""),10.5)</f>
        <v>10.5</v>
      </c>
    </row>
    <row r="201">
      <c r="A201" t="str">
        <f>IFERROR(__xludf.DUMMYFUNCTION("""COMPUTED_VALUE"""),"Taïwan")</f>
        <v>Taïwan</v>
      </c>
      <c r="B201">
        <f>IFERROR(__xludf.DUMMYFUNCTION("""COMPUTED_VALUE"""),1.12)</f>
        <v>1.12</v>
      </c>
      <c r="C201">
        <f>IFERROR(__xludf.DUMMYFUNCTION("""COMPUTED_VALUE"""),1.11)</f>
        <v>1.11</v>
      </c>
      <c r="D201">
        <f>IFERROR(__xludf.DUMMYFUNCTION("""COMPUTED_VALUE"""),8.4)</f>
        <v>8.4</v>
      </c>
      <c r="F201">
        <f>IFERROR(__xludf.DUMMYFUNCTION("""COMPUTED_VALUE"""),8.7)</f>
        <v>8.7</v>
      </c>
    </row>
    <row r="202">
      <c r="A202" t="str">
        <f>IFERROR(__xludf.DUMMYFUNCTION("""COMPUTED_VALUE"""),"Macao")</f>
        <v>Macao</v>
      </c>
      <c r="B202">
        <f>IFERROR(__xludf.DUMMYFUNCTION("""COMPUTED_VALUE"""),0.94)</f>
        <v>0.94</v>
      </c>
      <c r="C202">
        <f>IFERROR(__xludf.DUMMYFUNCTION("""COMPUTED_VALUE"""),1.19)</f>
        <v>1.19</v>
      </c>
      <c r="D202">
        <f>IFERROR(__xludf.DUMMYFUNCTION("""COMPUTED_VALUE"""),8.8)</f>
        <v>8.8</v>
      </c>
      <c r="F202">
        <f>IFERROR(__xludf.DUMMYFUNCTION("""COMPUTED_VALUE"""),11.3)</f>
        <v>11.3</v>
      </c>
    </row>
    <row r="203">
      <c r="A203" t="str">
        <f>IFERROR(__xludf.DUMMYFUNCTION("""COMPUTED_VALUE"""),"Singapour")</f>
        <v>Singapour</v>
      </c>
      <c r="B203">
        <f>IFERROR(__xludf.DUMMYFUNCTION("""COMPUTED_VALUE"""),0.82)</f>
        <v>0.82</v>
      </c>
      <c r="C203">
        <f>IFERROR(__xludf.DUMMYFUNCTION("""COMPUTED_VALUE"""),1.23)</f>
        <v>1.23</v>
      </c>
      <c r="D203">
        <f>IFERROR(__xludf.DUMMYFUNCTION("""COMPUTED_VALUE"""),8.4)</f>
        <v>8.4</v>
      </c>
      <c r="F203">
        <f>IFERROR(__xludf.DUMMYFUNCTION("""COMPUTED_VALUE"""),9.3)</f>
        <v>9.3</v>
      </c>
    </row>
    <row r="204">
      <c r="A204" t="str">
        <f>IFERROR(__xludf.DUMMYFUNCTION("""COMPUTED_VALUE"""),"Pays")</f>
        <v>Pays</v>
      </c>
      <c r="B204" t="str">
        <f>IFERROR(__xludf.DUMMYFUNCTION("""COMPUTED_VALUE"""),"Taux de fécondité")</f>
        <v>Taux de fécondité</v>
      </c>
      <c r="D204" t="str">
        <f>IFERROR(__xludf.DUMMYFUNCTION("""COMPUTED_VALUE"""),"Taux de natalité (‰ hab)")</f>
        <v>Taux de natalité (‰ hab)</v>
      </c>
    </row>
    <row r="205">
      <c r="B205" t="str">
        <f>IFERROR(__xludf.DUMMYFUNCTION("""COMPUTED_VALUE"""),"CIA Factbook 2016")</f>
        <v>CIA Factbook 2016</v>
      </c>
      <c r="C205" t="str">
        <f>IFERROR(__xludf.DUMMYFUNCTION("""COMPUTED_VALUE"""),"ONU 2010–2015")</f>
        <v>ONU 2010–2015</v>
      </c>
      <c r="D205" t="str">
        <f>IFERROR(__xludf.DUMMYFUNCTION("""COMPUTED_VALUE"""),"CIA Factb. 2016")</f>
        <v>CIA Factb. 2016</v>
      </c>
      <c r="F205" t="str">
        <f>IFERROR(__xludf.DUMMYFUNCTION("""COMPUTED_VALUE"""),"ONU 2010–2015")</f>
        <v>ONU 2010–2015</v>
      </c>
      <c r="G205" t="str">
        <f>IFERROR(__xludf.DUMMYFUNCTION("""COMPUTED_VALUE"""),"Ined 2023")</f>
        <v>Ined 2023</v>
      </c>
    </row>
    <row r="209">
      <c r="A209" s="11" t="s">
        <v>3974</v>
      </c>
      <c r="B209" s="12" t="s">
        <v>3975</v>
      </c>
      <c r="C209" s="13" t="s">
        <v>3976</v>
      </c>
    </row>
    <row r="210">
      <c r="A210" t="s">
        <v>3977</v>
      </c>
      <c r="B210">
        <v>7.4</v>
      </c>
      <c r="C210">
        <v>49.2</v>
      </c>
    </row>
    <row r="211">
      <c r="A211" t="s">
        <v>3978</v>
      </c>
      <c r="B211">
        <v>6.0</v>
      </c>
      <c r="C211">
        <v>43.3</v>
      </c>
    </row>
    <row r="212">
      <c r="A212" t="s">
        <v>3979</v>
      </c>
      <c r="B212">
        <v>6.35</v>
      </c>
      <c r="C212">
        <v>44.7</v>
      </c>
    </row>
    <row r="213">
      <c r="A213" t="s">
        <v>3980</v>
      </c>
      <c r="B213">
        <v>6.61</v>
      </c>
      <c r="C213">
        <v>44.4</v>
      </c>
    </row>
    <row r="214">
      <c r="A214" t="s">
        <v>3981</v>
      </c>
      <c r="B214">
        <v>5.91</v>
      </c>
      <c r="C214">
        <v>43.9</v>
      </c>
    </row>
    <row r="215">
      <c r="A215" t="s">
        <v>3982</v>
      </c>
      <c r="B215">
        <v>5.65</v>
      </c>
      <c r="C215">
        <v>40.8</v>
      </c>
    </row>
    <row r="216">
      <c r="A216" t="s">
        <v>3983</v>
      </c>
      <c r="B216">
        <v>5.2</v>
      </c>
      <c r="C216">
        <v>39.3</v>
      </c>
    </row>
    <row r="217">
      <c r="A217" t="s">
        <v>3984</v>
      </c>
      <c r="B217">
        <v>4.88</v>
      </c>
      <c r="C217">
        <v>38.1</v>
      </c>
    </row>
    <row r="218">
      <c r="A218" t="s">
        <v>3985</v>
      </c>
      <c r="B218">
        <v>5.95</v>
      </c>
      <c r="C218">
        <v>43.7</v>
      </c>
    </row>
    <row r="219">
      <c r="A219" t="s">
        <v>3986</v>
      </c>
      <c r="B219">
        <v>5.26</v>
      </c>
      <c r="C219">
        <v>36.2</v>
      </c>
    </row>
    <row r="220">
      <c r="A220" t="s">
        <v>3987</v>
      </c>
      <c r="B220">
        <v>5.15</v>
      </c>
      <c r="C220">
        <v>37.3</v>
      </c>
    </row>
    <row r="221">
      <c r="A221" t="s">
        <v>3988</v>
      </c>
      <c r="B221">
        <v>5.45</v>
      </c>
      <c r="C221">
        <v>40.4</v>
      </c>
    </row>
    <row r="222">
      <c r="A222" t="s">
        <v>3989</v>
      </c>
      <c r="B222">
        <v>5.74</v>
      </c>
      <c r="C222">
        <v>40.5</v>
      </c>
    </row>
    <row r="223">
      <c r="A223" t="s">
        <v>3990</v>
      </c>
      <c r="B223">
        <v>4.63</v>
      </c>
      <c r="C223">
        <v>33.6</v>
      </c>
    </row>
    <row r="224">
      <c r="A224" t="s">
        <v>3991</v>
      </c>
      <c r="B224">
        <v>5.91</v>
      </c>
      <c r="C224">
        <v>36.8</v>
      </c>
    </row>
    <row r="225">
      <c r="A225" t="s">
        <v>3992</v>
      </c>
      <c r="B225">
        <v>5.22</v>
      </c>
      <c r="C225">
        <v>38.4</v>
      </c>
    </row>
    <row r="226">
      <c r="A226" t="s">
        <v>3993</v>
      </c>
      <c r="B226">
        <v>5.24</v>
      </c>
      <c r="C226">
        <v>39.8</v>
      </c>
    </row>
    <row r="227">
      <c r="A227" t="s">
        <v>3994</v>
      </c>
      <c r="B227">
        <v>5.13</v>
      </c>
      <c r="C227">
        <v>37.5</v>
      </c>
    </row>
    <row r="228">
      <c r="A228" t="s">
        <v>3995</v>
      </c>
      <c r="B228">
        <v>4.84</v>
      </c>
      <c r="C228">
        <v>37.3</v>
      </c>
    </row>
    <row r="229">
      <c r="A229" t="s">
        <v>3996</v>
      </c>
      <c r="B229">
        <v>4.95</v>
      </c>
      <c r="C229">
        <v>38.2</v>
      </c>
    </row>
    <row r="230">
      <c r="A230" t="s">
        <v>3997</v>
      </c>
      <c r="B230">
        <v>4.86</v>
      </c>
      <c r="C230">
        <v>36.8</v>
      </c>
    </row>
    <row r="231">
      <c r="A231" t="s">
        <v>3998</v>
      </c>
      <c r="B231">
        <v>4.83</v>
      </c>
      <c r="C231">
        <v>35.8</v>
      </c>
    </row>
    <row r="232">
      <c r="A232" t="s">
        <v>3999</v>
      </c>
      <c r="B232">
        <v>6.4</v>
      </c>
      <c r="C232">
        <v>44.0</v>
      </c>
    </row>
    <row r="233">
      <c r="A233" t="s">
        <v>4000</v>
      </c>
      <c r="B233">
        <v>4.99</v>
      </c>
      <c r="C233">
        <v>36.0</v>
      </c>
    </row>
    <row r="234">
      <c r="A234" t="s">
        <v>4001</v>
      </c>
      <c r="B234">
        <v>4.2</v>
      </c>
      <c r="C234">
        <v>33.5</v>
      </c>
    </row>
    <row r="235">
      <c r="A235" t="s">
        <v>4002</v>
      </c>
      <c r="B235">
        <v>6.31</v>
      </c>
      <c r="C235">
        <v>45.2</v>
      </c>
    </row>
    <row r="236">
      <c r="A236" t="s">
        <v>4003</v>
      </c>
      <c r="B236">
        <v>4.69</v>
      </c>
      <c r="C236">
        <v>35.8</v>
      </c>
    </row>
    <row r="237">
      <c r="A237" t="s">
        <v>4004</v>
      </c>
      <c r="B237">
        <v>4.0</v>
      </c>
      <c r="C237">
        <v>31.3</v>
      </c>
    </row>
    <row r="238">
      <c r="A238" t="s">
        <v>4005</v>
      </c>
      <c r="B238">
        <v>4.67</v>
      </c>
      <c r="C238">
        <v>35.6</v>
      </c>
    </row>
    <row r="239">
      <c r="A239" t="s">
        <v>4006</v>
      </c>
      <c r="B239">
        <v>5.0</v>
      </c>
      <c r="C239">
        <v>37.6</v>
      </c>
    </row>
    <row r="240">
      <c r="A240" t="s">
        <v>4007</v>
      </c>
      <c r="B240">
        <v>5.1</v>
      </c>
      <c r="C240">
        <v>37.3</v>
      </c>
    </row>
    <row r="241">
      <c r="A241" t="s">
        <v>4008</v>
      </c>
      <c r="B241">
        <v>4.9</v>
      </c>
      <c r="C241">
        <v>38.4</v>
      </c>
    </row>
    <row r="242">
      <c r="A242" t="s">
        <v>4009</v>
      </c>
      <c r="B242">
        <v>4.4</v>
      </c>
      <c r="C242">
        <v>34.1</v>
      </c>
    </row>
    <row r="243">
      <c r="A243" t="s">
        <v>4010</v>
      </c>
      <c r="B243">
        <v>4.4</v>
      </c>
      <c r="C243">
        <v>34.3</v>
      </c>
    </row>
    <row r="244">
      <c r="A244" t="s">
        <v>4011</v>
      </c>
      <c r="B244">
        <v>4.55</v>
      </c>
      <c r="C244">
        <v>34.5</v>
      </c>
    </row>
    <row r="245">
      <c r="A245" t="s">
        <v>4012</v>
      </c>
      <c r="B245">
        <v>4.18</v>
      </c>
      <c r="C245">
        <v>32.7</v>
      </c>
    </row>
    <row r="246">
      <c r="A246" t="s">
        <v>4013</v>
      </c>
      <c r="B246">
        <v>2.6</v>
      </c>
      <c r="C246">
        <v>22.2</v>
      </c>
    </row>
    <row r="247">
      <c r="A247" t="s">
        <v>4014</v>
      </c>
      <c r="B247">
        <v>4.88</v>
      </c>
      <c r="C247">
        <v>35.5</v>
      </c>
    </row>
    <row r="248">
      <c r="A248" t="s">
        <v>4015</v>
      </c>
      <c r="B248">
        <v>4.25</v>
      </c>
      <c r="C248">
        <v>32.9</v>
      </c>
    </row>
    <row r="249">
      <c r="A249" t="s">
        <v>4016</v>
      </c>
      <c r="B249">
        <v>4.4</v>
      </c>
      <c r="C249">
        <v>33.6</v>
      </c>
    </row>
    <row r="250">
      <c r="A250" t="s">
        <v>4017</v>
      </c>
      <c r="B250">
        <v>4.75</v>
      </c>
      <c r="C250">
        <v>34.4</v>
      </c>
    </row>
    <row r="251">
      <c r="A251" t="s">
        <v>4018</v>
      </c>
      <c r="B251">
        <v>5.62</v>
      </c>
      <c r="C251">
        <v>41.2</v>
      </c>
    </row>
    <row r="252">
      <c r="A252" t="s">
        <v>4019</v>
      </c>
      <c r="B252">
        <v>3.38</v>
      </c>
      <c r="C252">
        <v>28.5</v>
      </c>
    </row>
    <row r="253">
      <c r="A253" t="s">
        <v>4020</v>
      </c>
      <c r="B253">
        <v>4.0</v>
      </c>
      <c r="C253">
        <v>35.6</v>
      </c>
    </row>
    <row r="254">
      <c r="A254" t="s">
        <v>4021</v>
      </c>
      <c r="B254">
        <v>4.6</v>
      </c>
      <c r="C254">
        <v>34.4</v>
      </c>
    </row>
    <row r="255">
      <c r="A255" t="s">
        <v>4022</v>
      </c>
      <c r="B255">
        <v>5.14</v>
      </c>
      <c r="C255">
        <v>37.7</v>
      </c>
    </row>
    <row r="256">
      <c r="A256" t="s">
        <v>4023</v>
      </c>
      <c r="B256">
        <v>3.6</v>
      </c>
      <c r="C256">
        <v>30.4</v>
      </c>
    </row>
    <row r="257">
      <c r="A257" t="s">
        <v>4024</v>
      </c>
      <c r="B257">
        <v>4.06</v>
      </c>
      <c r="C257">
        <v>30.8</v>
      </c>
    </row>
    <row r="258">
      <c r="A258" t="s">
        <v>4025</v>
      </c>
      <c r="B258">
        <v>3.6</v>
      </c>
      <c r="C258">
        <v>28.4</v>
      </c>
    </row>
    <row r="259">
      <c r="A259" t="s">
        <v>4026</v>
      </c>
      <c r="B259">
        <v>3.79</v>
      </c>
      <c r="C259">
        <v>25.7</v>
      </c>
    </row>
    <row r="260">
      <c r="A260" t="s">
        <v>4027</v>
      </c>
      <c r="B260">
        <v>3.41</v>
      </c>
      <c r="C260">
        <v>26.9</v>
      </c>
    </row>
    <row r="261">
      <c r="A261" t="s">
        <v>4028</v>
      </c>
      <c r="B261">
        <v>4.1</v>
      </c>
      <c r="C261">
        <v>33.1</v>
      </c>
    </row>
    <row r="262">
      <c r="A262" t="s">
        <v>4029</v>
      </c>
      <c r="B262">
        <v>3.84</v>
      </c>
      <c r="C262">
        <v>28.8</v>
      </c>
    </row>
    <row r="263">
      <c r="A263" t="s">
        <v>4030</v>
      </c>
      <c r="B263">
        <v>3.23</v>
      </c>
      <c r="C263">
        <v>24.9</v>
      </c>
    </row>
    <row r="264">
      <c r="A264" t="s">
        <v>4031</v>
      </c>
      <c r="B264">
        <v>3.05</v>
      </c>
      <c r="C264">
        <v>24.1</v>
      </c>
    </row>
    <row r="265">
      <c r="A265" t="s">
        <v>4032</v>
      </c>
      <c r="B265">
        <v>3.45</v>
      </c>
      <c r="C265">
        <v>27.4</v>
      </c>
    </row>
    <row r="266">
      <c r="A266" t="s">
        <v>4033</v>
      </c>
      <c r="B266">
        <v>2.64</v>
      </c>
      <c r="C266">
        <v>23.3</v>
      </c>
    </row>
    <row r="267">
      <c r="A267" t="s">
        <v>4034</v>
      </c>
      <c r="B267">
        <v>3.24</v>
      </c>
      <c r="C267">
        <v>25.1</v>
      </c>
    </row>
    <row r="268">
      <c r="A268" t="s">
        <v>4035</v>
      </c>
      <c r="B268">
        <v>2.92</v>
      </c>
      <c r="C268">
        <v>21.5</v>
      </c>
    </row>
    <row r="269">
      <c r="A269" t="s">
        <v>4036</v>
      </c>
      <c r="B269">
        <v>3.19</v>
      </c>
      <c r="C269">
        <v>26.6</v>
      </c>
    </row>
    <row r="270">
      <c r="A270" t="s">
        <v>4037</v>
      </c>
      <c r="B270">
        <v>3.13</v>
      </c>
      <c r="C270">
        <v>25.5</v>
      </c>
    </row>
    <row r="271">
      <c r="A271" t="s">
        <v>4038</v>
      </c>
      <c r="B271">
        <v>4.16</v>
      </c>
      <c r="C271">
        <v>26.4</v>
      </c>
    </row>
    <row r="272">
      <c r="A272" t="s">
        <v>4039</v>
      </c>
      <c r="B272">
        <v>2.93</v>
      </c>
      <c r="C272">
        <v>25.5</v>
      </c>
    </row>
    <row r="273">
      <c r="A273" t="s">
        <v>4040</v>
      </c>
      <c r="B273">
        <v>2.96</v>
      </c>
      <c r="C273">
        <v>25.3</v>
      </c>
    </row>
    <row r="274">
      <c r="A274" t="s">
        <v>4041</v>
      </c>
      <c r="B274">
        <v>3.3</v>
      </c>
      <c r="C274">
        <v>30.2</v>
      </c>
    </row>
    <row r="275">
      <c r="A275" t="s">
        <v>4042</v>
      </c>
      <c r="B275">
        <v>2.65</v>
      </c>
      <c r="C275">
        <v>23.0</v>
      </c>
    </row>
    <row r="276">
      <c r="A276" t="s">
        <v>4043</v>
      </c>
      <c r="B276">
        <v>3.04</v>
      </c>
      <c r="C276">
        <v>24.4</v>
      </c>
    </row>
    <row r="277">
      <c r="A277" t="s">
        <v>4044</v>
      </c>
      <c r="B277">
        <v>3.26</v>
      </c>
      <c r="C277">
        <v>28.7</v>
      </c>
    </row>
    <row r="278">
      <c r="A278" t="s">
        <v>4045</v>
      </c>
      <c r="B278">
        <v>3.72</v>
      </c>
      <c r="C278">
        <v>29.7</v>
      </c>
    </row>
    <row r="279">
      <c r="A279" t="s">
        <v>4046</v>
      </c>
      <c r="B279">
        <v>3.5</v>
      </c>
      <c r="C279">
        <v>30.2</v>
      </c>
    </row>
    <row r="280">
      <c r="A280" t="s">
        <v>4047</v>
      </c>
      <c r="B280">
        <v>3.04</v>
      </c>
      <c r="C280">
        <v>21.4</v>
      </c>
    </row>
    <row r="281">
      <c r="A281" t="s">
        <v>4048</v>
      </c>
      <c r="B281">
        <v>3.12</v>
      </c>
      <c r="C281">
        <v>27.1</v>
      </c>
    </row>
    <row r="282">
      <c r="A282" t="s">
        <v>4049</v>
      </c>
      <c r="B282">
        <v>2.7</v>
      </c>
      <c r="C282">
        <v>24.5</v>
      </c>
    </row>
    <row r="283">
      <c r="A283" t="s">
        <v>4050</v>
      </c>
      <c r="B283">
        <v>3.1</v>
      </c>
      <c r="C283">
        <v>24.3</v>
      </c>
    </row>
    <row r="284">
      <c r="A284" t="s">
        <v>4051</v>
      </c>
      <c r="B284">
        <v>2.11</v>
      </c>
      <c r="C284">
        <v>17.2</v>
      </c>
    </row>
    <row r="285">
      <c r="A285" t="s">
        <v>4052</v>
      </c>
      <c r="B285">
        <v>3.0</v>
      </c>
      <c r="C285">
        <v>23.6</v>
      </c>
    </row>
    <row r="286">
      <c r="A286" t="s">
        <v>4053</v>
      </c>
      <c r="B286">
        <v>2.6</v>
      </c>
      <c r="C286">
        <v>20.7</v>
      </c>
    </row>
    <row r="287">
      <c r="A287" t="s">
        <v>4054</v>
      </c>
      <c r="B287">
        <v>2.05</v>
      </c>
      <c r="C287">
        <v>18.0</v>
      </c>
      <c r="D287" t="str">
        <f>SUBSTITUTE(A289:C289,"*")</f>
        <v>#N/A</v>
      </c>
    </row>
    <row r="288">
      <c r="A288" t="s">
        <v>4055</v>
      </c>
      <c r="B288">
        <v>3.79</v>
      </c>
      <c r="C288">
        <v>29.2</v>
      </c>
    </row>
    <row r="289">
      <c r="A289" t="s">
        <v>4056</v>
      </c>
      <c r="B289" t="s">
        <v>4057</v>
      </c>
      <c r="C289" t="s">
        <v>4058</v>
      </c>
      <c r="D289" t="str">
        <f>SUBSTITUTE(A289,"*","")</f>
        <v>Moyenne mondiale</v>
      </c>
    </row>
    <row r="290">
      <c r="A290" t="str">
        <f t="shared" ref="A290:C290" si="1">SUBSTITUTE(A289:C289,"*","")</f>
        <v>Moyenne mondiale</v>
      </c>
      <c r="B290" t="str">
        <f t="shared" si="1"/>
        <v>2,47</v>
      </c>
      <c r="C290" t="str">
        <f t="shared" si="1"/>
        <v>19,6</v>
      </c>
    </row>
    <row r="291">
      <c r="A291" t="s">
        <v>4059</v>
      </c>
      <c r="B291">
        <v>2.44</v>
      </c>
      <c r="C291">
        <v>20.0</v>
      </c>
    </row>
    <row r="292">
      <c r="A292" t="s">
        <v>4060</v>
      </c>
      <c r="B292">
        <v>3.1</v>
      </c>
      <c r="C292">
        <v>24.3</v>
      </c>
    </row>
    <row r="293">
      <c r="A293" t="s">
        <v>4061</v>
      </c>
      <c r="B293">
        <v>2.4</v>
      </c>
      <c r="C293">
        <v>20.1</v>
      </c>
    </row>
    <row r="294">
      <c r="A294" t="s">
        <v>4062</v>
      </c>
      <c r="B294">
        <v>1.82</v>
      </c>
      <c r="C294">
        <v>10.8</v>
      </c>
    </row>
    <row r="295">
      <c r="A295" t="s">
        <v>4063</v>
      </c>
      <c r="B295">
        <v>2.6</v>
      </c>
      <c r="C295">
        <v>20.6</v>
      </c>
    </row>
    <row r="296">
      <c r="A296" t="s">
        <v>4064</v>
      </c>
      <c r="B296">
        <v>2.42</v>
      </c>
      <c r="C296">
        <v>17.3</v>
      </c>
    </row>
    <row r="297">
      <c r="A297" t="s">
        <v>4065</v>
      </c>
      <c r="B297">
        <v>2.55</v>
      </c>
      <c r="C297">
        <v>22.0</v>
      </c>
    </row>
    <row r="298">
      <c r="A298" t="s">
        <v>4066</v>
      </c>
      <c r="B298">
        <v>2.53</v>
      </c>
      <c r="C298">
        <v>21.4</v>
      </c>
    </row>
    <row r="299">
      <c r="A299" t="s">
        <v>4067</v>
      </c>
      <c r="B299">
        <v>2.88</v>
      </c>
      <c r="C299">
        <v>25.1</v>
      </c>
    </row>
    <row r="300">
      <c r="A300" t="s">
        <v>4068</v>
      </c>
      <c r="B300">
        <v>2.34</v>
      </c>
      <c r="C300">
        <v>17.8</v>
      </c>
    </row>
    <row r="301">
      <c r="A301" t="s">
        <v>4069</v>
      </c>
      <c r="B301">
        <v>2.7</v>
      </c>
      <c r="C301">
        <v>22.8</v>
      </c>
    </row>
    <row r="302">
      <c r="A302" t="s">
        <v>4070</v>
      </c>
      <c r="B302">
        <v>2.5</v>
      </c>
      <c r="C302">
        <v>21.8</v>
      </c>
    </row>
    <row r="303">
      <c r="A303" t="s">
        <v>4071</v>
      </c>
      <c r="B303">
        <v>2.56</v>
      </c>
      <c r="C303">
        <v>21.2</v>
      </c>
    </row>
    <row r="304">
      <c r="A304" t="s">
        <v>4072</v>
      </c>
      <c r="B304">
        <v>2.22</v>
      </c>
      <c r="C304">
        <v>20.2</v>
      </c>
    </row>
    <row r="305">
      <c r="A305" t="s">
        <v>4073</v>
      </c>
      <c r="B305">
        <v>2.32</v>
      </c>
      <c r="C305">
        <v>20.9</v>
      </c>
    </row>
    <row r="306">
      <c r="A306" t="s">
        <v>4074</v>
      </c>
      <c r="B306">
        <v>2.29</v>
      </c>
      <c r="C306">
        <v>19.4</v>
      </c>
    </row>
    <row r="307">
      <c r="A307" t="s">
        <v>4075</v>
      </c>
      <c r="B307">
        <v>2.5</v>
      </c>
      <c r="C307">
        <v>20.4</v>
      </c>
    </row>
    <row r="308">
      <c r="A308" t="s">
        <v>4076</v>
      </c>
      <c r="B308">
        <v>2.3</v>
      </c>
      <c r="C308">
        <v>18.7</v>
      </c>
    </row>
    <row r="309">
      <c r="A309" t="s">
        <v>4077</v>
      </c>
      <c r="B309">
        <v>2.45</v>
      </c>
      <c r="C309">
        <v>20.2</v>
      </c>
    </row>
    <row r="310">
      <c r="A310" t="s">
        <v>4078</v>
      </c>
      <c r="B310">
        <v>2.83</v>
      </c>
      <c r="C310">
        <v>26.0</v>
      </c>
    </row>
    <row r="311">
      <c r="A311" t="s">
        <v>4079</v>
      </c>
      <c r="B311">
        <v>2.6</v>
      </c>
      <c r="C311">
        <v>21.3</v>
      </c>
    </row>
    <row r="312">
      <c r="A312" t="s">
        <v>4080</v>
      </c>
      <c r="B312">
        <v>2.72</v>
      </c>
      <c r="C312">
        <v>20.8</v>
      </c>
    </row>
    <row r="313">
      <c r="A313" t="s">
        <v>4081</v>
      </c>
      <c r="B313">
        <v>2.11</v>
      </c>
      <c r="C313">
        <v>16.4</v>
      </c>
    </row>
    <row r="314">
      <c r="A314" t="s">
        <v>4082</v>
      </c>
      <c r="B314">
        <v>3.0</v>
      </c>
      <c r="C314">
        <v>27.0</v>
      </c>
    </row>
    <row r="315">
      <c r="A315" t="s">
        <v>4083</v>
      </c>
      <c r="B315">
        <v>1.98</v>
      </c>
      <c r="C315">
        <v>12.1</v>
      </c>
    </row>
    <row r="316">
      <c r="A316" t="s">
        <v>4084</v>
      </c>
      <c r="B316">
        <v>2.12</v>
      </c>
      <c r="C316">
        <v>15.6</v>
      </c>
    </row>
    <row r="317">
      <c r="A317" t="s">
        <v>4085</v>
      </c>
      <c r="B317">
        <v>2.18</v>
      </c>
      <c r="C317">
        <v>17.4</v>
      </c>
    </row>
    <row r="318">
      <c r="A318" t="s">
        <v>4086</v>
      </c>
      <c r="B318">
        <v>2.6</v>
      </c>
      <c r="C318">
        <v>21.1</v>
      </c>
    </row>
    <row r="319">
      <c r="A319" t="s">
        <v>4087</v>
      </c>
      <c r="B319">
        <v>2.4</v>
      </c>
      <c r="C319">
        <v>21.3</v>
      </c>
    </row>
    <row r="320">
      <c r="A320" t="s">
        <v>4088</v>
      </c>
      <c r="B320">
        <v>2.12</v>
      </c>
      <c r="C320">
        <v>17.3</v>
      </c>
    </row>
    <row r="321">
      <c r="A321" t="s">
        <v>4089</v>
      </c>
      <c r="B321">
        <v>2.04</v>
      </c>
      <c r="C321">
        <v>13.7</v>
      </c>
    </row>
    <row r="322">
      <c r="A322" t="s">
        <v>4090</v>
      </c>
      <c r="B322">
        <v>1.93</v>
      </c>
      <c r="C322">
        <v>16.2</v>
      </c>
    </row>
    <row r="323">
      <c r="A323" t="s">
        <v>4091</v>
      </c>
      <c r="B323">
        <v>2.1</v>
      </c>
      <c r="C323">
        <v>16.8</v>
      </c>
    </row>
    <row r="324">
      <c r="A324" t="s">
        <v>4092</v>
      </c>
      <c r="B324">
        <v>1.98</v>
      </c>
      <c r="C324">
        <v>13.8</v>
      </c>
    </row>
    <row r="325">
      <c r="A325" t="s">
        <v>4093</v>
      </c>
      <c r="B325">
        <v>2.08</v>
      </c>
      <c r="C325">
        <v>17.2</v>
      </c>
    </row>
    <row r="326">
      <c r="A326" t="s">
        <v>4094</v>
      </c>
      <c r="B326">
        <v>2.0</v>
      </c>
      <c r="C326">
        <v>15.4</v>
      </c>
    </row>
    <row r="327">
      <c r="A327" t="s">
        <v>4095</v>
      </c>
      <c r="B327">
        <v>2.25</v>
      </c>
      <c r="C327">
        <v>19.1</v>
      </c>
    </row>
    <row r="328">
      <c r="A328" t="s">
        <v>4096</v>
      </c>
      <c r="B328">
        <v>1.95</v>
      </c>
      <c r="C328">
        <v>14.0</v>
      </c>
    </row>
    <row r="329">
      <c r="A329" t="s">
        <v>4097</v>
      </c>
      <c r="B329">
        <v>2.45</v>
      </c>
      <c r="C329">
        <v>19.0</v>
      </c>
    </row>
    <row r="330">
      <c r="A330" t="s">
        <v>4098</v>
      </c>
      <c r="B330">
        <v>1.81</v>
      </c>
      <c r="C330">
        <v>14.8</v>
      </c>
    </row>
    <row r="331">
      <c r="A331" t="s">
        <v>4099</v>
      </c>
      <c r="B331">
        <v>2.2</v>
      </c>
      <c r="C331">
        <v>19.3</v>
      </c>
    </row>
    <row r="332">
      <c r="A332" t="s">
        <v>4100</v>
      </c>
      <c r="B332">
        <v>2.32</v>
      </c>
      <c r="C332">
        <v>21.0</v>
      </c>
    </row>
    <row r="333">
      <c r="A333" t="s">
        <v>4101</v>
      </c>
      <c r="B333">
        <v>2.6</v>
      </c>
      <c r="C333">
        <v>21.7</v>
      </c>
    </row>
    <row r="334">
      <c r="A334" t="s">
        <v>4102</v>
      </c>
      <c r="B334">
        <v>1.85</v>
      </c>
      <c r="C334">
        <v>15.1</v>
      </c>
    </row>
    <row r="335">
      <c r="A335" t="s">
        <v>4103</v>
      </c>
      <c r="B335">
        <v>2.0</v>
      </c>
      <c r="C335">
        <v>10.9</v>
      </c>
    </row>
    <row r="336">
      <c r="A336" t="s">
        <v>4104</v>
      </c>
      <c r="B336">
        <v>2.1</v>
      </c>
      <c r="C336">
        <v>19.2</v>
      </c>
    </row>
    <row r="337">
      <c r="A337" t="s">
        <v>4105</v>
      </c>
      <c r="B337">
        <v>1.88</v>
      </c>
      <c r="C337">
        <v>12.4</v>
      </c>
    </row>
    <row r="338">
      <c r="A338" t="s">
        <v>4106</v>
      </c>
      <c r="B338">
        <v>2.17</v>
      </c>
      <c r="C338">
        <v>19.1</v>
      </c>
    </row>
    <row r="339">
      <c r="A339" t="s">
        <v>4107</v>
      </c>
      <c r="B339">
        <v>1.9</v>
      </c>
      <c r="C339">
        <v>12.0</v>
      </c>
    </row>
    <row r="340">
      <c r="A340" t="s">
        <v>4108</v>
      </c>
      <c r="B340">
        <v>1.88</v>
      </c>
      <c r="C340">
        <v>12.5</v>
      </c>
    </row>
    <row r="341">
      <c r="A341" t="s">
        <v>4109</v>
      </c>
      <c r="B341">
        <v>1.82</v>
      </c>
      <c r="C341">
        <v>11.9</v>
      </c>
    </row>
    <row r="342">
      <c r="A342" t="s">
        <v>4110</v>
      </c>
      <c r="B342">
        <v>2.38</v>
      </c>
      <c r="C342">
        <v>17.7</v>
      </c>
    </row>
    <row r="343">
      <c r="A343" t="s">
        <v>4111</v>
      </c>
      <c r="B343">
        <v>1.75</v>
      </c>
      <c r="C343">
        <v>18.2</v>
      </c>
    </row>
    <row r="344">
      <c r="A344" t="s">
        <v>4112</v>
      </c>
      <c r="B344">
        <v>1.96</v>
      </c>
      <c r="C344">
        <v>17.4</v>
      </c>
    </row>
    <row r="345">
      <c r="A345" t="s">
        <v>4113</v>
      </c>
      <c r="B345">
        <v>1.82</v>
      </c>
      <c r="C345">
        <v>13.9</v>
      </c>
    </row>
    <row r="346">
      <c r="A346" t="s">
        <v>4114</v>
      </c>
      <c r="B346">
        <v>2.0</v>
      </c>
      <c r="C346">
        <v>16.4</v>
      </c>
    </row>
    <row r="347">
      <c r="A347" t="s">
        <v>4115</v>
      </c>
      <c r="B347">
        <v>2.04</v>
      </c>
      <c r="C347">
        <v>14.4</v>
      </c>
    </row>
    <row r="348">
      <c r="A348" t="s">
        <v>4116</v>
      </c>
      <c r="B348">
        <v>1.71</v>
      </c>
      <c r="C348">
        <v>12.0</v>
      </c>
    </row>
    <row r="349">
      <c r="A349" t="s">
        <v>4117</v>
      </c>
      <c r="B349">
        <v>1.9</v>
      </c>
      <c r="C349">
        <v>16.7</v>
      </c>
    </row>
    <row r="350">
      <c r="A350" t="s">
        <v>4118</v>
      </c>
      <c r="B350">
        <v>1.78</v>
      </c>
      <c r="C350">
        <v>11.4</v>
      </c>
    </row>
    <row r="351">
      <c r="A351" t="s">
        <v>4119</v>
      </c>
      <c r="B351">
        <v>1.73</v>
      </c>
      <c r="C351">
        <v>10.6</v>
      </c>
    </row>
    <row r="352">
      <c r="A352" t="s">
        <v>4120</v>
      </c>
      <c r="B352">
        <v>1.74</v>
      </c>
      <c r="C352">
        <v>13.4</v>
      </c>
    </row>
    <row r="353">
      <c r="A353" t="s">
        <v>4121</v>
      </c>
      <c r="B353">
        <v>2.38</v>
      </c>
      <c r="C353">
        <v>22.2</v>
      </c>
    </row>
    <row r="354">
      <c r="A354" t="s">
        <v>4122</v>
      </c>
      <c r="B354">
        <v>1.88</v>
      </c>
      <c r="C354">
        <v>13.3</v>
      </c>
    </row>
    <row r="355">
      <c r="A355" t="s">
        <v>4117</v>
      </c>
      <c r="B355">
        <v>2.12</v>
      </c>
      <c r="C355">
        <v>16.0</v>
      </c>
    </row>
    <row r="356">
      <c r="A356" t="s">
        <v>4123</v>
      </c>
      <c r="B356">
        <v>1.78</v>
      </c>
      <c r="C356">
        <v>15.0</v>
      </c>
    </row>
    <row r="357">
      <c r="A357" t="s">
        <v>4124</v>
      </c>
      <c r="B357">
        <v>2.0</v>
      </c>
      <c r="C357">
        <v>14.4</v>
      </c>
    </row>
    <row r="358">
      <c r="A358" t="s">
        <v>4125</v>
      </c>
      <c r="B358">
        <v>1.7</v>
      </c>
      <c r="C358">
        <v>13.0</v>
      </c>
    </row>
    <row r="359">
      <c r="A359" t="s">
        <v>4126</v>
      </c>
      <c r="B359">
        <v>1.77</v>
      </c>
      <c r="C359">
        <v>10.8</v>
      </c>
    </row>
    <row r="360">
      <c r="A360" t="s">
        <v>4127</v>
      </c>
      <c r="B360">
        <v>1.51</v>
      </c>
      <c r="C360">
        <v>12.6</v>
      </c>
    </row>
    <row r="361">
      <c r="A361" t="s">
        <v>4128</v>
      </c>
      <c r="B361">
        <v>1.49</v>
      </c>
      <c r="C361">
        <v>11.1</v>
      </c>
    </row>
    <row r="362">
      <c r="A362" t="s">
        <v>4129</v>
      </c>
      <c r="B362">
        <v>1.73</v>
      </c>
      <c r="C362">
        <v>10.4</v>
      </c>
    </row>
    <row r="363">
      <c r="A363" t="s">
        <v>4130</v>
      </c>
      <c r="B363">
        <v>2.22</v>
      </c>
      <c r="C363">
        <v>19.8</v>
      </c>
    </row>
    <row r="364">
      <c r="A364" t="s">
        <v>4131</v>
      </c>
      <c r="B364">
        <v>1.72</v>
      </c>
      <c r="C364">
        <v>15.0</v>
      </c>
    </row>
    <row r="365">
      <c r="A365" t="s">
        <v>4132</v>
      </c>
      <c r="B365">
        <v>1.8</v>
      </c>
      <c r="C365">
        <v>14.7</v>
      </c>
    </row>
    <row r="366">
      <c r="A366" t="s">
        <v>4133</v>
      </c>
      <c r="B366">
        <v>1.98</v>
      </c>
      <c r="C366">
        <v>13.5</v>
      </c>
    </row>
    <row r="367">
      <c r="A367" t="s">
        <v>4134</v>
      </c>
      <c r="B367">
        <v>1.71</v>
      </c>
      <c r="C367">
        <v>11.2</v>
      </c>
    </row>
    <row r="368">
      <c r="A368" t="s">
        <v>4135</v>
      </c>
      <c r="B368">
        <v>1.73</v>
      </c>
      <c r="C368">
        <v>9.8</v>
      </c>
    </row>
    <row r="369">
      <c r="A369" t="s">
        <v>4136</v>
      </c>
      <c r="B369">
        <v>1.79</v>
      </c>
      <c r="C369">
        <v>12.2</v>
      </c>
    </row>
    <row r="370">
      <c r="A370" t="s">
        <v>4137</v>
      </c>
      <c r="B370">
        <v>1.65</v>
      </c>
      <c r="C370">
        <v>14.5</v>
      </c>
    </row>
    <row r="371">
      <c r="A371" t="s">
        <v>4138</v>
      </c>
      <c r="B371">
        <v>1.52</v>
      </c>
      <c r="C371">
        <v>11.2</v>
      </c>
    </row>
    <row r="372">
      <c r="A372" t="s">
        <v>4139</v>
      </c>
      <c r="B372">
        <v>1.48</v>
      </c>
      <c r="C372">
        <v>10.4</v>
      </c>
    </row>
    <row r="373">
      <c r="A373" t="s">
        <v>4140</v>
      </c>
      <c r="B373">
        <v>1.55</v>
      </c>
      <c r="C373">
        <v>11.2</v>
      </c>
    </row>
    <row r="374">
      <c r="A374" t="s">
        <v>4141</v>
      </c>
      <c r="B374">
        <v>1.5</v>
      </c>
      <c r="C374">
        <v>11.3</v>
      </c>
    </row>
    <row r="375">
      <c r="A375" t="s">
        <v>4142</v>
      </c>
      <c r="B375">
        <v>1.6</v>
      </c>
      <c r="C375">
        <v>12.6</v>
      </c>
    </row>
    <row r="376">
      <c r="A376" t="s">
        <v>4143</v>
      </c>
      <c r="B376">
        <v>1.61</v>
      </c>
      <c r="C376">
        <v>10.9</v>
      </c>
    </row>
    <row r="377">
      <c r="A377" t="s">
        <v>4144</v>
      </c>
      <c r="B377">
        <v>1.59</v>
      </c>
      <c r="C377">
        <v>10.8</v>
      </c>
    </row>
    <row r="378">
      <c r="A378" t="s">
        <v>4145</v>
      </c>
      <c r="B378">
        <v>1.59</v>
      </c>
      <c r="C378">
        <v>10.4</v>
      </c>
    </row>
    <row r="379">
      <c r="A379" t="s">
        <v>4146</v>
      </c>
      <c r="B379">
        <v>1.58</v>
      </c>
      <c r="C379">
        <v>10.5</v>
      </c>
    </row>
    <row r="380">
      <c r="A380" t="s">
        <v>4147</v>
      </c>
      <c r="B380">
        <v>1.53</v>
      </c>
      <c r="C380">
        <v>10.3</v>
      </c>
    </row>
    <row r="381">
      <c r="A381" t="s">
        <v>4148</v>
      </c>
      <c r="B381">
        <v>1.41</v>
      </c>
      <c r="C381">
        <v>9.7</v>
      </c>
    </row>
    <row r="382">
      <c r="A382" t="s">
        <v>4149</v>
      </c>
      <c r="B382">
        <v>1.49</v>
      </c>
      <c r="C382">
        <v>10.8</v>
      </c>
    </row>
    <row r="383">
      <c r="A383" t="s">
        <v>4150</v>
      </c>
      <c r="B383">
        <v>1.76</v>
      </c>
      <c r="C383">
        <v>7.3</v>
      </c>
    </row>
    <row r="384">
      <c r="A384" t="s">
        <v>4151</v>
      </c>
      <c r="B384">
        <v>1.5</v>
      </c>
      <c r="C384">
        <v>10.2</v>
      </c>
    </row>
    <row r="385">
      <c r="A385" t="s">
        <v>4152</v>
      </c>
      <c r="B385">
        <v>1.53</v>
      </c>
      <c r="C385">
        <v>11.3</v>
      </c>
    </row>
    <row r="386">
      <c r="A386" t="s">
        <v>4153</v>
      </c>
      <c r="B386">
        <v>1.71</v>
      </c>
      <c r="C386">
        <v>14.0</v>
      </c>
    </row>
    <row r="387">
      <c r="A387" t="s">
        <v>4154</v>
      </c>
      <c r="B387">
        <v>1.53</v>
      </c>
      <c r="C387">
        <v>8.6</v>
      </c>
    </row>
    <row r="388">
      <c r="A388" t="s">
        <v>4155</v>
      </c>
      <c r="B388">
        <v>1.43</v>
      </c>
      <c r="C388">
        <v>8.5</v>
      </c>
    </row>
    <row r="389">
      <c r="A389" t="s">
        <v>4156</v>
      </c>
      <c r="B389">
        <v>1.33</v>
      </c>
      <c r="C389">
        <v>9.4</v>
      </c>
    </row>
    <row r="390">
      <c r="A390" t="s">
        <v>4157</v>
      </c>
      <c r="B390">
        <v>1.64</v>
      </c>
      <c r="C390">
        <v>12.1</v>
      </c>
    </row>
    <row r="391">
      <c r="A391" t="s">
        <v>4158</v>
      </c>
      <c r="B391">
        <v>1.39</v>
      </c>
      <c r="C391">
        <v>10.5</v>
      </c>
    </row>
    <row r="392">
      <c r="A392" t="s">
        <v>4159</v>
      </c>
      <c r="B392">
        <v>1.38</v>
      </c>
      <c r="C392">
        <v>11.3</v>
      </c>
    </row>
    <row r="393">
      <c r="A393" t="s">
        <v>4160</v>
      </c>
      <c r="B393">
        <v>1.45</v>
      </c>
      <c r="C393">
        <v>9.4</v>
      </c>
    </row>
    <row r="394">
      <c r="A394" t="s">
        <v>4161</v>
      </c>
      <c r="B394">
        <v>1.51</v>
      </c>
      <c r="C394">
        <v>9.4</v>
      </c>
    </row>
    <row r="395">
      <c r="A395" t="s">
        <v>4162</v>
      </c>
      <c r="B395">
        <v>1.33</v>
      </c>
      <c r="C395">
        <v>9.1</v>
      </c>
    </row>
    <row r="396">
      <c r="A396" t="s">
        <v>4163</v>
      </c>
      <c r="B396">
        <v>1.41</v>
      </c>
      <c r="C396">
        <v>8.4</v>
      </c>
    </row>
    <row r="397">
      <c r="A397" t="s">
        <v>4164</v>
      </c>
      <c r="B397">
        <v>1.59</v>
      </c>
      <c r="C397">
        <v>10.6</v>
      </c>
    </row>
    <row r="398">
      <c r="A398" t="s">
        <v>4165</v>
      </c>
      <c r="B398">
        <v>1.43</v>
      </c>
      <c r="C398">
        <v>8.6</v>
      </c>
    </row>
    <row r="399">
      <c r="A399" t="s">
        <v>4166</v>
      </c>
      <c r="B399">
        <v>1.34</v>
      </c>
      <c r="C399">
        <v>9.0</v>
      </c>
    </row>
    <row r="400">
      <c r="A400" t="s">
        <v>4167</v>
      </c>
      <c r="B400">
        <v>1.49</v>
      </c>
      <c r="C400">
        <v>9.6</v>
      </c>
    </row>
    <row r="401">
      <c r="A401" t="s">
        <v>4168</v>
      </c>
      <c r="B401">
        <v>1.46</v>
      </c>
      <c r="C401">
        <v>8.3</v>
      </c>
    </row>
    <row r="402">
      <c r="A402" t="s">
        <v>4169</v>
      </c>
      <c r="B402">
        <v>1.28</v>
      </c>
      <c r="C402">
        <v>8.5</v>
      </c>
    </row>
    <row r="403">
      <c r="A403" t="s">
        <v>4170</v>
      </c>
      <c r="B403">
        <v>1.33</v>
      </c>
      <c r="C403">
        <v>10.0</v>
      </c>
    </row>
    <row r="404">
      <c r="A404" t="s">
        <v>4171</v>
      </c>
      <c r="B404">
        <v>1.48</v>
      </c>
      <c r="C404">
        <v>9.8</v>
      </c>
    </row>
    <row r="405">
      <c r="A405" t="s">
        <v>4172</v>
      </c>
      <c r="B405">
        <v>1.27</v>
      </c>
      <c r="C405">
        <v>10.9</v>
      </c>
    </row>
    <row r="406">
      <c r="A406" t="s">
        <v>4173</v>
      </c>
      <c r="B406">
        <v>1.31</v>
      </c>
      <c r="C406">
        <v>9.1</v>
      </c>
    </row>
    <row r="407">
      <c r="A407" t="s">
        <v>4174</v>
      </c>
      <c r="B407">
        <v>1.23</v>
      </c>
      <c r="C407">
        <v>8.9</v>
      </c>
    </row>
    <row r="408">
      <c r="A408" t="s">
        <v>4175</v>
      </c>
      <c r="B408">
        <v>1.2</v>
      </c>
      <c r="C408">
        <v>10.5</v>
      </c>
    </row>
    <row r="409">
      <c r="A409" t="s">
        <v>4176</v>
      </c>
      <c r="B409">
        <v>1.11</v>
      </c>
      <c r="C409">
        <v>8.7</v>
      </c>
    </row>
    <row r="410">
      <c r="A410" t="s">
        <v>4177</v>
      </c>
      <c r="B410">
        <v>1.19</v>
      </c>
      <c r="C410">
        <v>11.3</v>
      </c>
    </row>
    <row r="411">
      <c r="A411" t="s">
        <v>4178</v>
      </c>
      <c r="B411">
        <v>1.23</v>
      </c>
      <c r="C411">
        <v>9.3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9.88"/>
    <col customWidth="1" min="3" max="3" width="30.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sheetData>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IFERROR(__xludf.DUMMYFUNCTION("IMPORTHTML(""https://fr.wikipedia.org/wiki/Liste_des_pays_par_PIB_nominal"",""table"")"),"Pays/Zone")</f>
        <v>Pays/Zone</v>
      </c>
      <c r="B1" t="str">
        <f>IFERROR(__xludf.DUMMYFUNCTION("""COMPUTED_VALUE"""),"PIB 2000")</f>
        <v>PIB 2000</v>
      </c>
      <c r="C1" t="str">
        <f>IFERROR(__xludf.DUMMYFUNCTION("""COMPUTED_VALUE"""),"PIB 2001")</f>
        <v>PIB 2001</v>
      </c>
      <c r="D1" t="str">
        <f>IFERROR(__xludf.DUMMYFUNCTION("""COMPUTED_VALUE"""),"PIB 2002")</f>
        <v>PIB 2002</v>
      </c>
      <c r="E1" t="str">
        <f>IFERROR(__xludf.DUMMYFUNCTION("""COMPUTED_VALUE"""),"PIB 2003")</f>
        <v>PIB 2003</v>
      </c>
      <c r="F1" t="str">
        <f>IFERROR(__xludf.DUMMYFUNCTION("""COMPUTED_VALUE"""),"PIB 2004")</f>
        <v>PIB 2004</v>
      </c>
      <c r="G1" t="str">
        <f>IFERROR(__xludf.DUMMYFUNCTION("""COMPUTED_VALUE"""),"PIB 2005")</f>
        <v>PIB 2005</v>
      </c>
      <c r="H1" t="str">
        <f>IFERROR(__xludf.DUMMYFUNCTION("""COMPUTED_VALUE"""),"PIB 2006")</f>
        <v>PIB 2006</v>
      </c>
      <c r="I1" t="str">
        <f>IFERROR(__xludf.DUMMYFUNCTION("""COMPUTED_VALUE"""),"PIB 2007")</f>
        <v>PIB 2007</v>
      </c>
      <c r="J1" t="str">
        <f>IFERROR(__xludf.DUMMYFUNCTION("""COMPUTED_VALUE"""),"PIB 2008")</f>
        <v>PIB 2008</v>
      </c>
      <c r="K1" t="str">
        <f>IFERROR(__xludf.DUMMYFUNCTION("""COMPUTED_VALUE"""),"PIB 2009")</f>
        <v>PIB 2009</v>
      </c>
    </row>
    <row r="2">
      <c r="A2" t="str">
        <f>IFERROR(__xludf.DUMMYFUNCTION("""COMPUTED_VALUE"""),"Afghanistan")</f>
        <v>Afghanistan</v>
      </c>
      <c r="B2" t="str">
        <f>IFERROR(__xludf.DUMMYFUNCTION("""COMPUTED_VALUE"""),"-")</f>
        <v>-</v>
      </c>
      <c r="C2" t="str">
        <f>IFERROR(__xludf.DUMMYFUNCTION("""COMPUTED_VALUE"""),"-")</f>
        <v>-</v>
      </c>
      <c r="D2">
        <f>IFERROR(__xludf.DUMMYFUNCTION("""COMPUTED_VALUE"""),4.367)</f>
        <v>4.367</v>
      </c>
      <c r="E2">
        <f>IFERROR(__xludf.DUMMYFUNCTION("""COMPUTED_VALUE"""),4.553)</f>
        <v>4.553</v>
      </c>
      <c r="F2">
        <f>IFERROR(__xludf.DUMMYFUNCTION("""COMPUTED_VALUE"""),5.146)</f>
        <v>5.146</v>
      </c>
      <c r="G2">
        <f>IFERROR(__xludf.DUMMYFUNCTION("""COMPUTED_VALUE"""),6.167)</f>
        <v>6.167</v>
      </c>
      <c r="H2">
        <f>IFERROR(__xludf.DUMMYFUNCTION("""COMPUTED_VALUE"""),6.925)</f>
        <v>6.925</v>
      </c>
      <c r="I2">
        <f>IFERROR(__xludf.DUMMYFUNCTION("""COMPUTED_VALUE"""),8.556)</f>
        <v>8.556</v>
      </c>
      <c r="J2">
        <f>IFERROR(__xludf.DUMMYFUNCTION("""COMPUTED_VALUE"""),10.297)</f>
        <v>10.297</v>
      </c>
      <c r="K2">
        <f>IFERROR(__xludf.DUMMYFUNCTION("""COMPUTED_VALUE"""),12.066)</f>
        <v>12.066</v>
      </c>
    </row>
    <row r="3">
      <c r="A3" t="str">
        <f>IFERROR(__xludf.DUMMYFUNCTION("""COMPUTED_VALUE"""),"Albanie")</f>
        <v>Albanie</v>
      </c>
      <c r="B3">
        <f>IFERROR(__xludf.DUMMYFUNCTION("""COMPUTED_VALUE"""),3.483)</f>
        <v>3.483</v>
      </c>
      <c r="C3">
        <f>IFERROR(__xludf.DUMMYFUNCTION("""COMPUTED_VALUE"""),3.928)</f>
        <v>3.928</v>
      </c>
      <c r="D3">
        <f>IFERROR(__xludf.DUMMYFUNCTION("""COMPUTED_VALUE"""),4.348)</f>
        <v>4.348</v>
      </c>
      <c r="E3">
        <f>IFERROR(__xludf.DUMMYFUNCTION("""COMPUTED_VALUE"""),5.611)</f>
        <v>5.611</v>
      </c>
      <c r="F3">
        <f>IFERROR(__xludf.DUMMYFUNCTION("""COMPUTED_VALUE"""),7.185)</f>
        <v>7.185</v>
      </c>
      <c r="G3">
        <f>IFERROR(__xludf.DUMMYFUNCTION("""COMPUTED_VALUE"""),8.052)</f>
        <v>8.052</v>
      </c>
      <c r="H3">
        <f>IFERROR(__xludf.DUMMYFUNCTION("""COMPUTED_VALUE"""),8.896)</f>
        <v>8.896</v>
      </c>
      <c r="I3">
        <f>IFERROR(__xludf.DUMMYFUNCTION("""COMPUTED_VALUE"""),10.677)</f>
        <v>10.677</v>
      </c>
      <c r="J3">
        <f>IFERROR(__xludf.DUMMYFUNCTION("""COMPUTED_VALUE"""),12.881)</f>
        <v>12.881</v>
      </c>
      <c r="K3">
        <f>IFERROR(__xludf.DUMMYFUNCTION("""COMPUTED_VALUE"""),12.044)</f>
        <v>12.044</v>
      </c>
    </row>
    <row r="4">
      <c r="A4" t="str">
        <f>IFERROR(__xludf.DUMMYFUNCTION("""COMPUTED_VALUE"""),"Algérie")</f>
        <v>Algérie</v>
      </c>
      <c r="B4">
        <f>IFERROR(__xludf.DUMMYFUNCTION("""COMPUTED_VALUE"""),54.749)</f>
        <v>54.749</v>
      </c>
      <c r="C4">
        <f>IFERROR(__xludf.DUMMYFUNCTION("""COMPUTED_VALUE"""),54.745)</f>
        <v>54.745</v>
      </c>
      <c r="D4">
        <f>IFERROR(__xludf.DUMMYFUNCTION("""COMPUTED_VALUE"""),56.761)</f>
        <v>56.761</v>
      </c>
      <c r="E4">
        <f>IFERROR(__xludf.DUMMYFUNCTION("""COMPUTED_VALUE"""),67.864)</f>
        <v>67.864</v>
      </c>
      <c r="F4">
        <f>IFERROR(__xludf.DUMMYFUNCTION("""COMPUTED_VALUE"""),85.332)</f>
        <v>85.332</v>
      </c>
      <c r="G4">
        <f>IFERROR(__xludf.DUMMYFUNCTION("""COMPUTED_VALUE"""),103.198)</f>
        <v>103.198</v>
      </c>
      <c r="H4">
        <f>IFERROR(__xludf.DUMMYFUNCTION("""COMPUTED_VALUE"""),117.027)</f>
        <v>117.027</v>
      </c>
      <c r="I4">
        <f>IFERROR(__xludf.DUMMYFUNCTION("""COMPUTED_VALUE"""),134.977)</f>
        <v>134.977</v>
      </c>
      <c r="J4">
        <f>IFERROR(__xludf.DUMMYFUNCTION("""COMPUTED_VALUE"""),171.001)</f>
        <v>171.001</v>
      </c>
      <c r="K4">
        <f>IFERROR(__xludf.DUMMYFUNCTION("""COMPUTED_VALUE"""),137.211)</f>
        <v>137.211</v>
      </c>
    </row>
    <row r="5">
      <c r="A5" t="str">
        <f>IFERROR(__xludf.DUMMYFUNCTION("""COMPUTED_VALUE"""),"Andorre")</f>
        <v>Andorre</v>
      </c>
      <c r="B5">
        <f>IFERROR(__xludf.DUMMYFUNCTION("""COMPUTED_VALUE"""),1.429)</f>
        <v>1.429</v>
      </c>
      <c r="C5">
        <f>IFERROR(__xludf.DUMMYFUNCTION("""COMPUTED_VALUE"""),1.547)</f>
        <v>1.547</v>
      </c>
      <c r="D5">
        <f>IFERROR(__xludf.DUMMYFUNCTION("""COMPUTED_VALUE"""),1.758)</f>
        <v>1.758</v>
      </c>
      <c r="E5">
        <f>IFERROR(__xludf.DUMMYFUNCTION("""COMPUTED_VALUE"""),2.362)</f>
        <v>2.362</v>
      </c>
      <c r="F5">
        <f>IFERROR(__xludf.DUMMYFUNCTION("""COMPUTED_VALUE"""),2.896)</f>
        <v>2.896</v>
      </c>
      <c r="G5">
        <f>IFERROR(__xludf.DUMMYFUNCTION("""COMPUTED_VALUE"""),3.158)</f>
        <v>3.158</v>
      </c>
      <c r="H5">
        <f>IFERROR(__xludf.DUMMYFUNCTION("""COMPUTED_VALUE"""),3.456)</f>
        <v>3.456</v>
      </c>
      <c r="I5">
        <f>IFERROR(__xludf.DUMMYFUNCTION("""COMPUTED_VALUE"""),3.952)</f>
        <v>3.952</v>
      </c>
      <c r="J5">
        <f>IFERROR(__xludf.DUMMYFUNCTION("""COMPUTED_VALUE"""),4.082)</f>
        <v>4.082</v>
      </c>
      <c r="K5">
        <f>IFERROR(__xludf.DUMMYFUNCTION("""COMPUTED_VALUE"""),3.675)</f>
        <v>3.675</v>
      </c>
    </row>
    <row r="6">
      <c r="A6" t="str">
        <f>IFERROR(__xludf.DUMMYFUNCTION("""COMPUTED_VALUE"""),"Angola")</f>
        <v>Angola</v>
      </c>
      <c r="B6">
        <f>IFERROR(__xludf.DUMMYFUNCTION("""COMPUTED_VALUE"""),11.166)</f>
        <v>11.166</v>
      </c>
      <c r="C6">
        <f>IFERROR(__xludf.DUMMYFUNCTION("""COMPUTED_VALUE"""),10.93)</f>
        <v>10.93</v>
      </c>
      <c r="D6">
        <f>IFERROR(__xludf.DUMMYFUNCTION("""COMPUTED_VALUE"""),15.286)</f>
        <v>15.286</v>
      </c>
      <c r="E6">
        <f>IFERROR(__xludf.DUMMYFUNCTION("""COMPUTED_VALUE"""),17.813)</f>
        <v>17.813</v>
      </c>
      <c r="F6">
        <f>IFERROR(__xludf.DUMMYFUNCTION("""COMPUTED_VALUE"""),23.552)</f>
        <v>23.552</v>
      </c>
      <c r="G6">
        <f>IFERROR(__xludf.DUMMYFUNCTION("""COMPUTED_VALUE"""),36.971)</f>
        <v>36.971</v>
      </c>
      <c r="H6">
        <f>IFERROR(__xludf.DUMMYFUNCTION("""COMPUTED_VALUE"""),52.381)</f>
        <v>52.381</v>
      </c>
      <c r="I6">
        <f>IFERROR(__xludf.DUMMYFUNCTION("""COMPUTED_VALUE"""),65.266)</f>
        <v>65.266</v>
      </c>
      <c r="J6">
        <f>IFERROR(__xludf.DUMMYFUNCTION("""COMPUTED_VALUE"""),88.539)</f>
        <v>88.539</v>
      </c>
      <c r="K6">
        <f>IFERROR(__xludf.DUMMYFUNCTION("""COMPUTED_VALUE"""),70.307)</f>
        <v>70.307</v>
      </c>
    </row>
    <row r="7">
      <c r="A7" t="str">
        <f>IFERROR(__xludf.DUMMYFUNCTION("""COMPUTED_VALUE"""),"Antigua-et-Barbuda")</f>
        <v>Antigua-et-Barbuda</v>
      </c>
      <c r="B7">
        <f>IFERROR(__xludf.DUMMYFUNCTION("""COMPUTED_VALUE"""),0.826)</f>
        <v>0.826</v>
      </c>
      <c r="C7">
        <f>IFERROR(__xludf.DUMMYFUNCTION("""COMPUTED_VALUE"""),0.8)</f>
        <v>0.8</v>
      </c>
      <c r="D7">
        <f>IFERROR(__xludf.DUMMYFUNCTION("""COMPUTED_VALUE"""),0.814)</f>
        <v>0.814</v>
      </c>
      <c r="E7">
        <f>IFERROR(__xludf.DUMMYFUNCTION("""COMPUTED_VALUE"""),0.856)</f>
        <v>0.856</v>
      </c>
      <c r="F7">
        <f>IFERROR(__xludf.DUMMYFUNCTION("""COMPUTED_VALUE"""),0.92)</f>
        <v>0.92</v>
      </c>
      <c r="G7">
        <f>IFERROR(__xludf.DUMMYFUNCTION("""COMPUTED_VALUE"""),1.023)</f>
        <v>1.023</v>
      </c>
      <c r="H7">
        <f>IFERROR(__xludf.DUMMYFUNCTION("""COMPUTED_VALUE"""),1.158)</f>
        <v>1.158</v>
      </c>
      <c r="I7">
        <f>IFERROR(__xludf.DUMMYFUNCTION("""COMPUTED_VALUE"""),1.313)</f>
        <v>1.313</v>
      </c>
      <c r="J7">
        <f>IFERROR(__xludf.DUMMYFUNCTION("""COMPUTED_VALUE"""),1.37)</f>
        <v>1.37</v>
      </c>
      <c r="K7">
        <f>IFERROR(__xludf.DUMMYFUNCTION("""COMPUTED_VALUE"""),1.228)</f>
        <v>1.228</v>
      </c>
    </row>
    <row r="8">
      <c r="A8" t="str">
        <f>IFERROR(__xludf.DUMMYFUNCTION("""COMPUTED_VALUE"""),"Argentine")</f>
        <v>Argentine</v>
      </c>
      <c r="B8">
        <f>IFERROR(__xludf.DUMMYFUNCTION("""COMPUTED_VALUE"""),317.759)</f>
        <v>317.759</v>
      </c>
      <c r="C8">
        <f>IFERROR(__xludf.DUMMYFUNCTION("""COMPUTED_VALUE"""),300.421)</f>
        <v>300.421</v>
      </c>
      <c r="D8">
        <f>IFERROR(__xludf.DUMMYFUNCTION("""COMPUTED_VALUE"""),112.458)</f>
        <v>112.458</v>
      </c>
      <c r="E8">
        <f>IFERROR(__xludf.DUMMYFUNCTION("""COMPUTED_VALUE"""),142.431)</f>
        <v>142.431</v>
      </c>
      <c r="F8">
        <f>IFERROR(__xludf.DUMMYFUNCTION("""COMPUTED_VALUE"""),164.911)</f>
        <v>164.911</v>
      </c>
      <c r="G8">
        <f>IFERROR(__xludf.DUMMYFUNCTION("""COMPUTED_VALUE"""),199.273)</f>
        <v>199.273</v>
      </c>
      <c r="H8">
        <f>IFERROR(__xludf.DUMMYFUNCTION("""COMPUTED_VALUE"""),232.892)</f>
        <v>232.892</v>
      </c>
      <c r="I8">
        <f>IFERROR(__xludf.DUMMYFUNCTION("""COMPUTED_VALUE"""),287.921)</f>
        <v>287.921</v>
      </c>
      <c r="J8">
        <f>IFERROR(__xludf.DUMMYFUNCTION("""COMPUTED_VALUE"""),363.545)</f>
        <v>363.545</v>
      </c>
      <c r="K8">
        <f>IFERROR(__xludf.DUMMYFUNCTION("""COMPUTED_VALUE"""),334.633)</f>
        <v>334.633</v>
      </c>
    </row>
    <row r="9">
      <c r="A9" t="str">
        <f>IFERROR(__xludf.DUMMYFUNCTION("""COMPUTED_VALUE"""),"Arménie")</f>
        <v>Arménie</v>
      </c>
      <c r="B9">
        <f>IFERROR(__xludf.DUMMYFUNCTION("""COMPUTED_VALUE"""),1.912)</f>
        <v>1.912</v>
      </c>
      <c r="C9">
        <f>IFERROR(__xludf.DUMMYFUNCTION("""COMPUTED_VALUE"""),2.118)</f>
        <v>2.118</v>
      </c>
      <c r="D9">
        <f>IFERROR(__xludf.DUMMYFUNCTION("""COMPUTED_VALUE"""),2.376)</f>
        <v>2.376</v>
      </c>
      <c r="E9">
        <f>IFERROR(__xludf.DUMMYFUNCTION("""COMPUTED_VALUE"""),2.807)</f>
        <v>2.807</v>
      </c>
      <c r="F9">
        <f>IFERROR(__xludf.DUMMYFUNCTION("""COMPUTED_VALUE"""),3.577)</f>
        <v>3.577</v>
      </c>
      <c r="G9">
        <f>IFERROR(__xludf.DUMMYFUNCTION("""COMPUTED_VALUE"""),4.9)</f>
        <v>4.9</v>
      </c>
      <c r="H9">
        <f>IFERROR(__xludf.DUMMYFUNCTION("""COMPUTED_VALUE"""),6.384)</f>
        <v>6.384</v>
      </c>
      <c r="I9">
        <f>IFERROR(__xludf.DUMMYFUNCTION("""COMPUTED_VALUE"""),9.206)</f>
        <v>9.206</v>
      </c>
      <c r="J9">
        <f>IFERROR(__xludf.DUMMYFUNCTION("""COMPUTED_VALUE"""),11.662)</f>
        <v>11.662</v>
      </c>
      <c r="K9">
        <f>IFERROR(__xludf.DUMMYFUNCTION("""COMPUTED_VALUE"""),8.648)</f>
        <v>8.648</v>
      </c>
    </row>
    <row r="10">
      <c r="A10" t="str">
        <f>IFERROR(__xludf.DUMMYFUNCTION("""COMPUTED_VALUE"""),"Aruba")</f>
        <v>Aruba</v>
      </c>
      <c r="B10">
        <f>IFERROR(__xludf.DUMMYFUNCTION("""COMPUTED_VALUE"""),1.873)</f>
        <v>1.873</v>
      </c>
      <c r="C10">
        <f>IFERROR(__xludf.DUMMYFUNCTION("""COMPUTED_VALUE"""),1.896)</f>
        <v>1.896</v>
      </c>
      <c r="D10">
        <f>IFERROR(__xludf.DUMMYFUNCTION("""COMPUTED_VALUE"""),1.962)</f>
        <v>1.962</v>
      </c>
      <c r="E10">
        <f>IFERROR(__xludf.DUMMYFUNCTION("""COMPUTED_VALUE"""),2.044)</f>
        <v>2.044</v>
      </c>
      <c r="F10">
        <f>IFERROR(__xludf.DUMMYFUNCTION("""COMPUTED_VALUE"""),2.255)</f>
        <v>2.255</v>
      </c>
      <c r="G10">
        <f>IFERROR(__xludf.DUMMYFUNCTION("""COMPUTED_VALUE"""),2.36)</f>
        <v>2.36</v>
      </c>
      <c r="H10">
        <f>IFERROR(__xludf.DUMMYFUNCTION("""COMPUTED_VALUE"""),2.47)</f>
        <v>2.47</v>
      </c>
      <c r="I10">
        <f>IFERROR(__xludf.DUMMYFUNCTION("""COMPUTED_VALUE"""),2.678)</f>
        <v>2.678</v>
      </c>
      <c r="J10">
        <f>IFERROR(__xludf.DUMMYFUNCTION("""COMPUTED_VALUE"""),2.843)</f>
        <v>2.843</v>
      </c>
      <c r="K10">
        <f>IFERROR(__xludf.DUMMYFUNCTION("""COMPUTED_VALUE"""),2.554)</f>
        <v>2.554</v>
      </c>
    </row>
    <row r="11">
      <c r="A11" t="str">
        <f>IFERROR(__xludf.DUMMYFUNCTION("""COMPUTED_VALUE"""),"Australie")</f>
        <v>Australie</v>
      </c>
      <c r="B11">
        <f>IFERROR(__xludf.DUMMYFUNCTION("""COMPUTED_VALUE"""),399.959)</f>
        <v>399.959</v>
      </c>
      <c r="C11">
        <f>IFERROR(__xludf.DUMMYFUNCTION("""COMPUTED_VALUE"""),377.778)</f>
        <v>377.778</v>
      </c>
      <c r="D11">
        <f>IFERROR(__xludf.DUMMYFUNCTION("""COMPUTED_VALUE"""),425.285)</f>
        <v>425.285</v>
      </c>
      <c r="E11">
        <f>IFERROR(__xludf.DUMMYFUNCTION("""COMPUTED_VALUE"""),541.06)</f>
        <v>541.06</v>
      </c>
      <c r="F11">
        <f>IFERROR(__xludf.DUMMYFUNCTION("""COMPUTED_VALUE"""),658.568)</f>
        <v>658.568</v>
      </c>
      <c r="G11">
        <f>IFERROR(__xludf.DUMMYFUNCTION("""COMPUTED_VALUE"""),735.936)</f>
        <v>735.936</v>
      </c>
      <c r="H11">
        <f>IFERROR(__xludf.DUMMYFUNCTION("""COMPUTED_VALUE"""),782.794)</f>
        <v>782.794</v>
      </c>
      <c r="I11">
        <f>IFERROR(__xludf.DUMMYFUNCTION("""COMPUTED_VALUE"""),949.528)</f>
        <v>949.528</v>
      </c>
      <c r="J11">
        <f>IFERROR(__xludf.DUMMYFUNCTION("""COMPUTED_VALUE"""),1056.477)</f>
        <v>1056.477</v>
      </c>
      <c r="K11">
        <f>IFERROR(__xludf.DUMMYFUNCTION("""COMPUTED_VALUE"""),1000.798)</f>
        <v>1000.798</v>
      </c>
    </row>
    <row r="12">
      <c r="A12" t="str">
        <f>IFERROR(__xludf.DUMMYFUNCTION("""COMPUTED_VALUE"""),"Autriche")</f>
        <v>Autriche</v>
      </c>
      <c r="B12">
        <f>IFERROR(__xludf.DUMMYFUNCTION("""COMPUTED_VALUE"""),197.377)</f>
        <v>197.377</v>
      </c>
      <c r="C12">
        <f>IFERROR(__xludf.DUMMYFUNCTION("""COMPUTED_VALUE"""),197.51)</f>
        <v>197.51</v>
      </c>
      <c r="D12">
        <f>IFERROR(__xludf.DUMMYFUNCTION("""COMPUTED_VALUE"""),214.243)</f>
        <v>214.243</v>
      </c>
      <c r="E12">
        <f>IFERROR(__xludf.DUMMYFUNCTION("""COMPUTED_VALUE"""),262.208)</f>
        <v>262.208</v>
      </c>
      <c r="F12">
        <f>IFERROR(__xludf.DUMMYFUNCTION("""COMPUTED_VALUE"""),301.321)</f>
        <v>301.321</v>
      </c>
      <c r="G12">
        <f>IFERROR(__xludf.DUMMYFUNCTION("""COMPUTED_VALUE"""),316.267)</f>
        <v>316.267</v>
      </c>
      <c r="H12">
        <f>IFERROR(__xludf.DUMMYFUNCTION("""COMPUTED_VALUE"""),336.298)</f>
        <v>336.298</v>
      </c>
      <c r="I12">
        <f>IFERROR(__xludf.DUMMYFUNCTION("""COMPUTED_VALUE"""),389.231)</f>
        <v>389.231</v>
      </c>
      <c r="J12">
        <f>IFERROR(__xludf.DUMMYFUNCTION("""COMPUTED_VALUE"""),432.005)</f>
        <v>432.005</v>
      </c>
      <c r="K12">
        <f>IFERROR(__xludf.DUMMYFUNCTION("""COMPUTED_VALUE"""),401.323)</f>
        <v>401.323</v>
      </c>
    </row>
    <row r="13">
      <c r="A13" t="str">
        <f>IFERROR(__xludf.DUMMYFUNCTION("""COMPUTED_VALUE"""),"Azerbaïdjan")</f>
        <v>Azerbaïdjan</v>
      </c>
      <c r="B13">
        <f>IFERROR(__xludf.DUMMYFUNCTION("""COMPUTED_VALUE"""),5.273)</f>
        <v>5.273</v>
      </c>
      <c r="C13">
        <f>IFERROR(__xludf.DUMMYFUNCTION("""COMPUTED_VALUE"""),5.475)</f>
        <v>5.475</v>
      </c>
      <c r="D13">
        <f>IFERROR(__xludf.DUMMYFUNCTION("""COMPUTED_VALUE"""),6.232)</f>
        <v>6.232</v>
      </c>
      <c r="E13">
        <f>IFERROR(__xludf.DUMMYFUNCTION("""COMPUTED_VALUE"""),7.276)</f>
        <v>7.276</v>
      </c>
      <c r="F13">
        <f>IFERROR(__xludf.DUMMYFUNCTION("""COMPUTED_VALUE"""),8.682)</f>
        <v>8.682</v>
      </c>
      <c r="G13">
        <f>IFERROR(__xludf.DUMMYFUNCTION("""COMPUTED_VALUE"""),13.273)</f>
        <v>13.273</v>
      </c>
      <c r="H13">
        <f>IFERROR(__xludf.DUMMYFUNCTION("""COMPUTED_VALUE"""),21.027)</f>
        <v>21.027</v>
      </c>
      <c r="I13">
        <f>IFERROR(__xludf.DUMMYFUNCTION("""COMPUTED_VALUE"""),33.09)</f>
        <v>33.09</v>
      </c>
      <c r="J13">
        <f>IFERROR(__xludf.DUMMYFUNCTION("""COMPUTED_VALUE"""),48.979)</f>
        <v>48.979</v>
      </c>
      <c r="K13">
        <f>IFERROR(__xludf.DUMMYFUNCTION("""COMPUTED_VALUE"""),44.289)</f>
        <v>44.289</v>
      </c>
    </row>
    <row r="14">
      <c r="A14" t="str">
        <f>IFERROR(__xludf.DUMMYFUNCTION("""COMPUTED_VALUE"""),"Bahamas")</f>
        <v>Bahamas</v>
      </c>
      <c r="B14">
        <f>IFERROR(__xludf.DUMMYFUNCTION("""COMPUTED_VALUE"""),8.076)</f>
        <v>8.076</v>
      </c>
      <c r="C14">
        <f>IFERROR(__xludf.DUMMYFUNCTION("""COMPUTED_VALUE"""),8.318)</f>
        <v>8.318</v>
      </c>
      <c r="D14">
        <f>IFERROR(__xludf.DUMMYFUNCTION("""COMPUTED_VALUE"""),8.881)</f>
        <v>8.881</v>
      </c>
      <c r="E14">
        <f>IFERROR(__xludf.DUMMYFUNCTION("""COMPUTED_VALUE"""),8.87)</f>
        <v>8.87</v>
      </c>
      <c r="F14">
        <f>IFERROR(__xludf.DUMMYFUNCTION("""COMPUTED_VALUE"""),9.055)</f>
        <v>9.055</v>
      </c>
      <c r="G14">
        <f>IFERROR(__xludf.DUMMYFUNCTION("""COMPUTED_VALUE"""),9.836)</f>
        <v>9.836</v>
      </c>
      <c r="H14">
        <f>IFERROR(__xludf.DUMMYFUNCTION("""COMPUTED_VALUE"""),10.167)</f>
        <v>10.167</v>
      </c>
      <c r="I14">
        <f>IFERROR(__xludf.DUMMYFUNCTION("""COMPUTED_VALUE"""),10.618)</f>
        <v>10.618</v>
      </c>
      <c r="J14">
        <f>IFERROR(__xludf.DUMMYFUNCTION("""COMPUTED_VALUE"""),10.526)</f>
        <v>10.526</v>
      </c>
      <c r="K14">
        <f>IFERROR(__xludf.DUMMYFUNCTION("""COMPUTED_VALUE"""),9.982)</f>
        <v>9.982</v>
      </c>
    </row>
    <row r="15">
      <c r="A15" t="str">
        <f>IFERROR(__xludf.DUMMYFUNCTION("""COMPUTED_VALUE"""),"Bahreïn")</f>
        <v>Bahreïn</v>
      </c>
      <c r="B15">
        <f>IFERROR(__xludf.DUMMYFUNCTION("""COMPUTED_VALUE"""),9.063)</f>
        <v>9.063</v>
      </c>
      <c r="C15">
        <f>IFERROR(__xludf.DUMMYFUNCTION("""COMPUTED_VALUE"""),9.189)</f>
        <v>9.189</v>
      </c>
      <c r="D15">
        <f>IFERROR(__xludf.DUMMYFUNCTION("""COMPUTED_VALUE"""),9.594)</f>
        <v>9.594</v>
      </c>
      <c r="E15">
        <f>IFERROR(__xludf.DUMMYFUNCTION("""COMPUTED_VALUE"""),11.075)</f>
        <v>11.075</v>
      </c>
      <c r="F15">
        <f>IFERROR(__xludf.DUMMYFUNCTION("""COMPUTED_VALUE"""),13.15)</f>
        <v>13.15</v>
      </c>
      <c r="G15">
        <f>IFERROR(__xludf.DUMMYFUNCTION("""COMPUTED_VALUE"""),15.969)</f>
        <v>15.969</v>
      </c>
      <c r="H15">
        <f>IFERROR(__xludf.DUMMYFUNCTION("""COMPUTED_VALUE"""),18.505)</f>
        <v>18.505</v>
      </c>
      <c r="I15">
        <f>IFERROR(__xludf.DUMMYFUNCTION("""COMPUTED_VALUE"""),21.73)</f>
        <v>21.73</v>
      </c>
      <c r="J15">
        <f>IFERROR(__xludf.DUMMYFUNCTION("""COMPUTED_VALUE"""),25.711)</f>
        <v>25.711</v>
      </c>
      <c r="K15">
        <f>IFERROR(__xludf.DUMMYFUNCTION("""COMPUTED_VALUE"""),22.938)</f>
        <v>22.938</v>
      </c>
    </row>
    <row r="16">
      <c r="A16" t="str">
        <f>IFERROR(__xludf.DUMMYFUNCTION("""COMPUTED_VALUE"""),"Bangladesh")</f>
        <v>Bangladesh</v>
      </c>
      <c r="B16">
        <f>IFERROR(__xludf.DUMMYFUNCTION("""COMPUTED_VALUE"""),63.549)</f>
        <v>63.549</v>
      </c>
      <c r="C16">
        <f>IFERROR(__xludf.DUMMYFUNCTION("""COMPUTED_VALUE"""),64.66)</f>
        <v>64.66</v>
      </c>
      <c r="D16">
        <f>IFERROR(__xludf.DUMMYFUNCTION("""COMPUTED_VALUE"""),66.227)</f>
        <v>66.227</v>
      </c>
      <c r="E16">
        <f>IFERROR(__xludf.DUMMYFUNCTION("""COMPUTED_VALUE"""),71.917)</f>
        <v>71.917</v>
      </c>
      <c r="F16">
        <f>IFERROR(__xludf.DUMMYFUNCTION("""COMPUTED_VALUE"""),78.046)</f>
        <v>78.046</v>
      </c>
      <c r="G16">
        <f>IFERROR(__xludf.DUMMYFUNCTION("""COMPUTED_VALUE"""),82.622)</f>
        <v>82.622</v>
      </c>
      <c r="H16">
        <f>IFERROR(__xludf.DUMMYFUNCTION("""COMPUTED_VALUE"""),86.028)</f>
        <v>86.028</v>
      </c>
      <c r="I16">
        <f>IFERROR(__xludf.DUMMYFUNCTION("""COMPUTED_VALUE"""),95.374)</f>
        <v>95.374</v>
      </c>
      <c r="J16">
        <f>IFERROR(__xludf.DUMMYFUNCTION("""COMPUTED_VALUE"""),109.765)</f>
        <v>109.765</v>
      </c>
      <c r="K16">
        <f>IFERROR(__xludf.DUMMYFUNCTION("""COMPUTED_VALUE"""),122.76)</f>
        <v>122.76</v>
      </c>
    </row>
    <row r="17">
      <c r="A17" t="str">
        <f>IFERROR(__xludf.DUMMYFUNCTION("""COMPUTED_VALUE"""),"Barbade")</f>
        <v>Barbade</v>
      </c>
      <c r="B17">
        <f>IFERROR(__xludf.DUMMYFUNCTION("""COMPUTED_VALUE"""),3.059)</f>
        <v>3.059</v>
      </c>
      <c r="C17">
        <f>IFERROR(__xludf.DUMMYFUNCTION("""COMPUTED_VALUE"""),3.055)</f>
        <v>3.055</v>
      </c>
      <c r="D17">
        <f>IFERROR(__xludf.DUMMYFUNCTION("""COMPUTED_VALUE"""),3.106)</f>
        <v>3.106</v>
      </c>
      <c r="E17">
        <f>IFERROR(__xludf.DUMMYFUNCTION("""COMPUTED_VALUE"""),3.21)</f>
        <v>3.21</v>
      </c>
      <c r="F17">
        <f>IFERROR(__xludf.DUMMYFUNCTION("""COMPUTED_VALUE"""),3.444)</f>
        <v>3.444</v>
      </c>
      <c r="G17">
        <f>IFERROR(__xludf.DUMMYFUNCTION("""COMPUTED_VALUE"""),3.82)</f>
        <v>3.82</v>
      </c>
      <c r="H17">
        <f>IFERROR(__xludf.DUMMYFUNCTION("""COMPUTED_VALUE"""),4.217)</f>
        <v>4.217</v>
      </c>
      <c r="I17">
        <f>IFERROR(__xludf.DUMMYFUNCTION("""COMPUTED_VALUE"""),4.674)</f>
        <v>4.674</v>
      </c>
      <c r="J17">
        <f>IFERROR(__xludf.DUMMYFUNCTION("""COMPUTED_VALUE"""),4.785)</f>
        <v>4.785</v>
      </c>
      <c r="K17">
        <f>IFERROR(__xludf.DUMMYFUNCTION("""COMPUTED_VALUE"""),4.466)</f>
        <v>4.466</v>
      </c>
    </row>
    <row r="18">
      <c r="A18" t="str">
        <f>IFERROR(__xludf.DUMMYFUNCTION("""COMPUTED_VALUE"""),"Biélorussie")</f>
        <v>Biélorussie</v>
      </c>
      <c r="B18">
        <f>IFERROR(__xludf.DUMMYFUNCTION("""COMPUTED_VALUE"""),10.785)</f>
        <v>10.785</v>
      </c>
      <c r="C18">
        <f>IFERROR(__xludf.DUMMYFUNCTION("""COMPUTED_VALUE"""),12.778)</f>
        <v>12.778</v>
      </c>
      <c r="D18">
        <f>IFERROR(__xludf.DUMMYFUNCTION("""COMPUTED_VALUE"""),15.092)</f>
        <v>15.092</v>
      </c>
      <c r="E18">
        <f>IFERROR(__xludf.DUMMYFUNCTION("""COMPUTED_VALUE"""),18.42)</f>
        <v>18.42</v>
      </c>
      <c r="F18">
        <f>IFERROR(__xludf.DUMMYFUNCTION("""COMPUTED_VALUE"""),23.928)</f>
        <v>23.928</v>
      </c>
      <c r="G18">
        <f>IFERROR(__xludf.DUMMYFUNCTION("""COMPUTED_VALUE"""),31.239)</f>
        <v>31.239</v>
      </c>
      <c r="H18">
        <f>IFERROR(__xludf.DUMMYFUNCTION("""COMPUTED_VALUE"""),38.219)</f>
        <v>38.219</v>
      </c>
      <c r="I18">
        <f>IFERROR(__xludf.DUMMYFUNCTION("""COMPUTED_VALUE"""),46.815)</f>
        <v>46.815</v>
      </c>
      <c r="J18">
        <f>IFERROR(__xludf.DUMMYFUNCTION("""COMPUTED_VALUE"""),62.798)</f>
        <v>62.798</v>
      </c>
      <c r="K18">
        <f>IFERROR(__xludf.DUMMYFUNCTION("""COMPUTED_VALUE"""),50.855)</f>
        <v>50.855</v>
      </c>
    </row>
    <row r="19">
      <c r="A19" t="str">
        <f>IFERROR(__xludf.DUMMYFUNCTION("""COMPUTED_VALUE"""),"Belgique")</f>
        <v>Belgique</v>
      </c>
      <c r="B19">
        <f>IFERROR(__xludf.DUMMYFUNCTION("""COMPUTED_VALUE"""),236.897)</f>
        <v>236.897</v>
      </c>
      <c r="C19">
        <f>IFERROR(__xludf.DUMMYFUNCTION("""COMPUTED_VALUE"""),236.748)</f>
        <v>236.748</v>
      </c>
      <c r="D19">
        <f>IFERROR(__xludf.DUMMYFUNCTION("""COMPUTED_VALUE"""),258.2)</f>
        <v>258.2</v>
      </c>
      <c r="E19">
        <f>IFERROR(__xludf.DUMMYFUNCTION("""COMPUTED_VALUE"""),318.004)</f>
        <v>318.004</v>
      </c>
      <c r="F19">
        <f>IFERROR(__xludf.DUMMYFUNCTION("""COMPUTED_VALUE"""),369.047)</f>
        <v>369.047</v>
      </c>
      <c r="G19">
        <f>IFERROR(__xludf.DUMMYFUNCTION("""COMPUTED_VALUE"""),385.927)</f>
        <v>385.927</v>
      </c>
      <c r="H19">
        <f>IFERROR(__xludf.DUMMYFUNCTION("""COMPUTED_VALUE"""),408.281)</f>
        <v>408.281</v>
      </c>
      <c r="I19">
        <f>IFERROR(__xludf.DUMMYFUNCTION("""COMPUTED_VALUE"""),470.978)</f>
        <v>470.978</v>
      </c>
      <c r="J19">
        <f>IFERROR(__xludf.DUMMYFUNCTION("""COMPUTED_VALUE"""),517.27)</f>
        <v>517.27</v>
      </c>
      <c r="K19">
        <f>IFERROR(__xludf.DUMMYFUNCTION("""COMPUTED_VALUE"""),482.73)</f>
        <v>482.73</v>
      </c>
    </row>
    <row r="20">
      <c r="A20" t="str">
        <f>IFERROR(__xludf.DUMMYFUNCTION("""COMPUTED_VALUE"""),"Belize")</f>
        <v>Belize</v>
      </c>
      <c r="B20">
        <f>IFERROR(__xludf.DUMMYFUNCTION("""COMPUTED_VALUE"""),1.116)</f>
        <v>1.116</v>
      </c>
      <c r="C20">
        <f>IFERROR(__xludf.DUMMYFUNCTION("""COMPUTED_VALUE"""),1.163)</f>
        <v>1.163</v>
      </c>
      <c r="D20">
        <f>IFERROR(__xludf.DUMMYFUNCTION("""COMPUTED_VALUE"""),1.233)</f>
        <v>1.233</v>
      </c>
      <c r="E20">
        <f>IFERROR(__xludf.DUMMYFUNCTION("""COMPUTED_VALUE"""),1.298)</f>
        <v>1.298</v>
      </c>
      <c r="F20">
        <f>IFERROR(__xludf.DUMMYFUNCTION("""COMPUTED_VALUE"""),1.39)</f>
        <v>1.39</v>
      </c>
      <c r="G20">
        <f>IFERROR(__xludf.DUMMYFUNCTION("""COMPUTED_VALUE"""),1.462)</f>
        <v>1.462</v>
      </c>
      <c r="H20">
        <f>IFERROR(__xludf.DUMMYFUNCTION("""COMPUTED_VALUE"""),1.581)</f>
        <v>1.581</v>
      </c>
      <c r="I20">
        <f>IFERROR(__xludf.DUMMYFUNCTION("""COMPUTED_VALUE"""),1.696)</f>
        <v>1.696</v>
      </c>
      <c r="J20">
        <f>IFERROR(__xludf.DUMMYFUNCTION("""COMPUTED_VALUE"""),1.729)</f>
        <v>1.729</v>
      </c>
      <c r="K20">
        <f>IFERROR(__xludf.DUMMYFUNCTION("""COMPUTED_VALUE"""),1.681)</f>
        <v>1.681</v>
      </c>
    </row>
    <row r="21">
      <c r="A21" t="str">
        <f>IFERROR(__xludf.DUMMYFUNCTION("""COMPUTED_VALUE"""),"Bénin")</f>
        <v>Bénin</v>
      </c>
      <c r="B21">
        <f>IFERROR(__xludf.DUMMYFUNCTION("""COMPUTED_VALUE"""),3.522)</f>
        <v>3.522</v>
      </c>
      <c r="C21">
        <f>IFERROR(__xludf.DUMMYFUNCTION("""COMPUTED_VALUE"""),3.666)</f>
        <v>3.666</v>
      </c>
      <c r="D21">
        <f>IFERROR(__xludf.DUMMYFUNCTION("""COMPUTED_VALUE"""),4.191)</f>
        <v>4.191</v>
      </c>
      <c r="E21">
        <f>IFERROR(__xludf.DUMMYFUNCTION("""COMPUTED_VALUE"""),5.348)</f>
        <v>5.348</v>
      </c>
      <c r="F21">
        <f>IFERROR(__xludf.DUMMYFUNCTION("""COMPUTED_VALUE"""),6.187)</f>
        <v>6.187</v>
      </c>
      <c r="G21">
        <f>IFERROR(__xludf.DUMMYFUNCTION("""COMPUTED_VALUE"""),6.571)</f>
        <v>6.571</v>
      </c>
      <c r="H21">
        <f>IFERROR(__xludf.DUMMYFUNCTION("""COMPUTED_VALUE"""),7.034)</f>
        <v>7.034</v>
      </c>
      <c r="I21">
        <f>IFERROR(__xludf.DUMMYFUNCTION("""COMPUTED_VALUE"""),8.17)</f>
        <v>8.17</v>
      </c>
      <c r="J21">
        <f>IFERROR(__xludf.DUMMYFUNCTION("""COMPUTED_VALUE"""),9.787)</f>
        <v>9.787</v>
      </c>
      <c r="K21">
        <f>IFERROR(__xludf.DUMMYFUNCTION("""COMPUTED_VALUE"""),9.728)</f>
        <v>9.728</v>
      </c>
    </row>
    <row r="22">
      <c r="A22" t="str">
        <f>IFERROR(__xludf.DUMMYFUNCTION("""COMPUTED_VALUE"""),"Bhoutan")</f>
        <v>Bhoutan</v>
      </c>
      <c r="B22">
        <f>IFERROR(__xludf.DUMMYFUNCTION("""COMPUTED_VALUE"""),0.454)</f>
        <v>0.454</v>
      </c>
      <c r="C22">
        <f>IFERROR(__xludf.DUMMYFUNCTION("""COMPUTED_VALUE"""),0.474)</f>
        <v>0.474</v>
      </c>
      <c r="D22">
        <f>IFERROR(__xludf.DUMMYFUNCTION("""COMPUTED_VALUE"""),0.517)</f>
        <v>0.517</v>
      </c>
      <c r="E22">
        <f>IFERROR(__xludf.DUMMYFUNCTION("""COMPUTED_VALUE"""),0.616)</f>
        <v>0.616</v>
      </c>
      <c r="F22">
        <f>IFERROR(__xludf.DUMMYFUNCTION("""COMPUTED_VALUE"""),0.7)</f>
        <v>0.7</v>
      </c>
      <c r="G22">
        <f>IFERROR(__xludf.DUMMYFUNCTION("""COMPUTED_VALUE"""),0.818)</f>
        <v>0.818</v>
      </c>
      <c r="H22">
        <f>IFERROR(__xludf.DUMMYFUNCTION("""COMPUTED_VALUE"""),0.876)</f>
        <v>0.876</v>
      </c>
      <c r="I22">
        <f>IFERROR(__xludf.DUMMYFUNCTION("""COMPUTED_VALUE"""),1.071)</f>
        <v>1.071</v>
      </c>
      <c r="J22">
        <f>IFERROR(__xludf.DUMMYFUNCTION("""COMPUTED_VALUE"""),1.353)</f>
        <v>1.353</v>
      </c>
      <c r="K22">
        <f>IFERROR(__xludf.DUMMYFUNCTION("""COMPUTED_VALUE"""),1.274)</f>
        <v>1.274</v>
      </c>
    </row>
    <row r="23">
      <c r="A23" t="str">
        <f>IFERROR(__xludf.DUMMYFUNCTION("""COMPUTED_VALUE"""),"Bolivie")</f>
        <v>Bolivie</v>
      </c>
      <c r="B23">
        <f>IFERROR(__xludf.DUMMYFUNCTION("""COMPUTED_VALUE"""),8.385)</f>
        <v>8.385</v>
      </c>
      <c r="C23">
        <f>IFERROR(__xludf.DUMMYFUNCTION("""COMPUTED_VALUE"""),8.155)</f>
        <v>8.155</v>
      </c>
      <c r="D23">
        <f>IFERROR(__xludf.DUMMYFUNCTION("""COMPUTED_VALUE"""),7.917)</f>
        <v>7.917</v>
      </c>
      <c r="E23">
        <f>IFERROR(__xludf.DUMMYFUNCTION("""COMPUTED_VALUE"""),8.092)</f>
        <v>8.092</v>
      </c>
      <c r="F23">
        <f>IFERROR(__xludf.DUMMYFUNCTION("""COMPUTED_VALUE"""),8.785)</f>
        <v>8.785</v>
      </c>
      <c r="G23">
        <f>IFERROR(__xludf.DUMMYFUNCTION("""COMPUTED_VALUE"""),9.573)</f>
        <v>9.573</v>
      </c>
      <c r="H23">
        <f>IFERROR(__xludf.DUMMYFUNCTION("""COMPUTED_VALUE"""),11.52)</f>
        <v>11.52</v>
      </c>
      <c r="I23">
        <f>IFERROR(__xludf.DUMMYFUNCTION("""COMPUTED_VALUE"""),13.216)</f>
        <v>13.216</v>
      </c>
      <c r="J23">
        <f>IFERROR(__xludf.DUMMYFUNCTION("""COMPUTED_VALUE"""),16.792)</f>
        <v>16.792</v>
      </c>
      <c r="K23">
        <f>IFERROR(__xludf.DUMMYFUNCTION("""COMPUTED_VALUE"""),17.464)</f>
        <v>17.464</v>
      </c>
    </row>
    <row r="24">
      <c r="A24" t="str">
        <f>IFERROR(__xludf.DUMMYFUNCTION("""COMPUTED_VALUE"""),"Bosnie-Herzégovine")</f>
        <v>Bosnie-Herzégovine</v>
      </c>
      <c r="B24">
        <f>IFERROR(__xludf.DUMMYFUNCTION("""COMPUTED_VALUE"""),5.554)</f>
        <v>5.554</v>
      </c>
      <c r="C24">
        <f>IFERROR(__xludf.DUMMYFUNCTION("""COMPUTED_VALUE"""),5.784)</f>
        <v>5.784</v>
      </c>
      <c r="D24">
        <f>IFERROR(__xludf.DUMMYFUNCTION("""COMPUTED_VALUE"""),6.711)</f>
        <v>6.711</v>
      </c>
      <c r="E24">
        <f>IFERROR(__xludf.DUMMYFUNCTION("""COMPUTED_VALUE"""),8.477)</f>
        <v>8.477</v>
      </c>
      <c r="F24">
        <f>IFERROR(__xludf.DUMMYFUNCTION("""COMPUTED_VALUE"""),10.157)</f>
        <v>10.157</v>
      </c>
      <c r="G24">
        <f>IFERROR(__xludf.DUMMYFUNCTION("""COMPUTED_VALUE"""),10.935)</f>
        <v>10.935</v>
      </c>
      <c r="H24">
        <f>IFERROR(__xludf.DUMMYFUNCTION("""COMPUTED_VALUE"""),12.46)</f>
        <v>12.46</v>
      </c>
      <c r="I24">
        <f>IFERROR(__xludf.DUMMYFUNCTION("""COMPUTED_VALUE"""),15.323)</f>
        <v>15.323</v>
      </c>
      <c r="J24">
        <f>IFERROR(__xludf.DUMMYFUNCTION("""COMPUTED_VALUE"""),18.712)</f>
        <v>18.712</v>
      </c>
      <c r="K24">
        <f>IFERROR(__xludf.DUMMYFUNCTION("""COMPUTED_VALUE"""),17.601)</f>
        <v>17.601</v>
      </c>
    </row>
    <row r="25">
      <c r="A25" t="str">
        <f>IFERROR(__xludf.DUMMYFUNCTION("""COMPUTED_VALUE"""),"Botswana")</f>
        <v>Botswana</v>
      </c>
      <c r="B25">
        <f>IFERROR(__xludf.DUMMYFUNCTION("""COMPUTED_VALUE"""),5.682)</f>
        <v>5.682</v>
      </c>
      <c r="C25">
        <f>IFERROR(__xludf.DUMMYFUNCTION("""COMPUTED_VALUE"""),5.46)</f>
        <v>5.46</v>
      </c>
      <c r="D25">
        <f>IFERROR(__xludf.DUMMYFUNCTION("""COMPUTED_VALUE"""),5.395)</f>
        <v>5.395</v>
      </c>
      <c r="E25">
        <f>IFERROR(__xludf.DUMMYFUNCTION("""COMPUTED_VALUE"""),7.469)</f>
        <v>7.469</v>
      </c>
      <c r="F25">
        <f>IFERROR(__xludf.DUMMYFUNCTION("""COMPUTED_VALUE"""),8.819)</f>
        <v>8.819</v>
      </c>
      <c r="G25">
        <f>IFERROR(__xludf.DUMMYFUNCTION("""COMPUTED_VALUE"""),9.833)</f>
        <v>9.833</v>
      </c>
      <c r="H25">
        <f>IFERROR(__xludf.DUMMYFUNCTION("""COMPUTED_VALUE"""),9.919)</f>
        <v>9.919</v>
      </c>
      <c r="I25">
        <f>IFERROR(__xludf.DUMMYFUNCTION("""COMPUTED_VALUE"""),10.566)</f>
        <v>10.566</v>
      </c>
      <c r="J25">
        <f>IFERROR(__xludf.DUMMYFUNCTION("""COMPUTED_VALUE"""),10.731)</f>
        <v>10.731</v>
      </c>
      <c r="K25">
        <f>IFERROR(__xludf.DUMMYFUNCTION("""COMPUTED_VALUE"""),10.118)</f>
        <v>10.118</v>
      </c>
    </row>
    <row r="26">
      <c r="A26" t="str">
        <f>IFERROR(__xludf.DUMMYFUNCTION("""COMPUTED_VALUE"""),"Brésil")</f>
        <v>Brésil</v>
      </c>
      <c r="B26">
        <f>IFERROR(__xludf.DUMMYFUNCTION("""COMPUTED_VALUE"""),655.454)</f>
        <v>655.454</v>
      </c>
      <c r="C26">
        <f>IFERROR(__xludf.DUMMYFUNCTION("""COMPUTED_VALUE"""),559.982)</f>
        <v>559.982</v>
      </c>
      <c r="D26">
        <f>IFERROR(__xludf.DUMMYFUNCTION("""COMPUTED_VALUE"""),509.798)</f>
        <v>509.798</v>
      </c>
      <c r="E26">
        <f>IFERROR(__xludf.DUMMYFUNCTION("""COMPUTED_VALUE"""),558.232)</f>
        <v>558.232</v>
      </c>
      <c r="F26">
        <f>IFERROR(__xludf.DUMMYFUNCTION("""COMPUTED_VALUE"""),669.29)</f>
        <v>669.29</v>
      </c>
      <c r="G26">
        <f>IFERROR(__xludf.DUMMYFUNCTION("""COMPUTED_VALUE"""),891.633)</f>
        <v>891.633</v>
      </c>
      <c r="H26">
        <f>IFERROR(__xludf.DUMMYFUNCTION("""COMPUTED_VALUE"""),1107.628)</f>
        <v>1107.628</v>
      </c>
      <c r="I26">
        <f>IFERROR(__xludf.DUMMYFUNCTION("""COMPUTED_VALUE"""),1397.114)</f>
        <v>1397.114</v>
      </c>
      <c r="J26">
        <f>IFERROR(__xludf.DUMMYFUNCTION("""COMPUTED_VALUE"""),1695.855)</f>
        <v>1695.855</v>
      </c>
      <c r="K26">
        <f>IFERROR(__xludf.DUMMYFUNCTION("""COMPUTED_VALUE"""),1669.204)</f>
        <v>1669.204</v>
      </c>
    </row>
    <row r="27">
      <c r="A27" t="str">
        <f>IFERROR(__xludf.DUMMYFUNCTION("""COMPUTED_VALUE"""),"Brunei")</f>
        <v>Brunei</v>
      </c>
      <c r="B27">
        <f>IFERROR(__xludf.DUMMYFUNCTION("""COMPUTED_VALUE"""),6.65)</f>
        <v>6.65</v>
      </c>
      <c r="C27">
        <f>IFERROR(__xludf.DUMMYFUNCTION("""COMPUTED_VALUE"""),6.206)</f>
        <v>6.206</v>
      </c>
      <c r="D27">
        <f>IFERROR(__xludf.DUMMYFUNCTION("""COMPUTED_VALUE"""),6.475)</f>
        <v>6.475</v>
      </c>
      <c r="E27">
        <f>IFERROR(__xludf.DUMMYFUNCTION("""COMPUTED_VALUE"""),7.266)</f>
        <v>7.266</v>
      </c>
      <c r="F27">
        <f>IFERROR(__xludf.DUMMYFUNCTION("""COMPUTED_VALUE"""),8.723)</f>
        <v>8.723</v>
      </c>
      <c r="G27">
        <f>IFERROR(__xludf.DUMMYFUNCTION("""COMPUTED_VALUE"""),10.561)</f>
        <v>10.561</v>
      </c>
      <c r="H27">
        <f>IFERROR(__xludf.DUMMYFUNCTION("""COMPUTED_VALUE"""),12.71)</f>
        <v>12.71</v>
      </c>
      <c r="I27">
        <f>IFERROR(__xludf.DUMMYFUNCTION("""COMPUTED_VALUE"""),13.571)</f>
        <v>13.571</v>
      </c>
      <c r="J27">
        <f>IFERROR(__xludf.DUMMYFUNCTION("""COMPUTED_VALUE"""),15.949)</f>
        <v>15.949</v>
      </c>
      <c r="K27">
        <f>IFERROR(__xludf.DUMMYFUNCTION("""COMPUTED_VALUE"""),11.892)</f>
        <v>11.892</v>
      </c>
    </row>
    <row r="28">
      <c r="A28" t="str">
        <f>IFERROR(__xludf.DUMMYFUNCTION("""COMPUTED_VALUE"""),"Bulgarie")</f>
        <v>Bulgarie</v>
      </c>
      <c r="B28">
        <f>IFERROR(__xludf.DUMMYFUNCTION("""COMPUTED_VALUE"""),13.246)</f>
        <v>13.246</v>
      </c>
      <c r="C28">
        <f>IFERROR(__xludf.DUMMYFUNCTION("""COMPUTED_VALUE"""),14.183)</f>
        <v>14.183</v>
      </c>
      <c r="D28">
        <f>IFERROR(__xludf.DUMMYFUNCTION("""COMPUTED_VALUE"""),16.403)</f>
        <v>16.403</v>
      </c>
      <c r="E28">
        <f>IFERROR(__xludf.DUMMYFUNCTION("""COMPUTED_VALUE"""),21.146)</f>
        <v>21.146</v>
      </c>
      <c r="F28">
        <f>IFERROR(__xludf.DUMMYFUNCTION("""COMPUTED_VALUE"""),26.158)</f>
        <v>26.158</v>
      </c>
      <c r="G28">
        <f>IFERROR(__xludf.DUMMYFUNCTION("""COMPUTED_VALUE"""),29.868)</f>
        <v>29.868</v>
      </c>
      <c r="H28">
        <f>IFERROR(__xludf.DUMMYFUNCTION("""COMPUTED_VALUE"""),34.38)</f>
        <v>34.38</v>
      </c>
      <c r="I28">
        <f>IFERROR(__xludf.DUMMYFUNCTION("""COMPUTED_VALUE"""),44.432)</f>
        <v>44.432</v>
      </c>
      <c r="J28">
        <f>IFERROR(__xludf.DUMMYFUNCTION("""COMPUTED_VALUE"""),54.476)</f>
        <v>54.476</v>
      </c>
      <c r="K28">
        <f>IFERROR(__xludf.DUMMYFUNCTION("""COMPUTED_VALUE"""),52.024)</f>
        <v>52.024</v>
      </c>
    </row>
    <row r="29">
      <c r="A29" t="str">
        <f>IFERROR(__xludf.DUMMYFUNCTION("""COMPUTED_VALUE"""),"Burkina Faso")</f>
        <v>Burkina Faso</v>
      </c>
      <c r="B29">
        <f>IFERROR(__xludf.DUMMYFUNCTION("""COMPUTED_VALUE"""),2.961)</f>
        <v>2.961</v>
      </c>
      <c r="C29">
        <f>IFERROR(__xludf.DUMMYFUNCTION("""COMPUTED_VALUE"""),3.19)</f>
        <v>3.19</v>
      </c>
      <c r="D29">
        <f>IFERROR(__xludf.DUMMYFUNCTION("""COMPUTED_VALUE"""),3.62)</f>
        <v>3.62</v>
      </c>
      <c r="E29">
        <f>IFERROR(__xludf.DUMMYFUNCTION("""COMPUTED_VALUE"""),4.74)</f>
        <v>4.74</v>
      </c>
      <c r="F29">
        <f>IFERROR(__xludf.DUMMYFUNCTION("""COMPUTED_VALUE"""),5.449)</f>
        <v>5.449</v>
      </c>
      <c r="G29">
        <f>IFERROR(__xludf.DUMMYFUNCTION("""COMPUTED_VALUE"""),6.15)</f>
        <v>6.15</v>
      </c>
      <c r="H29">
        <f>IFERROR(__xludf.DUMMYFUNCTION("""COMPUTED_VALUE"""),6.548)</f>
        <v>6.548</v>
      </c>
      <c r="I29">
        <f>IFERROR(__xludf.DUMMYFUNCTION("""COMPUTED_VALUE"""),7.627)</f>
        <v>7.627</v>
      </c>
      <c r="J29">
        <f>IFERROR(__xludf.DUMMYFUNCTION("""COMPUTED_VALUE"""),9.45)</f>
        <v>9.45</v>
      </c>
      <c r="K29">
        <f>IFERROR(__xludf.DUMMYFUNCTION("""COMPUTED_VALUE"""),9.44)</f>
        <v>9.44</v>
      </c>
    </row>
    <row r="30">
      <c r="A30" t="str">
        <f>IFERROR(__xludf.DUMMYFUNCTION("""COMPUTED_VALUE"""),"Burundi")</f>
        <v>Burundi</v>
      </c>
      <c r="B30">
        <f>IFERROR(__xludf.DUMMYFUNCTION("""COMPUTED_VALUE"""),0.87)</f>
        <v>0.87</v>
      </c>
      <c r="C30">
        <f>IFERROR(__xludf.DUMMYFUNCTION("""COMPUTED_VALUE"""),0.877)</f>
        <v>0.877</v>
      </c>
      <c r="D30">
        <f>IFERROR(__xludf.DUMMYFUNCTION("""COMPUTED_VALUE"""),0.825)</f>
        <v>0.825</v>
      </c>
      <c r="E30">
        <f>IFERROR(__xludf.DUMMYFUNCTION("""COMPUTED_VALUE"""),0.785)</f>
        <v>0.785</v>
      </c>
      <c r="F30">
        <f>IFERROR(__xludf.DUMMYFUNCTION("""COMPUTED_VALUE"""),0.915)</f>
        <v>0.915</v>
      </c>
      <c r="G30">
        <f>IFERROR(__xludf.DUMMYFUNCTION("""COMPUTED_VALUE"""),1.117)</f>
        <v>1.117</v>
      </c>
      <c r="H30">
        <f>IFERROR(__xludf.DUMMYFUNCTION("""COMPUTED_VALUE"""),1.273)</f>
        <v>1.273</v>
      </c>
      <c r="I30">
        <f>IFERROR(__xludf.DUMMYFUNCTION("""COMPUTED_VALUE"""),1.356)</f>
        <v>1.356</v>
      </c>
      <c r="J30">
        <f>IFERROR(__xludf.DUMMYFUNCTION("""COMPUTED_VALUE"""),1.612)</f>
        <v>1.612</v>
      </c>
      <c r="K30">
        <f>IFERROR(__xludf.DUMMYFUNCTION("""COMPUTED_VALUE"""),1.775)</f>
        <v>1.775</v>
      </c>
    </row>
    <row r="31">
      <c r="A31" t="str">
        <f>IFERROR(__xludf.DUMMYFUNCTION("""COMPUTED_VALUE"""),"Cap-Vert")</f>
        <v>Cap-Vert</v>
      </c>
      <c r="B31">
        <f>IFERROR(__xludf.DUMMYFUNCTION("""COMPUTED_VALUE"""),0.609)</f>
        <v>0.609</v>
      </c>
      <c r="C31">
        <f>IFERROR(__xludf.DUMMYFUNCTION("""COMPUTED_VALUE"""),0.616)</f>
        <v>0.616</v>
      </c>
      <c r="D31">
        <f>IFERROR(__xludf.DUMMYFUNCTION("""COMPUTED_VALUE"""),0.679)</f>
        <v>0.679</v>
      </c>
      <c r="E31">
        <f>IFERROR(__xludf.DUMMYFUNCTION("""COMPUTED_VALUE"""),0.944)</f>
        <v>0.944</v>
      </c>
      <c r="F31">
        <f>IFERROR(__xludf.DUMMYFUNCTION("""COMPUTED_VALUE"""),1.074)</f>
        <v>1.074</v>
      </c>
      <c r="G31">
        <f>IFERROR(__xludf.DUMMYFUNCTION("""COMPUTED_VALUE"""),1.12)</f>
        <v>1.12</v>
      </c>
      <c r="H31">
        <f>IFERROR(__xludf.DUMMYFUNCTION("""COMPUTED_VALUE"""),1.261)</f>
        <v>1.261</v>
      </c>
      <c r="I31">
        <f>IFERROR(__xludf.DUMMYFUNCTION("""COMPUTED_VALUE"""),1.65)</f>
        <v>1.65</v>
      </c>
      <c r="J31">
        <f>IFERROR(__xludf.DUMMYFUNCTION("""COMPUTED_VALUE"""),1.96)</f>
        <v>1.96</v>
      </c>
      <c r="K31">
        <f>IFERROR(__xludf.DUMMYFUNCTION("""COMPUTED_VALUE"""),1.852)</f>
        <v>1.852</v>
      </c>
    </row>
    <row r="32">
      <c r="A32" t="str">
        <f>IFERROR(__xludf.DUMMYFUNCTION("""COMPUTED_VALUE"""),"Cambodge")</f>
        <v>Cambodge</v>
      </c>
      <c r="B32">
        <f>IFERROR(__xludf.DUMMYFUNCTION("""COMPUTED_VALUE"""),3.667)</f>
        <v>3.667</v>
      </c>
      <c r="C32">
        <f>IFERROR(__xludf.DUMMYFUNCTION("""COMPUTED_VALUE"""),3.992)</f>
        <v>3.992</v>
      </c>
      <c r="D32">
        <f>IFERROR(__xludf.DUMMYFUNCTION("""COMPUTED_VALUE"""),4.289)</f>
        <v>4.289</v>
      </c>
      <c r="E32">
        <f>IFERROR(__xludf.DUMMYFUNCTION("""COMPUTED_VALUE"""),4.665)</f>
        <v>4.665</v>
      </c>
      <c r="F32">
        <f>IFERROR(__xludf.DUMMYFUNCTION("""COMPUTED_VALUE"""),5.334)</f>
        <v>5.334</v>
      </c>
      <c r="G32">
        <f>IFERROR(__xludf.DUMMYFUNCTION("""COMPUTED_VALUE"""),6.286)</f>
        <v>6.286</v>
      </c>
      <c r="H32">
        <f>IFERROR(__xludf.DUMMYFUNCTION("""COMPUTED_VALUE"""),7.267)</f>
        <v>7.267</v>
      </c>
      <c r="I32">
        <f>IFERROR(__xludf.DUMMYFUNCTION("""COMPUTED_VALUE"""),8.63)</f>
        <v>8.63</v>
      </c>
      <c r="J32">
        <f>IFERROR(__xludf.DUMMYFUNCTION("""COMPUTED_VALUE"""),10.341)</f>
        <v>10.341</v>
      </c>
      <c r="K32">
        <f>IFERROR(__xludf.DUMMYFUNCTION("""COMPUTED_VALUE"""),10.391)</f>
        <v>10.391</v>
      </c>
    </row>
    <row r="33">
      <c r="A33" t="str">
        <f>IFERROR(__xludf.DUMMYFUNCTION("""COMPUTED_VALUE"""),"Cameroun")</f>
        <v>Cameroun</v>
      </c>
      <c r="B33">
        <f>IFERROR(__xludf.DUMMYFUNCTION("""COMPUTED_VALUE"""),10.245)</f>
        <v>10.245</v>
      </c>
      <c r="C33">
        <f>IFERROR(__xludf.DUMMYFUNCTION("""COMPUTED_VALUE"""),10.95)</f>
        <v>10.95</v>
      </c>
      <c r="D33">
        <f>IFERROR(__xludf.DUMMYFUNCTION("""COMPUTED_VALUE"""),12.369)</f>
        <v>12.369</v>
      </c>
      <c r="E33">
        <f>IFERROR(__xludf.DUMMYFUNCTION("""COMPUTED_VALUE"""),15.944)</f>
        <v>15.944</v>
      </c>
      <c r="F33">
        <f>IFERROR(__xludf.DUMMYFUNCTION("""COMPUTED_VALUE"""),18.803)</f>
        <v>18.803</v>
      </c>
      <c r="G33">
        <f>IFERROR(__xludf.DUMMYFUNCTION("""COMPUTED_VALUE"""),19.534)</f>
        <v>19.534</v>
      </c>
      <c r="H33">
        <f>IFERROR(__xludf.DUMMYFUNCTION("""COMPUTED_VALUE"""),20.912)</f>
        <v>20.912</v>
      </c>
      <c r="I33">
        <f>IFERROR(__xludf.DUMMYFUNCTION("""COMPUTED_VALUE"""),23.931)</f>
        <v>23.931</v>
      </c>
      <c r="J33">
        <f>IFERROR(__xludf.DUMMYFUNCTION("""COMPUTED_VALUE"""),27.712)</f>
        <v>27.712</v>
      </c>
      <c r="K33">
        <f>IFERROR(__xludf.DUMMYFUNCTION("""COMPUTED_VALUE"""),27.903)</f>
        <v>27.903</v>
      </c>
    </row>
    <row r="34">
      <c r="A34" t="str">
        <f>IFERROR(__xludf.DUMMYFUNCTION("""COMPUTED_VALUE"""),"Canada")</f>
        <v>Canada</v>
      </c>
      <c r="B34">
        <f>IFERROR(__xludf.DUMMYFUNCTION("""COMPUTED_VALUE"""),744.631)</f>
        <v>744.631</v>
      </c>
      <c r="C34">
        <f>IFERROR(__xludf.DUMMYFUNCTION("""COMPUTED_VALUE"""),738.968)</f>
        <v>738.968</v>
      </c>
      <c r="D34">
        <f>IFERROR(__xludf.DUMMYFUNCTION("""COMPUTED_VALUE"""),760.149)</f>
        <v>760.149</v>
      </c>
      <c r="E34">
        <f>IFERROR(__xludf.DUMMYFUNCTION("""COMPUTED_VALUE"""),895.599)</f>
        <v>895.599</v>
      </c>
      <c r="F34">
        <f>IFERROR(__xludf.DUMMYFUNCTION("""COMPUTED_VALUE"""),1026.473)</f>
        <v>1026.473</v>
      </c>
      <c r="G34">
        <f>IFERROR(__xludf.DUMMYFUNCTION("""COMPUTED_VALUE"""),1173.505)</f>
        <v>1173.505</v>
      </c>
      <c r="H34">
        <f>IFERROR(__xludf.DUMMYFUNCTION("""COMPUTED_VALUE"""),1319.356)</f>
        <v>1319.356</v>
      </c>
      <c r="I34">
        <f>IFERROR(__xludf.DUMMYFUNCTION("""COMPUTED_VALUE"""),1468.896)</f>
        <v>1468.896</v>
      </c>
      <c r="J34">
        <f>IFERROR(__xludf.DUMMYFUNCTION("""COMPUTED_VALUE"""),1552.864)</f>
        <v>1552.864</v>
      </c>
      <c r="K34">
        <f>IFERROR(__xludf.DUMMYFUNCTION("""COMPUTED_VALUE"""),1376.509)</f>
        <v>1376.509</v>
      </c>
    </row>
    <row r="35">
      <c r="A35" t="str">
        <f>IFERROR(__xludf.DUMMYFUNCTION("""COMPUTED_VALUE"""),"République centrafricaine")</f>
        <v>République centrafricaine</v>
      </c>
      <c r="B35">
        <f>IFERROR(__xludf.DUMMYFUNCTION("""COMPUTED_VALUE"""),0.868)</f>
        <v>0.868</v>
      </c>
      <c r="C35">
        <f>IFERROR(__xludf.DUMMYFUNCTION("""COMPUTED_VALUE"""),0.899)</f>
        <v>0.899</v>
      </c>
      <c r="D35">
        <f>IFERROR(__xludf.DUMMYFUNCTION("""COMPUTED_VALUE"""),0.983)</f>
        <v>0.983</v>
      </c>
      <c r="E35">
        <f>IFERROR(__xludf.DUMMYFUNCTION("""COMPUTED_VALUE"""),1.188)</f>
        <v>1.188</v>
      </c>
      <c r="F35">
        <f>IFERROR(__xludf.DUMMYFUNCTION("""COMPUTED_VALUE"""),1.31)</f>
        <v>1.31</v>
      </c>
      <c r="G35">
        <f>IFERROR(__xludf.DUMMYFUNCTION("""COMPUTED_VALUE"""),1.413)</f>
        <v>1.413</v>
      </c>
      <c r="H35">
        <f>IFERROR(__xludf.DUMMYFUNCTION("""COMPUTED_VALUE"""),1.538)</f>
        <v>1.538</v>
      </c>
      <c r="I35">
        <f>IFERROR(__xludf.DUMMYFUNCTION("""COMPUTED_VALUE"""),1.755)</f>
        <v>1.755</v>
      </c>
      <c r="J35">
        <f>IFERROR(__xludf.DUMMYFUNCTION("""COMPUTED_VALUE"""),2.033)</f>
        <v>2.033</v>
      </c>
      <c r="K35">
        <f>IFERROR(__xludf.DUMMYFUNCTION("""COMPUTED_VALUE"""),2.059)</f>
        <v>2.059</v>
      </c>
    </row>
    <row r="36">
      <c r="A36" t="str">
        <f>IFERROR(__xludf.DUMMYFUNCTION("""COMPUTED_VALUE"""),"Tchad")</f>
        <v>Tchad</v>
      </c>
      <c r="B36">
        <f>IFERROR(__xludf.DUMMYFUNCTION("""COMPUTED_VALUE"""),1.572)</f>
        <v>1.572</v>
      </c>
      <c r="C36">
        <f>IFERROR(__xludf.DUMMYFUNCTION("""COMPUTED_VALUE"""),1.936)</f>
        <v>1.936</v>
      </c>
      <c r="D36">
        <f>IFERROR(__xludf.DUMMYFUNCTION("""COMPUTED_VALUE"""),2.257)</f>
        <v>2.257</v>
      </c>
      <c r="E36">
        <f>IFERROR(__xludf.DUMMYFUNCTION("""COMPUTED_VALUE"""),3.102)</f>
        <v>3.102</v>
      </c>
      <c r="F36">
        <f>IFERROR(__xludf.DUMMYFUNCTION("""COMPUTED_VALUE"""),5.003)</f>
        <v>5.003</v>
      </c>
      <c r="G36">
        <f>IFERROR(__xludf.DUMMYFUNCTION("""COMPUTED_VALUE"""),6.676)</f>
        <v>6.676</v>
      </c>
      <c r="H36">
        <f>IFERROR(__xludf.DUMMYFUNCTION("""COMPUTED_VALUE"""),7.451)</f>
        <v>7.451</v>
      </c>
      <c r="I36">
        <f>IFERROR(__xludf.DUMMYFUNCTION("""COMPUTED_VALUE"""),8.687)</f>
        <v>8.687</v>
      </c>
      <c r="J36">
        <f>IFERROR(__xludf.DUMMYFUNCTION("""COMPUTED_VALUE"""),10.43)</f>
        <v>10.43</v>
      </c>
      <c r="K36">
        <f>IFERROR(__xludf.DUMMYFUNCTION("""COMPUTED_VALUE"""),9.315)</f>
        <v>9.315</v>
      </c>
    </row>
    <row r="37">
      <c r="A37" t="str">
        <f>IFERROR(__xludf.DUMMYFUNCTION("""COMPUTED_VALUE"""),"Chili")</f>
        <v>Chili</v>
      </c>
      <c r="B37">
        <f>IFERROR(__xludf.DUMMYFUNCTION("""COMPUTED_VALUE"""),78.25)</f>
        <v>78.25</v>
      </c>
      <c r="C37">
        <f>IFERROR(__xludf.DUMMYFUNCTION("""COMPUTED_VALUE"""),71.517)</f>
        <v>71.517</v>
      </c>
      <c r="D37">
        <f>IFERROR(__xludf.DUMMYFUNCTION("""COMPUTED_VALUE"""),70.295)</f>
        <v>70.295</v>
      </c>
      <c r="E37">
        <f>IFERROR(__xludf.DUMMYFUNCTION("""COMPUTED_VALUE"""),76.508)</f>
        <v>76.508</v>
      </c>
      <c r="F37">
        <f>IFERROR(__xludf.DUMMYFUNCTION("""COMPUTED_VALUE"""),99.079)</f>
        <v>99.079</v>
      </c>
      <c r="G37">
        <f>IFERROR(__xludf.DUMMYFUNCTION("""COMPUTED_VALUE"""),122.315)</f>
        <v>122.315</v>
      </c>
      <c r="H37">
        <f>IFERROR(__xludf.DUMMYFUNCTION("""COMPUTED_VALUE"""),153.84)</f>
        <v>153.84</v>
      </c>
      <c r="I37">
        <f>IFERROR(__xludf.DUMMYFUNCTION("""COMPUTED_VALUE"""),172.565)</f>
        <v>172.565</v>
      </c>
      <c r="J37">
        <f>IFERROR(__xludf.DUMMYFUNCTION("""COMPUTED_VALUE"""),179.663)</f>
        <v>179.663</v>
      </c>
      <c r="K37">
        <f>IFERROR(__xludf.DUMMYFUNCTION("""COMPUTED_VALUE"""),171.794)</f>
        <v>171.794</v>
      </c>
    </row>
    <row r="38">
      <c r="A38" t="str">
        <f>IFERROR(__xludf.DUMMYFUNCTION("""COMPUTED_VALUE"""),"Chine")</f>
        <v>Chine</v>
      </c>
      <c r="B38">
        <f>IFERROR(__xludf.DUMMYFUNCTION("""COMPUTED_VALUE"""),1205.532)</f>
        <v>1205.532</v>
      </c>
      <c r="C38">
        <f>IFERROR(__xludf.DUMMYFUNCTION("""COMPUTED_VALUE"""),1333.649)</f>
        <v>1333.649</v>
      </c>
      <c r="D38">
        <f>IFERROR(__xludf.DUMMYFUNCTION("""COMPUTED_VALUE"""),1465.829)</f>
        <v>1465.829</v>
      </c>
      <c r="E38">
        <f>IFERROR(__xludf.DUMMYFUNCTION("""COMPUTED_VALUE"""),1656.962)</f>
        <v>1656.962</v>
      </c>
      <c r="F38">
        <f>IFERROR(__xludf.DUMMYFUNCTION("""COMPUTED_VALUE"""),1949.446)</f>
        <v>1949.446</v>
      </c>
      <c r="G38">
        <f>IFERROR(__xludf.DUMMYFUNCTION("""COMPUTED_VALUE"""),2290.019)</f>
        <v>2290.019</v>
      </c>
      <c r="H38">
        <f>IFERROR(__xludf.DUMMYFUNCTION("""COMPUTED_VALUE"""),2754.149)</f>
        <v>2754.149</v>
      </c>
      <c r="I38">
        <f>IFERROR(__xludf.DUMMYFUNCTION("""COMPUTED_VALUE"""),3555.655)</f>
        <v>3555.655</v>
      </c>
      <c r="J38">
        <f>IFERROR(__xludf.DUMMYFUNCTION("""COMPUTED_VALUE"""),4577.28)</f>
        <v>4577.28</v>
      </c>
      <c r="K38">
        <f>IFERROR(__xludf.DUMMYFUNCTION("""COMPUTED_VALUE"""),5088.992)</f>
        <v>5088.992</v>
      </c>
    </row>
    <row r="39">
      <c r="A39" t="str">
        <f>IFERROR(__xludf.DUMMYFUNCTION("""COMPUTED_VALUE"""),"Colombie")</f>
        <v>Colombie</v>
      </c>
      <c r="B39">
        <f>IFERROR(__xludf.DUMMYFUNCTION("""COMPUTED_VALUE"""),99.27)</f>
        <v>99.27</v>
      </c>
      <c r="C39">
        <f>IFERROR(__xludf.DUMMYFUNCTION("""COMPUTED_VALUE"""),97.606)</f>
        <v>97.606</v>
      </c>
      <c r="D39">
        <f>IFERROR(__xludf.DUMMYFUNCTION("""COMPUTED_VALUE"""),97.353)</f>
        <v>97.353</v>
      </c>
      <c r="E39">
        <f>IFERROR(__xludf.DUMMYFUNCTION("""COMPUTED_VALUE"""),94.072)</f>
        <v>94.072</v>
      </c>
      <c r="F39">
        <f>IFERROR(__xludf.DUMMYFUNCTION("""COMPUTED_VALUE"""),116.382)</f>
        <v>116.382</v>
      </c>
      <c r="G39">
        <f>IFERROR(__xludf.DUMMYFUNCTION("""COMPUTED_VALUE"""),145.601)</f>
        <v>145.601</v>
      </c>
      <c r="H39">
        <f>IFERROR(__xludf.DUMMYFUNCTION("""COMPUTED_VALUE"""),161.793)</f>
        <v>161.793</v>
      </c>
      <c r="I39">
        <f>IFERROR(__xludf.DUMMYFUNCTION("""COMPUTED_VALUE"""),206.23)</f>
        <v>206.23</v>
      </c>
      <c r="J39">
        <f>IFERROR(__xludf.DUMMYFUNCTION("""COMPUTED_VALUE"""),242.504)</f>
        <v>242.504</v>
      </c>
      <c r="K39">
        <f>IFERROR(__xludf.DUMMYFUNCTION("""COMPUTED_VALUE"""),232.469)</f>
        <v>232.469</v>
      </c>
    </row>
    <row r="40">
      <c r="A40" t="str">
        <f>IFERROR(__xludf.DUMMYFUNCTION("""COMPUTED_VALUE"""),"Comores")</f>
        <v>Comores</v>
      </c>
      <c r="B40">
        <f>IFERROR(__xludf.DUMMYFUNCTION("""COMPUTED_VALUE"""),0.339)</f>
        <v>0.339</v>
      </c>
      <c r="C40">
        <f>IFERROR(__xludf.DUMMYFUNCTION("""COMPUTED_VALUE"""),0.373)</f>
        <v>0.373</v>
      </c>
      <c r="D40">
        <f>IFERROR(__xludf.DUMMYFUNCTION("""COMPUTED_VALUE"""),0.427)</f>
        <v>0.427</v>
      </c>
      <c r="E40">
        <f>IFERROR(__xludf.DUMMYFUNCTION("""COMPUTED_VALUE"""),0.547)</f>
        <v>0.547</v>
      </c>
      <c r="F40">
        <f>IFERROR(__xludf.DUMMYFUNCTION("""COMPUTED_VALUE"""),0.622)</f>
        <v>0.622</v>
      </c>
      <c r="G40">
        <f>IFERROR(__xludf.DUMMYFUNCTION("""COMPUTED_VALUE"""),0.656)</f>
        <v>0.656</v>
      </c>
      <c r="H40">
        <f>IFERROR(__xludf.DUMMYFUNCTION("""COMPUTED_VALUE"""),0.689)</f>
        <v>0.689</v>
      </c>
      <c r="I40">
        <f>IFERROR(__xludf.DUMMYFUNCTION("""COMPUTED_VALUE"""),0.796)</f>
        <v>0.796</v>
      </c>
      <c r="J40">
        <f>IFERROR(__xludf.DUMMYFUNCTION("""COMPUTED_VALUE"""),0.916)</f>
        <v>0.916</v>
      </c>
      <c r="K40">
        <f>IFERROR(__xludf.DUMMYFUNCTION("""COMPUTED_VALUE"""),0.904)</f>
        <v>0.904</v>
      </c>
    </row>
    <row r="41">
      <c r="A41" t="str">
        <f>IFERROR(__xludf.DUMMYFUNCTION("""COMPUTED_VALUE"""),"République démocratique du Congo")</f>
        <v>République démocratique du Congo</v>
      </c>
      <c r="B41">
        <f>IFERROR(__xludf.DUMMYFUNCTION("""COMPUTED_VALUE"""),19.077)</f>
        <v>19.077</v>
      </c>
      <c r="C41">
        <f>IFERROR(__xludf.DUMMYFUNCTION("""COMPUTED_VALUE"""),7.246)</f>
        <v>7.246</v>
      </c>
      <c r="D41">
        <f>IFERROR(__xludf.DUMMYFUNCTION("""COMPUTED_VALUE"""),8.72)</f>
        <v>8.72</v>
      </c>
      <c r="E41">
        <f>IFERROR(__xludf.DUMMYFUNCTION("""COMPUTED_VALUE"""),9.022)</f>
        <v>9.022</v>
      </c>
      <c r="F41">
        <f>IFERROR(__xludf.DUMMYFUNCTION("""COMPUTED_VALUE"""),10.275)</f>
        <v>10.275</v>
      </c>
      <c r="G41">
        <f>IFERROR(__xludf.DUMMYFUNCTION("""COMPUTED_VALUE"""),12.72)</f>
        <v>12.72</v>
      </c>
      <c r="H41">
        <f>IFERROR(__xludf.DUMMYFUNCTION("""COMPUTED_VALUE"""),15.403)</f>
        <v>15.403</v>
      </c>
      <c r="I41">
        <f>IFERROR(__xludf.DUMMYFUNCTION("""COMPUTED_VALUE"""),18.598)</f>
        <v>18.598</v>
      </c>
      <c r="J41">
        <f>IFERROR(__xludf.DUMMYFUNCTION("""COMPUTED_VALUE"""),22.665)</f>
        <v>22.665</v>
      </c>
      <c r="K41">
        <f>IFERROR(__xludf.DUMMYFUNCTION("""COMPUTED_VALUE"""),18.626)</f>
        <v>18.626</v>
      </c>
    </row>
    <row r="42">
      <c r="A42" t="str">
        <f>IFERROR(__xludf.DUMMYFUNCTION("""COMPUTED_VALUE"""),"République du Congo")</f>
        <v>République du Congo</v>
      </c>
      <c r="B42">
        <f>IFERROR(__xludf.DUMMYFUNCTION("""COMPUTED_VALUE"""),3.624)</f>
        <v>3.624</v>
      </c>
      <c r="C42">
        <f>IFERROR(__xludf.DUMMYFUNCTION("""COMPUTED_VALUE"""),3.038)</f>
        <v>3.038</v>
      </c>
      <c r="D42">
        <f>IFERROR(__xludf.DUMMYFUNCTION("""COMPUTED_VALUE"""),3.33)</f>
        <v>3.33</v>
      </c>
      <c r="E42">
        <f>IFERROR(__xludf.DUMMYFUNCTION("""COMPUTED_VALUE"""),3.863)</f>
        <v>3.863</v>
      </c>
      <c r="F42">
        <f>IFERROR(__xludf.DUMMYFUNCTION("""COMPUTED_VALUE"""),5.101)</f>
        <v>5.101</v>
      </c>
      <c r="G42">
        <f>IFERROR(__xludf.DUMMYFUNCTION("""COMPUTED_VALUE"""),6.654)</f>
        <v>6.654</v>
      </c>
      <c r="H42">
        <f>IFERROR(__xludf.DUMMYFUNCTION("""COMPUTED_VALUE"""),8.073)</f>
        <v>8.073</v>
      </c>
      <c r="I42">
        <f>IFERROR(__xludf.DUMMYFUNCTION("""COMPUTED_VALUE"""),8.784)</f>
        <v>8.784</v>
      </c>
      <c r="J42">
        <f>IFERROR(__xludf.DUMMYFUNCTION("""COMPUTED_VALUE"""),11.649)</f>
        <v>11.649</v>
      </c>
      <c r="K42">
        <f>IFERROR(__xludf.DUMMYFUNCTION("""COMPUTED_VALUE"""),9.713)</f>
        <v>9.713</v>
      </c>
    </row>
    <row r="43">
      <c r="A43" t="str">
        <f>IFERROR(__xludf.DUMMYFUNCTION("""COMPUTED_VALUE"""),"Costa Rica")</f>
        <v>Costa Rica</v>
      </c>
      <c r="B43">
        <f>IFERROR(__xludf.DUMMYFUNCTION("""COMPUTED_VALUE"""),15.016)</f>
        <v>15.016</v>
      </c>
      <c r="C43">
        <f>IFERROR(__xludf.DUMMYFUNCTION("""COMPUTED_VALUE"""),15.979)</f>
        <v>15.979</v>
      </c>
      <c r="D43">
        <f>IFERROR(__xludf.DUMMYFUNCTION("""COMPUTED_VALUE"""),16.584)</f>
        <v>16.584</v>
      </c>
      <c r="E43">
        <f>IFERROR(__xludf.DUMMYFUNCTION("""COMPUTED_VALUE"""),17.277)</f>
        <v>17.277</v>
      </c>
      <c r="F43">
        <f>IFERROR(__xludf.DUMMYFUNCTION("""COMPUTED_VALUE"""),18.615)</f>
        <v>18.615</v>
      </c>
      <c r="G43">
        <f>IFERROR(__xludf.DUMMYFUNCTION("""COMPUTED_VALUE"""),20.049)</f>
        <v>20.049</v>
      </c>
      <c r="H43">
        <f>IFERROR(__xludf.DUMMYFUNCTION("""COMPUTED_VALUE"""),22.717)</f>
        <v>22.717</v>
      </c>
      <c r="I43">
        <f>IFERROR(__xludf.DUMMYFUNCTION("""COMPUTED_VALUE"""),26.885)</f>
        <v>26.885</v>
      </c>
      <c r="J43">
        <f>IFERROR(__xludf.DUMMYFUNCTION("""COMPUTED_VALUE"""),30.802)</f>
        <v>30.802</v>
      </c>
      <c r="K43">
        <f>IFERROR(__xludf.DUMMYFUNCTION("""COMPUTED_VALUE"""),30.746)</f>
        <v>30.746</v>
      </c>
    </row>
    <row r="44">
      <c r="A44" t="str">
        <f>IFERROR(__xludf.DUMMYFUNCTION("""COMPUTED_VALUE"""),"Croatie")</f>
        <v>Croatie</v>
      </c>
      <c r="B44">
        <f>IFERROR(__xludf.DUMMYFUNCTION("""COMPUTED_VALUE"""),22.14)</f>
        <v>22.14</v>
      </c>
      <c r="C44">
        <f>IFERROR(__xludf.DUMMYFUNCTION("""COMPUTED_VALUE"""),23.062)</f>
        <v>23.062</v>
      </c>
      <c r="D44">
        <f>IFERROR(__xludf.DUMMYFUNCTION("""COMPUTED_VALUE"""),26.742)</f>
        <v>26.742</v>
      </c>
      <c r="E44">
        <f>IFERROR(__xludf.DUMMYFUNCTION("""COMPUTED_VALUE"""),35.247)</f>
        <v>35.247</v>
      </c>
      <c r="F44">
        <f>IFERROR(__xludf.DUMMYFUNCTION("""COMPUTED_VALUE"""),41.837)</f>
        <v>41.837</v>
      </c>
      <c r="G44">
        <f>IFERROR(__xludf.DUMMYFUNCTION("""COMPUTED_VALUE"""),45.053)</f>
        <v>45.053</v>
      </c>
      <c r="H44">
        <f>IFERROR(__xludf.DUMMYFUNCTION("""COMPUTED_VALUE"""),49.533)</f>
        <v>49.533</v>
      </c>
      <c r="I44">
        <f>IFERROR(__xludf.DUMMYFUNCTION("""COMPUTED_VALUE"""),59.18)</f>
        <v>59.18</v>
      </c>
      <c r="J44">
        <f>IFERROR(__xludf.DUMMYFUNCTION("""COMPUTED_VALUE"""),68.336)</f>
        <v>68.336</v>
      </c>
      <c r="K44">
        <f>IFERROR(__xludf.DUMMYFUNCTION("""COMPUTED_VALUE"""),61.872)</f>
        <v>61.872</v>
      </c>
    </row>
    <row r="45">
      <c r="A45" t="str">
        <f>IFERROR(__xludf.DUMMYFUNCTION("""COMPUTED_VALUE"""),"Chypre")</f>
        <v>Chypre</v>
      </c>
      <c r="B45">
        <f>IFERROR(__xludf.DUMMYFUNCTION("""COMPUTED_VALUE"""),9.988)</f>
        <v>9.988</v>
      </c>
      <c r="C45">
        <f>IFERROR(__xludf.DUMMYFUNCTION("""COMPUTED_VALUE"""),10.397)</f>
        <v>10.397</v>
      </c>
      <c r="D45">
        <f>IFERROR(__xludf.DUMMYFUNCTION("""COMPUTED_VALUE"""),11.422)</f>
        <v>11.422</v>
      </c>
      <c r="E45">
        <f>IFERROR(__xludf.DUMMYFUNCTION("""COMPUTED_VALUE"""),14.552)</f>
        <v>14.552</v>
      </c>
      <c r="F45">
        <f>IFERROR(__xludf.DUMMYFUNCTION("""COMPUTED_VALUE"""),17.328)</f>
        <v>17.328</v>
      </c>
      <c r="G45">
        <f>IFERROR(__xludf.DUMMYFUNCTION("""COMPUTED_VALUE"""),18.713)</f>
        <v>18.713</v>
      </c>
      <c r="H45">
        <f>IFERROR(__xludf.DUMMYFUNCTION("""COMPUTED_VALUE"""),20.422)</f>
        <v>20.422</v>
      </c>
      <c r="I45">
        <f>IFERROR(__xludf.DUMMYFUNCTION("""COMPUTED_VALUE"""),24.082)</f>
        <v>24.082</v>
      </c>
      <c r="J45">
        <f>IFERROR(__xludf.DUMMYFUNCTION("""COMPUTED_VALUE"""),27.955)</f>
        <v>27.955</v>
      </c>
      <c r="K45">
        <f>IFERROR(__xludf.DUMMYFUNCTION("""COMPUTED_VALUE"""),26.02)</f>
        <v>26.02</v>
      </c>
    </row>
    <row r="46">
      <c r="A46" t="str">
        <f>IFERROR(__xludf.DUMMYFUNCTION("""COMPUTED_VALUE"""),"Tchéquie")</f>
        <v>Tchéquie</v>
      </c>
      <c r="B46">
        <f>IFERROR(__xludf.DUMMYFUNCTION("""COMPUTED_VALUE"""),61.823)</f>
        <v>61.823</v>
      </c>
      <c r="C46">
        <f>IFERROR(__xludf.DUMMYFUNCTION("""COMPUTED_VALUE"""),67.809)</f>
        <v>67.809</v>
      </c>
      <c r="D46">
        <f>IFERROR(__xludf.DUMMYFUNCTION("""COMPUTED_VALUE"""),82.184)</f>
        <v>82.184</v>
      </c>
      <c r="E46">
        <f>IFERROR(__xludf.DUMMYFUNCTION("""COMPUTED_VALUE"""),100.125)</f>
        <v>100.125</v>
      </c>
      <c r="F46">
        <f>IFERROR(__xludf.DUMMYFUNCTION("""COMPUTED_VALUE"""),119.815)</f>
        <v>119.815</v>
      </c>
      <c r="G46">
        <f>IFERROR(__xludf.DUMMYFUNCTION("""COMPUTED_VALUE"""),137.143)</f>
        <v>137.143</v>
      </c>
      <c r="H46">
        <f>IFERROR(__xludf.DUMMYFUNCTION("""COMPUTED_VALUE"""),156.264)</f>
        <v>156.264</v>
      </c>
      <c r="I46">
        <f>IFERROR(__xludf.DUMMYFUNCTION("""COMPUTED_VALUE"""),189.988)</f>
        <v>189.988</v>
      </c>
      <c r="J46">
        <f>IFERROR(__xludf.DUMMYFUNCTION("""COMPUTED_VALUE"""),237.131)</f>
        <v>237.131</v>
      </c>
      <c r="K46">
        <f>IFERROR(__xludf.DUMMYFUNCTION("""COMPUTED_VALUE"""),207.558)</f>
        <v>207.558</v>
      </c>
    </row>
    <row r="47">
      <c r="A47" t="str">
        <f>IFERROR(__xludf.DUMMYFUNCTION("""COMPUTED_VALUE"""),"Côte d'Ivoire")</f>
        <v>Côte d'Ivoire</v>
      </c>
      <c r="B47">
        <f>IFERROR(__xludf.DUMMYFUNCTION("""COMPUTED_VALUE"""),14.851)</f>
        <v>14.851</v>
      </c>
      <c r="C47">
        <f>IFERROR(__xludf.DUMMYFUNCTION("""COMPUTED_VALUE"""),15.485)</f>
        <v>15.485</v>
      </c>
      <c r="D47">
        <f>IFERROR(__xludf.DUMMYFUNCTION("""COMPUTED_VALUE"""),17.148)</f>
        <v>17.148</v>
      </c>
      <c r="E47">
        <f>IFERROR(__xludf.DUMMYFUNCTION("""COMPUTED_VALUE"""),21.206)</f>
        <v>21.206</v>
      </c>
      <c r="F47">
        <f>IFERROR(__xludf.DUMMYFUNCTION("""COMPUTED_VALUE"""),22.924)</f>
        <v>22.924</v>
      </c>
      <c r="G47">
        <f>IFERROR(__xludf.DUMMYFUNCTION("""COMPUTED_VALUE"""),23.626)</f>
        <v>23.626</v>
      </c>
      <c r="H47">
        <f>IFERROR(__xludf.DUMMYFUNCTION("""COMPUTED_VALUE"""),24.628)</f>
        <v>24.628</v>
      </c>
      <c r="I47">
        <f>IFERROR(__xludf.DUMMYFUNCTION("""COMPUTED_VALUE"""),28.158)</f>
        <v>28.158</v>
      </c>
      <c r="J47">
        <f>IFERROR(__xludf.DUMMYFUNCTION("""COMPUTED_VALUE"""),33.621)</f>
        <v>33.621</v>
      </c>
      <c r="K47">
        <f>IFERROR(__xludf.DUMMYFUNCTION("""COMPUTED_VALUE"""),33.693)</f>
        <v>33.693</v>
      </c>
    </row>
    <row r="48">
      <c r="A48" t="str">
        <f>IFERROR(__xludf.DUMMYFUNCTION("""COMPUTED_VALUE"""),"Danemark")</f>
        <v>Danemark</v>
      </c>
      <c r="B48">
        <f>IFERROR(__xludf.DUMMYFUNCTION("""COMPUTED_VALUE"""),164.158)</f>
        <v>164.158</v>
      </c>
      <c r="C48">
        <f>IFERROR(__xludf.DUMMYFUNCTION("""COMPUTED_VALUE"""),164.791)</f>
        <v>164.791</v>
      </c>
      <c r="D48">
        <f>IFERROR(__xludf.DUMMYFUNCTION("""COMPUTED_VALUE"""),178.635)</f>
        <v>178.635</v>
      </c>
      <c r="E48">
        <f>IFERROR(__xludf.DUMMYFUNCTION("""COMPUTED_VALUE"""),218.097)</f>
        <v>218.097</v>
      </c>
      <c r="F48">
        <f>IFERROR(__xludf.DUMMYFUNCTION("""COMPUTED_VALUE"""),251.375)</f>
        <v>251.375</v>
      </c>
      <c r="G48">
        <f>IFERROR(__xludf.DUMMYFUNCTION("""COMPUTED_VALUE"""),264.467)</f>
        <v>264.467</v>
      </c>
      <c r="H48">
        <f>IFERROR(__xludf.DUMMYFUNCTION("""COMPUTED_VALUE"""),282.886)</f>
        <v>282.886</v>
      </c>
      <c r="I48">
        <f>IFERROR(__xludf.DUMMYFUNCTION("""COMPUTED_VALUE"""),319.424)</f>
        <v>319.424</v>
      </c>
      <c r="J48">
        <f>IFERROR(__xludf.DUMMYFUNCTION("""COMPUTED_VALUE"""),353.359)</f>
        <v>353.359</v>
      </c>
      <c r="K48">
        <f>IFERROR(__xludf.DUMMYFUNCTION("""COMPUTED_VALUE"""),321.243)</f>
        <v>321.243</v>
      </c>
    </row>
    <row r="49">
      <c r="A49" t="str">
        <f>IFERROR(__xludf.DUMMYFUNCTION("""COMPUTED_VALUE"""),"Djibouti")</f>
        <v>Djibouti</v>
      </c>
      <c r="B49">
        <f>IFERROR(__xludf.DUMMYFUNCTION("""COMPUTED_VALUE"""),0.781)</f>
        <v>0.781</v>
      </c>
      <c r="C49">
        <f>IFERROR(__xludf.DUMMYFUNCTION("""COMPUTED_VALUE"""),0.811)</f>
        <v>0.811</v>
      </c>
      <c r="D49">
        <f>IFERROR(__xludf.DUMMYFUNCTION("""COMPUTED_VALUE"""),0.837)</f>
        <v>0.837</v>
      </c>
      <c r="E49">
        <f>IFERROR(__xludf.DUMMYFUNCTION("""COMPUTED_VALUE"""),0.882)</f>
        <v>0.882</v>
      </c>
      <c r="F49">
        <f>IFERROR(__xludf.DUMMYFUNCTION("""COMPUTED_VALUE"""),0.936)</f>
        <v>0.936</v>
      </c>
      <c r="G49">
        <f>IFERROR(__xludf.DUMMYFUNCTION("""COMPUTED_VALUE"""),0.996)</f>
        <v>0.996</v>
      </c>
      <c r="H49">
        <f>IFERROR(__xludf.DUMMYFUNCTION("""COMPUTED_VALUE"""),1.08)</f>
        <v>1.08</v>
      </c>
      <c r="I49">
        <f>IFERROR(__xludf.DUMMYFUNCTION("""COMPUTED_VALUE"""),1.191)</f>
        <v>1.191</v>
      </c>
      <c r="J49">
        <f>IFERROR(__xludf.DUMMYFUNCTION("""COMPUTED_VALUE"""),1.382)</f>
        <v>1.382</v>
      </c>
      <c r="K49">
        <f>IFERROR(__xludf.DUMMYFUNCTION("""COMPUTED_VALUE"""),1.426)</f>
        <v>1.426</v>
      </c>
    </row>
    <row r="50">
      <c r="A50" t="str">
        <f>IFERROR(__xludf.DUMMYFUNCTION("""COMPUTED_VALUE"""),"Dominique")</f>
        <v>Dominique</v>
      </c>
      <c r="B50">
        <f>IFERROR(__xludf.DUMMYFUNCTION("""COMPUTED_VALUE"""),0.333)</f>
        <v>0.333</v>
      </c>
      <c r="C50">
        <f>IFERROR(__xludf.DUMMYFUNCTION("""COMPUTED_VALUE"""),0.34)</f>
        <v>0.34</v>
      </c>
      <c r="D50">
        <f>IFERROR(__xludf.DUMMYFUNCTION("""COMPUTED_VALUE"""),0.333)</f>
        <v>0.333</v>
      </c>
      <c r="E50">
        <f>IFERROR(__xludf.DUMMYFUNCTION("""COMPUTED_VALUE"""),0.343)</f>
        <v>0.343</v>
      </c>
      <c r="F50">
        <f>IFERROR(__xludf.DUMMYFUNCTION("""COMPUTED_VALUE"""),0.367)</f>
        <v>0.367</v>
      </c>
      <c r="G50">
        <f>IFERROR(__xludf.DUMMYFUNCTION("""COMPUTED_VALUE"""),0.364)</f>
        <v>0.364</v>
      </c>
      <c r="H50">
        <f>IFERROR(__xludf.DUMMYFUNCTION("""COMPUTED_VALUE"""),0.39)</f>
        <v>0.39</v>
      </c>
      <c r="I50">
        <f>IFERROR(__xludf.DUMMYFUNCTION("""COMPUTED_VALUE"""),0.421)</f>
        <v>0.421</v>
      </c>
      <c r="J50">
        <f>IFERROR(__xludf.DUMMYFUNCTION("""COMPUTED_VALUE"""),0.458)</f>
        <v>0.458</v>
      </c>
      <c r="K50">
        <f>IFERROR(__xludf.DUMMYFUNCTION("""COMPUTED_VALUE"""),0.489)</f>
        <v>0.489</v>
      </c>
    </row>
    <row r="51">
      <c r="A51" t="str">
        <f>IFERROR(__xludf.DUMMYFUNCTION("""COMPUTED_VALUE"""),"République dominicaine")</f>
        <v>République dominicaine</v>
      </c>
      <c r="B51">
        <f>IFERROR(__xludf.DUMMYFUNCTION("""COMPUTED_VALUE"""),24.306)</f>
        <v>24.306</v>
      </c>
      <c r="C51">
        <f>IFERROR(__xludf.DUMMYFUNCTION("""COMPUTED_VALUE"""),25.602)</f>
        <v>25.602</v>
      </c>
      <c r="D51">
        <f>IFERROR(__xludf.DUMMYFUNCTION("""COMPUTED_VALUE"""),27.249)</f>
        <v>27.249</v>
      </c>
      <c r="E51">
        <f>IFERROR(__xludf.DUMMYFUNCTION("""COMPUTED_VALUE"""),21.518)</f>
        <v>21.518</v>
      </c>
      <c r="F51">
        <f>IFERROR(__xludf.DUMMYFUNCTION("""COMPUTED_VALUE"""),22.506)</f>
        <v>22.506</v>
      </c>
      <c r="G51">
        <f>IFERROR(__xludf.DUMMYFUNCTION("""COMPUTED_VALUE"""),35.948)</f>
        <v>35.948</v>
      </c>
      <c r="H51">
        <f>IFERROR(__xludf.DUMMYFUNCTION("""COMPUTED_VALUE"""),37.998)</f>
        <v>37.998</v>
      </c>
      <c r="I51">
        <f>IFERROR(__xludf.DUMMYFUNCTION("""COMPUTED_VALUE"""),44.067)</f>
        <v>44.067</v>
      </c>
      <c r="J51">
        <f>IFERROR(__xludf.DUMMYFUNCTION("""COMPUTED_VALUE"""),48.206)</f>
        <v>48.206</v>
      </c>
      <c r="K51">
        <f>IFERROR(__xludf.DUMMYFUNCTION("""COMPUTED_VALUE"""),48.319)</f>
        <v>48.319</v>
      </c>
    </row>
    <row r="52">
      <c r="A52" t="str">
        <f>IFERROR(__xludf.DUMMYFUNCTION("""COMPUTED_VALUE"""),"Équateur")</f>
        <v>Équateur</v>
      </c>
      <c r="B52">
        <f>IFERROR(__xludf.DUMMYFUNCTION("""COMPUTED_VALUE"""),18.319)</f>
        <v>18.319</v>
      </c>
      <c r="C52">
        <f>IFERROR(__xludf.DUMMYFUNCTION("""COMPUTED_VALUE"""),24.468)</f>
        <v>24.468</v>
      </c>
      <c r="D52">
        <f>IFERROR(__xludf.DUMMYFUNCTION("""COMPUTED_VALUE"""),28.549)</f>
        <v>28.549</v>
      </c>
      <c r="E52">
        <f>IFERROR(__xludf.DUMMYFUNCTION("""COMPUTED_VALUE"""),32.433)</f>
        <v>32.433</v>
      </c>
      <c r="F52">
        <f>IFERROR(__xludf.DUMMYFUNCTION("""COMPUTED_VALUE"""),36.592)</f>
        <v>36.592</v>
      </c>
      <c r="G52">
        <f>IFERROR(__xludf.DUMMYFUNCTION("""COMPUTED_VALUE"""),41.507)</f>
        <v>41.507</v>
      </c>
      <c r="H52">
        <f>IFERROR(__xludf.DUMMYFUNCTION("""COMPUTED_VALUE"""),46.802)</f>
        <v>46.802</v>
      </c>
      <c r="I52">
        <f>IFERROR(__xludf.DUMMYFUNCTION("""COMPUTED_VALUE"""),51.008)</f>
        <v>51.008</v>
      </c>
      <c r="J52">
        <f>IFERROR(__xludf.DUMMYFUNCTION("""COMPUTED_VALUE"""),61.763)</f>
        <v>61.763</v>
      </c>
      <c r="K52">
        <f>IFERROR(__xludf.DUMMYFUNCTION("""COMPUTED_VALUE"""),62.52)</f>
        <v>62.52</v>
      </c>
    </row>
    <row r="53">
      <c r="A53" t="str">
        <f>IFERROR(__xludf.DUMMYFUNCTION("""COMPUTED_VALUE"""),"Égypte")</f>
        <v>Égypte</v>
      </c>
      <c r="B53">
        <f>IFERROR(__xludf.DUMMYFUNCTION("""COMPUTED_VALUE"""),104.752)</f>
        <v>104.752</v>
      </c>
      <c r="C53">
        <f>IFERROR(__xludf.DUMMYFUNCTION("""COMPUTED_VALUE"""),102.273)</f>
        <v>102.273</v>
      </c>
      <c r="D53">
        <f>IFERROR(__xludf.DUMMYFUNCTION("""COMPUTED_VALUE"""),90.261)</f>
        <v>90.261</v>
      </c>
      <c r="E53">
        <f>IFERROR(__xludf.DUMMYFUNCTION("""COMPUTED_VALUE"""),85.163)</f>
        <v>85.163</v>
      </c>
      <c r="F53">
        <f>IFERROR(__xludf.DUMMYFUNCTION("""COMPUTED_VALUE"""),82.855)</f>
        <v>82.855</v>
      </c>
      <c r="G53">
        <f>IFERROR(__xludf.DUMMYFUNCTION("""COMPUTED_VALUE"""),94.127)</f>
        <v>94.127</v>
      </c>
      <c r="H53">
        <f>IFERROR(__xludf.DUMMYFUNCTION("""COMPUTED_VALUE"""),112.902)</f>
        <v>112.902</v>
      </c>
      <c r="I53">
        <f>IFERROR(__xludf.DUMMYFUNCTION("""COMPUTED_VALUE"""),137.055)</f>
        <v>137.055</v>
      </c>
      <c r="J53">
        <f>IFERROR(__xludf.DUMMYFUNCTION("""COMPUTED_VALUE"""),170.797)</f>
        <v>170.797</v>
      </c>
      <c r="K53">
        <f>IFERROR(__xludf.DUMMYFUNCTION("""COMPUTED_VALUE"""),198.316)</f>
        <v>198.316</v>
      </c>
    </row>
    <row r="54">
      <c r="A54" t="str">
        <f>IFERROR(__xludf.DUMMYFUNCTION("""COMPUTED_VALUE"""),"Salvador")</f>
        <v>Salvador</v>
      </c>
      <c r="B54">
        <f>IFERROR(__xludf.DUMMYFUNCTION("""COMPUTED_VALUE"""),11.785)</f>
        <v>11.785</v>
      </c>
      <c r="C54">
        <f>IFERROR(__xludf.DUMMYFUNCTION("""COMPUTED_VALUE"""),12.283)</f>
        <v>12.283</v>
      </c>
      <c r="D54">
        <f>IFERROR(__xludf.DUMMYFUNCTION("""COMPUTED_VALUE"""),12.664)</f>
        <v>12.664</v>
      </c>
      <c r="E54">
        <f>IFERROR(__xludf.DUMMYFUNCTION("""COMPUTED_VALUE"""),13.244)</f>
        <v>13.244</v>
      </c>
      <c r="F54">
        <f>IFERROR(__xludf.DUMMYFUNCTION("""COMPUTED_VALUE"""),13.725)</f>
        <v>13.725</v>
      </c>
      <c r="G54">
        <f>IFERROR(__xludf.DUMMYFUNCTION("""COMPUTED_VALUE"""),14.698)</f>
        <v>14.698</v>
      </c>
      <c r="H54">
        <f>IFERROR(__xludf.DUMMYFUNCTION("""COMPUTED_VALUE"""),16.0)</f>
        <v>16</v>
      </c>
      <c r="I54">
        <f>IFERROR(__xludf.DUMMYFUNCTION("""COMPUTED_VALUE"""),17.012)</f>
        <v>17.012</v>
      </c>
      <c r="J54">
        <f>IFERROR(__xludf.DUMMYFUNCTION("""COMPUTED_VALUE"""),17.987)</f>
        <v>17.987</v>
      </c>
      <c r="K54">
        <f>IFERROR(__xludf.DUMMYFUNCTION("""COMPUTED_VALUE"""),17.602)</f>
        <v>17.602</v>
      </c>
    </row>
    <row r="55">
      <c r="A55" t="str">
        <f>IFERROR(__xludf.DUMMYFUNCTION("""COMPUTED_VALUE"""),"Guinée équatoriale")</f>
        <v>Guinée équatoriale</v>
      </c>
      <c r="B55">
        <f>IFERROR(__xludf.DUMMYFUNCTION("""COMPUTED_VALUE"""),1.159)</f>
        <v>1.159</v>
      </c>
      <c r="C55">
        <f>IFERROR(__xludf.DUMMYFUNCTION("""COMPUTED_VALUE"""),1.674)</f>
        <v>1.674</v>
      </c>
      <c r="D55">
        <f>IFERROR(__xludf.DUMMYFUNCTION("""COMPUTED_VALUE"""),2.071)</f>
        <v>2.071</v>
      </c>
      <c r="E55">
        <f>IFERROR(__xludf.DUMMYFUNCTION("""COMPUTED_VALUE"""),3.768)</f>
        <v>3.768</v>
      </c>
      <c r="F55">
        <f>IFERROR(__xludf.DUMMYFUNCTION("""COMPUTED_VALUE"""),5.954)</f>
        <v>5.954</v>
      </c>
      <c r="G55">
        <f>IFERROR(__xludf.DUMMYFUNCTION("""COMPUTED_VALUE"""),8.187)</f>
        <v>8.187</v>
      </c>
      <c r="H55">
        <f>IFERROR(__xludf.DUMMYFUNCTION("""COMPUTED_VALUE"""),10.095)</f>
        <v>10.095</v>
      </c>
      <c r="I55">
        <f>IFERROR(__xludf.DUMMYFUNCTION("""COMPUTED_VALUE"""),13.089)</f>
        <v>13.089</v>
      </c>
      <c r="J55">
        <f>IFERROR(__xludf.DUMMYFUNCTION("""COMPUTED_VALUE"""),19.83)</f>
        <v>19.83</v>
      </c>
      <c r="K55">
        <f>IFERROR(__xludf.DUMMYFUNCTION("""COMPUTED_VALUE"""),15.088)</f>
        <v>15.088</v>
      </c>
    </row>
    <row r="56">
      <c r="A56" t="str">
        <f>IFERROR(__xludf.DUMMYFUNCTION("""COMPUTED_VALUE"""),"Érythrée")</f>
        <v>Érythrée</v>
      </c>
      <c r="B56">
        <f>IFERROR(__xludf.DUMMYFUNCTION("""COMPUTED_VALUE"""),0.547)</f>
        <v>0.547</v>
      </c>
      <c r="C56">
        <f>IFERROR(__xludf.DUMMYFUNCTION("""COMPUTED_VALUE"""),0.582)</f>
        <v>0.582</v>
      </c>
      <c r="D56">
        <f>IFERROR(__xludf.DUMMYFUNCTION("""COMPUTED_VALUE"""),0.564)</f>
        <v>0.564</v>
      </c>
      <c r="E56">
        <f>IFERROR(__xludf.DUMMYFUNCTION("""COMPUTED_VALUE"""),0.673)</f>
        <v>0.673</v>
      </c>
      <c r="F56">
        <f>IFERROR(__xludf.DUMMYFUNCTION("""COMPUTED_VALUE"""),0.858)</f>
        <v>0.858</v>
      </c>
      <c r="G56">
        <f>IFERROR(__xludf.DUMMYFUNCTION("""COMPUTED_VALUE"""),0.85)</f>
        <v>0.85</v>
      </c>
      <c r="H56">
        <f>IFERROR(__xludf.DUMMYFUNCTION("""COMPUTED_VALUE"""),0.937)</f>
        <v>0.937</v>
      </c>
      <c r="I56">
        <f>IFERROR(__xludf.DUMMYFUNCTION("""COMPUTED_VALUE"""),1.02)</f>
        <v>1.02</v>
      </c>
      <c r="J56">
        <f>IFERROR(__xludf.DUMMYFUNCTION("""COMPUTED_VALUE"""),0.923)</f>
        <v>0.923</v>
      </c>
      <c r="K56">
        <f>IFERROR(__xludf.DUMMYFUNCTION("""COMPUTED_VALUE"""),1.297)</f>
        <v>1.297</v>
      </c>
    </row>
    <row r="57">
      <c r="A57" t="str">
        <f>IFERROR(__xludf.DUMMYFUNCTION("""COMPUTED_VALUE"""),"Estonie")</f>
        <v>Estonie</v>
      </c>
      <c r="B57">
        <f>IFERROR(__xludf.DUMMYFUNCTION("""COMPUTED_VALUE"""),5.707)</f>
        <v>5.707</v>
      </c>
      <c r="C57">
        <f>IFERROR(__xludf.DUMMYFUNCTION("""COMPUTED_VALUE"""),6.269)</f>
        <v>6.269</v>
      </c>
      <c r="D57">
        <f>IFERROR(__xludf.DUMMYFUNCTION("""COMPUTED_VALUE"""),7.391)</f>
        <v>7.391</v>
      </c>
      <c r="E57">
        <f>IFERROR(__xludf.DUMMYFUNCTION("""COMPUTED_VALUE"""),9.891)</f>
        <v>9.891</v>
      </c>
      <c r="F57">
        <f>IFERROR(__xludf.DUMMYFUNCTION("""COMPUTED_VALUE"""),12.158)</f>
        <v>12.158</v>
      </c>
      <c r="G57">
        <f>IFERROR(__xludf.DUMMYFUNCTION("""COMPUTED_VALUE"""),14.126)</f>
        <v>14.126</v>
      </c>
      <c r="H57">
        <f>IFERROR(__xludf.DUMMYFUNCTION("""COMPUTED_VALUE"""),17.047)</f>
        <v>17.047</v>
      </c>
      <c r="I57">
        <f>IFERROR(__xludf.DUMMYFUNCTION("""COMPUTED_VALUE"""),22.476)</f>
        <v>22.476</v>
      </c>
      <c r="J57">
        <f>IFERROR(__xludf.DUMMYFUNCTION("""COMPUTED_VALUE"""),24.433)</f>
        <v>24.433</v>
      </c>
      <c r="K57">
        <f>IFERROR(__xludf.DUMMYFUNCTION("""COMPUTED_VALUE"""),19.693)</f>
        <v>19.693</v>
      </c>
    </row>
    <row r="58">
      <c r="A58" t="str">
        <f>IFERROR(__xludf.DUMMYFUNCTION("""COMPUTED_VALUE"""),"Eswatini")</f>
        <v>Eswatini</v>
      </c>
      <c r="B58">
        <f>IFERROR(__xludf.DUMMYFUNCTION("""COMPUTED_VALUE"""),1.739)</f>
        <v>1.739</v>
      </c>
      <c r="C58">
        <f>IFERROR(__xludf.DUMMYFUNCTION("""COMPUTED_VALUE"""),1.544)</f>
        <v>1.544</v>
      </c>
      <c r="D58">
        <f>IFERROR(__xludf.DUMMYFUNCTION("""COMPUTED_VALUE"""),1.436)</f>
        <v>1.436</v>
      </c>
      <c r="E58">
        <f>IFERROR(__xludf.DUMMYFUNCTION("""COMPUTED_VALUE"""),2.198)</f>
        <v>2.198</v>
      </c>
      <c r="F58">
        <f>IFERROR(__xludf.DUMMYFUNCTION("""COMPUTED_VALUE"""),2.774)</f>
        <v>2.774</v>
      </c>
      <c r="G58">
        <f>IFERROR(__xludf.DUMMYFUNCTION("""COMPUTED_VALUE"""),3.177)</f>
        <v>3.177</v>
      </c>
      <c r="H58">
        <f>IFERROR(__xludf.DUMMYFUNCTION("""COMPUTED_VALUE"""),3.293)</f>
        <v>3.293</v>
      </c>
      <c r="I58">
        <f>IFERROR(__xludf.DUMMYFUNCTION("""COMPUTED_VALUE"""),3.465)</f>
        <v>3.465</v>
      </c>
      <c r="J58">
        <f>IFERROR(__xludf.DUMMYFUNCTION("""COMPUTED_VALUE"""),3.298)</f>
        <v>3.298</v>
      </c>
      <c r="K58">
        <f>IFERROR(__xludf.DUMMYFUNCTION("""COMPUTED_VALUE"""),3.596)</f>
        <v>3.596</v>
      </c>
    </row>
    <row r="59">
      <c r="A59" t="str">
        <f>IFERROR(__xludf.DUMMYFUNCTION("""COMPUTED_VALUE"""),"Éthiopie")</f>
        <v>Éthiopie</v>
      </c>
      <c r="B59">
        <f>IFERROR(__xludf.DUMMYFUNCTION("""COMPUTED_VALUE"""),8.167)</f>
        <v>8.167</v>
      </c>
      <c r="C59">
        <f>IFERROR(__xludf.DUMMYFUNCTION("""COMPUTED_VALUE"""),8.103)</f>
        <v>8.103</v>
      </c>
      <c r="D59">
        <f>IFERROR(__xludf.DUMMYFUNCTION("""COMPUTED_VALUE"""),7.828)</f>
        <v>7.828</v>
      </c>
      <c r="E59">
        <f>IFERROR(__xludf.DUMMYFUNCTION("""COMPUTED_VALUE"""),8.604)</f>
        <v>8.604</v>
      </c>
      <c r="F59">
        <f>IFERROR(__xludf.DUMMYFUNCTION("""COMPUTED_VALUE"""),10.122)</f>
        <v>10.122</v>
      </c>
      <c r="G59">
        <f>IFERROR(__xludf.DUMMYFUNCTION("""COMPUTED_VALUE"""),12.387)</f>
        <v>12.387</v>
      </c>
      <c r="H59">
        <f>IFERROR(__xludf.DUMMYFUNCTION("""COMPUTED_VALUE"""),15.31)</f>
        <v>15.31</v>
      </c>
      <c r="I59">
        <f>IFERROR(__xludf.DUMMYFUNCTION("""COMPUTED_VALUE"""),19.329)</f>
        <v>19.329</v>
      </c>
      <c r="J59">
        <f>IFERROR(__xludf.DUMMYFUNCTION("""COMPUTED_VALUE"""),26.25)</f>
        <v>26.25</v>
      </c>
      <c r="K59">
        <f>IFERROR(__xludf.DUMMYFUNCTION("""COMPUTED_VALUE"""),28.672)</f>
        <v>28.672</v>
      </c>
    </row>
    <row r="60">
      <c r="A60" t="str">
        <f>IFERROR(__xludf.DUMMYFUNCTION("""COMPUTED_VALUE"""),"Fidji")</f>
        <v>Fidji</v>
      </c>
      <c r="B60">
        <f>IFERROR(__xludf.DUMMYFUNCTION("""COMPUTED_VALUE"""),1.824)</f>
        <v>1.824</v>
      </c>
      <c r="C60">
        <f>IFERROR(__xludf.DUMMYFUNCTION("""COMPUTED_VALUE"""),1.798)</f>
        <v>1.798</v>
      </c>
      <c r="D60">
        <f>IFERROR(__xludf.DUMMYFUNCTION("""COMPUTED_VALUE"""),1.996)</f>
        <v>1.996</v>
      </c>
      <c r="E60">
        <f>IFERROR(__xludf.DUMMYFUNCTION("""COMPUTED_VALUE"""),2.509)</f>
        <v>2.509</v>
      </c>
      <c r="F60">
        <f>IFERROR(__xludf.DUMMYFUNCTION("""COMPUTED_VALUE"""),2.954)</f>
        <v>2.954</v>
      </c>
      <c r="G60">
        <f>IFERROR(__xludf.DUMMYFUNCTION("""COMPUTED_VALUE"""),3.257)</f>
        <v>3.257</v>
      </c>
      <c r="H60">
        <f>IFERROR(__xludf.DUMMYFUNCTION("""COMPUTED_VALUE"""),3.361)</f>
        <v>3.361</v>
      </c>
      <c r="I60">
        <f>IFERROR(__xludf.DUMMYFUNCTION("""COMPUTED_VALUE"""),3.688)</f>
        <v>3.688</v>
      </c>
      <c r="J60">
        <f>IFERROR(__xludf.DUMMYFUNCTION("""COMPUTED_VALUE"""),3.816)</f>
        <v>3.816</v>
      </c>
      <c r="K60">
        <f>IFERROR(__xludf.DUMMYFUNCTION("""COMPUTED_VALUE"""),3.106)</f>
        <v>3.106</v>
      </c>
    </row>
    <row r="61">
      <c r="A61" t="str">
        <f>IFERROR(__xludf.DUMMYFUNCTION("""COMPUTED_VALUE"""),"Finlande")</f>
        <v>Finlande</v>
      </c>
      <c r="B61">
        <f>IFERROR(__xludf.DUMMYFUNCTION("""COMPUTED_VALUE"""),126.075)</f>
        <v>126.075</v>
      </c>
      <c r="C61">
        <f>IFERROR(__xludf.DUMMYFUNCTION("""COMPUTED_VALUE"""),129.534)</f>
        <v>129.534</v>
      </c>
      <c r="D61">
        <f>IFERROR(__xludf.DUMMYFUNCTION("""COMPUTED_VALUE"""),140.305)</f>
        <v>140.305</v>
      </c>
      <c r="E61">
        <f>IFERROR(__xludf.DUMMYFUNCTION("""COMPUTED_VALUE"""),171.609)</f>
        <v>171.609</v>
      </c>
      <c r="F61">
        <f>IFERROR(__xludf.DUMMYFUNCTION("""COMPUTED_VALUE"""),197.39)</f>
        <v>197.39</v>
      </c>
      <c r="G61">
        <f>IFERROR(__xludf.DUMMYFUNCTION("""COMPUTED_VALUE"""),204.999)</f>
        <v>204.999</v>
      </c>
      <c r="H61">
        <f>IFERROR(__xludf.DUMMYFUNCTION("""COMPUTED_VALUE"""),217.101)</f>
        <v>217.101</v>
      </c>
      <c r="I61">
        <f>IFERROR(__xludf.DUMMYFUNCTION("""COMPUTED_VALUE"""),256.408)</f>
        <v>256.408</v>
      </c>
      <c r="J61">
        <f>IFERROR(__xludf.DUMMYFUNCTION("""COMPUTED_VALUE"""),285.685)</f>
        <v>285.685</v>
      </c>
      <c r="K61">
        <f>IFERROR(__xludf.DUMMYFUNCTION("""COMPUTED_VALUE"""),253.222)</f>
        <v>253.222</v>
      </c>
    </row>
    <row r="62">
      <c r="A62" t="str">
        <f>IFERROR(__xludf.DUMMYFUNCTION("""COMPUTED_VALUE"""),"France")</f>
        <v>France</v>
      </c>
      <c r="B62">
        <f>IFERROR(__xludf.DUMMYFUNCTION("""COMPUTED_VALUE"""),1366.243)</f>
        <v>1366.243</v>
      </c>
      <c r="C62">
        <f>IFERROR(__xludf.DUMMYFUNCTION("""COMPUTED_VALUE"""),1377.667)</f>
        <v>1377.667</v>
      </c>
      <c r="D62">
        <f>IFERROR(__xludf.DUMMYFUNCTION("""COMPUTED_VALUE"""),1500.348)</f>
        <v>1500.348</v>
      </c>
      <c r="E62">
        <f>IFERROR(__xludf.DUMMYFUNCTION("""COMPUTED_VALUE"""),1844.083)</f>
        <v>1844.083</v>
      </c>
      <c r="F62">
        <f>IFERROR(__xludf.DUMMYFUNCTION("""COMPUTED_VALUE"""),2118.671)</f>
        <v>2118.671</v>
      </c>
      <c r="G62">
        <f>IFERROR(__xludf.DUMMYFUNCTION("""COMPUTED_VALUE"""),2198.16)</f>
        <v>2198.16</v>
      </c>
      <c r="H62">
        <f>IFERROR(__xludf.DUMMYFUNCTION("""COMPUTED_VALUE"""),2320.659)</f>
        <v>2320.659</v>
      </c>
      <c r="I62">
        <f>IFERROR(__xludf.DUMMYFUNCTION("""COMPUTED_VALUE"""),2660.905)</f>
        <v>2660.905</v>
      </c>
      <c r="J62">
        <f>IFERROR(__xludf.DUMMYFUNCTION("""COMPUTED_VALUE"""),2929.983)</f>
        <v>2929.983</v>
      </c>
      <c r="K62">
        <f>IFERROR(__xludf.DUMMYFUNCTION("""COMPUTED_VALUE"""),2697.955)</f>
        <v>2697.955</v>
      </c>
    </row>
    <row r="63">
      <c r="A63" t="str">
        <f>IFERROR(__xludf.DUMMYFUNCTION("""COMPUTED_VALUE"""),"Gabon")</f>
        <v>Gabon</v>
      </c>
      <c r="B63">
        <f>IFERROR(__xludf.DUMMYFUNCTION("""COMPUTED_VALUE"""),5.397)</f>
        <v>5.397</v>
      </c>
      <c r="C63">
        <f>IFERROR(__xludf.DUMMYFUNCTION("""COMPUTED_VALUE"""),5.023)</f>
        <v>5.023</v>
      </c>
      <c r="D63">
        <f>IFERROR(__xludf.DUMMYFUNCTION("""COMPUTED_VALUE"""),5.332)</f>
        <v>5.332</v>
      </c>
      <c r="E63">
        <f>IFERROR(__xludf.DUMMYFUNCTION("""COMPUTED_VALUE"""),6.51)</f>
        <v>6.51</v>
      </c>
      <c r="F63">
        <f>IFERROR(__xludf.DUMMYFUNCTION("""COMPUTED_VALUE"""),7.767)</f>
        <v>7.767</v>
      </c>
      <c r="G63">
        <f>IFERROR(__xludf.DUMMYFUNCTION("""COMPUTED_VALUE"""),9.468)</f>
        <v>9.468</v>
      </c>
      <c r="H63">
        <f>IFERROR(__xludf.DUMMYFUNCTION("""COMPUTED_VALUE"""),10.164)</f>
        <v>10.164</v>
      </c>
      <c r="I63">
        <f>IFERROR(__xludf.DUMMYFUNCTION("""COMPUTED_VALUE"""),12.457)</f>
        <v>12.457</v>
      </c>
      <c r="J63">
        <f>IFERROR(__xludf.DUMMYFUNCTION("""COMPUTED_VALUE"""),15.57)</f>
        <v>15.57</v>
      </c>
      <c r="K63">
        <f>IFERROR(__xludf.DUMMYFUNCTION("""COMPUTED_VALUE"""),12.188)</f>
        <v>12.188</v>
      </c>
    </row>
    <row r="64">
      <c r="A64" t="str">
        <f>IFERROR(__xludf.DUMMYFUNCTION("""COMPUTED_VALUE"""),"Gambie")</f>
        <v>Gambie</v>
      </c>
      <c r="B64">
        <f>IFERROR(__xludf.DUMMYFUNCTION("""COMPUTED_VALUE"""),1.01)</f>
        <v>1.01</v>
      </c>
      <c r="C64">
        <f>IFERROR(__xludf.DUMMYFUNCTION("""COMPUTED_VALUE"""),1.002)</f>
        <v>1.002</v>
      </c>
      <c r="D64">
        <f>IFERROR(__xludf.DUMMYFUNCTION("""COMPUTED_VALUE"""),0.887)</f>
        <v>0.887</v>
      </c>
      <c r="E64">
        <f>IFERROR(__xludf.DUMMYFUNCTION("""COMPUTED_VALUE"""),0.843)</f>
        <v>0.843</v>
      </c>
      <c r="F64">
        <f>IFERROR(__xludf.DUMMYFUNCTION("""COMPUTED_VALUE"""),0.962)</f>
        <v>0.962</v>
      </c>
      <c r="G64">
        <f>IFERROR(__xludf.DUMMYFUNCTION("""COMPUTED_VALUE"""),1.028)</f>
        <v>1.028</v>
      </c>
      <c r="H64">
        <f>IFERROR(__xludf.DUMMYFUNCTION("""COMPUTED_VALUE"""),1.054)</f>
        <v>1.054</v>
      </c>
      <c r="I64">
        <f>IFERROR(__xludf.DUMMYFUNCTION("""COMPUTED_VALUE"""),1.28)</f>
        <v>1.28</v>
      </c>
      <c r="J64">
        <f>IFERROR(__xludf.DUMMYFUNCTION("""COMPUTED_VALUE"""),1.562)</f>
        <v>1.562</v>
      </c>
      <c r="K64">
        <f>IFERROR(__xludf.DUMMYFUNCTION("""COMPUTED_VALUE"""),1.45)</f>
        <v>1.45</v>
      </c>
    </row>
    <row r="65">
      <c r="A65" t="str">
        <f>IFERROR(__xludf.DUMMYFUNCTION("""COMPUTED_VALUE"""),"Géorgie")</f>
        <v>Géorgie</v>
      </c>
      <c r="B65">
        <f>IFERROR(__xludf.DUMMYFUNCTION("""COMPUTED_VALUE"""),3.144)</f>
        <v>3.144</v>
      </c>
      <c r="C65">
        <f>IFERROR(__xludf.DUMMYFUNCTION("""COMPUTED_VALUE"""),3.311)</f>
        <v>3.311</v>
      </c>
      <c r="D65">
        <f>IFERROR(__xludf.DUMMYFUNCTION("""COMPUTED_VALUE"""),3.493)</f>
        <v>3.493</v>
      </c>
      <c r="E65">
        <f>IFERROR(__xludf.DUMMYFUNCTION("""COMPUTED_VALUE"""),4.103)</f>
        <v>4.103</v>
      </c>
      <c r="F65">
        <f>IFERROR(__xludf.DUMMYFUNCTION("""COMPUTED_VALUE"""),5.269)</f>
        <v>5.269</v>
      </c>
      <c r="G65">
        <f>IFERROR(__xludf.DUMMYFUNCTION("""COMPUTED_VALUE"""),6.59)</f>
        <v>6.59</v>
      </c>
      <c r="H65">
        <f>IFERROR(__xludf.DUMMYFUNCTION("""COMPUTED_VALUE"""),7.979)</f>
        <v>7.979</v>
      </c>
      <c r="I65">
        <f>IFERROR(__xludf.DUMMYFUNCTION("""COMPUTED_VALUE"""),10.458)</f>
        <v>10.458</v>
      </c>
      <c r="J65">
        <f>IFERROR(__xludf.DUMMYFUNCTION("""COMPUTED_VALUE"""),13.158)</f>
        <v>13.158</v>
      </c>
      <c r="K65">
        <f>IFERROR(__xludf.DUMMYFUNCTION("""COMPUTED_VALUE"""),11.069)</f>
        <v>11.069</v>
      </c>
    </row>
    <row r="66">
      <c r="A66" t="str">
        <f>IFERROR(__xludf.DUMMYFUNCTION("""COMPUTED_VALUE"""),"Allemagne")</f>
        <v>Allemagne</v>
      </c>
      <c r="B66">
        <f>IFERROR(__xludf.DUMMYFUNCTION("""COMPUTED_VALUE"""),1948.843)</f>
        <v>1948.843</v>
      </c>
      <c r="C66">
        <f>IFERROR(__xludf.DUMMYFUNCTION("""COMPUTED_VALUE"""),1945.804)</f>
        <v>1945.804</v>
      </c>
      <c r="D66">
        <f>IFERROR(__xludf.DUMMYFUNCTION("""COMPUTED_VALUE"""),2077.016)</f>
        <v>2077.016</v>
      </c>
      <c r="E66">
        <f>IFERROR(__xludf.DUMMYFUNCTION("""COMPUTED_VALUE"""),2501.014)</f>
        <v>2501.014</v>
      </c>
      <c r="F66">
        <f>IFERROR(__xludf.DUMMYFUNCTION("""COMPUTED_VALUE"""),2813.076)</f>
        <v>2813.076</v>
      </c>
      <c r="G66">
        <f>IFERROR(__xludf.DUMMYFUNCTION("""COMPUTED_VALUE"""),2848.438)</f>
        <v>2848.438</v>
      </c>
      <c r="H66">
        <f>IFERROR(__xludf.DUMMYFUNCTION("""COMPUTED_VALUE"""),2994.862)</f>
        <v>2994.862</v>
      </c>
      <c r="I66">
        <f>IFERROR(__xludf.DUMMYFUNCTION("""COMPUTED_VALUE"""),3425.982)</f>
        <v>3425.982</v>
      </c>
      <c r="J66">
        <f>IFERROR(__xludf.DUMMYFUNCTION("""COMPUTED_VALUE"""),3744.854)</f>
        <v>3744.854</v>
      </c>
      <c r="K66">
        <f>IFERROR(__xludf.DUMMYFUNCTION("""COMPUTED_VALUE"""),3407.557)</f>
        <v>3407.557</v>
      </c>
    </row>
    <row r="67">
      <c r="A67" t="str">
        <f>IFERROR(__xludf.DUMMYFUNCTION("""COMPUTED_VALUE"""),"Ghana")</f>
        <v>Ghana</v>
      </c>
      <c r="B67">
        <f>IFERROR(__xludf.DUMMYFUNCTION("""COMPUTED_VALUE"""),11.47)</f>
        <v>11.47</v>
      </c>
      <c r="C67">
        <f>IFERROR(__xludf.DUMMYFUNCTION("""COMPUTED_VALUE"""),12.234)</f>
        <v>12.234</v>
      </c>
      <c r="D67">
        <f>IFERROR(__xludf.DUMMYFUNCTION("""COMPUTED_VALUE"""),14.205)</f>
        <v>14.205</v>
      </c>
      <c r="E67">
        <f>IFERROR(__xludf.DUMMYFUNCTION("""COMPUTED_VALUE"""),17.528)</f>
        <v>17.528</v>
      </c>
      <c r="F67">
        <f>IFERROR(__xludf.DUMMYFUNCTION("""COMPUTED_VALUE"""),20.302)</f>
        <v>20.302</v>
      </c>
      <c r="G67">
        <f>IFERROR(__xludf.DUMMYFUNCTION("""COMPUTED_VALUE"""),24.6)</f>
        <v>24.6</v>
      </c>
      <c r="H67">
        <f>IFERROR(__xludf.DUMMYFUNCTION("""COMPUTED_VALUE"""),28.883)</f>
        <v>28.883</v>
      </c>
      <c r="I67">
        <f>IFERROR(__xludf.DUMMYFUNCTION("""COMPUTED_VALUE"""),34.044)</f>
        <v>34.044</v>
      </c>
      <c r="J67">
        <f>IFERROR(__xludf.DUMMYFUNCTION("""COMPUTED_VALUE"""),38.659)</f>
        <v>38.659</v>
      </c>
      <c r="K67">
        <f>IFERROR(__xludf.DUMMYFUNCTION("""COMPUTED_VALUE"""),34.601)</f>
        <v>34.601</v>
      </c>
    </row>
    <row r="68">
      <c r="A68" t="str">
        <f>IFERROR(__xludf.DUMMYFUNCTION("""COMPUTED_VALUE"""),"Grèce")</f>
        <v>Grèce</v>
      </c>
      <c r="B68">
        <f>IFERROR(__xludf.DUMMYFUNCTION("""COMPUTED_VALUE"""),132.198)</f>
        <v>132.198</v>
      </c>
      <c r="C68">
        <f>IFERROR(__xludf.DUMMYFUNCTION("""COMPUTED_VALUE"""),136.31)</f>
        <v>136.31</v>
      </c>
      <c r="D68">
        <f>IFERROR(__xludf.DUMMYFUNCTION("""COMPUTED_VALUE"""),154.455)</f>
        <v>154.455</v>
      </c>
      <c r="E68">
        <f>IFERROR(__xludf.DUMMYFUNCTION("""COMPUTED_VALUE"""),202.32)</f>
        <v>202.32</v>
      </c>
      <c r="F68">
        <f>IFERROR(__xludf.DUMMYFUNCTION("""COMPUTED_VALUE"""),240.854)</f>
        <v>240.854</v>
      </c>
      <c r="G68">
        <f>IFERROR(__xludf.DUMMYFUNCTION("""COMPUTED_VALUE"""),248.012)</f>
        <v>248.012</v>
      </c>
      <c r="H68">
        <f>IFERROR(__xludf.DUMMYFUNCTION("""COMPUTED_VALUE"""),273.562)</f>
        <v>273.562</v>
      </c>
      <c r="I68">
        <f>IFERROR(__xludf.DUMMYFUNCTION("""COMPUTED_VALUE"""),318.941)</f>
        <v>318.941</v>
      </c>
      <c r="J68">
        <f>IFERROR(__xludf.DUMMYFUNCTION("""COMPUTED_VALUE"""),355.869)</f>
        <v>355.869</v>
      </c>
      <c r="K68">
        <f>IFERROR(__xludf.DUMMYFUNCTION("""COMPUTED_VALUE"""),330.949)</f>
        <v>330.949</v>
      </c>
    </row>
    <row r="69">
      <c r="A69" t="str">
        <f>IFERROR(__xludf.DUMMYFUNCTION("""COMPUTED_VALUE"""),"Grenade")</f>
        <v>Grenade</v>
      </c>
      <c r="B69">
        <f>IFERROR(__xludf.DUMMYFUNCTION("""COMPUTED_VALUE"""),0.52)</f>
        <v>0.52</v>
      </c>
      <c r="C69">
        <f>IFERROR(__xludf.DUMMYFUNCTION("""COMPUTED_VALUE"""),0.52)</f>
        <v>0.52</v>
      </c>
      <c r="D69">
        <f>IFERROR(__xludf.DUMMYFUNCTION("""COMPUTED_VALUE"""),0.54)</f>
        <v>0.54</v>
      </c>
      <c r="E69">
        <f>IFERROR(__xludf.DUMMYFUNCTION("""COMPUTED_VALUE"""),0.591)</f>
        <v>0.591</v>
      </c>
      <c r="F69">
        <f>IFERROR(__xludf.DUMMYFUNCTION("""COMPUTED_VALUE"""),0.599)</f>
        <v>0.599</v>
      </c>
      <c r="G69">
        <f>IFERROR(__xludf.DUMMYFUNCTION("""COMPUTED_VALUE"""),0.695)</f>
        <v>0.695</v>
      </c>
      <c r="H69">
        <f>IFERROR(__xludf.DUMMYFUNCTION("""COMPUTED_VALUE"""),0.699)</f>
        <v>0.699</v>
      </c>
      <c r="I69">
        <f>IFERROR(__xludf.DUMMYFUNCTION("""COMPUTED_VALUE"""),0.759)</f>
        <v>0.759</v>
      </c>
      <c r="J69">
        <f>IFERROR(__xludf.DUMMYFUNCTION("""COMPUTED_VALUE"""),0.826)</f>
        <v>0.826</v>
      </c>
      <c r="K69">
        <f>IFERROR(__xludf.DUMMYFUNCTION("""COMPUTED_VALUE"""),0.771)</f>
        <v>0.771</v>
      </c>
    </row>
    <row r="70">
      <c r="A70" t="str">
        <f>IFERROR(__xludf.DUMMYFUNCTION("""COMPUTED_VALUE"""),"Guatemala")</f>
        <v>Guatemala</v>
      </c>
      <c r="B70">
        <f>IFERROR(__xludf.DUMMYFUNCTION("""COMPUTED_VALUE"""),18.124)</f>
        <v>18.124</v>
      </c>
      <c r="C70">
        <f>IFERROR(__xludf.DUMMYFUNCTION("""COMPUTED_VALUE"""),19.735)</f>
        <v>19.735</v>
      </c>
      <c r="D70">
        <f>IFERROR(__xludf.DUMMYFUNCTION("""COMPUTED_VALUE"""),21.924)</f>
        <v>21.924</v>
      </c>
      <c r="E70">
        <f>IFERROR(__xludf.DUMMYFUNCTION("""COMPUTED_VALUE"""),23.092)</f>
        <v>23.092</v>
      </c>
      <c r="F70">
        <f>IFERROR(__xludf.DUMMYFUNCTION("""COMPUTED_VALUE"""),24.977)</f>
        <v>24.977</v>
      </c>
      <c r="G70">
        <f>IFERROR(__xludf.DUMMYFUNCTION("""COMPUTED_VALUE"""),28.179)</f>
        <v>28.179</v>
      </c>
      <c r="H70">
        <f>IFERROR(__xludf.DUMMYFUNCTION("""COMPUTED_VALUE"""),31.308)</f>
        <v>31.308</v>
      </c>
      <c r="I70">
        <f>IFERROR(__xludf.DUMMYFUNCTION("""COMPUTED_VALUE"""),35.028)</f>
        <v>35.028</v>
      </c>
      <c r="J70">
        <f>IFERROR(__xludf.DUMMYFUNCTION("""COMPUTED_VALUE"""),40.242)</f>
        <v>40.242</v>
      </c>
      <c r="K70">
        <f>IFERROR(__xludf.DUMMYFUNCTION("""COMPUTED_VALUE"""),37.997)</f>
        <v>37.997</v>
      </c>
    </row>
    <row r="71">
      <c r="A71" t="str">
        <f>IFERROR(__xludf.DUMMYFUNCTION("""COMPUTED_VALUE"""),"Guinée")</f>
        <v>Guinée</v>
      </c>
      <c r="B71">
        <f>IFERROR(__xludf.DUMMYFUNCTION("""COMPUTED_VALUE"""),4.039)</f>
        <v>4.039</v>
      </c>
      <c r="C71">
        <f>IFERROR(__xludf.DUMMYFUNCTION("""COMPUTED_VALUE"""),3.806)</f>
        <v>3.806</v>
      </c>
      <c r="D71">
        <f>IFERROR(__xludf.DUMMYFUNCTION("""COMPUTED_VALUE"""),4.022)</f>
        <v>4.022</v>
      </c>
      <c r="E71">
        <f>IFERROR(__xludf.DUMMYFUNCTION("""COMPUTED_VALUE"""),4.759)</f>
        <v>4.759</v>
      </c>
      <c r="F71">
        <f>IFERROR(__xludf.DUMMYFUNCTION("""COMPUTED_VALUE"""),5.012)</f>
        <v>5.012</v>
      </c>
      <c r="G71">
        <f>IFERROR(__xludf.DUMMYFUNCTION("""COMPUTED_VALUE"""),4.506)</f>
        <v>4.506</v>
      </c>
      <c r="H71">
        <f>IFERROR(__xludf.DUMMYFUNCTION("""COMPUTED_VALUE"""),4.178)</f>
        <v>4.178</v>
      </c>
      <c r="I71">
        <f>IFERROR(__xludf.DUMMYFUNCTION("""COMPUTED_VALUE"""),6.317)</f>
        <v>6.317</v>
      </c>
      <c r="J71">
        <f>IFERROR(__xludf.DUMMYFUNCTION("""COMPUTED_VALUE"""),6.966)</f>
        <v>6.966</v>
      </c>
      <c r="K71">
        <f>IFERROR(__xludf.DUMMYFUNCTION("""COMPUTED_VALUE"""),6.753)</f>
        <v>6.753</v>
      </c>
    </row>
    <row r="72">
      <c r="A72" t="str">
        <f>IFERROR(__xludf.DUMMYFUNCTION("""COMPUTED_VALUE"""),"Guinée-Bissau")</f>
        <v>Guinée-Bissau</v>
      </c>
      <c r="B72">
        <f>IFERROR(__xludf.DUMMYFUNCTION("""COMPUTED_VALUE"""),0.392)</f>
        <v>0.392</v>
      </c>
      <c r="C72">
        <f>IFERROR(__xludf.DUMMYFUNCTION("""COMPUTED_VALUE"""),0.413)</f>
        <v>0.413</v>
      </c>
      <c r="D72">
        <f>IFERROR(__xludf.DUMMYFUNCTION("""COMPUTED_VALUE"""),0.466)</f>
        <v>0.466</v>
      </c>
      <c r="E72">
        <f>IFERROR(__xludf.DUMMYFUNCTION("""COMPUTED_VALUE"""),0.553)</f>
        <v>0.553</v>
      </c>
      <c r="F72">
        <f>IFERROR(__xludf.DUMMYFUNCTION("""COMPUTED_VALUE"""),0.582)</f>
        <v>0.582</v>
      </c>
      <c r="G72">
        <f>IFERROR(__xludf.DUMMYFUNCTION("""COMPUTED_VALUE"""),0.64)</f>
        <v>0.64</v>
      </c>
      <c r="H72">
        <f>IFERROR(__xludf.DUMMYFUNCTION("""COMPUTED_VALUE"""),0.635)</f>
        <v>0.635</v>
      </c>
      <c r="I72">
        <f>IFERROR(__xludf.DUMMYFUNCTION("""COMPUTED_VALUE"""),0.753)</f>
        <v>0.753</v>
      </c>
      <c r="J72">
        <f>IFERROR(__xludf.DUMMYFUNCTION("""COMPUTED_VALUE"""),0.953)</f>
        <v>0.953</v>
      </c>
      <c r="K72">
        <f>IFERROR(__xludf.DUMMYFUNCTION("""COMPUTED_VALUE"""),0.889)</f>
        <v>0.889</v>
      </c>
    </row>
    <row r="73">
      <c r="A73" t="str">
        <f>IFERROR(__xludf.DUMMYFUNCTION("""COMPUTED_VALUE"""),"Guyana")</f>
        <v>Guyana</v>
      </c>
      <c r="B73">
        <f>IFERROR(__xludf.DUMMYFUNCTION("""COMPUTED_VALUE"""),1.497)</f>
        <v>1.497</v>
      </c>
      <c r="C73">
        <f>IFERROR(__xludf.DUMMYFUNCTION("""COMPUTED_VALUE"""),1.504)</f>
        <v>1.504</v>
      </c>
      <c r="D73">
        <f>IFERROR(__xludf.DUMMYFUNCTION("""COMPUTED_VALUE"""),1.555)</f>
        <v>1.555</v>
      </c>
      <c r="E73">
        <f>IFERROR(__xludf.DUMMYFUNCTION("""COMPUTED_VALUE"""),1.592)</f>
        <v>1.592</v>
      </c>
      <c r="F73">
        <f>IFERROR(__xludf.DUMMYFUNCTION("""COMPUTED_VALUE"""),1.657)</f>
        <v>1.657</v>
      </c>
      <c r="G73">
        <f>IFERROR(__xludf.DUMMYFUNCTION("""COMPUTED_VALUE"""),1.712)</f>
        <v>1.712</v>
      </c>
      <c r="H73">
        <f>IFERROR(__xludf.DUMMYFUNCTION("""COMPUTED_VALUE"""),1.899)</f>
        <v>1.899</v>
      </c>
      <c r="I73">
        <f>IFERROR(__xludf.DUMMYFUNCTION("""COMPUTED_VALUE"""),2.225)</f>
        <v>2.225</v>
      </c>
      <c r="J73">
        <f>IFERROR(__xludf.DUMMYFUNCTION("""COMPUTED_VALUE"""),2.491)</f>
        <v>2.491</v>
      </c>
      <c r="K73">
        <f>IFERROR(__xludf.DUMMYFUNCTION("""COMPUTED_VALUE"""),2.596)</f>
        <v>2.596</v>
      </c>
    </row>
    <row r="74">
      <c r="A74" t="str">
        <f>IFERROR(__xludf.DUMMYFUNCTION("""COMPUTED_VALUE"""),"Haïti")</f>
        <v>Haïti</v>
      </c>
      <c r="B74">
        <f>IFERROR(__xludf.DUMMYFUNCTION("""COMPUTED_VALUE"""),6.81)</f>
        <v>6.81</v>
      </c>
      <c r="C74">
        <f>IFERROR(__xludf.DUMMYFUNCTION("""COMPUTED_VALUE"""),6.285)</f>
        <v>6.285</v>
      </c>
      <c r="D74">
        <f>IFERROR(__xludf.DUMMYFUNCTION("""COMPUTED_VALUE"""),6.064)</f>
        <v>6.064</v>
      </c>
      <c r="E74">
        <f>IFERROR(__xludf.DUMMYFUNCTION("""COMPUTED_VALUE"""),4.866)</f>
        <v>4.866</v>
      </c>
      <c r="F74">
        <f>IFERROR(__xludf.DUMMYFUNCTION("""COMPUTED_VALUE"""),6.037)</f>
        <v>6.037</v>
      </c>
      <c r="G74">
        <f>IFERROR(__xludf.DUMMYFUNCTION("""COMPUTED_VALUE"""),7.186)</f>
        <v>7.186</v>
      </c>
      <c r="H74">
        <f>IFERROR(__xludf.DUMMYFUNCTION("""COMPUTED_VALUE"""),7.507)</f>
        <v>7.507</v>
      </c>
      <c r="I74">
        <f>IFERROR(__xludf.DUMMYFUNCTION("""COMPUTED_VALUE"""),9.522)</f>
        <v>9.522</v>
      </c>
      <c r="J74">
        <f>IFERROR(__xludf.DUMMYFUNCTION("""COMPUTED_VALUE"""),10.488)</f>
        <v>10.488</v>
      </c>
      <c r="K74">
        <f>IFERROR(__xludf.DUMMYFUNCTION("""COMPUTED_VALUE"""),11.598)</f>
        <v>11.598</v>
      </c>
    </row>
    <row r="75">
      <c r="A75" t="str">
        <f>IFERROR(__xludf.DUMMYFUNCTION("""COMPUTED_VALUE"""),"Honduras")</f>
        <v>Honduras</v>
      </c>
      <c r="B75">
        <f>IFERROR(__xludf.DUMMYFUNCTION("""COMPUTED_VALUE"""),7.187)</f>
        <v>7.187</v>
      </c>
      <c r="C75">
        <f>IFERROR(__xludf.DUMMYFUNCTION("""COMPUTED_VALUE"""),7.651)</f>
        <v>7.651</v>
      </c>
      <c r="D75">
        <f>IFERROR(__xludf.DUMMYFUNCTION("""COMPUTED_VALUE"""),7.858)</f>
        <v>7.858</v>
      </c>
      <c r="E75">
        <f>IFERROR(__xludf.DUMMYFUNCTION("""COMPUTED_VALUE"""),8.23)</f>
        <v>8.23</v>
      </c>
      <c r="F75">
        <f>IFERROR(__xludf.DUMMYFUNCTION("""COMPUTED_VALUE"""),8.869)</f>
        <v>8.869</v>
      </c>
      <c r="G75">
        <f>IFERROR(__xludf.DUMMYFUNCTION("""COMPUTED_VALUE"""),9.757)</f>
        <v>9.757</v>
      </c>
      <c r="H75">
        <f>IFERROR(__xludf.DUMMYFUNCTION("""COMPUTED_VALUE"""),10.917)</f>
        <v>10.917</v>
      </c>
      <c r="I75">
        <f>IFERROR(__xludf.DUMMYFUNCTION("""COMPUTED_VALUE"""),12.361)</f>
        <v>12.361</v>
      </c>
      <c r="J75">
        <f>IFERROR(__xludf.DUMMYFUNCTION("""COMPUTED_VALUE"""),13.882)</f>
        <v>13.882</v>
      </c>
      <c r="K75">
        <f>IFERROR(__xludf.DUMMYFUNCTION("""COMPUTED_VALUE"""),14.587)</f>
        <v>14.587</v>
      </c>
    </row>
    <row r="76">
      <c r="A76" t="str">
        <f>IFERROR(__xludf.DUMMYFUNCTION("""COMPUTED_VALUE"""),"Hong Kong")</f>
        <v>Hong Kong</v>
      </c>
      <c r="B76">
        <f>IFERROR(__xludf.DUMMYFUNCTION("""COMPUTED_VALUE"""),171.643)</f>
        <v>171.643</v>
      </c>
      <c r="C76">
        <f>IFERROR(__xludf.DUMMYFUNCTION("""COMPUTED_VALUE"""),169.381)</f>
        <v>169.381</v>
      </c>
      <c r="D76">
        <f>IFERROR(__xludf.DUMMYFUNCTION("""COMPUTED_VALUE"""),166.336)</f>
        <v>166.336</v>
      </c>
      <c r="E76">
        <f>IFERROR(__xludf.DUMMYFUNCTION("""COMPUTED_VALUE"""),161.37)</f>
        <v>161.37</v>
      </c>
      <c r="F76">
        <f>IFERROR(__xludf.DUMMYFUNCTION("""COMPUTED_VALUE"""),169.085)</f>
        <v>169.085</v>
      </c>
      <c r="G76">
        <f>IFERROR(__xludf.DUMMYFUNCTION("""COMPUTED_VALUE"""),181.556)</f>
        <v>181.556</v>
      </c>
      <c r="H76">
        <f>IFERROR(__xludf.DUMMYFUNCTION("""COMPUTED_VALUE"""),193.515)</f>
        <v>193.515</v>
      </c>
      <c r="I76">
        <f>IFERROR(__xludf.DUMMYFUNCTION("""COMPUTED_VALUE"""),211.583)</f>
        <v>211.583</v>
      </c>
      <c r="J76">
        <f>IFERROR(__xludf.DUMMYFUNCTION("""COMPUTED_VALUE"""),219.279)</f>
        <v>219.279</v>
      </c>
      <c r="K76">
        <f>IFERROR(__xludf.DUMMYFUNCTION("""COMPUTED_VALUE"""),214.048)</f>
        <v>214.048</v>
      </c>
    </row>
    <row r="77">
      <c r="A77" t="str">
        <f>IFERROR(__xludf.DUMMYFUNCTION("""COMPUTED_VALUE"""),"Hongrie")</f>
        <v>Hongrie</v>
      </c>
      <c r="B77">
        <f>IFERROR(__xludf.DUMMYFUNCTION("""COMPUTED_VALUE"""),47.218)</f>
        <v>47.218</v>
      </c>
      <c r="C77">
        <f>IFERROR(__xludf.DUMMYFUNCTION("""COMPUTED_VALUE"""),53.75)</f>
        <v>53.75</v>
      </c>
      <c r="D77">
        <f>IFERROR(__xludf.DUMMYFUNCTION("""COMPUTED_VALUE"""),67.609)</f>
        <v>67.609</v>
      </c>
      <c r="E77">
        <f>IFERROR(__xludf.DUMMYFUNCTION("""COMPUTED_VALUE"""),85.285)</f>
        <v>85.285</v>
      </c>
      <c r="F77">
        <f>IFERROR(__xludf.DUMMYFUNCTION("""COMPUTED_VALUE"""),104.121)</f>
        <v>104.121</v>
      </c>
      <c r="G77">
        <f>IFERROR(__xludf.DUMMYFUNCTION("""COMPUTED_VALUE"""),113.211)</f>
        <v>113.211</v>
      </c>
      <c r="H77">
        <f>IFERROR(__xludf.DUMMYFUNCTION("""COMPUTED_VALUE"""),115.716)</f>
        <v>115.716</v>
      </c>
      <c r="I77">
        <f>IFERROR(__xludf.DUMMYFUNCTION("""COMPUTED_VALUE"""),140.187)</f>
        <v>140.187</v>
      </c>
      <c r="J77">
        <f>IFERROR(__xludf.DUMMYFUNCTION("""COMPUTED_VALUE"""),158.326)</f>
        <v>158.326</v>
      </c>
      <c r="K77">
        <f>IFERROR(__xludf.DUMMYFUNCTION("""COMPUTED_VALUE"""),131.069)</f>
        <v>131.069</v>
      </c>
    </row>
    <row r="78">
      <c r="A78" t="str">
        <f>IFERROR(__xludf.DUMMYFUNCTION("""COMPUTED_VALUE"""),"Islande")</f>
        <v>Islande</v>
      </c>
      <c r="B78">
        <f>IFERROR(__xludf.DUMMYFUNCTION("""COMPUTED_VALUE"""),9.026)</f>
        <v>9.026</v>
      </c>
      <c r="C78">
        <f>IFERROR(__xludf.DUMMYFUNCTION("""COMPUTED_VALUE"""),8.235)</f>
        <v>8.235</v>
      </c>
      <c r="D78">
        <f>IFERROR(__xludf.DUMMYFUNCTION("""COMPUTED_VALUE"""),9.318)</f>
        <v>9.318</v>
      </c>
      <c r="E78">
        <f>IFERROR(__xludf.DUMMYFUNCTION("""COMPUTED_VALUE"""),11.429)</f>
        <v>11.429</v>
      </c>
      <c r="F78">
        <f>IFERROR(__xludf.DUMMYFUNCTION("""COMPUTED_VALUE"""),13.825)</f>
        <v>13.825</v>
      </c>
      <c r="G78">
        <f>IFERROR(__xludf.DUMMYFUNCTION("""COMPUTED_VALUE"""),16.853)</f>
        <v>16.853</v>
      </c>
      <c r="H78">
        <f>IFERROR(__xludf.DUMMYFUNCTION("""COMPUTED_VALUE"""),17.465)</f>
        <v>17.465</v>
      </c>
      <c r="I78">
        <f>IFERROR(__xludf.DUMMYFUNCTION("""COMPUTED_VALUE"""),21.653)</f>
        <v>21.653</v>
      </c>
      <c r="J78">
        <f>IFERROR(__xludf.DUMMYFUNCTION("""COMPUTED_VALUE"""),18.075)</f>
        <v>18.075</v>
      </c>
      <c r="K78">
        <f>IFERROR(__xludf.DUMMYFUNCTION("""COMPUTED_VALUE"""),13.154)</f>
        <v>13.154</v>
      </c>
    </row>
    <row r="79">
      <c r="A79" t="str">
        <f>IFERROR(__xludf.DUMMYFUNCTION("""COMPUTED_VALUE"""),"Inde")</f>
        <v>Inde</v>
      </c>
      <c r="B79">
        <f>IFERROR(__xludf.DUMMYFUNCTION("""COMPUTED_VALUE"""),476.61)</f>
        <v>476.61</v>
      </c>
      <c r="C79">
        <f>IFERROR(__xludf.DUMMYFUNCTION("""COMPUTED_VALUE"""),493.953)</f>
        <v>493.953</v>
      </c>
      <c r="D79">
        <f>IFERROR(__xludf.DUMMYFUNCTION("""COMPUTED_VALUE"""),523.97)</f>
        <v>523.97</v>
      </c>
      <c r="E79">
        <f>IFERROR(__xludf.DUMMYFUNCTION("""COMPUTED_VALUE"""),618.358)</f>
        <v>618.358</v>
      </c>
      <c r="F79">
        <f>IFERROR(__xludf.DUMMYFUNCTION("""COMPUTED_VALUE"""),721.589)</f>
        <v>721.589</v>
      </c>
      <c r="G79">
        <f>IFERROR(__xludf.DUMMYFUNCTION("""COMPUTED_VALUE"""),834.217)</f>
        <v>834.217</v>
      </c>
      <c r="H79">
        <f>IFERROR(__xludf.DUMMYFUNCTION("""COMPUTED_VALUE"""),949.117)</f>
        <v>949.117</v>
      </c>
      <c r="I79">
        <f>IFERROR(__xludf.DUMMYFUNCTION("""COMPUTED_VALUE"""),1238.7)</f>
        <v>1238.7</v>
      </c>
      <c r="J79">
        <f>IFERROR(__xludf.DUMMYFUNCTION("""COMPUTED_VALUE"""),1224.096)</f>
        <v>1224.096</v>
      </c>
      <c r="K79">
        <f>IFERROR(__xludf.DUMMYFUNCTION("""COMPUTED_VALUE"""),1365.373)</f>
        <v>1365.373</v>
      </c>
    </row>
    <row r="80">
      <c r="A80" t="str">
        <f>IFERROR(__xludf.DUMMYFUNCTION("""COMPUTED_VALUE"""),"Indonésie")</f>
        <v>Indonésie</v>
      </c>
      <c r="B80">
        <f>IFERROR(__xludf.DUMMYFUNCTION("""COMPUTED_VALUE"""),179.482)</f>
        <v>179.482</v>
      </c>
      <c r="C80">
        <f>IFERROR(__xludf.DUMMYFUNCTION("""COMPUTED_VALUE"""),174.507)</f>
        <v>174.507</v>
      </c>
      <c r="D80">
        <f>IFERROR(__xludf.DUMMYFUNCTION("""COMPUTED_VALUE"""),212.807)</f>
        <v>212.807</v>
      </c>
      <c r="E80">
        <f>IFERROR(__xludf.DUMMYFUNCTION("""COMPUTED_VALUE"""),255.428)</f>
        <v>255.428</v>
      </c>
      <c r="F80">
        <f>IFERROR(__xludf.DUMMYFUNCTION("""COMPUTED_VALUE"""),279.556)</f>
        <v>279.556</v>
      </c>
      <c r="G80">
        <f>IFERROR(__xludf.DUMMYFUNCTION("""COMPUTED_VALUE"""),310.815)</f>
        <v>310.815</v>
      </c>
      <c r="H80">
        <f>IFERROR(__xludf.DUMMYFUNCTION("""COMPUTED_VALUE"""),396.293)</f>
        <v>396.293</v>
      </c>
      <c r="I80">
        <f>IFERROR(__xludf.DUMMYFUNCTION("""COMPUTED_VALUE"""),470.144)</f>
        <v>470.144</v>
      </c>
      <c r="J80">
        <f>IFERROR(__xludf.DUMMYFUNCTION("""COMPUTED_VALUE"""),558.582)</f>
        <v>558.582</v>
      </c>
      <c r="K80">
        <f>IFERROR(__xludf.DUMMYFUNCTION("""COMPUTED_VALUE"""),577.539)</f>
        <v>577.539</v>
      </c>
    </row>
    <row r="81">
      <c r="A81" t="str">
        <f>IFERROR(__xludf.DUMMYFUNCTION("""COMPUTED_VALUE"""),"Iran")</f>
        <v>Iran</v>
      </c>
      <c r="B81">
        <f>IFERROR(__xludf.DUMMYFUNCTION("""COMPUTED_VALUE"""),366.917)</f>
        <v>366.917</v>
      </c>
      <c r="C81">
        <f>IFERROR(__xludf.DUMMYFUNCTION("""COMPUTED_VALUE"""),330.978)</f>
        <v>330.978</v>
      </c>
      <c r="D81">
        <f>IFERROR(__xludf.DUMMYFUNCTION("""COMPUTED_VALUE"""),132.682)</f>
        <v>132.682</v>
      </c>
      <c r="E81">
        <f>IFERROR(__xludf.DUMMYFUNCTION("""COMPUTED_VALUE"""),158.416)</f>
        <v>158.416</v>
      </c>
      <c r="F81">
        <f>IFERROR(__xludf.DUMMYFUNCTION("""COMPUTED_VALUE"""),188.961)</f>
        <v>188.961</v>
      </c>
      <c r="G81">
        <f>IFERROR(__xludf.DUMMYFUNCTION("""COMPUTED_VALUE"""),228.428)</f>
        <v>228.428</v>
      </c>
      <c r="H81">
        <f>IFERROR(__xludf.DUMMYFUNCTION("""COMPUTED_VALUE"""),272.361)</f>
        <v>272.361</v>
      </c>
      <c r="I81">
        <f>IFERROR(__xludf.DUMMYFUNCTION("""COMPUTED_VALUE"""),360.928)</f>
        <v>360.928</v>
      </c>
      <c r="J81">
        <f>IFERROR(__xludf.DUMMYFUNCTION("""COMPUTED_VALUE"""),425.699)</f>
        <v>425.699</v>
      </c>
      <c r="K81">
        <f>IFERROR(__xludf.DUMMYFUNCTION("""COMPUTED_VALUE"""),440.408)</f>
        <v>440.408</v>
      </c>
    </row>
    <row r="82">
      <c r="A82" t="str">
        <f>IFERROR(__xludf.DUMMYFUNCTION("""COMPUTED_VALUE"""),"Irak")</f>
        <v>Irak</v>
      </c>
      <c r="B82">
        <f>IFERROR(__xludf.DUMMYFUNCTION("""COMPUTED_VALUE"""),25.857)</f>
        <v>25.857</v>
      </c>
      <c r="C82">
        <f>IFERROR(__xludf.DUMMYFUNCTION("""COMPUTED_VALUE"""),18.936)</f>
        <v>18.936</v>
      </c>
      <c r="D82">
        <f>IFERROR(__xludf.DUMMYFUNCTION("""COMPUTED_VALUE"""),18.97)</f>
        <v>18.97</v>
      </c>
      <c r="E82">
        <f>IFERROR(__xludf.DUMMYFUNCTION("""COMPUTED_VALUE"""),15.8)</f>
        <v>15.8</v>
      </c>
      <c r="F82">
        <f>IFERROR(__xludf.DUMMYFUNCTION("""COMPUTED_VALUE"""),36.642)</f>
        <v>36.642</v>
      </c>
      <c r="G82">
        <f>IFERROR(__xludf.DUMMYFUNCTION("""COMPUTED_VALUE"""),50.065)</f>
        <v>50.065</v>
      </c>
      <c r="H82">
        <f>IFERROR(__xludf.DUMMYFUNCTION("""COMPUTED_VALUE"""),65.144)</f>
        <v>65.144</v>
      </c>
      <c r="I82">
        <f>IFERROR(__xludf.DUMMYFUNCTION("""COMPUTED_VALUE"""),88.833)</f>
        <v>88.833</v>
      </c>
      <c r="J82">
        <f>IFERROR(__xludf.DUMMYFUNCTION("""COMPUTED_VALUE"""),131.614)</f>
        <v>131.614</v>
      </c>
      <c r="K82">
        <f>IFERROR(__xludf.DUMMYFUNCTION("""COMPUTED_VALUE"""),111.66)</f>
        <v>111.66</v>
      </c>
    </row>
    <row r="83">
      <c r="A83" t="str">
        <f>IFERROR(__xludf.DUMMYFUNCTION("""COMPUTED_VALUE"""),"Irlande")</f>
        <v>Irlande</v>
      </c>
      <c r="B83">
        <f>IFERROR(__xludf.DUMMYFUNCTION("""COMPUTED_VALUE"""),100.253)</f>
        <v>100.253</v>
      </c>
      <c r="C83">
        <f>IFERROR(__xludf.DUMMYFUNCTION("""COMPUTED_VALUE"""),109.347)</f>
        <v>109.347</v>
      </c>
      <c r="D83">
        <f>IFERROR(__xludf.DUMMYFUNCTION("""COMPUTED_VALUE"""),128.505)</f>
        <v>128.505</v>
      </c>
      <c r="E83">
        <f>IFERROR(__xludf.DUMMYFUNCTION("""COMPUTED_VALUE"""),164.63)</f>
        <v>164.63</v>
      </c>
      <c r="F83">
        <f>IFERROR(__xludf.DUMMYFUNCTION("""COMPUTED_VALUE"""),194.283)</f>
        <v>194.283</v>
      </c>
      <c r="G83">
        <f>IFERROR(__xludf.DUMMYFUNCTION("""COMPUTED_VALUE"""),211.993)</f>
        <v>211.993</v>
      </c>
      <c r="H83">
        <f>IFERROR(__xludf.DUMMYFUNCTION("""COMPUTED_VALUE"""),232.193)</f>
        <v>232.193</v>
      </c>
      <c r="I83">
        <f>IFERROR(__xludf.DUMMYFUNCTION("""COMPUTED_VALUE"""),270.112)</f>
        <v>270.112</v>
      </c>
      <c r="J83">
        <f>IFERROR(__xludf.DUMMYFUNCTION("""COMPUTED_VALUE"""),275.417)</f>
        <v>275.417</v>
      </c>
      <c r="K83">
        <f>IFERROR(__xludf.DUMMYFUNCTION("""COMPUTED_VALUE"""),236.187)</f>
        <v>236.187</v>
      </c>
    </row>
    <row r="84">
      <c r="A84" t="str">
        <f>IFERROR(__xludf.DUMMYFUNCTION("""COMPUTED_VALUE"""),"Israël")</f>
        <v>Israël</v>
      </c>
      <c r="B84">
        <f>IFERROR(__xludf.DUMMYFUNCTION("""COMPUTED_VALUE"""),136.034)</f>
        <v>136.034</v>
      </c>
      <c r="C84">
        <f>IFERROR(__xludf.DUMMYFUNCTION("""COMPUTED_VALUE"""),134.637)</f>
        <v>134.637</v>
      </c>
      <c r="D84">
        <f>IFERROR(__xludf.DUMMYFUNCTION("""COMPUTED_VALUE"""),125.06)</f>
        <v>125.06</v>
      </c>
      <c r="E84">
        <f>IFERROR(__xludf.DUMMYFUNCTION("""COMPUTED_VALUE"""),131.299)</f>
        <v>131.299</v>
      </c>
      <c r="F84">
        <f>IFERROR(__xludf.DUMMYFUNCTION("""COMPUTED_VALUE"""),139.974)</f>
        <v>139.974</v>
      </c>
      <c r="G84">
        <f>IFERROR(__xludf.DUMMYFUNCTION("""COMPUTED_VALUE"""),147.084)</f>
        <v>147.084</v>
      </c>
      <c r="H84">
        <f>IFERROR(__xludf.DUMMYFUNCTION("""COMPUTED_VALUE"""),158.67)</f>
        <v>158.67</v>
      </c>
      <c r="I84">
        <f>IFERROR(__xludf.DUMMYFUNCTION("""COMPUTED_VALUE"""),184.053)</f>
        <v>184.053</v>
      </c>
      <c r="J84">
        <f>IFERROR(__xludf.DUMMYFUNCTION("""COMPUTED_VALUE"""),220.53)</f>
        <v>220.53</v>
      </c>
      <c r="K84">
        <f>IFERROR(__xludf.DUMMYFUNCTION("""COMPUTED_VALUE"""),211.968)</f>
        <v>211.968</v>
      </c>
    </row>
    <row r="85">
      <c r="A85" t="str">
        <f>IFERROR(__xludf.DUMMYFUNCTION("""COMPUTED_VALUE"""),"Italie")</f>
        <v>Italie</v>
      </c>
      <c r="B85">
        <f>IFERROR(__xludf.DUMMYFUNCTION("""COMPUTED_VALUE"""),1147.183)</f>
        <v>1147.183</v>
      </c>
      <c r="C85">
        <f>IFERROR(__xludf.DUMMYFUNCTION("""COMPUTED_VALUE"""),1168.032)</f>
        <v>1168.032</v>
      </c>
      <c r="D85">
        <f>IFERROR(__xludf.DUMMYFUNCTION("""COMPUTED_VALUE"""),1275.867)</f>
        <v>1275.867</v>
      </c>
      <c r="E85">
        <f>IFERROR(__xludf.DUMMYFUNCTION("""COMPUTED_VALUE"""),1577.228)</f>
        <v>1577.228</v>
      </c>
      <c r="F85">
        <f>IFERROR(__xludf.DUMMYFUNCTION("""COMPUTED_VALUE"""),1805.723)</f>
        <v>1805.723</v>
      </c>
      <c r="G85">
        <f>IFERROR(__xludf.DUMMYFUNCTION("""COMPUTED_VALUE"""),1859.244)</f>
        <v>1859.244</v>
      </c>
      <c r="H85">
        <f>IFERROR(__xludf.DUMMYFUNCTION("""COMPUTED_VALUE"""),1949.657)</f>
        <v>1949.657</v>
      </c>
      <c r="I85">
        <f>IFERROR(__xludf.DUMMYFUNCTION("""COMPUTED_VALUE"""),2213.364)</f>
        <v>2213.364</v>
      </c>
      <c r="J85">
        <f>IFERROR(__xludf.DUMMYFUNCTION("""COMPUTED_VALUE"""),2408.392)</f>
        <v>2408.392</v>
      </c>
      <c r="K85">
        <f>IFERROR(__xludf.DUMMYFUNCTION("""COMPUTED_VALUE"""),2197.54)</f>
        <v>2197.54</v>
      </c>
    </row>
    <row r="86">
      <c r="A86" t="str">
        <f>IFERROR(__xludf.DUMMYFUNCTION("""COMPUTED_VALUE"""),"Jamaïque")</f>
        <v>Jamaïque</v>
      </c>
      <c r="B86">
        <f>IFERROR(__xludf.DUMMYFUNCTION("""COMPUTED_VALUE"""),9.065)</f>
        <v>9.065</v>
      </c>
      <c r="C86">
        <f>IFERROR(__xludf.DUMMYFUNCTION("""COMPUTED_VALUE"""),9.195)</f>
        <v>9.195</v>
      </c>
      <c r="D86">
        <f>IFERROR(__xludf.DUMMYFUNCTION("""COMPUTED_VALUE"""),9.719)</f>
        <v>9.719</v>
      </c>
      <c r="E86">
        <f>IFERROR(__xludf.DUMMYFUNCTION("""COMPUTED_VALUE"""),9.43)</f>
        <v>9.43</v>
      </c>
      <c r="F86">
        <f>IFERROR(__xludf.DUMMYFUNCTION("""COMPUTED_VALUE"""),10.175)</f>
        <v>10.175</v>
      </c>
      <c r="G86">
        <f>IFERROR(__xludf.DUMMYFUNCTION("""COMPUTED_VALUE"""),11.233)</f>
        <v>11.233</v>
      </c>
      <c r="H86">
        <f>IFERROR(__xludf.DUMMYFUNCTION("""COMPUTED_VALUE"""),11.946)</f>
        <v>11.946</v>
      </c>
      <c r="I86">
        <f>IFERROR(__xludf.DUMMYFUNCTION("""COMPUTED_VALUE"""),12.881)</f>
        <v>12.881</v>
      </c>
      <c r="J86">
        <f>IFERROR(__xludf.DUMMYFUNCTION("""COMPUTED_VALUE"""),13.743)</f>
        <v>13.743</v>
      </c>
      <c r="K86">
        <f>IFERROR(__xludf.DUMMYFUNCTION("""COMPUTED_VALUE"""),12.107)</f>
        <v>12.107</v>
      </c>
    </row>
    <row r="87">
      <c r="A87" t="str">
        <f>IFERROR(__xludf.DUMMYFUNCTION("""COMPUTED_VALUE"""),"Japon")</f>
        <v>Japon</v>
      </c>
      <c r="B87">
        <f>IFERROR(__xludf.DUMMYFUNCTION("""COMPUTED_VALUE"""),4968.36)</f>
        <v>4968.36</v>
      </c>
      <c r="C87">
        <f>IFERROR(__xludf.DUMMYFUNCTION("""COMPUTED_VALUE"""),4374.71)</f>
        <v>4374.71</v>
      </c>
      <c r="D87">
        <f>IFERROR(__xludf.DUMMYFUNCTION("""COMPUTED_VALUE"""),4182.845)</f>
        <v>4182.845</v>
      </c>
      <c r="E87">
        <f>IFERROR(__xludf.DUMMYFUNCTION("""COMPUTED_VALUE"""),4519.564)</f>
        <v>4519.564</v>
      </c>
      <c r="F87">
        <f>IFERROR(__xludf.DUMMYFUNCTION("""COMPUTED_VALUE"""),4893.135)</f>
        <v>4893.135</v>
      </c>
      <c r="G87">
        <f>IFERROR(__xludf.DUMMYFUNCTION("""COMPUTED_VALUE"""),4831.467)</f>
        <v>4831.467</v>
      </c>
      <c r="H87">
        <f>IFERROR(__xludf.DUMMYFUNCTION("""COMPUTED_VALUE"""),4601.663)</f>
        <v>4601.663</v>
      </c>
      <c r="I87">
        <f>IFERROR(__xludf.DUMMYFUNCTION("""COMPUTED_VALUE"""),4579.75)</f>
        <v>4579.75</v>
      </c>
      <c r="J87">
        <f>IFERROR(__xludf.DUMMYFUNCTION("""COMPUTED_VALUE"""),5106.679)</f>
        <v>5106.679</v>
      </c>
      <c r="K87">
        <f>IFERROR(__xludf.DUMMYFUNCTION("""COMPUTED_VALUE"""),5289.494)</f>
        <v>5289.494</v>
      </c>
    </row>
    <row r="88">
      <c r="A88" t="str">
        <f>IFERROR(__xludf.DUMMYFUNCTION("""COMPUTED_VALUE"""),"Jordanie")</f>
        <v>Jordanie</v>
      </c>
      <c r="B88">
        <f>IFERROR(__xludf.DUMMYFUNCTION("""COMPUTED_VALUE"""),8.725)</f>
        <v>8.725</v>
      </c>
      <c r="C88">
        <f>IFERROR(__xludf.DUMMYFUNCTION("""COMPUTED_VALUE"""),9.268)</f>
        <v>9.268</v>
      </c>
      <c r="D88">
        <f>IFERROR(__xludf.DUMMYFUNCTION("""COMPUTED_VALUE"""),9.972)</f>
        <v>9.972</v>
      </c>
      <c r="E88">
        <f>IFERROR(__xludf.DUMMYFUNCTION("""COMPUTED_VALUE"""),10.575)</f>
        <v>10.575</v>
      </c>
      <c r="F88">
        <f>IFERROR(__xludf.DUMMYFUNCTION("""COMPUTED_VALUE"""),11.771)</f>
        <v>11.771</v>
      </c>
      <c r="G88">
        <f>IFERROR(__xludf.DUMMYFUNCTION("""COMPUTED_VALUE"""),13.134)</f>
        <v>13.134</v>
      </c>
      <c r="H88">
        <f>IFERROR(__xludf.DUMMYFUNCTION("""COMPUTED_VALUE"""),15.795)</f>
        <v>15.795</v>
      </c>
      <c r="I88">
        <f>IFERROR(__xludf.DUMMYFUNCTION("""COMPUTED_VALUE"""),17.957)</f>
        <v>17.957</v>
      </c>
      <c r="J88">
        <f>IFERROR(__xludf.DUMMYFUNCTION("""COMPUTED_VALUE"""),22.648)</f>
        <v>22.648</v>
      </c>
      <c r="K88">
        <f>IFERROR(__xludf.DUMMYFUNCTION("""COMPUTED_VALUE"""),24.538)</f>
        <v>24.538</v>
      </c>
    </row>
    <row r="89">
      <c r="A89" t="str">
        <f>IFERROR(__xludf.DUMMYFUNCTION("""COMPUTED_VALUE"""),"Kazakhstan")</f>
        <v>Kazakhstan</v>
      </c>
      <c r="B89">
        <f>IFERROR(__xludf.DUMMYFUNCTION("""COMPUTED_VALUE"""),18.292)</f>
        <v>18.292</v>
      </c>
      <c r="C89">
        <f>IFERROR(__xludf.DUMMYFUNCTION("""COMPUTED_VALUE"""),22.153)</f>
        <v>22.153</v>
      </c>
      <c r="D89">
        <f>IFERROR(__xludf.DUMMYFUNCTION("""COMPUTED_VALUE"""),24.637)</f>
        <v>24.637</v>
      </c>
      <c r="E89">
        <f>IFERROR(__xludf.DUMMYFUNCTION("""COMPUTED_VALUE"""),30.834)</f>
        <v>30.834</v>
      </c>
      <c r="F89">
        <f>IFERROR(__xludf.DUMMYFUNCTION("""COMPUTED_VALUE"""),43.152)</f>
        <v>43.152</v>
      </c>
      <c r="G89">
        <f>IFERROR(__xludf.DUMMYFUNCTION("""COMPUTED_VALUE"""),57.125)</f>
        <v>57.125</v>
      </c>
      <c r="H89">
        <f>IFERROR(__xludf.DUMMYFUNCTION("""COMPUTED_VALUE"""),81.003)</f>
        <v>81.003</v>
      </c>
      <c r="I89">
        <f>IFERROR(__xludf.DUMMYFUNCTION("""COMPUTED_VALUE"""),104.85)</f>
        <v>104.85</v>
      </c>
      <c r="J89">
        <f>IFERROR(__xludf.DUMMYFUNCTION("""COMPUTED_VALUE"""),133.442)</f>
        <v>133.442</v>
      </c>
      <c r="K89">
        <f>IFERROR(__xludf.DUMMYFUNCTION("""COMPUTED_VALUE"""),115.309)</f>
        <v>115.309</v>
      </c>
    </row>
    <row r="90">
      <c r="A90" t="str">
        <f>IFERROR(__xludf.DUMMYFUNCTION("""COMPUTED_VALUE"""),"Kenya")</f>
        <v>Kenya</v>
      </c>
      <c r="B90">
        <f>IFERROR(__xludf.DUMMYFUNCTION("""COMPUTED_VALUE"""),18.206)</f>
        <v>18.206</v>
      </c>
      <c r="C90">
        <f>IFERROR(__xludf.DUMMYFUNCTION("""COMPUTED_VALUE"""),18.697)</f>
        <v>18.697</v>
      </c>
      <c r="D90">
        <f>IFERROR(__xludf.DUMMYFUNCTION("""COMPUTED_VALUE"""),19.03)</f>
        <v>19.03</v>
      </c>
      <c r="E90">
        <f>IFERROR(__xludf.DUMMYFUNCTION("""COMPUTED_VALUE"""),21.391)</f>
        <v>21.391</v>
      </c>
      <c r="F90">
        <f>IFERROR(__xludf.DUMMYFUNCTION("""COMPUTED_VALUE"""),22.79)</f>
        <v>22.79</v>
      </c>
      <c r="G90">
        <f>IFERROR(__xludf.DUMMYFUNCTION("""COMPUTED_VALUE"""),26.308)</f>
        <v>26.308</v>
      </c>
      <c r="H90">
        <f>IFERROR(__xludf.DUMMYFUNCTION("""COMPUTED_VALUE"""),29.668)</f>
        <v>29.668</v>
      </c>
      <c r="I90">
        <f>IFERROR(__xludf.DUMMYFUNCTION("""COMPUTED_VALUE"""),36.708)</f>
        <v>36.708</v>
      </c>
      <c r="J90">
        <f>IFERROR(__xludf.DUMMYFUNCTION("""COMPUTED_VALUE"""),41.059)</f>
        <v>41.059</v>
      </c>
      <c r="K90">
        <f>IFERROR(__xludf.DUMMYFUNCTION("""COMPUTED_VALUE"""),42.347)</f>
        <v>42.347</v>
      </c>
    </row>
    <row r="91">
      <c r="A91" t="str">
        <f>IFERROR(__xludf.DUMMYFUNCTION("""COMPUTED_VALUE"""),"Kiribati")</f>
        <v>Kiribati</v>
      </c>
      <c r="B91">
        <f>IFERROR(__xludf.DUMMYFUNCTION("""COMPUTED_VALUE"""),0.068)</f>
        <v>0.068</v>
      </c>
      <c r="C91">
        <f>IFERROR(__xludf.DUMMYFUNCTION("""COMPUTED_VALUE"""),0.063)</f>
        <v>0.063</v>
      </c>
      <c r="D91">
        <f>IFERROR(__xludf.DUMMYFUNCTION("""COMPUTED_VALUE"""),0.072)</f>
        <v>0.072</v>
      </c>
      <c r="E91">
        <f>IFERROR(__xludf.DUMMYFUNCTION("""COMPUTED_VALUE"""),0.091)</f>
        <v>0.091</v>
      </c>
      <c r="F91">
        <f>IFERROR(__xludf.DUMMYFUNCTION("""COMPUTED_VALUE"""),0.103)</f>
        <v>0.103</v>
      </c>
      <c r="G91">
        <f>IFERROR(__xludf.DUMMYFUNCTION("""COMPUTED_VALUE"""),0.112)</f>
        <v>0.112</v>
      </c>
      <c r="H91">
        <f>IFERROR(__xludf.DUMMYFUNCTION("""COMPUTED_VALUE"""),0.11)</f>
        <v>0.11</v>
      </c>
      <c r="I91">
        <f>IFERROR(__xludf.DUMMYFUNCTION("""COMPUTED_VALUE"""),0.133)</f>
        <v>0.133</v>
      </c>
      <c r="J91">
        <f>IFERROR(__xludf.DUMMYFUNCTION("""COMPUTED_VALUE"""),0.144)</f>
        <v>0.144</v>
      </c>
      <c r="K91">
        <f>IFERROR(__xludf.DUMMYFUNCTION("""COMPUTED_VALUE"""),0.134)</f>
        <v>0.134</v>
      </c>
    </row>
    <row r="92">
      <c r="A92" t="str">
        <f>IFERROR(__xludf.DUMMYFUNCTION("""COMPUTED_VALUE"""),"Corée du Sud")</f>
        <v>Corée du Sud</v>
      </c>
      <c r="B92">
        <f>IFERROR(__xludf.DUMMYFUNCTION("""COMPUTED_VALUE"""),576.483)</f>
        <v>576.483</v>
      </c>
      <c r="C92">
        <f>IFERROR(__xludf.DUMMYFUNCTION("""COMPUTED_VALUE"""),547.743)</f>
        <v>547.743</v>
      </c>
      <c r="D92">
        <f>IFERROR(__xludf.DUMMYFUNCTION("""COMPUTED_VALUE"""),626.989)</f>
        <v>626.989</v>
      </c>
      <c r="E92">
        <f>IFERROR(__xludf.DUMMYFUNCTION("""COMPUTED_VALUE"""),702.696)</f>
        <v>702.696</v>
      </c>
      <c r="F92">
        <f>IFERROR(__xludf.DUMMYFUNCTION("""COMPUTED_VALUE"""),792.532)</f>
        <v>792.532</v>
      </c>
      <c r="G92">
        <f>IFERROR(__xludf.DUMMYFUNCTION("""COMPUTED_VALUE"""),934.708)</f>
        <v>934.708</v>
      </c>
      <c r="H92">
        <f>IFERROR(__xludf.DUMMYFUNCTION("""COMPUTED_VALUE"""),1052.61)</f>
        <v>1052.61</v>
      </c>
      <c r="I92">
        <f>IFERROR(__xludf.DUMMYFUNCTION("""COMPUTED_VALUE"""),1172.465)</f>
        <v>1172.465</v>
      </c>
      <c r="J92">
        <f>IFERROR(__xludf.DUMMYFUNCTION("""COMPUTED_VALUE"""),1049.168)</f>
        <v>1049.168</v>
      </c>
      <c r="K92">
        <f>IFERROR(__xludf.DUMMYFUNCTION("""COMPUTED_VALUE"""),943.739)</f>
        <v>943.739</v>
      </c>
    </row>
    <row r="93">
      <c r="A93" t="str">
        <f>IFERROR(__xludf.DUMMYFUNCTION("""COMPUTED_VALUE"""),"Kosovo")</f>
        <v>Kosovo</v>
      </c>
      <c r="B93">
        <f>IFERROR(__xludf.DUMMYFUNCTION("""COMPUTED_VALUE"""),2.217)</f>
        <v>2.217</v>
      </c>
      <c r="C93">
        <f>IFERROR(__xludf.DUMMYFUNCTION("""COMPUTED_VALUE"""),2.509)</f>
        <v>2.509</v>
      </c>
      <c r="D93">
        <f>IFERROR(__xludf.DUMMYFUNCTION("""COMPUTED_VALUE"""),2.73)</f>
        <v>2.73</v>
      </c>
      <c r="E93">
        <f>IFERROR(__xludf.DUMMYFUNCTION("""COMPUTED_VALUE"""),3.39)</f>
        <v>3.39</v>
      </c>
      <c r="F93">
        <f>IFERROR(__xludf.DUMMYFUNCTION("""COMPUTED_VALUE"""),3.71)</f>
        <v>3.71</v>
      </c>
      <c r="G93">
        <f>IFERROR(__xludf.DUMMYFUNCTION("""COMPUTED_VALUE"""),3.828)</f>
        <v>3.828</v>
      </c>
      <c r="H93">
        <f>IFERROR(__xludf.DUMMYFUNCTION("""COMPUTED_VALUE"""),4.019)</f>
        <v>4.019</v>
      </c>
      <c r="I93">
        <f>IFERROR(__xludf.DUMMYFUNCTION("""COMPUTED_VALUE"""),4.868)</f>
        <v>4.868</v>
      </c>
      <c r="J93">
        <f>IFERROR(__xludf.DUMMYFUNCTION("""COMPUTED_VALUE"""),5.202)</f>
        <v>5.202</v>
      </c>
      <c r="K93">
        <f>IFERROR(__xludf.DUMMYFUNCTION("""COMPUTED_VALUE"""),5.03)</f>
        <v>5.03</v>
      </c>
    </row>
    <row r="94">
      <c r="A94" t="str">
        <f>IFERROR(__xludf.DUMMYFUNCTION("""COMPUTED_VALUE"""),"Koweït")</f>
        <v>Koweït</v>
      </c>
      <c r="B94">
        <f>IFERROR(__xludf.DUMMYFUNCTION("""COMPUTED_VALUE"""),37.714)</f>
        <v>37.714</v>
      </c>
      <c r="C94">
        <f>IFERROR(__xludf.DUMMYFUNCTION("""COMPUTED_VALUE"""),34.906)</f>
        <v>34.906</v>
      </c>
      <c r="D94">
        <f>IFERROR(__xludf.DUMMYFUNCTION("""COMPUTED_VALUE"""),38.129)</f>
        <v>38.129</v>
      </c>
      <c r="E94">
        <f>IFERROR(__xludf.DUMMYFUNCTION("""COMPUTED_VALUE"""),47.869)</f>
        <v>47.869</v>
      </c>
      <c r="F94">
        <f>IFERROR(__xludf.DUMMYFUNCTION("""COMPUTED_VALUE"""),59.439)</f>
        <v>59.439</v>
      </c>
      <c r="G94">
        <f>IFERROR(__xludf.DUMMYFUNCTION("""COMPUTED_VALUE"""),80.799)</f>
        <v>80.799</v>
      </c>
      <c r="H94">
        <f>IFERROR(__xludf.DUMMYFUNCTION("""COMPUTED_VALUE"""),101.548)</f>
        <v>101.548</v>
      </c>
      <c r="I94">
        <f>IFERROR(__xludf.DUMMYFUNCTION("""COMPUTED_VALUE"""),114.608)</f>
        <v>114.608</v>
      </c>
      <c r="J94">
        <f>IFERROR(__xludf.DUMMYFUNCTION("""COMPUTED_VALUE"""),147.391)</f>
        <v>147.391</v>
      </c>
      <c r="K94">
        <f>IFERROR(__xludf.DUMMYFUNCTION("""COMPUTED_VALUE"""),105.992)</f>
        <v>105.992</v>
      </c>
    </row>
    <row r="95">
      <c r="A95" t="str">
        <f>IFERROR(__xludf.DUMMYFUNCTION("""COMPUTED_VALUE"""),"Kirghizistan")</f>
        <v>Kirghizistan</v>
      </c>
      <c r="B95">
        <f>IFERROR(__xludf.DUMMYFUNCTION("""COMPUTED_VALUE"""),1.368)</f>
        <v>1.368</v>
      </c>
      <c r="C95">
        <f>IFERROR(__xludf.DUMMYFUNCTION("""COMPUTED_VALUE"""),1.525)</f>
        <v>1.525</v>
      </c>
      <c r="D95">
        <f>IFERROR(__xludf.DUMMYFUNCTION("""COMPUTED_VALUE"""),1.606)</f>
        <v>1.606</v>
      </c>
      <c r="E95">
        <f>IFERROR(__xludf.DUMMYFUNCTION("""COMPUTED_VALUE"""),1.92)</f>
        <v>1.92</v>
      </c>
      <c r="F95">
        <f>IFERROR(__xludf.DUMMYFUNCTION("""COMPUTED_VALUE"""),2.214)</f>
        <v>2.214</v>
      </c>
      <c r="G95">
        <f>IFERROR(__xludf.DUMMYFUNCTION("""COMPUTED_VALUE"""),2.459)</f>
        <v>2.459</v>
      </c>
      <c r="H95">
        <f>IFERROR(__xludf.DUMMYFUNCTION("""COMPUTED_VALUE"""),2.837)</f>
        <v>2.837</v>
      </c>
      <c r="I95">
        <f>IFERROR(__xludf.DUMMYFUNCTION("""COMPUTED_VALUE"""),3.807)</f>
        <v>3.807</v>
      </c>
      <c r="J95">
        <f>IFERROR(__xludf.DUMMYFUNCTION("""COMPUTED_VALUE"""),5.139)</f>
        <v>5.139</v>
      </c>
      <c r="K95">
        <f>IFERROR(__xludf.DUMMYFUNCTION("""COMPUTED_VALUE"""),4.69)</f>
        <v>4.69</v>
      </c>
    </row>
    <row r="96">
      <c r="A96" t="str">
        <f>IFERROR(__xludf.DUMMYFUNCTION("""COMPUTED_VALUE"""),"Laos")</f>
        <v>Laos</v>
      </c>
      <c r="B96">
        <f>IFERROR(__xludf.DUMMYFUNCTION("""COMPUTED_VALUE"""),1.72)</f>
        <v>1.72</v>
      </c>
      <c r="C96">
        <f>IFERROR(__xludf.DUMMYFUNCTION("""COMPUTED_VALUE"""),1.757)</f>
        <v>1.757</v>
      </c>
      <c r="D96">
        <f>IFERROR(__xludf.DUMMYFUNCTION("""COMPUTED_VALUE"""),1.844)</f>
        <v>1.844</v>
      </c>
      <c r="E96">
        <f>IFERROR(__xludf.DUMMYFUNCTION("""COMPUTED_VALUE"""),2.26)</f>
        <v>2.26</v>
      </c>
      <c r="F96">
        <f>IFERROR(__xludf.DUMMYFUNCTION("""COMPUTED_VALUE"""),2.651)</f>
        <v>2.651</v>
      </c>
      <c r="G96">
        <f>IFERROR(__xludf.DUMMYFUNCTION("""COMPUTED_VALUE"""),3.079)</f>
        <v>3.079</v>
      </c>
      <c r="H96">
        <f>IFERROR(__xludf.DUMMYFUNCTION("""COMPUTED_VALUE"""),3.934)</f>
        <v>3.934</v>
      </c>
      <c r="I96">
        <f>IFERROR(__xludf.DUMMYFUNCTION("""COMPUTED_VALUE"""),4.757)</f>
        <v>4.757</v>
      </c>
      <c r="J96">
        <f>IFERROR(__xludf.DUMMYFUNCTION("""COMPUTED_VALUE"""),5.946)</f>
        <v>5.946</v>
      </c>
      <c r="K96">
        <f>IFERROR(__xludf.DUMMYFUNCTION("""COMPUTED_VALUE"""),6.431)</f>
        <v>6.431</v>
      </c>
    </row>
    <row r="97">
      <c r="A97" t="str">
        <f>IFERROR(__xludf.DUMMYFUNCTION("""COMPUTED_VALUE"""),"Lettonie")</f>
        <v>Lettonie</v>
      </c>
      <c r="B97">
        <f>IFERROR(__xludf.DUMMYFUNCTION("""COMPUTED_VALUE"""),7.963)</f>
        <v>7.963</v>
      </c>
      <c r="C97">
        <f>IFERROR(__xludf.DUMMYFUNCTION("""COMPUTED_VALUE"""),8.363)</f>
        <v>8.363</v>
      </c>
      <c r="D97">
        <f>IFERROR(__xludf.DUMMYFUNCTION("""COMPUTED_VALUE"""),9.564)</f>
        <v>9.564</v>
      </c>
      <c r="E97">
        <f>IFERROR(__xludf.DUMMYFUNCTION("""COMPUTED_VALUE"""),11.777)</f>
        <v>11.777</v>
      </c>
      <c r="F97">
        <f>IFERROR(__xludf.DUMMYFUNCTION("""COMPUTED_VALUE"""),14.44)</f>
        <v>14.44</v>
      </c>
      <c r="G97">
        <f>IFERROR(__xludf.DUMMYFUNCTION("""COMPUTED_VALUE"""),17.03)</f>
        <v>17.03</v>
      </c>
      <c r="H97">
        <f>IFERROR(__xludf.DUMMYFUNCTION("""COMPUTED_VALUE"""),21.589)</f>
        <v>21.589</v>
      </c>
      <c r="I97">
        <f>IFERROR(__xludf.DUMMYFUNCTION("""COMPUTED_VALUE"""),31.1)</f>
        <v>31.1</v>
      </c>
      <c r="J97">
        <f>IFERROR(__xludf.DUMMYFUNCTION("""COMPUTED_VALUE"""),36.023)</f>
        <v>36.023</v>
      </c>
      <c r="K97">
        <f>IFERROR(__xludf.DUMMYFUNCTION("""COMPUTED_VALUE"""),26.48)</f>
        <v>26.48</v>
      </c>
    </row>
    <row r="98">
      <c r="A98" t="str">
        <f>IFERROR(__xludf.DUMMYFUNCTION("""COMPUTED_VALUE"""),"Liban")</f>
        <v>Liban</v>
      </c>
      <c r="B98">
        <f>IFERROR(__xludf.DUMMYFUNCTION("""COMPUTED_VALUE"""),17.018)</f>
        <v>17.018</v>
      </c>
      <c r="C98">
        <f>IFERROR(__xludf.DUMMYFUNCTION("""COMPUTED_VALUE"""),17.361)</f>
        <v>17.361</v>
      </c>
      <c r="D98">
        <f>IFERROR(__xludf.DUMMYFUNCTION("""COMPUTED_VALUE"""),18.837)</f>
        <v>18.837</v>
      </c>
      <c r="E98">
        <f>IFERROR(__xludf.DUMMYFUNCTION("""COMPUTED_VALUE"""),19.486)</f>
        <v>19.486</v>
      </c>
      <c r="F98">
        <f>IFERROR(__xludf.DUMMYFUNCTION("""COMPUTED_VALUE"""),21.16)</f>
        <v>21.16</v>
      </c>
      <c r="G98">
        <f>IFERROR(__xludf.DUMMYFUNCTION("""COMPUTED_VALUE"""),21.497)</f>
        <v>21.497</v>
      </c>
      <c r="H98">
        <f>IFERROR(__xludf.DUMMYFUNCTION("""COMPUTED_VALUE"""),22.023)</f>
        <v>22.023</v>
      </c>
      <c r="I98">
        <f>IFERROR(__xludf.DUMMYFUNCTION("""COMPUTED_VALUE"""),24.827)</f>
        <v>24.827</v>
      </c>
      <c r="J98">
        <f>IFERROR(__xludf.DUMMYFUNCTION("""COMPUTED_VALUE"""),29.119)</f>
        <v>29.119</v>
      </c>
      <c r="K98">
        <f>IFERROR(__xludf.DUMMYFUNCTION("""COMPUTED_VALUE"""),35.4)</f>
        <v>35.4</v>
      </c>
    </row>
    <row r="99">
      <c r="A99" t="str">
        <f>IFERROR(__xludf.DUMMYFUNCTION("""COMPUTED_VALUE"""),"Lesotho")</f>
        <v>Lesotho</v>
      </c>
      <c r="B99">
        <f>IFERROR(__xludf.DUMMYFUNCTION("""COMPUTED_VALUE"""),0.922)</f>
        <v>0.922</v>
      </c>
      <c r="C99">
        <f>IFERROR(__xludf.DUMMYFUNCTION("""COMPUTED_VALUE"""),0.774)</f>
        <v>0.774</v>
      </c>
      <c r="D99">
        <f>IFERROR(__xludf.DUMMYFUNCTION("""COMPUTED_VALUE"""),0.856)</f>
        <v>0.856</v>
      </c>
      <c r="E99">
        <f>IFERROR(__xludf.DUMMYFUNCTION("""COMPUTED_VALUE"""),1.256)</f>
        <v>1.256</v>
      </c>
      <c r="F99">
        <f>IFERROR(__xludf.DUMMYFUNCTION("""COMPUTED_VALUE"""),1.598)</f>
        <v>1.598</v>
      </c>
      <c r="G99">
        <f>IFERROR(__xludf.DUMMYFUNCTION("""COMPUTED_VALUE"""),1.73)</f>
        <v>1.73</v>
      </c>
      <c r="H99">
        <f>IFERROR(__xludf.DUMMYFUNCTION("""COMPUTED_VALUE"""),1.72)</f>
        <v>1.72</v>
      </c>
      <c r="I99">
        <f>IFERROR(__xludf.DUMMYFUNCTION("""COMPUTED_VALUE"""),1.759)</f>
        <v>1.759</v>
      </c>
      <c r="J99">
        <f>IFERROR(__xludf.DUMMYFUNCTION("""COMPUTED_VALUE"""),1.652)</f>
        <v>1.652</v>
      </c>
      <c r="K99">
        <f>IFERROR(__xludf.DUMMYFUNCTION("""COMPUTED_VALUE"""),1.937)</f>
        <v>1.937</v>
      </c>
    </row>
    <row r="100">
      <c r="A100" t="str">
        <f>IFERROR(__xludf.DUMMYFUNCTION("""COMPUTED_VALUE"""),"Liberia")</f>
        <v>Liberia</v>
      </c>
      <c r="B100">
        <f>IFERROR(__xludf.DUMMYFUNCTION("""COMPUTED_VALUE"""),0.863)</f>
        <v>0.863</v>
      </c>
      <c r="C100">
        <f>IFERROR(__xludf.DUMMYFUNCTION("""COMPUTED_VALUE"""),0.904)</f>
        <v>0.904</v>
      </c>
      <c r="D100">
        <f>IFERROR(__xludf.DUMMYFUNCTION("""COMPUTED_VALUE"""),0.943)</f>
        <v>0.943</v>
      </c>
      <c r="E100">
        <f>IFERROR(__xludf.DUMMYFUNCTION("""COMPUTED_VALUE"""),0.714)</f>
        <v>0.714</v>
      </c>
      <c r="F100">
        <f>IFERROR(__xludf.DUMMYFUNCTION("""COMPUTED_VALUE"""),0.897)</f>
        <v>0.897</v>
      </c>
      <c r="G100">
        <f>IFERROR(__xludf.DUMMYFUNCTION("""COMPUTED_VALUE"""),0.944)</f>
        <v>0.944</v>
      </c>
      <c r="H100">
        <f>IFERROR(__xludf.DUMMYFUNCTION("""COMPUTED_VALUE"""),1.109)</f>
        <v>1.109</v>
      </c>
      <c r="I100">
        <f>IFERROR(__xludf.DUMMYFUNCTION("""COMPUTED_VALUE"""),1.344)</f>
        <v>1.344</v>
      </c>
      <c r="J100">
        <f>IFERROR(__xludf.DUMMYFUNCTION("""COMPUTED_VALUE"""),1.676)</f>
        <v>1.676</v>
      </c>
      <c r="K100">
        <f>IFERROR(__xludf.DUMMYFUNCTION("""COMPUTED_VALUE"""),1.765)</f>
        <v>1.765</v>
      </c>
    </row>
    <row r="101">
      <c r="A101" t="str">
        <f>IFERROR(__xludf.DUMMYFUNCTION("""COMPUTED_VALUE"""),"Libye")</f>
        <v>Libye</v>
      </c>
      <c r="B101">
        <f>IFERROR(__xludf.DUMMYFUNCTION("""COMPUTED_VALUE"""),39.498)</f>
        <v>39.498</v>
      </c>
      <c r="C101">
        <f>IFERROR(__xludf.DUMMYFUNCTION("""COMPUTED_VALUE"""),35.206)</f>
        <v>35.206</v>
      </c>
      <c r="D101">
        <f>IFERROR(__xludf.DUMMYFUNCTION("""COMPUTED_VALUE"""),21.128)</f>
        <v>21.128</v>
      </c>
      <c r="E101">
        <f>IFERROR(__xludf.DUMMYFUNCTION("""COMPUTED_VALUE"""),27.026)</f>
        <v>27.026</v>
      </c>
      <c r="F101">
        <f>IFERROR(__xludf.DUMMYFUNCTION("""COMPUTED_VALUE"""),34.054)</f>
        <v>34.054</v>
      </c>
      <c r="G101">
        <f>IFERROR(__xludf.DUMMYFUNCTION("""COMPUTED_VALUE"""),48.852)</f>
        <v>48.852</v>
      </c>
      <c r="H101">
        <f>IFERROR(__xludf.DUMMYFUNCTION("""COMPUTED_VALUE"""),60.094)</f>
        <v>60.094</v>
      </c>
      <c r="I101">
        <f>IFERROR(__xludf.DUMMYFUNCTION("""COMPUTED_VALUE"""),68.211)</f>
        <v>68.211</v>
      </c>
      <c r="J101">
        <f>IFERROR(__xludf.DUMMYFUNCTION("""COMPUTED_VALUE"""),86.804)</f>
        <v>86.804</v>
      </c>
      <c r="K101">
        <f>IFERROR(__xludf.DUMMYFUNCTION("""COMPUTED_VALUE"""),60.809)</f>
        <v>60.809</v>
      </c>
    </row>
    <row r="102">
      <c r="A102" t="str">
        <f>IFERROR(__xludf.DUMMYFUNCTION("""COMPUTED_VALUE"""),"Lituanie")</f>
        <v>Lituanie</v>
      </c>
      <c r="B102">
        <f>IFERROR(__xludf.DUMMYFUNCTION("""COMPUTED_VALUE"""),11.525)</f>
        <v>11.525</v>
      </c>
      <c r="C102">
        <f>IFERROR(__xludf.DUMMYFUNCTION("""COMPUTED_VALUE"""),12.238)</f>
        <v>12.238</v>
      </c>
      <c r="D102">
        <f>IFERROR(__xludf.DUMMYFUNCTION("""COMPUTED_VALUE"""),14.257)</f>
        <v>14.257</v>
      </c>
      <c r="E102">
        <f>IFERROR(__xludf.DUMMYFUNCTION("""COMPUTED_VALUE"""),18.782)</f>
        <v>18.782</v>
      </c>
      <c r="F102">
        <f>IFERROR(__xludf.DUMMYFUNCTION("""COMPUTED_VALUE"""),22.624)</f>
        <v>22.624</v>
      </c>
      <c r="G102">
        <f>IFERROR(__xludf.DUMMYFUNCTION("""COMPUTED_VALUE"""),26.115)</f>
        <v>26.115</v>
      </c>
      <c r="H102">
        <f>IFERROR(__xludf.DUMMYFUNCTION("""COMPUTED_VALUE"""),30.203)</f>
        <v>30.203</v>
      </c>
      <c r="I102">
        <f>IFERROR(__xludf.DUMMYFUNCTION("""COMPUTED_VALUE"""),39.764)</f>
        <v>39.764</v>
      </c>
      <c r="J102">
        <f>IFERROR(__xludf.DUMMYFUNCTION("""COMPUTED_VALUE"""),48.03)</f>
        <v>48.03</v>
      </c>
      <c r="K102">
        <f>IFERROR(__xludf.DUMMYFUNCTION("""COMPUTED_VALUE"""),37.475)</f>
        <v>37.475</v>
      </c>
    </row>
    <row r="103">
      <c r="A103" t="str">
        <f>IFERROR(__xludf.DUMMYFUNCTION("""COMPUTED_VALUE"""),"Luxembourg")</f>
        <v>Luxembourg</v>
      </c>
      <c r="B103">
        <f>IFERROR(__xludf.DUMMYFUNCTION("""COMPUTED_VALUE"""),21.24)</f>
        <v>21.24</v>
      </c>
      <c r="C103">
        <f>IFERROR(__xludf.DUMMYFUNCTION("""COMPUTED_VALUE"""),21.388)</f>
        <v>21.388</v>
      </c>
      <c r="D103">
        <f>IFERROR(__xludf.DUMMYFUNCTION("""COMPUTED_VALUE"""),23.633)</f>
        <v>23.633</v>
      </c>
      <c r="E103">
        <f>IFERROR(__xludf.DUMMYFUNCTION("""COMPUTED_VALUE"""),29.66)</f>
        <v>29.66</v>
      </c>
      <c r="F103">
        <f>IFERROR(__xludf.DUMMYFUNCTION("""COMPUTED_VALUE"""),35.049)</f>
        <v>35.049</v>
      </c>
      <c r="G103">
        <f>IFERROR(__xludf.DUMMYFUNCTION("""COMPUTED_VALUE"""),37.693)</f>
        <v>37.693</v>
      </c>
      <c r="H103">
        <f>IFERROR(__xludf.DUMMYFUNCTION("""COMPUTED_VALUE"""),42.912)</f>
        <v>42.912</v>
      </c>
      <c r="I103">
        <f>IFERROR(__xludf.DUMMYFUNCTION("""COMPUTED_VALUE"""),51.593)</f>
        <v>51.593</v>
      </c>
      <c r="J103">
        <f>IFERROR(__xludf.DUMMYFUNCTION("""COMPUTED_VALUE"""),58.838)</f>
        <v>58.838</v>
      </c>
      <c r="K103">
        <f>IFERROR(__xludf.DUMMYFUNCTION("""COMPUTED_VALUE"""),54.408)</f>
        <v>54.408</v>
      </c>
    </row>
    <row r="104">
      <c r="A104" t="str">
        <f>IFERROR(__xludf.DUMMYFUNCTION("""COMPUTED_VALUE"""),"Macao")</f>
        <v>Macao</v>
      </c>
      <c r="B104" t="str">
        <f>IFERROR(__xludf.DUMMYFUNCTION("""COMPUTED_VALUE"""),"-")</f>
        <v>-</v>
      </c>
      <c r="C104">
        <f>IFERROR(__xludf.DUMMYFUNCTION("""COMPUTED_VALUE"""),6.86)</f>
        <v>6.86</v>
      </c>
      <c r="D104">
        <f>IFERROR(__xludf.DUMMYFUNCTION("""COMPUTED_VALUE"""),7.372)</f>
        <v>7.372</v>
      </c>
      <c r="E104">
        <f>IFERROR(__xludf.DUMMYFUNCTION("""COMPUTED_VALUE"""),8.247)</f>
        <v>8.247</v>
      </c>
      <c r="F104">
        <f>IFERROR(__xludf.DUMMYFUNCTION("""COMPUTED_VALUE"""),10.643)</f>
        <v>10.643</v>
      </c>
      <c r="G104">
        <f>IFERROR(__xludf.DUMMYFUNCTION("""COMPUTED_VALUE"""),12.16)</f>
        <v>12.16</v>
      </c>
      <c r="H104">
        <f>IFERROR(__xludf.DUMMYFUNCTION("""COMPUTED_VALUE"""),14.874)</f>
        <v>14.874</v>
      </c>
      <c r="I104">
        <f>IFERROR(__xludf.DUMMYFUNCTION("""COMPUTED_VALUE"""),18.44)</f>
        <v>18.44</v>
      </c>
      <c r="J104">
        <f>IFERROR(__xludf.DUMMYFUNCTION("""COMPUTED_VALUE"""),21.027)</f>
        <v>21.027</v>
      </c>
      <c r="K104">
        <f>IFERROR(__xludf.DUMMYFUNCTION("""COMPUTED_VALUE"""),21.588)</f>
        <v>21.588</v>
      </c>
    </row>
    <row r="105">
      <c r="A105" t="str">
        <f>IFERROR(__xludf.DUMMYFUNCTION("""COMPUTED_VALUE"""),"Madagascar")</f>
        <v>Madagascar</v>
      </c>
      <c r="B105">
        <f>IFERROR(__xludf.DUMMYFUNCTION("""COMPUTED_VALUE"""),4.629)</f>
        <v>4.629</v>
      </c>
      <c r="C105">
        <f>IFERROR(__xludf.DUMMYFUNCTION("""COMPUTED_VALUE"""),5.438)</f>
        <v>5.438</v>
      </c>
      <c r="D105">
        <f>IFERROR(__xludf.DUMMYFUNCTION("""COMPUTED_VALUE"""),5.352)</f>
        <v>5.352</v>
      </c>
      <c r="E105">
        <f>IFERROR(__xludf.DUMMYFUNCTION("""COMPUTED_VALUE"""),6.372)</f>
        <v>6.372</v>
      </c>
      <c r="F105">
        <f>IFERROR(__xludf.DUMMYFUNCTION("""COMPUTED_VALUE"""),5.065)</f>
        <v>5.065</v>
      </c>
      <c r="G105">
        <f>IFERROR(__xludf.DUMMYFUNCTION("""COMPUTED_VALUE"""),5.859)</f>
        <v>5.859</v>
      </c>
      <c r="H105">
        <f>IFERROR(__xludf.DUMMYFUNCTION("""COMPUTED_VALUE"""),6.396)</f>
        <v>6.396</v>
      </c>
      <c r="I105">
        <f>IFERROR(__xludf.DUMMYFUNCTION("""COMPUTED_VALUE"""),8.525)</f>
        <v>8.525</v>
      </c>
      <c r="J105">
        <f>IFERROR(__xludf.DUMMYFUNCTION("""COMPUTED_VALUE"""),10.725)</f>
        <v>10.725</v>
      </c>
      <c r="K105">
        <f>IFERROR(__xludf.DUMMYFUNCTION("""COMPUTED_VALUE"""),9.617)</f>
        <v>9.617</v>
      </c>
    </row>
    <row r="106">
      <c r="A106" t="str">
        <f>IFERROR(__xludf.DUMMYFUNCTION("""COMPUTED_VALUE"""),"Malawi")</f>
        <v>Malawi</v>
      </c>
      <c r="B106">
        <f>IFERROR(__xludf.DUMMYFUNCTION("""COMPUTED_VALUE"""),4.257)</f>
        <v>4.257</v>
      </c>
      <c r="C106">
        <f>IFERROR(__xludf.DUMMYFUNCTION("""COMPUTED_VALUE"""),4.178)</f>
        <v>4.178</v>
      </c>
      <c r="D106">
        <f>IFERROR(__xludf.DUMMYFUNCTION("""COMPUTED_VALUE"""),4.922)</f>
        <v>4.922</v>
      </c>
      <c r="E106">
        <f>IFERROR(__xludf.DUMMYFUNCTION("""COMPUTED_VALUE"""),4.521)</f>
        <v>4.521</v>
      </c>
      <c r="F106">
        <f>IFERROR(__xludf.DUMMYFUNCTION("""COMPUTED_VALUE"""),4.895)</f>
        <v>4.895</v>
      </c>
      <c r="G106">
        <f>IFERROR(__xludf.DUMMYFUNCTION("""COMPUTED_VALUE"""),5.148)</f>
        <v>5.148</v>
      </c>
      <c r="H106">
        <f>IFERROR(__xludf.DUMMYFUNCTION("""COMPUTED_VALUE"""),5.63)</f>
        <v>5.63</v>
      </c>
      <c r="I106">
        <f>IFERROR(__xludf.DUMMYFUNCTION("""COMPUTED_VALUE"""),6.24)</f>
        <v>6.24</v>
      </c>
      <c r="J106">
        <f>IFERROR(__xludf.DUMMYFUNCTION("""COMPUTED_VALUE"""),7.492)</f>
        <v>7.492</v>
      </c>
      <c r="K106">
        <f>IFERROR(__xludf.DUMMYFUNCTION("""COMPUTED_VALUE"""),8.723)</f>
        <v>8.723</v>
      </c>
    </row>
    <row r="107">
      <c r="A107" t="str">
        <f>IFERROR(__xludf.DUMMYFUNCTION("""COMPUTED_VALUE"""),"Malaisie")</f>
        <v>Malaisie</v>
      </c>
      <c r="B107">
        <f>IFERROR(__xludf.DUMMYFUNCTION("""COMPUTED_VALUE"""),102.149)</f>
        <v>102.149</v>
      </c>
      <c r="C107">
        <f>IFERROR(__xludf.DUMMYFUNCTION("""COMPUTED_VALUE"""),101.054)</f>
        <v>101.054</v>
      </c>
      <c r="D107">
        <f>IFERROR(__xludf.DUMMYFUNCTION("""COMPUTED_VALUE"""),109.833)</f>
        <v>109.833</v>
      </c>
      <c r="E107">
        <f>IFERROR(__xludf.DUMMYFUNCTION("""COMPUTED_VALUE"""),120.025)</f>
        <v>120.025</v>
      </c>
      <c r="F107">
        <f>IFERROR(__xludf.DUMMYFUNCTION("""COMPUTED_VALUE"""),135.869)</f>
        <v>135.869</v>
      </c>
      <c r="G107">
        <f>IFERROR(__xludf.DUMMYFUNCTION("""COMPUTED_VALUE"""),150.345)</f>
        <v>150.345</v>
      </c>
      <c r="H107">
        <f>IFERROR(__xludf.DUMMYFUNCTION("""COMPUTED_VALUE"""),170.41)</f>
        <v>170.41</v>
      </c>
      <c r="I107">
        <f>IFERROR(__xludf.DUMMYFUNCTION("""COMPUTED_VALUE"""),202.732)</f>
        <v>202.732</v>
      </c>
      <c r="J107">
        <f>IFERROR(__xludf.DUMMYFUNCTION("""COMPUTED_VALUE"""),241.946)</f>
        <v>241.946</v>
      </c>
      <c r="K107">
        <f>IFERROR(__xludf.DUMMYFUNCTION("""COMPUTED_VALUE"""),211.847)</f>
        <v>211.847</v>
      </c>
    </row>
    <row r="108">
      <c r="A108" t="str">
        <f>IFERROR(__xludf.DUMMYFUNCTION("""COMPUTED_VALUE"""),"Maldives")</f>
        <v>Maldives</v>
      </c>
      <c r="B108">
        <f>IFERROR(__xludf.DUMMYFUNCTION("""COMPUTED_VALUE"""),0.801)</f>
        <v>0.801</v>
      </c>
      <c r="C108">
        <f>IFERROR(__xludf.DUMMYFUNCTION("""COMPUTED_VALUE"""),0.767)</f>
        <v>0.767</v>
      </c>
      <c r="D108">
        <f>IFERROR(__xludf.DUMMYFUNCTION("""COMPUTED_VALUE"""),0.828)</f>
        <v>0.828</v>
      </c>
      <c r="E108">
        <f>IFERROR(__xludf.DUMMYFUNCTION("""COMPUTED_VALUE"""),1.052)</f>
        <v>1.052</v>
      </c>
      <c r="F108">
        <f>IFERROR(__xludf.DUMMYFUNCTION("""COMPUTED_VALUE"""),1.227)</f>
        <v>1.227</v>
      </c>
      <c r="G108">
        <f>IFERROR(__xludf.DUMMYFUNCTION("""COMPUTED_VALUE"""),1.163)</f>
        <v>1.163</v>
      </c>
      <c r="H108">
        <f>IFERROR(__xludf.DUMMYFUNCTION("""COMPUTED_VALUE"""),1.575)</f>
        <v>1.575</v>
      </c>
      <c r="I108">
        <f>IFERROR(__xludf.DUMMYFUNCTION("""COMPUTED_VALUE"""),1.868)</f>
        <v>1.868</v>
      </c>
      <c r="J108">
        <f>IFERROR(__xludf.DUMMYFUNCTION("""COMPUTED_VALUE"""),2.272)</f>
        <v>2.272</v>
      </c>
      <c r="K108">
        <f>IFERROR(__xludf.DUMMYFUNCTION("""COMPUTED_VALUE"""),2.345)</f>
        <v>2.345</v>
      </c>
    </row>
    <row r="109">
      <c r="A109" t="str">
        <f>IFERROR(__xludf.DUMMYFUNCTION("""COMPUTED_VALUE"""),"Mali")</f>
        <v>Mali</v>
      </c>
      <c r="B109">
        <f>IFERROR(__xludf.DUMMYFUNCTION("""COMPUTED_VALUE"""),2.963)</f>
        <v>2.963</v>
      </c>
      <c r="C109">
        <f>IFERROR(__xludf.DUMMYFUNCTION("""COMPUTED_VALUE"""),3.468)</f>
        <v>3.468</v>
      </c>
      <c r="D109">
        <f>IFERROR(__xludf.DUMMYFUNCTION("""COMPUTED_VALUE"""),3.905)</f>
        <v>3.905</v>
      </c>
      <c r="E109">
        <f>IFERROR(__xludf.DUMMYFUNCTION("""COMPUTED_VALUE"""),4.713)</f>
        <v>4.713</v>
      </c>
      <c r="F109">
        <f>IFERROR(__xludf.DUMMYFUNCTION("""COMPUTED_VALUE"""),5.452)</f>
        <v>5.452</v>
      </c>
      <c r="G109">
        <f>IFERROR(__xludf.DUMMYFUNCTION("""COMPUTED_VALUE"""),6.251)</f>
        <v>6.251</v>
      </c>
      <c r="H109">
        <f>IFERROR(__xludf.DUMMYFUNCTION("""COMPUTED_VALUE"""),6.906)</f>
        <v>6.906</v>
      </c>
      <c r="I109">
        <f>IFERROR(__xludf.DUMMYFUNCTION("""COMPUTED_VALUE"""),8.157)</f>
        <v>8.157</v>
      </c>
      <c r="J109">
        <f>IFERROR(__xludf.DUMMYFUNCTION("""COMPUTED_VALUE"""),9.871)</f>
        <v>9.871</v>
      </c>
      <c r="K109">
        <f>IFERROR(__xludf.DUMMYFUNCTION("""COMPUTED_VALUE"""),10.249)</f>
        <v>10.249</v>
      </c>
    </row>
    <row r="110">
      <c r="A110" t="str">
        <f>IFERROR(__xludf.DUMMYFUNCTION("""COMPUTED_VALUE"""),"Malte")</f>
        <v>Malte</v>
      </c>
      <c r="B110">
        <f>IFERROR(__xludf.DUMMYFUNCTION("""COMPUTED_VALUE"""),4.075)</f>
        <v>4.075</v>
      </c>
      <c r="C110">
        <f>IFERROR(__xludf.DUMMYFUNCTION("""COMPUTED_VALUE"""),4.089)</f>
        <v>4.089</v>
      </c>
      <c r="D110">
        <f>IFERROR(__xludf.DUMMYFUNCTION("""COMPUTED_VALUE"""),4.478)</f>
        <v>4.478</v>
      </c>
      <c r="E110">
        <f>IFERROR(__xludf.DUMMYFUNCTION("""COMPUTED_VALUE"""),5.455)</f>
        <v>5.455</v>
      </c>
      <c r="F110">
        <f>IFERROR(__xludf.DUMMYFUNCTION("""COMPUTED_VALUE"""),6.102)</f>
        <v>6.102</v>
      </c>
      <c r="G110">
        <f>IFERROR(__xludf.DUMMYFUNCTION("""COMPUTED_VALUE"""),6.415)</f>
        <v>6.415</v>
      </c>
      <c r="H110">
        <f>IFERROR(__xludf.DUMMYFUNCTION("""COMPUTED_VALUE"""),6.811)</f>
        <v>6.811</v>
      </c>
      <c r="I110">
        <f>IFERROR(__xludf.DUMMYFUNCTION("""COMPUTED_VALUE"""),7.989)</f>
        <v>7.989</v>
      </c>
      <c r="J110">
        <f>IFERROR(__xludf.DUMMYFUNCTION("""COMPUTED_VALUE"""),9.127)</f>
        <v>9.127</v>
      </c>
      <c r="K110">
        <f>IFERROR(__xludf.DUMMYFUNCTION("""COMPUTED_VALUE"""),8.721)</f>
        <v>8.721</v>
      </c>
    </row>
    <row r="111">
      <c r="A111" t="str">
        <f>IFERROR(__xludf.DUMMYFUNCTION("""COMPUTED_VALUE"""),"Îles Marshall")</f>
        <v>Îles Marshall</v>
      </c>
      <c r="B111">
        <f>IFERROR(__xludf.DUMMYFUNCTION("""COMPUTED_VALUE"""),0.115)</f>
        <v>0.115</v>
      </c>
      <c r="C111">
        <f>IFERROR(__xludf.DUMMYFUNCTION("""COMPUTED_VALUE"""),0.122)</f>
        <v>0.122</v>
      </c>
      <c r="D111">
        <f>IFERROR(__xludf.DUMMYFUNCTION("""COMPUTED_VALUE"""),0.132)</f>
        <v>0.132</v>
      </c>
      <c r="E111">
        <f>IFERROR(__xludf.DUMMYFUNCTION("""COMPUTED_VALUE"""),0.131)</f>
        <v>0.131</v>
      </c>
      <c r="F111">
        <f>IFERROR(__xludf.DUMMYFUNCTION("""COMPUTED_VALUE"""),0.133)</f>
        <v>0.133</v>
      </c>
      <c r="G111">
        <f>IFERROR(__xludf.DUMMYFUNCTION("""COMPUTED_VALUE"""),0.138)</f>
        <v>0.138</v>
      </c>
      <c r="H111">
        <f>IFERROR(__xludf.DUMMYFUNCTION("""COMPUTED_VALUE"""),0.143)</f>
        <v>0.143</v>
      </c>
      <c r="I111">
        <f>IFERROR(__xludf.DUMMYFUNCTION("""COMPUTED_VALUE"""),0.15)</f>
        <v>0.15</v>
      </c>
      <c r="J111">
        <f>IFERROR(__xludf.DUMMYFUNCTION("""COMPUTED_VALUE"""),0.146)</f>
        <v>0.146</v>
      </c>
      <c r="K111">
        <f>IFERROR(__xludf.DUMMYFUNCTION("""COMPUTED_VALUE"""),0.151)</f>
        <v>0.151</v>
      </c>
    </row>
    <row r="112">
      <c r="A112" t="str">
        <f>IFERROR(__xludf.DUMMYFUNCTION("""COMPUTED_VALUE"""),"Mauritanie")</f>
        <v>Mauritanie</v>
      </c>
      <c r="B112">
        <f>IFERROR(__xludf.DUMMYFUNCTION("""COMPUTED_VALUE"""),1.78)</f>
        <v>1.78</v>
      </c>
      <c r="C112">
        <f>IFERROR(__xludf.DUMMYFUNCTION("""COMPUTED_VALUE"""),1.746)</f>
        <v>1.746</v>
      </c>
      <c r="D112">
        <f>IFERROR(__xludf.DUMMYFUNCTION("""COMPUTED_VALUE"""),1.777)</f>
        <v>1.777</v>
      </c>
      <c r="E112">
        <f>IFERROR(__xludf.DUMMYFUNCTION("""COMPUTED_VALUE"""),2.051)</f>
        <v>2.051</v>
      </c>
      <c r="F112">
        <f>IFERROR(__xludf.DUMMYFUNCTION("""COMPUTED_VALUE"""),2.362)</f>
        <v>2.362</v>
      </c>
      <c r="G112">
        <f>IFERROR(__xludf.DUMMYFUNCTION("""COMPUTED_VALUE"""),2.936)</f>
        <v>2.936</v>
      </c>
      <c r="H112">
        <f>IFERROR(__xludf.DUMMYFUNCTION("""COMPUTED_VALUE"""),4.009)</f>
        <v>4.009</v>
      </c>
      <c r="I112">
        <f>IFERROR(__xludf.DUMMYFUNCTION("""COMPUTED_VALUE"""),4.328)</f>
        <v>4.328</v>
      </c>
      <c r="J112">
        <f>IFERROR(__xludf.DUMMYFUNCTION("""COMPUTED_VALUE"""),5.138)</f>
        <v>5.138</v>
      </c>
      <c r="K112">
        <f>IFERROR(__xludf.DUMMYFUNCTION("""COMPUTED_VALUE"""),4.725)</f>
        <v>4.725</v>
      </c>
    </row>
    <row r="113">
      <c r="A113" t="str">
        <f>IFERROR(__xludf.DUMMYFUNCTION("""COMPUTED_VALUE"""),"Maurice")</f>
        <v>Maurice</v>
      </c>
      <c r="B113">
        <f>IFERROR(__xludf.DUMMYFUNCTION("""COMPUTED_VALUE"""),4.935)</f>
        <v>4.935</v>
      </c>
      <c r="C113">
        <f>IFERROR(__xludf.DUMMYFUNCTION("""COMPUTED_VALUE"""),4.882)</f>
        <v>4.882</v>
      </c>
      <c r="D113">
        <f>IFERROR(__xludf.DUMMYFUNCTION("""COMPUTED_VALUE"""),5.123)</f>
        <v>5.123</v>
      </c>
      <c r="E113">
        <f>IFERROR(__xludf.DUMMYFUNCTION("""COMPUTED_VALUE"""),6.155)</f>
        <v>6.155</v>
      </c>
      <c r="F113">
        <f>IFERROR(__xludf.DUMMYFUNCTION("""COMPUTED_VALUE"""),6.962)</f>
        <v>6.962</v>
      </c>
      <c r="G113">
        <f>IFERROR(__xludf.DUMMYFUNCTION("""COMPUTED_VALUE"""),6.867)</f>
        <v>6.867</v>
      </c>
      <c r="H113">
        <f>IFERROR(__xludf.DUMMYFUNCTION("""COMPUTED_VALUE"""),7.123)</f>
        <v>7.123</v>
      </c>
      <c r="I113">
        <f>IFERROR(__xludf.DUMMYFUNCTION("""COMPUTED_VALUE"""),8.26)</f>
        <v>8.26</v>
      </c>
      <c r="J113">
        <f>IFERROR(__xludf.DUMMYFUNCTION("""COMPUTED_VALUE"""),10.125)</f>
        <v>10.125</v>
      </c>
      <c r="K113">
        <f>IFERROR(__xludf.DUMMYFUNCTION("""COMPUTED_VALUE"""),9.252)</f>
        <v>9.252</v>
      </c>
    </row>
    <row r="114">
      <c r="A114" t="str">
        <f>IFERROR(__xludf.DUMMYFUNCTION("""COMPUTED_VALUE"""),"Mexique")</f>
        <v>Mexique</v>
      </c>
      <c r="B114">
        <f>IFERROR(__xludf.DUMMYFUNCTION("""COMPUTED_VALUE"""),742.061)</f>
        <v>742.061</v>
      </c>
      <c r="C114">
        <f>IFERROR(__xludf.DUMMYFUNCTION("""COMPUTED_VALUE"""),796.055)</f>
        <v>796.055</v>
      </c>
      <c r="D114">
        <f>IFERROR(__xludf.DUMMYFUNCTION("""COMPUTED_VALUE"""),810.666)</f>
        <v>810.666</v>
      </c>
      <c r="E114">
        <f>IFERROR(__xludf.DUMMYFUNCTION("""COMPUTED_VALUE"""),765.55)</f>
        <v>765.55</v>
      </c>
      <c r="F114">
        <f>IFERROR(__xludf.DUMMYFUNCTION("""COMPUTED_VALUE"""),819.459)</f>
        <v>819.459</v>
      </c>
      <c r="G114">
        <f>IFERROR(__xludf.DUMMYFUNCTION("""COMPUTED_VALUE"""),917.572)</f>
        <v>917.572</v>
      </c>
      <c r="H114">
        <f>IFERROR(__xludf.DUMMYFUNCTION("""COMPUTED_VALUE"""),1020.265)</f>
        <v>1020.265</v>
      </c>
      <c r="I114">
        <f>IFERROR(__xludf.DUMMYFUNCTION("""COMPUTED_VALUE"""),1102.356)</f>
        <v>1102.356</v>
      </c>
      <c r="J114">
        <f>IFERROR(__xludf.DUMMYFUNCTION("""COMPUTED_VALUE"""),1161.553)</f>
        <v>1161.553</v>
      </c>
      <c r="K114">
        <f>IFERROR(__xludf.DUMMYFUNCTION("""COMPUTED_VALUE"""),943.437)</f>
        <v>943.437</v>
      </c>
    </row>
    <row r="115">
      <c r="A115" t="str">
        <f>IFERROR(__xludf.DUMMYFUNCTION("""COMPUTED_VALUE"""),"États fédérés de Micronésie")</f>
        <v>États fédérés de Micronésie</v>
      </c>
      <c r="B115">
        <f>IFERROR(__xludf.DUMMYFUNCTION("""COMPUTED_VALUE"""),0.233)</f>
        <v>0.233</v>
      </c>
      <c r="C115">
        <f>IFERROR(__xludf.DUMMYFUNCTION("""COMPUTED_VALUE"""),0.241)</f>
        <v>0.241</v>
      </c>
      <c r="D115">
        <f>IFERROR(__xludf.DUMMYFUNCTION("""COMPUTED_VALUE"""),0.242)</f>
        <v>0.242</v>
      </c>
      <c r="E115">
        <f>IFERROR(__xludf.DUMMYFUNCTION("""COMPUTED_VALUE"""),0.245)</f>
        <v>0.245</v>
      </c>
      <c r="F115">
        <f>IFERROR(__xludf.DUMMYFUNCTION("""COMPUTED_VALUE"""),0.24)</f>
        <v>0.24</v>
      </c>
      <c r="G115">
        <f>IFERROR(__xludf.DUMMYFUNCTION("""COMPUTED_VALUE"""),0.25)</f>
        <v>0.25</v>
      </c>
      <c r="H115">
        <f>IFERROR(__xludf.DUMMYFUNCTION("""COMPUTED_VALUE"""),0.254)</f>
        <v>0.254</v>
      </c>
      <c r="I115">
        <f>IFERROR(__xludf.DUMMYFUNCTION("""COMPUTED_VALUE"""),0.257)</f>
        <v>0.257</v>
      </c>
      <c r="J115">
        <f>IFERROR(__xludf.DUMMYFUNCTION("""COMPUTED_VALUE"""),0.263)</f>
        <v>0.263</v>
      </c>
      <c r="K115">
        <f>IFERROR(__xludf.DUMMYFUNCTION("""COMPUTED_VALUE"""),0.28)</f>
        <v>0.28</v>
      </c>
    </row>
    <row r="116">
      <c r="A116" t="str">
        <f>IFERROR(__xludf.DUMMYFUNCTION("""COMPUTED_VALUE"""),"Moldavie")</f>
        <v>Moldavie</v>
      </c>
      <c r="B116">
        <f>IFERROR(__xludf.DUMMYFUNCTION("""COMPUTED_VALUE"""),1.315)</f>
        <v>1.315</v>
      </c>
      <c r="C116">
        <f>IFERROR(__xludf.DUMMYFUNCTION("""COMPUTED_VALUE"""),1.481)</f>
        <v>1.481</v>
      </c>
      <c r="D116">
        <f>IFERROR(__xludf.DUMMYFUNCTION("""COMPUTED_VALUE"""),1.662)</f>
        <v>1.662</v>
      </c>
      <c r="E116">
        <f>IFERROR(__xludf.DUMMYFUNCTION("""COMPUTED_VALUE"""),1.981)</f>
        <v>1.981</v>
      </c>
      <c r="F116">
        <f>IFERROR(__xludf.DUMMYFUNCTION("""COMPUTED_VALUE"""),2.598)</f>
        <v>2.598</v>
      </c>
      <c r="G116">
        <f>IFERROR(__xludf.DUMMYFUNCTION("""COMPUTED_VALUE"""),2.988)</f>
        <v>2.988</v>
      </c>
      <c r="H116">
        <f>IFERROR(__xludf.DUMMYFUNCTION("""COMPUTED_VALUE"""),3.408)</f>
        <v>3.408</v>
      </c>
      <c r="I116">
        <f>IFERROR(__xludf.DUMMYFUNCTION("""COMPUTED_VALUE"""),4.401)</f>
        <v>4.401</v>
      </c>
      <c r="J116">
        <f>IFERROR(__xludf.DUMMYFUNCTION("""COMPUTED_VALUE"""),6.055)</f>
        <v>6.055</v>
      </c>
      <c r="K116">
        <f>IFERROR(__xludf.DUMMYFUNCTION("""COMPUTED_VALUE"""),5.438)</f>
        <v>5.438</v>
      </c>
    </row>
    <row r="117">
      <c r="A117" t="str">
        <f>IFERROR(__xludf.DUMMYFUNCTION("""COMPUTED_VALUE"""),"Mongolie")</f>
        <v>Mongolie</v>
      </c>
      <c r="B117">
        <f>IFERROR(__xludf.DUMMYFUNCTION("""COMPUTED_VALUE"""),1.137)</f>
        <v>1.137</v>
      </c>
      <c r="C117">
        <f>IFERROR(__xludf.DUMMYFUNCTION("""COMPUTED_VALUE"""),1.268)</f>
        <v>1.268</v>
      </c>
      <c r="D117">
        <f>IFERROR(__xludf.DUMMYFUNCTION("""COMPUTED_VALUE"""),1.397)</f>
        <v>1.397</v>
      </c>
      <c r="E117">
        <f>IFERROR(__xludf.DUMMYFUNCTION("""COMPUTED_VALUE"""),1.595)</f>
        <v>1.595</v>
      </c>
      <c r="F117">
        <f>IFERROR(__xludf.DUMMYFUNCTION("""COMPUTED_VALUE"""),1.992)</f>
        <v>1.992</v>
      </c>
      <c r="G117">
        <f>IFERROR(__xludf.DUMMYFUNCTION("""COMPUTED_VALUE"""),2.523)</f>
        <v>2.523</v>
      </c>
      <c r="H117">
        <f>IFERROR(__xludf.DUMMYFUNCTION("""COMPUTED_VALUE"""),3.414)</f>
        <v>3.414</v>
      </c>
      <c r="I117">
        <f>IFERROR(__xludf.DUMMYFUNCTION("""COMPUTED_VALUE"""),4.235)</f>
        <v>4.235</v>
      </c>
      <c r="J117">
        <f>IFERROR(__xludf.DUMMYFUNCTION("""COMPUTED_VALUE"""),5.623)</f>
        <v>5.623</v>
      </c>
      <c r="K117">
        <f>IFERROR(__xludf.DUMMYFUNCTION("""COMPUTED_VALUE"""),4.584)</f>
        <v>4.584</v>
      </c>
    </row>
    <row r="118">
      <c r="A118" t="str">
        <f>IFERROR(__xludf.DUMMYFUNCTION("""COMPUTED_VALUE"""),"Monténégro")</f>
        <v>Monténégro</v>
      </c>
      <c r="B118">
        <f>IFERROR(__xludf.DUMMYFUNCTION("""COMPUTED_VALUE"""),0.966)</f>
        <v>0.966</v>
      </c>
      <c r="C118">
        <f>IFERROR(__xludf.DUMMYFUNCTION("""COMPUTED_VALUE"""),1.15)</f>
        <v>1.15</v>
      </c>
      <c r="D118">
        <f>IFERROR(__xludf.DUMMYFUNCTION("""COMPUTED_VALUE"""),1.269)</f>
        <v>1.269</v>
      </c>
      <c r="E118">
        <f>IFERROR(__xludf.DUMMYFUNCTION("""COMPUTED_VALUE"""),1.681)</f>
        <v>1.681</v>
      </c>
      <c r="F118">
        <f>IFERROR(__xludf.DUMMYFUNCTION("""COMPUTED_VALUE"""),2.073)</f>
        <v>2.073</v>
      </c>
      <c r="G118">
        <f>IFERROR(__xludf.DUMMYFUNCTION("""COMPUTED_VALUE"""),2.261)</f>
        <v>2.261</v>
      </c>
      <c r="H118">
        <f>IFERROR(__xludf.DUMMYFUNCTION("""COMPUTED_VALUE"""),2.724)</f>
        <v>2.724</v>
      </c>
      <c r="I118">
        <f>IFERROR(__xludf.DUMMYFUNCTION("""COMPUTED_VALUE"""),3.686)</f>
        <v>3.686</v>
      </c>
      <c r="J118">
        <f>IFERROR(__xludf.DUMMYFUNCTION("""COMPUTED_VALUE"""),4.564)</f>
        <v>4.564</v>
      </c>
      <c r="K118">
        <f>IFERROR(__xludf.DUMMYFUNCTION("""COMPUTED_VALUE"""),4.171)</f>
        <v>4.171</v>
      </c>
    </row>
    <row r="119">
      <c r="A119" t="str">
        <f>IFERROR(__xludf.DUMMYFUNCTION("""COMPUTED_VALUE"""),"Maroc")</f>
        <v>Maroc</v>
      </c>
      <c r="B119">
        <f>IFERROR(__xludf.DUMMYFUNCTION("""COMPUTED_VALUE"""),42.053)</f>
        <v>42.053</v>
      </c>
      <c r="C119">
        <f>IFERROR(__xludf.DUMMYFUNCTION("""COMPUTED_VALUE"""),42.704)</f>
        <v>42.704</v>
      </c>
      <c r="D119">
        <f>IFERROR(__xludf.DUMMYFUNCTION("""COMPUTED_VALUE"""),45.711)</f>
        <v>45.711</v>
      </c>
      <c r="E119">
        <f>IFERROR(__xludf.DUMMYFUNCTION("""COMPUTED_VALUE"""),56.345)</f>
        <v>56.345</v>
      </c>
      <c r="F119">
        <f>IFERROR(__xludf.DUMMYFUNCTION("""COMPUTED_VALUE"""),64.528)</f>
        <v>64.528</v>
      </c>
      <c r="G119">
        <f>IFERROR(__xludf.DUMMYFUNCTION("""COMPUTED_VALUE"""),67.468)</f>
        <v>67.468</v>
      </c>
      <c r="H119">
        <f>IFERROR(__xludf.DUMMYFUNCTION("""COMPUTED_VALUE"""),74.284)</f>
        <v>74.284</v>
      </c>
      <c r="I119">
        <f>IFERROR(__xludf.DUMMYFUNCTION("""COMPUTED_VALUE"""),85.539)</f>
        <v>85.539</v>
      </c>
      <c r="J119">
        <f>IFERROR(__xludf.DUMMYFUNCTION("""COMPUTED_VALUE"""),100.112)</f>
        <v>100.112</v>
      </c>
      <c r="K119">
        <f>IFERROR(__xludf.DUMMYFUNCTION("""COMPUTED_VALUE"""),100.535)</f>
        <v>100.535</v>
      </c>
    </row>
    <row r="120">
      <c r="A120" t="str">
        <f>IFERROR(__xludf.DUMMYFUNCTION("""COMPUTED_VALUE"""),"Mozambique")</f>
        <v>Mozambique</v>
      </c>
      <c r="B120">
        <f>IFERROR(__xludf.DUMMYFUNCTION("""COMPUTED_VALUE"""),5.656)</f>
        <v>5.656</v>
      </c>
      <c r="C120">
        <f>IFERROR(__xludf.DUMMYFUNCTION("""COMPUTED_VALUE"""),5.399)</f>
        <v>5.399</v>
      </c>
      <c r="D120">
        <f>IFERROR(__xludf.DUMMYFUNCTION("""COMPUTED_VALUE"""),5.677)</f>
        <v>5.677</v>
      </c>
      <c r="E120">
        <f>IFERROR(__xludf.DUMMYFUNCTION("""COMPUTED_VALUE"""),6.303)</f>
        <v>6.303</v>
      </c>
      <c r="F120">
        <f>IFERROR(__xludf.DUMMYFUNCTION("""COMPUTED_VALUE"""),7.631)</f>
        <v>7.631</v>
      </c>
      <c r="G120">
        <f>IFERROR(__xludf.DUMMYFUNCTION("""COMPUTED_VALUE"""),8.542)</f>
        <v>8.542</v>
      </c>
      <c r="H120">
        <f>IFERROR(__xludf.DUMMYFUNCTION("""COMPUTED_VALUE"""),9.177)</f>
        <v>9.177</v>
      </c>
      <c r="I120">
        <f>IFERROR(__xludf.DUMMYFUNCTION("""COMPUTED_VALUE"""),10.451)</f>
        <v>10.451</v>
      </c>
      <c r="J120">
        <f>IFERROR(__xludf.DUMMYFUNCTION("""COMPUTED_VALUE"""),12.556)</f>
        <v>12.556</v>
      </c>
      <c r="K120">
        <f>IFERROR(__xludf.DUMMYFUNCTION("""COMPUTED_VALUE"""),11.914)</f>
        <v>11.914</v>
      </c>
    </row>
    <row r="121">
      <c r="A121" t="str">
        <f>IFERROR(__xludf.DUMMYFUNCTION("""COMPUTED_VALUE"""),"Birmanie")</f>
        <v>Birmanie</v>
      </c>
      <c r="B121">
        <f>IFERROR(__xludf.DUMMYFUNCTION("""COMPUTED_VALUE"""),7.261)</f>
        <v>7.261</v>
      </c>
      <c r="C121">
        <f>IFERROR(__xludf.DUMMYFUNCTION("""COMPUTED_VALUE"""),6.693)</f>
        <v>6.693</v>
      </c>
      <c r="D121">
        <f>IFERROR(__xludf.DUMMYFUNCTION("""COMPUTED_VALUE"""),6.496)</f>
        <v>6.496</v>
      </c>
      <c r="E121">
        <f>IFERROR(__xludf.DUMMYFUNCTION("""COMPUTED_VALUE"""),8.336)</f>
        <v>8.336</v>
      </c>
      <c r="F121">
        <f>IFERROR(__xludf.DUMMYFUNCTION("""COMPUTED_VALUE"""),10.095)</f>
        <v>10.095</v>
      </c>
      <c r="G121">
        <f>IFERROR(__xludf.DUMMYFUNCTION("""COMPUTED_VALUE"""),11.382)</f>
        <v>11.382</v>
      </c>
      <c r="H121">
        <f>IFERROR(__xludf.DUMMYFUNCTION("""COMPUTED_VALUE"""),12.752)</f>
        <v>12.752</v>
      </c>
      <c r="I121">
        <f>IFERROR(__xludf.DUMMYFUNCTION("""COMPUTED_VALUE"""),16.76)</f>
        <v>16.76</v>
      </c>
      <c r="J121">
        <f>IFERROR(__xludf.DUMMYFUNCTION("""COMPUTED_VALUE"""),23.907)</f>
        <v>23.907</v>
      </c>
      <c r="K121">
        <f>IFERROR(__xludf.DUMMYFUNCTION("""COMPUTED_VALUE"""),28.971)</f>
        <v>28.971</v>
      </c>
    </row>
    <row r="122">
      <c r="A122" t="str">
        <f>IFERROR(__xludf.DUMMYFUNCTION("""COMPUTED_VALUE"""),"Namibie")</f>
        <v>Namibie</v>
      </c>
      <c r="B122">
        <f>IFERROR(__xludf.DUMMYFUNCTION("""COMPUTED_VALUE"""),3.941)</f>
        <v>3.941</v>
      </c>
      <c r="C122">
        <f>IFERROR(__xludf.DUMMYFUNCTION("""COMPUTED_VALUE"""),3.577)</f>
        <v>3.577</v>
      </c>
      <c r="D122">
        <f>IFERROR(__xludf.DUMMYFUNCTION("""COMPUTED_VALUE"""),3.396)</f>
        <v>3.396</v>
      </c>
      <c r="E122">
        <f>IFERROR(__xludf.DUMMYFUNCTION("""COMPUTED_VALUE"""),4.974)</f>
        <v>4.974</v>
      </c>
      <c r="F122">
        <f>IFERROR(__xludf.DUMMYFUNCTION("""COMPUTED_VALUE"""),6.673)</f>
        <v>6.673</v>
      </c>
      <c r="G122">
        <f>IFERROR(__xludf.DUMMYFUNCTION("""COMPUTED_VALUE"""),7.324)</f>
        <v>7.324</v>
      </c>
      <c r="H122">
        <f>IFERROR(__xludf.DUMMYFUNCTION("""COMPUTED_VALUE"""),7.711)</f>
        <v>7.711</v>
      </c>
      <c r="I122">
        <f>IFERROR(__xludf.DUMMYFUNCTION("""COMPUTED_VALUE"""),8.73)</f>
        <v>8.73</v>
      </c>
      <c r="J122">
        <f>IFERROR(__xludf.DUMMYFUNCTION("""COMPUTED_VALUE"""),8.496)</f>
        <v>8.496</v>
      </c>
      <c r="K122">
        <f>IFERROR(__xludf.DUMMYFUNCTION("""COMPUTED_VALUE"""),8.915)</f>
        <v>8.915</v>
      </c>
    </row>
    <row r="123">
      <c r="A123" t="str">
        <f>IFERROR(__xludf.DUMMYFUNCTION("""COMPUTED_VALUE"""),"Nauru")</f>
        <v>Nauru</v>
      </c>
      <c r="B123" t="str">
        <f>IFERROR(__xludf.DUMMYFUNCTION("""COMPUTED_VALUE"""),"-")</f>
        <v>-</v>
      </c>
      <c r="C123" t="str">
        <f>IFERROR(__xludf.DUMMYFUNCTION("""COMPUTED_VALUE"""),"-")</f>
        <v>-</v>
      </c>
      <c r="D123" t="str">
        <f>IFERROR(__xludf.DUMMYFUNCTION("""COMPUTED_VALUE"""),"-")</f>
        <v>-</v>
      </c>
      <c r="E123" t="str">
        <f>IFERROR(__xludf.DUMMYFUNCTION("""COMPUTED_VALUE"""),"-")</f>
        <v>-</v>
      </c>
      <c r="F123">
        <f>IFERROR(__xludf.DUMMYFUNCTION("""COMPUTED_VALUE"""),0.031)</f>
        <v>0.031</v>
      </c>
      <c r="G123">
        <f>IFERROR(__xludf.DUMMYFUNCTION("""COMPUTED_VALUE"""),0.03)</f>
        <v>0.03</v>
      </c>
      <c r="H123">
        <f>IFERROR(__xludf.DUMMYFUNCTION("""COMPUTED_VALUE"""),0.029)</f>
        <v>0.029</v>
      </c>
      <c r="I123">
        <f>IFERROR(__xludf.DUMMYFUNCTION("""COMPUTED_VALUE"""),0.023)</f>
        <v>0.023</v>
      </c>
      <c r="J123">
        <f>IFERROR(__xludf.DUMMYFUNCTION("""COMPUTED_VALUE"""),0.037)</f>
        <v>0.037</v>
      </c>
      <c r="K123">
        <f>IFERROR(__xludf.DUMMYFUNCTION("""COMPUTED_VALUE"""),0.044)</f>
        <v>0.044</v>
      </c>
    </row>
    <row r="124">
      <c r="A124" t="str">
        <f>IFERROR(__xludf.DUMMYFUNCTION("""COMPUTED_VALUE"""),"Népal")</f>
        <v>Népal</v>
      </c>
      <c r="B124">
        <f>IFERROR(__xludf.DUMMYFUNCTION("""COMPUTED_VALUE"""),6.537)</f>
        <v>6.537</v>
      </c>
      <c r="C124">
        <f>IFERROR(__xludf.DUMMYFUNCTION("""COMPUTED_VALUE"""),6.719)</f>
        <v>6.719</v>
      </c>
      <c r="D124">
        <f>IFERROR(__xludf.DUMMYFUNCTION("""COMPUTED_VALUE"""),6.816)</f>
        <v>6.816</v>
      </c>
      <c r="E124">
        <f>IFERROR(__xludf.DUMMYFUNCTION("""COMPUTED_VALUE"""),7.218)</f>
        <v>7.218</v>
      </c>
      <c r="F124">
        <f>IFERROR(__xludf.DUMMYFUNCTION("""COMPUTED_VALUE"""),8.297)</f>
        <v>8.297</v>
      </c>
      <c r="G124">
        <f>IFERROR(__xludf.DUMMYFUNCTION("""COMPUTED_VALUE"""),9.331)</f>
        <v>9.331</v>
      </c>
      <c r="H124">
        <f>IFERROR(__xludf.DUMMYFUNCTION("""COMPUTED_VALUE"""),10.316)</f>
        <v>10.316</v>
      </c>
      <c r="I124">
        <f>IFERROR(__xludf.DUMMYFUNCTION("""COMPUTED_VALUE"""),11.777)</f>
        <v>11.777</v>
      </c>
      <c r="J124">
        <f>IFERROR(__xludf.DUMMYFUNCTION("""COMPUTED_VALUE"""),14.31)</f>
        <v>14.31</v>
      </c>
      <c r="K124">
        <f>IFERROR(__xludf.DUMMYFUNCTION("""COMPUTED_VALUE"""),14.663)</f>
        <v>14.663</v>
      </c>
    </row>
    <row r="125">
      <c r="A125" t="str">
        <f>IFERROR(__xludf.DUMMYFUNCTION("""COMPUTED_VALUE"""),"Pays-Bas")</f>
        <v>Pays-Bas</v>
      </c>
      <c r="B125">
        <f>IFERROR(__xludf.DUMMYFUNCTION("""COMPUTED_VALUE"""),417.664)</f>
        <v>417.664</v>
      </c>
      <c r="C125">
        <f>IFERROR(__xludf.DUMMYFUNCTION("""COMPUTED_VALUE"""),431.59)</f>
        <v>431.59</v>
      </c>
      <c r="D125">
        <f>IFERROR(__xludf.DUMMYFUNCTION("""COMPUTED_VALUE"""),473.527)</f>
        <v>473.527</v>
      </c>
      <c r="E125">
        <f>IFERROR(__xludf.DUMMYFUNCTION("""COMPUTED_VALUE"""),579.925)</f>
        <v>579.925</v>
      </c>
      <c r="F125">
        <f>IFERROR(__xludf.DUMMYFUNCTION("""COMPUTED_VALUE"""),658.081)</f>
        <v>658.081</v>
      </c>
      <c r="G125">
        <f>IFERROR(__xludf.DUMMYFUNCTION("""COMPUTED_VALUE"""),685.727)</f>
        <v>685.727</v>
      </c>
      <c r="H125">
        <f>IFERROR(__xludf.DUMMYFUNCTION("""COMPUTED_VALUE"""),733.994)</f>
        <v>733.994</v>
      </c>
      <c r="I125">
        <f>IFERROR(__xludf.DUMMYFUNCTION("""COMPUTED_VALUE"""),848.659)</f>
        <v>848.659</v>
      </c>
      <c r="J125">
        <f>IFERROR(__xludf.DUMMYFUNCTION("""COMPUTED_VALUE"""),951.766)</f>
        <v>951.766</v>
      </c>
      <c r="K125">
        <f>IFERROR(__xludf.DUMMYFUNCTION("""COMPUTED_VALUE"""),870.572)</f>
        <v>870.572</v>
      </c>
    </row>
    <row r="126">
      <c r="A126" t="str">
        <f>IFERROR(__xludf.DUMMYFUNCTION("""COMPUTED_VALUE"""),"Nouvelle-Zélande")</f>
        <v>Nouvelle-Zélande</v>
      </c>
      <c r="B126">
        <f>IFERROR(__xludf.DUMMYFUNCTION("""COMPUTED_VALUE"""),54.126)</f>
        <v>54.126</v>
      </c>
      <c r="C126">
        <f>IFERROR(__xludf.DUMMYFUNCTION("""COMPUTED_VALUE"""),53.128)</f>
        <v>53.128</v>
      </c>
      <c r="D126">
        <f>IFERROR(__xludf.DUMMYFUNCTION("""COMPUTED_VALUE"""),62.061)</f>
        <v>62.061</v>
      </c>
      <c r="E126">
        <f>IFERROR(__xludf.DUMMYFUNCTION("""COMPUTED_VALUE"""),82.411)</f>
        <v>82.411</v>
      </c>
      <c r="F126">
        <f>IFERROR(__xludf.DUMMYFUNCTION("""COMPUTED_VALUE"""),101.601)</f>
        <v>101.601</v>
      </c>
      <c r="G126">
        <f>IFERROR(__xludf.DUMMYFUNCTION("""COMPUTED_VALUE"""),113.264)</f>
        <v>113.264</v>
      </c>
      <c r="H126">
        <f>IFERROR(__xludf.DUMMYFUNCTION("""COMPUTED_VALUE"""),109.739)</f>
        <v>109.739</v>
      </c>
      <c r="I126">
        <f>IFERROR(__xludf.DUMMYFUNCTION("""COMPUTED_VALUE"""),134.879)</f>
        <v>134.879</v>
      </c>
      <c r="J126">
        <f>IFERROR(__xludf.DUMMYFUNCTION("""COMPUTED_VALUE"""),135.373)</f>
        <v>135.373</v>
      </c>
      <c r="K126">
        <f>IFERROR(__xludf.DUMMYFUNCTION("""COMPUTED_VALUE"""),121.701)</f>
        <v>121.701</v>
      </c>
    </row>
    <row r="127">
      <c r="A127" t="str">
        <f>IFERROR(__xludf.DUMMYFUNCTION("""COMPUTED_VALUE"""),"Nicaragua")</f>
        <v>Nicaragua</v>
      </c>
      <c r="B127">
        <f>IFERROR(__xludf.DUMMYFUNCTION("""COMPUTED_VALUE"""),5.109)</f>
        <v>5.109</v>
      </c>
      <c r="C127">
        <f>IFERROR(__xludf.DUMMYFUNCTION("""COMPUTED_VALUE"""),5.335)</f>
        <v>5.335</v>
      </c>
      <c r="D127">
        <f>IFERROR(__xludf.DUMMYFUNCTION("""COMPUTED_VALUE"""),5.224)</f>
        <v>5.224</v>
      </c>
      <c r="E127">
        <f>IFERROR(__xludf.DUMMYFUNCTION("""COMPUTED_VALUE"""),5.322)</f>
        <v>5.322</v>
      </c>
      <c r="F127">
        <f>IFERROR(__xludf.DUMMYFUNCTION("""COMPUTED_VALUE"""),5.793)</f>
        <v>5.793</v>
      </c>
      <c r="G127">
        <f>IFERROR(__xludf.DUMMYFUNCTION("""COMPUTED_VALUE"""),6.321)</f>
        <v>6.321</v>
      </c>
      <c r="H127">
        <f>IFERROR(__xludf.DUMMYFUNCTION("""COMPUTED_VALUE"""),6.764)</f>
        <v>6.764</v>
      </c>
      <c r="I127">
        <f>IFERROR(__xludf.DUMMYFUNCTION("""COMPUTED_VALUE"""),7.423)</f>
        <v>7.423</v>
      </c>
      <c r="J127">
        <f>IFERROR(__xludf.DUMMYFUNCTION("""COMPUTED_VALUE"""),8.497)</f>
        <v>8.497</v>
      </c>
      <c r="K127">
        <f>IFERROR(__xludf.DUMMYFUNCTION("""COMPUTED_VALUE"""),8.297)</f>
        <v>8.297</v>
      </c>
    </row>
    <row r="128">
      <c r="A128" t="str">
        <f>IFERROR(__xludf.DUMMYFUNCTION("""COMPUTED_VALUE"""),"Niger")</f>
        <v>Niger</v>
      </c>
      <c r="B128">
        <f>IFERROR(__xludf.DUMMYFUNCTION("""COMPUTED_VALUE"""),2.235)</f>
        <v>2.235</v>
      </c>
      <c r="C128">
        <f>IFERROR(__xludf.DUMMYFUNCTION("""COMPUTED_VALUE"""),2.442)</f>
        <v>2.442</v>
      </c>
      <c r="D128">
        <f>IFERROR(__xludf.DUMMYFUNCTION("""COMPUTED_VALUE"""),2.772)</f>
        <v>2.772</v>
      </c>
      <c r="E128">
        <f>IFERROR(__xludf.DUMMYFUNCTION("""COMPUTED_VALUE"""),3.382)</f>
        <v>3.382</v>
      </c>
      <c r="F128">
        <f>IFERROR(__xludf.DUMMYFUNCTION("""COMPUTED_VALUE"""),3.746)</f>
        <v>3.746</v>
      </c>
      <c r="G128">
        <f>IFERROR(__xludf.DUMMYFUNCTION("""COMPUTED_VALUE"""),4.372)</f>
        <v>4.372</v>
      </c>
      <c r="H128">
        <f>IFERROR(__xludf.DUMMYFUNCTION("""COMPUTED_VALUE"""),4.743)</f>
        <v>4.743</v>
      </c>
      <c r="I128">
        <f>IFERROR(__xludf.DUMMYFUNCTION("""COMPUTED_VALUE"""),5.716)</f>
        <v>5.716</v>
      </c>
      <c r="J128">
        <f>IFERROR(__xludf.DUMMYFUNCTION("""COMPUTED_VALUE"""),7.279)</f>
        <v>7.279</v>
      </c>
      <c r="K128">
        <f>IFERROR(__xludf.DUMMYFUNCTION("""COMPUTED_VALUE"""),7.324)</f>
        <v>7.324</v>
      </c>
    </row>
    <row r="129">
      <c r="A129" t="str">
        <f>IFERROR(__xludf.DUMMYFUNCTION("""COMPUTED_VALUE"""),"Nigeria")</f>
        <v>Nigeria</v>
      </c>
      <c r="B129">
        <f>IFERROR(__xludf.DUMMYFUNCTION("""COMPUTED_VALUE"""),67.824)</f>
        <v>67.824</v>
      </c>
      <c r="C129">
        <f>IFERROR(__xludf.DUMMYFUNCTION("""COMPUTED_VALUE"""),73.128)</f>
        <v>73.128</v>
      </c>
      <c r="D129">
        <f>IFERROR(__xludf.DUMMYFUNCTION("""COMPUTED_VALUE"""),93.983)</f>
        <v>93.983</v>
      </c>
      <c r="E129">
        <f>IFERROR(__xludf.DUMMYFUNCTION("""COMPUTED_VALUE"""),102.935)</f>
        <v>102.935</v>
      </c>
      <c r="F129">
        <f>IFERROR(__xludf.DUMMYFUNCTION("""COMPUTED_VALUE"""),130.345)</f>
        <v>130.345</v>
      </c>
      <c r="G129">
        <f>IFERROR(__xludf.DUMMYFUNCTION("""COMPUTED_VALUE"""),169.645)</f>
        <v>169.645</v>
      </c>
      <c r="H129">
        <f>IFERROR(__xludf.DUMMYFUNCTION("""COMPUTED_VALUE"""),222.791)</f>
        <v>222.791</v>
      </c>
      <c r="I129">
        <f>IFERROR(__xludf.DUMMYFUNCTION("""COMPUTED_VALUE"""),262.215)</f>
        <v>262.215</v>
      </c>
      <c r="J129">
        <f>IFERROR(__xludf.DUMMYFUNCTION("""COMPUTED_VALUE"""),330.26)</f>
        <v>330.26</v>
      </c>
      <c r="K129">
        <f>IFERROR(__xludf.DUMMYFUNCTION("""COMPUTED_VALUE"""),297.458)</f>
        <v>297.458</v>
      </c>
    </row>
    <row r="130">
      <c r="A130" t="str">
        <f>IFERROR(__xludf.DUMMYFUNCTION("""COMPUTED_VALUE"""),"Macédoine du Nord")</f>
        <v>Macédoine du Nord</v>
      </c>
      <c r="B130">
        <f>IFERROR(__xludf.DUMMYFUNCTION("""COMPUTED_VALUE"""),3.774)</f>
        <v>3.774</v>
      </c>
      <c r="C130">
        <f>IFERROR(__xludf.DUMMYFUNCTION("""COMPUTED_VALUE"""),3.709)</f>
        <v>3.709</v>
      </c>
      <c r="D130">
        <f>IFERROR(__xludf.DUMMYFUNCTION("""COMPUTED_VALUE"""),3.991)</f>
        <v>3.991</v>
      </c>
      <c r="E130">
        <f>IFERROR(__xludf.DUMMYFUNCTION("""COMPUTED_VALUE"""),4.946)</f>
        <v>4.946</v>
      </c>
      <c r="F130">
        <f>IFERROR(__xludf.DUMMYFUNCTION("""COMPUTED_VALUE"""),5.684)</f>
        <v>5.684</v>
      </c>
      <c r="G130">
        <f>IFERROR(__xludf.DUMMYFUNCTION("""COMPUTED_VALUE"""),6.257)</f>
        <v>6.257</v>
      </c>
      <c r="H130">
        <f>IFERROR(__xludf.DUMMYFUNCTION("""COMPUTED_VALUE"""),6.86)</f>
        <v>6.86</v>
      </c>
      <c r="I130">
        <f>IFERROR(__xludf.DUMMYFUNCTION("""COMPUTED_VALUE"""),8.337)</f>
        <v>8.337</v>
      </c>
      <c r="J130">
        <f>IFERROR(__xludf.DUMMYFUNCTION("""COMPUTED_VALUE"""),9.912)</f>
        <v>9.912</v>
      </c>
      <c r="K130">
        <f>IFERROR(__xludf.DUMMYFUNCTION("""COMPUTED_VALUE"""),9.4)</f>
        <v>9.4</v>
      </c>
    </row>
    <row r="131">
      <c r="A131" t="str">
        <f>IFERROR(__xludf.DUMMYFUNCTION("""COMPUTED_VALUE"""),"Norvège")</f>
        <v>Norvège</v>
      </c>
      <c r="B131">
        <f>IFERROR(__xludf.DUMMYFUNCTION("""COMPUTED_VALUE"""),171.456)</f>
        <v>171.456</v>
      </c>
      <c r="C131">
        <f>IFERROR(__xludf.DUMMYFUNCTION("""COMPUTED_VALUE"""),174.24)</f>
        <v>174.24</v>
      </c>
      <c r="D131">
        <f>IFERROR(__xludf.DUMMYFUNCTION("""COMPUTED_VALUE"""),195.915)</f>
        <v>195.915</v>
      </c>
      <c r="E131">
        <f>IFERROR(__xludf.DUMMYFUNCTION("""COMPUTED_VALUE"""),229.385)</f>
        <v>229.385</v>
      </c>
      <c r="F131">
        <f>IFERROR(__xludf.DUMMYFUNCTION("""COMPUTED_VALUE"""),265.267)</f>
        <v>265.267</v>
      </c>
      <c r="G131">
        <f>IFERROR(__xludf.DUMMYFUNCTION("""COMPUTED_VALUE"""),309.979)</f>
        <v>309.979</v>
      </c>
      <c r="H131">
        <f>IFERROR(__xludf.DUMMYFUNCTION("""COMPUTED_VALUE"""),346.914)</f>
        <v>346.914</v>
      </c>
      <c r="I131">
        <f>IFERROR(__xludf.DUMMYFUNCTION("""COMPUTED_VALUE"""),402.646)</f>
        <v>402.646</v>
      </c>
      <c r="J131">
        <f>IFERROR(__xludf.DUMMYFUNCTION("""COMPUTED_VALUE"""),464.915)</f>
        <v>464.915</v>
      </c>
      <c r="K131">
        <f>IFERROR(__xludf.DUMMYFUNCTION("""COMPUTED_VALUE"""),387.974)</f>
        <v>387.974</v>
      </c>
    </row>
    <row r="132">
      <c r="A132" t="str">
        <f>IFERROR(__xludf.DUMMYFUNCTION("""COMPUTED_VALUE"""),"Oman")</f>
        <v>Oman</v>
      </c>
      <c r="B132">
        <f>IFERROR(__xludf.DUMMYFUNCTION("""COMPUTED_VALUE"""),22.259)</f>
        <v>22.259</v>
      </c>
      <c r="C132">
        <f>IFERROR(__xludf.DUMMYFUNCTION("""COMPUTED_VALUE"""),22.206)</f>
        <v>22.206</v>
      </c>
      <c r="D132">
        <f>IFERROR(__xludf.DUMMYFUNCTION("""COMPUTED_VALUE"""),23.066)</f>
        <v>23.066</v>
      </c>
      <c r="E132">
        <f>IFERROR(__xludf.DUMMYFUNCTION("""COMPUTED_VALUE"""),24.734)</f>
        <v>24.734</v>
      </c>
      <c r="F132">
        <f>IFERROR(__xludf.DUMMYFUNCTION("""COMPUTED_VALUE"""),28.379)</f>
        <v>28.379</v>
      </c>
      <c r="G132">
        <f>IFERROR(__xludf.DUMMYFUNCTION("""COMPUTED_VALUE"""),35.507)</f>
        <v>35.507</v>
      </c>
      <c r="H132">
        <f>IFERROR(__xludf.DUMMYFUNCTION("""COMPUTED_VALUE"""),42.578)</f>
        <v>42.578</v>
      </c>
      <c r="I132">
        <f>IFERROR(__xludf.DUMMYFUNCTION("""COMPUTED_VALUE"""),48.3)</f>
        <v>48.3</v>
      </c>
      <c r="J132">
        <f>IFERROR(__xludf.DUMMYFUNCTION("""COMPUTED_VALUE"""),69.805)</f>
        <v>69.805</v>
      </c>
      <c r="K132">
        <f>IFERROR(__xludf.DUMMYFUNCTION("""COMPUTED_VALUE"""),55.454)</f>
        <v>55.454</v>
      </c>
    </row>
    <row r="133">
      <c r="A133" t="str">
        <f>IFERROR(__xludf.DUMMYFUNCTION("""COMPUTED_VALUE"""),"Pakistan")</f>
        <v>Pakistan</v>
      </c>
      <c r="B133">
        <f>IFERROR(__xludf.DUMMYFUNCTION("""COMPUTED_VALUE"""),99.421)</f>
        <v>99.421</v>
      </c>
      <c r="C133">
        <f>IFERROR(__xludf.DUMMYFUNCTION("""COMPUTED_VALUE"""),96.784)</f>
        <v>96.784</v>
      </c>
      <c r="D133">
        <f>IFERROR(__xludf.DUMMYFUNCTION("""COMPUTED_VALUE"""),98.169)</f>
        <v>98.169</v>
      </c>
      <c r="E133">
        <f>IFERROR(__xludf.DUMMYFUNCTION("""COMPUTED_VALUE"""),112.507)</f>
        <v>112.507</v>
      </c>
      <c r="F133">
        <f>IFERROR(__xludf.DUMMYFUNCTION("""COMPUTED_VALUE"""),132.206)</f>
        <v>132.206</v>
      </c>
      <c r="G133">
        <f>IFERROR(__xludf.DUMMYFUNCTION("""COMPUTED_VALUE"""),145.209)</f>
        <v>145.209</v>
      </c>
      <c r="H133">
        <f>IFERROR(__xludf.DUMMYFUNCTION("""COMPUTED_VALUE"""),161.871)</f>
        <v>161.871</v>
      </c>
      <c r="I133">
        <f>IFERROR(__xludf.DUMMYFUNCTION("""COMPUTED_VALUE"""),184.141)</f>
        <v>184.141</v>
      </c>
      <c r="J133">
        <f>IFERROR(__xludf.DUMMYFUNCTION("""COMPUTED_VALUE"""),202.204)</f>
        <v>202.204</v>
      </c>
      <c r="K133">
        <f>IFERROR(__xludf.DUMMYFUNCTION("""COMPUTED_VALUE"""),187.074)</f>
        <v>187.074</v>
      </c>
    </row>
    <row r="134">
      <c r="A134" t="str">
        <f>IFERROR(__xludf.DUMMYFUNCTION("""COMPUTED_VALUE"""),"Palaos")</f>
        <v>Palaos</v>
      </c>
      <c r="B134">
        <f>IFERROR(__xludf.DUMMYFUNCTION("""COMPUTED_VALUE"""),0.15)</f>
        <v>0.15</v>
      </c>
      <c r="C134">
        <f>IFERROR(__xludf.DUMMYFUNCTION("""COMPUTED_VALUE"""),0.159)</f>
        <v>0.159</v>
      </c>
      <c r="D134">
        <f>IFERROR(__xludf.DUMMYFUNCTION("""COMPUTED_VALUE"""),0.163)</f>
        <v>0.163</v>
      </c>
      <c r="E134">
        <f>IFERROR(__xludf.DUMMYFUNCTION("""COMPUTED_VALUE"""),0.155)</f>
        <v>0.155</v>
      </c>
      <c r="F134">
        <f>IFERROR(__xludf.DUMMYFUNCTION("""COMPUTED_VALUE"""),0.166)</f>
        <v>0.166</v>
      </c>
      <c r="G134">
        <f>IFERROR(__xludf.DUMMYFUNCTION("""COMPUTED_VALUE"""),0.186)</f>
        <v>0.186</v>
      </c>
      <c r="H134">
        <f>IFERROR(__xludf.DUMMYFUNCTION("""COMPUTED_VALUE"""),0.191)</f>
        <v>0.191</v>
      </c>
      <c r="I134">
        <f>IFERROR(__xludf.DUMMYFUNCTION("""COMPUTED_VALUE"""),0.196)</f>
        <v>0.196</v>
      </c>
      <c r="J134">
        <f>IFERROR(__xludf.DUMMYFUNCTION("""COMPUTED_VALUE"""),0.199)</f>
        <v>0.199</v>
      </c>
      <c r="K134">
        <f>IFERROR(__xludf.DUMMYFUNCTION("""COMPUTED_VALUE"""),0.184)</f>
        <v>0.184</v>
      </c>
    </row>
    <row r="135">
      <c r="A135" t="str">
        <f>IFERROR(__xludf.DUMMYFUNCTION("""COMPUTED_VALUE"""),"Panama")</f>
        <v>Panama</v>
      </c>
      <c r="B135">
        <f>IFERROR(__xludf.DUMMYFUNCTION("""COMPUTED_VALUE"""),12.958)</f>
        <v>12.958</v>
      </c>
      <c r="C135">
        <f>IFERROR(__xludf.DUMMYFUNCTION("""COMPUTED_VALUE"""),13.166)</f>
        <v>13.166</v>
      </c>
      <c r="D135">
        <f>IFERROR(__xludf.DUMMYFUNCTION("""COMPUTED_VALUE"""),13.685)</f>
        <v>13.685</v>
      </c>
      <c r="E135">
        <f>IFERROR(__xludf.DUMMYFUNCTION("""COMPUTED_VALUE"""),14.422)</f>
        <v>14.422</v>
      </c>
      <c r="F135">
        <f>IFERROR(__xludf.DUMMYFUNCTION("""COMPUTED_VALUE"""),15.811)</f>
        <v>15.811</v>
      </c>
      <c r="G135">
        <f>IFERROR(__xludf.DUMMYFUNCTION("""COMPUTED_VALUE"""),17.244)</f>
        <v>17.244</v>
      </c>
      <c r="H135">
        <f>IFERROR(__xludf.DUMMYFUNCTION("""COMPUTED_VALUE"""),19.109)</f>
        <v>19.109</v>
      </c>
      <c r="I135">
        <f>IFERROR(__xludf.DUMMYFUNCTION("""COMPUTED_VALUE"""),22.072)</f>
        <v>22.072</v>
      </c>
      <c r="J135">
        <f>IFERROR(__xludf.DUMMYFUNCTION("""COMPUTED_VALUE"""),26.072)</f>
        <v>26.072</v>
      </c>
      <c r="K135">
        <f>IFERROR(__xludf.DUMMYFUNCTION("""COMPUTED_VALUE"""),28.104)</f>
        <v>28.104</v>
      </c>
    </row>
    <row r="136">
      <c r="A136" t="str">
        <f>IFERROR(__xludf.DUMMYFUNCTION("""COMPUTED_VALUE"""),"Papouasie-Nouvelle-Guinée")</f>
        <v>Papouasie-Nouvelle-Guinée</v>
      </c>
      <c r="B136">
        <f>IFERROR(__xludf.DUMMYFUNCTION("""COMPUTED_VALUE"""),5.169)</f>
        <v>5.169</v>
      </c>
      <c r="C136">
        <f>IFERROR(__xludf.DUMMYFUNCTION("""COMPUTED_VALUE"""),4.531)</f>
        <v>4.531</v>
      </c>
      <c r="D136">
        <f>IFERROR(__xludf.DUMMYFUNCTION("""COMPUTED_VALUE"""),4.387)</f>
        <v>4.387</v>
      </c>
      <c r="E136">
        <f>IFERROR(__xludf.DUMMYFUNCTION("""COMPUTED_VALUE"""),5.488)</f>
        <v>5.488</v>
      </c>
      <c r="F136">
        <f>IFERROR(__xludf.DUMMYFUNCTION("""COMPUTED_VALUE"""),6.279)</f>
        <v>6.279</v>
      </c>
      <c r="G136">
        <f>IFERROR(__xludf.DUMMYFUNCTION("""COMPUTED_VALUE"""),7.339)</f>
        <v>7.339</v>
      </c>
      <c r="H136">
        <f>IFERROR(__xludf.DUMMYFUNCTION("""COMPUTED_VALUE"""),8.355)</f>
        <v>8.355</v>
      </c>
      <c r="I136">
        <f>IFERROR(__xludf.DUMMYFUNCTION("""COMPUTED_VALUE"""),9.545)</f>
        <v>9.545</v>
      </c>
      <c r="J136">
        <f>IFERROR(__xludf.DUMMYFUNCTION("""COMPUTED_VALUE"""),11.671)</f>
        <v>11.671</v>
      </c>
      <c r="K136">
        <f>IFERROR(__xludf.DUMMYFUNCTION("""COMPUTED_VALUE"""),11.619)</f>
        <v>11.619</v>
      </c>
    </row>
    <row r="137">
      <c r="A137" t="str">
        <f>IFERROR(__xludf.DUMMYFUNCTION("""COMPUTED_VALUE"""),"Paraguay")</f>
        <v>Paraguay</v>
      </c>
      <c r="B137">
        <f>IFERROR(__xludf.DUMMYFUNCTION("""COMPUTED_VALUE"""),8.856)</f>
        <v>8.856</v>
      </c>
      <c r="C137">
        <f>IFERROR(__xludf.DUMMYFUNCTION("""COMPUTED_VALUE"""),8.496)</f>
        <v>8.496</v>
      </c>
      <c r="D137">
        <f>IFERROR(__xludf.DUMMYFUNCTION("""COMPUTED_VALUE"""),7.196)</f>
        <v>7.196</v>
      </c>
      <c r="E137">
        <f>IFERROR(__xludf.DUMMYFUNCTION("""COMPUTED_VALUE"""),7.691)</f>
        <v>7.691</v>
      </c>
      <c r="F137">
        <f>IFERROR(__xludf.DUMMYFUNCTION("""COMPUTED_VALUE"""),9.624)</f>
        <v>9.624</v>
      </c>
      <c r="G137">
        <f>IFERROR(__xludf.DUMMYFUNCTION("""COMPUTED_VALUE"""),10.738)</f>
        <v>10.738</v>
      </c>
      <c r="H137">
        <f>IFERROR(__xludf.DUMMYFUNCTION("""COMPUTED_VALUE"""),13.43)</f>
        <v>13.43</v>
      </c>
      <c r="I137">
        <f>IFERROR(__xludf.DUMMYFUNCTION("""COMPUTED_VALUE"""),17.856)</f>
        <v>17.856</v>
      </c>
      <c r="J137">
        <f>IFERROR(__xludf.DUMMYFUNCTION("""COMPUTED_VALUE"""),24.615)</f>
        <v>24.615</v>
      </c>
      <c r="K137">
        <f>IFERROR(__xludf.DUMMYFUNCTION("""COMPUTED_VALUE"""),22.355)</f>
        <v>22.355</v>
      </c>
    </row>
    <row r="138">
      <c r="A138" t="str">
        <f>IFERROR(__xludf.DUMMYFUNCTION("""COMPUTED_VALUE"""),"Pérou")</f>
        <v>Pérou</v>
      </c>
      <c r="B138">
        <f>IFERROR(__xludf.DUMMYFUNCTION("""COMPUTED_VALUE"""),50.414)</f>
        <v>50.414</v>
      </c>
      <c r="C138">
        <f>IFERROR(__xludf.DUMMYFUNCTION("""COMPUTED_VALUE"""),51.034)</f>
        <v>51.034</v>
      </c>
      <c r="D138">
        <f>IFERROR(__xludf.DUMMYFUNCTION("""COMPUTED_VALUE"""),53.954)</f>
        <v>53.954</v>
      </c>
      <c r="E138">
        <f>IFERROR(__xludf.DUMMYFUNCTION("""COMPUTED_VALUE"""),58.537)</f>
        <v>58.537</v>
      </c>
      <c r="F138">
        <f>IFERROR(__xludf.DUMMYFUNCTION("""COMPUTED_VALUE"""),66.126)</f>
        <v>66.126</v>
      </c>
      <c r="G138">
        <f>IFERROR(__xludf.DUMMYFUNCTION("""COMPUTED_VALUE"""),74.232)</f>
        <v>74.232</v>
      </c>
      <c r="H138">
        <f>IFERROR(__xludf.DUMMYFUNCTION("""COMPUTED_VALUE"""),87.459)</f>
        <v>87.459</v>
      </c>
      <c r="I138">
        <f>IFERROR(__xludf.DUMMYFUNCTION("""COMPUTED_VALUE"""),102.187)</f>
        <v>102.187</v>
      </c>
      <c r="J138">
        <f>IFERROR(__xludf.DUMMYFUNCTION("""COMPUTED_VALUE"""),121.293)</f>
        <v>121.293</v>
      </c>
      <c r="K138">
        <f>IFERROR(__xludf.DUMMYFUNCTION("""COMPUTED_VALUE"""),121.821)</f>
        <v>121.821</v>
      </c>
    </row>
    <row r="139">
      <c r="A139" t="str">
        <f>IFERROR(__xludf.DUMMYFUNCTION("""COMPUTED_VALUE"""),"Philippines")</f>
        <v>Philippines</v>
      </c>
      <c r="B139">
        <f>IFERROR(__xludf.DUMMYFUNCTION("""COMPUTED_VALUE"""),83.667)</f>
        <v>83.667</v>
      </c>
      <c r="C139">
        <f>IFERROR(__xludf.DUMMYFUNCTION("""COMPUTED_VALUE"""),78.921)</f>
        <v>78.921</v>
      </c>
      <c r="D139">
        <f>IFERROR(__xludf.DUMMYFUNCTION("""COMPUTED_VALUE"""),84.307)</f>
        <v>84.307</v>
      </c>
      <c r="E139">
        <f>IFERROR(__xludf.DUMMYFUNCTION("""COMPUTED_VALUE"""),87.039)</f>
        <v>87.039</v>
      </c>
      <c r="F139">
        <f>IFERROR(__xludf.DUMMYFUNCTION("""COMPUTED_VALUE"""),95.002)</f>
        <v>95.002</v>
      </c>
      <c r="G139">
        <f>IFERROR(__xludf.DUMMYFUNCTION("""COMPUTED_VALUE"""),107.42)</f>
        <v>107.42</v>
      </c>
      <c r="H139">
        <f>IFERROR(__xludf.DUMMYFUNCTION("""COMPUTED_VALUE"""),127.653)</f>
        <v>127.653</v>
      </c>
      <c r="I139">
        <f>IFERROR(__xludf.DUMMYFUNCTION("""COMPUTED_VALUE"""),155.98)</f>
        <v>155.98</v>
      </c>
      <c r="J139">
        <f>IFERROR(__xludf.DUMMYFUNCTION("""COMPUTED_VALUE"""),181.007)</f>
        <v>181.007</v>
      </c>
      <c r="K139">
        <f>IFERROR(__xludf.DUMMYFUNCTION("""COMPUTED_VALUE"""),176.132)</f>
        <v>176.132</v>
      </c>
    </row>
    <row r="140">
      <c r="A140" t="str">
        <f>IFERROR(__xludf.DUMMYFUNCTION("""COMPUTED_VALUE"""),"Pologne")</f>
        <v>Pologne</v>
      </c>
      <c r="B140">
        <f>IFERROR(__xludf.DUMMYFUNCTION("""COMPUTED_VALUE"""),171.613)</f>
        <v>171.613</v>
      </c>
      <c r="C140">
        <f>IFERROR(__xludf.DUMMYFUNCTION("""COMPUTED_VALUE"""),190.805)</f>
        <v>190.805</v>
      </c>
      <c r="D140">
        <f>IFERROR(__xludf.DUMMYFUNCTION("""COMPUTED_VALUE"""),199.07)</f>
        <v>199.07</v>
      </c>
      <c r="E140">
        <f>IFERROR(__xludf.DUMMYFUNCTION("""COMPUTED_VALUE"""),217.829)</f>
        <v>217.829</v>
      </c>
      <c r="F140">
        <f>IFERROR(__xludf.DUMMYFUNCTION("""COMPUTED_VALUE"""),255.292)</f>
        <v>255.292</v>
      </c>
      <c r="G140">
        <f>IFERROR(__xludf.DUMMYFUNCTION("""COMPUTED_VALUE"""),306.304)</f>
        <v>306.304</v>
      </c>
      <c r="H140">
        <f>IFERROR(__xludf.DUMMYFUNCTION("""COMPUTED_VALUE"""),344.627)</f>
        <v>344.627</v>
      </c>
      <c r="I140">
        <f>IFERROR(__xludf.DUMMYFUNCTION("""COMPUTED_VALUE"""),429.021)</f>
        <v>429.021</v>
      </c>
      <c r="J140">
        <f>IFERROR(__xludf.DUMMYFUNCTION("""COMPUTED_VALUE"""),533.6)</f>
        <v>533.6</v>
      </c>
      <c r="K140">
        <f>IFERROR(__xludf.DUMMYFUNCTION("""COMPUTED_VALUE"""),439.794)</f>
        <v>439.794</v>
      </c>
    </row>
    <row r="141">
      <c r="A141" t="str">
        <f>IFERROR(__xludf.DUMMYFUNCTION("""COMPUTED_VALUE"""),"Portugal")</f>
        <v>Portugal</v>
      </c>
      <c r="B141">
        <f>IFERROR(__xludf.DUMMYFUNCTION("""COMPUTED_VALUE"""),118.658)</f>
        <v>118.658</v>
      </c>
      <c r="C141">
        <f>IFERROR(__xludf.DUMMYFUNCTION("""COMPUTED_VALUE"""),121.605)</f>
        <v>121.605</v>
      </c>
      <c r="D141">
        <f>IFERROR(__xludf.DUMMYFUNCTION("""COMPUTED_VALUE"""),134.7)</f>
        <v>134.7</v>
      </c>
      <c r="E141">
        <f>IFERROR(__xludf.DUMMYFUNCTION("""COMPUTED_VALUE"""),165.185)</f>
        <v>165.185</v>
      </c>
      <c r="F141">
        <f>IFERROR(__xludf.DUMMYFUNCTION("""COMPUTED_VALUE"""),189.296)</f>
        <v>189.296</v>
      </c>
      <c r="G141">
        <f>IFERROR(__xludf.DUMMYFUNCTION("""COMPUTED_VALUE"""),197.363)</f>
        <v>197.363</v>
      </c>
      <c r="H141">
        <f>IFERROR(__xludf.DUMMYFUNCTION("""COMPUTED_VALUE"""),208.767)</f>
        <v>208.767</v>
      </c>
      <c r="I141">
        <f>IFERROR(__xludf.DUMMYFUNCTION("""COMPUTED_VALUE"""),240.524)</f>
        <v>240.524</v>
      </c>
      <c r="J141">
        <f>IFERROR(__xludf.DUMMYFUNCTION("""COMPUTED_VALUE"""),263.388)</f>
        <v>263.388</v>
      </c>
      <c r="K141">
        <f>IFERROR(__xludf.DUMMYFUNCTION("""COMPUTED_VALUE"""),244.402)</f>
        <v>244.402</v>
      </c>
    </row>
    <row r="142">
      <c r="A142" t="str">
        <f>IFERROR(__xludf.DUMMYFUNCTION("""COMPUTED_VALUE"""),"Porto Rico")</f>
        <v>Porto Rico</v>
      </c>
      <c r="B142">
        <f>IFERROR(__xludf.DUMMYFUNCTION("""COMPUTED_VALUE"""),61.702)</f>
        <v>61.702</v>
      </c>
      <c r="C142">
        <f>IFERROR(__xludf.DUMMYFUNCTION("""COMPUTED_VALUE"""),69.669)</f>
        <v>69.669</v>
      </c>
      <c r="D142">
        <f>IFERROR(__xludf.DUMMYFUNCTION("""COMPUTED_VALUE"""),72.546)</f>
        <v>72.546</v>
      </c>
      <c r="E142">
        <f>IFERROR(__xludf.DUMMYFUNCTION("""COMPUTED_VALUE"""),75.834)</f>
        <v>75.834</v>
      </c>
      <c r="F142">
        <f>IFERROR(__xludf.DUMMYFUNCTION("""COMPUTED_VALUE"""),80.322)</f>
        <v>80.322</v>
      </c>
      <c r="G142">
        <f>IFERROR(__xludf.DUMMYFUNCTION("""COMPUTED_VALUE"""),83.915)</f>
        <v>83.915</v>
      </c>
      <c r="H142">
        <f>IFERROR(__xludf.DUMMYFUNCTION("""COMPUTED_VALUE"""),87.276)</f>
        <v>87.276</v>
      </c>
      <c r="I142">
        <f>IFERROR(__xludf.DUMMYFUNCTION("""COMPUTED_VALUE"""),89.524)</f>
        <v>89.524</v>
      </c>
      <c r="J142">
        <f>IFERROR(__xludf.DUMMYFUNCTION("""COMPUTED_VALUE"""),93.639)</f>
        <v>93.639</v>
      </c>
      <c r="K142">
        <f>IFERROR(__xludf.DUMMYFUNCTION("""COMPUTED_VALUE"""),96.386)</f>
        <v>96.386</v>
      </c>
    </row>
    <row r="143">
      <c r="A143" t="str">
        <f>IFERROR(__xludf.DUMMYFUNCTION("""COMPUTED_VALUE"""),"Qatar")</f>
        <v>Qatar</v>
      </c>
      <c r="B143">
        <f>IFERROR(__xludf.DUMMYFUNCTION("""COMPUTED_VALUE"""),18.085)</f>
        <v>18.085</v>
      </c>
      <c r="C143">
        <f>IFERROR(__xludf.DUMMYFUNCTION("""COMPUTED_VALUE"""),17.498)</f>
        <v>17.498</v>
      </c>
      <c r="D143">
        <f>IFERROR(__xludf.DUMMYFUNCTION("""COMPUTED_VALUE"""),19.334)</f>
        <v>19.334</v>
      </c>
      <c r="E143">
        <f>IFERROR(__xludf.DUMMYFUNCTION("""COMPUTED_VALUE"""),23.716)</f>
        <v>23.716</v>
      </c>
      <c r="F143">
        <f>IFERROR(__xludf.DUMMYFUNCTION("""COMPUTED_VALUE"""),30.651)</f>
        <v>30.651</v>
      </c>
      <c r="G143">
        <f>IFERROR(__xludf.DUMMYFUNCTION("""COMPUTED_VALUE"""),44.636)</f>
        <v>44.636</v>
      </c>
      <c r="H143">
        <f>IFERROR(__xludf.DUMMYFUNCTION("""COMPUTED_VALUE"""),58.629)</f>
        <v>58.629</v>
      </c>
      <c r="I143">
        <f>IFERROR(__xludf.DUMMYFUNCTION("""COMPUTED_VALUE"""),75.987)</f>
        <v>75.987</v>
      </c>
      <c r="J143">
        <f>IFERROR(__xludf.DUMMYFUNCTION("""COMPUTED_VALUE"""),112.621)</f>
        <v>112.621</v>
      </c>
      <c r="K143">
        <f>IFERROR(__xludf.DUMMYFUNCTION("""COMPUTED_VALUE"""),88.196)</f>
        <v>88.196</v>
      </c>
    </row>
    <row r="144">
      <c r="A144" t="str">
        <f>IFERROR(__xludf.DUMMYFUNCTION("""COMPUTED_VALUE"""),"Roumanie")</f>
        <v>Roumanie</v>
      </c>
      <c r="B144">
        <f>IFERROR(__xludf.DUMMYFUNCTION("""COMPUTED_VALUE"""),37.447)</f>
        <v>37.447</v>
      </c>
      <c r="C144">
        <f>IFERROR(__xludf.DUMMYFUNCTION("""COMPUTED_VALUE"""),40.396)</f>
        <v>40.396</v>
      </c>
      <c r="D144">
        <f>IFERROR(__xludf.DUMMYFUNCTION("""COMPUTED_VALUE"""),46.035)</f>
        <v>46.035</v>
      </c>
      <c r="E144">
        <f>IFERROR(__xludf.DUMMYFUNCTION("""COMPUTED_VALUE"""),57.79)</f>
        <v>57.79</v>
      </c>
      <c r="F144">
        <f>IFERROR(__xludf.DUMMYFUNCTION("""COMPUTED_VALUE"""),75.059)</f>
        <v>75.059</v>
      </c>
      <c r="G144">
        <f>IFERROR(__xludf.DUMMYFUNCTION("""COMPUTED_VALUE"""),98.547)</f>
        <v>98.547</v>
      </c>
      <c r="H144">
        <f>IFERROR(__xludf.DUMMYFUNCTION("""COMPUTED_VALUE"""),122.114)</f>
        <v>122.114</v>
      </c>
      <c r="I144">
        <f>IFERROR(__xludf.DUMMYFUNCTION("""COMPUTED_VALUE"""),174.831)</f>
        <v>174.831</v>
      </c>
      <c r="J144">
        <f>IFERROR(__xludf.DUMMYFUNCTION("""COMPUTED_VALUE"""),215.568)</f>
        <v>215.568</v>
      </c>
      <c r="K144">
        <f>IFERROR(__xludf.DUMMYFUNCTION("""COMPUTED_VALUE"""),174.564)</f>
        <v>174.564</v>
      </c>
    </row>
    <row r="145">
      <c r="A145" t="str">
        <f>IFERROR(__xludf.DUMMYFUNCTION("""COMPUTED_VALUE"""),"Russie")</f>
        <v>Russie</v>
      </c>
      <c r="B145">
        <f>IFERROR(__xludf.DUMMYFUNCTION("""COMPUTED_VALUE"""),278.264)</f>
        <v>278.264</v>
      </c>
      <c r="C145">
        <f>IFERROR(__xludf.DUMMYFUNCTION("""COMPUTED_VALUE"""),328.475)</f>
        <v>328.475</v>
      </c>
      <c r="D145">
        <f>IFERROR(__xludf.DUMMYFUNCTION("""COMPUTED_VALUE"""),370.062)</f>
        <v>370.062</v>
      </c>
      <c r="E145">
        <f>IFERROR(__xludf.DUMMYFUNCTION("""COMPUTED_VALUE"""),461.518)</f>
        <v>461.518</v>
      </c>
      <c r="F145">
        <f>IFERROR(__xludf.DUMMYFUNCTION("""COMPUTED_VALUE"""),633.294)</f>
        <v>633.294</v>
      </c>
      <c r="G145">
        <f>IFERROR(__xludf.DUMMYFUNCTION("""COMPUTED_VALUE"""),817.717)</f>
        <v>817.717</v>
      </c>
      <c r="H145">
        <f>IFERROR(__xludf.DUMMYFUNCTION("""COMPUTED_VALUE"""),1060.901)</f>
        <v>1060.901</v>
      </c>
      <c r="I145">
        <f>IFERROR(__xludf.DUMMYFUNCTION("""COMPUTED_VALUE"""),1393.416)</f>
        <v>1393.416</v>
      </c>
      <c r="J145">
        <f>IFERROR(__xludf.DUMMYFUNCTION("""COMPUTED_VALUE"""),1779.109)</f>
        <v>1779.109</v>
      </c>
      <c r="K145">
        <f>IFERROR(__xludf.DUMMYFUNCTION("""COMPUTED_VALUE"""),1307.927)</f>
        <v>1307.927</v>
      </c>
    </row>
    <row r="146">
      <c r="A146" t="str">
        <f>IFERROR(__xludf.DUMMYFUNCTION("""COMPUTED_VALUE"""),"Rwanda")</f>
        <v>Rwanda</v>
      </c>
      <c r="B146">
        <f>IFERROR(__xludf.DUMMYFUNCTION("""COMPUTED_VALUE"""),2.049)</f>
        <v>2.049</v>
      </c>
      <c r="C146">
        <f>IFERROR(__xludf.DUMMYFUNCTION("""COMPUTED_VALUE"""),1.967)</f>
        <v>1.967</v>
      </c>
      <c r="D146">
        <f>IFERROR(__xludf.DUMMYFUNCTION("""COMPUTED_VALUE"""),1.963)</f>
        <v>1.963</v>
      </c>
      <c r="E146">
        <f>IFERROR(__xludf.DUMMYFUNCTION("""COMPUTED_VALUE"""),2.139)</f>
        <v>2.139</v>
      </c>
      <c r="F146">
        <f>IFERROR(__xludf.DUMMYFUNCTION("""COMPUTED_VALUE"""),2.388)</f>
        <v>2.388</v>
      </c>
      <c r="G146">
        <f>IFERROR(__xludf.DUMMYFUNCTION("""COMPUTED_VALUE"""),2.943)</f>
        <v>2.943</v>
      </c>
      <c r="H146">
        <f>IFERROR(__xludf.DUMMYFUNCTION("""COMPUTED_VALUE"""),3.317)</f>
        <v>3.317</v>
      </c>
      <c r="I146">
        <f>IFERROR(__xludf.DUMMYFUNCTION("""COMPUTED_VALUE"""),4.069)</f>
        <v>4.069</v>
      </c>
      <c r="J146">
        <f>IFERROR(__xludf.DUMMYFUNCTION("""COMPUTED_VALUE"""),5.183)</f>
        <v>5.183</v>
      </c>
      <c r="K146">
        <f>IFERROR(__xludf.DUMMYFUNCTION("""COMPUTED_VALUE"""),5.675)</f>
        <v>5.675</v>
      </c>
    </row>
    <row r="147">
      <c r="A147" t="str">
        <f>IFERROR(__xludf.DUMMYFUNCTION("""COMPUTED_VALUE"""),"Saint-Christophe-et-Niévès")</f>
        <v>Saint-Christophe-et-Niévès</v>
      </c>
      <c r="B147">
        <f>IFERROR(__xludf.DUMMYFUNCTION("""COMPUTED_VALUE"""),0.421)</f>
        <v>0.421</v>
      </c>
      <c r="C147">
        <f>IFERROR(__xludf.DUMMYFUNCTION("""COMPUTED_VALUE"""),0.458)</f>
        <v>0.458</v>
      </c>
      <c r="D147">
        <f>IFERROR(__xludf.DUMMYFUNCTION("""COMPUTED_VALUE"""),0.481)</f>
        <v>0.481</v>
      </c>
      <c r="E147">
        <f>IFERROR(__xludf.DUMMYFUNCTION("""COMPUTED_VALUE"""),0.469)</f>
        <v>0.469</v>
      </c>
      <c r="F147">
        <f>IFERROR(__xludf.DUMMYFUNCTION("""COMPUTED_VALUE"""),0.507)</f>
        <v>0.507</v>
      </c>
      <c r="G147">
        <f>IFERROR(__xludf.DUMMYFUNCTION("""COMPUTED_VALUE"""),0.547)</f>
        <v>0.547</v>
      </c>
      <c r="H147">
        <f>IFERROR(__xludf.DUMMYFUNCTION("""COMPUTED_VALUE"""),0.644)</f>
        <v>0.644</v>
      </c>
      <c r="I147">
        <f>IFERROR(__xludf.DUMMYFUNCTION("""COMPUTED_VALUE"""),0.689)</f>
        <v>0.689</v>
      </c>
      <c r="J147">
        <f>IFERROR(__xludf.DUMMYFUNCTION("""COMPUTED_VALUE"""),0.778)</f>
        <v>0.778</v>
      </c>
      <c r="K147">
        <f>IFERROR(__xludf.DUMMYFUNCTION("""COMPUTED_VALUE"""),0.774)</f>
        <v>0.774</v>
      </c>
    </row>
    <row r="148">
      <c r="A148" t="str">
        <f>IFERROR(__xludf.DUMMYFUNCTION("""COMPUTED_VALUE"""),"Sainte-Lucie")</f>
        <v>Sainte-Lucie</v>
      </c>
      <c r="B148">
        <f>IFERROR(__xludf.DUMMYFUNCTION("""COMPUTED_VALUE"""),0.932)</f>
        <v>0.932</v>
      </c>
      <c r="C148">
        <f>IFERROR(__xludf.DUMMYFUNCTION("""COMPUTED_VALUE"""),0.892)</f>
        <v>0.892</v>
      </c>
      <c r="D148">
        <f>IFERROR(__xludf.DUMMYFUNCTION("""COMPUTED_VALUE"""),0.899)</f>
        <v>0.899</v>
      </c>
      <c r="E148">
        <f>IFERROR(__xludf.DUMMYFUNCTION("""COMPUTED_VALUE"""),0.987)</f>
        <v>0.987</v>
      </c>
      <c r="F148">
        <f>IFERROR(__xludf.DUMMYFUNCTION("""COMPUTED_VALUE"""),1.066)</f>
        <v>1.066</v>
      </c>
      <c r="G148">
        <f>IFERROR(__xludf.DUMMYFUNCTION("""COMPUTED_VALUE"""),1.135)</f>
        <v>1.135</v>
      </c>
      <c r="H148">
        <f>IFERROR(__xludf.DUMMYFUNCTION("""COMPUTED_VALUE"""),1.268)</f>
        <v>1.268</v>
      </c>
      <c r="I148">
        <f>IFERROR(__xludf.DUMMYFUNCTION("""COMPUTED_VALUE"""),1.331)</f>
        <v>1.331</v>
      </c>
      <c r="J148">
        <f>IFERROR(__xludf.DUMMYFUNCTION("""COMPUTED_VALUE"""),1.427)</f>
        <v>1.427</v>
      </c>
      <c r="K148">
        <f>IFERROR(__xludf.DUMMYFUNCTION("""COMPUTED_VALUE"""),1.4)</f>
        <v>1.4</v>
      </c>
    </row>
    <row r="149">
      <c r="A149" t="str">
        <f>IFERROR(__xludf.DUMMYFUNCTION("""COMPUTED_VALUE"""),"Saint-Vincent-et-les-Grenadines")</f>
        <v>Saint-Vincent-et-les-Grenadines</v>
      </c>
      <c r="B149">
        <f>IFERROR(__xludf.DUMMYFUNCTION("""COMPUTED_VALUE"""),0.428)</f>
        <v>0.428</v>
      </c>
      <c r="C149">
        <f>IFERROR(__xludf.DUMMYFUNCTION("""COMPUTED_VALUE"""),0.462)</f>
        <v>0.462</v>
      </c>
      <c r="D149">
        <f>IFERROR(__xludf.DUMMYFUNCTION("""COMPUTED_VALUE"""),0.488)</f>
        <v>0.488</v>
      </c>
      <c r="E149">
        <f>IFERROR(__xludf.DUMMYFUNCTION("""COMPUTED_VALUE"""),0.509)</f>
        <v>0.509</v>
      </c>
      <c r="F149">
        <f>IFERROR(__xludf.DUMMYFUNCTION("""COMPUTED_VALUE"""),0.55)</f>
        <v>0.55</v>
      </c>
      <c r="G149">
        <f>IFERROR(__xludf.DUMMYFUNCTION("""COMPUTED_VALUE"""),0.58)</f>
        <v>0.58</v>
      </c>
      <c r="H149">
        <f>IFERROR(__xludf.DUMMYFUNCTION("""COMPUTED_VALUE"""),0.644)</f>
        <v>0.644</v>
      </c>
      <c r="I149">
        <f>IFERROR(__xludf.DUMMYFUNCTION("""COMPUTED_VALUE"""),0.714)</f>
        <v>0.714</v>
      </c>
      <c r="J149">
        <f>IFERROR(__xludf.DUMMYFUNCTION("""COMPUTED_VALUE"""),0.733)</f>
        <v>0.733</v>
      </c>
      <c r="K149">
        <f>IFERROR(__xludf.DUMMYFUNCTION("""COMPUTED_VALUE"""),0.714)</f>
        <v>0.714</v>
      </c>
    </row>
    <row r="150">
      <c r="A150" t="str">
        <f>IFERROR(__xludf.DUMMYFUNCTION("""COMPUTED_VALUE"""),"Samoa")</f>
        <v>Samoa</v>
      </c>
      <c r="B150">
        <f>IFERROR(__xludf.DUMMYFUNCTION("""COMPUTED_VALUE"""),0.271)</f>
        <v>0.271</v>
      </c>
      <c r="C150">
        <f>IFERROR(__xludf.DUMMYFUNCTION("""COMPUTED_VALUE"""),0.273)</f>
        <v>0.273</v>
      </c>
      <c r="D150">
        <f>IFERROR(__xludf.DUMMYFUNCTION("""COMPUTED_VALUE"""),0.289)</f>
        <v>0.289</v>
      </c>
      <c r="E150">
        <f>IFERROR(__xludf.DUMMYFUNCTION("""COMPUTED_VALUE"""),0.342)</f>
        <v>0.342</v>
      </c>
      <c r="F150">
        <f>IFERROR(__xludf.DUMMYFUNCTION("""COMPUTED_VALUE"""),0.418)</f>
        <v>0.418</v>
      </c>
      <c r="G150">
        <f>IFERROR(__xludf.DUMMYFUNCTION("""COMPUTED_VALUE"""),0.486)</f>
        <v>0.486</v>
      </c>
      <c r="H150">
        <f>IFERROR(__xludf.DUMMYFUNCTION("""COMPUTED_VALUE"""),0.516)</f>
        <v>0.516</v>
      </c>
      <c r="I150">
        <f>IFERROR(__xludf.DUMMYFUNCTION("""COMPUTED_VALUE"""),0.568)</f>
        <v>0.568</v>
      </c>
      <c r="J150">
        <f>IFERROR(__xludf.DUMMYFUNCTION("""COMPUTED_VALUE"""),0.684)</f>
        <v>0.684</v>
      </c>
      <c r="K150">
        <f>IFERROR(__xludf.DUMMYFUNCTION("""COMPUTED_VALUE"""),0.618)</f>
        <v>0.618</v>
      </c>
    </row>
    <row r="151">
      <c r="A151" t="str">
        <f>IFERROR(__xludf.DUMMYFUNCTION("""COMPUTED_VALUE"""),"Saint-Marin")</f>
        <v>Saint-Marin</v>
      </c>
      <c r="B151">
        <f>IFERROR(__xludf.DUMMYFUNCTION("""COMPUTED_VALUE"""),1.008)</f>
        <v>1.008</v>
      </c>
      <c r="C151">
        <f>IFERROR(__xludf.DUMMYFUNCTION("""COMPUTED_VALUE"""),1.06)</f>
        <v>1.06</v>
      </c>
      <c r="D151">
        <f>IFERROR(__xludf.DUMMYFUNCTION("""COMPUTED_VALUE"""),1.148)</f>
        <v>1.148</v>
      </c>
      <c r="E151">
        <f>IFERROR(__xludf.DUMMYFUNCTION("""COMPUTED_VALUE"""),1.462)</f>
        <v>1.462</v>
      </c>
      <c r="F151">
        <f>IFERROR(__xludf.DUMMYFUNCTION("""COMPUTED_VALUE"""),1.714)</f>
        <v>1.714</v>
      </c>
      <c r="G151">
        <f>IFERROR(__xludf.DUMMYFUNCTION("""COMPUTED_VALUE"""),1.788)</f>
        <v>1.788</v>
      </c>
      <c r="H151">
        <f>IFERROR(__xludf.DUMMYFUNCTION("""COMPUTED_VALUE"""),1.91)</f>
        <v>1.91</v>
      </c>
      <c r="I151">
        <f>IFERROR(__xludf.DUMMYFUNCTION("""COMPUTED_VALUE"""),2.189)</f>
        <v>2.189</v>
      </c>
      <c r="J151">
        <f>IFERROR(__xludf.DUMMYFUNCTION("""COMPUTED_VALUE"""),2.403)</f>
        <v>2.403</v>
      </c>
      <c r="K151">
        <f>IFERROR(__xludf.DUMMYFUNCTION("""COMPUTED_VALUE"""),2.062)</f>
        <v>2.062</v>
      </c>
    </row>
    <row r="152">
      <c r="A152" t="str">
        <f>IFERROR(__xludf.DUMMYFUNCTION("""COMPUTED_VALUE"""),"Arabie saoudite")</f>
        <v>Arabie saoudite</v>
      </c>
      <c r="B152">
        <f>IFERROR(__xludf.DUMMYFUNCTION("""COMPUTED_VALUE"""),189.515)</f>
        <v>189.515</v>
      </c>
      <c r="C152">
        <f>IFERROR(__xludf.DUMMYFUNCTION("""COMPUTED_VALUE"""),184.137)</f>
        <v>184.137</v>
      </c>
      <c r="D152">
        <f>IFERROR(__xludf.DUMMYFUNCTION("""COMPUTED_VALUE"""),189.606)</f>
        <v>189.606</v>
      </c>
      <c r="E152">
        <f>IFERROR(__xludf.DUMMYFUNCTION("""COMPUTED_VALUE"""),215.807)</f>
        <v>215.807</v>
      </c>
      <c r="F152">
        <f>IFERROR(__xludf.DUMMYFUNCTION("""COMPUTED_VALUE"""),258.742)</f>
        <v>258.742</v>
      </c>
      <c r="G152">
        <f>IFERROR(__xludf.DUMMYFUNCTION("""COMPUTED_VALUE"""),328.206)</f>
        <v>328.206</v>
      </c>
      <c r="H152">
        <f>IFERROR(__xludf.DUMMYFUNCTION("""COMPUTED_VALUE"""),376.398)</f>
        <v>376.398</v>
      </c>
      <c r="I152">
        <f>IFERROR(__xludf.DUMMYFUNCTION("""COMPUTED_VALUE"""),415.687)</f>
        <v>415.687</v>
      </c>
      <c r="J152">
        <f>IFERROR(__xludf.DUMMYFUNCTION("""COMPUTED_VALUE"""),519.797)</f>
        <v>519.797</v>
      </c>
      <c r="K152">
        <f>IFERROR(__xludf.DUMMYFUNCTION("""COMPUTED_VALUE"""),429.098)</f>
        <v>429.098</v>
      </c>
    </row>
    <row r="153">
      <c r="A153" t="str">
        <f>IFERROR(__xludf.DUMMYFUNCTION("""COMPUTED_VALUE"""),"Sénégal")</f>
        <v>Sénégal</v>
      </c>
      <c r="B153">
        <f>IFERROR(__xludf.DUMMYFUNCTION("""COMPUTED_VALUE"""),6.016)</f>
        <v>6.016</v>
      </c>
      <c r="C153">
        <f>IFERROR(__xludf.DUMMYFUNCTION("""COMPUTED_VALUE"""),6.508)</f>
        <v>6.508</v>
      </c>
      <c r="D153">
        <f>IFERROR(__xludf.DUMMYFUNCTION("""COMPUTED_VALUE"""),7.001)</f>
        <v>7.001</v>
      </c>
      <c r="E153">
        <f>IFERROR(__xludf.DUMMYFUNCTION("""COMPUTED_VALUE"""),8.767)</f>
        <v>8.767</v>
      </c>
      <c r="F153">
        <f>IFERROR(__xludf.DUMMYFUNCTION("""COMPUTED_VALUE"""),10.072)</f>
        <v>10.072</v>
      </c>
      <c r="G153">
        <f>IFERROR(__xludf.DUMMYFUNCTION("""COMPUTED_VALUE"""),11.015)</f>
        <v>11.015</v>
      </c>
      <c r="H153">
        <f>IFERROR(__xludf.DUMMYFUNCTION("""COMPUTED_VALUE"""),11.699)</f>
        <v>11.699</v>
      </c>
      <c r="I153">
        <f>IFERROR(__xludf.DUMMYFUNCTION("""COMPUTED_VALUE"""),13.996)</f>
        <v>13.996</v>
      </c>
      <c r="J153">
        <f>IFERROR(__xludf.DUMMYFUNCTION("""COMPUTED_VALUE"""),16.852)</f>
        <v>16.852</v>
      </c>
      <c r="K153">
        <f>IFERROR(__xludf.DUMMYFUNCTION("""COMPUTED_VALUE"""),16.128)</f>
        <v>16.128</v>
      </c>
    </row>
    <row r="154">
      <c r="A154" t="str">
        <f>IFERROR(__xludf.DUMMYFUNCTION("""COMPUTED_VALUE"""),"Serbie")</f>
        <v>Serbie</v>
      </c>
      <c r="B154">
        <f>IFERROR(__xludf.DUMMYFUNCTION("""COMPUTED_VALUE"""),9.79)</f>
        <v>9.79</v>
      </c>
      <c r="C154">
        <f>IFERROR(__xludf.DUMMYFUNCTION("""COMPUTED_VALUE"""),13.009)</f>
        <v>13.009</v>
      </c>
      <c r="D154">
        <f>IFERROR(__xludf.DUMMYFUNCTION("""COMPUTED_VALUE"""),17.185)</f>
        <v>17.185</v>
      </c>
      <c r="E154">
        <f>IFERROR(__xludf.DUMMYFUNCTION("""COMPUTED_VALUE"""),22.515)</f>
        <v>22.515</v>
      </c>
      <c r="F154">
        <f>IFERROR(__xludf.DUMMYFUNCTION("""COMPUTED_VALUE"""),26.017)</f>
        <v>26.017</v>
      </c>
      <c r="G154">
        <f>IFERROR(__xludf.DUMMYFUNCTION("""COMPUTED_VALUE"""),27.496)</f>
        <v>27.496</v>
      </c>
      <c r="H154">
        <f>IFERROR(__xludf.DUMMYFUNCTION("""COMPUTED_VALUE"""),32.602)</f>
        <v>32.602</v>
      </c>
      <c r="I154">
        <f>IFERROR(__xludf.DUMMYFUNCTION("""COMPUTED_VALUE"""),43.395)</f>
        <v>43.395</v>
      </c>
      <c r="J154">
        <f>IFERROR(__xludf.DUMMYFUNCTION("""COMPUTED_VALUE"""),52.094)</f>
        <v>52.094</v>
      </c>
      <c r="K154">
        <f>IFERROR(__xludf.DUMMYFUNCTION("""COMPUTED_VALUE"""),45.156)</f>
        <v>45.156</v>
      </c>
    </row>
    <row r="155">
      <c r="A155" t="str">
        <f>IFERROR(__xludf.DUMMYFUNCTION("""COMPUTED_VALUE"""),"Seychelles")</f>
        <v>Seychelles</v>
      </c>
      <c r="B155">
        <f>IFERROR(__xludf.DUMMYFUNCTION("""COMPUTED_VALUE"""),0.615)</f>
        <v>0.615</v>
      </c>
      <c r="C155">
        <f>IFERROR(__xludf.DUMMYFUNCTION("""COMPUTED_VALUE"""),0.622)</f>
        <v>0.622</v>
      </c>
      <c r="D155">
        <f>IFERROR(__xludf.DUMMYFUNCTION("""COMPUTED_VALUE"""),0.698)</f>
        <v>0.698</v>
      </c>
      <c r="E155">
        <f>IFERROR(__xludf.DUMMYFUNCTION("""COMPUTED_VALUE"""),0.706)</f>
        <v>0.706</v>
      </c>
      <c r="F155">
        <f>IFERROR(__xludf.DUMMYFUNCTION("""COMPUTED_VALUE"""),0.839)</f>
        <v>0.839</v>
      </c>
      <c r="G155">
        <f>IFERROR(__xludf.DUMMYFUNCTION("""COMPUTED_VALUE"""),0.919)</f>
        <v>0.919</v>
      </c>
      <c r="H155">
        <f>IFERROR(__xludf.DUMMYFUNCTION("""COMPUTED_VALUE"""),1.016)</f>
        <v>1.016</v>
      </c>
      <c r="I155">
        <f>IFERROR(__xludf.DUMMYFUNCTION("""COMPUTED_VALUE"""),1.034)</f>
        <v>1.034</v>
      </c>
      <c r="J155">
        <f>IFERROR(__xludf.DUMMYFUNCTION("""COMPUTED_VALUE"""),0.998)</f>
        <v>0.998</v>
      </c>
      <c r="K155">
        <f>IFERROR(__xludf.DUMMYFUNCTION("""COMPUTED_VALUE"""),0.847)</f>
        <v>0.847</v>
      </c>
    </row>
    <row r="156">
      <c r="A156" t="str">
        <f>IFERROR(__xludf.DUMMYFUNCTION("""COMPUTED_VALUE"""),"Sierra Leone")</f>
        <v>Sierra Leone</v>
      </c>
      <c r="B156">
        <f>IFERROR(__xludf.DUMMYFUNCTION("""COMPUTED_VALUE"""),0.941)</f>
        <v>0.941</v>
      </c>
      <c r="C156">
        <f>IFERROR(__xludf.DUMMYFUNCTION("""COMPUTED_VALUE"""),1.084)</f>
        <v>1.084</v>
      </c>
      <c r="D156">
        <f>IFERROR(__xludf.DUMMYFUNCTION("""COMPUTED_VALUE"""),1.25)</f>
        <v>1.25</v>
      </c>
      <c r="E156">
        <f>IFERROR(__xludf.DUMMYFUNCTION("""COMPUTED_VALUE"""),1.38)</f>
        <v>1.38</v>
      </c>
      <c r="F156">
        <f>IFERROR(__xludf.DUMMYFUNCTION("""COMPUTED_VALUE"""),1.439)</f>
        <v>1.439</v>
      </c>
      <c r="G156">
        <f>IFERROR(__xludf.DUMMYFUNCTION("""COMPUTED_VALUE"""),1.61)</f>
        <v>1.61</v>
      </c>
      <c r="H156">
        <f>IFERROR(__xludf.DUMMYFUNCTION("""COMPUTED_VALUE"""),1.884)</f>
        <v>1.884</v>
      </c>
      <c r="I156">
        <f>IFERROR(__xludf.DUMMYFUNCTION("""COMPUTED_VALUE"""),2.159)</f>
        <v>2.159</v>
      </c>
      <c r="J156">
        <f>IFERROR(__xludf.DUMMYFUNCTION("""COMPUTED_VALUE"""),2.511)</f>
        <v>2.511</v>
      </c>
      <c r="K156">
        <f>IFERROR(__xludf.DUMMYFUNCTION("""COMPUTED_VALUE"""),2.454)</f>
        <v>2.454</v>
      </c>
    </row>
    <row r="157">
      <c r="A157" t="str">
        <f>IFERROR(__xludf.DUMMYFUNCTION("""COMPUTED_VALUE"""),"Singapour")</f>
        <v>Singapour</v>
      </c>
      <c r="B157">
        <f>IFERROR(__xludf.DUMMYFUNCTION("""COMPUTED_VALUE"""),96.077)</f>
        <v>96.077</v>
      </c>
      <c r="C157">
        <f>IFERROR(__xludf.DUMMYFUNCTION("""COMPUTED_VALUE"""),89.794)</f>
        <v>89.794</v>
      </c>
      <c r="D157">
        <f>IFERROR(__xludf.DUMMYFUNCTION("""COMPUTED_VALUE"""),92.538)</f>
        <v>92.538</v>
      </c>
      <c r="E157">
        <f>IFERROR(__xludf.DUMMYFUNCTION("""COMPUTED_VALUE"""),97.646)</f>
        <v>97.646</v>
      </c>
      <c r="F157">
        <f>IFERROR(__xludf.DUMMYFUNCTION("""COMPUTED_VALUE"""),115.034)</f>
        <v>115.034</v>
      </c>
      <c r="G157">
        <f>IFERROR(__xludf.DUMMYFUNCTION("""COMPUTED_VALUE"""),127.808)</f>
        <v>127.808</v>
      </c>
      <c r="H157">
        <f>IFERROR(__xludf.DUMMYFUNCTION("""COMPUTED_VALUE"""),148.627)</f>
        <v>148.627</v>
      </c>
      <c r="I157">
        <f>IFERROR(__xludf.DUMMYFUNCTION("""COMPUTED_VALUE"""),180.942)</f>
        <v>180.942</v>
      </c>
      <c r="J157">
        <f>IFERROR(__xludf.DUMMYFUNCTION("""COMPUTED_VALUE"""),193.617)</f>
        <v>193.617</v>
      </c>
      <c r="K157">
        <f>IFERROR(__xludf.DUMMYFUNCTION("""COMPUTED_VALUE"""),194.15)</f>
        <v>194.15</v>
      </c>
    </row>
    <row r="158">
      <c r="A158" t="str">
        <f>IFERROR(__xludf.DUMMYFUNCTION("""COMPUTED_VALUE"""),"Slovaquie")</f>
        <v>Slovaquie</v>
      </c>
      <c r="B158">
        <f>IFERROR(__xludf.DUMMYFUNCTION("""COMPUTED_VALUE"""),20.73)</f>
        <v>20.73</v>
      </c>
      <c r="C158">
        <f>IFERROR(__xludf.DUMMYFUNCTION("""COMPUTED_VALUE"""),21.421)</f>
        <v>21.421</v>
      </c>
      <c r="D158">
        <f>IFERROR(__xludf.DUMMYFUNCTION("""COMPUTED_VALUE"""),24.888)</f>
        <v>24.888</v>
      </c>
      <c r="E158">
        <f>IFERROR(__xludf.DUMMYFUNCTION("""COMPUTED_VALUE"""),34.085)</f>
        <v>34.085</v>
      </c>
      <c r="F158">
        <f>IFERROR(__xludf.DUMMYFUNCTION("""COMPUTED_VALUE"""),43.19)</f>
        <v>43.19</v>
      </c>
      <c r="G158">
        <f>IFERROR(__xludf.DUMMYFUNCTION("""COMPUTED_VALUE"""),49.116)</f>
        <v>49.116</v>
      </c>
      <c r="H158">
        <f>IFERROR(__xludf.DUMMYFUNCTION("""COMPUTED_VALUE"""),57.492)</f>
        <v>57.492</v>
      </c>
      <c r="I158">
        <f>IFERROR(__xludf.DUMMYFUNCTION("""COMPUTED_VALUE"""),77.239)</f>
        <v>77.239</v>
      </c>
      <c r="J158">
        <f>IFERROR(__xludf.DUMMYFUNCTION("""COMPUTED_VALUE"""),97.17)</f>
        <v>97.17</v>
      </c>
      <c r="K158">
        <f>IFERROR(__xludf.DUMMYFUNCTION("""COMPUTED_VALUE"""),89.302)</f>
        <v>89.302</v>
      </c>
    </row>
    <row r="159">
      <c r="A159" t="str">
        <f>IFERROR(__xludf.DUMMYFUNCTION("""COMPUTED_VALUE"""),"Slovénie")</f>
        <v>Slovénie</v>
      </c>
      <c r="B159">
        <f>IFERROR(__xludf.DUMMYFUNCTION("""COMPUTED_VALUE"""),20.393)</f>
        <v>20.393</v>
      </c>
      <c r="C159">
        <f>IFERROR(__xludf.DUMMYFUNCTION("""COMPUTED_VALUE"""),20.901)</f>
        <v>20.901</v>
      </c>
      <c r="D159">
        <f>IFERROR(__xludf.DUMMYFUNCTION("""COMPUTED_VALUE"""),23.539)</f>
        <v>23.539</v>
      </c>
      <c r="E159">
        <f>IFERROR(__xludf.DUMMYFUNCTION("""COMPUTED_VALUE"""),29.673)</f>
        <v>29.673</v>
      </c>
      <c r="F159">
        <f>IFERROR(__xludf.DUMMYFUNCTION("""COMPUTED_VALUE"""),34.448)</f>
        <v>34.448</v>
      </c>
      <c r="G159">
        <f>IFERROR(__xludf.DUMMYFUNCTION("""COMPUTED_VALUE"""),36.261)</f>
        <v>36.261</v>
      </c>
      <c r="H159">
        <f>IFERROR(__xludf.DUMMYFUNCTION("""COMPUTED_VALUE"""),39.514)</f>
        <v>39.514</v>
      </c>
      <c r="I159">
        <f>IFERROR(__xludf.DUMMYFUNCTION("""COMPUTED_VALUE"""),48.073)</f>
        <v>48.073</v>
      </c>
      <c r="J159">
        <f>IFERROR(__xludf.DUMMYFUNCTION("""COMPUTED_VALUE"""),55.773)</f>
        <v>55.773</v>
      </c>
      <c r="K159">
        <f>IFERROR(__xludf.DUMMYFUNCTION("""COMPUTED_VALUE"""),50.513)</f>
        <v>50.513</v>
      </c>
    </row>
    <row r="160">
      <c r="A160" t="str">
        <f>IFERROR(__xludf.DUMMYFUNCTION("""COMPUTED_VALUE"""),"Îles Salomon")</f>
        <v>Îles Salomon</v>
      </c>
      <c r="B160">
        <f>IFERROR(__xludf.DUMMYFUNCTION("""COMPUTED_VALUE"""),0.42)</f>
        <v>0.42</v>
      </c>
      <c r="C160">
        <f>IFERROR(__xludf.DUMMYFUNCTION("""COMPUTED_VALUE"""),0.41)</f>
        <v>0.41</v>
      </c>
      <c r="D160">
        <f>IFERROR(__xludf.DUMMYFUNCTION("""COMPUTED_VALUE"""),0.346)</f>
        <v>0.346</v>
      </c>
      <c r="E160">
        <f>IFERROR(__xludf.DUMMYFUNCTION("""COMPUTED_VALUE"""),0.353)</f>
        <v>0.353</v>
      </c>
      <c r="F160">
        <f>IFERROR(__xludf.DUMMYFUNCTION("""COMPUTED_VALUE"""),0.398)</f>
        <v>0.398</v>
      </c>
      <c r="G160">
        <f>IFERROR(__xludf.DUMMYFUNCTION("""COMPUTED_VALUE"""),0.477)</f>
        <v>0.477</v>
      </c>
      <c r="H160">
        <f>IFERROR(__xludf.DUMMYFUNCTION("""COMPUTED_VALUE"""),0.539)</f>
        <v>0.539</v>
      </c>
      <c r="I160">
        <f>IFERROR(__xludf.DUMMYFUNCTION("""COMPUTED_VALUE"""),0.62)</f>
        <v>0.62</v>
      </c>
      <c r="J160">
        <f>IFERROR(__xludf.DUMMYFUNCTION("""COMPUTED_VALUE"""),0.699)</f>
        <v>0.699</v>
      </c>
      <c r="K160">
        <f>IFERROR(__xludf.DUMMYFUNCTION("""COMPUTED_VALUE"""),0.736)</f>
        <v>0.736</v>
      </c>
    </row>
    <row r="161">
      <c r="A161" t="str">
        <f>IFERROR(__xludf.DUMMYFUNCTION("""COMPUTED_VALUE"""),"Somalie")</f>
        <v>Somalie</v>
      </c>
      <c r="B161" t="str">
        <f>IFERROR(__xludf.DUMMYFUNCTION("""COMPUTED_VALUE"""),"-")</f>
        <v>-</v>
      </c>
      <c r="C161" t="str">
        <f>IFERROR(__xludf.DUMMYFUNCTION("""COMPUTED_VALUE"""),"-")</f>
        <v>-</v>
      </c>
      <c r="D161" t="str">
        <f>IFERROR(__xludf.DUMMYFUNCTION("""COMPUTED_VALUE"""),"-")</f>
        <v>-</v>
      </c>
      <c r="E161" t="str">
        <f>IFERROR(__xludf.DUMMYFUNCTION("""COMPUTED_VALUE"""),"-")</f>
        <v>-</v>
      </c>
      <c r="F161" t="str">
        <f>IFERROR(__xludf.DUMMYFUNCTION("""COMPUTED_VALUE"""),"-")</f>
        <v>-</v>
      </c>
      <c r="G161" t="str">
        <f>IFERROR(__xludf.DUMMYFUNCTION("""COMPUTED_VALUE"""),"-")</f>
        <v>-</v>
      </c>
      <c r="H161" t="str">
        <f>IFERROR(__xludf.DUMMYFUNCTION("""COMPUTED_VALUE"""),"-")</f>
        <v>-</v>
      </c>
      <c r="I161" t="str">
        <f>IFERROR(__xludf.DUMMYFUNCTION("""COMPUTED_VALUE"""),"-")</f>
        <v>-</v>
      </c>
      <c r="J161" t="str">
        <f>IFERROR(__xludf.DUMMYFUNCTION("""COMPUTED_VALUE"""),"-")</f>
        <v>-</v>
      </c>
      <c r="K161" t="str">
        <f>IFERROR(__xludf.DUMMYFUNCTION("""COMPUTED_VALUE"""),"-")</f>
        <v>-</v>
      </c>
    </row>
    <row r="162">
      <c r="A162" t="str">
        <f>IFERROR(__xludf.DUMMYFUNCTION("""COMPUTED_VALUE"""),"Afrique du Sud")</f>
        <v>Afrique du Sud</v>
      </c>
      <c r="B162">
        <f>IFERROR(__xludf.DUMMYFUNCTION("""COMPUTED_VALUE"""),151.855)</f>
        <v>151.855</v>
      </c>
      <c r="C162">
        <f>IFERROR(__xludf.DUMMYFUNCTION("""COMPUTED_VALUE"""),135.527)</f>
        <v>135.527</v>
      </c>
      <c r="D162">
        <f>IFERROR(__xludf.DUMMYFUNCTION("""COMPUTED_VALUE"""),129.385)</f>
        <v>129.385</v>
      </c>
      <c r="E162">
        <f>IFERROR(__xludf.DUMMYFUNCTION("""COMPUTED_VALUE"""),197.017)</f>
        <v>197.017</v>
      </c>
      <c r="F162">
        <f>IFERROR(__xludf.DUMMYFUNCTION("""COMPUTED_VALUE"""),256.188)</f>
        <v>256.188</v>
      </c>
      <c r="G162">
        <f>IFERROR(__xludf.DUMMYFUNCTION("""COMPUTED_VALUE"""),288.749)</f>
        <v>288.749</v>
      </c>
      <c r="H162">
        <f>IFERROR(__xludf.DUMMYFUNCTION("""COMPUTED_VALUE"""),304.055)</f>
        <v>304.055</v>
      </c>
      <c r="I162">
        <f>IFERROR(__xludf.DUMMYFUNCTION("""COMPUTED_VALUE"""),332.65)</f>
        <v>332.65</v>
      </c>
      <c r="J162">
        <f>IFERROR(__xludf.DUMMYFUNCTION("""COMPUTED_VALUE"""),316.491)</f>
        <v>316.491</v>
      </c>
      <c r="K162">
        <f>IFERROR(__xludf.DUMMYFUNCTION("""COMPUTED_VALUE"""),331.184)</f>
        <v>331.184</v>
      </c>
    </row>
    <row r="163">
      <c r="A163" t="str">
        <f>IFERROR(__xludf.DUMMYFUNCTION("""COMPUTED_VALUE"""),"Soudan du Sud")</f>
        <v>Soudan du Sud</v>
      </c>
      <c r="B163" t="str">
        <f>IFERROR(__xludf.DUMMYFUNCTION("""COMPUTED_VALUE"""),"-")</f>
        <v>-</v>
      </c>
      <c r="C163" t="str">
        <f>IFERROR(__xludf.DUMMYFUNCTION("""COMPUTED_VALUE"""),"-")</f>
        <v>-</v>
      </c>
      <c r="D163" t="str">
        <f>IFERROR(__xludf.DUMMYFUNCTION("""COMPUTED_VALUE"""),"-")</f>
        <v>-</v>
      </c>
      <c r="E163" t="str">
        <f>IFERROR(__xludf.DUMMYFUNCTION("""COMPUTED_VALUE"""),"-")</f>
        <v>-</v>
      </c>
      <c r="F163" t="str">
        <f>IFERROR(__xludf.DUMMYFUNCTION("""COMPUTED_VALUE"""),"-")</f>
        <v>-</v>
      </c>
      <c r="G163" t="str">
        <f>IFERROR(__xludf.DUMMYFUNCTION("""COMPUTED_VALUE"""),"-")</f>
        <v>-</v>
      </c>
      <c r="H163" t="str">
        <f>IFERROR(__xludf.DUMMYFUNCTION("""COMPUTED_VALUE"""),"-")</f>
        <v>-</v>
      </c>
      <c r="I163" t="str">
        <f>IFERROR(__xludf.DUMMYFUNCTION("""COMPUTED_VALUE"""),"-")</f>
        <v>-</v>
      </c>
      <c r="J163" t="str">
        <f>IFERROR(__xludf.DUMMYFUNCTION("""COMPUTED_VALUE"""),"-")</f>
        <v>-</v>
      </c>
      <c r="K163" t="str">
        <f>IFERROR(__xludf.DUMMYFUNCTION("""COMPUTED_VALUE"""),"-")</f>
        <v>-</v>
      </c>
    </row>
    <row r="164">
      <c r="A164" t="str">
        <f>IFERROR(__xludf.DUMMYFUNCTION("""COMPUTED_VALUE"""),"Espagne")</f>
        <v>Espagne</v>
      </c>
      <c r="B164">
        <f>IFERROR(__xludf.DUMMYFUNCTION("""COMPUTED_VALUE"""),598.628)</f>
        <v>598.628</v>
      </c>
      <c r="C164">
        <f>IFERROR(__xludf.DUMMYFUNCTION("""COMPUTED_VALUE"""),627.834)</f>
        <v>627.834</v>
      </c>
      <c r="D164">
        <f>IFERROR(__xludf.DUMMYFUNCTION("""COMPUTED_VALUE"""),708.256)</f>
        <v>708.256</v>
      </c>
      <c r="E164">
        <f>IFERROR(__xludf.DUMMYFUNCTION("""COMPUTED_VALUE"""),907.264)</f>
        <v>907.264</v>
      </c>
      <c r="F164">
        <f>IFERROR(__xludf.DUMMYFUNCTION("""COMPUTED_VALUE"""),1068.57)</f>
        <v>1068.57</v>
      </c>
      <c r="G164">
        <f>IFERROR(__xludf.DUMMYFUNCTION("""COMPUTED_VALUE"""),1154.354)</f>
        <v>1154.354</v>
      </c>
      <c r="H164">
        <f>IFERROR(__xludf.DUMMYFUNCTION("""COMPUTED_VALUE"""),1260.466)</f>
        <v>1260.466</v>
      </c>
      <c r="I164">
        <f>IFERROR(__xludf.DUMMYFUNCTION("""COMPUTED_VALUE"""),1474.176)</f>
        <v>1474.176</v>
      </c>
      <c r="J164">
        <f>IFERROR(__xludf.DUMMYFUNCTION("""COMPUTED_VALUE"""),1631.685)</f>
        <v>1631.685</v>
      </c>
      <c r="K164">
        <f>IFERROR(__xludf.DUMMYFUNCTION("""COMPUTED_VALUE"""),1489.853)</f>
        <v>1489.853</v>
      </c>
    </row>
    <row r="165">
      <c r="A165" t="str">
        <f>IFERROR(__xludf.DUMMYFUNCTION("""COMPUTED_VALUE"""),"Sri Lanka")</f>
        <v>Sri Lanka</v>
      </c>
      <c r="B165">
        <f>IFERROR(__xludf.DUMMYFUNCTION("""COMPUTED_VALUE"""),20.007)</f>
        <v>20.007</v>
      </c>
      <c r="C165">
        <f>IFERROR(__xludf.DUMMYFUNCTION("""COMPUTED_VALUE"""),19.236)</f>
        <v>19.236</v>
      </c>
      <c r="D165">
        <f>IFERROR(__xludf.DUMMYFUNCTION("""COMPUTED_VALUE"""),20.238)</f>
        <v>20.238</v>
      </c>
      <c r="E165">
        <f>IFERROR(__xludf.DUMMYFUNCTION("""COMPUTED_VALUE"""),22.352)</f>
        <v>22.352</v>
      </c>
      <c r="F165">
        <f>IFERROR(__xludf.DUMMYFUNCTION("""COMPUTED_VALUE"""),24.423)</f>
        <v>24.423</v>
      </c>
      <c r="G165">
        <f>IFERROR(__xludf.DUMMYFUNCTION("""COMPUTED_VALUE"""),28.88)</f>
        <v>28.88</v>
      </c>
      <c r="H165">
        <f>IFERROR(__xludf.DUMMYFUNCTION("""COMPUTED_VALUE"""),33.447)</f>
        <v>33.447</v>
      </c>
      <c r="I165">
        <f>IFERROR(__xludf.DUMMYFUNCTION("""COMPUTED_VALUE"""),38.27)</f>
        <v>38.27</v>
      </c>
      <c r="J165">
        <f>IFERROR(__xludf.DUMMYFUNCTION("""COMPUTED_VALUE"""),48.177)</f>
        <v>48.177</v>
      </c>
      <c r="K165">
        <f>IFERROR(__xludf.DUMMYFUNCTION("""COMPUTED_VALUE"""),49.75)</f>
        <v>49.75</v>
      </c>
    </row>
    <row r="166">
      <c r="A166" t="str">
        <f>IFERROR(__xludf.DUMMYFUNCTION("""COMPUTED_VALUE"""),"Soudan")</f>
        <v>Soudan</v>
      </c>
      <c r="B166">
        <f>IFERROR(__xludf.DUMMYFUNCTION("""COMPUTED_VALUE"""),13.134)</f>
        <v>13.134</v>
      </c>
      <c r="C166">
        <f>IFERROR(__xludf.DUMMYFUNCTION("""COMPUTED_VALUE"""),15.716)</f>
        <v>15.716</v>
      </c>
      <c r="D166">
        <f>IFERROR(__xludf.DUMMYFUNCTION("""COMPUTED_VALUE"""),18.137)</f>
        <v>18.137</v>
      </c>
      <c r="E166">
        <f>IFERROR(__xludf.DUMMYFUNCTION("""COMPUTED_VALUE"""),21.355)</f>
        <v>21.355</v>
      </c>
      <c r="F166">
        <f>IFERROR(__xludf.DUMMYFUNCTION("""COMPUTED_VALUE"""),26.646)</f>
        <v>26.646</v>
      </c>
      <c r="G166">
        <f>IFERROR(__xludf.DUMMYFUNCTION("""COMPUTED_VALUE"""),35.183)</f>
        <v>35.183</v>
      </c>
      <c r="H166">
        <f>IFERROR(__xludf.DUMMYFUNCTION("""COMPUTED_VALUE"""),45.264)</f>
        <v>45.264</v>
      </c>
      <c r="I166">
        <f>IFERROR(__xludf.DUMMYFUNCTION("""COMPUTED_VALUE"""),59.44)</f>
        <v>59.44</v>
      </c>
      <c r="J166">
        <f>IFERROR(__xludf.DUMMYFUNCTION("""COMPUTED_VALUE"""),64.833)</f>
        <v>64.833</v>
      </c>
      <c r="K166">
        <f>IFERROR(__xludf.DUMMYFUNCTION("""COMPUTED_VALUE"""),54.812)</f>
        <v>54.812</v>
      </c>
    </row>
    <row r="167">
      <c r="A167" t="str">
        <f>IFERROR(__xludf.DUMMYFUNCTION("""COMPUTED_VALUE"""),"Suriname")</f>
        <v>Suriname</v>
      </c>
      <c r="B167">
        <f>IFERROR(__xludf.DUMMYFUNCTION("""COMPUTED_VALUE"""),1.355)</f>
        <v>1.355</v>
      </c>
      <c r="C167">
        <f>IFERROR(__xludf.DUMMYFUNCTION("""COMPUTED_VALUE"""),1.167)</f>
        <v>1.167</v>
      </c>
      <c r="D167">
        <f>IFERROR(__xludf.DUMMYFUNCTION("""COMPUTED_VALUE"""),1.474)</f>
        <v>1.474</v>
      </c>
      <c r="E167">
        <f>IFERROR(__xludf.DUMMYFUNCTION("""COMPUTED_VALUE"""),1.729)</f>
        <v>1.729</v>
      </c>
      <c r="F167">
        <f>IFERROR(__xludf.DUMMYFUNCTION("""COMPUTED_VALUE"""),2.0)</f>
        <v>2</v>
      </c>
      <c r="G167">
        <f>IFERROR(__xludf.DUMMYFUNCTION("""COMPUTED_VALUE"""),2.393)</f>
        <v>2.393</v>
      </c>
      <c r="H167">
        <f>IFERROR(__xludf.DUMMYFUNCTION("""COMPUTED_VALUE"""),2.812)</f>
        <v>2.812</v>
      </c>
      <c r="I167">
        <f>IFERROR(__xludf.DUMMYFUNCTION("""COMPUTED_VALUE"""),3.144)</f>
        <v>3.144</v>
      </c>
      <c r="J167">
        <f>IFERROR(__xludf.DUMMYFUNCTION("""COMPUTED_VALUE"""),3.783)</f>
        <v>3.783</v>
      </c>
      <c r="K167">
        <f>IFERROR(__xludf.DUMMYFUNCTION("""COMPUTED_VALUE"""),4.15)</f>
        <v>4.15</v>
      </c>
    </row>
    <row r="168">
      <c r="A168" t="str">
        <f>IFERROR(__xludf.DUMMYFUNCTION("""COMPUTED_VALUE"""),"Suède")</f>
        <v>Suède</v>
      </c>
      <c r="B168">
        <f>IFERROR(__xludf.DUMMYFUNCTION("""COMPUTED_VALUE"""),262.834)</f>
        <v>262.834</v>
      </c>
      <c r="C168">
        <f>IFERROR(__xludf.DUMMYFUNCTION("""COMPUTED_VALUE"""),242.395)</f>
        <v>242.395</v>
      </c>
      <c r="D168">
        <f>IFERROR(__xludf.DUMMYFUNCTION("""COMPUTED_VALUE"""),266.848)</f>
        <v>266.848</v>
      </c>
      <c r="E168">
        <f>IFERROR(__xludf.DUMMYFUNCTION("""COMPUTED_VALUE"""),334.337)</f>
        <v>334.337</v>
      </c>
      <c r="F168">
        <f>IFERROR(__xludf.DUMMYFUNCTION("""COMPUTED_VALUE"""),385.119)</f>
        <v>385.119</v>
      </c>
      <c r="G168">
        <f>IFERROR(__xludf.DUMMYFUNCTION("""COMPUTED_VALUE"""),392.219)</f>
        <v>392.219</v>
      </c>
      <c r="H168">
        <f>IFERROR(__xludf.DUMMYFUNCTION("""COMPUTED_VALUE"""),423.091)</f>
        <v>423.091</v>
      </c>
      <c r="I168">
        <f>IFERROR(__xludf.DUMMYFUNCTION("""COMPUTED_VALUE"""),491.255)</f>
        <v>491.255</v>
      </c>
      <c r="J168">
        <f>IFERROR(__xludf.DUMMYFUNCTION("""COMPUTED_VALUE"""),517.706)</f>
        <v>517.706</v>
      </c>
      <c r="K168">
        <f>IFERROR(__xludf.DUMMYFUNCTION("""COMPUTED_VALUE"""),436.536)</f>
        <v>436.536</v>
      </c>
    </row>
    <row r="169">
      <c r="A169" t="str">
        <f>IFERROR(__xludf.DUMMYFUNCTION("""COMPUTED_VALUE"""),"Suisse")</f>
        <v>Suisse</v>
      </c>
      <c r="B169">
        <f>IFERROR(__xludf.DUMMYFUNCTION("""COMPUTED_VALUE"""),279.224)</f>
        <v>279.224</v>
      </c>
      <c r="C169">
        <f>IFERROR(__xludf.DUMMYFUNCTION("""COMPUTED_VALUE"""),286.711)</f>
        <v>286.711</v>
      </c>
      <c r="D169">
        <f>IFERROR(__xludf.DUMMYFUNCTION("""COMPUTED_VALUE"""),309.53)</f>
        <v>309.53</v>
      </c>
      <c r="E169">
        <f>IFERROR(__xludf.DUMMYFUNCTION("""COMPUTED_VALUE"""),362.192)</f>
        <v>362.192</v>
      </c>
      <c r="F169">
        <f>IFERROR(__xludf.DUMMYFUNCTION("""COMPUTED_VALUE"""),403.346)</f>
        <v>403.346</v>
      </c>
      <c r="G169">
        <f>IFERROR(__xludf.DUMMYFUNCTION("""COMPUTED_VALUE"""),418.05)</f>
        <v>418.05</v>
      </c>
      <c r="H169">
        <f>IFERROR(__xludf.DUMMYFUNCTION("""COMPUTED_VALUE"""),441.7)</f>
        <v>441.7</v>
      </c>
      <c r="I169">
        <f>IFERROR(__xludf.DUMMYFUNCTION("""COMPUTED_VALUE"""),490.865)</f>
        <v>490.865</v>
      </c>
      <c r="J169">
        <f>IFERROR(__xludf.DUMMYFUNCTION("""COMPUTED_VALUE"""),566.936)</f>
        <v>566.936</v>
      </c>
      <c r="K169">
        <f>IFERROR(__xludf.DUMMYFUNCTION("""COMPUTED_VALUE"""),553.761)</f>
        <v>553.761</v>
      </c>
    </row>
    <row r="170">
      <c r="A170" t="str">
        <f>IFERROR(__xludf.DUMMYFUNCTION("""COMPUTED_VALUE"""),"Syrie")</f>
        <v>Syrie</v>
      </c>
      <c r="B170">
        <f>IFERROR(__xludf.DUMMYFUNCTION("""COMPUTED_VALUE"""),19.861)</f>
        <v>19.861</v>
      </c>
      <c r="C170">
        <f>IFERROR(__xludf.DUMMYFUNCTION("""COMPUTED_VALUE"""),20.979)</f>
        <v>20.979</v>
      </c>
      <c r="D170">
        <f>IFERROR(__xludf.DUMMYFUNCTION("""COMPUTED_VALUE"""),22.758)</f>
        <v>22.758</v>
      </c>
      <c r="E170">
        <f>IFERROR(__xludf.DUMMYFUNCTION("""COMPUTED_VALUE"""),21.702)</f>
        <v>21.702</v>
      </c>
      <c r="F170">
        <f>IFERROR(__xludf.DUMMYFUNCTION("""COMPUTED_VALUE"""),25.204)</f>
        <v>25.204</v>
      </c>
      <c r="G170">
        <f>IFERROR(__xludf.DUMMYFUNCTION("""COMPUTED_VALUE"""),28.881)</f>
        <v>28.881</v>
      </c>
      <c r="H170">
        <f>IFERROR(__xludf.DUMMYFUNCTION("""COMPUTED_VALUE"""),33.824)</f>
        <v>33.824</v>
      </c>
      <c r="I170">
        <f>IFERROR(__xludf.DUMMYFUNCTION("""COMPUTED_VALUE"""),40.488)</f>
        <v>40.488</v>
      </c>
      <c r="J170">
        <f>IFERROR(__xludf.DUMMYFUNCTION("""COMPUTED_VALUE"""),52.631)</f>
        <v>52.631</v>
      </c>
      <c r="K170">
        <f>IFERROR(__xludf.DUMMYFUNCTION("""COMPUTED_VALUE"""),53.939)</f>
        <v>53.939</v>
      </c>
    </row>
    <row r="171">
      <c r="A171" t="str">
        <f>IFERROR(__xludf.DUMMYFUNCTION("""COMPUTED_VALUE"""),"Sao Tomé-et-Principe")</f>
        <v>Sao Tomé-et-Principe</v>
      </c>
      <c r="B171">
        <f>IFERROR(__xludf.DUMMYFUNCTION("""COMPUTED_VALUE"""),0.069)</f>
        <v>0.069</v>
      </c>
      <c r="C171">
        <f>IFERROR(__xludf.DUMMYFUNCTION("""COMPUTED_VALUE"""),0.072)</f>
        <v>0.072</v>
      </c>
      <c r="D171">
        <f>IFERROR(__xludf.DUMMYFUNCTION("""COMPUTED_VALUE"""),0.08)</f>
        <v>0.08</v>
      </c>
      <c r="E171">
        <f>IFERROR(__xludf.DUMMYFUNCTION("""COMPUTED_VALUE"""),0.096)</f>
        <v>0.096</v>
      </c>
      <c r="F171">
        <f>IFERROR(__xludf.DUMMYFUNCTION("""COMPUTED_VALUE"""),0.104)</f>
        <v>0.104</v>
      </c>
      <c r="G171">
        <f>IFERROR(__xludf.DUMMYFUNCTION("""COMPUTED_VALUE"""),0.125)</f>
        <v>0.125</v>
      </c>
      <c r="H171">
        <f>IFERROR(__xludf.DUMMYFUNCTION("""COMPUTED_VALUE"""),0.133)</f>
        <v>0.133</v>
      </c>
      <c r="I171">
        <f>IFERROR(__xludf.DUMMYFUNCTION("""COMPUTED_VALUE"""),0.145)</f>
        <v>0.145</v>
      </c>
      <c r="J171">
        <f>IFERROR(__xludf.DUMMYFUNCTION("""COMPUTED_VALUE"""),0.188)</f>
        <v>0.188</v>
      </c>
      <c r="K171">
        <f>IFERROR(__xludf.DUMMYFUNCTION("""COMPUTED_VALUE"""),0.201)</f>
        <v>0.201</v>
      </c>
    </row>
    <row r="172">
      <c r="A172" t="str">
        <f>IFERROR(__xludf.DUMMYFUNCTION("""COMPUTED_VALUE"""),"Taïwan")</f>
        <v>Taïwan</v>
      </c>
      <c r="B172">
        <f>IFERROR(__xludf.DUMMYFUNCTION("""COMPUTED_VALUE"""),330.68)</f>
        <v>330.68</v>
      </c>
      <c r="C172">
        <f>IFERROR(__xludf.DUMMYFUNCTION("""COMPUTED_VALUE"""),299.276)</f>
        <v>299.276</v>
      </c>
      <c r="D172">
        <f>IFERROR(__xludf.DUMMYFUNCTION("""COMPUTED_VALUE"""),307.439)</f>
        <v>307.439</v>
      </c>
      <c r="E172">
        <f>IFERROR(__xludf.DUMMYFUNCTION("""COMPUTED_VALUE"""),317.381)</f>
        <v>317.381</v>
      </c>
      <c r="F172">
        <f>IFERROR(__xludf.DUMMYFUNCTION("""COMPUTED_VALUE"""),346.924)</f>
        <v>346.924</v>
      </c>
      <c r="G172">
        <f>IFERROR(__xludf.DUMMYFUNCTION("""COMPUTED_VALUE"""),374.06)</f>
        <v>374.06</v>
      </c>
      <c r="H172">
        <f>IFERROR(__xludf.DUMMYFUNCTION("""COMPUTED_VALUE"""),386.45)</f>
        <v>386.45</v>
      </c>
      <c r="I172">
        <f>IFERROR(__xludf.DUMMYFUNCTION("""COMPUTED_VALUE"""),406.907)</f>
        <v>406.907</v>
      </c>
      <c r="J172">
        <f>IFERROR(__xludf.DUMMYFUNCTION("""COMPUTED_VALUE"""),415.901)</f>
        <v>415.901</v>
      </c>
      <c r="K172">
        <f>IFERROR(__xludf.DUMMYFUNCTION("""COMPUTED_VALUE"""),390.829)</f>
        <v>390.829</v>
      </c>
    </row>
    <row r="173">
      <c r="A173" t="str">
        <f>IFERROR(__xludf.DUMMYFUNCTION("""COMPUTED_VALUE"""),"Tadjikistan")</f>
        <v>Tadjikistan</v>
      </c>
      <c r="B173">
        <f>IFERROR(__xludf.DUMMYFUNCTION("""COMPUTED_VALUE"""),0.991)</f>
        <v>0.991</v>
      </c>
      <c r="C173">
        <f>IFERROR(__xludf.DUMMYFUNCTION("""COMPUTED_VALUE"""),1.057)</f>
        <v>1.057</v>
      </c>
      <c r="D173">
        <f>IFERROR(__xludf.DUMMYFUNCTION("""COMPUTED_VALUE"""),1.212)</f>
        <v>1.212</v>
      </c>
      <c r="E173">
        <f>IFERROR(__xludf.DUMMYFUNCTION("""COMPUTED_VALUE"""),1.555)</f>
        <v>1.555</v>
      </c>
      <c r="F173">
        <f>IFERROR(__xludf.DUMMYFUNCTION("""COMPUTED_VALUE"""),2.073)</f>
        <v>2.073</v>
      </c>
      <c r="G173">
        <f>IFERROR(__xludf.DUMMYFUNCTION("""COMPUTED_VALUE"""),2.311)</f>
        <v>2.311</v>
      </c>
      <c r="H173">
        <f>IFERROR(__xludf.DUMMYFUNCTION("""COMPUTED_VALUE"""),2.811)</f>
        <v>2.811</v>
      </c>
      <c r="I173">
        <f>IFERROR(__xludf.DUMMYFUNCTION("""COMPUTED_VALUE"""),3.712)</f>
        <v>3.712</v>
      </c>
      <c r="J173">
        <f>IFERROR(__xludf.DUMMYFUNCTION("""COMPUTED_VALUE"""),5.135)</f>
        <v>5.135</v>
      </c>
      <c r="K173">
        <f>IFERROR(__xludf.DUMMYFUNCTION("""COMPUTED_VALUE"""),4.977)</f>
        <v>4.977</v>
      </c>
    </row>
    <row r="174">
      <c r="A174" t="str">
        <f>IFERROR(__xludf.DUMMYFUNCTION("""COMPUTED_VALUE"""),"Tanzanie")</f>
        <v>Tanzanie</v>
      </c>
      <c r="B174">
        <f>IFERROR(__xludf.DUMMYFUNCTION("""COMPUTED_VALUE"""),12.369)</f>
        <v>12.369</v>
      </c>
      <c r="C174">
        <f>IFERROR(__xludf.DUMMYFUNCTION("""COMPUTED_VALUE"""),12.61)</f>
        <v>12.61</v>
      </c>
      <c r="D174">
        <f>IFERROR(__xludf.DUMMYFUNCTION("""COMPUTED_VALUE"""),13.125)</f>
        <v>13.125</v>
      </c>
      <c r="E174">
        <f>IFERROR(__xludf.DUMMYFUNCTION("""COMPUTED_VALUE"""),14.159)</f>
        <v>14.159</v>
      </c>
      <c r="F174">
        <f>IFERROR(__xludf.DUMMYFUNCTION("""COMPUTED_VALUE"""),15.576)</f>
        <v>15.576</v>
      </c>
      <c r="G174">
        <f>IFERROR(__xludf.DUMMYFUNCTION("""COMPUTED_VALUE"""),17.174)</f>
        <v>17.174</v>
      </c>
      <c r="H174">
        <f>IFERROR(__xludf.DUMMYFUNCTION("""COMPUTED_VALUE"""),18.867)</f>
        <v>18.867</v>
      </c>
      <c r="I174">
        <f>IFERROR(__xludf.DUMMYFUNCTION("""COMPUTED_VALUE"""),21.807)</f>
        <v>21.807</v>
      </c>
      <c r="J174">
        <f>IFERROR(__xludf.DUMMYFUNCTION("""COMPUTED_VALUE"""),27.762)</f>
        <v>27.762</v>
      </c>
      <c r="K174">
        <f>IFERROR(__xludf.DUMMYFUNCTION("""COMPUTED_VALUE"""),28.985)</f>
        <v>28.985</v>
      </c>
    </row>
    <row r="175">
      <c r="A175" t="str">
        <f>IFERROR(__xludf.DUMMYFUNCTION("""COMPUTED_VALUE"""),"Thaïlande")</f>
        <v>Thaïlande</v>
      </c>
      <c r="B175">
        <f>IFERROR(__xludf.DUMMYFUNCTION("""COMPUTED_VALUE"""),126.132)</f>
        <v>126.132</v>
      </c>
      <c r="C175">
        <f>IFERROR(__xludf.DUMMYFUNCTION("""COMPUTED_VALUE"""),120.296)</f>
        <v>120.296</v>
      </c>
      <c r="D175">
        <f>IFERROR(__xludf.DUMMYFUNCTION("""COMPUTED_VALUE"""),134.301)</f>
        <v>134.301</v>
      </c>
      <c r="E175">
        <f>IFERROR(__xludf.DUMMYFUNCTION("""COMPUTED_VALUE"""),152.281)</f>
        <v>152.281</v>
      </c>
      <c r="F175">
        <f>IFERROR(__xludf.DUMMYFUNCTION("""COMPUTED_VALUE"""),172.896)</f>
        <v>172.896</v>
      </c>
      <c r="G175">
        <f>IFERROR(__xludf.DUMMYFUNCTION("""COMPUTED_VALUE"""),189.318)</f>
        <v>189.318</v>
      </c>
      <c r="H175">
        <f>IFERROR(__xludf.DUMMYFUNCTION("""COMPUTED_VALUE"""),221.758)</f>
        <v>221.758</v>
      </c>
      <c r="I175">
        <f>IFERROR(__xludf.DUMMYFUNCTION("""COMPUTED_VALUE"""),262.943)</f>
        <v>262.943</v>
      </c>
      <c r="J175">
        <f>IFERROR(__xludf.DUMMYFUNCTION("""COMPUTED_VALUE"""),291.383)</f>
        <v>291.383</v>
      </c>
      <c r="K175">
        <f>IFERROR(__xludf.DUMMYFUNCTION("""COMPUTED_VALUE"""),281.711)</f>
        <v>281.711</v>
      </c>
    </row>
    <row r="176">
      <c r="A176" t="str">
        <f>IFERROR(__xludf.DUMMYFUNCTION("""COMPUTED_VALUE"""),"Timor oriental")</f>
        <v>Timor oriental</v>
      </c>
      <c r="B176">
        <f>IFERROR(__xludf.DUMMYFUNCTION("""COMPUTED_VALUE"""),0.367)</f>
        <v>0.367</v>
      </c>
      <c r="C176">
        <f>IFERROR(__xludf.DUMMYFUNCTION("""COMPUTED_VALUE"""),0.477)</f>
        <v>0.477</v>
      </c>
      <c r="D176">
        <f>IFERROR(__xludf.DUMMYFUNCTION("""COMPUTED_VALUE"""),0.47)</f>
        <v>0.47</v>
      </c>
      <c r="E176">
        <f>IFERROR(__xludf.DUMMYFUNCTION("""COMPUTED_VALUE"""),0.49)</f>
        <v>0.49</v>
      </c>
      <c r="F176">
        <f>IFERROR(__xludf.DUMMYFUNCTION("""COMPUTED_VALUE"""),0.441)</f>
        <v>0.441</v>
      </c>
      <c r="G176">
        <f>IFERROR(__xludf.DUMMYFUNCTION("""COMPUTED_VALUE"""),0.462)</f>
        <v>0.462</v>
      </c>
      <c r="H176">
        <f>IFERROR(__xludf.DUMMYFUNCTION("""COMPUTED_VALUE"""),0.454)</f>
        <v>0.454</v>
      </c>
      <c r="I176">
        <f>IFERROR(__xludf.DUMMYFUNCTION("""COMPUTED_VALUE"""),0.543)</f>
        <v>0.543</v>
      </c>
      <c r="J176">
        <f>IFERROR(__xludf.DUMMYFUNCTION("""COMPUTED_VALUE"""),0.648)</f>
        <v>0.648</v>
      </c>
      <c r="K176">
        <f>IFERROR(__xludf.DUMMYFUNCTION("""COMPUTED_VALUE"""),0.727)</f>
        <v>0.727</v>
      </c>
    </row>
    <row r="177">
      <c r="A177" t="str">
        <f>IFERROR(__xludf.DUMMYFUNCTION("""COMPUTED_VALUE"""),"Togo")</f>
        <v>Togo</v>
      </c>
      <c r="B177">
        <f>IFERROR(__xludf.DUMMYFUNCTION("""COMPUTED_VALUE"""),2.014)</f>
        <v>2.014</v>
      </c>
      <c r="C177">
        <f>IFERROR(__xludf.DUMMYFUNCTION("""COMPUTED_VALUE"""),2.0)</f>
        <v>2</v>
      </c>
      <c r="D177">
        <f>IFERROR(__xludf.DUMMYFUNCTION("""COMPUTED_VALUE"""),2.301)</f>
        <v>2.301</v>
      </c>
      <c r="E177">
        <f>IFERROR(__xludf.DUMMYFUNCTION("""COMPUTED_VALUE"""),2.854)</f>
        <v>2.854</v>
      </c>
      <c r="F177">
        <f>IFERROR(__xludf.DUMMYFUNCTION("""COMPUTED_VALUE"""),3.048)</f>
        <v>3.048</v>
      </c>
      <c r="G177">
        <f>IFERROR(__xludf.DUMMYFUNCTION("""COMPUTED_VALUE"""),3.08)</f>
        <v>3.08</v>
      </c>
      <c r="H177">
        <f>IFERROR(__xludf.DUMMYFUNCTION("""COMPUTED_VALUE"""),3.173)</f>
        <v>3.173</v>
      </c>
      <c r="I177">
        <f>IFERROR(__xludf.DUMMYFUNCTION("""COMPUTED_VALUE"""),3.76)</f>
        <v>3.76</v>
      </c>
      <c r="J177">
        <f>IFERROR(__xludf.DUMMYFUNCTION("""COMPUTED_VALUE"""),4.578)</f>
        <v>4.578</v>
      </c>
      <c r="K177">
        <f>IFERROR(__xludf.DUMMYFUNCTION("""COMPUTED_VALUE"""),4.717)</f>
        <v>4.717</v>
      </c>
    </row>
    <row r="178">
      <c r="A178" t="str">
        <f>IFERROR(__xludf.DUMMYFUNCTION("""COMPUTED_VALUE"""),"Tonga")</f>
        <v>Tonga</v>
      </c>
      <c r="B178">
        <f>IFERROR(__xludf.DUMMYFUNCTION("""COMPUTED_VALUE"""),0.205)</f>
        <v>0.205</v>
      </c>
      <c r="C178">
        <f>IFERROR(__xludf.DUMMYFUNCTION("""COMPUTED_VALUE"""),0.181)</f>
        <v>0.181</v>
      </c>
      <c r="D178">
        <f>IFERROR(__xludf.DUMMYFUNCTION("""COMPUTED_VALUE"""),0.183)</f>
        <v>0.183</v>
      </c>
      <c r="E178">
        <f>IFERROR(__xludf.DUMMYFUNCTION("""COMPUTED_VALUE"""),0.202)</f>
        <v>0.202</v>
      </c>
      <c r="F178">
        <f>IFERROR(__xludf.DUMMYFUNCTION("""COMPUTED_VALUE"""),0.231)</f>
        <v>0.231</v>
      </c>
      <c r="G178">
        <f>IFERROR(__xludf.DUMMYFUNCTION("""COMPUTED_VALUE"""),0.262)</f>
        <v>0.262</v>
      </c>
      <c r="H178">
        <f>IFERROR(__xludf.DUMMYFUNCTION("""COMPUTED_VALUE"""),0.292)</f>
        <v>0.292</v>
      </c>
      <c r="I178">
        <f>IFERROR(__xludf.DUMMYFUNCTION("""COMPUTED_VALUE"""),0.299)</f>
        <v>0.299</v>
      </c>
      <c r="J178">
        <f>IFERROR(__xludf.DUMMYFUNCTION("""COMPUTED_VALUE"""),0.344)</f>
        <v>0.344</v>
      </c>
      <c r="K178">
        <f>IFERROR(__xludf.DUMMYFUNCTION("""COMPUTED_VALUE"""),0.312)</f>
        <v>0.312</v>
      </c>
    </row>
    <row r="179">
      <c r="A179" t="str">
        <f>IFERROR(__xludf.DUMMYFUNCTION("""COMPUTED_VALUE"""),"Trinité-et-Tobago")</f>
        <v>Trinité-et-Tobago</v>
      </c>
      <c r="B179">
        <f>IFERROR(__xludf.DUMMYFUNCTION("""COMPUTED_VALUE"""),8.295)</f>
        <v>8.295</v>
      </c>
      <c r="C179">
        <f>IFERROR(__xludf.DUMMYFUNCTION("""COMPUTED_VALUE"""),8.96)</f>
        <v>8.96</v>
      </c>
      <c r="D179">
        <f>IFERROR(__xludf.DUMMYFUNCTION("""COMPUTED_VALUE"""),9.148)</f>
        <v>9.148</v>
      </c>
      <c r="E179">
        <f>IFERROR(__xludf.DUMMYFUNCTION("""COMPUTED_VALUE"""),11.464)</f>
        <v>11.464</v>
      </c>
      <c r="F179">
        <f>IFERROR(__xludf.DUMMYFUNCTION("""COMPUTED_VALUE"""),13.472)</f>
        <v>13.472</v>
      </c>
      <c r="G179">
        <f>IFERROR(__xludf.DUMMYFUNCTION("""COMPUTED_VALUE"""),16.17)</f>
        <v>16.17</v>
      </c>
      <c r="H179">
        <f>IFERROR(__xludf.DUMMYFUNCTION("""COMPUTED_VALUE"""),18.6)</f>
        <v>18.6</v>
      </c>
      <c r="I179">
        <f>IFERROR(__xludf.DUMMYFUNCTION("""COMPUTED_VALUE"""),21.937)</f>
        <v>21.937</v>
      </c>
      <c r="J179">
        <f>IFERROR(__xludf.DUMMYFUNCTION("""COMPUTED_VALUE"""),28.193)</f>
        <v>28.193</v>
      </c>
      <c r="K179">
        <f>IFERROR(__xludf.DUMMYFUNCTION("""COMPUTED_VALUE"""),19.52)</f>
        <v>19.52</v>
      </c>
    </row>
    <row r="180">
      <c r="A180" t="str">
        <f>IFERROR(__xludf.DUMMYFUNCTION("""COMPUTED_VALUE"""),"Tunisie")</f>
        <v>Tunisie</v>
      </c>
      <c r="B180">
        <f>IFERROR(__xludf.DUMMYFUNCTION("""COMPUTED_VALUE"""),22.524)</f>
        <v>22.524</v>
      </c>
      <c r="C180">
        <f>IFERROR(__xludf.DUMMYFUNCTION("""COMPUTED_VALUE"""),23.146)</f>
        <v>23.146</v>
      </c>
      <c r="D180">
        <f>IFERROR(__xludf.DUMMYFUNCTION("""COMPUTED_VALUE"""),24.274)</f>
        <v>24.274</v>
      </c>
      <c r="E180">
        <f>IFERROR(__xludf.DUMMYFUNCTION("""COMPUTED_VALUE"""),28.797)</f>
        <v>28.797</v>
      </c>
      <c r="F180">
        <f>IFERROR(__xludf.DUMMYFUNCTION("""COMPUTED_VALUE"""),32.71)</f>
        <v>32.71</v>
      </c>
      <c r="G180">
        <f>IFERROR(__xludf.DUMMYFUNCTION("""COMPUTED_VALUE"""),33.851)</f>
        <v>33.851</v>
      </c>
      <c r="H180">
        <f>IFERROR(__xludf.DUMMYFUNCTION("""COMPUTED_VALUE"""),36.059)</f>
        <v>36.059</v>
      </c>
      <c r="I180">
        <f>IFERROR(__xludf.DUMMYFUNCTION("""COMPUTED_VALUE"""),40.819)</f>
        <v>40.819</v>
      </c>
      <c r="J180">
        <f>IFERROR(__xludf.DUMMYFUNCTION("""COMPUTED_VALUE"""),47.039)</f>
        <v>47.039</v>
      </c>
      <c r="K180">
        <f>IFERROR(__xludf.DUMMYFUNCTION("""COMPUTED_VALUE"""),45.593)</f>
        <v>45.593</v>
      </c>
    </row>
    <row r="181">
      <c r="A181" t="str">
        <f>IFERROR(__xludf.DUMMYFUNCTION("""COMPUTED_VALUE"""),"Turkménistan")</f>
        <v>Turkménistan</v>
      </c>
      <c r="B181">
        <f>IFERROR(__xludf.DUMMYFUNCTION("""COMPUTED_VALUE"""),8.487)</f>
        <v>8.487</v>
      </c>
      <c r="C181">
        <f>IFERROR(__xludf.DUMMYFUNCTION("""COMPUTED_VALUE"""),11.717)</f>
        <v>11.717</v>
      </c>
      <c r="D181">
        <f>IFERROR(__xludf.DUMMYFUNCTION("""COMPUTED_VALUE"""),14.703)</f>
        <v>14.703</v>
      </c>
      <c r="E181">
        <f>IFERROR(__xludf.DUMMYFUNCTION("""COMPUTED_VALUE"""),19.307)</f>
        <v>19.307</v>
      </c>
      <c r="F181">
        <f>IFERROR(__xludf.DUMMYFUNCTION("""COMPUTED_VALUE"""),23.991)</f>
        <v>23.991</v>
      </c>
      <c r="G181">
        <f>IFERROR(__xludf.DUMMYFUNCTION("""COMPUTED_VALUE"""),29.023)</f>
        <v>29.023</v>
      </c>
      <c r="H181">
        <f>IFERROR(__xludf.DUMMYFUNCTION("""COMPUTED_VALUE"""),36.154)</f>
        <v>36.154</v>
      </c>
      <c r="I181">
        <f>IFERROR(__xludf.DUMMYFUNCTION("""COMPUTED_VALUE"""),43.875)</f>
        <v>43.875</v>
      </c>
      <c r="J181">
        <f>IFERROR(__xludf.DUMMYFUNCTION("""COMPUTED_VALUE"""),36.363)</f>
        <v>36.363</v>
      </c>
      <c r="K181">
        <f>IFERROR(__xludf.DUMMYFUNCTION("""COMPUTED_VALUE"""),34.162)</f>
        <v>34.162</v>
      </c>
    </row>
    <row r="182">
      <c r="A182" t="str">
        <f>IFERROR(__xludf.DUMMYFUNCTION("""COMPUTED_VALUE"""),"Tuvalu")</f>
        <v>Tuvalu</v>
      </c>
      <c r="B182">
        <f>IFERROR(__xludf.DUMMYFUNCTION("""COMPUTED_VALUE"""),0.015)</f>
        <v>0.015</v>
      </c>
      <c r="C182">
        <f>IFERROR(__xludf.DUMMYFUNCTION("""COMPUTED_VALUE"""),0.014)</f>
        <v>0.014</v>
      </c>
      <c r="D182">
        <f>IFERROR(__xludf.DUMMYFUNCTION("""COMPUTED_VALUE"""),0.017)</f>
        <v>0.017</v>
      </c>
      <c r="E182">
        <f>IFERROR(__xludf.DUMMYFUNCTION("""COMPUTED_VALUE"""),0.02)</f>
        <v>0.02</v>
      </c>
      <c r="F182">
        <f>IFERROR(__xludf.DUMMYFUNCTION("""COMPUTED_VALUE"""),0.023)</f>
        <v>0.023</v>
      </c>
      <c r="G182">
        <f>IFERROR(__xludf.DUMMYFUNCTION("""COMPUTED_VALUE"""),0.023)</f>
        <v>0.023</v>
      </c>
      <c r="H182">
        <f>IFERROR(__xludf.DUMMYFUNCTION("""COMPUTED_VALUE"""),0.024)</f>
        <v>0.024</v>
      </c>
      <c r="I182">
        <f>IFERROR(__xludf.DUMMYFUNCTION("""COMPUTED_VALUE"""),0.029)</f>
        <v>0.029</v>
      </c>
      <c r="J182">
        <f>IFERROR(__xludf.DUMMYFUNCTION("""COMPUTED_VALUE"""),0.032)</f>
        <v>0.032</v>
      </c>
      <c r="K182">
        <f>IFERROR(__xludf.DUMMYFUNCTION("""COMPUTED_VALUE"""),0.028)</f>
        <v>0.028</v>
      </c>
    </row>
    <row r="183">
      <c r="A183" t="str">
        <f>IFERROR(__xludf.DUMMYFUNCTION("""COMPUTED_VALUE"""),"Turquie")</f>
        <v>Turquie</v>
      </c>
      <c r="B183">
        <f>IFERROR(__xludf.DUMMYFUNCTION("""COMPUTED_VALUE"""),274.321)</f>
        <v>274.321</v>
      </c>
      <c r="C183">
        <f>IFERROR(__xludf.DUMMYFUNCTION("""COMPUTED_VALUE"""),202.248)</f>
        <v>202.248</v>
      </c>
      <c r="D183">
        <f>IFERROR(__xludf.DUMMYFUNCTION("""COMPUTED_VALUE"""),240.191)</f>
        <v>240.191</v>
      </c>
      <c r="E183">
        <f>IFERROR(__xludf.DUMMYFUNCTION("""COMPUTED_VALUE"""),314.752)</f>
        <v>314.752</v>
      </c>
      <c r="F183">
        <f>IFERROR(__xludf.DUMMYFUNCTION("""COMPUTED_VALUE"""),409.127)</f>
        <v>409.127</v>
      </c>
      <c r="G183">
        <f>IFERROR(__xludf.DUMMYFUNCTION("""COMPUTED_VALUE"""),506.186)</f>
        <v>506.186</v>
      </c>
      <c r="H183">
        <f>IFERROR(__xludf.DUMMYFUNCTION("""COMPUTED_VALUE"""),555.126)</f>
        <v>555.126</v>
      </c>
      <c r="I183">
        <f>IFERROR(__xludf.DUMMYFUNCTION("""COMPUTED_VALUE"""),680.489)</f>
        <v>680.489</v>
      </c>
      <c r="J183">
        <f>IFERROR(__xludf.DUMMYFUNCTION("""COMPUTED_VALUE"""),770.82)</f>
        <v>770.82</v>
      </c>
      <c r="K183">
        <f>IFERROR(__xludf.DUMMYFUNCTION("""COMPUTED_VALUE"""),648.797)</f>
        <v>648.797</v>
      </c>
    </row>
    <row r="184">
      <c r="A184" t="str">
        <f>IFERROR(__xludf.DUMMYFUNCTION("""COMPUTED_VALUE"""),"Ouganda")</f>
        <v>Ouganda</v>
      </c>
      <c r="B184">
        <f>IFERROR(__xludf.DUMMYFUNCTION("""COMPUTED_VALUE"""),7.756)</f>
        <v>7.756</v>
      </c>
      <c r="C184">
        <f>IFERROR(__xludf.DUMMYFUNCTION("""COMPUTED_VALUE"""),7.835)</f>
        <v>7.835</v>
      </c>
      <c r="D184">
        <f>IFERROR(__xludf.DUMMYFUNCTION("""COMPUTED_VALUE"""),8.425)</f>
        <v>8.425</v>
      </c>
      <c r="E184">
        <f>IFERROR(__xludf.DUMMYFUNCTION("""COMPUTED_VALUE"""),8.725)</f>
        <v>8.725</v>
      </c>
      <c r="F184">
        <f>IFERROR(__xludf.DUMMYFUNCTION("""COMPUTED_VALUE"""),10.75)</f>
        <v>10.75</v>
      </c>
      <c r="G184">
        <f>IFERROR(__xludf.DUMMYFUNCTION("""COMPUTED_VALUE"""),12.46)</f>
        <v>12.46</v>
      </c>
      <c r="H184">
        <f>IFERROR(__xludf.DUMMYFUNCTION("""COMPUTED_VALUE"""),14.079)</f>
        <v>14.079</v>
      </c>
      <c r="I184">
        <f>IFERROR(__xludf.DUMMYFUNCTION("""COMPUTED_VALUE"""),17.512)</f>
        <v>17.512</v>
      </c>
      <c r="J184">
        <f>IFERROR(__xludf.DUMMYFUNCTION("""COMPUTED_VALUE"""),22.419)</f>
        <v>22.419</v>
      </c>
      <c r="K184">
        <f>IFERROR(__xludf.DUMMYFUNCTION("""COMPUTED_VALUE"""),24.107)</f>
        <v>24.107</v>
      </c>
    </row>
    <row r="185">
      <c r="A185" t="str">
        <f>IFERROR(__xludf.DUMMYFUNCTION("""COMPUTED_VALUE"""),"Ukraine")</f>
        <v>Ukraine</v>
      </c>
      <c r="B185">
        <f>IFERROR(__xludf.DUMMYFUNCTION("""COMPUTED_VALUE"""),32.331)</f>
        <v>32.331</v>
      </c>
      <c r="C185">
        <f>IFERROR(__xludf.DUMMYFUNCTION("""COMPUTED_VALUE"""),37.863)</f>
        <v>37.863</v>
      </c>
      <c r="D185">
        <f>IFERROR(__xludf.DUMMYFUNCTION("""COMPUTED_VALUE"""),42.339)</f>
        <v>42.339</v>
      </c>
      <c r="E185">
        <f>IFERROR(__xludf.DUMMYFUNCTION("""COMPUTED_VALUE"""),50.096)</f>
        <v>50.096</v>
      </c>
      <c r="F185">
        <f>IFERROR(__xludf.DUMMYFUNCTION("""COMPUTED_VALUE"""),64.747)</f>
        <v>64.747</v>
      </c>
      <c r="G185">
        <f>IFERROR(__xludf.DUMMYFUNCTION("""COMPUTED_VALUE"""),85.996)</f>
        <v>85.996</v>
      </c>
      <c r="H185">
        <f>IFERROR(__xludf.DUMMYFUNCTION("""COMPUTED_VALUE"""),107.767)</f>
        <v>107.767</v>
      </c>
      <c r="I185">
        <f>IFERROR(__xludf.DUMMYFUNCTION("""COMPUTED_VALUE"""),143.26)</f>
        <v>143.26</v>
      </c>
      <c r="J185">
        <f>IFERROR(__xludf.DUMMYFUNCTION("""COMPUTED_VALUE"""),181.313)</f>
        <v>181.313</v>
      </c>
      <c r="K185">
        <f>IFERROR(__xludf.DUMMYFUNCTION("""COMPUTED_VALUE"""),117.079)</f>
        <v>117.079</v>
      </c>
    </row>
    <row r="186">
      <c r="A186" t="str">
        <f>IFERROR(__xludf.DUMMYFUNCTION("""COMPUTED_VALUE"""),"Émirats arabes unis")</f>
        <v>Émirats arabes unis</v>
      </c>
      <c r="B186">
        <f>IFERROR(__xludf.DUMMYFUNCTION("""COMPUTED_VALUE"""),102.987)</f>
        <v>102.987</v>
      </c>
      <c r="C186">
        <f>IFERROR(__xludf.DUMMYFUNCTION("""COMPUTED_VALUE"""),103.312)</f>
        <v>103.312</v>
      </c>
      <c r="D186">
        <f>IFERROR(__xludf.DUMMYFUNCTION("""COMPUTED_VALUE"""),109.816)</f>
        <v>109.816</v>
      </c>
      <c r="E186">
        <f>IFERROR(__xludf.DUMMYFUNCTION("""COMPUTED_VALUE"""),124.346)</f>
        <v>124.346</v>
      </c>
      <c r="F186">
        <f>IFERROR(__xludf.DUMMYFUNCTION("""COMPUTED_VALUE"""),147.812)</f>
        <v>147.812</v>
      </c>
      <c r="G186">
        <f>IFERROR(__xludf.DUMMYFUNCTION("""COMPUTED_VALUE"""),180.616)</f>
        <v>180.616</v>
      </c>
      <c r="H186">
        <f>IFERROR(__xludf.DUMMYFUNCTION("""COMPUTED_VALUE"""),222.117)</f>
        <v>222.117</v>
      </c>
      <c r="I186">
        <f>IFERROR(__xludf.DUMMYFUNCTION("""COMPUTED_VALUE"""),257.883)</f>
        <v>257.883</v>
      </c>
      <c r="J186">
        <f>IFERROR(__xludf.DUMMYFUNCTION("""COMPUTED_VALUE"""),315.464)</f>
        <v>315.464</v>
      </c>
      <c r="K186">
        <f>IFERROR(__xludf.DUMMYFUNCTION("""COMPUTED_VALUE"""),253.547)</f>
        <v>253.547</v>
      </c>
    </row>
    <row r="187">
      <c r="A187" t="str">
        <f>IFERROR(__xludf.DUMMYFUNCTION("""COMPUTED_VALUE"""),"Royaume-Uni")</f>
        <v>Royaume-Uni</v>
      </c>
      <c r="B187">
        <f>IFERROR(__xludf.DUMMYFUNCTION("""COMPUTED_VALUE"""),1669.283)</f>
        <v>1669.283</v>
      </c>
      <c r="C187">
        <f>IFERROR(__xludf.DUMMYFUNCTION("""COMPUTED_VALUE"""),1649.083)</f>
        <v>1649.083</v>
      </c>
      <c r="D187">
        <f>IFERROR(__xludf.DUMMYFUNCTION("""COMPUTED_VALUE"""),1788.663)</f>
        <v>1788.663</v>
      </c>
      <c r="E187">
        <f>IFERROR(__xludf.DUMMYFUNCTION("""COMPUTED_VALUE"""),2058.485)</f>
        <v>2058.485</v>
      </c>
      <c r="F187">
        <f>IFERROR(__xludf.DUMMYFUNCTION("""COMPUTED_VALUE"""),2424.053)</f>
        <v>2424.053</v>
      </c>
      <c r="G187">
        <f>IFERROR(__xludf.DUMMYFUNCTION("""COMPUTED_VALUE"""),2547.665)</f>
        <v>2547.665</v>
      </c>
      <c r="H187">
        <f>IFERROR(__xludf.DUMMYFUNCTION("""COMPUTED_VALUE"""),2713.729)</f>
        <v>2713.729</v>
      </c>
      <c r="I187">
        <f>IFERROR(__xludf.DUMMYFUNCTION("""COMPUTED_VALUE"""),3094.006)</f>
        <v>3094.006</v>
      </c>
      <c r="J187">
        <f>IFERROR(__xludf.DUMMYFUNCTION("""COMPUTED_VALUE"""),2962.502)</f>
        <v>2962.502</v>
      </c>
      <c r="K187">
        <f>IFERROR(__xludf.DUMMYFUNCTION("""COMPUTED_VALUE"""),2426.291)</f>
        <v>2426.291</v>
      </c>
    </row>
    <row r="188">
      <c r="A188" t="str">
        <f>IFERROR(__xludf.DUMMYFUNCTION("""COMPUTED_VALUE"""),"États-Unis")</f>
        <v>États-Unis</v>
      </c>
      <c r="B188">
        <f>IFERROR(__xludf.DUMMYFUNCTION("""COMPUTED_VALUE"""),10250.95)</f>
        <v>10250.95</v>
      </c>
      <c r="C188">
        <f>IFERROR(__xludf.DUMMYFUNCTION("""COMPUTED_VALUE"""),10581.925)</f>
        <v>10581.925</v>
      </c>
      <c r="D188">
        <f>IFERROR(__xludf.DUMMYFUNCTION("""COMPUTED_VALUE"""),10929.1)</f>
        <v>10929.1</v>
      </c>
      <c r="E188">
        <f>IFERROR(__xludf.DUMMYFUNCTION("""COMPUTED_VALUE"""),11456.45)</f>
        <v>11456.45</v>
      </c>
      <c r="F188">
        <f>IFERROR(__xludf.DUMMYFUNCTION("""COMPUTED_VALUE"""),12217.175)</f>
        <v>12217.175</v>
      </c>
      <c r="G188">
        <f>IFERROR(__xludf.DUMMYFUNCTION("""COMPUTED_VALUE"""),13039.2)</f>
        <v>13039.2</v>
      </c>
      <c r="H188">
        <f>IFERROR(__xludf.DUMMYFUNCTION("""COMPUTED_VALUE"""),13815.6)</f>
        <v>13815.6</v>
      </c>
      <c r="I188">
        <f>IFERROR(__xludf.DUMMYFUNCTION("""COMPUTED_VALUE"""),14474.25)</f>
        <v>14474.25</v>
      </c>
      <c r="J188">
        <f>IFERROR(__xludf.DUMMYFUNCTION("""COMPUTED_VALUE"""),14769.85)</f>
        <v>14769.85</v>
      </c>
      <c r="K188">
        <f>IFERROR(__xludf.DUMMYFUNCTION("""COMPUTED_VALUE"""),14478.05)</f>
        <v>14478.05</v>
      </c>
    </row>
    <row r="189">
      <c r="A189" t="str">
        <f>IFERROR(__xludf.DUMMYFUNCTION("""COMPUTED_VALUE"""),"Uruguay")</f>
        <v>Uruguay</v>
      </c>
      <c r="B189">
        <f>IFERROR(__xludf.DUMMYFUNCTION("""COMPUTED_VALUE"""),24.892)</f>
        <v>24.892</v>
      </c>
      <c r="C189">
        <f>IFERROR(__xludf.DUMMYFUNCTION("""COMPUTED_VALUE"""),22.802)</f>
        <v>22.802</v>
      </c>
      <c r="D189">
        <f>IFERROR(__xludf.DUMMYFUNCTION("""COMPUTED_VALUE"""),14.863)</f>
        <v>14.863</v>
      </c>
      <c r="E189">
        <f>IFERROR(__xludf.DUMMYFUNCTION("""COMPUTED_VALUE"""),13.159)</f>
        <v>13.159</v>
      </c>
      <c r="F189">
        <f>IFERROR(__xludf.DUMMYFUNCTION("""COMPUTED_VALUE"""),14.959)</f>
        <v>14.959</v>
      </c>
      <c r="G189">
        <f>IFERROR(__xludf.DUMMYFUNCTION("""COMPUTED_VALUE"""),18.986)</f>
        <v>18.986</v>
      </c>
      <c r="H189">
        <f>IFERROR(__xludf.DUMMYFUNCTION("""COMPUTED_VALUE"""),21.416)</f>
        <v>21.416</v>
      </c>
      <c r="I189">
        <f>IFERROR(__xludf.DUMMYFUNCTION("""COMPUTED_VALUE"""),25.603)</f>
        <v>25.603</v>
      </c>
      <c r="J189">
        <f>IFERROR(__xludf.DUMMYFUNCTION("""COMPUTED_VALUE"""),33.151)</f>
        <v>33.151</v>
      </c>
      <c r="K189">
        <f>IFERROR(__xludf.DUMMYFUNCTION("""COMPUTED_VALUE"""),34.565)</f>
        <v>34.565</v>
      </c>
    </row>
    <row r="190">
      <c r="A190" t="str">
        <f>IFERROR(__xludf.DUMMYFUNCTION("""COMPUTED_VALUE"""),"Ouzbékistan")</f>
        <v>Ouzbékistan</v>
      </c>
      <c r="B190">
        <f>IFERROR(__xludf.DUMMYFUNCTION("""COMPUTED_VALUE"""),17.195)</f>
        <v>17.195</v>
      </c>
      <c r="C190">
        <f>IFERROR(__xludf.DUMMYFUNCTION("""COMPUTED_VALUE"""),14.581)</f>
        <v>14.581</v>
      </c>
      <c r="D190">
        <f>IFERROR(__xludf.DUMMYFUNCTION("""COMPUTED_VALUE"""),12.106)</f>
        <v>12.106</v>
      </c>
      <c r="E190">
        <f>IFERROR(__xludf.DUMMYFUNCTION("""COMPUTED_VALUE"""),12.697)</f>
        <v>12.697</v>
      </c>
      <c r="F190">
        <f>IFERROR(__xludf.DUMMYFUNCTION("""COMPUTED_VALUE"""),15.045)</f>
        <v>15.045</v>
      </c>
      <c r="G190">
        <f>IFERROR(__xludf.DUMMYFUNCTION("""COMPUTED_VALUE"""),17.939)</f>
        <v>17.939</v>
      </c>
      <c r="H190">
        <f>IFERROR(__xludf.DUMMYFUNCTION("""COMPUTED_VALUE"""),21.344)</f>
        <v>21.344</v>
      </c>
      <c r="I190">
        <f>IFERROR(__xludf.DUMMYFUNCTION("""COMPUTED_VALUE"""),27.963)</f>
        <v>27.963</v>
      </c>
      <c r="J190">
        <f>IFERROR(__xludf.DUMMYFUNCTION("""COMPUTED_VALUE"""),35.858)</f>
        <v>35.858</v>
      </c>
      <c r="K190">
        <f>IFERROR(__xludf.DUMMYFUNCTION("""COMPUTED_VALUE"""),41.945)</f>
        <v>41.945</v>
      </c>
    </row>
    <row r="191">
      <c r="A191" t="str">
        <f>IFERROR(__xludf.DUMMYFUNCTION("""COMPUTED_VALUE"""),"Vanuatu")</f>
        <v>Vanuatu</v>
      </c>
      <c r="B191">
        <f>IFERROR(__xludf.DUMMYFUNCTION("""COMPUTED_VALUE"""),0.272)</f>
        <v>0.272</v>
      </c>
      <c r="C191">
        <f>IFERROR(__xludf.DUMMYFUNCTION("""COMPUTED_VALUE"""),0.257)</f>
        <v>0.257</v>
      </c>
      <c r="D191">
        <f>IFERROR(__xludf.DUMMYFUNCTION("""COMPUTED_VALUE"""),0.262)</f>
        <v>0.262</v>
      </c>
      <c r="E191">
        <f>IFERROR(__xludf.DUMMYFUNCTION("""COMPUTED_VALUE"""),0.315)</f>
        <v>0.315</v>
      </c>
      <c r="F191">
        <f>IFERROR(__xludf.DUMMYFUNCTION("""COMPUTED_VALUE"""),0.365)</f>
        <v>0.365</v>
      </c>
      <c r="G191">
        <f>IFERROR(__xludf.DUMMYFUNCTION("""COMPUTED_VALUE"""),0.39)</f>
        <v>0.39</v>
      </c>
      <c r="H191">
        <f>IFERROR(__xludf.DUMMYFUNCTION("""COMPUTED_VALUE"""),0.435)</f>
        <v>0.435</v>
      </c>
      <c r="I191">
        <f>IFERROR(__xludf.DUMMYFUNCTION("""COMPUTED_VALUE"""),0.517)</f>
        <v>0.517</v>
      </c>
      <c r="J191">
        <f>IFERROR(__xludf.DUMMYFUNCTION("""COMPUTED_VALUE"""),0.582)</f>
        <v>0.582</v>
      </c>
      <c r="K191">
        <f>IFERROR(__xludf.DUMMYFUNCTION("""COMPUTED_VALUE"""),0.59)</f>
        <v>0.59</v>
      </c>
    </row>
    <row r="192">
      <c r="A192" t="str">
        <f>IFERROR(__xludf.DUMMYFUNCTION("""COMPUTED_VALUE"""),"Venezuela")</f>
        <v>Venezuela</v>
      </c>
      <c r="B192">
        <f>IFERROR(__xludf.DUMMYFUNCTION("""COMPUTED_VALUE"""),117.596)</f>
        <v>117.596</v>
      </c>
      <c r="C192">
        <f>IFERROR(__xludf.DUMMYFUNCTION("""COMPUTED_VALUE"""),123.119)</f>
        <v>123.119</v>
      </c>
      <c r="D192">
        <f>IFERROR(__xludf.DUMMYFUNCTION("""COMPUTED_VALUE"""),95.258)</f>
        <v>95.258</v>
      </c>
      <c r="E192">
        <f>IFERROR(__xludf.DUMMYFUNCTION("""COMPUTED_VALUE"""),83.684)</f>
        <v>83.684</v>
      </c>
      <c r="F192">
        <f>IFERROR(__xludf.DUMMYFUNCTION("""COMPUTED_VALUE"""),112.254)</f>
        <v>112.254</v>
      </c>
      <c r="G192">
        <f>IFERROR(__xludf.DUMMYFUNCTION("""COMPUTED_VALUE"""),143.375)</f>
        <v>143.375</v>
      </c>
      <c r="H192">
        <f>IFERROR(__xludf.DUMMYFUNCTION("""COMPUTED_VALUE"""),178.521)</f>
        <v>178.521</v>
      </c>
      <c r="I192">
        <f>IFERROR(__xludf.DUMMYFUNCTION("""COMPUTED_VALUE"""),232.857)</f>
        <v>232.857</v>
      </c>
      <c r="J192">
        <f>IFERROR(__xludf.DUMMYFUNCTION("""COMPUTED_VALUE"""),306.764)</f>
        <v>306.764</v>
      </c>
      <c r="K192">
        <f>IFERROR(__xludf.DUMMYFUNCTION("""COMPUTED_VALUE"""),268.624)</f>
        <v>268.624</v>
      </c>
    </row>
    <row r="193">
      <c r="A193" t="str">
        <f>IFERROR(__xludf.DUMMYFUNCTION("""COMPUTED_VALUE"""),"Vietnam")</f>
        <v>Vietnam</v>
      </c>
      <c r="B193">
        <f>IFERROR(__xludf.DUMMYFUNCTION("""COMPUTED_VALUE"""),39.585)</f>
        <v>39.585</v>
      </c>
      <c r="C193">
        <f>IFERROR(__xludf.DUMMYFUNCTION("""COMPUTED_VALUE"""),41.297)</f>
        <v>41.297</v>
      </c>
      <c r="D193">
        <f>IFERROR(__xludf.DUMMYFUNCTION("""COMPUTED_VALUE"""),44.563)</f>
        <v>44.563</v>
      </c>
      <c r="E193">
        <f>IFERROR(__xludf.DUMMYFUNCTION("""COMPUTED_VALUE"""),50.233)</f>
        <v>50.233</v>
      </c>
      <c r="F193">
        <f>IFERROR(__xludf.DUMMYFUNCTION("""COMPUTED_VALUE"""),62.877)</f>
        <v>62.877</v>
      </c>
      <c r="G193">
        <f>IFERROR(__xludf.DUMMYFUNCTION("""COMPUTED_VALUE"""),73.197)</f>
        <v>73.197</v>
      </c>
      <c r="H193">
        <f>IFERROR(__xludf.DUMMYFUNCTION("""COMPUTED_VALUE"""),84.301)</f>
        <v>84.301</v>
      </c>
      <c r="I193">
        <f>IFERROR(__xludf.DUMMYFUNCTION("""COMPUTED_VALUE"""),98.426)</f>
        <v>98.426</v>
      </c>
      <c r="J193">
        <f>IFERROR(__xludf.DUMMYFUNCTION("""COMPUTED_VALUE"""),124.756)</f>
        <v>124.756</v>
      </c>
      <c r="K193">
        <f>IFERROR(__xludf.DUMMYFUNCTION("""COMPUTED_VALUE"""),129.022)</f>
        <v>129.022</v>
      </c>
    </row>
    <row r="194">
      <c r="A194" t="str">
        <f>IFERROR(__xludf.DUMMYFUNCTION("""COMPUTED_VALUE"""),"Bande de Gaza et  Cisjordanie")</f>
        <v>Bande de Gaza et  Cisjordanie</v>
      </c>
      <c r="B194">
        <f>IFERROR(__xludf.DUMMYFUNCTION("""COMPUTED_VALUE"""),4.314)</f>
        <v>4.314</v>
      </c>
      <c r="C194">
        <f>IFERROR(__xludf.DUMMYFUNCTION("""COMPUTED_VALUE"""),4.004)</f>
        <v>4.004</v>
      </c>
      <c r="D194">
        <f>IFERROR(__xludf.DUMMYFUNCTION("""COMPUTED_VALUE"""),3.556)</f>
        <v>3.556</v>
      </c>
      <c r="E194">
        <f>IFERROR(__xludf.DUMMYFUNCTION("""COMPUTED_VALUE"""),3.968)</f>
        <v>3.968</v>
      </c>
      <c r="F194">
        <f>IFERROR(__xludf.DUMMYFUNCTION("""COMPUTED_VALUE"""),4.603)</f>
        <v>4.603</v>
      </c>
      <c r="G194">
        <f>IFERROR(__xludf.DUMMYFUNCTION("""COMPUTED_VALUE"""),5.126)</f>
        <v>5.126</v>
      </c>
      <c r="H194">
        <f>IFERROR(__xludf.DUMMYFUNCTION("""COMPUTED_VALUE"""),5.348)</f>
        <v>5.348</v>
      </c>
      <c r="I194">
        <f>IFERROR(__xludf.DUMMYFUNCTION("""COMPUTED_VALUE"""),5.816)</f>
        <v>5.816</v>
      </c>
      <c r="J194">
        <f>IFERROR(__xludf.DUMMYFUNCTION("""COMPUTED_VALUE"""),7.31)</f>
        <v>7.31</v>
      </c>
      <c r="K194">
        <f>IFERROR(__xludf.DUMMYFUNCTION("""COMPUTED_VALUE"""),8.086)</f>
        <v>8.086</v>
      </c>
    </row>
    <row r="195">
      <c r="A195" t="str">
        <f>IFERROR(__xludf.DUMMYFUNCTION("""COMPUTED_VALUE"""),"Yémen")</f>
        <v>Yémen</v>
      </c>
      <c r="B195">
        <f>IFERROR(__xludf.DUMMYFUNCTION("""COMPUTED_VALUE"""),9.679)</f>
        <v>9.679</v>
      </c>
      <c r="C195">
        <f>IFERROR(__xludf.DUMMYFUNCTION("""COMPUTED_VALUE"""),9.853)</f>
        <v>9.853</v>
      </c>
      <c r="D195">
        <f>IFERROR(__xludf.DUMMYFUNCTION("""COMPUTED_VALUE"""),10.693)</f>
        <v>10.693</v>
      </c>
      <c r="E195">
        <f>IFERROR(__xludf.DUMMYFUNCTION("""COMPUTED_VALUE"""),11.778)</f>
        <v>11.778</v>
      </c>
      <c r="F195">
        <f>IFERROR(__xludf.DUMMYFUNCTION("""COMPUTED_VALUE"""),13.868)</f>
        <v>13.868</v>
      </c>
      <c r="G195">
        <f>IFERROR(__xludf.DUMMYFUNCTION("""COMPUTED_VALUE"""),16.732)</f>
        <v>16.732</v>
      </c>
      <c r="H195">
        <f>IFERROR(__xludf.DUMMYFUNCTION("""COMPUTED_VALUE"""),19.063)</f>
        <v>19.063</v>
      </c>
      <c r="I195">
        <f>IFERROR(__xludf.DUMMYFUNCTION("""COMPUTED_VALUE"""),21.651)</f>
        <v>21.651</v>
      </c>
      <c r="J195">
        <f>IFERROR(__xludf.DUMMYFUNCTION("""COMPUTED_VALUE"""),26.911)</f>
        <v>26.911</v>
      </c>
      <c r="K195">
        <f>IFERROR(__xludf.DUMMYFUNCTION("""COMPUTED_VALUE"""),25.13)</f>
        <v>25.13</v>
      </c>
    </row>
    <row r="196">
      <c r="A196" t="str">
        <f>IFERROR(__xludf.DUMMYFUNCTION("""COMPUTED_VALUE"""),"Zambie")</f>
        <v>Zambie</v>
      </c>
      <c r="B196">
        <f>IFERROR(__xludf.DUMMYFUNCTION("""COMPUTED_VALUE"""),3.601)</f>
        <v>3.601</v>
      </c>
      <c r="C196">
        <f>IFERROR(__xludf.DUMMYFUNCTION("""COMPUTED_VALUE"""),3.87)</f>
        <v>3.87</v>
      </c>
      <c r="D196">
        <f>IFERROR(__xludf.DUMMYFUNCTION("""COMPUTED_VALUE"""),4.194)</f>
        <v>4.194</v>
      </c>
      <c r="E196">
        <f>IFERROR(__xludf.DUMMYFUNCTION("""COMPUTED_VALUE"""),4.902)</f>
        <v>4.902</v>
      </c>
      <c r="F196">
        <f>IFERROR(__xludf.DUMMYFUNCTION("""COMPUTED_VALUE"""),6.221)</f>
        <v>6.221</v>
      </c>
      <c r="G196">
        <f>IFERROR(__xludf.DUMMYFUNCTION("""COMPUTED_VALUE"""),8.329)</f>
        <v>8.329</v>
      </c>
      <c r="H196">
        <f>IFERROR(__xludf.DUMMYFUNCTION("""COMPUTED_VALUE"""),12.762)</f>
        <v>12.762</v>
      </c>
      <c r="I196">
        <f>IFERROR(__xludf.DUMMYFUNCTION("""COMPUTED_VALUE"""),14.06)</f>
        <v>14.06</v>
      </c>
      <c r="J196">
        <f>IFERROR(__xludf.DUMMYFUNCTION("""COMPUTED_VALUE"""),17.914)</f>
        <v>17.914</v>
      </c>
      <c r="K196">
        <f>IFERROR(__xludf.DUMMYFUNCTION("""COMPUTED_VALUE"""),15.332)</f>
        <v>15.332</v>
      </c>
    </row>
    <row r="197">
      <c r="A197" t="str">
        <f>IFERROR(__xludf.DUMMYFUNCTION("""COMPUTED_VALUE"""),"Zimbabwe")</f>
        <v>Zimbabwe</v>
      </c>
      <c r="B197">
        <f>IFERROR(__xludf.DUMMYFUNCTION("""COMPUTED_VALUE"""),11.34)</f>
        <v>11.34</v>
      </c>
      <c r="C197">
        <f>IFERROR(__xludf.DUMMYFUNCTION("""COMPUTED_VALUE"""),11.244)</f>
        <v>11.244</v>
      </c>
      <c r="D197">
        <f>IFERROR(__xludf.DUMMYFUNCTION("""COMPUTED_VALUE"""),10.735)</f>
        <v>10.735</v>
      </c>
      <c r="E197">
        <f>IFERROR(__xludf.DUMMYFUNCTION("""COMPUTED_VALUE"""),9.574)</f>
        <v>9.574</v>
      </c>
      <c r="F197">
        <f>IFERROR(__xludf.DUMMYFUNCTION("""COMPUTED_VALUE"""),9.465)</f>
        <v>9.465</v>
      </c>
      <c r="G197">
        <f>IFERROR(__xludf.DUMMYFUNCTION("""COMPUTED_VALUE"""),9.046)</f>
        <v>9.046</v>
      </c>
      <c r="H197">
        <f>IFERROR(__xludf.DUMMYFUNCTION("""COMPUTED_VALUE"""),8.141)</f>
        <v>8.141</v>
      </c>
      <c r="I197">
        <f>IFERROR(__xludf.DUMMYFUNCTION("""COMPUTED_VALUE"""),7.785)</f>
        <v>7.785</v>
      </c>
      <c r="J197">
        <f>IFERROR(__xludf.DUMMYFUNCTION("""COMPUTED_VALUE"""),6.707)</f>
        <v>6.707</v>
      </c>
      <c r="K197">
        <f>IFERROR(__xludf.DUMMYFUNCTION("""COMPUTED_VALUE"""),9.666)</f>
        <v>9.666</v>
      </c>
    </row>
    <row r="198">
      <c r="A198" t="str">
        <f>IFERROR(__xludf.DUMMYFUNCTION("""COMPUTED_VALUE"""),"Afrique")</f>
        <v>Afrique</v>
      </c>
      <c r="B198">
        <f>IFERROR(__xludf.DUMMYFUNCTION("""COMPUTED_VALUE"""),703.639)</f>
        <v>703.639</v>
      </c>
      <c r="C198">
        <f>IFERROR(__xludf.DUMMYFUNCTION("""COMPUTED_VALUE"""),681.618)</f>
        <v>681.618</v>
      </c>
      <c r="D198">
        <f>IFERROR(__xludf.DUMMYFUNCTION("""COMPUTED_VALUE"""),696.043)</f>
        <v>696.043</v>
      </c>
      <c r="E198">
        <f>IFERROR(__xludf.DUMMYFUNCTION("""COMPUTED_VALUE"""),839.923)</f>
        <v>839.923</v>
      </c>
      <c r="F198">
        <f>IFERROR(__xludf.DUMMYFUNCTION("""COMPUTED_VALUE"""),1005.933)</f>
        <v>1005.933</v>
      </c>
      <c r="G198">
        <f>IFERROR(__xludf.DUMMYFUNCTION("""COMPUTED_VALUE"""),1182.934)</f>
        <v>1182.934</v>
      </c>
      <c r="H198">
        <f>IFERROR(__xludf.DUMMYFUNCTION("""COMPUTED_VALUE"""),1364.479)</f>
        <v>1364.479</v>
      </c>
      <c r="I198">
        <f>IFERROR(__xludf.DUMMYFUNCTION("""COMPUTED_VALUE"""),1585.739)</f>
        <v>1585.739</v>
      </c>
      <c r="J198">
        <f>IFERROR(__xludf.DUMMYFUNCTION("""COMPUTED_VALUE"""),1855.014)</f>
        <v>1855.014</v>
      </c>
      <c r="K198">
        <f>IFERROR(__xludf.DUMMYFUNCTION("""COMPUTED_VALUE"""),1762.193)</f>
        <v>1762.193</v>
      </c>
    </row>
    <row r="199">
      <c r="A199" t="str">
        <f>IFERROR(__xludf.DUMMYFUNCTION("""COMPUTED_VALUE"""),"Asie")</f>
        <v>Asie</v>
      </c>
      <c r="B199">
        <f>IFERROR(__xludf.DUMMYFUNCTION("""COMPUTED_VALUE"""),9361.234)</f>
        <v>9361.234</v>
      </c>
      <c r="C199">
        <f>IFERROR(__xludf.DUMMYFUNCTION("""COMPUTED_VALUE"""),8736.187)</f>
        <v>8736.187</v>
      </c>
      <c r="D199">
        <f>IFERROR(__xludf.DUMMYFUNCTION("""COMPUTED_VALUE"""),8971.293)</f>
        <v>8971.293</v>
      </c>
      <c r="E199">
        <f>IFERROR(__xludf.DUMMYFUNCTION("""COMPUTED_VALUE"""),10011.788)</f>
        <v>10011.788</v>
      </c>
      <c r="F199">
        <f>IFERROR(__xludf.DUMMYFUNCTION("""COMPUTED_VALUE"""),11297.217)</f>
        <v>11297.217</v>
      </c>
      <c r="G199">
        <f>IFERROR(__xludf.DUMMYFUNCTION("""COMPUTED_VALUE"""),12214.682)</f>
        <v>12214.682</v>
      </c>
      <c r="H199">
        <f>IFERROR(__xludf.DUMMYFUNCTION("""COMPUTED_VALUE"""),13068.857)</f>
        <v>13068.857</v>
      </c>
      <c r="I199">
        <f>IFERROR(__xludf.DUMMYFUNCTION("""COMPUTED_VALUE"""),14942.931)</f>
        <v>14942.931</v>
      </c>
      <c r="J199">
        <f>IFERROR(__xludf.DUMMYFUNCTION("""COMPUTED_VALUE"""),16904.74)</f>
        <v>16904.74</v>
      </c>
      <c r="K199">
        <f>IFERROR(__xludf.DUMMYFUNCTION("""COMPUTED_VALUE"""),17369.214)</f>
        <v>17369.214</v>
      </c>
    </row>
    <row r="200">
      <c r="A200" t="str">
        <f>IFERROR(__xludf.DUMMYFUNCTION("""COMPUTED_VALUE"""),"Europe")</f>
        <v>Europe</v>
      </c>
      <c r="B200">
        <f>IFERROR(__xludf.DUMMYFUNCTION("""COMPUTED_VALUE"""),9749.804)</f>
        <v>9749.804</v>
      </c>
      <c r="C200">
        <f>IFERROR(__xludf.DUMMYFUNCTION("""COMPUTED_VALUE"""),9913.29)</f>
        <v>9913.29</v>
      </c>
      <c r="D200">
        <f>IFERROR(__xludf.DUMMYFUNCTION("""COMPUTED_VALUE"""),10837.112)</f>
        <v>10837.112</v>
      </c>
      <c r="E200">
        <f>IFERROR(__xludf.DUMMYFUNCTION("""COMPUTED_VALUE"""),13157.762)</f>
        <v>13157.762</v>
      </c>
      <c r="F200">
        <f>IFERROR(__xludf.DUMMYFUNCTION("""COMPUTED_VALUE"""),15287.213)</f>
        <v>15287.213</v>
      </c>
      <c r="G200">
        <f>IFERROR(__xludf.DUMMYFUNCTION("""COMPUTED_VALUE"""),16193.197)</f>
        <v>16193.197</v>
      </c>
      <c r="H200">
        <f>IFERROR(__xludf.DUMMYFUNCTION("""COMPUTED_VALUE"""),17499.453)</f>
        <v>17499.453</v>
      </c>
      <c r="I200">
        <f>IFERROR(__xludf.DUMMYFUNCTION("""COMPUTED_VALUE"""),20404.535)</f>
        <v>20404.535</v>
      </c>
      <c r="J200">
        <f>IFERROR(__xludf.DUMMYFUNCTION("""COMPUTED_VALUE"""),22438.513)</f>
        <v>22438.513</v>
      </c>
      <c r="K200">
        <f>IFERROR(__xludf.DUMMYFUNCTION("""COMPUTED_VALUE"""),19706.15)</f>
        <v>19706.15</v>
      </c>
    </row>
    <row r="201">
      <c r="A201" t="str">
        <f>IFERROR(__xludf.DUMMYFUNCTION("""COMPUTED_VALUE"""),"Amérique du Nord")</f>
        <v>Amérique du Nord</v>
      </c>
      <c r="B201">
        <f>IFERROR(__xludf.DUMMYFUNCTION("""COMPUTED_VALUE"""),11799.344)</f>
        <v>11799.344</v>
      </c>
      <c r="C201">
        <f>IFERROR(__xludf.DUMMYFUNCTION("""COMPUTED_VALUE"""),12186.616)</f>
        <v>12186.616</v>
      </c>
      <c r="D201">
        <f>IFERROR(__xludf.DUMMYFUNCTION("""COMPUTED_VALUE"""),12572.461)</f>
        <v>12572.461</v>
      </c>
      <c r="E201">
        <f>IFERROR(__xludf.DUMMYFUNCTION("""COMPUTED_VALUE"""),13193.433)</f>
        <v>13193.433</v>
      </c>
      <c r="F201">
        <f>IFERROR(__xludf.DUMMYFUNCTION("""COMPUTED_VALUE"""),14143.43)</f>
        <v>14143.43</v>
      </c>
      <c r="G201">
        <f>IFERROR(__xludf.DUMMYFUNCTION("""COMPUTED_VALUE"""),15214.191)</f>
        <v>15214.191</v>
      </c>
      <c r="H201">
        <f>IFERROR(__xludf.DUMMYFUNCTION("""COMPUTED_VALUE"""),16242.497)</f>
        <v>16242.497</v>
      </c>
      <c r="I201">
        <f>IFERROR(__xludf.DUMMYFUNCTION("""COMPUTED_VALUE"""),17135.025)</f>
        <v>17135.025</v>
      </c>
      <c r="J201">
        <f>IFERROR(__xludf.DUMMYFUNCTION("""COMPUTED_VALUE"""),17577.907)</f>
        <v>17577.907</v>
      </c>
      <c r="K201">
        <f>IFERROR(__xludf.DUMMYFUNCTION("""COMPUTED_VALUE"""),16894.382)</f>
        <v>16894.382</v>
      </c>
    </row>
    <row r="202">
      <c r="A202" t="str">
        <f>IFERROR(__xludf.DUMMYFUNCTION("""COMPUTED_VALUE"""),"Amérique du Sud")</f>
        <v>Amérique du Sud</v>
      </c>
      <c r="B202">
        <f>IFERROR(__xludf.DUMMYFUNCTION("""COMPUTED_VALUE"""),1379.194)</f>
        <v>1379.194</v>
      </c>
      <c r="C202">
        <f>IFERROR(__xludf.DUMMYFUNCTION("""COMPUTED_VALUE"""),1267.6)</f>
        <v>1267.6</v>
      </c>
      <c r="D202">
        <f>IFERROR(__xludf.DUMMYFUNCTION("""COMPUTED_VALUE"""),997.64)</f>
        <v>997.64</v>
      </c>
      <c r="E202">
        <f>IFERROR(__xludf.DUMMYFUNCTION("""COMPUTED_VALUE"""),1074.839)</f>
        <v>1074.839</v>
      </c>
      <c r="F202">
        <f>IFERROR(__xludf.DUMMYFUNCTION("""COMPUTED_VALUE"""),1298.003)</f>
        <v>1298.003</v>
      </c>
      <c r="G202">
        <f>IFERROR(__xludf.DUMMYFUNCTION("""COMPUTED_VALUE"""),1657.232)</f>
        <v>1657.232</v>
      </c>
      <c r="H202">
        <f>IFERROR(__xludf.DUMMYFUNCTION("""COMPUTED_VALUE"""),2015.3)</f>
        <v>2015.3</v>
      </c>
      <c r="I202">
        <f>IFERROR(__xludf.DUMMYFUNCTION("""COMPUTED_VALUE"""),2506.557)</f>
        <v>2506.557</v>
      </c>
      <c r="J202">
        <f>IFERROR(__xludf.DUMMYFUNCTION("""COMPUTED_VALUE"""),3045.946)</f>
        <v>3045.946</v>
      </c>
      <c r="K202">
        <f>IFERROR(__xludf.DUMMYFUNCTION("""COMPUTED_VALUE"""),2935.45)</f>
        <v>2935.45</v>
      </c>
    </row>
    <row r="203">
      <c r="A203" t="str">
        <f>IFERROR(__xludf.DUMMYFUNCTION("""COMPUTED_VALUE"""),"Zone euro")</f>
        <v>Zone euro</v>
      </c>
      <c r="B203">
        <f>IFERROR(__xludf.DUMMYFUNCTION("""COMPUTED_VALUE"""),6510.788)</f>
        <v>6510.788</v>
      </c>
      <c r="C203">
        <f>IFERROR(__xludf.DUMMYFUNCTION("""COMPUTED_VALUE"""),6607.755)</f>
        <v>6607.755</v>
      </c>
      <c r="D203">
        <f>IFERROR(__xludf.DUMMYFUNCTION("""COMPUTED_VALUE"""),7209.16)</f>
        <v>7209.16</v>
      </c>
      <c r="E203">
        <f>IFERROR(__xludf.DUMMYFUNCTION("""COMPUTED_VALUE"""),8878.924)</f>
        <v>8878.924</v>
      </c>
      <c r="F203">
        <f>IFERROR(__xludf.DUMMYFUNCTION("""COMPUTED_VALUE"""),10179.549)</f>
        <v>10179.549</v>
      </c>
      <c r="G203">
        <f>IFERROR(__xludf.DUMMYFUNCTION("""COMPUTED_VALUE"""),10557.421)</f>
        <v>10557.421</v>
      </c>
      <c r="H203">
        <f>IFERROR(__xludf.DUMMYFUNCTION("""COMPUTED_VALUE"""),11217.822)</f>
        <v>11217.822</v>
      </c>
      <c r="I203">
        <f>IFERROR(__xludf.DUMMYFUNCTION("""COMPUTED_VALUE"""),12926.733)</f>
        <v>12926.733</v>
      </c>
      <c r="J203">
        <f>IFERROR(__xludf.DUMMYFUNCTION("""COMPUTED_VALUE"""),14218.632)</f>
        <v>14218.632</v>
      </c>
      <c r="K203">
        <f>IFERROR(__xludf.DUMMYFUNCTION("""COMPUTED_VALUE"""),12982.347)</f>
        <v>12982.347</v>
      </c>
    </row>
    <row r="204">
      <c r="A204" t="str">
        <f>IFERROR(__xludf.DUMMYFUNCTION("""COMPUTED_VALUE"""),"Union européenne")</f>
        <v>Union européenne</v>
      </c>
      <c r="B204">
        <f>IFERROR(__xludf.DUMMYFUNCTION("""COMPUTED_VALUE"""),7272.116)</f>
        <v>7272.116</v>
      </c>
      <c r="C204">
        <f>IFERROR(__xludf.DUMMYFUNCTION("""COMPUTED_VALUE"""),7384.238)</f>
        <v>7384.238</v>
      </c>
      <c r="D204">
        <f>IFERROR(__xludf.DUMMYFUNCTION("""COMPUTED_VALUE"""),8068.121)</f>
        <v>8068.121</v>
      </c>
      <c r="E204">
        <f>IFERROR(__xludf.DUMMYFUNCTION("""COMPUTED_VALUE"""),9917.201)</f>
        <v>9917.201</v>
      </c>
      <c r="F204">
        <f>IFERROR(__xludf.DUMMYFUNCTION("""COMPUTED_VALUE"""),11400.428)</f>
        <v>11400.428</v>
      </c>
      <c r="G204">
        <f>IFERROR(__xludf.DUMMYFUNCTION("""COMPUTED_VALUE"""),11902.764)</f>
        <v>11902.764</v>
      </c>
      <c r="H204">
        <f>IFERROR(__xludf.DUMMYFUNCTION("""COMPUTED_VALUE"""),12700.44)</f>
        <v>12700.44</v>
      </c>
      <c r="I204">
        <f>IFERROR(__xludf.DUMMYFUNCTION("""COMPUTED_VALUE"""),14719.914)</f>
        <v>14719.914</v>
      </c>
      <c r="J204">
        <f>IFERROR(__xludf.DUMMYFUNCTION("""COMPUTED_VALUE"""),16292.162)</f>
        <v>16292.162</v>
      </c>
      <c r="K204">
        <f>IFERROR(__xludf.DUMMYFUNCTION("""COMPUTED_VALUE"""),14749.561)</f>
        <v>14749.561</v>
      </c>
    </row>
    <row r="205">
      <c r="A205" t="str">
        <f>IFERROR(__xludf.DUMMYFUNCTION("""COMPUTED_VALUE"""),"Monde")</f>
        <v>Monde</v>
      </c>
      <c r="B205">
        <f>IFERROR(__xludf.DUMMYFUNCTION("""COMPUTED_VALUE"""),34103.065)</f>
        <v>34103.065</v>
      </c>
      <c r="C205">
        <f>IFERROR(__xludf.DUMMYFUNCTION("""COMPUTED_VALUE"""),33857.249)</f>
        <v>33857.249</v>
      </c>
      <c r="D205">
        <f>IFERROR(__xludf.DUMMYFUNCTION("""COMPUTED_VALUE"""),34969.164)</f>
        <v>34969.164</v>
      </c>
      <c r="E205">
        <f>IFERROR(__xludf.DUMMYFUNCTION("""COMPUTED_VALUE"""),39261.866)</f>
        <v>39261.866</v>
      </c>
      <c r="F205">
        <f>IFERROR(__xludf.DUMMYFUNCTION("""COMPUTED_VALUE"""),44190.886)</f>
        <v>44190.886</v>
      </c>
      <c r="G205">
        <f>IFERROR(__xludf.DUMMYFUNCTION("""COMPUTED_VALUE"""),47868.243)</f>
        <v>47868.243</v>
      </c>
      <c r="H205">
        <f>IFERROR(__xludf.DUMMYFUNCTION("""COMPUTED_VALUE"""),51832.937)</f>
        <v>51832.937</v>
      </c>
      <c r="I205">
        <f>IFERROR(__xludf.DUMMYFUNCTION("""COMPUTED_VALUE"""),58516.949)</f>
        <v>58516.949</v>
      </c>
      <c r="J205">
        <f>IFERROR(__xludf.DUMMYFUNCTION("""COMPUTED_VALUE"""),64226.136)</f>
        <v>64226.136</v>
      </c>
      <c r="K205">
        <f>IFERROR(__xludf.DUMMYFUNCTION("""COMPUTED_VALUE"""),60820.729)</f>
        <v>60820.729</v>
      </c>
    </row>
    <row r="214">
      <c r="A214" s="6">
        <v>213.0</v>
      </c>
      <c r="B214" s="6" t="s">
        <v>4183</v>
      </c>
      <c r="C214" s="6">
        <v>1.0E-8</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4184</v>
      </c>
      <c r="B1" s="6" t="s">
        <v>4185</v>
      </c>
      <c r="C1" s="6" t="s">
        <v>4186</v>
      </c>
      <c r="D1" s="6" t="s">
        <v>4187</v>
      </c>
      <c r="E1" s="6" t="s">
        <v>4188</v>
      </c>
    </row>
    <row r="2">
      <c r="A2" s="6">
        <v>2110.0</v>
      </c>
      <c r="B2" s="6" t="s">
        <v>4189</v>
      </c>
      <c r="C2" s="6" t="s">
        <v>4190</v>
      </c>
      <c r="D2" s="6" t="s">
        <v>4191</v>
      </c>
      <c r="E2" s="6">
        <v>125614.0</v>
      </c>
    </row>
    <row r="3">
      <c r="A3" s="6">
        <v>2122.0</v>
      </c>
      <c r="B3" s="6" t="s">
        <v>4189</v>
      </c>
      <c r="C3" s="6" t="s">
        <v>4190</v>
      </c>
      <c r="D3" s="6" t="s">
        <v>4191</v>
      </c>
      <c r="E3" s="6">
        <v>129067.0</v>
      </c>
    </row>
    <row r="4">
      <c r="A4" s="6">
        <v>2123.0</v>
      </c>
      <c r="B4" s="6" t="s">
        <v>4192</v>
      </c>
      <c r="C4" s="6" t="s">
        <v>4190</v>
      </c>
      <c r="D4" s="6" t="s">
        <v>4191</v>
      </c>
      <c r="E4" s="6">
        <v>126859.0</v>
      </c>
    </row>
    <row r="5">
      <c r="A5" s="6">
        <v>2125.0</v>
      </c>
      <c r="B5" s="6" t="s">
        <v>4192</v>
      </c>
      <c r="C5" s="6" t="s">
        <v>4190</v>
      </c>
      <c r="D5" s="6" t="s">
        <v>4191</v>
      </c>
      <c r="E5" s="6">
        <v>126424.0</v>
      </c>
    </row>
    <row r="6">
      <c r="A6" s="6">
        <v>2128.0</v>
      </c>
      <c r="B6" s="6" t="s">
        <v>4193</v>
      </c>
      <c r="C6" s="6" t="s">
        <v>4190</v>
      </c>
      <c r="D6" s="6" t="s">
        <v>4191</v>
      </c>
      <c r="E6" s="6">
        <v>127954.0</v>
      </c>
    </row>
    <row r="7">
      <c r="A7" s="6">
        <v>2134.0</v>
      </c>
      <c r="B7" s="6" t="s">
        <v>4192</v>
      </c>
      <c r="C7" s="6" t="s">
        <v>4190</v>
      </c>
      <c r="D7" s="6" t="s">
        <v>4191</v>
      </c>
      <c r="E7" s="6">
        <v>125526.0</v>
      </c>
    </row>
    <row r="8">
      <c r="A8" s="6">
        <v>2141.0</v>
      </c>
      <c r="B8" s="6" t="s">
        <v>4192</v>
      </c>
      <c r="C8" s="6" t="s">
        <v>4190</v>
      </c>
      <c r="D8" s="6" t="s">
        <v>4191</v>
      </c>
      <c r="E8" s="6">
        <v>126269.0</v>
      </c>
    </row>
    <row r="9">
      <c r="A9" s="6">
        <v>2142.0</v>
      </c>
      <c r="B9" s="6" t="s">
        <v>4192</v>
      </c>
      <c r="C9" s="6" t="s">
        <v>4190</v>
      </c>
      <c r="D9" s="6" t="s">
        <v>4191</v>
      </c>
      <c r="E9" s="6">
        <v>125790.0</v>
      </c>
    </row>
    <row r="10">
      <c r="A10" s="6">
        <v>2148.0</v>
      </c>
      <c r="B10" s="6" t="s">
        <v>4192</v>
      </c>
      <c r="C10" s="6" t="s">
        <v>4190</v>
      </c>
      <c r="D10" s="6" t="s">
        <v>4191</v>
      </c>
      <c r="E10" s="6">
        <v>124692.0</v>
      </c>
    </row>
    <row r="11">
      <c r="A11" s="6">
        <v>2150.0</v>
      </c>
      <c r="B11" s="6" t="s">
        <v>4194</v>
      </c>
      <c r="C11" s="6" t="s">
        <v>4190</v>
      </c>
      <c r="D11" s="6" t="s">
        <v>4191</v>
      </c>
      <c r="E11" s="6">
        <v>125047.0</v>
      </c>
    </row>
    <row r="12">
      <c r="A12" s="6">
        <v>2154.0</v>
      </c>
      <c r="B12" s="6" t="s">
        <v>4194</v>
      </c>
      <c r="C12" s="6" t="s">
        <v>4190</v>
      </c>
      <c r="D12" s="6" t="s">
        <v>4191</v>
      </c>
      <c r="E12" s="6">
        <v>124994.0</v>
      </c>
    </row>
    <row r="13">
      <c r="A13" s="6">
        <v>2155.0</v>
      </c>
      <c r="B13" s="6" t="s">
        <v>4193</v>
      </c>
      <c r="C13" s="6" t="s">
        <v>4190</v>
      </c>
      <c r="D13" s="6" t="s">
        <v>4191</v>
      </c>
      <c r="E13" s="6">
        <v>128040.0</v>
      </c>
    </row>
    <row r="14">
      <c r="A14" s="6">
        <v>2158.0</v>
      </c>
      <c r="B14" s="6" t="s">
        <v>4192</v>
      </c>
      <c r="C14" s="6" t="s">
        <v>4190</v>
      </c>
      <c r="D14" s="6" t="s">
        <v>4191</v>
      </c>
      <c r="E14" s="6">
        <v>124734.0</v>
      </c>
    </row>
    <row r="15">
      <c r="A15" s="6">
        <v>2162.0</v>
      </c>
      <c r="B15" s="6" t="s">
        <v>4194</v>
      </c>
      <c r="C15" s="6" t="s">
        <v>4190</v>
      </c>
      <c r="D15" s="6" t="s">
        <v>4191</v>
      </c>
      <c r="E15" s="6">
        <v>125447.0</v>
      </c>
    </row>
    <row r="16">
      <c r="A16" s="6">
        <v>2164.0</v>
      </c>
      <c r="B16" s="6" t="s">
        <v>4194</v>
      </c>
      <c r="C16" s="6" t="s">
        <v>4190</v>
      </c>
      <c r="D16" s="6" t="s">
        <v>4191</v>
      </c>
      <c r="E16" s="6">
        <v>126303.0</v>
      </c>
    </row>
    <row r="17">
      <c r="A17" s="6">
        <v>2167.0</v>
      </c>
      <c r="B17" s="6" t="s">
        <v>4194</v>
      </c>
      <c r="C17" s="6" t="s">
        <v>4190</v>
      </c>
      <c r="D17" s="6" t="s">
        <v>4191</v>
      </c>
      <c r="E17" s="6">
        <v>125092.0</v>
      </c>
    </row>
    <row r="18">
      <c r="A18" s="6">
        <v>2170.0</v>
      </c>
      <c r="B18" s="6" t="s">
        <v>4192</v>
      </c>
      <c r="C18" s="6" t="s">
        <v>4190</v>
      </c>
      <c r="D18" s="6" t="s">
        <v>4191</v>
      </c>
      <c r="E18" s="6">
        <v>124939.0</v>
      </c>
    </row>
    <row r="19">
      <c r="A19" s="6">
        <v>2174.0</v>
      </c>
      <c r="B19" s="6" t="s">
        <v>4192</v>
      </c>
      <c r="C19" s="6" t="s">
        <v>4190</v>
      </c>
      <c r="D19" s="6" t="s">
        <v>4191</v>
      </c>
      <c r="E19" s="6">
        <v>128988.0</v>
      </c>
    </row>
    <row r="20">
      <c r="A20" s="6">
        <v>2175.0</v>
      </c>
      <c r="B20" s="6" t="s">
        <v>4192</v>
      </c>
      <c r="C20" s="6" t="s">
        <v>4190</v>
      </c>
      <c r="D20" s="6" t="s">
        <v>4191</v>
      </c>
      <c r="E20" s="6">
        <v>126915.0</v>
      </c>
    </row>
    <row r="21">
      <c r="A21" s="6">
        <v>2176.0</v>
      </c>
      <c r="B21" s="6" t="s">
        <v>4192</v>
      </c>
      <c r="C21" s="6" t="s">
        <v>4190</v>
      </c>
      <c r="D21" s="6" t="s">
        <v>4191</v>
      </c>
      <c r="E21" s="6">
        <v>126335.0</v>
      </c>
    </row>
    <row r="22">
      <c r="A22" s="6">
        <v>2177.0</v>
      </c>
      <c r="B22" s="6" t="s">
        <v>4192</v>
      </c>
      <c r="C22" s="6" t="s">
        <v>4190</v>
      </c>
      <c r="D22" s="6" t="s">
        <v>4191</v>
      </c>
      <c r="E22" s="6">
        <v>126002.0</v>
      </c>
    </row>
    <row r="23">
      <c r="A23" s="6">
        <v>2180.0</v>
      </c>
      <c r="B23" s="6" t="s">
        <v>4192</v>
      </c>
      <c r="C23" s="6" t="s">
        <v>4190</v>
      </c>
      <c r="D23" s="6" t="s">
        <v>4191</v>
      </c>
      <c r="E23" s="6">
        <v>126235.0</v>
      </c>
    </row>
    <row r="24">
      <c r="A24" s="6">
        <v>2182.0</v>
      </c>
      <c r="B24" s="6" t="s">
        <v>4192</v>
      </c>
      <c r="C24" s="6" t="s">
        <v>4190</v>
      </c>
      <c r="D24" s="6" t="s">
        <v>4191</v>
      </c>
      <c r="E24" s="6">
        <v>125195.0</v>
      </c>
    </row>
    <row r="25">
      <c r="A25" s="6">
        <v>2186.0</v>
      </c>
      <c r="B25" s="6" t="s">
        <v>4192</v>
      </c>
      <c r="C25" s="6" t="s">
        <v>4190</v>
      </c>
      <c r="D25" s="6" t="s">
        <v>4191</v>
      </c>
      <c r="E25" s="6">
        <v>126380.0</v>
      </c>
    </row>
    <row r="26">
      <c r="A26" s="6">
        <v>2188.0</v>
      </c>
      <c r="B26" s="6" t="s">
        <v>4192</v>
      </c>
      <c r="C26" s="6" t="s">
        <v>4190</v>
      </c>
      <c r="D26" s="6" t="s">
        <v>4191</v>
      </c>
      <c r="E26" s="6">
        <v>126537.0</v>
      </c>
    </row>
    <row r="27">
      <c r="A27" s="6">
        <v>2192.0</v>
      </c>
      <c r="B27" s="6" t="s">
        <v>4193</v>
      </c>
      <c r="C27" s="6" t="s">
        <v>4190</v>
      </c>
      <c r="D27" s="6" t="s">
        <v>4191</v>
      </c>
      <c r="E27" s="6">
        <v>128021.0</v>
      </c>
    </row>
    <row r="28">
      <c r="A28" s="6">
        <v>2198.0</v>
      </c>
      <c r="B28" s="6" t="s">
        <v>4192</v>
      </c>
      <c r="C28" s="6" t="s">
        <v>4190</v>
      </c>
      <c r="D28" s="6" t="s">
        <v>4191</v>
      </c>
      <c r="E28" s="6">
        <v>125497.0</v>
      </c>
    </row>
    <row r="29">
      <c r="A29" s="6">
        <v>2115.0</v>
      </c>
      <c r="B29" s="6" t="s">
        <v>4193</v>
      </c>
      <c r="C29" s="6" t="s">
        <v>4190</v>
      </c>
      <c r="D29" s="6" t="s">
        <v>4191</v>
      </c>
      <c r="E29" s="6">
        <v>128001.0</v>
      </c>
    </row>
    <row r="30">
      <c r="A30" s="6">
        <v>2201.0</v>
      </c>
      <c r="B30" s="6" t="s">
        <v>4189</v>
      </c>
      <c r="C30" s="6" t="s">
        <v>4190</v>
      </c>
      <c r="D30" s="6" t="s">
        <v>4191</v>
      </c>
      <c r="E30" s="6">
        <v>124663.0</v>
      </c>
    </row>
    <row r="31">
      <c r="A31" s="6">
        <v>2203.0</v>
      </c>
      <c r="B31" s="6" t="s">
        <v>4189</v>
      </c>
      <c r="C31" s="6" t="s">
        <v>4190</v>
      </c>
      <c r="D31" s="6" t="s">
        <v>4191</v>
      </c>
      <c r="E31" s="6">
        <v>126554.0</v>
      </c>
    </row>
    <row r="32">
      <c r="A32" s="6">
        <v>2206.0</v>
      </c>
      <c r="B32" s="6" t="s">
        <v>4192</v>
      </c>
      <c r="C32" s="6" t="s">
        <v>4190</v>
      </c>
      <c r="D32" s="6" t="s">
        <v>4191</v>
      </c>
      <c r="E32" s="6">
        <v>128611.0</v>
      </c>
    </row>
    <row r="33">
      <c r="A33" s="6">
        <v>2210.0</v>
      </c>
      <c r="B33" s="6" t="s">
        <v>4189</v>
      </c>
      <c r="C33" s="6" t="s">
        <v>4190</v>
      </c>
      <c r="D33" s="6" t="s">
        <v>4191</v>
      </c>
      <c r="E33" s="6">
        <v>124776.0</v>
      </c>
    </row>
    <row r="34">
      <c r="A34" s="6">
        <v>1531.0</v>
      </c>
      <c r="B34" s="6" t="s">
        <v>4192</v>
      </c>
      <c r="C34" s="6" t="s">
        <v>4190</v>
      </c>
      <c r="D34" s="6" t="s">
        <v>4191</v>
      </c>
      <c r="E34" s="6">
        <v>3999.0</v>
      </c>
    </row>
    <row r="35">
      <c r="A35" s="6">
        <v>2213.0</v>
      </c>
      <c r="B35" s="6" t="s">
        <v>4193</v>
      </c>
      <c r="C35" s="6" t="s">
        <v>4190</v>
      </c>
      <c r="D35" s="6" t="s">
        <v>4191</v>
      </c>
      <c r="E35" s="6">
        <v>127980.0</v>
      </c>
    </row>
    <row r="36">
      <c r="A36" s="6">
        <v>2116.0</v>
      </c>
      <c r="B36" s="6" t="s">
        <v>4193</v>
      </c>
      <c r="C36" s="6" t="s">
        <v>4190</v>
      </c>
      <c r="D36" s="6" t="s">
        <v>4191</v>
      </c>
      <c r="E36" s="6">
        <v>128037.0</v>
      </c>
    </row>
    <row r="37">
      <c r="A37" s="6">
        <v>2219.0</v>
      </c>
      <c r="B37" s="6" t="s">
        <v>4193</v>
      </c>
      <c r="C37" s="6" t="s">
        <v>4190</v>
      </c>
      <c r="D37" s="6" t="s">
        <v>4191</v>
      </c>
      <c r="E37" s="6">
        <v>127963.0</v>
      </c>
    </row>
    <row r="38">
      <c r="A38" s="6">
        <v>2221.0</v>
      </c>
      <c r="B38" s="6" t="s">
        <v>4192</v>
      </c>
      <c r="C38" s="6" t="s">
        <v>4190</v>
      </c>
      <c r="D38" s="6" t="s">
        <v>4191</v>
      </c>
      <c r="E38" s="6">
        <v>128544.0</v>
      </c>
    </row>
    <row r="39">
      <c r="A39" s="6">
        <v>2225.0</v>
      </c>
      <c r="B39" s="6" t="s">
        <v>4192</v>
      </c>
      <c r="C39" s="6" t="s">
        <v>4190</v>
      </c>
      <c r="D39" s="6" t="s">
        <v>4191</v>
      </c>
      <c r="E39" s="6">
        <v>125478.0</v>
      </c>
    </row>
    <row r="40">
      <c r="A40" s="6">
        <v>2226.0</v>
      </c>
      <c r="B40" s="6" t="s">
        <v>4193</v>
      </c>
      <c r="C40" s="6" t="s">
        <v>4190</v>
      </c>
      <c r="D40" s="6" t="s">
        <v>4191</v>
      </c>
      <c r="E40" s="6">
        <v>128049.0</v>
      </c>
    </row>
    <row r="41">
      <c r="A41" s="6">
        <v>2229.0</v>
      </c>
      <c r="B41" s="6" t="s">
        <v>4192</v>
      </c>
      <c r="C41" s="6" t="s">
        <v>4190</v>
      </c>
      <c r="D41" s="6" t="s">
        <v>4191</v>
      </c>
      <c r="E41" s="6">
        <v>126438.0</v>
      </c>
    </row>
    <row r="42">
      <c r="A42" s="6">
        <v>2235.0</v>
      </c>
      <c r="B42" s="6" t="s">
        <v>4195</v>
      </c>
      <c r="C42" s="6" t="s">
        <v>4190</v>
      </c>
      <c r="D42" s="6" t="s">
        <v>4191</v>
      </c>
      <c r="E42" s="6">
        <v>126730.0</v>
      </c>
    </row>
    <row r="43">
      <c r="A43" s="6">
        <v>2238.0</v>
      </c>
      <c r="B43" s="6" t="s">
        <v>4192</v>
      </c>
      <c r="C43" s="6" t="s">
        <v>4190</v>
      </c>
      <c r="D43" s="6" t="s">
        <v>4191</v>
      </c>
      <c r="E43" s="6">
        <v>125955.0</v>
      </c>
    </row>
    <row r="44">
      <c r="A44" s="6">
        <v>2241.0</v>
      </c>
      <c r="B44" s="6" t="s">
        <v>4193</v>
      </c>
      <c r="C44" s="6" t="s">
        <v>4190</v>
      </c>
      <c r="D44" s="6" t="s">
        <v>4191</v>
      </c>
      <c r="E44" s="6">
        <v>128004.0</v>
      </c>
    </row>
    <row r="45">
      <c r="A45" s="6">
        <v>2242.0</v>
      </c>
      <c r="B45" s="6" t="s">
        <v>4195</v>
      </c>
      <c r="C45" s="6" t="s">
        <v>4190</v>
      </c>
      <c r="D45" s="6" t="s">
        <v>4191</v>
      </c>
      <c r="E45" s="6">
        <v>129145.0</v>
      </c>
    </row>
    <row r="46">
      <c r="A46" s="6">
        <v>2243.0</v>
      </c>
      <c r="B46" s="6" t="s">
        <v>4189</v>
      </c>
      <c r="C46" s="6" t="s">
        <v>4190</v>
      </c>
      <c r="D46" s="6" t="s">
        <v>4191</v>
      </c>
      <c r="E46" s="6">
        <v>126141.0</v>
      </c>
    </row>
    <row r="47">
      <c r="A47" s="6">
        <v>2244.0</v>
      </c>
      <c r="B47" s="6" t="s">
        <v>4192</v>
      </c>
      <c r="C47" s="6" t="s">
        <v>4190</v>
      </c>
      <c r="D47" s="6" t="s">
        <v>4191</v>
      </c>
      <c r="E47" s="6">
        <v>125136.0</v>
      </c>
    </row>
    <row r="48">
      <c r="A48" s="6">
        <v>2247.0</v>
      </c>
      <c r="B48" s="6" t="s">
        <v>4195</v>
      </c>
      <c r="C48" s="6" t="s">
        <v>4190</v>
      </c>
      <c r="D48" s="6" t="s">
        <v>4191</v>
      </c>
      <c r="E48" s="6">
        <v>128717.0</v>
      </c>
    </row>
    <row r="49">
      <c r="A49" s="6">
        <v>2253.0</v>
      </c>
      <c r="B49" s="6" t="s">
        <v>4192</v>
      </c>
      <c r="C49" s="6" t="s">
        <v>4190</v>
      </c>
      <c r="D49" s="6" t="s">
        <v>4191</v>
      </c>
      <c r="E49" s="6">
        <v>125671.0</v>
      </c>
    </row>
    <row r="50">
      <c r="A50" s="6">
        <v>2117.0</v>
      </c>
      <c r="B50" s="6" t="s">
        <v>4192</v>
      </c>
      <c r="C50" s="6" t="s">
        <v>4190</v>
      </c>
      <c r="D50" s="6" t="s">
        <v>4191</v>
      </c>
      <c r="E50" s="6">
        <v>128445.0</v>
      </c>
    </row>
    <row r="51">
      <c r="A51" s="6">
        <v>2256.0</v>
      </c>
      <c r="B51" s="6" t="s">
        <v>4189</v>
      </c>
      <c r="C51" s="6" t="s">
        <v>4190</v>
      </c>
      <c r="D51" s="6" t="s">
        <v>4191</v>
      </c>
      <c r="E51" s="6">
        <v>126371.0</v>
      </c>
    </row>
    <row r="52">
      <c r="A52" s="6">
        <v>2259.0</v>
      </c>
      <c r="B52" s="6" t="s">
        <v>4189</v>
      </c>
      <c r="C52" s="6" t="s">
        <v>4190</v>
      </c>
      <c r="D52" s="6" t="s">
        <v>4191</v>
      </c>
      <c r="E52" s="6">
        <v>125337.0</v>
      </c>
    </row>
    <row r="53">
      <c r="A53" s="6">
        <v>2261.0</v>
      </c>
      <c r="B53" s="6" t="s">
        <v>4189</v>
      </c>
      <c r="C53" s="6" t="s">
        <v>4190</v>
      </c>
      <c r="D53" s="6" t="s">
        <v>4191</v>
      </c>
      <c r="E53" s="6">
        <v>128377.0</v>
      </c>
    </row>
    <row r="54">
      <c r="A54" s="6">
        <v>2262.0</v>
      </c>
      <c r="B54" s="6" t="s">
        <v>4192</v>
      </c>
      <c r="C54" s="6" t="s">
        <v>4190</v>
      </c>
      <c r="D54" s="6" t="s">
        <v>4191</v>
      </c>
      <c r="E54" s="6">
        <v>126169.0</v>
      </c>
    </row>
    <row r="55">
      <c r="A55" s="6">
        <v>2264.0</v>
      </c>
      <c r="B55" s="6" t="s">
        <v>4189</v>
      </c>
      <c r="C55" s="6" t="s">
        <v>4190</v>
      </c>
      <c r="D55" s="6" t="s">
        <v>4191</v>
      </c>
      <c r="E55" s="6">
        <v>125385.0</v>
      </c>
    </row>
    <row r="56">
      <c r="A56" s="6">
        <v>2265.0</v>
      </c>
      <c r="B56" s="6" t="s">
        <v>4192</v>
      </c>
      <c r="C56" s="6" t="s">
        <v>4190</v>
      </c>
      <c r="D56" s="6" t="s">
        <v>4191</v>
      </c>
      <c r="E56" s="6">
        <v>124984.0</v>
      </c>
    </row>
    <row r="57">
      <c r="A57" s="6">
        <v>2268.0</v>
      </c>
      <c r="B57" s="6" t="s">
        <v>4192</v>
      </c>
      <c r="C57" s="6" t="s">
        <v>4190</v>
      </c>
      <c r="D57" s="6" t="s">
        <v>4191</v>
      </c>
      <c r="E57" s="6">
        <v>125991.0</v>
      </c>
    </row>
    <row r="58">
      <c r="A58" s="6">
        <v>2280.0</v>
      </c>
      <c r="B58" s="6" t="s">
        <v>4192</v>
      </c>
      <c r="C58" s="6" t="s">
        <v>4190</v>
      </c>
      <c r="D58" s="6" t="s">
        <v>4191</v>
      </c>
      <c r="E58" s="6">
        <v>125544.0</v>
      </c>
    </row>
    <row r="59">
      <c r="A59" s="6">
        <v>2120.0</v>
      </c>
      <c r="B59" s="6" t="s">
        <v>4192</v>
      </c>
      <c r="C59" s="6" t="s">
        <v>4190</v>
      </c>
      <c r="D59" s="6" t="s">
        <v>4191</v>
      </c>
      <c r="E59" s="6">
        <v>125689.0</v>
      </c>
    </row>
    <row r="60">
      <c r="A60" s="6">
        <v>2283.0</v>
      </c>
      <c r="B60" s="6" t="s">
        <v>4189</v>
      </c>
      <c r="C60" s="6" t="s">
        <v>4190</v>
      </c>
      <c r="D60" s="6" t="s">
        <v>4191</v>
      </c>
      <c r="E60" s="6">
        <v>128777.0</v>
      </c>
    </row>
    <row r="61">
      <c r="A61" s="6">
        <v>2635.0</v>
      </c>
      <c r="B61" s="6" t="s">
        <v>4194</v>
      </c>
      <c r="C61" s="6" t="s">
        <v>4190</v>
      </c>
      <c r="D61" s="6" t="s">
        <v>4191</v>
      </c>
      <c r="E61" s="6">
        <v>124817.0</v>
      </c>
    </row>
    <row r="62">
      <c r="A62" s="6">
        <v>2636.0</v>
      </c>
      <c r="B62" s="6" t="s">
        <v>4195</v>
      </c>
      <c r="C62" s="6" t="s">
        <v>4190</v>
      </c>
      <c r="D62" s="6" t="s">
        <v>4191</v>
      </c>
      <c r="E62" s="6">
        <v>128699.0</v>
      </c>
    </row>
    <row r="63">
      <c r="A63" s="6">
        <v>2645.0</v>
      </c>
      <c r="B63" s="6" t="s">
        <v>4192</v>
      </c>
      <c r="C63" s="6" t="s">
        <v>4190</v>
      </c>
      <c r="D63" s="6" t="s">
        <v>4191</v>
      </c>
      <c r="E63" s="6">
        <v>124876.0</v>
      </c>
    </row>
    <row r="64">
      <c r="A64" s="6">
        <v>2650.0</v>
      </c>
      <c r="B64" s="6" t="s">
        <v>4196</v>
      </c>
      <c r="C64" s="6" t="s">
        <v>4190</v>
      </c>
      <c r="D64" s="6" t="s">
        <v>4191</v>
      </c>
      <c r="E64" s="6">
        <v>126515.0</v>
      </c>
    </row>
    <row r="65">
      <c r="A65" s="6">
        <v>2654.0</v>
      </c>
      <c r="B65" s="6" t="s">
        <v>4192</v>
      </c>
      <c r="C65" s="6" t="s">
        <v>4190</v>
      </c>
      <c r="D65" s="6" t="s">
        <v>4191</v>
      </c>
      <c r="E65" s="6">
        <v>125746.0</v>
      </c>
    </row>
    <row r="66">
      <c r="A66" s="6">
        <v>2287.0</v>
      </c>
      <c r="B66" s="6" t="s">
        <v>4192</v>
      </c>
      <c r="C66" s="6" t="s">
        <v>4190</v>
      </c>
      <c r="D66" s="6" t="s">
        <v>4191</v>
      </c>
      <c r="E66" s="6">
        <v>125085.0</v>
      </c>
    </row>
    <row r="67">
      <c r="A67" s="6">
        <v>2658.0</v>
      </c>
      <c r="B67" s="6" t="s">
        <v>4192</v>
      </c>
      <c r="C67" s="6" t="s">
        <v>4190</v>
      </c>
      <c r="D67" s="6" t="s">
        <v>4191</v>
      </c>
      <c r="E67" s="6">
        <v>128359.0</v>
      </c>
    </row>
    <row r="68">
      <c r="A68" s="6">
        <v>2661.0</v>
      </c>
      <c r="B68" s="6" t="s">
        <v>4192</v>
      </c>
      <c r="C68" s="6" t="s">
        <v>4190</v>
      </c>
      <c r="D68" s="6" t="s">
        <v>4191</v>
      </c>
      <c r="E68" s="6">
        <v>124968.0</v>
      </c>
    </row>
    <row r="69">
      <c r="A69" s="6">
        <v>2662.0</v>
      </c>
      <c r="B69" s="6" t="s">
        <v>4192</v>
      </c>
      <c r="C69" s="6" t="s">
        <v>4190</v>
      </c>
      <c r="D69" s="6" t="s">
        <v>4191</v>
      </c>
      <c r="E69" s="6">
        <v>126690.0</v>
      </c>
    </row>
    <row r="70">
      <c r="A70" s="6">
        <v>2664.0</v>
      </c>
      <c r="B70" s="6" t="s">
        <v>4192</v>
      </c>
      <c r="C70" s="6" t="s">
        <v>4190</v>
      </c>
      <c r="D70" s="6" t="s">
        <v>4191</v>
      </c>
      <c r="E70" s="6">
        <v>125408.0</v>
      </c>
    </row>
    <row r="71">
      <c r="A71" s="6">
        <v>2667.0</v>
      </c>
      <c r="B71" s="6" t="s">
        <v>4193</v>
      </c>
      <c r="C71" s="6" t="s">
        <v>4190</v>
      </c>
      <c r="D71" s="6" t="s">
        <v>4191</v>
      </c>
      <c r="E71" s="6">
        <v>127929.0</v>
      </c>
    </row>
    <row r="72">
      <c r="A72" s="6">
        <v>2671.0</v>
      </c>
      <c r="B72" s="6" t="s">
        <v>4189</v>
      </c>
      <c r="C72" s="6" t="s">
        <v>4190</v>
      </c>
      <c r="D72" s="6" t="s">
        <v>4191</v>
      </c>
      <c r="E72" s="6">
        <v>126244.0</v>
      </c>
    </row>
    <row r="73">
      <c r="A73" s="6">
        <v>2675.0</v>
      </c>
      <c r="B73" s="6" t="s">
        <v>4189</v>
      </c>
      <c r="C73" s="6" t="s">
        <v>4190</v>
      </c>
      <c r="D73" s="6" t="s">
        <v>4191</v>
      </c>
      <c r="E73" s="6">
        <v>126056.0</v>
      </c>
    </row>
    <row r="74">
      <c r="A74" s="6">
        <v>3568.0</v>
      </c>
      <c r="B74" s="6" t="s">
        <v>4192</v>
      </c>
      <c r="C74" s="6" t="s">
        <v>4190</v>
      </c>
      <c r="D74" s="6" t="s">
        <v>4191</v>
      </c>
      <c r="E74" s="6">
        <v>128466.0</v>
      </c>
    </row>
    <row r="75">
      <c r="A75" s="6">
        <v>2677.0</v>
      </c>
      <c r="B75" s="6" t="s">
        <v>4192</v>
      </c>
      <c r="C75" s="6" t="s">
        <v>4190</v>
      </c>
      <c r="D75" s="6" t="s">
        <v>4191</v>
      </c>
      <c r="E75" s="6">
        <v>125858.0</v>
      </c>
    </row>
    <row r="76">
      <c r="A76" s="6">
        <v>2680.0</v>
      </c>
      <c r="B76" s="6" t="s">
        <v>4195</v>
      </c>
      <c r="C76" s="6" t="s">
        <v>4190</v>
      </c>
      <c r="D76" s="6" t="s">
        <v>4191</v>
      </c>
      <c r="E76" s="6">
        <v>126390.0</v>
      </c>
    </row>
    <row r="77">
      <c r="A77" s="6">
        <v>2682.0</v>
      </c>
      <c r="B77" s="6" t="s">
        <v>4193</v>
      </c>
      <c r="C77" s="6" t="s">
        <v>4190</v>
      </c>
      <c r="D77" s="6" t="s">
        <v>4191</v>
      </c>
      <c r="E77" s="6">
        <v>127972.0</v>
      </c>
    </row>
    <row r="78">
      <c r="A78" s="6">
        <v>2289.0</v>
      </c>
      <c r="B78" s="6" t="s">
        <v>4192</v>
      </c>
      <c r="C78" s="6" t="s">
        <v>4190</v>
      </c>
      <c r="D78" s="6" t="s">
        <v>4191</v>
      </c>
      <c r="E78" s="6">
        <v>125429.0</v>
      </c>
    </row>
    <row r="79">
      <c r="A79" s="6">
        <v>2684.0</v>
      </c>
      <c r="B79" s="6" t="s">
        <v>4192</v>
      </c>
      <c r="C79" s="6" t="s">
        <v>4190</v>
      </c>
      <c r="D79" s="6" t="s">
        <v>4191</v>
      </c>
      <c r="E79" s="6">
        <v>129014.0</v>
      </c>
    </row>
    <row r="80">
      <c r="A80" s="6">
        <v>2685.0</v>
      </c>
      <c r="B80" s="6" t="s">
        <v>4192</v>
      </c>
      <c r="C80" s="6" t="s">
        <v>4190</v>
      </c>
      <c r="D80" s="6" t="s">
        <v>4191</v>
      </c>
      <c r="E80" s="6">
        <v>126725.0</v>
      </c>
    </row>
    <row r="81">
      <c r="A81" s="6">
        <v>1669.0</v>
      </c>
      <c r="B81" s="6" t="s">
        <v>4192</v>
      </c>
      <c r="C81" s="6" t="s">
        <v>4190</v>
      </c>
      <c r="D81" s="6" t="s">
        <v>4191</v>
      </c>
      <c r="E81" s="6">
        <v>4153.0</v>
      </c>
    </row>
    <row r="82">
      <c r="A82" s="6">
        <v>2686.0</v>
      </c>
      <c r="B82" s="6" t="s">
        <v>4192</v>
      </c>
      <c r="C82" s="6" t="s">
        <v>4190</v>
      </c>
      <c r="D82" s="6" t="s">
        <v>4191</v>
      </c>
      <c r="E82" s="6">
        <v>126220.0</v>
      </c>
    </row>
    <row r="83">
      <c r="A83" s="6">
        <v>2688.0</v>
      </c>
      <c r="B83" s="6" t="s">
        <v>4192</v>
      </c>
      <c r="C83" s="6" t="s">
        <v>4190</v>
      </c>
      <c r="D83" s="6" t="s">
        <v>4191</v>
      </c>
      <c r="E83" s="6">
        <v>125366.0</v>
      </c>
    </row>
    <row r="84">
      <c r="A84" s="6">
        <v>2692.0</v>
      </c>
      <c r="B84" s="6" t="s">
        <v>4192</v>
      </c>
      <c r="C84" s="6" t="s">
        <v>4190</v>
      </c>
      <c r="D84" s="6" t="s">
        <v>4191</v>
      </c>
      <c r="E84" s="6">
        <v>126679.0</v>
      </c>
    </row>
    <row r="85">
      <c r="A85" s="6">
        <v>2700.0</v>
      </c>
      <c r="B85" s="6" t="s">
        <v>4193</v>
      </c>
      <c r="C85" s="6" t="s">
        <v>4190</v>
      </c>
      <c r="D85" s="6" t="s">
        <v>4191</v>
      </c>
      <c r="E85" s="6">
        <v>128030.0</v>
      </c>
    </row>
    <row r="86">
      <c r="A86" s="6">
        <v>2705.0</v>
      </c>
      <c r="B86" s="6" t="s">
        <v>4189</v>
      </c>
      <c r="C86" s="6" t="s">
        <v>4190</v>
      </c>
      <c r="D86" s="6" t="s">
        <v>4191</v>
      </c>
      <c r="E86" s="6">
        <v>126154.0</v>
      </c>
    </row>
    <row r="87">
      <c r="A87" s="6">
        <v>2708.0</v>
      </c>
      <c r="B87" s="6" t="s">
        <v>4192</v>
      </c>
      <c r="C87" s="6" t="s">
        <v>4190</v>
      </c>
      <c r="D87" s="6" t="s">
        <v>4191</v>
      </c>
      <c r="E87" s="6">
        <v>125458.0</v>
      </c>
    </row>
    <row r="88">
      <c r="A88" s="6">
        <v>2716.0</v>
      </c>
      <c r="B88" s="6" t="s">
        <v>4189</v>
      </c>
      <c r="C88" s="6" t="s">
        <v>4190</v>
      </c>
      <c r="D88" s="6" t="s">
        <v>4191</v>
      </c>
      <c r="E88" s="6">
        <v>124856.0</v>
      </c>
    </row>
    <row r="89">
      <c r="A89" s="6">
        <v>2717.0</v>
      </c>
      <c r="B89" s="6" t="s">
        <v>4192</v>
      </c>
      <c r="C89" s="6" t="s">
        <v>4190</v>
      </c>
      <c r="D89" s="6" t="s">
        <v>4191</v>
      </c>
      <c r="E89" s="6">
        <v>128409.0</v>
      </c>
    </row>
    <row r="90">
      <c r="A90" s="6">
        <v>2718.0</v>
      </c>
      <c r="B90" s="6" t="s">
        <v>4193</v>
      </c>
      <c r="C90" s="6" t="s">
        <v>4190</v>
      </c>
      <c r="D90" s="6" t="s">
        <v>4191</v>
      </c>
      <c r="E90" s="6">
        <v>128036.0</v>
      </c>
    </row>
    <row r="91">
      <c r="A91" s="6">
        <v>2292.0</v>
      </c>
      <c r="B91" s="6" t="s">
        <v>4192</v>
      </c>
      <c r="C91" s="6" t="s">
        <v>4190</v>
      </c>
      <c r="D91" s="6" t="s">
        <v>4191</v>
      </c>
      <c r="E91" s="6">
        <v>125713.0</v>
      </c>
    </row>
    <row r="92">
      <c r="A92" s="6">
        <v>2723.0</v>
      </c>
      <c r="B92" s="6" t="s">
        <v>4197</v>
      </c>
      <c r="C92" s="6" t="s">
        <v>4190</v>
      </c>
      <c r="D92" s="6" t="s">
        <v>4191</v>
      </c>
      <c r="E92" s="6">
        <v>125113.0</v>
      </c>
    </row>
    <row r="93">
      <c r="A93" s="6">
        <v>2733.0</v>
      </c>
      <c r="B93" s="6" t="s">
        <v>4189</v>
      </c>
      <c r="C93" s="6" t="s">
        <v>4190</v>
      </c>
      <c r="D93" s="6" t="s">
        <v>4191</v>
      </c>
      <c r="E93" s="6">
        <v>125881.0</v>
      </c>
    </row>
    <row r="94">
      <c r="A94" s="6">
        <v>2734.0</v>
      </c>
      <c r="B94" s="6" t="s">
        <v>4189</v>
      </c>
      <c r="C94" s="6" t="s">
        <v>4190</v>
      </c>
      <c r="D94" s="6" t="s">
        <v>4191</v>
      </c>
      <c r="E94" s="6">
        <v>125804.0</v>
      </c>
    </row>
    <row r="95">
      <c r="A95" s="6">
        <v>2736.0</v>
      </c>
      <c r="B95" s="6" t="s">
        <v>4192</v>
      </c>
      <c r="C95" s="6" t="s">
        <v>4190</v>
      </c>
      <c r="D95" s="6" t="s">
        <v>4191</v>
      </c>
      <c r="E95" s="6">
        <v>126031.0</v>
      </c>
    </row>
    <row r="96">
      <c r="A96" s="6">
        <v>2740.0</v>
      </c>
      <c r="B96" s="6" t="s">
        <v>4192</v>
      </c>
      <c r="C96" s="6" t="s">
        <v>4190</v>
      </c>
      <c r="D96" s="6" t="s">
        <v>4191</v>
      </c>
      <c r="E96" s="6">
        <v>128594.0</v>
      </c>
    </row>
    <row r="97">
      <c r="A97" s="6">
        <v>2293.0</v>
      </c>
      <c r="B97" s="6" t="s">
        <v>4189</v>
      </c>
      <c r="C97" s="6" t="s">
        <v>4190</v>
      </c>
      <c r="D97" s="6" t="s">
        <v>4191</v>
      </c>
      <c r="E97" s="6">
        <v>124566.0</v>
      </c>
    </row>
    <row r="98">
      <c r="A98" s="6">
        <v>2741.0</v>
      </c>
      <c r="B98" s="6" t="s">
        <v>4192</v>
      </c>
      <c r="C98" s="6" t="s">
        <v>4190</v>
      </c>
      <c r="D98" s="6" t="s">
        <v>4191</v>
      </c>
      <c r="E98" s="6">
        <v>128568.0</v>
      </c>
    </row>
    <row r="99">
      <c r="A99" s="6">
        <v>2743.0</v>
      </c>
      <c r="B99" s="6" t="s">
        <v>4192</v>
      </c>
      <c r="C99" s="6" t="s">
        <v>4190</v>
      </c>
      <c r="D99" s="6" t="s">
        <v>4191</v>
      </c>
      <c r="E99" s="6">
        <v>124743.0</v>
      </c>
    </row>
    <row r="100">
      <c r="A100" s="6">
        <v>2746.0</v>
      </c>
      <c r="B100" s="6" t="s">
        <v>4194</v>
      </c>
      <c r="C100" s="6" t="s">
        <v>4190</v>
      </c>
      <c r="D100" s="6" t="s">
        <v>4191</v>
      </c>
      <c r="E100" s="6">
        <v>126650.0</v>
      </c>
    </row>
    <row r="101">
      <c r="A101" s="6">
        <v>2749.0</v>
      </c>
      <c r="B101" s="6" t="s">
        <v>4195</v>
      </c>
      <c r="C101" s="6" t="s">
        <v>4190</v>
      </c>
      <c r="D101" s="6" t="s">
        <v>4191</v>
      </c>
      <c r="E101" s="6">
        <v>128639.0</v>
      </c>
    </row>
    <row r="102">
      <c r="A102" s="6">
        <v>2752.0</v>
      </c>
      <c r="B102" s="6" t="s">
        <v>4192</v>
      </c>
      <c r="C102" s="6" t="s">
        <v>4190</v>
      </c>
      <c r="D102" s="6" t="s">
        <v>4191</v>
      </c>
      <c r="E102" s="6">
        <v>125541.0</v>
      </c>
    </row>
    <row r="103">
      <c r="A103" s="6">
        <v>2754.0</v>
      </c>
      <c r="B103" s="6" t="s">
        <v>4192</v>
      </c>
      <c r="C103" s="6" t="s">
        <v>4190</v>
      </c>
      <c r="D103" s="6" t="s">
        <v>4191</v>
      </c>
      <c r="E103" s="6">
        <v>126109.0</v>
      </c>
    </row>
    <row r="104">
      <c r="A104" s="6">
        <v>2762.0</v>
      </c>
      <c r="B104" s="6" t="s">
        <v>4189</v>
      </c>
      <c r="C104" s="6" t="s">
        <v>4190</v>
      </c>
      <c r="D104" s="6" t="s">
        <v>4191</v>
      </c>
      <c r="E104" s="6">
        <v>126337.0</v>
      </c>
    </row>
    <row r="105">
      <c r="A105" s="6">
        <v>2764.0</v>
      </c>
      <c r="B105" s="6" t="s">
        <v>4192</v>
      </c>
      <c r="C105" s="6" t="s">
        <v>4190</v>
      </c>
      <c r="D105" s="6" t="s">
        <v>4191</v>
      </c>
      <c r="E105" s="6">
        <v>125511.0</v>
      </c>
    </row>
    <row r="106">
      <c r="A106" s="6">
        <v>2769.0</v>
      </c>
      <c r="B106" s="6" t="s">
        <v>4194</v>
      </c>
      <c r="C106" s="6" t="s">
        <v>4190</v>
      </c>
      <c r="D106" s="6" t="s">
        <v>4191</v>
      </c>
      <c r="E106" s="6">
        <v>125151.0</v>
      </c>
    </row>
    <row r="107">
      <c r="A107" s="6">
        <v>2771.0</v>
      </c>
      <c r="B107" s="6" t="s">
        <v>4192</v>
      </c>
      <c r="C107" s="6" t="s">
        <v>4190</v>
      </c>
      <c r="D107" s="6" t="s">
        <v>4191</v>
      </c>
      <c r="E107" s="6">
        <v>128507.0</v>
      </c>
    </row>
    <row r="108">
      <c r="A108" s="6">
        <v>2773.0</v>
      </c>
      <c r="B108" s="6" t="s">
        <v>4192</v>
      </c>
      <c r="C108" s="6" t="s">
        <v>4190</v>
      </c>
      <c r="D108" s="6" t="s">
        <v>4191</v>
      </c>
      <c r="E108" s="6">
        <v>126239.0</v>
      </c>
    </row>
    <row r="109">
      <c r="A109" s="6">
        <v>2295.0</v>
      </c>
      <c r="B109" s="6" t="s">
        <v>4194</v>
      </c>
      <c r="C109" s="6" t="s">
        <v>4190</v>
      </c>
      <c r="D109" s="6" t="s">
        <v>4191</v>
      </c>
      <c r="E109" s="6">
        <v>126254.0</v>
      </c>
    </row>
    <row r="110">
      <c r="A110" s="6">
        <v>2785.0</v>
      </c>
      <c r="B110" s="6" t="s">
        <v>4192</v>
      </c>
      <c r="C110" s="6" t="s">
        <v>4190</v>
      </c>
      <c r="D110" s="6" t="s">
        <v>4191</v>
      </c>
      <c r="E110" s="6">
        <v>126820.0</v>
      </c>
    </row>
    <row r="111">
      <c r="A111" s="6">
        <v>2788.0</v>
      </c>
      <c r="B111" s="6" t="s">
        <v>4192</v>
      </c>
      <c r="C111" s="6" t="s">
        <v>4190</v>
      </c>
      <c r="D111" s="6" t="s">
        <v>4191</v>
      </c>
      <c r="E111" s="6">
        <v>125317.0</v>
      </c>
    </row>
    <row r="112">
      <c r="A112" s="6">
        <v>2790.0</v>
      </c>
      <c r="B112" s="6" t="s">
        <v>4193</v>
      </c>
      <c r="C112" s="6" t="s">
        <v>4190</v>
      </c>
      <c r="D112" s="6" t="s">
        <v>4191</v>
      </c>
      <c r="E112" s="6">
        <v>128077.0</v>
      </c>
    </row>
    <row r="113">
      <c r="A113" s="6">
        <v>2813.0</v>
      </c>
      <c r="B113" s="6" t="s">
        <v>4194</v>
      </c>
      <c r="C113" s="6" t="s">
        <v>4190</v>
      </c>
      <c r="D113" s="6" t="s">
        <v>4191</v>
      </c>
      <c r="E113" s="6">
        <v>126096.0</v>
      </c>
    </row>
    <row r="114">
      <c r="A114" s="6">
        <v>2794.0</v>
      </c>
      <c r="B114" s="6" t="s">
        <v>4193</v>
      </c>
      <c r="C114" s="6" t="s">
        <v>4190</v>
      </c>
      <c r="D114" s="6" t="s">
        <v>4191</v>
      </c>
      <c r="E114" s="6">
        <v>127969.0</v>
      </c>
    </row>
    <row r="115">
      <c r="A115" s="6">
        <v>2814.0</v>
      </c>
      <c r="B115" s="6" t="s">
        <v>4196</v>
      </c>
      <c r="C115" s="6" t="s">
        <v>4190</v>
      </c>
      <c r="D115" s="6" t="s">
        <v>4191</v>
      </c>
      <c r="E115" s="6">
        <v>125554.0</v>
      </c>
    </row>
    <row r="116">
      <c r="A116" s="6">
        <v>2795.0</v>
      </c>
      <c r="B116" s="6" t="s">
        <v>4195</v>
      </c>
      <c r="C116" s="6" t="s">
        <v>4190</v>
      </c>
      <c r="D116" s="6" t="s">
        <v>4191</v>
      </c>
      <c r="E116" s="6">
        <v>126188.0</v>
      </c>
    </row>
    <row r="117">
      <c r="A117" s="6">
        <v>2819.0</v>
      </c>
      <c r="B117" s="6" t="s">
        <v>4193</v>
      </c>
      <c r="C117" s="6" t="s">
        <v>4190</v>
      </c>
      <c r="D117" s="6" t="s">
        <v>4191</v>
      </c>
      <c r="E117" s="6">
        <v>127914.0</v>
      </c>
    </row>
    <row r="118">
      <c r="A118" s="6">
        <v>2796.0</v>
      </c>
      <c r="B118" s="6" t="s">
        <v>4189</v>
      </c>
      <c r="C118" s="6" t="s">
        <v>4190</v>
      </c>
      <c r="D118" s="6" t="s">
        <v>4191</v>
      </c>
      <c r="E118" s="6">
        <v>125851.0</v>
      </c>
    </row>
    <row r="119">
      <c r="A119" s="6">
        <v>2826.0</v>
      </c>
      <c r="B119" s="6" t="s">
        <v>4192</v>
      </c>
      <c r="C119" s="6" t="s">
        <v>4190</v>
      </c>
      <c r="D119" s="6" t="s">
        <v>4191</v>
      </c>
      <c r="E119" s="6">
        <v>124897.0</v>
      </c>
    </row>
    <row r="120">
      <c r="A120" s="6">
        <v>2831.0</v>
      </c>
      <c r="B120" s="6" t="s">
        <v>4192</v>
      </c>
      <c r="C120" s="6" t="s">
        <v>4190</v>
      </c>
      <c r="D120" s="6" t="s">
        <v>4191</v>
      </c>
      <c r="E120" s="6">
        <v>125613.0</v>
      </c>
    </row>
    <row r="121">
      <c r="A121" s="6">
        <v>2832.0</v>
      </c>
      <c r="B121" s="6" t="s">
        <v>4195</v>
      </c>
      <c r="C121" s="6" t="s">
        <v>4190</v>
      </c>
      <c r="D121" s="6" t="s">
        <v>4191</v>
      </c>
      <c r="E121" s="6">
        <v>128857.0</v>
      </c>
    </row>
    <row r="122">
      <c r="A122" s="6">
        <v>2136.0</v>
      </c>
      <c r="B122" s="6" t="s">
        <v>4192</v>
      </c>
      <c r="C122" s="6" t="s">
        <v>4190</v>
      </c>
      <c r="D122" s="6" t="s">
        <v>4191</v>
      </c>
      <c r="E122" s="6">
        <v>3885.0</v>
      </c>
    </row>
    <row r="123">
      <c r="A123" s="6">
        <v>2850.0</v>
      </c>
      <c r="B123" s="6" t="s">
        <v>4192</v>
      </c>
      <c r="C123" s="6" t="s">
        <v>4190</v>
      </c>
      <c r="D123" s="6" t="s">
        <v>4191</v>
      </c>
      <c r="E123" s="6">
        <v>126352.0</v>
      </c>
    </row>
    <row r="124">
      <c r="A124" s="6">
        <v>2852.0</v>
      </c>
      <c r="B124" s="6" t="s">
        <v>4192</v>
      </c>
      <c r="C124" s="6" t="s">
        <v>4190</v>
      </c>
      <c r="D124" s="6" t="s">
        <v>4191</v>
      </c>
      <c r="E124" s="6">
        <v>126501.0</v>
      </c>
    </row>
    <row r="125">
      <c r="A125" s="6">
        <v>2854.0</v>
      </c>
      <c r="B125" s="6" t="s">
        <v>4192</v>
      </c>
      <c r="C125" s="6" t="s">
        <v>4190</v>
      </c>
      <c r="D125" s="6" t="s">
        <v>4191</v>
      </c>
      <c r="E125" s="6">
        <v>125241.0</v>
      </c>
    </row>
    <row r="126">
      <c r="A126" s="6">
        <v>2859.0</v>
      </c>
      <c r="B126" s="6" t="s">
        <v>4192</v>
      </c>
      <c r="C126" s="6" t="s">
        <v>4190</v>
      </c>
      <c r="D126" s="6" t="s">
        <v>4191</v>
      </c>
      <c r="E126" s="6">
        <v>129055.0</v>
      </c>
    </row>
    <row r="127">
      <c r="A127" s="6">
        <v>2801.0</v>
      </c>
      <c r="B127" s="6" t="s">
        <v>4192</v>
      </c>
      <c r="C127" s="6" t="s">
        <v>4190</v>
      </c>
      <c r="D127" s="6" t="s">
        <v>4191</v>
      </c>
      <c r="E127" s="6">
        <v>126596.0</v>
      </c>
    </row>
    <row r="128">
      <c r="A128" s="6">
        <v>2862.0</v>
      </c>
      <c r="B128" s="6" t="s">
        <v>4192</v>
      </c>
      <c r="C128" s="6" t="s">
        <v>4190</v>
      </c>
      <c r="D128" s="6" t="s">
        <v>4191</v>
      </c>
      <c r="E128" s="6">
        <v>125730.0</v>
      </c>
    </row>
    <row r="129">
      <c r="A129" s="6">
        <v>2863.0</v>
      </c>
      <c r="B129" s="6" t="s">
        <v>4194</v>
      </c>
      <c r="C129" s="6" t="s">
        <v>4190</v>
      </c>
      <c r="D129" s="6" t="s">
        <v>4191</v>
      </c>
      <c r="E129" s="6">
        <v>124691.0</v>
      </c>
    </row>
    <row r="130">
      <c r="A130" s="6">
        <v>2867.0</v>
      </c>
      <c r="B130" s="6" t="s">
        <v>4189</v>
      </c>
      <c r="C130" s="6" t="s">
        <v>4190</v>
      </c>
      <c r="D130" s="6" t="s">
        <v>4191</v>
      </c>
      <c r="E130" s="6">
        <v>124631.0</v>
      </c>
    </row>
    <row r="131">
      <c r="A131" s="6">
        <v>2872.0</v>
      </c>
      <c r="B131" s="6" t="s">
        <v>4195</v>
      </c>
      <c r="C131" s="6" t="s">
        <v>4190</v>
      </c>
      <c r="D131" s="6" t="s">
        <v>4191</v>
      </c>
      <c r="E131" s="6">
        <v>128565.0</v>
      </c>
    </row>
    <row r="132">
      <c r="A132" s="6">
        <v>2877.0</v>
      </c>
      <c r="B132" s="6" t="s">
        <v>4192</v>
      </c>
      <c r="C132" s="6" t="s">
        <v>4190</v>
      </c>
      <c r="D132" s="6" t="s">
        <v>4191</v>
      </c>
      <c r="E132" s="6">
        <v>126228.0</v>
      </c>
    </row>
    <row r="133">
      <c r="A133" s="6">
        <v>2803.0</v>
      </c>
      <c r="B133" s="6" t="s">
        <v>4192</v>
      </c>
      <c r="C133" s="6" t="s">
        <v>4190</v>
      </c>
      <c r="D133" s="6" t="s">
        <v>4191</v>
      </c>
      <c r="E133" s="6">
        <v>125589.0</v>
      </c>
    </row>
    <row r="134">
      <c r="A134" s="6">
        <v>2879.0</v>
      </c>
      <c r="B134" s="6" t="s">
        <v>4196</v>
      </c>
      <c r="C134" s="6" t="s">
        <v>4190</v>
      </c>
      <c r="D134" s="6" t="s">
        <v>4191</v>
      </c>
      <c r="E134" s="6">
        <v>125091.0</v>
      </c>
    </row>
    <row r="135">
      <c r="A135" s="6">
        <v>2883.0</v>
      </c>
      <c r="B135" s="6" t="s">
        <v>4192</v>
      </c>
      <c r="C135" s="6" t="s">
        <v>4190</v>
      </c>
      <c r="D135" s="6" t="s">
        <v>4191</v>
      </c>
      <c r="E135" s="6">
        <v>126420.0</v>
      </c>
    </row>
    <row r="136">
      <c r="A136" s="6">
        <v>2885.0</v>
      </c>
      <c r="B136" s="6" t="s">
        <v>4192</v>
      </c>
      <c r="C136" s="6" t="s">
        <v>4190</v>
      </c>
      <c r="D136" s="6" t="s">
        <v>4191</v>
      </c>
      <c r="E136" s="6">
        <v>129154.0</v>
      </c>
    </row>
    <row r="137">
      <c r="A137" s="6">
        <v>2886.0</v>
      </c>
      <c r="B137" s="6" t="s">
        <v>4192</v>
      </c>
      <c r="C137" s="6" t="s">
        <v>4190</v>
      </c>
      <c r="D137" s="6" t="s">
        <v>4191</v>
      </c>
      <c r="E137" s="6">
        <v>128677.0</v>
      </c>
    </row>
    <row r="138">
      <c r="A138" s="6">
        <v>2888.0</v>
      </c>
      <c r="B138" s="6" t="s">
        <v>4192</v>
      </c>
      <c r="C138" s="6" t="s">
        <v>4190</v>
      </c>
      <c r="D138" s="6" t="s">
        <v>4191</v>
      </c>
      <c r="E138" s="6">
        <v>126268.0</v>
      </c>
    </row>
    <row r="139">
      <c r="A139" s="6">
        <v>2890.0</v>
      </c>
      <c r="B139" s="6" t="s">
        <v>4189</v>
      </c>
      <c r="C139" s="6" t="s">
        <v>4190</v>
      </c>
      <c r="D139" s="6" t="s">
        <v>4191</v>
      </c>
      <c r="E139" s="6">
        <v>125290.0</v>
      </c>
    </row>
    <row r="140">
      <c r="A140" s="6">
        <v>2891.0</v>
      </c>
      <c r="B140" s="6" t="s">
        <v>4192</v>
      </c>
      <c r="C140" s="6" t="s">
        <v>4190</v>
      </c>
      <c r="D140" s="6" t="s">
        <v>4191</v>
      </c>
      <c r="E140" s="6">
        <v>124678.0</v>
      </c>
    </row>
    <row r="141">
      <c r="A141" s="6">
        <v>2892.0</v>
      </c>
      <c r="B141" s="6" t="s">
        <v>4192</v>
      </c>
      <c r="C141" s="6" t="s">
        <v>4190</v>
      </c>
      <c r="D141" s="6" t="s">
        <v>4191</v>
      </c>
      <c r="E141" s="6">
        <v>126715.0</v>
      </c>
    </row>
    <row r="142">
      <c r="A142" s="6">
        <v>2895.0</v>
      </c>
      <c r="B142" s="6" t="s">
        <v>4189</v>
      </c>
      <c r="C142" s="6" t="s">
        <v>4190</v>
      </c>
      <c r="D142" s="6" t="s">
        <v>4191</v>
      </c>
      <c r="E142" s="6">
        <v>124937.0</v>
      </c>
    </row>
    <row r="143">
      <c r="A143" s="6">
        <v>2900.0</v>
      </c>
      <c r="B143" s="6" t="s">
        <v>4192</v>
      </c>
      <c r="C143" s="6" t="s">
        <v>4190</v>
      </c>
      <c r="D143" s="6" t="s">
        <v>4191</v>
      </c>
      <c r="E143" s="6">
        <v>128974.0</v>
      </c>
    </row>
    <row r="144">
      <c r="A144" s="6">
        <v>2901.0</v>
      </c>
      <c r="B144" s="6" t="s">
        <v>4192</v>
      </c>
      <c r="C144" s="6" t="s">
        <v>4190</v>
      </c>
      <c r="D144" s="6" t="s">
        <v>4191</v>
      </c>
      <c r="E144" s="6">
        <v>126378.0</v>
      </c>
    </row>
    <row r="145">
      <c r="A145" s="6">
        <v>2904.0</v>
      </c>
      <c r="B145" s="6" t="s">
        <v>4192</v>
      </c>
      <c r="C145" s="6" t="s">
        <v>4190</v>
      </c>
      <c r="D145" s="6" t="s">
        <v>4191</v>
      </c>
      <c r="E145" s="6">
        <v>128503.0</v>
      </c>
    </row>
    <row r="146">
      <c r="A146" s="6">
        <v>2907.0</v>
      </c>
      <c r="B146" s="6" t="s">
        <v>4192</v>
      </c>
      <c r="C146" s="6" t="s">
        <v>4190</v>
      </c>
      <c r="D146" s="6" t="s">
        <v>4191</v>
      </c>
      <c r="E146" s="6">
        <v>124841.0</v>
      </c>
    </row>
    <row r="147">
      <c r="A147" s="6">
        <v>2908.0</v>
      </c>
      <c r="B147" s="6" t="s">
        <v>4192</v>
      </c>
      <c r="C147" s="6" t="s">
        <v>4190</v>
      </c>
      <c r="D147" s="6" t="s">
        <v>4191</v>
      </c>
      <c r="E147" s="6">
        <v>126536.0</v>
      </c>
    </row>
    <row r="148">
      <c r="A148" s="6">
        <v>2916.0</v>
      </c>
      <c r="B148" s="6" t="s">
        <v>4189</v>
      </c>
      <c r="C148" s="6" t="s">
        <v>4190</v>
      </c>
      <c r="D148" s="6" t="s">
        <v>4191</v>
      </c>
      <c r="E148" s="6">
        <v>126355.0</v>
      </c>
    </row>
    <row r="149">
      <c r="A149" s="6">
        <v>2917.0</v>
      </c>
      <c r="B149" s="6" t="s">
        <v>4192</v>
      </c>
      <c r="C149" s="6" t="s">
        <v>4190</v>
      </c>
      <c r="D149" s="6" t="s">
        <v>4191</v>
      </c>
      <c r="E149" s="6">
        <v>125909.0</v>
      </c>
    </row>
    <row r="150">
      <c r="A150" s="6">
        <v>2918.0</v>
      </c>
      <c r="B150" s="6" t="s">
        <v>4192</v>
      </c>
      <c r="C150" s="6" t="s">
        <v>4190</v>
      </c>
      <c r="D150" s="6" t="s">
        <v>4191</v>
      </c>
      <c r="E150" s="6">
        <v>125303.0</v>
      </c>
    </row>
    <row r="151">
      <c r="A151" s="6">
        <v>2925.0</v>
      </c>
      <c r="B151" s="6" t="s">
        <v>4193</v>
      </c>
      <c r="C151" s="6" t="s">
        <v>4190</v>
      </c>
      <c r="D151" s="6" t="s">
        <v>4191</v>
      </c>
      <c r="E151" s="6">
        <v>128084.0</v>
      </c>
    </row>
    <row r="152">
      <c r="A152" s="6">
        <v>2926.0</v>
      </c>
      <c r="B152" s="6" t="s">
        <v>4192</v>
      </c>
      <c r="C152" s="6" t="s">
        <v>4190</v>
      </c>
      <c r="D152" s="6" t="s">
        <v>4191</v>
      </c>
      <c r="E152" s="6">
        <v>128667.0</v>
      </c>
    </row>
    <row r="153">
      <c r="A153" s="6">
        <v>2929.0</v>
      </c>
      <c r="B153" s="6" t="s">
        <v>4193</v>
      </c>
      <c r="C153" s="6" t="s">
        <v>4190</v>
      </c>
      <c r="D153" s="6" t="s">
        <v>4191</v>
      </c>
      <c r="E153" s="6">
        <v>127981.0</v>
      </c>
    </row>
    <row r="154">
      <c r="A154" s="6">
        <v>2932.0</v>
      </c>
      <c r="B154" s="6" t="s">
        <v>4192</v>
      </c>
      <c r="C154" s="6" t="s">
        <v>4190</v>
      </c>
      <c r="D154" s="6" t="s">
        <v>4191</v>
      </c>
      <c r="E154" s="6">
        <v>126074.0</v>
      </c>
    </row>
    <row r="155">
      <c r="A155" s="6">
        <v>2935.0</v>
      </c>
      <c r="B155" s="6" t="s">
        <v>4189</v>
      </c>
      <c r="C155" s="6" t="s">
        <v>4190</v>
      </c>
      <c r="D155" s="6" t="s">
        <v>4191</v>
      </c>
      <c r="E155" s="6">
        <v>124784.0</v>
      </c>
    </row>
    <row r="156">
      <c r="A156" s="6">
        <v>2944.0</v>
      </c>
      <c r="B156" s="6" t="s">
        <v>4193</v>
      </c>
      <c r="C156" s="6" t="s">
        <v>4190</v>
      </c>
      <c r="D156" s="6" t="s">
        <v>4191</v>
      </c>
      <c r="E156" s="6">
        <v>128058.0</v>
      </c>
    </row>
    <row r="157">
      <c r="A157" s="6">
        <v>2945.0</v>
      </c>
      <c r="B157" s="6" t="s">
        <v>4189</v>
      </c>
      <c r="C157" s="6" t="s">
        <v>4190</v>
      </c>
      <c r="D157" s="6" t="s">
        <v>4191</v>
      </c>
      <c r="E157" s="6">
        <v>125476.0</v>
      </c>
    </row>
    <row r="158">
      <c r="A158" s="6">
        <v>2948.0</v>
      </c>
      <c r="B158" s="6" t="s">
        <v>4192</v>
      </c>
      <c r="C158" s="6" t="s">
        <v>4190</v>
      </c>
      <c r="D158" s="6" t="s">
        <v>4191</v>
      </c>
      <c r="E158" s="6">
        <v>126864.0</v>
      </c>
    </row>
    <row r="159">
      <c r="A159" s="6">
        <v>2121.0</v>
      </c>
      <c r="B159" s="6" t="s">
        <v>4194</v>
      </c>
      <c r="C159" s="6" t="s">
        <v>4190</v>
      </c>
      <c r="D159" s="6" t="s">
        <v>4191</v>
      </c>
      <c r="E159" s="6">
        <v>125256.0</v>
      </c>
    </row>
    <row r="160">
      <c r="A160" s="6">
        <v>2127.0</v>
      </c>
      <c r="B160" s="6" t="s">
        <v>4192</v>
      </c>
      <c r="C160" s="6" t="s">
        <v>4190</v>
      </c>
      <c r="D160" s="6" t="s">
        <v>4191</v>
      </c>
      <c r="E160" s="6">
        <v>125969.0</v>
      </c>
    </row>
    <row r="161">
      <c r="A161" s="6">
        <v>2131.0</v>
      </c>
      <c r="B161" s="6" t="s">
        <v>4192</v>
      </c>
      <c r="C161" s="6" t="s">
        <v>4190</v>
      </c>
      <c r="D161" s="6" t="s">
        <v>4191</v>
      </c>
      <c r="E161" s="6">
        <v>126358.0</v>
      </c>
    </row>
    <row r="162">
      <c r="A162" s="6">
        <v>2133.0</v>
      </c>
      <c r="B162" s="6" t="s">
        <v>4192</v>
      </c>
      <c r="C162" s="6" t="s">
        <v>4190</v>
      </c>
      <c r="D162" s="6" t="s">
        <v>4191</v>
      </c>
      <c r="E162" s="6">
        <v>125533.0</v>
      </c>
    </row>
    <row r="163">
      <c r="A163" s="6">
        <v>2138.0</v>
      </c>
      <c r="B163" s="6" t="s">
        <v>4192</v>
      </c>
      <c r="C163" s="6" t="s">
        <v>4190</v>
      </c>
      <c r="D163" s="6" t="s">
        <v>4191</v>
      </c>
      <c r="E163" s="6">
        <v>129167.0</v>
      </c>
    </row>
    <row r="164">
      <c r="A164" s="6">
        <v>2140.0</v>
      </c>
      <c r="B164" s="6" t="s">
        <v>4189</v>
      </c>
      <c r="C164" s="6" t="s">
        <v>4190</v>
      </c>
      <c r="D164" s="6" t="s">
        <v>4191</v>
      </c>
      <c r="E164" s="6">
        <v>126508.0</v>
      </c>
    </row>
    <row r="165">
      <c r="A165" s="6">
        <v>2143.0</v>
      </c>
      <c r="B165" s="6" t="s">
        <v>4189</v>
      </c>
      <c r="C165" s="6" t="s">
        <v>4190</v>
      </c>
      <c r="D165" s="6" t="s">
        <v>4191</v>
      </c>
      <c r="E165" s="6">
        <v>125509.0</v>
      </c>
    </row>
    <row r="166">
      <c r="A166" s="6">
        <v>2144.0</v>
      </c>
      <c r="B166" s="6" t="s">
        <v>4192</v>
      </c>
      <c r="C166" s="6" t="s">
        <v>4190</v>
      </c>
      <c r="D166" s="6" t="s">
        <v>4191</v>
      </c>
      <c r="E166" s="6">
        <v>129061.0</v>
      </c>
    </row>
    <row r="167">
      <c r="A167" s="6">
        <v>2145.0</v>
      </c>
      <c r="B167" s="6" t="s">
        <v>4192</v>
      </c>
      <c r="C167" s="6" t="s">
        <v>4190</v>
      </c>
      <c r="D167" s="6" t="s">
        <v>4191</v>
      </c>
      <c r="E167" s="6">
        <v>126744.0</v>
      </c>
    </row>
    <row r="168">
      <c r="A168" s="6">
        <v>2147.0</v>
      </c>
      <c r="B168" s="6" t="s">
        <v>4192</v>
      </c>
      <c r="C168" s="6" t="s">
        <v>4190</v>
      </c>
      <c r="D168" s="6" t="s">
        <v>4191</v>
      </c>
      <c r="E168" s="6">
        <v>125738.0</v>
      </c>
    </row>
    <row r="169">
      <c r="A169" s="6">
        <v>3541.0</v>
      </c>
      <c r="B169" s="6" t="s">
        <v>4192</v>
      </c>
      <c r="C169" s="6" t="s">
        <v>4190</v>
      </c>
      <c r="D169" s="6" t="s">
        <v>4191</v>
      </c>
      <c r="E169" s="6">
        <v>128933.0</v>
      </c>
    </row>
    <row r="170">
      <c r="A170" s="6">
        <v>2159.0</v>
      </c>
      <c r="B170" s="6" t="s">
        <v>4192</v>
      </c>
      <c r="C170" s="6" t="s">
        <v>4190</v>
      </c>
      <c r="D170" s="6" t="s">
        <v>4191</v>
      </c>
      <c r="E170" s="6">
        <v>124798.0</v>
      </c>
    </row>
    <row r="171">
      <c r="A171" s="6">
        <v>2160.0</v>
      </c>
      <c r="B171" s="6" t="s">
        <v>4192</v>
      </c>
      <c r="C171" s="6" t="s">
        <v>4190</v>
      </c>
      <c r="D171" s="6" t="s">
        <v>4191</v>
      </c>
      <c r="E171" s="6">
        <v>128678.0</v>
      </c>
    </row>
    <row r="172">
      <c r="A172" s="6">
        <v>2165.0</v>
      </c>
      <c r="B172" s="6" t="s">
        <v>4189</v>
      </c>
      <c r="C172" s="6" t="s">
        <v>4190</v>
      </c>
      <c r="D172" s="6" t="s">
        <v>4191</v>
      </c>
      <c r="E172" s="6">
        <v>126229.0</v>
      </c>
    </row>
    <row r="173">
      <c r="A173" s="6">
        <v>2168.0</v>
      </c>
      <c r="B173" s="6" t="s">
        <v>4195</v>
      </c>
      <c r="C173" s="6" t="s">
        <v>4190</v>
      </c>
      <c r="D173" s="6" t="s">
        <v>4191</v>
      </c>
      <c r="E173" s="6">
        <v>125936.0</v>
      </c>
    </row>
    <row r="174">
      <c r="A174" s="6">
        <v>2171.0</v>
      </c>
      <c r="B174" s="6" t="s">
        <v>4193</v>
      </c>
      <c r="C174" s="6" t="s">
        <v>4190</v>
      </c>
      <c r="D174" s="6" t="s">
        <v>4191</v>
      </c>
      <c r="E174" s="6">
        <v>127977.0</v>
      </c>
    </row>
    <row r="175">
      <c r="A175" s="6">
        <v>2113.0</v>
      </c>
      <c r="B175" s="6" t="s">
        <v>4192</v>
      </c>
      <c r="C175" s="6" t="s">
        <v>4190</v>
      </c>
      <c r="D175" s="6" t="s">
        <v>4191</v>
      </c>
      <c r="E175" s="6">
        <v>126665.0</v>
      </c>
    </row>
    <row r="176">
      <c r="A176" s="6">
        <v>2184.0</v>
      </c>
      <c r="B176" s="6" t="s">
        <v>4192</v>
      </c>
      <c r="C176" s="6" t="s">
        <v>4190</v>
      </c>
      <c r="D176" s="6" t="s">
        <v>4191</v>
      </c>
      <c r="E176" s="6">
        <v>126812.0</v>
      </c>
    </row>
    <row r="177">
      <c r="A177" s="6">
        <v>2114.0</v>
      </c>
      <c r="B177" s="6" t="s">
        <v>4192</v>
      </c>
      <c r="C177" s="6" t="s">
        <v>4190</v>
      </c>
      <c r="D177" s="6" t="s">
        <v>4191</v>
      </c>
      <c r="E177" s="6">
        <v>125001.0</v>
      </c>
    </row>
    <row r="178">
      <c r="A178" s="6">
        <v>2187.0</v>
      </c>
      <c r="B178" s="6" t="s">
        <v>4189</v>
      </c>
      <c r="C178" s="6" t="s">
        <v>4190</v>
      </c>
      <c r="D178" s="6" t="s">
        <v>4191</v>
      </c>
      <c r="E178" s="6">
        <v>126603.0</v>
      </c>
    </row>
    <row r="179">
      <c r="A179" s="6">
        <v>2190.0</v>
      </c>
      <c r="B179" s="6" t="s">
        <v>4192</v>
      </c>
      <c r="C179" s="6" t="s">
        <v>4190</v>
      </c>
      <c r="D179" s="6" t="s">
        <v>4191</v>
      </c>
      <c r="E179" s="6">
        <v>126327.0</v>
      </c>
    </row>
    <row r="180">
      <c r="A180" s="6">
        <v>2193.0</v>
      </c>
      <c r="B180" s="6" t="s">
        <v>4192</v>
      </c>
      <c r="C180" s="6" t="s">
        <v>4190</v>
      </c>
      <c r="D180" s="6" t="s">
        <v>4191</v>
      </c>
      <c r="E180" s="6">
        <v>128505.0</v>
      </c>
    </row>
    <row r="181">
      <c r="A181" s="6">
        <v>2195.0</v>
      </c>
      <c r="B181" s="6" t="s">
        <v>4192</v>
      </c>
      <c r="C181" s="6" t="s">
        <v>4190</v>
      </c>
      <c r="D181" s="6" t="s">
        <v>4191</v>
      </c>
      <c r="E181" s="6">
        <v>125304.0</v>
      </c>
    </row>
    <row r="182">
      <c r="A182" s="6">
        <v>2196.0</v>
      </c>
      <c r="B182" s="6" t="s">
        <v>4194</v>
      </c>
      <c r="C182" s="6" t="s">
        <v>4190</v>
      </c>
      <c r="D182" s="6" t="s">
        <v>4191</v>
      </c>
      <c r="E182" s="6">
        <v>126493.0</v>
      </c>
    </row>
    <row r="183">
      <c r="A183" s="6">
        <v>2199.0</v>
      </c>
      <c r="B183" s="6" t="s">
        <v>4195</v>
      </c>
      <c r="C183" s="6" t="s">
        <v>4190</v>
      </c>
      <c r="D183" s="6" t="s">
        <v>4191</v>
      </c>
      <c r="E183" s="6">
        <v>124711.0</v>
      </c>
    </row>
    <row r="184">
      <c r="A184" s="6">
        <v>2200.0</v>
      </c>
      <c r="B184" s="6" t="s">
        <v>4192</v>
      </c>
      <c r="C184" s="6" t="s">
        <v>4190</v>
      </c>
      <c r="D184" s="6" t="s">
        <v>4191</v>
      </c>
      <c r="E184" s="6">
        <v>125471.0</v>
      </c>
    </row>
    <row r="185">
      <c r="A185" s="6">
        <v>2202.0</v>
      </c>
      <c r="B185" s="6" t="s">
        <v>4192</v>
      </c>
      <c r="C185" s="6" t="s">
        <v>4190</v>
      </c>
      <c r="D185" s="6" t="s">
        <v>4191</v>
      </c>
      <c r="E185" s="6">
        <v>128650.0</v>
      </c>
    </row>
    <row r="186">
      <c r="A186" s="6">
        <v>2204.0</v>
      </c>
      <c r="B186" s="6" t="s">
        <v>4192</v>
      </c>
      <c r="C186" s="6" t="s">
        <v>4190</v>
      </c>
      <c r="D186" s="6" t="s">
        <v>4191</v>
      </c>
      <c r="E186" s="6">
        <v>126094.0</v>
      </c>
    </row>
    <row r="187">
      <c r="A187" s="6">
        <v>2208.0</v>
      </c>
      <c r="B187" s="6" t="s">
        <v>4192</v>
      </c>
      <c r="C187" s="6" t="s">
        <v>4190</v>
      </c>
      <c r="D187" s="6" t="s">
        <v>4191</v>
      </c>
      <c r="E187" s="6">
        <v>126069.0</v>
      </c>
    </row>
    <row r="188">
      <c r="A188" s="6">
        <v>1530.0</v>
      </c>
      <c r="B188" s="6" t="s">
        <v>4192</v>
      </c>
      <c r="C188" s="6" t="s">
        <v>4190</v>
      </c>
      <c r="D188" s="6" t="s">
        <v>4191</v>
      </c>
      <c r="E188" s="6">
        <v>4122.0</v>
      </c>
    </row>
    <row r="189">
      <c r="A189" s="6">
        <v>2214.0</v>
      </c>
      <c r="B189" s="6" t="s">
        <v>4193</v>
      </c>
      <c r="C189" s="6" t="s">
        <v>4190</v>
      </c>
      <c r="D189" s="6" t="s">
        <v>4191</v>
      </c>
      <c r="E189" s="6">
        <v>127986.0</v>
      </c>
    </row>
    <row r="190">
      <c r="A190" s="6">
        <v>2216.0</v>
      </c>
      <c r="B190" s="6" t="s">
        <v>4192</v>
      </c>
      <c r="C190" s="6" t="s">
        <v>4190</v>
      </c>
      <c r="D190" s="6" t="s">
        <v>4191</v>
      </c>
      <c r="E190" s="6">
        <v>126594.0</v>
      </c>
    </row>
    <row r="191">
      <c r="A191" s="6">
        <v>2218.0</v>
      </c>
      <c r="B191" s="6" t="s">
        <v>4195</v>
      </c>
      <c r="C191" s="6" t="s">
        <v>4190</v>
      </c>
      <c r="D191" s="6" t="s">
        <v>4191</v>
      </c>
      <c r="E191" s="6">
        <v>125814.0</v>
      </c>
    </row>
    <row r="192">
      <c r="A192" s="6">
        <v>2223.0</v>
      </c>
      <c r="B192" s="6" t="s">
        <v>4192</v>
      </c>
      <c r="C192" s="6" t="s">
        <v>4190</v>
      </c>
      <c r="D192" s="6" t="s">
        <v>4191</v>
      </c>
      <c r="E192" s="6">
        <v>126499.0</v>
      </c>
    </row>
    <row r="193">
      <c r="A193" s="6">
        <v>2224.0</v>
      </c>
      <c r="B193" s="6" t="s">
        <v>4192</v>
      </c>
      <c r="C193" s="6" t="s">
        <v>4190</v>
      </c>
      <c r="D193" s="6" t="s">
        <v>4191</v>
      </c>
      <c r="E193" s="6">
        <v>126017.0</v>
      </c>
    </row>
    <row r="194">
      <c r="A194" s="6">
        <v>2228.0</v>
      </c>
      <c r="B194" s="6" t="s">
        <v>4192</v>
      </c>
      <c r="C194" s="6" t="s">
        <v>4190</v>
      </c>
      <c r="D194" s="6" t="s">
        <v>4191</v>
      </c>
      <c r="E194" s="6">
        <v>126893.0</v>
      </c>
    </row>
    <row r="195">
      <c r="A195" s="6">
        <v>2230.0</v>
      </c>
      <c r="B195" s="6" t="s">
        <v>4195</v>
      </c>
      <c r="C195" s="6" t="s">
        <v>4190</v>
      </c>
      <c r="D195" s="6" t="s">
        <v>4191</v>
      </c>
      <c r="E195" s="6">
        <v>125663.0</v>
      </c>
    </row>
    <row r="196">
      <c r="A196" s="6">
        <v>2232.0</v>
      </c>
      <c r="B196" s="6" t="s">
        <v>4192</v>
      </c>
      <c r="C196" s="6" t="s">
        <v>4190</v>
      </c>
      <c r="D196" s="6" t="s">
        <v>4191</v>
      </c>
      <c r="E196" s="6">
        <v>125026.0</v>
      </c>
    </row>
    <row r="197">
      <c r="A197" s="6">
        <v>2233.0</v>
      </c>
      <c r="B197" s="6" t="s">
        <v>4192</v>
      </c>
      <c r="C197" s="6" t="s">
        <v>4190</v>
      </c>
      <c r="D197" s="6" t="s">
        <v>4191</v>
      </c>
      <c r="E197" s="6">
        <v>124625.0</v>
      </c>
    </row>
    <row r="198">
      <c r="A198" s="6">
        <v>2236.0</v>
      </c>
      <c r="B198" s="6" t="s">
        <v>4197</v>
      </c>
      <c r="C198" s="6" t="s">
        <v>4190</v>
      </c>
      <c r="D198" s="6" t="s">
        <v>4191</v>
      </c>
      <c r="E198" s="6">
        <v>126350.0</v>
      </c>
    </row>
    <row r="199">
      <c r="A199" s="6">
        <v>2237.0</v>
      </c>
      <c r="B199" s="6" t="s">
        <v>4192</v>
      </c>
      <c r="C199" s="6" t="s">
        <v>4190</v>
      </c>
      <c r="D199" s="6" t="s">
        <v>4191</v>
      </c>
      <c r="E199" s="6">
        <v>126223.0</v>
      </c>
    </row>
    <row r="200">
      <c r="A200" s="6">
        <v>2239.0</v>
      </c>
      <c r="B200" s="6" t="s">
        <v>4192</v>
      </c>
      <c r="C200" s="6" t="s">
        <v>4190</v>
      </c>
      <c r="D200" s="6" t="s">
        <v>4191</v>
      </c>
      <c r="E200" s="6">
        <v>125904.0</v>
      </c>
    </row>
    <row r="201">
      <c r="A201" s="6">
        <v>2240.0</v>
      </c>
      <c r="B201" s="6" t="s">
        <v>4192</v>
      </c>
      <c r="C201" s="6" t="s">
        <v>4190</v>
      </c>
      <c r="D201" s="6" t="s">
        <v>4191</v>
      </c>
      <c r="E201" s="6">
        <v>125382.0</v>
      </c>
    </row>
    <row r="202">
      <c r="A202" s="6">
        <v>2248.0</v>
      </c>
      <c r="B202" s="6" t="s">
        <v>4189</v>
      </c>
      <c r="C202" s="6" t="s">
        <v>4190</v>
      </c>
      <c r="D202" s="6" t="s">
        <v>4191</v>
      </c>
      <c r="E202" s="6">
        <v>128702.0</v>
      </c>
    </row>
    <row r="203">
      <c r="A203" s="6">
        <v>2249.0</v>
      </c>
      <c r="B203" s="6" t="s">
        <v>4192</v>
      </c>
      <c r="C203" s="6" t="s">
        <v>4190</v>
      </c>
      <c r="D203" s="6" t="s">
        <v>4191</v>
      </c>
      <c r="E203" s="6">
        <v>126289.0</v>
      </c>
    </row>
    <row r="204">
      <c r="A204" s="6">
        <v>2250.0</v>
      </c>
      <c r="B204" s="6" t="s">
        <v>4194</v>
      </c>
      <c r="C204" s="6" t="s">
        <v>4190</v>
      </c>
      <c r="D204" s="6" t="s">
        <v>4191</v>
      </c>
      <c r="E204" s="6">
        <v>126280.0</v>
      </c>
    </row>
    <row r="205">
      <c r="A205" s="6">
        <v>2255.0</v>
      </c>
      <c r="B205" s="6" t="s">
        <v>4195</v>
      </c>
      <c r="C205" s="6" t="s">
        <v>4190</v>
      </c>
      <c r="D205" s="6" t="s">
        <v>4191</v>
      </c>
      <c r="E205" s="6">
        <v>128329.0</v>
      </c>
    </row>
    <row r="206">
      <c r="A206" s="6">
        <v>2257.0</v>
      </c>
      <c r="B206" s="6" t="s">
        <v>4192</v>
      </c>
      <c r="C206" s="6" t="s">
        <v>4190</v>
      </c>
      <c r="D206" s="6" t="s">
        <v>4191</v>
      </c>
      <c r="E206" s="6">
        <v>126138.0</v>
      </c>
    </row>
    <row r="207">
      <c r="A207" s="6">
        <v>2258.0</v>
      </c>
      <c r="B207" s="6" t="s">
        <v>4192</v>
      </c>
      <c r="C207" s="6" t="s">
        <v>4190</v>
      </c>
      <c r="D207" s="6" t="s">
        <v>4191</v>
      </c>
      <c r="E207" s="6">
        <v>125606.0</v>
      </c>
    </row>
    <row r="208">
      <c r="A208" s="6">
        <v>2260.0</v>
      </c>
      <c r="B208" s="6" t="s">
        <v>4193</v>
      </c>
      <c r="C208" s="6" t="s">
        <v>4190</v>
      </c>
      <c r="D208" s="6" t="s">
        <v>4191</v>
      </c>
      <c r="E208" s="6">
        <v>128066.0</v>
      </c>
    </row>
    <row r="209">
      <c r="A209" s="6">
        <v>2263.0</v>
      </c>
      <c r="B209" s="6" t="s">
        <v>4192</v>
      </c>
      <c r="C209" s="6" t="s">
        <v>4190</v>
      </c>
      <c r="D209" s="6" t="s">
        <v>4191</v>
      </c>
      <c r="E209" s="6">
        <v>125960.0</v>
      </c>
    </row>
    <row r="210">
      <c r="A210" s="6">
        <v>2118.0</v>
      </c>
      <c r="B210" s="6" t="s">
        <v>4194</v>
      </c>
      <c r="C210" s="6" t="s">
        <v>4190</v>
      </c>
      <c r="D210" s="6" t="s">
        <v>4191</v>
      </c>
      <c r="E210" s="6">
        <v>126210.0</v>
      </c>
    </row>
    <row r="211">
      <c r="A211" s="6">
        <v>2271.0</v>
      </c>
      <c r="B211" s="6" t="s">
        <v>4192</v>
      </c>
      <c r="C211" s="6" t="s">
        <v>4190</v>
      </c>
      <c r="D211" s="6" t="s">
        <v>4191</v>
      </c>
      <c r="E211" s="6">
        <v>126471.0</v>
      </c>
    </row>
    <row r="212">
      <c r="A212" s="6">
        <v>2272.0</v>
      </c>
      <c r="B212" s="6" t="s">
        <v>4192</v>
      </c>
      <c r="C212" s="6" t="s">
        <v>4190</v>
      </c>
      <c r="D212" s="6" t="s">
        <v>4191</v>
      </c>
      <c r="E212" s="6">
        <v>125646.0</v>
      </c>
    </row>
    <row r="213">
      <c r="A213" s="6">
        <v>2276.0</v>
      </c>
      <c r="B213" s="6" t="s">
        <v>4192</v>
      </c>
      <c r="C213" s="6" t="s">
        <v>4190</v>
      </c>
      <c r="D213" s="6" t="s">
        <v>4191</v>
      </c>
      <c r="E213" s="6">
        <v>125279.0</v>
      </c>
    </row>
    <row r="214">
      <c r="A214" s="6">
        <v>2278.0</v>
      </c>
      <c r="B214" s="6" t="s">
        <v>4189</v>
      </c>
      <c r="C214" s="6" t="s">
        <v>4190</v>
      </c>
      <c r="D214" s="6" t="s">
        <v>4191</v>
      </c>
      <c r="E214" s="6">
        <v>128903.0</v>
      </c>
    </row>
    <row r="215">
      <c r="A215" s="6">
        <v>2637.0</v>
      </c>
      <c r="B215" s="6" t="s">
        <v>4192</v>
      </c>
      <c r="C215" s="6" t="s">
        <v>4190</v>
      </c>
      <c r="D215" s="6" t="s">
        <v>4191</v>
      </c>
      <c r="E215" s="6">
        <v>126569.0</v>
      </c>
    </row>
    <row r="216">
      <c r="A216" s="6">
        <v>2638.0</v>
      </c>
      <c r="B216" s="6" t="s">
        <v>4192</v>
      </c>
      <c r="C216" s="6" t="s">
        <v>4190</v>
      </c>
      <c r="D216" s="6" t="s">
        <v>4191</v>
      </c>
      <c r="E216" s="6">
        <v>125508.0</v>
      </c>
    </row>
    <row r="217">
      <c r="A217" s="6">
        <v>2640.0</v>
      </c>
      <c r="B217" s="6" t="s">
        <v>4192</v>
      </c>
      <c r="C217" s="6" t="s">
        <v>4190</v>
      </c>
      <c r="D217" s="6" t="s">
        <v>4191</v>
      </c>
      <c r="E217" s="6">
        <v>125488.0</v>
      </c>
    </row>
    <row r="218">
      <c r="A218" s="6">
        <v>2641.0</v>
      </c>
      <c r="B218" s="6" t="s">
        <v>4189</v>
      </c>
      <c r="C218" s="6" t="s">
        <v>4190</v>
      </c>
      <c r="D218" s="6" t="s">
        <v>4191</v>
      </c>
      <c r="E218" s="6">
        <v>125107.0</v>
      </c>
    </row>
    <row r="219">
      <c r="A219" s="6">
        <v>2642.0</v>
      </c>
      <c r="B219" s="6" t="s">
        <v>4197</v>
      </c>
      <c r="C219" s="6" t="s">
        <v>4190</v>
      </c>
      <c r="D219" s="6" t="s">
        <v>4191</v>
      </c>
      <c r="E219" s="6">
        <v>126104.0</v>
      </c>
    </row>
    <row r="220">
      <c r="A220" s="6">
        <v>2643.0</v>
      </c>
      <c r="B220" s="6" t="s">
        <v>4192</v>
      </c>
      <c r="C220" s="6" t="s">
        <v>4190</v>
      </c>
      <c r="D220" s="6" t="s">
        <v>4191</v>
      </c>
      <c r="E220" s="6">
        <v>125265.0</v>
      </c>
    </row>
    <row r="221">
      <c r="A221" s="6">
        <v>2284.0</v>
      </c>
      <c r="B221" s="6" t="s">
        <v>4192</v>
      </c>
      <c r="C221" s="6" t="s">
        <v>4190</v>
      </c>
      <c r="D221" s="6" t="s">
        <v>4191</v>
      </c>
      <c r="E221" s="6">
        <v>126786.0</v>
      </c>
    </row>
    <row r="222">
      <c r="A222" s="6">
        <v>2644.0</v>
      </c>
      <c r="B222" s="6" t="s">
        <v>4192</v>
      </c>
      <c r="C222" s="6" t="s">
        <v>4190</v>
      </c>
      <c r="D222" s="6" t="s">
        <v>4191</v>
      </c>
      <c r="E222" s="6">
        <v>125159.0</v>
      </c>
    </row>
    <row r="223">
      <c r="A223" s="6">
        <v>2648.0</v>
      </c>
      <c r="B223" s="6" t="s">
        <v>4192</v>
      </c>
      <c r="C223" s="6" t="s">
        <v>4190</v>
      </c>
      <c r="D223" s="6" t="s">
        <v>4191</v>
      </c>
      <c r="E223" s="6">
        <v>124797.0</v>
      </c>
    </row>
    <row r="224">
      <c r="A224" s="6">
        <v>2285.0</v>
      </c>
      <c r="B224" s="6" t="s">
        <v>4192</v>
      </c>
      <c r="C224" s="6" t="s">
        <v>4190</v>
      </c>
      <c r="D224" s="6" t="s">
        <v>4191</v>
      </c>
      <c r="E224" s="6">
        <v>126376.0</v>
      </c>
    </row>
    <row r="225">
      <c r="A225" s="6">
        <v>2652.0</v>
      </c>
      <c r="B225" s="6" t="s">
        <v>4192</v>
      </c>
      <c r="C225" s="6" t="s">
        <v>4190</v>
      </c>
      <c r="D225" s="6" t="s">
        <v>4191</v>
      </c>
      <c r="E225" s="6">
        <v>125514.0</v>
      </c>
    </row>
    <row r="226">
      <c r="A226" s="6">
        <v>2655.0</v>
      </c>
      <c r="B226" s="6" t="s">
        <v>4194</v>
      </c>
      <c r="C226" s="6" t="s">
        <v>4190</v>
      </c>
      <c r="D226" s="6" t="s">
        <v>4191</v>
      </c>
      <c r="E226" s="6">
        <v>125323.0</v>
      </c>
    </row>
    <row r="227">
      <c r="A227" s="6">
        <v>1636.0</v>
      </c>
      <c r="B227" s="6" t="s">
        <v>4192</v>
      </c>
      <c r="C227" s="6" t="s">
        <v>4190</v>
      </c>
      <c r="D227" s="6" t="s">
        <v>4191</v>
      </c>
      <c r="E227" s="6">
        <v>1284.0</v>
      </c>
    </row>
    <row r="228">
      <c r="A228" s="6">
        <v>1638.0</v>
      </c>
      <c r="B228" s="6" t="s">
        <v>4192</v>
      </c>
      <c r="C228" s="6" t="s">
        <v>4190</v>
      </c>
      <c r="D228" s="6" t="s">
        <v>4191</v>
      </c>
      <c r="E228" s="6">
        <v>3695.0</v>
      </c>
    </row>
    <row r="229">
      <c r="A229" s="6">
        <v>2659.0</v>
      </c>
      <c r="B229" s="6" t="s">
        <v>4192</v>
      </c>
      <c r="C229" s="6" t="s">
        <v>4190</v>
      </c>
      <c r="D229" s="6" t="s">
        <v>4191</v>
      </c>
      <c r="E229" s="6">
        <v>126001.0</v>
      </c>
    </row>
    <row r="230">
      <c r="A230" s="6">
        <v>2668.0</v>
      </c>
      <c r="B230" s="6" t="s">
        <v>4193</v>
      </c>
      <c r="C230" s="6" t="s">
        <v>4190</v>
      </c>
      <c r="D230" s="6" t="s">
        <v>4191</v>
      </c>
      <c r="E230" s="6">
        <v>128016.0</v>
      </c>
    </row>
    <row r="231">
      <c r="A231" s="6">
        <v>2288.0</v>
      </c>
      <c r="B231" s="6" t="s">
        <v>4192</v>
      </c>
      <c r="C231" s="6" t="s">
        <v>4190</v>
      </c>
      <c r="D231" s="6" t="s">
        <v>4191</v>
      </c>
      <c r="E231" s="6">
        <v>125868.0</v>
      </c>
    </row>
    <row r="232">
      <c r="A232" s="6">
        <v>2669.0</v>
      </c>
      <c r="B232" s="6" t="s">
        <v>4192</v>
      </c>
      <c r="C232" s="6" t="s">
        <v>4190</v>
      </c>
      <c r="D232" s="6" t="s">
        <v>4191</v>
      </c>
      <c r="E232" s="6">
        <v>128516.0</v>
      </c>
    </row>
    <row r="233">
      <c r="A233" s="6">
        <v>2673.0</v>
      </c>
      <c r="B233" s="6" t="s">
        <v>4189</v>
      </c>
      <c r="C233" s="6" t="s">
        <v>4190</v>
      </c>
      <c r="D233" s="6" t="s">
        <v>4191</v>
      </c>
      <c r="E233" s="6">
        <v>126929.0</v>
      </c>
    </row>
    <row r="234">
      <c r="A234" s="6">
        <v>2679.0</v>
      </c>
      <c r="B234" s="6" t="s">
        <v>4189</v>
      </c>
      <c r="C234" s="6" t="s">
        <v>4190</v>
      </c>
      <c r="D234" s="6" t="s">
        <v>4191</v>
      </c>
      <c r="E234" s="6">
        <v>129005.0</v>
      </c>
    </row>
    <row r="235">
      <c r="A235" s="6">
        <v>2683.0</v>
      </c>
      <c r="B235" s="6" t="s">
        <v>4192</v>
      </c>
      <c r="C235" s="6" t="s">
        <v>4190</v>
      </c>
      <c r="D235" s="6" t="s">
        <v>4191</v>
      </c>
      <c r="E235" s="6">
        <v>129138.0</v>
      </c>
    </row>
    <row r="236">
      <c r="A236" s="6">
        <v>2290.0</v>
      </c>
      <c r="B236" s="6" t="s">
        <v>4192</v>
      </c>
      <c r="C236" s="6" t="s">
        <v>4190</v>
      </c>
      <c r="D236" s="6" t="s">
        <v>4191</v>
      </c>
      <c r="E236" s="6">
        <v>129018.0</v>
      </c>
    </row>
    <row r="237">
      <c r="A237" s="6">
        <v>2691.0</v>
      </c>
      <c r="B237" s="6" t="s">
        <v>4192</v>
      </c>
      <c r="C237" s="6" t="s">
        <v>4190</v>
      </c>
      <c r="D237" s="6" t="s">
        <v>4191</v>
      </c>
      <c r="E237" s="6">
        <v>128395.0</v>
      </c>
    </row>
    <row r="238">
      <c r="A238" s="6">
        <v>2693.0</v>
      </c>
      <c r="B238" s="6" t="s">
        <v>4192</v>
      </c>
      <c r="C238" s="6" t="s">
        <v>4190</v>
      </c>
      <c r="D238" s="6" t="s">
        <v>4191</v>
      </c>
      <c r="E238" s="6">
        <v>126426.0</v>
      </c>
    </row>
    <row r="239">
      <c r="A239" s="6">
        <v>2695.0</v>
      </c>
      <c r="B239" s="6" t="s">
        <v>4192</v>
      </c>
      <c r="C239" s="6" t="s">
        <v>4190</v>
      </c>
      <c r="D239" s="6" t="s">
        <v>4191</v>
      </c>
      <c r="E239" s="6">
        <v>125973.0</v>
      </c>
    </row>
    <row r="240">
      <c r="A240" s="6">
        <v>2699.0</v>
      </c>
      <c r="B240" s="6" t="s">
        <v>4194</v>
      </c>
      <c r="C240" s="6" t="s">
        <v>4190</v>
      </c>
      <c r="D240" s="6" t="s">
        <v>4191</v>
      </c>
      <c r="E240" s="6">
        <v>124596.0</v>
      </c>
    </row>
    <row r="241">
      <c r="A241" s="6">
        <v>2702.0</v>
      </c>
      <c r="B241" s="6" t="s">
        <v>4194</v>
      </c>
      <c r="C241" s="6" t="s">
        <v>4190</v>
      </c>
      <c r="D241" s="6" t="s">
        <v>4191</v>
      </c>
      <c r="E241" s="6">
        <v>128449.0</v>
      </c>
    </row>
    <row r="242">
      <c r="A242" s="6">
        <v>2703.0</v>
      </c>
      <c r="B242" s="6" t="s">
        <v>4192</v>
      </c>
      <c r="C242" s="6" t="s">
        <v>4190</v>
      </c>
      <c r="D242" s="6" t="s">
        <v>4191</v>
      </c>
      <c r="E242" s="6">
        <v>126639.0</v>
      </c>
    </row>
    <row r="243">
      <c r="A243" s="6">
        <v>2711.0</v>
      </c>
      <c r="B243" s="6" t="s">
        <v>4193</v>
      </c>
      <c r="C243" s="6" t="s">
        <v>4190</v>
      </c>
      <c r="D243" s="6" t="s">
        <v>4191</v>
      </c>
      <c r="E243" s="6">
        <v>128052.0</v>
      </c>
    </row>
    <row r="244">
      <c r="A244" s="6">
        <v>2712.0</v>
      </c>
      <c r="B244" s="6" t="s">
        <v>4192</v>
      </c>
      <c r="C244" s="6" t="s">
        <v>4190</v>
      </c>
      <c r="D244" s="6" t="s">
        <v>4191</v>
      </c>
      <c r="E244" s="6">
        <v>126490.0</v>
      </c>
    </row>
    <row r="245">
      <c r="A245" s="6">
        <v>2719.0</v>
      </c>
      <c r="B245" s="6" t="s">
        <v>4189</v>
      </c>
      <c r="C245" s="6" t="s">
        <v>4190</v>
      </c>
      <c r="D245" s="6" t="s">
        <v>4191</v>
      </c>
      <c r="E245" s="6">
        <v>129081.0</v>
      </c>
    </row>
    <row r="246">
      <c r="A246" s="6">
        <v>2721.0</v>
      </c>
      <c r="B246" s="6" t="s">
        <v>4189</v>
      </c>
      <c r="C246" s="6" t="s">
        <v>4190</v>
      </c>
      <c r="D246" s="6" t="s">
        <v>4191</v>
      </c>
      <c r="E246" s="6">
        <v>126755.0</v>
      </c>
    </row>
    <row r="247">
      <c r="A247" s="6">
        <v>2722.0</v>
      </c>
      <c r="B247" s="6" t="s">
        <v>4192</v>
      </c>
      <c r="C247" s="6" t="s">
        <v>4190</v>
      </c>
      <c r="D247" s="6" t="s">
        <v>4191</v>
      </c>
      <c r="E247" s="6">
        <v>126360.0</v>
      </c>
    </row>
    <row r="248">
      <c r="A248" s="6">
        <v>2724.0</v>
      </c>
      <c r="B248" s="6" t="s">
        <v>4193</v>
      </c>
      <c r="C248" s="6" t="s">
        <v>4190</v>
      </c>
      <c r="D248" s="6" t="s">
        <v>4191</v>
      </c>
      <c r="E248" s="6">
        <v>127905.0</v>
      </c>
    </row>
    <row r="249">
      <c r="A249" s="6">
        <v>2727.0</v>
      </c>
      <c r="B249" s="6" t="s">
        <v>4192</v>
      </c>
      <c r="C249" s="6" t="s">
        <v>4190</v>
      </c>
      <c r="D249" s="6" t="s">
        <v>4191</v>
      </c>
      <c r="E249" s="6">
        <v>125951.0</v>
      </c>
    </row>
    <row r="250">
      <c r="A250" s="6">
        <v>2730.0</v>
      </c>
      <c r="B250" s="6" t="s">
        <v>4192</v>
      </c>
      <c r="C250" s="6" t="s">
        <v>4190</v>
      </c>
      <c r="D250" s="6" t="s">
        <v>4191</v>
      </c>
      <c r="E250" s="6">
        <v>126888.0</v>
      </c>
    </row>
    <row r="251">
      <c r="A251" s="6">
        <v>2735.0</v>
      </c>
      <c r="B251" s="6" t="s">
        <v>4192</v>
      </c>
      <c r="C251" s="6" t="s">
        <v>4190</v>
      </c>
      <c r="D251" s="6" t="s">
        <v>4191</v>
      </c>
      <c r="E251" s="6">
        <v>125259.0</v>
      </c>
    </row>
    <row r="252">
      <c r="A252" s="6">
        <v>2737.0</v>
      </c>
      <c r="B252" s="6" t="s">
        <v>4192</v>
      </c>
      <c r="C252" s="6" t="s">
        <v>4190</v>
      </c>
      <c r="D252" s="6" t="s">
        <v>4191</v>
      </c>
      <c r="E252" s="6">
        <v>126025.0</v>
      </c>
    </row>
    <row r="253">
      <c r="A253" s="6">
        <v>2738.0</v>
      </c>
      <c r="B253" s="6" t="s">
        <v>4192</v>
      </c>
      <c r="C253" s="6" t="s">
        <v>4190</v>
      </c>
      <c r="D253" s="6" t="s">
        <v>4191</v>
      </c>
      <c r="E253" s="6">
        <v>125602.0</v>
      </c>
    </row>
    <row r="254">
      <c r="A254" s="6">
        <v>2739.0</v>
      </c>
      <c r="B254" s="6" t="s">
        <v>4192</v>
      </c>
      <c r="C254" s="6" t="s">
        <v>4190</v>
      </c>
      <c r="D254" s="6" t="s">
        <v>4191</v>
      </c>
      <c r="E254" s="6">
        <v>125594.0</v>
      </c>
    </row>
    <row r="255">
      <c r="A255" s="6">
        <v>2744.0</v>
      </c>
      <c r="B255" s="6" t="s">
        <v>4192</v>
      </c>
      <c r="C255" s="6" t="s">
        <v>4190</v>
      </c>
      <c r="D255" s="6" t="s">
        <v>4191</v>
      </c>
      <c r="E255" s="6">
        <v>126432.0</v>
      </c>
    </row>
    <row r="256">
      <c r="A256" s="6">
        <v>2748.0</v>
      </c>
      <c r="B256" s="6" t="s">
        <v>4193</v>
      </c>
      <c r="C256" s="6" t="s">
        <v>4190</v>
      </c>
      <c r="D256" s="6" t="s">
        <v>4191</v>
      </c>
      <c r="E256" s="6">
        <v>127996.0</v>
      </c>
    </row>
    <row r="257">
      <c r="A257" s="6">
        <v>2753.0</v>
      </c>
      <c r="B257" s="6" t="s">
        <v>4192</v>
      </c>
      <c r="C257" s="6" t="s">
        <v>4190</v>
      </c>
      <c r="D257" s="6" t="s">
        <v>4191</v>
      </c>
      <c r="E257" s="6">
        <v>124810.0</v>
      </c>
    </row>
    <row r="258">
      <c r="A258" s="6">
        <v>2759.0</v>
      </c>
      <c r="B258" s="6" t="s">
        <v>4192</v>
      </c>
      <c r="C258" s="6" t="s">
        <v>4190</v>
      </c>
      <c r="D258" s="6" t="s">
        <v>4191</v>
      </c>
      <c r="E258" s="6">
        <v>129169.0</v>
      </c>
    </row>
    <row r="259">
      <c r="A259" s="6">
        <v>2763.0</v>
      </c>
      <c r="B259" s="6" t="s">
        <v>4189</v>
      </c>
      <c r="C259" s="6" t="s">
        <v>4190</v>
      </c>
      <c r="D259" s="6" t="s">
        <v>4191</v>
      </c>
      <c r="E259" s="6">
        <v>126272.0</v>
      </c>
    </row>
    <row r="260">
      <c r="A260" s="6">
        <v>2767.0</v>
      </c>
      <c r="B260" s="6" t="s">
        <v>4192</v>
      </c>
      <c r="C260" s="6" t="s">
        <v>4190</v>
      </c>
      <c r="D260" s="6" t="s">
        <v>4191</v>
      </c>
      <c r="E260" s="6">
        <v>125220.0</v>
      </c>
    </row>
    <row r="261">
      <c r="A261" s="6">
        <v>2768.0</v>
      </c>
      <c r="B261" s="6" t="s">
        <v>4196</v>
      </c>
      <c r="C261" s="6" t="s">
        <v>4190</v>
      </c>
      <c r="D261" s="6" t="s">
        <v>4191</v>
      </c>
      <c r="E261" s="6">
        <v>126101.0</v>
      </c>
    </row>
    <row r="262">
      <c r="A262" s="6">
        <v>2770.0</v>
      </c>
      <c r="B262" s="6" t="s">
        <v>4192</v>
      </c>
      <c r="C262" s="6" t="s">
        <v>4190</v>
      </c>
      <c r="D262" s="6" t="s">
        <v>4191</v>
      </c>
      <c r="E262" s="6">
        <v>124867.0</v>
      </c>
    </row>
    <row r="263">
      <c r="A263" s="6">
        <v>2774.0</v>
      </c>
      <c r="B263" s="6" t="s">
        <v>4192</v>
      </c>
      <c r="C263" s="6" t="s">
        <v>4190</v>
      </c>
      <c r="D263" s="6" t="s">
        <v>4191</v>
      </c>
      <c r="E263" s="6">
        <v>125918.0</v>
      </c>
    </row>
    <row r="264">
      <c r="A264" s="6">
        <v>2777.0</v>
      </c>
      <c r="B264" s="6" t="s">
        <v>4189</v>
      </c>
      <c r="C264" s="6" t="s">
        <v>4190</v>
      </c>
      <c r="D264" s="6" t="s">
        <v>4191</v>
      </c>
      <c r="E264" s="6">
        <v>126454.0</v>
      </c>
    </row>
    <row r="265">
      <c r="A265" s="6">
        <v>2296.0</v>
      </c>
      <c r="B265" s="6" t="s">
        <v>4192</v>
      </c>
      <c r="C265" s="6" t="s">
        <v>4190</v>
      </c>
      <c r="D265" s="6" t="s">
        <v>4191</v>
      </c>
      <c r="E265" s="6">
        <v>125930.0</v>
      </c>
    </row>
    <row r="266">
      <c r="A266" s="6">
        <v>2780.0</v>
      </c>
      <c r="B266" s="6" t="s">
        <v>4193</v>
      </c>
      <c r="C266" s="6" t="s">
        <v>4190</v>
      </c>
      <c r="D266" s="6" t="s">
        <v>4191</v>
      </c>
      <c r="E266" s="6">
        <v>128013.0</v>
      </c>
    </row>
    <row r="267">
      <c r="A267" s="6">
        <v>2781.0</v>
      </c>
      <c r="B267" s="6" t="s">
        <v>4189</v>
      </c>
      <c r="C267" s="6" t="s">
        <v>4190</v>
      </c>
      <c r="D267" s="6" t="s">
        <v>4191</v>
      </c>
      <c r="E267" s="6">
        <v>126194.0</v>
      </c>
    </row>
    <row r="268">
      <c r="A268" s="6">
        <v>2084.0</v>
      </c>
      <c r="B268" s="6" t="s">
        <v>4192</v>
      </c>
      <c r="C268" s="6" t="s">
        <v>4190</v>
      </c>
      <c r="D268" s="6" t="s">
        <v>4191</v>
      </c>
      <c r="E268" s="6">
        <v>3783.0</v>
      </c>
    </row>
    <row r="269">
      <c r="A269" s="6">
        <v>2297.0</v>
      </c>
      <c r="B269" s="6" t="s">
        <v>4194</v>
      </c>
      <c r="C269" s="6" t="s">
        <v>4190</v>
      </c>
      <c r="D269" s="6" t="s">
        <v>4191</v>
      </c>
      <c r="E269" s="6">
        <v>125500.0</v>
      </c>
    </row>
    <row r="270">
      <c r="A270" s="6">
        <v>2783.0</v>
      </c>
      <c r="B270" s="6" t="s">
        <v>4192</v>
      </c>
      <c r="C270" s="6" t="s">
        <v>4190</v>
      </c>
      <c r="D270" s="6" t="s">
        <v>4191</v>
      </c>
      <c r="E270" s="6">
        <v>124588.0</v>
      </c>
    </row>
    <row r="271">
      <c r="A271" s="6">
        <v>2784.0</v>
      </c>
      <c r="B271" s="6" t="s">
        <v>4195</v>
      </c>
      <c r="C271" s="6" t="s">
        <v>4190</v>
      </c>
      <c r="D271" s="6" t="s">
        <v>4191</v>
      </c>
      <c r="E271" s="6">
        <v>128370.0</v>
      </c>
    </row>
    <row r="272">
      <c r="A272" s="6">
        <v>3565.0</v>
      </c>
      <c r="B272" s="6" t="s">
        <v>4192</v>
      </c>
      <c r="C272" s="6" t="s">
        <v>4190</v>
      </c>
      <c r="D272" s="6" t="s">
        <v>4191</v>
      </c>
      <c r="E272" s="6">
        <v>126184.0</v>
      </c>
    </row>
    <row r="273">
      <c r="A273" s="6">
        <v>2791.0</v>
      </c>
      <c r="B273" s="6" t="s">
        <v>4192</v>
      </c>
      <c r="C273" s="6" t="s">
        <v>4190</v>
      </c>
      <c r="D273" s="6" t="s">
        <v>4191</v>
      </c>
      <c r="E273" s="6">
        <v>129197.0</v>
      </c>
    </row>
    <row r="274">
      <c r="A274" s="6">
        <v>2792.0</v>
      </c>
      <c r="B274" s="6" t="s">
        <v>4192</v>
      </c>
      <c r="C274" s="6" t="s">
        <v>4190</v>
      </c>
      <c r="D274" s="6" t="s">
        <v>4191</v>
      </c>
      <c r="E274" s="6">
        <v>125565.0</v>
      </c>
    </row>
    <row r="275">
      <c r="A275" s="6">
        <v>2793.0</v>
      </c>
      <c r="B275" s="6" t="s">
        <v>4193</v>
      </c>
      <c r="C275" s="6" t="s">
        <v>4190</v>
      </c>
      <c r="D275" s="6" t="s">
        <v>4191</v>
      </c>
      <c r="E275" s="6">
        <v>127925.0</v>
      </c>
    </row>
    <row r="276">
      <c r="A276" s="6">
        <v>2817.0</v>
      </c>
      <c r="B276" s="6" t="s">
        <v>4192</v>
      </c>
      <c r="C276" s="6" t="s">
        <v>4190</v>
      </c>
      <c r="D276" s="6" t="s">
        <v>4191</v>
      </c>
      <c r="E276" s="6">
        <v>126950.0</v>
      </c>
    </row>
    <row r="277">
      <c r="A277" s="6">
        <v>2818.0</v>
      </c>
      <c r="B277" s="6" t="s">
        <v>4192</v>
      </c>
      <c r="C277" s="6" t="s">
        <v>4190</v>
      </c>
      <c r="D277" s="6" t="s">
        <v>4191</v>
      </c>
      <c r="E277" s="6">
        <v>125906.0</v>
      </c>
    </row>
    <row r="278">
      <c r="A278" s="6">
        <v>2822.0</v>
      </c>
      <c r="B278" s="6" t="s">
        <v>4192</v>
      </c>
      <c r="C278" s="6" t="s">
        <v>4190</v>
      </c>
      <c r="D278" s="6" t="s">
        <v>4191</v>
      </c>
      <c r="E278" s="6">
        <v>125870.0</v>
      </c>
    </row>
    <row r="279">
      <c r="A279" s="6">
        <v>2823.0</v>
      </c>
      <c r="B279" s="6" t="s">
        <v>4195</v>
      </c>
      <c r="C279" s="6" t="s">
        <v>4190</v>
      </c>
      <c r="D279" s="6" t="s">
        <v>4191</v>
      </c>
      <c r="E279" s="6">
        <v>124716.0</v>
      </c>
    </row>
    <row r="280">
      <c r="A280" s="6">
        <v>2825.0</v>
      </c>
      <c r="B280" s="6" t="s">
        <v>4193</v>
      </c>
      <c r="C280" s="6" t="s">
        <v>4190</v>
      </c>
      <c r="D280" s="6" t="s">
        <v>4191</v>
      </c>
      <c r="E280" s="6">
        <v>127961.0</v>
      </c>
    </row>
    <row r="281">
      <c r="A281" s="6">
        <v>2827.0</v>
      </c>
      <c r="B281" s="6" t="s">
        <v>4193</v>
      </c>
      <c r="C281" s="6" t="s">
        <v>4190</v>
      </c>
      <c r="D281" s="6" t="s">
        <v>4191</v>
      </c>
      <c r="E281" s="6">
        <v>128002.0</v>
      </c>
    </row>
    <row r="282">
      <c r="A282" s="6">
        <v>2829.0</v>
      </c>
      <c r="B282" s="6" t="s">
        <v>4192</v>
      </c>
      <c r="C282" s="6" t="s">
        <v>4190</v>
      </c>
      <c r="D282" s="6" t="s">
        <v>4191</v>
      </c>
      <c r="E282" s="6">
        <v>128443.0</v>
      </c>
    </row>
    <row r="283">
      <c r="A283" s="6">
        <v>2830.0</v>
      </c>
      <c r="B283" s="6" t="s">
        <v>4197</v>
      </c>
      <c r="C283" s="6" t="s">
        <v>4190</v>
      </c>
      <c r="D283" s="6" t="s">
        <v>4191</v>
      </c>
      <c r="E283" s="6">
        <v>126144.0</v>
      </c>
    </row>
    <row r="284">
      <c r="A284" s="6">
        <v>2835.0</v>
      </c>
      <c r="B284" s="6" t="s">
        <v>4192</v>
      </c>
      <c r="C284" s="6" t="s">
        <v>4190</v>
      </c>
      <c r="D284" s="6" t="s">
        <v>4191</v>
      </c>
      <c r="E284" s="6">
        <v>126423.0</v>
      </c>
    </row>
    <row r="285">
      <c r="A285" s="6">
        <v>2837.0</v>
      </c>
      <c r="B285" s="6" t="s">
        <v>4192</v>
      </c>
      <c r="C285" s="6" t="s">
        <v>4190</v>
      </c>
      <c r="D285" s="6" t="s">
        <v>4191</v>
      </c>
      <c r="E285" s="6">
        <v>125968.0</v>
      </c>
    </row>
    <row r="286">
      <c r="A286" s="6">
        <v>2838.0</v>
      </c>
      <c r="B286" s="6" t="s">
        <v>4192</v>
      </c>
      <c r="C286" s="6" t="s">
        <v>4190</v>
      </c>
      <c r="D286" s="6" t="s">
        <v>4191</v>
      </c>
      <c r="E286" s="6">
        <v>124997.0</v>
      </c>
    </row>
    <row r="287">
      <c r="A287" s="6">
        <v>2839.0</v>
      </c>
      <c r="B287" s="6" t="s">
        <v>4193</v>
      </c>
      <c r="C287" s="6" t="s">
        <v>4190</v>
      </c>
      <c r="D287" s="6" t="s">
        <v>4191</v>
      </c>
      <c r="E287" s="6">
        <v>127955.0</v>
      </c>
    </row>
    <row r="288">
      <c r="A288" s="6">
        <v>2798.0</v>
      </c>
      <c r="B288" s="6" t="s">
        <v>4192</v>
      </c>
      <c r="C288" s="6" t="s">
        <v>4190</v>
      </c>
      <c r="D288" s="6" t="s">
        <v>4191</v>
      </c>
      <c r="E288" s="6">
        <v>126059.0</v>
      </c>
    </row>
    <row r="289">
      <c r="A289" s="6">
        <v>2139.0</v>
      </c>
      <c r="B289" s="6" t="s">
        <v>4192</v>
      </c>
      <c r="C289" s="6" t="s">
        <v>4190</v>
      </c>
      <c r="D289" s="6" t="s">
        <v>4191</v>
      </c>
      <c r="E289" s="6">
        <v>4034.0</v>
      </c>
    </row>
    <row r="290">
      <c r="A290" s="6">
        <v>2841.0</v>
      </c>
      <c r="B290" s="6" t="s">
        <v>4192</v>
      </c>
      <c r="C290" s="6" t="s">
        <v>4190</v>
      </c>
      <c r="D290" s="6" t="s">
        <v>4191</v>
      </c>
      <c r="E290" s="6">
        <v>128349.0</v>
      </c>
    </row>
    <row r="291">
      <c r="A291" s="6">
        <v>2799.0</v>
      </c>
      <c r="B291" s="6" t="s">
        <v>4189</v>
      </c>
      <c r="C291" s="6" t="s">
        <v>4190</v>
      </c>
      <c r="D291" s="6" t="s">
        <v>4191</v>
      </c>
      <c r="E291" s="6">
        <v>125063.0</v>
      </c>
    </row>
    <row r="292">
      <c r="A292" s="6">
        <v>2845.0</v>
      </c>
      <c r="B292" s="6" t="s">
        <v>4189</v>
      </c>
      <c r="C292" s="6" t="s">
        <v>4190</v>
      </c>
      <c r="D292" s="6" t="s">
        <v>4191</v>
      </c>
      <c r="E292" s="6">
        <v>125359.0</v>
      </c>
    </row>
    <row r="293">
      <c r="A293" s="6">
        <v>2848.0</v>
      </c>
      <c r="B293" s="6" t="s">
        <v>4192</v>
      </c>
      <c r="C293" s="6" t="s">
        <v>4190</v>
      </c>
      <c r="D293" s="6" t="s">
        <v>4191</v>
      </c>
      <c r="E293" s="6">
        <v>126748.0</v>
      </c>
    </row>
    <row r="294">
      <c r="A294" s="6">
        <v>2851.0</v>
      </c>
      <c r="B294" s="6" t="s">
        <v>4189</v>
      </c>
      <c r="C294" s="6" t="s">
        <v>4190</v>
      </c>
      <c r="D294" s="6" t="s">
        <v>4191</v>
      </c>
      <c r="E294" s="6">
        <v>125481.0</v>
      </c>
    </row>
    <row r="295">
      <c r="A295" s="6">
        <v>2853.0</v>
      </c>
      <c r="B295" s="6" t="s">
        <v>4189</v>
      </c>
      <c r="C295" s="6" t="s">
        <v>4190</v>
      </c>
      <c r="D295" s="6" t="s">
        <v>4191</v>
      </c>
      <c r="E295" s="6">
        <v>125255.0</v>
      </c>
    </row>
    <row r="296">
      <c r="A296" s="6">
        <v>2855.0</v>
      </c>
      <c r="B296" s="6" t="s">
        <v>4195</v>
      </c>
      <c r="C296" s="6" t="s">
        <v>4190</v>
      </c>
      <c r="D296" s="6" t="s">
        <v>4191</v>
      </c>
      <c r="E296" s="6">
        <v>128873.0</v>
      </c>
    </row>
    <row r="297">
      <c r="A297" s="6">
        <v>2856.0</v>
      </c>
      <c r="B297" s="6" t="s">
        <v>4192</v>
      </c>
      <c r="C297" s="6" t="s">
        <v>4190</v>
      </c>
      <c r="D297" s="6" t="s">
        <v>4191</v>
      </c>
      <c r="E297" s="6">
        <v>125962.0</v>
      </c>
    </row>
    <row r="298">
      <c r="A298" s="6">
        <v>2858.0</v>
      </c>
      <c r="B298" s="6" t="s">
        <v>4193</v>
      </c>
      <c r="C298" s="6" t="s">
        <v>4190</v>
      </c>
      <c r="D298" s="6" t="s">
        <v>4191</v>
      </c>
      <c r="E298" s="6">
        <v>127897.0</v>
      </c>
    </row>
    <row r="299">
      <c r="A299" s="6">
        <v>2861.0</v>
      </c>
      <c r="B299" s="6" t="s">
        <v>4189</v>
      </c>
      <c r="C299" s="6" t="s">
        <v>4190</v>
      </c>
      <c r="D299" s="6" t="s">
        <v>4191</v>
      </c>
      <c r="E299" s="6">
        <v>126474.0</v>
      </c>
    </row>
    <row r="300">
      <c r="A300" s="6">
        <v>2865.0</v>
      </c>
      <c r="B300" s="6" t="s">
        <v>4189</v>
      </c>
      <c r="C300" s="6" t="s">
        <v>4190</v>
      </c>
      <c r="D300" s="6" t="s">
        <v>4191</v>
      </c>
      <c r="E300" s="6">
        <v>125993.0</v>
      </c>
    </row>
    <row r="301">
      <c r="A301" s="6">
        <v>2873.0</v>
      </c>
      <c r="B301" s="6" t="s">
        <v>4192</v>
      </c>
      <c r="C301" s="6" t="s">
        <v>4190</v>
      </c>
      <c r="D301" s="6" t="s">
        <v>4191</v>
      </c>
      <c r="E301" s="6">
        <v>126506.0</v>
      </c>
    </row>
    <row r="302">
      <c r="A302" s="6">
        <v>2875.0</v>
      </c>
      <c r="B302" s="6" t="s">
        <v>4193</v>
      </c>
      <c r="C302" s="6" t="s">
        <v>4190</v>
      </c>
      <c r="D302" s="6" t="s">
        <v>4191</v>
      </c>
      <c r="E302" s="6">
        <v>128064.0</v>
      </c>
    </row>
    <row r="303">
      <c r="A303" s="6">
        <v>2876.0</v>
      </c>
      <c r="B303" s="6" t="s">
        <v>4195</v>
      </c>
      <c r="C303" s="6" t="s">
        <v>4190</v>
      </c>
      <c r="D303" s="6" t="s">
        <v>4191</v>
      </c>
      <c r="E303" s="6">
        <v>128481.0</v>
      </c>
    </row>
    <row r="304">
      <c r="A304" s="6">
        <v>2881.0</v>
      </c>
      <c r="B304" s="6" t="s">
        <v>4192</v>
      </c>
      <c r="C304" s="6" t="s">
        <v>4190</v>
      </c>
      <c r="D304" s="6" t="s">
        <v>4191</v>
      </c>
      <c r="E304" s="6">
        <v>125142.0</v>
      </c>
    </row>
    <row r="305">
      <c r="A305" s="6">
        <v>2882.0</v>
      </c>
      <c r="B305" s="6" t="s">
        <v>4192</v>
      </c>
      <c r="C305" s="6" t="s">
        <v>4190</v>
      </c>
      <c r="D305" s="6" t="s">
        <v>4191</v>
      </c>
      <c r="E305" s="6">
        <v>124732.0</v>
      </c>
    </row>
    <row r="306">
      <c r="A306" s="6">
        <v>2887.0</v>
      </c>
      <c r="B306" s="6" t="s">
        <v>4194</v>
      </c>
      <c r="C306" s="6" t="s">
        <v>4190</v>
      </c>
      <c r="D306" s="6" t="s">
        <v>4191</v>
      </c>
      <c r="E306" s="6">
        <v>126449.0</v>
      </c>
    </row>
    <row r="307">
      <c r="A307" s="6">
        <v>2893.0</v>
      </c>
      <c r="B307" s="6" t="s">
        <v>4192</v>
      </c>
      <c r="C307" s="6" t="s">
        <v>4190</v>
      </c>
      <c r="D307" s="6" t="s">
        <v>4191</v>
      </c>
      <c r="E307" s="6">
        <v>126623.0</v>
      </c>
    </row>
    <row r="308">
      <c r="A308" s="6">
        <v>2896.0</v>
      </c>
      <c r="B308" s="6" t="s">
        <v>4189</v>
      </c>
      <c r="C308" s="6" t="s">
        <v>4190</v>
      </c>
      <c r="D308" s="6" t="s">
        <v>4191</v>
      </c>
      <c r="E308" s="6">
        <v>128390.0</v>
      </c>
    </row>
    <row r="309">
      <c r="A309" s="6">
        <v>2902.0</v>
      </c>
      <c r="B309" s="6" t="s">
        <v>4192</v>
      </c>
      <c r="C309" s="6" t="s">
        <v>4190</v>
      </c>
      <c r="D309" s="6" t="s">
        <v>4191</v>
      </c>
      <c r="E309" s="6">
        <v>126257.0</v>
      </c>
    </row>
    <row r="310">
      <c r="A310" s="6">
        <v>2903.0</v>
      </c>
      <c r="B310" s="6" t="s">
        <v>4193</v>
      </c>
      <c r="C310" s="6" t="s">
        <v>4190</v>
      </c>
      <c r="D310" s="6" t="s">
        <v>4191</v>
      </c>
      <c r="E310" s="6">
        <v>127978.0</v>
      </c>
    </row>
    <row r="311">
      <c r="A311" s="6">
        <v>2905.0</v>
      </c>
      <c r="B311" s="6" t="s">
        <v>4194</v>
      </c>
      <c r="C311" s="6" t="s">
        <v>4190</v>
      </c>
      <c r="D311" s="6" t="s">
        <v>4191</v>
      </c>
      <c r="E311" s="6">
        <v>126600.0</v>
      </c>
    </row>
    <row r="312">
      <c r="A312" s="6">
        <v>2906.0</v>
      </c>
      <c r="B312" s="6" t="s">
        <v>4195</v>
      </c>
      <c r="C312" s="6" t="s">
        <v>4190</v>
      </c>
      <c r="D312" s="6" t="s">
        <v>4191</v>
      </c>
      <c r="E312" s="6">
        <v>126790.0</v>
      </c>
    </row>
    <row r="313">
      <c r="A313" s="6">
        <v>2913.0</v>
      </c>
      <c r="B313" s="6" t="s">
        <v>4192</v>
      </c>
      <c r="C313" s="6" t="s">
        <v>4190</v>
      </c>
      <c r="D313" s="6" t="s">
        <v>4191</v>
      </c>
      <c r="E313" s="6">
        <v>125502.0</v>
      </c>
    </row>
    <row r="314">
      <c r="A314" s="6">
        <v>2919.0</v>
      </c>
      <c r="B314" s="6" t="s">
        <v>4193</v>
      </c>
      <c r="C314" s="6" t="s">
        <v>4190</v>
      </c>
      <c r="D314" s="6" t="s">
        <v>4191</v>
      </c>
      <c r="E314" s="6">
        <v>127911.0</v>
      </c>
    </row>
    <row r="315">
      <c r="A315" s="6">
        <v>2920.0</v>
      </c>
      <c r="B315" s="6" t="s">
        <v>4192</v>
      </c>
      <c r="C315" s="6" t="s">
        <v>4190</v>
      </c>
      <c r="D315" s="6" t="s">
        <v>4191</v>
      </c>
      <c r="E315" s="6">
        <v>128352.0</v>
      </c>
    </row>
    <row r="316">
      <c r="A316" s="6">
        <v>2921.0</v>
      </c>
      <c r="B316" s="6" t="s">
        <v>4192</v>
      </c>
      <c r="C316" s="6" t="s">
        <v>4190</v>
      </c>
      <c r="D316" s="6" t="s">
        <v>4191</v>
      </c>
      <c r="E316" s="6">
        <v>126383.0</v>
      </c>
    </row>
    <row r="317">
      <c r="A317" s="6">
        <v>2923.0</v>
      </c>
      <c r="B317" s="6" t="s">
        <v>4194</v>
      </c>
      <c r="C317" s="6" t="s">
        <v>4190</v>
      </c>
      <c r="D317" s="6" t="s">
        <v>4191</v>
      </c>
      <c r="E317" s="6">
        <v>126593.0</v>
      </c>
    </row>
    <row r="318">
      <c r="A318" s="6">
        <v>2928.0</v>
      </c>
      <c r="B318" s="6" t="s">
        <v>4196</v>
      </c>
      <c r="C318" s="6" t="s">
        <v>4190</v>
      </c>
      <c r="D318" s="6" t="s">
        <v>4191</v>
      </c>
      <c r="E318" s="6">
        <v>125550.0</v>
      </c>
    </row>
    <row r="319">
      <c r="A319" s="6">
        <v>2804.0</v>
      </c>
      <c r="B319" s="6" t="s">
        <v>4192</v>
      </c>
      <c r="C319" s="6" t="s">
        <v>4190</v>
      </c>
      <c r="D319" s="6" t="s">
        <v>4191</v>
      </c>
      <c r="E319" s="6">
        <v>124910.0</v>
      </c>
    </row>
    <row r="320">
      <c r="A320" s="6">
        <v>2936.0</v>
      </c>
      <c r="B320" s="6" t="s">
        <v>4193</v>
      </c>
      <c r="C320" s="6" t="s">
        <v>4190</v>
      </c>
      <c r="D320" s="6" t="s">
        <v>4191</v>
      </c>
      <c r="E320" s="6">
        <v>127958.0</v>
      </c>
    </row>
    <row r="321">
      <c r="A321" s="6">
        <v>2937.0</v>
      </c>
      <c r="B321" s="6" t="s">
        <v>4192</v>
      </c>
      <c r="C321" s="6" t="s">
        <v>4190</v>
      </c>
      <c r="D321" s="6" t="s">
        <v>4191</v>
      </c>
      <c r="E321" s="6">
        <v>126904.0</v>
      </c>
    </row>
    <row r="322">
      <c r="A322" s="6">
        <v>2806.0</v>
      </c>
      <c r="B322" s="6" t="s">
        <v>4189</v>
      </c>
      <c r="C322" s="6" t="s">
        <v>4190</v>
      </c>
      <c r="D322" s="6" t="s">
        <v>4191</v>
      </c>
      <c r="E322" s="6">
        <v>126636.0</v>
      </c>
    </row>
    <row r="323">
      <c r="A323" s="6">
        <v>2252.0</v>
      </c>
      <c r="B323" s="6" t="s">
        <v>4189</v>
      </c>
      <c r="C323" s="6" t="s">
        <v>4190</v>
      </c>
      <c r="D323" s="6" t="s">
        <v>4191</v>
      </c>
      <c r="E323" s="6">
        <v>4054.0</v>
      </c>
    </row>
    <row r="324">
      <c r="A324" s="6">
        <v>2942.0</v>
      </c>
      <c r="B324" s="6" t="s">
        <v>4195</v>
      </c>
      <c r="C324" s="6" t="s">
        <v>4190</v>
      </c>
      <c r="D324" s="6" t="s">
        <v>4191</v>
      </c>
      <c r="E324" s="6">
        <v>124726.0</v>
      </c>
    </row>
    <row r="325">
      <c r="A325" s="6">
        <v>2943.0</v>
      </c>
      <c r="B325" s="6" t="s">
        <v>4193</v>
      </c>
      <c r="C325" s="6" t="s">
        <v>4190</v>
      </c>
      <c r="D325" s="6" t="s">
        <v>4191</v>
      </c>
      <c r="E325" s="6">
        <v>127935.0</v>
      </c>
    </row>
    <row r="326">
      <c r="A326" s="6">
        <v>2947.0</v>
      </c>
      <c r="B326" s="6" t="s">
        <v>4189</v>
      </c>
      <c r="C326" s="6" t="s">
        <v>4190</v>
      </c>
      <c r="D326" s="6" t="s">
        <v>4191</v>
      </c>
      <c r="E326" s="6">
        <v>124541.0</v>
      </c>
    </row>
    <row r="327">
      <c r="A327" s="6">
        <v>2949.0</v>
      </c>
      <c r="B327" s="6" t="s">
        <v>4192</v>
      </c>
      <c r="C327" s="6" t="s">
        <v>4190</v>
      </c>
      <c r="D327" s="6" t="s">
        <v>4191</v>
      </c>
      <c r="E327" s="6">
        <v>126298.0</v>
      </c>
    </row>
    <row r="328">
      <c r="A328" s="6">
        <v>3290.0</v>
      </c>
      <c r="B328" s="6" t="s">
        <v>4192</v>
      </c>
      <c r="C328" s="6" t="s">
        <v>4190</v>
      </c>
      <c r="D328" s="6" t="s">
        <v>4191</v>
      </c>
      <c r="E328" s="6">
        <v>125999.0</v>
      </c>
    </row>
    <row r="329">
      <c r="A329" s="6">
        <v>3181.0</v>
      </c>
      <c r="B329" s="6" t="s">
        <v>4192</v>
      </c>
      <c r="C329" s="6" t="s">
        <v>4190</v>
      </c>
      <c r="D329" s="6" t="s">
        <v>4191</v>
      </c>
      <c r="E329" s="6">
        <v>128806.0</v>
      </c>
    </row>
    <row r="330">
      <c r="A330" s="6">
        <v>3292.0</v>
      </c>
      <c r="B330" s="6" t="s">
        <v>4194</v>
      </c>
      <c r="C330" s="6" t="s">
        <v>4190</v>
      </c>
      <c r="D330" s="6" t="s">
        <v>4191</v>
      </c>
      <c r="E330" s="6">
        <v>125051.0</v>
      </c>
    </row>
    <row r="331">
      <c r="A331" s="6">
        <v>3296.0</v>
      </c>
      <c r="B331" s="6" t="s">
        <v>4189</v>
      </c>
      <c r="C331" s="6" t="s">
        <v>4190</v>
      </c>
      <c r="D331" s="6" t="s">
        <v>4191</v>
      </c>
      <c r="E331" s="6">
        <v>125401.0</v>
      </c>
    </row>
    <row r="332">
      <c r="A332" s="6">
        <v>3110.0</v>
      </c>
      <c r="B332" s="6" t="s">
        <v>4192</v>
      </c>
      <c r="C332" s="6" t="s">
        <v>4190</v>
      </c>
      <c r="D332" s="6" t="s">
        <v>4191</v>
      </c>
      <c r="E332" s="6">
        <v>3671.0</v>
      </c>
    </row>
    <row r="333">
      <c r="A333" s="6">
        <v>3299.0</v>
      </c>
      <c r="B333" s="6" t="s">
        <v>4192</v>
      </c>
      <c r="C333" s="6" t="s">
        <v>4190</v>
      </c>
      <c r="D333" s="6" t="s">
        <v>4191</v>
      </c>
      <c r="E333" s="6">
        <v>125841.0</v>
      </c>
    </row>
    <row r="334">
      <c r="A334" s="6">
        <v>3300.0</v>
      </c>
      <c r="B334" s="6" t="s">
        <v>4192</v>
      </c>
      <c r="C334" s="6" t="s">
        <v>4190</v>
      </c>
      <c r="D334" s="6" t="s">
        <v>4191</v>
      </c>
      <c r="E334" s="6">
        <v>125745.0</v>
      </c>
    </row>
    <row r="335">
      <c r="A335" s="6">
        <v>3303.0</v>
      </c>
      <c r="B335" s="6" t="s">
        <v>4193</v>
      </c>
      <c r="C335" s="6" t="s">
        <v>4190</v>
      </c>
      <c r="D335" s="6" t="s">
        <v>4191</v>
      </c>
      <c r="E335" s="6">
        <v>128017.0</v>
      </c>
    </row>
    <row r="336">
      <c r="A336" s="6">
        <v>3307.0</v>
      </c>
      <c r="B336" s="6" t="s">
        <v>4194</v>
      </c>
      <c r="C336" s="6" t="s">
        <v>4190</v>
      </c>
      <c r="D336" s="6" t="s">
        <v>4191</v>
      </c>
      <c r="E336" s="6">
        <v>126243.0</v>
      </c>
    </row>
    <row r="337">
      <c r="A337" s="6">
        <v>3308.0</v>
      </c>
      <c r="B337" s="6" t="s">
        <v>4192</v>
      </c>
      <c r="C337" s="6" t="s">
        <v>4190</v>
      </c>
      <c r="D337" s="6" t="s">
        <v>4191</v>
      </c>
      <c r="E337" s="6">
        <v>126800.0</v>
      </c>
    </row>
    <row r="338">
      <c r="A338" s="6">
        <v>3313.0</v>
      </c>
      <c r="B338" s="6" t="s">
        <v>4189</v>
      </c>
      <c r="C338" s="6" t="s">
        <v>4190</v>
      </c>
      <c r="D338" s="6" t="s">
        <v>4191</v>
      </c>
      <c r="E338" s="6">
        <v>125857.0</v>
      </c>
    </row>
    <row r="339">
      <c r="A339" s="6">
        <v>3315.0</v>
      </c>
      <c r="B339" s="6" t="s">
        <v>4192</v>
      </c>
      <c r="C339" s="6" t="s">
        <v>4190</v>
      </c>
      <c r="D339" s="6" t="s">
        <v>4191</v>
      </c>
      <c r="E339" s="6">
        <v>126901.0</v>
      </c>
    </row>
    <row r="340">
      <c r="A340" s="6">
        <v>3316.0</v>
      </c>
      <c r="B340" s="6" t="s">
        <v>4192</v>
      </c>
      <c r="C340" s="6" t="s">
        <v>4190</v>
      </c>
      <c r="D340" s="6" t="s">
        <v>4191</v>
      </c>
      <c r="E340" s="6">
        <v>126324.0</v>
      </c>
    </row>
    <row r="341">
      <c r="A341" s="6">
        <v>3324.0</v>
      </c>
      <c r="B341" s="6" t="s">
        <v>4192</v>
      </c>
      <c r="C341" s="6" t="s">
        <v>4190</v>
      </c>
      <c r="D341" s="6" t="s">
        <v>4191</v>
      </c>
      <c r="E341" s="6">
        <v>128665.0</v>
      </c>
    </row>
    <row r="342">
      <c r="A342" s="6">
        <v>3326.0</v>
      </c>
      <c r="B342" s="6" t="s">
        <v>4192</v>
      </c>
      <c r="C342" s="6" t="s">
        <v>4190</v>
      </c>
      <c r="D342" s="6" t="s">
        <v>4191</v>
      </c>
      <c r="E342" s="6">
        <v>126097.0</v>
      </c>
    </row>
    <row r="343">
      <c r="A343" s="6">
        <v>3329.0</v>
      </c>
      <c r="B343" s="6" t="s">
        <v>4192</v>
      </c>
      <c r="C343" s="6" t="s">
        <v>4190</v>
      </c>
      <c r="D343" s="6" t="s">
        <v>4191</v>
      </c>
      <c r="E343" s="6">
        <v>126073.0</v>
      </c>
    </row>
    <row r="344">
      <c r="A344" s="6">
        <v>3334.0</v>
      </c>
      <c r="B344" s="6" t="s">
        <v>4192</v>
      </c>
      <c r="C344" s="6" t="s">
        <v>4190</v>
      </c>
      <c r="D344" s="6" t="s">
        <v>4191</v>
      </c>
      <c r="E344" s="6">
        <v>126627.0</v>
      </c>
    </row>
    <row r="345">
      <c r="A345" s="6">
        <v>3364.0</v>
      </c>
      <c r="B345" s="6" t="s">
        <v>4196</v>
      </c>
      <c r="C345" s="6" t="s">
        <v>4190</v>
      </c>
      <c r="D345" s="6" t="s">
        <v>4191</v>
      </c>
      <c r="E345" s="6">
        <v>125527.0</v>
      </c>
    </row>
    <row r="346">
      <c r="A346" s="6">
        <v>3366.0</v>
      </c>
      <c r="B346" s="6" t="s">
        <v>4193</v>
      </c>
      <c r="C346" s="6" t="s">
        <v>4190</v>
      </c>
      <c r="D346" s="6" t="s">
        <v>4191</v>
      </c>
      <c r="E346" s="6">
        <v>128000.0</v>
      </c>
    </row>
    <row r="347">
      <c r="A347" s="6">
        <v>3377.0</v>
      </c>
      <c r="B347" s="6" t="s">
        <v>4193</v>
      </c>
      <c r="C347" s="6" t="s">
        <v>4190</v>
      </c>
      <c r="D347" s="6" t="s">
        <v>4191</v>
      </c>
      <c r="E347" s="6">
        <v>128045.0</v>
      </c>
    </row>
    <row r="348">
      <c r="A348" s="6">
        <v>3379.0</v>
      </c>
      <c r="B348" s="6" t="s">
        <v>4192</v>
      </c>
      <c r="C348" s="6" t="s">
        <v>4190</v>
      </c>
      <c r="D348" s="6" t="s">
        <v>4191</v>
      </c>
      <c r="E348" s="6">
        <v>128425.0</v>
      </c>
    </row>
    <row r="349">
      <c r="A349" s="6">
        <v>3399.0</v>
      </c>
      <c r="B349" s="6" t="s">
        <v>4192</v>
      </c>
      <c r="C349" s="6" t="s">
        <v>4190</v>
      </c>
      <c r="D349" s="6" t="s">
        <v>4191</v>
      </c>
      <c r="E349" s="6">
        <v>129028.0</v>
      </c>
    </row>
    <row r="350">
      <c r="A350" s="6">
        <v>3400.0</v>
      </c>
      <c r="B350" s="6" t="s">
        <v>4192</v>
      </c>
      <c r="C350" s="6" t="s">
        <v>4190</v>
      </c>
      <c r="D350" s="6" t="s">
        <v>4191</v>
      </c>
      <c r="E350" s="6">
        <v>124685.0</v>
      </c>
    </row>
    <row r="351">
      <c r="A351" s="6">
        <v>3346.0</v>
      </c>
      <c r="B351" s="6" t="s">
        <v>4193</v>
      </c>
      <c r="C351" s="6" t="s">
        <v>4190</v>
      </c>
      <c r="D351" s="6" t="s">
        <v>4191</v>
      </c>
      <c r="E351" s="6">
        <v>127959.0</v>
      </c>
    </row>
    <row r="352">
      <c r="A352" s="6">
        <v>3567.0</v>
      </c>
      <c r="B352" s="6" t="s">
        <v>4192</v>
      </c>
      <c r="C352" s="6" t="s">
        <v>4190</v>
      </c>
      <c r="D352" s="6" t="s">
        <v>4191</v>
      </c>
      <c r="E352" s="6">
        <v>125984.0</v>
      </c>
    </row>
    <row r="353">
      <c r="A353" s="6">
        <v>2433.0</v>
      </c>
      <c r="B353" s="6" t="s">
        <v>4192</v>
      </c>
      <c r="C353" s="6" t="s">
        <v>4190</v>
      </c>
      <c r="D353" s="6" t="s">
        <v>4191</v>
      </c>
      <c r="E353" s="6">
        <v>3708.0</v>
      </c>
    </row>
    <row r="354">
      <c r="A354" s="6">
        <v>3410.0</v>
      </c>
      <c r="B354" s="6" t="s">
        <v>4192</v>
      </c>
      <c r="C354" s="6" t="s">
        <v>4190</v>
      </c>
      <c r="D354" s="6" t="s">
        <v>4191</v>
      </c>
      <c r="E354" s="6">
        <v>125575.0</v>
      </c>
    </row>
    <row r="355">
      <c r="A355" s="6">
        <v>3412.0</v>
      </c>
      <c r="B355" s="6" t="s">
        <v>4189</v>
      </c>
      <c r="C355" s="6" t="s">
        <v>4190</v>
      </c>
      <c r="D355" s="6" t="s">
        <v>4191</v>
      </c>
      <c r="E355" s="6">
        <v>128769.0</v>
      </c>
    </row>
    <row r="356">
      <c r="A356" s="6">
        <v>3416.0</v>
      </c>
      <c r="B356" s="6" t="s">
        <v>4193</v>
      </c>
      <c r="C356" s="6" t="s">
        <v>4190</v>
      </c>
      <c r="D356" s="6" t="s">
        <v>4191</v>
      </c>
      <c r="E356" s="6">
        <v>128062.0</v>
      </c>
    </row>
    <row r="357">
      <c r="A357" s="6">
        <v>3420.0</v>
      </c>
      <c r="B357" s="6" t="s">
        <v>4192</v>
      </c>
      <c r="C357" s="6" t="s">
        <v>4190</v>
      </c>
      <c r="D357" s="6" t="s">
        <v>4191</v>
      </c>
      <c r="E357" s="6">
        <v>125082.0</v>
      </c>
    </row>
    <row r="358">
      <c r="A358" s="6">
        <v>3421.0</v>
      </c>
      <c r="B358" s="6" t="s">
        <v>4192</v>
      </c>
      <c r="C358" s="6" t="s">
        <v>4190</v>
      </c>
      <c r="D358" s="6" t="s">
        <v>4191</v>
      </c>
      <c r="E358" s="6">
        <v>126710.0</v>
      </c>
    </row>
    <row r="359">
      <c r="A359" s="6">
        <v>3422.0</v>
      </c>
      <c r="B359" s="6" t="s">
        <v>4192</v>
      </c>
      <c r="C359" s="6" t="s">
        <v>4190</v>
      </c>
      <c r="D359" s="6" t="s">
        <v>4191</v>
      </c>
      <c r="E359" s="6">
        <v>126695.0</v>
      </c>
    </row>
    <row r="360">
      <c r="A360" s="6">
        <v>3348.0</v>
      </c>
      <c r="B360" s="6" t="s">
        <v>4192</v>
      </c>
      <c r="C360" s="6" t="s">
        <v>4190</v>
      </c>
      <c r="D360" s="6" t="s">
        <v>4191</v>
      </c>
      <c r="E360" s="6">
        <v>125232.0</v>
      </c>
    </row>
    <row r="361">
      <c r="A361" s="6">
        <v>3424.0</v>
      </c>
      <c r="B361" s="6" t="s">
        <v>4192</v>
      </c>
      <c r="C361" s="6" t="s">
        <v>4190</v>
      </c>
      <c r="D361" s="6" t="s">
        <v>4191</v>
      </c>
      <c r="E361" s="6">
        <v>126315.0</v>
      </c>
    </row>
    <row r="362">
      <c r="A362" s="6">
        <v>3425.0</v>
      </c>
      <c r="B362" s="6" t="s">
        <v>4192</v>
      </c>
      <c r="C362" s="6" t="s">
        <v>4190</v>
      </c>
      <c r="D362" s="6" t="s">
        <v>4191</v>
      </c>
      <c r="E362" s="6">
        <v>126529.0</v>
      </c>
    </row>
    <row r="363">
      <c r="A363" s="6">
        <v>3427.0</v>
      </c>
      <c r="B363" s="6" t="s">
        <v>4192</v>
      </c>
      <c r="C363" s="6" t="s">
        <v>4190</v>
      </c>
      <c r="D363" s="6" t="s">
        <v>4191</v>
      </c>
      <c r="E363" s="6">
        <v>125719.0</v>
      </c>
    </row>
    <row r="364">
      <c r="A364" s="6">
        <v>3428.0</v>
      </c>
      <c r="B364" s="6" t="s">
        <v>4192</v>
      </c>
      <c r="C364" s="6" t="s">
        <v>4190</v>
      </c>
      <c r="D364" s="6" t="s">
        <v>4191</v>
      </c>
      <c r="E364" s="6">
        <v>128793.0</v>
      </c>
    </row>
    <row r="365">
      <c r="A365" s="6">
        <v>3429.0</v>
      </c>
      <c r="B365" s="6" t="s">
        <v>4192</v>
      </c>
      <c r="C365" s="6" t="s">
        <v>4190</v>
      </c>
      <c r="D365" s="6" t="s">
        <v>4191</v>
      </c>
      <c r="E365" s="6">
        <v>126795.0</v>
      </c>
    </row>
    <row r="366">
      <c r="A366" s="6">
        <v>3432.0</v>
      </c>
      <c r="B366" s="6" t="s">
        <v>4192</v>
      </c>
      <c r="C366" s="6" t="s">
        <v>4190</v>
      </c>
      <c r="D366" s="6" t="s">
        <v>4191</v>
      </c>
      <c r="E366" s="6">
        <v>128383.0</v>
      </c>
    </row>
    <row r="367">
      <c r="A367" s="6">
        <v>3434.0</v>
      </c>
      <c r="B367" s="6" t="s">
        <v>4189</v>
      </c>
      <c r="C367" s="6" t="s">
        <v>4190</v>
      </c>
      <c r="D367" s="6" t="s">
        <v>4191</v>
      </c>
      <c r="E367" s="6">
        <v>125182.0</v>
      </c>
    </row>
    <row r="368">
      <c r="A368" s="6">
        <v>3436.0</v>
      </c>
      <c r="B368" s="6" t="s">
        <v>4189</v>
      </c>
      <c r="C368" s="6" t="s">
        <v>4190</v>
      </c>
      <c r="D368" s="6" t="s">
        <v>4191</v>
      </c>
      <c r="E368" s="6">
        <v>126557.0</v>
      </c>
    </row>
    <row r="369">
      <c r="A369" s="6">
        <v>3351.0</v>
      </c>
      <c r="B369" s="6" t="s">
        <v>4195</v>
      </c>
      <c r="C369" s="6" t="s">
        <v>4190</v>
      </c>
      <c r="D369" s="6" t="s">
        <v>4191</v>
      </c>
      <c r="E369" s="6">
        <v>128864.0</v>
      </c>
    </row>
    <row r="370">
      <c r="A370" s="6">
        <v>3439.0</v>
      </c>
      <c r="B370" s="6" t="s">
        <v>4192</v>
      </c>
      <c r="C370" s="6" t="s">
        <v>4190</v>
      </c>
      <c r="D370" s="6" t="s">
        <v>4191</v>
      </c>
      <c r="E370" s="6">
        <v>124848.0</v>
      </c>
    </row>
    <row r="371">
      <c r="A371" s="6">
        <v>3352.0</v>
      </c>
      <c r="B371" s="6" t="s">
        <v>4192</v>
      </c>
      <c r="C371" s="6" t="s">
        <v>4190</v>
      </c>
      <c r="D371" s="6" t="s">
        <v>4191</v>
      </c>
      <c r="E371" s="6">
        <v>126666.0</v>
      </c>
    </row>
    <row r="372">
      <c r="A372" s="6">
        <v>3445.0</v>
      </c>
      <c r="B372" s="6" t="s">
        <v>4192</v>
      </c>
      <c r="C372" s="6" t="s">
        <v>4190</v>
      </c>
      <c r="D372" s="6" t="s">
        <v>4191</v>
      </c>
      <c r="E372" s="6">
        <v>125498.0</v>
      </c>
    </row>
    <row r="373">
      <c r="A373" s="6">
        <v>3448.0</v>
      </c>
      <c r="B373" s="6" t="s">
        <v>4192</v>
      </c>
      <c r="C373" s="6" t="s">
        <v>4190</v>
      </c>
      <c r="D373" s="6" t="s">
        <v>4191</v>
      </c>
      <c r="E373" s="6">
        <v>126522.0</v>
      </c>
    </row>
    <row r="374">
      <c r="A374" s="6">
        <v>3450.0</v>
      </c>
      <c r="B374" s="6" t="s">
        <v>4192</v>
      </c>
      <c r="C374" s="6" t="s">
        <v>4190</v>
      </c>
      <c r="D374" s="6" t="s">
        <v>4191</v>
      </c>
      <c r="E374" s="6">
        <v>125524.0</v>
      </c>
    </row>
    <row r="375">
      <c r="A375" s="6">
        <v>3451.0</v>
      </c>
      <c r="B375" s="6" t="s">
        <v>4192</v>
      </c>
      <c r="C375" s="6" t="s">
        <v>4190</v>
      </c>
      <c r="D375" s="6" t="s">
        <v>4191</v>
      </c>
      <c r="E375" s="6">
        <v>124778.0</v>
      </c>
    </row>
    <row r="376">
      <c r="A376" s="6">
        <v>3455.0</v>
      </c>
      <c r="B376" s="6" t="s">
        <v>4193</v>
      </c>
      <c r="C376" s="6" t="s">
        <v>4190</v>
      </c>
      <c r="D376" s="6" t="s">
        <v>4191</v>
      </c>
      <c r="E376" s="6">
        <v>127939.0</v>
      </c>
    </row>
    <row r="377">
      <c r="A377" s="6">
        <v>3456.0</v>
      </c>
      <c r="B377" s="6" t="s">
        <v>4192</v>
      </c>
      <c r="C377" s="6" t="s">
        <v>4190</v>
      </c>
      <c r="D377" s="6" t="s">
        <v>4191</v>
      </c>
      <c r="E377" s="6">
        <v>126845.0</v>
      </c>
    </row>
    <row r="378">
      <c r="A378" s="6">
        <v>3353.0</v>
      </c>
      <c r="B378" s="6" t="s">
        <v>4192</v>
      </c>
      <c r="C378" s="6" t="s">
        <v>4190</v>
      </c>
      <c r="D378" s="6" t="s">
        <v>4191</v>
      </c>
      <c r="E378" s="6">
        <v>126346.0</v>
      </c>
    </row>
    <row r="379">
      <c r="A379" s="6">
        <v>3466.0</v>
      </c>
      <c r="B379" s="6" t="s">
        <v>4192</v>
      </c>
      <c r="C379" s="6" t="s">
        <v>4190</v>
      </c>
      <c r="D379" s="6" t="s">
        <v>4191</v>
      </c>
      <c r="E379" s="6">
        <v>125769.0</v>
      </c>
    </row>
    <row r="380">
      <c r="A380" s="6">
        <v>3471.0</v>
      </c>
      <c r="B380" s="6" t="s">
        <v>4192</v>
      </c>
      <c r="C380" s="6" t="s">
        <v>4190</v>
      </c>
      <c r="D380" s="6" t="s">
        <v>4191</v>
      </c>
      <c r="E380" s="6">
        <v>126663.0</v>
      </c>
    </row>
    <row r="381">
      <c r="A381" s="6">
        <v>3475.0</v>
      </c>
      <c r="B381" s="6" t="s">
        <v>4192</v>
      </c>
      <c r="C381" s="6" t="s">
        <v>4190</v>
      </c>
      <c r="D381" s="6" t="s">
        <v>4191</v>
      </c>
      <c r="E381" s="6">
        <v>124996.0</v>
      </c>
    </row>
    <row r="382">
      <c r="A382" s="6">
        <v>3478.0</v>
      </c>
      <c r="B382" s="6" t="s">
        <v>4192</v>
      </c>
      <c r="C382" s="6" t="s">
        <v>4190</v>
      </c>
      <c r="D382" s="6" t="s">
        <v>4191</v>
      </c>
      <c r="E382" s="6">
        <v>125239.0</v>
      </c>
    </row>
    <row r="383">
      <c r="A383" s="6">
        <v>3479.0</v>
      </c>
      <c r="B383" s="6" t="s">
        <v>4192</v>
      </c>
      <c r="C383" s="6" t="s">
        <v>4190</v>
      </c>
      <c r="D383" s="6" t="s">
        <v>4191</v>
      </c>
      <c r="E383" s="6">
        <v>126293.0</v>
      </c>
    </row>
    <row r="384">
      <c r="A384" s="6">
        <v>3482.0</v>
      </c>
      <c r="B384" s="6" t="s">
        <v>4193</v>
      </c>
      <c r="C384" s="6" t="s">
        <v>4190</v>
      </c>
      <c r="D384" s="6" t="s">
        <v>4191</v>
      </c>
      <c r="E384" s="6">
        <v>127898.0</v>
      </c>
    </row>
    <row r="385">
      <c r="A385" s="6">
        <v>3485.0</v>
      </c>
      <c r="B385" s="6" t="s">
        <v>4192</v>
      </c>
      <c r="C385" s="6" t="s">
        <v>4190</v>
      </c>
      <c r="D385" s="6" t="s">
        <v>4191</v>
      </c>
      <c r="E385" s="6">
        <v>125992.0</v>
      </c>
    </row>
    <row r="386">
      <c r="A386" s="6">
        <v>3488.0</v>
      </c>
      <c r="B386" s="6" t="s">
        <v>4192</v>
      </c>
      <c r="C386" s="6" t="s">
        <v>4190</v>
      </c>
      <c r="D386" s="6" t="s">
        <v>4191</v>
      </c>
      <c r="E386" s="6">
        <v>128378.0</v>
      </c>
    </row>
    <row r="387">
      <c r="A387" s="6">
        <v>3491.0</v>
      </c>
      <c r="B387" s="6" t="s">
        <v>4192</v>
      </c>
      <c r="C387" s="6" t="s">
        <v>4190</v>
      </c>
      <c r="D387" s="6" t="s">
        <v>4191</v>
      </c>
      <c r="E387" s="6">
        <v>125386.0</v>
      </c>
    </row>
    <row r="388">
      <c r="A388" s="6">
        <v>3494.0</v>
      </c>
      <c r="B388" s="6" t="s">
        <v>4192</v>
      </c>
      <c r="C388" s="6" t="s">
        <v>4190</v>
      </c>
      <c r="D388" s="6" t="s">
        <v>4191</v>
      </c>
      <c r="E388" s="6">
        <v>128563.0</v>
      </c>
    </row>
    <row r="389">
      <c r="A389" s="6">
        <v>3495.0</v>
      </c>
      <c r="B389" s="6" t="s">
        <v>4194</v>
      </c>
      <c r="C389" s="6" t="s">
        <v>4190</v>
      </c>
      <c r="D389" s="6" t="s">
        <v>4191</v>
      </c>
      <c r="E389" s="6">
        <v>125608.0</v>
      </c>
    </row>
    <row r="390">
      <c r="A390" s="6">
        <v>3496.0</v>
      </c>
      <c r="B390" s="6" t="s">
        <v>4193</v>
      </c>
      <c r="C390" s="6" t="s">
        <v>4190</v>
      </c>
      <c r="D390" s="6" t="s">
        <v>4191</v>
      </c>
      <c r="E390" s="6">
        <v>128065.0</v>
      </c>
    </row>
    <row r="391">
      <c r="A391" s="6">
        <v>3499.0</v>
      </c>
      <c r="B391" s="6" t="s">
        <v>4192</v>
      </c>
      <c r="C391" s="6" t="s">
        <v>4190</v>
      </c>
      <c r="D391" s="6" t="s">
        <v>4191</v>
      </c>
      <c r="E391" s="6">
        <v>128954.0</v>
      </c>
    </row>
    <row r="392">
      <c r="A392" s="6">
        <v>3500.0</v>
      </c>
      <c r="B392" s="6" t="s">
        <v>4192</v>
      </c>
      <c r="C392" s="6" t="s">
        <v>4190</v>
      </c>
      <c r="D392" s="6" t="s">
        <v>4191</v>
      </c>
      <c r="E392" s="6">
        <v>126447.0</v>
      </c>
    </row>
    <row r="393">
      <c r="A393" s="6">
        <v>3356.0</v>
      </c>
      <c r="B393" s="6" t="s">
        <v>4194</v>
      </c>
      <c r="C393" s="6" t="s">
        <v>4190</v>
      </c>
      <c r="D393" s="6" t="s">
        <v>4191</v>
      </c>
      <c r="E393" s="6">
        <v>125777.0</v>
      </c>
    </row>
    <row r="394">
      <c r="A394" s="6">
        <v>3357.0</v>
      </c>
      <c r="B394" s="6" t="s">
        <v>4192</v>
      </c>
      <c r="C394" s="6" t="s">
        <v>4190</v>
      </c>
      <c r="D394" s="6" t="s">
        <v>4191</v>
      </c>
      <c r="E394" s="6">
        <v>125141.0</v>
      </c>
    </row>
    <row r="395">
      <c r="A395" s="6">
        <v>3505.0</v>
      </c>
      <c r="B395" s="6" t="s">
        <v>4192</v>
      </c>
      <c r="C395" s="6" t="s">
        <v>4190</v>
      </c>
      <c r="D395" s="6" t="s">
        <v>4191</v>
      </c>
      <c r="E395" s="6">
        <v>126018.0</v>
      </c>
    </row>
    <row r="396">
      <c r="A396" s="6">
        <v>3513.0</v>
      </c>
      <c r="B396" s="6" t="s">
        <v>4189</v>
      </c>
      <c r="C396" s="6" t="s">
        <v>4190</v>
      </c>
      <c r="D396" s="6" t="s">
        <v>4191</v>
      </c>
      <c r="E396" s="6">
        <v>126116.0</v>
      </c>
    </row>
    <row r="397">
      <c r="A397" s="6">
        <v>3185.0</v>
      </c>
      <c r="B397" s="6" t="s">
        <v>4194</v>
      </c>
      <c r="C397" s="6" t="s">
        <v>4190</v>
      </c>
      <c r="D397" s="6" t="s">
        <v>4191</v>
      </c>
      <c r="E397" s="6">
        <v>3945.0</v>
      </c>
    </row>
    <row r="398">
      <c r="A398" s="6">
        <v>3525.0</v>
      </c>
      <c r="B398" s="6" t="s">
        <v>4192</v>
      </c>
      <c r="C398" s="6" t="s">
        <v>4190</v>
      </c>
      <c r="D398" s="6" t="s">
        <v>4191</v>
      </c>
      <c r="E398" s="6">
        <v>124840.0</v>
      </c>
    </row>
    <row r="399">
      <c r="A399" s="6">
        <v>3527.0</v>
      </c>
      <c r="B399" s="6" t="s">
        <v>4192</v>
      </c>
      <c r="C399" s="6" t="s">
        <v>4190</v>
      </c>
      <c r="D399" s="6" t="s">
        <v>4191</v>
      </c>
      <c r="E399" s="6">
        <v>125191.0</v>
      </c>
    </row>
    <row r="400">
      <c r="A400" s="6">
        <v>3529.0</v>
      </c>
      <c r="B400" s="6" t="s">
        <v>4195</v>
      </c>
      <c r="C400" s="6" t="s">
        <v>4190</v>
      </c>
      <c r="D400" s="6" t="s">
        <v>4191</v>
      </c>
      <c r="E400" s="6">
        <v>128788.0</v>
      </c>
    </row>
    <row r="401">
      <c r="A401" s="6">
        <v>3534.0</v>
      </c>
      <c r="B401" s="6" t="s">
        <v>4192</v>
      </c>
      <c r="C401" s="6" t="s">
        <v>4190</v>
      </c>
      <c r="D401" s="6" t="s">
        <v>4191</v>
      </c>
      <c r="E401" s="6">
        <v>125727.0</v>
      </c>
    </row>
    <row r="402">
      <c r="A402" s="6">
        <v>3536.0</v>
      </c>
      <c r="B402" s="6" t="s">
        <v>4195</v>
      </c>
      <c r="C402" s="6" t="s">
        <v>4190</v>
      </c>
      <c r="D402" s="6" t="s">
        <v>4191</v>
      </c>
      <c r="E402" s="6">
        <v>124580.0</v>
      </c>
    </row>
    <row r="403">
      <c r="A403" s="6">
        <v>3537.0</v>
      </c>
      <c r="B403" s="6" t="s">
        <v>4193</v>
      </c>
      <c r="C403" s="6" t="s">
        <v>4190</v>
      </c>
      <c r="D403" s="6" t="s">
        <v>4191</v>
      </c>
      <c r="E403" s="6">
        <v>127921.0</v>
      </c>
    </row>
    <row r="404">
      <c r="A404" s="6">
        <v>3516.0</v>
      </c>
      <c r="B404" s="6" t="s">
        <v>4192</v>
      </c>
      <c r="C404" s="6" t="s">
        <v>4190</v>
      </c>
      <c r="D404" s="6" t="s">
        <v>4191</v>
      </c>
      <c r="E404" s="6">
        <v>126621.0</v>
      </c>
    </row>
    <row r="405">
      <c r="A405" s="6">
        <v>3606.0</v>
      </c>
      <c r="B405" s="6" t="s">
        <v>4192</v>
      </c>
      <c r="C405" s="6" t="s">
        <v>4190</v>
      </c>
      <c r="D405" s="6" t="s">
        <v>4191</v>
      </c>
      <c r="E405" s="6">
        <v>124895.0</v>
      </c>
    </row>
    <row r="406">
      <c r="A406" s="6">
        <v>3608.0</v>
      </c>
      <c r="B406" s="6" t="s">
        <v>4192</v>
      </c>
      <c r="C406" s="6" t="s">
        <v>4190</v>
      </c>
      <c r="D406" s="6" t="s">
        <v>4191</v>
      </c>
      <c r="E406" s="6">
        <v>125263.0</v>
      </c>
    </row>
    <row r="407">
      <c r="A407" s="6">
        <v>3611.0</v>
      </c>
      <c r="B407" s="6" t="s">
        <v>4192</v>
      </c>
      <c r="C407" s="6" t="s">
        <v>4190</v>
      </c>
      <c r="D407" s="6" t="s">
        <v>4191</v>
      </c>
      <c r="E407" s="6">
        <v>128547.0</v>
      </c>
    </row>
    <row r="408">
      <c r="A408" s="6">
        <v>3601.0</v>
      </c>
      <c r="B408" s="6" t="s">
        <v>4192</v>
      </c>
      <c r="C408" s="6" t="s">
        <v>4190</v>
      </c>
      <c r="D408" s="6" t="s">
        <v>4191</v>
      </c>
      <c r="E408" s="6">
        <v>124811.0</v>
      </c>
    </row>
    <row r="409">
      <c r="A409" s="6">
        <v>3605.0</v>
      </c>
      <c r="B409" s="6" t="s">
        <v>4189</v>
      </c>
      <c r="C409" s="6" t="s">
        <v>4190</v>
      </c>
      <c r="D409" s="6" t="s">
        <v>4191</v>
      </c>
      <c r="E409" s="6">
        <v>126368.0</v>
      </c>
    </row>
    <row r="410">
      <c r="A410" s="6">
        <v>3741.0</v>
      </c>
      <c r="B410" s="6" t="s">
        <v>4192</v>
      </c>
      <c r="C410" s="6" t="s">
        <v>4190</v>
      </c>
      <c r="D410" s="6" t="s">
        <v>4191</v>
      </c>
      <c r="E410" s="6">
        <v>128502.0</v>
      </c>
    </row>
    <row r="411">
      <c r="A411" s="6">
        <v>2215.0</v>
      </c>
      <c r="B411" s="6" t="s">
        <v>4192</v>
      </c>
      <c r="C411" s="6" t="s">
        <v>4190</v>
      </c>
      <c r="D411" s="6" t="s">
        <v>4191</v>
      </c>
      <c r="E411" s="6">
        <v>126842.0</v>
      </c>
    </row>
    <row r="412">
      <c r="A412" s="6">
        <v>3423.0</v>
      </c>
      <c r="B412" s="6" t="s">
        <v>4192</v>
      </c>
      <c r="C412" s="6" t="s">
        <v>4190</v>
      </c>
      <c r="D412" s="6" t="s">
        <v>4191</v>
      </c>
      <c r="E412" s="6">
        <v>4636.0</v>
      </c>
    </row>
    <row r="413">
      <c r="A413" s="6">
        <v>2628.0</v>
      </c>
      <c r="B413" s="6" t="s">
        <v>4192</v>
      </c>
      <c r="C413" s="6" t="s">
        <v>4190</v>
      </c>
      <c r="D413" s="6" t="s">
        <v>4191</v>
      </c>
      <c r="E413" s="6">
        <v>125370.0</v>
      </c>
    </row>
    <row r="414">
      <c r="A414" s="6">
        <v>2630.0</v>
      </c>
      <c r="B414" s="6" t="s">
        <v>4195</v>
      </c>
      <c r="C414" s="6" t="s">
        <v>4190</v>
      </c>
      <c r="D414" s="6" t="s">
        <v>4191</v>
      </c>
      <c r="E414" s="6">
        <v>128759.0</v>
      </c>
    </row>
    <row r="415">
      <c r="A415" s="6">
        <v>2299.0</v>
      </c>
      <c r="B415" s="6" t="s">
        <v>4189</v>
      </c>
      <c r="C415" s="6" t="s">
        <v>4190</v>
      </c>
      <c r="D415" s="6" t="s">
        <v>4191</v>
      </c>
      <c r="E415" s="6">
        <v>126936.0</v>
      </c>
    </row>
    <row r="416">
      <c r="A416" s="6">
        <v>2305.0</v>
      </c>
      <c r="B416" s="6" t="s">
        <v>4192</v>
      </c>
      <c r="C416" s="6" t="s">
        <v>4190</v>
      </c>
      <c r="D416" s="6" t="s">
        <v>4191</v>
      </c>
      <c r="E416" s="6">
        <v>124835.0</v>
      </c>
    </row>
    <row r="417">
      <c r="A417" s="6">
        <v>2307.0</v>
      </c>
      <c r="B417" s="6" t="s">
        <v>4192</v>
      </c>
      <c r="C417" s="6" t="s">
        <v>4190</v>
      </c>
      <c r="D417" s="6" t="s">
        <v>4191</v>
      </c>
      <c r="E417" s="6">
        <v>129221.0</v>
      </c>
    </row>
    <row r="418">
      <c r="A418" s="6">
        <v>2310.0</v>
      </c>
      <c r="B418" s="6" t="s">
        <v>4193</v>
      </c>
      <c r="C418" s="6" t="s">
        <v>4190</v>
      </c>
      <c r="D418" s="6" t="s">
        <v>4191</v>
      </c>
      <c r="E418" s="6">
        <v>127922.0</v>
      </c>
    </row>
    <row r="419">
      <c r="A419" s="6">
        <v>2312.0</v>
      </c>
      <c r="B419" s="6" t="s">
        <v>4189</v>
      </c>
      <c r="C419" s="6" t="s">
        <v>4190</v>
      </c>
      <c r="D419" s="6" t="s">
        <v>4191</v>
      </c>
      <c r="E419" s="6">
        <v>126248.0</v>
      </c>
    </row>
    <row r="420">
      <c r="A420" s="6">
        <v>2313.0</v>
      </c>
      <c r="B420" s="6" t="s">
        <v>4192</v>
      </c>
      <c r="C420" s="6" t="s">
        <v>4190</v>
      </c>
      <c r="D420" s="6" t="s">
        <v>4191</v>
      </c>
      <c r="E420" s="6">
        <v>125763.0</v>
      </c>
    </row>
    <row r="421">
      <c r="A421" s="6">
        <v>2315.0</v>
      </c>
      <c r="B421" s="6" t="s">
        <v>4193</v>
      </c>
      <c r="C421" s="6" t="s">
        <v>4190</v>
      </c>
      <c r="D421" s="6" t="s">
        <v>4191</v>
      </c>
      <c r="E421" s="6">
        <v>127983.0</v>
      </c>
    </row>
    <row r="422">
      <c r="A422" s="6">
        <v>2318.0</v>
      </c>
      <c r="B422" s="6" t="s">
        <v>4193</v>
      </c>
      <c r="C422" s="6" t="s">
        <v>4190</v>
      </c>
      <c r="D422" s="6" t="s">
        <v>4191</v>
      </c>
      <c r="E422" s="6">
        <v>128007.0</v>
      </c>
    </row>
    <row r="423">
      <c r="A423" s="6">
        <v>2321.0</v>
      </c>
      <c r="B423" s="6" t="s">
        <v>4189</v>
      </c>
      <c r="C423" s="6" t="s">
        <v>4190</v>
      </c>
      <c r="D423" s="6" t="s">
        <v>4191</v>
      </c>
      <c r="E423" s="6">
        <v>126039.0</v>
      </c>
    </row>
    <row r="424">
      <c r="A424" s="6">
        <v>2323.0</v>
      </c>
      <c r="B424" s="6" t="s">
        <v>4192</v>
      </c>
      <c r="C424" s="6" t="s">
        <v>4190</v>
      </c>
      <c r="D424" s="6" t="s">
        <v>4191</v>
      </c>
      <c r="E424" s="6">
        <v>128615.0</v>
      </c>
    </row>
    <row r="425">
      <c r="A425" s="6">
        <v>2324.0</v>
      </c>
      <c r="B425" s="6" t="s">
        <v>4192</v>
      </c>
      <c r="C425" s="6" t="s">
        <v>4190</v>
      </c>
      <c r="D425" s="6" t="s">
        <v>4191</v>
      </c>
      <c r="E425" s="6">
        <v>126953.0</v>
      </c>
    </row>
    <row r="426">
      <c r="A426" s="6">
        <v>2328.0</v>
      </c>
      <c r="B426" s="6" t="s">
        <v>4195</v>
      </c>
      <c r="C426" s="6" t="s">
        <v>4190</v>
      </c>
      <c r="D426" s="6" t="s">
        <v>4191</v>
      </c>
      <c r="E426" s="6">
        <v>126896.0</v>
      </c>
    </row>
    <row r="427">
      <c r="A427" s="6">
        <v>2329.0</v>
      </c>
      <c r="B427" s="6" t="s">
        <v>4189</v>
      </c>
      <c r="C427" s="6" t="s">
        <v>4190</v>
      </c>
      <c r="D427" s="6" t="s">
        <v>4191</v>
      </c>
      <c r="E427" s="6">
        <v>126549.0</v>
      </c>
    </row>
    <row r="428">
      <c r="A428" s="6">
        <v>2333.0</v>
      </c>
      <c r="B428" s="6" t="s">
        <v>4195</v>
      </c>
      <c r="C428" s="6" t="s">
        <v>4190</v>
      </c>
      <c r="D428" s="6" t="s">
        <v>4191</v>
      </c>
      <c r="E428" s="6">
        <v>124608.0</v>
      </c>
    </row>
    <row r="429">
      <c r="A429" s="6">
        <v>2352.0</v>
      </c>
      <c r="B429" s="6" t="s">
        <v>4189</v>
      </c>
      <c r="C429" s="6" t="s">
        <v>4190</v>
      </c>
      <c r="D429" s="6" t="s">
        <v>4191</v>
      </c>
      <c r="E429" s="6">
        <v>124765.0</v>
      </c>
    </row>
    <row r="430">
      <c r="A430" s="6">
        <v>2355.0</v>
      </c>
      <c r="B430" s="6" t="s">
        <v>4192</v>
      </c>
      <c r="C430" s="6" t="s">
        <v>4190</v>
      </c>
      <c r="D430" s="6" t="s">
        <v>4191</v>
      </c>
      <c r="E430" s="6">
        <v>125668.0</v>
      </c>
    </row>
    <row r="431">
      <c r="A431" s="6">
        <v>2519.0</v>
      </c>
      <c r="B431" s="6" t="s">
        <v>4193</v>
      </c>
      <c r="C431" s="6" t="s">
        <v>4190</v>
      </c>
      <c r="D431" s="6" t="s">
        <v>4191</v>
      </c>
      <c r="E431" s="6">
        <v>128046.0</v>
      </c>
    </row>
    <row r="432">
      <c r="A432" s="6">
        <v>2528.0</v>
      </c>
      <c r="B432" s="6" t="s">
        <v>4192</v>
      </c>
      <c r="C432" s="6" t="s">
        <v>4190</v>
      </c>
      <c r="D432" s="6" t="s">
        <v>4191</v>
      </c>
      <c r="E432" s="6">
        <v>124570.0</v>
      </c>
    </row>
    <row r="433">
      <c r="A433" s="6">
        <v>2532.0</v>
      </c>
      <c r="B433" s="6" t="s">
        <v>4195</v>
      </c>
      <c r="C433" s="6" t="s">
        <v>4190</v>
      </c>
      <c r="D433" s="6" t="s">
        <v>4191</v>
      </c>
      <c r="E433" s="6">
        <v>128488.0</v>
      </c>
    </row>
    <row r="434">
      <c r="A434" s="6">
        <v>2533.0</v>
      </c>
      <c r="B434" s="6" t="s">
        <v>4192</v>
      </c>
      <c r="C434" s="6" t="s">
        <v>4190</v>
      </c>
      <c r="D434" s="6" t="s">
        <v>4191</v>
      </c>
      <c r="E434" s="6">
        <v>126175.0</v>
      </c>
    </row>
    <row r="435">
      <c r="A435" s="6">
        <v>2540.0</v>
      </c>
      <c r="B435" s="6" t="s">
        <v>4193</v>
      </c>
      <c r="C435" s="6" t="s">
        <v>4190</v>
      </c>
      <c r="D435" s="6" t="s">
        <v>4191</v>
      </c>
      <c r="E435" s="6">
        <v>128063.0</v>
      </c>
    </row>
    <row r="436">
      <c r="A436" s="6">
        <v>2545.0</v>
      </c>
      <c r="B436" s="6" t="s">
        <v>4192</v>
      </c>
      <c r="C436" s="6" t="s">
        <v>4190</v>
      </c>
      <c r="D436" s="6" t="s">
        <v>4191</v>
      </c>
      <c r="E436" s="6">
        <v>126200.0</v>
      </c>
    </row>
    <row r="437">
      <c r="A437" s="6">
        <v>2546.0</v>
      </c>
      <c r="B437" s="6" t="s">
        <v>4192</v>
      </c>
      <c r="C437" s="6" t="s">
        <v>4190</v>
      </c>
      <c r="D437" s="6" t="s">
        <v>4191</v>
      </c>
      <c r="E437" s="6">
        <v>125030.0</v>
      </c>
    </row>
    <row r="438">
      <c r="A438" s="6">
        <v>2547.0</v>
      </c>
      <c r="B438" s="6" t="s">
        <v>4192</v>
      </c>
      <c r="C438" s="6" t="s">
        <v>4190</v>
      </c>
      <c r="D438" s="6" t="s">
        <v>4191</v>
      </c>
      <c r="E438" s="6">
        <v>126161.0</v>
      </c>
    </row>
    <row r="439">
      <c r="A439" s="6">
        <v>2548.0</v>
      </c>
      <c r="B439" s="6" t="s">
        <v>4192</v>
      </c>
      <c r="C439" s="6" t="s">
        <v>4190</v>
      </c>
      <c r="D439" s="6" t="s">
        <v>4191</v>
      </c>
      <c r="E439" s="6">
        <v>125268.0</v>
      </c>
    </row>
    <row r="440">
      <c r="A440" s="6">
        <v>2551.0</v>
      </c>
      <c r="B440" s="6" t="s">
        <v>4192</v>
      </c>
      <c r="C440" s="6" t="s">
        <v>4190</v>
      </c>
      <c r="D440" s="6" t="s">
        <v>4191</v>
      </c>
      <c r="E440" s="6">
        <v>126258.0</v>
      </c>
    </row>
    <row r="441">
      <c r="A441" s="6">
        <v>2554.0</v>
      </c>
      <c r="B441" s="6" t="s">
        <v>4192</v>
      </c>
      <c r="C441" s="6" t="s">
        <v>4190</v>
      </c>
      <c r="D441" s="6" t="s">
        <v>4191</v>
      </c>
      <c r="E441" s="6">
        <v>125718.0</v>
      </c>
    </row>
    <row r="442">
      <c r="A442" s="6">
        <v>2556.0</v>
      </c>
      <c r="B442" s="6" t="s">
        <v>4192</v>
      </c>
      <c r="C442" s="6" t="s">
        <v>4190</v>
      </c>
      <c r="D442" s="6" t="s">
        <v>4191</v>
      </c>
      <c r="E442" s="6">
        <v>124557.0</v>
      </c>
    </row>
    <row r="443">
      <c r="A443" s="6">
        <v>2564.0</v>
      </c>
      <c r="B443" s="6" t="s">
        <v>4195</v>
      </c>
      <c r="C443" s="6" t="s">
        <v>4190</v>
      </c>
      <c r="D443" s="6" t="s">
        <v>4191</v>
      </c>
      <c r="E443" s="6">
        <v>128768.0</v>
      </c>
    </row>
    <row r="444">
      <c r="A444" s="6">
        <v>2568.0</v>
      </c>
      <c r="B444" s="6" t="s">
        <v>4193</v>
      </c>
      <c r="C444" s="6" t="s">
        <v>4190</v>
      </c>
      <c r="D444" s="6" t="s">
        <v>4191</v>
      </c>
      <c r="E444" s="6">
        <v>127919.0</v>
      </c>
    </row>
    <row r="445">
      <c r="A445" s="6">
        <v>2570.0</v>
      </c>
      <c r="B445" s="6" t="s">
        <v>4192</v>
      </c>
      <c r="C445" s="6" t="s">
        <v>4190</v>
      </c>
      <c r="D445" s="6" t="s">
        <v>4191</v>
      </c>
      <c r="E445" s="6">
        <v>126693.0</v>
      </c>
    </row>
    <row r="446">
      <c r="A446" s="6">
        <v>2571.0</v>
      </c>
      <c r="B446" s="6" t="s">
        <v>4192</v>
      </c>
      <c r="C446" s="6" t="s">
        <v>4190</v>
      </c>
      <c r="D446" s="6" t="s">
        <v>4191</v>
      </c>
      <c r="E446" s="6">
        <v>125424.0</v>
      </c>
    </row>
    <row r="447">
      <c r="A447" s="6">
        <v>2574.0</v>
      </c>
      <c r="B447" s="6" t="s">
        <v>4192</v>
      </c>
      <c r="C447" s="6" t="s">
        <v>4190</v>
      </c>
      <c r="D447" s="6" t="s">
        <v>4191</v>
      </c>
      <c r="E447" s="6">
        <v>126118.0</v>
      </c>
    </row>
    <row r="448">
      <c r="A448" s="6">
        <v>2577.0</v>
      </c>
      <c r="B448" s="6" t="s">
        <v>4193</v>
      </c>
      <c r="C448" s="6" t="s">
        <v>4190</v>
      </c>
      <c r="D448" s="6" t="s">
        <v>4191</v>
      </c>
      <c r="E448" s="6">
        <v>128080.0</v>
      </c>
    </row>
    <row r="449">
      <c r="A449" s="6">
        <v>2580.0</v>
      </c>
      <c r="B449" s="6" t="s">
        <v>4192</v>
      </c>
      <c r="C449" s="6" t="s">
        <v>4190</v>
      </c>
      <c r="D449" s="6" t="s">
        <v>4191</v>
      </c>
      <c r="E449" s="6">
        <v>126007.0</v>
      </c>
    </row>
    <row r="450">
      <c r="A450" s="6">
        <v>2582.0</v>
      </c>
      <c r="B450" s="6" t="s">
        <v>4194</v>
      </c>
      <c r="C450" s="6" t="s">
        <v>4190</v>
      </c>
      <c r="D450" s="6" t="s">
        <v>4191</v>
      </c>
      <c r="E450" s="6">
        <v>124953.0</v>
      </c>
    </row>
    <row r="451">
      <c r="A451" s="6">
        <v>2586.0</v>
      </c>
      <c r="B451" s="6" t="s">
        <v>4192</v>
      </c>
      <c r="C451" s="6" t="s">
        <v>4190</v>
      </c>
      <c r="D451" s="6" t="s">
        <v>4191</v>
      </c>
      <c r="E451" s="6">
        <v>125760.0</v>
      </c>
    </row>
    <row r="452">
      <c r="A452" s="6">
        <v>2591.0</v>
      </c>
      <c r="B452" s="6" t="s">
        <v>4192</v>
      </c>
      <c r="C452" s="6" t="s">
        <v>4190</v>
      </c>
      <c r="D452" s="6" t="s">
        <v>4191</v>
      </c>
      <c r="E452" s="6">
        <v>126677.0</v>
      </c>
    </row>
    <row r="453">
      <c r="A453" s="6">
        <v>2593.0</v>
      </c>
      <c r="B453" s="6" t="s">
        <v>4192</v>
      </c>
      <c r="C453" s="6" t="s">
        <v>4190</v>
      </c>
      <c r="D453" s="6" t="s">
        <v>4191</v>
      </c>
      <c r="E453" s="6">
        <v>125657.0</v>
      </c>
    </row>
    <row r="454">
      <c r="A454" s="6">
        <v>2600.0</v>
      </c>
      <c r="B454" s="6" t="s">
        <v>4192</v>
      </c>
      <c r="C454" s="6" t="s">
        <v>4190</v>
      </c>
      <c r="D454" s="6" t="s">
        <v>4191</v>
      </c>
      <c r="E454" s="6">
        <v>124553.0</v>
      </c>
    </row>
    <row r="455">
      <c r="A455" s="6">
        <v>2602.0</v>
      </c>
      <c r="B455" s="6" t="s">
        <v>4192</v>
      </c>
      <c r="C455" s="6" t="s">
        <v>4190</v>
      </c>
      <c r="D455" s="6" t="s">
        <v>4191</v>
      </c>
      <c r="E455" s="6">
        <v>128751.0</v>
      </c>
    </row>
    <row r="456">
      <c r="A456" s="6">
        <v>2603.0</v>
      </c>
      <c r="B456" s="6" t="s">
        <v>4192</v>
      </c>
      <c r="C456" s="6" t="s">
        <v>4190</v>
      </c>
      <c r="D456" s="6" t="s">
        <v>4191</v>
      </c>
      <c r="E456" s="6">
        <v>126482.0</v>
      </c>
    </row>
    <row r="457">
      <c r="A457" s="6">
        <v>2616.0</v>
      </c>
      <c r="B457" s="6" t="s">
        <v>4195</v>
      </c>
      <c r="C457" s="6" t="s">
        <v>4190</v>
      </c>
      <c r="D457" s="6" t="s">
        <v>4191</v>
      </c>
      <c r="E457" s="6">
        <v>125795.0</v>
      </c>
    </row>
    <row r="458">
      <c r="A458" s="6">
        <v>2617.0</v>
      </c>
      <c r="B458" s="6" t="s">
        <v>4192</v>
      </c>
      <c r="C458" s="6" t="s">
        <v>4190</v>
      </c>
      <c r="D458" s="6" t="s">
        <v>4191</v>
      </c>
      <c r="E458" s="6">
        <v>126885.0</v>
      </c>
    </row>
    <row r="459">
      <c r="A459" s="6">
        <v>2618.0</v>
      </c>
      <c r="B459" s="6" t="s">
        <v>4189</v>
      </c>
      <c r="C459" s="6" t="s">
        <v>4190</v>
      </c>
      <c r="D459" s="6" t="s">
        <v>4191</v>
      </c>
      <c r="E459" s="6">
        <v>126871.0</v>
      </c>
    </row>
    <row r="460">
      <c r="A460" s="6">
        <v>2622.0</v>
      </c>
      <c r="B460" s="6" t="s">
        <v>4193</v>
      </c>
      <c r="C460" s="6" t="s">
        <v>4190</v>
      </c>
      <c r="D460" s="6" t="s">
        <v>4191</v>
      </c>
      <c r="E460" s="6">
        <v>127949.0</v>
      </c>
    </row>
    <row r="461">
      <c r="A461" s="6">
        <v>2623.0</v>
      </c>
      <c r="B461" s="6" t="s">
        <v>4192</v>
      </c>
      <c r="C461" s="6" t="s">
        <v>4190</v>
      </c>
      <c r="D461" s="6" t="s">
        <v>4191</v>
      </c>
      <c r="E461" s="6">
        <v>128588.0</v>
      </c>
    </row>
    <row r="462">
      <c r="A462" s="6">
        <v>1466.0</v>
      </c>
      <c r="B462" s="6" t="s">
        <v>4192</v>
      </c>
      <c r="C462" s="6" t="s">
        <v>4190</v>
      </c>
      <c r="D462" s="6" t="s">
        <v>4191</v>
      </c>
      <c r="E462" s="6">
        <v>125695.0</v>
      </c>
    </row>
    <row r="463">
      <c r="A463" s="6">
        <v>1471.0</v>
      </c>
      <c r="B463" s="6" t="s">
        <v>4192</v>
      </c>
      <c r="C463" s="6" t="s">
        <v>4190</v>
      </c>
      <c r="D463" s="6" t="s">
        <v>4191</v>
      </c>
      <c r="E463" s="6">
        <v>125808.0</v>
      </c>
    </row>
    <row r="464">
      <c r="A464" s="6">
        <v>1474.0</v>
      </c>
      <c r="B464" s="6" t="s">
        <v>4192</v>
      </c>
      <c r="C464" s="6" t="s">
        <v>4190</v>
      </c>
      <c r="D464" s="6" t="s">
        <v>4191</v>
      </c>
      <c r="E464" s="6">
        <v>126757.0</v>
      </c>
    </row>
    <row r="465">
      <c r="A465" s="6">
        <v>1477.0</v>
      </c>
      <c r="B465" s="6" t="s">
        <v>4193</v>
      </c>
      <c r="C465" s="6" t="s">
        <v>4190</v>
      </c>
      <c r="D465" s="6" t="s">
        <v>4191</v>
      </c>
      <c r="E465" s="6">
        <v>127988.0</v>
      </c>
    </row>
    <row r="466">
      <c r="A466" s="6">
        <v>1478.0</v>
      </c>
      <c r="B466" s="6" t="s">
        <v>4189</v>
      </c>
      <c r="C466" s="6" t="s">
        <v>4190</v>
      </c>
      <c r="D466" s="6" t="s">
        <v>4191</v>
      </c>
      <c r="E466" s="6">
        <v>125885.0</v>
      </c>
    </row>
    <row r="467">
      <c r="A467" s="6">
        <v>1486.0</v>
      </c>
      <c r="B467" s="6" t="s">
        <v>4192</v>
      </c>
      <c r="C467" s="6" t="s">
        <v>4190</v>
      </c>
      <c r="D467" s="6" t="s">
        <v>4191</v>
      </c>
      <c r="E467" s="6">
        <v>126642.0</v>
      </c>
    </row>
    <row r="468">
      <c r="A468" s="6">
        <v>1491.0</v>
      </c>
      <c r="B468" s="6" t="s">
        <v>4189</v>
      </c>
      <c r="C468" s="6" t="s">
        <v>4190</v>
      </c>
      <c r="D468" s="6" t="s">
        <v>4191</v>
      </c>
      <c r="E468" s="6">
        <v>124739.0</v>
      </c>
    </row>
    <row r="469">
      <c r="A469" s="6">
        <v>1494.0</v>
      </c>
      <c r="B469" s="6" t="s">
        <v>4189</v>
      </c>
      <c r="C469" s="6" t="s">
        <v>4190</v>
      </c>
      <c r="D469" s="6" t="s">
        <v>4191</v>
      </c>
      <c r="E469" s="6">
        <v>126110.0</v>
      </c>
    </row>
    <row r="470">
      <c r="A470" s="6">
        <v>1497.0</v>
      </c>
      <c r="B470" s="6" t="s">
        <v>4192</v>
      </c>
      <c r="C470" s="6" t="s">
        <v>4190</v>
      </c>
      <c r="D470" s="6" t="s">
        <v>4191</v>
      </c>
      <c r="E470" s="6">
        <v>126617.0</v>
      </c>
    </row>
    <row r="471">
      <c r="A471" s="6">
        <v>1503.0</v>
      </c>
      <c r="B471" s="6" t="s">
        <v>4192</v>
      </c>
      <c r="C471" s="6" t="s">
        <v>4190</v>
      </c>
      <c r="D471" s="6" t="s">
        <v>4191</v>
      </c>
      <c r="E471" s="6">
        <v>128758.0</v>
      </c>
    </row>
    <row r="472">
      <c r="A472" s="6">
        <v>1504.0</v>
      </c>
      <c r="B472" s="6" t="s">
        <v>4194</v>
      </c>
      <c r="C472" s="6" t="s">
        <v>4190</v>
      </c>
      <c r="D472" s="6" t="s">
        <v>4191</v>
      </c>
      <c r="E472" s="6">
        <v>126366.0</v>
      </c>
    </row>
    <row r="473">
      <c r="A473" s="6">
        <v>1505.0</v>
      </c>
      <c r="B473" s="6" t="s">
        <v>4192</v>
      </c>
      <c r="C473" s="6" t="s">
        <v>4190</v>
      </c>
      <c r="D473" s="6" t="s">
        <v>4191</v>
      </c>
      <c r="E473" s="6">
        <v>126307.0</v>
      </c>
    </row>
    <row r="474">
      <c r="A474" s="6">
        <v>1506.0</v>
      </c>
      <c r="B474" s="6" t="s">
        <v>4194</v>
      </c>
      <c r="C474" s="6" t="s">
        <v>4190</v>
      </c>
      <c r="D474" s="6" t="s">
        <v>4191</v>
      </c>
      <c r="E474" s="6">
        <v>126137.0</v>
      </c>
    </row>
    <row r="475">
      <c r="A475" s="6">
        <v>1507.0</v>
      </c>
      <c r="B475" s="6" t="s">
        <v>4189</v>
      </c>
      <c r="C475" s="6" t="s">
        <v>4190</v>
      </c>
      <c r="D475" s="6" t="s">
        <v>4191</v>
      </c>
      <c r="E475" s="6">
        <v>125542.0</v>
      </c>
    </row>
    <row r="476">
      <c r="A476" s="6">
        <v>1510.0</v>
      </c>
      <c r="B476" s="6" t="s">
        <v>4194</v>
      </c>
      <c r="C476" s="6" t="s">
        <v>4190</v>
      </c>
      <c r="D476" s="6" t="s">
        <v>4191</v>
      </c>
      <c r="E476" s="6">
        <v>126574.0</v>
      </c>
    </row>
    <row r="477">
      <c r="A477" s="6">
        <v>1511.0</v>
      </c>
      <c r="B477" s="6" t="s">
        <v>4192</v>
      </c>
      <c r="C477" s="6" t="s">
        <v>4190</v>
      </c>
      <c r="D477" s="6" t="s">
        <v>4191</v>
      </c>
      <c r="E477" s="6">
        <v>126338.0</v>
      </c>
    </row>
    <row r="478">
      <c r="A478" s="6">
        <v>1512.0</v>
      </c>
      <c r="B478" s="6" t="s">
        <v>4192</v>
      </c>
      <c r="C478" s="6" t="s">
        <v>4190</v>
      </c>
      <c r="D478" s="6" t="s">
        <v>4191</v>
      </c>
      <c r="E478" s="6">
        <v>125273.0</v>
      </c>
    </row>
    <row r="479">
      <c r="A479" s="6">
        <v>1514.0</v>
      </c>
      <c r="B479" s="6" t="s">
        <v>4192</v>
      </c>
      <c r="C479" s="6" t="s">
        <v>4190</v>
      </c>
      <c r="D479" s="6" t="s">
        <v>4191</v>
      </c>
      <c r="E479" s="6">
        <v>126547.0</v>
      </c>
    </row>
    <row r="480">
      <c r="A480" s="6">
        <v>1516.0</v>
      </c>
      <c r="B480" s="6" t="s">
        <v>4195</v>
      </c>
      <c r="C480" s="6" t="s">
        <v>4190</v>
      </c>
      <c r="D480" s="6" t="s">
        <v>4191</v>
      </c>
      <c r="E480" s="6">
        <v>128815.0</v>
      </c>
    </row>
    <row r="481">
      <c r="A481" s="6">
        <v>1522.0</v>
      </c>
      <c r="B481" s="6" t="s">
        <v>4196</v>
      </c>
      <c r="C481" s="6" t="s">
        <v>4190</v>
      </c>
      <c r="D481" s="6" t="s">
        <v>4191</v>
      </c>
      <c r="E481" s="6">
        <v>124558.0</v>
      </c>
    </row>
    <row r="482">
      <c r="A482" s="6">
        <v>1526.0</v>
      </c>
      <c r="B482" s="6" t="s">
        <v>4192</v>
      </c>
      <c r="C482" s="6" t="s">
        <v>4190</v>
      </c>
      <c r="D482" s="6" t="s">
        <v>4191</v>
      </c>
      <c r="E482" s="6">
        <v>125492.0</v>
      </c>
    </row>
    <row r="483">
      <c r="A483" s="6">
        <v>1527.0</v>
      </c>
      <c r="B483" s="6" t="s">
        <v>4192</v>
      </c>
      <c r="C483" s="6" t="s">
        <v>4190</v>
      </c>
      <c r="D483" s="6" t="s">
        <v>4191</v>
      </c>
      <c r="E483" s="6">
        <v>125425.0</v>
      </c>
    </row>
    <row r="484">
      <c r="A484" s="6">
        <v>1532.0</v>
      </c>
      <c r="B484" s="6" t="s">
        <v>4193</v>
      </c>
      <c r="C484" s="6" t="s">
        <v>4190</v>
      </c>
      <c r="D484" s="6" t="s">
        <v>4191</v>
      </c>
      <c r="E484" s="6">
        <v>127968.0</v>
      </c>
    </row>
    <row r="485">
      <c r="A485" s="6">
        <v>1536.0</v>
      </c>
      <c r="B485" s="6" t="s">
        <v>4193</v>
      </c>
      <c r="C485" s="6" t="s">
        <v>4190</v>
      </c>
      <c r="D485" s="6" t="s">
        <v>4191</v>
      </c>
      <c r="E485" s="6">
        <v>128068.0</v>
      </c>
    </row>
    <row r="486">
      <c r="A486" s="6">
        <v>1542.0</v>
      </c>
      <c r="B486" s="6" t="s">
        <v>4192</v>
      </c>
      <c r="C486" s="6" t="s">
        <v>4190</v>
      </c>
      <c r="D486" s="6" t="s">
        <v>4191</v>
      </c>
      <c r="E486" s="6">
        <v>126606.0</v>
      </c>
    </row>
    <row r="487">
      <c r="A487" s="6">
        <v>1545.0</v>
      </c>
      <c r="B487" s="6" t="s">
        <v>4193</v>
      </c>
      <c r="C487" s="6" t="s">
        <v>4190</v>
      </c>
      <c r="D487" s="6" t="s">
        <v>4191</v>
      </c>
      <c r="E487" s="6">
        <v>128054.0</v>
      </c>
    </row>
    <row r="488">
      <c r="A488" s="6">
        <v>1546.0</v>
      </c>
      <c r="B488" s="6" t="s">
        <v>4195</v>
      </c>
      <c r="C488" s="6" t="s">
        <v>4190</v>
      </c>
      <c r="D488" s="6" t="s">
        <v>4191</v>
      </c>
      <c r="E488" s="6">
        <v>128526.0</v>
      </c>
    </row>
    <row r="489">
      <c r="A489" s="6">
        <v>1552.0</v>
      </c>
      <c r="B489" s="6" t="s">
        <v>4192</v>
      </c>
      <c r="C489" s="6" t="s">
        <v>4190</v>
      </c>
      <c r="D489" s="6" t="s">
        <v>4191</v>
      </c>
      <c r="E489" s="6">
        <v>126829.0</v>
      </c>
    </row>
    <row r="490">
      <c r="A490" s="6">
        <v>1557.0</v>
      </c>
      <c r="B490" s="6" t="s">
        <v>4192</v>
      </c>
      <c r="C490" s="6" t="s">
        <v>4190</v>
      </c>
      <c r="D490" s="6" t="s">
        <v>4191</v>
      </c>
      <c r="E490" s="6">
        <v>128453.0</v>
      </c>
    </row>
    <row r="491">
      <c r="A491" s="6">
        <v>1559.0</v>
      </c>
      <c r="B491" s="6" t="s">
        <v>4189</v>
      </c>
      <c r="C491" s="6" t="s">
        <v>4190</v>
      </c>
      <c r="D491" s="6" t="s">
        <v>4191</v>
      </c>
      <c r="E491" s="6">
        <v>126008.0</v>
      </c>
    </row>
    <row r="492">
      <c r="A492" s="6">
        <v>1563.0</v>
      </c>
      <c r="B492" s="6" t="s">
        <v>4189</v>
      </c>
      <c r="C492" s="6" t="s">
        <v>4190</v>
      </c>
      <c r="D492" s="6" t="s">
        <v>4191</v>
      </c>
      <c r="E492" s="6">
        <v>128404.0</v>
      </c>
    </row>
    <row r="493">
      <c r="A493" s="6">
        <v>1564.0</v>
      </c>
      <c r="B493" s="6" t="s">
        <v>4192</v>
      </c>
      <c r="C493" s="6" t="s">
        <v>4190</v>
      </c>
      <c r="D493" s="6" t="s">
        <v>4191</v>
      </c>
      <c r="E493" s="6">
        <v>126763.0</v>
      </c>
    </row>
    <row r="494">
      <c r="A494" s="6">
        <v>1571.0</v>
      </c>
      <c r="B494" s="6" t="s">
        <v>4192</v>
      </c>
      <c r="C494" s="6" t="s">
        <v>4190</v>
      </c>
      <c r="D494" s="6" t="s">
        <v>4191</v>
      </c>
      <c r="E494" s="6">
        <v>126159.0</v>
      </c>
    </row>
    <row r="495">
      <c r="A495" s="6">
        <v>1573.0</v>
      </c>
      <c r="B495" s="6" t="s">
        <v>4194</v>
      </c>
      <c r="C495" s="6" t="s">
        <v>4190</v>
      </c>
      <c r="D495" s="6" t="s">
        <v>4191</v>
      </c>
      <c r="E495" s="6">
        <v>124762.0</v>
      </c>
    </row>
    <row r="496">
      <c r="A496" s="6">
        <v>1579.0</v>
      </c>
      <c r="B496" s="6" t="s">
        <v>4192</v>
      </c>
      <c r="C496" s="6" t="s">
        <v>4190</v>
      </c>
      <c r="D496" s="6" t="s">
        <v>4191</v>
      </c>
      <c r="E496" s="6">
        <v>126734.0</v>
      </c>
    </row>
    <row r="497">
      <c r="A497" s="6">
        <v>1582.0</v>
      </c>
      <c r="B497" s="6" t="s">
        <v>4192</v>
      </c>
      <c r="C497" s="6" t="s">
        <v>4190</v>
      </c>
      <c r="D497" s="6" t="s">
        <v>4191</v>
      </c>
      <c r="E497" s="6">
        <v>128418.0</v>
      </c>
    </row>
    <row r="498">
      <c r="A498" s="6">
        <v>1584.0</v>
      </c>
      <c r="B498" s="6" t="s">
        <v>4193</v>
      </c>
      <c r="C498" s="6" t="s">
        <v>4190</v>
      </c>
      <c r="D498" s="6" t="s">
        <v>4191</v>
      </c>
      <c r="E498" s="6">
        <v>127992.0</v>
      </c>
    </row>
    <row r="499">
      <c r="A499" s="6">
        <v>1607.0</v>
      </c>
      <c r="B499" s="6" t="s">
        <v>4192</v>
      </c>
      <c r="C499" s="6" t="s">
        <v>4190</v>
      </c>
      <c r="D499" s="6" t="s">
        <v>4191</v>
      </c>
      <c r="E499" s="6">
        <v>126570.0</v>
      </c>
    </row>
    <row r="500">
      <c r="A500" s="6">
        <v>1609.0</v>
      </c>
      <c r="B500" s="6" t="s">
        <v>4192</v>
      </c>
      <c r="C500" s="6" t="s">
        <v>4190</v>
      </c>
      <c r="D500" s="6" t="s">
        <v>4191</v>
      </c>
      <c r="E500" s="6">
        <v>125572.0</v>
      </c>
    </row>
    <row r="501">
      <c r="A501" s="6">
        <v>1437.0</v>
      </c>
      <c r="B501" s="6" t="s">
        <v>4192</v>
      </c>
      <c r="C501" s="6" t="s">
        <v>4190</v>
      </c>
      <c r="D501" s="6" t="s">
        <v>4191</v>
      </c>
      <c r="E501" s="6">
        <v>125974.0</v>
      </c>
    </row>
    <row r="502">
      <c r="A502" s="6">
        <v>1439.0</v>
      </c>
      <c r="B502" s="6" t="s">
        <v>4192</v>
      </c>
      <c r="C502" s="6" t="s">
        <v>4190</v>
      </c>
      <c r="D502" s="6" t="s">
        <v>4191</v>
      </c>
      <c r="E502" s="6">
        <v>124597.0</v>
      </c>
    </row>
    <row r="503">
      <c r="A503" s="6">
        <v>1440.0</v>
      </c>
      <c r="B503" s="6" t="s">
        <v>4192</v>
      </c>
      <c r="C503" s="6" t="s">
        <v>4190</v>
      </c>
      <c r="D503" s="6" t="s">
        <v>4191</v>
      </c>
      <c r="E503" s="6">
        <v>129015.0</v>
      </c>
    </row>
    <row r="504">
      <c r="A504" s="6">
        <v>1451.0</v>
      </c>
      <c r="B504" s="6" t="s">
        <v>4189</v>
      </c>
      <c r="C504" s="6" t="s">
        <v>4190</v>
      </c>
      <c r="D504" s="6" t="s">
        <v>4191</v>
      </c>
      <c r="E504" s="6">
        <v>128523.0</v>
      </c>
    </row>
    <row r="505">
      <c r="A505" s="6">
        <v>1455.0</v>
      </c>
      <c r="B505" s="6" t="s">
        <v>4192</v>
      </c>
      <c r="C505" s="6" t="s">
        <v>4190</v>
      </c>
      <c r="D505" s="6" t="s">
        <v>4191</v>
      </c>
      <c r="E505" s="6">
        <v>126032.0</v>
      </c>
    </row>
    <row r="506">
      <c r="A506" s="6">
        <v>1459.0</v>
      </c>
      <c r="B506" s="6" t="s">
        <v>4189</v>
      </c>
      <c r="C506" s="6" t="s">
        <v>4190</v>
      </c>
      <c r="D506" s="6" t="s">
        <v>4191</v>
      </c>
      <c r="E506" s="6">
        <v>124709.0</v>
      </c>
    </row>
    <row r="507">
      <c r="A507" s="6">
        <v>1463.0</v>
      </c>
      <c r="B507" s="6" t="s">
        <v>4194</v>
      </c>
      <c r="C507" s="6" t="s">
        <v>4190</v>
      </c>
      <c r="D507" s="6" t="s">
        <v>4191</v>
      </c>
      <c r="E507" s="6">
        <v>124964.0</v>
      </c>
    </row>
    <row r="508">
      <c r="A508" s="6">
        <v>2108.0</v>
      </c>
      <c r="B508" s="6" t="s">
        <v>4193</v>
      </c>
      <c r="C508" s="6" t="s">
        <v>4190</v>
      </c>
      <c r="D508" s="6" t="s">
        <v>4191</v>
      </c>
      <c r="E508" s="6">
        <v>128086.0</v>
      </c>
    </row>
    <row r="509">
      <c r="A509" s="6">
        <v>1616.0</v>
      </c>
      <c r="B509" s="6" t="s">
        <v>4192</v>
      </c>
      <c r="C509" s="6" t="s">
        <v>4190</v>
      </c>
      <c r="D509" s="6" t="s">
        <v>4191</v>
      </c>
      <c r="E509" s="6">
        <v>126412.0</v>
      </c>
    </row>
    <row r="510">
      <c r="A510" s="6">
        <v>1618.0</v>
      </c>
      <c r="B510" s="6" t="s">
        <v>4189</v>
      </c>
      <c r="C510" s="6" t="s">
        <v>4190</v>
      </c>
      <c r="D510" s="6" t="s">
        <v>4191</v>
      </c>
      <c r="E510" s="6">
        <v>126543.0</v>
      </c>
    </row>
    <row r="511">
      <c r="A511" s="6">
        <v>1628.0</v>
      </c>
      <c r="B511" s="6" t="s">
        <v>4192</v>
      </c>
      <c r="C511" s="6" t="s">
        <v>4190</v>
      </c>
      <c r="D511" s="6" t="s">
        <v>4191</v>
      </c>
      <c r="E511" s="6">
        <v>129186.0</v>
      </c>
    </row>
    <row r="512">
      <c r="A512" s="6">
        <v>1629.0</v>
      </c>
      <c r="B512" s="6" t="s">
        <v>4192</v>
      </c>
      <c r="C512" s="6" t="s">
        <v>4190</v>
      </c>
      <c r="D512" s="6" t="s">
        <v>4191</v>
      </c>
      <c r="E512" s="6">
        <v>128360.0</v>
      </c>
    </row>
    <row r="513">
      <c r="A513" s="6">
        <v>1631.0</v>
      </c>
      <c r="B513" s="6" t="s">
        <v>4192</v>
      </c>
      <c r="C513" s="6" t="s">
        <v>4190</v>
      </c>
      <c r="D513" s="6" t="s">
        <v>4191</v>
      </c>
      <c r="E513" s="6">
        <v>124970.0</v>
      </c>
    </row>
    <row r="514">
      <c r="A514" s="6">
        <v>1642.0</v>
      </c>
      <c r="B514" s="6" t="s">
        <v>4195</v>
      </c>
      <c r="C514" s="6" t="s">
        <v>4190</v>
      </c>
      <c r="D514" s="6" t="s">
        <v>4191</v>
      </c>
      <c r="E514" s="6">
        <v>126401.0</v>
      </c>
    </row>
    <row r="515">
      <c r="A515" s="6">
        <v>1643.0</v>
      </c>
      <c r="B515" s="6" t="s">
        <v>4192</v>
      </c>
      <c r="C515" s="6" t="s">
        <v>4190</v>
      </c>
      <c r="D515" s="6" t="s">
        <v>4191</v>
      </c>
      <c r="E515" s="6">
        <v>126065.0</v>
      </c>
    </row>
    <row r="516">
      <c r="A516" s="6">
        <v>1646.0</v>
      </c>
      <c r="B516" s="6" t="s">
        <v>4192</v>
      </c>
      <c r="C516" s="6" t="s">
        <v>4190</v>
      </c>
      <c r="D516" s="6" t="s">
        <v>4191</v>
      </c>
      <c r="E516" s="6">
        <v>126609.0</v>
      </c>
    </row>
    <row r="517">
      <c r="A517" s="6">
        <v>1662.0</v>
      </c>
      <c r="B517" s="6" t="s">
        <v>4192</v>
      </c>
      <c r="C517" s="6" t="s">
        <v>4190</v>
      </c>
      <c r="D517" s="6" t="s">
        <v>4191</v>
      </c>
      <c r="E517" s="6">
        <v>128396.0</v>
      </c>
    </row>
    <row r="518">
      <c r="A518" s="6">
        <v>1668.0</v>
      </c>
      <c r="B518" s="6" t="s">
        <v>4193</v>
      </c>
      <c r="C518" s="6" t="s">
        <v>4190</v>
      </c>
      <c r="D518" s="6" t="s">
        <v>4191</v>
      </c>
      <c r="E518" s="6">
        <v>128057.0</v>
      </c>
    </row>
    <row r="519">
      <c r="A519" s="6">
        <v>1670.0</v>
      </c>
      <c r="B519" s="6" t="s">
        <v>4192</v>
      </c>
      <c r="C519" s="6" t="s">
        <v>4190</v>
      </c>
      <c r="D519" s="6" t="s">
        <v>4191</v>
      </c>
      <c r="E519" s="6">
        <v>126129.0</v>
      </c>
    </row>
    <row r="520">
      <c r="A520" s="6">
        <v>1678.0</v>
      </c>
      <c r="B520" s="6" t="s">
        <v>4189</v>
      </c>
      <c r="C520" s="6" t="s">
        <v>4190</v>
      </c>
      <c r="D520" s="6" t="s">
        <v>4191</v>
      </c>
      <c r="E520" s="6">
        <v>124859.0</v>
      </c>
    </row>
    <row r="521">
      <c r="A521" s="6">
        <v>1681.0</v>
      </c>
      <c r="B521" s="6" t="s">
        <v>4192</v>
      </c>
      <c r="C521" s="6" t="s">
        <v>4190</v>
      </c>
      <c r="D521" s="6" t="s">
        <v>4191</v>
      </c>
      <c r="E521" s="6">
        <v>126958.0</v>
      </c>
    </row>
    <row r="522">
      <c r="A522" s="6">
        <v>1682.0</v>
      </c>
      <c r="B522" s="6" t="s">
        <v>4189</v>
      </c>
      <c r="C522" s="6" t="s">
        <v>4190</v>
      </c>
      <c r="D522" s="6" t="s">
        <v>4191</v>
      </c>
      <c r="E522" s="6">
        <v>126669.0</v>
      </c>
    </row>
    <row r="523">
      <c r="A523" s="6">
        <v>1696.0</v>
      </c>
      <c r="B523" s="6" t="s">
        <v>4189</v>
      </c>
      <c r="C523" s="6" t="s">
        <v>4190</v>
      </c>
      <c r="D523" s="6" t="s">
        <v>4191</v>
      </c>
      <c r="E523" s="6">
        <v>125780.0</v>
      </c>
    </row>
    <row r="524">
      <c r="A524" s="6">
        <v>1697.0</v>
      </c>
      <c r="B524" s="6" t="s">
        <v>4192</v>
      </c>
      <c r="C524" s="6" t="s">
        <v>4190</v>
      </c>
      <c r="D524" s="6" t="s">
        <v>4191</v>
      </c>
      <c r="E524" s="6">
        <v>126865.0</v>
      </c>
    </row>
    <row r="525">
      <c r="A525" s="6">
        <v>1700.0</v>
      </c>
      <c r="B525" s="6" t="s">
        <v>4193</v>
      </c>
      <c r="C525" s="6" t="s">
        <v>4190</v>
      </c>
      <c r="D525" s="6" t="s">
        <v>4191</v>
      </c>
      <c r="E525" s="6">
        <v>127951.0</v>
      </c>
    </row>
    <row r="526">
      <c r="A526" s="6">
        <v>1701.0</v>
      </c>
      <c r="B526" s="6" t="s">
        <v>4192</v>
      </c>
      <c r="C526" s="6" t="s">
        <v>4190</v>
      </c>
      <c r="D526" s="6" t="s">
        <v>4191</v>
      </c>
      <c r="E526" s="6">
        <v>128439.0</v>
      </c>
    </row>
    <row r="527">
      <c r="A527" s="6">
        <v>1704.0</v>
      </c>
      <c r="B527" s="6" t="s">
        <v>4192</v>
      </c>
      <c r="C527" s="6" t="s">
        <v>4190</v>
      </c>
      <c r="D527" s="6" t="s">
        <v>4191</v>
      </c>
      <c r="E527" s="6">
        <v>125249.0</v>
      </c>
    </row>
    <row r="528">
      <c r="A528" s="6">
        <v>1714.0</v>
      </c>
      <c r="B528" s="6" t="s">
        <v>4197</v>
      </c>
      <c r="C528" s="6" t="s">
        <v>4190</v>
      </c>
      <c r="D528" s="6" t="s">
        <v>4191</v>
      </c>
      <c r="E528" s="6">
        <v>125154.0</v>
      </c>
    </row>
    <row r="529">
      <c r="A529" s="6">
        <v>1715.0</v>
      </c>
      <c r="B529" s="6" t="s">
        <v>4195</v>
      </c>
      <c r="C529" s="6" t="s">
        <v>4190</v>
      </c>
      <c r="D529" s="6" t="s">
        <v>4191</v>
      </c>
      <c r="E529" s="6">
        <v>128492.0</v>
      </c>
    </row>
    <row r="530">
      <c r="A530" s="6">
        <v>1716.0</v>
      </c>
      <c r="B530" s="6" t="s">
        <v>4192</v>
      </c>
      <c r="C530" s="6" t="s">
        <v>4190</v>
      </c>
      <c r="D530" s="6" t="s">
        <v>4191</v>
      </c>
      <c r="E530" s="6">
        <v>126232.0</v>
      </c>
    </row>
    <row r="531">
      <c r="A531" s="6">
        <v>1720.0</v>
      </c>
      <c r="B531" s="6" t="s">
        <v>4193</v>
      </c>
      <c r="C531" s="6" t="s">
        <v>4190</v>
      </c>
      <c r="D531" s="6" t="s">
        <v>4191</v>
      </c>
      <c r="E531" s="6">
        <v>127995.0</v>
      </c>
    </row>
    <row r="532">
      <c r="A532" s="6">
        <v>1724.0</v>
      </c>
      <c r="B532" s="6" t="s">
        <v>4193</v>
      </c>
      <c r="C532" s="6" t="s">
        <v>4190</v>
      </c>
      <c r="D532" s="6" t="s">
        <v>4191</v>
      </c>
      <c r="E532" s="6">
        <v>128018.0</v>
      </c>
    </row>
    <row r="533">
      <c r="A533" s="6">
        <v>1725.0</v>
      </c>
      <c r="B533" s="6" t="s">
        <v>4192</v>
      </c>
      <c r="C533" s="6" t="s">
        <v>4190</v>
      </c>
      <c r="D533" s="6" t="s">
        <v>4191</v>
      </c>
      <c r="E533" s="6">
        <v>126539.0</v>
      </c>
    </row>
    <row r="534">
      <c r="A534" s="6">
        <v>1727.0</v>
      </c>
      <c r="B534" s="6" t="s">
        <v>4192</v>
      </c>
      <c r="C534" s="6" t="s">
        <v>4190</v>
      </c>
      <c r="D534" s="6" t="s">
        <v>4191</v>
      </c>
      <c r="E534" s="6">
        <v>129170.0</v>
      </c>
    </row>
    <row r="535">
      <c r="A535" s="6">
        <v>2046.0</v>
      </c>
      <c r="B535" s="6" t="s">
        <v>4192</v>
      </c>
      <c r="C535" s="6" t="s">
        <v>4190</v>
      </c>
      <c r="D535" s="6" t="s">
        <v>4191</v>
      </c>
      <c r="E535" s="6">
        <v>126299.0</v>
      </c>
    </row>
    <row r="536">
      <c r="A536" s="6">
        <v>2047.0</v>
      </c>
      <c r="B536" s="6" t="s">
        <v>4197</v>
      </c>
      <c r="C536" s="6" t="s">
        <v>4190</v>
      </c>
      <c r="D536" s="6" t="s">
        <v>4191</v>
      </c>
      <c r="E536" s="6">
        <v>126079.0</v>
      </c>
    </row>
    <row r="537">
      <c r="A537" s="6">
        <v>2049.0</v>
      </c>
      <c r="B537" s="6" t="s">
        <v>4194</v>
      </c>
      <c r="C537" s="6" t="s">
        <v>4190</v>
      </c>
      <c r="D537" s="6" t="s">
        <v>4191</v>
      </c>
      <c r="E537" s="6">
        <v>126446.0</v>
      </c>
    </row>
    <row r="538">
      <c r="A538" s="6">
        <v>2057.0</v>
      </c>
      <c r="B538" s="6" t="s">
        <v>4195</v>
      </c>
      <c r="C538" s="6" t="s">
        <v>4190</v>
      </c>
      <c r="D538" s="6" t="s">
        <v>4191</v>
      </c>
      <c r="E538" s="6">
        <v>126178.0</v>
      </c>
    </row>
    <row r="539">
      <c r="A539" s="6">
        <v>2060.0</v>
      </c>
      <c r="B539" s="6" t="s">
        <v>4195</v>
      </c>
      <c r="C539" s="6" t="s">
        <v>4190</v>
      </c>
      <c r="D539" s="6" t="s">
        <v>4191</v>
      </c>
      <c r="E539" s="6">
        <v>126712.0</v>
      </c>
    </row>
    <row r="540">
      <c r="A540" s="6">
        <v>2064.0</v>
      </c>
      <c r="B540" s="6" t="s">
        <v>4193</v>
      </c>
      <c r="C540" s="6" t="s">
        <v>4190</v>
      </c>
      <c r="D540" s="6" t="s">
        <v>4191</v>
      </c>
      <c r="E540" s="6">
        <v>127931.0</v>
      </c>
    </row>
    <row r="541">
      <c r="A541" s="6">
        <v>2071.0</v>
      </c>
      <c r="B541" s="6" t="s">
        <v>4193</v>
      </c>
      <c r="C541" s="6" t="s">
        <v>4190</v>
      </c>
      <c r="D541" s="6" t="s">
        <v>4191</v>
      </c>
      <c r="E541" s="6">
        <v>127974.0</v>
      </c>
    </row>
    <row r="542">
      <c r="A542" s="6">
        <v>2073.0</v>
      </c>
      <c r="B542" s="6" t="s">
        <v>4192</v>
      </c>
      <c r="C542" s="6" t="s">
        <v>4190</v>
      </c>
      <c r="D542" s="6" t="s">
        <v>4191</v>
      </c>
      <c r="E542" s="6">
        <v>125295.0</v>
      </c>
    </row>
    <row r="543">
      <c r="A543" s="6">
        <v>2075.0</v>
      </c>
      <c r="B543" s="6" t="s">
        <v>4192</v>
      </c>
      <c r="C543" s="6" t="s">
        <v>4190</v>
      </c>
      <c r="D543" s="6" t="s">
        <v>4191</v>
      </c>
      <c r="E543" s="6">
        <v>129000.0</v>
      </c>
    </row>
    <row r="544">
      <c r="A544" s="6">
        <v>2079.0</v>
      </c>
      <c r="B544" s="6" t="s">
        <v>4197</v>
      </c>
      <c r="C544" s="6" t="s">
        <v>4190</v>
      </c>
      <c r="D544" s="6" t="s">
        <v>4191</v>
      </c>
      <c r="E544" s="6">
        <v>125726.0</v>
      </c>
    </row>
    <row r="545">
      <c r="A545" s="6">
        <v>2080.0</v>
      </c>
      <c r="B545" s="6" t="s">
        <v>4192</v>
      </c>
      <c r="C545" s="6" t="s">
        <v>4190</v>
      </c>
      <c r="D545" s="6" t="s">
        <v>4191</v>
      </c>
      <c r="E545" s="6">
        <v>124577.0</v>
      </c>
    </row>
    <row r="546">
      <c r="A546" s="6">
        <v>2083.0</v>
      </c>
      <c r="B546" s="6" t="s">
        <v>4192</v>
      </c>
      <c r="C546" s="6" t="s">
        <v>4190</v>
      </c>
      <c r="D546" s="6" t="s">
        <v>4191</v>
      </c>
      <c r="E546" s="6">
        <v>126152.0</v>
      </c>
    </row>
    <row r="547">
      <c r="A547" s="6">
        <v>2085.0</v>
      </c>
      <c r="B547" s="6" t="s">
        <v>4189</v>
      </c>
      <c r="C547" s="6" t="s">
        <v>4190</v>
      </c>
      <c r="D547" s="6" t="s">
        <v>4191</v>
      </c>
      <c r="E547" s="6">
        <v>124954.0</v>
      </c>
    </row>
    <row r="548">
      <c r="A548" s="6">
        <v>2087.0</v>
      </c>
      <c r="B548" s="6" t="s">
        <v>4192</v>
      </c>
      <c r="C548" s="6" t="s">
        <v>4190</v>
      </c>
      <c r="D548" s="6" t="s">
        <v>4191</v>
      </c>
      <c r="E548" s="6">
        <v>126677.0</v>
      </c>
    </row>
    <row r="549">
      <c r="A549" s="6">
        <v>2092.0</v>
      </c>
      <c r="B549" s="6" t="s">
        <v>4192</v>
      </c>
      <c r="C549" s="6" t="s">
        <v>4190</v>
      </c>
      <c r="D549" s="6" t="s">
        <v>4191</v>
      </c>
      <c r="E549" s="6">
        <v>128725.0</v>
      </c>
    </row>
    <row r="550">
      <c r="A550" s="6">
        <v>2097.0</v>
      </c>
      <c r="B550" s="6" t="s">
        <v>4193</v>
      </c>
      <c r="C550" s="6" t="s">
        <v>4190</v>
      </c>
      <c r="D550" s="6" t="s">
        <v>4191</v>
      </c>
      <c r="E550" s="6">
        <v>128079.0</v>
      </c>
    </row>
    <row r="551">
      <c r="A551" s="6">
        <v>2102.0</v>
      </c>
      <c r="B551" s="6" t="s">
        <v>4192</v>
      </c>
      <c r="C551" s="6" t="s">
        <v>4190</v>
      </c>
      <c r="D551" s="6" t="s">
        <v>4191</v>
      </c>
      <c r="E551" s="6">
        <v>126964.0</v>
      </c>
    </row>
    <row r="552">
      <c r="A552" s="6">
        <v>2952.0</v>
      </c>
      <c r="B552" s="6" t="s">
        <v>4197</v>
      </c>
      <c r="C552" s="6" t="s">
        <v>4190</v>
      </c>
      <c r="D552" s="6" t="s">
        <v>4191</v>
      </c>
      <c r="E552" s="6">
        <v>124907.0</v>
      </c>
    </row>
    <row r="553">
      <c r="A553" s="6">
        <v>2953.0</v>
      </c>
      <c r="B553" s="6" t="s">
        <v>4193</v>
      </c>
      <c r="C553" s="6" t="s">
        <v>4190</v>
      </c>
      <c r="D553" s="6" t="s">
        <v>4191</v>
      </c>
      <c r="E553" s="6">
        <v>127999.0</v>
      </c>
    </row>
    <row r="554">
      <c r="A554" s="6">
        <v>2955.0</v>
      </c>
      <c r="B554" s="6" t="s">
        <v>4194</v>
      </c>
      <c r="C554" s="6" t="s">
        <v>4190</v>
      </c>
      <c r="D554" s="6" t="s">
        <v>4191</v>
      </c>
      <c r="E554" s="6">
        <v>126093.0</v>
      </c>
    </row>
    <row r="555">
      <c r="A555" s="6">
        <v>2956.0</v>
      </c>
      <c r="B555" s="6" t="s">
        <v>4192</v>
      </c>
      <c r="C555" s="6" t="s">
        <v>4190</v>
      </c>
      <c r="D555" s="6" t="s">
        <v>4191</v>
      </c>
      <c r="E555" s="6">
        <v>125778.0</v>
      </c>
    </row>
    <row r="556">
      <c r="A556" s="6">
        <v>2808.0</v>
      </c>
      <c r="B556" s="6" t="s">
        <v>4192</v>
      </c>
      <c r="C556" s="6" t="s">
        <v>4190</v>
      </c>
      <c r="D556" s="6" t="s">
        <v>4191</v>
      </c>
      <c r="E556" s="6">
        <v>126071.0</v>
      </c>
    </row>
    <row r="557">
      <c r="A557" s="6">
        <v>2957.0</v>
      </c>
      <c r="B557" s="6" t="s">
        <v>4192</v>
      </c>
      <c r="C557" s="6" t="s">
        <v>4190</v>
      </c>
      <c r="D557" s="6" t="s">
        <v>4191</v>
      </c>
      <c r="E557" s="6">
        <v>125129.0</v>
      </c>
    </row>
    <row r="558">
      <c r="A558" s="6">
        <v>2960.0</v>
      </c>
      <c r="B558" s="6" t="s">
        <v>4192</v>
      </c>
      <c r="C558" s="6" t="s">
        <v>4190</v>
      </c>
      <c r="D558" s="6" t="s">
        <v>4191</v>
      </c>
      <c r="E558" s="6">
        <v>125965.0</v>
      </c>
    </row>
    <row r="559">
      <c r="A559" s="6">
        <v>2962.0</v>
      </c>
      <c r="B559" s="6" t="s">
        <v>4193</v>
      </c>
      <c r="C559" s="6" t="s">
        <v>4190</v>
      </c>
      <c r="D559" s="6" t="s">
        <v>4191</v>
      </c>
      <c r="E559" s="6">
        <v>128044.0</v>
      </c>
    </row>
    <row r="560">
      <c r="A560" s="6">
        <v>2809.0</v>
      </c>
      <c r="B560" s="6" t="s">
        <v>4192</v>
      </c>
      <c r="C560" s="6" t="s">
        <v>4190</v>
      </c>
      <c r="D560" s="6" t="s">
        <v>4191</v>
      </c>
      <c r="E560" s="6">
        <v>125525.0</v>
      </c>
    </row>
    <row r="561">
      <c r="A561" s="6">
        <v>3701.0</v>
      </c>
      <c r="B561" s="6" t="s">
        <v>4192</v>
      </c>
      <c r="C561" s="6" t="s">
        <v>4190</v>
      </c>
      <c r="D561" s="6" t="s">
        <v>4191</v>
      </c>
      <c r="E561" s="6">
        <v>125015.0</v>
      </c>
    </row>
    <row r="562">
      <c r="A562" s="6">
        <v>2965.0</v>
      </c>
      <c r="B562" s="6" t="s">
        <v>4192</v>
      </c>
      <c r="C562" s="6" t="s">
        <v>4190</v>
      </c>
      <c r="D562" s="6" t="s">
        <v>4191</v>
      </c>
      <c r="E562" s="6">
        <v>126149.0</v>
      </c>
    </row>
    <row r="563">
      <c r="A563" s="6">
        <v>3721.0</v>
      </c>
      <c r="B563" s="6" t="s">
        <v>4195</v>
      </c>
      <c r="C563" s="6" t="s">
        <v>4190</v>
      </c>
      <c r="D563" s="6" t="s">
        <v>4191</v>
      </c>
      <c r="E563" s="6">
        <v>125995.0</v>
      </c>
    </row>
    <row r="564">
      <c r="A564" s="6">
        <v>2354.0</v>
      </c>
      <c r="B564" s="6" t="s">
        <v>4189</v>
      </c>
      <c r="C564" s="6" t="s">
        <v>4190</v>
      </c>
      <c r="D564" s="6" t="s">
        <v>4191</v>
      </c>
      <c r="E564" s="6">
        <v>3986.0</v>
      </c>
    </row>
    <row r="565">
      <c r="A565" s="6">
        <v>2968.0</v>
      </c>
      <c r="B565" s="6" t="s">
        <v>4195</v>
      </c>
      <c r="C565" s="6" t="s">
        <v>4190</v>
      </c>
      <c r="D565" s="6" t="s">
        <v>4191</v>
      </c>
      <c r="E565" s="6">
        <v>128489.0</v>
      </c>
    </row>
    <row r="566">
      <c r="A566" s="6">
        <v>2972.0</v>
      </c>
      <c r="B566" s="6" t="s">
        <v>4195</v>
      </c>
      <c r="C566" s="6" t="s">
        <v>4190</v>
      </c>
      <c r="D566" s="6" t="s">
        <v>4191</v>
      </c>
      <c r="E566" s="6">
        <v>125100.0</v>
      </c>
    </row>
    <row r="567">
      <c r="A567" s="6">
        <v>2976.0</v>
      </c>
      <c r="B567" s="6" t="s">
        <v>4194</v>
      </c>
      <c r="C567" s="6" t="s">
        <v>4190</v>
      </c>
      <c r="D567" s="6" t="s">
        <v>4191</v>
      </c>
      <c r="E567" s="6">
        <v>126203.0</v>
      </c>
    </row>
    <row r="568">
      <c r="A568" s="6">
        <v>2992.0</v>
      </c>
      <c r="B568" s="6" t="s">
        <v>4192</v>
      </c>
      <c r="C568" s="6" t="s">
        <v>4190</v>
      </c>
      <c r="D568" s="6" t="s">
        <v>4191</v>
      </c>
      <c r="E568" s="6">
        <v>128627.0</v>
      </c>
    </row>
    <row r="569">
      <c r="A569" s="6">
        <v>2995.0</v>
      </c>
      <c r="B569" s="6" t="s">
        <v>4189</v>
      </c>
      <c r="C569" s="6" t="s">
        <v>4190</v>
      </c>
      <c r="D569" s="6" t="s">
        <v>4191</v>
      </c>
      <c r="E569" s="6">
        <v>125397.0</v>
      </c>
    </row>
    <row r="570">
      <c r="A570" s="6">
        <v>2996.0</v>
      </c>
      <c r="B570" s="6" t="s">
        <v>4192</v>
      </c>
      <c r="C570" s="6" t="s">
        <v>4190</v>
      </c>
      <c r="D570" s="6" t="s">
        <v>4191</v>
      </c>
      <c r="E570" s="6">
        <v>125032.0</v>
      </c>
    </row>
    <row r="571">
      <c r="A571" s="6">
        <v>3010.0</v>
      </c>
      <c r="B571" s="6" t="s">
        <v>4192</v>
      </c>
      <c r="C571" s="6" t="s">
        <v>4190</v>
      </c>
      <c r="D571" s="6" t="s">
        <v>4191</v>
      </c>
      <c r="E571" s="6">
        <v>126470.0</v>
      </c>
    </row>
    <row r="572">
      <c r="A572" s="6">
        <v>3011.0</v>
      </c>
      <c r="B572" s="6" t="s">
        <v>4192</v>
      </c>
      <c r="C572" s="6" t="s">
        <v>4190</v>
      </c>
      <c r="D572" s="6" t="s">
        <v>4191</v>
      </c>
      <c r="E572" s="6">
        <v>126120.0</v>
      </c>
    </row>
    <row r="573">
      <c r="A573" s="6">
        <v>3012.0</v>
      </c>
      <c r="B573" s="6" t="s">
        <v>4194</v>
      </c>
      <c r="C573" s="6" t="s">
        <v>4190</v>
      </c>
      <c r="D573" s="6" t="s">
        <v>4191</v>
      </c>
      <c r="E573" s="6">
        <v>125724.0</v>
      </c>
    </row>
    <row r="574">
      <c r="A574" s="6">
        <v>2647.0</v>
      </c>
      <c r="B574" s="6" t="s">
        <v>4197</v>
      </c>
      <c r="C574" s="6" t="s">
        <v>4190</v>
      </c>
      <c r="D574" s="6" t="s">
        <v>4191</v>
      </c>
      <c r="E574" s="6">
        <v>3767.0</v>
      </c>
    </row>
    <row r="575">
      <c r="A575" s="6">
        <v>3016.0</v>
      </c>
      <c r="B575" s="6" t="s">
        <v>4192</v>
      </c>
      <c r="C575" s="6" t="s">
        <v>4190</v>
      </c>
      <c r="D575" s="6" t="s">
        <v>4191</v>
      </c>
      <c r="E575" s="6">
        <v>125505.0</v>
      </c>
    </row>
    <row r="576">
      <c r="A576" s="6">
        <v>3017.0</v>
      </c>
      <c r="B576" s="6" t="s">
        <v>4193</v>
      </c>
      <c r="C576" s="6" t="s">
        <v>4190</v>
      </c>
      <c r="D576" s="6" t="s">
        <v>4191</v>
      </c>
      <c r="E576" s="6">
        <v>127975.0</v>
      </c>
    </row>
    <row r="577">
      <c r="A577" s="6">
        <v>3021.0</v>
      </c>
      <c r="B577" s="6" t="s">
        <v>4189</v>
      </c>
      <c r="C577" s="6" t="s">
        <v>4190</v>
      </c>
      <c r="D577" s="6" t="s">
        <v>4191</v>
      </c>
      <c r="E577" s="6">
        <v>124573.0</v>
      </c>
    </row>
    <row r="578">
      <c r="A578" s="6">
        <v>3026.0</v>
      </c>
      <c r="B578" s="6" t="s">
        <v>4192</v>
      </c>
      <c r="C578" s="6" t="s">
        <v>4190</v>
      </c>
      <c r="D578" s="6" t="s">
        <v>4191</v>
      </c>
      <c r="E578" s="6">
        <v>125703.0</v>
      </c>
    </row>
    <row r="579">
      <c r="A579" s="6">
        <v>3030.0</v>
      </c>
      <c r="B579" s="6" t="s">
        <v>4193</v>
      </c>
      <c r="C579" s="6" t="s">
        <v>4190</v>
      </c>
      <c r="D579" s="6" t="s">
        <v>4191</v>
      </c>
      <c r="E579" s="6">
        <v>128031.0</v>
      </c>
    </row>
    <row r="580">
      <c r="A580" s="6">
        <v>3032.0</v>
      </c>
      <c r="B580" s="6" t="s">
        <v>4192</v>
      </c>
      <c r="C580" s="6" t="s">
        <v>4190</v>
      </c>
      <c r="D580" s="6" t="s">
        <v>4191</v>
      </c>
      <c r="E580" s="6">
        <v>126524.0</v>
      </c>
    </row>
    <row r="581">
      <c r="A581" s="6">
        <v>3033.0</v>
      </c>
      <c r="B581" s="6" t="s">
        <v>4194</v>
      </c>
      <c r="C581" s="6" t="s">
        <v>4190</v>
      </c>
      <c r="D581" s="6" t="s">
        <v>4191</v>
      </c>
      <c r="E581" s="6">
        <v>128454.0</v>
      </c>
    </row>
    <row r="582">
      <c r="A582" s="6">
        <v>3034.0</v>
      </c>
      <c r="B582" s="6" t="s">
        <v>4192</v>
      </c>
      <c r="C582" s="6" t="s">
        <v>4190</v>
      </c>
      <c r="D582" s="6" t="s">
        <v>4191</v>
      </c>
      <c r="E582" s="6">
        <v>126012.0</v>
      </c>
    </row>
    <row r="583">
      <c r="A583" s="6">
        <v>3036.0</v>
      </c>
      <c r="B583" s="6" t="s">
        <v>4192</v>
      </c>
      <c r="C583" s="6" t="s">
        <v>4190</v>
      </c>
      <c r="D583" s="6" t="s">
        <v>4191</v>
      </c>
      <c r="E583" s="6">
        <v>128528.0</v>
      </c>
    </row>
    <row r="584">
      <c r="A584" s="6">
        <v>3038.0</v>
      </c>
      <c r="B584" s="6" t="s">
        <v>4196</v>
      </c>
      <c r="C584" s="6" t="s">
        <v>4190</v>
      </c>
      <c r="D584" s="6" t="s">
        <v>4191</v>
      </c>
      <c r="E584" s="6">
        <v>126038.0</v>
      </c>
    </row>
    <row r="585">
      <c r="A585" s="6">
        <v>3039.0</v>
      </c>
      <c r="B585" s="6" t="s">
        <v>4197</v>
      </c>
      <c r="C585" s="6" t="s">
        <v>4190</v>
      </c>
      <c r="D585" s="6" t="s">
        <v>4191</v>
      </c>
      <c r="E585" s="6">
        <v>125493.0</v>
      </c>
    </row>
    <row r="586">
      <c r="A586" s="6">
        <v>3046.0</v>
      </c>
      <c r="B586" s="6" t="s">
        <v>4194</v>
      </c>
      <c r="C586" s="6" t="s">
        <v>4190</v>
      </c>
      <c r="D586" s="6" t="s">
        <v>4191</v>
      </c>
      <c r="E586" s="6">
        <v>126764.0</v>
      </c>
    </row>
    <row r="587">
      <c r="A587" s="6">
        <v>3047.0</v>
      </c>
      <c r="B587" s="6" t="s">
        <v>4192</v>
      </c>
      <c r="C587" s="6" t="s">
        <v>4190</v>
      </c>
      <c r="D587" s="6" t="s">
        <v>4191</v>
      </c>
      <c r="E587" s="6">
        <v>126548.0</v>
      </c>
    </row>
    <row r="588">
      <c r="A588" s="6">
        <v>3048.0</v>
      </c>
      <c r="B588" s="6" t="s">
        <v>4192</v>
      </c>
      <c r="C588" s="6" t="s">
        <v>4190</v>
      </c>
      <c r="D588" s="6" t="s">
        <v>4191</v>
      </c>
      <c r="E588" s="6">
        <v>125983.0</v>
      </c>
    </row>
    <row r="589">
      <c r="A589" s="6">
        <v>3052.0</v>
      </c>
      <c r="B589" s="6" t="s">
        <v>4193</v>
      </c>
      <c r="C589" s="6" t="s">
        <v>4190</v>
      </c>
      <c r="D589" s="6" t="s">
        <v>4191</v>
      </c>
      <c r="E589" s="6">
        <v>127984.0</v>
      </c>
    </row>
    <row r="590">
      <c r="A590" s="6">
        <v>2984.0</v>
      </c>
      <c r="B590" s="6" t="s">
        <v>4192</v>
      </c>
      <c r="C590" s="6" t="s">
        <v>4190</v>
      </c>
      <c r="D590" s="6" t="s">
        <v>4191</v>
      </c>
      <c r="E590" s="6">
        <v>124627.0</v>
      </c>
    </row>
    <row r="591">
      <c r="A591" s="6">
        <v>3055.0</v>
      </c>
      <c r="B591" s="6" t="s">
        <v>4189</v>
      </c>
      <c r="C591" s="6" t="s">
        <v>4190</v>
      </c>
      <c r="D591" s="6" t="s">
        <v>4191</v>
      </c>
      <c r="E591" s="6">
        <v>126577.0</v>
      </c>
    </row>
    <row r="592">
      <c r="A592" s="6">
        <v>3057.0</v>
      </c>
      <c r="B592" s="6" t="s">
        <v>4192</v>
      </c>
      <c r="C592" s="6" t="s">
        <v>4190</v>
      </c>
      <c r="D592" s="6" t="s">
        <v>4191</v>
      </c>
      <c r="E592" s="6">
        <v>128902.0</v>
      </c>
    </row>
    <row r="593">
      <c r="A593" s="6">
        <v>3061.0</v>
      </c>
      <c r="B593" s="6" t="s">
        <v>4195</v>
      </c>
      <c r="C593" s="6" t="s">
        <v>4190</v>
      </c>
      <c r="D593" s="6" t="s">
        <v>4191</v>
      </c>
      <c r="E593" s="6">
        <v>129147.0</v>
      </c>
    </row>
    <row r="594">
      <c r="A594" s="6">
        <v>2985.0</v>
      </c>
      <c r="B594" s="6" t="s">
        <v>4192</v>
      </c>
      <c r="C594" s="6" t="s">
        <v>4190</v>
      </c>
      <c r="D594" s="6" t="s">
        <v>4191</v>
      </c>
      <c r="E594" s="6">
        <v>129065.0</v>
      </c>
    </row>
    <row r="595">
      <c r="A595" s="6">
        <v>3063.0</v>
      </c>
      <c r="B595" s="6" t="s">
        <v>4192</v>
      </c>
      <c r="C595" s="6" t="s">
        <v>4190</v>
      </c>
      <c r="D595" s="6" t="s">
        <v>4191</v>
      </c>
      <c r="E595" s="6">
        <v>125474.0</v>
      </c>
    </row>
    <row r="596">
      <c r="A596" s="6">
        <v>3066.0</v>
      </c>
      <c r="B596" s="6" t="s">
        <v>4192</v>
      </c>
      <c r="C596" s="6" t="s">
        <v>4190</v>
      </c>
      <c r="D596" s="6" t="s">
        <v>4191</v>
      </c>
      <c r="E596" s="6">
        <v>126495.0</v>
      </c>
    </row>
    <row r="597">
      <c r="A597" s="6">
        <v>3070.0</v>
      </c>
      <c r="B597" s="6" t="s">
        <v>4192</v>
      </c>
      <c r="C597" s="6" t="s">
        <v>4190</v>
      </c>
      <c r="D597" s="6" t="s">
        <v>4191</v>
      </c>
      <c r="E597" s="6">
        <v>126649.0</v>
      </c>
    </row>
    <row r="598">
      <c r="A598" s="6">
        <v>3071.0</v>
      </c>
      <c r="B598" s="6" t="s">
        <v>4197</v>
      </c>
      <c r="C598" s="6" t="s">
        <v>4190</v>
      </c>
      <c r="D598" s="6" t="s">
        <v>4191</v>
      </c>
      <c r="E598" s="6">
        <v>126283.0</v>
      </c>
    </row>
    <row r="599">
      <c r="A599" s="6">
        <v>3072.0</v>
      </c>
      <c r="B599" s="6" t="s">
        <v>4194</v>
      </c>
      <c r="C599" s="6" t="s">
        <v>4190</v>
      </c>
      <c r="D599" s="6" t="s">
        <v>4191</v>
      </c>
      <c r="E599" s="6">
        <v>125378.0</v>
      </c>
    </row>
    <row r="600">
      <c r="A600" s="6">
        <v>3074.0</v>
      </c>
      <c r="B600" s="6" t="s">
        <v>4193</v>
      </c>
      <c r="C600" s="6" t="s">
        <v>4190</v>
      </c>
      <c r="D600" s="6" t="s">
        <v>4191</v>
      </c>
      <c r="E600" s="6">
        <v>128047.0</v>
      </c>
    </row>
    <row r="601">
      <c r="A601" s="6">
        <v>3078.0</v>
      </c>
      <c r="B601" s="6" t="s">
        <v>4192</v>
      </c>
      <c r="C601" s="6" t="s">
        <v>4190</v>
      </c>
      <c r="D601" s="6" t="s">
        <v>4191</v>
      </c>
      <c r="E601" s="6">
        <v>126091.0</v>
      </c>
    </row>
    <row r="602">
      <c r="A602" s="6">
        <v>3080.0</v>
      </c>
      <c r="B602" s="6" t="s">
        <v>4192</v>
      </c>
      <c r="C602" s="6" t="s">
        <v>4190</v>
      </c>
      <c r="D602" s="6" t="s">
        <v>4191</v>
      </c>
      <c r="E602" s="6">
        <v>125123.0</v>
      </c>
    </row>
    <row r="603">
      <c r="A603" s="6">
        <v>3083.0</v>
      </c>
      <c r="B603" s="6" t="s">
        <v>4192</v>
      </c>
      <c r="C603" s="6" t="s">
        <v>4190</v>
      </c>
      <c r="D603" s="6" t="s">
        <v>4191</v>
      </c>
      <c r="E603" s="6">
        <v>125266.0</v>
      </c>
    </row>
    <row r="604">
      <c r="A604" s="6">
        <v>3084.0</v>
      </c>
      <c r="B604" s="6" t="s">
        <v>4192</v>
      </c>
      <c r="C604" s="6" t="s">
        <v>4190</v>
      </c>
      <c r="D604" s="6" t="s">
        <v>4191</v>
      </c>
      <c r="E604" s="6">
        <v>124880.0</v>
      </c>
    </row>
    <row r="605">
      <c r="A605" s="6">
        <v>3085.0</v>
      </c>
      <c r="B605" s="6" t="s">
        <v>4193</v>
      </c>
      <c r="C605" s="6" t="s">
        <v>4190</v>
      </c>
      <c r="D605" s="6" t="s">
        <v>4191</v>
      </c>
      <c r="E605" s="6">
        <v>128093.0</v>
      </c>
    </row>
    <row r="606">
      <c r="A606" s="6">
        <v>3090.0</v>
      </c>
      <c r="B606" s="6" t="s">
        <v>4197</v>
      </c>
      <c r="C606" s="6" t="s">
        <v>4190</v>
      </c>
      <c r="D606" s="6" t="s">
        <v>4191</v>
      </c>
      <c r="E606" s="6">
        <v>126413.0</v>
      </c>
    </row>
    <row r="607">
      <c r="A607" s="6">
        <v>3094.0</v>
      </c>
      <c r="B607" s="6" t="s">
        <v>4192</v>
      </c>
      <c r="C607" s="6" t="s">
        <v>4190</v>
      </c>
      <c r="D607" s="6" t="s">
        <v>4191</v>
      </c>
      <c r="E607" s="6">
        <v>126140.0</v>
      </c>
    </row>
    <row r="608">
      <c r="A608" s="6">
        <v>3095.0</v>
      </c>
      <c r="B608" s="6" t="s">
        <v>4192</v>
      </c>
      <c r="C608" s="6" t="s">
        <v>4190</v>
      </c>
      <c r="D608" s="6" t="s">
        <v>4191</v>
      </c>
      <c r="E608" s="6">
        <v>125609.0</v>
      </c>
    </row>
    <row r="609">
      <c r="A609" s="6">
        <v>3096.0</v>
      </c>
      <c r="B609" s="6" t="s">
        <v>4192</v>
      </c>
      <c r="C609" s="6" t="s">
        <v>4190</v>
      </c>
      <c r="D609" s="6" t="s">
        <v>4191</v>
      </c>
      <c r="E609" s="6">
        <v>126571.0</v>
      </c>
    </row>
    <row r="610">
      <c r="A610" s="6">
        <v>3099.0</v>
      </c>
      <c r="B610" s="6" t="s">
        <v>4192</v>
      </c>
      <c r="C610" s="6" t="s">
        <v>4190</v>
      </c>
      <c r="D610" s="6" t="s">
        <v>4191</v>
      </c>
      <c r="E610" s="6">
        <v>126544.0</v>
      </c>
    </row>
    <row r="611">
      <c r="A611" s="6">
        <v>3100.0</v>
      </c>
      <c r="B611" s="6" t="s">
        <v>4189</v>
      </c>
      <c r="C611" s="6" t="s">
        <v>4190</v>
      </c>
      <c r="D611" s="6" t="s">
        <v>4191</v>
      </c>
      <c r="E611" s="6">
        <v>128835.0</v>
      </c>
    </row>
    <row r="612">
      <c r="A612" s="6">
        <v>3101.0</v>
      </c>
      <c r="B612" s="6" t="s">
        <v>4194</v>
      </c>
      <c r="C612" s="6" t="s">
        <v>4190</v>
      </c>
      <c r="D612" s="6" t="s">
        <v>4191</v>
      </c>
      <c r="E612" s="6">
        <v>126160.0</v>
      </c>
    </row>
    <row r="613">
      <c r="A613" s="6">
        <v>3102.0</v>
      </c>
      <c r="B613" s="6" t="s">
        <v>4192</v>
      </c>
      <c r="C613" s="6" t="s">
        <v>4190</v>
      </c>
      <c r="D613" s="6" t="s">
        <v>4191</v>
      </c>
      <c r="E613" s="6">
        <v>124971.0</v>
      </c>
    </row>
    <row r="614">
      <c r="A614" s="6">
        <v>3103.0</v>
      </c>
      <c r="B614" s="6" t="s">
        <v>4194</v>
      </c>
      <c r="C614" s="6" t="s">
        <v>4190</v>
      </c>
      <c r="D614" s="6" t="s">
        <v>4191</v>
      </c>
      <c r="E614" s="6">
        <v>128913.0</v>
      </c>
    </row>
    <row r="615">
      <c r="A615" s="6">
        <v>3107.0</v>
      </c>
      <c r="B615" s="6" t="s">
        <v>4192</v>
      </c>
      <c r="C615" s="6" t="s">
        <v>4190</v>
      </c>
      <c r="D615" s="6" t="s">
        <v>4191</v>
      </c>
      <c r="E615" s="6">
        <v>125344.0</v>
      </c>
    </row>
    <row r="616">
      <c r="A616" s="6">
        <v>2750.0</v>
      </c>
      <c r="B616" s="6" t="s">
        <v>4194</v>
      </c>
      <c r="C616" s="6" t="s">
        <v>4190</v>
      </c>
      <c r="D616" s="6" t="s">
        <v>4191</v>
      </c>
      <c r="E616" s="6">
        <v>3712.0</v>
      </c>
    </row>
    <row r="617">
      <c r="A617" s="6">
        <v>3108.0</v>
      </c>
      <c r="B617" s="6" t="s">
        <v>4195</v>
      </c>
      <c r="C617" s="6" t="s">
        <v>4190</v>
      </c>
      <c r="D617" s="6" t="s">
        <v>4191</v>
      </c>
      <c r="E617" s="6">
        <v>125204.0</v>
      </c>
    </row>
    <row r="618">
      <c r="A618" s="6">
        <v>3109.0</v>
      </c>
      <c r="B618" s="6" t="s">
        <v>4195</v>
      </c>
      <c r="C618" s="6" t="s">
        <v>4190</v>
      </c>
      <c r="D618" s="6" t="s">
        <v>4191</v>
      </c>
      <c r="E618" s="6">
        <v>129023.0</v>
      </c>
    </row>
    <row r="619">
      <c r="A619" s="6">
        <v>2988.0</v>
      </c>
      <c r="B619" s="6" t="s">
        <v>4192</v>
      </c>
      <c r="C619" s="6" t="s">
        <v>4190</v>
      </c>
      <c r="D619" s="6" t="s">
        <v>4191</v>
      </c>
      <c r="E619" s="6">
        <v>124686.0</v>
      </c>
    </row>
    <row r="620">
      <c r="A620" s="6">
        <v>3116.0</v>
      </c>
      <c r="B620" s="6" t="s">
        <v>4192</v>
      </c>
      <c r="C620" s="6" t="s">
        <v>4190</v>
      </c>
      <c r="D620" s="6" t="s">
        <v>4191</v>
      </c>
      <c r="E620" s="6">
        <v>129196.0</v>
      </c>
    </row>
    <row r="621">
      <c r="A621" s="6">
        <v>3118.0</v>
      </c>
      <c r="B621" s="6" t="s">
        <v>4192</v>
      </c>
      <c r="C621" s="6" t="s">
        <v>4190</v>
      </c>
      <c r="D621" s="6" t="s">
        <v>4191</v>
      </c>
      <c r="E621" s="6">
        <v>125630.0</v>
      </c>
    </row>
    <row r="622">
      <c r="A622" s="6">
        <v>3119.0</v>
      </c>
      <c r="B622" s="6" t="s">
        <v>4192</v>
      </c>
      <c r="C622" s="6" t="s">
        <v>4190</v>
      </c>
      <c r="D622" s="6" t="s">
        <v>4191</v>
      </c>
      <c r="E622" s="6">
        <v>125163.0</v>
      </c>
    </row>
    <row r="623">
      <c r="A623" s="6">
        <v>3120.0</v>
      </c>
      <c r="B623" s="6" t="s">
        <v>4193</v>
      </c>
      <c r="C623" s="6" t="s">
        <v>4190</v>
      </c>
      <c r="D623" s="6" t="s">
        <v>4191</v>
      </c>
      <c r="E623" s="6">
        <v>127964.0</v>
      </c>
    </row>
    <row r="624">
      <c r="A624" s="6">
        <v>3121.0</v>
      </c>
      <c r="B624" s="6" t="s">
        <v>4192</v>
      </c>
      <c r="C624" s="6" t="s">
        <v>4190</v>
      </c>
      <c r="D624" s="6" t="s">
        <v>4191</v>
      </c>
      <c r="E624" s="6">
        <v>126311.0</v>
      </c>
    </row>
    <row r="625">
      <c r="A625" s="6">
        <v>3123.0</v>
      </c>
      <c r="B625" s="6" t="s">
        <v>4192</v>
      </c>
      <c r="C625" s="6" t="s">
        <v>4190</v>
      </c>
      <c r="D625" s="6" t="s">
        <v>4191</v>
      </c>
      <c r="E625" s="6">
        <v>125327.0</v>
      </c>
    </row>
    <row r="626">
      <c r="A626" s="6">
        <v>3124.0</v>
      </c>
      <c r="B626" s="6" t="s">
        <v>4193</v>
      </c>
      <c r="C626" s="6" t="s">
        <v>4190</v>
      </c>
      <c r="D626" s="6" t="s">
        <v>4191</v>
      </c>
      <c r="E626" s="6">
        <v>128028.0</v>
      </c>
    </row>
    <row r="627">
      <c r="A627" s="6">
        <v>3125.0</v>
      </c>
      <c r="B627" s="6" t="s">
        <v>4192</v>
      </c>
      <c r="C627" s="6" t="s">
        <v>4190</v>
      </c>
      <c r="D627" s="6" t="s">
        <v>4191</v>
      </c>
      <c r="E627" s="6">
        <v>125078.0</v>
      </c>
    </row>
    <row r="628">
      <c r="A628" s="6">
        <v>2989.0</v>
      </c>
      <c r="B628" s="6" t="s">
        <v>4195</v>
      </c>
      <c r="C628" s="6" t="s">
        <v>4190</v>
      </c>
      <c r="D628" s="6" t="s">
        <v>4191</v>
      </c>
      <c r="E628" s="6">
        <v>129150.0</v>
      </c>
    </row>
    <row r="629">
      <c r="A629" s="6">
        <v>3130.0</v>
      </c>
      <c r="B629" s="6" t="s">
        <v>4195</v>
      </c>
      <c r="C629" s="6" t="s">
        <v>4190</v>
      </c>
      <c r="D629" s="6" t="s">
        <v>4191</v>
      </c>
      <c r="E629" s="6">
        <v>124707.0</v>
      </c>
    </row>
    <row r="630">
      <c r="A630" s="6">
        <v>3135.0</v>
      </c>
      <c r="B630" s="6" t="s">
        <v>4192</v>
      </c>
      <c r="C630" s="6" t="s">
        <v>4190</v>
      </c>
      <c r="D630" s="6" t="s">
        <v>4191</v>
      </c>
      <c r="E630" s="6">
        <v>126247.0</v>
      </c>
    </row>
    <row r="631">
      <c r="A631" s="6">
        <v>3139.0</v>
      </c>
      <c r="B631" s="6" t="s">
        <v>4192</v>
      </c>
      <c r="C631" s="6" t="s">
        <v>4190</v>
      </c>
      <c r="D631" s="6" t="s">
        <v>4191</v>
      </c>
      <c r="E631" s="6">
        <v>126006.0</v>
      </c>
    </row>
    <row r="632">
      <c r="A632" s="6">
        <v>3141.0</v>
      </c>
      <c r="B632" s="6" t="s">
        <v>4197</v>
      </c>
      <c r="C632" s="6" t="s">
        <v>4190</v>
      </c>
      <c r="D632" s="6" t="s">
        <v>4191</v>
      </c>
      <c r="E632" s="6">
        <v>124661.0</v>
      </c>
    </row>
    <row r="633">
      <c r="A633" s="6">
        <v>2991.0</v>
      </c>
      <c r="B633" s="6" t="s">
        <v>4192</v>
      </c>
      <c r="C633" s="6" t="s">
        <v>4190</v>
      </c>
      <c r="D633" s="6" t="s">
        <v>4191</v>
      </c>
      <c r="E633" s="6">
        <v>126261.0</v>
      </c>
    </row>
    <row r="634">
      <c r="A634" s="6">
        <v>2359.0</v>
      </c>
      <c r="B634" s="6" t="s">
        <v>4192</v>
      </c>
      <c r="C634" s="6" t="s">
        <v>4190</v>
      </c>
      <c r="D634" s="6" t="s">
        <v>4191</v>
      </c>
      <c r="E634" s="6">
        <v>128610.0</v>
      </c>
    </row>
    <row r="635">
      <c r="A635" s="6">
        <v>2797.0</v>
      </c>
      <c r="B635" s="6" t="s">
        <v>4192</v>
      </c>
      <c r="C635" s="6" t="s">
        <v>4190</v>
      </c>
      <c r="D635" s="6" t="s">
        <v>4191</v>
      </c>
      <c r="E635" s="6">
        <v>3893.0</v>
      </c>
    </row>
    <row r="636">
      <c r="A636" s="6">
        <v>2376.0</v>
      </c>
      <c r="B636" s="6" t="s">
        <v>4195</v>
      </c>
      <c r="C636" s="6" t="s">
        <v>4190</v>
      </c>
      <c r="D636" s="6" t="s">
        <v>4191</v>
      </c>
      <c r="E636" s="6">
        <v>125750.0</v>
      </c>
    </row>
    <row r="637">
      <c r="A637" s="6">
        <v>2377.0</v>
      </c>
      <c r="B637" s="6" t="s">
        <v>4193</v>
      </c>
      <c r="C637" s="6" t="s">
        <v>4190</v>
      </c>
      <c r="D637" s="6" t="s">
        <v>4191</v>
      </c>
      <c r="E637" s="6">
        <v>127987.0</v>
      </c>
    </row>
    <row r="638">
      <c r="A638" s="6">
        <v>2384.0</v>
      </c>
      <c r="B638" s="6" t="s">
        <v>4192</v>
      </c>
      <c r="C638" s="6" t="s">
        <v>4190</v>
      </c>
      <c r="D638" s="6" t="s">
        <v>4191</v>
      </c>
      <c r="E638" s="6">
        <v>128346.0</v>
      </c>
    </row>
    <row r="639">
      <c r="A639" s="6">
        <v>2385.0</v>
      </c>
      <c r="B639" s="6" t="s">
        <v>4192</v>
      </c>
      <c r="C639" s="6" t="s">
        <v>4190</v>
      </c>
      <c r="D639" s="6" t="s">
        <v>4191</v>
      </c>
      <c r="E639" s="6">
        <v>126434.0</v>
      </c>
    </row>
    <row r="640">
      <c r="A640" s="6">
        <v>2386.0</v>
      </c>
      <c r="B640" s="6" t="s">
        <v>4192</v>
      </c>
      <c r="C640" s="6" t="s">
        <v>4190</v>
      </c>
      <c r="D640" s="6" t="s">
        <v>4191</v>
      </c>
      <c r="E640" s="6">
        <v>124618.0</v>
      </c>
    </row>
    <row r="641">
      <c r="A641" s="6">
        <v>2390.0</v>
      </c>
      <c r="B641" s="6" t="s">
        <v>4189</v>
      </c>
      <c r="C641" s="6" t="s">
        <v>4190</v>
      </c>
      <c r="D641" s="6" t="s">
        <v>4191</v>
      </c>
      <c r="E641" s="6">
        <v>125380.0</v>
      </c>
    </row>
    <row r="642">
      <c r="A642" s="6">
        <v>2396.0</v>
      </c>
      <c r="B642" s="6" t="s">
        <v>4193</v>
      </c>
      <c r="C642" s="6" t="s">
        <v>4190</v>
      </c>
      <c r="D642" s="6" t="s">
        <v>4191</v>
      </c>
      <c r="E642" s="6">
        <v>127903.0</v>
      </c>
    </row>
    <row r="643">
      <c r="A643" s="6">
        <v>2398.0</v>
      </c>
      <c r="B643" s="6" t="s">
        <v>4189</v>
      </c>
      <c r="C643" s="6" t="s">
        <v>4190</v>
      </c>
      <c r="D643" s="6" t="s">
        <v>4191</v>
      </c>
      <c r="E643" s="6">
        <v>128701.0</v>
      </c>
    </row>
    <row r="644">
      <c r="A644" s="6">
        <v>2400.0</v>
      </c>
      <c r="B644" s="6" t="s">
        <v>4194</v>
      </c>
      <c r="C644" s="6" t="s">
        <v>4190</v>
      </c>
      <c r="D644" s="6" t="s">
        <v>4191</v>
      </c>
      <c r="E644" s="6">
        <v>124892.0</v>
      </c>
    </row>
    <row r="645">
      <c r="A645" s="6">
        <v>2403.0</v>
      </c>
      <c r="B645" s="6" t="s">
        <v>4192</v>
      </c>
      <c r="C645" s="6" t="s">
        <v>4190</v>
      </c>
      <c r="D645" s="6" t="s">
        <v>4191</v>
      </c>
      <c r="E645" s="6">
        <v>125116.0</v>
      </c>
    </row>
    <row r="646">
      <c r="A646" s="6">
        <v>2407.0</v>
      </c>
      <c r="B646" s="6" t="s">
        <v>4189</v>
      </c>
      <c r="C646" s="6" t="s">
        <v>4190</v>
      </c>
      <c r="D646" s="6" t="s">
        <v>4191</v>
      </c>
      <c r="E646" s="6">
        <v>126568.0</v>
      </c>
    </row>
    <row r="647">
      <c r="A647" s="6">
        <v>2409.0</v>
      </c>
      <c r="B647" s="6" t="s">
        <v>4189</v>
      </c>
      <c r="C647" s="6" t="s">
        <v>4190</v>
      </c>
      <c r="D647" s="6" t="s">
        <v>4191</v>
      </c>
      <c r="E647" s="6">
        <v>125570.0</v>
      </c>
    </row>
    <row r="648">
      <c r="A648" s="6">
        <v>2411.0</v>
      </c>
      <c r="B648" s="6" t="s">
        <v>4195</v>
      </c>
      <c r="C648" s="6" t="s">
        <v>4190</v>
      </c>
      <c r="D648" s="6" t="s">
        <v>4191</v>
      </c>
      <c r="E648" s="6">
        <v>128759.0</v>
      </c>
    </row>
    <row r="649">
      <c r="A649" s="6">
        <v>2419.0</v>
      </c>
      <c r="B649" s="6" t="s">
        <v>4192</v>
      </c>
      <c r="C649" s="6" t="s">
        <v>4190</v>
      </c>
      <c r="D649" s="6" t="s">
        <v>4191</v>
      </c>
      <c r="E649" s="6">
        <v>128376.0</v>
      </c>
    </row>
    <row r="650">
      <c r="A650" s="6">
        <v>2421.0</v>
      </c>
      <c r="B650" s="6" t="s">
        <v>4192</v>
      </c>
      <c r="C650" s="6" t="s">
        <v>4190</v>
      </c>
      <c r="D650" s="6" t="s">
        <v>4191</v>
      </c>
      <c r="E650" s="6">
        <v>125959.0</v>
      </c>
    </row>
    <row r="651">
      <c r="A651" s="6">
        <v>2423.0</v>
      </c>
      <c r="B651" s="6" t="s">
        <v>4192</v>
      </c>
      <c r="C651" s="6" t="s">
        <v>4190</v>
      </c>
      <c r="D651" s="6" t="s">
        <v>4191</v>
      </c>
      <c r="E651" s="6">
        <v>126618.0</v>
      </c>
    </row>
    <row r="652">
      <c r="A652" s="6">
        <v>2426.0</v>
      </c>
      <c r="B652" s="6" t="s">
        <v>4193</v>
      </c>
      <c r="C652" s="6" t="s">
        <v>4190</v>
      </c>
      <c r="D652" s="6" t="s">
        <v>4191</v>
      </c>
      <c r="E652" s="6">
        <v>128090.0</v>
      </c>
    </row>
    <row r="653">
      <c r="A653" s="6">
        <v>2365.0</v>
      </c>
      <c r="B653" s="6" t="s">
        <v>4189</v>
      </c>
      <c r="C653" s="6" t="s">
        <v>4190</v>
      </c>
      <c r="D653" s="6" t="s">
        <v>4191</v>
      </c>
      <c r="E653" s="6">
        <v>126492.0</v>
      </c>
    </row>
    <row r="654">
      <c r="A654" s="6">
        <v>2428.0</v>
      </c>
      <c r="B654" s="6" t="s">
        <v>4195</v>
      </c>
      <c r="C654" s="6" t="s">
        <v>4190</v>
      </c>
      <c r="D654" s="6" t="s">
        <v>4191</v>
      </c>
      <c r="E654" s="6">
        <v>125543.0</v>
      </c>
    </row>
    <row r="655">
      <c r="A655" s="6">
        <v>2366.0</v>
      </c>
      <c r="B655" s="6" t="s">
        <v>4192</v>
      </c>
      <c r="C655" s="6" t="s">
        <v>4190</v>
      </c>
      <c r="D655" s="6" t="s">
        <v>4191</v>
      </c>
      <c r="E655" s="6">
        <v>126033.0</v>
      </c>
    </row>
    <row r="656">
      <c r="A656" s="6">
        <v>2440.0</v>
      </c>
      <c r="B656" s="6" t="s">
        <v>4193</v>
      </c>
      <c r="C656" s="6" t="s">
        <v>4190</v>
      </c>
      <c r="D656" s="6" t="s">
        <v>4191</v>
      </c>
      <c r="E656" s="6">
        <v>128073.0</v>
      </c>
    </row>
    <row r="657">
      <c r="A657" s="6">
        <v>2447.0</v>
      </c>
      <c r="B657" s="6" t="s">
        <v>4192</v>
      </c>
      <c r="C657" s="6" t="s">
        <v>4190</v>
      </c>
      <c r="D657" s="6" t="s">
        <v>4191</v>
      </c>
      <c r="E657" s="6">
        <v>126683.0</v>
      </c>
    </row>
    <row r="658">
      <c r="A658" s="6">
        <v>2449.0</v>
      </c>
      <c r="B658" s="6" t="s">
        <v>4192</v>
      </c>
      <c r="C658" s="6" t="s">
        <v>4190</v>
      </c>
      <c r="D658" s="6" t="s">
        <v>4191</v>
      </c>
      <c r="E658" s="6">
        <v>125865.0</v>
      </c>
    </row>
    <row r="659">
      <c r="A659" s="6">
        <v>2452.0</v>
      </c>
      <c r="B659" s="6" t="s">
        <v>4197</v>
      </c>
      <c r="C659" s="6" t="s">
        <v>4190</v>
      </c>
      <c r="D659" s="6" t="s">
        <v>4191</v>
      </c>
      <c r="E659" s="6">
        <v>126465.0</v>
      </c>
    </row>
    <row r="660">
      <c r="A660" s="6">
        <v>2457.0</v>
      </c>
      <c r="B660" s="6" t="s">
        <v>4194</v>
      </c>
      <c r="C660" s="6" t="s">
        <v>4190</v>
      </c>
      <c r="D660" s="6" t="s">
        <v>4191</v>
      </c>
      <c r="E660" s="6">
        <v>125499.0</v>
      </c>
    </row>
    <row r="661">
      <c r="A661" s="6">
        <v>2458.0</v>
      </c>
      <c r="B661" s="6" t="s">
        <v>4192</v>
      </c>
      <c r="C661" s="6" t="s">
        <v>4190</v>
      </c>
      <c r="D661" s="6" t="s">
        <v>4191</v>
      </c>
      <c r="E661" s="6">
        <v>129220.0</v>
      </c>
    </row>
    <row r="662">
      <c r="A662" s="6">
        <v>2460.0</v>
      </c>
      <c r="B662" s="6" t="s">
        <v>4192</v>
      </c>
      <c r="C662" s="6" t="s">
        <v>4190</v>
      </c>
      <c r="D662" s="6" t="s">
        <v>4191</v>
      </c>
      <c r="E662" s="6">
        <v>125634.0</v>
      </c>
    </row>
    <row r="663">
      <c r="A663" s="6">
        <v>2461.0</v>
      </c>
      <c r="B663" s="6" t="s">
        <v>4192</v>
      </c>
      <c r="C663" s="6" t="s">
        <v>4190</v>
      </c>
      <c r="D663" s="6" t="s">
        <v>4191</v>
      </c>
      <c r="E663" s="6">
        <v>126696.0</v>
      </c>
    </row>
    <row r="664">
      <c r="A664" s="6">
        <v>2464.0</v>
      </c>
      <c r="B664" s="6" t="s">
        <v>4192</v>
      </c>
      <c r="C664" s="6" t="s">
        <v>4190</v>
      </c>
      <c r="D664" s="6" t="s">
        <v>4191</v>
      </c>
      <c r="E664" s="6">
        <v>129013.0</v>
      </c>
    </row>
    <row r="665">
      <c r="A665" s="6">
        <v>2465.0</v>
      </c>
      <c r="B665" s="6" t="s">
        <v>4192</v>
      </c>
      <c r="C665" s="6" t="s">
        <v>4190</v>
      </c>
      <c r="D665" s="6" t="s">
        <v>4191</v>
      </c>
      <c r="E665" s="6">
        <v>126725.0</v>
      </c>
    </row>
    <row r="666">
      <c r="A666" s="6">
        <v>2466.0</v>
      </c>
      <c r="B666" s="6" t="s">
        <v>4192</v>
      </c>
      <c r="C666" s="6" t="s">
        <v>4190</v>
      </c>
      <c r="D666" s="6" t="s">
        <v>4191</v>
      </c>
      <c r="E666" s="6">
        <v>128877.0</v>
      </c>
    </row>
    <row r="667">
      <c r="A667" s="6">
        <v>2467.0</v>
      </c>
      <c r="B667" s="6" t="s">
        <v>4192</v>
      </c>
      <c r="C667" s="6" t="s">
        <v>4190</v>
      </c>
      <c r="D667" s="6" t="s">
        <v>4191</v>
      </c>
      <c r="E667" s="6">
        <v>126677.0</v>
      </c>
    </row>
    <row r="668">
      <c r="A668" s="6">
        <v>2468.0</v>
      </c>
      <c r="B668" s="6" t="s">
        <v>4194</v>
      </c>
      <c r="C668" s="6" t="s">
        <v>4190</v>
      </c>
      <c r="D668" s="6" t="s">
        <v>4191</v>
      </c>
      <c r="E668" s="6">
        <v>126190.0</v>
      </c>
    </row>
    <row r="669">
      <c r="A669" s="6">
        <v>2470.0</v>
      </c>
      <c r="B669" s="6" t="s">
        <v>4192</v>
      </c>
      <c r="C669" s="6" t="s">
        <v>4190</v>
      </c>
      <c r="D669" s="6" t="s">
        <v>4191</v>
      </c>
      <c r="E669" s="6">
        <v>125296.0</v>
      </c>
    </row>
    <row r="670">
      <c r="A670" s="6">
        <v>2476.0</v>
      </c>
      <c r="B670" s="6" t="s">
        <v>4192</v>
      </c>
      <c r="C670" s="6" t="s">
        <v>4190</v>
      </c>
      <c r="D670" s="6" t="s">
        <v>4191</v>
      </c>
      <c r="E670" s="6">
        <v>125944.0</v>
      </c>
    </row>
    <row r="671">
      <c r="A671" s="6">
        <v>2481.0</v>
      </c>
      <c r="B671" s="6" t="s">
        <v>4193</v>
      </c>
      <c r="C671" s="6" t="s">
        <v>4190</v>
      </c>
      <c r="D671" s="6" t="s">
        <v>4191</v>
      </c>
      <c r="E671" s="6">
        <v>128053.0</v>
      </c>
    </row>
    <row r="672">
      <c r="A672" s="6">
        <v>2485.0</v>
      </c>
      <c r="B672" s="6" t="s">
        <v>4192</v>
      </c>
      <c r="C672" s="6" t="s">
        <v>4190</v>
      </c>
      <c r="D672" s="6" t="s">
        <v>4191</v>
      </c>
      <c r="E672" s="6">
        <v>126425.0</v>
      </c>
    </row>
    <row r="673">
      <c r="A673" s="6">
        <v>2489.0</v>
      </c>
      <c r="B673" s="6" t="s">
        <v>4192</v>
      </c>
      <c r="C673" s="6" t="s">
        <v>4190</v>
      </c>
      <c r="D673" s="6" t="s">
        <v>4191</v>
      </c>
      <c r="E673" s="6">
        <v>125411.0</v>
      </c>
    </row>
    <row r="674">
      <c r="A674" s="6">
        <v>2491.0</v>
      </c>
      <c r="B674" s="6" t="s">
        <v>4192</v>
      </c>
      <c r="C674" s="6" t="s">
        <v>4190</v>
      </c>
      <c r="D674" s="6" t="s">
        <v>4191</v>
      </c>
      <c r="E674" s="6">
        <v>124595.0</v>
      </c>
    </row>
    <row r="675">
      <c r="A675" s="6">
        <v>2492.0</v>
      </c>
      <c r="B675" s="6" t="s">
        <v>4193</v>
      </c>
      <c r="C675" s="6" t="s">
        <v>4190</v>
      </c>
      <c r="D675" s="6" t="s">
        <v>4191</v>
      </c>
      <c r="E675" s="6">
        <v>128078.0</v>
      </c>
    </row>
    <row r="676">
      <c r="A676" s="6">
        <v>2494.0</v>
      </c>
      <c r="B676" s="6" t="s">
        <v>4189</v>
      </c>
      <c r="C676" s="6" t="s">
        <v>4190</v>
      </c>
      <c r="D676" s="6" t="s">
        <v>4191</v>
      </c>
      <c r="E676" s="6">
        <v>125452.0</v>
      </c>
    </row>
    <row r="677">
      <c r="A677" s="6">
        <v>2495.0</v>
      </c>
      <c r="B677" s="6" t="s">
        <v>4192</v>
      </c>
      <c r="C677" s="6" t="s">
        <v>4190</v>
      </c>
      <c r="D677" s="6" t="s">
        <v>4191</v>
      </c>
      <c r="E677" s="6">
        <v>124855.0</v>
      </c>
    </row>
    <row r="678">
      <c r="A678" s="6">
        <v>2496.0</v>
      </c>
      <c r="B678" s="6" t="s">
        <v>4189</v>
      </c>
      <c r="C678" s="6" t="s">
        <v>4190</v>
      </c>
      <c r="D678" s="6" t="s">
        <v>4191</v>
      </c>
      <c r="E678" s="6">
        <v>126489.0</v>
      </c>
    </row>
    <row r="679">
      <c r="A679" s="6">
        <v>2497.0</v>
      </c>
      <c r="B679" s="6" t="s">
        <v>4192</v>
      </c>
      <c r="C679" s="6" t="s">
        <v>4190</v>
      </c>
      <c r="D679" s="6" t="s">
        <v>4191</v>
      </c>
      <c r="E679" s="6">
        <v>128358.0</v>
      </c>
    </row>
    <row r="680">
      <c r="A680" s="6">
        <v>2498.0</v>
      </c>
      <c r="B680" s="6" t="s">
        <v>4192</v>
      </c>
      <c r="C680" s="6" t="s">
        <v>4190</v>
      </c>
      <c r="D680" s="6" t="s">
        <v>4191</v>
      </c>
      <c r="E680" s="6">
        <v>125950.0</v>
      </c>
    </row>
    <row r="681">
      <c r="A681" s="6">
        <v>2501.0</v>
      </c>
      <c r="B681" s="6" t="s">
        <v>4192</v>
      </c>
      <c r="C681" s="6" t="s">
        <v>4190</v>
      </c>
      <c r="D681" s="6" t="s">
        <v>4191</v>
      </c>
      <c r="E681" s="6">
        <v>125880.0</v>
      </c>
    </row>
    <row r="682">
      <c r="A682" s="6">
        <v>2504.0</v>
      </c>
      <c r="B682" s="6" t="s">
        <v>4196</v>
      </c>
      <c r="C682" s="6" t="s">
        <v>4190</v>
      </c>
      <c r="D682" s="6" t="s">
        <v>4191</v>
      </c>
      <c r="E682" s="6">
        <v>126967.0</v>
      </c>
    </row>
    <row r="683">
      <c r="A683" s="6">
        <v>2506.0</v>
      </c>
      <c r="B683" s="6" t="s">
        <v>4189</v>
      </c>
      <c r="C683" s="6" t="s">
        <v>4190</v>
      </c>
      <c r="D683" s="6" t="s">
        <v>4191</v>
      </c>
      <c r="E683" s="6">
        <v>125002.0</v>
      </c>
    </row>
    <row r="684">
      <c r="A684" s="6">
        <v>2509.0</v>
      </c>
      <c r="B684" s="6" t="s">
        <v>4192</v>
      </c>
      <c r="C684" s="6" t="s">
        <v>4190</v>
      </c>
      <c r="D684" s="6" t="s">
        <v>4191</v>
      </c>
      <c r="E684" s="6">
        <v>126274.0</v>
      </c>
    </row>
    <row r="685">
      <c r="A685" s="6">
        <v>2512.0</v>
      </c>
      <c r="B685" s="6" t="s">
        <v>4192</v>
      </c>
      <c r="C685" s="6" t="s">
        <v>4190</v>
      </c>
      <c r="D685" s="6" t="s">
        <v>4191</v>
      </c>
      <c r="E685" s="6">
        <v>126297.0</v>
      </c>
    </row>
    <row r="686">
      <c r="A686" s="6">
        <v>2373.0</v>
      </c>
      <c r="B686" s="6" t="s">
        <v>4192</v>
      </c>
      <c r="C686" s="6" t="s">
        <v>4190</v>
      </c>
      <c r="D686" s="6" t="s">
        <v>4191</v>
      </c>
      <c r="E686" s="6">
        <v>126768.0</v>
      </c>
    </row>
    <row r="687">
      <c r="A687" s="6">
        <v>3148.0</v>
      </c>
      <c r="B687" s="6" t="s">
        <v>4194</v>
      </c>
      <c r="C687" s="6" t="s">
        <v>4190</v>
      </c>
      <c r="D687" s="6" t="s">
        <v>4191</v>
      </c>
      <c r="E687" s="6">
        <v>125535.0</v>
      </c>
    </row>
    <row r="688">
      <c r="A688" s="6">
        <v>3151.0</v>
      </c>
      <c r="B688" s="6" t="s">
        <v>4189</v>
      </c>
      <c r="C688" s="6" t="s">
        <v>4190</v>
      </c>
      <c r="D688" s="6" t="s">
        <v>4191</v>
      </c>
      <c r="E688" s="6">
        <v>126510.0</v>
      </c>
    </row>
    <row r="689">
      <c r="A689" s="6">
        <v>2374.0</v>
      </c>
      <c r="B689" s="6" t="s">
        <v>4192</v>
      </c>
      <c r="C689" s="6" t="s">
        <v>4190</v>
      </c>
      <c r="D689" s="6" t="s">
        <v>4191</v>
      </c>
      <c r="E689" s="6">
        <v>126553.0</v>
      </c>
    </row>
    <row r="690">
      <c r="A690" s="6">
        <v>3155.0</v>
      </c>
      <c r="B690" s="6" t="s">
        <v>4192</v>
      </c>
      <c r="C690" s="6" t="s">
        <v>4190</v>
      </c>
      <c r="D690" s="6" t="s">
        <v>4191</v>
      </c>
      <c r="E690" s="6">
        <v>128638.0</v>
      </c>
    </row>
    <row r="691">
      <c r="A691" s="6">
        <v>3156.0</v>
      </c>
      <c r="B691" s="6" t="s">
        <v>4192</v>
      </c>
      <c r="C691" s="6" t="s">
        <v>4190</v>
      </c>
      <c r="D691" s="6" t="s">
        <v>4191</v>
      </c>
      <c r="E691" s="6">
        <v>126084.0</v>
      </c>
    </row>
    <row r="692">
      <c r="A692" s="6">
        <v>3159.0</v>
      </c>
      <c r="B692" s="6" t="s">
        <v>4192</v>
      </c>
      <c r="C692" s="6" t="s">
        <v>4190</v>
      </c>
      <c r="D692" s="6" t="s">
        <v>4191</v>
      </c>
      <c r="E692" s="6">
        <v>128679.0</v>
      </c>
    </row>
    <row r="693">
      <c r="A693" s="6">
        <v>3165.0</v>
      </c>
      <c r="B693" s="6" t="s">
        <v>4192</v>
      </c>
      <c r="C693" s="6" t="s">
        <v>4190</v>
      </c>
      <c r="D693" s="6" t="s">
        <v>4191</v>
      </c>
      <c r="E693" s="6">
        <v>126270.0</v>
      </c>
    </row>
    <row r="694">
      <c r="A694" s="6">
        <v>3183.0</v>
      </c>
      <c r="B694" s="6" t="s">
        <v>4193</v>
      </c>
      <c r="C694" s="6" t="s">
        <v>4190</v>
      </c>
      <c r="D694" s="6" t="s">
        <v>4191</v>
      </c>
      <c r="E694" s="6">
        <v>127976.0</v>
      </c>
    </row>
    <row r="695">
      <c r="A695" s="6">
        <v>3170.0</v>
      </c>
      <c r="B695" s="6" t="s">
        <v>4192</v>
      </c>
      <c r="C695" s="6" t="s">
        <v>4190</v>
      </c>
      <c r="D695" s="6" t="s">
        <v>4191</v>
      </c>
      <c r="E695" s="6">
        <v>125490.0</v>
      </c>
    </row>
    <row r="696">
      <c r="A696" s="6">
        <v>3171.0</v>
      </c>
      <c r="B696" s="6" t="s">
        <v>4192</v>
      </c>
      <c r="C696" s="6" t="s">
        <v>4190</v>
      </c>
      <c r="D696" s="6" t="s">
        <v>4191</v>
      </c>
      <c r="E696" s="6">
        <v>125094.0</v>
      </c>
    </row>
    <row r="697">
      <c r="A697" s="6">
        <v>3188.0</v>
      </c>
      <c r="B697" s="6" t="s">
        <v>4189</v>
      </c>
      <c r="C697" s="6" t="s">
        <v>4190</v>
      </c>
      <c r="D697" s="6" t="s">
        <v>4191</v>
      </c>
      <c r="E697" s="6">
        <v>125564.0</v>
      </c>
    </row>
    <row r="698">
      <c r="A698" s="6">
        <v>3190.0</v>
      </c>
      <c r="B698" s="6" t="s">
        <v>4196</v>
      </c>
      <c r="C698" s="6" t="s">
        <v>4190</v>
      </c>
      <c r="D698" s="6" t="s">
        <v>4191</v>
      </c>
      <c r="E698" s="6">
        <v>125061.0</v>
      </c>
    </row>
    <row r="699">
      <c r="A699" s="6">
        <v>3191.0</v>
      </c>
      <c r="B699" s="6" t="s">
        <v>4194</v>
      </c>
      <c r="C699" s="6" t="s">
        <v>4190</v>
      </c>
      <c r="D699" s="6" t="s">
        <v>4191</v>
      </c>
      <c r="E699" s="6">
        <v>126538.0</v>
      </c>
    </row>
    <row r="700">
      <c r="A700" s="6">
        <v>3193.0</v>
      </c>
      <c r="B700" s="6" t="s">
        <v>4192</v>
      </c>
      <c r="C700" s="6" t="s">
        <v>4190</v>
      </c>
      <c r="D700" s="6" t="s">
        <v>4191</v>
      </c>
      <c r="E700" s="6">
        <v>125739.0</v>
      </c>
    </row>
    <row r="701">
      <c r="A701" s="6">
        <v>3197.0</v>
      </c>
      <c r="B701" s="6" t="s">
        <v>4192</v>
      </c>
      <c r="C701" s="6" t="s">
        <v>4190</v>
      </c>
      <c r="D701" s="6" t="s">
        <v>4191</v>
      </c>
      <c r="E701" s="6">
        <v>124942.0</v>
      </c>
    </row>
    <row r="702">
      <c r="A702" s="6">
        <v>3203.0</v>
      </c>
      <c r="B702" s="6" t="s">
        <v>4192</v>
      </c>
      <c r="C702" s="6" t="s">
        <v>4190</v>
      </c>
      <c r="D702" s="6" t="s">
        <v>4191</v>
      </c>
      <c r="E702" s="6">
        <v>128401.0</v>
      </c>
    </row>
    <row r="703">
      <c r="A703" s="6">
        <v>3206.0</v>
      </c>
      <c r="B703" s="6" t="s">
        <v>4192</v>
      </c>
      <c r="C703" s="6" t="s">
        <v>4190</v>
      </c>
      <c r="D703" s="6" t="s">
        <v>4191</v>
      </c>
      <c r="E703" s="6">
        <v>124909.0</v>
      </c>
    </row>
    <row r="704">
      <c r="A704" s="6">
        <v>3213.0</v>
      </c>
      <c r="B704" s="6" t="s">
        <v>4193</v>
      </c>
      <c r="C704" s="6" t="s">
        <v>4190</v>
      </c>
      <c r="D704" s="6" t="s">
        <v>4191</v>
      </c>
      <c r="E704" s="6">
        <v>127956.0</v>
      </c>
    </row>
    <row r="705">
      <c r="A705" s="6">
        <v>3216.0</v>
      </c>
      <c r="B705" s="6" t="s">
        <v>4192</v>
      </c>
      <c r="C705" s="6" t="s">
        <v>4190</v>
      </c>
      <c r="D705" s="6" t="s">
        <v>4191</v>
      </c>
      <c r="E705" s="6">
        <v>125947.0</v>
      </c>
    </row>
    <row r="706">
      <c r="A706" s="6">
        <v>3217.0</v>
      </c>
      <c r="B706" s="6" t="s">
        <v>4192</v>
      </c>
      <c r="C706" s="6" t="s">
        <v>4190</v>
      </c>
      <c r="D706" s="6" t="s">
        <v>4191</v>
      </c>
      <c r="E706" s="6">
        <v>125619.0</v>
      </c>
    </row>
    <row r="707">
      <c r="A707" s="6">
        <v>3224.0</v>
      </c>
      <c r="B707" s="6" t="s">
        <v>4193</v>
      </c>
      <c r="C707" s="6" t="s">
        <v>4190</v>
      </c>
      <c r="D707" s="6" t="s">
        <v>4191</v>
      </c>
      <c r="E707" s="6">
        <v>127909.0</v>
      </c>
    </row>
    <row r="708">
      <c r="A708" s="6">
        <v>3226.0</v>
      </c>
      <c r="B708" s="6" t="s">
        <v>4194</v>
      </c>
      <c r="C708" s="6" t="s">
        <v>4190</v>
      </c>
      <c r="D708" s="6" t="s">
        <v>4191</v>
      </c>
      <c r="E708" s="6">
        <v>128440.0</v>
      </c>
    </row>
    <row r="709">
      <c r="A709" s="6">
        <v>3227.0</v>
      </c>
      <c r="B709" s="6" t="s">
        <v>4192</v>
      </c>
      <c r="C709" s="6" t="s">
        <v>4190</v>
      </c>
      <c r="D709" s="6" t="s">
        <v>4191</v>
      </c>
      <c r="E709" s="6">
        <v>126562.0</v>
      </c>
    </row>
    <row r="710">
      <c r="A710" s="6">
        <v>3230.0</v>
      </c>
      <c r="B710" s="6" t="s">
        <v>4192</v>
      </c>
      <c r="C710" s="6" t="s">
        <v>4190</v>
      </c>
      <c r="D710" s="6" t="s">
        <v>4191</v>
      </c>
      <c r="E710" s="6">
        <v>124651.0</v>
      </c>
    </row>
    <row r="711">
      <c r="A711" s="6">
        <v>3242.0</v>
      </c>
      <c r="B711" s="6" t="s">
        <v>4192</v>
      </c>
      <c r="C711" s="6" t="s">
        <v>4190</v>
      </c>
      <c r="D711" s="6" t="s">
        <v>4191</v>
      </c>
      <c r="E711" s="6">
        <v>126215.0</v>
      </c>
    </row>
    <row r="712">
      <c r="A712" s="6">
        <v>3045.0</v>
      </c>
      <c r="B712" s="6" t="s">
        <v>4195</v>
      </c>
      <c r="C712" s="6" t="s">
        <v>4190</v>
      </c>
      <c r="D712" s="6" t="s">
        <v>4191</v>
      </c>
      <c r="E712" s="6">
        <v>4183.0</v>
      </c>
    </row>
    <row r="713">
      <c r="A713" s="6">
        <v>3249.0</v>
      </c>
      <c r="B713" s="6" t="s">
        <v>4193</v>
      </c>
      <c r="C713" s="6" t="s">
        <v>4190</v>
      </c>
      <c r="D713" s="6" t="s">
        <v>4191</v>
      </c>
      <c r="E713" s="6">
        <v>127950.0</v>
      </c>
    </row>
    <row r="714">
      <c r="A714" s="6">
        <v>3250.0</v>
      </c>
      <c r="B714" s="6" t="s">
        <v>4193</v>
      </c>
      <c r="C714" s="6" t="s">
        <v>4190</v>
      </c>
      <c r="D714" s="6" t="s">
        <v>4191</v>
      </c>
      <c r="E714" s="6">
        <v>127994.0</v>
      </c>
    </row>
    <row r="715">
      <c r="A715" s="6">
        <v>3251.0</v>
      </c>
      <c r="B715" s="6" t="s">
        <v>4192</v>
      </c>
      <c r="C715" s="6" t="s">
        <v>4190</v>
      </c>
      <c r="D715" s="6" t="s">
        <v>4191</v>
      </c>
      <c r="E715" s="6">
        <v>128583.0</v>
      </c>
    </row>
    <row r="716">
      <c r="A716" s="6">
        <v>3252.0</v>
      </c>
      <c r="B716" s="6" t="s">
        <v>4194</v>
      </c>
      <c r="C716" s="6" t="s">
        <v>4190</v>
      </c>
      <c r="D716" s="6" t="s">
        <v>4191</v>
      </c>
      <c r="E716" s="6">
        <v>126150.0</v>
      </c>
    </row>
    <row r="717">
      <c r="A717" s="6">
        <v>3254.0</v>
      </c>
      <c r="B717" s="6" t="s">
        <v>4192</v>
      </c>
      <c r="C717" s="6" t="s">
        <v>4190</v>
      </c>
      <c r="D717" s="6" t="s">
        <v>4191</v>
      </c>
      <c r="E717" s="6">
        <v>125781.0</v>
      </c>
    </row>
    <row r="718">
      <c r="A718" s="6">
        <v>3255.0</v>
      </c>
      <c r="B718" s="6" t="s">
        <v>4192</v>
      </c>
      <c r="C718" s="6" t="s">
        <v>4190</v>
      </c>
      <c r="D718" s="6" t="s">
        <v>4191</v>
      </c>
      <c r="E718" s="6">
        <v>125369.0</v>
      </c>
    </row>
    <row r="719">
      <c r="A719" s="6">
        <v>3064.0</v>
      </c>
      <c r="B719" s="6" t="s">
        <v>4197</v>
      </c>
      <c r="C719" s="6" t="s">
        <v>4190</v>
      </c>
      <c r="D719" s="6" t="s">
        <v>4191</v>
      </c>
      <c r="E719" s="6">
        <v>3956.0</v>
      </c>
    </row>
    <row r="720">
      <c r="A720" s="6">
        <v>3259.0</v>
      </c>
      <c r="B720" s="6" t="s">
        <v>4192</v>
      </c>
      <c r="C720" s="6" t="s">
        <v>4190</v>
      </c>
      <c r="D720" s="6" t="s">
        <v>4191</v>
      </c>
      <c r="E720" s="6">
        <v>126027.0</v>
      </c>
    </row>
    <row r="721">
      <c r="A721" s="6">
        <v>3264.0</v>
      </c>
      <c r="B721" s="6" t="s">
        <v>4192</v>
      </c>
      <c r="C721" s="6" t="s">
        <v>4190</v>
      </c>
      <c r="D721" s="6" t="s">
        <v>4191</v>
      </c>
      <c r="E721" s="6">
        <v>126504.0</v>
      </c>
    </row>
    <row r="722">
      <c r="A722" s="6">
        <v>3268.0</v>
      </c>
      <c r="B722" s="6" t="s">
        <v>4189</v>
      </c>
      <c r="C722" s="6" t="s">
        <v>4190</v>
      </c>
      <c r="D722" s="6" t="s">
        <v>4191</v>
      </c>
      <c r="E722" s="6">
        <v>126541.0</v>
      </c>
    </row>
    <row r="723">
      <c r="A723" s="6">
        <v>3276.0</v>
      </c>
      <c r="B723" s="6" t="s">
        <v>4192</v>
      </c>
      <c r="C723" s="6" t="s">
        <v>4190</v>
      </c>
      <c r="D723" s="6" t="s">
        <v>4191</v>
      </c>
      <c r="E723" s="6">
        <v>126233.0</v>
      </c>
    </row>
    <row r="724">
      <c r="A724" s="6">
        <v>3278.0</v>
      </c>
      <c r="B724" s="6" t="s">
        <v>4192</v>
      </c>
      <c r="C724" s="6" t="s">
        <v>4190</v>
      </c>
      <c r="D724" s="6" t="s">
        <v>4191</v>
      </c>
      <c r="E724" s="6">
        <v>125487.0</v>
      </c>
    </row>
    <row r="725">
      <c r="A725" s="6">
        <v>3280.0</v>
      </c>
      <c r="B725" s="6" t="s">
        <v>4192</v>
      </c>
      <c r="C725" s="6" t="s">
        <v>4190</v>
      </c>
      <c r="D725" s="6" t="s">
        <v>4191</v>
      </c>
      <c r="E725" s="6">
        <v>125104.0</v>
      </c>
    </row>
    <row r="726">
      <c r="A726" s="6">
        <v>3179.0</v>
      </c>
      <c r="B726" s="6" t="s">
        <v>4192</v>
      </c>
      <c r="C726" s="6" t="s">
        <v>4190</v>
      </c>
      <c r="D726" s="6" t="s">
        <v>4191</v>
      </c>
      <c r="E726" s="6">
        <v>125652.0</v>
      </c>
    </row>
    <row r="727">
      <c r="A727" s="6">
        <v>3287.0</v>
      </c>
      <c r="B727" s="6" t="s">
        <v>4192</v>
      </c>
      <c r="C727" s="6" t="s">
        <v>4190</v>
      </c>
      <c r="D727" s="6" t="s">
        <v>4191</v>
      </c>
      <c r="E727" s="6">
        <v>128670.0</v>
      </c>
    </row>
    <row r="728">
      <c r="A728" s="6">
        <v>3288.0</v>
      </c>
      <c r="B728" s="6" t="s">
        <v>4192</v>
      </c>
      <c r="C728" s="6" t="s">
        <v>4190</v>
      </c>
      <c r="D728" s="6" t="s">
        <v>4191</v>
      </c>
      <c r="E728" s="6">
        <v>126714.0</v>
      </c>
    </row>
    <row r="729">
      <c r="A729" s="6">
        <v>3289.0</v>
      </c>
      <c r="B729" s="6" t="s">
        <v>4192</v>
      </c>
      <c r="C729" s="6" t="s">
        <v>4190</v>
      </c>
      <c r="D729" s="6" t="s">
        <v>4191</v>
      </c>
      <c r="E729" s="6">
        <v>126331.0</v>
      </c>
    </row>
    <row r="730">
      <c r="A730" s="6">
        <v>3180.0</v>
      </c>
      <c r="B730" s="6" t="s">
        <v>4194</v>
      </c>
      <c r="C730" s="6" t="s">
        <v>4190</v>
      </c>
      <c r="D730" s="6" t="s">
        <v>4191</v>
      </c>
      <c r="E730" s="6">
        <v>124587.0</v>
      </c>
    </row>
    <row r="731">
      <c r="A731" s="6">
        <v>1589.0</v>
      </c>
      <c r="B731" s="6" t="s">
        <v>4189</v>
      </c>
      <c r="C731" s="6" t="s">
        <v>4190</v>
      </c>
      <c r="D731" s="6" t="s">
        <v>4191</v>
      </c>
      <c r="E731" s="6">
        <v>126975.0</v>
      </c>
    </row>
    <row r="732">
      <c r="A732" s="6">
        <v>1592.0</v>
      </c>
      <c r="B732" s="6" t="s">
        <v>4193</v>
      </c>
      <c r="C732" s="6" t="s">
        <v>4190</v>
      </c>
      <c r="D732" s="6" t="s">
        <v>4191</v>
      </c>
      <c r="E732" s="6">
        <v>127945.0</v>
      </c>
    </row>
    <row r="733">
      <c r="A733" s="6">
        <v>1596.0</v>
      </c>
      <c r="B733" s="6" t="s">
        <v>4189</v>
      </c>
      <c r="C733" s="6" t="s">
        <v>4190</v>
      </c>
      <c r="D733" s="6" t="s">
        <v>4191</v>
      </c>
      <c r="E733" s="6">
        <v>125894.0</v>
      </c>
    </row>
    <row r="734">
      <c r="A734" s="6">
        <v>1606.0</v>
      </c>
      <c r="B734" s="6" t="s">
        <v>4195</v>
      </c>
      <c r="C734" s="6" t="s">
        <v>4190</v>
      </c>
      <c r="D734" s="6" t="s">
        <v>4191</v>
      </c>
      <c r="E734" s="6">
        <v>128700.0</v>
      </c>
    </row>
    <row r="735">
      <c r="A735" s="6">
        <v>1444.0</v>
      </c>
      <c r="B735" s="6" t="s">
        <v>4192</v>
      </c>
      <c r="C735" s="6" t="s">
        <v>4190</v>
      </c>
      <c r="D735" s="6" t="s">
        <v>4191</v>
      </c>
      <c r="E735" s="6">
        <v>126221.0</v>
      </c>
    </row>
    <row r="736">
      <c r="A736" s="6">
        <v>1445.0</v>
      </c>
      <c r="B736" s="6" t="s">
        <v>4194</v>
      </c>
      <c r="C736" s="6" t="s">
        <v>4190</v>
      </c>
      <c r="D736" s="6" t="s">
        <v>4191</v>
      </c>
      <c r="E736" s="6">
        <v>126005.0</v>
      </c>
    </row>
    <row r="737">
      <c r="A737" s="6">
        <v>1448.0</v>
      </c>
      <c r="B737" s="6" t="s">
        <v>4192</v>
      </c>
      <c r="C737" s="6" t="s">
        <v>4190</v>
      </c>
      <c r="D737" s="6" t="s">
        <v>4191</v>
      </c>
      <c r="E737" s="6">
        <v>125077.0</v>
      </c>
    </row>
    <row r="738">
      <c r="A738" s="6">
        <v>1461.0</v>
      </c>
      <c r="B738" s="6" t="s">
        <v>4192</v>
      </c>
      <c r="C738" s="6" t="s">
        <v>4190</v>
      </c>
      <c r="D738" s="6" t="s">
        <v>4191</v>
      </c>
      <c r="E738" s="6">
        <v>126520.0</v>
      </c>
    </row>
    <row r="739">
      <c r="A739" s="6">
        <v>1620.0</v>
      </c>
      <c r="B739" s="6" t="s">
        <v>4189</v>
      </c>
      <c r="C739" s="6" t="s">
        <v>4190</v>
      </c>
      <c r="D739" s="6" t="s">
        <v>4191</v>
      </c>
      <c r="E739" s="6">
        <v>126341.0</v>
      </c>
    </row>
    <row r="740">
      <c r="A740" s="6">
        <v>1622.0</v>
      </c>
      <c r="B740" s="6" t="s">
        <v>4192</v>
      </c>
      <c r="C740" s="6" t="s">
        <v>4190</v>
      </c>
      <c r="D740" s="6" t="s">
        <v>4191</v>
      </c>
      <c r="E740" s="6">
        <v>128911.0</v>
      </c>
    </row>
    <row r="741">
      <c r="A741" s="6">
        <v>1648.0</v>
      </c>
      <c r="B741" s="6" t="s">
        <v>4192</v>
      </c>
      <c r="C741" s="6" t="s">
        <v>4190</v>
      </c>
      <c r="D741" s="6" t="s">
        <v>4191</v>
      </c>
      <c r="E741" s="6">
        <v>125859.0</v>
      </c>
    </row>
    <row r="742">
      <c r="A742" s="6">
        <v>1655.0</v>
      </c>
      <c r="B742" s="6" t="s">
        <v>4192</v>
      </c>
      <c r="C742" s="6" t="s">
        <v>4190</v>
      </c>
      <c r="D742" s="6" t="s">
        <v>4191</v>
      </c>
      <c r="E742" s="6">
        <v>126245.0</v>
      </c>
    </row>
    <row r="743">
      <c r="A743" s="6">
        <v>1661.0</v>
      </c>
      <c r="B743" s="6" t="s">
        <v>4192</v>
      </c>
      <c r="C743" s="6" t="s">
        <v>4190</v>
      </c>
      <c r="D743" s="6" t="s">
        <v>4191</v>
      </c>
      <c r="E743" s="6">
        <v>125368.0</v>
      </c>
    </row>
    <row r="744">
      <c r="A744" s="6">
        <v>1685.0</v>
      </c>
      <c r="B744" s="6" t="s">
        <v>4192</v>
      </c>
      <c r="C744" s="6" t="s">
        <v>4190</v>
      </c>
      <c r="D744" s="6" t="s">
        <v>4191</v>
      </c>
      <c r="E744" s="6">
        <v>125655.0</v>
      </c>
    </row>
    <row r="745">
      <c r="A745" s="6">
        <v>1686.0</v>
      </c>
      <c r="B745" s="6" t="s">
        <v>4192</v>
      </c>
      <c r="C745" s="6" t="s">
        <v>4190</v>
      </c>
      <c r="D745" s="6" t="s">
        <v>4191</v>
      </c>
      <c r="E745" s="6">
        <v>124787.0</v>
      </c>
    </row>
    <row r="746">
      <c r="A746" s="6">
        <v>1689.0</v>
      </c>
      <c r="B746" s="6" t="s">
        <v>4192</v>
      </c>
      <c r="C746" s="6" t="s">
        <v>4190</v>
      </c>
      <c r="D746" s="6" t="s">
        <v>4191</v>
      </c>
      <c r="E746" s="6">
        <v>124727.0</v>
      </c>
    </row>
    <row r="747">
      <c r="A747" s="6">
        <v>1692.0</v>
      </c>
      <c r="B747" s="6" t="s">
        <v>4194</v>
      </c>
      <c r="C747" s="6" t="s">
        <v>4190</v>
      </c>
      <c r="D747" s="6" t="s">
        <v>4191</v>
      </c>
      <c r="E747" s="6">
        <v>126421.0</v>
      </c>
    </row>
    <row r="748">
      <c r="A748" s="6">
        <v>1694.0</v>
      </c>
      <c r="B748" s="6" t="s">
        <v>4192</v>
      </c>
      <c r="C748" s="6" t="s">
        <v>4190</v>
      </c>
      <c r="D748" s="6" t="s">
        <v>4191</v>
      </c>
      <c r="E748" s="6">
        <v>128570.0</v>
      </c>
    </row>
    <row r="749">
      <c r="A749" s="6">
        <v>1703.0</v>
      </c>
      <c r="B749" s="6" t="s">
        <v>4192</v>
      </c>
      <c r="C749" s="6" t="s">
        <v>4190</v>
      </c>
      <c r="D749" s="6" t="s">
        <v>4191</v>
      </c>
      <c r="E749" s="6">
        <v>126213.0</v>
      </c>
    </row>
    <row r="750">
      <c r="A750" s="6">
        <v>1723.0</v>
      </c>
      <c r="B750" s="6" t="s">
        <v>4192</v>
      </c>
      <c r="C750" s="6" t="s">
        <v>4190</v>
      </c>
      <c r="D750" s="6" t="s">
        <v>4191</v>
      </c>
      <c r="E750" s="6">
        <v>124628.0</v>
      </c>
    </row>
    <row r="751">
      <c r="A751" s="6">
        <v>2051.0</v>
      </c>
      <c r="B751" s="6" t="s">
        <v>4192</v>
      </c>
      <c r="C751" s="6" t="s">
        <v>4190</v>
      </c>
      <c r="D751" s="6" t="s">
        <v>4191</v>
      </c>
      <c r="E751" s="6">
        <v>125441.0</v>
      </c>
    </row>
    <row r="752">
      <c r="A752" s="6">
        <v>2082.0</v>
      </c>
      <c r="B752" s="6" t="s">
        <v>4196</v>
      </c>
      <c r="C752" s="6" t="s">
        <v>4190</v>
      </c>
      <c r="D752" s="6" t="s">
        <v>4191</v>
      </c>
      <c r="E752" s="6">
        <v>126637.0</v>
      </c>
    </row>
    <row r="753">
      <c r="A753" s="6">
        <v>2098.0</v>
      </c>
      <c r="B753" s="6" t="s">
        <v>4192</v>
      </c>
      <c r="C753" s="6" t="s">
        <v>4190</v>
      </c>
      <c r="D753" s="6" t="s">
        <v>4191</v>
      </c>
      <c r="E753" s="6">
        <v>128357.0</v>
      </c>
    </row>
    <row r="754">
      <c r="A754" s="6">
        <v>2100.0</v>
      </c>
      <c r="B754" s="6" t="s">
        <v>4192</v>
      </c>
      <c r="C754" s="6" t="s">
        <v>4190</v>
      </c>
      <c r="D754" s="6" t="s">
        <v>4191</v>
      </c>
      <c r="E754" s="6">
        <v>125940.0</v>
      </c>
    </row>
    <row r="755">
      <c r="A755" s="6">
        <v>2101.0</v>
      </c>
      <c r="B755" s="6" t="s">
        <v>4192</v>
      </c>
      <c r="C755" s="6" t="s">
        <v>4190</v>
      </c>
      <c r="D755" s="6" t="s">
        <v>4191</v>
      </c>
      <c r="E755" s="6">
        <v>124547.0</v>
      </c>
    </row>
    <row r="756">
      <c r="A756" s="6">
        <v>2104.0</v>
      </c>
      <c r="B756" s="6" t="s">
        <v>4192</v>
      </c>
      <c r="C756" s="6" t="s">
        <v>4190</v>
      </c>
      <c r="D756" s="6" t="s">
        <v>4191</v>
      </c>
      <c r="E756" s="6">
        <v>125907.0</v>
      </c>
    </row>
    <row r="757">
      <c r="A757" s="6">
        <v>2106.0</v>
      </c>
      <c r="B757" s="6" t="s">
        <v>4193</v>
      </c>
      <c r="C757" s="6" t="s">
        <v>4190</v>
      </c>
      <c r="D757" s="6" t="s">
        <v>4191</v>
      </c>
      <c r="E757" s="6">
        <v>127913.0</v>
      </c>
    </row>
    <row r="758">
      <c r="A758" s="6">
        <v>3305.0</v>
      </c>
      <c r="B758" s="6" t="s">
        <v>4192</v>
      </c>
      <c r="C758" s="6" t="s">
        <v>4190</v>
      </c>
      <c r="D758" s="6" t="s">
        <v>4191</v>
      </c>
      <c r="E758" s="6">
        <v>128510.0</v>
      </c>
    </row>
    <row r="759">
      <c r="A759" s="6">
        <v>3318.0</v>
      </c>
      <c r="B759" s="6" t="s">
        <v>4194</v>
      </c>
      <c r="C759" s="6" t="s">
        <v>4190</v>
      </c>
      <c r="D759" s="6" t="s">
        <v>4191</v>
      </c>
      <c r="E759" s="6">
        <v>125244.0</v>
      </c>
    </row>
    <row r="760">
      <c r="A760" s="6">
        <v>3331.0</v>
      </c>
      <c r="B760" s="6" t="s">
        <v>4192</v>
      </c>
      <c r="C760" s="6" t="s">
        <v>4190</v>
      </c>
      <c r="D760" s="6" t="s">
        <v>4191</v>
      </c>
      <c r="E760" s="6">
        <v>124782.0</v>
      </c>
    </row>
    <row r="761">
      <c r="A761" s="6">
        <v>3344.0</v>
      </c>
      <c r="B761" s="6" t="s">
        <v>4192</v>
      </c>
      <c r="C761" s="6" t="s">
        <v>4190</v>
      </c>
      <c r="D761" s="6" t="s">
        <v>4191</v>
      </c>
      <c r="E761" s="6">
        <v>125583.0</v>
      </c>
    </row>
    <row r="762">
      <c r="A762" s="6">
        <v>3392.0</v>
      </c>
      <c r="B762" s="6" t="s">
        <v>4192</v>
      </c>
      <c r="C762" s="6" t="s">
        <v>4190</v>
      </c>
      <c r="D762" s="6" t="s">
        <v>4191</v>
      </c>
      <c r="E762" s="6">
        <v>126021.0</v>
      </c>
    </row>
    <row r="763">
      <c r="A763" s="6">
        <v>2418.0</v>
      </c>
      <c r="B763" s="6" t="s">
        <v>4192</v>
      </c>
      <c r="C763" s="6" t="s">
        <v>4190</v>
      </c>
      <c r="D763" s="6" t="s">
        <v>4191</v>
      </c>
      <c r="E763" s="6">
        <v>3891.0</v>
      </c>
    </row>
    <row r="764">
      <c r="A764" s="6">
        <v>3407.0</v>
      </c>
      <c r="B764" s="6" t="s">
        <v>4192</v>
      </c>
      <c r="C764" s="6" t="s">
        <v>4190</v>
      </c>
      <c r="D764" s="6" t="s">
        <v>4191</v>
      </c>
      <c r="E764" s="6">
        <v>124979.0</v>
      </c>
    </row>
    <row r="765">
      <c r="A765" s="6">
        <v>3413.0</v>
      </c>
      <c r="B765" s="6" t="s">
        <v>4192</v>
      </c>
      <c r="C765" s="6" t="s">
        <v>4190</v>
      </c>
      <c r="D765" s="6" t="s">
        <v>4191</v>
      </c>
      <c r="E765" s="6">
        <v>126780.0</v>
      </c>
    </row>
    <row r="766">
      <c r="A766" s="6">
        <v>3347.0</v>
      </c>
      <c r="B766" s="6" t="s">
        <v>4193</v>
      </c>
      <c r="C766" s="6" t="s">
        <v>4190</v>
      </c>
      <c r="D766" s="6" t="s">
        <v>4191</v>
      </c>
      <c r="E766" s="6">
        <v>128085.0</v>
      </c>
    </row>
    <row r="767">
      <c r="A767" s="6">
        <v>2124.0</v>
      </c>
      <c r="B767" s="6" t="s">
        <v>4192</v>
      </c>
      <c r="C767" s="6" t="s">
        <v>4190</v>
      </c>
      <c r="D767" s="6" t="s">
        <v>4191</v>
      </c>
      <c r="E767" s="6">
        <v>126751.0</v>
      </c>
    </row>
    <row r="768">
      <c r="A768" s="6">
        <v>2126.0</v>
      </c>
      <c r="B768" s="6" t="s">
        <v>4192</v>
      </c>
      <c r="C768" s="6" t="s">
        <v>4190</v>
      </c>
      <c r="D768" s="6" t="s">
        <v>4191</v>
      </c>
      <c r="E768" s="6">
        <v>126296.0</v>
      </c>
    </row>
    <row r="769">
      <c r="A769" s="6">
        <v>2111.0</v>
      </c>
      <c r="B769" s="6" t="s">
        <v>4195</v>
      </c>
      <c r="C769" s="6" t="s">
        <v>4190</v>
      </c>
      <c r="D769" s="6" t="s">
        <v>4191</v>
      </c>
      <c r="E769" s="6">
        <v>125140.0</v>
      </c>
    </row>
    <row r="770">
      <c r="A770" s="6">
        <v>2129.0</v>
      </c>
      <c r="B770" s="6" t="s">
        <v>4192</v>
      </c>
      <c r="C770" s="6" t="s">
        <v>4190</v>
      </c>
      <c r="D770" s="6" t="s">
        <v>4191</v>
      </c>
      <c r="E770" s="6">
        <v>126502.0</v>
      </c>
    </row>
    <row r="771">
      <c r="A771" s="6">
        <v>2130.0</v>
      </c>
      <c r="B771" s="6" t="s">
        <v>4195</v>
      </c>
      <c r="C771" s="6" t="s">
        <v>4190</v>
      </c>
      <c r="D771" s="6" t="s">
        <v>4191</v>
      </c>
      <c r="E771" s="6">
        <v>125360.0</v>
      </c>
    </row>
    <row r="772">
      <c r="A772" s="6">
        <v>2132.0</v>
      </c>
      <c r="B772" s="6" t="s">
        <v>4192</v>
      </c>
      <c r="C772" s="6" t="s">
        <v>4190</v>
      </c>
      <c r="D772" s="6" t="s">
        <v>4191</v>
      </c>
      <c r="E772" s="6">
        <v>126353.0</v>
      </c>
    </row>
    <row r="773">
      <c r="A773" s="6">
        <v>2135.0</v>
      </c>
      <c r="B773" s="6" t="s">
        <v>4192</v>
      </c>
      <c r="C773" s="6" t="s">
        <v>4190</v>
      </c>
      <c r="D773" s="6" t="s">
        <v>4191</v>
      </c>
      <c r="E773" s="6">
        <v>126564.0</v>
      </c>
    </row>
    <row r="774">
      <c r="A774" s="6">
        <v>2112.0</v>
      </c>
      <c r="B774" s="6" t="s">
        <v>4195</v>
      </c>
      <c r="C774" s="6" t="s">
        <v>4190</v>
      </c>
      <c r="D774" s="6" t="s">
        <v>4191</v>
      </c>
      <c r="E774" s="6">
        <v>128859.0</v>
      </c>
    </row>
    <row r="775">
      <c r="A775" s="6">
        <v>2137.0</v>
      </c>
      <c r="B775" s="6" t="s">
        <v>4192</v>
      </c>
      <c r="C775" s="6" t="s">
        <v>4190</v>
      </c>
      <c r="D775" s="6" t="s">
        <v>4191</v>
      </c>
      <c r="E775" s="6">
        <v>126875.0</v>
      </c>
    </row>
    <row r="776">
      <c r="A776" s="6">
        <v>2146.0</v>
      </c>
      <c r="B776" s="6" t="s">
        <v>4194</v>
      </c>
      <c r="C776" s="6" t="s">
        <v>4190</v>
      </c>
      <c r="D776" s="6" t="s">
        <v>4191</v>
      </c>
      <c r="E776" s="6">
        <v>126475.0</v>
      </c>
    </row>
    <row r="777">
      <c r="A777" s="6">
        <v>2149.0</v>
      </c>
      <c r="B777" s="6" t="s">
        <v>4192</v>
      </c>
      <c r="C777" s="6" t="s">
        <v>4190</v>
      </c>
      <c r="D777" s="6" t="s">
        <v>4191</v>
      </c>
      <c r="E777" s="6">
        <v>126705.0</v>
      </c>
    </row>
    <row r="778">
      <c r="A778" s="6">
        <v>2151.0</v>
      </c>
      <c r="B778" s="6" t="s">
        <v>4192</v>
      </c>
      <c r="C778" s="6" t="s">
        <v>4190</v>
      </c>
      <c r="D778" s="6" t="s">
        <v>4191</v>
      </c>
      <c r="E778" s="6">
        <v>128637.0</v>
      </c>
    </row>
    <row r="779">
      <c r="A779" s="6">
        <v>2152.0</v>
      </c>
      <c r="B779" s="6" t="s">
        <v>4192</v>
      </c>
      <c r="C779" s="6" t="s">
        <v>4190</v>
      </c>
      <c r="D779" s="6" t="s">
        <v>4191</v>
      </c>
      <c r="E779" s="6">
        <v>126020.0</v>
      </c>
    </row>
    <row r="780">
      <c r="A780" s="6">
        <v>2153.0</v>
      </c>
      <c r="B780" s="6" t="s">
        <v>4196</v>
      </c>
      <c r="C780" s="6" t="s">
        <v>4190</v>
      </c>
      <c r="D780" s="6" t="s">
        <v>4191</v>
      </c>
      <c r="E780" s="6">
        <v>125482.0</v>
      </c>
    </row>
    <row r="781">
      <c r="A781" s="6">
        <v>2156.0</v>
      </c>
      <c r="B781" s="6" t="s">
        <v>4189</v>
      </c>
      <c r="C781" s="6" t="s">
        <v>4190</v>
      </c>
      <c r="D781" s="6" t="s">
        <v>4191</v>
      </c>
      <c r="E781" s="6">
        <v>126047.0</v>
      </c>
    </row>
    <row r="782">
      <c r="A782" s="6">
        <v>2161.0</v>
      </c>
      <c r="B782" s="6" t="s">
        <v>4192</v>
      </c>
      <c r="C782" s="6" t="s">
        <v>4190</v>
      </c>
      <c r="D782" s="6" t="s">
        <v>4191</v>
      </c>
      <c r="E782" s="6">
        <v>126450.0</v>
      </c>
    </row>
    <row r="783">
      <c r="A783" s="6">
        <v>2163.0</v>
      </c>
      <c r="B783" s="6" t="s">
        <v>4195</v>
      </c>
      <c r="C783" s="6" t="s">
        <v>4190</v>
      </c>
      <c r="D783" s="6" t="s">
        <v>4191</v>
      </c>
      <c r="E783" s="6">
        <v>128752.0</v>
      </c>
    </row>
    <row r="784">
      <c r="A784" s="6">
        <v>2166.0</v>
      </c>
      <c r="B784" s="6" t="s">
        <v>4192</v>
      </c>
      <c r="C784" s="6" t="s">
        <v>4190</v>
      </c>
      <c r="D784" s="6" t="s">
        <v>4191</v>
      </c>
      <c r="E784" s="6">
        <v>125395.0</v>
      </c>
    </row>
    <row r="785">
      <c r="A785" s="6">
        <v>3564.0</v>
      </c>
      <c r="B785" s="6" t="s">
        <v>4192</v>
      </c>
      <c r="C785" s="6" t="s">
        <v>4190</v>
      </c>
      <c r="D785" s="6" t="s">
        <v>4191</v>
      </c>
      <c r="E785" s="6">
        <v>126552.0</v>
      </c>
    </row>
    <row r="786">
      <c r="A786" s="6">
        <v>2169.0</v>
      </c>
      <c r="B786" s="6" t="s">
        <v>4192</v>
      </c>
      <c r="C786" s="6" t="s">
        <v>4190</v>
      </c>
      <c r="D786" s="6" t="s">
        <v>4191</v>
      </c>
      <c r="E786" s="6">
        <v>125503.0</v>
      </c>
    </row>
    <row r="787">
      <c r="A787" s="6">
        <v>2172.0</v>
      </c>
      <c r="B787" s="6" t="s">
        <v>4192</v>
      </c>
      <c r="C787" s="6" t="s">
        <v>4190</v>
      </c>
      <c r="D787" s="6" t="s">
        <v>4191</v>
      </c>
      <c r="E787" s="6">
        <v>125651.0</v>
      </c>
    </row>
    <row r="788">
      <c r="A788" s="6">
        <v>2178.0</v>
      </c>
      <c r="B788" s="6" t="s">
        <v>4193</v>
      </c>
      <c r="C788" s="6" t="s">
        <v>4190</v>
      </c>
      <c r="D788" s="6" t="s">
        <v>4191</v>
      </c>
      <c r="E788" s="6">
        <v>128015.0</v>
      </c>
    </row>
    <row r="789">
      <c r="A789" s="6">
        <v>2179.0</v>
      </c>
      <c r="B789" s="6" t="s">
        <v>4192</v>
      </c>
      <c r="C789" s="6" t="s">
        <v>4190</v>
      </c>
      <c r="D789" s="6" t="s">
        <v>4191</v>
      </c>
      <c r="E789" s="6">
        <v>128393.0</v>
      </c>
    </row>
    <row r="790">
      <c r="A790" s="6">
        <v>2181.0</v>
      </c>
      <c r="B790" s="6" t="s">
        <v>4189</v>
      </c>
      <c r="C790" s="6" t="s">
        <v>4190</v>
      </c>
      <c r="D790" s="6" t="s">
        <v>4191</v>
      </c>
      <c r="E790" s="6">
        <v>125410.0</v>
      </c>
    </row>
    <row r="791">
      <c r="A791" s="6">
        <v>2183.0</v>
      </c>
      <c r="B791" s="6" t="s">
        <v>4195</v>
      </c>
      <c r="C791" s="6" t="s">
        <v>4190</v>
      </c>
      <c r="D791" s="6" t="s">
        <v>4191</v>
      </c>
      <c r="E791" s="6">
        <v>128792.0</v>
      </c>
    </row>
    <row r="792">
      <c r="A792" s="6">
        <v>2185.0</v>
      </c>
      <c r="B792" s="6" t="s">
        <v>4195</v>
      </c>
      <c r="C792" s="6" t="s">
        <v>4190</v>
      </c>
      <c r="D792" s="6" t="s">
        <v>4191</v>
      </c>
      <c r="E792" s="6">
        <v>126791.0</v>
      </c>
    </row>
    <row r="793">
      <c r="A793" s="6">
        <v>2189.0</v>
      </c>
      <c r="B793" s="6" t="s">
        <v>4192</v>
      </c>
      <c r="C793" s="6" t="s">
        <v>4190</v>
      </c>
      <c r="D793" s="6" t="s">
        <v>4191</v>
      </c>
      <c r="E793" s="6">
        <v>125844.0</v>
      </c>
    </row>
    <row r="794">
      <c r="A794" s="6">
        <v>2194.0</v>
      </c>
      <c r="B794" s="6" t="s">
        <v>4192</v>
      </c>
      <c r="C794" s="6" t="s">
        <v>4190</v>
      </c>
      <c r="D794" s="6" t="s">
        <v>4191</v>
      </c>
      <c r="E794" s="6">
        <v>126183.0</v>
      </c>
    </row>
    <row r="795">
      <c r="A795" s="6">
        <v>2197.0</v>
      </c>
      <c r="B795" s="6" t="s">
        <v>4192</v>
      </c>
      <c r="C795" s="6" t="s">
        <v>4190</v>
      </c>
      <c r="D795" s="6" t="s">
        <v>4191</v>
      </c>
      <c r="E795" s="6">
        <v>126036.0</v>
      </c>
    </row>
    <row r="796">
      <c r="A796" s="6">
        <v>2205.0</v>
      </c>
      <c r="B796" s="6" t="s">
        <v>4192</v>
      </c>
      <c r="C796" s="6" t="s">
        <v>4190</v>
      </c>
      <c r="D796" s="6" t="s">
        <v>4191</v>
      </c>
      <c r="E796" s="6">
        <v>125552.0</v>
      </c>
    </row>
    <row r="797">
      <c r="A797" s="6">
        <v>2209.0</v>
      </c>
      <c r="B797" s="6" t="s">
        <v>4192</v>
      </c>
      <c r="C797" s="6" t="s">
        <v>4190</v>
      </c>
      <c r="D797" s="6" t="s">
        <v>4191</v>
      </c>
      <c r="E797" s="6">
        <v>125523.0</v>
      </c>
    </row>
    <row r="798">
      <c r="A798" s="6">
        <v>2211.0</v>
      </c>
      <c r="B798" s="6" t="s">
        <v>4192</v>
      </c>
      <c r="C798" s="6" t="s">
        <v>4190</v>
      </c>
      <c r="D798" s="6" t="s">
        <v>4191</v>
      </c>
      <c r="E798" s="6">
        <v>126777.0</v>
      </c>
    </row>
    <row r="799">
      <c r="A799" s="6">
        <v>2212.0</v>
      </c>
      <c r="B799" s="6" t="s">
        <v>4189</v>
      </c>
      <c r="C799" s="6" t="s">
        <v>4190</v>
      </c>
      <c r="D799" s="6" t="s">
        <v>4191</v>
      </c>
      <c r="E799" s="6">
        <v>125767.0</v>
      </c>
    </row>
    <row r="800">
      <c r="A800" s="6">
        <v>1538.0</v>
      </c>
      <c r="B800" s="6" t="s">
        <v>4192</v>
      </c>
      <c r="C800" s="6" t="s">
        <v>4190</v>
      </c>
      <c r="D800" s="6" t="s">
        <v>4191</v>
      </c>
      <c r="E800" s="6">
        <v>3839.0</v>
      </c>
    </row>
    <row r="801">
      <c r="A801" s="6">
        <v>2217.0</v>
      </c>
      <c r="B801" s="6" t="s">
        <v>4192</v>
      </c>
      <c r="C801" s="6" t="s">
        <v>4190</v>
      </c>
      <c r="D801" s="6" t="s">
        <v>4191</v>
      </c>
      <c r="E801" s="6">
        <v>125833.0</v>
      </c>
    </row>
    <row r="802">
      <c r="A802" s="6">
        <v>2220.0</v>
      </c>
      <c r="B802" s="6" t="s">
        <v>4192</v>
      </c>
      <c r="C802" s="6" t="s">
        <v>4190</v>
      </c>
      <c r="D802" s="6" t="s">
        <v>4191</v>
      </c>
      <c r="E802" s="6">
        <v>126906.0</v>
      </c>
    </row>
    <row r="803">
      <c r="A803" s="6">
        <v>2222.0</v>
      </c>
      <c r="B803" s="6" t="s">
        <v>4192</v>
      </c>
      <c r="C803" s="6" t="s">
        <v>4190</v>
      </c>
      <c r="D803" s="6" t="s">
        <v>4191</v>
      </c>
      <c r="E803" s="6">
        <v>128347.0</v>
      </c>
    </row>
    <row r="804">
      <c r="A804" s="6">
        <v>2227.0</v>
      </c>
      <c r="B804" s="6" t="s">
        <v>4189</v>
      </c>
      <c r="C804" s="6" t="s">
        <v>4190</v>
      </c>
      <c r="D804" s="6" t="s">
        <v>4191</v>
      </c>
      <c r="E804" s="6">
        <v>128413.0</v>
      </c>
    </row>
    <row r="805">
      <c r="A805" s="6">
        <v>2231.0</v>
      </c>
      <c r="B805" s="6" t="s">
        <v>4189</v>
      </c>
      <c r="C805" s="6" t="s">
        <v>4190</v>
      </c>
      <c r="D805" s="6" t="s">
        <v>4191</v>
      </c>
      <c r="E805" s="6">
        <v>125238.0</v>
      </c>
    </row>
    <row r="806">
      <c r="A806" s="6">
        <v>2234.0</v>
      </c>
      <c r="B806" s="6" t="s">
        <v>4193</v>
      </c>
      <c r="C806" s="6" t="s">
        <v>4190</v>
      </c>
      <c r="D806" s="6" t="s">
        <v>4191</v>
      </c>
      <c r="E806" s="6">
        <v>127940.0</v>
      </c>
    </row>
    <row r="807">
      <c r="A807" s="6">
        <v>2245.0</v>
      </c>
      <c r="B807" s="6" t="s">
        <v>4192</v>
      </c>
      <c r="C807" s="6" t="s">
        <v>4190</v>
      </c>
      <c r="D807" s="6" t="s">
        <v>4191</v>
      </c>
      <c r="E807" s="6">
        <v>125118.0</v>
      </c>
    </row>
    <row r="808">
      <c r="A808" s="6">
        <v>2251.0</v>
      </c>
      <c r="B808" s="6" t="s">
        <v>4192</v>
      </c>
      <c r="C808" s="6" t="s">
        <v>4190</v>
      </c>
      <c r="D808" s="6" t="s">
        <v>4191</v>
      </c>
      <c r="E808" s="6">
        <v>124893.0</v>
      </c>
    </row>
    <row r="809">
      <c r="A809" s="6">
        <v>2254.0</v>
      </c>
      <c r="B809" s="6" t="s">
        <v>4192</v>
      </c>
      <c r="C809" s="6" t="s">
        <v>4190</v>
      </c>
      <c r="D809" s="6" t="s">
        <v>4191</v>
      </c>
      <c r="E809" s="6">
        <v>126741.0</v>
      </c>
    </row>
    <row r="810">
      <c r="A810" s="6">
        <v>2266.0</v>
      </c>
      <c r="B810" s="6" t="s">
        <v>4193</v>
      </c>
      <c r="C810" s="6" t="s">
        <v>4190</v>
      </c>
      <c r="D810" s="6" t="s">
        <v>4191</v>
      </c>
      <c r="E810" s="6">
        <v>128043.0</v>
      </c>
    </row>
    <row r="811">
      <c r="A811" s="6">
        <v>2267.0</v>
      </c>
      <c r="B811" s="6" t="s">
        <v>4192</v>
      </c>
      <c r="C811" s="6" t="s">
        <v>4190</v>
      </c>
      <c r="D811" s="6" t="s">
        <v>4191</v>
      </c>
      <c r="E811" s="6">
        <v>128953.0</v>
      </c>
    </row>
    <row r="812">
      <c r="A812" s="6">
        <v>2269.0</v>
      </c>
      <c r="B812" s="6" t="s">
        <v>4192</v>
      </c>
      <c r="C812" s="6" t="s">
        <v>4190</v>
      </c>
      <c r="D812" s="6" t="s">
        <v>4191</v>
      </c>
      <c r="E812" s="6">
        <v>128840.0</v>
      </c>
    </row>
    <row r="813">
      <c r="A813" s="6">
        <v>2270.0</v>
      </c>
      <c r="B813" s="6" t="s">
        <v>4196</v>
      </c>
      <c r="C813" s="6" t="s">
        <v>4190</v>
      </c>
      <c r="D813" s="6" t="s">
        <v>4191</v>
      </c>
      <c r="E813" s="6">
        <v>126662.0</v>
      </c>
    </row>
    <row r="814">
      <c r="A814" s="6">
        <v>2273.0</v>
      </c>
      <c r="B814" s="6" t="s">
        <v>4192</v>
      </c>
      <c r="C814" s="6" t="s">
        <v>4190</v>
      </c>
      <c r="D814" s="6" t="s">
        <v>4191</v>
      </c>
      <c r="E814" s="6">
        <v>125571.0</v>
      </c>
    </row>
    <row r="815">
      <c r="A815" s="6">
        <v>2274.0</v>
      </c>
      <c r="B815" s="6" t="s">
        <v>4192</v>
      </c>
      <c r="C815" s="6" t="s">
        <v>4190</v>
      </c>
      <c r="D815" s="6" t="s">
        <v>4191</v>
      </c>
      <c r="E815" s="6">
        <v>126619.0</v>
      </c>
    </row>
    <row r="816">
      <c r="A816" s="6">
        <v>2119.0</v>
      </c>
      <c r="B816" s="6" t="s">
        <v>4192</v>
      </c>
      <c r="C816" s="6" t="s">
        <v>4190</v>
      </c>
      <c r="D816" s="6" t="s">
        <v>4191</v>
      </c>
      <c r="E816" s="6">
        <v>125879.0</v>
      </c>
    </row>
    <row r="817">
      <c r="A817" s="6">
        <v>2275.0</v>
      </c>
      <c r="B817" s="6" t="s">
        <v>4192</v>
      </c>
      <c r="C817" s="6" t="s">
        <v>4190</v>
      </c>
      <c r="D817" s="6" t="s">
        <v>4191</v>
      </c>
      <c r="E817" s="6">
        <v>124928.0</v>
      </c>
    </row>
    <row r="818">
      <c r="A818" s="6">
        <v>2277.0</v>
      </c>
      <c r="B818" s="6" t="s">
        <v>4193</v>
      </c>
      <c r="C818" s="6" t="s">
        <v>4190</v>
      </c>
      <c r="D818" s="6" t="s">
        <v>4191</v>
      </c>
      <c r="E818" s="6">
        <v>128089.0</v>
      </c>
    </row>
    <row r="819">
      <c r="A819" s="6">
        <v>2279.0</v>
      </c>
      <c r="B819" s="6" t="s">
        <v>4194</v>
      </c>
      <c r="C819" s="6" t="s">
        <v>4190</v>
      </c>
      <c r="D819" s="6" t="s">
        <v>4191</v>
      </c>
      <c r="E819" s="6">
        <v>126197.0</v>
      </c>
    </row>
    <row r="820">
      <c r="A820" s="6">
        <v>2281.0</v>
      </c>
      <c r="B820" s="6" t="s">
        <v>4189</v>
      </c>
      <c r="C820" s="6" t="s">
        <v>4190</v>
      </c>
      <c r="D820" s="6" t="s">
        <v>4191</v>
      </c>
      <c r="E820" s="6">
        <v>129050.0</v>
      </c>
    </row>
    <row r="821">
      <c r="A821" s="6">
        <v>2282.0</v>
      </c>
      <c r="B821" s="6" t="s">
        <v>4197</v>
      </c>
      <c r="C821" s="6" t="s">
        <v>4190</v>
      </c>
      <c r="D821" s="6" t="s">
        <v>4191</v>
      </c>
      <c r="E821" s="6">
        <v>126418.0</v>
      </c>
    </row>
    <row r="822">
      <c r="A822" s="6">
        <v>1615.0</v>
      </c>
      <c r="B822" s="6" t="s">
        <v>4192</v>
      </c>
      <c r="C822" s="6" t="s">
        <v>4190</v>
      </c>
      <c r="D822" s="6" t="s">
        <v>4191</v>
      </c>
      <c r="E822" s="6">
        <v>3836.0</v>
      </c>
    </row>
    <row r="823">
      <c r="A823" s="6">
        <v>2639.0</v>
      </c>
      <c r="B823" s="6" t="s">
        <v>4192</v>
      </c>
      <c r="C823" s="6" t="s">
        <v>4190</v>
      </c>
      <c r="D823" s="6" t="s">
        <v>4191</v>
      </c>
      <c r="E823" s="6">
        <v>126234.0</v>
      </c>
    </row>
    <row r="824">
      <c r="A824" s="6">
        <v>2646.0</v>
      </c>
      <c r="B824" s="6" t="s">
        <v>4192</v>
      </c>
      <c r="C824" s="6" t="s">
        <v>4190</v>
      </c>
      <c r="D824" s="6" t="s">
        <v>4191</v>
      </c>
      <c r="E824" s="6">
        <v>126302.0</v>
      </c>
    </row>
    <row r="825">
      <c r="A825" s="6">
        <v>2651.0</v>
      </c>
      <c r="B825" s="6" t="s">
        <v>4189</v>
      </c>
      <c r="C825" s="6" t="s">
        <v>4190</v>
      </c>
      <c r="D825" s="6" t="s">
        <v>4191</v>
      </c>
      <c r="E825" s="6">
        <v>126340.0</v>
      </c>
    </row>
    <row r="826">
      <c r="A826" s="6">
        <v>2653.0</v>
      </c>
      <c r="B826" s="6" t="s">
        <v>4192</v>
      </c>
      <c r="C826" s="6" t="s">
        <v>4190</v>
      </c>
      <c r="D826" s="6" t="s">
        <v>4191</v>
      </c>
      <c r="E826" s="6">
        <v>126132.0</v>
      </c>
    </row>
    <row r="827">
      <c r="A827" s="6">
        <v>2656.0</v>
      </c>
      <c r="B827" s="6" t="s">
        <v>4192</v>
      </c>
      <c r="C827" s="6" t="s">
        <v>4190</v>
      </c>
      <c r="D827" s="6" t="s">
        <v>4191</v>
      </c>
      <c r="E827" s="6">
        <v>124704.0</v>
      </c>
    </row>
    <row r="828">
      <c r="A828" s="6">
        <v>2657.0</v>
      </c>
      <c r="B828" s="6" t="s">
        <v>4193</v>
      </c>
      <c r="C828" s="6" t="s">
        <v>4190</v>
      </c>
      <c r="D828" s="6" t="s">
        <v>4191</v>
      </c>
      <c r="E828" s="6">
        <v>128072.0</v>
      </c>
    </row>
    <row r="829">
      <c r="A829" s="6">
        <v>2660.0</v>
      </c>
      <c r="B829" s="6" t="s">
        <v>4192</v>
      </c>
      <c r="C829" s="6" t="s">
        <v>4190</v>
      </c>
      <c r="D829" s="6" t="s">
        <v>4191</v>
      </c>
      <c r="E829" s="6">
        <v>125056.0</v>
      </c>
    </row>
    <row r="830">
      <c r="A830" s="6">
        <v>2663.0</v>
      </c>
      <c r="B830" s="6" t="s">
        <v>4192</v>
      </c>
      <c r="C830" s="6" t="s">
        <v>4190</v>
      </c>
      <c r="D830" s="6" t="s">
        <v>4191</v>
      </c>
      <c r="E830" s="6">
        <v>126309.0</v>
      </c>
    </row>
    <row r="831">
      <c r="A831" s="6">
        <v>2665.0</v>
      </c>
      <c r="B831" s="6" t="s">
        <v>4192</v>
      </c>
      <c r="C831" s="6" t="s">
        <v>4190</v>
      </c>
      <c r="D831" s="6" t="s">
        <v>4191</v>
      </c>
      <c r="E831" s="6">
        <v>129177.0</v>
      </c>
    </row>
    <row r="832">
      <c r="A832" s="6">
        <v>2666.0</v>
      </c>
      <c r="B832" s="6" t="s">
        <v>4192</v>
      </c>
      <c r="C832" s="6" t="s">
        <v>4190</v>
      </c>
      <c r="D832" s="6" t="s">
        <v>4191</v>
      </c>
      <c r="E832" s="6">
        <v>126333.0</v>
      </c>
    </row>
    <row r="833">
      <c r="A833" s="6">
        <v>2670.0</v>
      </c>
      <c r="B833" s="6" t="s">
        <v>4192</v>
      </c>
      <c r="C833" s="6" t="s">
        <v>4190</v>
      </c>
      <c r="D833" s="6" t="s">
        <v>4191</v>
      </c>
      <c r="E833" s="6">
        <v>126608.0</v>
      </c>
    </row>
    <row r="834">
      <c r="A834" s="6">
        <v>2674.0</v>
      </c>
      <c r="B834" s="6" t="s">
        <v>4192</v>
      </c>
      <c r="C834" s="6" t="s">
        <v>4190</v>
      </c>
      <c r="D834" s="6" t="s">
        <v>4191</v>
      </c>
      <c r="E834" s="6">
        <v>126808.0</v>
      </c>
    </row>
    <row r="835">
      <c r="A835" s="6">
        <v>2676.0</v>
      </c>
      <c r="B835" s="6" t="s">
        <v>4192</v>
      </c>
      <c r="C835" s="6" t="s">
        <v>4190</v>
      </c>
      <c r="D835" s="6" t="s">
        <v>4191</v>
      </c>
      <c r="E835" s="6">
        <v>128644.0</v>
      </c>
    </row>
    <row r="836">
      <c r="A836" s="6">
        <v>2678.0</v>
      </c>
      <c r="B836" s="6" t="s">
        <v>4192</v>
      </c>
      <c r="C836" s="6" t="s">
        <v>4190</v>
      </c>
      <c r="D836" s="6" t="s">
        <v>4191</v>
      </c>
      <c r="E836" s="6">
        <v>125420.0</v>
      </c>
    </row>
    <row r="837">
      <c r="A837" s="6">
        <v>2681.0</v>
      </c>
      <c r="B837" s="6" t="s">
        <v>4192</v>
      </c>
      <c r="C837" s="6" t="s">
        <v>4190</v>
      </c>
      <c r="D837" s="6" t="s">
        <v>4191</v>
      </c>
      <c r="E837" s="6">
        <v>125562.0</v>
      </c>
    </row>
    <row r="838">
      <c r="A838" s="6">
        <v>2687.0</v>
      </c>
      <c r="B838" s="6" t="s">
        <v>4192</v>
      </c>
      <c r="C838" s="6" t="s">
        <v>4190</v>
      </c>
      <c r="D838" s="6" t="s">
        <v>4191</v>
      </c>
      <c r="E838" s="6">
        <v>125945.0</v>
      </c>
    </row>
    <row r="839">
      <c r="A839" s="6">
        <v>2689.0</v>
      </c>
      <c r="B839" s="6" t="s">
        <v>4189</v>
      </c>
      <c r="C839" s="6" t="s">
        <v>4190</v>
      </c>
      <c r="D839" s="6" t="s">
        <v>4191</v>
      </c>
      <c r="E839" s="6">
        <v>124549.0</v>
      </c>
    </row>
    <row r="840">
      <c r="A840" s="6">
        <v>2690.0</v>
      </c>
      <c r="B840" s="6" t="s">
        <v>4189</v>
      </c>
      <c r="C840" s="6" t="s">
        <v>4190</v>
      </c>
      <c r="D840" s="6" t="s">
        <v>4191</v>
      </c>
      <c r="E840" s="6">
        <v>128887.0</v>
      </c>
    </row>
    <row r="841">
      <c r="A841" s="6">
        <v>2694.0</v>
      </c>
      <c r="B841" s="6" t="s">
        <v>4195</v>
      </c>
      <c r="C841" s="6" t="s">
        <v>4190</v>
      </c>
      <c r="D841" s="6" t="s">
        <v>4191</v>
      </c>
      <c r="E841" s="6">
        <v>126191.0</v>
      </c>
    </row>
    <row r="842">
      <c r="A842" s="6">
        <v>2696.0</v>
      </c>
      <c r="B842" s="6" t="s">
        <v>4192</v>
      </c>
      <c r="C842" s="6" t="s">
        <v>4190</v>
      </c>
      <c r="D842" s="6" t="s">
        <v>4191</v>
      </c>
      <c r="E842" s="6">
        <v>125660.0</v>
      </c>
    </row>
    <row r="843">
      <c r="A843" s="6">
        <v>2697.0</v>
      </c>
      <c r="B843" s="6" t="s">
        <v>4189</v>
      </c>
      <c r="C843" s="6" t="s">
        <v>4190</v>
      </c>
      <c r="D843" s="6" t="s">
        <v>4191</v>
      </c>
      <c r="E843" s="6">
        <v>125417.0</v>
      </c>
    </row>
    <row r="844">
      <c r="A844" s="6">
        <v>2698.0</v>
      </c>
      <c r="B844" s="6" t="s">
        <v>4192</v>
      </c>
      <c r="C844" s="6" t="s">
        <v>4190</v>
      </c>
      <c r="D844" s="6" t="s">
        <v>4191</v>
      </c>
      <c r="E844" s="6">
        <v>125019.0</v>
      </c>
    </row>
    <row r="845">
      <c r="A845" s="6">
        <v>2701.0</v>
      </c>
      <c r="B845" s="6" t="s">
        <v>4195</v>
      </c>
      <c r="C845" s="6" t="s">
        <v>4190</v>
      </c>
      <c r="D845" s="6" t="s">
        <v>4191</v>
      </c>
      <c r="E845" s="6">
        <v>128803.0</v>
      </c>
    </row>
    <row r="846">
      <c r="A846" s="6">
        <v>2704.0</v>
      </c>
      <c r="B846" s="6" t="s">
        <v>4194</v>
      </c>
      <c r="C846" s="6" t="s">
        <v>4190</v>
      </c>
      <c r="D846" s="6" t="s">
        <v>4191</v>
      </c>
      <c r="E846" s="6">
        <v>126457.0</v>
      </c>
    </row>
    <row r="847">
      <c r="A847" s="6">
        <v>2291.0</v>
      </c>
      <c r="B847" s="6" t="s">
        <v>4192</v>
      </c>
      <c r="C847" s="6" t="s">
        <v>4190</v>
      </c>
      <c r="D847" s="6" t="s">
        <v>4191</v>
      </c>
      <c r="E847" s="6">
        <v>126411.0</v>
      </c>
    </row>
    <row r="848">
      <c r="A848" s="6">
        <v>2706.0</v>
      </c>
      <c r="B848" s="6" t="s">
        <v>4192</v>
      </c>
      <c r="C848" s="6" t="s">
        <v>4190</v>
      </c>
      <c r="D848" s="6" t="s">
        <v>4191</v>
      </c>
      <c r="E848" s="6">
        <v>126004.0</v>
      </c>
    </row>
    <row r="849">
      <c r="A849" s="6">
        <v>2707.0</v>
      </c>
      <c r="B849" s="6" t="s">
        <v>4192</v>
      </c>
      <c r="C849" s="6" t="s">
        <v>4190</v>
      </c>
      <c r="D849" s="6" t="s">
        <v>4191</v>
      </c>
      <c r="E849" s="6">
        <v>125624.0</v>
      </c>
    </row>
    <row r="850">
      <c r="A850" s="6">
        <v>1695.0</v>
      </c>
      <c r="B850" s="6" t="s">
        <v>4192</v>
      </c>
      <c r="C850" s="6" t="s">
        <v>4190</v>
      </c>
      <c r="D850" s="6" t="s">
        <v>4191</v>
      </c>
      <c r="E850" s="6">
        <v>3969.0</v>
      </c>
    </row>
    <row r="851">
      <c r="A851" s="6">
        <v>2709.0</v>
      </c>
      <c r="B851" s="6" t="s">
        <v>4195</v>
      </c>
      <c r="C851" s="6" t="s">
        <v>4190</v>
      </c>
      <c r="D851" s="6" t="s">
        <v>4191</v>
      </c>
      <c r="E851" s="6">
        <v>124956.0</v>
      </c>
    </row>
    <row r="852">
      <c r="A852" s="6">
        <v>2710.0</v>
      </c>
      <c r="B852" s="6" t="s">
        <v>4192</v>
      </c>
      <c r="C852" s="6" t="s">
        <v>4190</v>
      </c>
      <c r="D852" s="6" t="s">
        <v>4191</v>
      </c>
      <c r="E852" s="6">
        <v>124657.0</v>
      </c>
    </row>
    <row r="853">
      <c r="A853" s="6">
        <v>2714.0</v>
      </c>
      <c r="B853" s="6" t="s">
        <v>4189</v>
      </c>
      <c r="C853" s="6" t="s">
        <v>4190</v>
      </c>
      <c r="D853" s="6" t="s">
        <v>4191</v>
      </c>
      <c r="E853" s="6">
        <v>125494.0</v>
      </c>
    </row>
    <row r="854">
      <c r="A854" s="6">
        <v>2715.0</v>
      </c>
      <c r="B854" s="6" t="s">
        <v>4192</v>
      </c>
      <c r="C854" s="6" t="s">
        <v>4190</v>
      </c>
      <c r="D854" s="6" t="s">
        <v>4191</v>
      </c>
      <c r="E854" s="6">
        <v>124914.0</v>
      </c>
    </row>
    <row r="855">
      <c r="A855" s="6">
        <v>2720.0</v>
      </c>
      <c r="B855" s="6" t="s">
        <v>4192</v>
      </c>
      <c r="C855" s="6" t="s">
        <v>4190</v>
      </c>
      <c r="D855" s="6" t="s">
        <v>4191</v>
      </c>
      <c r="E855" s="6">
        <v>126968.0</v>
      </c>
    </row>
    <row r="856">
      <c r="A856" s="6">
        <v>2725.0</v>
      </c>
      <c r="B856" s="6" t="s">
        <v>4193</v>
      </c>
      <c r="C856" s="6" t="s">
        <v>4190</v>
      </c>
      <c r="D856" s="6" t="s">
        <v>4191</v>
      </c>
      <c r="E856" s="6">
        <v>127989.0</v>
      </c>
    </row>
    <row r="857">
      <c r="A857" s="6">
        <v>2726.0</v>
      </c>
      <c r="B857" s="6" t="s">
        <v>4192</v>
      </c>
      <c r="C857" s="6" t="s">
        <v>4190</v>
      </c>
      <c r="D857" s="6" t="s">
        <v>4191</v>
      </c>
      <c r="E857" s="6">
        <v>126212.0</v>
      </c>
    </row>
    <row r="858">
      <c r="A858" s="6">
        <v>2728.0</v>
      </c>
      <c r="B858" s="6" t="s">
        <v>4192</v>
      </c>
      <c r="C858" s="6" t="s">
        <v>4190</v>
      </c>
      <c r="D858" s="6" t="s">
        <v>4191</v>
      </c>
      <c r="E858" s="6">
        <v>125693.0</v>
      </c>
    </row>
    <row r="859">
      <c r="A859" s="6">
        <v>2731.0</v>
      </c>
      <c r="B859" s="6" t="s">
        <v>4193</v>
      </c>
      <c r="C859" s="6" t="s">
        <v>4190</v>
      </c>
      <c r="D859" s="6" t="s">
        <v>4191</v>
      </c>
      <c r="E859" s="6">
        <v>127952.0</v>
      </c>
    </row>
    <row r="860">
      <c r="A860" s="6">
        <v>2732.0</v>
      </c>
      <c r="B860" s="6" t="s">
        <v>4192</v>
      </c>
      <c r="C860" s="6" t="s">
        <v>4190</v>
      </c>
      <c r="D860" s="6" t="s">
        <v>4191</v>
      </c>
      <c r="E860" s="6">
        <v>126275.0</v>
      </c>
    </row>
    <row r="861">
      <c r="A861" s="6">
        <v>2294.0</v>
      </c>
      <c r="B861" s="6" t="s">
        <v>4193</v>
      </c>
      <c r="C861" s="6" t="s">
        <v>4190</v>
      </c>
      <c r="D861" s="6" t="s">
        <v>4191</v>
      </c>
      <c r="E861" s="6">
        <v>127966.0</v>
      </c>
    </row>
    <row r="862">
      <c r="A862" s="6">
        <v>2742.0</v>
      </c>
      <c r="B862" s="6" t="s">
        <v>4192</v>
      </c>
      <c r="C862" s="6" t="s">
        <v>4190</v>
      </c>
      <c r="D862" s="6" t="s">
        <v>4191</v>
      </c>
      <c r="E862" s="6">
        <v>126567.0</v>
      </c>
    </row>
    <row r="863">
      <c r="A863" s="6">
        <v>2745.0</v>
      </c>
      <c r="B863" s="6" t="s">
        <v>4189</v>
      </c>
      <c r="C863" s="6" t="s">
        <v>4190</v>
      </c>
      <c r="D863" s="6" t="s">
        <v>4191</v>
      </c>
      <c r="E863" s="6">
        <v>125003.0</v>
      </c>
    </row>
    <row r="864">
      <c r="A864" s="6">
        <v>2747.0</v>
      </c>
      <c r="B864" s="6" t="s">
        <v>4189</v>
      </c>
      <c r="C864" s="6" t="s">
        <v>4190</v>
      </c>
      <c r="D864" s="6" t="s">
        <v>4191</v>
      </c>
      <c r="E864" s="6">
        <v>124639.0</v>
      </c>
    </row>
    <row r="865">
      <c r="A865" s="6">
        <v>2751.0</v>
      </c>
      <c r="B865" s="6" t="s">
        <v>4192</v>
      </c>
      <c r="C865" s="6" t="s">
        <v>4190</v>
      </c>
      <c r="D865" s="6" t="s">
        <v>4191</v>
      </c>
      <c r="E865" s="6">
        <v>126087.0</v>
      </c>
    </row>
    <row r="866">
      <c r="A866" s="6">
        <v>2755.0</v>
      </c>
      <c r="B866" s="6" t="s">
        <v>4192</v>
      </c>
      <c r="C866" s="6" t="s">
        <v>4190</v>
      </c>
      <c r="D866" s="6" t="s">
        <v>4191</v>
      </c>
      <c r="E866" s="6">
        <v>124737.0</v>
      </c>
    </row>
    <row r="867">
      <c r="A867" s="6">
        <v>2756.0</v>
      </c>
      <c r="B867" s="6" t="s">
        <v>4192</v>
      </c>
      <c r="C867" s="6" t="s">
        <v>4190</v>
      </c>
      <c r="D867" s="6" t="s">
        <v>4191</v>
      </c>
      <c r="E867" s="6">
        <v>128757.0</v>
      </c>
    </row>
    <row r="868">
      <c r="A868" s="6">
        <v>2757.0</v>
      </c>
      <c r="B868" s="6" t="s">
        <v>4192</v>
      </c>
      <c r="C868" s="6" t="s">
        <v>4190</v>
      </c>
      <c r="D868" s="6" t="s">
        <v>4191</v>
      </c>
      <c r="E868" s="6">
        <v>126365.0</v>
      </c>
    </row>
    <row r="869">
      <c r="A869" s="6">
        <v>2758.0</v>
      </c>
      <c r="B869" s="6" t="s">
        <v>4192</v>
      </c>
      <c r="C869" s="6" t="s">
        <v>4190</v>
      </c>
      <c r="D869" s="6" t="s">
        <v>4191</v>
      </c>
      <c r="E869" s="6">
        <v>126136.0</v>
      </c>
    </row>
    <row r="870">
      <c r="A870" s="6">
        <v>2761.0</v>
      </c>
      <c r="B870" s="6" t="s">
        <v>4192</v>
      </c>
      <c r="C870" s="6" t="s">
        <v>4190</v>
      </c>
      <c r="D870" s="6" t="s">
        <v>4191</v>
      </c>
      <c r="E870" s="6">
        <v>126512.0</v>
      </c>
    </row>
    <row r="871">
      <c r="A871" s="6">
        <v>2765.0</v>
      </c>
      <c r="B871" s="6" t="s">
        <v>4192</v>
      </c>
      <c r="C871" s="6" t="s">
        <v>4190</v>
      </c>
      <c r="D871" s="6" t="s">
        <v>4191</v>
      </c>
      <c r="E871" s="6">
        <v>126545.0</v>
      </c>
    </row>
    <row r="872">
      <c r="A872" s="6">
        <v>2766.0</v>
      </c>
      <c r="B872" s="6" t="s">
        <v>4197</v>
      </c>
      <c r="C872" s="6" t="s">
        <v>4190</v>
      </c>
      <c r="D872" s="6" t="s">
        <v>4191</v>
      </c>
      <c r="E872" s="6">
        <v>126305.0</v>
      </c>
    </row>
    <row r="873">
      <c r="A873" s="6">
        <v>2772.0</v>
      </c>
      <c r="B873" s="6" t="s">
        <v>4192</v>
      </c>
      <c r="C873" s="6" t="s">
        <v>4190</v>
      </c>
      <c r="D873" s="6" t="s">
        <v>4191</v>
      </c>
      <c r="E873" s="6">
        <v>126605.0</v>
      </c>
    </row>
    <row r="874">
      <c r="A874" s="6">
        <v>2775.0</v>
      </c>
      <c r="B874" s="6" t="s">
        <v>4192</v>
      </c>
      <c r="C874" s="6" t="s">
        <v>4190</v>
      </c>
      <c r="D874" s="6" t="s">
        <v>4191</v>
      </c>
      <c r="E874" s="6">
        <v>125491.0</v>
      </c>
    </row>
    <row r="875">
      <c r="A875" s="6">
        <v>2776.0</v>
      </c>
      <c r="B875" s="6" t="s">
        <v>4192</v>
      </c>
      <c r="C875" s="6" t="s">
        <v>4190</v>
      </c>
      <c r="D875" s="6" t="s">
        <v>4191</v>
      </c>
      <c r="E875" s="6">
        <v>128810.0</v>
      </c>
    </row>
    <row r="876">
      <c r="A876" s="6">
        <v>2778.0</v>
      </c>
      <c r="B876" s="6" t="s">
        <v>4192</v>
      </c>
      <c r="C876" s="6" t="s">
        <v>4190</v>
      </c>
      <c r="D876" s="6" t="s">
        <v>4191</v>
      </c>
      <c r="E876" s="6">
        <v>126407.0</v>
      </c>
    </row>
    <row r="877">
      <c r="A877" s="6">
        <v>2779.0</v>
      </c>
      <c r="B877" s="6" t="s">
        <v>4189</v>
      </c>
      <c r="C877" s="6" t="s">
        <v>4190</v>
      </c>
      <c r="D877" s="6" t="s">
        <v>4191</v>
      </c>
      <c r="E877" s="6">
        <v>125631.0</v>
      </c>
    </row>
    <row r="878">
      <c r="A878" s="6">
        <v>2782.0</v>
      </c>
      <c r="B878" s="6" t="s">
        <v>4192</v>
      </c>
      <c r="C878" s="6" t="s">
        <v>4190</v>
      </c>
      <c r="D878" s="6" t="s">
        <v>4191</v>
      </c>
      <c r="E878" s="6">
        <v>125196.0</v>
      </c>
    </row>
    <row r="879">
      <c r="A879" s="6">
        <v>2089.0</v>
      </c>
      <c r="B879" s="6" t="s">
        <v>4192</v>
      </c>
      <c r="C879" s="6" t="s">
        <v>4190</v>
      </c>
      <c r="D879" s="6" t="s">
        <v>4191</v>
      </c>
      <c r="E879" s="6">
        <v>4597.0</v>
      </c>
    </row>
    <row r="880">
      <c r="A880" s="6">
        <v>2786.0</v>
      </c>
      <c r="B880" s="6" t="s">
        <v>4194</v>
      </c>
      <c r="C880" s="6" t="s">
        <v>4190</v>
      </c>
      <c r="D880" s="6" t="s">
        <v>4191</v>
      </c>
      <c r="E880" s="6">
        <v>125164.0</v>
      </c>
    </row>
    <row r="881">
      <c r="A881" s="6">
        <v>2298.0</v>
      </c>
      <c r="B881" s="6" t="s">
        <v>4192</v>
      </c>
      <c r="C881" s="6" t="s">
        <v>4190</v>
      </c>
      <c r="D881" s="6" t="s">
        <v>4191</v>
      </c>
      <c r="E881" s="6">
        <v>124934.0</v>
      </c>
    </row>
    <row r="882">
      <c r="A882" s="6">
        <v>2787.0</v>
      </c>
      <c r="B882" s="6" t="s">
        <v>4197</v>
      </c>
      <c r="C882" s="6" t="s">
        <v>4190</v>
      </c>
      <c r="D882" s="6" t="s">
        <v>4191</v>
      </c>
      <c r="E882" s="6">
        <v>125741.0</v>
      </c>
    </row>
    <row r="883">
      <c r="A883" s="6">
        <v>2789.0</v>
      </c>
      <c r="B883" s="6" t="s">
        <v>4192</v>
      </c>
      <c r="C883" s="6" t="s">
        <v>4190</v>
      </c>
      <c r="D883" s="6" t="s">
        <v>4191</v>
      </c>
      <c r="E883" s="6">
        <v>124700.0</v>
      </c>
    </row>
    <row r="884">
      <c r="A884" s="6">
        <v>2812.0</v>
      </c>
      <c r="B884" s="6" t="s">
        <v>4189</v>
      </c>
      <c r="C884" s="6" t="s">
        <v>4190</v>
      </c>
      <c r="D884" s="6" t="s">
        <v>4191</v>
      </c>
      <c r="E884" s="6">
        <v>126557.0</v>
      </c>
    </row>
    <row r="885">
      <c r="A885" s="6">
        <v>2815.0</v>
      </c>
      <c r="B885" s="6" t="s">
        <v>4192</v>
      </c>
      <c r="C885" s="6" t="s">
        <v>4190</v>
      </c>
      <c r="D885" s="6" t="s">
        <v>4191</v>
      </c>
      <c r="E885" s="6">
        <v>124849.0</v>
      </c>
    </row>
    <row r="886">
      <c r="A886" s="6">
        <v>2816.0</v>
      </c>
      <c r="B886" s="6" t="s">
        <v>4194</v>
      </c>
      <c r="C886" s="6" t="s">
        <v>4190</v>
      </c>
      <c r="D886" s="6" t="s">
        <v>4191</v>
      </c>
      <c r="E886" s="6">
        <v>126963.0</v>
      </c>
    </row>
    <row r="887">
      <c r="A887" s="6">
        <v>2820.0</v>
      </c>
      <c r="B887" s="6" t="s">
        <v>4192</v>
      </c>
      <c r="C887" s="6" t="s">
        <v>4190</v>
      </c>
      <c r="D887" s="6" t="s">
        <v>4191</v>
      </c>
      <c r="E887" s="6">
        <v>126913.0</v>
      </c>
    </row>
    <row r="888">
      <c r="A888" s="6">
        <v>2821.0</v>
      </c>
      <c r="B888" s="6" t="s">
        <v>4192</v>
      </c>
      <c r="C888" s="6" t="s">
        <v>4190</v>
      </c>
      <c r="D888" s="6" t="s">
        <v>4191</v>
      </c>
      <c r="E888" s="6">
        <v>125878.0</v>
      </c>
    </row>
    <row r="889">
      <c r="A889" s="6">
        <v>2824.0</v>
      </c>
      <c r="B889" s="6" t="s">
        <v>4193</v>
      </c>
      <c r="C889" s="6" t="s">
        <v>4190</v>
      </c>
      <c r="D889" s="6" t="s">
        <v>4191</v>
      </c>
      <c r="E889" s="6">
        <v>127938.0</v>
      </c>
    </row>
    <row r="890">
      <c r="A890" s="6">
        <v>2828.0</v>
      </c>
      <c r="B890" s="6" t="s">
        <v>4193</v>
      </c>
      <c r="C890" s="6" t="s">
        <v>4190</v>
      </c>
      <c r="D890" s="6" t="s">
        <v>4191</v>
      </c>
      <c r="E890" s="6">
        <v>128087.0</v>
      </c>
    </row>
    <row r="891">
      <c r="A891" s="6">
        <v>2833.0</v>
      </c>
      <c r="B891" s="6" t="s">
        <v>4192</v>
      </c>
      <c r="C891" s="6" t="s">
        <v>4190</v>
      </c>
      <c r="D891" s="6" t="s">
        <v>4191</v>
      </c>
      <c r="E891" s="6">
        <v>126857.0</v>
      </c>
    </row>
    <row r="892">
      <c r="A892" s="6">
        <v>2834.0</v>
      </c>
      <c r="B892" s="6" t="s">
        <v>4192</v>
      </c>
      <c r="C892" s="6" t="s">
        <v>4190</v>
      </c>
      <c r="D892" s="6" t="s">
        <v>4191</v>
      </c>
      <c r="E892" s="6">
        <v>126664.0</v>
      </c>
    </row>
    <row r="893">
      <c r="A893" s="6">
        <v>2836.0</v>
      </c>
      <c r="B893" s="6" t="s">
        <v>4192</v>
      </c>
      <c r="C893" s="6" t="s">
        <v>4190</v>
      </c>
      <c r="D893" s="6" t="s">
        <v>4191</v>
      </c>
      <c r="E893" s="6">
        <v>126294.0</v>
      </c>
    </row>
    <row r="894">
      <c r="A894" s="6">
        <v>2840.0</v>
      </c>
      <c r="B894" s="6" t="s">
        <v>4193</v>
      </c>
      <c r="C894" s="6" t="s">
        <v>4190</v>
      </c>
      <c r="D894" s="6" t="s">
        <v>4191</v>
      </c>
      <c r="E894" s="6">
        <v>128038.0</v>
      </c>
    </row>
    <row r="895">
      <c r="A895" s="6">
        <v>2842.0</v>
      </c>
      <c r="B895" s="6" t="s">
        <v>4192</v>
      </c>
      <c r="C895" s="6" t="s">
        <v>4190</v>
      </c>
      <c r="D895" s="6" t="s">
        <v>4191</v>
      </c>
      <c r="E895" s="6">
        <v>126209.0</v>
      </c>
    </row>
    <row r="896">
      <c r="A896" s="6">
        <v>2843.0</v>
      </c>
      <c r="B896" s="6" t="s">
        <v>4192</v>
      </c>
      <c r="C896" s="6" t="s">
        <v>4190</v>
      </c>
      <c r="D896" s="6" t="s">
        <v>4191</v>
      </c>
      <c r="E896" s="6">
        <v>125772.0</v>
      </c>
    </row>
    <row r="897">
      <c r="A897" s="6">
        <v>2844.0</v>
      </c>
      <c r="B897" s="6" t="s">
        <v>4189</v>
      </c>
      <c r="C897" s="6" t="s">
        <v>4190</v>
      </c>
      <c r="D897" s="6" t="s">
        <v>4191</v>
      </c>
      <c r="E897" s="6">
        <v>125684.0</v>
      </c>
    </row>
    <row r="898">
      <c r="A898" s="6">
        <v>2846.0</v>
      </c>
      <c r="B898" s="6" t="s">
        <v>4189</v>
      </c>
      <c r="C898" s="6" t="s">
        <v>4190</v>
      </c>
      <c r="D898" s="6" t="s">
        <v>4191</v>
      </c>
      <c r="E898" s="6">
        <v>125138.0</v>
      </c>
    </row>
    <row r="899">
      <c r="A899" s="6">
        <v>2847.0</v>
      </c>
      <c r="B899" s="6" t="s">
        <v>4192</v>
      </c>
      <c r="C899" s="6" t="s">
        <v>4190</v>
      </c>
      <c r="D899" s="6" t="s">
        <v>4191</v>
      </c>
      <c r="E899" s="6">
        <v>124545.0</v>
      </c>
    </row>
    <row r="900">
      <c r="A900" s="6">
        <v>2849.0</v>
      </c>
      <c r="B900" s="6" t="s">
        <v>4192</v>
      </c>
      <c r="C900" s="6" t="s">
        <v>4190</v>
      </c>
      <c r="D900" s="6" t="s">
        <v>4191</v>
      </c>
      <c r="E900" s="6">
        <v>126357.0</v>
      </c>
    </row>
    <row r="901">
      <c r="A901" s="6">
        <v>2857.0</v>
      </c>
      <c r="B901" s="6" t="s">
        <v>4192</v>
      </c>
      <c r="C901" s="6" t="s">
        <v>4190</v>
      </c>
      <c r="D901" s="6" t="s">
        <v>4191</v>
      </c>
      <c r="E901" s="6">
        <v>125532.0</v>
      </c>
    </row>
    <row r="902">
      <c r="A902" s="6">
        <v>2800.0</v>
      </c>
      <c r="B902" s="6" t="s">
        <v>4192</v>
      </c>
      <c r="C902" s="6" t="s">
        <v>4190</v>
      </c>
      <c r="D902" s="6" t="s">
        <v>4191</v>
      </c>
      <c r="E902" s="6">
        <v>128724.0</v>
      </c>
    </row>
    <row r="903">
      <c r="A903" s="6">
        <v>2860.0</v>
      </c>
      <c r="B903" s="6" t="s">
        <v>4192</v>
      </c>
      <c r="C903" s="6" t="s">
        <v>4190</v>
      </c>
      <c r="D903" s="6" t="s">
        <v>4191</v>
      </c>
      <c r="E903" s="6">
        <v>126743.0</v>
      </c>
    </row>
    <row r="904">
      <c r="A904" s="6">
        <v>2864.0</v>
      </c>
      <c r="B904" s="6" t="s">
        <v>4192</v>
      </c>
      <c r="C904" s="6" t="s">
        <v>4190</v>
      </c>
      <c r="D904" s="6" t="s">
        <v>4191</v>
      </c>
      <c r="E904" s="6">
        <v>126700.0</v>
      </c>
    </row>
    <row r="905">
      <c r="A905" s="6">
        <v>2866.0</v>
      </c>
      <c r="B905" s="6" t="s">
        <v>4192</v>
      </c>
      <c r="C905" s="6" t="s">
        <v>4190</v>
      </c>
      <c r="D905" s="6" t="s">
        <v>4191</v>
      </c>
      <c r="E905" s="6">
        <v>125041.0</v>
      </c>
    </row>
    <row r="906">
      <c r="A906" s="6">
        <v>2868.0</v>
      </c>
      <c r="B906" s="6" t="s">
        <v>4192</v>
      </c>
      <c r="C906" s="6" t="s">
        <v>4190</v>
      </c>
      <c r="D906" s="6" t="s">
        <v>4191</v>
      </c>
      <c r="E906" s="6">
        <v>126173.0</v>
      </c>
    </row>
    <row r="907">
      <c r="A907" s="6">
        <v>2869.0</v>
      </c>
      <c r="B907" s="6" t="s">
        <v>4192</v>
      </c>
      <c r="C907" s="6" t="s">
        <v>4190</v>
      </c>
      <c r="D907" s="6" t="s">
        <v>4191</v>
      </c>
      <c r="E907" s="6">
        <v>124993.0</v>
      </c>
    </row>
    <row r="908">
      <c r="A908" s="6">
        <v>2173.0</v>
      </c>
      <c r="B908" s="6" t="s">
        <v>4189</v>
      </c>
      <c r="C908" s="6" t="s">
        <v>4190</v>
      </c>
      <c r="D908" s="6" t="s">
        <v>4191</v>
      </c>
      <c r="E908" s="6">
        <v>4032.0</v>
      </c>
    </row>
    <row r="909">
      <c r="A909" s="6">
        <v>2802.0</v>
      </c>
      <c r="B909" s="6" t="s">
        <v>4192</v>
      </c>
      <c r="C909" s="6" t="s">
        <v>4190</v>
      </c>
      <c r="D909" s="6" t="s">
        <v>4191</v>
      </c>
      <c r="E909" s="6">
        <v>126124.0</v>
      </c>
    </row>
    <row r="910">
      <c r="A910" s="6">
        <v>2870.0</v>
      </c>
      <c r="B910" s="6" t="s">
        <v>4192</v>
      </c>
      <c r="C910" s="6" t="s">
        <v>4190</v>
      </c>
      <c r="D910" s="6" t="s">
        <v>4191</v>
      </c>
      <c r="E910" s="6">
        <v>124569.0</v>
      </c>
    </row>
    <row r="911">
      <c r="A911" s="6">
        <v>2871.0</v>
      </c>
      <c r="B911" s="6" t="s">
        <v>4193</v>
      </c>
      <c r="C911" s="6" t="s">
        <v>4190</v>
      </c>
      <c r="D911" s="6" t="s">
        <v>4191</v>
      </c>
      <c r="E911" s="6">
        <v>128041.0</v>
      </c>
    </row>
    <row r="912">
      <c r="A912" s="6">
        <v>2874.0</v>
      </c>
      <c r="B912" s="6" t="s">
        <v>4192</v>
      </c>
      <c r="C912" s="6" t="s">
        <v>4190</v>
      </c>
      <c r="D912" s="6" t="s">
        <v>4191</v>
      </c>
      <c r="E912" s="6">
        <v>125434.0</v>
      </c>
    </row>
    <row r="913">
      <c r="A913" s="6">
        <v>2878.0</v>
      </c>
      <c r="B913" s="6" t="s">
        <v>4192</v>
      </c>
      <c r="C913" s="6" t="s">
        <v>4190</v>
      </c>
      <c r="D913" s="6" t="s">
        <v>4191</v>
      </c>
      <c r="E913" s="6">
        <v>126019.0</v>
      </c>
    </row>
    <row r="914">
      <c r="A914" s="6">
        <v>2880.0</v>
      </c>
      <c r="B914" s="6" t="s">
        <v>4192</v>
      </c>
      <c r="C914" s="6" t="s">
        <v>4190</v>
      </c>
      <c r="D914" s="6" t="s">
        <v>4191</v>
      </c>
      <c r="E914" s="6">
        <v>126046.0</v>
      </c>
    </row>
    <row r="915">
      <c r="A915" s="6">
        <v>2884.0</v>
      </c>
      <c r="B915" s="6" t="s">
        <v>4192</v>
      </c>
      <c r="C915" s="6" t="s">
        <v>4190</v>
      </c>
      <c r="D915" s="6" t="s">
        <v>4191</v>
      </c>
      <c r="E915" s="6">
        <v>125389.0</v>
      </c>
    </row>
    <row r="916">
      <c r="A916" s="6">
        <v>2889.0</v>
      </c>
      <c r="B916" s="6" t="s">
        <v>4192</v>
      </c>
      <c r="C916" s="6" t="s">
        <v>4190</v>
      </c>
      <c r="D916" s="6" t="s">
        <v>4191</v>
      </c>
      <c r="E916" s="6">
        <v>125446.0</v>
      </c>
    </row>
    <row r="917">
      <c r="A917" s="6">
        <v>2894.0</v>
      </c>
      <c r="B917" s="6" t="s">
        <v>4192</v>
      </c>
      <c r="C917" s="6" t="s">
        <v>4190</v>
      </c>
      <c r="D917" s="6" t="s">
        <v>4191</v>
      </c>
      <c r="E917" s="6">
        <v>125935.0</v>
      </c>
    </row>
    <row r="918">
      <c r="A918" s="6">
        <v>2897.0</v>
      </c>
      <c r="B918" s="6" t="s">
        <v>4192</v>
      </c>
      <c r="C918" s="6" t="s">
        <v>4190</v>
      </c>
      <c r="D918" s="6" t="s">
        <v>4191</v>
      </c>
      <c r="E918" s="6">
        <v>125842.0</v>
      </c>
    </row>
    <row r="919">
      <c r="A919" s="6">
        <v>2898.0</v>
      </c>
      <c r="B919" s="6" t="s">
        <v>4192</v>
      </c>
      <c r="C919" s="6" t="s">
        <v>4190</v>
      </c>
      <c r="D919" s="6" t="s">
        <v>4191</v>
      </c>
      <c r="E919" s="6">
        <v>125648.0</v>
      </c>
    </row>
    <row r="920">
      <c r="A920" s="6">
        <v>2899.0</v>
      </c>
      <c r="B920" s="6" t="s">
        <v>4192</v>
      </c>
      <c r="C920" s="6" t="s">
        <v>4190</v>
      </c>
      <c r="D920" s="6" t="s">
        <v>4191</v>
      </c>
      <c r="E920" s="6">
        <v>125192.0</v>
      </c>
    </row>
    <row r="921">
      <c r="A921" s="6">
        <v>2207.0</v>
      </c>
      <c r="B921" s="6" t="s">
        <v>4189</v>
      </c>
      <c r="C921" s="6" t="s">
        <v>4190</v>
      </c>
      <c r="D921" s="6" t="s">
        <v>4191</v>
      </c>
      <c r="E921" s="6">
        <v>3942.0</v>
      </c>
    </row>
    <row r="922">
      <c r="A922" s="6">
        <v>2909.0</v>
      </c>
      <c r="B922" s="6" t="s">
        <v>4195</v>
      </c>
      <c r="C922" s="6" t="s">
        <v>4190</v>
      </c>
      <c r="D922" s="6" t="s">
        <v>4191</v>
      </c>
      <c r="E922" s="6">
        <v>126181.0</v>
      </c>
    </row>
    <row r="923">
      <c r="A923" s="6">
        <v>2910.0</v>
      </c>
      <c r="B923" s="6" t="s">
        <v>4192</v>
      </c>
      <c r="C923" s="6" t="s">
        <v>4190</v>
      </c>
      <c r="D923" s="6" t="s">
        <v>4191</v>
      </c>
      <c r="E923" s="6">
        <v>124581.0</v>
      </c>
    </row>
    <row r="924">
      <c r="A924" s="6">
        <v>2911.0</v>
      </c>
      <c r="B924" s="6" t="s">
        <v>4195</v>
      </c>
      <c r="C924" s="6" t="s">
        <v>4190</v>
      </c>
      <c r="D924" s="6" t="s">
        <v>4191</v>
      </c>
      <c r="E924" s="6">
        <v>128790.0</v>
      </c>
    </row>
    <row r="925">
      <c r="A925" s="6">
        <v>2912.0</v>
      </c>
      <c r="B925" s="6" t="s">
        <v>4192</v>
      </c>
      <c r="C925" s="6" t="s">
        <v>4190</v>
      </c>
      <c r="D925" s="6" t="s">
        <v>4191</v>
      </c>
      <c r="E925" s="6">
        <v>126325.0</v>
      </c>
    </row>
    <row r="926">
      <c r="A926" s="6">
        <v>2914.0</v>
      </c>
      <c r="B926" s="6" t="s">
        <v>4193</v>
      </c>
      <c r="C926" s="6" t="s">
        <v>4190</v>
      </c>
      <c r="D926" s="6" t="s">
        <v>4191</v>
      </c>
      <c r="E926" s="6">
        <v>128022.0</v>
      </c>
    </row>
    <row r="927">
      <c r="A927" s="6">
        <v>2922.0</v>
      </c>
      <c r="B927" s="6" t="s">
        <v>4195</v>
      </c>
      <c r="C927" s="6" t="s">
        <v>4190</v>
      </c>
      <c r="D927" s="6" t="s">
        <v>4191</v>
      </c>
      <c r="E927" s="6">
        <v>128741.0</v>
      </c>
    </row>
    <row r="928">
      <c r="A928" s="6">
        <v>2924.0</v>
      </c>
      <c r="B928" s="6" t="s">
        <v>4192</v>
      </c>
      <c r="C928" s="6" t="s">
        <v>4190</v>
      </c>
      <c r="D928" s="6" t="s">
        <v>4191</v>
      </c>
      <c r="E928" s="6">
        <v>125584.0</v>
      </c>
    </row>
    <row r="929">
      <c r="A929" s="6">
        <v>2927.0</v>
      </c>
      <c r="B929" s="6" t="s">
        <v>4192</v>
      </c>
      <c r="C929" s="6" t="s">
        <v>4190</v>
      </c>
      <c r="D929" s="6" t="s">
        <v>4191</v>
      </c>
      <c r="E929" s="6">
        <v>126098.0</v>
      </c>
    </row>
    <row r="930">
      <c r="A930" s="6">
        <v>2930.0</v>
      </c>
      <c r="B930" s="6" t="s">
        <v>4192</v>
      </c>
      <c r="C930" s="6" t="s">
        <v>4190</v>
      </c>
      <c r="D930" s="6" t="s">
        <v>4191</v>
      </c>
      <c r="E930" s="6">
        <v>128618.0</v>
      </c>
    </row>
    <row r="931">
      <c r="A931" s="6">
        <v>2931.0</v>
      </c>
      <c r="B931" s="6" t="s">
        <v>4192</v>
      </c>
      <c r="C931" s="6" t="s">
        <v>4190</v>
      </c>
      <c r="D931" s="6" t="s">
        <v>4191</v>
      </c>
      <c r="E931" s="6">
        <v>126667.0</v>
      </c>
    </row>
    <row r="932">
      <c r="A932" s="6">
        <v>2933.0</v>
      </c>
      <c r="B932" s="6" t="s">
        <v>4192</v>
      </c>
      <c r="C932" s="6" t="s">
        <v>4190</v>
      </c>
      <c r="D932" s="6" t="s">
        <v>4191</v>
      </c>
      <c r="E932" s="6">
        <v>125828.0</v>
      </c>
    </row>
    <row r="933">
      <c r="A933" s="6">
        <v>2934.0</v>
      </c>
      <c r="B933" s="6" t="s">
        <v>4192</v>
      </c>
      <c r="C933" s="6" t="s">
        <v>4190</v>
      </c>
      <c r="D933" s="6" t="s">
        <v>4191</v>
      </c>
      <c r="E933" s="6">
        <v>125653.0</v>
      </c>
    </row>
    <row r="934">
      <c r="A934" s="6">
        <v>2938.0</v>
      </c>
      <c r="B934" s="6" t="s">
        <v>4192</v>
      </c>
      <c r="C934" s="6" t="s">
        <v>4190</v>
      </c>
      <c r="D934" s="6" t="s">
        <v>4191</v>
      </c>
      <c r="E934" s="6">
        <v>126634.0</v>
      </c>
    </row>
    <row r="935">
      <c r="A935" s="6">
        <v>2805.0</v>
      </c>
      <c r="B935" s="6" t="s">
        <v>4195</v>
      </c>
      <c r="C935" s="6" t="s">
        <v>4190</v>
      </c>
      <c r="D935" s="6" t="s">
        <v>4191</v>
      </c>
      <c r="E935" s="6">
        <v>128794.0</v>
      </c>
    </row>
    <row r="936">
      <c r="A936" s="6">
        <v>2939.0</v>
      </c>
      <c r="B936" s="6" t="s">
        <v>4192</v>
      </c>
      <c r="C936" s="6" t="s">
        <v>4190</v>
      </c>
      <c r="D936" s="6" t="s">
        <v>4191</v>
      </c>
      <c r="E936" s="6">
        <v>126041.0</v>
      </c>
    </row>
    <row r="937">
      <c r="A937" s="6">
        <v>2940.0</v>
      </c>
      <c r="B937" s="6" t="s">
        <v>4192</v>
      </c>
      <c r="C937" s="6" t="s">
        <v>4190</v>
      </c>
      <c r="D937" s="6" t="s">
        <v>4191</v>
      </c>
      <c r="E937" s="6">
        <v>125874.0</v>
      </c>
    </row>
    <row r="938">
      <c r="A938" s="6">
        <v>2941.0</v>
      </c>
      <c r="B938" s="6" t="s">
        <v>4189</v>
      </c>
      <c r="C938" s="6" t="s">
        <v>4190</v>
      </c>
      <c r="D938" s="6" t="s">
        <v>4191</v>
      </c>
      <c r="E938" s="6">
        <v>125617.0</v>
      </c>
    </row>
    <row r="939">
      <c r="A939" s="6">
        <v>2946.0</v>
      </c>
      <c r="B939" s="6" t="s">
        <v>4189</v>
      </c>
      <c r="C939" s="6" t="s">
        <v>4190</v>
      </c>
      <c r="D939" s="6" t="s">
        <v>4191</v>
      </c>
      <c r="E939" s="6">
        <v>125354.0</v>
      </c>
    </row>
    <row r="940">
      <c r="A940" s="6">
        <v>2950.0</v>
      </c>
      <c r="B940" s="6" t="s">
        <v>4189</v>
      </c>
      <c r="C940" s="6" t="s">
        <v>4190</v>
      </c>
      <c r="D940" s="6" t="s">
        <v>4191</v>
      </c>
      <c r="E940" s="6">
        <v>128716.0</v>
      </c>
    </row>
    <row r="941">
      <c r="A941" s="6">
        <v>2951.0</v>
      </c>
      <c r="B941" s="6" t="s">
        <v>4189</v>
      </c>
      <c r="C941" s="6" t="s">
        <v>4190</v>
      </c>
      <c r="D941" s="6" t="s">
        <v>4191</v>
      </c>
      <c r="E941" s="6">
        <v>126740.0</v>
      </c>
    </row>
    <row r="942">
      <c r="A942" s="6">
        <v>2807.0</v>
      </c>
      <c r="B942" s="6" t="s">
        <v>4192</v>
      </c>
      <c r="C942" s="6" t="s">
        <v>4190</v>
      </c>
      <c r="D942" s="6" t="s">
        <v>4191</v>
      </c>
      <c r="E942" s="6">
        <v>126151.0</v>
      </c>
    </row>
    <row r="943">
      <c r="A943" s="6">
        <v>2810.0</v>
      </c>
      <c r="B943" s="6" t="s">
        <v>4192</v>
      </c>
      <c r="C943" s="6" t="s">
        <v>4190</v>
      </c>
      <c r="D943" s="6" t="s">
        <v>4191</v>
      </c>
      <c r="E943" s="6">
        <v>124780.0</v>
      </c>
    </row>
    <row r="944">
      <c r="A944" s="6">
        <v>2964.0</v>
      </c>
      <c r="B944" s="6" t="s">
        <v>4192</v>
      </c>
      <c r="C944" s="6" t="s">
        <v>4190</v>
      </c>
      <c r="D944" s="6" t="s">
        <v>4191</v>
      </c>
      <c r="E944" s="6">
        <v>126498.0</v>
      </c>
    </row>
    <row r="945">
      <c r="A945" s="6">
        <v>3623.0</v>
      </c>
      <c r="B945" s="6" t="s">
        <v>4192</v>
      </c>
      <c r="C945" s="6" t="s">
        <v>4190</v>
      </c>
      <c r="D945" s="6" t="s">
        <v>4191</v>
      </c>
      <c r="E945" s="6">
        <v>126165.0</v>
      </c>
    </row>
    <row r="946">
      <c r="A946" s="6">
        <v>2966.0</v>
      </c>
      <c r="B946" s="6" t="s">
        <v>4192</v>
      </c>
      <c r="C946" s="6" t="s">
        <v>4190</v>
      </c>
      <c r="D946" s="6" t="s">
        <v>4191</v>
      </c>
      <c r="E946" s="6">
        <v>125670.0</v>
      </c>
    </row>
    <row r="947">
      <c r="A947" s="6">
        <v>2309.0</v>
      </c>
      <c r="B947" s="6" t="s">
        <v>4197</v>
      </c>
      <c r="C947" s="6" t="s">
        <v>4190</v>
      </c>
      <c r="D947" s="6" t="s">
        <v>4191</v>
      </c>
      <c r="E947" s="6">
        <v>4053.0</v>
      </c>
    </row>
    <row r="948">
      <c r="A948" s="6">
        <v>2517.0</v>
      </c>
      <c r="B948" s="6" t="s">
        <v>4192</v>
      </c>
      <c r="C948" s="6" t="s">
        <v>4190</v>
      </c>
      <c r="D948" s="6" t="s">
        <v>4191</v>
      </c>
      <c r="E948" s="6">
        <v>3787.0</v>
      </c>
    </row>
    <row r="949">
      <c r="A949" s="6">
        <v>2969.0</v>
      </c>
      <c r="B949" s="6" t="s">
        <v>4192</v>
      </c>
      <c r="C949" s="6" t="s">
        <v>4190</v>
      </c>
      <c r="D949" s="6" t="s">
        <v>4191</v>
      </c>
      <c r="E949" s="6">
        <v>126231.0</v>
      </c>
    </row>
    <row r="950">
      <c r="A950" s="6">
        <v>2974.0</v>
      </c>
      <c r="B950" s="6" t="s">
        <v>4192</v>
      </c>
      <c r="C950" s="6" t="s">
        <v>4190</v>
      </c>
      <c r="D950" s="6" t="s">
        <v>4191</v>
      </c>
      <c r="E950" s="6">
        <v>128432.0</v>
      </c>
    </row>
    <row r="951">
      <c r="A951" s="6">
        <v>2596.0</v>
      </c>
      <c r="B951" s="6" t="s">
        <v>4189</v>
      </c>
      <c r="C951" s="6" t="s">
        <v>4190</v>
      </c>
      <c r="D951" s="6" t="s">
        <v>4191</v>
      </c>
      <c r="E951" s="6">
        <v>3674.0</v>
      </c>
    </row>
    <row r="952">
      <c r="A952" s="6">
        <v>2977.0</v>
      </c>
      <c r="B952" s="6" t="s">
        <v>4195</v>
      </c>
      <c r="C952" s="6" t="s">
        <v>4190</v>
      </c>
      <c r="D952" s="6" t="s">
        <v>4191</v>
      </c>
      <c r="E952" s="6">
        <v>125673.0</v>
      </c>
    </row>
    <row r="953">
      <c r="A953" s="6">
        <v>2994.0</v>
      </c>
      <c r="B953" s="6" t="s">
        <v>4192</v>
      </c>
      <c r="C953" s="6" t="s">
        <v>4190</v>
      </c>
      <c r="D953" s="6" t="s">
        <v>4191</v>
      </c>
      <c r="E953" s="6">
        <v>126077.0</v>
      </c>
    </row>
    <row r="954">
      <c r="A954" s="6">
        <v>2997.0</v>
      </c>
      <c r="B954" s="6" t="s">
        <v>4192</v>
      </c>
      <c r="C954" s="6" t="s">
        <v>4190</v>
      </c>
      <c r="D954" s="6" t="s">
        <v>4191</v>
      </c>
      <c r="E954" s="6">
        <v>125580.0</v>
      </c>
    </row>
    <row r="955">
      <c r="A955" s="6">
        <v>2998.0</v>
      </c>
      <c r="B955" s="6" t="s">
        <v>4192</v>
      </c>
      <c r="C955" s="6" t="s">
        <v>4190</v>
      </c>
      <c r="D955" s="6" t="s">
        <v>4191</v>
      </c>
      <c r="E955" s="6">
        <v>125083.0</v>
      </c>
    </row>
    <row r="956">
      <c r="A956" s="6">
        <v>2999.0</v>
      </c>
      <c r="B956" s="6" t="s">
        <v>4193</v>
      </c>
      <c r="C956" s="6" t="s">
        <v>4190</v>
      </c>
      <c r="D956" s="6" t="s">
        <v>4191</v>
      </c>
      <c r="E956" s="6">
        <v>127917.0</v>
      </c>
    </row>
    <row r="957">
      <c r="A957" s="6">
        <v>2978.0</v>
      </c>
      <c r="B957" s="6" t="s">
        <v>4192</v>
      </c>
      <c r="C957" s="6" t="s">
        <v>4190</v>
      </c>
      <c r="D957" s="6" t="s">
        <v>4191</v>
      </c>
      <c r="E957" s="6">
        <v>125440.0</v>
      </c>
    </row>
    <row r="958">
      <c r="A958" s="6">
        <v>3002.0</v>
      </c>
      <c r="B958" s="6" t="s">
        <v>4193</v>
      </c>
      <c r="C958" s="6" t="s">
        <v>4190</v>
      </c>
      <c r="D958" s="6" t="s">
        <v>4191</v>
      </c>
      <c r="E958" s="6">
        <v>128061.0</v>
      </c>
    </row>
    <row r="959">
      <c r="A959" s="6">
        <v>3003.0</v>
      </c>
      <c r="B959" s="6" t="s">
        <v>4192</v>
      </c>
      <c r="C959" s="6" t="s">
        <v>4190</v>
      </c>
      <c r="D959" s="6" t="s">
        <v>4191</v>
      </c>
      <c r="E959" s="6">
        <v>126177.0</v>
      </c>
    </row>
    <row r="960">
      <c r="A960" s="6">
        <v>3006.0</v>
      </c>
      <c r="B960" s="6" t="s">
        <v>4192</v>
      </c>
      <c r="C960" s="6" t="s">
        <v>4190</v>
      </c>
      <c r="D960" s="6" t="s">
        <v>4191</v>
      </c>
      <c r="E960" s="6">
        <v>126781.0</v>
      </c>
    </row>
    <row r="961">
      <c r="A961" s="6">
        <v>3013.0</v>
      </c>
      <c r="B961" s="6" t="s">
        <v>4192</v>
      </c>
      <c r="C961" s="6" t="s">
        <v>4190</v>
      </c>
      <c r="D961" s="6" t="s">
        <v>4191</v>
      </c>
      <c r="E961" s="6">
        <v>125294.0</v>
      </c>
    </row>
    <row r="962">
      <c r="A962" s="6">
        <v>3014.0</v>
      </c>
      <c r="B962" s="6" t="s">
        <v>4192</v>
      </c>
      <c r="C962" s="6" t="s">
        <v>4190</v>
      </c>
      <c r="D962" s="6" t="s">
        <v>4191</v>
      </c>
      <c r="E962" s="6">
        <v>126328.0</v>
      </c>
    </row>
    <row r="963">
      <c r="A963" s="6">
        <v>3015.0</v>
      </c>
      <c r="B963" s="6" t="s">
        <v>4192</v>
      </c>
      <c r="C963" s="6" t="s">
        <v>4190</v>
      </c>
      <c r="D963" s="6" t="s">
        <v>4191</v>
      </c>
      <c r="E963" s="6">
        <v>125559.0</v>
      </c>
    </row>
    <row r="964">
      <c r="A964" s="6">
        <v>3018.0</v>
      </c>
      <c r="B964" s="6" t="s">
        <v>4192</v>
      </c>
      <c r="C964" s="6" t="s">
        <v>4190</v>
      </c>
      <c r="D964" s="6" t="s">
        <v>4191</v>
      </c>
      <c r="E964" s="6">
        <v>128384.0</v>
      </c>
    </row>
    <row r="965">
      <c r="A965" s="6">
        <v>3019.0</v>
      </c>
      <c r="B965" s="6" t="s">
        <v>4194</v>
      </c>
      <c r="C965" s="6" t="s">
        <v>4190</v>
      </c>
      <c r="D965" s="6" t="s">
        <v>4191</v>
      </c>
      <c r="E965" s="6">
        <v>126530.0</v>
      </c>
    </row>
    <row r="966">
      <c r="A966" s="6">
        <v>3022.0</v>
      </c>
      <c r="B966" s="6" t="s">
        <v>4192</v>
      </c>
      <c r="C966" s="6" t="s">
        <v>4190</v>
      </c>
      <c r="D966" s="6" t="s">
        <v>4191</v>
      </c>
      <c r="E966" s="6">
        <v>126796.0</v>
      </c>
    </row>
    <row r="967">
      <c r="A967" s="6">
        <v>3023.0</v>
      </c>
      <c r="B967" s="6" t="s">
        <v>4189</v>
      </c>
      <c r="C967" s="6" t="s">
        <v>4190</v>
      </c>
      <c r="D967" s="6" t="s">
        <v>4191</v>
      </c>
      <c r="E967" s="6">
        <v>125997.0</v>
      </c>
    </row>
    <row r="968">
      <c r="A968" s="6">
        <v>3029.0</v>
      </c>
      <c r="B968" s="6" t="s">
        <v>4197</v>
      </c>
      <c r="C968" s="6" t="s">
        <v>4190</v>
      </c>
      <c r="D968" s="6" t="s">
        <v>4191</v>
      </c>
      <c r="E968" s="6">
        <v>125018.0</v>
      </c>
    </row>
    <row r="969">
      <c r="A969" s="6">
        <v>3031.0</v>
      </c>
      <c r="B969" s="6" t="s">
        <v>4192</v>
      </c>
      <c r="C969" s="6" t="s">
        <v>4190</v>
      </c>
      <c r="D969" s="6" t="s">
        <v>4191</v>
      </c>
      <c r="E969" s="6">
        <v>128614.0</v>
      </c>
    </row>
    <row r="970">
      <c r="A970" s="6">
        <v>2980.0</v>
      </c>
      <c r="B970" s="6" t="s">
        <v>4192</v>
      </c>
      <c r="C970" s="6" t="s">
        <v>4190</v>
      </c>
      <c r="D970" s="6" t="s">
        <v>4191</v>
      </c>
      <c r="E970" s="6">
        <v>125645.0</v>
      </c>
    </row>
    <row r="971">
      <c r="A971" s="6">
        <v>3037.0</v>
      </c>
      <c r="B971" s="6" t="s">
        <v>4192</v>
      </c>
      <c r="C971" s="6" t="s">
        <v>4190</v>
      </c>
      <c r="D971" s="6" t="s">
        <v>4191</v>
      </c>
      <c r="E971" s="6">
        <v>126895.0</v>
      </c>
    </row>
    <row r="972">
      <c r="A972" s="6">
        <v>3040.0</v>
      </c>
      <c r="B972" s="6" t="s">
        <v>4192</v>
      </c>
      <c r="C972" s="6" t="s">
        <v>4190</v>
      </c>
      <c r="D972" s="6" t="s">
        <v>4191</v>
      </c>
      <c r="E972" s="6">
        <v>126831.0</v>
      </c>
    </row>
    <row r="973">
      <c r="A973" s="6">
        <v>3043.0</v>
      </c>
      <c r="B973" s="6" t="s">
        <v>4192</v>
      </c>
      <c r="C973" s="6" t="s">
        <v>4190</v>
      </c>
      <c r="D973" s="6" t="s">
        <v>4191</v>
      </c>
      <c r="E973" s="6">
        <v>125518.0</v>
      </c>
    </row>
    <row r="974">
      <c r="A974" s="6">
        <v>2981.0</v>
      </c>
      <c r="B974" s="6" t="s">
        <v>4192</v>
      </c>
      <c r="C974" s="6" t="s">
        <v>4190</v>
      </c>
      <c r="D974" s="6" t="s">
        <v>4191</v>
      </c>
      <c r="E974" s="6">
        <v>126053.0</v>
      </c>
    </row>
    <row r="975">
      <c r="A975" s="6">
        <v>3044.0</v>
      </c>
      <c r="B975" s="6" t="s">
        <v>4192</v>
      </c>
      <c r="C975" s="6" t="s">
        <v>4190</v>
      </c>
      <c r="D975" s="6" t="s">
        <v>4191</v>
      </c>
      <c r="E975" s="6">
        <v>124555.0</v>
      </c>
    </row>
    <row r="976">
      <c r="A976" s="6">
        <v>3050.0</v>
      </c>
      <c r="B976" s="6" t="s">
        <v>4192</v>
      </c>
      <c r="C976" s="6" t="s">
        <v>4190</v>
      </c>
      <c r="D976" s="6" t="s">
        <v>4191</v>
      </c>
      <c r="E976" s="6">
        <v>125545.0</v>
      </c>
    </row>
    <row r="977">
      <c r="A977" s="6">
        <v>3054.0</v>
      </c>
      <c r="B977" s="6" t="s">
        <v>4192</v>
      </c>
      <c r="C977" s="6" t="s">
        <v>4190</v>
      </c>
      <c r="D977" s="6" t="s">
        <v>4191</v>
      </c>
      <c r="E977" s="6">
        <v>126735.0</v>
      </c>
    </row>
    <row r="978">
      <c r="A978" s="6">
        <v>3056.0</v>
      </c>
      <c r="B978" s="6" t="s">
        <v>4189</v>
      </c>
      <c r="C978" s="6" t="s">
        <v>4190</v>
      </c>
      <c r="D978" s="6" t="s">
        <v>4191</v>
      </c>
      <c r="E978" s="6">
        <v>126225.0</v>
      </c>
    </row>
    <row r="979">
      <c r="A979" s="6">
        <v>3059.0</v>
      </c>
      <c r="B979" s="6" t="s">
        <v>4192</v>
      </c>
      <c r="C979" s="6" t="s">
        <v>4190</v>
      </c>
      <c r="D979" s="6" t="s">
        <v>4191</v>
      </c>
      <c r="E979" s="6">
        <v>125029.0</v>
      </c>
    </row>
    <row r="980">
      <c r="A980" s="6">
        <v>3060.0</v>
      </c>
      <c r="B980" s="6" t="s">
        <v>4189</v>
      </c>
      <c r="C980" s="6" t="s">
        <v>4190</v>
      </c>
      <c r="D980" s="6" t="s">
        <v>4191</v>
      </c>
      <c r="E980" s="6">
        <v>125803.0</v>
      </c>
    </row>
    <row r="981">
      <c r="A981" s="6">
        <v>3073.0</v>
      </c>
      <c r="B981" s="6" t="s">
        <v>4192</v>
      </c>
      <c r="C981" s="6" t="s">
        <v>4190</v>
      </c>
      <c r="D981" s="6" t="s">
        <v>4191</v>
      </c>
      <c r="E981" s="6">
        <v>124764.0</v>
      </c>
    </row>
    <row r="982">
      <c r="A982" s="6">
        <v>2713.0</v>
      </c>
      <c r="B982" s="6" t="s">
        <v>4192</v>
      </c>
      <c r="C982" s="6" t="s">
        <v>4190</v>
      </c>
      <c r="D982" s="6" t="s">
        <v>4191</v>
      </c>
      <c r="E982" s="6">
        <v>3798.0</v>
      </c>
    </row>
    <row r="983">
      <c r="A983" s="6">
        <v>3075.0</v>
      </c>
      <c r="B983" s="6" t="s">
        <v>4192</v>
      </c>
      <c r="C983" s="6" t="s">
        <v>4190</v>
      </c>
      <c r="D983" s="6" t="s">
        <v>4191</v>
      </c>
      <c r="E983" s="6">
        <v>129130.0</v>
      </c>
    </row>
    <row r="984">
      <c r="A984" s="6">
        <v>3076.0</v>
      </c>
      <c r="B984" s="6" t="s">
        <v>4192</v>
      </c>
      <c r="C984" s="6" t="s">
        <v>4190</v>
      </c>
      <c r="D984" s="6" t="s">
        <v>4191</v>
      </c>
      <c r="E984" s="6">
        <v>128333.0</v>
      </c>
    </row>
    <row r="985">
      <c r="A985" s="6">
        <v>3077.0</v>
      </c>
      <c r="B985" s="6" t="s">
        <v>4194</v>
      </c>
      <c r="C985" s="6" t="s">
        <v>4190</v>
      </c>
      <c r="D985" s="6" t="s">
        <v>4191</v>
      </c>
      <c r="E985" s="6">
        <v>126431.0</v>
      </c>
    </row>
    <row r="986">
      <c r="A986" s="6">
        <v>2986.0</v>
      </c>
      <c r="B986" s="6" t="s">
        <v>4192</v>
      </c>
      <c r="C986" s="6" t="s">
        <v>4190</v>
      </c>
      <c r="D986" s="6" t="s">
        <v>4191</v>
      </c>
      <c r="E986" s="6">
        <v>129046.0</v>
      </c>
    </row>
    <row r="987">
      <c r="A987" s="6">
        <v>3081.0</v>
      </c>
      <c r="B987" s="6" t="s">
        <v>4189</v>
      </c>
      <c r="C987" s="6" t="s">
        <v>4190</v>
      </c>
      <c r="D987" s="6" t="s">
        <v>4191</v>
      </c>
      <c r="E987" s="6">
        <v>126108.0</v>
      </c>
    </row>
    <row r="988">
      <c r="A988" s="6">
        <v>3082.0</v>
      </c>
      <c r="B988" s="6" t="s">
        <v>4192</v>
      </c>
      <c r="C988" s="6" t="s">
        <v>4190</v>
      </c>
      <c r="D988" s="6" t="s">
        <v>4191</v>
      </c>
      <c r="E988" s="6">
        <v>125897.0</v>
      </c>
    </row>
    <row r="989">
      <c r="A989" s="6">
        <v>3087.0</v>
      </c>
      <c r="B989" s="6" t="s">
        <v>4192</v>
      </c>
      <c r="C989" s="6" t="s">
        <v>4190</v>
      </c>
      <c r="D989" s="6" t="s">
        <v>4191</v>
      </c>
      <c r="E989" s="6">
        <v>125926.0</v>
      </c>
    </row>
    <row r="990">
      <c r="A990" s="6">
        <v>3088.0</v>
      </c>
      <c r="B990" s="6" t="s">
        <v>4192</v>
      </c>
      <c r="C990" s="6" t="s">
        <v>4190</v>
      </c>
      <c r="D990" s="6" t="s">
        <v>4191</v>
      </c>
      <c r="E990" s="6">
        <v>124930.0</v>
      </c>
    </row>
    <row r="991">
      <c r="A991" s="6">
        <v>2729.0</v>
      </c>
      <c r="B991" s="6" t="s">
        <v>4189</v>
      </c>
      <c r="C991" s="6" t="s">
        <v>4190</v>
      </c>
      <c r="D991" s="6" t="s">
        <v>4191</v>
      </c>
      <c r="E991" s="6">
        <v>4024.0</v>
      </c>
    </row>
    <row r="992">
      <c r="A992" s="6">
        <v>3091.0</v>
      </c>
      <c r="B992" s="6" t="s">
        <v>4192</v>
      </c>
      <c r="C992" s="6" t="s">
        <v>4190</v>
      </c>
      <c r="D992" s="6" t="s">
        <v>4191</v>
      </c>
      <c r="E992" s="6">
        <v>128767.0</v>
      </c>
    </row>
    <row r="993">
      <c r="A993" s="6">
        <v>3581.0</v>
      </c>
      <c r="B993" s="6" t="s">
        <v>4192</v>
      </c>
      <c r="C993" s="6" t="s">
        <v>4190</v>
      </c>
      <c r="D993" s="6" t="s">
        <v>4191</v>
      </c>
      <c r="E993" s="6">
        <v>125240.0</v>
      </c>
    </row>
    <row r="994">
      <c r="A994" s="6">
        <v>3097.0</v>
      </c>
      <c r="B994" s="6" t="s">
        <v>4192</v>
      </c>
      <c r="C994" s="6" t="s">
        <v>4190</v>
      </c>
      <c r="D994" s="6" t="s">
        <v>4191</v>
      </c>
      <c r="E994" s="6">
        <v>126344.0</v>
      </c>
    </row>
    <row r="995">
      <c r="A995" s="6">
        <v>3104.0</v>
      </c>
      <c r="B995" s="6" t="s">
        <v>4192</v>
      </c>
      <c r="C995" s="6" t="s">
        <v>4190</v>
      </c>
      <c r="D995" s="6" t="s">
        <v>4191</v>
      </c>
      <c r="E995" s="6">
        <v>126373.0</v>
      </c>
    </row>
    <row r="996">
      <c r="A996" s="6">
        <v>3105.0</v>
      </c>
      <c r="B996" s="6" t="s">
        <v>4197</v>
      </c>
      <c r="C996" s="6" t="s">
        <v>4190</v>
      </c>
      <c r="D996" s="6" t="s">
        <v>4191</v>
      </c>
      <c r="E996" s="6">
        <v>126199.0</v>
      </c>
    </row>
    <row r="997">
      <c r="A997" s="6">
        <v>3113.0</v>
      </c>
      <c r="B997" s="6" t="s">
        <v>4192</v>
      </c>
      <c r="C997" s="6" t="s">
        <v>4190</v>
      </c>
      <c r="D997" s="6" t="s">
        <v>4191</v>
      </c>
      <c r="E997" s="6">
        <v>125716.0</v>
      </c>
    </row>
    <row r="998">
      <c r="A998" s="6">
        <v>3122.0</v>
      </c>
      <c r="B998" s="6" t="s">
        <v>4192</v>
      </c>
      <c r="C998" s="6" t="s">
        <v>4190</v>
      </c>
      <c r="D998" s="6" t="s">
        <v>4191</v>
      </c>
      <c r="E998" s="6">
        <v>126193.0</v>
      </c>
    </row>
    <row r="999">
      <c r="A999" s="6">
        <v>3129.0</v>
      </c>
      <c r="B999" s="6" t="s">
        <v>4192</v>
      </c>
      <c r="C999" s="6" t="s">
        <v>4190</v>
      </c>
      <c r="D999" s="6" t="s">
        <v>4191</v>
      </c>
      <c r="E999" s="6">
        <v>124827.0</v>
      </c>
    </row>
    <row r="1000">
      <c r="A1000" s="6">
        <v>3136.0</v>
      </c>
      <c r="B1000" s="6" t="s">
        <v>4189</v>
      </c>
      <c r="C1000" s="6" t="s">
        <v>4190</v>
      </c>
      <c r="D1000" s="6" t="s">
        <v>4191</v>
      </c>
      <c r="E1000" s="6">
        <v>125422.0</v>
      </c>
    </row>
    <row r="1001">
      <c r="A1001" s="6">
        <v>3138.0</v>
      </c>
      <c r="B1001" s="6" t="s">
        <v>4192</v>
      </c>
      <c r="C1001" s="6" t="s">
        <v>4190</v>
      </c>
      <c r="D1001" s="6" t="s">
        <v>4191</v>
      </c>
      <c r="E1001" s="6">
        <v>126459.0</v>
      </c>
    </row>
    <row r="1002">
      <c r="A1002" s="6">
        <v>3140.0</v>
      </c>
      <c r="B1002" s="6" t="s">
        <v>4192</v>
      </c>
      <c r="C1002" s="6" t="s">
        <v>4190</v>
      </c>
      <c r="D1002" s="6" t="s">
        <v>4191</v>
      </c>
      <c r="E1002" s="6">
        <v>125467.0</v>
      </c>
    </row>
    <row r="1003">
      <c r="A1003" s="6">
        <v>2990.0</v>
      </c>
      <c r="B1003" s="6" t="s">
        <v>4195</v>
      </c>
      <c r="C1003" s="6" t="s">
        <v>4190</v>
      </c>
      <c r="D1003" s="6" t="s">
        <v>4191</v>
      </c>
      <c r="E1003" s="6">
        <v>128560.0</v>
      </c>
    </row>
    <row r="1004">
      <c r="A1004" s="6">
        <v>2361.0</v>
      </c>
      <c r="B1004" s="6" t="s">
        <v>4192</v>
      </c>
      <c r="C1004" s="6" t="s">
        <v>4190</v>
      </c>
      <c r="D1004" s="6" t="s">
        <v>4191</v>
      </c>
      <c r="E1004" s="6">
        <v>126068.0</v>
      </c>
    </row>
    <row r="1005">
      <c r="A1005" s="6">
        <v>2362.0</v>
      </c>
      <c r="B1005" s="6" t="s">
        <v>4196</v>
      </c>
      <c r="C1005" s="6" t="s">
        <v>4190</v>
      </c>
      <c r="D1005" s="6" t="s">
        <v>4191</v>
      </c>
      <c r="E1005" s="6">
        <v>125522.0</v>
      </c>
    </row>
    <row r="1006">
      <c r="A1006" s="6">
        <v>2378.0</v>
      </c>
      <c r="B1006" s="6" t="s">
        <v>4195</v>
      </c>
      <c r="C1006" s="6" t="s">
        <v>4190</v>
      </c>
      <c r="D1006" s="6" t="s">
        <v>4191</v>
      </c>
      <c r="E1006" s="6">
        <v>126839.0</v>
      </c>
    </row>
    <row r="1007">
      <c r="A1007" s="6">
        <v>2379.0</v>
      </c>
      <c r="B1007" s="6" t="s">
        <v>4192</v>
      </c>
      <c r="C1007" s="6" t="s">
        <v>4190</v>
      </c>
      <c r="D1007" s="6" t="s">
        <v>4191</v>
      </c>
      <c r="E1007" s="6">
        <v>128543.0</v>
      </c>
    </row>
    <row r="1008">
      <c r="A1008" s="6">
        <v>2381.0</v>
      </c>
      <c r="B1008" s="6" t="s">
        <v>4192</v>
      </c>
      <c r="C1008" s="6" t="s">
        <v>4190</v>
      </c>
      <c r="D1008" s="6" t="s">
        <v>4191</v>
      </c>
      <c r="E1008" s="6">
        <v>126016.0</v>
      </c>
    </row>
    <row r="1009">
      <c r="A1009" s="6">
        <v>2388.0</v>
      </c>
      <c r="B1009" s="6" t="s">
        <v>4192</v>
      </c>
      <c r="C1009" s="6" t="s">
        <v>4190</v>
      </c>
      <c r="D1009" s="6" t="s">
        <v>4191</v>
      </c>
      <c r="E1009" s="6">
        <v>125954.0</v>
      </c>
    </row>
    <row r="1010">
      <c r="A1010" s="6">
        <v>2389.0</v>
      </c>
      <c r="B1010" s="6" t="s">
        <v>4189</v>
      </c>
      <c r="C1010" s="6" t="s">
        <v>4190</v>
      </c>
      <c r="D1010" s="6" t="s">
        <v>4191</v>
      </c>
      <c r="E1010" s="6">
        <v>125813.0</v>
      </c>
    </row>
    <row r="1011">
      <c r="A1011" s="6">
        <v>2391.0</v>
      </c>
      <c r="B1011" s="6" t="s">
        <v>4193</v>
      </c>
      <c r="C1011" s="6" t="s">
        <v>4190</v>
      </c>
      <c r="D1011" s="6" t="s">
        <v>4191</v>
      </c>
      <c r="E1011" s="6">
        <v>128050.0</v>
      </c>
    </row>
    <row r="1012">
      <c r="A1012" s="6">
        <v>2392.0</v>
      </c>
      <c r="B1012" s="6" t="s">
        <v>4189</v>
      </c>
      <c r="C1012" s="6" t="s">
        <v>4190</v>
      </c>
      <c r="D1012" s="6" t="s">
        <v>4191</v>
      </c>
      <c r="E1012" s="6">
        <v>126892.0</v>
      </c>
    </row>
    <row r="1013">
      <c r="A1013" s="6">
        <v>2393.0</v>
      </c>
      <c r="B1013" s="6" t="s">
        <v>4195</v>
      </c>
      <c r="C1013" s="6" t="s">
        <v>4190</v>
      </c>
      <c r="D1013" s="6" t="s">
        <v>4191</v>
      </c>
      <c r="E1013" s="6">
        <v>125662.0</v>
      </c>
    </row>
    <row r="1014">
      <c r="A1014" s="6">
        <v>2395.0</v>
      </c>
      <c r="B1014" s="6" t="s">
        <v>4192</v>
      </c>
      <c r="C1014" s="6" t="s">
        <v>4190</v>
      </c>
      <c r="D1014" s="6" t="s">
        <v>4191</v>
      </c>
      <c r="E1014" s="6">
        <v>125025.0</v>
      </c>
    </row>
    <row r="1015">
      <c r="A1015" s="6">
        <v>2397.0</v>
      </c>
      <c r="B1015" s="6" t="s">
        <v>4193</v>
      </c>
      <c r="C1015" s="6" t="s">
        <v>4190</v>
      </c>
      <c r="D1015" s="6" t="s">
        <v>4191</v>
      </c>
      <c r="E1015" s="6">
        <v>127941.0</v>
      </c>
    </row>
    <row r="1016">
      <c r="A1016" s="6">
        <v>2363.0</v>
      </c>
      <c r="B1016" s="6" t="s">
        <v>4189</v>
      </c>
      <c r="C1016" s="6" t="s">
        <v>4190</v>
      </c>
      <c r="D1016" s="6" t="s">
        <v>4191</v>
      </c>
      <c r="E1016" s="6">
        <v>124775.0</v>
      </c>
    </row>
    <row r="1017">
      <c r="A1017" s="6">
        <v>2364.0</v>
      </c>
      <c r="B1017" s="6" t="s">
        <v>4192</v>
      </c>
      <c r="C1017" s="6" t="s">
        <v>4190</v>
      </c>
      <c r="D1017" s="6" t="s">
        <v>4191</v>
      </c>
      <c r="E1017" s="6">
        <v>128523.0</v>
      </c>
    </row>
    <row r="1018">
      <c r="A1018" s="6">
        <v>2406.0</v>
      </c>
      <c r="B1018" s="6" t="s">
        <v>4193</v>
      </c>
      <c r="C1018" s="6" t="s">
        <v>4190</v>
      </c>
      <c r="D1018" s="6" t="s">
        <v>4191</v>
      </c>
      <c r="E1018" s="6">
        <v>127947.0</v>
      </c>
    </row>
    <row r="1019">
      <c r="A1019" s="6">
        <v>2410.0</v>
      </c>
      <c r="B1019" s="6" t="s">
        <v>4193</v>
      </c>
      <c r="C1019" s="6" t="s">
        <v>4190</v>
      </c>
      <c r="D1019" s="6" t="s">
        <v>4191</v>
      </c>
      <c r="E1019" s="6">
        <v>127923.0</v>
      </c>
    </row>
    <row r="1020">
      <c r="A1020" s="6">
        <v>2413.0</v>
      </c>
      <c r="B1020" s="6" t="s">
        <v>4189</v>
      </c>
      <c r="C1020" s="6" t="s">
        <v>4190</v>
      </c>
      <c r="D1020" s="6" t="s">
        <v>4191</v>
      </c>
      <c r="E1020" s="6">
        <v>126369.0</v>
      </c>
    </row>
    <row r="1021">
      <c r="A1021" s="6">
        <v>2415.0</v>
      </c>
      <c r="B1021" s="6" t="s">
        <v>4189</v>
      </c>
      <c r="C1021" s="6" t="s">
        <v>4190</v>
      </c>
      <c r="D1021" s="6" t="s">
        <v>4191</v>
      </c>
      <c r="E1021" s="6">
        <v>125605.0</v>
      </c>
    </row>
    <row r="1022">
      <c r="A1022" s="6">
        <v>2416.0</v>
      </c>
      <c r="B1022" s="6" t="s">
        <v>4189</v>
      </c>
      <c r="C1022" s="6" t="s">
        <v>4190</v>
      </c>
      <c r="D1022" s="6" t="s">
        <v>4191</v>
      </c>
      <c r="E1022" s="6">
        <v>125336.0</v>
      </c>
    </row>
    <row r="1023">
      <c r="A1023" s="6">
        <v>2417.0</v>
      </c>
      <c r="B1023" s="6" t="s">
        <v>4193</v>
      </c>
      <c r="C1023" s="6" t="s">
        <v>4190</v>
      </c>
      <c r="D1023" s="6" t="s">
        <v>4191</v>
      </c>
      <c r="E1023" s="6">
        <v>128067.0</v>
      </c>
    </row>
    <row r="1024">
      <c r="A1024" s="6">
        <v>2420.0</v>
      </c>
      <c r="B1024" s="6" t="s">
        <v>4196</v>
      </c>
      <c r="C1024" s="6" t="s">
        <v>4190</v>
      </c>
      <c r="D1024" s="6" t="s">
        <v>4191</v>
      </c>
      <c r="E1024" s="6">
        <v>126662.0</v>
      </c>
    </row>
    <row r="1025">
      <c r="A1025" s="6">
        <v>2425.0</v>
      </c>
      <c r="B1025" s="6" t="s">
        <v>4192</v>
      </c>
      <c r="C1025" s="6" t="s">
        <v>4190</v>
      </c>
      <c r="D1025" s="6" t="s">
        <v>4191</v>
      </c>
      <c r="E1025" s="6">
        <v>125274.0</v>
      </c>
    </row>
    <row r="1026">
      <c r="A1026" s="6">
        <v>2429.0</v>
      </c>
      <c r="B1026" s="6" t="s">
        <v>4195</v>
      </c>
      <c r="C1026" s="6" t="s">
        <v>4190</v>
      </c>
      <c r="D1026" s="6" t="s">
        <v>4191</v>
      </c>
      <c r="E1026" s="6">
        <v>125222.0</v>
      </c>
    </row>
    <row r="1027">
      <c r="A1027" s="6">
        <v>2434.0</v>
      </c>
      <c r="B1027" s="6" t="s">
        <v>4189</v>
      </c>
      <c r="C1027" s="6" t="s">
        <v>4190</v>
      </c>
      <c r="D1027" s="6" t="s">
        <v>4191</v>
      </c>
      <c r="E1027" s="6">
        <v>124925.0</v>
      </c>
    </row>
    <row r="1028">
      <c r="A1028" s="6">
        <v>2435.0</v>
      </c>
      <c r="B1028" s="6" t="s">
        <v>4192</v>
      </c>
      <c r="C1028" s="6" t="s">
        <v>4190</v>
      </c>
      <c r="D1028" s="6" t="s">
        <v>4191</v>
      </c>
      <c r="E1028" s="6">
        <v>128464.0</v>
      </c>
    </row>
    <row r="1029">
      <c r="A1029" s="6">
        <v>2438.0</v>
      </c>
      <c r="B1029" s="6" t="s">
        <v>4194</v>
      </c>
      <c r="C1029" s="6" t="s">
        <v>4190</v>
      </c>
      <c r="D1029" s="6" t="s">
        <v>4191</v>
      </c>
      <c r="E1029" s="6">
        <v>125428.0</v>
      </c>
    </row>
    <row r="1030">
      <c r="A1030" s="6">
        <v>2444.0</v>
      </c>
      <c r="B1030" s="6" t="s">
        <v>4192</v>
      </c>
      <c r="C1030" s="6" t="s">
        <v>4190</v>
      </c>
      <c r="D1030" s="6" t="s">
        <v>4191</v>
      </c>
      <c r="E1030" s="6">
        <v>124967.0</v>
      </c>
    </row>
    <row r="1031">
      <c r="A1031" s="6">
        <v>2445.0</v>
      </c>
      <c r="B1031" s="6" t="s">
        <v>4192</v>
      </c>
      <c r="C1031" s="6" t="s">
        <v>4190</v>
      </c>
      <c r="D1031" s="6" t="s">
        <v>4191</v>
      </c>
      <c r="E1031" s="6">
        <v>124564.0</v>
      </c>
    </row>
    <row r="1032">
      <c r="A1032" s="6">
        <v>2446.0</v>
      </c>
      <c r="B1032" s="6" t="s">
        <v>4193</v>
      </c>
      <c r="C1032" s="6" t="s">
        <v>4190</v>
      </c>
      <c r="D1032" s="6" t="s">
        <v>4191</v>
      </c>
      <c r="E1032" s="6">
        <v>127967.0</v>
      </c>
    </row>
    <row r="1033">
      <c r="A1033" s="6">
        <v>2451.0</v>
      </c>
      <c r="B1033" s="6" t="s">
        <v>4192</v>
      </c>
      <c r="C1033" s="6" t="s">
        <v>4190</v>
      </c>
      <c r="D1033" s="6" t="s">
        <v>4191</v>
      </c>
      <c r="E1033" s="6">
        <v>126932.0</v>
      </c>
    </row>
    <row r="1034">
      <c r="A1034" s="6">
        <v>2453.0</v>
      </c>
      <c r="B1034" s="6" t="s">
        <v>4192</v>
      </c>
      <c r="C1034" s="6" t="s">
        <v>4190</v>
      </c>
      <c r="D1034" s="6" t="s">
        <v>4191</v>
      </c>
      <c r="E1034" s="6">
        <v>126113.0</v>
      </c>
    </row>
    <row r="1035">
      <c r="A1035" s="6">
        <v>2454.0</v>
      </c>
      <c r="B1035" s="6" t="s">
        <v>4195</v>
      </c>
      <c r="C1035" s="6" t="s">
        <v>4190</v>
      </c>
      <c r="D1035" s="6" t="s">
        <v>4191</v>
      </c>
      <c r="E1035" s="6">
        <v>128649.0</v>
      </c>
    </row>
    <row r="1036">
      <c r="A1036" s="6">
        <v>2456.0</v>
      </c>
      <c r="B1036" s="6" t="s">
        <v>4194</v>
      </c>
      <c r="C1036" s="6" t="s">
        <v>4190</v>
      </c>
      <c r="D1036" s="6" t="s">
        <v>4191</v>
      </c>
      <c r="E1036" s="6">
        <v>126253.0</v>
      </c>
    </row>
    <row r="1037">
      <c r="A1037" s="6">
        <v>2368.0</v>
      </c>
      <c r="B1037" s="6" t="s">
        <v>4192</v>
      </c>
      <c r="C1037" s="6" t="s">
        <v>4190</v>
      </c>
      <c r="D1037" s="6" t="s">
        <v>4191</v>
      </c>
      <c r="E1037" s="6">
        <v>124710.0</v>
      </c>
    </row>
    <row r="1038">
      <c r="A1038" s="6">
        <v>2462.0</v>
      </c>
      <c r="B1038" s="6" t="s">
        <v>4192</v>
      </c>
      <c r="C1038" s="6" t="s">
        <v>4190</v>
      </c>
      <c r="D1038" s="6" t="s">
        <v>4191</v>
      </c>
      <c r="E1038" s="6">
        <v>125929.0</v>
      </c>
    </row>
    <row r="1039">
      <c r="A1039" s="6">
        <v>2471.0</v>
      </c>
      <c r="B1039" s="6" t="s">
        <v>4193</v>
      </c>
      <c r="C1039" s="6" t="s">
        <v>4190</v>
      </c>
      <c r="D1039" s="6" t="s">
        <v>4191</v>
      </c>
      <c r="E1039" s="6">
        <v>127912.0</v>
      </c>
    </row>
    <row r="1040">
      <c r="A1040" s="6">
        <v>2473.0</v>
      </c>
      <c r="B1040" s="6" t="s">
        <v>4192</v>
      </c>
      <c r="C1040" s="6" t="s">
        <v>4190</v>
      </c>
      <c r="D1040" s="6" t="s">
        <v>4191</v>
      </c>
      <c r="E1040" s="6">
        <v>126638.0</v>
      </c>
    </row>
    <row r="1041">
      <c r="A1041" s="6">
        <v>2478.0</v>
      </c>
      <c r="B1041" s="6" t="s">
        <v>4192</v>
      </c>
      <c r="C1041" s="6" t="s">
        <v>4190</v>
      </c>
      <c r="D1041" s="6" t="s">
        <v>4191</v>
      </c>
      <c r="E1041" s="6">
        <v>125365.0</v>
      </c>
    </row>
    <row r="1042">
      <c r="A1042" s="6">
        <v>2479.0</v>
      </c>
      <c r="B1042" s="6" t="s">
        <v>4192</v>
      </c>
      <c r="C1042" s="6" t="s">
        <v>4190</v>
      </c>
      <c r="D1042" s="6" t="s">
        <v>4191</v>
      </c>
      <c r="E1042" s="6">
        <v>124955.0</v>
      </c>
    </row>
    <row r="1043">
      <c r="A1043" s="6">
        <v>2480.0</v>
      </c>
      <c r="B1043" s="6" t="s">
        <v>4192</v>
      </c>
      <c r="C1043" s="6" t="s">
        <v>4190</v>
      </c>
      <c r="D1043" s="6" t="s">
        <v>4191</v>
      </c>
      <c r="E1043" s="6">
        <v>124548.0</v>
      </c>
    </row>
    <row r="1044">
      <c r="A1044" s="6">
        <v>2370.0</v>
      </c>
      <c r="B1044" s="6" t="s">
        <v>4192</v>
      </c>
      <c r="C1044" s="6" t="s">
        <v>4190</v>
      </c>
      <c r="D1044" s="6" t="s">
        <v>4191</v>
      </c>
      <c r="E1044" s="6">
        <v>125708.0</v>
      </c>
    </row>
    <row r="1045">
      <c r="A1045" s="6">
        <v>2483.0</v>
      </c>
      <c r="B1045" s="6" t="s">
        <v>4192</v>
      </c>
      <c r="C1045" s="6" t="s">
        <v>4190</v>
      </c>
      <c r="D1045" s="6" t="s">
        <v>4191</v>
      </c>
      <c r="E1045" s="6">
        <v>128394.0</v>
      </c>
    </row>
    <row r="1046">
      <c r="A1046" s="6">
        <v>2484.0</v>
      </c>
      <c r="B1046" s="6" t="s">
        <v>4189</v>
      </c>
      <c r="C1046" s="6" t="s">
        <v>4190</v>
      </c>
      <c r="D1046" s="6" t="s">
        <v>4191</v>
      </c>
      <c r="E1046" s="6">
        <v>126599.0</v>
      </c>
    </row>
    <row r="1047">
      <c r="A1047" s="6">
        <v>2488.0</v>
      </c>
      <c r="B1047" s="6" t="s">
        <v>4192</v>
      </c>
      <c r="C1047" s="6" t="s">
        <v>4190</v>
      </c>
      <c r="D1047" s="6" t="s">
        <v>4191</v>
      </c>
      <c r="E1047" s="6">
        <v>125592.0</v>
      </c>
    </row>
    <row r="1048">
      <c r="A1048" s="6">
        <v>2490.0</v>
      </c>
      <c r="B1048" s="6" t="s">
        <v>4189</v>
      </c>
      <c r="C1048" s="6" t="s">
        <v>4190</v>
      </c>
      <c r="D1048" s="6" t="s">
        <v>4191</v>
      </c>
      <c r="E1048" s="6">
        <v>124913.0</v>
      </c>
    </row>
    <row r="1049">
      <c r="A1049" s="6">
        <v>2371.0</v>
      </c>
      <c r="B1049" s="6" t="s">
        <v>4193</v>
      </c>
      <c r="C1049" s="6" t="s">
        <v>4190</v>
      </c>
      <c r="D1049" s="6" t="s">
        <v>4191</v>
      </c>
      <c r="E1049" s="6">
        <v>128005.0</v>
      </c>
    </row>
    <row r="1050">
      <c r="A1050" s="6">
        <v>2493.0</v>
      </c>
      <c r="B1050" s="6" t="s">
        <v>4192</v>
      </c>
      <c r="C1050" s="6" t="s">
        <v>4190</v>
      </c>
      <c r="D1050" s="6" t="s">
        <v>4191</v>
      </c>
      <c r="E1050" s="6">
        <v>126456.0</v>
      </c>
    </row>
    <row r="1051">
      <c r="A1051" s="6">
        <v>2372.0</v>
      </c>
      <c r="B1051" s="6" t="s">
        <v>4193</v>
      </c>
      <c r="C1051" s="6" t="s">
        <v>4190</v>
      </c>
      <c r="D1051" s="6" t="s">
        <v>4191</v>
      </c>
      <c r="E1051" s="6">
        <v>128011.0</v>
      </c>
    </row>
    <row r="1052">
      <c r="A1052" s="6">
        <v>2503.0</v>
      </c>
      <c r="B1052" s="6" t="s">
        <v>4195</v>
      </c>
      <c r="C1052" s="6" t="s">
        <v>4190</v>
      </c>
      <c r="D1052" s="6" t="s">
        <v>4191</v>
      </c>
      <c r="E1052" s="6">
        <v>125258.0</v>
      </c>
    </row>
    <row r="1053">
      <c r="A1053" s="6">
        <v>2505.0</v>
      </c>
      <c r="B1053" s="6" t="s">
        <v>4192</v>
      </c>
      <c r="C1053" s="6" t="s">
        <v>4190</v>
      </c>
      <c r="D1053" s="6" t="s">
        <v>4191</v>
      </c>
      <c r="E1053" s="6">
        <v>126359.0</v>
      </c>
    </row>
    <row r="1054">
      <c r="A1054" s="6">
        <v>2507.0</v>
      </c>
      <c r="B1054" s="6" t="s">
        <v>4193</v>
      </c>
      <c r="C1054" s="6" t="s">
        <v>4190</v>
      </c>
      <c r="D1054" s="6" t="s">
        <v>4191</v>
      </c>
      <c r="E1054" s="6">
        <v>127906.0</v>
      </c>
    </row>
    <row r="1055">
      <c r="A1055" s="6">
        <v>2510.0</v>
      </c>
      <c r="B1055" s="6" t="s">
        <v>4192</v>
      </c>
      <c r="C1055" s="6" t="s">
        <v>4190</v>
      </c>
      <c r="D1055" s="6" t="s">
        <v>4191</v>
      </c>
      <c r="E1055" s="6">
        <v>129079.0</v>
      </c>
    </row>
    <row r="1056">
      <c r="A1056" s="6">
        <v>2511.0</v>
      </c>
      <c r="B1056" s="6" t="s">
        <v>4194</v>
      </c>
      <c r="C1056" s="6" t="s">
        <v>4190</v>
      </c>
      <c r="D1056" s="6" t="s">
        <v>4191</v>
      </c>
      <c r="E1056" s="6">
        <v>126754.0</v>
      </c>
    </row>
    <row r="1057">
      <c r="A1057" s="6">
        <v>3145.0</v>
      </c>
      <c r="B1057" s="6" t="s">
        <v>4189</v>
      </c>
      <c r="C1057" s="6" t="s">
        <v>4190</v>
      </c>
      <c r="D1057" s="6" t="s">
        <v>4191</v>
      </c>
      <c r="E1057" s="6">
        <v>126566.0</v>
      </c>
    </row>
    <row r="1058">
      <c r="A1058" s="6">
        <v>3543.0</v>
      </c>
      <c r="B1058" s="6" t="s">
        <v>4194</v>
      </c>
      <c r="C1058" s="6" t="s">
        <v>4190</v>
      </c>
      <c r="D1058" s="6" t="s">
        <v>4191</v>
      </c>
      <c r="E1058" s="6">
        <v>128909.0</v>
      </c>
    </row>
    <row r="1059">
      <c r="A1059" s="6">
        <v>3149.0</v>
      </c>
      <c r="B1059" s="6" t="s">
        <v>4189</v>
      </c>
      <c r="C1059" s="6" t="s">
        <v>4190</v>
      </c>
      <c r="D1059" s="6" t="s">
        <v>4191</v>
      </c>
      <c r="E1059" s="6">
        <v>126931.0</v>
      </c>
    </row>
    <row r="1060">
      <c r="A1060" s="6">
        <v>3153.0</v>
      </c>
      <c r="B1060" s="6" t="s">
        <v>4192</v>
      </c>
      <c r="C1060" s="6" t="s">
        <v>4190</v>
      </c>
      <c r="D1060" s="6" t="s">
        <v>4191</v>
      </c>
      <c r="E1060" s="6">
        <v>125510.0</v>
      </c>
    </row>
    <row r="1061">
      <c r="A1061" s="6">
        <v>3160.0</v>
      </c>
      <c r="B1061" s="6" t="s">
        <v>4192</v>
      </c>
      <c r="C1061" s="6" t="s">
        <v>4190</v>
      </c>
      <c r="D1061" s="6" t="s">
        <v>4191</v>
      </c>
      <c r="E1061" s="6">
        <v>126336.0</v>
      </c>
    </row>
    <row r="1062">
      <c r="A1062" s="6">
        <v>3161.0</v>
      </c>
      <c r="B1062" s="6" t="s">
        <v>4189</v>
      </c>
      <c r="C1062" s="6" t="s">
        <v>4190</v>
      </c>
      <c r="D1062" s="6" t="s">
        <v>4191</v>
      </c>
      <c r="E1062" s="6">
        <v>125048.0</v>
      </c>
    </row>
    <row r="1063">
      <c r="A1063" s="6">
        <v>3167.0</v>
      </c>
      <c r="B1063" s="6" t="s">
        <v>4192</v>
      </c>
      <c r="C1063" s="6" t="s">
        <v>4190</v>
      </c>
      <c r="D1063" s="6" t="s">
        <v>4191</v>
      </c>
      <c r="E1063" s="6">
        <v>128754.0</v>
      </c>
    </row>
    <row r="1064">
      <c r="A1064" s="6">
        <v>3169.0</v>
      </c>
      <c r="B1064" s="6" t="s">
        <v>4192</v>
      </c>
      <c r="C1064" s="6" t="s">
        <v>4190</v>
      </c>
      <c r="D1064" s="6" t="s">
        <v>4191</v>
      </c>
      <c r="E1064" s="6">
        <v>126076.0</v>
      </c>
    </row>
    <row r="1065">
      <c r="A1065" s="6">
        <v>3566.0</v>
      </c>
      <c r="B1065" s="6" t="s">
        <v>4192</v>
      </c>
      <c r="C1065" s="6" t="s">
        <v>4190</v>
      </c>
      <c r="D1065" s="6" t="s">
        <v>4191</v>
      </c>
      <c r="E1065" s="6">
        <v>124664.0</v>
      </c>
    </row>
    <row r="1066">
      <c r="A1066" s="6">
        <v>3172.0</v>
      </c>
      <c r="B1066" s="6" t="s">
        <v>4194</v>
      </c>
      <c r="C1066" s="6" t="s">
        <v>4190</v>
      </c>
      <c r="D1066" s="6" t="s">
        <v>4191</v>
      </c>
      <c r="E1066" s="6">
        <v>128989.0</v>
      </c>
    </row>
    <row r="1067">
      <c r="A1067" s="6">
        <v>3194.0</v>
      </c>
      <c r="B1067" s="6" t="s">
        <v>4192</v>
      </c>
      <c r="C1067" s="6" t="s">
        <v>4190</v>
      </c>
      <c r="D1067" s="6" t="s">
        <v>4191</v>
      </c>
      <c r="E1067" s="6">
        <v>124698.0</v>
      </c>
    </row>
    <row r="1068">
      <c r="A1068" s="6">
        <v>3173.0</v>
      </c>
      <c r="B1068" s="6" t="s">
        <v>4194</v>
      </c>
      <c r="C1068" s="6" t="s">
        <v>4190</v>
      </c>
      <c r="D1068" s="6" t="s">
        <v>4191</v>
      </c>
      <c r="E1068" s="6">
        <v>126916.0</v>
      </c>
    </row>
    <row r="1069">
      <c r="A1069" s="6">
        <v>3199.0</v>
      </c>
      <c r="B1069" s="6" t="s">
        <v>4192</v>
      </c>
      <c r="C1069" s="6" t="s">
        <v>4190</v>
      </c>
      <c r="D1069" s="6" t="s">
        <v>4191</v>
      </c>
      <c r="E1069" s="6">
        <v>128506.0</v>
      </c>
    </row>
    <row r="1070">
      <c r="A1070" s="6">
        <v>3204.0</v>
      </c>
      <c r="B1070" s="6" t="s">
        <v>4192</v>
      </c>
      <c r="C1070" s="6" t="s">
        <v>4190</v>
      </c>
      <c r="D1070" s="6" t="s">
        <v>4191</v>
      </c>
      <c r="E1070" s="6">
        <v>126428.0</v>
      </c>
    </row>
    <row r="1071">
      <c r="A1071" s="6">
        <v>3207.0</v>
      </c>
      <c r="B1071" s="6" t="s">
        <v>4193</v>
      </c>
      <c r="C1071" s="6" t="s">
        <v>4190</v>
      </c>
      <c r="D1071" s="6" t="s">
        <v>4191</v>
      </c>
      <c r="E1071" s="6">
        <v>128082.0</v>
      </c>
    </row>
    <row r="1072">
      <c r="A1072" s="6">
        <v>3209.0</v>
      </c>
      <c r="B1072" s="6" t="s">
        <v>4192</v>
      </c>
      <c r="C1072" s="6" t="s">
        <v>4190</v>
      </c>
      <c r="D1072" s="6" t="s">
        <v>4191</v>
      </c>
      <c r="E1072" s="6">
        <v>125877.0</v>
      </c>
    </row>
    <row r="1073">
      <c r="A1073" s="6">
        <v>3212.0</v>
      </c>
      <c r="B1073" s="6" t="s">
        <v>4192</v>
      </c>
      <c r="C1073" s="6" t="s">
        <v>4190</v>
      </c>
      <c r="D1073" s="6" t="s">
        <v>4191</v>
      </c>
      <c r="E1073" s="6">
        <v>126759.0</v>
      </c>
    </row>
    <row r="1074">
      <c r="A1074" s="6">
        <v>3215.0</v>
      </c>
      <c r="B1074" s="6" t="s">
        <v>4192</v>
      </c>
      <c r="C1074" s="6" t="s">
        <v>4190</v>
      </c>
      <c r="D1074" s="6" t="s">
        <v>4191</v>
      </c>
      <c r="E1074" s="6">
        <v>126636.0</v>
      </c>
    </row>
    <row r="1075">
      <c r="A1075" s="6">
        <v>3218.0</v>
      </c>
      <c r="B1075" s="6" t="s">
        <v>4192</v>
      </c>
      <c r="C1075" s="6" t="s">
        <v>4190</v>
      </c>
      <c r="D1075" s="6" t="s">
        <v>4191</v>
      </c>
      <c r="E1075" s="6">
        <v>124551.0</v>
      </c>
    </row>
    <row r="1076">
      <c r="A1076" s="6">
        <v>3220.0</v>
      </c>
      <c r="B1076" s="6" t="s">
        <v>4192</v>
      </c>
      <c r="C1076" s="6" t="s">
        <v>4190</v>
      </c>
      <c r="D1076" s="6" t="s">
        <v>4191</v>
      </c>
      <c r="E1076" s="6">
        <v>126959.0</v>
      </c>
    </row>
    <row r="1077">
      <c r="A1077" s="6">
        <v>3222.0</v>
      </c>
      <c r="B1077" s="6" t="s">
        <v>4192</v>
      </c>
      <c r="C1077" s="6" t="s">
        <v>4190</v>
      </c>
      <c r="D1077" s="6" t="s">
        <v>4191</v>
      </c>
      <c r="E1077" s="6">
        <v>125911.0</v>
      </c>
    </row>
    <row r="1078">
      <c r="A1078" s="6">
        <v>3223.0</v>
      </c>
      <c r="B1078" s="6" t="s">
        <v>4192</v>
      </c>
      <c r="C1078" s="6" t="s">
        <v>4190</v>
      </c>
      <c r="D1078" s="6" t="s">
        <v>4191</v>
      </c>
      <c r="E1078" s="6">
        <v>125656.0</v>
      </c>
    </row>
    <row r="1079">
      <c r="A1079" s="6">
        <v>3229.0</v>
      </c>
      <c r="B1079" s="6" t="s">
        <v>4189</v>
      </c>
      <c r="C1079" s="6" t="s">
        <v>4190</v>
      </c>
      <c r="D1079" s="6" t="s">
        <v>4191</v>
      </c>
      <c r="E1079" s="6">
        <v>125449.0</v>
      </c>
    </row>
    <row r="1080">
      <c r="A1080" s="6">
        <v>3238.0</v>
      </c>
      <c r="B1080" s="6" t="s">
        <v>4195</v>
      </c>
      <c r="C1080" s="6" t="s">
        <v>4190</v>
      </c>
      <c r="D1080" s="6" t="s">
        <v>4191</v>
      </c>
      <c r="E1080" s="6">
        <v>128895.0</v>
      </c>
    </row>
    <row r="1081">
      <c r="A1081" s="6">
        <v>3239.0</v>
      </c>
      <c r="B1081" s="6" t="s">
        <v>4192</v>
      </c>
      <c r="C1081" s="6" t="s">
        <v>4190</v>
      </c>
      <c r="D1081" s="6" t="s">
        <v>4191</v>
      </c>
      <c r="E1081" s="6">
        <v>126970.0</v>
      </c>
    </row>
    <row r="1082">
      <c r="A1082" s="6">
        <v>3240.0</v>
      </c>
      <c r="B1082" s="6" t="s">
        <v>4192</v>
      </c>
      <c r="C1082" s="6" t="s">
        <v>4190</v>
      </c>
      <c r="D1082" s="6" t="s">
        <v>4191</v>
      </c>
      <c r="E1082" s="6">
        <v>126364.0</v>
      </c>
    </row>
    <row r="1083">
      <c r="A1083" s="6">
        <v>3243.0</v>
      </c>
      <c r="B1083" s="6" t="s">
        <v>4197</v>
      </c>
      <c r="C1083" s="6" t="s">
        <v>4190</v>
      </c>
      <c r="D1083" s="6" t="s">
        <v>4191</v>
      </c>
      <c r="E1083" s="6">
        <v>125887.0</v>
      </c>
    </row>
    <row r="1084">
      <c r="A1084" s="6">
        <v>3246.0</v>
      </c>
      <c r="B1084" s="6" t="s">
        <v>4192</v>
      </c>
      <c r="C1084" s="6" t="s">
        <v>4190</v>
      </c>
      <c r="D1084" s="6" t="s">
        <v>4191</v>
      </c>
      <c r="E1084" s="6">
        <v>129124.0</v>
      </c>
    </row>
    <row r="1085">
      <c r="A1085" s="6">
        <v>3247.0</v>
      </c>
      <c r="B1085" s="6" t="s">
        <v>4192</v>
      </c>
      <c r="C1085" s="6" t="s">
        <v>4190</v>
      </c>
      <c r="D1085" s="6" t="s">
        <v>4191</v>
      </c>
      <c r="E1085" s="6">
        <v>126868.0</v>
      </c>
    </row>
    <row r="1086">
      <c r="A1086" s="6">
        <v>3176.0</v>
      </c>
      <c r="B1086" s="6" t="s">
        <v>4193</v>
      </c>
      <c r="C1086" s="6" t="s">
        <v>4190</v>
      </c>
      <c r="D1086" s="6" t="s">
        <v>4191</v>
      </c>
      <c r="E1086" s="6">
        <v>128014.0</v>
      </c>
    </row>
    <row r="1087">
      <c r="A1087" s="6">
        <v>3256.0</v>
      </c>
      <c r="B1087" s="6" t="s">
        <v>4195</v>
      </c>
      <c r="C1087" s="6" t="s">
        <v>4190</v>
      </c>
      <c r="D1087" s="6" t="s">
        <v>4191</v>
      </c>
      <c r="E1087" s="6">
        <v>128872.0</v>
      </c>
    </row>
    <row r="1088">
      <c r="A1088" s="6">
        <v>3258.0</v>
      </c>
      <c r="B1088" s="6" t="s">
        <v>4192</v>
      </c>
      <c r="C1088" s="6" t="s">
        <v>4190</v>
      </c>
      <c r="D1088" s="6" t="s">
        <v>4191</v>
      </c>
      <c r="E1088" s="6">
        <v>126357.0</v>
      </c>
    </row>
    <row r="1089">
      <c r="A1089" s="6">
        <v>3261.0</v>
      </c>
      <c r="B1089" s="6" t="s">
        <v>4192</v>
      </c>
      <c r="C1089" s="6" t="s">
        <v>4190</v>
      </c>
      <c r="D1089" s="6" t="s">
        <v>4191</v>
      </c>
      <c r="E1089" s="6">
        <v>125007.0</v>
      </c>
    </row>
    <row r="1090">
      <c r="A1090" s="6">
        <v>3265.0</v>
      </c>
      <c r="B1090" s="6" t="s">
        <v>4189</v>
      </c>
      <c r="C1090" s="6" t="s">
        <v>4190</v>
      </c>
      <c r="D1090" s="6" t="s">
        <v>4191</v>
      </c>
      <c r="E1090" s="6">
        <v>126055.0</v>
      </c>
    </row>
    <row r="1091">
      <c r="A1091" s="6">
        <v>3269.0</v>
      </c>
      <c r="B1091" s="6" t="s">
        <v>4192</v>
      </c>
      <c r="C1091" s="6" t="s">
        <v>4190</v>
      </c>
      <c r="D1091" s="6" t="s">
        <v>4191</v>
      </c>
      <c r="E1091" s="6">
        <v>124689.0</v>
      </c>
    </row>
    <row r="1092">
      <c r="A1092" s="6">
        <v>3271.0</v>
      </c>
      <c r="B1092" s="6" t="s">
        <v>4192</v>
      </c>
      <c r="C1092" s="6" t="s">
        <v>4190</v>
      </c>
      <c r="D1092" s="6" t="s">
        <v>4191</v>
      </c>
      <c r="E1092" s="6">
        <v>125443.0</v>
      </c>
    </row>
    <row r="1093">
      <c r="A1093" s="6">
        <v>3272.0</v>
      </c>
      <c r="B1093" s="6" t="s">
        <v>4194</v>
      </c>
      <c r="C1093" s="6" t="s">
        <v>4190</v>
      </c>
      <c r="D1093" s="6" t="s">
        <v>4191</v>
      </c>
      <c r="E1093" s="6">
        <v>125261.0</v>
      </c>
    </row>
    <row r="1094">
      <c r="A1094" s="6">
        <v>3273.0</v>
      </c>
      <c r="B1094" s="6" t="s">
        <v>4192</v>
      </c>
      <c r="C1094" s="6" t="s">
        <v>4190</v>
      </c>
      <c r="D1094" s="6" t="s">
        <v>4191</v>
      </c>
      <c r="E1094" s="6">
        <v>124875.0</v>
      </c>
    </row>
    <row r="1095">
      <c r="A1095" s="6">
        <v>3274.0</v>
      </c>
      <c r="B1095" s="6" t="s">
        <v>4192</v>
      </c>
      <c r="C1095" s="6" t="s">
        <v>4190</v>
      </c>
      <c r="D1095" s="6" t="s">
        <v>4191</v>
      </c>
      <c r="E1095" s="6">
        <v>128630.0</v>
      </c>
    </row>
    <row r="1096">
      <c r="A1096" s="6">
        <v>3178.0</v>
      </c>
      <c r="B1096" s="6" t="s">
        <v>4192</v>
      </c>
      <c r="C1096" s="6" t="s">
        <v>4190</v>
      </c>
      <c r="D1096" s="6" t="s">
        <v>4191</v>
      </c>
      <c r="E1096" s="6">
        <v>125917.0</v>
      </c>
    </row>
    <row r="1097">
      <c r="A1097" s="6">
        <v>3277.0</v>
      </c>
      <c r="B1097" s="6" t="s">
        <v>4192</v>
      </c>
      <c r="C1097" s="6" t="s">
        <v>4190</v>
      </c>
      <c r="D1097" s="6" t="s">
        <v>4191</v>
      </c>
      <c r="E1097" s="6">
        <v>126080.0</v>
      </c>
    </row>
    <row r="1098">
      <c r="A1098" s="6">
        <v>3279.0</v>
      </c>
      <c r="B1098" s="6" t="s">
        <v>4192</v>
      </c>
      <c r="C1098" s="6" t="s">
        <v>4190</v>
      </c>
      <c r="D1098" s="6" t="s">
        <v>4191</v>
      </c>
      <c r="E1098" s="6">
        <v>125200.0</v>
      </c>
    </row>
    <row r="1099">
      <c r="A1099" s="6">
        <v>3281.0</v>
      </c>
      <c r="B1099" s="6" t="s">
        <v>4192</v>
      </c>
      <c r="C1099" s="6" t="s">
        <v>4190</v>
      </c>
      <c r="D1099" s="6" t="s">
        <v>4191</v>
      </c>
      <c r="E1099" s="6">
        <v>126514.0</v>
      </c>
    </row>
    <row r="1100">
      <c r="A1100" s="6">
        <v>3282.0</v>
      </c>
      <c r="B1100" s="6" t="s">
        <v>4192</v>
      </c>
      <c r="C1100" s="6" t="s">
        <v>4190</v>
      </c>
      <c r="D1100" s="6" t="s">
        <v>4191</v>
      </c>
      <c r="E1100" s="6">
        <v>126266.0</v>
      </c>
    </row>
    <row r="1101">
      <c r="A1101" s="6">
        <v>1517.0</v>
      </c>
      <c r="B1101" s="6" t="s">
        <v>4195</v>
      </c>
      <c r="C1101" s="6" t="s">
        <v>4190</v>
      </c>
      <c r="D1101" s="6" t="s">
        <v>4191</v>
      </c>
      <c r="E1101" s="6">
        <v>126821.0</v>
      </c>
    </row>
    <row r="1102">
      <c r="A1102" s="6">
        <v>1519.0</v>
      </c>
      <c r="B1102" s="6" t="s">
        <v>4189</v>
      </c>
      <c r="C1102" s="6" t="s">
        <v>4190</v>
      </c>
      <c r="D1102" s="6" t="s">
        <v>4191</v>
      </c>
      <c r="E1102" s="6">
        <v>126062.0</v>
      </c>
    </row>
    <row r="1103">
      <c r="A1103" s="6">
        <v>1523.0</v>
      </c>
      <c r="B1103" s="6" t="s">
        <v>4192</v>
      </c>
      <c r="C1103" s="6" t="s">
        <v>4190</v>
      </c>
      <c r="D1103" s="6" t="s">
        <v>4191</v>
      </c>
      <c r="E1103" s="6">
        <v>128509.0</v>
      </c>
    </row>
    <row r="1104">
      <c r="A1104" s="6">
        <v>1525.0</v>
      </c>
      <c r="B1104" s="6" t="s">
        <v>4192</v>
      </c>
      <c r="C1104" s="6" t="s">
        <v>4190</v>
      </c>
      <c r="D1104" s="6" t="s">
        <v>4191</v>
      </c>
      <c r="E1104" s="6">
        <v>126195.0</v>
      </c>
    </row>
    <row r="1105">
      <c r="A1105" s="6">
        <v>1529.0</v>
      </c>
      <c r="B1105" s="6" t="s">
        <v>4192</v>
      </c>
      <c r="C1105" s="6" t="s">
        <v>4190</v>
      </c>
      <c r="D1105" s="6" t="s">
        <v>4191</v>
      </c>
      <c r="E1105" s="6">
        <v>125863.0</v>
      </c>
    </row>
    <row r="1106">
      <c r="A1106" s="6">
        <v>1533.0</v>
      </c>
      <c r="B1106" s="6" t="s">
        <v>4195</v>
      </c>
      <c r="C1106" s="6" t="s">
        <v>4190</v>
      </c>
      <c r="D1106" s="6" t="s">
        <v>4191</v>
      </c>
      <c r="E1106" s="6">
        <v>128648.0</v>
      </c>
    </row>
    <row r="1107">
      <c r="A1107" s="6">
        <v>1535.0</v>
      </c>
      <c r="B1107" s="6" t="s">
        <v>4192</v>
      </c>
      <c r="C1107" s="6" t="s">
        <v>4190</v>
      </c>
      <c r="D1107" s="6" t="s">
        <v>4191</v>
      </c>
      <c r="E1107" s="6">
        <v>125319.0</v>
      </c>
    </row>
    <row r="1108">
      <c r="A1108" s="6">
        <v>1537.0</v>
      </c>
      <c r="B1108" s="6" t="s">
        <v>4193</v>
      </c>
      <c r="C1108" s="6" t="s">
        <v>4190</v>
      </c>
      <c r="D1108" s="6" t="s">
        <v>4191</v>
      </c>
      <c r="E1108" s="6">
        <v>128076.0</v>
      </c>
    </row>
    <row r="1109">
      <c r="A1109" s="6">
        <v>1539.0</v>
      </c>
      <c r="B1109" s="6" t="s">
        <v>4197</v>
      </c>
      <c r="C1109" s="6" t="s">
        <v>4190</v>
      </c>
      <c r="D1109" s="6" t="s">
        <v>4191</v>
      </c>
      <c r="E1109" s="6">
        <v>126463.0</v>
      </c>
    </row>
    <row r="1110">
      <c r="A1110" s="6">
        <v>1540.0</v>
      </c>
      <c r="B1110" s="6" t="s">
        <v>4192</v>
      </c>
      <c r="C1110" s="6" t="s">
        <v>4190</v>
      </c>
      <c r="D1110" s="6" t="s">
        <v>4191</v>
      </c>
      <c r="E1110" s="6">
        <v>125070.0</v>
      </c>
    </row>
    <row r="1111">
      <c r="A1111" s="6">
        <v>1541.0</v>
      </c>
      <c r="B1111" s="6" t="s">
        <v>4193</v>
      </c>
      <c r="C1111" s="6" t="s">
        <v>4190</v>
      </c>
      <c r="D1111" s="6" t="s">
        <v>4191</v>
      </c>
      <c r="E1111" s="6">
        <v>127924.0</v>
      </c>
    </row>
    <row r="1112">
      <c r="A1112" s="6">
        <v>1543.0</v>
      </c>
      <c r="B1112" s="6" t="s">
        <v>4192</v>
      </c>
      <c r="C1112" s="6" t="s">
        <v>4190</v>
      </c>
      <c r="D1112" s="6" t="s">
        <v>4191</v>
      </c>
      <c r="E1112" s="6">
        <v>125852.0</v>
      </c>
    </row>
    <row r="1113">
      <c r="A1113" s="6">
        <v>1544.0</v>
      </c>
      <c r="B1113" s="6" t="s">
        <v>4192</v>
      </c>
      <c r="C1113" s="6" t="s">
        <v>4190</v>
      </c>
      <c r="D1113" s="6" t="s">
        <v>4191</v>
      </c>
      <c r="E1113" s="6">
        <v>124701.0</v>
      </c>
    </row>
    <row r="1114">
      <c r="A1114" s="6">
        <v>1548.0</v>
      </c>
      <c r="B1114" s="6" t="s">
        <v>4194</v>
      </c>
      <c r="C1114" s="6" t="s">
        <v>4190</v>
      </c>
      <c r="D1114" s="6" t="s">
        <v>4191</v>
      </c>
      <c r="E1114" s="6">
        <v>126189.0</v>
      </c>
    </row>
    <row r="1115">
      <c r="A1115" s="6">
        <v>1550.0</v>
      </c>
      <c r="B1115" s="6" t="s">
        <v>4189</v>
      </c>
      <c r="C1115" s="6" t="s">
        <v>4190</v>
      </c>
      <c r="D1115" s="6" t="s">
        <v>4191</v>
      </c>
      <c r="E1115" s="6">
        <v>125013.0</v>
      </c>
    </row>
    <row r="1116">
      <c r="A1116" s="6">
        <v>1556.0</v>
      </c>
      <c r="B1116" s="6" t="s">
        <v>4193</v>
      </c>
      <c r="C1116" s="6" t="s">
        <v>4190</v>
      </c>
      <c r="D1116" s="6" t="s">
        <v>4191</v>
      </c>
      <c r="E1116" s="6">
        <v>127907.0</v>
      </c>
    </row>
    <row r="1117">
      <c r="A1117" s="6">
        <v>1560.0</v>
      </c>
      <c r="B1117" s="6" t="s">
        <v>4192</v>
      </c>
      <c r="C1117" s="6" t="s">
        <v>4190</v>
      </c>
      <c r="D1117" s="6" t="s">
        <v>4191</v>
      </c>
      <c r="E1117" s="6">
        <v>125700.0</v>
      </c>
    </row>
    <row r="1118">
      <c r="A1118" s="6">
        <v>1561.0</v>
      </c>
      <c r="B1118" s="6" t="s">
        <v>4192</v>
      </c>
      <c r="C1118" s="6" t="s">
        <v>4190</v>
      </c>
      <c r="D1118" s="6" t="s">
        <v>4191</v>
      </c>
      <c r="E1118" s="6">
        <v>124667.0</v>
      </c>
    </row>
    <row r="1119">
      <c r="A1119" s="6">
        <v>1562.0</v>
      </c>
      <c r="B1119" s="6" t="s">
        <v>4193</v>
      </c>
      <c r="C1119" s="6" t="s">
        <v>4190</v>
      </c>
      <c r="D1119" s="6" t="s">
        <v>4191</v>
      </c>
      <c r="E1119" s="6">
        <v>128009.0</v>
      </c>
    </row>
    <row r="1120">
      <c r="A1120" s="6">
        <v>1565.0</v>
      </c>
      <c r="B1120" s="6" t="s">
        <v>4192</v>
      </c>
      <c r="C1120" s="6" t="s">
        <v>4190</v>
      </c>
      <c r="D1120" s="6" t="s">
        <v>4191</v>
      </c>
      <c r="E1120" s="6">
        <v>125980.0</v>
      </c>
    </row>
    <row r="1121">
      <c r="A1121" s="6">
        <v>1567.0</v>
      </c>
      <c r="B1121" s="6" t="s">
        <v>4192</v>
      </c>
      <c r="C1121" s="6" t="s">
        <v>4190</v>
      </c>
      <c r="D1121" s="6" t="s">
        <v>4191</v>
      </c>
      <c r="E1121" s="6">
        <v>124606.0</v>
      </c>
    </row>
    <row r="1122">
      <c r="A1122" s="6">
        <v>1568.0</v>
      </c>
      <c r="B1122" s="6" t="s">
        <v>4193</v>
      </c>
      <c r="C1122" s="6" t="s">
        <v>4190</v>
      </c>
      <c r="D1122" s="6" t="s">
        <v>4191</v>
      </c>
      <c r="E1122" s="6">
        <v>127985.0</v>
      </c>
    </row>
    <row r="1123">
      <c r="A1123" s="6">
        <v>1570.0</v>
      </c>
      <c r="B1123" s="6" t="s">
        <v>4194</v>
      </c>
      <c r="C1123" s="6" t="s">
        <v>4190</v>
      </c>
      <c r="D1123" s="6" t="s">
        <v>4191</v>
      </c>
      <c r="E1123" s="6">
        <v>126647.0</v>
      </c>
    </row>
    <row r="1124">
      <c r="A1124" s="6">
        <v>1575.0</v>
      </c>
      <c r="B1124" s="6" t="s">
        <v>4192</v>
      </c>
      <c r="C1124" s="6" t="s">
        <v>4190</v>
      </c>
      <c r="D1124" s="6" t="s">
        <v>4191</v>
      </c>
      <c r="E1124" s="6">
        <v>128901.0</v>
      </c>
    </row>
    <row r="1125">
      <c r="A1125" s="6">
        <v>1576.0</v>
      </c>
      <c r="B1125" s="6" t="s">
        <v>4192</v>
      </c>
      <c r="C1125" s="6" t="s">
        <v>4190</v>
      </c>
      <c r="D1125" s="6" t="s">
        <v>4191</v>
      </c>
      <c r="E1125" s="6">
        <v>126488.0</v>
      </c>
    </row>
    <row r="1126">
      <c r="A1126" s="6">
        <v>1577.0</v>
      </c>
      <c r="B1126" s="6" t="s">
        <v>4189</v>
      </c>
      <c r="C1126" s="6" t="s">
        <v>4190</v>
      </c>
      <c r="D1126" s="6" t="s">
        <v>4191</v>
      </c>
      <c r="E1126" s="6">
        <v>126029.0</v>
      </c>
    </row>
    <row r="1127">
      <c r="A1127" s="6">
        <v>1578.0</v>
      </c>
      <c r="B1127" s="6" t="s">
        <v>4192</v>
      </c>
      <c r="C1127" s="6" t="s">
        <v>4190</v>
      </c>
      <c r="D1127" s="6" t="s">
        <v>4191</v>
      </c>
      <c r="E1127" s="6">
        <v>125664.0</v>
      </c>
    </row>
    <row r="1128">
      <c r="A1128" s="6">
        <v>1580.0</v>
      </c>
      <c r="B1128" s="6" t="s">
        <v>4192</v>
      </c>
      <c r="C1128" s="6" t="s">
        <v>4190</v>
      </c>
      <c r="D1128" s="6" t="s">
        <v>4191</v>
      </c>
      <c r="E1128" s="6">
        <v>125451.0</v>
      </c>
    </row>
    <row r="1129">
      <c r="A1129" s="6">
        <v>1581.0</v>
      </c>
      <c r="B1129" s="6" t="s">
        <v>4192</v>
      </c>
      <c r="C1129" s="6" t="s">
        <v>4190</v>
      </c>
      <c r="D1129" s="6" t="s">
        <v>4191</v>
      </c>
      <c r="E1129" s="6">
        <v>124655.0</v>
      </c>
    </row>
    <row r="1130">
      <c r="A1130" s="6">
        <v>1585.0</v>
      </c>
      <c r="B1130" s="6" t="s">
        <v>4192</v>
      </c>
      <c r="C1130" s="6" t="s">
        <v>4190</v>
      </c>
      <c r="D1130" s="6" t="s">
        <v>4191</v>
      </c>
      <c r="E1130" s="6">
        <v>126282.0</v>
      </c>
    </row>
    <row r="1131">
      <c r="A1131" s="6">
        <v>1586.0</v>
      </c>
      <c r="B1131" s="6" t="s">
        <v>4192</v>
      </c>
      <c r="C1131" s="6" t="s">
        <v>4190</v>
      </c>
      <c r="D1131" s="6" t="s">
        <v>4191</v>
      </c>
      <c r="E1131" s="6">
        <v>125956.0</v>
      </c>
    </row>
    <row r="1132">
      <c r="A1132" s="6">
        <v>1587.0</v>
      </c>
      <c r="B1132" s="6" t="s">
        <v>4192</v>
      </c>
      <c r="C1132" s="6" t="s">
        <v>4190</v>
      </c>
      <c r="D1132" s="6" t="s">
        <v>4191</v>
      </c>
      <c r="E1132" s="6">
        <v>125799.0</v>
      </c>
    </row>
    <row r="1133">
      <c r="A1133" s="6">
        <v>1588.0</v>
      </c>
      <c r="B1133" s="6" t="s">
        <v>4192</v>
      </c>
      <c r="C1133" s="6" t="s">
        <v>4190</v>
      </c>
      <c r="D1133" s="6" t="s">
        <v>4191</v>
      </c>
      <c r="E1133" s="6">
        <v>125373.0</v>
      </c>
    </row>
    <row r="1134">
      <c r="A1134" s="6">
        <v>1591.0</v>
      </c>
      <c r="B1134" s="6" t="s">
        <v>4193</v>
      </c>
      <c r="C1134" s="6" t="s">
        <v>4190</v>
      </c>
      <c r="D1134" s="6" t="s">
        <v>4191</v>
      </c>
      <c r="E1134" s="6">
        <v>127901.0</v>
      </c>
    </row>
    <row r="1135">
      <c r="A1135" s="6">
        <v>1594.0</v>
      </c>
      <c r="B1135" s="6" t="s">
        <v>4192</v>
      </c>
      <c r="C1135" s="6" t="s">
        <v>4190</v>
      </c>
      <c r="D1135" s="6" t="s">
        <v>4191</v>
      </c>
      <c r="E1135" s="6">
        <v>126217.0</v>
      </c>
    </row>
    <row r="1136">
      <c r="A1136" s="6">
        <v>1597.0</v>
      </c>
      <c r="B1136" s="6" t="s">
        <v>4192</v>
      </c>
      <c r="C1136" s="6" t="s">
        <v>4190</v>
      </c>
      <c r="D1136" s="6" t="s">
        <v>4191</v>
      </c>
      <c r="E1136" s="6">
        <v>125472.0</v>
      </c>
    </row>
    <row r="1137">
      <c r="A1137" s="6">
        <v>1598.0</v>
      </c>
      <c r="B1137" s="6" t="s">
        <v>4192</v>
      </c>
      <c r="C1137" s="6" t="s">
        <v>4190</v>
      </c>
      <c r="D1137" s="6" t="s">
        <v>4191</v>
      </c>
      <c r="E1137" s="6">
        <v>129127.0</v>
      </c>
    </row>
    <row r="1138">
      <c r="A1138" s="6">
        <v>1603.0</v>
      </c>
      <c r="B1138" s="6" t="s">
        <v>4192</v>
      </c>
      <c r="C1138" s="6" t="s">
        <v>4190</v>
      </c>
      <c r="D1138" s="6" t="s">
        <v>4191</v>
      </c>
      <c r="E1138" s="6">
        <v>125120.0</v>
      </c>
    </row>
    <row r="1139">
      <c r="A1139" s="6">
        <v>1604.0</v>
      </c>
      <c r="B1139" s="6" t="s">
        <v>4193</v>
      </c>
      <c r="C1139" s="6" t="s">
        <v>4190</v>
      </c>
      <c r="D1139" s="6" t="s">
        <v>4191</v>
      </c>
      <c r="E1139" s="6">
        <v>127948.0</v>
      </c>
    </row>
    <row r="1140">
      <c r="A1140" s="6">
        <v>1610.0</v>
      </c>
      <c r="B1140" s="6" t="s">
        <v>4192</v>
      </c>
      <c r="C1140" s="6" t="s">
        <v>4190</v>
      </c>
      <c r="D1140" s="6" t="s">
        <v>4191</v>
      </c>
      <c r="E1140" s="6">
        <v>124878.0</v>
      </c>
    </row>
    <row r="1141">
      <c r="A1141" s="6">
        <v>1611.0</v>
      </c>
      <c r="B1141" s="6" t="s">
        <v>4192</v>
      </c>
      <c r="C1141" s="6" t="s">
        <v>4190</v>
      </c>
      <c r="D1141" s="6" t="s">
        <v>4191</v>
      </c>
      <c r="E1141" s="6">
        <v>128766.0</v>
      </c>
    </row>
    <row r="1142">
      <c r="A1142" s="6">
        <v>1433.0</v>
      </c>
      <c r="B1142" s="6" t="s">
        <v>4192</v>
      </c>
      <c r="C1142" s="6" t="s">
        <v>4190</v>
      </c>
      <c r="D1142" s="6" t="s">
        <v>4191</v>
      </c>
      <c r="E1142" s="6">
        <v>124550.0</v>
      </c>
    </row>
    <row r="1143">
      <c r="A1143" s="6">
        <v>1434.0</v>
      </c>
      <c r="B1143" s="6" t="s">
        <v>4195</v>
      </c>
      <c r="C1143" s="6" t="s">
        <v>4190</v>
      </c>
      <c r="D1143" s="6" t="s">
        <v>4191</v>
      </c>
      <c r="E1143" s="6">
        <v>129143.0</v>
      </c>
    </row>
    <row r="1144">
      <c r="A1144" s="6">
        <v>1436.0</v>
      </c>
      <c r="B1144" s="6" t="s">
        <v>4192</v>
      </c>
      <c r="C1144" s="6" t="s">
        <v>4190</v>
      </c>
      <c r="D1144" s="6" t="s">
        <v>4191</v>
      </c>
      <c r="E1144" s="6">
        <v>126251.0</v>
      </c>
    </row>
    <row r="1145">
      <c r="A1145" s="6">
        <v>1441.0</v>
      </c>
      <c r="B1145" s="6" t="s">
        <v>4194</v>
      </c>
      <c r="C1145" s="6" t="s">
        <v>4190</v>
      </c>
      <c r="D1145" s="6" t="s">
        <v>4191</v>
      </c>
      <c r="E1145" s="6">
        <v>128450.0</v>
      </c>
    </row>
    <row r="1146">
      <c r="A1146" s="6">
        <v>1443.0</v>
      </c>
      <c r="B1146" s="6" t="s">
        <v>4192</v>
      </c>
      <c r="C1146" s="6" t="s">
        <v>4190</v>
      </c>
      <c r="D1146" s="6" t="s">
        <v>4191</v>
      </c>
      <c r="E1146" s="6">
        <v>126458.0</v>
      </c>
    </row>
    <row r="1147">
      <c r="A1147" s="6">
        <v>1452.0</v>
      </c>
      <c r="B1147" s="6" t="s">
        <v>4192</v>
      </c>
      <c r="C1147" s="6" t="s">
        <v>4190</v>
      </c>
      <c r="D1147" s="6" t="s">
        <v>4191</v>
      </c>
      <c r="E1147" s="6">
        <v>126681.0</v>
      </c>
    </row>
    <row r="1148">
      <c r="A1148" s="6">
        <v>1453.0</v>
      </c>
      <c r="B1148" s="6" t="s">
        <v>4192</v>
      </c>
      <c r="C1148" s="6" t="s">
        <v>4190</v>
      </c>
      <c r="D1148" s="6" t="s">
        <v>4191</v>
      </c>
      <c r="E1148" s="6">
        <v>126491.0</v>
      </c>
    </row>
    <row r="1149">
      <c r="A1149" s="6">
        <v>1456.0</v>
      </c>
      <c r="B1149" s="6" t="s">
        <v>4192</v>
      </c>
      <c r="C1149" s="6" t="s">
        <v>4190</v>
      </c>
      <c r="D1149" s="6" t="s">
        <v>4191</v>
      </c>
      <c r="E1149" s="6">
        <v>125661.0</v>
      </c>
    </row>
    <row r="1150">
      <c r="A1150" s="6">
        <v>1457.0</v>
      </c>
      <c r="B1150" s="6" t="s">
        <v>4192</v>
      </c>
      <c r="C1150" s="6" t="s">
        <v>4190</v>
      </c>
      <c r="D1150" s="6" t="s">
        <v>4191</v>
      </c>
      <c r="E1150" s="6">
        <v>125495.0</v>
      </c>
    </row>
    <row r="1151">
      <c r="A1151" s="6">
        <v>1458.0</v>
      </c>
      <c r="B1151" s="6" t="s">
        <v>4192</v>
      </c>
      <c r="C1151" s="6" t="s">
        <v>4190</v>
      </c>
      <c r="D1151" s="6" t="s">
        <v>4191</v>
      </c>
      <c r="E1151" s="6">
        <v>125021.0</v>
      </c>
    </row>
    <row r="1152">
      <c r="A1152" s="6">
        <v>1460.0</v>
      </c>
      <c r="B1152" s="6" t="s">
        <v>4193</v>
      </c>
      <c r="C1152" s="6" t="s">
        <v>4190</v>
      </c>
      <c r="D1152" s="6" t="s">
        <v>4191</v>
      </c>
      <c r="E1152" s="6">
        <v>128029.0</v>
      </c>
    </row>
    <row r="1153">
      <c r="A1153" s="6">
        <v>1462.0</v>
      </c>
      <c r="B1153" s="6" t="s">
        <v>4192</v>
      </c>
      <c r="C1153" s="6" t="s">
        <v>4190</v>
      </c>
      <c r="D1153" s="6" t="s">
        <v>4191</v>
      </c>
      <c r="E1153" s="6">
        <v>126155.0</v>
      </c>
    </row>
    <row r="1154">
      <c r="A1154" s="6">
        <v>1464.0</v>
      </c>
      <c r="B1154" s="6" t="s">
        <v>4192</v>
      </c>
      <c r="C1154" s="6" t="s">
        <v>4190</v>
      </c>
      <c r="D1154" s="6" t="s">
        <v>4191</v>
      </c>
      <c r="E1154" s="6">
        <v>124915.0</v>
      </c>
    </row>
    <row r="1155">
      <c r="A1155" s="6">
        <v>1614.0</v>
      </c>
      <c r="B1155" s="6" t="s">
        <v>4196</v>
      </c>
      <c r="C1155" s="6" t="s">
        <v>4190</v>
      </c>
      <c r="D1155" s="6" t="s">
        <v>4191</v>
      </c>
      <c r="E1155" s="6">
        <v>125538.0</v>
      </c>
    </row>
    <row r="1156">
      <c r="A1156" s="6">
        <v>1621.0</v>
      </c>
      <c r="B1156" s="6" t="s">
        <v>4192</v>
      </c>
      <c r="C1156" s="6" t="s">
        <v>4190</v>
      </c>
      <c r="D1156" s="6" t="s">
        <v>4191</v>
      </c>
      <c r="E1156" s="6">
        <v>125265.0</v>
      </c>
    </row>
    <row r="1157">
      <c r="A1157" s="6">
        <v>1625.0</v>
      </c>
      <c r="B1157" s="6" t="s">
        <v>4192</v>
      </c>
      <c r="C1157" s="6" t="s">
        <v>4190</v>
      </c>
      <c r="D1157" s="6" t="s">
        <v>4191</v>
      </c>
      <c r="E1157" s="6">
        <v>125545.0</v>
      </c>
    </row>
    <row r="1158">
      <c r="A1158" s="6">
        <v>1626.0</v>
      </c>
      <c r="B1158" s="6" t="s">
        <v>4192</v>
      </c>
      <c r="C1158" s="6" t="s">
        <v>4190</v>
      </c>
      <c r="D1158" s="6" t="s">
        <v>4191</v>
      </c>
      <c r="E1158" s="6">
        <v>125489.0</v>
      </c>
    </row>
    <row r="1159">
      <c r="A1159" s="6">
        <v>1627.0</v>
      </c>
      <c r="B1159" s="6" t="s">
        <v>4192</v>
      </c>
      <c r="C1159" s="6" t="s">
        <v>4190</v>
      </c>
      <c r="D1159" s="6" t="s">
        <v>4191</v>
      </c>
      <c r="E1159" s="6">
        <v>125203.0</v>
      </c>
    </row>
    <row r="1160">
      <c r="A1160" s="6">
        <v>1632.0</v>
      </c>
      <c r="B1160" s="6" t="s">
        <v>4193</v>
      </c>
      <c r="C1160" s="6" t="s">
        <v>4190</v>
      </c>
      <c r="D1160" s="6" t="s">
        <v>4191</v>
      </c>
      <c r="E1160" s="6">
        <v>127965.0</v>
      </c>
    </row>
    <row r="1161">
      <c r="A1161" s="6">
        <v>1635.0</v>
      </c>
      <c r="B1161" s="6" t="s">
        <v>4192</v>
      </c>
      <c r="C1161" s="6" t="s">
        <v>4190</v>
      </c>
      <c r="D1161" s="6" t="s">
        <v>4191</v>
      </c>
      <c r="E1161" s="6">
        <v>125748.0</v>
      </c>
    </row>
    <row r="1162">
      <c r="A1162" s="6">
        <v>1640.0</v>
      </c>
      <c r="B1162" s="6" t="s">
        <v>4189</v>
      </c>
      <c r="C1162" s="6" t="s">
        <v>4190</v>
      </c>
      <c r="D1162" s="6" t="s">
        <v>4191</v>
      </c>
      <c r="E1162" s="6">
        <v>126310.0</v>
      </c>
    </row>
    <row r="1163">
      <c r="A1163" s="6">
        <v>1641.0</v>
      </c>
      <c r="B1163" s="6" t="s">
        <v>4192</v>
      </c>
      <c r="C1163" s="6" t="s">
        <v>4190</v>
      </c>
      <c r="D1163" s="6" t="s">
        <v>4191</v>
      </c>
      <c r="E1163" s="6">
        <v>125325.0</v>
      </c>
    </row>
    <row r="1164">
      <c r="A1164" s="6">
        <v>1644.0</v>
      </c>
      <c r="B1164" s="6" t="s">
        <v>4192</v>
      </c>
      <c r="C1164" s="6" t="s">
        <v>4190</v>
      </c>
      <c r="D1164" s="6" t="s">
        <v>4191</v>
      </c>
      <c r="E1164" s="6">
        <v>126057.0</v>
      </c>
    </row>
    <row r="1165">
      <c r="A1165" s="6">
        <v>1645.0</v>
      </c>
      <c r="B1165" s="6" t="s">
        <v>4192</v>
      </c>
      <c r="C1165" s="6" t="s">
        <v>4190</v>
      </c>
      <c r="D1165" s="6" t="s">
        <v>4191</v>
      </c>
      <c r="E1165" s="6">
        <v>125628.0</v>
      </c>
    </row>
    <row r="1166">
      <c r="A1166" s="6">
        <v>1650.0</v>
      </c>
      <c r="B1166" s="6" t="s">
        <v>4192</v>
      </c>
      <c r="C1166" s="6" t="s">
        <v>4190</v>
      </c>
      <c r="D1166" s="6" t="s">
        <v>4191</v>
      </c>
      <c r="E1166" s="6">
        <v>129012.0</v>
      </c>
    </row>
    <row r="1167">
      <c r="A1167" s="6">
        <v>1651.0</v>
      </c>
      <c r="B1167" s="6" t="s">
        <v>4189</v>
      </c>
      <c r="C1167" s="6" t="s">
        <v>4190</v>
      </c>
      <c r="D1167" s="6" t="s">
        <v>4191</v>
      </c>
      <c r="E1167" s="6">
        <v>126930.0</v>
      </c>
    </row>
    <row r="1168">
      <c r="A1168" s="6">
        <v>1653.0</v>
      </c>
      <c r="B1168" s="6" t="s">
        <v>4192</v>
      </c>
      <c r="C1168" s="6" t="s">
        <v>4190</v>
      </c>
      <c r="D1168" s="6" t="s">
        <v>4191</v>
      </c>
      <c r="E1168" s="6">
        <v>125057.0</v>
      </c>
    </row>
    <row r="1169">
      <c r="A1169" s="6">
        <v>1654.0</v>
      </c>
      <c r="B1169" s="6" t="s">
        <v>4189</v>
      </c>
      <c r="C1169" s="6" t="s">
        <v>4190</v>
      </c>
      <c r="D1169" s="6" t="s">
        <v>4191</v>
      </c>
      <c r="E1169" s="6">
        <v>128645.0</v>
      </c>
    </row>
    <row r="1170">
      <c r="A1170" s="6">
        <v>1656.0</v>
      </c>
      <c r="B1170" s="6" t="s">
        <v>4192</v>
      </c>
      <c r="C1170" s="6" t="s">
        <v>4190</v>
      </c>
      <c r="D1170" s="6" t="s">
        <v>4191</v>
      </c>
      <c r="E1170" s="6">
        <v>125421.0</v>
      </c>
    </row>
    <row r="1171">
      <c r="A1171" s="6">
        <v>1659.0</v>
      </c>
      <c r="B1171" s="6" t="s">
        <v>4194</v>
      </c>
      <c r="C1171" s="6" t="s">
        <v>4190</v>
      </c>
      <c r="D1171" s="6" t="s">
        <v>4191</v>
      </c>
      <c r="E1171" s="6">
        <v>126386.0</v>
      </c>
    </row>
    <row r="1172">
      <c r="A1172" s="6">
        <v>1663.0</v>
      </c>
      <c r="B1172" s="6" t="s">
        <v>4192</v>
      </c>
      <c r="C1172" s="6" t="s">
        <v>4190</v>
      </c>
      <c r="D1172" s="6" t="s">
        <v>4191</v>
      </c>
      <c r="E1172" s="6">
        <v>126427.0</v>
      </c>
    </row>
    <row r="1173">
      <c r="A1173" s="6">
        <v>1665.0</v>
      </c>
      <c r="B1173" s="6" t="s">
        <v>4195</v>
      </c>
      <c r="C1173" s="6" t="s">
        <v>4190</v>
      </c>
      <c r="D1173" s="6" t="s">
        <v>4191</v>
      </c>
      <c r="E1173" s="6">
        <v>128804.0</v>
      </c>
    </row>
    <row r="1174">
      <c r="A1174" s="6">
        <v>1667.0</v>
      </c>
      <c r="B1174" s="6" t="s">
        <v>4192</v>
      </c>
      <c r="C1174" s="6" t="s">
        <v>4190</v>
      </c>
      <c r="D1174" s="6" t="s">
        <v>4191</v>
      </c>
      <c r="E1174" s="6">
        <v>125618.0</v>
      </c>
    </row>
    <row r="1175">
      <c r="A1175" s="6">
        <v>1671.0</v>
      </c>
      <c r="B1175" s="6" t="s">
        <v>4192</v>
      </c>
      <c r="C1175" s="6" t="s">
        <v>4190</v>
      </c>
      <c r="D1175" s="6" t="s">
        <v>4191</v>
      </c>
      <c r="E1175" s="6">
        <v>125586.0</v>
      </c>
    </row>
    <row r="1176">
      <c r="A1176" s="6">
        <v>1672.0</v>
      </c>
      <c r="B1176" s="6" t="s">
        <v>4193</v>
      </c>
      <c r="C1176" s="6" t="s">
        <v>4190</v>
      </c>
      <c r="D1176" s="6" t="s">
        <v>4191</v>
      </c>
      <c r="E1176" s="6">
        <v>127957.0</v>
      </c>
    </row>
    <row r="1177">
      <c r="A1177" s="6">
        <v>1676.0</v>
      </c>
      <c r="B1177" s="6" t="s">
        <v>4197</v>
      </c>
      <c r="C1177" s="6" t="s">
        <v>4190</v>
      </c>
      <c r="D1177" s="6" t="s">
        <v>4191</v>
      </c>
      <c r="E1177" s="6">
        <v>126099.0</v>
      </c>
    </row>
    <row r="1178">
      <c r="A1178" s="6">
        <v>1677.0</v>
      </c>
      <c r="B1178" s="6" t="s">
        <v>4189</v>
      </c>
      <c r="C1178" s="6" t="s">
        <v>4190</v>
      </c>
      <c r="D1178" s="6" t="s">
        <v>4191</v>
      </c>
      <c r="E1178" s="6">
        <v>125875.0</v>
      </c>
    </row>
    <row r="1179">
      <c r="A1179" s="6">
        <v>1679.0</v>
      </c>
      <c r="B1179" s="6" t="s">
        <v>4193</v>
      </c>
      <c r="C1179" s="6" t="s">
        <v>4190</v>
      </c>
      <c r="D1179" s="6" t="s">
        <v>4191</v>
      </c>
      <c r="E1179" s="6">
        <v>127934.0</v>
      </c>
    </row>
    <row r="1180">
      <c r="A1180" s="6">
        <v>1680.0</v>
      </c>
      <c r="B1180" s="6" t="s">
        <v>4192</v>
      </c>
      <c r="C1180" s="6" t="s">
        <v>4190</v>
      </c>
      <c r="D1180" s="6" t="s">
        <v>4191</v>
      </c>
      <c r="E1180" s="6">
        <v>128620.0</v>
      </c>
    </row>
    <row r="1181">
      <c r="A1181" s="6">
        <v>1693.0</v>
      </c>
      <c r="B1181" s="6" t="s">
        <v>4197</v>
      </c>
      <c r="C1181" s="6" t="s">
        <v>4190</v>
      </c>
      <c r="D1181" s="6" t="s">
        <v>4191</v>
      </c>
      <c r="E1181" s="6">
        <v>125966.0</v>
      </c>
    </row>
    <row r="1182">
      <c r="A1182" s="6">
        <v>1698.0</v>
      </c>
      <c r="B1182" s="6" t="s">
        <v>4192</v>
      </c>
      <c r="C1182" s="6" t="s">
        <v>4190</v>
      </c>
      <c r="D1182" s="6" t="s">
        <v>4191</v>
      </c>
      <c r="E1182" s="6">
        <v>125595.0</v>
      </c>
    </row>
    <row r="1183">
      <c r="A1183" s="6">
        <v>1699.0</v>
      </c>
      <c r="B1183" s="6" t="s">
        <v>4194</v>
      </c>
      <c r="C1183" s="6" t="s">
        <v>4190</v>
      </c>
      <c r="D1183" s="6" t="s">
        <v>4191</v>
      </c>
      <c r="E1183" s="6">
        <v>124908.0</v>
      </c>
    </row>
    <row r="1184">
      <c r="A1184" s="6">
        <v>1705.0</v>
      </c>
      <c r="B1184" s="6" t="s">
        <v>4195</v>
      </c>
      <c r="C1184" s="6" t="s">
        <v>4190</v>
      </c>
      <c r="D1184" s="6" t="s">
        <v>4191</v>
      </c>
      <c r="E1184" s="6">
        <v>124648.0</v>
      </c>
    </row>
    <row r="1185">
      <c r="A1185" s="6">
        <v>1707.0</v>
      </c>
      <c r="B1185" s="6" t="s">
        <v>4192</v>
      </c>
      <c r="C1185" s="6" t="s">
        <v>4190</v>
      </c>
      <c r="D1185" s="6" t="s">
        <v>4191</v>
      </c>
      <c r="E1185" s="6">
        <v>126356.0</v>
      </c>
    </row>
    <row r="1186">
      <c r="A1186" s="6">
        <v>1712.0</v>
      </c>
      <c r="B1186" s="6" t="s">
        <v>4192</v>
      </c>
      <c r="C1186" s="6" t="s">
        <v>4190</v>
      </c>
      <c r="D1186" s="6" t="s">
        <v>4191</v>
      </c>
      <c r="E1186" s="6">
        <v>126797.0</v>
      </c>
    </row>
    <row r="1187">
      <c r="A1187" s="6">
        <v>1722.0</v>
      </c>
      <c r="B1187" s="6" t="s">
        <v>4189</v>
      </c>
      <c r="C1187" s="6" t="s">
        <v>4190</v>
      </c>
      <c r="D1187" s="6" t="s">
        <v>4191</v>
      </c>
      <c r="E1187" s="6">
        <v>125676.0</v>
      </c>
    </row>
    <row r="1188">
      <c r="A1188" s="6">
        <v>1729.0</v>
      </c>
      <c r="B1188" s="6" t="s">
        <v>4194</v>
      </c>
      <c r="C1188" s="6" t="s">
        <v>4190</v>
      </c>
      <c r="D1188" s="6" t="s">
        <v>4191</v>
      </c>
      <c r="E1188" s="6">
        <v>128562.0</v>
      </c>
    </row>
    <row r="1189">
      <c r="A1189" s="6">
        <v>2045.0</v>
      </c>
      <c r="B1189" s="6" t="s">
        <v>4192</v>
      </c>
      <c r="C1189" s="6" t="s">
        <v>4190</v>
      </c>
      <c r="D1189" s="6" t="s">
        <v>4191</v>
      </c>
      <c r="E1189" s="6">
        <v>128628.0</v>
      </c>
    </row>
    <row r="1190">
      <c r="A1190" s="6">
        <v>2052.0</v>
      </c>
      <c r="B1190" s="6" t="s">
        <v>4192</v>
      </c>
      <c r="C1190" s="6" t="s">
        <v>4190</v>
      </c>
      <c r="D1190" s="6" t="s">
        <v>4191</v>
      </c>
      <c r="E1190" s="6">
        <v>125036.0</v>
      </c>
    </row>
    <row r="1191">
      <c r="A1191" s="6">
        <v>2054.0</v>
      </c>
      <c r="B1191" s="6" t="s">
        <v>4192</v>
      </c>
      <c r="C1191" s="6" t="s">
        <v>4190</v>
      </c>
      <c r="D1191" s="6" t="s">
        <v>4191</v>
      </c>
      <c r="E1191" s="6">
        <v>126042.0</v>
      </c>
    </row>
    <row r="1192">
      <c r="A1192" s="6">
        <v>2061.0</v>
      </c>
      <c r="B1192" s="6" t="s">
        <v>4189</v>
      </c>
      <c r="C1192" s="6" t="s">
        <v>4190</v>
      </c>
      <c r="D1192" s="6" t="s">
        <v>4191</v>
      </c>
      <c r="E1192" s="6">
        <v>126455.0</v>
      </c>
    </row>
    <row r="1193">
      <c r="A1193" s="6">
        <v>2068.0</v>
      </c>
      <c r="B1193" s="6" t="s">
        <v>4193</v>
      </c>
      <c r="C1193" s="6" t="s">
        <v>4190</v>
      </c>
      <c r="D1193" s="6" t="s">
        <v>4191</v>
      </c>
      <c r="E1193" s="6">
        <v>127916.0</v>
      </c>
    </row>
    <row r="1194">
      <c r="A1194" s="6">
        <v>2074.0</v>
      </c>
      <c r="B1194" s="6" t="s">
        <v>4192</v>
      </c>
      <c r="C1194" s="6" t="s">
        <v>4190</v>
      </c>
      <c r="D1194" s="6" t="s">
        <v>4191</v>
      </c>
      <c r="E1194" s="6">
        <v>125190.0</v>
      </c>
    </row>
    <row r="1195">
      <c r="A1195" s="6">
        <v>2078.0</v>
      </c>
      <c r="B1195" s="6" t="s">
        <v>4189</v>
      </c>
      <c r="C1195" s="6" t="s">
        <v>4190</v>
      </c>
      <c r="D1195" s="6" t="s">
        <v>4191</v>
      </c>
      <c r="E1195" s="6">
        <v>126531.0</v>
      </c>
    </row>
    <row r="1196">
      <c r="A1196" s="6">
        <v>2091.0</v>
      </c>
      <c r="B1196" s="6" t="s">
        <v>4192</v>
      </c>
      <c r="C1196" s="6" t="s">
        <v>4190</v>
      </c>
      <c r="D1196" s="6" t="s">
        <v>4191</v>
      </c>
      <c r="E1196" s="6">
        <v>124851.0</v>
      </c>
    </row>
    <row r="1197">
      <c r="A1197" s="6">
        <v>2096.0</v>
      </c>
      <c r="B1197" s="6" t="s">
        <v>4195</v>
      </c>
      <c r="C1197" s="6" t="s">
        <v>4190</v>
      </c>
      <c r="D1197" s="6" t="s">
        <v>4191</v>
      </c>
      <c r="E1197" s="6">
        <v>124911.0</v>
      </c>
    </row>
    <row r="1198">
      <c r="A1198" s="6">
        <v>3291.0</v>
      </c>
      <c r="B1198" s="6" t="s">
        <v>4189</v>
      </c>
      <c r="C1198" s="6" t="s">
        <v>4190</v>
      </c>
      <c r="D1198" s="6" t="s">
        <v>4191</v>
      </c>
      <c r="E1198" s="6">
        <v>125561.0</v>
      </c>
    </row>
    <row r="1199">
      <c r="A1199" s="6">
        <v>3293.0</v>
      </c>
      <c r="B1199" s="6" t="s">
        <v>4193</v>
      </c>
      <c r="C1199" s="6" t="s">
        <v>4190</v>
      </c>
      <c r="D1199" s="6" t="s">
        <v>4191</v>
      </c>
      <c r="E1199" s="6">
        <v>127930.0</v>
      </c>
    </row>
    <row r="1200">
      <c r="A1200" s="6">
        <v>3295.0</v>
      </c>
      <c r="B1200" s="6" t="s">
        <v>4192</v>
      </c>
      <c r="C1200" s="6" t="s">
        <v>4190</v>
      </c>
      <c r="D1200" s="6" t="s">
        <v>4191</v>
      </c>
      <c r="E1200" s="6">
        <v>126131.0</v>
      </c>
    </row>
    <row r="1201">
      <c r="A1201" s="6">
        <v>3297.0</v>
      </c>
      <c r="B1201" s="6" t="s">
        <v>4189</v>
      </c>
      <c r="C1201" s="6" t="s">
        <v>4190</v>
      </c>
      <c r="D1201" s="6" t="s">
        <v>4191</v>
      </c>
      <c r="E1201" s="6">
        <v>125322.0</v>
      </c>
    </row>
    <row r="1202">
      <c r="A1202" s="6">
        <v>3298.0</v>
      </c>
      <c r="B1202" s="6" t="s">
        <v>4189</v>
      </c>
      <c r="C1202" s="6" t="s">
        <v>4190</v>
      </c>
      <c r="D1202" s="6" t="s">
        <v>4191</v>
      </c>
      <c r="E1202" s="6">
        <v>129176.0</v>
      </c>
    </row>
    <row r="1203">
      <c r="A1203" s="6">
        <v>3562.0</v>
      </c>
      <c r="B1203" s="6" t="s">
        <v>4195</v>
      </c>
      <c r="C1203" s="6" t="s">
        <v>4190</v>
      </c>
      <c r="D1203" s="6" t="s">
        <v>4191</v>
      </c>
      <c r="E1203" s="6">
        <v>128458.0</v>
      </c>
    </row>
    <row r="1204">
      <c r="A1204" s="6">
        <v>3301.0</v>
      </c>
      <c r="B1204" s="6" t="s">
        <v>4192</v>
      </c>
      <c r="C1204" s="6" t="s">
        <v>4190</v>
      </c>
      <c r="D1204" s="6" t="s">
        <v>4191</v>
      </c>
      <c r="E1204" s="6">
        <v>129004.0</v>
      </c>
    </row>
    <row r="1205">
      <c r="A1205" s="6">
        <v>3302.0</v>
      </c>
      <c r="B1205" s="6" t="s">
        <v>4192</v>
      </c>
      <c r="C1205" s="6" t="s">
        <v>4190</v>
      </c>
      <c r="D1205" s="6" t="s">
        <v>4191</v>
      </c>
      <c r="E1205" s="6">
        <v>126928.0</v>
      </c>
    </row>
    <row r="1206">
      <c r="A1206" s="6">
        <v>3304.0</v>
      </c>
      <c r="B1206" s="6" t="s">
        <v>4195</v>
      </c>
      <c r="C1206" s="6" t="s">
        <v>4190</v>
      </c>
      <c r="D1206" s="6" t="s">
        <v>4191</v>
      </c>
      <c r="E1206" s="6">
        <v>128641.0</v>
      </c>
    </row>
    <row r="1207">
      <c r="A1207" s="6">
        <v>3310.0</v>
      </c>
      <c r="B1207" s="6" t="s">
        <v>4192</v>
      </c>
      <c r="C1207" s="6" t="s">
        <v>4190</v>
      </c>
      <c r="D1207" s="6" t="s">
        <v>4191</v>
      </c>
      <c r="E1207" s="6">
        <v>124951.0</v>
      </c>
    </row>
    <row r="1208">
      <c r="A1208" s="6">
        <v>3311.0</v>
      </c>
      <c r="B1208" s="6" t="s">
        <v>4193</v>
      </c>
      <c r="C1208" s="6" t="s">
        <v>4190</v>
      </c>
      <c r="D1208" s="6" t="s">
        <v>4191</v>
      </c>
      <c r="E1208" s="6">
        <v>127973.0</v>
      </c>
    </row>
    <row r="1209">
      <c r="A1209" s="6">
        <v>3319.0</v>
      </c>
      <c r="B1209" s="6" t="s">
        <v>4193</v>
      </c>
      <c r="C1209" s="6" t="s">
        <v>4190</v>
      </c>
      <c r="D1209" s="6" t="s">
        <v>4191</v>
      </c>
      <c r="E1209" s="6">
        <v>127936.0</v>
      </c>
    </row>
    <row r="1210">
      <c r="A1210" s="6">
        <v>3320.0</v>
      </c>
      <c r="B1210" s="6" t="s">
        <v>4192</v>
      </c>
      <c r="C1210" s="6" t="s">
        <v>4190</v>
      </c>
      <c r="D1210" s="6" t="s">
        <v>4191</v>
      </c>
      <c r="E1210" s="6">
        <v>126954.0</v>
      </c>
    </row>
    <row r="1211">
      <c r="A1211" s="6">
        <v>3323.0</v>
      </c>
      <c r="B1211" s="6" t="s">
        <v>4192</v>
      </c>
      <c r="C1211" s="6" t="s">
        <v>4190</v>
      </c>
      <c r="D1211" s="6" t="s">
        <v>4191</v>
      </c>
      <c r="E1211" s="6">
        <v>128351.0</v>
      </c>
    </row>
    <row r="1212">
      <c r="A1212" s="6">
        <v>3325.0</v>
      </c>
      <c r="B1212" s="6" t="s">
        <v>4192</v>
      </c>
      <c r="C1212" s="6" t="s">
        <v>4190</v>
      </c>
      <c r="D1212" s="6" t="s">
        <v>4191</v>
      </c>
      <c r="E1212" s="6">
        <v>126550.0</v>
      </c>
    </row>
    <row r="1213">
      <c r="A1213" s="6">
        <v>3327.0</v>
      </c>
      <c r="B1213" s="6" t="s">
        <v>4192</v>
      </c>
      <c r="C1213" s="6" t="s">
        <v>4190</v>
      </c>
      <c r="D1213" s="6" t="s">
        <v>4191</v>
      </c>
      <c r="E1213" s="6">
        <v>125549.0</v>
      </c>
    </row>
    <row r="1214">
      <c r="A1214" s="6">
        <v>3328.0</v>
      </c>
      <c r="B1214" s="6" t="s">
        <v>4192</v>
      </c>
      <c r="C1214" s="6" t="s">
        <v>4190</v>
      </c>
      <c r="D1214" s="6" t="s">
        <v>4191</v>
      </c>
      <c r="E1214" s="6">
        <v>128617.0</v>
      </c>
    </row>
    <row r="1215">
      <c r="A1215" s="6">
        <v>3332.0</v>
      </c>
      <c r="B1215" s="6" t="s">
        <v>4193</v>
      </c>
      <c r="C1215" s="6" t="s">
        <v>4190</v>
      </c>
      <c r="D1215" s="6" t="s">
        <v>4191</v>
      </c>
      <c r="E1215" s="6">
        <v>128006.0</v>
      </c>
    </row>
    <row r="1216">
      <c r="A1216" s="6">
        <v>3333.0</v>
      </c>
      <c r="B1216" s="6" t="s">
        <v>4189</v>
      </c>
      <c r="C1216" s="6" t="s">
        <v>4190</v>
      </c>
      <c r="D1216" s="6" t="s">
        <v>4191</v>
      </c>
      <c r="E1216" s="6">
        <v>128536.0</v>
      </c>
    </row>
    <row r="1217">
      <c r="A1217" s="6">
        <v>3337.0</v>
      </c>
      <c r="B1217" s="6" t="s">
        <v>4192</v>
      </c>
      <c r="C1217" s="6" t="s">
        <v>4190</v>
      </c>
      <c r="D1217" s="6" t="s">
        <v>4191</v>
      </c>
      <c r="E1217" s="6">
        <v>125615.0</v>
      </c>
    </row>
    <row r="1218">
      <c r="A1218" s="6">
        <v>3341.0</v>
      </c>
      <c r="B1218" s="6" t="s">
        <v>4192</v>
      </c>
      <c r="C1218" s="6" t="s">
        <v>4190</v>
      </c>
      <c r="D1218" s="6" t="s">
        <v>4191</v>
      </c>
      <c r="E1218" s="6">
        <v>126591.0</v>
      </c>
    </row>
    <row r="1219">
      <c r="A1219" s="6">
        <v>3359.0</v>
      </c>
      <c r="B1219" s="6" t="s">
        <v>4192</v>
      </c>
      <c r="C1219" s="6" t="s">
        <v>4190</v>
      </c>
      <c r="D1219" s="6" t="s">
        <v>4191</v>
      </c>
      <c r="E1219" s="6">
        <v>128435.0</v>
      </c>
    </row>
    <row r="1220">
      <c r="A1220" s="6">
        <v>3360.0</v>
      </c>
      <c r="B1220" s="6" t="s">
        <v>4197</v>
      </c>
      <c r="C1220" s="6" t="s">
        <v>4190</v>
      </c>
      <c r="D1220" s="6" t="s">
        <v>4191</v>
      </c>
      <c r="E1220" s="6">
        <v>126559.0</v>
      </c>
    </row>
    <row r="1221">
      <c r="A1221" s="6">
        <v>2380.0</v>
      </c>
      <c r="B1221" s="6" t="s">
        <v>4192</v>
      </c>
      <c r="C1221" s="6" t="s">
        <v>4190</v>
      </c>
      <c r="D1221" s="6" t="s">
        <v>4191</v>
      </c>
      <c r="E1221" s="6">
        <v>3655.0</v>
      </c>
    </row>
    <row r="1222">
      <c r="A1222" s="6">
        <v>3365.0</v>
      </c>
      <c r="B1222" s="6" t="s">
        <v>4195</v>
      </c>
      <c r="C1222" s="6" t="s">
        <v>4190</v>
      </c>
      <c r="D1222" s="6" t="s">
        <v>4191</v>
      </c>
      <c r="E1222" s="6">
        <v>124770.0</v>
      </c>
    </row>
    <row r="1223">
      <c r="A1223" s="6">
        <v>3370.0</v>
      </c>
      <c r="B1223" s="6" t="s">
        <v>4197</v>
      </c>
      <c r="C1223" s="6" t="s">
        <v>4190</v>
      </c>
      <c r="D1223" s="6" t="s">
        <v>4191</v>
      </c>
      <c r="E1223" s="6">
        <v>125126.0</v>
      </c>
    </row>
    <row r="1224">
      <c r="A1224" s="6">
        <v>3372.0</v>
      </c>
      <c r="B1224" s="6" t="s">
        <v>4189</v>
      </c>
      <c r="C1224" s="6" t="s">
        <v>4190</v>
      </c>
      <c r="D1224" s="6" t="s">
        <v>4191</v>
      </c>
      <c r="E1224" s="6">
        <v>128710.0</v>
      </c>
    </row>
    <row r="1225">
      <c r="A1225" s="6">
        <v>3373.0</v>
      </c>
      <c r="B1225" s="6" t="s">
        <v>4192</v>
      </c>
      <c r="C1225" s="6" t="s">
        <v>4190</v>
      </c>
      <c r="D1225" s="6" t="s">
        <v>4191</v>
      </c>
      <c r="E1225" s="6">
        <v>126285.0</v>
      </c>
    </row>
    <row r="1226">
      <c r="A1226" s="6">
        <v>3375.0</v>
      </c>
      <c r="B1226" s="6" t="s">
        <v>4192</v>
      </c>
      <c r="C1226" s="6" t="s">
        <v>4190</v>
      </c>
      <c r="D1226" s="6" t="s">
        <v>4191</v>
      </c>
      <c r="E1226" s="6">
        <v>125475.0</v>
      </c>
    </row>
    <row r="1227">
      <c r="A1227" s="6">
        <v>3342.0</v>
      </c>
      <c r="B1227" s="6" t="s">
        <v>4194</v>
      </c>
      <c r="C1227" s="6" t="s">
        <v>4190</v>
      </c>
      <c r="D1227" s="6" t="s">
        <v>4191</v>
      </c>
      <c r="E1227" s="6">
        <v>126015.0</v>
      </c>
    </row>
    <row r="1228">
      <c r="A1228" s="6">
        <v>3380.0</v>
      </c>
      <c r="B1228" s="6" t="s">
        <v>4194</v>
      </c>
      <c r="C1228" s="6" t="s">
        <v>4190</v>
      </c>
      <c r="D1228" s="6" t="s">
        <v>4191</v>
      </c>
      <c r="E1228" s="6">
        <v>126443.0</v>
      </c>
    </row>
    <row r="1229">
      <c r="A1229" s="6">
        <v>3382.0</v>
      </c>
      <c r="B1229" s="6" t="s">
        <v>4192</v>
      </c>
      <c r="C1229" s="6" t="s">
        <v>4190</v>
      </c>
      <c r="D1229" s="6" t="s">
        <v>4191</v>
      </c>
      <c r="E1229" s="6">
        <v>125672.0</v>
      </c>
    </row>
    <row r="1230">
      <c r="A1230" s="6">
        <v>3383.0</v>
      </c>
      <c r="B1230" s="6" t="s">
        <v>4192</v>
      </c>
      <c r="C1230" s="6" t="s">
        <v>4190</v>
      </c>
      <c r="D1230" s="6" t="s">
        <v>4191</v>
      </c>
      <c r="E1230" s="6">
        <v>125436.0</v>
      </c>
    </row>
    <row r="1231">
      <c r="A1231" s="6">
        <v>3387.0</v>
      </c>
      <c r="B1231" s="6" t="s">
        <v>4192</v>
      </c>
      <c r="C1231" s="6" t="s">
        <v>4190</v>
      </c>
      <c r="D1231" s="6" t="s">
        <v>4191</v>
      </c>
      <c r="E1231" s="6">
        <v>126416.0</v>
      </c>
    </row>
    <row r="1232">
      <c r="A1232" s="6">
        <v>3393.0</v>
      </c>
      <c r="B1232" s="6" t="s">
        <v>4192</v>
      </c>
      <c r="C1232" s="6" t="s">
        <v>4190</v>
      </c>
      <c r="D1232" s="6" t="s">
        <v>4191</v>
      </c>
      <c r="E1232" s="6">
        <v>125383.0</v>
      </c>
    </row>
    <row r="1233">
      <c r="A1233" s="6">
        <v>2414.0</v>
      </c>
      <c r="B1233" s="6" t="s">
        <v>4194</v>
      </c>
      <c r="C1233" s="6" t="s">
        <v>4190</v>
      </c>
      <c r="D1233" s="6" t="s">
        <v>4191</v>
      </c>
      <c r="E1233" s="6">
        <v>3924.0</v>
      </c>
    </row>
    <row r="1234">
      <c r="A1234" s="6">
        <v>3394.0</v>
      </c>
      <c r="B1234" s="6" t="s">
        <v>4193</v>
      </c>
      <c r="C1234" s="6" t="s">
        <v>4190</v>
      </c>
      <c r="D1234" s="6" t="s">
        <v>4191</v>
      </c>
      <c r="E1234" s="6">
        <v>128091.0</v>
      </c>
    </row>
    <row r="1235">
      <c r="A1235" s="6">
        <v>3397.0</v>
      </c>
      <c r="B1235" s="6" t="s">
        <v>4192</v>
      </c>
      <c r="C1235" s="6" t="s">
        <v>4190</v>
      </c>
      <c r="D1235" s="6" t="s">
        <v>4191</v>
      </c>
      <c r="E1235" s="6">
        <v>124626.0</v>
      </c>
    </row>
    <row r="1236">
      <c r="A1236" s="6">
        <v>3398.0</v>
      </c>
      <c r="B1236" s="6" t="s">
        <v>4192</v>
      </c>
      <c r="C1236" s="6" t="s">
        <v>4190</v>
      </c>
      <c r="D1236" s="6" t="s">
        <v>4191</v>
      </c>
      <c r="E1236" s="6">
        <v>129062.0</v>
      </c>
    </row>
    <row r="1237">
      <c r="A1237" s="6">
        <v>3401.0</v>
      </c>
      <c r="B1237" s="6" t="s">
        <v>4192</v>
      </c>
      <c r="C1237" s="6" t="s">
        <v>4190</v>
      </c>
      <c r="D1237" s="6" t="s">
        <v>4191</v>
      </c>
      <c r="E1237" s="6">
        <v>128549.0</v>
      </c>
    </row>
    <row r="1238">
      <c r="A1238" s="6">
        <v>3404.0</v>
      </c>
      <c r="B1238" s="6" t="s">
        <v>4192</v>
      </c>
      <c r="C1238" s="6" t="s">
        <v>4190</v>
      </c>
      <c r="D1238" s="6" t="s">
        <v>4191</v>
      </c>
      <c r="E1238" s="6">
        <v>128622.0</v>
      </c>
    </row>
    <row r="1239">
      <c r="A1239" s="6">
        <v>3405.0</v>
      </c>
      <c r="B1239" s="6" t="s">
        <v>4192</v>
      </c>
      <c r="C1239" s="6" t="s">
        <v>4190</v>
      </c>
      <c r="D1239" s="6" t="s">
        <v>4191</v>
      </c>
      <c r="E1239" s="6">
        <v>126230.0</v>
      </c>
    </row>
    <row r="1240">
      <c r="A1240" s="6">
        <v>3406.0</v>
      </c>
      <c r="B1240" s="6" t="s">
        <v>4192</v>
      </c>
      <c r="C1240" s="6" t="s">
        <v>4190</v>
      </c>
      <c r="D1240" s="6" t="s">
        <v>4191</v>
      </c>
      <c r="E1240" s="6">
        <v>125396.0</v>
      </c>
    </row>
    <row r="1241">
      <c r="A1241" s="6">
        <v>3409.0</v>
      </c>
      <c r="B1241" s="6" t="s">
        <v>4193</v>
      </c>
      <c r="C1241" s="6" t="s">
        <v>4190</v>
      </c>
      <c r="D1241" s="6" t="s">
        <v>4191</v>
      </c>
      <c r="E1241" s="6">
        <v>128026.0</v>
      </c>
    </row>
    <row r="1242">
      <c r="A1242" s="6">
        <v>3414.0</v>
      </c>
      <c r="B1242" s="6" t="s">
        <v>4192</v>
      </c>
      <c r="C1242" s="6" t="s">
        <v>4190</v>
      </c>
      <c r="D1242" s="6" t="s">
        <v>4191</v>
      </c>
      <c r="E1242" s="6">
        <v>126260.0</v>
      </c>
    </row>
    <row r="1243">
      <c r="A1243" s="6">
        <v>3415.0</v>
      </c>
      <c r="B1243" s="6" t="s">
        <v>4192</v>
      </c>
      <c r="C1243" s="6" t="s">
        <v>4190</v>
      </c>
      <c r="D1243" s="6" t="s">
        <v>4191</v>
      </c>
      <c r="E1243" s="6">
        <v>125938.0</v>
      </c>
    </row>
    <row r="1244">
      <c r="A1244" s="6">
        <v>3350.0</v>
      </c>
      <c r="B1244" s="6" t="s">
        <v>4193</v>
      </c>
      <c r="C1244" s="6" t="s">
        <v>4190</v>
      </c>
      <c r="D1244" s="6" t="s">
        <v>4191</v>
      </c>
      <c r="E1244" s="6">
        <v>127942.0</v>
      </c>
    </row>
    <row r="1245">
      <c r="A1245" s="6">
        <v>3438.0</v>
      </c>
      <c r="B1245" s="6" t="s">
        <v>4192</v>
      </c>
      <c r="C1245" s="6" t="s">
        <v>4190</v>
      </c>
      <c r="D1245" s="6" t="s">
        <v>4191</v>
      </c>
      <c r="E1245" s="6">
        <v>125553.0</v>
      </c>
    </row>
    <row r="1246">
      <c r="A1246" s="6">
        <v>3440.0</v>
      </c>
      <c r="B1246" s="6" t="s">
        <v>4194</v>
      </c>
      <c r="C1246" s="6" t="s">
        <v>4190</v>
      </c>
      <c r="D1246" s="6" t="s">
        <v>4191</v>
      </c>
      <c r="E1246" s="6">
        <v>128719.0</v>
      </c>
    </row>
    <row r="1247">
      <c r="A1247" s="6">
        <v>3442.0</v>
      </c>
      <c r="B1247" s="6" t="s">
        <v>4189</v>
      </c>
      <c r="C1247" s="6" t="s">
        <v>4190</v>
      </c>
      <c r="D1247" s="6" t="s">
        <v>4191</v>
      </c>
      <c r="E1247" s="6">
        <v>126122.0</v>
      </c>
    </row>
    <row r="1248">
      <c r="A1248" s="6">
        <v>3443.0</v>
      </c>
      <c r="B1248" s="6" t="s">
        <v>4196</v>
      </c>
      <c r="C1248" s="6" t="s">
        <v>4190</v>
      </c>
      <c r="D1248" s="6" t="s">
        <v>4191</v>
      </c>
      <c r="E1248" s="6">
        <v>125588.0</v>
      </c>
    </row>
    <row r="1249">
      <c r="A1249" s="6">
        <v>3446.0</v>
      </c>
      <c r="B1249" s="6" t="s">
        <v>4192</v>
      </c>
      <c r="C1249" s="6" t="s">
        <v>4190</v>
      </c>
      <c r="D1249" s="6" t="s">
        <v>4191</v>
      </c>
      <c r="E1249" s="6">
        <v>124712.0</v>
      </c>
    </row>
    <row r="1250">
      <c r="A1250" s="6">
        <v>3447.0</v>
      </c>
      <c r="B1250" s="6" t="s">
        <v>4192</v>
      </c>
      <c r="C1250" s="6" t="s">
        <v>4190</v>
      </c>
      <c r="D1250" s="6" t="s">
        <v>4191</v>
      </c>
      <c r="E1250" s="6">
        <v>128612.0</v>
      </c>
    </row>
    <row r="1251">
      <c r="A1251" s="6">
        <v>3449.0</v>
      </c>
      <c r="B1251" s="6" t="s">
        <v>4192</v>
      </c>
      <c r="C1251" s="6" t="s">
        <v>4190</v>
      </c>
      <c r="D1251" s="6" t="s">
        <v>4191</v>
      </c>
      <c r="E1251" s="6">
        <v>126070.0</v>
      </c>
    </row>
    <row r="1252">
      <c r="A1252" s="6">
        <v>3452.0</v>
      </c>
      <c r="B1252" s="6" t="s">
        <v>4192</v>
      </c>
      <c r="C1252" s="6" t="s">
        <v>4190</v>
      </c>
      <c r="D1252" s="6" t="s">
        <v>4191</v>
      </c>
      <c r="E1252" s="6">
        <v>126912.0</v>
      </c>
    </row>
    <row r="1253">
      <c r="A1253" s="6">
        <v>3453.0</v>
      </c>
      <c r="B1253" s="6" t="s">
        <v>4192</v>
      </c>
      <c r="C1253" s="6" t="s">
        <v>4190</v>
      </c>
      <c r="D1253" s="6" t="s">
        <v>4191</v>
      </c>
      <c r="E1253" s="6">
        <v>126894.0</v>
      </c>
    </row>
    <row r="1254">
      <c r="A1254" s="6">
        <v>3460.0</v>
      </c>
      <c r="B1254" s="6" t="s">
        <v>4194</v>
      </c>
      <c r="C1254" s="6" t="s">
        <v>4190</v>
      </c>
      <c r="D1254" s="6" t="s">
        <v>4191</v>
      </c>
      <c r="E1254" s="6">
        <v>126422.0</v>
      </c>
    </row>
    <row r="1255">
      <c r="A1255" s="6">
        <v>3461.0</v>
      </c>
      <c r="B1255" s="6" t="s">
        <v>4189</v>
      </c>
      <c r="C1255" s="6" t="s">
        <v>4190</v>
      </c>
      <c r="D1255" s="6" t="s">
        <v>4191</v>
      </c>
      <c r="E1255" s="6">
        <v>124894.0</v>
      </c>
    </row>
    <row r="1256">
      <c r="A1256" s="6">
        <v>3462.0</v>
      </c>
      <c r="B1256" s="6" t="s">
        <v>4193</v>
      </c>
      <c r="C1256" s="6" t="s">
        <v>4190</v>
      </c>
      <c r="D1256" s="6" t="s">
        <v>4191</v>
      </c>
      <c r="E1256" s="6">
        <v>128088.0</v>
      </c>
    </row>
    <row r="1257">
      <c r="A1257" s="6">
        <v>3464.0</v>
      </c>
      <c r="B1257" s="6" t="s">
        <v>4192</v>
      </c>
      <c r="C1257" s="6" t="s">
        <v>4190</v>
      </c>
      <c r="D1257" s="6" t="s">
        <v>4191</v>
      </c>
      <c r="E1257" s="6">
        <v>128348.0</v>
      </c>
    </row>
    <row r="1258">
      <c r="A1258" s="6">
        <v>3467.0</v>
      </c>
      <c r="B1258" s="6" t="s">
        <v>4192</v>
      </c>
      <c r="C1258" s="6" t="s">
        <v>4190</v>
      </c>
      <c r="D1258" s="6" t="s">
        <v>4191</v>
      </c>
      <c r="E1258" s="6">
        <v>125612.0</v>
      </c>
    </row>
    <row r="1259">
      <c r="A1259" s="6">
        <v>3468.0</v>
      </c>
      <c r="B1259" s="6" t="s">
        <v>4192</v>
      </c>
      <c r="C1259" s="6" t="s">
        <v>4190</v>
      </c>
      <c r="D1259" s="6" t="s">
        <v>4191</v>
      </c>
      <c r="E1259" s="6">
        <v>125358.0</v>
      </c>
    </row>
    <row r="1260">
      <c r="A1260" s="6">
        <v>3469.0</v>
      </c>
      <c r="B1260" s="6" t="s">
        <v>4192</v>
      </c>
      <c r="C1260" s="6" t="s">
        <v>4190</v>
      </c>
      <c r="D1260" s="6" t="s">
        <v>4191</v>
      </c>
      <c r="E1260" s="6">
        <v>125137.0</v>
      </c>
    </row>
    <row r="1261">
      <c r="A1261" s="6">
        <v>3470.0</v>
      </c>
      <c r="B1261" s="6" t="s">
        <v>4192</v>
      </c>
      <c r="C1261" s="6" t="s">
        <v>4190</v>
      </c>
      <c r="D1261" s="6" t="s">
        <v>4191</v>
      </c>
      <c r="E1261" s="6">
        <v>128843.0</v>
      </c>
    </row>
    <row r="1262">
      <c r="A1262" s="6">
        <v>3474.0</v>
      </c>
      <c r="B1262" s="6" t="s">
        <v>4192</v>
      </c>
      <c r="C1262" s="6" t="s">
        <v>4190</v>
      </c>
      <c r="D1262" s="6" t="s">
        <v>4191</v>
      </c>
      <c r="E1262" s="6">
        <v>125905.0</v>
      </c>
    </row>
    <row r="1263">
      <c r="A1263" s="6">
        <v>3476.0</v>
      </c>
      <c r="B1263" s="6" t="s">
        <v>4193</v>
      </c>
      <c r="C1263" s="6" t="s">
        <v>4190</v>
      </c>
      <c r="D1263" s="6" t="s">
        <v>4191</v>
      </c>
      <c r="E1263" s="6">
        <v>128003.0</v>
      </c>
    </row>
    <row r="1264">
      <c r="A1264" s="6">
        <v>3481.0</v>
      </c>
      <c r="B1264" s="6" t="s">
        <v>4192</v>
      </c>
      <c r="C1264" s="6" t="s">
        <v>4190</v>
      </c>
      <c r="D1264" s="6" t="s">
        <v>4191</v>
      </c>
      <c r="E1264" s="6">
        <v>126500.0</v>
      </c>
    </row>
    <row r="1265">
      <c r="A1265" s="6">
        <v>3483.0</v>
      </c>
      <c r="B1265" s="6" t="s">
        <v>4192</v>
      </c>
      <c r="C1265" s="6" t="s">
        <v>4190</v>
      </c>
      <c r="D1265" s="6" t="s">
        <v>4191</v>
      </c>
      <c r="E1265" s="6">
        <v>126742.0</v>
      </c>
    </row>
    <row r="1266">
      <c r="A1266" s="6">
        <v>3487.0</v>
      </c>
      <c r="B1266" s="6" t="s">
        <v>4192</v>
      </c>
      <c r="C1266" s="6" t="s">
        <v>4190</v>
      </c>
      <c r="D1266" s="6" t="s">
        <v>4191</v>
      </c>
      <c r="E1266" s="6">
        <v>124629.0</v>
      </c>
    </row>
    <row r="1267">
      <c r="A1267" s="6">
        <v>3490.0</v>
      </c>
      <c r="B1267" s="6" t="s">
        <v>4192</v>
      </c>
      <c r="C1267" s="6" t="s">
        <v>4190</v>
      </c>
      <c r="D1267" s="6" t="s">
        <v>4191</v>
      </c>
      <c r="E1267" s="6">
        <v>125961.0</v>
      </c>
    </row>
    <row r="1268">
      <c r="A1268" s="6">
        <v>3492.0</v>
      </c>
      <c r="B1268" s="6" t="s">
        <v>4194</v>
      </c>
      <c r="C1268" s="6" t="s">
        <v>4190</v>
      </c>
      <c r="D1268" s="6" t="s">
        <v>4191</v>
      </c>
      <c r="E1268" s="6">
        <v>124988.0</v>
      </c>
    </row>
    <row r="1269">
      <c r="A1269" s="6">
        <v>3493.0</v>
      </c>
      <c r="B1269" s="6" t="s">
        <v>4193</v>
      </c>
      <c r="C1269" s="6" t="s">
        <v>4190</v>
      </c>
      <c r="D1269" s="6" t="s">
        <v>4191</v>
      </c>
      <c r="E1269" s="6">
        <v>128042.0</v>
      </c>
    </row>
    <row r="1270">
      <c r="A1270" s="6">
        <v>3355.0</v>
      </c>
      <c r="B1270" s="6" t="s">
        <v>4195</v>
      </c>
      <c r="C1270" s="6" t="s">
        <v>4190</v>
      </c>
      <c r="D1270" s="6" t="s">
        <v>4191</v>
      </c>
      <c r="E1270" s="6">
        <v>129149.0</v>
      </c>
    </row>
    <row r="1271">
      <c r="A1271" s="6">
        <v>3502.0</v>
      </c>
      <c r="B1271" s="6" t="s">
        <v>4195</v>
      </c>
      <c r="C1271" s="6" t="s">
        <v>4190</v>
      </c>
      <c r="D1271" s="6" t="s">
        <v>4191</v>
      </c>
      <c r="E1271" s="6">
        <v>126198.0</v>
      </c>
    </row>
    <row r="1272">
      <c r="A1272" s="6">
        <v>3504.0</v>
      </c>
      <c r="B1272" s="6" t="s">
        <v>4194</v>
      </c>
      <c r="C1272" s="6" t="s">
        <v>4190</v>
      </c>
      <c r="D1272" s="6" t="s">
        <v>4191</v>
      </c>
      <c r="E1272" s="6">
        <v>126227.0</v>
      </c>
    </row>
    <row r="1273">
      <c r="A1273" s="6">
        <v>3506.0</v>
      </c>
      <c r="B1273" s="6" t="s">
        <v>4192</v>
      </c>
      <c r="C1273" s="6" t="s">
        <v>4190</v>
      </c>
      <c r="D1273" s="6" t="s">
        <v>4191</v>
      </c>
      <c r="E1273" s="6">
        <v>125087.0</v>
      </c>
    </row>
    <row r="1274">
      <c r="A1274" s="6">
        <v>3508.0</v>
      </c>
      <c r="B1274" s="6" t="s">
        <v>4192</v>
      </c>
      <c r="C1274" s="6" t="s">
        <v>4190</v>
      </c>
      <c r="D1274" s="6" t="s">
        <v>4191</v>
      </c>
      <c r="E1274" s="6">
        <v>126045.0</v>
      </c>
    </row>
    <row r="1275">
      <c r="A1275" s="6">
        <v>3511.0</v>
      </c>
      <c r="B1275" s="6" t="s">
        <v>4192</v>
      </c>
      <c r="C1275" s="6" t="s">
        <v>4190</v>
      </c>
      <c r="D1275" s="6" t="s">
        <v>4191</v>
      </c>
      <c r="E1275" s="6">
        <v>126419.0</v>
      </c>
    </row>
    <row r="1276">
      <c r="A1276" s="6">
        <v>3526.0</v>
      </c>
      <c r="B1276" s="6" t="s">
        <v>4193</v>
      </c>
      <c r="C1276" s="6" t="s">
        <v>4190</v>
      </c>
      <c r="D1276" s="6" t="s">
        <v>4191</v>
      </c>
      <c r="E1276" s="6">
        <v>128023.0</v>
      </c>
    </row>
    <row r="1277">
      <c r="A1277" s="6">
        <v>3532.0</v>
      </c>
      <c r="B1277" s="6" t="s">
        <v>4189</v>
      </c>
      <c r="C1277" s="6" t="s">
        <v>4190</v>
      </c>
      <c r="D1277" s="6" t="s">
        <v>4191</v>
      </c>
      <c r="E1277" s="6">
        <v>126532.0</v>
      </c>
    </row>
    <row r="1278">
      <c r="A1278" s="6">
        <v>3662.0</v>
      </c>
      <c r="B1278" s="6" t="s">
        <v>4194</v>
      </c>
      <c r="C1278" s="6" t="s">
        <v>4190</v>
      </c>
      <c r="D1278" s="6" t="s">
        <v>4191</v>
      </c>
      <c r="E1278" s="6">
        <v>125084.0</v>
      </c>
    </row>
    <row r="1279">
      <c r="A1279" s="6">
        <v>3661.0</v>
      </c>
      <c r="B1279" s="6" t="s">
        <v>4189</v>
      </c>
      <c r="C1279" s="6" t="s">
        <v>4190</v>
      </c>
      <c r="D1279" s="6" t="s">
        <v>4191</v>
      </c>
      <c r="E1279" s="6">
        <v>126477.0</v>
      </c>
    </row>
    <row r="1280">
      <c r="A1280" s="6">
        <v>3515.0</v>
      </c>
      <c r="B1280" s="6" t="s">
        <v>4192</v>
      </c>
      <c r="C1280" s="6" t="s">
        <v>4190</v>
      </c>
      <c r="D1280" s="6" t="s">
        <v>4191</v>
      </c>
      <c r="E1280" s="6">
        <v>126787.0</v>
      </c>
    </row>
    <row r="1281">
      <c r="A1281" s="6">
        <v>3517.0</v>
      </c>
      <c r="B1281" s="6" t="s">
        <v>4192</v>
      </c>
      <c r="C1281" s="6" t="s">
        <v>4190</v>
      </c>
      <c r="D1281" s="6" t="s">
        <v>4191</v>
      </c>
      <c r="E1281" s="6">
        <v>126377.0</v>
      </c>
    </row>
    <row r="1282">
      <c r="A1282" s="6">
        <v>3519.0</v>
      </c>
      <c r="B1282" s="6" t="s">
        <v>4192</v>
      </c>
      <c r="C1282" s="6" t="s">
        <v>4190</v>
      </c>
      <c r="D1282" s="6" t="s">
        <v>4191</v>
      </c>
      <c r="E1282" s="6">
        <v>124935.0</v>
      </c>
    </row>
    <row r="1283">
      <c r="A1283" s="6">
        <v>3521.0</v>
      </c>
      <c r="B1283" s="6" t="s">
        <v>4189</v>
      </c>
      <c r="C1283" s="6" t="s">
        <v>4190</v>
      </c>
      <c r="D1283" s="6" t="s">
        <v>4191</v>
      </c>
      <c r="E1283" s="6">
        <v>125716.0</v>
      </c>
    </row>
    <row r="1284">
      <c r="A1284" s="6">
        <v>3522.0</v>
      </c>
      <c r="B1284" s="6" t="s">
        <v>4192</v>
      </c>
      <c r="C1284" s="6" t="s">
        <v>4190</v>
      </c>
      <c r="D1284" s="6" t="s">
        <v>4191</v>
      </c>
      <c r="E1284" s="6">
        <v>125647.0</v>
      </c>
    </row>
    <row r="1285">
      <c r="A1285" s="6">
        <v>3607.0</v>
      </c>
      <c r="B1285" s="6" t="s">
        <v>4189</v>
      </c>
      <c r="C1285" s="6" t="s">
        <v>4190</v>
      </c>
      <c r="D1285" s="6" t="s">
        <v>4191</v>
      </c>
      <c r="E1285" s="6">
        <v>128814.0</v>
      </c>
    </row>
    <row r="1286">
      <c r="A1286" s="6">
        <v>3610.0</v>
      </c>
      <c r="B1286" s="6" t="s">
        <v>4192</v>
      </c>
      <c r="C1286" s="6" t="s">
        <v>4190</v>
      </c>
      <c r="D1286" s="6" t="s">
        <v>4191</v>
      </c>
      <c r="E1286" s="6">
        <v>128770.0</v>
      </c>
    </row>
    <row r="1287">
      <c r="A1287" s="6">
        <v>3613.0</v>
      </c>
      <c r="B1287" s="6" t="s">
        <v>4192</v>
      </c>
      <c r="C1287" s="6" t="s">
        <v>4190</v>
      </c>
      <c r="D1287" s="6" t="s">
        <v>4191</v>
      </c>
      <c r="E1287" s="6">
        <v>3910.0</v>
      </c>
    </row>
    <row r="1288">
      <c r="A1288" s="6">
        <v>3614.0</v>
      </c>
      <c r="B1288" s="6" t="s">
        <v>4189</v>
      </c>
      <c r="C1288" s="6" t="s">
        <v>4190</v>
      </c>
      <c r="D1288" s="6" t="s">
        <v>4191</v>
      </c>
      <c r="E1288" s="6">
        <v>4127.0</v>
      </c>
    </row>
    <row r="1289">
      <c r="A1289" s="6">
        <v>3609.0</v>
      </c>
      <c r="B1289" s="6" t="s">
        <v>4189</v>
      </c>
      <c r="C1289" s="6" t="s">
        <v>4190</v>
      </c>
      <c r="D1289" s="6" t="s">
        <v>4191</v>
      </c>
      <c r="E1289" s="6">
        <v>4127.0</v>
      </c>
    </row>
    <row r="1290">
      <c r="A1290" s="6">
        <v>3742.0</v>
      </c>
      <c r="B1290" s="6" t="s">
        <v>4192</v>
      </c>
      <c r="C1290" s="6" t="s">
        <v>4190</v>
      </c>
      <c r="D1290" s="6" t="s">
        <v>4191</v>
      </c>
      <c r="E1290" s="6">
        <v>128405.0</v>
      </c>
    </row>
    <row r="1291">
      <c r="A1291" s="6">
        <v>3391.0</v>
      </c>
      <c r="B1291" s="6" t="s">
        <v>4192</v>
      </c>
      <c r="C1291" s="6" t="s">
        <v>4190</v>
      </c>
      <c r="D1291" s="6" t="s">
        <v>4191</v>
      </c>
      <c r="E1291" s="6">
        <v>3976.0</v>
      </c>
    </row>
    <row r="1292">
      <c r="A1292" s="6">
        <v>2629.0</v>
      </c>
      <c r="B1292" s="6" t="s">
        <v>4192</v>
      </c>
      <c r="C1292" s="6" t="s">
        <v>4190</v>
      </c>
      <c r="D1292" s="6" t="s">
        <v>4191</v>
      </c>
      <c r="E1292" s="6">
        <v>124750.0</v>
      </c>
    </row>
    <row r="1293">
      <c r="A1293" s="6">
        <v>2302.0</v>
      </c>
      <c r="B1293" s="6" t="s">
        <v>4192</v>
      </c>
      <c r="C1293" s="6" t="s">
        <v>4190</v>
      </c>
      <c r="D1293" s="6" t="s">
        <v>4191</v>
      </c>
      <c r="E1293" s="6">
        <v>125170.0</v>
      </c>
    </row>
    <row r="1294">
      <c r="A1294" s="6">
        <v>2314.0</v>
      </c>
      <c r="B1294" s="6" t="s">
        <v>4192</v>
      </c>
      <c r="C1294" s="6" t="s">
        <v>4190</v>
      </c>
      <c r="D1294" s="6" t="s">
        <v>4191</v>
      </c>
      <c r="E1294" s="6">
        <v>125124.0</v>
      </c>
    </row>
    <row r="1295">
      <c r="A1295" s="6">
        <v>2317.0</v>
      </c>
      <c r="B1295" s="6" t="s">
        <v>4192</v>
      </c>
      <c r="C1295" s="6" t="s">
        <v>4190</v>
      </c>
      <c r="D1295" s="6" t="s">
        <v>4191</v>
      </c>
      <c r="E1295" s="6">
        <v>125073.0</v>
      </c>
    </row>
    <row r="1296">
      <c r="A1296" s="6">
        <v>2322.0</v>
      </c>
      <c r="B1296" s="6" t="s">
        <v>4192</v>
      </c>
      <c r="C1296" s="6" t="s">
        <v>4190</v>
      </c>
      <c r="D1296" s="6" t="s">
        <v>4191</v>
      </c>
      <c r="E1296" s="6">
        <v>124717.0</v>
      </c>
    </row>
    <row r="1297">
      <c r="A1297" s="6">
        <v>2327.0</v>
      </c>
      <c r="B1297" s="6" t="s">
        <v>4192</v>
      </c>
      <c r="C1297" s="6" t="s">
        <v>4190</v>
      </c>
      <c r="D1297" s="6" t="s">
        <v>4191</v>
      </c>
      <c r="E1297" s="6">
        <v>125519.0</v>
      </c>
    </row>
    <row r="1298">
      <c r="A1298" s="6">
        <v>2331.0</v>
      </c>
      <c r="B1298" s="6" t="s">
        <v>4189</v>
      </c>
      <c r="C1298" s="6" t="s">
        <v>4190</v>
      </c>
      <c r="D1298" s="6" t="s">
        <v>4191</v>
      </c>
      <c r="E1298" s="6">
        <v>125872.0</v>
      </c>
    </row>
    <row r="1299">
      <c r="A1299" s="6">
        <v>2332.0</v>
      </c>
      <c r="B1299" s="6" t="s">
        <v>4197</v>
      </c>
      <c r="C1299" s="6" t="s">
        <v>4190</v>
      </c>
      <c r="D1299" s="6" t="s">
        <v>4191</v>
      </c>
      <c r="E1299" s="6">
        <v>125548.0</v>
      </c>
    </row>
    <row r="1300">
      <c r="A1300" s="6">
        <v>2334.0</v>
      </c>
      <c r="B1300" s="6" t="s">
        <v>4195</v>
      </c>
      <c r="C1300" s="6" t="s">
        <v>4190</v>
      </c>
      <c r="D1300" s="6" t="s">
        <v>4191</v>
      </c>
      <c r="E1300" s="6">
        <v>128460.0</v>
      </c>
    </row>
    <row r="1301">
      <c r="A1301" s="6">
        <v>2335.0</v>
      </c>
      <c r="B1301" s="6" t="s">
        <v>4196</v>
      </c>
      <c r="C1301" s="6" t="s">
        <v>4190</v>
      </c>
      <c r="D1301" s="6" t="s">
        <v>4191</v>
      </c>
      <c r="E1301" s="6">
        <v>126832.0</v>
      </c>
    </row>
    <row r="1302">
      <c r="A1302" s="6">
        <v>2336.0</v>
      </c>
      <c r="B1302" s="6" t="s">
        <v>4192</v>
      </c>
      <c r="C1302" s="6" t="s">
        <v>4190</v>
      </c>
      <c r="D1302" s="6" t="s">
        <v>4191</v>
      </c>
      <c r="E1302" s="6">
        <v>126590.0</v>
      </c>
    </row>
    <row r="1303">
      <c r="A1303" s="6">
        <v>2337.0</v>
      </c>
      <c r="B1303" s="6" t="s">
        <v>4192</v>
      </c>
      <c r="C1303" s="6" t="s">
        <v>4190</v>
      </c>
      <c r="D1303" s="6" t="s">
        <v>4191</v>
      </c>
      <c r="E1303" s="6">
        <v>126013.0</v>
      </c>
    </row>
    <row r="1304">
      <c r="A1304" s="6">
        <v>2338.0</v>
      </c>
      <c r="B1304" s="6" t="s">
        <v>4189</v>
      </c>
      <c r="C1304" s="6" t="s">
        <v>4190</v>
      </c>
      <c r="D1304" s="6" t="s">
        <v>4191</v>
      </c>
      <c r="E1304" s="6">
        <v>125819.0</v>
      </c>
    </row>
    <row r="1305">
      <c r="A1305" s="6">
        <v>2340.0</v>
      </c>
      <c r="B1305" s="6" t="s">
        <v>4194</v>
      </c>
      <c r="C1305" s="6" t="s">
        <v>4190</v>
      </c>
      <c r="D1305" s="6" t="s">
        <v>4191</v>
      </c>
      <c r="E1305" s="6">
        <v>124672.0</v>
      </c>
    </row>
    <row r="1306">
      <c r="A1306" s="6">
        <v>2344.0</v>
      </c>
      <c r="B1306" s="6" t="s">
        <v>4192</v>
      </c>
      <c r="C1306" s="6" t="s">
        <v>4190</v>
      </c>
      <c r="D1306" s="6" t="s">
        <v>4191</v>
      </c>
      <c r="E1306" s="6">
        <v>126736.0</v>
      </c>
    </row>
    <row r="1307">
      <c r="A1307" s="6">
        <v>2345.0</v>
      </c>
      <c r="B1307" s="6" t="s">
        <v>4192</v>
      </c>
      <c r="C1307" s="6" t="s">
        <v>4190</v>
      </c>
      <c r="D1307" s="6" t="s">
        <v>4191</v>
      </c>
      <c r="E1307" s="6">
        <v>126226.0</v>
      </c>
    </row>
    <row r="1308">
      <c r="A1308" s="6">
        <v>2348.0</v>
      </c>
      <c r="B1308" s="6" t="s">
        <v>4195</v>
      </c>
      <c r="C1308" s="6" t="s">
        <v>4190</v>
      </c>
      <c r="D1308" s="6" t="s">
        <v>4191</v>
      </c>
      <c r="E1308" s="6">
        <v>128334.0</v>
      </c>
    </row>
    <row r="1309">
      <c r="A1309" s="6">
        <v>2353.0</v>
      </c>
      <c r="B1309" s="6" t="s">
        <v>4192</v>
      </c>
      <c r="C1309" s="6" t="s">
        <v>4190</v>
      </c>
      <c r="D1309" s="6" t="s">
        <v>4191</v>
      </c>
      <c r="E1309" s="6">
        <v>128434.0</v>
      </c>
    </row>
    <row r="1310">
      <c r="A1310" s="6">
        <v>2358.0</v>
      </c>
      <c r="B1310" s="6" t="s">
        <v>4192</v>
      </c>
      <c r="C1310" s="6" t="s">
        <v>4190</v>
      </c>
      <c r="D1310" s="6" t="s">
        <v>4191</v>
      </c>
      <c r="E1310" s="6">
        <v>126284.0</v>
      </c>
    </row>
    <row r="1311">
      <c r="A1311" s="6">
        <v>2524.0</v>
      </c>
      <c r="B1311" s="6" t="s">
        <v>4189</v>
      </c>
      <c r="C1311" s="6" t="s">
        <v>4190</v>
      </c>
      <c r="D1311" s="6" t="s">
        <v>4191</v>
      </c>
      <c r="E1311" s="6">
        <v>128836.0</v>
      </c>
    </row>
    <row r="1312">
      <c r="A1312" s="6">
        <v>2527.0</v>
      </c>
      <c r="B1312" s="6" t="s">
        <v>4192</v>
      </c>
      <c r="C1312" s="6" t="s">
        <v>4190</v>
      </c>
      <c r="D1312" s="6" t="s">
        <v>4191</v>
      </c>
      <c r="E1312" s="6">
        <v>125641.0</v>
      </c>
    </row>
    <row r="1313">
      <c r="A1313" s="6">
        <v>2531.0</v>
      </c>
      <c r="B1313" s="6" t="s">
        <v>4192</v>
      </c>
      <c r="C1313" s="6" t="s">
        <v>4190</v>
      </c>
      <c r="D1313" s="6" t="s">
        <v>4191</v>
      </c>
      <c r="E1313" s="6">
        <v>125435.0</v>
      </c>
    </row>
    <row r="1314">
      <c r="A1314" s="6">
        <v>2535.0</v>
      </c>
      <c r="B1314" s="6" t="s">
        <v>4193</v>
      </c>
      <c r="C1314" s="6" t="s">
        <v>4190</v>
      </c>
      <c r="D1314" s="6" t="s">
        <v>4191</v>
      </c>
      <c r="E1314" s="6">
        <v>128092.0</v>
      </c>
    </row>
    <row r="1315">
      <c r="A1315" s="6">
        <v>2536.0</v>
      </c>
      <c r="B1315" s="6" t="s">
        <v>4196</v>
      </c>
      <c r="C1315" s="6" t="s">
        <v>4190</v>
      </c>
      <c r="D1315" s="6" t="s">
        <v>4191</v>
      </c>
      <c r="E1315" s="6">
        <v>126374.0</v>
      </c>
    </row>
    <row r="1316">
      <c r="A1316" s="6">
        <v>2537.0</v>
      </c>
      <c r="B1316" s="6" t="s">
        <v>4192</v>
      </c>
      <c r="C1316" s="6" t="s">
        <v>4190</v>
      </c>
      <c r="D1316" s="6" t="s">
        <v>4191</v>
      </c>
      <c r="E1316" s="6">
        <v>125610.0</v>
      </c>
    </row>
    <row r="1317">
      <c r="A1317" s="6">
        <v>2539.0</v>
      </c>
      <c r="B1317" s="6" t="s">
        <v>4195</v>
      </c>
      <c r="C1317" s="6" t="s">
        <v>4190</v>
      </c>
      <c r="D1317" s="6" t="s">
        <v>4191</v>
      </c>
      <c r="E1317" s="6">
        <v>125333.0</v>
      </c>
    </row>
    <row r="1318">
      <c r="A1318" s="6">
        <v>2544.0</v>
      </c>
      <c r="B1318" s="6" t="s">
        <v>4194</v>
      </c>
      <c r="C1318" s="6" t="s">
        <v>4190</v>
      </c>
      <c r="D1318" s="6" t="s">
        <v>4191</v>
      </c>
      <c r="E1318" s="6">
        <v>128913.0</v>
      </c>
    </row>
    <row r="1319">
      <c r="A1319" s="6">
        <v>2555.0</v>
      </c>
      <c r="B1319" s="6" t="s">
        <v>4192</v>
      </c>
      <c r="C1319" s="6" t="s">
        <v>4190</v>
      </c>
      <c r="D1319" s="6" t="s">
        <v>4191</v>
      </c>
      <c r="E1319" s="6">
        <v>124679.0</v>
      </c>
    </row>
    <row r="1320">
      <c r="A1320" s="6">
        <v>2558.0</v>
      </c>
      <c r="B1320" s="6" t="s">
        <v>4192</v>
      </c>
      <c r="C1320" s="6" t="s">
        <v>4190</v>
      </c>
      <c r="D1320" s="6" t="s">
        <v>4191</v>
      </c>
      <c r="E1320" s="6">
        <v>125988.0</v>
      </c>
    </row>
    <row r="1321">
      <c r="A1321" s="6">
        <v>2562.0</v>
      </c>
      <c r="B1321" s="6" t="s">
        <v>4192</v>
      </c>
      <c r="C1321" s="6" t="s">
        <v>4190</v>
      </c>
      <c r="D1321" s="6" t="s">
        <v>4191</v>
      </c>
      <c r="E1321" s="6">
        <v>125292.0</v>
      </c>
    </row>
    <row r="1322">
      <c r="A1322" s="6">
        <v>2566.0</v>
      </c>
      <c r="B1322" s="6" t="s">
        <v>4193</v>
      </c>
      <c r="C1322" s="6" t="s">
        <v>4190</v>
      </c>
      <c r="D1322" s="6" t="s">
        <v>4191</v>
      </c>
      <c r="E1322" s="6">
        <v>128069.0</v>
      </c>
    </row>
    <row r="1323">
      <c r="A1323" s="6">
        <v>2572.0</v>
      </c>
      <c r="B1323" s="6" t="s">
        <v>4192</v>
      </c>
      <c r="C1323" s="6" t="s">
        <v>4190</v>
      </c>
      <c r="D1323" s="6" t="s">
        <v>4191</v>
      </c>
      <c r="E1323" s="6">
        <v>124828.0</v>
      </c>
    </row>
    <row r="1324">
      <c r="A1324" s="6">
        <v>2578.0</v>
      </c>
      <c r="B1324" s="6" t="s">
        <v>4192</v>
      </c>
      <c r="C1324" s="6" t="s">
        <v>4190</v>
      </c>
      <c r="D1324" s="6" t="s">
        <v>4191</v>
      </c>
      <c r="E1324" s="6">
        <v>128452.0</v>
      </c>
    </row>
    <row r="1325">
      <c r="A1325" s="6">
        <v>2581.0</v>
      </c>
      <c r="B1325" s="6" t="s">
        <v>4192</v>
      </c>
      <c r="C1325" s="6" t="s">
        <v>4190</v>
      </c>
      <c r="D1325" s="6" t="s">
        <v>4191</v>
      </c>
      <c r="E1325" s="6">
        <v>125620.0</v>
      </c>
    </row>
    <row r="1326">
      <c r="A1326" s="6">
        <v>2583.0</v>
      </c>
      <c r="B1326" s="6" t="s">
        <v>4193</v>
      </c>
      <c r="C1326" s="6" t="s">
        <v>4190</v>
      </c>
      <c r="D1326" s="6" t="s">
        <v>4191</v>
      </c>
      <c r="E1326" s="6">
        <v>128055.0</v>
      </c>
    </row>
    <row r="1327">
      <c r="A1327" s="6">
        <v>2584.0</v>
      </c>
      <c r="B1327" s="6" t="s">
        <v>4192</v>
      </c>
      <c r="C1327" s="6" t="s">
        <v>4190</v>
      </c>
      <c r="D1327" s="6" t="s">
        <v>4191</v>
      </c>
      <c r="E1327" s="6">
        <v>126762.0</v>
      </c>
    </row>
    <row r="1328">
      <c r="A1328" s="6">
        <v>2585.0</v>
      </c>
      <c r="B1328" s="6" t="s">
        <v>4192</v>
      </c>
      <c r="C1328" s="6" t="s">
        <v>4190</v>
      </c>
      <c r="D1328" s="6" t="s">
        <v>4191</v>
      </c>
      <c r="E1328" s="6">
        <v>125912.0</v>
      </c>
    </row>
    <row r="1329">
      <c r="A1329" s="6">
        <v>2587.0</v>
      </c>
      <c r="B1329" s="6" t="s">
        <v>4193</v>
      </c>
      <c r="C1329" s="6" t="s">
        <v>4190</v>
      </c>
      <c r="D1329" s="6" t="s">
        <v>4191</v>
      </c>
      <c r="E1329" s="6">
        <v>127908.0</v>
      </c>
    </row>
    <row r="1330">
      <c r="A1330" s="6">
        <v>2588.0</v>
      </c>
      <c r="B1330" s="6" t="s">
        <v>4192</v>
      </c>
      <c r="C1330" s="6" t="s">
        <v>4190</v>
      </c>
      <c r="D1330" s="6" t="s">
        <v>4191</v>
      </c>
      <c r="E1330" s="6">
        <v>126826.0</v>
      </c>
    </row>
    <row r="1331">
      <c r="A1331" s="6">
        <v>2589.0</v>
      </c>
      <c r="B1331" s="6" t="s">
        <v>4193</v>
      </c>
      <c r="C1331" s="6" t="s">
        <v>4190</v>
      </c>
      <c r="D1331" s="6" t="s">
        <v>4191</v>
      </c>
      <c r="E1331" s="6">
        <v>127932.0</v>
      </c>
    </row>
    <row r="1332">
      <c r="A1332" s="6">
        <v>2590.0</v>
      </c>
      <c r="B1332" s="6" t="s">
        <v>4192</v>
      </c>
      <c r="C1332" s="6" t="s">
        <v>4190</v>
      </c>
      <c r="D1332" s="6" t="s">
        <v>4191</v>
      </c>
      <c r="E1332" s="6">
        <v>128403.0</v>
      </c>
    </row>
    <row r="1333">
      <c r="A1333" s="6">
        <v>2595.0</v>
      </c>
      <c r="B1333" s="6" t="s">
        <v>4193</v>
      </c>
      <c r="C1333" s="6" t="s">
        <v>4190</v>
      </c>
      <c r="D1333" s="6" t="s">
        <v>4191</v>
      </c>
      <c r="E1333" s="6">
        <v>128033.0</v>
      </c>
    </row>
    <row r="1334">
      <c r="A1334" s="6">
        <v>2598.0</v>
      </c>
      <c r="B1334" s="6" t="s">
        <v>4192</v>
      </c>
      <c r="C1334" s="6" t="s">
        <v>4190</v>
      </c>
      <c r="D1334" s="6" t="s">
        <v>4191</v>
      </c>
      <c r="E1334" s="6">
        <v>125948.0</v>
      </c>
    </row>
    <row r="1335">
      <c r="A1335" s="6">
        <v>2599.0</v>
      </c>
      <c r="B1335" s="6" t="s">
        <v>4192</v>
      </c>
      <c r="C1335" s="6" t="s">
        <v>4190</v>
      </c>
      <c r="D1335" s="6" t="s">
        <v>4191</v>
      </c>
      <c r="E1335" s="6">
        <v>125698.0</v>
      </c>
    </row>
    <row r="1336">
      <c r="A1336" s="6">
        <v>2601.0</v>
      </c>
      <c r="B1336" s="6" t="s">
        <v>4193</v>
      </c>
      <c r="C1336" s="6" t="s">
        <v>4190</v>
      </c>
      <c r="D1336" s="6" t="s">
        <v>4191</v>
      </c>
      <c r="E1336" s="6">
        <v>128010.0</v>
      </c>
    </row>
    <row r="1337">
      <c r="A1337" s="6">
        <v>2606.0</v>
      </c>
      <c r="B1337" s="6" t="s">
        <v>4192</v>
      </c>
      <c r="C1337" s="6" t="s">
        <v>4190</v>
      </c>
      <c r="D1337" s="6" t="s">
        <v>4191</v>
      </c>
      <c r="E1337" s="6">
        <v>124917.0</v>
      </c>
    </row>
    <row r="1338">
      <c r="A1338" s="6">
        <v>2608.0</v>
      </c>
      <c r="B1338" s="6" t="s">
        <v>4189</v>
      </c>
      <c r="C1338" s="6" t="s">
        <v>4190</v>
      </c>
      <c r="D1338" s="6" t="s">
        <v>4191</v>
      </c>
      <c r="E1338" s="6">
        <v>126158.0</v>
      </c>
    </row>
    <row r="1339">
      <c r="A1339" s="6">
        <v>2609.0</v>
      </c>
      <c r="B1339" s="6" t="s">
        <v>4192</v>
      </c>
      <c r="C1339" s="6" t="s">
        <v>4190</v>
      </c>
      <c r="D1339" s="6" t="s">
        <v>4191</v>
      </c>
      <c r="E1339" s="6">
        <v>125450.0</v>
      </c>
    </row>
    <row r="1340">
      <c r="A1340" s="6">
        <v>2610.0</v>
      </c>
      <c r="B1340" s="6" t="s">
        <v>4192</v>
      </c>
      <c r="C1340" s="6" t="s">
        <v>4190</v>
      </c>
      <c r="D1340" s="6" t="s">
        <v>4191</v>
      </c>
      <c r="E1340" s="6">
        <v>124653.0</v>
      </c>
    </row>
    <row r="1341">
      <c r="A1341" s="6">
        <v>2611.0</v>
      </c>
      <c r="B1341" s="6" t="s">
        <v>4192</v>
      </c>
      <c r="C1341" s="6" t="s">
        <v>4190</v>
      </c>
      <c r="D1341" s="6" t="s">
        <v>4191</v>
      </c>
      <c r="E1341" s="6">
        <v>128900.0</v>
      </c>
    </row>
    <row r="1342">
      <c r="A1342" s="6">
        <v>2613.0</v>
      </c>
      <c r="B1342" s="6" t="s">
        <v>4189</v>
      </c>
      <c r="C1342" s="6" t="s">
        <v>4190</v>
      </c>
      <c r="D1342" s="6" t="s">
        <v>4191</v>
      </c>
      <c r="E1342" s="6">
        <v>126974.0</v>
      </c>
    </row>
    <row r="1343">
      <c r="A1343" s="6">
        <v>2619.0</v>
      </c>
      <c r="B1343" s="6" t="s">
        <v>4192</v>
      </c>
      <c r="C1343" s="6" t="s">
        <v>4190</v>
      </c>
      <c r="D1343" s="6" t="s">
        <v>4191</v>
      </c>
      <c r="E1343" s="6">
        <v>126429.0</v>
      </c>
    </row>
    <row r="1344">
      <c r="A1344" s="6">
        <v>2620.0</v>
      </c>
      <c r="B1344" s="6" t="s">
        <v>4192</v>
      </c>
      <c r="C1344" s="6" t="s">
        <v>4190</v>
      </c>
      <c r="D1344" s="6" t="s">
        <v>4191</v>
      </c>
      <c r="E1344" s="6">
        <v>125008.0</v>
      </c>
    </row>
    <row r="1345">
      <c r="A1345" s="6">
        <v>2626.0</v>
      </c>
      <c r="B1345" s="6" t="s">
        <v>4189</v>
      </c>
      <c r="C1345" s="6" t="s">
        <v>4190</v>
      </c>
      <c r="D1345" s="6" t="s">
        <v>4191</v>
      </c>
      <c r="E1345" s="6">
        <v>125898.0</v>
      </c>
    </row>
    <row r="1346">
      <c r="A1346" s="6">
        <v>2627.0</v>
      </c>
      <c r="B1346" s="6" t="s">
        <v>4192</v>
      </c>
      <c r="C1346" s="6" t="s">
        <v>4190</v>
      </c>
      <c r="D1346" s="6" t="s">
        <v>4191</v>
      </c>
      <c r="E1346" s="6">
        <v>125789.0</v>
      </c>
    </row>
    <row r="1347">
      <c r="A1347" s="6">
        <v>1473.0</v>
      </c>
      <c r="B1347" s="6" t="s">
        <v>4192</v>
      </c>
      <c r="C1347" s="6" t="s">
        <v>4190</v>
      </c>
      <c r="D1347" s="6" t="s">
        <v>4191</v>
      </c>
      <c r="E1347" s="6">
        <v>128410.0</v>
      </c>
    </row>
    <row r="1348">
      <c r="A1348" s="6">
        <v>1479.0</v>
      </c>
      <c r="B1348" s="6" t="s">
        <v>4192</v>
      </c>
      <c r="C1348" s="6" t="s">
        <v>4190</v>
      </c>
      <c r="D1348" s="6" t="s">
        <v>4191</v>
      </c>
      <c r="E1348" s="6">
        <v>125260.0</v>
      </c>
    </row>
    <row r="1349">
      <c r="A1349" s="6">
        <v>1480.0</v>
      </c>
      <c r="B1349" s="6" t="s">
        <v>4192</v>
      </c>
      <c r="C1349" s="6" t="s">
        <v>4190</v>
      </c>
      <c r="D1349" s="6" t="s">
        <v>4191</v>
      </c>
      <c r="E1349" s="6">
        <v>126969.0</v>
      </c>
    </row>
    <row r="1350">
      <c r="A1350" s="6">
        <v>1482.0</v>
      </c>
      <c r="B1350" s="6" t="s">
        <v>4192</v>
      </c>
      <c r="C1350" s="6" t="s">
        <v>4190</v>
      </c>
      <c r="D1350" s="6" t="s">
        <v>4191</v>
      </c>
      <c r="E1350" s="6">
        <v>126363.0</v>
      </c>
    </row>
    <row r="1351">
      <c r="A1351" s="6">
        <v>1484.0</v>
      </c>
      <c r="B1351" s="6" t="s">
        <v>4192</v>
      </c>
      <c r="C1351" s="6" t="s">
        <v>4190</v>
      </c>
      <c r="D1351" s="6" t="s">
        <v>4191</v>
      </c>
      <c r="E1351" s="6">
        <v>128602.0</v>
      </c>
    </row>
    <row r="1352">
      <c r="A1352" s="6">
        <v>1485.0</v>
      </c>
      <c r="B1352" s="6" t="s">
        <v>4192</v>
      </c>
      <c r="C1352" s="6" t="s">
        <v>4190</v>
      </c>
      <c r="D1352" s="6" t="s">
        <v>4191</v>
      </c>
      <c r="E1352" s="6">
        <v>126652.0</v>
      </c>
    </row>
    <row r="1353">
      <c r="A1353" s="6">
        <v>1488.0</v>
      </c>
      <c r="B1353" s="6" t="s">
        <v>4193</v>
      </c>
      <c r="C1353" s="6" t="s">
        <v>4190</v>
      </c>
      <c r="D1353" s="6" t="s">
        <v>4191</v>
      </c>
      <c r="E1353" s="6">
        <v>128051.0</v>
      </c>
    </row>
    <row r="1354">
      <c r="A1354" s="6">
        <v>1490.0</v>
      </c>
      <c r="B1354" s="6" t="s">
        <v>4192</v>
      </c>
      <c r="C1354" s="6" t="s">
        <v>4190</v>
      </c>
      <c r="D1354" s="6" t="s">
        <v>4191</v>
      </c>
      <c r="E1354" s="6">
        <v>125604.0</v>
      </c>
    </row>
    <row r="1355">
      <c r="A1355" s="6">
        <v>1492.0</v>
      </c>
      <c r="B1355" s="6" t="s">
        <v>4192</v>
      </c>
      <c r="C1355" s="6" t="s">
        <v>4190</v>
      </c>
      <c r="D1355" s="6" t="s">
        <v>4191</v>
      </c>
      <c r="E1355" s="6">
        <v>128689.0</v>
      </c>
    </row>
    <row r="1356">
      <c r="A1356" s="6">
        <v>1496.0</v>
      </c>
      <c r="B1356" s="6" t="s">
        <v>4192</v>
      </c>
      <c r="C1356" s="6" t="s">
        <v>4190</v>
      </c>
      <c r="D1356" s="6" t="s">
        <v>4191</v>
      </c>
      <c r="E1356" s="6">
        <v>124882.0</v>
      </c>
    </row>
    <row r="1357">
      <c r="A1357" s="6">
        <v>1498.0</v>
      </c>
      <c r="B1357" s="6" t="s">
        <v>4192</v>
      </c>
      <c r="C1357" s="6" t="s">
        <v>4190</v>
      </c>
      <c r="D1357" s="6" t="s">
        <v>4191</v>
      </c>
      <c r="E1357" s="6">
        <v>124812.0</v>
      </c>
    </row>
    <row r="1358">
      <c r="A1358" s="6">
        <v>1499.0</v>
      </c>
      <c r="B1358" s="6" t="s">
        <v>4189</v>
      </c>
      <c r="C1358" s="6" t="s">
        <v>4190</v>
      </c>
      <c r="D1358" s="6" t="s">
        <v>4191</v>
      </c>
      <c r="E1358" s="6">
        <v>126513.0</v>
      </c>
    </row>
    <row r="1359">
      <c r="A1359" s="6">
        <v>1500.0</v>
      </c>
      <c r="B1359" s="6" t="s">
        <v>4192</v>
      </c>
      <c r="C1359" s="6" t="s">
        <v>4190</v>
      </c>
      <c r="D1359" s="6" t="s">
        <v>4191</v>
      </c>
      <c r="E1359" s="6">
        <v>126273.0</v>
      </c>
    </row>
    <row r="1360">
      <c r="A1360" s="6">
        <v>1509.0</v>
      </c>
      <c r="B1360" s="6" t="s">
        <v>4194</v>
      </c>
      <c r="C1360" s="6" t="s">
        <v>4190</v>
      </c>
      <c r="D1360" s="6" t="s">
        <v>4191</v>
      </c>
      <c r="E1360" s="6">
        <v>125221.0</v>
      </c>
    </row>
    <row r="1361">
      <c r="A1361" s="6">
        <v>1513.0</v>
      </c>
      <c r="B1361" s="6" t="s">
        <v>4192</v>
      </c>
      <c r="C1361" s="6" t="s">
        <v>4190</v>
      </c>
      <c r="D1361" s="6" t="s">
        <v>4191</v>
      </c>
      <c r="E1361" s="6">
        <v>124873.0</v>
      </c>
    </row>
    <row r="1362">
      <c r="A1362" s="6">
        <v>1515.0</v>
      </c>
      <c r="B1362" s="6" t="s">
        <v>4192</v>
      </c>
      <c r="C1362" s="6" t="s">
        <v>4190</v>
      </c>
      <c r="D1362" s="6" t="s">
        <v>4191</v>
      </c>
      <c r="E1362" s="6">
        <v>124924.0</v>
      </c>
    </row>
    <row r="1363">
      <c r="A1363" s="6">
        <v>1688.0</v>
      </c>
      <c r="B1363" s="6" t="s">
        <v>4197</v>
      </c>
      <c r="C1363" s="6" t="s">
        <v>4190</v>
      </c>
      <c r="D1363" s="6" t="s">
        <v>4191</v>
      </c>
      <c r="E1363" s="6">
        <v>125355.0</v>
      </c>
    </row>
    <row r="1364">
      <c r="A1364" s="6">
        <v>1690.0</v>
      </c>
      <c r="B1364" s="6" t="s">
        <v>4192</v>
      </c>
      <c r="C1364" s="6" t="s">
        <v>4190</v>
      </c>
      <c r="D1364" s="6" t="s">
        <v>4191</v>
      </c>
      <c r="E1364" s="6">
        <v>124542.0</v>
      </c>
    </row>
    <row r="1365">
      <c r="A1365" s="6">
        <v>1721.0</v>
      </c>
      <c r="B1365" s="6" t="s">
        <v>4192</v>
      </c>
      <c r="C1365" s="6" t="s">
        <v>4190</v>
      </c>
      <c r="D1365" s="6" t="s">
        <v>4191</v>
      </c>
      <c r="E1365" s="6">
        <v>126204.0</v>
      </c>
    </row>
    <row r="1366">
      <c r="A1366" s="6">
        <v>1728.0</v>
      </c>
      <c r="B1366" s="6" t="s">
        <v>4192</v>
      </c>
      <c r="C1366" s="6" t="s">
        <v>4190</v>
      </c>
      <c r="D1366" s="6" t="s">
        <v>4191</v>
      </c>
      <c r="E1366" s="6">
        <v>129152.0</v>
      </c>
    </row>
    <row r="1367">
      <c r="A1367" s="6">
        <v>1730.0</v>
      </c>
      <c r="B1367" s="6" t="s">
        <v>4192</v>
      </c>
      <c r="C1367" s="6" t="s">
        <v>4190</v>
      </c>
      <c r="D1367" s="6" t="s">
        <v>4191</v>
      </c>
      <c r="E1367" s="6">
        <v>126263.0</v>
      </c>
    </row>
    <row r="1368">
      <c r="A1368" s="6">
        <v>2048.0</v>
      </c>
      <c r="B1368" s="6" t="s">
        <v>4192</v>
      </c>
      <c r="C1368" s="6" t="s">
        <v>4190</v>
      </c>
      <c r="D1368" s="6" t="s">
        <v>4191</v>
      </c>
      <c r="E1368" s="6">
        <v>125197.0</v>
      </c>
    </row>
    <row r="1369">
      <c r="A1369" s="6">
        <v>2053.0</v>
      </c>
      <c r="B1369" s="6" t="s">
        <v>4189</v>
      </c>
      <c r="C1369" s="6" t="s">
        <v>4190</v>
      </c>
      <c r="D1369" s="6" t="s">
        <v>4191</v>
      </c>
      <c r="E1369" s="6">
        <v>126480.0</v>
      </c>
    </row>
    <row r="1370">
      <c r="A1370" s="6">
        <v>2055.0</v>
      </c>
      <c r="B1370" s="6" t="s">
        <v>4193</v>
      </c>
      <c r="C1370" s="6" t="s">
        <v>4190</v>
      </c>
      <c r="D1370" s="6" t="s">
        <v>4191</v>
      </c>
      <c r="E1370" s="6">
        <v>128060.0</v>
      </c>
    </row>
    <row r="1371">
      <c r="A1371" s="6">
        <v>2067.0</v>
      </c>
      <c r="B1371" s="6" t="s">
        <v>4192</v>
      </c>
      <c r="C1371" s="6" t="s">
        <v>4190</v>
      </c>
      <c r="D1371" s="6" t="s">
        <v>4191</v>
      </c>
      <c r="E1371" s="6">
        <v>124589.0</v>
      </c>
    </row>
    <row r="1372">
      <c r="A1372" s="6">
        <v>2093.0</v>
      </c>
      <c r="B1372" s="6" t="s">
        <v>4195</v>
      </c>
      <c r="C1372" s="6" t="s">
        <v>4190</v>
      </c>
      <c r="D1372" s="6" t="s">
        <v>4191</v>
      </c>
      <c r="E1372" s="6">
        <v>126597.0</v>
      </c>
    </row>
    <row r="1373">
      <c r="A1373" s="6">
        <v>2094.0</v>
      </c>
      <c r="B1373" s="6" t="s">
        <v>4192</v>
      </c>
      <c r="C1373" s="6" t="s">
        <v>4190</v>
      </c>
      <c r="D1373" s="6" t="s">
        <v>4191</v>
      </c>
      <c r="E1373" s="6">
        <v>126125.0</v>
      </c>
    </row>
    <row r="1374">
      <c r="A1374" s="6">
        <v>2099.0</v>
      </c>
      <c r="B1374" s="6" t="s">
        <v>4192</v>
      </c>
      <c r="C1374" s="6" t="s">
        <v>4190</v>
      </c>
      <c r="D1374" s="6" t="s">
        <v>4191</v>
      </c>
      <c r="E1374" s="6">
        <v>128350.0</v>
      </c>
    </row>
    <row r="1375">
      <c r="A1375" s="6">
        <v>2954.0</v>
      </c>
      <c r="B1375" s="6" t="s">
        <v>4194</v>
      </c>
      <c r="C1375" s="6" t="s">
        <v>4190</v>
      </c>
      <c r="D1375" s="6" t="s">
        <v>4191</v>
      </c>
      <c r="E1375" s="6">
        <v>126560.0</v>
      </c>
    </row>
    <row r="1376">
      <c r="A1376" s="6">
        <v>2959.0</v>
      </c>
      <c r="B1376" s="6" t="s">
        <v>4196</v>
      </c>
      <c r="C1376" s="6" t="s">
        <v>4190</v>
      </c>
      <c r="D1376" s="6" t="s">
        <v>4191</v>
      </c>
      <c r="E1376" s="6">
        <v>126286.0</v>
      </c>
    </row>
    <row r="1377">
      <c r="A1377" s="6">
        <v>2961.0</v>
      </c>
      <c r="B1377" s="6" t="s">
        <v>4192</v>
      </c>
      <c r="C1377" s="6" t="s">
        <v>4190</v>
      </c>
      <c r="D1377" s="6" t="s">
        <v>4191</v>
      </c>
      <c r="E1377" s="6">
        <v>125528.0</v>
      </c>
    </row>
    <row r="1378">
      <c r="A1378" s="6">
        <v>2963.0</v>
      </c>
      <c r="B1378" s="6" t="s">
        <v>4189</v>
      </c>
      <c r="C1378" s="6" t="s">
        <v>4190</v>
      </c>
      <c r="D1378" s="6" t="s">
        <v>4191</v>
      </c>
      <c r="E1378" s="6">
        <v>128437.0</v>
      </c>
    </row>
    <row r="1379">
      <c r="A1379" s="6">
        <v>2811.0</v>
      </c>
      <c r="B1379" s="6" t="s">
        <v>4192</v>
      </c>
      <c r="C1379" s="6" t="s">
        <v>4190</v>
      </c>
      <c r="D1379" s="6" t="s">
        <v>4191</v>
      </c>
      <c r="E1379" s="6">
        <v>128660.0</v>
      </c>
    </row>
    <row r="1380">
      <c r="A1380" s="6">
        <v>2286.0</v>
      </c>
      <c r="B1380" s="6" t="s">
        <v>4195</v>
      </c>
      <c r="C1380" s="6" t="s">
        <v>4190</v>
      </c>
      <c r="D1380" s="6" t="s">
        <v>4191</v>
      </c>
      <c r="E1380" s="6">
        <v>3954.0</v>
      </c>
    </row>
    <row r="1381">
      <c r="A1381" s="6">
        <v>2308.0</v>
      </c>
      <c r="B1381" s="6" t="s">
        <v>4192</v>
      </c>
      <c r="C1381" s="6" t="s">
        <v>4190</v>
      </c>
      <c r="D1381" s="6" t="s">
        <v>4191</v>
      </c>
      <c r="E1381" s="6">
        <v>4736.0</v>
      </c>
    </row>
    <row r="1382">
      <c r="A1382" s="6">
        <v>2967.0</v>
      </c>
      <c r="B1382" s="6" t="s">
        <v>4192</v>
      </c>
      <c r="C1382" s="6" t="s">
        <v>4190</v>
      </c>
      <c r="D1382" s="6" t="s">
        <v>4191</v>
      </c>
      <c r="E1382" s="6">
        <v>125245.0</v>
      </c>
    </row>
    <row r="1383">
      <c r="A1383" s="6">
        <v>2970.0</v>
      </c>
      <c r="B1383" s="6" t="s">
        <v>4192</v>
      </c>
      <c r="C1383" s="6" t="s">
        <v>4190</v>
      </c>
      <c r="D1383" s="6" t="s">
        <v>4191</v>
      </c>
      <c r="E1383" s="6">
        <v>126022.0</v>
      </c>
    </row>
    <row r="1384">
      <c r="A1384" s="6">
        <v>2973.0</v>
      </c>
      <c r="B1384" s="6" t="s">
        <v>4194</v>
      </c>
      <c r="C1384" s="6" t="s">
        <v>4190</v>
      </c>
      <c r="D1384" s="6" t="s">
        <v>4191</v>
      </c>
      <c r="E1384" s="6">
        <v>128927.0</v>
      </c>
    </row>
    <row r="1385">
      <c r="A1385" s="6">
        <v>2975.0</v>
      </c>
      <c r="B1385" s="6" t="s">
        <v>4192</v>
      </c>
      <c r="C1385" s="6" t="s">
        <v>4190</v>
      </c>
      <c r="D1385" s="6" t="s">
        <v>4191</v>
      </c>
      <c r="E1385" s="6">
        <v>126445.0</v>
      </c>
    </row>
    <row r="1386">
      <c r="A1386" s="6">
        <v>2993.0</v>
      </c>
      <c r="B1386" s="6" t="s">
        <v>4192</v>
      </c>
      <c r="C1386" s="6" t="s">
        <v>4190</v>
      </c>
      <c r="D1386" s="6" t="s">
        <v>4191</v>
      </c>
      <c r="E1386" s="6">
        <v>126417.0</v>
      </c>
    </row>
    <row r="1387">
      <c r="A1387" s="6">
        <v>3000.0</v>
      </c>
      <c r="B1387" s="6" t="s">
        <v>4195</v>
      </c>
      <c r="C1387" s="6" t="s">
        <v>4190</v>
      </c>
      <c r="D1387" s="6" t="s">
        <v>4191</v>
      </c>
      <c r="E1387" s="6">
        <v>128996.0</v>
      </c>
    </row>
    <row r="1388">
      <c r="A1388" s="6">
        <v>3001.0</v>
      </c>
      <c r="B1388" s="6" t="s">
        <v>4194</v>
      </c>
      <c r="C1388" s="6" t="s">
        <v>4190</v>
      </c>
      <c r="D1388" s="6" t="s">
        <v>4191</v>
      </c>
      <c r="E1388" s="6">
        <v>126375.0</v>
      </c>
    </row>
    <row r="1389">
      <c r="A1389" s="6">
        <v>3004.0</v>
      </c>
      <c r="B1389" s="6" t="s">
        <v>4189</v>
      </c>
      <c r="C1389" s="6" t="s">
        <v>4190</v>
      </c>
      <c r="D1389" s="6" t="s">
        <v>4191</v>
      </c>
      <c r="E1389" s="6">
        <v>125838.0</v>
      </c>
    </row>
    <row r="1390">
      <c r="A1390" s="6">
        <v>2979.0</v>
      </c>
      <c r="B1390" s="6" t="s">
        <v>4193</v>
      </c>
      <c r="C1390" s="6" t="s">
        <v>4190</v>
      </c>
      <c r="D1390" s="6" t="s">
        <v>4191</v>
      </c>
      <c r="E1390" s="6">
        <v>128019.0</v>
      </c>
    </row>
    <row r="1391">
      <c r="A1391" s="6">
        <v>3007.0</v>
      </c>
      <c r="B1391" s="6" t="s">
        <v>4192</v>
      </c>
      <c r="C1391" s="6" t="s">
        <v>4190</v>
      </c>
      <c r="D1391" s="6" t="s">
        <v>4191</v>
      </c>
      <c r="E1391" s="6">
        <v>126711.0</v>
      </c>
    </row>
    <row r="1392">
      <c r="A1392" s="6">
        <v>3008.0</v>
      </c>
      <c r="B1392" s="6" t="s">
        <v>4197</v>
      </c>
      <c r="C1392" s="6" t="s">
        <v>4190</v>
      </c>
      <c r="D1392" s="6" t="s">
        <v>4191</v>
      </c>
      <c r="E1392" s="6">
        <v>125939.0</v>
      </c>
    </row>
    <row r="1393">
      <c r="A1393" s="6">
        <v>3009.0</v>
      </c>
      <c r="B1393" s="6" t="s">
        <v>4194</v>
      </c>
      <c r="C1393" s="6" t="s">
        <v>4190</v>
      </c>
      <c r="D1393" s="6" t="s">
        <v>4191</v>
      </c>
      <c r="E1393" s="6">
        <v>125049.0</v>
      </c>
    </row>
    <row r="1394">
      <c r="A1394" s="6">
        <v>2649.0</v>
      </c>
      <c r="B1394" s="6" t="s">
        <v>4195</v>
      </c>
      <c r="C1394" s="6" t="s">
        <v>4190</v>
      </c>
      <c r="D1394" s="6" t="s">
        <v>4191</v>
      </c>
      <c r="E1394" s="6">
        <v>3683.0</v>
      </c>
    </row>
    <row r="1395">
      <c r="A1395" s="6">
        <v>3020.0</v>
      </c>
      <c r="B1395" s="6" t="s">
        <v>4194</v>
      </c>
      <c r="C1395" s="6" t="s">
        <v>4190</v>
      </c>
      <c r="D1395" s="6" t="s">
        <v>4191</v>
      </c>
      <c r="E1395" s="6">
        <v>125187.0</v>
      </c>
    </row>
    <row r="1396">
      <c r="A1396" s="6">
        <v>3024.0</v>
      </c>
      <c r="B1396" s="6" t="s">
        <v>4189</v>
      </c>
      <c r="C1396" s="6" t="s">
        <v>4190</v>
      </c>
      <c r="D1396" s="6" t="s">
        <v>4191</v>
      </c>
      <c r="E1396" s="6">
        <v>124943.0</v>
      </c>
    </row>
    <row r="1397">
      <c r="A1397" s="6">
        <v>3025.0</v>
      </c>
      <c r="B1397" s="6" t="s">
        <v>4194</v>
      </c>
      <c r="C1397" s="6" t="s">
        <v>4190</v>
      </c>
      <c r="D1397" s="6" t="s">
        <v>4191</v>
      </c>
      <c r="E1397" s="6">
        <v>126219.0</v>
      </c>
    </row>
    <row r="1398">
      <c r="A1398" s="6">
        <v>3027.0</v>
      </c>
      <c r="B1398" s="6" t="s">
        <v>4189</v>
      </c>
      <c r="C1398" s="6" t="s">
        <v>4190</v>
      </c>
      <c r="D1398" s="6" t="s">
        <v>4191</v>
      </c>
      <c r="E1398" s="6">
        <v>125072.0</v>
      </c>
    </row>
    <row r="1399">
      <c r="A1399" s="6">
        <v>3028.0</v>
      </c>
      <c r="B1399" s="6" t="s">
        <v>4193</v>
      </c>
      <c r="C1399" s="6" t="s">
        <v>4190</v>
      </c>
      <c r="D1399" s="6" t="s">
        <v>4191</v>
      </c>
      <c r="E1399" s="6">
        <v>128008.0</v>
      </c>
    </row>
    <row r="1400">
      <c r="A1400" s="6">
        <v>3041.0</v>
      </c>
      <c r="B1400" s="6" t="s">
        <v>4192</v>
      </c>
      <c r="C1400" s="6" t="s">
        <v>4190</v>
      </c>
      <c r="D1400" s="6" t="s">
        <v>4191</v>
      </c>
      <c r="E1400" s="6">
        <v>126517.0</v>
      </c>
    </row>
    <row r="1401">
      <c r="A1401" s="6">
        <v>2982.0</v>
      </c>
      <c r="B1401" s="6" t="s">
        <v>4192</v>
      </c>
      <c r="C1401" s="6" t="s">
        <v>4190</v>
      </c>
      <c r="D1401" s="6" t="s">
        <v>4191</v>
      </c>
      <c r="E1401" s="6">
        <v>125990.0</v>
      </c>
    </row>
    <row r="1402">
      <c r="A1402" s="6">
        <v>2983.0</v>
      </c>
      <c r="B1402" s="6" t="s">
        <v>4194</v>
      </c>
      <c r="C1402" s="6" t="s">
        <v>4190</v>
      </c>
      <c r="D1402" s="6" t="s">
        <v>4191</v>
      </c>
      <c r="E1402" s="6">
        <v>124933.0</v>
      </c>
    </row>
    <row r="1403">
      <c r="A1403" s="6">
        <v>3049.0</v>
      </c>
      <c r="B1403" s="6" t="s">
        <v>4197</v>
      </c>
      <c r="C1403" s="6" t="s">
        <v>4190</v>
      </c>
      <c r="D1403" s="6" t="s">
        <v>4191</v>
      </c>
      <c r="E1403" s="6">
        <v>125762.0</v>
      </c>
    </row>
    <row r="1404">
      <c r="A1404" s="6">
        <v>3051.0</v>
      </c>
      <c r="B1404" s="6" t="s">
        <v>4192</v>
      </c>
      <c r="C1404" s="6" t="s">
        <v>4190</v>
      </c>
      <c r="D1404" s="6" t="s">
        <v>4191</v>
      </c>
      <c r="E1404" s="6">
        <v>124607.0</v>
      </c>
    </row>
    <row r="1405">
      <c r="A1405" s="6">
        <v>3053.0</v>
      </c>
      <c r="B1405" s="6" t="s">
        <v>4192</v>
      </c>
      <c r="C1405" s="6" t="s">
        <v>4190</v>
      </c>
      <c r="D1405" s="6" t="s">
        <v>4191</v>
      </c>
      <c r="E1405" s="6">
        <v>128704.0</v>
      </c>
    </row>
    <row r="1406">
      <c r="A1406" s="6">
        <v>3058.0</v>
      </c>
      <c r="B1406" s="6" t="s">
        <v>4192</v>
      </c>
      <c r="C1406" s="6" t="s">
        <v>4190</v>
      </c>
      <c r="D1406" s="6" t="s">
        <v>4191</v>
      </c>
      <c r="E1406" s="6">
        <v>125665.0</v>
      </c>
    </row>
    <row r="1407">
      <c r="A1407" s="6">
        <v>3062.0</v>
      </c>
      <c r="B1407" s="6" t="s">
        <v>4192</v>
      </c>
      <c r="C1407" s="6" t="s">
        <v>4190</v>
      </c>
      <c r="D1407" s="6" t="s">
        <v>4191</v>
      </c>
      <c r="E1407" s="6">
        <v>125900.0</v>
      </c>
    </row>
    <row r="1408">
      <c r="A1408" s="6">
        <v>3067.0</v>
      </c>
      <c r="B1408" s="6" t="s">
        <v>4192</v>
      </c>
      <c r="C1408" s="6" t="s">
        <v>4190</v>
      </c>
      <c r="D1408" s="6" t="s">
        <v>4191</v>
      </c>
      <c r="E1408" s="6">
        <v>126030.0</v>
      </c>
    </row>
    <row r="1409">
      <c r="A1409" s="6">
        <v>3068.0</v>
      </c>
      <c r="B1409" s="6" t="s">
        <v>4193</v>
      </c>
      <c r="C1409" s="6" t="s">
        <v>4190</v>
      </c>
      <c r="D1409" s="6" t="s">
        <v>4191</v>
      </c>
      <c r="E1409" s="6">
        <v>127944.0</v>
      </c>
    </row>
    <row r="1410">
      <c r="A1410" s="6">
        <v>3069.0</v>
      </c>
      <c r="B1410" s="6" t="s">
        <v>4192</v>
      </c>
      <c r="C1410" s="6" t="s">
        <v>4190</v>
      </c>
      <c r="D1410" s="6" t="s">
        <v>4191</v>
      </c>
      <c r="E1410" s="6">
        <v>128591.0</v>
      </c>
    </row>
    <row r="1411">
      <c r="A1411" s="6">
        <v>3079.0</v>
      </c>
      <c r="B1411" s="6" t="s">
        <v>4192</v>
      </c>
      <c r="C1411" s="6" t="s">
        <v>4190</v>
      </c>
      <c r="D1411" s="6" t="s">
        <v>4191</v>
      </c>
      <c r="E1411" s="6">
        <v>125600.0</v>
      </c>
    </row>
    <row r="1412">
      <c r="A1412" s="6">
        <v>3086.0</v>
      </c>
      <c r="B1412" s="6" t="s">
        <v>4192</v>
      </c>
      <c r="C1412" s="6" t="s">
        <v>4190</v>
      </c>
      <c r="D1412" s="6" t="s">
        <v>4191</v>
      </c>
      <c r="E1412" s="6">
        <v>126612.0</v>
      </c>
    </row>
    <row r="1413">
      <c r="A1413" s="6">
        <v>3089.0</v>
      </c>
      <c r="B1413" s="6" t="s">
        <v>4193</v>
      </c>
      <c r="C1413" s="6" t="s">
        <v>4190</v>
      </c>
      <c r="D1413" s="6" t="s">
        <v>4191</v>
      </c>
      <c r="E1413" s="6">
        <v>127900.0</v>
      </c>
    </row>
    <row r="1414">
      <c r="A1414" s="6">
        <v>3092.0</v>
      </c>
      <c r="B1414" s="6" t="s">
        <v>4192</v>
      </c>
      <c r="C1414" s="6" t="s">
        <v>4190</v>
      </c>
      <c r="D1414" s="6" t="s">
        <v>4191</v>
      </c>
      <c r="E1414" s="6">
        <v>128419.0</v>
      </c>
    </row>
    <row r="1415">
      <c r="A1415" s="6">
        <v>3093.0</v>
      </c>
      <c r="B1415" s="6" t="s">
        <v>4192</v>
      </c>
      <c r="C1415" s="6" t="s">
        <v>4190</v>
      </c>
      <c r="D1415" s="6" t="s">
        <v>4191</v>
      </c>
      <c r="E1415" s="6">
        <v>126441.0</v>
      </c>
    </row>
    <row r="1416">
      <c r="A1416" s="6">
        <v>3098.0</v>
      </c>
      <c r="B1416" s="6" t="s">
        <v>4189</v>
      </c>
      <c r="C1416" s="6" t="s">
        <v>4190</v>
      </c>
      <c r="D1416" s="6" t="s">
        <v>4191</v>
      </c>
      <c r="E1416" s="6">
        <v>125573.0</v>
      </c>
    </row>
    <row r="1417">
      <c r="A1417" s="6">
        <v>3111.0</v>
      </c>
      <c r="B1417" s="6" t="s">
        <v>4192</v>
      </c>
      <c r="C1417" s="6" t="s">
        <v>4190</v>
      </c>
      <c r="D1417" s="6" t="s">
        <v>4191</v>
      </c>
      <c r="E1417" s="6">
        <v>126467.0</v>
      </c>
    </row>
    <row r="1418">
      <c r="A1418" s="6">
        <v>3112.0</v>
      </c>
      <c r="B1418" s="6" t="s">
        <v>4192</v>
      </c>
      <c r="C1418" s="6" t="s">
        <v>4190</v>
      </c>
      <c r="D1418" s="6" t="s">
        <v>4191</v>
      </c>
      <c r="E1418" s="6">
        <v>126117.0</v>
      </c>
    </row>
    <row r="1419">
      <c r="A1419" s="6">
        <v>2987.0</v>
      </c>
      <c r="B1419" s="6" t="s">
        <v>4194</v>
      </c>
      <c r="C1419" s="6" t="s">
        <v>4190</v>
      </c>
      <c r="D1419" s="6" t="s">
        <v>4191</v>
      </c>
      <c r="E1419" s="6">
        <v>126478.0</v>
      </c>
    </row>
    <row r="1420">
      <c r="A1420" s="6">
        <v>3114.0</v>
      </c>
      <c r="B1420" s="6" t="s">
        <v>4192</v>
      </c>
      <c r="C1420" s="6" t="s">
        <v>4190</v>
      </c>
      <c r="D1420" s="6" t="s">
        <v>4191</v>
      </c>
      <c r="E1420" s="6">
        <v>126692.0</v>
      </c>
    </row>
    <row r="1421">
      <c r="A1421" s="6">
        <v>3115.0</v>
      </c>
      <c r="B1421" s="6" t="s">
        <v>4194</v>
      </c>
      <c r="C1421" s="6" t="s">
        <v>4190</v>
      </c>
      <c r="D1421" s="6" t="s">
        <v>4191</v>
      </c>
      <c r="E1421" s="6">
        <v>125987.0</v>
      </c>
    </row>
    <row r="1422">
      <c r="A1422" s="6">
        <v>2760.0</v>
      </c>
      <c r="B1422" s="6" t="s">
        <v>4192</v>
      </c>
      <c r="C1422" s="6" t="s">
        <v>4190</v>
      </c>
      <c r="D1422" s="6" t="s">
        <v>4191</v>
      </c>
      <c r="E1422" s="6">
        <v>4116.0</v>
      </c>
    </row>
    <row r="1423">
      <c r="A1423" s="6">
        <v>3542.0</v>
      </c>
      <c r="B1423" s="6" t="s">
        <v>4192</v>
      </c>
      <c r="C1423" s="6" t="s">
        <v>4190</v>
      </c>
      <c r="D1423" s="6" t="s">
        <v>4191</v>
      </c>
      <c r="E1423" s="6">
        <v>126163.0</v>
      </c>
    </row>
    <row r="1424">
      <c r="A1424" s="6">
        <v>3117.0</v>
      </c>
      <c r="B1424" s="6" t="s">
        <v>4192</v>
      </c>
      <c r="C1424" s="6" t="s">
        <v>4190</v>
      </c>
      <c r="D1424" s="6" t="s">
        <v>4191</v>
      </c>
      <c r="E1424" s="6">
        <v>128364.0</v>
      </c>
    </row>
    <row r="1425">
      <c r="A1425" s="6">
        <v>3126.0</v>
      </c>
      <c r="B1425" s="6" t="s">
        <v>4193</v>
      </c>
      <c r="C1425" s="6" t="s">
        <v>4190</v>
      </c>
      <c r="D1425" s="6" t="s">
        <v>4191</v>
      </c>
      <c r="E1425" s="6">
        <v>127920.0</v>
      </c>
    </row>
    <row r="1426">
      <c r="A1426" s="6">
        <v>3127.0</v>
      </c>
      <c r="B1426" s="6" t="s">
        <v>4193</v>
      </c>
      <c r="C1426" s="6" t="s">
        <v>4190</v>
      </c>
      <c r="D1426" s="6" t="s">
        <v>4191</v>
      </c>
      <c r="E1426" s="6">
        <v>127927.0</v>
      </c>
    </row>
    <row r="1427">
      <c r="A1427" s="6">
        <v>3128.0</v>
      </c>
      <c r="B1427" s="6" t="s">
        <v>4192</v>
      </c>
      <c r="C1427" s="6" t="s">
        <v>4190</v>
      </c>
      <c r="D1427" s="6" t="s">
        <v>4191</v>
      </c>
      <c r="E1427" s="6">
        <v>125861.0</v>
      </c>
    </row>
    <row r="1428">
      <c r="A1428" s="6">
        <v>3131.0</v>
      </c>
      <c r="B1428" s="6" t="s">
        <v>4192</v>
      </c>
      <c r="C1428" s="6" t="s">
        <v>4190</v>
      </c>
      <c r="D1428" s="6" t="s">
        <v>4191</v>
      </c>
      <c r="E1428" s="6">
        <v>128380.0</v>
      </c>
    </row>
    <row r="1429">
      <c r="A1429" s="6">
        <v>3132.0</v>
      </c>
      <c r="B1429" s="6" t="s">
        <v>4189</v>
      </c>
      <c r="C1429" s="6" t="s">
        <v>4190</v>
      </c>
      <c r="D1429" s="6" t="s">
        <v>4191</v>
      </c>
      <c r="E1429" s="6">
        <v>125640.0</v>
      </c>
    </row>
    <row r="1430">
      <c r="A1430" s="6">
        <v>3133.0</v>
      </c>
      <c r="B1430" s="6" t="s">
        <v>4192</v>
      </c>
      <c r="C1430" s="6" t="s">
        <v>4190</v>
      </c>
      <c r="D1430" s="6" t="s">
        <v>4191</v>
      </c>
      <c r="E1430" s="6">
        <v>125179.0</v>
      </c>
    </row>
    <row r="1431">
      <c r="A1431" s="6">
        <v>3134.0</v>
      </c>
      <c r="B1431" s="6" t="s">
        <v>4192</v>
      </c>
      <c r="C1431" s="6" t="s">
        <v>4190</v>
      </c>
      <c r="D1431" s="6" t="s">
        <v>4191</v>
      </c>
      <c r="E1431" s="6">
        <v>128646.0</v>
      </c>
    </row>
    <row r="1432">
      <c r="A1432" s="6">
        <v>3137.0</v>
      </c>
      <c r="B1432" s="6" t="s">
        <v>4193</v>
      </c>
      <c r="C1432" s="6" t="s">
        <v>4190</v>
      </c>
      <c r="D1432" s="6" t="s">
        <v>4191</v>
      </c>
      <c r="E1432" s="6">
        <v>128070.0</v>
      </c>
    </row>
    <row r="1433">
      <c r="A1433" s="6">
        <v>3142.0</v>
      </c>
      <c r="B1433" s="6" t="s">
        <v>4192</v>
      </c>
      <c r="C1433" s="6" t="s">
        <v>4190</v>
      </c>
      <c r="D1433" s="6" t="s">
        <v>4191</v>
      </c>
      <c r="E1433" s="6">
        <v>125419.0</v>
      </c>
    </row>
    <row r="1434">
      <c r="A1434" s="6">
        <v>3143.0</v>
      </c>
      <c r="B1434" s="6" t="s">
        <v>4192</v>
      </c>
      <c r="C1434" s="6" t="s">
        <v>4190</v>
      </c>
      <c r="D1434" s="6" t="s">
        <v>4191</v>
      </c>
      <c r="E1434" s="6">
        <v>124599.0</v>
      </c>
    </row>
    <row r="1435">
      <c r="A1435" s="6">
        <v>2360.0</v>
      </c>
      <c r="B1435" s="6" t="s">
        <v>4192</v>
      </c>
      <c r="C1435" s="6" t="s">
        <v>4190</v>
      </c>
      <c r="D1435" s="6" t="s">
        <v>4191</v>
      </c>
      <c r="E1435" s="6">
        <v>126521.0</v>
      </c>
    </row>
    <row r="1436">
      <c r="A1436" s="6">
        <v>2375.0</v>
      </c>
      <c r="B1436" s="6" t="s">
        <v>4192</v>
      </c>
      <c r="C1436" s="6" t="s">
        <v>4190</v>
      </c>
      <c r="D1436" s="6" t="s">
        <v>4191</v>
      </c>
      <c r="E1436" s="6">
        <v>125765.0</v>
      </c>
    </row>
    <row r="1437">
      <c r="A1437" s="6">
        <v>2382.0</v>
      </c>
      <c r="B1437" s="6" t="s">
        <v>4192</v>
      </c>
      <c r="C1437" s="6" t="s">
        <v>4190</v>
      </c>
      <c r="D1437" s="6" t="s">
        <v>4191</v>
      </c>
      <c r="E1437" s="6">
        <v>125903.0</v>
      </c>
    </row>
    <row r="1438">
      <c r="A1438" s="6">
        <v>2383.0</v>
      </c>
      <c r="B1438" s="6" t="s">
        <v>4192</v>
      </c>
      <c r="C1438" s="6" t="s">
        <v>4190</v>
      </c>
      <c r="D1438" s="6" t="s">
        <v>4191</v>
      </c>
      <c r="E1438" s="6">
        <v>128412.0</v>
      </c>
    </row>
    <row r="1439">
      <c r="A1439" s="6">
        <v>2387.0</v>
      </c>
      <c r="B1439" s="6" t="s">
        <v>4192</v>
      </c>
      <c r="C1439" s="6" t="s">
        <v>4190</v>
      </c>
      <c r="D1439" s="6" t="s">
        <v>4191</v>
      </c>
      <c r="E1439" s="6">
        <v>126279.0</v>
      </c>
    </row>
    <row r="1440">
      <c r="A1440" s="6">
        <v>2394.0</v>
      </c>
      <c r="B1440" s="6" t="s">
        <v>4192</v>
      </c>
      <c r="C1440" s="6" t="s">
        <v>4190</v>
      </c>
      <c r="D1440" s="6" t="s">
        <v>4191</v>
      </c>
      <c r="E1440" s="6">
        <v>125234.0</v>
      </c>
    </row>
    <row r="1441">
      <c r="A1441" s="6">
        <v>2399.0</v>
      </c>
      <c r="B1441" s="6" t="s">
        <v>4192</v>
      </c>
      <c r="C1441" s="6" t="s">
        <v>4190</v>
      </c>
      <c r="D1441" s="6" t="s">
        <v>4191</v>
      </c>
      <c r="E1441" s="6">
        <v>126222.0</v>
      </c>
    </row>
    <row r="1442">
      <c r="A1442" s="6">
        <v>2401.0</v>
      </c>
      <c r="B1442" s="6" t="s">
        <v>4195</v>
      </c>
      <c r="C1442" s="6" t="s">
        <v>4190</v>
      </c>
      <c r="D1442" s="6" t="s">
        <v>4191</v>
      </c>
      <c r="E1442" s="6">
        <v>129144.0</v>
      </c>
    </row>
    <row r="1443">
      <c r="A1443" s="6">
        <v>2402.0</v>
      </c>
      <c r="B1443" s="6" t="s">
        <v>4194</v>
      </c>
      <c r="C1443" s="6" t="s">
        <v>4190</v>
      </c>
      <c r="D1443" s="6" t="s">
        <v>4191</v>
      </c>
      <c r="E1443" s="6">
        <v>126089.0</v>
      </c>
    </row>
    <row r="1444">
      <c r="A1444" s="6">
        <v>2405.0</v>
      </c>
      <c r="B1444" s="6" t="s">
        <v>4192</v>
      </c>
      <c r="C1444" s="6" t="s">
        <v>4190</v>
      </c>
      <c r="D1444" s="6" t="s">
        <v>4191</v>
      </c>
      <c r="E1444" s="6">
        <v>124748.0</v>
      </c>
    </row>
    <row r="1445">
      <c r="A1445" s="6">
        <v>2408.0</v>
      </c>
      <c r="B1445" s="6" t="s">
        <v>4189</v>
      </c>
      <c r="C1445" s="6" t="s">
        <v>4190</v>
      </c>
      <c r="D1445" s="6" t="s">
        <v>4191</v>
      </c>
      <c r="E1445" s="6">
        <v>126339.0</v>
      </c>
    </row>
    <row r="1446">
      <c r="A1446" s="6">
        <v>2412.0</v>
      </c>
      <c r="B1446" s="6" t="s">
        <v>4189</v>
      </c>
      <c r="C1446" s="6" t="s">
        <v>4190</v>
      </c>
      <c r="D1446" s="6" t="s">
        <v>4191</v>
      </c>
      <c r="E1446" s="6">
        <v>126976.0</v>
      </c>
    </row>
    <row r="1447">
      <c r="A1447" s="6">
        <v>2422.0</v>
      </c>
      <c r="B1447" s="6" t="s">
        <v>4189</v>
      </c>
      <c r="C1447" s="6" t="s">
        <v>4190</v>
      </c>
      <c r="D1447" s="6" t="s">
        <v>4191</v>
      </c>
      <c r="E1447" s="6">
        <v>125384.0</v>
      </c>
    </row>
    <row r="1448">
      <c r="A1448" s="6">
        <v>2424.0</v>
      </c>
      <c r="B1448" s="6" t="s">
        <v>4194</v>
      </c>
      <c r="C1448" s="6" t="s">
        <v>4190</v>
      </c>
      <c r="D1448" s="6" t="s">
        <v>4191</v>
      </c>
      <c r="E1448" s="6">
        <v>124814.0</v>
      </c>
    </row>
    <row r="1449">
      <c r="A1449" s="6">
        <v>2427.0</v>
      </c>
      <c r="B1449" s="6" t="s">
        <v>4192</v>
      </c>
      <c r="C1449" s="6" t="s">
        <v>4190</v>
      </c>
      <c r="D1449" s="6" t="s">
        <v>4191</v>
      </c>
      <c r="E1449" s="6">
        <v>126308.0</v>
      </c>
    </row>
    <row r="1450">
      <c r="A1450" s="6">
        <v>2430.0</v>
      </c>
      <c r="B1450" s="6" t="s">
        <v>4192</v>
      </c>
      <c r="C1450" s="6" t="s">
        <v>4190</v>
      </c>
      <c r="D1450" s="6" t="s">
        <v>4191</v>
      </c>
      <c r="E1450" s="6">
        <v>128828.0</v>
      </c>
    </row>
    <row r="1451">
      <c r="A1451" s="6">
        <v>2431.0</v>
      </c>
      <c r="B1451" s="6" t="s">
        <v>4192</v>
      </c>
      <c r="C1451" s="6" t="s">
        <v>4190</v>
      </c>
      <c r="D1451" s="6" t="s">
        <v>4191</v>
      </c>
      <c r="E1451" s="6">
        <v>126167.0</v>
      </c>
    </row>
    <row r="1452">
      <c r="A1452" s="6">
        <v>2432.0</v>
      </c>
      <c r="B1452" s="6" t="s">
        <v>4192</v>
      </c>
      <c r="C1452" s="6" t="s">
        <v>4190</v>
      </c>
      <c r="D1452" s="6" t="s">
        <v>4191</v>
      </c>
      <c r="E1452" s="6">
        <v>125513.0</v>
      </c>
    </row>
    <row r="1453">
      <c r="A1453" s="6">
        <v>2437.0</v>
      </c>
      <c r="B1453" s="6" t="s">
        <v>4192</v>
      </c>
      <c r="C1453" s="6" t="s">
        <v>4190</v>
      </c>
      <c r="D1453" s="6" t="s">
        <v>4191</v>
      </c>
      <c r="E1453" s="6">
        <v>126196.0</v>
      </c>
    </row>
    <row r="1454">
      <c r="A1454" s="6">
        <v>2439.0</v>
      </c>
      <c r="B1454" s="6" t="s">
        <v>4193</v>
      </c>
      <c r="C1454" s="6" t="s">
        <v>4190</v>
      </c>
      <c r="D1454" s="6" t="s">
        <v>4191</v>
      </c>
      <c r="E1454" s="6">
        <v>128025.0</v>
      </c>
    </row>
    <row r="1455">
      <c r="A1455" s="6">
        <v>2441.0</v>
      </c>
      <c r="B1455" s="6" t="s">
        <v>4192</v>
      </c>
      <c r="C1455" s="6" t="s">
        <v>4190</v>
      </c>
      <c r="D1455" s="6" t="s">
        <v>4191</v>
      </c>
      <c r="E1455" s="6">
        <v>126825.0</v>
      </c>
    </row>
    <row r="1456">
      <c r="A1456" s="6">
        <v>2442.0</v>
      </c>
      <c r="B1456" s="6" t="s">
        <v>4192</v>
      </c>
      <c r="C1456" s="6" t="s">
        <v>4190</v>
      </c>
      <c r="D1456" s="6" t="s">
        <v>4191</v>
      </c>
      <c r="E1456" s="6">
        <v>126410.0</v>
      </c>
    </row>
    <row r="1457">
      <c r="A1457" s="6">
        <v>2443.0</v>
      </c>
      <c r="B1457" s="6" t="s">
        <v>4192</v>
      </c>
      <c r="C1457" s="6" t="s">
        <v>4190</v>
      </c>
      <c r="D1457" s="6" t="s">
        <v>4191</v>
      </c>
      <c r="E1457" s="6">
        <v>125166.0</v>
      </c>
    </row>
    <row r="1458">
      <c r="A1458" s="6">
        <v>2448.0</v>
      </c>
      <c r="B1458" s="6" t="s">
        <v>4192</v>
      </c>
      <c r="C1458" s="6" t="s">
        <v>4190</v>
      </c>
      <c r="D1458" s="6" t="s">
        <v>4191</v>
      </c>
      <c r="E1458" s="6">
        <v>125919.0</v>
      </c>
    </row>
    <row r="1459">
      <c r="A1459" s="6">
        <v>2450.0</v>
      </c>
      <c r="B1459" s="6" t="s">
        <v>4192</v>
      </c>
      <c r="C1459" s="6" t="s">
        <v>4190</v>
      </c>
      <c r="D1459" s="6" t="s">
        <v>4191</v>
      </c>
      <c r="E1459" s="6">
        <v>129017.0</v>
      </c>
    </row>
    <row r="1460">
      <c r="A1460" s="6">
        <v>2455.0</v>
      </c>
      <c r="B1460" s="6" t="s">
        <v>4192</v>
      </c>
      <c r="C1460" s="6" t="s">
        <v>4190</v>
      </c>
      <c r="D1460" s="6" t="s">
        <v>4191</v>
      </c>
      <c r="E1460" s="6">
        <v>126322.0</v>
      </c>
    </row>
    <row r="1461">
      <c r="A1461" s="6">
        <v>2367.0</v>
      </c>
      <c r="B1461" s="6" t="s">
        <v>4192</v>
      </c>
      <c r="C1461" s="6" t="s">
        <v>4190</v>
      </c>
      <c r="D1461" s="6" t="s">
        <v>4191</v>
      </c>
      <c r="E1461" s="6">
        <v>125496.0</v>
      </c>
    </row>
    <row r="1462">
      <c r="A1462" s="6">
        <v>2459.0</v>
      </c>
      <c r="B1462" s="6" t="s">
        <v>4192</v>
      </c>
      <c r="C1462" s="6" t="s">
        <v>4190</v>
      </c>
      <c r="D1462" s="6" t="s">
        <v>4191</v>
      </c>
      <c r="E1462" s="6">
        <v>126063.0</v>
      </c>
    </row>
    <row r="1463">
      <c r="A1463" s="6">
        <v>2463.0</v>
      </c>
      <c r="B1463" s="6" t="s">
        <v>4194</v>
      </c>
      <c r="C1463" s="6" t="s">
        <v>4190</v>
      </c>
      <c r="D1463" s="6" t="s">
        <v>4191</v>
      </c>
      <c r="E1463" s="6">
        <v>124833.0</v>
      </c>
    </row>
    <row r="1464">
      <c r="A1464" s="6">
        <v>2469.0</v>
      </c>
      <c r="B1464" s="6" t="s">
        <v>4192</v>
      </c>
      <c r="C1464" s="6" t="s">
        <v>4190</v>
      </c>
      <c r="D1464" s="6" t="s">
        <v>4191</v>
      </c>
      <c r="E1464" s="6">
        <v>125659.0</v>
      </c>
    </row>
    <row r="1465">
      <c r="A1465" s="6">
        <v>2369.0</v>
      </c>
      <c r="B1465" s="6" t="s">
        <v>4192</v>
      </c>
      <c r="C1465" s="6" t="s">
        <v>4190</v>
      </c>
      <c r="D1465" s="6" t="s">
        <v>4191</v>
      </c>
      <c r="E1465" s="6">
        <v>126726.0</v>
      </c>
    </row>
    <row r="1466">
      <c r="A1466" s="6">
        <v>2472.0</v>
      </c>
      <c r="B1466" s="6" t="s">
        <v>4195</v>
      </c>
      <c r="C1466" s="6" t="s">
        <v>4190</v>
      </c>
      <c r="D1466" s="6" t="s">
        <v>4191</v>
      </c>
      <c r="E1466" s="6">
        <v>128802.0</v>
      </c>
    </row>
    <row r="1467">
      <c r="A1467" s="6">
        <v>2474.0</v>
      </c>
      <c r="B1467" s="6" t="s">
        <v>4192</v>
      </c>
      <c r="C1467" s="6" t="s">
        <v>4190</v>
      </c>
      <c r="D1467" s="6" t="s">
        <v>4191</v>
      </c>
      <c r="E1467" s="6">
        <v>126382.0</v>
      </c>
    </row>
    <row r="1468">
      <c r="A1468" s="6">
        <v>2475.0</v>
      </c>
      <c r="B1468" s="6" t="s">
        <v>4192</v>
      </c>
      <c r="C1468" s="6" t="s">
        <v>4190</v>
      </c>
      <c r="D1468" s="6" t="s">
        <v>4191</v>
      </c>
      <c r="E1468" s="6">
        <v>126153.0</v>
      </c>
    </row>
    <row r="1469">
      <c r="A1469" s="6">
        <v>2477.0</v>
      </c>
      <c r="B1469" s="6" t="s">
        <v>4192</v>
      </c>
      <c r="C1469" s="6" t="s">
        <v>4190</v>
      </c>
      <c r="D1469" s="6" t="s">
        <v>4191</v>
      </c>
      <c r="E1469" s="6">
        <v>125621.0</v>
      </c>
    </row>
    <row r="1470">
      <c r="A1470" s="6">
        <v>2486.0</v>
      </c>
      <c r="B1470" s="6" t="s">
        <v>4192</v>
      </c>
      <c r="C1470" s="6" t="s">
        <v>4190</v>
      </c>
      <c r="D1470" s="6" t="s">
        <v>4191</v>
      </c>
      <c r="E1470" s="6">
        <v>126126.0</v>
      </c>
    </row>
    <row r="1471">
      <c r="A1471" s="6">
        <v>2487.0</v>
      </c>
      <c r="B1471" s="6" t="s">
        <v>4192</v>
      </c>
      <c r="C1471" s="6" t="s">
        <v>4190</v>
      </c>
      <c r="D1471" s="6" t="s">
        <v>4191</v>
      </c>
      <c r="E1471" s="6">
        <v>125970.0</v>
      </c>
    </row>
    <row r="1472">
      <c r="A1472" s="6">
        <v>2499.0</v>
      </c>
      <c r="B1472" s="6" t="s">
        <v>4193</v>
      </c>
      <c r="C1472" s="6" t="s">
        <v>4190</v>
      </c>
      <c r="D1472" s="6" t="s">
        <v>4191</v>
      </c>
      <c r="E1472" s="6">
        <v>128059.0</v>
      </c>
    </row>
    <row r="1473">
      <c r="A1473" s="6">
        <v>2500.0</v>
      </c>
      <c r="B1473" s="6" t="s">
        <v>4192</v>
      </c>
      <c r="C1473" s="6" t="s">
        <v>4190</v>
      </c>
      <c r="D1473" s="6" t="s">
        <v>4191</v>
      </c>
      <c r="E1473" s="6">
        <v>126211.0</v>
      </c>
    </row>
    <row r="1474">
      <c r="A1474" s="6">
        <v>2502.0</v>
      </c>
      <c r="B1474" s="6" t="s">
        <v>4192</v>
      </c>
      <c r="C1474" s="6" t="s">
        <v>4190</v>
      </c>
      <c r="D1474" s="6" t="s">
        <v>4191</v>
      </c>
      <c r="E1474" s="6">
        <v>125691.0</v>
      </c>
    </row>
    <row r="1475">
      <c r="A1475" s="6">
        <v>2513.0</v>
      </c>
      <c r="B1475" s="6" t="s">
        <v>4192</v>
      </c>
      <c r="C1475" s="6" t="s">
        <v>4190</v>
      </c>
      <c r="D1475" s="6" t="s">
        <v>4191</v>
      </c>
      <c r="E1475" s="6">
        <v>125111.0</v>
      </c>
    </row>
    <row r="1476">
      <c r="A1476" s="6">
        <v>2514.0</v>
      </c>
      <c r="B1476" s="6" t="s">
        <v>4193</v>
      </c>
      <c r="C1476" s="6" t="s">
        <v>4190</v>
      </c>
      <c r="D1476" s="6" t="s">
        <v>4191</v>
      </c>
      <c r="E1476" s="6">
        <v>127953.0</v>
      </c>
    </row>
    <row r="1477">
      <c r="A1477" s="6">
        <v>2515.0</v>
      </c>
      <c r="B1477" s="6" t="s">
        <v>4193</v>
      </c>
      <c r="C1477" s="6" t="s">
        <v>4190</v>
      </c>
      <c r="D1477" s="6" t="s">
        <v>4191</v>
      </c>
      <c r="E1477" s="6">
        <v>127990.0</v>
      </c>
    </row>
    <row r="1478">
      <c r="A1478" s="6">
        <v>3144.0</v>
      </c>
      <c r="B1478" s="6" t="s">
        <v>4192</v>
      </c>
      <c r="C1478" s="6" t="s">
        <v>4190</v>
      </c>
      <c r="D1478" s="6" t="s">
        <v>4191</v>
      </c>
      <c r="E1478" s="6">
        <v>128446.0</v>
      </c>
    </row>
    <row r="1479">
      <c r="A1479" s="6">
        <v>3146.0</v>
      </c>
      <c r="B1479" s="6" t="s">
        <v>4194</v>
      </c>
      <c r="C1479" s="6" t="s">
        <v>4190</v>
      </c>
      <c r="D1479" s="6" t="s">
        <v>4191</v>
      </c>
      <c r="E1479" s="6">
        <v>124638.0</v>
      </c>
    </row>
    <row r="1480">
      <c r="A1480" s="6">
        <v>3147.0</v>
      </c>
      <c r="B1480" s="6" t="s">
        <v>4192</v>
      </c>
      <c r="C1480" s="6" t="s">
        <v>4190</v>
      </c>
      <c r="D1480" s="6" t="s">
        <v>4191</v>
      </c>
      <c r="E1480" s="6">
        <v>126024.0</v>
      </c>
    </row>
    <row r="1481">
      <c r="A1481" s="6">
        <v>3150.0</v>
      </c>
      <c r="B1481" s="6" t="s">
        <v>4192</v>
      </c>
      <c r="C1481" s="6" t="s">
        <v>4190</v>
      </c>
      <c r="D1481" s="6" t="s">
        <v>4191</v>
      </c>
      <c r="E1481" s="6">
        <v>128567.0</v>
      </c>
    </row>
    <row r="1482">
      <c r="A1482" s="6">
        <v>3152.0</v>
      </c>
      <c r="B1482" s="6" t="s">
        <v>4192</v>
      </c>
      <c r="C1482" s="6" t="s">
        <v>4190</v>
      </c>
      <c r="D1482" s="6" t="s">
        <v>4191</v>
      </c>
      <c r="E1482" s="6">
        <v>126051.0</v>
      </c>
    </row>
    <row r="1483">
      <c r="A1483" s="6">
        <v>3154.0</v>
      </c>
      <c r="B1483" s="6" t="s">
        <v>4194</v>
      </c>
      <c r="C1483" s="6" t="s">
        <v>4190</v>
      </c>
      <c r="D1483" s="6" t="s">
        <v>4191</v>
      </c>
      <c r="E1483" s="6">
        <v>124736.0</v>
      </c>
    </row>
    <row r="1484">
      <c r="A1484" s="6">
        <v>3157.0</v>
      </c>
      <c r="B1484" s="6" t="s">
        <v>4194</v>
      </c>
      <c r="C1484" s="6" t="s">
        <v>4190</v>
      </c>
      <c r="D1484" s="6" t="s">
        <v>4191</v>
      </c>
      <c r="E1484" s="6">
        <v>125539.0</v>
      </c>
    </row>
    <row r="1485">
      <c r="A1485" s="6">
        <v>3158.0</v>
      </c>
      <c r="B1485" s="6" t="s">
        <v>4192</v>
      </c>
      <c r="C1485" s="6" t="s">
        <v>4190</v>
      </c>
      <c r="D1485" s="6" t="s">
        <v>4191</v>
      </c>
      <c r="E1485" s="6">
        <v>125483.0</v>
      </c>
    </row>
    <row r="1486">
      <c r="A1486" s="6">
        <v>3162.0</v>
      </c>
      <c r="B1486" s="6" t="s">
        <v>4189</v>
      </c>
      <c r="C1486" s="6" t="s">
        <v>4190</v>
      </c>
      <c r="D1486" s="6" t="s">
        <v>4191</v>
      </c>
      <c r="E1486" s="6">
        <v>126476.0</v>
      </c>
    </row>
    <row r="1487">
      <c r="A1487" s="6">
        <v>3163.0</v>
      </c>
      <c r="B1487" s="6" t="s">
        <v>4189</v>
      </c>
      <c r="C1487" s="6" t="s">
        <v>4190</v>
      </c>
      <c r="D1487" s="6" t="s">
        <v>4191</v>
      </c>
      <c r="E1487" s="6">
        <v>124800.0</v>
      </c>
    </row>
    <row r="1488">
      <c r="A1488" s="6">
        <v>3164.0</v>
      </c>
      <c r="B1488" s="6" t="s">
        <v>4192</v>
      </c>
      <c r="C1488" s="6" t="s">
        <v>4190</v>
      </c>
      <c r="D1488" s="6" t="s">
        <v>4191</v>
      </c>
      <c r="E1488" s="6">
        <v>129168.0</v>
      </c>
    </row>
    <row r="1489">
      <c r="A1489" s="6">
        <v>3166.0</v>
      </c>
      <c r="B1489" s="6" t="s">
        <v>4192</v>
      </c>
      <c r="C1489" s="6" t="s">
        <v>4190</v>
      </c>
      <c r="D1489" s="6" t="s">
        <v>4191</v>
      </c>
      <c r="E1489" s="6">
        <v>125146.0</v>
      </c>
    </row>
    <row r="1490">
      <c r="A1490" s="6">
        <v>3168.0</v>
      </c>
      <c r="B1490" s="6" t="s">
        <v>4189</v>
      </c>
      <c r="C1490" s="6" t="s">
        <v>4190</v>
      </c>
      <c r="D1490" s="6" t="s">
        <v>4191</v>
      </c>
      <c r="E1490" s="6">
        <v>126304.0</v>
      </c>
    </row>
    <row r="1491">
      <c r="A1491" s="6">
        <v>3184.0</v>
      </c>
      <c r="B1491" s="6" t="s">
        <v>4192</v>
      </c>
      <c r="C1491" s="6" t="s">
        <v>4190</v>
      </c>
      <c r="D1491" s="6" t="s">
        <v>4191</v>
      </c>
      <c r="E1491" s="6">
        <v>126236.0</v>
      </c>
    </row>
    <row r="1492">
      <c r="A1492" s="6">
        <v>3186.0</v>
      </c>
      <c r="B1492" s="6" t="s">
        <v>4192</v>
      </c>
      <c r="C1492" s="6" t="s">
        <v>4190</v>
      </c>
      <c r="D1492" s="6" t="s">
        <v>4191</v>
      </c>
      <c r="E1492" s="6">
        <v>126003.0</v>
      </c>
    </row>
    <row r="1493">
      <c r="A1493" s="6">
        <v>3187.0</v>
      </c>
      <c r="B1493" s="6" t="s">
        <v>4192</v>
      </c>
      <c r="C1493" s="6" t="s">
        <v>4190</v>
      </c>
      <c r="D1493" s="6" t="s">
        <v>4191</v>
      </c>
      <c r="E1493" s="6">
        <v>125996.0</v>
      </c>
    </row>
    <row r="1494">
      <c r="A1494" s="6">
        <v>3189.0</v>
      </c>
      <c r="B1494" s="6" t="s">
        <v>4192</v>
      </c>
      <c r="C1494" s="6" t="s">
        <v>4190</v>
      </c>
      <c r="D1494" s="6" t="s">
        <v>4191</v>
      </c>
      <c r="E1494" s="6">
        <v>125558.0</v>
      </c>
    </row>
    <row r="1495">
      <c r="A1495" s="6">
        <v>3192.0</v>
      </c>
      <c r="B1495" s="6" t="s">
        <v>4192</v>
      </c>
      <c r="C1495" s="6" t="s">
        <v>4190</v>
      </c>
      <c r="D1495" s="6" t="s">
        <v>4191</v>
      </c>
      <c r="E1495" s="6">
        <v>125850.0</v>
      </c>
    </row>
    <row r="1496">
      <c r="A1496" s="6">
        <v>3195.0</v>
      </c>
      <c r="B1496" s="6" t="s">
        <v>4192</v>
      </c>
      <c r="C1496" s="6" t="s">
        <v>4190</v>
      </c>
      <c r="D1496" s="6" t="s">
        <v>4191</v>
      </c>
      <c r="E1496" s="6">
        <v>126406.0</v>
      </c>
    </row>
    <row r="1497">
      <c r="A1497" s="6">
        <v>3196.0</v>
      </c>
      <c r="B1497" s="6" t="s">
        <v>4189</v>
      </c>
      <c r="C1497" s="6" t="s">
        <v>4190</v>
      </c>
      <c r="D1497" s="6" t="s">
        <v>4191</v>
      </c>
      <c r="E1497" s="6">
        <v>126058.0</v>
      </c>
    </row>
    <row r="1498">
      <c r="A1498" s="6">
        <v>3198.0</v>
      </c>
      <c r="B1498" s="6" t="s">
        <v>4193</v>
      </c>
      <c r="C1498" s="6" t="s">
        <v>4190</v>
      </c>
      <c r="D1498" s="6" t="s">
        <v>4191</v>
      </c>
      <c r="E1498" s="6">
        <v>127970.0</v>
      </c>
    </row>
    <row r="1499">
      <c r="A1499" s="6">
        <v>3200.0</v>
      </c>
      <c r="B1499" s="6" t="s">
        <v>4192</v>
      </c>
      <c r="C1499" s="6" t="s">
        <v>4190</v>
      </c>
      <c r="D1499" s="6" t="s">
        <v>4191</v>
      </c>
      <c r="E1499" s="6">
        <v>126185.0</v>
      </c>
    </row>
    <row r="1500">
      <c r="A1500" s="6">
        <v>3201.0</v>
      </c>
      <c r="B1500" s="6" t="s">
        <v>4196</v>
      </c>
      <c r="C1500" s="6" t="s">
        <v>4190</v>
      </c>
      <c r="D1500" s="6" t="s">
        <v>4191</v>
      </c>
      <c r="E1500" s="6">
        <v>125306.0</v>
      </c>
    </row>
    <row r="1501">
      <c r="A1501" s="6">
        <v>3005.0</v>
      </c>
      <c r="B1501" s="6" t="s">
        <v>4195</v>
      </c>
      <c r="C1501" s="6" t="s">
        <v>4190</v>
      </c>
      <c r="D1501" s="6" t="s">
        <v>4191</v>
      </c>
      <c r="E1501" s="6">
        <v>4724.0</v>
      </c>
    </row>
    <row r="1502">
      <c r="A1502" s="6">
        <v>3202.0</v>
      </c>
      <c r="B1502" s="6" t="s">
        <v>4192</v>
      </c>
      <c r="C1502" s="6" t="s">
        <v>4190</v>
      </c>
      <c r="D1502" s="6" t="s">
        <v>4191</v>
      </c>
      <c r="E1502" s="6">
        <v>128451.0</v>
      </c>
    </row>
    <row r="1503">
      <c r="A1503" s="6">
        <v>3208.0</v>
      </c>
      <c r="B1503" s="6" t="s">
        <v>4197</v>
      </c>
      <c r="C1503" s="6" t="s">
        <v>4190</v>
      </c>
      <c r="D1503" s="6" t="s">
        <v>4191</v>
      </c>
      <c r="E1503" s="6">
        <v>126720.0</v>
      </c>
    </row>
    <row r="1504">
      <c r="A1504" s="6">
        <v>3210.0</v>
      </c>
      <c r="B1504" s="6" t="s">
        <v>4197</v>
      </c>
      <c r="C1504" s="6" t="s">
        <v>4190</v>
      </c>
      <c r="D1504" s="6" t="s">
        <v>4191</v>
      </c>
      <c r="E1504" s="6">
        <v>125696.0</v>
      </c>
    </row>
    <row r="1505">
      <c r="A1505" s="6">
        <v>3211.0</v>
      </c>
      <c r="B1505" s="6" t="s">
        <v>4193</v>
      </c>
      <c r="C1505" s="6" t="s">
        <v>4190</v>
      </c>
      <c r="D1505" s="6" t="s">
        <v>4191</v>
      </c>
      <c r="E1505" s="6">
        <v>127933.0</v>
      </c>
    </row>
    <row r="1506">
      <c r="A1506" s="6">
        <v>3214.0</v>
      </c>
      <c r="B1506" s="6" t="s">
        <v>4195</v>
      </c>
      <c r="C1506" s="6" t="s">
        <v>4190</v>
      </c>
      <c r="D1506" s="6" t="s">
        <v>4191</v>
      </c>
      <c r="E1506" s="6">
        <v>128354.0</v>
      </c>
    </row>
    <row r="1507">
      <c r="A1507" s="6">
        <v>3219.0</v>
      </c>
      <c r="B1507" s="6" t="s">
        <v>4193</v>
      </c>
      <c r="C1507" s="6" t="s">
        <v>4190</v>
      </c>
      <c r="D1507" s="6" t="s">
        <v>4191</v>
      </c>
      <c r="E1507" s="6">
        <v>128056.0</v>
      </c>
    </row>
    <row r="1508">
      <c r="A1508" s="6">
        <v>3221.0</v>
      </c>
      <c r="B1508" s="6" t="s">
        <v>4192</v>
      </c>
      <c r="C1508" s="6" t="s">
        <v>4190</v>
      </c>
      <c r="D1508" s="6" t="s">
        <v>4191</v>
      </c>
      <c r="E1508" s="6">
        <v>126673.0</v>
      </c>
    </row>
    <row r="1509">
      <c r="A1509" s="6">
        <v>3225.0</v>
      </c>
      <c r="B1509" s="6" t="s">
        <v>4193</v>
      </c>
      <c r="C1509" s="6" t="s">
        <v>4190</v>
      </c>
      <c r="D1509" s="6" t="s">
        <v>4191</v>
      </c>
      <c r="E1509" s="6">
        <v>128034.0</v>
      </c>
    </row>
    <row r="1510">
      <c r="A1510" s="6">
        <v>3228.0</v>
      </c>
      <c r="B1510" s="6" t="s">
        <v>4189</v>
      </c>
      <c r="C1510" s="6" t="s">
        <v>4190</v>
      </c>
      <c r="D1510" s="6" t="s">
        <v>4191</v>
      </c>
      <c r="E1510" s="6">
        <v>126100.0</v>
      </c>
    </row>
    <row r="1511">
      <c r="A1511" s="6">
        <v>3232.0</v>
      </c>
      <c r="B1511" s="6" t="s">
        <v>4192</v>
      </c>
      <c r="C1511" s="6" t="s">
        <v>4190</v>
      </c>
      <c r="D1511" s="6" t="s">
        <v>4191</v>
      </c>
      <c r="E1511" s="6">
        <v>125967.0</v>
      </c>
    </row>
    <row r="1512">
      <c r="A1512" s="6">
        <v>3233.0</v>
      </c>
      <c r="B1512" s="6" t="s">
        <v>4189</v>
      </c>
      <c r="C1512" s="6" t="s">
        <v>4190</v>
      </c>
      <c r="D1512" s="6" t="s">
        <v>4191</v>
      </c>
      <c r="E1512" s="6">
        <v>125596.0</v>
      </c>
    </row>
    <row r="1513">
      <c r="A1513" s="6">
        <v>3234.0</v>
      </c>
      <c r="B1513" s="6" t="s">
        <v>4192</v>
      </c>
      <c r="C1513" s="6" t="s">
        <v>4190</v>
      </c>
      <c r="D1513" s="6" t="s">
        <v>4191</v>
      </c>
      <c r="E1513" s="6">
        <v>124916.0</v>
      </c>
    </row>
    <row r="1514">
      <c r="A1514" s="6">
        <v>3235.0</v>
      </c>
      <c r="B1514" s="6" t="s">
        <v>4192</v>
      </c>
      <c r="C1514" s="6" t="s">
        <v>4190</v>
      </c>
      <c r="D1514" s="6" t="s">
        <v>4191</v>
      </c>
      <c r="E1514" s="6">
        <v>126642.0</v>
      </c>
    </row>
    <row r="1515">
      <c r="A1515" s="6">
        <v>3236.0</v>
      </c>
      <c r="B1515" s="6" t="s">
        <v>4195</v>
      </c>
      <c r="C1515" s="6" t="s">
        <v>4190</v>
      </c>
      <c r="D1515" s="6" t="s">
        <v>4191</v>
      </c>
      <c r="E1515" s="6">
        <v>126157.0</v>
      </c>
    </row>
    <row r="1516">
      <c r="A1516" s="6">
        <v>3237.0</v>
      </c>
      <c r="B1516" s="6" t="s">
        <v>4189</v>
      </c>
      <c r="C1516" s="6" t="s">
        <v>4190</v>
      </c>
      <c r="D1516" s="6" t="s">
        <v>4191</v>
      </c>
      <c r="E1516" s="6">
        <v>124543.0</v>
      </c>
    </row>
    <row r="1517">
      <c r="A1517" s="6">
        <v>3241.0</v>
      </c>
      <c r="B1517" s="6" t="s">
        <v>4193</v>
      </c>
      <c r="C1517" s="6" t="s">
        <v>4190</v>
      </c>
      <c r="D1517" s="6" t="s">
        <v>4191</v>
      </c>
      <c r="E1517" s="6">
        <v>128039.0</v>
      </c>
    </row>
    <row r="1518">
      <c r="A1518" s="6">
        <v>3244.0</v>
      </c>
      <c r="B1518" s="6" t="s">
        <v>4192</v>
      </c>
      <c r="C1518" s="6" t="s">
        <v>4190</v>
      </c>
      <c r="D1518" s="6" t="s">
        <v>4191</v>
      </c>
      <c r="E1518" s="6">
        <v>125678.0</v>
      </c>
    </row>
    <row r="1519">
      <c r="A1519" s="6">
        <v>3245.0</v>
      </c>
      <c r="B1519" s="6" t="s">
        <v>4192</v>
      </c>
      <c r="C1519" s="6" t="s">
        <v>4190</v>
      </c>
      <c r="D1519" s="6" t="s">
        <v>4191</v>
      </c>
      <c r="E1519" s="6">
        <v>125250.0</v>
      </c>
    </row>
    <row r="1520">
      <c r="A1520" s="6">
        <v>3248.0</v>
      </c>
      <c r="B1520" s="6" t="s">
        <v>4192</v>
      </c>
      <c r="C1520" s="6" t="s">
        <v>4190</v>
      </c>
      <c r="D1520" s="6" t="s">
        <v>4191</v>
      </c>
      <c r="E1520" s="6">
        <v>126745.0</v>
      </c>
    </row>
    <row r="1521">
      <c r="A1521" s="6">
        <v>3174.0</v>
      </c>
      <c r="B1521" s="6" t="s">
        <v>4189</v>
      </c>
      <c r="C1521" s="6" t="s">
        <v>4190</v>
      </c>
      <c r="D1521" s="6" t="s">
        <v>4191</v>
      </c>
      <c r="E1521" s="6">
        <v>126451.0</v>
      </c>
    </row>
    <row r="1522">
      <c r="A1522" s="6">
        <v>3175.0</v>
      </c>
      <c r="B1522" s="6" t="s">
        <v>4189</v>
      </c>
      <c r="C1522" s="6" t="s">
        <v>4190</v>
      </c>
      <c r="D1522" s="6" t="s">
        <v>4191</v>
      </c>
      <c r="E1522" s="6">
        <v>124863.0</v>
      </c>
    </row>
    <row r="1523">
      <c r="A1523" s="6">
        <v>3253.0</v>
      </c>
      <c r="B1523" s="6" t="s">
        <v>4192</v>
      </c>
      <c r="C1523" s="6" t="s">
        <v>4190</v>
      </c>
      <c r="D1523" s="6" t="s">
        <v>4191</v>
      </c>
      <c r="E1523" s="6">
        <v>125791.0</v>
      </c>
    </row>
    <row r="1524">
      <c r="A1524" s="6">
        <v>3260.0</v>
      </c>
      <c r="B1524" s="6" t="s">
        <v>4192</v>
      </c>
      <c r="C1524" s="6" t="s">
        <v>4190</v>
      </c>
      <c r="D1524" s="6" t="s">
        <v>4191</v>
      </c>
      <c r="E1524" s="6">
        <v>125531.0</v>
      </c>
    </row>
    <row r="1525">
      <c r="A1525" s="6">
        <v>3262.0</v>
      </c>
      <c r="B1525" s="6" t="s">
        <v>4193</v>
      </c>
      <c r="C1525" s="6" t="s">
        <v>4190</v>
      </c>
      <c r="D1525" s="6" t="s">
        <v>4191</v>
      </c>
      <c r="E1525" s="6">
        <v>127997.0</v>
      </c>
    </row>
    <row r="1526">
      <c r="A1526" s="6">
        <v>3263.0</v>
      </c>
      <c r="B1526" s="6" t="s">
        <v>4194</v>
      </c>
      <c r="C1526" s="6" t="s">
        <v>4190</v>
      </c>
      <c r="D1526" s="6" t="s">
        <v>4191</v>
      </c>
      <c r="E1526" s="6">
        <v>128697.0</v>
      </c>
    </row>
    <row r="1527">
      <c r="A1527" s="6">
        <v>3266.0</v>
      </c>
      <c r="B1527" s="6" t="s">
        <v>4192</v>
      </c>
      <c r="C1527" s="6" t="s">
        <v>4190</v>
      </c>
      <c r="D1527" s="6" t="s">
        <v>4191</v>
      </c>
      <c r="E1527" s="6">
        <v>125507.0</v>
      </c>
    </row>
    <row r="1528">
      <c r="A1528" s="6">
        <v>3267.0</v>
      </c>
      <c r="B1528" s="6" t="s">
        <v>4192</v>
      </c>
      <c r="C1528" s="6" t="s">
        <v>4190</v>
      </c>
      <c r="D1528" s="6" t="s">
        <v>4191</v>
      </c>
      <c r="E1528" s="6">
        <v>124740.0</v>
      </c>
    </row>
    <row r="1529">
      <c r="A1529" s="6">
        <v>3177.0</v>
      </c>
      <c r="B1529" s="6" t="s">
        <v>4192</v>
      </c>
      <c r="C1529" s="6" t="s">
        <v>4190</v>
      </c>
      <c r="D1529" s="6" t="s">
        <v>4191</v>
      </c>
      <c r="E1529" s="6">
        <v>126604.0</v>
      </c>
    </row>
    <row r="1530">
      <c r="A1530" s="6">
        <v>3270.0</v>
      </c>
      <c r="B1530" s="6" t="s">
        <v>4192</v>
      </c>
      <c r="C1530" s="6" t="s">
        <v>4190</v>
      </c>
      <c r="D1530" s="6" t="s">
        <v>4191</v>
      </c>
      <c r="E1530" s="6">
        <v>126103.0</v>
      </c>
    </row>
    <row r="1531">
      <c r="A1531" s="6">
        <v>3275.0</v>
      </c>
      <c r="B1531" s="6" t="s">
        <v>4197</v>
      </c>
      <c r="C1531" s="6" t="s">
        <v>4190</v>
      </c>
      <c r="D1531" s="6" t="s">
        <v>4191</v>
      </c>
      <c r="E1531" s="6">
        <v>126300.0</v>
      </c>
    </row>
    <row r="1532">
      <c r="A1532" s="6">
        <v>3283.0</v>
      </c>
      <c r="B1532" s="6" t="s">
        <v>4189</v>
      </c>
      <c r="C1532" s="6" t="s">
        <v>4190</v>
      </c>
      <c r="D1532" s="6" t="s">
        <v>4191</v>
      </c>
      <c r="E1532" s="6">
        <v>125156.0</v>
      </c>
    </row>
    <row r="1533">
      <c r="A1533" s="6">
        <v>3284.0</v>
      </c>
      <c r="B1533" s="6" t="s">
        <v>4192</v>
      </c>
      <c r="C1533" s="6" t="s">
        <v>4190</v>
      </c>
      <c r="D1533" s="6" t="s">
        <v>4191</v>
      </c>
      <c r="E1533" s="6">
        <v>124730.0</v>
      </c>
    </row>
    <row r="1534">
      <c r="A1534" s="6">
        <v>3285.0</v>
      </c>
      <c r="B1534" s="6" t="s">
        <v>4194</v>
      </c>
      <c r="C1534" s="6" t="s">
        <v>4190</v>
      </c>
      <c r="D1534" s="6" t="s">
        <v>4191</v>
      </c>
      <c r="E1534" s="6">
        <v>126481.0</v>
      </c>
    </row>
    <row r="1535">
      <c r="A1535" s="6">
        <v>3286.0</v>
      </c>
      <c r="B1535" s="6" t="s">
        <v>4195</v>
      </c>
      <c r="C1535" s="6" t="s">
        <v>4190</v>
      </c>
      <c r="D1535" s="6" t="s">
        <v>4191</v>
      </c>
      <c r="E1535" s="6">
        <v>124793.0</v>
      </c>
    </row>
    <row r="1536">
      <c r="A1536" s="6">
        <v>3294.0</v>
      </c>
      <c r="B1536" s="6" t="s">
        <v>4195</v>
      </c>
      <c r="C1536" s="6" t="s">
        <v>4190</v>
      </c>
      <c r="D1536" s="6" t="s">
        <v>4191</v>
      </c>
      <c r="E1536" s="6">
        <v>126179.0</v>
      </c>
    </row>
    <row r="1537">
      <c r="A1537" s="6">
        <v>3182.0</v>
      </c>
      <c r="B1537" s="6" t="s">
        <v>4192</v>
      </c>
      <c r="C1537" s="6" t="s">
        <v>4190</v>
      </c>
      <c r="D1537" s="6" t="s">
        <v>4191</v>
      </c>
      <c r="E1537" s="6">
        <v>126814.0</v>
      </c>
    </row>
    <row r="1538">
      <c r="A1538" s="6">
        <v>3306.0</v>
      </c>
      <c r="B1538" s="6" t="s">
        <v>4192</v>
      </c>
      <c r="C1538" s="6" t="s">
        <v>4190</v>
      </c>
      <c r="D1538" s="6" t="s">
        <v>4191</v>
      </c>
      <c r="E1538" s="6">
        <v>128500.0</v>
      </c>
    </row>
    <row r="1539">
      <c r="A1539" s="6">
        <v>3309.0</v>
      </c>
      <c r="B1539" s="6" t="s">
        <v>4192</v>
      </c>
      <c r="C1539" s="6" t="s">
        <v>4190</v>
      </c>
      <c r="D1539" s="6" t="s">
        <v>4191</v>
      </c>
      <c r="E1539" s="6">
        <v>126389.0</v>
      </c>
    </row>
    <row r="1540">
      <c r="A1540" s="6">
        <v>3312.0</v>
      </c>
      <c r="B1540" s="6" t="s">
        <v>4192</v>
      </c>
      <c r="C1540" s="6" t="s">
        <v>4190</v>
      </c>
      <c r="D1540" s="6" t="s">
        <v>4191</v>
      </c>
      <c r="E1540" s="6">
        <v>126607.0</v>
      </c>
    </row>
    <row r="1541">
      <c r="A1541" s="6">
        <v>3314.0</v>
      </c>
      <c r="B1541" s="6" t="s">
        <v>4189</v>
      </c>
      <c r="C1541" s="6" t="s">
        <v>4190</v>
      </c>
      <c r="D1541" s="6" t="s">
        <v>4191</v>
      </c>
      <c r="E1541" s="6">
        <v>124702.0</v>
      </c>
    </row>
    <row r="1542">
      <c r="A1542" s="6">
        <v>3317.0</v>
      </c>
      <c r="B1542" s="6" t="s">
        <v>4197</v>
      </c>
      <c r="C1542" s="6" t="s">
        <v>4190</v>
      </c>
      <c r="D1542" s="6" t="s">
        <v>4191</v>
      </c>
      <c r="E1542" s="6">
        <v>125873.0</v>
      </c>
    </row>
    <row r="1543">
      <c r="A1543" s="6">
        <v>3321.0</v>
      </c>
      <c r="B1543" s="6" t="s">
        <v>4192</v>
      </c>
      <c r="C1543" s="6" t="s">
        <v>4190</v>
      </c>
      <c r="D1543" s="6" t="s">
        <v>4191</v>
      </c>
      <c r="E1543" s="6">
        <v>126354.0</v>
      </c>
    </row>
    <row r="1544">
      <c r="A1544" s="6">
        <v>3330.0</v>
      </c>
      <c r="B1544" s="6" t="s">
        <v>4189</v>
      </c>
      <c r="C1544" s="6" t="s">
        <v>4190</v>
      </c>
      <c r="D1544" s="6" t="s">
        <v>4191</v>
      </c>
      <c r="E1544" s="6">
        <v>125520.0</v>
      </c>
    </row>
    <row r="1545">
      <c r="A1545" s="6">
        <v>3335.0</v>
      </c>
      <c r="B1545" s="6" t="s">
        <v>4189</v>
      </c>
      <c r="C1545" s="6" t="s">
        <v>4190</v>
      </c>
      <c r="D1545" s="6" t="s">
        <v>4191</v>
      </c>
      <c r="E1545" s="6">
        <v>126040.0</v>
      </c>
    </row>
    <row r="1546">
      <c r="A1546" s="6">
        <v>3336.0</v>
      </c>
      <c r="B1546" s="6" t="s">
        <v>4192</v>
      </c>
      <c r="C1546" s="6" t="s">
        <v>4190</v>
      </c>
      <c r="D1546" s="6" t="s">
        <v>4191</v>
      </c>
      <c r="E1546" s="6">
        <v>125764.0</v>
      </c>
    </row>
    <row r="1547">
      <c r="A1547" s="6">
        <v>3338.0</v>
      </c>
      <c r="B1547" s="6" t="s">
        <v>4197</v>
      </c>
      <c r="C1547" s="6" t="s">
        <v>4190</v>
      </c>
      <c r="D1547" s="6" t="s">
        <v>4191</v>
      </c>
      <c r="E1547" s="6">
        <v>124723.0</v>
      </c>
    </row>
    <row r="1548">
      <c r="A1548" s="6">
        <v>3339.0</v>
      </c>
      <c r="B1548" s="6" t="s">
        <v>4193</v>
      </c>
      <c r="C1548" s="6" t="s">
        <v>4190</v>
      </c>
      <c r="D1548" s="6" t="s">
        <v>4191</v>
      </c>
      <c r="E1548" s="6">
        <v>127982.0</v>
      </c>
    </row>
    <row r="1549">
      <c r="A1549" s="6">
        <v>3340.0</v>
      </c>
      <c r="B1549" s="6" t="s">
        <v>4192</v>
      </c>
      <c r="C1549" s="6" t="s">
        <v>4190</v>
      </c>
      <c r="D1549" s="6" t="s">
        <v>4191</v>
      </c>
      <c r="E1549" s="6">
        <v>126838.0</v>
      </c>
    </row>
    <row r="1550">
      <c r="A1550" s="6">
        <v>3361.0</v>
      </c>
      <c r="B1550" s="6" t="s">
        <v>4192</v>
      </c>
      <c r="C1550" s="6" t="s">
        <v>4190</v>
      </c>
      <c r="D1550" s="6" t="s">
        <v>4191</v>
      </c>
      <c r="E1550" s="6">
        <v>126092.0</v>
      </c>
    </row>
    <row r="1551">
      <c r="A1551" s="6">
        <v>3362.0</v>
      </c>
      <c r="B1551" s="6" t="s">
        <v>4189</v>
      </c>
      <c r="C1551" s="6" t="s">
        <v>4190</v>
      </c>
      <c r="D1551" s="6" t="s">
        <v>4191</v>
      </c>
      <c r="E1551" s="6">
        <v>125669.0</v>
      </c>
    </row>
    <row r="1552">
      <c r="A1552" s="6">
        <v>3363.0</v>
      </c>
      <c r="B1552" s="6" t="s">
        <v>4192</v>
      </c>
      <c r="C1552" s="6" t="s">
        <v>4190</v>
      </c>
      <c r="D1552" s="6" t="s">
        <v>4191</v>
      </c>
      <c r="E1552" s="6">
        <v>126738.0</v>
      </c>
    </row>
    <row r="1553">
      <c r="A1553" s="6">
        <v>3367.0</v>
      </c>
      <c r="B1553" s="6" t="s">
        <v>4192</v>
      </c>
      <c r="C1553" s="6" t="s">
        <v>4190</v>
      </c>
      <c r="D1553" s="6" t="s">
        <v>4191</v>
      </c>
      <c r="E1553" s="6">
        <v>128337.0</v>
      </c>
    </row>
    <row r="1554">
      <c r="A1554" s="6">
        <v>3368.0</v>
      </c>
      <c r="B1554" s="6" t="s">
        <v>4192</v>
      </c>
      <c r="C1554" s="6" t="s">
        <v>4190</v>
      </c>
      <c r="D1554" s="6" t="s">
        <v>4191</v>
      </c>
      <c r="E1554" s="6">
        <v>126497.0</v>
      </c>
    </row>
    <row r="1555">
      <c r="A1555" s="6">
        <v>3371.0</v>
      </c>
      <c r="B1555" s="6" t="s">
        <v>4193</v>
      </c>
      <c r="C1555" s="6" t="s">
        <v>4190</v>
      </c>
      <c r="D1555" s="6" t="s">
        <v>4191</v>
      </c>
      <c r="E1555" s="6">
        <v>126255.0</v>
      </c>
    </row>
    <row r="1556">
      <c r="A1556" s="6">
        <v>3374.0</v>
      </c>
      <c r="B1556" s="6" t="s">
        <v>4192</v>
      </c>
      <c r="C1556" s="6" t="s">
        <v>4190</v>
      </c>
      <c r="D1556" s="6" t="s">
        <v>4191</v>
      </c>
      <c r="E1556" s="6">
        <v>125964.0</v>
      </c>
    </row>
    <row r="1557">
      <c r="A1557" s="6">
        <v>3378.0</v>
      </c>
      <c r="B1557" s="6" t="s">
        <v>4192</v>
      </c>
      <c r="C1557" s="6" t="s">
        <v>4190</v>
      </c>
      <c r="D1557" s="6" t="s">
        <v>4191</v>
      </c>
      <c r="E1557" s="6">
        <v>128922.0</v>
      </c>
    </row>
    <row r="1558">
      <c r="A1558" s="6">
        <v>3381.0</v>
      </c>
      <c r="B1558" s="6" t="s">
        <v>4192</v>
      </c>
      <c r="C1558" s="6" t="s">
        <v>4190</v>
      </c>
      <c r="D1558" s="6" t="s">
        <v>4191</v>
      </c>
      <c r="E1558" s="6">
        <v>126201.0</v>
      </c>
    </row>
    <row r="1559">
      <c r="A1559" s="6">
        <v>3343.0</v>
      </c>
      <c r="B1559" s="6" t="s">
        <v>4192</v>
      </c>
      <c r="C1559" s="6" t="s">
        <v>4190</v>
      </c>
      <c r="D1559" s="6" t="s">
        <v>4191</v>
      </c>
      <c r="E1559" s="6">
        <v>125822.0</v>
      </c>
    </row>
    <row r="1560">
      <c r="A1560" s="6">
        <v>3384.0</v>
      </c>
      <c r="B1560" s="6" t="s">
        <v>4193</v>
      </c>
      <c r="C1560" s="6" t="s">
        <v>4190</v>
      </c>
      <c r="D1560" s="6" t="s">
        <v>4191</v>
      </c>
      <c r="E1560" s="6">
        <v>128020.0</v>
      </c>
    </row>
    <row r="1561">
      <c r="A1561" s="6">
        <v>3386.0</v>
      </c>
      <c r="B1561" s="6" t="s">
        <v>4196</v>
      </c>
      <c r="C1561" s="6" t="s">
        <v>4190</v>
      </c>
      <c r="D1561" s="6" t="s">
        <v>4191</v>
      </c>
      <c r="E1561" s="6">
        <v>126662.0</v>
      </c>
    </row>
    <row r="1562">
      <c r="A1562" s="6">
        <v>3388.0</v>
      </c>
      <c r="B1562" s="6" t="s">
        <v>4192</v>
      </c>
      <c r="C1562" s="6" t="s">
        <v>4190</v>
      </c>
      <c r="D1562" s="6" t="s">
        <v>4191</v>
      </c>
      <c r="E1562" s="6">
        <v>125644.0</v>
      </c>
    </row>
    <row r="1563">
      <c r="A1563" s="6">
        <v>3389.0</v>
      </c>
      <c r="B1563" s="6" t="s">
        <v>4192</v>
      </c>
      <c r="C1563" s="6" t="s">
        <v>4190</v>
      </c>
      <c r="D1563" s="6" t="s">
        <v>4191</v>
      </c>
      <c r="E1563" s="6">
        <v>124571.0</v>
      </c>
    </row>
    <row r="1564">
      <c r="A1564" s="6">
        <v>3390.0</v>
      </c>
      <c r="B1564" s="6" t="s">
        <v>4195</v>
      </c>
      <c r="C1564" s="6" t="s">
        <v>4190</v>
      </c>
      <c r="D1564" s="6" t="s">
        <v>4191</v>
      </c>
      <c r="E1564" s="6">
        <v>124932.0</v>
      </c>
    </row>
    <row r="1565">
      <c r="A1565" s="6">
        <v>3395.0</v>
      </c>
      <c r="B1565" s="6" t="s">
        <v>4192</v>
      </c>
      <c r="C1565" s="6" t="s">
        <v>4190</v>
      </c>
      <c r="D1565" s="6" t="s">
        <v>4191</v>
      </c>
      <c r="E1565" s="6">
        <v>125989.0</v>
      </c>
    </row>
    <row r="1566">
      <c r="A1566" s="6">
        <v>3396.0</v>
      </c>
      <c r="B1566" s="6" t="s">
        <v>4192</v>
      </c>
      <c r="C1566" s="6" t="s">
        <v>4190</v>
      </c>
      <c r="D1566" s="6" t="s">
        <v>4191</v>
      </c>
      <c r="E1566" s="6">
        <v>125031.0</v>
      </c>
    </row>
    <row r="1567">
      <c r="A1567" s="6">
        <v>3345.0</v>
      </c>
      <c r="B1567" s="6" t="s">
        <v>4192</v>
      </c>
      <c r="C1567" s="6" t="s">
        <v>4190</v>
      </c>
      <c r="D1567" s="6" t="s">
        <v>4191</v>
      </c>
      <c r="E1567" s="6">
        <v>124675.0</v>
      </c>
    </row>
    <row r="1568">
      <c r="A1568" s="6">
        <v>3408.0</v>
      </c>
      <c r="B1568" s="6" t="s">
        <v>4197</v>
      </c>
      <c r="C1568" s="6" t="s">
        <v>4190</v>
      </c>
      <c r="D1568" s="6" t="s">
        <v>4191</v>
      </c>
      <c r="E1568" s="6">
        <v>124830.0</v>
      </c>
    </row>
    <row r="1569">
      <c r="A1569" s="6">
        <v>2436.0</v>
      </c>
      <c r="B1569" s="6" t="s">
        <v>4192</v>
      </c>
      <c r="C1569" s="6" t="s">
        <v>4190</v>
      </c>
      <c r="D1569" s="6" t="s">
        <v>4191</v>
      </c>
      <c r="E1569" s="6">
        <v>3983.0</v>
      </c>
    </row>
    <row r="1570">
      <c r="A1570" s="6">
        <v>3411.0</v>
      </c>
      <c r="B1570" s="6" t="s">
        <v>4193</v>
      </c>
      <c r="C1570" s="6" t="s">
        <v>4190</v>
      </c>
      <c r="D1570" s="6" t="s">
        <v>4191</v>
      </c>
      <c r="E1570" s="6">
        <v>127918.0</v>
      </c>
    </row>
    <row r="1571">
      <c r="A1571" s="6">
        <v>3417.0</v>
      </c>
      <c r="B1571" s="6" t="s">
        <v>4196</v>
      </c>
      <c r="C1571" s="6" t="s">
        <v>4190</v>
      </c>
      <c r="D1571" s="6" t="s">
        <v>4191</v>
      </c>
      <c r="E1571" s="6">
        <v>126948.0</v>
      </c>
    </row>
    <row r="1572">
      <c r="A1572" s="6">
        <v>3418.0</v>
      </c>
      <c r="B1572" s="6" t="s">
        <v>4189</v>
      </c>
      <c r="C1572" s="6" t="s">
        <v>4190</v>
      </c>
      <c r="D1572" s="6" t="s">
        <v>4191</v>
      </c>
      <c r="E1572" s="6">
        <v>126176.0</v>
      </c>
    </row>
    <row r="1573">
      <c r="A1573" s="6">
        <v>3419.0</v>
      </c>
      <c r="B1573" s="6" t="s">
        <v>4192</v>
      </c>
      <c r="C1573" s="6" t="s">
        <v>4190</v>
      </c>
      <c r="D1573" s="6" t="s">
        <v>4191</v>
      </c>
      <c r="E1573" s="6">
        <v>125293.0</v>
      </c>
    </row>
    <row r="1574">
      <c r="A1574" s="6">
        <v>3426.0</v>
      </c>
      <c r="B1574" s="6" t="s">
        <v>4192</v>
      </c>
      <c r="C1574" s="6" t="s">
        <v>4190</v>
      </c>
      <c r="D1574" s="6" t="s">
        <v>4191</v>
      </c>
      <c r="E1574" s="6">
        <v>126469.0</v>
      </c>
    </row>
    <row r="1575">
      <c r="A1575" s="6">
        <v>3430.0</v>
      </c>
      <c r="B1575" s="6" t="s">
        <v>4197</v>
      </c>
      <c r="C1575" s="6" t="s">
        <v>4190</v>
      </c>
      <c r="D1575" s="6" t="s">
        <v>4191</v>
      </c>
      <c r="E1575" s="6">
        <v>125928.0</v>
      </c>
    </row>
    <row r="1576">
      <c r="A1576" s="6">
        <v>3349.0</v>
      </c>
      <c r="B1576" s="6" t="s">
        <v>4189</v>
      </c>
      <c r="C1576" s="6" t="s">
        <v>4190</v>
      </c>
      <c r="D1576" s="6" t="s">
        <v>4191</v>
      </c>
      <c r="E1576" s="6">
        <v>124612.0</v>
      </c>
    </row>
    <row r="1577">
      <c r="A1577" s="6">
        <v>3431.0</v>
      </c>
      <c r="B1577" s="6" t="s">
        <v>4192</v>
      </c>
      <c r="C1577" s="6" t="s">
        <v>4190</v>
      </c>
      <c r="D1577" s="6" t="s">
        <v>4191</v>
      </c>
      <c r="E1577" s="6">
        <v>125504.0</v>
      </c>
    </row>
    <row r="1578">
      <c r="A1578" s="6">
        <v>3433.0</v>
      </c>
      <c r="B1578" s="6" t="s">
        <v>4192</v>
      </c>
      <c r="C1578" s="6" t="s">
        <v>4190</v>
      </c>
      <c r="D1578" s="6" t="s">
        <v>4191</v>
      </c>
      <c r="E1578" s="6">
        <v>126118.0</v>
      </c>
    </row>
    <row r="1579">
      <c r="A1579" s="6">
        <v>3435.0</v>
      </c>
      <c r="B1579" s="6" t="s">
        <v>4195</v>
      </c>
      <c r="C1579" s="6" t="s">
        <v>4190</v>
      </c>
      <c r="D1579" s="6" t="s">
        <v>4191</v>
      </c>
      <c r="E1579" s="6">
        <v>128651.0</v>
      </c>
    </row>
    <row r="1580">
      <c r="A1580" s="6">
        <v>3437.0</v>
      </c>
      <c r="B1580" s="6" t="s">
        <v>4189</v>
      </c>
      <c r="C1580" s="6" t="s">
        <v>4190</v>
      </c>
      <c r="D1580" s="6" t="s">
        <v>4191</v>
      </c>
      <c r="E1580" s="6">
        <v>126095.0</v>
      </c>
    </row>
    <row r="1581">
      <c r="A1581" s="6">
        <v>3441.0</v>
      </c>
      <c r="B1581" s="6" t="s">
        <v>4192</v>
      </c>
      <c r="C1581" s="6" t="s">
        <v>4190</v>
      </c>
      <c r="D1581" s="6" t="s">
        <v>4191</v>
      </c>
      <c r="E1581" s="6">
        <v>126595.0</v>
      </c>
    </row>
    <row r="1582">
      <c r="A1582" s="6">
        <v>3444.0</v>
      </c>
      <c r="B1582" s="6" t="s">
        <v>4189</v>
      </c>
      <c r="C1582" s="6" t="s">
        <v>4190</v>
      </c>
      <c r="D1582" s="6" t="s">
        <v>4191</v>
      </c>
      <c r="E1582" s="6">
        <v>126037.0</v>
      </c>
    </row>
    <row r="1583">
      <c r="A1583" s="6">
        <v>2482.0</v>
      </c>
      <c r="B1583" s="6" t="s">
        <v>4189</v>
      </c>
      <c r="C1583" s="6" t="s">
        <v>4190</v>
      </c>
      <c r="D1583" s="6" t="s">
        <v>4191</v>
      </c>
      <c r="E1583" s="6">
        <v>3941.0</v>
      </c>
    </row>
    <row r="1584">
      <c r="A1584" s="6">
        <v>3454.0</v>
      </c>
      <c r="B1584" s="6" t="s">
        <v>4189</v>
      </c>
      <c r="C1584" s="6" t="s">
        <v>4190</v>
      </c>
      <c r="D1584" s="6" t="s">
        <v>4191</v>
      </c>
      <c r="E1584" s="6">
        <v>125869.0</v>
      </c>
    </row>
    <row r="1585">
      <c r="A1585" s="6">
        <v>3457.0</v>
      </c>
      <c r="B1585" s="6" t="s">
        <v>4192</v>
      </c>
      <c r="C1585" s="6" t="s">
        <v>4190</v>
      </c>
      <c r="D1585" s="6" t="s">
        <v>4191</v>
      </c>
      <c r="E1585" s="6">
        <v>125835.0</v>
      </c>
    </row>
    <row r="1586">
      <c r="A1586" s="6">
        <v>3458.0</v>
      </c>
      <c r="B1586" s="6" t="s">
        <v>4193</v>
      </c>
      <c r="C1586" s="6" t="s">
        <v>4190</v>
      </c>
      <c r="D1586" s="6" t="s">
        <v>4191</v>
      </c>
      <c r="E1586" s="6">
        <v>127962.0</v>
      </c>
    </row>
    <row r="1587">
      <c r="A1587" s="6">
        <v>3459.0</v>
      </c>
      <c r="B1587" s="6" t="s">
        <v>4189</v>
      </c>
      <c r="C1587" s="6" t="s">
        <v>4190</v>
      </c>
      <c r="D1587" s="6" t="s">
        <v>4191</v>
      </c>
      <c r="E1587" s="6">
        <v>125028.0</v>
      </c>
    </row>
    <row r="1588">
      <c r="A1588" s="6">
        <v>3463.0</v>
      </c>
      <c r="B1588" s="6" t="s">
        <v>4195</v>
      </c>
      <c r="C1588" s="6" t="s">
        <v>4190</v>
      </c>
      <c r="D1588" s="6" t="s">
        <v>4191</v>
      </c>
      <c r="E1588" s="6">
        <v>129146.0</v>
      </c>
    </row>
    <row r="1589">
      <c r="A1589" s="6">
        <v>3465.0</v>
      </c>
      <c r="B1589" s="6" t="s">
        <v>4192</v>
      </c>
      <c r="C1589" s="6" t="s">
        <v>4190</v>
      </c>
      <c r="D1589" s="6" t="s">
        <v>4191</v>
      </c>
      <c r="E1589" s="6">
        <v>126142.0</v>
      </c>
    </row>
    <row r="1590">
      <c r="A1590" s="6">
        <v>3472.0</v>
      </c>
      <c r="B1590" s="6" t="s">
        <v>4197</v>
      </c>
      <c r="C1590" s="6" t="s">
        <v>4190</v>
      </c>
      <c r="D1590" s="6" t="s">
        <v>4191</v>
      </c>
      <c r="E1590" s="6">
        <v>126351.0</v>
      </c>
    </row>
    <row r="1591">
      <c r="A1591" s="6">
        <v>3473.0</v>
      </c>
      <c r="B1591" s="6" t="s">
        <v>4192</v>
      </c>
      <c r="C1591" s="6" t="s">
        <v>4190</v>
      </c>
      <c r="D1591" s="6" t="s">
        <v>4191</v>
      </c>
      <c r="E1591" s="6">
        <v>126224.0</v>
      </c>
    </row>
    <row r="1592">
      <c r="A1592" s="6">
        <v>3354.0</v>
      </c>
      <c r="B1592" s="6" t="s">
        <v>4192</v>
      </c>
      <c r="C1592" s="6" t="s">
        <v>4190</v>
      </c>
      <c r="D1592" s="6" t="s">
        <v>4191</v>
      </c>
      <c r="E1592" s="6">
        <v>125902.0</v>
      </c>
    </row>
    <row r="1593">
      <c r="A1593" s="6">
        <v>3477.0</v>
      </c>
      <c r="B1593" s="6" t="s">
        <v>4192</v>
      </c>
      <c r="C1593" s="6" t="s">
        <v>4190</v>
      </c>
      <c r="D1593" s="6" t="s">
        <v>4191</v>
      </c>
      <c r="E1593" s="6">
        <v>126440.0</v>
      </c>
    </row>
    <row r="1594">
      <c r="A1594" s="6">
        <v>3480.0</v>
      </c>
      <c r="B1594" s="6" t="s">
        <v>4192</v>
      </c>
      <c r="C1594" s="6" t="s">
        <v>4190</v>
      </c>
      <c r="D1594" s="6" t="s">
        <v>4191</v>
      </c>
      <c r="E1594" s="6">
        <v>125480.0</v>
      </c>
    </row>
    <row r="1595">
      <c r="A1595" s="6">
        <v>3486.0</v>
      </c>
      <c r="B1595" s="6" t="s">
        <v>4192</v>
      </c>
      <c r="C1595" s="6" t="s">
        <v>4190</v>
      </c>
      <c r="D1595" s="6" t="s">
        <v>4191</v>
      </c>
      <c r="E1595" s="6">
        <v>125039.0</v>
      </c>
    </row>
    <row r="1596">
      <c r="A1596" s="6">
        <v>3489.0</v>
      </c>
      <c r="B1596" s="6" t="s">
        <v>4197</v>
      </c>
      <c r="C1596" s="6" t="s">
        <v>4190</v>
      </c>
      <c r="D1596" s="6" t="s">
        <v>4191</v>
      </c>
      <c r="E1596" s="6">
        <v>126172.0</v>
      </c>
    </row>
    <row r="1597">
      <c r="A1597" s="6">
        <v>3498.0</v>
      </c>
      <c r="B1597" s="6" t="s">
        <v>4189</v>
      </c>
      <c r="C1597" s="6" t="s">
        <v>4190</v>
      </c>
      <c r="D1597" s="6" t="s">
        <v>4191</v>
      </c>
      <c r="E1597" s="6">
        <v>124568.0</v>
      </c>
    </row>
    <row r="1598">
      <c r="A1598" s="6">
        <v>3501.0</v>
      </c>
      <c r="B1598" s="6" t="s">
        <v>4192</v>
      </c>
      <c r="C1598" s="6" t="s">
        <v>4190</v>
      </c>
      <c r="D1598" s="6" t="s">
        <v>4191</v>
      </c>
      <c r="E1598" s="6">
        <v>126206.0</v>
      </c>
    </row>
    <row r="1599">
      <c r="A1599" s="6">
        <v>3503.0</v>
      </c>
      <c r="B1599" s="6" t="s">
        <v>4192</v>
      </c>
      <c r="C1599" s="6" t="s">
        <v>4190</v>
      </c>
      <c r="D1599" s="6" t="s">
        <v>4191</v>
      </c>
      <c r="E1599" s="6">
        <v>128473.0</v>
      </c>
    </row>
    <row r="1600">
      <c r="A1600" s="6">
        <v>3358.0</v>
      </c>
      <c r="B1600" s="6" t="s">
        <v>4192</v>
      </c>
      <c r="C1600" s="6" t="s">
        <v>4190</v>
      </c>
      <c r="D1600" s="6" t="s">
        <v>4191</v>
      </c>
      <c r="E1600" s="6">
        <v>126863.0</v>
      </c>
    </row>
    <row r="1601">
      <c r="A1601" s="6">
        <v>3507.0</v>
      </c>
      <c r="B1601" s="6" t="s">
        <v>4195</v>
      </c>
      <c r="C1601" s="6" t="s">
        <v>4190</v>
      </c>
      <c r="D1601" s="6" t="s">
        <v>4191</v>
      </c>
      <c r="E1601" s="6">
        <v>129153.0</v>
      </c>
    </row>
    <row r="1602">
      <c r="A1602" s="6">
        <v>3509.0</v>
      </c>
      <c r="B1602" s="6" t="s">
        <v>4189</v>
      </c>
      <c r="C1602" s="6" t="s">
        <v>4190</v>
      </c>
      <c r="D1602" s="6" t="s">
        <v>4191</v>
      </c>
      <c r="E1602" s="6">
        <v>125338.0</v>
      </c>
    </row>
    <row r="1603">
      <c r="A1603" s="6">
        <v>3510.0</v>
      </c>
      <c r="B1603" s="6" t="s">
        <v>4192</v>
      </c>
      <c r="C1603" s="6" t="s">
        <v>4190</v>
      </c>
      <c r="D1603" s="6" t="s">
        <v>4191</v>
      </c>
      <c r="E1603" s="6">
        <v>129053.0</v>
      </c>
    </row>
    <row r="1604">
      <c r="A1604" s="6">
        <v>3512.0</v>
      </c>
      <c r="B1604" s="6" t="s">
        <v>4189</v>
      </c>
      <c r="C1604" s="6" t="s">
        <v>4190</v>
      </c>
      <c r="D1604" s="6" t="s">
        <v>4191</v>
      </c>
      <c r="E1604" s="6">
        <v>128389.0</v>
      </c>
    </row>
    <row r="1605">
      <c r="A1605" s="6">
        <v>3524.0</v>
      </c>
      <c r="B1605" s="6" t="s">
        <v>4197</v>
      </c>
      <c r="C1605" s="6" t="s">
        <v>4190</v>
      </c>
      <c r="D1605" s="6" t="s">
        <v>4191</v>
      </c>
      <c r="E1605" s="6">
        <v>125432.0</v>
      </c>
    </row>
    <row r="1606">
      <c r="A1606" s="6">
        <v>3528.0</v>
      </c>
      <c r="B1606" s="6" t="s">
        <v>4192</v>
      </c>
      <c r="C1606" s="6" t="s">
        <v>4190</v>
      </c>
      <c r="D1606" s="6" t="s">
        <v>4191</v>
      </c>
      <c r="E1606" s="6">
        <v>125177.0</v>
      </c>
    </row>
    <row r="1607">
      <c r="A1607" s="6">
        <v>3530.0</v>
      </c>
      <c r="B1607" s="6" t="s">
        <v>4189</v>
      </c>
      <c r="C1607" s="6" t="s">
        <v>4190</v>
      </c>
      <c r="D1607" s="6" t="s">
        <v>4191</v>
      </c>
      <c r="E1607" s="6">
        <v>125932.0</v>
      </c>
    </row>
    <row r="1608">
      <c r="A1608" s="6">
        <v>3531.0</v>
      </c>
      <c r="B1608" s="6" t="s">
        <v>4192</v>
      </c>
      <c r="C1608" s="6" t="s">
        <v>4190</v>
      </c>
      <c r="D1608" s="6" t="s">
        <v>4191</v>
      </c>
      <c r="E1608" s="6">
        <v>125501.0</v>
      </c>
    </row>
    <row r="1609">
      <c r="A1609" s="6">
        <v>3533.0</v>
      </c>
      <c r="B1609" s="6" t="s">
        <v>4195</v>
      </c>
      <c r="C1609" s="6" t="s">
        <v>4190</v>
      </c>
      <c r="D1609" s="6" t="s">
        <v>4191</v>
      </c>
      <c r="E1609" s="6">
        <v>126466.0</v>
      </c>
    </row>
    <row r="1610">
      <c r="A1610" s="6">
        <v>3535.0</v>
      </c>
      <c r="B1610" s="6" t="s">
        <v>4192</v>
      </c>
      <c r="C1610" s="6" t="s">
        <v>4190</v>
      </c>
      <c r="D1610" s="6" t="s">
        <v>4191</v>
      </c>
      <c r="E1610" s="6">
        <v>125638.0</v>
      </c>
    </row>
    <row r="1611">
      <c r="A1611" s="6">
        <v>3641.0</v>
      </c>
      <c r="B1611" s="6" t="s">
        <v>4194</v>
      </c>
      <c r="C1611" s="6" t="s">
        <v>4190</v>
      </c>
      <c r="D1611" s="6" t="s">
        <v>4191</v>
      </c>
      <c r="E1611" s="6">
        <v>129011.0</v>
      </c>
    </row>
    <row r="1612">
      <c r="A1612" s="6">
        <v>3205.0</v>
      </c>
      <c r="B1612" s="6" t="s">
        <v>4192</v>
      </c>
      <c r="C1612" s="6" t="s">
        <v>4190</v>
      </c>
      <c r="D1612" s="6" t="s">
        <v>4191</v>
      </c>
      <c r="E1612" s="6">
        <v>3756.0</v>
      </c>
    </row>
    <row r="1613">
      <c r="A1613" s="6">
        <v>3231.0</v>
      </c>
      <c r="B1613" s="6" t="s">
        <v>4192</v>
      </c>
      <c r="C1613" s="6" t="s">
        <v>4190</v>
      </c>
      <c r="D1613" s="6" t="s">
        <v>4191</v>
      </c>
      <c r="E1613" s="6">
        <v>4144.0</v>
      </c>
    </row>
    <row r="1614">
      <c r="A1614" s="6">
        <v>3520.0</v>
      </c>
      <c r="B1614" s="6" t="s">
        <v>4193</v>
      </c>
      <c r="C1614" s="6" t="s">
        <v>4190</v>
      </c>
      <c r="D1614" s="6" t="s">
        <v>4191</v>
      </c>
      <c r="E1614" s="6">
        <v>127979.0</v>
      </c>
    </row>
    <row r="1615">
      <c r="A1615" s="6">
        <v>3523.0</v>
      </c>
      <c r="B1615" s="6" t="s">
        <v>4193</v>
      </c>
      <c r="C1615" s="6" t="s">
        <v>4190</v>
      </c>
      <c r="D1615" s="6" t="s">
        <v>4191</v>
      </c>
      <c r="E1615" s="6">
        <v>127915.0</v>
      </c>
    </row>
    <row r="1616">
      <c r="A1616" s="6">
        <v>3603.0</v>
      </c>
      <c r="B1616" s="6" t="s">
        <v>4189</v>
      </c>
      <c r="C1616" s="6" t="s">
        <v>4190</v>
      </c>
      <c r="D1616" s="6" t="s">
        <v>4191</v>
      </c>
      <c r="E1616" s="6">
        <v>124883.0</v>
      </c>
    </row>
    <row r="1617">
      <c r="A1617" s="6">
        <v>3369.0</v>
      </c>
      <c r="B1617" s="6" t="s">
        <v>4192</v>
      </c>
      <c r="C1617" s="6" t="s">
        <v>4190</v>
      </c>
      <c r="D1617" s="6" t="s">
        <v>4191</v>
      </c>
      <c r="E1617" s="6">
        <v>4642.0</v>
      </c>
    </row>
    <row r="1618">
      <c r="A1618" s="6">
        <v>3615.0</v>
      </c>
      <c r="B1618" s="6" t="s">
        <v>4192</v>
      </c>
      <c r="C1618" s="6" t="s">
        <v>4190</v>
      </c>
      <c r="D1618" s="6" t="s">
        <v>4191</v>
      </c>
      <c r="E1618" s="6">
        <v>126367.0</v>
      </c>
    </row>
    <row r="1619">
      <c r="A1619" s="6">
        <v>3612.0</v>
      </c>
      <c r="B1619" s="6" t="s">
        <v>4189</v>
      </c>
      <c r="C1619" s="6" t="s">
        <v>4190</v>
      </c>
      <c r="D1619" s="6" t="s">
        <v>4191</v>
      </c>
      <c r="E1619" s="6">
        <v>125262.0</v>
      </c>
    </row>
    <row r="1620">
      <c r="A1620" s="6">
        <v>3604.0</v>
      </c>
      <c r="B1620" s="6" t="s">
        <v>4195</v>
      </c>
      <c r="C1620" s="6" t="s">
        <v>4190</v>
      </c>
      <c r="D1620" s="6" t="s">
        <v>4191</v>
      </c>
      <c r="E1620" s="6">
        <v>797.0</v>
      </c>
    </row>
    <row r="1621">
      <c r="A1621" s="6">
        <v>3682.0</v>
      </c>
      <c r="B1621" s="6" t="s">
        <v>4189</v>
      </c>
      <c r="C1621" s="6" t="s">
        <v>4190</v>
      </c>
      <c r="D1621" s="6" t="s">
        <v>4191</v>
      </c>
      <c r="E1621" s="6">
        <v>124844.0</v>
      </c>
    </row>
    <row r="1622">
      <c r="A1622" s="6">
        <v>3403.0</v>
      </c>
      <c r="B1622" s="6" t="s">
        <v>4192</v>
      </c>
      <c r="C1622" s="6" t="s">
        <v>4190</v>
      </c>
      <c r="D1622" s="6" t="s">
        <v>4191</v>
      </c>
      <c r="E1622" s="6">
        <v>3863.0</v>
      </c>
    </row>
    <row r="1623">
      <c r="A1623" s="6">
        <v>3514.0</v>
      </c>
      <c r="B1623" s="6" t="s">
        <v>4192</v>
      </c>
      <c r="C1623" s="6" t="s">
        <v>4190</v>
      </c>
      <c r="D1623" s="6" t="s">
        <v>4191</v>
      </c>
      <c r="E1623" s="6">
        <v>466.0</v>
      </c>
    </row>
    <row r="1624">
      <c r="A1624" s="6">
        <v>2631.0</v>
      </c>
      <c r="B1624" s="6" t="s">
        <v>4192</v>
      </c>
      <c r="C1624" s="6" t="s">
        <v>4190</v>
      </c>
      <c r="D1624" s="6" t="s">
        <v>4191</v>
      </c>
      <c r="E1624" s="6">
        <v>128633.0</v>
      </c>
    </row>
    <row r="1625">
      <c r="A1625" s="6">
        <v>3561.0</v>
      </c>
      <c r="B1625" s="6" t="s">
        <v>4192</v>
      </c>
      <c r="C1625" s="6" t="s">
        <v>4190</v>
      </c>
      <c r="D1625" s="6" t="s">
        <v>4191</v>
      </c>
      <c r="E1625" s="6">
        <v>3715.0</v>
      </c>
    </row>
    <row r="1626">
      <c r="A1626" s="6">
        <v>2632.0</v>
      </c>
      <c r="B1626" s="6" t="s">
        <v>4189</v>
      </c>
      <c r="C1626" s="6" t="s">
        <v>4190</v>
      </c>
      <c r="D1626" s="6" t="s">
        <v>4191</v>
      </c>
      <c r="E1626" s="6">
        <v>126542.0</v>
      </c>
    </row>
    <row r="1627">
      <c r="A1627" s="6">
        <v>2633.0</v>
      </c>
      <c r="B1627" s="6" t="s">
        <v>4192</v>
      </c>
      <c r="C1627" s="6" t="s">
        <v>4190</v>
      </c>
      <c r="D1627" s="6" t="s">
        <v>4191</v>
      </c>
      <c r="E1627" s="6">
        <v>126081.0</v>
      </c>
    </row>
    <row r="1628">
      <c r="A1628" s="6">
        <v>2634.0</v>
      </c>
      <c r="B1628" s="6" t="s">
        <v>4192</v>
      </c>
      <c r="C1628" s="6" t="s">
        <v>4190</v>
      </c>
      <c r="D1628" s="6" t="s">
        <v>4191</v>
      </c>
      <c r="E1628" s="6">
        <v>125537.0</v>
      </c>
    </row>
    <row r="1629">
      <c r="A1629" s="6">
        <v>2300.0</v>
      </c>
      <c r="B1629" s="6" t="s">
        <v>4189</v>
      </c>
      <c r="C1629" s="6" t="s">
        <v>4190</v>
      </c>
      <c r="D1629" s="6" t="s">
        <v>4191</v>
      </c>
      <c r="E1629" s="6">
        <v>126114.0</v>
      </c>
    </row>
    <row r="1630">
      <c r="A1630" s="6">
        <v>2301.0</v>
      </c>
      <c r="B1630" s="6" t="s">
        <v>4192</v>
      </c>
      <c r="C1630" s="6" t="s">
        <v>4190</v>
      </c>
      <c r="D1630" s="6" t="s">
        <v>4191</v>
      </c>
      <c r="E1630" s="6">
        <v>126064.0</v>
      </c>
    </row>
    <row r="1631">
      <c r="A1631" s="6">
        <v>2303.0</v>
      </c>
      <c r="B1631" s="6" t="s">
        <v>4192</v>
      </c>
      <c r="C1631" s="6" t="s">
        <v>4190</v>
      </c>
      <c r="D1631" s="6" t="s">
        <v>4191</v>
      </c>
      <c r="E1631" s="6">
        <v>126697.0</v>
      </c>
    </row>
    <row r="1632">
      <c r="A1632" s="6">
        <v>2304.0</v>
      </c>
      <c r="B1632" s="6" t="s">
        <v>4192</v>
      </c>
      <c r="C1632" s="6" t="s">
        <v>4190</v>
      </c>
      <c r="D1632" s="6" t="s">
        <v>4191</v>
      </c>
      <c r="E1632" s="6">
        <v>126323.0</v>
      </c>
    </row>
    <row r="1633">
      <c r="A1633" s="6">
        <v>2306.0</v>
      </c>
      <c r="B1633" s="6" t="s">
        <v>4193</v>
      </c>
      <c r="C1633" s="6" t="s">
        <v>4190</v>
      </c>
      <c r="D1633" s="6" t="s">
        <v>4191</v>
      </c>
      <c r="E1633" s="6">
        <v>128024.0</v>
      </c>
    </row>
    <row r="1634">
      <c r="A1634" s="6">
        <v>2311.0</v>
      </c>
      <c r="B1634" s="6" t="s">
        <v>4192</v>
      </c>
      <c r="C1634" s="6" t="s">
        <v>4190</v>
      </c>
      <c r="D1634" s="6" t="s">
        <v>4191</v>
      </c>
      <c r="E1634" s="6">
        <v>126765.0</v>
      </c>
    </row>
    <row r="1635">
      <c r="A1635" s="6">
        <v>2316.0</v>
      </c>
      <c r="B1635" s="6" t="s">
        <v>4192</v>
      </c>
      <c r="C1635" s="6" t="s">
        <v>4190</v>
      </c>
      <c r="D1635" s="6" t="s">
        <v>4191</v>
      </c>
      <c r="E1635" s="6">
        <v>125704.0</v>
      </c>
    </row>
    <row r="1636">
      <c r="A1636" s="6">
        <v>2319.0</v>
      </c>
      <c r="B1636" s="6" t="s">
        <v>4192</v>
      </c>
      <c r="C1636" s="6" t="s">
        <v>4190</v>
      </c>
      <c r="D1636" s="6" t="s">
        <v>4191</v>
      </c>
      <c r="E1636" s="6">
        <v>128661.0</v>
      </c>
    </row>
    <row r="1637">
      <c r="A1637" s="6">
        <v>2320.0</v>
      </c>
      <c r="B1637" s="6" t="s">
        <v>4192</v>
      </c>
      <c r="C1637" s="6" t="s">
        <v>4190</v>
      </c>
      <c r="D1637" s="6" t="s">
        <v>4191</v>
      </c>
      <c r="E1637" s="6">
        <v>128533.0</v>
      </c>
    </row>
    <row r="1638">
      <c r="A1638" s="6">
        <v>2325.0</v>
      </c>
      <c r="B1638" s="6" t="s">
        <v>4189</v>
      </c>
      <c r="C1638" s="6" t="s">
        <v>4190</v>
      </c>
      <c r="D1638" s="6" t="s">
        <v>4191</v>
      </c>
      <c r="E1638" s="6">
        <v>126519.0</v>
      </c>
    </row>
    <row r="1639">
      <c r="A1639" s="6">
        <v>2326.0</v>
      </c>
      <c r="B1639" s="6" t="s">
        <v>4192</v>
      </c>
      <c r="C1639" s="6" t="s">
        <v>4190</v>
      </c>
      <c r="D1639" s="6" t="s">
        <v>4191</v>
      </c>
      <c r="E1639" s="6">
        <v>126072.0</v>
      </c>
    </row>
    <row r="1640">
      <c r="A1640" s="6">
        <v>2330.0</v>
      </c>
      <c r="B1640" s="6" t="s">
        <v>4197</v>
      </c>
      <c r="C1640" s="6" t="s">
        <v>4190</v>
      </c>
      <c r="D1640" s="6" t="s">
        <v>4191</v>
      </c>
      <c r="E1640" s="6">
        <v>125985.0</v>
      </c>
    </row>
    <row r="1641">
      <c r="A1641" s="6">
        <v>2339.0</v>
      </c>
      <c r="B1641" s="6" t="s">
        <v>4194</v>
      </c>
      <c r="C1641" s="6" t="s">
        <v>4190</v>
      </c>
      <c r="D1641" s="6" t="s">
        <v>4191</v>
      </c>
      <c r="E1641" s="6">
        <v>125581.0</v>
      </c>
    </row>
    <row r="1642">
      <c r="A1642" s="6">
        <v>2341.0</v>
      </c>
      <c r="B1642" s="6" t="s">
        <v>4193</v>
      </c>
      <c r="C1642" s="6" t="s">
        <v>4190</v>
      </c>
      <c r="D1642" s="6" t="s">
        <v>4191</v>
      </c>
      <c r="E1642" s="6">
        <v>127960.0</v>
      </c>
    </row>
    <row r="1643">
      <c r="A1643" s="6">
        <v>2342.0</v>
      </c>
      <c r="B1643" s="6" t="s">
        <v>4195</v>
      </c>
      <c r="C1643" s="6" t="s">
        <v>4190</v>
      </c>
      <c r="D1643" s="6" t="s">
        <v>4191</v>
      </c>
      <c r="E1643" s="6">
        <v>129148.0</v>
      </c>
    </row>
    <row r="1644">
      <c r="A1644" s="6">
        <v>2343.0</v>
      </c>
      <c r="B1644" s="6" t="s">
        <v>4192</v>
      </c>
      <c r="C1644" s="6" t="s">
        <v>4190</v>
      </c>
      <c r="D1644" s="6" t="s">
        <v>4191</v>
      </c>
      <c r="E1644" s="6">
        <v>126145.0</v>
      </c>
    </row>
    <row r="1645">
      <c r="A1645" s="6">
        <v>2346.0</v>
      </c>
      <c r="B1645" s="6" t="s">
        <v>4192</v>
      </c>
      <c r="C1645" s="6" t="s">
        <v>4190</v>
      </c>
      <c r="D1645" s="6" t="s">
        <v>4191</v>
      </c>
      <c r="E1645" s="6">
        <v>125223.0</v>
      </c>
    </row>
    <row r="1646">
      <c r="A1646" s="6">
        <v>2347.0</v>
      </c>
      <c r="B1646" s="6" t="s">
        <v>4193</v>
      </c>
      <c r="C1646" s="6" t="s">
        <v>4190</v>
      </c>
      <c r="D1646" s="6" t="s">
        <v>4191</v>
      </c>
      <c r="E1646" s="6">
        <v>127943.0</v>
      </c>
    </row>
    <row r="1647">
      <c r="A1647" s="6">
        <v>2349.0</v>
      </c>
      <c r="B1647" s="6" t="s">
        <v>4192</v>
      </c>
      <c r="C1647" s="6" t="s">
        <v>4190</v>
      </c>
      <c r="D1647" s="6" t="s">
        <v>4191</v>
      </c>
      <c r="E1647" s="6">
        <v>126496.0</v>
      </c>
    </row>
    <row r="1648">
      <c r="A1648" s="6">
        <v>2350.0</v>
      </c>
      <c r="B1648" s="6" t="s">
        <v>4193</v>
      </c>
      <c r="C1648" s="6" t="s">
        <v>4190</v>
      </c>
      <c r="D1648" s="6" t="s">
        <v>4191</v>
      </c>
      <c r="E1648" s="6">
        <v>127896.0</v>
      </c>
    </row>
    <row r="1649">
      <c r="A1649" s="6">
        <v>2351.0</v>
      </c>
      <c r="B1649" s="6" t="s">
        <v>4192</v>
      </c>
      <c r="C1649" s="6" t="s">
        <v>4190</v>
      </c>
      <c r="D1649" s="6" t="s">
        <v>4191</v>
      </c>
      <c r="E1649" s="6">
        <v>125901.0</v>
      </c>
    </row>
    <row r="1650">
      <c r="A1650" s="6">
        <v>2356.0</v>
      </c>
      <c r="B1650" s="6" t="s">
        <v>4192</v>
      </c>
      <c r="C1650" s="6" t="s">
        <v>4190</v>
      </c>
      <c r="D1650" s="6" t="s">
        <v>4191</v>
      </c>
      <c r="E1650" s="6">
        <v>125242.0</v>
      </c>
    </row>
    <row r="1651">
      <c r="A1651" s="6">
        <v>2357.0</v>
      </c>
      <c r="B1651" s="6" t="s">
        <v>4192</v>
      </c>
      <c r="C1651" s="6" t="s">
        <v>4190</v>
      </c>
      <c r="D1651" s="6" t="s">
        <v>4191</v>
      </c>
      <c r="E1651" s="6">
        <v>128707.0</v>
      </c>
    </row>
    <row r="1652">
      <c r="A1652" s="6">
        <v>2516.0</v>
      </c>
      <c r="B1652" s="6" t="s">
        <v>4194</v>
      </c>
      <c r="C1652" s="6" t="s">
        <v>4190</v>
      </c>
      <c r="D1652" s="6" t="s">
        <v>4191</v>
      </c>
      <c r="E1652" s="6">
        <v>125963.0</v>
      </c>
    </row>
    <row r="1653">
      <c r="A1653" s="6">
        <v>2518.0</v>
      </c>
      <c r="B1653" s="6" t="s">
        <v>4192</v>
      </c>
      <c r="C1653" s="6" t="s">
        <v>4190</v>
      </c>
      <c r="D1653" s="6" t="s">
        <v>4191</v>
      </c>
      <c r="E1653" s="6">
        <v>124899.0</v>
      </c>
    </row>
    <row r="1654">
      <c r="A1654" s="6">
        <v>2520.0</v>
      </c>
      <c r="B1654" s="6" t="s">
        <v>4192</v>
      </c>
      <c r="C1654" s="6" t="s">
        <v>4190</v>
      </c>
      <c r="D1654" s="6" t="s">
        <v>4191</v>
      </c>
      <c r="E1654" s="6">
        <v>126615.0</v>
      </c>
    </row>
    <row r="1655">
      <c r="A1655" s="6">
        <v>2521.0</v>
      </c>
      <c r="B1655" s="6" t="s">
        <v>4192</v>
      </c>
      <c r="C1655" s="6" t="s">
        <v>4190</v>
      </c>
      <c r="D1655" s="6" t="s">
        <v>4191</v>
      </c>
      <c r="E1655" s="6">
        <v>125927.0</v>
      </c>
    </row>
    <row r="1656">
      <c r="A1656" s="6">
        <v>2522.0</v>
      </c>
      <c r="B1656" s="6" t="s">
        <v>4192</v>
      </c>
      <c r="C1656" s="6" t="s">
        <v>4190</v>
      </c>
      <c r="D1656" s="6" t="s">
        <v>4191</v>
      </c>
      <c r="E1656" s="6">
        <v>124931.0</v>
      </c>
    </row>
    <row r="1657">
      <c r="A1657" s="6">
        <v>2523.0</v>
      </c>
      <c r="B1657" s="6" t="s">
        <v>4193</v>
      </c>
      <c r="C1657" s="6" t="s">
        <v>4190</v>
      </c>
      <c r="D1657" s="6" t="s">
        <v>4191</v>
      </c>
      <c r="E1657" s="6">
        <v>127899.0</v>
      </c>
    </row>
    <row r="1658">
      <c r="A1658" s="6">
        <v>2525.0</v>
      </c>
      <c r="B1658" s="6" t="s">
        <v>4192</v>
      </c>
      <c r="C1658" s="6" t="s">
        <v>4190</v>
      </c>
      <c r="D1658" s="6" t="s">
        <v>4191</v>
      </c>
      <c r="E1658" s="6">
        <v>126660.0</v>
      </c>
    </row>
    <row r="1659">
      <c r="A1659" s="6">
        <v>2526.0</v>
      </c>
      <c r="B1659" s="6" t="s">
        <v>4194</v>
      </c>
      <c r="C1659" s="6" t="s">
        <v>4190</v>
      </c>
      <c r="D1659" s="6" t="s">
        <v>4191</v>
      </c>
      <c r="E1659" s="6">
        <v>126415.0</v>
      </c>
    </row>
    <row r="1660">
      <c r="A1660" s="6">
        <v>2529.0</v>
      </c>
      <c r="B1660" s="6" t="s">
        <v>4192</v>
      </c>
      <c r="C1660" s="6" t="s">
        <v>4190</v>
      </c>
      <c r="D1660" s="6" t="s">
        <v>4191</v>
      </c>
      <c r="E1660" s="6">
        <v>128419.0</v>
      </c>
    </row>
    <row r="1661">
      <c r="A1661" s="6">
        <v>2530.0</v>
      </c>
      <c r="B1661" s="6" t="s">
        <v>4192</v>
      </c>
      <c r="C1661" s="6" t="s">
        <v>4190</v>
      </c>
      <c r="D1661" s="6" t="s">
        <v>4191</v>
      </c>
      <c r="E1661" s="6">
        <v>126442.0</v>
      </c>
    </row>
    <row r="1662">
      <c r="A1662" s="6">
        <v>2534.0</v>
      </c>
      <c r="B1662" s="6" t="s">
        <v>4194</v>
      </c>
      <c r="C1662" s="6" t="s">
        <v>4190</v>
      </c>
      <c r="D1662" s="6" t="s">
        <v>4191</v>
      </c>
      <c r="E1662" s="6">
        <v>124881.0</v>
      </c>
    </row>
    <row r="1663">
      <c r="A1663" s="6">
        <v>2538.0</v>
      </c>
      <c r="B1663" s="6" t="s">
        <v>4192</v>
      </c>
      <c r="C1663" s="6" t="s">
        <v>4190</v>
      </c>
      <c r="D1663" s="6" t="s">
        <v>4191</v>
      </c>
      <c r="E1663" s="6">
        <v>125347.0</v>
      </c>
    </row>
    <row r="1664">
      <c r="A1664" s="6">
        <v>2541.0</v>
      </c>
      <c r="B1664" s="6" t="s">
        <v>4192</v>
      </c>
      <c r="C1664" s="6" t="s">
        <v>4190</v>
      </c>
      <c r="D1664" s="6" t="s">
        <v>4191</v>
      </c>
      <c r="E1664" s="6">
        <v>126572.0</v>
      </c>
    </row>
    <row r="1665">
      <c r="A1665" s="6">
        <v>2542.0</v>
      </c>
      <c r="B1665" s="6" t="s">
        <v>4192</v>
      </c>
      <c r="C1665" s="6" t="s">
        <v>4190</v>
      </c>
      <c r="D1665" s="6" t="s">
        <v>4191</v>
      </c>
      <c r="E1665" s="6">
        <v>126345.0</v>
      </c>
    </row>
    <row r="1666">
      <c r="A1666" s="6">
        <v>2543.0</v>
      </c>
      <c r="B1666" s="6" t="s">
        <v>4192</v>
      </c>
      <c r="C1666" s="6" t="s">
        <v>4190</v>
      </c>
      <c r="D1666" s="6" t="s">
        <v>4191</v>
      </c>
      <c r="E1666" s="6">
        <v>125573.0</v>
      </c>
    </row>
    <row r="1667">
      <c r="A1667" s="6">
        <v>2549.0</v>
      </c>
      <c r="B1667" s="6" t="s">
        <v>4192</v>
      </c>
      <c r="C1667" s="6" t="s">
        <v>4190</v>
      </c>
      <c r="D1667" s="6" t="s">
        <v>4191</v>
      </c>
      <c r="E1667" s="6">
        <v>124974.0</v>
      </c>
    </row>
    <row r="1668">
      <c r="A1668" s="6">
        <v>2550.0</v>
      </c>
      <c r="B1668" s="6" t="s">
        <v>4192</v>
      </c>
      <c r="C1668" s="6" t="s">
        <v>4190</v>
      </c>
      <c r="D1668" s="6" t="s">
        <v>4191</v>
      </c>
      <c r="E1668" s="6">
        <v>126626.0</v>
      </c>
    </row>
    <row r="1669">
      <c r="A1669" s="6">
        <v>2552.0</v>
      </c>
      <c r="B1669" s="6" t="s">
        <v>4195</v>
      </c>
      <c r="C1669" s="6" t="s">
        <v>4190</v>
      </c>
      <c r="D1669" s="6" t="s">
        <v>4191</v>
      </c>
      <c r="E1669" s="6">
        <v>129024.0</v>
      </c>
    </row>
    <row r="1670">
      <c r="A1670" s="6">
        <v>2553.0</v>
      </c>
      <c r="B1670" s="6" t="s">
        <v>4189</v>
      </c>
      <c r="C1670" s="6" t="s">
        <v>4190</v>
      </c>
      <c r="D1670" s="6" t="s">
        <v>4191</v>
      </c>
      <c r="E1670" s="6">
        <v>126468.0</v>
      </c>
    </row>
    <row r="1671">
      <c r="A1671" s="6">
        <v>2557.0</v>
      </c>
      <c r="B1671" s="6" t="s">
        <v>4192</v>
      </c>
      <c r="C1671" s="6" t="s">
        <v>4190</v>
      </c>
      <c r="D1671" s="6" t="s">
        <v>4191</v>
      </c>
      <c r="E1671" s="6">
        <v>126314.0</v>
      </c>
    </row>
    <row r="1672">
      <c r="A1672" s="6">
        <v>2559.0</v>
      </c>
      <c r="B1672" s="6" t="s">
        <v>4192</v>
      </c>
      <c r="C1672" s="6" t="s">
        <v>4190</v>
      </c>
      <c r="D1672" s="6" t="s">
        <v>4191</v>
      </c>
      <c r="E1672" s="6">
        <v>125862.0</v>
      </c>
    </row>
    <row r="1673">
      <c r="A1673" s="6">
        <v>2560.0</v>
      </c>
      <c r="B1673" s="6" t="s">
        <v>4193</v>
      </c>
      <c r="C1673" s="6" t="s">
        <v>4190</v>
      </c>
      <c r="D1673" s="6" t="s">
        <v>4191</v>
      </c>
      <c r="E1673" s="6">
        <v>128027.0</v>
      </c>
    </row>
    <row r="1674">
      <c r="A1674" s="6">
        <v>2561.0</v>
      </c>
      <c r="B1674" s="6" t="s">
        <v>4192</v>
      </c>
      <c r="C1674" s="6" t="s">
        <v>4190</v>
      </c>
      <c r="D1674" s="6" t="s">
        <v>4191</v>
      </c>
      <c r="E1674" s="6">
        <v>126947.0</v>
      </c>
    </row>
    <row r="1675">
      <c r="A1675" s="6">
        <v>2563.0</v>
      </c>
      <c r="B1675" s="6" t="s">
        <v>4197</v>
      </c>
      <c r="C1675" s="6" t="s">
        <v>4190</v>
      </c>
      <c r="D1675" s="6" t="s">
        <v>4191</v>
      </c>
      <c r="E1675" s="6">
        <v>125079.0</v>
      </c>
    </row>
    <row r="1676">
      <c r="A1676" s="6">
        <v>2565.0</v>
      </c>
      <c r="B1676" s="6" t="s">
        <v>4192</v>
      </c>
      <c r="C1676" s="6" t="s">
        <v>4190</v>
      </c>
      <c r="D1676" s="6" t="s">
        <v>4191</v>
      </c>
      <c r="E1676" s="6">
        <v>124708.0</v>
      </c>
    </row>
    <row r="1677">
      <c r="A1677" s="6">
        <v>2567.0</v>
      </c>
      <c r="B1677" s="6" t="s">
        <v>4192</v>
      </c>
      <c r="C1677" s="6" t="s">
        <v>4190</v>
      </c>
      <c r="D1677" s="6" t="s">
        <v>4191</v>
      </c>
      <c r="E1677" s="6">
        <v>126526.0</v>
      </c>
    </row>
    <row r="1678">
      <c r="A1678" s="6">
        <v>2569.0</v>
      </c>
      <c r="B1678" s="6" t="s">
        <v>4192</v>
      </c>
      <c r="C1678" s="6" t="s">
        <v>4190</v>
      </c>
      <c r="D1678" s="6" t="s">
        <v>4191</v>
      </c>
      <c r="E1678" s="6">
        <v>128647.0</v>
      </c>
    </row>
    <row r="1679">
      <c r="A1679" s="6">
        <v>2573.0</v>
      </c>
      <c r="B1679" s="6" t="s">
        <v>4194</v>
      </c>
      <c r="C1679" s="6" t="s">
        <v>4190</v>
      </c>
      <c r="D1679" s="6" t="s">
        <v>4191</v>
      </c>
      <c r="E1679" s="6">
        <v>128382.0</v>
      </c>
    </row>
    <row r="1680">
      <c r="A1680" s="6">
        <v>2575.0</v>
      </c>
      <c r="B1680" s="6" t="s">
        <v>4192</v>
      </c>
      <c r="C1680" s="6" t="s">
        <v>4190</v>
      </c>
      <c r="D1680" s="6" t="s">
        <v>4191</v>
      </c>
      <c r="E1680" s="6">
        <v>125180.0</v>
      </c>
    </row>
    <row r="1681">
      <c r="A1681" s="6">
        <v>2576.0</v>
      </c>
      <c r="B1681" s="6" t="s">
        <v>4192</v>
      </c>
      <c r="C1681" s="6" t="s">
        <v>4190</v>
      </c>
      <c r="D1681" s="6" t="s">
        <v>4191</v>
      </c>
      <c r="E1681" s="6">
        <v>128525.0</v>
      </c>
    </row>
    <row r="1682">
      <c r="A1682" s="6">
        <v>2579.0</v>
      </c>
      <c r="B1682" s="6" t="s">
        <v>4192</v>
      </c>
      <c r="C1682" s="6" t="s">
        <v>4190</v>
      </c>
      <c r="D1682" s="6" t="s">
        <v>4191</v>
      </c>
      <c r="E1682" s="6">
        <v>126460.0</v>
      </c>
    </row>
    <row r="1683">
      <c r="A1683" s="6">
        <v>2592.0</v>
      </c>
      <c r="B1683" s="6" t="s">
        <v>4192</v>
      </c>
      <c r="C1683" s="6" t="s">
        <v>4190</v>
      </c>
      <c r="D1683" s="6" t="s">
        <v>4191</v>
      </c>
      <c r="E1683" s="6">
        <v>125977.0</v>
      </c>
    </row>
    <row r="1684">
      <c r="A1684" s="6">
        <v>2594.0</v>
      </c>
      <c r="B1684" s="6" t="s">
        <v>4192</v>
      </c>
      <c r="C1684" s="6" t="s">
        <v>4190</v>
      </c>
      <c r="D1684" s="6" t="s">
        <v>4191</v>
      </c>
      <c r="E1684" s="6">
        <v>124600.0</v>
      </c>
    </row>
    <row r="1685">
      <c r="A1685" s="6">
        <v>2597.0</v>
      </c>
      <c r="B1685" s="6" t="s">
        <v>4192</v>
      </c>
      <c r="C1685" s="6" t="s">
        <v>4190</v>
      </c>
      <c r="D1685" s="6" t="s">
        <v>4191</v>
      </c>
      <c r="E1685" s="6">
        <v>126721.0</v>
      </c>
    </row>
    <row r="1686">
      <c r="A1686" s="6">
        <v>2604.0</v>
      </c>
      <c r="B1686" s="6" t="s">
        <v>4197</v>
      </c>
      <c r="C1686" s="6" t="s">
        <v>4190</v>
      </c>
      <c r="D1686" s="6" t="s">
        <v>4191</v>
      </c>
      <c r="E1686" s="6">
        <v>126028.0</v>
      </c>
    </row>
    <row r="1687">
      <c r="A1687" s="6">
        <v>2605.0</v>
      </c>
      <c r="B1687" s="6" t="s">
        <v>4192</v>
      </c>
      <c r="C1687" s="6" t="s">
        <v>4190</v>
      </c>
      <c r="D1687" s="6" t="s">
        <v>4191</v>
      </c>
      <c r="E1687" s="6">
        <v>125597.0</v>
      </c>
    </row>
    <row r="1688">
      <c r="A1688" s="6">
        <v>2612.0</v>
      </c>
      <c r="B1688" s="6" t="s">
        <v>4192</v>
      </c>
      <c r="C1688" s="6" t="s">
        <v>4190</v>
      </c>
      <c r="D1688" s="6" t="s">
        <v>4191</v>
      </c>
      <c r="E1688" s="6">
        <v>129126.0</v>
      </c>
    </row>
    <row r="1689">
      <c r="A1689" s="6">
        <v>2614.0</v>
      </c>
      <c r="B1689" s="6" t="s">
        <v>4193</v>
      </c>
      <c r="C1689" s="6" t="s">
        <v>4190</v>
      </c>
      <c r="D1689" s="6" t="s">
        <v>4191</v>
      </c>
      <c r="E1689" s="6">
        <v>127993.0</v>
      </c>
    </row>
    <row r="1690">
      <c r="A1690" s="6">
        <v>2615.0</v>
      </c>
      <c r="B1690" s="6" t="s">
        <v>4192</v>
      </c>
      <c r="C1690" s="6" t="s">
        <v>4190</v>
      </c>
      <c r="D1690" s="6" t="s">
        <v>4191</v>
      </c>
      <c r="E1690" s="6">
        <v>125891.0</v>
      </c>
    </row>
    <row r="1691">
      <c r="A1691" s="6">
        <v>2621.0</v>
      </c>
      <c r="B1691" s="6" t="s">
        <v>4193</v>
      </c>
      <c r="C1691" s="6" t="s">
        <v>4190</v>
      </c>
      <c r="D1691" s="6" t="s">
        <v>4191</v>
      </c>
      <c r="E1691" s="6">
        <v>127946.0</v>
      </c>
    </row>
    <row r="1692">
      <c r="A1692" s="6">
        <v>2624.0</v>
      </c>
      <c r="B1692" s="6" t="s">
        <v>4192</v>
      </c>
      <c r="C1692" s="6" t="s">
        <v>4190</v>
      </c>
      <c r="D1692" s="6" t="s">
        <v>4191</v>
      </c>
      <c r="E1692" s="6">
        <v>126563.0</v>
      </c>
    </row>
    <row r="1693">
      <c r="A1693" s="6">
        <v>2625.0</v>
      </c>
      <c r="B1693" s="6" t="s">
        <v>4189</v>
      </c>
      <c r="C1693" s="6" t="s">
        <v>4190</v>
      </c>
      <c r="D1693" s="6" t="s">
        <v>4191</v>
      </c>
      <c r="E1693" s="6">
        <v>126216.0</v>
      </c>
    </row>
    <row r="1694">
      <c r="A1694" s="6">
        <v>1465.0</v>
      </c>
      <c r="B1694" s="6" t="s">
        <v>4192</v>
      </c>
      <c r="C1694" s="6" t="s">
        <v>4190</v>
      </c>
      <c r="D1694" s="6" t="s">
        <v>4191</v>
      </c>
      <c r="E1694" s="6">
        <v>128464.0</v>
      </c>
    </row>
    <row r="1695">
      <c r="A1695" s="6">
        <v>1467.0</v>
      </c>
      <c r="B1695" s="6" t="s">
        <v>4193</v>
      </c>
      <c r="C1695" s="6" t="s">
        <v>4190</v>
      </c>
      <c r="D1695" s="6" t="s">
        <v>4191</v>
      </c>
      <c r="E1695" s="6">
        <v>128012.0</v>
      </c>
    </row>
    <row r="1696">
      <c r="A1696" s="6">
        <v>1468.0</v>
      </c>
      <c r="B1696" s="6" t="s">
        <v>4193</v>
      </c>
      <c r="C1696" s="6" t="s">
        <v>4190</v>
      </c>
      <c r="D1696" s="6" t="s">
        <v>4191</v>
      </c>
      <c r="E1696" s="6">
        <v>128035.0</v>
      </c>
    </row>
    <row r="1697">
      <c r="A1697" s="6">
        <v>1469.0</v>
      </c>
      <c r="B1697" s="6" t="s">
        <v>4189</v>
      </c>
      <c r="C1697" s="6" t="s">
        <v>4190</v>
      </c>
      <c r="D1697" s="6" t="s">
        <v>4191</v>
      </c>
      <c r="E1697" s="6">
        <v>126277.0</v>
      </c>
    </row>
    <row r="1698">
      <c r="A1698" s="6">
        <v>1470.0</v>
      </c>
      <c r="B1698" s="6" t="s">
        <v>4192</v>
      </c>
      <c r="C1698" s="6" t="s">
        <v>4190</v>
      </c>
      <c r="D1698" s="6" t="s">
        <v>4191</v>
      </c>
      <c r="E1698" s="6">
        <v>125952.0</v>
      </c>
    </row>
    <row r="1699">
      <c r="A1699" s="6">
        <v>1472.0</v>
      </c>
      <c r="B1699" s="6" t="s">
        <v>4192</v>
      </c>
      <c r="C1699" s="6" t="s">
        <v>4190</v>
      </c>
      <c r="D1699" s="6" t="s">
        <v>4191</v>
      </c>
      <c r="E1699" s="6">
        <v>125379.0</v>
      </c>
    </row>
    <row r="1700">
      <c r="A1700" s="6">
        <v>1475.0</v>
      </c>
      <c r="B1700" s="6" t="s">
        <v>4192</v>
      </c>
      <c r="C1700" s="6" t="s">
        <v>4190</v>
      </c>
      <c r="D1700" s="6" t="s">
        <v>4191</v>
      </c>
      <c r="E1700" s="6">
        <v>126433.0</v>
      </c>
    </row>
    <row r="1701">
      <c r="A1701" s="6">
        <v>1476.0</v>
      </c>
      <c r="B1701" s="6" t="s">
        <v>4192</v>
      </c>
      <c r="C1701" s="6" t="s">
        <v>4190</v>
      </c>
      <c r="D1701" s="6" t="s">
        <v>4191</v>
      </c>
      <c r="E1701" s="6">
        <v>125114.0</v>
      </c>
    </row>
    <row r="1702">
      <c r="A1702" s="6">
        <v>1481.0</v>
      </c>
      <c r="B1702" s="6" t="s">
        <v>4194</v>
      </c>
      <c r="C1702" s="6" t="s">
        <v>4190</v>
      </c>
      <c r="D1702" s="6" t="s">
        <v>4191</v>
      </c>
      <c r="E1702" s="6">
        <v>126889.0</v>
      </c>
    </row>
    <row r="1703">
      <c r="A1703" s="6">
        <v>1483.0</v>
      </c>
      <c r="B1703" s="6" t="s">
        <v>4193</v>
      </c>
      <c r="C1703" s="6" t="s">
        <v>4190</v>
      </c>
      <c r="D1703" s="6" t="s">
        <v>4191</v>
      </c>
      <c r="E1703" s="6">
        <v>127904.0</v>
      </c>
    </row>
    <row r="1704">
      <c r="A1704" s="6">
        <v>1487.0</v>
      </c>
      <c r="B1704" s="6" t="s">
        <v>4189</v>
      </c>
      <c r="C1704" s="6" t="s">
        <v>4190</v>
      </c>
      <c r="D1704" s="6" t="s">
        <v>4191</v>
      </c>
      <c r="E1704" s="6">
        <v>124745.0</v>
      </c>
    </row>
    <row r="1705">
      <c r="A1705" s="6">
        <v>1489.0</v>
      </c>
      <c r="B1705" s="6" t="s">
        <v>4194</v>
      </c>
      <c r="C1705" s="6" t="s">
        <v>4190</v>
      </c>
      <c r="D1705" s="6" t="s">
        <v>4191</v>
      </c>
      <c r="E1705" s="6">
        <v>126088.0</v>
      </c>
    </row>
    <row r="1706">
      <c r="A1706" s="6">
        <v>1493.0</v>
      </c>
      <c r="B1706" s="6" t="s">
        <v>4192</v>
      </c>
      <c r="C1706" s="6" t="s">
        <v>4190</v>
      </c>
      <c r="D1706" s="6" t="s">
        <v>4191</v>
      </c>
      <c r="E1706" s="6">
        <v>126567.0</v>
      </c>
    </row>
    <row r="1707">
      <c r="A1707" s="6">
        <v>1495.0</v>
      </c>
      <c r="B1707" s="6" t="s">
        <v>4192</v>
      </c>
      <c r="C1707" s="6" t="s">
        <v>4190</v>
      </c>
      <c r="D1707" s="6" t="s">
        <v>4191</v>
      </c>
      <c r="E1707" s="6">
        <v>125569.0</v>
      </c>
    </row>
    <row r="1708">
      <c r="A1708" s="6">
        <v>1502.0</v>
      </c>
      <c r="B1708" s="6" t="s">
        <v>4195</v>
      </c>
      <c r="C1708" s="6" t="s">
        <v>4190</v>
      </c>
      <c r="D1708" s="6" t="s">
        <v>4191</v>
      </c>
      <c r="E1708" s="6">
        <v>125512.0</v>
      </c>
    </row>
    <row r="1709">
      <c r="A1709" s="6">
        <v>1508.0</v>
      </c>
      <c r="B1709" s="6" t="s">
        <v>4192</v>
      </c>
      <c r="C1709" s="6" t="s">
        <v>4190</v>
      </c>
      <c r="D1709" s="6" t="s">
        <v>4191</v>
      </c>
      <c r="E1709" s="6">
        <v>125335.0</v>
      </c>
    </row>
    <row r="1710">
      <c r="A1710" s="6">
        <v>1518.0</v>
      </c>
      <c r="B1710" s="6" t="s">
        <v>4192</v>
      </c>
      <c r="C1710" s="6" t="s">
        <v>4190</v>
      </c>
      <c r="D1710" s="6" t="s">
        <v>4191</v>
      </c>
      <c r="E1710" s="6">
        <v>126408.0</v>
      </c>
    </row>
    <row r="1711">
      <c r="A1711" s="6">
        <v>1520.0</v>
      </c>
      <c r="B1711" s="6" t="s">
        <v>4189</v>
      </c>
      <c r="C1711" s="6" t="s">
        <v>4190</v>
      </c>
      <c r="D1711" s="6" t="s">
        <v>4191</v>
      </c>
      <c r="E1711" s="6">
        <v>125633.0</v>
      </c>
    </row>
    <row r="1712">
      <c r="A1712" s="6">
        <v>1521.0</v>
      </c>
      <c r="B1712" s="6" t="s">
        <v>4192</v>
      </c>
      <c r="C1712" s="6" t="s">
        <v>4190</v>
      </c>
      <c r="D1712" s="6" t="s">
        <v>4191</v>
      </c>
      <c r="E1712" s="6">
        <v>125165.0</v>
      </c>
    </row>
    <row r="1713">
      <c r="A1713" s="6">
        <v>1524.0</v>
      </c>
      <c r="B1713" s="6" t="s">
        <v>4192</v>
      </c>
      <c r="C1713" s="6" t="s">
        <v>4190</v>
      </c>
      <c r="D1713" s="6" t="s">
        <v>4191</v>
      </c>
      <c r="E1713" s="6">
        <v>126241.0</v>
      </c>
    </row>
    <row r="1714">
      <c r="A1714" s="6">
        <v>1534.0</v>
      </c>
      <c r="B1714" s="6" t="s">
        <v>4192</v>
      </c>
      <c r="C1714" s="6" t="s">
        <v>4190</v>
      </c>
      <c r="D1714" s="6" t="s">
        <v>4191</v>
      </c>
      <c r="E1714" s="6">
        <v>128640.0</v>
      </c>
    </row>
    <row r="1715">
      <c r="A1715" s="6">
        <v>1547.0</v>
      </c>
      <c r="B1715" s="6" t="s">
        <v>4192</v>
      </c>
      <c r="C1715" s="6" t="s">
        <v>4190</v>
      </c>
      <c r="D1715" s="6" t="s">
        <v>4191</v>
      </c>
      <c r="E1715" s="6">
        <v>126494.0</v>
      </c>
    </row>
    <row r="1716">
      <c r="A1716" s="6">
        <v>1549.0</v>
      </c>
      <c r="B1716" s="6" t="s">
        <v>4192</v>
      </c>
      <c r="C1716" s="6" t="s">
        <v>4190</v>
      </c>
      <c r="D1716" s="6" t="s">
        <v>4191</v>
      </c>
      <c r="E1716" s="6">
        <v>125658.0</v>
      </c>
    </row>
    <row r="1717">
      <c r="A1717" s="6">
        <v>1551.0</v>
      </c>
      <c r="B1717" s="6" t="s">
        <v>4193</v>
      </c>
      <c r="C1717" s="6" t="s">
        <v>4190</v>
      </c>
      <c r="D1717" s="6" t="s">
        <v>4191</v>
      </c>
      <c r="E1717" s="6">
        <v>128032.0</v>
      </c>
    </row>
    <row r="1718">
      <c r="A1718" s="6">
        <v>1553.0</v>
      </c>
      <c r="B1718" s="6" t="s">
        <v>4192</v>
      </c>
      <c r="C1718" s="6" t="s">
        <v>4190</v>
      </c>
      <c r="D1718" s="6" t="s">
        <v>4191</v>
      </c>
      <c r="E1718" s="6">
        <v>125949.0</v>
      </c>
    </row>
    <row r="1719">
      <c r="A1719" s="6">
        <v>1554.0</v>
      </c>
      <c r="B1719" s="6" t="s">
        <v>4192</v>
      </c>
      <c r="C1719" s="6" t="s">
        <v>4190</v>
      </c>
      <c r="D1719" s="6" t="s">
        <v>4191</v>
      </c>
      <c r="E1719" s="6">
        <v>125818.0</v>
      </c>
    </row>
    <row r="1720">
      <c r="A1720" s="6">
        <v>1555.0</v>
      </c>
      <c r="B1720" s="6" t="s">
        <v>4192</v>
      </c>
      <c r="C1720" s="6" t="s">
        <v>4190</v>
      </c>
      <c r="D1720" s="6" t="s">
        <v>4191</v>
      </c>
      <c r="E1720" s="6">
        <v>124554.0</v>
      </c>
    </row>
    <row r="1721">
      <c r="A1721" s="6">
        <v>1558.0</v>
      </c>
      <c r="B1721" s="6" t="s">
        <v>4192</v>
      </c>
      <c r="C1721" s="6" t="s">
        <v>4190</v>
      </c>
      <c r="D1721" s="6" t="s">
        <v>4191</v>
      </c>
      <c r="E1721" s="6">
        <v>126723.0</v>
      </c>
    </row>
    <row r="1722">
      <c r="A1722" s="6">
        <v>1566.0</v>
      </c>
      <c r="B1722" s="6" t="s">
        <v>4189</v>
      </c>
      <c r="C1722" s="6" t="s">
        <v>4190</v>
      </c>
      <c r="D1722" s="6" t="s">
        <v>4191</v>
      </c>
      <c r="E1722" s="6">
        <v>125761.0</v>
      </c>
    </row>
    <row r="1723">
      <c r="A1723" s="6">
        <v>1569.0</v>
      </c>
      <c r="B1723" s="6" t="s">
        <v>4192</v>
      </c>
      <c r="C1723" s="6" t="s">
        <v>4190</v>
      </c>
      <c r="D1723" s="6" t="s">
        <v>4191</v>
      </c>
      <c r="E1723" s="6">
        <v>128589.0</v>
      </c>
    </row>
    <row r="1724">
      <c r="A1724" s="6">
        <v>1572.0</v>
      </c>
      <c r="B1724" s="6" t="s">
        <v>4192</v>
      </c>
      <c r="C1724" s="6" t="s">
        <v>4190</v>
      </c>
      <c r="D1724" s="6" t="s">
        <v>4191</v>
      </c>
      <c r="E1724" s="6">
        <v>125515.0</v>
      </c>
    </row>
    <row r="1725">
      <c r="A1725" s="6">
        <v>1593.0</v>
      </c>
      <c r="B1725" s="6" t="s">
        <v>4192</v>
      </c>
      <c r="C1725" s="6" t="s">
        <v>4190</v>
      </c>
      <c r="D1725" s="6" t="s">
        <v>4191</v>
      </c>
      <c r="E1725" s="6">
        <v>128703.0</v>
      </c>
    </row>
    <row r="1726">
      <c r="A1726" s="6">
        <v>1595.0</v>
      </c>
      <c r="B1726" s="6" t="s">
        <v>4192</v>
      </c>
      <c r="C1726" s="6" t="s">
        <v>4190</v>
      </c>
      <c r="D1726" s="6" t="s">
        <v>4191</v>
      </c>
      <c r="E1726" s="6">
        <v>125899.0</v>
      </c>
    </row>
    <row r="1727">
      <c r="A1727" s="6">
        <v>1600.0</v>
      </c>
      <c r="B1727" s="6" t="s">
        <v>4192</v>
      </c>
      <c r="C1727" s="6" t="s">
        <v>4190</v>
      </c>
      <c r="D1727" s="6" t="s">
        <v>4191</v>
      </c>
      <c r="E1727" s="6">
        <v>126430.0</v>
      </c>
    </row>
    <row r="1728">
      <c r="A1728" s="6">
        <v>1612.0</v>
      </c>
      <c r="B1728" s="6" t="s">
        <v>4192</v>
      </c>
      <c r="C1728" s="6" t="s">
        <v>4190</v>
      </c>
      <c r="D1728" s="6" t="s">
        <v>4191</v>
      </c>
      <c r="E1728" s="6">
        <v>126139.0</v>
      </c>
    </row>
    <row r="1729">
      <c r="A1729" s="6">
        <v>1446.0</v>
      </c>
      <c r="B1729" s="6" t="s">
        <v>4192</v>
      </c>
      <c r="C1729" s="6" t="s">
        <v>4190</v>
      </c>
      <c r="D1729" s="6" t="s">
        <v>4191</v>
      </c>
      <c r="E1729" s="6">
        <v>125705.0</v>
      </c>
    </row>
    <row r="1730">
      <c r="A1730" s="6">
        <v>1447.0</v>
      </c>
      <c r="B1730" s="6" t="s">
        <v>4189</v>
      </c>
      <c r="C1730" s="6" t="s">
        <v>4190</v>
      </c>
      <c r="D1730" s="6" t="s">
        <v>4191</v>
      </c>
      <c r="E1730" s="6">
        <v>125459.0</v>
      </c>
    </row>
    <row r="1731">
      <c r="A1731" s="6">
        <v>1450.0</v>
      </c>
      <c r="B1731" s="6" t="s">
        <v>4192</v>
      </c>
      <c r="C1731" s="6" t="s">
        <v>4190</v>
      </c>
      <c r="D1731" s="6" t="s">
        <v>4191</v>
      </c>
      <c r="E1731" s="6">
        <v>128894.0</v>
      </c>
    </row>
    <row r="1732">
      <c r="A1732" s="6">
        <v>1454.0</v>
      </c>
      <c r="B1732" s="6" t="s">
        <v>4192</v>
      </c>
      <c r="C1732" s="6" t="s">
        <v>4190</v>
      </c>
      <c r="D1732" s="6" t="s">
        <v>4191</v>
      </c>
      <c r="E1732" s="6">
        <v>126192.0</v>
      </c>
    </row>
    <row r="1733">
      <c r="A1733" s="6">
        <v>2109.0</v>
      </c>
      <c r="B1733" s="6" t="s">
        <v>4192</v>
      </c>
      <c r="C1733" s="6" t="s">
        <v>4190</v>
      </c>
      <c r="D1733" s="6" t="s">
        <v>4191</v>
      </c>
      <c r="E1733" s="6">
        <v>125774.0</v>
      </c>
    </row>
    <row r="1734">
      <c r="A1734" s="6">
        <v>1613.0</v>
      </c>
      <c r="B1734" s="6" t="s">
        <v>4192</v>
      </c>
      <c r="C1734" s="6" t="s">
        <v>4190</v>
      </c>
      <c r="D1734" s="6" t="s">
        <v>4191</v>
      </c>
      <c r="E1734" s="6">
        <v>126082.0</v>
      </c>
    </row>
    <row r="1735">
      <c r="A1735" s="6">
        <v>1617.0</v>
      </c>
      <c r="B1735" s="6" t="s">
        <v>4189</v>
      </c>
      <c r="C1735" s="6" t="s">
        <v>4190</v>
      </c>
      <c r="D1735" s="6" t="s">
        <v>4191</v>
      </c>
      <c r="E1735" s="6">
        <v>125162.0</v>
      </c>
    </row>
    <row r="1736">
      <c r="A1736" s="6">
        <v>1630.0</v>
      </c>
      <c r="B1736" s="6" t="s">
        <v>4192</v>
      </c>
      <c r="C1736" s="6" t="s">
        <v>4190</v>
      </c>
      <c r="D1736" s="6" t="s">
        <v>4191</v>
      </c>
      <c r="E1736" s="6">
        <v>126516.0</v>
      </c>
    </row>
    <row r="1737">
      <c r="A1737" s="6">
        <v>1633.0</v>
      </c>
      <c r="B1737" s="6" t="s">
        <v>4192</v>
      </c>
      <c r="C1737" s="6" t="s">
        <v>4190</v>
      </c>
      <c r="D1737" s="6" t="s">
        <v>4191</v>
      </c>
      <c r="E1737" s="6">
        <v>126691.0</v>
      </c>
    </row>
    <row r="1738">
      <c r="A1738" s="6">
        <v>1639.0</v>
      </c>
      <c r="B1738" s="6" t="s">
        <v>4193</v>
      </c>
      <c r="C1738" s="6" t="s">
        <v>4190</v>
      </c>
      <c r="D1738" s="6" t="s">
        <v>4191</v>
      </c>
      <c r="E1738" s="6">
        <v>127928.0</v>
      </c>
    </row>
    <row r="1739">
      <c r="A1739" s="6">
        <v>1647.0</v>
      </c>
      <c r="B1739" s="6" t="s">
        <v>4192</v>
      </c>
      <c r="C1739" s="6" t="s">
        <v>4190</v>
      </c>
      <c r="D1739" s="6" t="s">
        <v>4191</v>
      </c>
      <c r="E1739" s="6">
        <v>125923.0</v>
      </c>
    </row>
    <row r="1740">
      <c r="A1740" s="6">
        <v>1652.0</v>
      </c>
      <c r="B1740" s="6" t="s">
        <v>4189</v>
      </c>
      <c r="C1740" s="6" t="s">
        <v>4190</v>
      </c>
      <c r="D1740" s="6" t="s">
        <v>4191</v>
      </c>
      <c r="E1740" s="6">
        <v>125563.0</v>
      </c>
    </row>
    <row r="1741">
      <c r="A1741" s="6">
        <v>1658.0</v>
      </c>
      <c r="B1741" s="6" t="s">
        <v>4195</v>
      </c>
      <c r="C1741" s="6" t="s">
        <v>4190</v>
      </c>
      <c r="D1741" s="6" t="s">
        <v>4191</v>
      </c>
      <c r="E1741" s="6">
        <v>128353.0</v>
      </c>
    </row>
    <row r="1742">
      <c r="A1742" s="6">
        <v>1664.0</v>
      </c>
      <c r="B1742" s="6" t="s">
        <v>4189</v>
      </c>
      <c r="C1742" s="6" t="s">
        <v>4190</v>
      </c>
      <c r="D1742" s="6" t="s">
        <v>4191</v>
      </c>
      <c r="E1742" s="6">
        <v>124843.0</v>
      </c>
    </row>
    <row r="1743">
      <c r="A1743" s="6">
        <v>1666.0</v>
      </c>
      <c r="B1743" s="6" t="s">
        <v>4192</v>
      </c>
      <c r="C1743" s="6" t="s">
        <v>4190</v>
      </c>
      <c r="D1743" s="6" t="s">
        <v>4191</v>
      </c>
      <c r="E1743" s="6">
        <v>126635.0</v>
      </c>
    </row>
    <row r="1744">
      <c r="A1744" s="6">
        <v>1675.0</v>
      </c>
      <c r="B1744" s="6" t="s">
        <v>4192</v>
      </c>
      <c r="C1744" s="6" t="s">
        <v>4190</v>
      </c>
      <c r="D1744" s="6" t="s">
        <v>4191</v>
      </c>
      <c r="E1744" s="6">
        <v>126717.0</v>
      </c>
    </row>
    <row r="1745">
      <c r="A1745" s="6">
        <v>1683.0</v>
      </c>
      <c r="B1745" s="6" t="s">
        <v>4192</v>
      </c>
      <c r="C1745" s="6" t="s">
        <v>4190</v>
      </c>
      <c r="D1745" s="6" t="s">
        <v>4191</v>
      </c>
      <c r="E1745" s="6">
        <v>126075.0</v>
      </c>
    </row>
    <row r="1746">
      <c r="A1746" s="6">
        <v>1687.0</v>
      </c>
      <c r="B1746" s="6" t="s">
        <v>4193</v>
      </c>
      <c r="C1746" s="6" t="s">
        <v>4190</v>
      </c>
      <c r="D1746" s="6" t="s">
        <v>4191</v>
      </c>
      <c r="E1746" s="6">
        <v>127910.0</v>
      </c>
    </row>
    <row r="1747">
      <c r="A1747" s="6">
        <v>1691.0</v>
      </c>
      <c r="B1747" s="6" t="s">
        <v>4189</v>
      </c>
      <c r="C1747" s="6" t="s">
        <v>4190</v>
      </c>
      <c r="D1747" s="6" t="s">
        <v>4191</v>
      </c>
      <c r="E1747" s="6">
        <v>129118.0</v>
      </c>
    </row>
    <row r="1748">
      <c r="A1748" s="6">
        <v>1702.0</v>
      </c>
      <c r="B1748" s="6" t="s">
        <v>4192</v>
      </c>
      <c r="C1748" s="6" t="s">
        <v>4190</v>
      </c>
      <c r="D1748" s="6" t="s">
        <v>4191</v>
      </c>
      <c r="E1748" s="6">
        <v>126561.0</v>
      </c>
    </row>
    <row r="1749">
      <c r="A1749" s="6">
        <v>1706.0</v>
      </c>
      <c r="B1749" s="6" t="s">
        <v>4192</v>
      </c>
      <c r="C1749" s="6" t="s">
        <v>4190</v>
      </c>
      <c r="D1749" s="6" t="s">
        <v>4191</v>
      </c>
      <c r="E1749" s="6">
        <v>128871.0</v>
      </c>
    </row>
    <row r="1750">
      <c r="A1750" s="6">
        <v>1709.0</v>
      </c>
      <c r="B1750" s="6" t="s">
        <v>4192</v>
      </c>
      <c r="C1750" s="6" t="s">
        <v>4190</v>
      </c>
      <c r="D1750" s="6" t="s">
        <v>4191</v>
      </c>
      <c r="E1750" s="6">
        <v>125530.0</v>
      </c>
    </row>
    <row r="1751">
      <c r="A1751" s="6">
        <v>1710.0</v>
      </c>
      <c r="B1751" s="6" t="s">
        <v>4192</v>
      </c>
      <c r="C1751" s="6" t="s">
        <v>4190</v>
      </c>
      <c r="D1751" s="6" t="s">
        <v>4191</v>
      </c>
      <c r="E1751" s="6">
        <v>125005.0</v>
      </c>
    </row>
    <row r="1752">
      <c r="A1752" s="6">
        <v>1711.0</v>
      </c>
      <c r="B1752" s="6" t="s">
        <v>4193</v>
      </c>
      <c r="C1752" s="6" t="s">
        <v>4190</v>
      </c>
      <c r="D1752" s="6" t="s">
        <v>4191</v>
      </c>
      <c r="E1752" s="6">
        <v>127998.0</v>
      </c>
    </row>
    <row r="1753">
      <c r="A1753" s="6">
        <v>1713.0</v>
      </c>
      <c r="B1753" s="6" t="s">
        <v>4197</v>
      </c>
      <c r="C1753" s="6" t="s">
        <v>4190</v>
      </c>
      <c r="D1753" s="6" t="s">
        <v>4191</v>
      </c>
      <c r="E1753" s="6">
        <v>126054.0</v>
      </c>
    </row>
    <row r="1754">
      <c r="A1754" s="6">
        <v>1719.0</v>
      </c>
      <c r="B1754" s="6" t="s">
        <v>4189</v>
      </c>
      <c r="C1754" s="6" t="s">
        <v>4190</v>
      </c>
      <c r="D1754" s="6" t="s">
        <v>4191</v>
      </c>
      <c r="E1754" s="6">
        <v>125101.0</v>
      </c>
    </row>
    <row r="1755">
      <c r="A1755" s="6">
        <v>2056.0</v>
      </c>
      <c r="B1755" s="6" t="s">
        <v>4192</v>
      </c>
      <c r="C1755" s="6" t="s">
        <v>4190</v>
      </c>
      <c r="D1755" s="6" t="s">
        <v>4191</v>
      </c>
      <c r="E1755" s="6">
        <v>128388.0</v>
      </c>
    </row>
    <row r="1756">
      <c r="A1756" s="6">
        <v>2058.0</v>
      </c>
      <c r="B1756" s="6" t="s">
        <v>4192</v>
      </c>
      <c r="C1756" s="6" t="s">
        <v>4190</v>
      </c>
      <c r="D1756" s="6" t="s">
        <v>4191</v>
      </c>
      <c r="E1756" s="6">
        <v>125399.0</v>
      </c>
    </row>
    <row r="1757">
      <c r="A1757" s="6">
        <v>2065.0</v>
      </c>
      <c r="B1757" s="6" t="s">
        <v>4189</v>
      </c>
      <c r="C1757" s="6" t="s">
        <v>4190</v>
      </c>
      <c r="D1757" s="6" t="s">
        <v>4191</v>
      </c>
      <c r="E1757" s="6">
        <v>125839.0</v>
      </c>
    </row>
    <row r="1758">
      <c r="A1758" s="6">
        <v>2066.0</v>
      </c>
      <c r="B1758" s="6" t="s">
        <v>4192</v>
      </c>
      <c r="C1758" s="6" t="s">
        <v>4190</v>
      </c>
      <c r="D1758" s="6" t="s">
        <v>4191</v>
      </c>
      <c r="E1758" s="6">
        <v>125742.0</v>
      </c>
    </row>
    <row r="1759">
      <c r="A1759" s="6">
        <v>2069.0</v>
      </c>
      <c r="B1759" s="6" t="s">
        <v>4192</v>
      </c>
      <c r="C1759" s="6" t="s">
        <v>4190</v>
      </c>
      <c r="D1759" s="6" t="s">
        <v>4191</v>
      </c>
      <c r="E1759" s="6">
        <v>125506.0</v>
      </c>
    </row>
    <row r="1760">
      <c r="A1760" s="6">
        <v>2070.0</v>
      </c>
      <c r="B1760" s="6" t="s">
        <v>4192</v>
      </c>
      <c r="C1760" s="6" t="s">
        <v>4190</v>
      </c>
      <c r="D1760" s="6" t="s">
        <v>4191</v>
      </c>
      <c r="E1760" s="6">
        <v>124946.0</v>
      </c>
    </row>
    <row r="1761">
      <c r="A1761" s="6">
        <v>2072.0</v>
      </c>
      <c r="B1761" s="6" t="s">
        <v>4194</v>
      </c>
      <c r="C1761" s="6" t="s">
        <v>4190</v>
      </c>
      <c r="D1761" s="6" t="s">
        <v>4191</v>
      </c>
      <c r="E1761" s="6">
        <v>126121.0</v>
      </c>
    </row>
    <row r="1762">
      <c r="A1762" s="6">
        <v>2076.0</v>
      </c>
      <c r="B1762" s="6" t="s">
        <v>4192</v>
      </c>
      <c r="C1762" s="6" t="s">
        <v>4190</v>
      </c>
      <c r="D1762" s="6" t="s">
        <v>4191</v>
      </c>
      <c r="E1762" s="6">
        <v>125998.0</v>
      </c>
    </row>
    <row r="1763">
      <c r="A1763" s="6">
        <v>2077.0</v>
      </c>
      <c r="B1763" s="6" t="s">
        <v>4192</v>
      </c>
      <c r="C1763" s="6" t="s">
        <v>4190</v>
      </c>
      <c r="D1763" s="6" t="s">
        <v>4191</v>
      </c>
      <c r="E1763" s="6">
        <v>125560.0</v>
      </c>
    </row>
    <row r="1764">
      <c r="A1764" s="6">
        <v>2088.0</v>
      </c>
      <c r="B1764" s="6" t="s">
        <v>4189</v>
      </c>
      <c r="C1764" s="6" t="s">
        <v>4190</v>
      </c>
      <c r="D1764" s="6" t="s">
        <v>4191</v>
      </c>
      <c r="E1764" s="6">
        <v>126558.0</v>
      </c>
    </row>
    <row r="1765">
      <c r="A1765" s="6">
        <v>2095.0</v>
      </c>
      <c r="B1765" s="6" t="s">
        <v>4192</v>
      </c>
      <c r="C1765" s="6" t="s">
        <v>4190</v>
      </c>
      <c r="D1765" s="6" t="s">
        <v>4191</v>
      </c>
      <c r="E1765" s="6">
        <v>125591.0</v>
      </c>
    </row>
    <row r="1766">
      <c r="A1766" s="6">
        <v>2105.0</v>
      </c>
      <c r="B1766" s="6" t="s">
        <v>4192</v>
      </c>
      <c r="C1766" s="6" t="s">
        <v>4190</v>
      </c>
      <c r="D1766" s="6" t="s">
        <v>4191</v>
      </c>
      <c r="E1766" s="6">
        <v>124781.0</v>
      </c>
    </row>
    <row r="1767">
      <c r="A1767" s="6">
        <v>1574.0</v>
      </c>
      <c r="B1767" s="6" t="s">
        <v>4193</v>
      </c>
      <c r="C1767" s="6" t="s">
        <v>4190</v>
      </c>
      <c r="D1767" s="6" t="s">
        <v>4191</v>
      </c>
      <c r="E1767" s="6">
        <v>128048.0</v>
      </c>
    </row>
    <row r="1768">
      <c r="A1768" s="6">
        <v>1583.0</v>
      </c>
      <c r="B1768" s="6" t="s">
        <v>4192</v>
      </c>
      <c r="C1768" s="6" t="s">
        <v>4190</v>
      </c>
      <c r="D1768" s="6" t="s">
        <v>4191</v>
      </c>
      <c r="E1768" s="6">
        <v>125109.0</v>
      </c>
    </row>
    <row r="1769">
      <c r="A1769" s="6">
        <v>1590.0</v>
      </c>
      <c r="B1769" s="6" t="s">
        <v>4194</v>
      </c>
      <c r="C1769" s="6" t="s">
        <v>4190</v>
      </c>
      <c r="D1769" s="6" t="s">
        <v>4191</v>
      </c>
      <c r="E1769" s="6">
        <v>126886.0</v>
      </c>
    </row>
    <row r="1770">
      <c r="A1770" s="6">
        <v>1599.0</v>
      </c>
      <c r="B1770" s="6" t="s">
        <v>4192</v>
      </c>
      <c r="C1770" s="6" t="s">
        <v>4190</v>
      </c>
      <c r="D1770" s="6" t="s">
        <v>4191</v>
      </c>
      <c r="E1770" s="6">
        <v>128332.0</v>
      </c>
    </row>
    <row r="1771">
      <c r="A1771" s="6">
        <v>1601.0</v>
      </c>
      <c r="B1771" s="6" t="s">
        <v>4192</v>
      </c>
      <c r="C1771" s="6" t="s">
        <v>4190</v>
      </c>
      <c r="D1771" s="6" t="s">
        <v>4191</v>
      </c>
      <c r="E1771" s="6">
        <v>126090.0</v>
      </c>
    </row>
    <row r="1772">
      <c r="A1772" s="6">
        <v>1602.0</v>
      </c>
      <c r="B1772" s="6" t="s">
        <v>4192</v>
      </c>
      <c r="C1772" s="6" t="s">
        <v>4190</v>
      </c>
      <c r="D1772" s="6" t="s">
        <v>4191</v>
      </c>
      <c r="E1772" s="6">
        <v>125598.0</v>
      </c>
    </row>
    <row r="1773">
      <c r="A1773" s="6">
        <v>1605.0</v>
      </c>
      <c r="B1773" s="6" t="s">
        <v>4193</v>
      </c>
      <c r="C1773" s="6" t="s">
        <v>4190</v>
      </c>
      <c r="D1773" s="6" t="s">
        <v>4191</v>
      </c>
      <c r="E1773" s="6">
        <v>127971.0</v>
      </c>
    </row>
    <row r="1774">
      <c r="A1774" s="6">
        <v>1608.0</v>
      </c>
      <c r="B1774" s="6" t="s">
        <v>4189</v>
      </c>
      <c r="C1774" s="6" t="s">
        <v>4190</v>
      </c>
      <c r="D1774" s="6" t="s">
        <v>4191</v>
      </c>
      <c r="E1774" s="6">
        <v>126105.0</v>
      </c>
    </row>
    <row r="1775">
      <c r="A1775" s="6">
        <v>1435.0</v>
      </c>
      <c r="B1775" s="6" t="s">
        <v>4192</v>
      </c>
      <c r="C1775" s="6" t="s">
        <v>4190</v>
      </c>
      <c r="D1775" s="6" t="s">
        <v>4191</v>
      </c>
      <c r="E1775" s="6">
        <v>126766.0</v>
      </c>
    </row>
    <row r="1776">
      <c r="A1776" s="6">
        <v>1438.0</v>
      </c>
      <c r="B1776" s="6" t="s">
        <v>4192</v>
      </c>
      <c r="C1776" s="6" t="s">
        <v>4190</v>
      </c>
      <c r="D1776" s="6" t="s">
        <v>4191</v>
      </c>
      <c r="E1776" s="6">
        <v>125418.0</v>
      </c>
    </row>
    <row r="1777">
      <c r="A1777" s="6">
        <v>1442.0</v>
      </c>
      <c r="B1777" s="6" t="s">
        <v>4192</v>
      </c>
      <c r="C1777" s="6" t="s">
        <v>4190</v>
      </c>
      <c r="D1777" s="6" t="s">
        <v>4191</v>
      </c>
      <c r="E1777" s="6">
        <v>126726.0</v>
      </c>
    </row>
    <row r="1778">
      <c r="A1778" s="6">
        <v>1449.0</v>
      </c>
      <c r="B1778" s="6" t="s">
        <v>4194</v>
      </c>
      <c r="C1778" s="6" t="s">
        <v>4190</v>
      </c>
      <c r="D1778" s="6" t="s">
        <v>4191</v>
      </c>
      <c r="E1778" s="6">
        <v>124659.0</v>
      </c>
    </row>
    <row r="1779">
      <c r="A1779" s="6">
        <v>1619.0</v>
      </c>
      <c r="B1779" s="6" t="s">
        <v>4192</v>
      </c>
      <c r="C1779" s="6" t="s">
        <v>4190</v>
      </c>
      <c r="D1779" s="6" t="s">
        <v>4191</v>
      </c>
      <c r="E1779" s="6">
        <v>124929.0</v>
      </c>
    </row>
    <row r="1780">
      <c r="A1780" s="6">
        <v>1623.0</v>
      </c>
      <c r="B1780" s="6" t="s">
        <v>4192</v>
      </c>
      <c r="C1780" s="6" t="s">
        <v>4190</v>
      </c>
      <c r="D1780" s="6" t="s">
        <v>4191</v>
      </c>
      <c r="E1780" s="6">
        <v>126372.0</v>
      </c>
    </row>
    <row r="1781">
      <c r="A1781" s="6">
        <v>1634.0</v>
      </c>
      <c r="B1781" s="6" t="s">
        <v>4189</v>
      </c>
      <c r="C1781" s="6" t="s">
        <v>4190</v>
      </c>
      <c r="D1781" s="6" t="s">
        <v>4191</v>
      </c>
      <c r="E1781" s="6">
        <v>125986.0</v>
      </c>
    </row>
    <row r="1782">
      <c r="A1782" s="6">
        <v>1637.0</v>
      </c>
      <c r="B1782" s="6" t="s">
        <v>4192</v>
      </c>
      <c r="C1782" s="6" t="s">
        <v>4190</v>
      </c>
      <c r="D1782" s="6" t="s">
        <v>4191</v>
      </c>
      <c r="E1782" s="6">
        <v>129022.0</v>
      </c>
    </row>
    <row r="1783">
      <c r="A1783" s="6">
        <v>1649.0</v>
      </c>
      <c r="B1783" s="6" t="s">
        <v>4192</v>
      </c>
      <c r="C1783" s="6" t="s">
        <v>4190</v>
      </c>
      <c r="D1783" s="6" t="s">
        <v>4191</v>
      </c>
      <c r="E1783" s="6">
        <v>124818.0</v>
      </c>
    </row>
    <row r="1784">
      <c r="A1784" s="6">
        <v>1657.0</v>
      </c>
      <c r="B1784" s="6" t="s">
        <v>4193</v>
      </c>
      <c r="C1784" s="6" t="s">
        <v>4190</v>
      </c>
      <c r="D1784" s="6" t="s">
        <v>4191</v>
      </c>
      <c r="E1784" s="6">
        <v>128071.0</v>
      </c>
    </row>
    <row r="1785">
      <c r="A1785" s="6">
        <v>1660.0</v>
      </c>
      <c r="B1785" s="6" t="s">
        <v>4192</v>
      </c>
      <c r="C1785" s="6" t="s">
        <v>4190</v>
      </c>
      <c r="D1785" s="6" t="s">
        <v>4191</v>
      </c>
      <c r="E1785" s="6">
        <v>125946.0</v>
      </c>
    </row>
    <row r="1786">
      <c r="A1786" s="6">
        <v>1673.0</v>
      </c>
      <c r="B1786" s="6" t="s">
        <v>4193</v>
      </c>
      <c r="C1786" s="6" t="s">
        <v>4190</v>
      </c>
      <c r="D1786" s="6" t="s">
        <v>4191</v>
      </c>
      <c r="E1786" s="6">
        <v>128083.0</v>
      </c>
    </row>
    <row r="1787">
      <c r="A1787" s="6">
        <v>1674.0</v>
      </c>
      <c r="B1787" s="6" t="s">
        <v>4192</v>
      </c>
      <c r="C1787" s="6" t="s">
        <v>4190</v>
      </c>
      <c r="D1787" s="6" t="s">
        <v>4191</v>
      </c>
      <c r="E1787" s="6">
        <v>128668.0</v>
      </c>
    </row>
    <row r="1788">
      <c r="A1788" s="6">
        <v>1684.0</v>
      </c>
      <c r="B1788" s="6" t="s">
        <v>4192</v>
      </c>
      <c r="C1788" s="6" t="s">
        <v>4190</v>
      </c>
      <c r="D1788" s="6" t="s">
        <v>4191</v>
      </c>
      <c r="E1788" s="6">
        <v>125910.0</v>
      </c>
    </row>
    <row r="1789">
      <c r="A1789" s="6">
        <v>1708.0</v>
      </c>
      <c r="B1789" s="6" t="s">
        <v>4197</v>
      </c>
      <c r="C1789" s="6" t="s">
        <v>4190</v>
      </c>
      <c r="D1789" s="6" t="s">
        <v>4191</v>
      </c>
      <c r="E1789" s="6">
        <v>126026.0</v>
      </c>
    </row>
    <row r="1790">
      <c r="A1790" s="6">
        <v>1717.0</v>
      </c>
      <c r="B1790" s="6" t="s">
        <v>4189</v>
      </c>
      <c r="C1790" s="6" t="s">
        <v>4190</v>
      </c>
      <c r="D1790" s="6" t="s">
        <v>4191</v>
      </c>
      <c r="E1790" s="6">
        <v>126023.0</v>
      </c>
    </row>
    <row r="1791">
      <c r="A1791" s="6">
        <v>1718.0</v>
      </c>
      <c r="B1791" s="6" t="s">
        <v>4192</v>
      </c>
      <c r="C1791" s="6" t="s">
        <v>4190</v>
      </c>
      <c r="D1791" s="6" t="s">
        <v>4191</v>
      </c>
      <c r="E1791" s="6">
        <v>125486.0</v>
      </c>
    </row>
    <row r="1792">
      <c r="A1792" s="6">
        <v>1726.0</v>
      </c>
      <c r="B1792" s="6" t="s">
        <v>4195</v>
      </c>
      <c r="C1792" s="6" t="s">
        <v>4190</v>
      </c>
      <c r="D1792" s="6" t="s">
        <v>4191</v>
      </c>
      <c r="E1792" s="6">
        <v>124687.0</v>
      </c>
    </row>
    <row r="1793">
      <c r="A1793" s="6">
        <v>2050.0</v>
      </c>
      <c r="B1793" s="6" t="s">
        <v>4192</v>
      </c>
      <c r="C1793" s="6" t="s">
        <v>4190</v>
      </c>
      <c r="D1793" s="6" t="s">
        <v>4191</v>
      </c>
      <c r="E1793" s="6">
        <v>126102.0</v>
      </c>
    </row>
    <row r="1794">
      <c r="A1794" s="6">
        <v>2059.0</v>
      </c>
      <c r="B1794" s="6" t="s">
        <v>4192</v>
      </c>
      <c r="C1794" s="6" t="s">
        <v>4190</v>
      </c>
      <c r="D1794" s="6" t="s">
        <v>4191</v>
      </c>
      <c r="E1794" s="6">
        <v>126927.0</v>
      </c>
    </row>
    <row r="1795">
      <c r="A1795" s="6">
        <v>2063.0</v>
      </c>
      <c r="B1795" s="6" t="s">
        <v>4192</v>
      </c>
      <c r="C1795" s="6" t="s">
        <v>4190</v>
      </c>
      <c r="D1795" s="6" t="s">
        <v>4191</v>
      </c>
      <c r="E1795" s="6">
        <v>125050.0</v>
      </c>
    </row>
    <row r="1796">
      <c r="A1796" s="6">
        <v>2081.0</v>
      </c>
      <c r="B1796" s="6" t="s">
        <v>4195</v>
      </c>
      <c r="C1796" s="6" t="s">
        <v>4190</v>
      </c>
      <c r="D1796" s="6" t="s">
        <v>4191</v>
      </c>
      <c r="E1796" s="6">
        <v>128799.0</v>
      </c>
    </row>
    <row r="1797">
      <c r="A1797" s="6">
        <v>2086.0</v>
      </c>
      <c r="B1797" s="6" t="s">
        <v>4192</v>
      </c>
      <c r="C1797" s="6" t="s">
        <v>4190</v>
      </c>
      <c r="D1797" s="6" t="s">
        <v>4191</v>
      </c>
      <c r="E1797" s="6">
        <v>128875.0</v>
      </c>
    </row>
    <row r="1798">
      <c r="A1798" s="6">
        <v>2090.0</v>
      </c>
      <c r="B1798" s="6" t="s">
        <v>4192</v>
      </c>
      <c r="C1798" s="6" t="s">
        <v>4190</v>
      </c>
      <c r="D1798" s="6" t="s">
        <v>4191</v>
      </c>
      <c r="E1798" s="6">
        <v>125555.0</v>
      </c>
    </row>
    <row r="1799">
      <c r="A1799" s="6">
        <v>2103.0</v>
      </c>
      <c r="B1799" s="6" t="s">
        <v>4192</v>
      </c>
      <c r="C1799" s="6" t="s">
        <v>4190</v>
      </c>
      <c r="D1799" s="6" t="s">
        <v>4191</v>
      </c>
      <c r="E1799" s="6">
        <v>125916.0</v>
      </c>
    </row>
    <row r="1800">
      <c r="A1800" s="6">
        <v>2107.0</v>
      </c>
      <c r="B1800" s="6" t="s">
        <v>4193</v>
      </c>
      <c r="C1800" s="6" t="s">
        <v>4190</v>
      </c>
      <c r="D1800" s="6" t="s">
        <v>4191</v>
      </c>
      <c r="E1800" s="6">
        <v>127937.0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tr">
        <f>IFERROR(__xludf.DUMMYFUNCTION("IMPORTHTML(""https://fr.wikipedia.org/wiki/Meilleurs_buteurs_du_championnat_de_France_de_football"",""table"")"),"Rang")</f>
        <v>Rang</v>
      </c>
      <c r="B1" t="str">
        <f>IFERROR(__xludf.DUMMYFUNCTION("""COMPUTED_VALUE"""),"Joueur")</f>
        <v>Joueur</v>
      </c>
      <c r="C1" t="str">
        <f>IFERROR(__xludf.DUMMYFUNCTION("""COMPUTED_VALUE"""),"Période")</f>
        <v>Période</v>
      </c>
      <c r="D1" t="str">
        <f>IFERROR(__xludf.DUMMYFUNCTION("""COMPUTED_VALUE"""),"Clubs successifs")</f>
        <v>Clubs successifs</v>
      </c>
      <c r="E1" t="str">
        <f>IFERROR(__xludf.DUMMYFUNCTION("""COMPUTED_VALUE"""),"Matchs")</f>
        <v>Matchs</v>
      </c>
      <c r="F1" t="str">
        <f>IFERROR(__xludf.DUMMYFUNCTION("""COMPUTED_VALUE"""),"Ratio")</f>
        <v>Ratio</v>
      </c>
      <c r="G1" t="str">
        <f>IFERROR(__xludf.DUMMYFUNCTION("""COMPUTED_VALUE"""),"Buts")</f>
        <v>Buts</v>
      </c>
    </row>
    <row r="2">
      <c r="A2">
        <f>IFERROR(__xludf.DUMMYFUNCTION("""COMPUTED_VALUE"""),1.0)</f>
        <v>1</v>
      </c>
      <c r="B2" t="str">
        <f>IFERROR(__xludf.DUMMYFUNCTION("""COMPUTED_VALUE"""),"Delio Onnis")</f>
        <v>Delio Onnis</v>
      </c>
      <c r="C2" t="str">
        <f>IFERROR(__xludf.DUMMYFUNCTION("""COMPUTED_VALUE"""),"1971-1986")</f>
        <v>1971-1986</v>
      </c>
      <c r="D2" t="str">
        <f>IFERROR(__xludf.DUMMYFUNCTION("""COMPUTED_VALUE"""),"Stade de Reims (39), AS Monaco (157), Tours FC (64), Sporting Toulon Var 
(39)")</f>
        <v>Stade de Reims (39), AS Monaco (157), Tours FC (64), Sporting Toulon Var 
(39)</v>
      </c>
      <c r="E2">
        <f>IFERROR(__xludf.DUMMYFUNCTION("""COMPUTED_VALUE"""),449.0)</f>
        <v>449</v>
      </c>
      <c r="F2">
        <f>IFERROR(__xludf.DUMMYFUNCTION("""COMPUTED_VALUE"""),0.67)</f>
        <v>0.67</v>
      </c>
      <c r="G2" t="str">
        <f>IFERROR(__xludf.DUMMYFUNCTION("""COMPUTED_VALUE"""),"*299*")</f>
        <v>*299*</v>
      </c>
    </row>
    <row r="3">
      <c r="A3">
        <f>IFERROR(__xludf.DUMMYFUNCTION("""COMPUTED_VALUE"""),2.0)</f>
        <v>2</v>
      </c>
      <c r="B3" t="str">
        <f>IFERROR(__xludf.DUMMYFUNCTION("""COMPUTED_VALUE"""),"Bernard Lacombe")</f>
        <v>Bernard Lacombe</v>
      </c>
      <c r="C3" t="str">
        <f>IFERROR(__xludf.DUMMYFUNCTION("""COMPUTED_VALUE"""),"1969-1987")</f>
        <v>1969-1987</v>
      </c>
      <c r="D3" t="str">
        <f>IFERROR(__xludf.DUMMYFUNCTION("""COMPUTED_VALUE"""),"Olympique lyonnais (123), AS Saint-Étienne (14), Girondins de Bordeaux (118)")</f>
        <v>Olympique lyonnais (123), AS Saint-Étienne (14), Girondins de Bordeaux (118)</v>
      </c>
      <c r="E3">
        <f>IFERROR(__xludf.DUMMYFUNCTION("""COMPUTED_VALUE"""),497.0)</f>
        <v>497</v>
      </c>
      <c r="F3">
        <f>IFERROR(__xludf.DUMMYFUNCTION("""COMPUTED_VALUE"""),0.51)</f>
        <v>0.51</v>
      </c>
      <c r="G3" t="str">
        <f>IFERROR(__xludf.DUMMYFUNCTION("""COMPUTED_VALUE"""),"*255*")</f>
        <v>*255*</v>
      </c>
    </row>
    <row r="4">
      <c r="A4">
        <f>IFERROR(__xludf.DUMMYFUNCTION("""COMPUTED_VALUE"""),3.0)</f>
        <v>3</v>
      </c>
      <c r="B4" t="str">
        <f>IFERROR(__xludf.DUMMYFUNCTION("""COMPUTED_VALUE"""),"Hervé Revelli")</f>
        <v>Hervé Revelli</v>
      </c>
      <c r="C4" t="str">
        <f>IFERROR(__xludf.DUMMYFUNCTION("""COMPUTED_VALUE"""),"1965-1978")</f>
        <v>1965-1978</v>
      </c>
      <c r="D4" t="str">
        <f>IFERROR(__xludf.DUMMYFUNCTION("""COMPUTED_VALUE"""),"AS Saint-Étienne (175), OGC Nice (41)")</f>
        <v>AS Saint-Étienne (175), OGC Nice (41)</v>
      </c>
      <c r="E4">
        <f>IFERROR(__xludf.DUMMYFUNCTION("""COMPUTED_VALUE"""),389.0)</f>
        <v>389</v>
      </c>
      <c r="F4">
        <f>IFERROR(__xludf.DUMMYFUNCTION("""COMPUTED_VALUE"""),0.56)</f>
        <v>0.56</v>
      </c>
      <c r="G4" t="str">
        <f>IFERROR(__xludf.DUMMYFUNCTION("""COMPUTED_VALUE"""),"*216*")</f>
        <v>*216*</v>
      </c>
    </row>
    <row r="5">
      <c r="A5">
        <f>IFERROR(__xludf.DUMMYFUNCTION("""COMPUTED_VALUE"""),4.0)</f>
        <v>4</v>
      </c>
      <c r="B5" t="str">
        <f>IFERROR(__xludf.DUMMYFUNCTION("""COMPUTED_VALUE"""),"Roger Courtois")</f>
        <v>Roger Courtois</v>
      </c>
      <c r="C5" t="str">
        <f>IFERROR(__xludf.DUMMYFUNCTION("""COMPUTED_VALUE"""),"1933-1956")</f>
        <v>1933-1956</v>
      </c>
      <c r="D5" t="str">
        <f>IFERROR(__xludf.DUMMYFUNCTION("""COMPUTED_VALUE"""),"FC Sochaux-Montbéliard (209), ESTAC Troyes (1)")</f>
        <v>FC Sochaux-Montbéliard (209), ESTAC Troyes (1)</v>
      </c>
      <c r="E5">
        <f>IFERROR(__xludf.DUMMYFUNCTION("""COMPUTED_VALUE"""),288.0)</f>
        <v>288</v>
      </c>
      <c r="F5">
        <f>IFERROR(__xludf.DUMMYFUNCTION("""COMPUTED_VALUE"""),0.73)</f>
        <v>0.73</v>
      </c>
      <c r="G5" t="str">
        <f>IFERROR(__xludf.DUMMYFUNCTION("""COMPUTED_VALUE"""),"*210*")</f>
        <v>*210*</v>
      </c>
    </row>
    <row r="6">
      <c r="A6">
        <f>IFERROR(__xludf.DUMMYFUNCTION("""COMPUTED_VALUE"""),5.0)</f>
        <v>5</v>
      </c>
      <c r="B6" t="str">
        <f>IFERROR(__xludf.DUMMYFUNCTION("""COMPUTED_VALUE"""),"Thadée Cisowski")</f>
        <v>Thadée Cisowski</v>
      </c>
      <c r="C6" t="str">
        <f>IFERROR(__xludf.DUMMYFUNCTION("""COMPUTED_VALUE"""),"1947-1961")</f>
        <v>1947-1961</v>
      </c>
      <c r="D6" t="str">
        <f>IFERROR(__xludf.DUMMYFUNCTION("""COMPUTED_VALUE"""),"FC Metz (45), RC Paris (152), Valenciennes FC (9)")</f>
        <v>FC Metz (45), RC Paris (152), Valenciennes FC (9)</v>
      </c>
      <c r="E6">
        <f>IFERROR(__xludf.DUMMYFUNCTION("""COMPUTED_VALUE"""),286.0)</f>
        <v>286</v>
      </c>
      <c r="F6">
        <f>IFERROR(__xludf.DUMMYFUNCTION("""COMPUTED_VALUE"""),0.72)</f>
        <v>0.72</v>
      </c>
      <c r="G6" t="str">
        <f>IFERROR(__xludf.DUMMYFUNCTION("""COMPUTED_VALUE"""),"*206*")</f>
        <v>*206*</v>
      </c>
    </row>
    <row r="7">
      <c r="A7">
        <f>IFERROR(__xludf.DUMMYFUNCTION("""COMPUTED_VALUE"""),6.0)</f>
        <v>6</v>
      </c>
      <c r="B7" t="str">
        <f>IFERROR(__xludf.DUMMYFUNCTION("""COMPUTED_VALUE"""),"Roger Piantoni")</f>
        <v>Roger Piantoni</v>
      </c>
      <c r="C7" t="str">
        <f>IFERROR(__xludf.DUMMYFUNCTION("""COMPUTED_VALUE"""),"1950-1966")</f>
        <v>1950-1966</v>
      </c>
      <c r="D7" t="str">
        <f>IFERROR(__xludf.DUMMYFUNCTION("""COMPUTED_VALUE"""),"FC Nancy (91), Stade de Reims (106), OGC Nice (6)")</f>
        <v>FC Nancy (91), Stade de Reims (106), OGC Nice (6)</v>
      </c>
      <c r="E7">
        <f>IFERROR(__xludf.DUMMYFUNCTION("""COMPUTED_VALUE"""),394.0)</f>
        <v>394</v>
      </c>
      <c r="F7">
        <f>IFERROR(__xludf.DUMMYFUNCTION("""COMPUTED_VALUE"""),0.52)</f>
        <v>0.52</v>
      </c>
      <c r="G7" t="str">
        <f>IFERROR(__xludf.DUMMYFUNCTION("""COMPUTED_VALUE"""),"*203*")</f>
        <v>*203*</v>
      </c>
    </row>
    <row r="8">
      <c r="A8">
        <f>IFERROR(__xludf.DUMMYFUNCTION("""COMPUTED_VALUE"""),7.0)</f>
        <v>7</v>
      </c>
      <c r="B8" t="str">
        <f>IFERROR(__xludf.DUMMYFUNCTION("""COMPUTED_VALUE"""),"Kylian Mbappé")</f>
        <v>Kylian Mbappé</v>
      </c>
      <c r="C8" t="str">
        <f>IFERROR(__xludf.DUMMYFUNCTION("""COMPUTED_VALUE"""),"2015-2024")</f>
        <v>2015-2024</v>
      </c>
      <c r="D8" t="str">
        <f>IFERROR(__xludf.DUMMYFUNCTION("""COMPUTED_VALUE"""),"AS Monaco (16), Paris Saint-Germain (175)")</f>
        <v>AS Monaco (16), Paris Saint-Germain (175)</v>
      </c>
      <c r="E8">
        <f>IFERROR(__xludf.DUMMYFUNCTION("""COMPUTED_VALUE"""),246.0)</f>
        <v>246</v>
      </c>
      <c r="F8">
        <f>IFERROR(__xludf.DUMMYFUNCTION("""COMPUTED_VALUE"""),0.78)</f>
        <v>0.78</v>
      </c>
      <c r="G8" t="str">
        <f>IFERROR(__xludf.DUMMYFUNCTION("""COMPUTED_VALUE"""),"*191*")</f>
        <v>*191*</v>
      </c>
    </row>
    <row r="9">
      <c r="A9">
        <f>IFERROR(__xludf.DUMMYFUNCTION("""COMPUTED_VALUE"""),8.0)</f>
        <v>8</v>
      </c>
      <c r="B9" t="str">
        <f>IFERROR(__xludf.DUMMYFUNCTION("""COMPUTED_VALUE"""),"Joseph Ujlaki")</f>
        <v>Joseph Ujlaki</v>
      </c>
      <c r="C9" t="str">
        <f>IFERROR(__xludf.DUMMYFUNCTION("""COMPUTED_VALUE"""),"1947-1964")</f>
        <v>1947-1964</v>
      </c>
      <c r="D9" t="str">
        <f>IFERROR(__xludf.DUMMYFUNCTION("""COMPUTED_VALUE"""),"Stade Français (3), FC Sète (15), Nîmes Olympique (38), OGC Nice (59), RC 
Paris (75)")</f>
        <v>Stade Français (3), FC Sète (15), Nîmes Olympique (38), OGC Nice (59), RC 
Paris (75)</v>
      </c>
      <c r="E9">
        <f>IFERROR(__xludf.DUMMYFUNCTION("""COMPUTED_VALUE"""),438.0)</f>
        <v>438</v>
      </c>
      <c r="F9">
        <f>IFERROR(__xludf.DUMMYFUNCTION("""COMPUTED_VALUE"""),0.43)</f>
        <v>0.43</v>
      </c>
      <c r="G9" t="str">
        <f>IFERROR(__xludf.DUMMYFUNCTION("""COMPUTED_VALUE"""),"*190*")</f>
        <v>*190*</v>
      </c>
    </row>
    <row r="10">
      <c r="A10">
        <f>IFERROR(__xludf.DUMMYFUNCTION("""COMPUTED_VALUE"""),9.0)</f>
        <v>9</v>
      </c>
      <c r="B10" t="str">
        <f>IFERROR(__xludf.DUMMYFUNCTION("""COMPUTED_VALUE"""),"Fleury Di Nallo")</f>
        <v>Fleury Di Nallo</v>
      </c>
      <c r="C10" t="str">
        <f>IFERROR(__xludf.DUMMYFUNCTION("""COMPUTED_VALUE"""),"1960-1975")</f>
        <v>1960-1975</v>
      </c>
      <c r="D10" t="str">
        <f>IFERROR(__xludf.DUMMYFUNCTION("""COMPUTED_VALUE"""),"Olympique lyonnais (182), Red Star (5)")</f>
        <v>Olympique lyonnais (182), Red Star (5)</v>
      </c>
      <c r="E10">
        <f>IFERROR(__xludf.DUMMYFUNCTION("""COMPUTED_VALUE"""),425.0)</f>
        <v>425</v>
      </c>
      <c r="F10">
        <f>IFERROR(__xludf.DUMMYFUNCTION("""COMPUTED_VALUE"""),0.44)</f>
        <v>0.44</v>
      </c>
      <c r="G10" t="str">
        <f>IFERROR(__xludf.DUMMYFUNCTION("""COMPUTED_VALUE"""),"*187*")</f>
        <v>*187*</v>
      </c>
    </row>
    <row r="11">
      <c r="A11">
        <f>IFERROR(__xludf.DUMMYFUNCTION("""COMPUTED_VALUE"""),10.0)</f>
        <v>10</v>
      </c>
      <c r="B11" t="str">
        <f>IFERROR(__xludf.DUMMYFUNCTION("""COMPUTED_VALUE"""),"Carlos Bianchi")</f>
        <v>Carlos Bianchi</v>
      </c>
      <c r="C11" t="str">
        <f>IFERROR(__xludf.DUMMYFUNCTION("""COMPUTED_VALUE"""),"1973-1980")</f>
        <v>1973-1980</v>
      </c>
      <c r="D11" t="str">
        <f>IFERROR(__xludf.DUMMYFUNCTION("""COMPUTED_VALUE"""),"Stade de Reims (107), Paris Saint-Germain (64), RC Strasbourg (8)")</f>
        <v>Stade de Reims (107), Paris Saint-Germain (64), RC Strasbourg (8)</v>
      </c>
      <c r="E11">
        <f>IFERROR(__xludf.DUMMYFUNCTION("""COMPUTED_VALUE"""),220.0)</f>
        <v>220</v>
      </c>
      <c r="F11">
        <f>IFERROR(__xludf.DUMMYFUNCTION("""COMPUTED_VALUE"""),0.81)</f>
        <v>0.81</v>
      </c>
      <c r="G11" t="str">
        <f>IFERROR(__xludf.DUMMYFUNCTION("""COMPUTED_VALUE"""),"*179*")</f>
        <v>*179*</v>
      </c>
    </row>
    <row r="12">
      <c r="B12" t="str">
        <f>IFERROR(__xludf.DUMMYFUNCTION("""COMPUTED_VALUE"""),"Gunnar Andersson")</f>
        <v>Gunnar Andersson</v>
      </c>
      <c r="C12" t="str">
        <f>IFERROR(__xludf.DUMMYFUNCTION("""COMPUTED_VALUE"""),"1950-1960")</f>
        <v>1950-1960</v>
      </c>
      <c r="D12" t="str">
        <f>IFERROR(__xludf.DUMMYFUNCTION("""COMPUTED_VALUE"""),"Olympique de Marseille (169), Girondins de Bordeaux (10)")</f>
        <v>Olympique de Marseille (169), Girondins de Bordeaux (10)</v>
      </c>
      <c r="E12">
        <f>IFERROR(__xludf.DUMMYFUNCTION("""COMPUTED_VALUE"""),234.0)</f>
        <v>234</v>
      </c>
      <c r="F12">
        <f>IFERROR(__xludf.DUMMYFUNCTION("""COMPUTED_VALUE"""),0.76)</f>
        <v>0.76</v>
      </c>
      <c r="G12" t="str">
        <f>IFERROR(__xludf.DUMMYFUNCTION("""COMPUTED_VALUE"""),"*179*")</f>
        <v>*179*</v>
      </c>
    </row>
    <row r="13">
      <c r="A13">
        <f>IFERROR(__xludf.DUMMYFUNCTION("""COMPUTED_VALUE"""),12.0)</f>
        <v>12</v>
      </c>
      <c r="B13" t="str">
        <f>IFERROR(__xludf.DUMMYFUNCTION("""COMPUTED_VALUE"""),"Hassan Akesbi")</f>
        <v>Hassan Akesbi</v>
      </c>
      <c r="C13" t="str">
        <f>IFERROR(__xludf.DUMMYFUNCTION("""COMPUTED_VALUE"""),"1955-1964")</f>
        <v>1955-1964</v>
      </c>
      <c r="D13" t="str">
        <f>IFERROR(__xludf.DUMMYFUNCTION("""COMPUTED_VALUE"""),"Nîmes Olympique (119), Stade de Reims (48), AS Monaco (6)")</f>
        <v>Nîmes Olympique (119), Stade de Reims (48), AS Monaco (6)</v>
      </c>
      <c r="E13">
        <f>IFERROR(__xludf.DUMMYFUNCTION("""COMPUTED_VALUE"""),293.0)</f>
        <v>293</v>
      </c>
      <c r="F13">
        <f>IFERROR(__xludf.DUMMYFUNCTION("""COMPUTED_VALUE"""),0.59)</f>
        <v>0.59</v>
      </c>
      <c r="G13" t="str">
        <f>IFERROR(__xludf.DUMMYFUNCTION("""COMPUTED_VALUE"""),"*173*")</f>
        <v>*173*</v>
      </c>
    </row>
    <row r="14">
      <c r="A14">
        <f>IFERROR(__xludf.DUMMYFUNCTION("""COMPUTED_VALUE"""),13.0)</f>
        <v>13</v>
      </c>
      <c r="B14" t="str">
        <f>IFERROR(__xludf.DUMMYFUNCTION("""COMPUTED_VALUE"""),"Jean Baratte")</f>
        <v>Jean Baratte</v>
      </c>
      <c r="C14" t="str">
        <f>IFERROR(__xludf.DUMMYFUNCTION("""COMPUTED_VALUE"""),"1945-1955")</f>
        <v>1945-1955</v>
      </c>
      <c r="D14" t="str">
        <f>IFERROR(__xludf.DUMMYFUNCTION("""COMPUTED_VALUE"""),"LOSC Lille (167), CO Roubaix-Tourcoing (2)")</f>
        <v>LOSC Lille (167), CO Roubaix-Tourcoing (2)</v>
      </c>
      <c r="E14">
        <f>IFERROR(__xludf.DUMMYFUNCTION("""COMPUTED_VALUE"""),284.0)</f>
        <v>284</v>
      </c>
      <c r="F14">
        <f>IFERROR(__xludf.DUMMYFUNCTION("""COMPUTED_VALUE"""),0.6)</f>
        <v>0.6</v>
      </c>
      <c r="G14" t="str">
        <f>IFERROR(__xludf.DUMMYFUNCTION("""COMPUTED_VALUE"""),"*169*")</f>
        <v>*169*</v>
      </c>
    </row>
    <row r="15">
      <c r="A15">
        <f>IFERROR(__xludf.DUMMYFUNCTION("""COMPUTED_VALUE"""),14.0)</f>
        <v>14</v>
      </c>
      <c r="B15" t="str">
        <f>IFERROR(__xludf.DUMMYFUNCTION("""COMPUTED_VALUE"""),"Just Fontaine")</f>
        <v>Just Fontaine</v>
      </c>
      <c r="C15" t="str">
        <f>IFERROR(__xludf.DUMMYFUNCTION("""COMPUTED_VALUE"""),"1953-1962")</f>
        <v>1953-1962</v>
      </c>
      <c r="D15" t="str">
        <f>IFERROR(__xludf.DUMMYFUNCTION("""COMPUTED_VALUE"""),"OGC Nice (42), Stade de Reims (122)")</f>
        <v>OGC Nice (42), Stade de Reims (122)</v>
      </c>
      <c r="E15">
        <f>IFERROR(__xludf.DUMMYFUNCTION("""COMPUTED_VALUE"""),200.0)</f>
        <v>200</v>
      </c>
      <c r="F15">
        <f>IFERROR(__xludf.DUMMYFUNCTION("""COMPUTED_VALUE"""),0.82)</f>
        <v>0.82</v>
      </c>
      <c r="G15" t="str">
        <f>IFERROR(__xludf.DUMMYFUNCTION("""COMPUTED_VALUE"""),"*164*")</f>
        <v>*164*</v>
      </c>
    </row>
    <row r="16">
      <c r="A16">
        <f>IFERROR(__xludf.DUMMYFUNCTION("""COMPUTED_VALUE"""),15.0)</f>
        <v>15</v>
      </c>
      <c r="B16" t="str">
        <f>IFERROR(__xludf.DUMMYFUNCTION("""COMPUTED_VALUE"""),"Alain Giresse")</f>
        <v>Alain Giresse</v>
      </c>
      <c r="C16" t="str">
        <f>IFERROR(__xludf.DUMMYFUNCTION("""COMPUTED_VALUE"""),"1970-1988")</f>
        <v>1970-1988</v>
      </c>
      <c r="D16" t="str">
        <f>IFERROR(__xludf.DUMMYFUNCTION("""COMPUTED_VALUE"""),"Girondins de Bordeaux (158), Olympique de Marseille (5)")</f>
        <v>Girondins de Bordeaux (158), Olympique de Marseille (5)</v>
      </c>
      <c r="E16">
        <f>IFERROR(__xludf.DUMMYFUNCTION("""COMPUTED_VALUE"""),587.0)</f>
        <v>587</v>
      </c>
      <c r="F16">
        <f>IFERROR(__xludf.DUMMYFUNCTION("""COMPUTED_VALUE"""),0.28)</f>
        <v>0.28</v>
      </c>
      <c r="G16" t="str">
        <f>IFERROR(__xludf.DUMMYFUNCTION("""COMPUTED_VALUE"""),"*163*")</f>
        <v>*163*</v>
      </c>
    </row>
    <row r="17">
      <c r="A17">
        <f>IFERROR(__xludf.DUMMYFUNCTION("""COMPUTED_VALUE"""),16.0)</f>
        <v>16</v>
      </c>
      <c r="B17" t="str">
        <f>IFERROR(__xludf.DUMMYFUNCTION("""COMPUTED_VALUE"""),"Alexandre Lacazette")</f>
        <v>Alexandre Lacazette</v>
      </c>
      <c r="C17" t="str">
        <f>IFERROR(__xludf.DUMMYFUNCTION("""COMPUTED_VALUE"""),"2010-2025")</f>
        <v>2010-2025</v>
      </c>
      <c r="D17" t="str">
        <f>IFERROR(__xludf.DUMMYFUNCTION("""COMPUTED_VALUE"""),"Olympique lyonnais (161)")</f>
        <v>Olympique lyonnais (161)</v>
      </c>
      <c r="E17">
        <f>IFERROR(__xludf.DUMMYFUNCTION("""COMPUTED_VALUE"""),297.0)</f>
        <v>297</v>
      </c>
      <c r="F17">
        <f>IFERROR(__xludf.DUMMYFUNCTION("""COMPUTED_VALUE"""),0.54)</f>
        <v>0.54</v>
      </c>
      <c r="G17" t="str">
        <f>IFERROR(__xludf.DUMMYFUNCTION("""COMPUTED_VALUE"""),"*161*")</f>
        <v>*161*</v>
      </c>
    </row>
    <row r="18">
      <c r="B18" t="str">
        <f>IFERROR(__xludf.DUMMYFUNCTION("""COMPUTED_VALUE"""),"Wissam Ben Yedder")</f>
        <v>Wissam Ben Yedder</v>
      </c>
      <c r="C18" t="str">
        <f>IFERROR(__xludf.DUMMYFUNCTION("""COMPUTED_VALUE"""),"2010-2024")</f>
        <v>2010-2024</v>
      </c>
      <c r="D18" t="str">
        <f>IFERROR(__xludf.DUMMYFUNCTION("""COMPUTED_VALUE"""),"Toulouse FC (63), AS Monaco (98)")</f>
        <v>Toulouse FC (63), AS Monaco (98)</v>
      </c>
      <c r="E18">
        <f>IFERROR(__xludf.DUMMYFUNCTION("""COMPUTED_VALUE"""),320.0)</f>
        <v>320</v>
      </c>
      <c r="F18">
        <f>IFERROR(__xludf.DUMMYFUNCTION("""COMPUTED_VALUE"""),0.5)</f>
        <v>0.5</v>
      </c>
      <c r="G18" t="str">
        <f>IFERROR(__xludf.DUMMYFUNCTION("""COMPUTED_VALUE"""),"*161*")</f>
        <v>*161*</v>
      </c>
    </row>
    <row r="19">
      <c r="A19">
        <f>IFERROR(__xludf.DUMMYFUNCTION("""COMPUTED_VALUE"""),18.0)</f>
        <v>18</v>
      </c>
      <c r="B19" t="str">
        <f>IFERROR(__xludf.DUMMYFUNCTION("""COMPUTED_VALUE"""),"André Guy")</f>
        <v>André Guy</v>
      </c>
      <c r="C19" t="str">
        <f>IFERROR(__xludf.DUMMYFUNCTION("""COMPUTED_VALUE"""),"1959-1971")</f>
        <v>1959-1971</v>
      </c>
      <c r="D19" t="str">
        <f>IFERROR(__xludf.DUMMYFUNCTION("""COMPUTED_VALUE"""),"FC Sochaux-Montbéliard (3), AS Saint-Étienne (45), LOSC Lille (42), Olympique 
lyonnais (64), Stade rennais (5)")</f>
        <v>FC Sochaux-Montbéliard (3), AS Saint-Étienne (45), LOSC Lille (42), Olympique 
lyonnais (64), Stade rennais (5)</v>
      </c>
      <c r="E19">
        <f>IFERROR(__xludf.DUMMYFUNCTION("""COMPUTED_VALUE"""),271.0)</f>
        <v>271</v>
      </c>
      <c r="F19">
        <f>IFERROR(__xludf.DUMMYFUNCTION("""COMPUTED_VALUE"""),0.59)</f>
        <v>0.59</v>
      </c>
      <c r="G19" t="str">
        <f>IFERROR(__xludf.DUMMYFUNCTION("""COMPUTED_VALUE"""),"*159*")</f>
        <v>*159*</v>
      </c>
    </row>
    <row r="20">
      <c r="A20">
        <f>IFERROR(__xludf.DUMMYFUNCTION("""COMPUTED_VALUE"""),19.0)</f>
        <v>19</v>
      </c>
      <c r="B20" t="str">
        <f>IFERROR(__xludf.DUMMYFUNCTION("""COMPUTED_VALUE"""),"Désiré Koranyi")</f>
        <v>Désiré Koranyi</v>
      </c>
      <c r="C20" t="str">
        <f>IFERROR(__xludf.DUMMYFUNCTION("""COMPUTED_VALUE"""),"1935-1950")</f>
        <v>1935-1950</v>
      </c>
      <c r="D20" t="str">
        <f>IFERROR(__xludf.DUMMYFUNCTION("""COMPUTED_VALUE"""),"FC Sète (157)")</f>
        <v>FC Sète (157)</v>
      </c>
      <c r="E20">
        <f>IFERROR(__xludf.DUMMYFUNCTION("""COMPUTED_VALUE"""),252.0)</f>
        <v>252</v>
      </c>
      <c r="F20">
        <f>IFERROR(__xludf.DUMMYFUNCTION("""COMPUTED_VALUE"""),0.62)</f>
        <v>0.62</v>
      </c>
      <c r="G20" t="str">
        <f>IFERROR(__xludf.DUMMYFUNCTION("""COMPUTED_VALUE"""),"*157*")</f>
        <v>*157*</v>
      </c>
    </row>
    <row r="21">
      <c r="A21">
        <f>IFERROR(__xludf.DUMMYFUNCTION("""COMPUTED_VALUE"""),20.0)</f>
        <v>20</v>
      </c>
      <c r="B21" t="str">
        <f>IFERROR(__xludf.DUMMYFUNCTION("""COMPUTED_VALUE"""),"Jean-Pierre Papin")</f>
        <v>Jean-Pierre Papin</v>
      </c>
      <c r="C21" t="str">
        <f>IFERROR(__xludf.DUMMYFUNCTION("""COMPUTED_VALUE"""),"1986-1998")</f>
        <v>1986-1998</v>
      </c>
      <c r="D21" t="str">
        <f>IFERROR(__xludf.DUMMYFUNCTION("""COMPUTED_VALUE"""),"Olympique de Marseille (134), Girondins de Bordeaux (22)")</f>
        <v>Olympique de Marseille (134), Girondins de Bordeaux (22)</v>
      </c>
      <c r="E21">
        <f>IFERROR(__xludf.DUMMYFUNCTION("""COMPUTED_VALUE"""),270.0)</f>
        <v>270</v>
      </c>
      <c r="F21">
        <f>IFERROR(__xludf.DUMMYFUNCTION("""COMPUTED_VALUE"""),0.58)</f>
        <v>0.58</v>
      </c>
      <c r="G21" t="str">
        <f>IFERROR(__xludf.DUMMYFUNCTION("""COMPUTED_VALUE"""),"*156*")</f>
        <v>*156*</v>
      </c>
    </row>
    <row r="22">
      <c r="A22">
        <f>IFERROR(__xludf.DUMMYFUNCTION("""COMPUTED_VALUE"""),21.0)</f>
        <v>21</v>
      </c>
      <c r="B22" t="str">
        <f>IFERROR(__xludf.DUMMYFUNCTION("""COMPUTED_VALUE"""),"Jacky Vergnes")</f>
        <v>Jacky Vergnes</v>
      </c>
      <c r="C22" t="str">
        <f>IFERROR(__xludf.DUMMYFUNCTION("""COMPUTED_VALUE"""),"1968-1982")</f>
        <v>1968-1982</v>
      </c>
      <c r="D22" t="str">
        <f>IFERROR(__xludf.DUMMYFUNCTION("""COMPUTED_VALUE"""),"Red Star (10), Nîmes Olympique (73), SC Bastia (20), Stade de Reims (11), Stade 
lavallois (19), RC Strasbourg (12), Girondins de Bordeaux (8), Montpellier 
HSC (0)")</f>
        <v>Red Star (10), Nîmes Olympique (73), SC Bastia (20), Stade de Reims (11), Stade 
lavallois (19), RC Strasbourg (12), Girondins de Bordeaux (8), Montpellier 
HSC (0)</v>
      </c>
      <c r="E22">
        <f>IFERROR(__xludf.DUMMYFUNCTION("""COMPUTED_VALUE"""),328.0)</f>
        <v>328</v>
      </c>
      <c r="F22">
        <f>IFERROR(__xludf.DUMMYFUNCTION("""COMPUTED_VALUE"""),0.47)</f>
        <v>0.47</v>
      </c>
      <c r="G22" t="str">
        <f>IFERROR(__xludf.DUMMYFUNCTION("""COMPUTED_VALUE"""),"*153*")</f>
        <v>*153*</v>
      </c>
    </row>
    <row r="23">
      <c r="A23">
        <f>IFERROR(__xludf.DUMMYFUNCTION("""COMPUTED_VALUE"""),22.0)</f>
        <v>22</v>
      </c>
      <c r="B23" t="str">
        <f>IFERROR(__xludf.DUMMYFUNCTION("""COMPUTED_VALUE"""),"Josip Skoblar")</f>
        <v>Josip Skoblar</v>
      </c>
      <c r="C23" t="str">
        <f>IFERROR(__xludf.DUMMYFUNCTION("""COMPUTED_VALUE"""),"1966-1974")</f>
        <v>1966-1974</v>
      </c>
      <c r="D23" t="str">
        <f>IFERROR(__xludf.DUMMYFUNCTION("""COMPUTED_VALUE"""),"Olympique de Marseille (151)")</f>
        <v>Olympique de Marseille (151)</v>
      </c>
      <c r="E23">
        <f>IFERROR(__xludf.DUMMYFUNCTION("""COMPUTED_VALUE"""),174.0)</f>
        <v>174</v>
      </c>
      <c r="F23">
        <f>IFERROR(__xludf.DUMMYFUNCTION("""COMPUTED_VALUE"""),0.87)</f>
        <v>0.87</v>
      </c>
      <c r="G23" t="str">
        <f>IFERROR(__xludf.DUMMYFUNCTION("""COMPUTED_VALUE"""),"*151*")</f>
        <v>*151*</v>
      </c>
    </row>
    <row r="24">
      <c r="A24">
        <f>IFERROR(__xludf.DUMMYFUNCTION("""COMPUTED_VALUE"""),23.0)</f>
        <v>23</v>
      </c>
      <c r="B24" t="str">
        <f>IFERROR(__xludf.DUMMYFUNCTION("""COMPUTED_VALUE"""),"Lucien Cossou")</f>
        <v>Lucien Cossou</v>
      </c>
      <c r="C24" t="str">
        <f>IFERROR(__xludf.DUMMYFUNCTION("""COMPUTED_VALUE"""),"1956-1968")</f>
        <v>1956-1968</v>
      </c>
      <c r="D24" t="str">
        <f>IFERROR(__xludf.DUMMYFUNCTION("""COMPUTED_VALUE"""),"Olympique lyonnais (35), AS Monaco (97), AS aixoise (17)")</f>
        <v>Olympique lyonnais (35), AS Monaco (97), AS aixoise (17)</v>
      </c>
      <c r="E24">
        <f>IFERROR(__xludf.DUMMYFUNCTION("""COMPUTED_VALUE"""),285.0)</f>
        <v>285</v>
      </c>
      <c r="F24">
        <f>IFERROR(__xludf.DUMMYFUNCTION("""COMPUTED_VALUE"""),0.52)</f>
        <v>0.52</v>
      </c>
      <c r="G24" t="str">
        <f>IFERROR(__xludf.DUMMYFUNCTION("""COMPUTED_VALUE"""),"*149*")</f>
        <v>*149*</v>
      </c>
    </row>
    <row r="25">
      <c r="A25">
        <f>IFERROR(__xludf.DUMMYFUNCTION("""COMPUTED_VALUE"""),24.0)</f>
        <v>24</v>
      </c>
      <c r="B25" t="str">
        <f>IFERROR(__xludf.DUMMYFUNCTION("""COMPUTED_VALUE"""),"Dominique Rocheteau")</f>
        <v>Dominique Rocheteau</v>
      </c>
      <c r="C25" t="str">
        <f>IFERROR(__xludf.DUMMYFUNCTION("""COMPUTED_VALUE"""),"1972-1989")</f>
        <v>1972-1989</v>
      </c>
      <c r="D25" t="str">
        <f>IFERROR(__xludf.DUMMYFUNCTION("""COMPUTED_VALUE"""),"AS Saint-Étienne (51), Paris Saint-Germain (83), Toulouse FC (11)")</f>
        <v>AS Saint-Étienne (51), Paris Saint-Germain (83), Toulouse FC (11)</v>
      </c>
      <c r="E25">
        <f>IFERROR(__xludf.DUMMYFUNCTION("""COMPUTED_VALUE"""),417.0)</f>
        <v>417</v>
      </c>
      <c r="F25">
        <f>IFERROR(__xludf.DUMMYFUNCTION("""COMPUTED_VALUE"""),0.35)</f>
        <v>0.35</v>
      </c>
      <c r="G25" t="str">
        <f>IFERROR(__xludf.DUMMYFUNCTION("""COMPUTED_VALUE"""),"*145*")</f>
        <v>*145*</v>
      </c>
    </row>
    <row r="26">
      <c r="A26">
        <f>IFERROR(__xludf.DUMMYFUNCTION("""COMPUTED_VALUE"""),25.0)</f>
        <v>25</v>
      </c>
      <c r="B26" t="str">
        <f>IFERROR(__xludf.DUMMYFUNCTION("""COMPUTED_VALUE"""),"Rachid Mekhloufi")</f>
        <v>Rachid Mekhloufi</v>
      </c>
      <c r="C26" t="str">
        <f>IFERROR(__xludf.DUMMYFUNCTION("""COMPUTED_VALUE"""),"1954-1970")</f>
        <v>1954-1970</v>
      </c>
      <c r="D26" t="str">
        <f>IFERROR(__xludf.DUMMYFUNCTION("""COMPUTED_VALUE"""),"AS Saint-Étienne (123), SC Bastia (20)")</f>
        <v>AS Saint-Étienne (123), SC Bastia (20)</v>
      </c>
      <c r="E26">
        <f>IFERROR(__xludf.DUMMYFUNCTION("""COMPUTED_VALUE"""),341.0)</f>
        <v>341</v>
      </c>
      <c r="F26">
        <f>IFERROR(__xludf.DUMMYFUNCTION("""COMPUTED_VALUE"""),0.42)</f>
        <v>0.42</v>
      </c>
      <c r="G26" t="str">
        <f>IFERROR(__xludf.DUMMYFUNCTION("""COMPUTED_VALUE"""),"*143*")</f>
        <v>*143*</v>
      </c>
    </row>
    <row r="27">
      <c r="A27">
        <f>IFERROR(__xludf.DUMMYFUNCTION("""COMPUTED_VALUE"""),26.0)</f>
        <v>26</v>
      </c>
      <c r="B27" t="str">
        <f>IFERROR(__xludf.DUMMYFUNCTION("""COMPUTED_VALUE"""),"Pauleta")</f>
        <v>Pauleta</v>
      </c>
      <c r="C27" t="str">
        <f>IFERROR(__xludf.DUMMYFUNCTION("""COMPUTED_VALUE"""),"2000-2008")</f>
        <v>2000-2008</v>
      </c>
      <c r="D27" t="str">
        <f>IFERROR(__xludf.DUMMYFUNCTION("""COMPUTED_VALUE"""),"Girondins de Bordeaux (65), Paris Saint-Germain (76)")</f>
        <v>Girondins de Bordeaux (65), Paris Saint-Germain (76)</v>
      </c>
      <c r="E27">
        <f>IFERROR(__xludf.DUMMYFUNCTION("""COMPUTED_VALUE"""),266.0)</f>
        <v>266</v>
      </c>
      <c r="F27">
        <f>IFERROR(__xludf.DUMMYFUNCTION("""COMPUTED_VALUE"""),0.53)</f>
        <v>0.53</v>
      </c>
      <c r="G27" t="str">
        <f>IFERROR(__xludf.DUMMYFUNCTION("""COMPUTED_VALUE"""),"*141*")</f>
        <v>*141*</v>
      </c>
    </row>
    <row r="28">
      <c r="A28">
        <f>IFERROR(__xludf.DUMMYFUNCTION("""COMPUTED_VALUE"""),27.0)</f>
        <v>27</v>
      </c>
      <c r="B28" t="str">
        <f>IFERROR(__xludf.DUMMYFUNCTION("""COMPUTED_VALUE"""),"Yvon Douis")</f>
        <v>Yvon Douis</v>
      </c>
      <c r="C28" t="str">
        <f>IFERROR(__xludf.DUMMYFUNCTION("""COMPUTED_VALUE"""),"1953-1967")</f>
        <v>1953-1967</v>
      </c>
      <c r="D28" t="str">
        <f>IFERROR(__xludf.DUMMYFUNCTION("""COMPUTED_VALUE"""),"LOSC Lille (50), Le Havre AC (28), AS Monaco (62)")</f>
        <v>LOSC Lille (50), Le Havre AC (28), AS Monaco (62)</v>
      </c>
      <c r="E28">
        <f>IFERROR(__xludf.DUMMYFUNCTION("""COMPUTED_VALUE"""),379.0)</f>
        <v>379</v>
      </c>
      <c r="F28">
        <f>IFERROR(__xludf.DUMMYFUNCTION("""COMPUTED_VALUE"""),0.37)</f>
        <v>0.37</v>
      </c>
      <c r="G28" t="str">
        <f>IFERROR(__xludf.DUMMYFUNCTION("""COMPUTED_VALUE"""),"*140*")</f>
        <v>*140*</v>
      </c>
    </row>
    <row r="29">
      <c r="A29">
        <f>IFERROR(__xludf.DUMMYFUNCTION("""COMPUTED_VALUE"""),28.0)</f>
        <v>28</v>
      </c>
      <c r="B29" t="str">
        <f>IFERROR(__xludf.DUMMYFUNCTION("""COMPUTED_VALUE"""),"Michel Platini")</f>
        <v>Michel Platini</v>
      </c>
      <c r="C29" t="str">
        <f>IFERROR(__xludf.DUMMYFUNCTION("""COMPUTED_VALUE"""),"1973-1982")</f>
        <v>1973-1982</v>
      </c>
      <c r="D29" t="str">
        <f>IFERROR(__xludf.DUMMYFUNCTION("""COMPUTED_VALUE"""),"AS Nancy-Lorraine (81), AS Saint-Étienne (58)")</f>
        <v>AS Nancy-Lorraine (81), AS Saint-Étienne (58)</v>
      </c>
      <c r="E29">
        <f>IFERROR(__xludf.DUMMYFUNCTION("""COMPUTED_VALUE"""),254.0)</f>
        <v>254</v>
      </c>
      <c r="F29">
        <f>IFERROR(__xludf.DUMMYFUNCTION("""COMPUTED_VALUE"""),0.55)</f>
        <v>0.55</v>
      </c>
      <c r="G29" t="str">
        <f>IFERROR(__xludf.DUMMYFUNCTION("""COMPUTED_VALUE"""),"*139*")</f>
        <v>*139*</v>
      </c>
    </row>
    <row r="30">
      <c r="B30" t="str">
        <f>IFERROR(__xludf.DUMMYFUNCTION("""COMPUTED_VALUE"""),"Stéphane Bruey")</f>
        <v>Stéphane Bruey</v>
      </c>
      <c r="C30" t="str">
        <f>IFERROR(__xludf.DUMMYFUNCTION("""COMPUTED_VALUE"""),"1950-1966")</f>
        <v>1950-1966</v>
      </c>
      <c r="D30" t="str">
        <f>IFERROR(__xludf.DUMMYFUNCTION("""COMPUTED_VALUE"""),"RC Paris (11), AS Monaco (25), Angers SCO (93), Olympique lyonnais (10)")</f>
        <v>RC Paris (11), AS Monaco (25), Angers SCO (93), Olympique lyonnais (10)</v>
      </c>
      <c r="E30">
        <f>IFERROR(__xludf.DUMMYFUNCTION("""COMPUTED_VALUE"""),423.0)</f>
        <v>423</v>
      </c>
      <c r="F30">
        <f>IFERROR(__xludf.DUMMYFUNCTION("""COMPUTED_VALUE"""),0.33)</f>
        <v>0.33</v>
      </c>
      <c r="G30" t="str">
        <f>IFERROR(__xludf.DUMMYFUNCTION("""COMPUTED_VALUE"""),"*139*")</f>
        <v>*139*</v>
      </c>
    </row>
    <row r="31">
      <c r="A31">
        <f>IFERROR(__xludf.DUMMYFUNCTION("""COMPUTED_VALUE"""),30.0)</f>
        <v>30</v>
      </c>
      <c r="B31" t="str">
        <f>IFERROR(__xludf.DUMMYFUNCTION("""COMPUTED_VALUE"""),"Edinson Cavani")</f>
        <v>Edinson Cavani</v>
      </c>
      <c r="C31" t="str">
        <f>IFERROR(__xludf.DUMMYFUNCTION("""COMPUTED_VALUE"""),"2013-2020")</f>
        <v>2013-2020</v>
      </c>
      <c r="D31" t="str">
        <f>IFERROR(__xludf.DUMMYFUNCTION("""COMPUTED_VALUE"""),"Paris Saint-Germain (138)")</f>
        <v>Paris Saint-Germain (138)</v>
      </c>
      <c r="E31">
        <f>IFERROR(__xludf.DUMMYFUNCTION("""COMPUTED_VALUE"""),200.0)</f>
        <v>200</v>
      </c>
      <c r="F31">
        <f>IFERROR(__xludf.DUMMYFUNCTION("""COMPUTED_VALUE"""),0.69)</f>
        <v>0.69</v>
      </c>
      <c r="G31" t="str">
        <f>IFERROR(__xludf.DUMMYFUNCTION("""COMPUTED_VALUE"""),"*138*")</f>
        <v>*138*</v>
      </c>
    </row>
    <row r="32">
      <c r="B32" t="str">
        <f>IFERROR(__xludf.DUMMYFUNCTION("""COMPUTED_VALUE"""),"Sonny Anderson")</f>
        <v>Sonny Anderson</v>
      </c>
      <c r="C32" t="str">
        <f>IFERROR(__xludf.DUMMYFUNCTION("""COMPUTED_VALUE"""),"1993-2003")</f>
        <v>1993-2003</v>
      </c>
      <c r="D32" t="str">
        <f>IFERROR(__xludf.DUMMYFUNCTION("""COMPUTED_VALUE"""),"Olympique de Marseille (16), AS Monaco (51), Olympique lyonnais (71)")</f>
        <v>Olympique de Marseille (16), AS Monaco (51), Olympique lyonnais (71)</v>
      </c>
      <c r="E32">
        <f>IFERROR(__xludf.DUMMYFUNCTION("""COMPUTED_VALUE"""),221.0)</f>
        <v>221</v>
      </c>
      <c r="F32">
        <f>IFERROR(__xludf.DUMMYFUNCTION("""COMPUTED_VALUE"""),0.62)</f>
        <v>0.62</v>
      </c>
      <c r="G32" t="str">
        <f>IFERROR(__xludf.DUMMYFUNCTION("""COMPUTED_VALUE"""),"*138*")</f>
        <v>*138*</v>
      </c>
    </row>
    <row r="33">
      <c r="A33">
        <f>IFERROR(__xludf.DUMMYFUNCTION("""COMPUTED_VALUE"""),32.0)</f>
        <v>32</v>
      </c>
      <c r="B33" t="str">
        <f>IFERROR(__xludf.DUMMYFUNCTION("""COMPUTED_VALUE"""),"Salif Keita")</f>
        <v>Salif Keita</v>
      </c>
      <c r="C33" t="str">
        <f>IFERROR(__xludf.DUMMYFUNCTION("""COMPUTED_VALUE"""),"1967-1973")</f>
        <v>1967-1973</v>
      </c>
      <c r="D33" t="str">
        <f>IFERROR(__xludf.DUMMYFUNCTION("""COMPUTED_VALUE"""),"AS Saint-Étienne (125), Olympique de Marseille (10)")</f>
        <v>AS Saint-Étienne (125), Olympique de Marseille (10)</v>
      </c>
      <c r="E33">
        <f>IFERROR(__xludf.DUMMYFUNCTION("""COMPUTED_VALUE"""),168.0)</f>
        <v>168</v>
      </c>
      <c r="F33">
        <f>IFERROR(__xludf.DUMMYFUNCTION("""COMPUTED_VALUE"""),0.8)</f>
        <v>0.8</v>
      </c>
      <c r="G33" t="str">
        <f>IFERROR(__xludf.DUMMYFUNCTION("""COMPUTED_VALUE"""),"*135*")</f>
        <v>*135*</v>
      </c>
    </row>
    <row r="34">
      <c r="A34">
        <f>IFERROR(__xludf.DUMMYFUNCTION("""COMPUTED_VALUE"""),33.0)</f>
        <v>33</v>
      </c>
      <c r="B34" t="str">
        <f>IFERROR(__xludf.DUMMYFUNCTION("""COMPUTED_VALUE"""),"Henri Hiltl")</f>
        <v>Henri Hiltl</v>
      </c>
      <c r="C34" t="str">
        <f>IFERROR(__xludf.DUMMYFUNCTION("""COMPUTED_VALUE"""),"1933-1948")</f>
        <v>1933-1948</v>
      </c>
      <c r="D34" t="str">
        <f>IFERROR(__xludf.DUMMYFUNCTION("""COMPUTED_VALUE"""),"Excelsior AC (84), CO Roubaix-Tourcoing (50)")</f>
        <v>Excelsior AC (84), CO Roubaix-Tourcoing (50)</v>
      </c>
      <c r="E34">
        <f>IFERROR(__xludf.DUMMYFUNCTION("""COMPUTED_VALUE"""),251.0)</f>
        <v>251</v>
      </c>
      <c r="F34">
        <f>IFERROR(__xludf.DUMMYFUNCTION("""COMPUTED_VALUE"""),0.53)</f>
        <v>0.53</v>
      </c>
      <c r="G34" t="str">
        <f>IFERROR(__xludf.DUMMYFUNCTION("""COMPUTED_VALUE"""),"*134*")</f>
        <v>*134*</v>
      </c>
    </row>
    <row r="35">
      <c r="A35">
        <f>IFERROR(__xludf.DUMMYFUNCTION("""COMPUTED_VALUE"""),34.0)</f>
        <v>34</v>
      </c>
      <c r="B35" t="str">
        <f>IFERROR(__xludf.DUMMYFUNCTION("""COMPUTED_VALUE"""),"Hector De Bourgoing")</f>
        <v>Hector De Bourgoing</v>
      </c>
      <c r="C35" t="str">
        <f>IFERROR(__xludf.DUMMYFUNCTION("""COMPUTED_VALUE"""),"1959-1969")</f>
        <v>1959-1969</v>
      </c>
      <c r="D35" t="str">
        <f>IFERROR(__xludf.DUMMYFUNCTION("""COMPUTED_VALUE"""),"OGC Nice (65), Girondins de Bordeaux (68)")</f>
        <v>OGC Nice (65), Girondins de Bordeaux (68)</v>
      </c>
      <c r="E35">
        <f>IFERROR(__xludf.DUMMYFUNCTION("""COMPUTED_VALUE"""),258.0)</f>
        <v>258</v>
      </c>
      <c r="F35">
        <f>IFERROR(__xludf.DUMMYFUNCTION("""COMPUTED_VALUE"""),0.52)</f>
        <v>0.52</v>
      </c>
      <c r="G35" t="str">
        <f>IFERROR(__xludf.DUMMYFUNCTION("""COMPUTED_VALUE"""),"*133*")</f>
        <v>*133*</v>
      </c>
    </row>
    <row r="36">
      <c r="A36">
        <f>IFERROR(__xludf.DUMMYFUNCTION("""COMPUTED_VALUE"""),35.0)</f>
        <v>35</v>
      </c>
      <c r="B36" t="str">
        <f>IFERROR(__xludf.DUMMYFUNCTION("""COMPUTED_VALUE"""),"Jacques Foix")</f>
        <v>Jacques Foix</v>
      </c>
      <c r="C36" t="str">
        <f>IFERROR(__xludf.DUMMYFUNCTION("""COMPUTED_VALUE"""),"1951-1964")</f>
        <v>1951-1964</v>
      </c>
      <c r="D36" t="str">
        <f>IFERROR(__xludf.DUMMYFUNCTION("""COMPUTED_VALUE"""),"RC Paris (24), AS Saint-Étienne (54), OGC Nice (50), Toulouse FC (1937-1967) 
(4)")</f>
        <v>RC Paris (24), AS Saint-Étienne (54), OGC Nice (50), Toulouse FC (1937-1967) 
(4)</v>
      </c>
      <c r="E36">
        <f>IFERROR(__xludf.DUMMYFUNCTION("""COMPUTED_VALUE"""),361.0)</f>
        <v>361</v>
      </c>
      <c r="F36">
        <f>IFERROR(__xludf.DUMMYFUNCTION("""COMPUTED_VALUE"""),0.37)</f>
        <v>0.37</v>
      </c>
      <c r="G36" t="str">
        <f>IFERROR(__xludf.DUMMYFUNCTION("""COMPUTED_VALUE"""),"*132*")</f>
        <v>*132*</v>
      </c>
    </row>
    <row r="37">
      <c r="B37" t="str">
        <f>IFERROR(__xludf.DUMMYFUNCTION("""COMPUTED_VALUE"""),"Yannick Stopyra")</f>
        <v>Yannick Stopyra</v>
      </c>
      <c r="C37" t="str">
        <f>IFERROR(__xludf.DUMMYFUNCTION("""COMPUTED_VALUE"""),"1977-1992")</f>
        <v>1977-1992</v>
      </c>
      <c r="D37" t="str">
        <f>IFERROR(__xludf.DUMMYFUNCTION("""COMPUTED_VALUE"""),"FC Sochaux-Montbéliard (57), Stade rennais (10), Toulouse FC (46), Girondins 
de Bordeaux (8), AS Cannes (9), FC Metz (2)")</f>
        <v>FC Sochaux-Montbéliard (57), Stade rennais (10), Toulouse FC (46), Girondins 
de Bordeaux (8), AS Cannes (9), FC Metz (2)</v>
      </c>
      <c r="E37">
        <f>IFERROR(__xludf.DUMMYFUNCTION("""COMPUTED_VALUE"""),456.0)</f>
        <v>456</v>
      </c>
      <c r="F37">
        <f>IFERROR(__xludf.DUMMYFUNCTION("""COMPUTED_VALUE"""),0.29)</f>
        <v>0.29</v>
      </c>
      <c r="G37" t="str">
        <f>IFERROR(__xludf.DUMMYFUNCTION("""COMPUTED_VALUE"""),"*132*")</f>
        <v>*132*</v>
      </c>
    </row>
    <row r="38">
      <c r="A38">
        <f>IFERROR(__xludf.DUMMYFUNCTION("""COMPUTED_VALUE"""),37.0)</f>
        <v>37</v>
      </c>
      <c r="B38" t="str">
        <f>IFERROR(__xludf.DUMMYFUNCTION("""COMPUTED_VALUE"""),"Bernard Zénier")</f>
        <v>Bernard Zénier</v>
      </c>
      <c r="C38" t="str">
        <f>IFERROR(__xludf.DUMMYFUNCTION("""COMPUTED_VALUE"""),"1974-1991")</f>
        <v>1974-1991</v>
      </c>
      <c r="D38" t="str">
        <f>IFERROR(__xludf.DUMMYFUNCTION("""COMPUTED_VALUE"""),"FC Metz (55), AS Nancy-Lorraine (53), Girondins de Bordeaux (4), Olympique 
de Marseille (18)")</f>
        <v>FC Metz (55), AS Nancy-Lorraine (53), Girondins de Bordeaux (4), Olympique 
de Marseille (18)</v>
      </c>
      <c r="E38">
        <f>IFERROR(__xludf.DUMMYFUNCTION("""COMPUTED_VALUE"""),466.0)</f>
        <v>466</v>
      </c>
      <c r="F38">
        <f>IFERROR(__xludf.DUMMYFUNCTION("""COMPUTED_VALUE"""),0.28)</f>
        <v>0.28</v>
      </c>
      <c r="G38" t="str">
        <f>IFERROR(__xludf.DUMMYFUNCTION("""COMPUTED_VALUE"""),"*130*")</f>
        <v>*130*</v>
      </c>
    </row>
    <row r="39">
      <c r="A39">
        <f>IFERROR(__xludf.DUMMYFUNCTION("""COMPUTED_VALUE"""),38.0)</f>
        <v>38</v>
      </c>
      <c r="B39" t="str">
        <f>IFERROR(__xludf.DUMMYFUNCTION("""COMPUTED_VALUE"""),"François M'Pelé")</f>
        <v>François M'Pelé</v>
      </c>
      <c r="C39" t="str">
        <f>IFERROR(__xludf.DUMMYFUNCTION("""COMPUTED_VALUE"""),"1969-1981")</f>
        <v>1969-1981</v>
      </c>
      <c r="D39" t="str">
        <f>IFERROR(__xludf.DUMMYFUNCTION("""COMPUTED_VALUE"""),"AC Ajaccio (57), Paris Saint-Germain (60), RC Lens (12)")</f>
        <v>AC Ajaccio (57), Paris Saint-Germain (60), RC Lens (12)</v>
      </c>
      <c r="E39">
        <f>IFERROR(__xludf.DUMMYFUNCTION("""COMPUTED_VALUE"""),350.0)</f>
        <v>350</v>
      </c>
      <c r="F39">
        <f>IFERROR(__xludf.DUMMYFUNCTION("""COMPUTED_VALUE"""),0.37)</f>
        <v>0.37</v>
      </c>
      <c r="G39" t="str">
        <f>IFERROR(__xludf.DUMMYFUNCTION("""COMPUTED_VALUE"""),"*129*")</f>
        <v>*129*</v>
      </c>
    </row>
    <row r="40">
      <c r="B40" t="str">
        <f>IFERROR(__xludf.DUMMYFUNCTION("""COMPUTED_VALUE"""),"Gérard Soler")</f>
        <v>Gérard Soler</v>
      </c>
      <c r="C40" t="str">
        <f>IFERROR(__xludf.DUMMYFUNCTION("""COMPUTED_VALUE"""),"1972-1987")</f>
        <v>1972-1987</v>
      </c>
      <c r="D40" t="str">
        <f>IFERROR(__xludf.DUMMYFUNCTION("""COMPUTED_VALUE"""),"FC Sochaux-Montbéliard (67), AS Monaco (9), Girondins de Bordeaux (16), Toulouse 
FC (19), RC Strasbourg (6), SC Bastia (6), LOSC Lille (5), Stade rennais (1)")</f>
        <v>FC Sochaux-Montbéliard (67), AS Monaco (9), Girondins de Bordeaux (16), Toulouse 
FC (19), RC Strasbourg (6), SC Bastia (6), LOSC Lille (5), Stade rennais (1)</v>
      </c>
      <c r="E40">
        <f>IFERROR(__xludf.DUMMYFUNCTION("""COMPUTED_VALUE"""),428.0)</f>
        <v>428</v>
      </c>
      <c r="F40">
        <f>IFERROR(__xludf.DUMMYFUNCTION("""COMPUTED_VALUE"""),0.3)</f>
        <v>0.3</v>
      </c>
      <c r="G40" t="str">
        <f>IFERROR(__xludf.DUMMYFUNCTION("""COMPUTED_VALUE"""),"*129*")</f>
        <v>*129*</v>
      </c>
    </row>
    <row r="41">
      <c r="A41">
        <f>IFERROR(__xludf.DUMMYFUNCTION("""COMPUTED_VALUE"""),40.0)</f>
        <v>40</v>
      </c>
      <c r="B41" t="str">
        <f>IFERROR(__xludf.DUMMYFUNCTION("""COMPUTED_VALUE"""),"Alberto Muro")</f>
        <v>Alberto Muro</v>
      </c>
      <c r="C41" t="str">
        <f>IFERROR(__xludf.DUMMYFUNCTION("""COMPUTED_VALUE"""),"1951-1962")</f>
        <v>1951-1962</v>
      </c>
      <c r="D41" t="str">
        <f>IFERROR(__xludf.DUMMYFUNCTION("""COMPUTED_VALUE"""),"FC Sochaux-Montbéliard (57), OGC Nice (43), FC Nancy (28)")</f>
        <v>FC Sochaux-Montbéliard (57), OGC Nice (43), FC Nancy (28)</v>
      </c>
      <c r="E41">
        <f>IFERROR(__xludf.DUMMYFUNCTION("""COMPUTED_VALUE"""),269.0)</f>
        <v>269</v>
      </c>
      <c r="F41">
        <f>IFERROR(__xludf.DUMMYFUNCTION("""COMPUTED_VALUE"""),0.48)</f>
        <v>0.48</v>
      </c>
      <c r="G41" t="str">
        <f>IFERROR(__xludf.DUMMYFUNCTION("""COMPUTED_VALUE"""),"*128*")</f>
        <v>*128*</v>
      </c>
    </row>
    <row r="42">
      <c r="A42">
        <f>IFERROR(__xludf.DUMMYFUNCTION("""COMPUTED_VALUE"""),41.0)</f>
        <v>41</v>
      </c>
      <c r="B42" t="str">
        <f>IFERROR(__xludf.DUMMYFUNCTION("""COMPUTED_VALUE"""),"Jean Grumellon")</f>
        <v>Jean Grumellon</v>
      </c>
      <c r="C42" t="str">
        <f>IFERROR(__xludf.DUMMYFUNCTION("""COMPUTED_VALUE"""),"1947-1954")</f>
        <v>1947-1954</v>
      </c>
      <c r="D42" t="str">
        <f>IFERROR(__xludf.DUMMYFUNCTION("""COMPUTED_VALUE"""),"Stade rennais (107), OGC Nice (5), Le Havre AC (14)")</f>
        <v>Stade rennais (107), OGC Nice (5), Le Havre AC (14)</v>
      </c>
      <c r="E42">
        <f>IFERROR(__xludf.DUMMYFUNCTION("""COMPUTED_VALUE"""),203.0)</f>
        <v>203</v>
      </c>
      <c r="F42">
        <f>IFERROR(__xludf.DUMMYFUNCTION("""COMPUTED_VALUE"""),0.62)</f>
        <v>0.62</v>
      </c>
      <c r="G42" t="str">
        <f>IFERROR(__xludf.DUMMYFUNCTION("""COMPUTED_VALUE"""),"*126*")</f>
        <v>*126*</v>
      </c>
    </row>
    <row r="43">
      <c r="B43" t="str">
        <f>IFERROR(__xludf.DUMMYFUNCTION("""COMPUTED_VALUE"""),"Lilian Laslandes")</f>
        <v>Lilian Laslandes</v>
      </c>
      <c r="C43" t="str">
        <f>IFERROR(__xludf.DUMMYFUNCTION("""COMPUTED_VALUE"""),"1992-2008")</f>
        <v>1992-2008</v>
      </c>
      <c r="D43" t="str">
        <f>IFERROR(__xludf.DUMMYFUNCTION("""COMPUTED_VALUE"""),"AJ Auxerre (47), Girondins de Bordeaux (56), SC Bastia (8), OGC Nice (15)")</f>
        <v>AJ Auxerre (47), Girondins de Bordeaux (56), SC Bastia (8), OGC Nice (15)</v>
      </c>
      <c r="E43">
        <f>IFERROR(__xludf.DUMMYFUNCTION("""COMPUTED_VALUE"""),407.0)</f>
        <v>407</v>
      </c>
      <c r="F43">
        <f>IFERROR(__xludf.DUMMYFUNCTION("""COMPUTED_VALUE"""),0.31)</f>
        <v>0.31</v>
      </c>
      <c r="G43" t="str">
        <f>IFERROR(__xludf.DUMMYFUNCTION("""COMPUTED_VALUE"""),"*126*")</f>
        <v>*126*</v>
      </c>
    </row>
    <row r="44">
      <c r="A44">
        <f>IFERROR(__xludf.DUMMYFUNCTION("""COMPUTED_VALUE"""),43.0)</f>
        <v>43</v>
      </c>
      <c r="B44" t="str">
        <f>IFERROR(__xludf.DUMMYFUNCTION("""COMPUTED_VALUE"""),"Joseph Yegba Maya")</f>
        <v>Joseph Yegba Maya</v>
      </c>
      <c r="C44" t="str">
        <f>IFERROR(__xludf.DUMMYFUNCTION("""COMPUTED_VALUE"""),"1962-1975")</f>
        <v>1962-1975</v>
      </c>
      <c r="D44" t="str">
        <f>IFERROR(__xludf.DUMMYFUNCTION("""COMPUTED_VALUE"""),"Olympique de Marseille (79), Valenciennes FC (33), RC Strasbourg (12)")</f>
        <v>Olympique de Marseille (79), Valenciennes FC (33), RC Strasbourg (12)</v>
      </c>
      <c r="E44">
        <f>IFERROR(__xludf.DUMMYFUNCTION("""COMPUTED_VALUE"""),238.0)</f>
        <v>238</v>
      </c>
      <c r="F44">
        <f>IFERROR(__xludf.DUMMYFUNCTION("""COMPUTED_VALUE"""),0.52)</f>
        <v>0.52</v>
      </c>
      <c r="G44" t="str">
        <f>IFERROR(__xludf.DUMMYFUNCTION("""COMPUTED_VALUE"""),"*124*")</f>
        <v>*124*</v>
      </c>
    </row>
    <row r="45">
      <c r="A45">
        <f>IFERROR(__xludf.DUMMYFUNCTION("""COMPUTED_VALUE"""),44.0)</f>
        <v>44</v>
      </c>
      <c r="B45" t="str">
        <f>IFERROR(__xludf.DUMMYFUNCTION("""COMPUTED_VALUE"""),"Bafétimbi Gomis")</f>
        <v>Bafétimbi Gomis</v>
      </c>
      <c r="C45" t="str">
        <f>IFERROR(__xludf.DUMMYFUNCTION("""COMPUTED_VALUE"""),"2004-2017")</f>
        <v>2004-2017</v>
      </c>
      <c r="D45" t="str">
        <f>IFERROR(__xludf.DUMMYFUNCTION("""COMPUTED_VALUE"""),"AS Saint-Étienne (38), Olympique lyonnais (64), Olympique de Marseille (20)")</f>
        <v>AS Saint-Étienne (38), Olympique lyonnais (64), Olympique de Marseille (20)</v>
      </c>
      <c r="E45">
        <f>IFERROR(__xludf.DUMMYFUNCTION("""COMPUTED_VALUE"""),340.0)</f>
        <v>340</v>
      </c>
      <c r="F45">
        <f>IFERROR(__xludf.DUMMYFUNCTION("""COMPUTED_VALUE"""),0.36)</f>
        <v>0.36</v>
      </c>
      <c r="G45" t="str">
        <f>IFERROR(__xludf.DUMMYFUNCTION("""COMPUTED_VALUE"""),"*122*")</f>
        <v>*122*</v>
      </c>
    </row>
    <row r="46">
      <c r="A46">
        <f>IFERROR(__xludf.DUMMYFUNCTION("""COMPUTED_VALUE"""),45.0)</f>
        <v>45</v>
      </c>
      <c r="B46" t="str">
        <f>IFERROR(__xludf.DUMMYFUNCTION("""COMPUTED_VALUE"""),"Henri Baillot")</f>
        <v>Henri Baillot</v>
      </c>
      <c r="C46" t="str">
        <f>IFERROR(__xludf.DUMMYFUNCTION("""COMPUTED_VALUE"""),"1945-1954")</f>
        <v>1945-1954</v>
      </c>
      <c r="D46" t="str">
        <f>IFERROR(__xludf.DUMMYFUNCTION("""COMPUTED_VALUE"""),"FC Metz (80), Girondins de Bordeaux (35), RC Strasbourg (6)")</f>
        <v>FC Metz (80), Girondins de Bordeaux (35), RC Strasbourg (6)</v>
      </c>
      <c r="E46">
        <f>IFERROR(__xludf.DUMMYFUNCTION("""COMPUTED_VALUE"""),241.0)</f>
        <v>241</v>
      </c>
      <c r="F46">
        <f>IFERROR(__xludf.DUMMYFUNCTION("""COMPUTED_VALUE"""),0.5)</f>
        <v>0.5</v>
      </c>
      <c r="G46" t="str">
        <f>IFERROR(__xludf.DUMMYFUNCTION("""COMPUTED_VALUE"""),"*121*")</f>
        <v>*121*</v>
      </c>
    </row>
    <row r="47">
      <c r="B47" t="str">
        <f>IFERROR(__xludf.DUMMYFUNCTION("""COMPUTED_VALUE"""),"Ernest Schultz")</f>
        <v>Ernest Schultz</v>
      </c>
      <c r="C47" t="str">
        <f>IFERROR(__xludf.DUMMYFUNCTION("""COMPUTED_VALUE"""),"1954-1963")</f>
        <v>1954-1963</v>
      </c>
      <c r="D47" t="str">
        <f>IFERROR(__xludf.DUMMYFUNCTION("""COMPUTED_VALUE"""),"Olympique lyonnais (35), Toulouse FC (1937-1967) (86)")</f>
        <v>Olympique lyonnais (35), Toulouse FC (1937-1967) (86)</v>
      </c>
      <c r="E47">
        <f>IFERROR(__xludf.DUMMYFUNCTION("""COMPUTED_VALUE"""),275.0)</f>
        <v>275</v>
      </c>
      <c r="F47">
        <f>IFERROR(__xludf.DUMMYFUNCTION("""COMPUTED_VALUE"""),0.44)</f>
        <v>0.44</v>
      </c>
      <c r="G47" t="str">
        <f>IFERROR(__xludf.DUMMYFUNCTION("""COMPUTED_VALUE"""),"*121*")</f>
        <v>*121*</v>
      </c>
    </row>
    <row r="48">
      <c r="B48" t="str">
        <f>IFERROR(__xludf.DUMMYFUNCTION("""COMPUTED_VALUE"""),"René Gardien")</f>
        <v>René Gardien</v>
      </c>
      <c r="C48" t="str">
        <f>IFERROR(__xludf.DUMMYFUNCTION("""COMPUTED_VALUE"""),"1947-1959")</f>
        <v>1947-1959</v>
      </c>
      <c r="D48" t="str">
        <f>IFERROR(__xludf.DUMMYFUNCTION("""COMPUTED_VALUE"""),"FC Sochaux-Montbéliard (121)")</f>
        <v>FC Sochaux-Montbéliard (121)</v>
      </c>
      <c r="E48">
        <f>IFERROR(__xludf.DUMMYFUNCTION("""COMPUTED_VALUE"""),358.0)</f>
        <v>358</v>
      </c>
      <c r="F48">
        <f>IFERROR(__xludf.DUMMYFUNCTION("""COMPUTED_VALUE"""),0.34)</f>
        <v>0.34</v>
      </c>
      <c r="G48" t="str">
        <f>IFERROR(__xludf.DUMMYFUNCTION("""COMPUTED_VALUE"""),"*121*")</f>
        <v>*121*</v>
      </c>
    </row>
    <row r="49">
      <c r="A49">
        <f>IFERROR(__xludf.DUMMYFUNCTION("""COMPUTED_VALUE"""),48.0)</f>
        <v>48</v>
      </c>
      <c r="B49" t="str">
        <f>IFERROR(__xludf.DUMMYFUNCTION("""COMPUTED_VALUE"""),"François Félix")</f>
        <v>François Félix</v>
      </c>
      <c r="C49" t="str">
        <f>IFERROR(__xludf.DUMMYFUNCTION("""COMPUTED_VALUE"""),"1968-1981")</f>
        <v>1968-1981</v>
      </c>
      <c r="D49" t="str">
        <f>IFERROR(__xludf.DUMMYFUNCTION("""COMPUTED_VALUE"""),"Olympique lyonnais (5), SC Bastia (63), Paris FC (19), Nîmes Olympique 
(10), Angers SCO (22), AJ Auxerre (1)")</f>
        <v>Olympique lyonnais (5), SC Bastia (63), Paris FC (19), Nîmes Olympique 
(10), Angers SCO (22), AJ Auxerre (1)</v>
      </c>
      <c r="E49">
        <f>IFERROR(__xludf.DUMMYFUNCTION("""COMPUTED_VALUE"""),341.0)</f>
        <v>341</v>
      </c>
      <c r="F49">
        <f>IFERROR(__xludf.DUMMYFUNCTION("""COMPUTED_VALUE"""),0.35)</f>
        <v>0.35</v>
      </c>
      <c r="G49" t="str">
        <f>IFERROR(__xludf.DUMMYFUNCTION("""COMPUTED_VALUE"""),"*120*")</f>
        <v>*120*</v>
      </c>
    </row>
    <row r="50">
      <c r="B50" t="str">
        <f>IFERROR(__xludf.DUMMYFUNCTION("""COMPUTED_VALUE"""),"Serge Chiesa")</f>
        <v>Serge Chiesa</v>
      </c>
      <c r="C50" t="str">
        <f>IFERROR(__xludf.DUMMYFUNCTION("""COMPUTED_VALUE"""),"1969-1983")</f>
        <v>1969-1983</v>
      </c>
      <c r="D50" t="str">
        <f>IFERROR(__xludf.DUMMYFUNCTION("""COMPUTED_VALUE"""),"Olympique lyonnais (120)")</f>
        <v>Olympique lyonnais (120)</v>
      </c>
      <c r="E50">
        <f>IFERROR(__xludf.DUMMYFUNCTION("""COMPUTED_VALUE"""),475.0)</f>
        <v>475</v>
      </c>
      <c r="F50">
        <f>IFERROR(__xludf.DUMMYFUNCTION("""COMPUTED_VALUE"""),0.25)</f>
        <v>0.25</v>
      </c>
      <c r="G50" t="str">
        <f>IFERROR(__xludf.DUMMYFUNCTION("""COMPUTED_VALUE"""),"*120*")</f>
        <v>*120*</v>
      </c>
    </row>
    <row r="51">
      <c r="A51">
        <f>IFERROR(__xludf.DUMMYFUNCTION("""COMPUTED_VALUE"""),50.0)</f>
        <v>50</v>
      </c>
      <c r="B51" t="str">
        <f>IFERROR(__xludf.DUMMYFUNCTION("""COMPUTED_VALUE"""),"André Simonyi")</f>
        <v>André Simonyi</v>
      </c>
      <c r="C51" t="str">
        <f>IFERROR(__xludf.DUMMYFUNCTION("""COMPUTED_VALUE"""),"1933-1953")</f>
        <v>1933-1953</v>
      </c>
      <c r="D51" t="str">
        <f>IFERROR(__xludf.DUMMYFUNCTION("""COMPUTED_VALUE"""),"Olympique lillois (37), FC Sochaux-Montbéliard (8), Red Star (47), Stade 
rennais (13), Stade Français (9), CO Roubaix-Tourcoing (5)")</f>
        <v>Olympique lillois (37), FC Sochaux-Montbéliard (8), Red Star (47), Stade 
rennais (13), Stade Français (9), CO Roubaix-Tourcoing (5)</v>
      </c>
      <c r="E51">
        <f>IFERROR(__xludf.DUMMYFUNCTION("""COMPUTED_VALUE"""),185.0)</f>
        <v>185</v>
      </c>
      <c r="F51">
        <f>IFERROR(__xludf.DUMMYFUNCTION("""COMPUTED_VALUE"""),0.64)</f>
        <v>0.64</v>
      </c>
      <c r="G51" t="str">
        <f>IFERROR(__xludf.DUMMYFUNCTION("""COMPUTED_VALUE"""),"*119*")</f>
        <v>*119*</v>
      </c>
    </row>
    <row r="52">
      <c r="B52" t="str">
        <f>IFERROR(__xludf.DUMMYFUNCTION("""COMPUTED_VALUE"""),"Jean Vincent")</f>
        <v>Jean Vincent</v>
      </c>
      <c r="C52" t="str">
        <f>IFERROR(__xludf.DUMMYFUNCTION("""COMPUTED_VALUE"""),"1950-1964")</f>
        <v>1950-1964</v>
      </c>
      <c r="D52" t="str">
        <f>IFERROR(__xludf.DUMMYFUNCTION("""COMPUTED_VALUE"""),"LOSC Lille (51), Stade de Reims (68)")</f>
        <v>LOSC Lille (51), Stade de Reims (68)</v>
      </c>
      <c r="E52">
        <f>IFERROR(__xludf.DUMMYFUNCTION("""COMPUTED_VALUE"""),421.0)</f>
        <v>421</v>
      </c>
      <c r="F52">
        <f>IFERROR(__xludf.DUMMYFUNCTION("""COMPUTED_VALUE"""),0.28)</f>
        <v>0.28</v>
      </c>
      <c r="G52" t="str">
        <f>IFERROR(__xludf.DUMMYFUNCTION("""COMPUTED_VALUE"""),"*119*")</f>
        <v>*119*</v>
      </c>
    </row>
    <row r="53">
      <c r="A53">
        <f>IFERROR(__xludf.DUMMYFUNCTION("""COMPUTED_VALUE"""),52.0)</f>
        <v>52</v>
      </c>
      <c r="B53" t="str">
        <f>IFERROR(__xludf.DUMMYFUNCTION("""COMPUTED_VALUE"""),"Oskar Rohr")</f>
        <v>Oskar Rohr</v>
      </c>
      <c r="C53" t="str">
        <f>IFERROR(__xludf.DUMMYFUNCTION("""COMPUTED_VALUE"""),"1934-1939")</f>
        <v>1934-1939</v>
      </c>
      <c r="D53" t="str">
        <f>IFERROR(__xludf.DUMMYFUNCTION("""COMPUTED_VALUE"""),"RC Strasbourg (118)")</f>
        <v>RC Strasbourg (118)</v>
      </c>
      <c r="E53">
        <f>IFERROR(__xludf.DUMMYFUNCTION("""COMPUTED_VALUE"""),136.0)</f>
        <v>136</v>
      </c>
      <c r="F53">
        <f>IFERROR(__xludf.DUMMYFUNCTION("""COMPUTED_VALUE"""),0.87)</f>
        <v>0.87</v>
      </c>
      <c r="G53" t="str">
        <f>IFERROR(__xludf.DUMMYFUNCTION("""COMPUTED_VALUE"""),"*118*")</f>
        <v>*118*</v>
      </c>
    </row>
    <row r="54">
      <c r="A54">
        <f>IFERROR(__xludf.DUMMYFUNCTION("""COMPUTED_VALUE"""),53.0)</f>
        <v>53</v>
      </c>
      <c r="B54" t="str">
        <f>IFERROR(__xludf.DUMMYFUNCTION("""COMPUTED_VALUE"""),"Nestor Combin")</f>
        <v>Nestor Combin</v>
      </c>
      <c r="C54" t="str">
        <f>IFERROR(__xludf.DUMMYFUNCTION("""COMPUTED_VALUE"""),"1959-1975")</f>
        <v>1959-1975</v>
      </c>
      <c r="D54" t="str">
        <f>IFERROR(__xludf.DUMMYFUNCTION("""COMPUTED_VALUE"""),"Olympique lyonnais (68), FC Metz (34), Red Star (15)")</f>
        <v>Olympique lyonnais (68), FC Metz (34), Red Star (15)</v>
      </c>
      <c r="E54">
        <f>IFERROR(__xludf.DUMMYFUNCTION("""COMPUTED_VALUE"""),221.0)</f>
        <v>221</v>
      </c>
      <c r="F54">
        <f>IFERROR(__xludf.DUMMYFUNCTION("""COMPUTED_VALUE"""),0.53)</f>
        <v>0.53</v>
      </c>
      <c r="G54" t="str">
        <f>IFERROR(__xludf.DUMMYFUNCTION("""COMPUTED_VALUE"""),"*117*")</f>
        <v>*117*</v>
      </c>
    </row>
    <row r="55">
      <c r="B55" t="str">
        <f>IFERROR(__xludf.DUMMYFUNCTION("""COMPUTED_VALUE"""),"Didier Couécou")</f>
        <v>Didier Couécou</v>
      </c>
      <c r="C55" t="str">
        <f>IFERROR(__xludf.DUMMYFUNCTION("""COMPUTED_VALUE"""),"1963-1976")</f>
        <v>1963-1976</v>
      </c>
      <c r="D55" t="str">
        <f>IFERROR(__xludf.DUMMYFUNCTION("""COMPUTED_VALUE"""),"Girondins de Bordeaux (75), Olympique de Marseille (28), FC Nantes (14)")</f>
        <v>Girondins de Bordeaux (75), Olympique de Marseille (28), FC Nantes (14)</v>
      </c>
      <c r="E55">
        <f>IFERROR(__xludf.DUMMYFUNCTION("""COMPUTED_VALUE"""),308.0)</f>
        <v>308</v>
      </c>
      <c r="F55">
        <f>IFERROR(__xludf.DUMMYFUNCTION("""COMPUTED_VALUE"""),0.38)</f>
        <v>0.38</v>
      </c>
      <c r="G55" t="str">
        <f>IFERROR(__xludf.DUMMYFUNCTION("""COMPUTED_VALUE"""),"*117*")</f>
        <v>*117*</v>
      </c>
    </row>
    <row r="56">
      <c r="B56" t="str">
        <f>IFERROR(__xludf.DUMMYFUNCTION("""COMPUTED_VALUE"""),"Bernard Genghini")</f>
        <v>Bernard Genghini</v>
      </c>
      <c r="C56" t="str">
        <f>IFERROR(__xludf.DUMMYFUNCTION("""COMPUTED_VALUE"""),"1976-1989")</f>
        <v>1976-1989</v>
      </c>
      <c r="D56" t="str">
        <f>IFERROR(__xludf.DUMMYFUNCTION("""COMPUTED_VALUE"""),"FC Sochaux-Montbéliard (60), AS Saint-Étienne (8), AS Monaco (45), Olympique 
de Marseille (3), Girondins de Bordeaux (1)")</f>
        <v>FC Sochaux-Montbéliard (60), AS Saint-Étienne (8), AS Monaco (45), Olympique 
de Marseille (3), Girondins de Bordeaux (1)</v>
      </c>
      <c r="E56">
        <f>IFERROR(__xludf.DUMMYFUNCTION("""COMPUTED_VALUE"""),363.0)</f>
        <v>363</v>
      </c>
      <c r="F56">
        <f>IFERROR(__xludf.DUMMYFUNCTION("""COMPUTED_VALUE"""),0.32)</f>
        <v>0.32</v>
      </c>
      <c r="G56" t="str">
        <f>IFERROR(__xludf.DUMMYFUNCTION("""COMPUTED_VALUE"""),"*117*")</f>
        <v>*117*</v>
      </c>
    </row>
    <row r="57">
      <c r="B57" t="str">
        <f>IFERROR(__xludf.DUMMYFUNCTION("""COMPUTED_VALUE"""),"Georges Lech")</f>
        <v>Georges Lech</v>
      </c>
      <c r="C57" t="str">
        <f>IFERROR(__xludf.DUMMYFUNCTION("""COMPUTED_VALUE"""),"1962-1976")</f>
        <v>1962-1976</v>
      </c>
      <c r="D57" t="str">
        <f>IFERROR(__xludf.DUMMYFUNCTION("""COMPUTED_VALUE"""),"RC Lens (71), FC Sochaux-Montbéliard (39), Stade de Reims (7)")</f>
        <v>RC Lens (71), FC Sochaux-Montbéliard (39), Stade de Reims (7)</v>
      </c>
      <c r="E57">
        <f>IFERROR(__xludf.DUMMYFUNCTION("""COMPUTED_VALUE"""),379.0)</f>
        <v>379</v>
      </c>
      <c r="F57">
        <f>IFERROR(__xludf.DUMMYFUNCTION("""COMPUTED_VALUE"""),0.31)</f>
        <v>0.31</v>
      </c>
      <c r="G57" t="str">
        <f>IFERROR(__xludf.DUMMYFUNCTION("""COMPUTED_VALUE"""),"*117*")</f>
        <v>*117*</v>
      </c>
    </row>
    <row r="58">
      <c r="B58" t="str">
        <f>IFERROR(__xludf.DUMMYFUNCTION("""COMPUTED_VALUE"""),"Dominique Rustichelli")</f>
        <v>Dominique Rustichelli</v>
      </c>
      <c r="C58" t="str">
        <f>IFERROR(__xludf.DUMMYFUNCTION("""COMPUTED_VALUE"""),"1952-1970")</f>
        <v>1952-1970</v>
      </c>
      <c r="D58" t="str">
        <f>IFERROR(__xludf.DUMMYFUNCTION("""COMPUTED_VALUE"""),"Olympique de Marseille (33), CS Sedan Ardennes (12), RC Strasbourg (3), Stade 
de Reims (5), OGC Nice (28), Stade Français (15), LOSC Lille (0), FC Rouen 
(21)")</f>
        <v>Olympique de Marseille (33), CS Sedan Ardennes (12), RC Strasbourg (3), Stade 
de Reims (5), OGC Nice (28), Stade Français (15), LOSC Lille (0), FC Rouen 
(21)</v>
      </c>
      <c r="E58">
        <f>IFERROR(__xludf.DUMMYFUNCTION("""COMPUTED_VALUE"""),459.0)</f>
        <v>459</v>
      </c>
      <c r="F58">
        <f>IFERROR(__xludf.DUMMYFUNCTION("""COMPUTED_VALUE"""),0.25)</f>
        <v>0.25</v>
      </c>
      <c r="G58" t="str">
        <f>IFERROR(__xludf.DUMMYFUNCTION("""COMPUTED_VALUE"""),"*117*")</f>
        <v>*117*</v>
      </c>
    </row>
    <row r="59">
      <c r="A59">
        <f>IFERROR(__xludf.DUMMYFUNCTION("""COMPUTED_VALUE"""),58.0)</f>
        <v>58</v>
      </c>
      <c r="B59" t="str">
        <f>IFERROR(__xludf.DUMMYFUNCTION("""COMPUTED_VALUE"""),"Ginès Liron")</f>
        <v>Ginès Liron</v>
      </c>
      <c r="C59" t="str">
        <f>IFERROR(__xludf.DUMMYFUNCTION("""COMPUTED_VALUE"""),"1954-1965")</f>
        <v>1954-1965</v>
      </c>
      <c r="D59" t="str">
        <f>IFERROR(__xludf.DUMMYFUNCTION("""COMPUTED_VALUE"""),"Nîmes Olympique (21), FC Sochaux-Montbéliard (29), Valenciennes FC (18), AS 
Saint-Étienne (48)")</f>
        <v>Nîmes Olympique (21), FC Sochaux-Montbéliard (29), Valenciennes FC (18), AS 
Saint-Étienne (48)</v>
      </c>
      <c r="E59">
        <f>IFERROR(__xludf.DUMMYFUNCTION("""COMPUTED_VALUE"""),239.0)</f>
        <v>239</v>
      </c>
      <c r="F59">
        <f>IFERROR(__xludf.DUMMYFUNCTION("""COMPUTED_VALUE"""),0.49)</f>
        <v>0.49</v>
      </c>
      <c r="G59" t="str">
        <f>IFERROR(__xludf.DUMMYFUNCTION("""COMPUTED_VALUE"""),"*116*")</f>
        <v>*116*</v>
      </c>
    </row>
    <row r="60">
      <c r="A60">
        <f>IFERROR(__xludf.DUMMYFUNCTION("""COMPUTED_VALUE"""),59.0)</f>
        <v>59</v>
      </c>
      <c r="B60" t="str">
        <f>IFERROR(__xludf.DUMMYFUNCTION("""COMPUTED_VALUE"""),"Pierre Sinibaldi")</f>
        <v>Pierre Sinibaldi</v>
      </c>
      <c r="C60" t="str">
        <f>IFERROR(__xludf.DUMMYFUNCTION("""COMPUTED_VALUE"""),"1945-1954")</f>
        <v>1945-1954</v>
      </c>
      <c r="D60" t="str">
        <f>IFERROR(__xludf.DUMMYFUNCTION("""COMPUTED_VALUE"""),"Stade de Reims (115), Olympique lyonnais (0)")</f>
        <v>Stade de Reims (115), Olympique lyonnais (0)</v>
      </c>
      <c r="E60">
        <f>IFERROR(__xludf.DUMMYFUNCTION("""COMPUTED_VALUE"""),189.0)</f>
        <v>189</v>
      </c>
      <c r="F60">
        <f>IFERROR(__xludf.DUMMYFUNCTION("""COMPUTED_VALUE"""),0.61)</f>
        <v>0.61</v>
      </c>
      <c r="G60" t="str">
        <f>IFERROR(__xludf.DUMMYFUNCTION("""COMPUTED_VALUE"""),"*115*")</f>
        <v>*115*</v>
      </c>
    </row>
    <row r="61">
      <c r="A61">
        <f>IFERROR(__xludf.DUMMYFUNCTION("""COMPUTED_VALUE"""),60.0)</f>
        <v>60</v>
      </c>
      <c r="B61" t="str">
        <f>IFERROR(__xludf.DUMMYFUNCTION("""COMPUTED_VALUE"""),"Zlatan Ibrahimović")</f>
        <v>Zlatan Ibrahimović</v>
      </c>
      <c r="C61" t="str">
        <f>IFERROR(__xludf.DUMMYFUNCTION("""COMPUTED_VALUE"""),"2012-2016")</f>
        <v>2012-2016</v>
      </c>
      <c r="D61" t="str">
        <f>IFERROR(__xludf.DUMMYFUNCTION("""COMPUTED_VALUE"""),"Paris Saint-Germain (113)")</f>
        <v>Paris Saint-Germain (113)</v>
      </c>
      <c r="E61">
        <f>IFERROR(__xludf.DUMMYFUNCTION("""COMPUTED_VALUE"""),122.0)</f>
        <v>122</v>
      </c>
      <c r="F61">
        <f>IFERROR(__xludf.DUMMYFUNCTION("""COMPUTED_VALUE"""),0.93)</f>
        <v>0.93</v>
      </c>
      <c r="G61" t="str">
        <f>IFERROR(__xludf.DUMMYFUNCTION("""COMPUTED_VALUE"""),"*113*")</f>
        <v>*113*</v>
      </c>
    </row>
    <row r="62">
      <c r="B62" t="str">
        <f>IFERROR(__xludf.DUMMYFUNCTION("""COMPUTED_VALUE"""),"Charly Loubet")</f>
        <v>Charly Loubet</v>
      </c>
      <c r="C62" t="str">
        <f>IFERROR(__xludf.DUMMYFUNCTION("""COMPUTED_VALUE"""),"1962-1975")</f>
        <v>1962-1975</v>
      </c>
      <c r="D62" t="str">
        <f>IFERROR(__xludf.DUMMYFUNCTION("""COMPUTED_VALUE"""),"Stade Français (5), OGC Nice (77), Olympique de Marseille (31)")</f>
        <v>Stade Français (5), OGC Nice (77), Olympique de Marseille (31)</v>
      </c>
      <c r="E62">
        <f>IFERROR(__xludf.DUMMYFUNCTION("""COMPUTED_VALUE"""),360.0)</f>
        <v>360</v>
      </c>
      <c r="F62">
        <f>IFERROR(__xludf.DUMMYFUNCTION("""COMPUTED_VALUE"""),0.31)</f>
        <v>0.31</v>
      </c>
      <c r="G62" t="str">
        <f>IFERROR(__xludf.DUMMYFUNCTION("""COMPUTED_VALUE"""),"*113*")</f>
        <v>*113*</v>
      </c>
    </row>
    <row r="63">
      <c r="B63" t="str">
        <f>IFERROR(__xludf.DUMMYFUNCTION("""COMPUTED_VALUE"""),"Maryan Wisniewski")</f>
        <v>Maryan Wisniewski</v>
      </c>
      <c r="C63" t="str">
        <f>IFERROR(__xludf.DUMMYFUNCTION("""COMPUTED_VALUE"""),"1953-1969")</f>
        <v>1953-1969</v>
      </c>
      <c r="D63" t="str">
        <f>IFERROR(__xludf.DUMMYFUNCTION("""COMPUTED_VALUE"""),"RC Lens (93), AS Saint-Étienne (12), FC Sochaux-Montbéliard (8)")</f>
        <v>RC Lens (93), AS Saint-Étienne (12), FC Sochaux-Montbéliard (8)</v>
      </c>
      <c r="E63">
        <f>IFERROR(__xludf.DUMMYFUNCTION("""COMPUTED_VALUE"""),415.0)</f>
        <v>415</v>
      </c>
      <c r="F63">
        <f>IFERROR(__xludf.DUMMYFUNCTION("""COMPUTED_VALUE"""),0.27)</f>
        <v>0.27</v>
      </c>
      <c r="G63" t="str">
        <f>IFERROR(__xludf.DUMMYFUNCTION("""COMPUTED_VALUE"""),"*113*")</f>
        <v>*113*</v>
      </c>
    </row>
    <row r="64">
      <c r="A64">
        <f>IFERROR(__xludf.DUMMYFUNCTION("""COMPUTED_VALUE"""),63.0)</f>
        <v>63</v>
      </c>
      <c r="B64" t="str">
        <f>IFERROR(__xludf.DUMMYFUNCTION("""COMPUTED_VALUE"""),"Éric Pécout")</f>
        <v>Éric Pécout</v>
      </c>
      <c r="C64" t="str">
        <f>IFERROR(__xludf.DUMMYFUNCTION("""COMPUTED_VALUE"""),"1974-1986")</f>
        <v>1974-1986</v>
      </c>
      <c r="D64" t="str">
        <f>IFERROR(__xludf.DUMMYFUNCTION("""COMPUTED_VALUE"""),"FC Nantes (73), AS Monaco (17), FC Metz (8), RC Strasbourg (14)")</f>
        <v>FC Nantes (73), AS Monaco (17), FC Metz (8), RC Strasbourg (14)</v>
      </c>
      <c r="E64">
        <f>IFERROR(__xludf.DUMMYFUNCTION("""COMPUTED_VALUE"""),277.0)</f>
        <v>277</v>
      </c>
      <c r="F64">
        <f>IFERROR(__xludf.DUMMYFUNCTION("""COMPUTED_VALUE"""),0.4)</f>
        <v>0.4</v>
      </c>
      <c r="G64" t="str">
        <f>IFERROR(__xludf.DUMMYFUNCTION("""COMPUTED_VALUE"""),"*112*")</f>
        <v>*112*</v>
      </c>
    </row>
    <row r="65">
      <c r="B65" t="str">
        <f>IFERROR(__xludf.DUMMYFUNCTION("""COMPUTED_VALUE"""),"André Strappe")</f>
        <v>André Strappe</v>
      </c>
      <c r="C65" t="str">
        <f>IFERROR(__xludf.DUMMYFUNCTION("""COMPUTED_VALUE"""),"1948-1961")</f>
        <v>1948-1961</v>
      </c>
      <c r="D65" t="str">
        <f>IFERROR(__xludf.DUMMYFUNCTION("""COMPUTED_VALUE"""),"LOSC Lille (99), Le Havre AC (13)")</f>
        <v>LOSC Lille (99), Le Havre AC (13)</v>
      </c>
      <c r="E65">
        <f>IFERROR(__xludf.DUMMYFUNCTION("""COMPUTED_VALUE"""),341.0)</f>
        <v>341</v>
      </c>
      <c r="F65">
        <f>IFERROR(__xludf.DUMMYFUNCTION("""COMPUTED_VALUE"""),0.33)</f>
        <v>0.33</v>
      </c>
      <c r="G65" t="str">
        <f>IFERROR(__xludf.DUMMYFUNCTION("""COMPUTED_VALUE"""),"*112*")</f>
        <v>*112*</v>
      </c>
    </row>
    <row r="66">
      <c r="A66">
        <f>IFERROR(__xludf.DUMMYFUNCTION("""COMPUTED_VALUE"""),65.0)</f>
        <v>65</v>
      </c>
      <c r="B66" t="str">
        <f>IFERROR(__xludf.DUMMYFUNCTION("""COMPUTED_VALUE"""),"Bernard Blanchet")</f>
        <v>Bernard Blanchet</v>
      </c>
      <c r="C66" t="str">
        <f>IFERROR(__xludf.DUMMYFUNCTION("""COMPUTED_VALUE"""),"1963-1974")</f>
        <v>1963-1974</v>
      </c>
      <c r="D66" t="str">
        <f>IFERROR(__xludf.DUMMYFUNCTION("""COMPUTED_VALUE"""),"FC Nantes (111)")</f>
        <v>FC Nantes (111)</v>
      </c>
      <c r="E66">
        <f>IFERROR(__xludf.DUMMYFUNCTION("""COMPUTED_VALUE"""),357.0)</f>
        <v>357</v>
      </c>
      <c r="F66">
        <f>IFERROR(__xludf.DUMMYFUNCTION("""COMPUTED_VALUE"""),0.31)</f>
        <v>0.31</v>
      </c>
      <c r="G66" t="str">
        <f>IFERROR(__xludf.DUMMYFUNCTION("""COMPUTED_VALUE"""),"*111*")</f>
        <v>*111*</v>
      </c>
    </row>
    <row r="67">
      <c r="A67">
        <f>IFERROR(__xludf.DUMMYFUNCTION("""COMPUTED_VALUE"""),66.0)</f>
        <v>66</v>
      </c>
      <c r="B67" t="str">
        <f>IFERROR(__xludf.DUMMYFUNCTION("""COMPUTED_VALUE"""),"Claude Papi")</f>
        <v>Claude Papi</v>
      </c>
      <c r="C67" t="str">
        <f>IFERROR(__xludf.DUMMYFUNCTION("""COMPUTED_VALUE"""),"1968-1982")</f>
        <v>1968-1982</v>
      </c>
      <c r="D67" t="str">
        <f>IFERROR(__xludf.DUMMYFUNCTION("""COMPUTED_VALUE"""),"SC Bastia (110)")</f>
        <v>SC Bastia (110)</v>
      </c>
      <c r="E67">
        <f>IFERROR(__xludf.DUMMYFUNCTION("""COMPUTED_VALUE"""),392.0)</f>
        <v>392</v>
      </c>
      <c r="F67">
        <f>IFERROR(__xludf.DUMMYFUNCTION("""COMPUTED_VALUE"""),0.28)</f>
        <v>0.28</v>
      </c>
      <c r="G67" t="str">
        <f>IFERROR(__xludf.DUMMYFUNCTION("""COMPUTED_VALUE"""),"*110*")</f>
        <v>*110*</v>
      </c>
    </row>
    <row r="68">
      <c r="B68" t="str">
        <f>IFERROR(__xludf.DUMMYFUNCTION("""COMPUTED_VALUE"""),"Albert Emon")</f>
        <v>Albert Emon</v>
      </c>
      <c r="C68" t="str">
        <f>IFERROR(__xludf.DUMMYFUNCTION("""COMPUTED_VALUE"""),"1972-1988")</f>
        <v>1972-1988</v>
      </c>
      <c r="D68" t="str">
        <f>IFERROR(__xludf.DUMMYFUNCTION("""COMPUTED_VALUE"""),"Olympique de Marseille (37), Stade de Reims (4), AS Monaco (26), Olympique 
lyonnais (17), Sporting Toulon Var (21), AS Cannes (5)")</f>
        <v>Olympique de Marseille (37), Stade de Reims (4), AS Monaco (26), Olympique 
lyonnais (17), Sporting Toulon Var (21), AS Cannes (5)</v>
      </c>
      <c r="E68">
        <f>IFERROR(__xludf.DUMMYFUNCTION("""COMPUTED_VALUE"""),410.0)</f>
        <v>410</v>
      </c>
      <c r="F68">
        <f>IFERROR(__xludf.DUMMYFUNCTION("""COMPUTED_VALUE"""),0.27)</f>
        <v>0.27</v>
      </c>
      <c r="G68" t="str">
        <f>IFERROR(__xludf.DUMMYFUNCTION("""COMPUTED_VALUE"""),"*110*")</f>
        <v>*110*</v>
      </c>
    </row>
    <row r="69">
      <c r="A69">
        <f>IFERROR(__xludf.DUMMYFUNCTION("""COMPUTED_VALUE"""),68.0)</f>
        <v>68</v>
      </c>
      <c r="B69" t="str">
        <f>IFERROR(__xludf.DUMMYFUNCTION("""COMPUTED_VALUE"""),"Henri Skiba")</f>
        <v>Henri Skiba</v>
      </c>
      <c r="C69" t="str">
        <f>IFERROR(__xludf.DUMMYFUNCTION("""COMPUTED_VALUE"""),"1950-1963")</f>
        <v>1950-1963</v>
      </c>
      <c r="D69" t="str">
        <f>IFERROR(__xludf.DUMMYFUNCTION("""COMPUTED_VALUE"""),"FC Nancy (0), AS Monaco (18), RC Strasbourg (19), Nîmes Olympique (47), FC 
Sochaux-Montbéliard (3), Stade Français (22)")</f>
        <v>FC Nancy (0), AS Monaco (18), RC Strasbourg (19), Nîmes Olympique (47), FC 
Sochaux-Montbéliard (3), Stade Français (22)</v>
      </c>
      <c r="E69">
        <f>IFERROR(__xludf.DUMMYFUNCTION("""COMPUTED_VALUE"""),294.0)</f>
        <v>294</v>
      </c>
      <c r="F69">
        <f>IFERROR(__xludf.DUMMYFUNCTION("""COMPUTED_VALUE"""),0.37)</f>
        <v>0.37</v>
      </c>
      <c r="G69" t="str">
        <f>IFERROR(__xludf.DUMMYFUNCTION("""COMPUTED_VALUE"""),"*109*")</f>
        <v>*109*</v>
      </c>
    </row>
    <row r="70">
      <c r="A70">
        <f>IFERROR(__xludf.DUMMYFUNCTION("""COMPUTED_VALUE"""),69.0)</f>
        <v>69</v>
      </c>
      <c r="B70" t="str">
        <f>IFERROR(__xludf.DUMMYFUNCTION("""COMPUTED_VALUE"""),"Léon Deladerrière")</f>
        <v>Léon Deladerrière</v>
      </c>
      <c r="C70" t="str">
        <f>IFERROR(__xludf.DUMMYFUNCTION("""COMPUTED_VALUE"""),"1947-1963")</f>
        <v>1947-1963</v>
      </c>
      <c r="D70" t="str">
        <f>IFERROR(__xludf.DUMMYFUNCTION("""COMPUTED_VALUE"""),"FC Nancy (97), Toulouse FC (1937-1967) (10)")</f>
        <v>FC Nancy (97), Toulouse FC (1937-1967) (10)</v>
      </c>
      <c r="E70">
        <f>IFERROR(__xludf.DUMMYFUNCTION("""COMPUTED_VALUE"""),379.0)</f>
        <v>379</v>
      </c>
      <c r="F70">
        <f>IFERROR(__xludf.DUMMYFUNCTION("""COMPUTED_VALUE"""),0.28)</f>
        <v>0.28</v>
      </c>
      <c r="G70" t="str">
        <f>IFERROR(__xludf.DUMMYFUNCTION("""COMPUTED_VALUE"""),"*107*")</f>
        <v>*107*</v>
      </c>
    </row>
    <row r="71">
      <c r="A71">
        <f>IFERROR(__xludf.DUMMYFUNCTION("""COMPUTED_VALUE"""),70.0)</f>
        <v>70</v>
      </c>
      <c r="B71" t="str">
        <f>IFERROR(__xludf.DUMMYFUNCTION("""COMPUTED_VALUE"""),"Pierre Flamion")</f>
        <v>Pierre Flamion</v>
      </c>
      <c r="C71" t="str">
        <f>IFERROR(__xludf.DUMMYFUNCTION("""COMPUTED_VALUE"""),"1945-1960")</f>
        <v>1945-1960</v>
      </c>
      <c r="D71" t="str">
        <f>IFERROR(__xludf.DUMMYFUNCTION("""COMPUTED_VALUE"""),"Stade de Reims (65), Olympique de Marseille (11), Olympique lyonnais (5), ESTAC 
Troyes (24), Limoges FC (1)")</f>
        <v>Stade de Reims (65), Olympique de Marseille (11), Olympique lyonnais (5), ESTAC 
Troyes (24), Limoges FC (1)</v>
      </c>
      <c r="E71">
        <f>IFERROR(__xludf.DUMMYFUNCTION("""COMPUTED_VALUE"""),285.0)</f>
        <v>285</v>
      </c>
      <c r="F71">
        <f>IFERROR(__xludf.DUMMYFUNCTION("""COMPUTED_VALUE"""),0.37)</f>
        <v>0.37</v>
      </c>
      <c r="G71" t="str">
        <f>IFERROR(__xludf.DUMMYFUNCTION("""COMPUTED_VALUE"""),"*106*")</f>
        <v>*106*</v>
      </c>
    </row>
    <row r="72">
      <c r="B72" t="str">
        <f>IFERROR(__xludf.DUMMYFUNCTION("""COMPUTED_VALUE"""),"Albert Gemmrich")</f>
        <v>Albert Gemmrich</v>
      </c>
      <c r="C72" t="str">
        <f>IFERROR(__xludf.DUMMYFUNCTION("""COMPUTED_VALUE"""),"1973-1986")</f>
        <v>1973-1986</v>
      </c>
      <c r="D72" t="str">
        <f>IFERROR(__xludf.DUMMYFUNCTION("""COMPUTED_VALUE"""),"RC Strasbourg (71), Girondins de Bordeaux (35), LOSC Lille (0), OGC Nice (0)")</f>
        <v>RC Strasbourg (71), Girondins de Bordeaux (35), LOSC Lille (0), OGC Nice (0)</v>
      </c>
      <c r="E72">
        <f>IFERROR(__xludf.DUMMYFUNCTION("""COMPUTED_VALUE"""),308.0)</f>
        <v>308</v>
      </c>
      <c r="F72">
        <f>IFERROR(__xludf.DUMMYFUNCTION("""COMPUTED_VALUE"""),0.34)</f>
        <v>0.34</v>
      </c>
      <c r="G72" t="str">
        <f>IFERROR(__xludf.DUMMYFUNCTION("""COMPUTED_VALUE"""),"*106*")</f>
        <v>*106*</v>
      </c>
    </row>
    <row r="73">
      <c r="B73" t="str">
        <f>IFERROR(__xludf.DUMMYFUNCTION("""COMPUTED_VALUE"""),"Michel Stievenard")</f>
        <v>Michel Stievenard</v>
      </c>
      <c r="C73" t="str">
        <f>IFERROR(__xludf.DUMMYFUNCTION("""COMPUTED_VALUE"""),"1954-1968")</f>
        <v>1954-1968</v>
      </c>
      <c r="D73" t="str">
        <f>IFERROR(__xludf.DUMMYFUNCTION("""COMPUTED_VALUE"""),"RC Lens (43), Angers SCO (63)")</f>
        <v>RC Lens (43), Angers SCO (63)</v>
      </c>
      <c r="E73">
        <f>IFERROR(__xludf.DUMMYFUNCTION("""COMPUTED_VALUE"""),405.0)</f>
        <v>405</v>
      </c>
      <c r="F73">
        <f>IFERROR(__xludf.DUMMYFUNCTION("""COMPUTED_VALUE"""),0.26)</f>
        <v>0.26</v>
      </c>
      <c r="G73" t="str">
        <f>IFERROR(__xludf.DUMMYFUNCTION("""COMPUTED_VALUE"""),"*106*")</f>
        <v>*106*</v>
      </c>
    </row>
    <row r="74">
      <c r="A74">
        <f>IFERROR(__xludf.DUMMYFUNCTION("""COMPUTED_VALUE"""),73.0)</f>
        <v>73</v>
      </c>
      <c r="B74" t="str">
        <f>IFERROR(__xludf.DUMMYFUNCTION("""COMPUTED_VALUE"""),"Édouard Kargu")</f>
        <v>Édouard Kargu</v>
      </c>
      <c r="C74" t="str">
        <f>IFERROR(__xludf.DUMMYFUNCTION("""COMPUTED_VALUE"""),"1949-1956")</f>
        <v>1949-1956</v>
      </c>
      <c r="D74" t="str">
        <f>IFERROR(__xludf.DUMMYFUNCTION("""COMPUTED_VALUE"""),"Girondins de Bordeaux (105)")</f>
        <v>Girondins de Bordeaux (105)</v>
      </c>
      <c r="E74">
        <f>IFERROR(__xludf.DUMMYFUNCTION("""COMPUTED_VALUE"""),208.0)</f>
        <v>208</v>
      </c>
      <c r="F74">
        <f>IFERROR(__xludf.DUMMYFUNCTION("""COMPUTED_VALUE"""),0.5)</f>
        <v>0.5</v>
      </c>
      <c r="G74" t="str">
        <f>IFERROR(__xludf.DUMMYFUNCTION("""COMPUTED_VALUE"""),"*105*")</f>
        <v>*105*</v>
      </c>
    </row>
    <row r="75">
      <c r="B75" t="str">
        <f>IFERROR(__xludf.DUMMYFUNCTION("""COMPUTED_VALUE"""),"Daniel Xuereb")</f>
        <v>Daniel Xuereb</v>
      </c>
      <c r="C75" t="str">
        <f>IFERROR(__xludf.DUMMYFUNCTION("""COMPUTED_VALUE"""),"1977-1993")</f>
        <v>1977-1993</v>
      </c>
      <c r="D75" t="str">
        <f>IFERROR(__xludf.DUMMYFUNCTION("""COMPUTED_VALUE"""),"Olympique lyonnais (21), RC Lens (39), Paris Saint-Germain (20), Montpellier 
HSC (21), Olympique de Marseille (3), Sporting Toulon Var (1)")</f>
        <v>Olympique lyonnais (21), RC Lens (39), Paris Saint-Germain (20), Montpellier 
HSC (21), Olympique de Marseille (3), Sporting Toulon Var (1)</v>
      </c>
      <c r="E75">
        <f>IFERROR(__xludf.DUMMYFUNCTION("""COMPUTED_VALUE"""),442.0)</f>
        <v>442</v>
      </c>
      <c r="F75">
        <f>IFERROR(__xludf.DUMMYFUNCTION("""COMPUTED_VALUE"""),0.24)</f>
        <v>0.24</v>
      </c>
      <c r="G75" t="str">
        <f>IFERROR(__xludf.DUMMYFUNCTION("""COMPUTED_VALUE"""),"*105*")</f>
        <v>*105*</v>
      </c>
    </row>
    <row r="76">
      <c r="A76">
        <f>IFERROR(__xludf.DUMMYFUNCTION("""COMPUTED_VALUE"""),75.0)</f>
        <v>75</v>
      </c>
      <c r="B76" t="str">
        <f>IFERROR(__xludf.DUMMYFUNCTION("""COMPUTED_VALUE"""),"Bernard Rahis")</f>
        <v>Bernard Rahis</v>
      </c>
      <c r="C76" t="str">
        <f>IFERROR(__xludf.DUMMYFUNCTION("""COMPUTED_VALUE"""),"1954-1963")</f>
        <v>1954-1963</v>
      </c>
      <c r="D76" t="str">
        <f>IFERROR(__xludf.DUMMYFUNCTION("""COMPUTED_VALUE"""),"Nîmes Olympique (104)")</f>
        <v>Nîmes Olympique (104)</v>
      </c>
      <c r="E76">
        <f>IFERROR(__xludf.DUMMYFUNCTION("""COMPUTED_VALUE"""),241.0)</f>
        <v>241</v>
      </c>
      <c r="F76">
        <f>IFERROR(__xludf.DUMMYFUNCTION("""COMPUTED_VALUE"""),0.43)</f>
        <v>0.43</v>
      </c>
      <c r="G76" t="str">
        <f>IFERROR(__xludf.DUMMYFUNCTION("""COMPUTED_VALUE"""),"*104*")</f>
        <v>*104*</v>
      </c>
    </row>
    <row r="77">
      <c r="B77" t="str">
        <f>IFERROR(__xludf.DUMMYFUNCTION("""COMPUTED_VALUE"""),"Alain Caveglia")</f>
        <v>Alain Caveglia</v>
      </c>
      <c r="C77" t="str">
        <f>IFERROR(__xludf.DUMMYFUNCTION("""COMPUTED_VALUE"""),"1990-2000")</f>
        <v>1990-2000</v>
      </c>
      <c r="D77" t="str">
        <f>IFERROR(__xludf.DUMMYFUNCTION("""COMPUTED_VALUE"""),"FC Sochaux-Montbéliard (25), Le Havre AC (31), Olympique lyonnais (47), FC 
Nantes (1)")</f>
        <v>FC Sochaux-Montbéliard (25), Le Havre AC (31), Olympique lyonnais (47), FC 
Nantes (1)</v>
      </c>
      <c r="E77">
        <f>IFERROR(__xludf.DUMMYFUNCTION("""COMPUTED_VALUE"""),313.0)</f>
        <v>313</v>
      </c>
      <c r="F77">
        <f>IFERROR(__xludf.DUMMYFUNCTION("""COMPUTED_VALUE"""),0.33)</f>
        <v>0.33</v>
      </c>
      <c r="G77" t="str">
        <f>IFERROR(__xludf.DUMMYFUNCTION("""COMPUTED_VALUE"""),"*104*")</f>
        <v>*104*</v>
      </c>
    </row>
    <row r="78">
      <c r="A78">
        <f>IFERROR(__xludf.DUMMYFUNCTION("""COMPUTED_VALUE"""),77.0)</f>
        <v>77</v>
      </c>
      <c r="B78" t="str">
        <f>IFERROR(__xludf.DUMMYFUNCTION("""COMPUTED_VALUE"""),"Robert Pintenat")</f>
        <v>Robert Pintenat</v>
      </c>
      <c r="C78" t="str">
        <f>IFERROR(__xludf.DUMMYFUNCTION("""COMPUTED_VALUE"""),"1969-1983")</f>
        <v>1969-1983</v>
      </c>
      <c r="D78" t="str">
        <f>IFERROR(__xludf.DUMMYFUNCTION("""COMPUTED_VALUE"""),"FC Rouen (2), Red Star (17), Nîmes Olympique (7), FC Sochaux-Montbéliard 
(62), AS Nancy-Lorraine (7), Toulouse FC (8)")</f>
        <v>FC Rouen (2), Red Star (17), Nîmes Olympique (7), FC Sochaux-Montbéliard 
(62), AS Nancy-Lorraine (7), Toulouse FC (8)</v>
      </c>
      <c r="E78">
        <f>IFERROR(__xludf.DUMMYFUNCTION("""COMPUTED_VALUE"""),298.0)</f>
        <v>298</v>
      </c>
      <c r="F78">
        <f>IFERROR(__xludf.DUMMYFUNCTION("""COMPUTED_VALUE"""),0.35)</f>
        <v>0.35</v>
      </c>
      <c r="G78" t="str">
        <f>IFERROR(__xludf.DUMMYFUNCTION("""COMPUTED_VALUE"""),"*103*")</f>
        <v>*103*</v>
      </c>
    </row>
    <row r="79">
      <c r="B79" t="str">
        <f>IFERROR(__xludf.DUMMYFUNCTION("""COMPUTED_VALUE"""),"Abdelkrim Merry")</f>
        <v>Abdelkrim Merry</v>
      </c>
      <c r="C79" t="str">
        <f>IFERROR(__xludf.DUMMYFUNCTION("""COMPUTED_VALUE"""),"1974-1989")</f>
        <v>1974-1989</v>
      </c>
      <c r="D79" t="str">
        <f>IFERROR(__xludf.DUMMYFUNCTION("""COMPUTED_VALUE"""),"SC Bastia (23), LOSC Lille (12), FC Metz (23), RC Strasbourg (3), Tours FC 
(6), Le Havre AC (17), AS Saint-Étienne (9), RC Paris (10)")</f>
        <v>SC Bastia (23), LOSC Lille (12), FC Metz (23), RC Strasbourg (3), Tours FC 
(6), Le Havre AC (17), AS Saint-Étienne (9), RC Paris (10)</v>
      </c>
      <c r="E79">
        <f>IFERROR(__xludf.DUMMYFUNCTION("""COMPUTED_VALUE"""),337.0)</f>
        <v>337</v>
      </c>
      <c r="F79">
        <f>IFERROR(__xludf.DUMMYFUNCTION("""COMPUTED_VALUE"""),0.31)</f>
        <v>0.31</v>
      </c>
      <c r="G79" t="str">
        <f>IFERROR(__xludf.DUMMYFUNCTION("""COMPUTED_VALUE"""),"*103*")</f>
        <v>*103*</v>
      </c>
    </row>
    <row r="80">
      <c r="B80" t="str">
        <f>IFERROR(__xludf.DUMMYFUNCTION("""COMPUTED_VALUE"""),"Dimitri Payet")</f>
        <v>Dimitri Payet</v>
      </c>
      <c r="C80" t="str">
        <f>IFERROR(__xludf.DUMMYFUNCTION("""COMPUTED_VALUE"""),"2005-2023")</f>
        <v>2005-2023</v>
      </c>
      <c r="D80" t="str">
        <f>IFERROR(__xludf.DUMMYFUNCTION("""COMPUTED_VALUE"""),"FC Nantes (5), AS Saint-Étienne (19), LOSC Lille (18), Olympique de 
Marseille (61)")</f>
        <v>FC Nantes (5), AS Saint-Étienne (19), LOSC Lille (18), Olympique de 
Marseille (61)</v>
      </c>
      <c r="E80">
        <f>IFERROR(__xludf.DUMMYFUNCTION("""COMPUTED_VALUE"""),492.0)</f>
        <v>492</v>
      </c>
      <c r="F80">
        <f>IFERROR(__xludf.DUMMYFUNCTION("""COMPUTED_VALUE"""),0.21)</f>
        <v>0.21</v>
      </c>
      <c r="G80" t="str">
        <f>IFERROR(__xludf.DUMMYFUNCTION("""COMPUTED_VALUE"""),"*103*")</f>
        <v>*103*</v>
      </c>
    </row>
    <row r="81">
      <c r="B81" t="str">
        <f>IFERROR(__xludf.DUMMYFUNCTION("""COMPUTED_VALUE"""),"François Brisson")</f>
        <v>François Brisson</v>
      </c>
      <c r="C81" t="str">
        <f>IFERROR(__xludf.DUMMYFUNCTION("""COMPUTED_VALUE"""),"1975-1993")</f>
        <v>1975-1993</v>
      </c>
      <c r="D81" t="str">
        <f>IFERROR(__xludf.DUMMYFUNCTION("""COMPUTED_VALUE"""),"Paris Saint-Germain (6), Stade lavallois (22), RC Lens (40), RC Strasbourg 
(10), Olympique de Marseille (1), Olympique lyonnais (7), LOSC Lille (17)")</f>
        <v>Paris Saint-Germain (6), Stade lavallois (22), RC Lens (40), RC Strasbourg 
(10), Olympique de Marseille (1), Olympique lyonnais (7), LOSC Lille (17)</v>
      </c>
      <c r="E81">
        <f>IFERROR(__xludf.DUMMYFUNCTION("""COMPUTED_VALUE"""),505.0)</f>
        <v>505</v>
      </c>
      <c r="F81">
        <f>IFERROR(__xludf.DUMMYFUNCTION("""COMPUTED_VALUE"""),0.2)</f>
        <v>0.2</v>
      </c>
      <c r="G81" t="str">
        <f>IFERROR(__xludf.DUMMYFUNCTION("""COMPUTED_VALUE"""),"*103*")</f>
        <v>*103*</v>
      </c>
    </row>
    <row r="82">
      <c r="A82">
        <f>IFERROR(__xludf.DUMMYFUNCTION("""COMPUTED_VALUE"""),81.0)</f>
        <v>81</v>
      </c>
      <c r="B82" t="str">
        <f>IFERROR(__xludf.DUMMYFUNCTION("""COMPUTED_VALUE"""),"Philippe Piat")</f>
        <v>Philippe Piat</v>
      </c>
      <c r="C82" t="str">
        <f>IFERROR(__xludf.DUMMYFUNCTION("""COMPUTED_VALUE"""),"1965-1972")</f>
        <v>1965-1972</v>
      </c>
      <c r="D82" t="str">
        <f>IFERROR(__xludf.DUMMYFUNCTION("""COMPUTED_VALUE"""),"RC Strasbourg (48), AS Monaco (16), FC Sochaux-Montbéliard (38)")</f>
        <v>RC Strasbourg (48), AS Monaco (16), FC Sochaux-Montbéliard (38)</v>
      </c>
      <c r="E82">
        <f>IFERROR(__xludf.DUMMYFUNCTION("""COMPUTED_VALUE"""),240.0)</f>
        <v>240</v>
      </c>
      <c r="F82">
        <f>IFERROR(__xludf.DUMMYFUNCTION("""COMPUTED_VALUE"""),0.43)</f>
        <v>0.43</v>
      </c>
      <c r="G82" t="str">
        <f>IFERROR(__xludf.DUMMYFUNCTION("""COMPUTED_VALUE"""),"*102*")</f>
        <v>*102*</v>
      </c>
    </row>
    <row r="83">
      <c r="B83" t="str">
        <f>IFERROR(__xludf.DUMMYFUNCTION("""COMPUTED_VALUE"""),"Marc Berdoll")</f>
        <v>Marc Berdoll</v>
      </c>
      <c r="C83" t="str">
        <f>IFERROR(__xludf.DUMMYFUNCTION("""COMPUTED_VALUE"""),"1970-1981")</f>
        <v>1970-1981</v>
      </c>
      <c r="D83" t="str">
        <f>IFERROR(__xludf.DUMMYFUNCTION("""COMPUTED_VALUE"""),"Angers SCO (62), Olympique de Marseille (40)")</f>
        <v>Angers SCO (62), Olympique de Marseille (40)</v>
      </c>
      <c r="E83">
        <f>IFERROR(__xludf.DUMMYFUNCTION("""COMPUTED_VALUE"""),251.0)</f>
        <v>251</v>
      </c>
      <c r="F83">
        <f>IFERROR(__xludf.DUMMYFUNCTION("""COMPUTED_VALUE"""),0.41)</f>
        <v>0.41</v>
      </c>
      <c r="G83" t="str">
        <f>IFERROR(__xludf.DUMMYFUNCTION("""COMPUTED_VALUE"""),"*102*")</f>
        <v>*102*</v>
      </c>
    </row>
    <row r="84">
      <c r="B84" t="str">
        <f>IFERROR(__xludf.DUMMYFUNCTION("""COMPUTED_VALUE"""),"André-Pierre Gignac")</f>
        <v>André-Pierre Gignac</v>
      </c>
      <c r="C84" t="str">
        <f>IFERROR(__xludf.DUMMYFUNCTION("""COMPUTED_VALUE"""),"2006-2015")</f>
        <v>2006-2015</v>
      </c>
      <c r="D84" t="str">
        <f>IFERROR(__xludf.DUMMYFUNCTION("""COMPUTED_VALUE"""),"FC Lorient (9), Toulouse FC (34), Olympique de Marseille (59)")</f>
        <v>FC Lorient (9), Toulouse FC (34), Olympique de Marseille (59)</v>
      </c>
      <c r="E84">
        <f>IFERROR(__xludf.DUMMYFUNCTION("""COMPUTED_VALUE"""),290.0)</f>
        <v>290</v>
      </c>
      <c r="F84">
        <f>IFERROR(__xludf.DUMMYFUNCTION("""COMPUTED_VALUE"""),0.35)</f>
        <v>0.35</v>
      </c>
      <c r="G84" t="str">
        <f>IFERROR(__xludf.DUMMYFUNCTION("""COMPUTED_VALUE"""),"*102*")</f>
        <v>*102*</v>
      </c>
    </row>
    <row r="85">
      <c r="B85" t="str">
        <f>IFERROR(__xludf.DUMMYFUNCTION("""COMPUTED_VALUE"""),"Mustapha Dahleb")</f>
        <v>Mustapha Dahleb</v>
      </c>
      <c r="C85" t="str">
        <f>IFERROR(__xludf.DUMMYFUNCTION("""COMPUTED_VALUE"""),"1969-1984")</f>
        <v>1969-1984</v>
      </c>
      <c r="D85" t="str">
        <f>IFERROR(__xludf.DUMMYFUNCTION("""COMPUTED_VALUE"""),"CS Sedan Ardennes (17), Paris Saint-Germain (85)")</f>
        <v>CS Sedan Ardennes (17), Paris Saint-Germain (85)</v>
      </c>
      <c r="E85">
        <f>IFERROR(__xludf.DUMMYFUNCTION("""COMPUTED_VALUE"""),297.0)</f>
        <v>297</v>
      </c>
      <c r="F85">
        <f>IFERROR(__xludf.DUMMYFUNCTION("""COMPUTED_VALUE"""),0.34)</f>
        <v>0.34</v>
      </c>
      <c r="G85" t="str">
        <f>IFERROR(__xludf.DUMMYFUNCTION("""COMPUTED_VALUE"""),"*102*")</f>
        <v>*102*</v>
      </c>
    </row>
    <row r="86">
      <c r="B86" t="str">
        <f>IFERROR(__xludf.DUMMYFUNCTION("""COMPUTED_VALUE"""),"Philippe Vercruysse")</f>
        <v>Philippe Vercruysse</v>
      </c>
      <c r="C86" t="str">
        <f>IFERROR(__xludf.DUMMYFUNCTION("""COMPUTED_VALUE"""),"1980-1997")</f>
        <v>1980-1997</v>
      </c>
      <c r="D86" t="str">
        <f>IFERROR(__xludf.DUMMYFUNCTION("""COMPUTED_VALUE"""),"RC Lens (46), Girondins de Bordeaux (17), Olympique de Marseille (21), Nîmes 
Olympique (14), FC Metz (4)")</f>
        <v>RC Lens (46), Girondins de Bordeaux (17), Olympique de Marseille (21), Nîmes 
Olympique (14), FC Metz (4)</v>
      </c>
      <c r="E86">
        <f>IFERROR(__xludf.DUMMYFUNCTION("""COMPUTED_VALUE"""),458.0)</f>
        <v>458</v>
      </c>
      <c r="F86">
        <f>IFERROR(__xludf.DUMMYFUNCTION("""COMPUTED_VALUE"""),0.22)</f>
        <v>0.22</v>
      </c>
      <c r="G86" t="str">
        <f>IFERROR(__xludf.DUMMYFUNCTION("""COMPUTED_VALUE"""),"*102*")</f>
        <v>*102*</v>
      </c>
    </row>
    <row r="87">
      <c r="B87" t="str">
        <f>IFERROR(__xludf.DUMMYFUNCTION("""COMPUTED_VALUE"""),"Jimmy Briand")</f>
        <v>Jimmy Briand</v>
      </c>
      <c r="C87" t="str">
        <f>IFERROR(__xludf.DUMMYFUNCTION("""COMPUTED_VALUE"""),"2003-2022")</f>
        <v>2003-2022</v>
      </c>
      <c r="D87" t="str">
        <f>IFERROR(__xludf.DUMMYFUNCTION("""COMPUTED_VALUE"""),"Stade rennais (33), Olympique lyonnais (22), En avant de Guingamp (30), Girondins 
de Bordeaux (17)")</f>
        <v>Stade rennais (33), Olympique lyonnais (22), En avant de Guingamp (30), Girondins 
de Bordeaux (17)</v>
      </c>
      <c r="E87">
        <f>IFERROR(__xludf.DUMMYFUNCTION("""COMPUTED_VALUE"""),483.0)</f>
        <v>483</v>
      </c>
      <c r="F87">
        <f>IFERROR(__xludf.DUMMYFUNCTION("""COMPUTED_VALUE"""),0.21)</f>
        <v>0.21</v>
      </c>
      <c r="G87" t="str">
        <f>IFERROR(__xludf.DUMMYFUNCTION("""COMPUTED_VALUE"""),"*102*")</f>
        <v>*102*</v>
      </c>
    </row>
    <row r="88">
      <c r="A88">
        <f>IFERROR(__xludf.DUMMYFUNCTION("""COMPUTED_VALUE"""),87.0)</f>
        <v>87</v>
      </c>
      <c r="B88" t="str">
        <f>IFERROR(__xludf.DUMMYFUNCTION("""COMPUTED_VALUE"""),"Vahid Halilhodžić")</f>
        <v>Vahid Halilhodžić</v>
      </c>
      <c r="C88" t="str">
        <f>IFERROR(__xludf.DUMMYFUNCTION("""COMPUTED_VALUE"""),"1981-1987")</f>
        <v>1981-1987</v>
      </c>
      <c r="D88" t="str">
        <f>IFERROR(__xludf.DUMMYFUNCTION("""COMPUTED_VALUE"""),"FC Nantes (93), Paris Saint-Germain (8)")</f>
        <v>FC Nantes (93), Paris Saint-Germain (8)</v>
      </c>
      <c r="E88">
        <f>IFERROR(__xludf.DUMMYFUNCTION("""COMPUTED_VALUE"""),181.0)</f>
        <v>181</v>
      </c>
      <c r="F88">
        <f>IFERROR(__xludf.DUMMYFUNCTION("""COMPUTED_VALUE"""),0.56)</f>
        <v>0.56</v>
      </c>
      <c r="G88" t="str">
        <f>IFERROR(__xludf.DUMMYFUNCTION("""COMPUTED_VALUE"""),"*101*")</f>
        <v>*101*</v>
      </c>
    </row>
    <row r="89">
      <c r="B89" t="str">
        <f>IFERROR(__xludf.DUMMYFUNCTION("""COMPUTED_VALUE"""),"Kevin Gameiro")</f>
        <v>Kevin Gameiro</v>
      </c>
      <c r="C89" t="str">
        <f>IFERROR(__xludf.DUMMYFUNCTION("""COMPUTED_VALUE"""),"2005-2024")</f>
        <v>2005-2024</v>
      </c>
      <c r="D89" t="str">
        <f>IFERROR(__xludf.DUMMYFUNCTION("""COMPUTED_VALUE"""),"RC Strasbourg (32), FC Lorient (50), Paris Saint-Germain (19)")</f>
        <v>RC Strasbourg (32), FC Lorient (50), Paris Saint-Germain (19)</v>
      </c>
      <c r="E89">
        <f>IFERROR(__xludf.DUMMYFUNCTION("""COMPUTED_VALUE"""),305.0)</f>
        <v>305</v>
      </c>
      <c r="F89">
        <f>IFERROR(__xludf.DUMMYFUNCTION("""COMPUTED_VALUE"""),0.33)</f>
        <v>0.33</v>
      </c>
      <c r="G89" t="str">
        <f>IFERROR(__xludf.DUMMYFUNCTION("""COMPUTED_VALUE"""),"*101*")</f>
        <v>*101*</v>
      </c>
    </row>
    <row r="90">
      <c r="B90" t="str">
        <f>IFERROR(__xludf.DUMMYFUNCTION("""COMPUTED_VALUE"""),"Victor Nurenberg")</f>
        <v>Victor Nurenberg</v>
      </c>
      <c r="C90" t="str">
        <f>IFERROR(__xludf.DUMMYFUNCTION("""COMPUTED_VALUE"""),"1952-1963")</f>
        <v>1952-1963</v>
      </c>
      <c r="D90" t="str">
        <f>IFERROR(__xludf.DUMMYFUNCTION("""COMPUTED_VALUE"""),"OGC Nice (89), FC Sochaux-Montbéliard (7), Olympique lyonnais (5)")</f>
        <v>OGC Nice (89), FC Sochaux-Montbéliard (7), Olympique lyonnais (5)</v>
      </c>
      <c r="E90">
        <f>IFERROR(__xludf.DUMMYFUNCTION("""COMPUTED_VALUE"""),307.0)</f>
        <v>307</v>
      </c>
      <c r="F90">
        <f>IFERROR(__xludf.DUMMYFUNCTION("""COMPUTED_VALUE"""),0.33)</f>
        <v>0.33</v>
      </c>
      <c r="G90" t="str">
        <f>IFERROR(__xludf.DUMMYFUNCTION("""COMPUTED_VALUE"""),"*101*")</f>
        <v>*101*</v>
      </c>
    </row>
    <row r="91">
      <c r="B91" t="str">
        <f>IFERROR(__xludf.DUMMYFUNCTION("""COMPUTED_VALUE"""),"Patrick Revelli")</f>
        <v>Patrick Revelli</v>
      </c>
      <c r="C91" t="str">
        <f>IFERROR(__xludf.DUMMYFUNCTION("""COMPUTED_VALUE"""),"1969-1982")</f>
        <v>1969-1982</v>
      </c>
      <c r="D91" t="str">
        <f>IFERROR(__xludf.DUMMYFUNCTION("""COMPUTED_VALUE"""),"AS Saint-Étienne (74), FC Sochaux-Montbéliard (27)")</f>
        <v>AS Saint-Étienne (74), FC Sochaux-Montbéliard (27)</v>
      </c>
      <c r="E91">
        <f>IFERROR(__xludf.DUMMYFUNCTION("""COMPUTED_VALUE"""),362.0)</f>
        <v>362</v>
      </c>
      <c r="F91">
        <f>IFERROR(__xludf.DUMMYFUNCTION("""COMPUTED_VALUE"""),0.28)</f>
        <v>0.28</v>
      </c>
      <c r="G91" t="str">
        <f>IFERROR(__xludf.DUMMYFUNCTION("""COMPUTED_VALUE"""),"*101*")</f>
        <v>*101*</v>
      </c>
    </row>
    <row r="92">
      <c r="A92">
        <f>IFERROR(__xludf.DUMMYFUNCTION("""COMPUTED_VALUE"""),91.0)</f>
        <v>91</v>
      </c>
      <c r="B92" t="str">
        <f>IFERROR(__xludf.DUMMYFUNCTION("""COMPUTED_VALUE"""),"Philippe Gondet")</f>
        <v>Philippe Gondet</v>
      </c>
      <c r="C92" t="str">
        <f>IFERROR(__xludf.DUMMYFUNCTION("""COMPUTED_VALUE"""),"1963-1972")</f>
        <v>1963-1972</v>
      </c>
      <c r="D92" t="str">
        <f>IFERROR(__xludf.DUMMYFUNCTION("""COMPUTED_VALUE"""),"FC Nantes (98), Red Star (2)")</f>
        <v>FC Nantes (98), Red Star (2)</v>
      </c>
      <c r="E92">
        <f>IFERROR(__xludf.DUMMYFUNCTION("""COMPUTED_VALUE"""),212.0)</f>
        <v>212</v>
      </c>
      <c r="F92">
        <f>IFERROR(__xludf.DUMMYFUNCTION("""COMPUTED_VALUE"""),0.47)</f>
        <v>0.47</v>
      </c>
      <c r="G92" t="str">
        <f>IFERROR(__xludf.DUMMYFUNCTION("""COMPUTED_VALUE"""),"*100*")</f>
        <v>*100*</v>
      </c>
    </row>
    <row r="93">
      <c r="B93" t="str">
        <f>IFERROR(__xludf.DUMMYFUNCTION("""COMPUTED_VALUE"""),"Mamadou Niang")</f>
        <v>Mamadou Niang</v>
      </c>
      <c r="C93" t="str">
        <f>IFERROR(__xludf.DUMMYFUNCTION("""COMPUTED_VALUE"""),"2000-2010")</f>
        <v>2000-2010</v>
      </c>
      <c r="D93" t="str">
        <f>IFERROR(__xludf.DUMMYFUNCTION("""COMPUTED_VALUE"""),"ESTAC Troyes (8), RC Strasbourg (21), Olympique de Marseille (71)")</f>
        <v>ESTAC Troyes (8), RC Strasbourg (21), Olympique de Marseille (71)</v>
      </c>
      <c r="E93">
        <f>IFERROR(__xludf.DUMMYFUNCTION("""COMPUTED_VALUE"""),258.0)</f>
        <v>258</v>
      </c>
      <c r="F93">
        <f>IFERROR(__xludf.DUMMYFUNCTION("""COMPUTED_VALUE"""),0.39)</f>
        <v>0.39</v>
      </c>
      <c r="G93" t="str">
        <f>IFERROR(__xludf.DUMMYFUNCTION("""COMPUTED_VALUE"""),"*100*")</f>
        <v>*100*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tr">
        <f>IFERROR(__xludf.DUMMYFUNCTION("IMPORTHTML(""https://fr.wikipedia.org/wiki/Liste_des_pays_par_population"", ""table"")"),"Rang 
(2023)")</f>
        <v>Rang 
(2023)</v>
      </c>
      <c r="B1" t="str">
        <f>IFERROR(__xludf.DUMMYFUNCTION("""COMPUTED_VALUE"""),"Pays ou territoire")</f>
        <v>Pays ou territoire</v>
      </c>
      <c r="C1" t="str">
        <f>IFERROR(__xludf.DUMMYFUNCTION("""COMPUTED_VALUE"""),"Population 
au 1er juillet 2023")</f>
        <v>Population 
au 1er juillet 2023</v>
      </c>
      <c r="D1" t="str">
        <f>IFERROR(__xludf.DUMMYFUNCTION("""COMPUTED_VALUE"""),"Population projetée 
au 1er janvier 2026")</f>
        <v>Population projetée 
au 1er janvier 2026</v>
      </c>
    </row>
    <row r="2">
      <c r="A2" t="str">
        <f>IFERROR(__xludf.DUMMYFUNCTION("""COMPUTED_VALUE"""),"*-*")</f>
        <v>*-*</v>
      </c>
      <c r="B2" t="str">
        <f>IFERROR(__xludf.DUMMYFUNCTION("""COMPUTED_VALUE"""),"*Monde*")</f>
        <v>*Monde*</v>
      </c>
      <c r="C2" t="str">
        <f>IFERROR(__xludf.DUMMYFUNCTION("""COMPUTED_VALUE"""),"*8 091 734 930*")</f>
        <v>*8 091 734 930*</v>
      </c>
      <c r="D2" t="str">
        <f>IFERROR(__xludf.DUMMYFUNCTION("""COMPUTED_VALUE"""),"*8 266 245 291*")</f>
        <v>*8 266 245 291*</v>
      </c>
    </row>
    <row r="3">
      <c r="A3">
        <f>IFERROR(__xludf.DUMMYFUNCTION("""COMPUTED_VALUE"""),1.0)</f>
        <v>1</v>
      </c>
      <c r="B3" t="str">
        <f>IFERROR(__xludf.DUMMYFUNCTION("""COMPUTED_VALUE"""),"Inde[a]")</f>
        <v>Inde[a]</v>
      </c>
      <c r="C3">
        <f>IFERROR(__xludf.DUMMYFUNCTION("""COMPUTED_VALUE"""),1.438069596E9)</f>
        <v>1438069596</v>
      </c>
      <c r="D3">
        <f>IFERROR(__xludf.DUMMYFUNCTION("""COMPUTED_VALUE"""),1.470295711E9)</f>
        <v>1470295711</v>
      </c>
    </row>
    <row r="4">
      <c r="A4">
        <f>IFERROR(__xludf.DUMMYFUNCTION("""COMPUTED_VALUE"""),2.0)</f>
        <v>2</v>
      </c>
      <c r="B4" t="str">
        <f>IFERROR(__xludf.DUMMYFUNCTION("""COMPUTED_VALUE"""),"Chine[b]")</f>
        <v>Chine[b]</v>
      </c>
      <c r="C4">
        <f>IFERROR(__xludf.DUMMYFUNCTION("""COMPUTED_VALUE"""),1.422584933E9)</f>
        <v>1422584933</v>
      </c>
      <c r="D4">
        <f>IFERROR(__xludf.DUMMYFUNCTION("""COMPUTED_VALUE"""),1.414458552E9)</f>
        <v>1414458552</v>
      </c>
    </row>
    <row r="5">
      <c r="A5">
        <f>IFERROR(__xludf.DUMMYFUNCTION("""COMPUTED_VALUE"""),3.0)</f>
        <v>3</v>
      </c>
      <c r="B5" t="str">
        <f>IFERROR(__xludf.DUMMYFUNCTION("""COMPUTED_VALUE"""),"États-Unis[c]")</f>
        <v>États-Unis[c]</v>
      </c>
      <c r="C5">
        <f>IFERROR(__xludf.DUMMYFUNCTION("""COMPUTED_VALUE"""),3.43477335E8)</f>
        <v>343477335</v>
      </c>
      <c r="D5">
        <f>IFERROR(__xludf.DUMMYFUNCTION("""COMPUTED_VALUE"""),3.48178045E8)</f>
        <v>348178045</v>
      </c>
    </row>
    <row r="6">
      <c r="A6">
        <f>IFERROR(__xludf.DUMMYFUNCTION("""COMPUTED_VALUE"""),4.0)</f>
        <v>4</v>
      </c>
      <c r="B6" t="str">
        <f>IFERROR(__xludf.DUMMYFUNCTION("""COMPUTED_VALUE"""),"Indonésie")</f>
        <v>Indonésie</v>
      </c>
      <c r="C6">
        <f>IFERROR(__xludf.DUMMYFUNCTION("""COMPUTED_VALUE"""),2.81190067E8)</f>
        <v>281190067</v>
      </c>
      <c r="D6">
        <f>IFERROR(__xludf.DUMMYFUNCTION("""COMPUTED_VALUE"""),2.86820254E8)</f>
        <v>286820254</v>
      </c>
    </row>
    <row r="7">
      <c r="A7">
        <f>IFERROR(__xludf.DUMMYFUNCTION("""COMPUTED_VALUE"""),5.0)</f>
        <v>5</v>
      </c>
      <c r="B7" t="str">
        <f>IFERROR(__xludf.DUMMYFUNCTION("""COMPUTED_VALUE"""),"Pakistan[d]")</f>
        <v>Pakistan[d]</v>
      </c>
      <c r="C7">
        <f>IFERROR(__xludf.DUMMYFUNCTION("""COMPUTED_VALUE"""),2.47504495E8)</f>
        <v>247504495</v>
      </c>
      <c r="D7">
        <f>IFERROR(__xludf.DUMMYFUNCTION("""COMPUTED_VALUE"""),2.57236371E8)</f>
        <v>257236371</v>
      </c>
    </row>
    <row r="8">
      <c r="A8">
        <f>IFERROR(__xludf.DUMMYFUNCTION("""COMPUTED_VALUE"""),6.0)</f>
        <v>6</v>
      </c>
      <c r="B8" t="str">
        <f>IFERROR(__xludf.DUMMYFUNCTION("""COMPUTED_VALUE"""),"Nigeria")</f>
        <v>Nigeria</v>
      </c>
      <c r="C8">
        <f>IFERROR(__xludf.DUMMYFUNCTION("""COMPUTED_VALUE"""),2.27882945E8)</f>
        <v>227882945</v>
      </c>
      <c r="D8">
        <f>IFERROR(__xludf.DUMMYFUNCTION("""COMPUTED_VALUE"""),2.39967749E8)</f>
        <v>239967749</v>
      </c>
    </row>
    <row r="9">
      <c r="A9">
        <f>IFERROR(__xludf.DUMMYFUNCTION("""COMPUTED_VALUE"""),7.0)</f>
        <v>7</v>
      </c>
      <c r="B9" t="str">
        <f>IFERROR(__xludf.DUMMYFUNCTION("""COMPUTED_VALUE"""),"Brésil")</f>
        <v>Brésil</v>
      </c>
      <c r="C9">
        <f>IFERROR(__xludf.DUMMYFUNCTION("""COMPUTED_VALUE"""),2.11140729E8)</f>
        <v>211140729</v>
      </c>
      <c r="D9">
        <f>IFERROR(__xludf.DUMMYFUNCTION("""COMPUTED_VALUE"""),2.13202121E8)</f>
        <v>213202121</v>
      </c>
    </row>
    <row r="10">
      <c r="A10">
        <f>IFERROR(__xludf.DUMMYFUNCTION("""COMPUTED_VALUE"""),8.0)</f>
        <v>8</v>
      </c>
      <c r="B10" t="str">
        <f>IFERROR(__xludf.DUMMYFUNCTION("""COMPUTED_VALUE"""),"Bangladesh")</f>
        <v>Bangladesh</v>
      </c>
      <c r="C10">
        <f>IFERROR(__xludf.DUMMYFUNCTION("""COMPUTED_VALUE"""),1.7146699E8)</f>
        <v>171466990</v>
      </c>
      <c r="D10">
        <f>IFERROR(__xludf.DUMMYFUNCTION("""COMPUTED_VALUE"""),1.76756539E8)</f>
        <v>176756539</v>
      </c>
    </row>
    <row r="11">
      <c r="A11">
        <f>IFERROR(__xludf.DUMMYFUNCTION("""COMPUTED_VALUE"""),9.0)</f>
        <v>9</v>
      </c>
      <c r="B11" t="str">
        <f>IFERROR(__xludf.DUMMYFUNCTION("""COMPUTED_VALUE"""),"Russie[e]")</f>
        <v>Russie[e]</v>
      </c>
      <c r="C11">
        <f>IFERROR(__xludf.DUMMYFUNCTION("""COMPUTED_VALUE"""),1.454405E8)</f>
        <v>145440500</v>
      </c>
      <c r="D11">
        <f>IFERROR(__xludf.DUMMYFUNCTION("""COMPUTED_VALUE"""),1.43559521E8)</f>
        <v>143559521</v>
      </c>
    </row>
    <row r="12">
      <c r="A12">
        <f>IFERROR(__xludf.DUMMYFUNCTION("""COMPUTED_VALUE"""),10.0)</f>
        <v>10</v>
      </c>
      <c r="B12" t="str">
        <f>IFERROR(__xludf.DUMMYFUNCTION("""COMPUTED_VALUE"""),"Mexique")</f>
        <v>Mexique</v>
      </c>
      <c r="C12">
        <f>IFERROR(__xludf.DUMMYFUNCTION("""COMPUTED_VALUE"""),1.29739759E8)</f>
        <v>129739759</v>
      </c>
      <c r="D12">
        <f>IFERROR(__xludf.DUMMYFUNCTION("""COMPUTED_VALUE"""),1.32480185E8)</f>
        <v>132480185</v>
      </c>
    </row>
    <row r="13">
      <c r="A13">
        <f>IFERROR(__xludf.DUMMYFUNCTION("""COMPUTED_VALUE"""),11.0)</f>
        <v>11</v>
      </c>
      <c r="B13" t="str">
        <f>IFERROR(__xludf.DUMMYFUNCTION("""COMPUTED_VALUE"""),"Éthiopie")</f>
        <v>Éthiopie</v>
      </c>
      <c r="C13">
        <f>IFERROR(__xludf.DUMMYFUNCTION("""COMPUTED_VALUE"""),1.28691692E8)</f>
        <v>128691692</v>
      </c>
      <c r="D13">
        <f>IFERROR(__xludf.DUMMYFUNCTION("""COMPUTED_VALUE"""),1.3717959E8)</f>
        <v>137179590</v>
      </c>
    </row>
    <row r="14">
      <c r="A14">
        <f>IFERROR(__xludf.DUMMYFUNCTION("""COMPUTED_VALUE"""),12.0)</f>
        <v>12</v>
      </c>
      <c r="B14" t="str">
        <f>IFERROR(__xludf.DUMMYFUNCTION("""COMPUTED_VALUE"""),"Japon")</f>
        <v>Japon</v>
      </c>
      <c r="C14">
        <f>IFERROR(__xludf.DUMMYFUNCTION("""COMPUTED_VALUE"""),1.24370947E8)</f>
        <v>124370947</v>
      </c>
      <c r="D14">
        <f>IFERROR(__xludf.DUMMYFUNCTION("""COMPUTED_VALUE"""),1.22772055E8)</f>
        <v>122772055</v>
      </c>
    </row>
    <row r="15">
      <c r="A15">
        <f>IFERROR(__xludf.DUMMYFUNCTION("""COMPUTED_VALUE"""),13.0)</f>
        <v>13</v>
      </c>
      <c r="B15" t="str">
        <f>IFERROR(__xludf.DUMMYFUNCTION("""COMPUTED_VALUE"""),"Philippines")</f>
        <v>Philippines</v>
      </c>
      <c r="C15">
        <f>IFERROR(__xludf.DUMMYFUNCTION("""COMPUTED_VALUE"""),1.14891199E8)</f>
        <v>114891199</v>
      </c>
      <c r="D15">
        <f>IFERROR(__xludf.DUMMYFUNCTION("""COMPUTED_VALUE"""),1.17257633E8)</f>
        <v>117257633</v>
      </c>
    </row>
    <row r="16">
      <c r="A16">
        <f>IFERROR(__xludf.DUMMYFUNCTION("""COMPUTED_VALUE"""),14.0)</f>
        <v>14</v>
      </c>
      <c r="B16" t="str">
        <f>IFERROR(__xludf.DUMMYFUNCTION("""COMPUTED_VALUE"""),"Égypte")</f>
        <v>Égypte</v>
      </c>
      <c r="C16">
        <f>IFERROR(__xludf.DUMMYFUNCTION("""COMPUTED_VALUE"""),1.14535772E8)</f>
        <v>114535772</v>
      </c>
      <c r="D16">
        <f>IFERROR(__xludf.DUMMYFUNCTION("""COMPUTED_VALUE"""),1.19233883E8)</f>
        <v>119233883</v>
      </c>
    </row>
    <row r="17">
      <c r="A17">
        <f>IFERROR(__xludf.DUMMYFUNCTION("""COMPUTED_VALUE"""),15.0)</f>
        <v>15</v>
      </c>
      <c r="B17" t="str">
        <f>IFERROR(__xludf.DUMMYFUNCTION("""COMPUTED_VALUE"""),"République démocratique du Congo")</f>
        <v>République démocratique du Congo</v>
      </c>
      <c r="C17">
        <f>IFERROR(__xludf.DUMMYFUNCTION("""COMPUTED_VALUE"""),1.05789731E8)</f>
        <v>105789731</v>
      </c>
      <c r="D17">
        <f>IFERROR(__xludf.DUMMYFUNCTION("""COMPUTED_VALUE"""),1.14628568E8)</f>
        <v>114628568</v>
      </c>
    </row>
    <row r="18">
      <c r="A18">
        <f>IFERROR(__xludf.DUMMYFUNCTION("""COMPUTED_VALUE"""),16.0)</f>
        <v>16</v>
      </c>
      <c r="B18" t="str">
        <f>IFERROR(__xludf.DUMMYFUNCTION("""COMPUTED_VALUE"""),"Vietnam")</f>
        <v>Vietnam</v>
      </c>
      <c r="C18">
        <f>IFERROR(__xludf.DUMMYFUNCTION("""COMPUTED_VALUE"""),1.00352192E8)</f>
        <v>100352192</v>
      </c>
      <c r="D18">
        <f>IFERROR(__xludf.DUMMYFUNCTION("""COMPUTED_VALUE"""),1.01896973E8)</f>
        <v>101896973</v>
      </c>
    </row>
    <row r="19">
      <c r="A19">
        <f>IFERROR(__xludf.DUMMYFUNCTION("""COMPUTED_VALUE"""),17.0)</f>
        <v>17</v>
      </c>
      <c r="B19" t="str">
        <f>IFERROR(__xludf.DUMMYFUNCTION("""COMPUTED_VALUE"""),"Iran")</f>
        <v>Iran</v>
      </c>
      <c r="C19">
        <f>IFERROR(__xludf.DUMMYFUNCTION("""COMPUTED_VALUE"""),9.0608707E7)</f>
        <v>90608707</v>
      </c>
      <c r="D19">
        <f>IFERROR(__xludf.DUMMYFUNCTION("""COMPUTED_VALUE"""),9.2814664E7)</f>
        <v>92814664</v>
      </c>
    </row>
    <row r="20">
      <c r="A20">
        <f>IFERROR(__xludf.DUMMYFUNCTION("""COMPUTED_VALUE"""),18.0)</f>
        <v>18</v>
      </c>
      <c r="B20" t="str">
        <f>IFERROR(__xludf.DUMMYFUNCTION("""COMPUTED_VALUE"""),"Turquie")</f>
        <v>Turquie</v>
      </c>
      <c r="C20">
        <f>IFERROR(__xludf.DUMMYFUNCTION("""COMPUTED_VALUE"""),8.7270501E7)</f>
        <v>87270501</v>
      </c>
      <c r="D20">
        <f>IFERROR(__xludf.DUMMYFUNCTION("""COMPUTED_VALUE"""),8.7794917E7)</f>
        <v>87794917</v>
      </c>
    </row>
    <row r="21">
      <c r="A21">
        <f>IFERROR(__xludf.DUMMYFUNCTION("""COMPUTED_VALUE"""),19.0)</f>
        <v>19</v>
      </c>
      <c r="B21" t="str">
        <f>IFERROR(__xludf.DUMMYFUNCTION("""COMPUTED_VALUE"""),"Allemagne")</f>
        <v>Allemagne</v>
      </c>
      <c r="C21">
        <f>IFERROR(__xludf.DUMMYFUNCTION("""COMPUTED_VALUE"""),8.4548231E7)</f>
        <v>84548231</v>
      </c>
      <c r="D21">
        <f>IFERROR(__xludf.DUMMYFUNCTION("""COMPUTED_VALUE"""),8.3741228E7)</f>
        <v>83741228</v>
      </c>
    </row>
    <row r="22">
      <c r="A22">
        <f>IFERROR(__xludf.DUMMYFUNCTION("""COMPUTED_VALUE"""),20.0)</f>
        <v>20</v>
      </c>
      <c r="B22" t="str">
        <f>IFERROR(__xludf.DUMMYFUNCTION("""COMPUTED_VALUE"""),"Thaïlande")</f>
        <v>Thaïlande</v>
      </c>
      <c r="C22">
        <f>IFERROR(__xludf.DUMMYFUNCTION("""COMPUTED_VALUE"""),7.1702435E7)</f>
        <v>71702435</v>
      </c>
      <c r="D22">
        <f>IFERROR(__xludf.DUMMYFUNCTION("""COMPUTED_VALUE"""),7.1592912E7)</f>
        <v>71592912</v>
      </c>
    </row>
    <row r="23">
      <c r="A23">
        <f>IFERROR(__xludf.DUMMYFUNCTION("""COMPUTED_VALUE"""),21.0)</f>
        <v>21</v>
      </c>
      <c r="B23" t="str">
        <f>IFERROR(__xludf.DUMMYFUNCTION("""COMPUTED_VALUE"""),"Royaume-Uni[f]")</f>
        <v>Royaume-Uni[f]</v>
      </c>
      <c r="C23">
        <f>IFERROR(__xludf.DUMMYFUNCTION("""COMPUTED_VALUE"""),6.8682962E7)</f>
        <v>68682962</v>
      </c>
      <c r="D23">
        <f>IFERROR(__xludf.DUMMYFUNCTION("""COMPUTED_VALUE"""),6.9749323E7)</f>
        <v>69749323</v>
      </c>
    </row>
    <row r="24">
      <c r="A24">
        <f>IFERROR(__xludf.DUMMYFUNCTION("""COMPUTED_VALUE"""),22.0)</f>
        <v>22</v>
      </c>
      <c r="B24" t="str">
        <f>IFERROR(__xludf.DUMMYFUNCTION("""COMPUTED_VALUE"""),"Tanzanie")</f>
        <v>Tanzanie</v>
      </c>
      <c r="C24">
        <f>IFERROR(__xludf.DUMMYFUNCTION("""COMPUTED_VALUE"""),6.6617606E7)</f>
        <v>66617606</v>
      </c>
      <c r="D24">
        <f>IFERROR(__xludf.DUMMYFUNCTION("""COMPUTED_VALUE"""),7.1549625E7)</f>
        <v>71549625</v>
      </c>
    </row>
    <row r="25">
      <c r="A25">
        <f>IFERROR(__xludf.DUMMYFUNCTION("""COMPUTED_VALUE"""),23.0)</f>
        <v>23</v>
      </c>
      <c r="B25" t="str">
        <f>IFERROR(__xludf.DUMMYFUNCTION("""COMPUTED_VALUE"""),"France[g]")</f>
        <v>France[g]</v>
      </c>
      <c r="C25">
        <f>IFERROR(__xludf.DUMMYFUNCTION("""COMPUTED_VALUE"""),6.6438822E7)</f>
        <v>66438822</v>
      </c>
      <c r="D25">
        <f>IFERROR(__xludf.DUMMYFUNCTION("""COMPUTED_VALUE"""),6.6700707E7)</f>
        <v>66700707</v>
      </c>
    </row>
    <row r="26">
      <c r="A26">
        <f>IFERROR(__xludf.DUMMYFUNCTION("""COMPUTED_VALUE"""),24.0)</f>
        <v>24</v>
      </c>
      <c r="B26" t="str">
        <f>IFERROR(__xludf.DUMMYFUNCTION("""COMPUTED_VALUE"""),"Afrique du Sud")</f>
        <v>Afrique du Sud</v>
      </c>
      <c r="C26">
        <f>IFERROR(__xludf.DUMMYFUNCTION("""COMPUTED_VALUE"""),6.3212384E7)</f>
        <v>63212384</v>
      </c>
      <c r="D26">
        <f>IFERROR(__xludf.DUMMYFUNCTION("""COMPUTED_VALUE"""),6.510815E7)</f>
        <v>65108150</v>
      </c>
    </row>
    <row r="27">
      <c r="A27">
        <f>IFERROR(__xludf.DUMMYFUNCTION("""COMPUTED_VALUE"""),25.0)</f>
        <v>25</v>
      </c>
      <c r="B27" t="str">
        <f>IFERROR(__xludf.DUMMYFUNCTION("""COMPUTED_VALUE"""),"Italie")</f>
        <v>Italie</v>
      </c>
      <c r="C27">
        <f>IFERROR(__xludf.DUMMYFUNCTION("""COMPUTED_VALUE"""),5.9499453E7)</f>
        <v>59499453</v>
      </c>
      <c r="D27">
        <f>IFERROR(__xludf.DUMMYFUNCTION("""COMPUTED_VALUE"""),5.9041927E7)</f>
        <v>59041927</v>
      </c>
    </row>
    <row r="28">
      <c r="A28">
        <f>IFERROR(__xludf.DUMMYFUNCTION("""COMPUTED_VALUE"""),26.0)</f>
        <v>26</v>
      </c>
      <c r="B28" t="str">
        <f>IFERROR(__xludf.DUMMYFUNCTION("""COMPUTED_VALUE"""),"Kenya")</f>
        <v>Kenya</v>
      </c>
      <c r="C28">
        <f>IFERROR(__xludf.DUMMYFUNCTION("""COMPUTED_VALUE"""),5.5339003E7)</f>
        <v>55339003</v>
      </c>
      <c r="D28">
        <f>IFERROR(__xludf.DUMMYFUNCTION("""COMPUTED_VALUE"""),5.808359E7)</f>
        <v>58083590</v>
      </c>
    </row>
    <row r="29">
      <c r="A29">
        <f>IFERROR(__xludf.DUMMYFUNCTION("""COMPUTED_VALUE"""),27.0)</f>
        <v>27</v>
      </c>
      <c r="B29" t="str">
        <f>IFERROR(__xludf.DUMMYFUNCTION("""COMPUTED_VALUE"""),"Birmanie")</f>
        <v>Birmanie</v>
      </c>
      <c r="C29">
        <f>IFERROR(__xludf.DUMMYFUNCTION("""COMPUTED_VALUE"""),5.4133798E7)</f>
        <v>54133798</v>
      </c>
      <c r="D29">
        <f>IFERROR(__xludf.DUMMYFUNCTION("""COMPUTED_VALUE"""),5.5021595E7)</f>
        <v>55021595</v>
      </c>
    </row>
    <row r="30">
      <c r="A30">
        <f>IFERROR(__xludf.DUMMYFUNCTION("""COMPUTED_VALUE"""),28.0)</f>
        <v>28</v>
      </c>
      <c r="B30" t="str">
        <f>IFERROR(__xludf.DUMMYFUNCTION("""COMPUTED_VALUE"""),"Colombie")</f>
        <v>Colombie</v>
      </c>
      <c r="C30">
        <f>IFERROR(__xludf.DUMMYFUNCTION("""COMPUTED_VALUE"""),5.2321152E7)</f>
        <v>52321152</v>
      </c>
      <c r="D30">
        <f>IFERROR(__xludf.DUMMYFUNCTION("""COMPUTED_VALUE"""),5.3688245E7)</f>
        <v>53688245</v>
      </c>
    </row>
    <row r="31">
      <c r="A31">
        <f>IFERROR(__xludf.DUMMYFUNCTION("""COMPUTED_VALUE"""),29.0)</f>
        <v>29</v>
      </c>
      <c r="B31" t="str">
        <f>IFERROR(__xludf.DUMMYFUNCTION("""COMPUTED_VALUE"""),"Corée du Sud")</f>
        <v>Corée du Sud</v>
      </c>
      <c r="C31">
        <f>IFERROR(__xludf.DUMMYFUNCTION("""COMPUTED_VALUE"""),5.1748739E7)</f>
        <v>51748739</v>
      </c>
      <c r="D31">
        <f>IFERROR(__xludf.DUMMYFUNCTION("""COMPUTED_VALUE"""),5.1636965E7)</f>
        <v>51636965</v>
      </c>
    </row>
    <row r="32">
      <c r="A32">
        <f>IFERROR(__xludf.DUMMYFUNCTION("""COMPUTED_VALUE"""),30.0)</f>
        <v>30</v>
      </c>
      <c r="B32" t="str">
        <f>IFERROR(__xludf.DUMMYFUNCTION("""COMPUTED_VALUE"""),"Soudan")</f>
        <v>Soudan</v>
      </c>
      <c r="C32">
        <f>IFERROR(__xludf.DUMMYFUNCTION("""COMPUTED_VALUE"""),5.0042791E7)</f>
        <v>50042791</v>
      </c>
      <c r="D32">
        <f>IFERROR(__xludf.DUMMYFUNCTION("""COMPUTED_VALUE"""),5.2474943E7)</f>
        <v>52474943</v>
      </c>
    </row>
    <row r="33">
      <c r="A33">
        <f>IFERROR(__xludf.DUMMYFUNCTION("""COMPUTED_VALUE"""),31.0)</f>
        <v>31</v>
      </c>
      <c r="B33" t="str">
        <f>IFERROR(__xludf.DUMMYFUNCTION("""COMPUTED_VALUE"""),"Ouganda")</f>
        <v>Ouganda</v>
      </c>
      <c r="C33">
        <f>IFERROR(__xludf.DUMMYFUNCTION("""COMPUTED_VALUE"""),4.8656601E7)</f>
        <v>48656601</v>
      </c>
      <c r="D33">
        <f>IFERROR(__xludf.DUMMYFUNCTION("""COMPUTED_VALUE"""),5.2071696E7)</f>
        <v>52071696</v>
      </c>
    </row>
    <row r="34">
      <c r="A34">
        <f>IFERROR(__xludf.DUMMYFUNCTION("""COMPUTED_VALUE"""),32.0)</f>
        <v>32</v>
      </c>
      <c r="B34" t="str">
        <f>IFERROR(__xludf.DUMMYFUNCTION("""COMPUTED_VALUE"""),"Espagne")</f>
        <v>Espagne</v>
      </c>
      <c r="C34">
        <f>IFERROR(__xludf.DUMMYFUNCTION("""COMPUTED_VALUE"""),4.7911579E7)</f>
        <v>47911579</v>
      </c>
      <c r="D34">
        <f>IFERROR(__xludf.DUMMYFUNCTION("""COMPUTED_VALUE"""),4.7874678E7)</f>
        <v>47874678</v>
      </c>
    </row>
    <row r="35">
      <c r="A35">
        <f>IFERROR(__xludf.DUMMYFUNCTION("""COMPUTED_VALUE"""),33.0)</f>
        <v>33</v>
      </c>
      <c r="B35" t="str">
        <f>IFERROR(__xludf.DUMMYFUNCTION("""COMPUTED_VALUE"""),"Algérie")</f>
        <v>Algérie</v>
      </c>
      <c r="C35">
        <f>IFERROR(__xludf.DUMMYFUNCTION("""COMPUTED_VALUE"""),4.6164219E7)</f>
        <v>46164219</v>
      </c>
      <c r="D35">
        <f>IFERROR(__xludf.DUMMYFUNCTION("""COMPUTED_VALUE"""),4.7739103E7)</f>
        <v>47739103</v>
      </c>
    </row>
    <row r="36">
      <c r="A36">
        <f>IFERROR(__xludf.DUMMYFUNCTION("""COMPUTED_VALUE"""),34.0)</f>
        <v>34</v>
      </c>
      <c r="B36" t="str">
        <f>IFERROR(__xludf.DUMMYFUNCTION("""COMPUTED_VALUE"""),"Argentine")</f>
        <v>Argentine</v>
      </c>
      <c r="C36">
        <f>IFERROR(__xludf.DUMMYFUNCTION("""COMPUTED_VALUE"""),4.5538401E7)</f>
        <v>45538401</v>
      </c>
      <c r="D36">
        <f>IFERROR(__xludf.DUMMYFUNCTION("""COMPUTED_VALUE"""),4.5928215E7)</f>
        <v>45928215</v>
      </c>
    </row>
    <row r="37">
      <c r="A37">
        <f>IFERROR(__xludf.DUMMYFUNCTION("""COMPUTED_VALUE"""),35.0)</f>
        <v>35</v>
      </c>
      <c r="B37" t="str">
        <f>IFERROR(__xludf.DUMMYFUNCTION("""COMPUTED_VALUE"""),"Irak")</f>
        <v>Irak</v>
      </c>
      <c r="C37">
        <f>IFERROR(__xludf.DUMMYFUNCTION("""COMPUTED_VALUE"""),4.5074049E7)</f>
        <v>45074049</v>
      </c>
      <c r="D37">
        <f>IFERROR(__xludf.DUMMYFUNCTION("""COMPUTED_VALUE"""),4.7515421E7)</f>
        <v>47515421</v>
      </c>
    </row>
    <row r="38">
      <c r="A38">
        <f>IFERROR(__xludf.DUMMYFUNCTION("""COMPUTED_VALUE"""),36.0)</f>
        <v>36</v>
      </c>
      <c r="B38" t="str">
        <f>IFERROR(__xludf.DUMMYFUNCTION("""COMPUTED_VALUE"""),"Afghanistan")</f>
        <v>Afghanistan</v>
      </c>
      <c r="C38">
        <f>IFERROR(__xludf.DUMMYFUNCTION("""COMPUTED_VALUE"""),4.1454761E7)</f>
        <v>41454761</v>
      </c>
      <c r="D38">
        <f>IFERROR(__xludf.DUMMYFUNCTION("""COMPUTED_VALUE"""),4.4437893E7)</f>
        <v>44437893</v>
      </c>
    </row>
    <row r="39">
      <c r="A39">
        <f>IFERROR(__xludf.DUMMYFUNCTION("""COMPUTED_VALUE"""),37.0)</f>
        <v>37</v>
      </c>
      <c r="B39" t="str">
        <f>IFERROR(__xludf.DUMMYFUNCTION("""COMPUTED_VALUE"""),"Yémen")</f>
        <v>Yémen</v>
      </c>
      <c r="C39">
        <f>IFERROR(__xludf.DUMMYFUNCTION("""COMPUTED_VALUE"""),3.9390799E7)</f>
        <v>39390799</v>
      </c>
      <c r="D39">
        <f>IFERROR(__xludf.DUMMYFUNCTION("""COMPUTED_VALUE"""),4.2368687E7)</f>
        <v>42368687</v>
      </c>
    </row>
    <row r="40">
      <c r="A40">
        <f>IFERROR(__xludf.DUMMYFUNCTION("""COMPUTED_VALUE"""),38.0)</f>
        <v>38</v>
      </c>
      <c r="B40" t="str">
        <f>IFERROR(__xludf.DUMMYFUNCTION("""COMPUTED_VALUE"""),"Canada")</f>
        <v>Canada</v>
      </c>
      <c r="C40">
        <f>IFERROR(__xludf.DUMMYFUNCTION("""COMPUTED_VALUE"""),3.9299105E7)</f>
        <v>39299105</v>
      </c>
      <c r="D40">
        <f>IFERROR(__xludf.DUMMYFUNCTION("""COMPUTED_VALUE"""),4.030707E7)</f>
        <v>40307070</v>
      </c>
    </row>
    <row r="41">
      <c r="A41">
        <f>IFERROR(__xludf.DUMMYFUNCTION("""COMPUTED_VALUE"""),39.0)</f>
        <v>39</v>
      </c>
      <c r="B41" t="str">
        <f>IFERROR(__xludf.DUMMYFUNCTION("""COMPUTED_VALUE"""),"Pologne")</f>
        <v>Pologne</v>
      </c>
      <c r="C41">
        <f>IFERROR(__xludf.DUMMYFUNCTION("""COMPUTED_VALUE"""),3.8762844E7)</f>
        <v>38762844</v>
      </c>
      <c r="D41">
        <f>IFERROR(__xludf.DUMMYFUNCTION("""COMPUTED_VALUE"""),3.7915155E7)</f>
        <v>37915155</v>
      </c>
    </row>
    <row r="42">
      <c r="A42">
        <f>IFERROR(__xludf.DUMMYFUNCTION("""COMPUTED_VALUE"""),40.0)</f>
        <v>40</v>
      </c>
      <c r="B42" t="str">
        <f>IFERROR(__xludf.DUMMYFUNCTION("""COMPUTED_VALUE"""),"Ukraine[h]")</f>
        <v>Ukraine[h]</v>
      </c>
      <c r="C42">
        <f>IFERROR(__xludf.DUMMYFUNCTION("""COMPUTED_VALUE"""),3.7732836E7)</f>
        <v>37732836</v>
      </c>
      <c r="D42">
        <f>IFERROR(__xludf.DUMMYFUNCTION("""COMPUTED_VALUE"""),3.968157E7)</f>
        <v>39681570</v>
      </c>
    </row>
    <row r="43">
      <c r="A43">
        <f>IFERROR(__xludf.DUMMYFUNCTION("""COMPUTED_VALUE"""),41.0)</f>
        <v>41</v>
      </c>
      <c r="B43" t="str">
        <f>IFERROR(__xludf.DUMMYFUNCTION("""COMPUTED_VALUE"""),"Maroc[i]")</f>
        <v>Maroc[i]</v>
      </c>
      <c r="C43">
        <f>IFERROR(__xludf.DUMMYFUNCTION("""COMPUTED_VALUE"""),3.7712505E7)</f>
        <v>37712505</v>
      </c>
      <c r="D43">
        <f>IFERROR(__xludf.DUMMYFUNCTION("""COMPUTED_VALUE"""),3.8600478E7)</f>
        <v>38600478</v>
      </c>
    </row>
    <row r="44">
      <c r="A44">
        <f>IFERROR(__xludf.DUMMYFUNCTION("""COMPUTED_VALUE"""),42.0)</f>
        <v>42</v>
      </c>
      <c r="B44" t="str">
        <f>IFERROR(__xludf.DUMMYFUNCTION("""COMPUTED_VALUE"""),"Angola")</f>
        <v>Angola</v>
      </c>
      <c r="C44">
        <f>IFERROR(__xludf.DUMMYFUNCTION("""COMPUTED_VALUE"""),3.6749906E7)</f>
        <v>36749906</v>
      </c>
      <c r="D44">
        <f>IFERROR(__xludf.DUMMYFUNCTION("""COMPUTED_VALUE"""),3.9621234E7)</f>
        <v>39621234</v>
      </c>
    </row>
    <row r="45">
      <c r="A45">
        <f>IFERROR(__xludf.DUMMYFUNCTION("""COMPUTED_VALUE"""),43.0)</f>
        <v>43</v>
      </c>
      <c r="B45" t="str">
        <f>IFERROR(__xludf.DUMMYFUNCTION("""COMPUTED_VALUE"""),"Ouzbékistan")</f>
        <v>Ouzbékistan</v>
      </c>
      <c r="C45">
        <f>IFERROR(__xludf.DUMMYFUNCTION("""COMPUTED_VALUE"""),3.5652307E7)</f>
        <v>35652307</v>
      </c>
      <c r="D45">
        <f>IFERROR(__xludf.DUMMYFUNCTION("""COMPUTED_VALUE"""),3.7393592E7)</f>
        <v>37393592</v>
      </c>
    </row>
    <row r="46">
      <c r="A46">
        <f>IFERROR(__xludf.DUMMYFUNCTION("""COMPUTED_VALUE"""),44.0)</f>
        <v>44</v>
      </c>
      <c r="B46" t="str">
        <f>IFERROR(__xludf.DUMMYFUNCTION("""COMPUTED_VALUE"""),"Malaisie")</f>
        <v>Malaisie</v>
      </c>
      <c r="C46">
        <f>IFERROR(__xludf.DUMMYFUNCTION("""COMPUTED_VALUE"""),3.5126298E7)</f>
        <v>35126298</v>
      </c>
      <c r="D46">
        <f>IFERROR(__xludf.DUMMYFUNCTION("""COMPUTED_VALUE"""),3.6184571E7)</f>
        <v>36184571</v>
      </c>
    </row>
    <row r="47">
      <c r="A47">
        <f>IFERROR(__xludf.DUMMYFUNCTION("""COMPUTED_VALUE"""),45.0)</f>
        <v>45</v>
      </c>
      <c r="B47" t="str">
        <f>IFERROR(__xludf.DUMMYFUNCTION("""COMPUTED_VALUE"""),"Pérou")</f>
        <v>Pérou</v>
      </c>
      <c r="C47">
        <f>IFERROR(__xludf.DUMMYFUNCTION("""COMPUTED_VALUE"""),3.3845617E7)</f>
        <v>33845617</v>
      </c>
      <c r="D47">
        <f>IFERROR(__xludf.DUMMYFUNCTION("""COMPUTED_VALUE"""),3.4752525E7)</f>
        <v>34752525</v>
      </c>
    </row>
    <row r="48">
      <c r="A48">
        <f>IFERROR(__xludf.DUMMYFUNCTION("""COMPUTED_VALUE"""),46.0)</f>
        <v>46</v>
      </c>
      <c r="B48" t="str">
        <f>IFERROR(__xludf.DUMMYFUNCTION("""COMPUTED_VALUE"""),"Ghana")</f>
        <v>Ghana</v>
      </c>
      <c r="C48">
        <f>IFERROR(__xludf.DUMMYFUNCTION("""COMPUTED_VALUE"""),3.3787914E7)</f>
        <v>33787914</v>
      </c>
      <c r="D48">
        <f>IFERROR(__xludf.DUMMYFUNCTION("""COMPUTED_VALUE"""),3.5382175E7)</f>
        <v>35382175</v>
      </c>
    </row>
    <row r="49">
      <c r="A49">
        <f>IFERROR(__xludf.DUMMYFUNCTION("""COMPUTED_VALUE"""),47.0)</f>
        <v>47</v>
      </c>
      <c r="B49" t="str">
        <f>IFERROR(__xludf.DUMMYFUNCTION("""COMPUTED_VALUE"""),"Mozambique")</f>
        <v>Mozambique</v>
      </c>
      <c r="C49">
        <f>IFERROR(__xludf.DUMMYFUNCTION("""COMPUTED_VALUE"""),3.363516E7)</f>
        <v>33635160</v>
      </c>
      <c r="D49">
        <f>IFERROR(__xludf.DUMMYFUNCTION("""COMPUTED_VALUE"""),3.6129468E7)</f>
        <v>36129468</v>
      </c>
    </row>
    <row r="50">
      <c r="A50">
        <f>IFERROR(__xludf.DUMMYFUNCTION("""COMPUTED_VALUE"""),48.0)</f>
        <v>48</v>
      </c>
      <c r="B50" t="str">
        <f>IFERROR(__xludf.DUMMYFUNCTION("""COMPUTED_VALUE"""),"Arabie saoudite")</f>
        <v>Arabie saoudite</v>
      </c>
      <c r="C50">
        <f>IFERROR(__xludf.DUMMYFUNCTION("""COMPUTED_VALUE"""),3.3264292E7)</f>
        <v>33264292</v>
      </c>
      <c r="D50">
        <f>IFERROR(__xludf.DUMMYFUNCTION("""COMPUTED_VALUE"""),3.4868384E7)</f>
        <v>34868384</v>
      </c>
    </row>
    <row r="51">
      <c r="A51">
        <f>IFERROR(__xludf.DUMMYFUNCTION("""COMPUTED_VALUE"""),49.0)</f>
        <v>49</v>
      </c>
      <c r="B51" t="str">
        <f>IFERROR(__xludf.DUMMYFUNCTION("""COMPUTED_VALUE"""),"Madagascar")</f>
        <v>Madagascar</v>
      </c>
      <c r="C51">
        <f>IFERROR(__xludf.DUMMYFUNCTION("""COMPUTED_VALUE"""),3.1195932E7)</f>
        <v>31195932</v>
      </c>
      <c r="D51">
        <f>IFERROR(__xludf.DUMMYFUNCTION("""COMPUTED_VALUE"""),3.3129834E7)</f>
        <v>33129834</v>
      </c>
    </row>
    <row r="52">
      <c r="A52">
        <f>IFERROR(__xludf.DUMMYFUNCTION("""COMPUTED_VALUE"""),50.0)</f>
        <v>50</v>
      </c>
      <c r="B52" t="str">
        <f>IFERROR(__xludf.DUMMYFUNCTION("""COMPUTED_VALUE"""),"Côte d'Ivoire")</f>
        <v>Côte d'Ivoire</v>
      </c>
      <c r="C52">
        <f>IFERROR(__xludf.DUMMYFUNCTION("""COMPUTED_VALUE"""),3.1165654E7)</f>
        <v>31165654</v>
      </c>
      <c r="D52">
        <f>IFERROR(__xludf.DUMMYFUNCTION("""COMPUTED_VALUE"""),3.3102421E7)</f>
        <v>33102421</v>
      </c>
    </row>
    <row r="53">
      <c r="A53">
        <f>IFERROR(__xludf.DUMMYFUNCTION("""COMPUTED_VALUE"""),51.0)</f>
        <v>51</v>
      </c>
      <c r="B53" t="str">
        <f>IFERROR(__xludf.DUMMYFUNCTION("""COMPUTED_VALUE"""),"Népal")</f>
        <v>Népal</v>
      </c>
      <c r="C53">
        <f>IFERROR(__xludf.DUMMYFUNCTION("""COMPUTED_VALUE"""),2.9694614E7)</f>
        <v>29694614</v>
      </c>
      <c r="D53">
        <f>IFERROR(__xludf.DUMMYFUNCTION("""COMPUTED_VALUE"""),2.9608076E7)</f>
        <v>29608076</v>
      </c>
    </row>
    <row r="54">
      <c r="A54">
        <f>IFERROR(__xludf.DUMMYFUNCTION("""COMPUTED_VALUE"""),52.0)</f>
        <v>52</v>
      </c>
      <c r="B54" t="str">
        <f>IFERROR(__xludf.DUMMYFUNCTION("""COMPUTED_VALUE"""),"Cameroun")</f>
        <v>Cameroun</v>
      </c>
      <c r="C54">
        <f>IFERROR(__xludf.DUMMYFUNCTION("""COMPUTED_VALUE"""),2.8372687E7)</f>
        <v>28372687</v>
      </c>
      <c r="D54">
        <f>IFERROR(__xludf.DUMMYFUNCTION("""COMPUTED_VALUE"""),3.0258728E7)</f>
        <v>30258728</v>
      </c>
    </row>
    <row r="55">
      <c r="A55">
        <f>IFERROR(__xludf.DUMMYFUNCTION("""COMPUTED_VALUE"""),53.0)</f>
        <v>53</v>
      </c>
      <c r="B55" t="str">
        <f>IFERROR(__xludf.DUMMYFUNCTION("""COMPUTED_VALUE"""),"Venezuela")</f>
        <v>Venezuela</v>
      </c>
      <c r="C55">
        <f>IFERROR(__xludf.DUMMYFUNCTION("""COMPUTED_VALUE"""),2.8300854E7)</f>
        <v>28300854</v>
      </c>
      <c r="D55">
        <f>IFERROR(__xludf.DUMMYFUNCTION("""COMPUTED_VALUE"""),2.8573631E7)</f>
        <v>28573631</v>
      </c>
    </row>
    <row r="56">
      <c r="A56">
        <f>IFERROR(__xludf.DUMMYFUNCTION("""COMPUTED_VALUE"""),54.0)</f>
        <v>54</v>
      </c>
      <c r="B56" t="str">
        <f>IFERROR(__xludf.DUMMYFUNCTION("""COMPUTED_VALUE"""),"Australie")</f>
        <v>Australie</v>
      </c>
      <c r="C56">
        <f>IFERROR(__xludf.DUMMYFUNCTION("""COMPUTED_VALUE"""),2.6451124E7)</f>
        <v>26451124</v>
      </c>
      <c r="D56">
        <f>IFERROR(__xludf.DUMMYFUNCTION("""COMPUTED_VALUE"""),2.7103088E7)</f>
        <v>27103088</v>
      </c>
    </row>
    <row r="57">
      <c r="A57">
        <f>IFERROR(__xludf.DUMMYFUNCTION("""COMPUTED_VALUE"""),55.0)</f>
        <v>55</v>
      </c>
      <c r="B57" t="str">
        <f>IFERROR(__xludf.DUMMYFUNCTION("""COMPUTED_VALUE"""),"Corée du Nord")</f>
        <v>Corée du Nord</v>
      </c>
      <c r="C57">
        <f>IFERROR(__xludf.DUMMYFUNCTION("""COMPUTED_VALUE"""),2.6418204E7)</f>
        <v>26418204</v>
      </c>
      <c r="D57">
        <f>IFERROR(__xludf.DUMMYFUNCTION("""COMPUTED_VALUE"""),2.6604741E7)</f>
        <v>26604741</v>
      </c>
    </row>
    <row r="58">
      <c r="A58">
        <f>IFERROR(__xludf.DUMMYFUNCTION("""COMPUTED_VALUE"""),56.0)</f>
        <v>56</v>
      </c>
      <c r="B58" t="str">
        <f>IFERROR(__xludf.DUMMYFUNCTION("""COMPUTED_VALUE"""),"Niger")</f>
        <v>Niger</v>
      </c>
      <c r="C58">
        <f>IFERROR(__xludf.DUMMYFUNCTION("""COMPUTED_VALUE"""),2.6159867E7)</f>
        <v>26159867</v>
      </c>
      <c r="D58">
        <f>IFERROR(__xludf.DUMMYFUNCTION("""COMPUTED_VALUE"""),2.8363276E7)</f>
        <v>28363276</v>
      </c>
    </row>
    <row r="59">
      <c r="A59">
        <f>IFERROR(__xludf.DUMMYFUNCTION("""COMPUTED_VALUE"""),57.0)</f>
        <v>57</v>
      </c>
      <c r="B59" t="str">
        <f>IFERROR(__xludf.DUMMYFUNCTION("""COMPUTED_VALUE"""),"Mali")</f>
        <v>Mali</v>
      </c>
      <c r="C59">
        <f>IFERROR(__xludf.DUMMYFUNCTION("""COMPUTED_VALUE"""),2.3769127E7)</f>
        <v>23769127</v>
      </c>
      <c r="D59">
        <f>IFERROR(__xludf.DUMMYFUNCTION("""COMPUTED_VALUE"""),2.5562798E7)</f>
        <v>25562798</v>
      </c>
    </row>
    <row r="60">
      <c r="A60">
        <f>IFERROR(__xludf.DUMMYFUNCTION("""COMPUTED_VALUE"""),58.0)</f>
        <v>58</v>
      </c>
      <c r="B60" t="str">
        <f>IFERROR(__xludf.DUMMYFUNCTION("""COMPUTED_VALUE"""),"Syrie[j]")</f>
        <v>Syrie[j]</v>
      </c>
      <c r="C60">
        <f>IFERROR(__xludf.DUMMYFUNCTION("""COMPUTED_VALUE"""),2.3594623E7)</f>
        <v>23594623</v>
      </c>
      <c r="D60">
        <f>IFERROR(__xludf.DUMMYFUNCTION("""COMPUTED_VALUE"""),2.6069962E7)</f>
        <v>26069962</v>
      </c>
    </row>
    <row r="61">
      <c r="A61">
        <f>IFERROR(__xludf.DUMMYFUNCTION("""COMPUTED_VALUE"""),59.0)</f>
        <v>59</v>
      </c>
      <c r="B61" t="str">
        <f>IFERROR(__xludf.DUMMYFUNCTION("""COMPUTED_VALUE"""),"Taïwan")</f>
        <v>Taïwan</v>
      </c>
      <c r="C61">
        <f>IFERROR(__xludf.DUMMYFUNCTION("""COMPUTED_VALUE"""),2.3317145E7)</f>
        <v>23317145</v>
      </c>
      <c r="D61">
        <f>IFERROR(__xludf.DUMMYFUNCTION("""COMPUTED_VALUE"""),2.306195E7)</f>
        <v>23061950</v>
      </c>
    </row>
    <row r="62">
      <c r="A62">
        <f>IFERROR(__xludf.DUMMYFUNCTION("""COMPUTED_VALUE"""),60.0)</f>
        <v>60</v>
      </c>
      <c r="B62" t="str">
        <f>IFERROR(__xludf.DUMMYFUNCTION("""COMPUTED_VALUE"""),"Burkina Faso")</f>
        <v>Burkina Faso</v>
      </c>
      <c r="C62">
        <f>IFERROR(__xludf.DUMMYFUNCTION("""COMPUTED_VALUE"""),2.3025776E7)</f>
        <v>23025776</v>
      </c>
      <c r="D62">
        <f>IFERROR(__xludf.DUMMYFUNCTION("""COMPUTED_VALUE"""),2.4337514E7)</f>
        <v>24337514</v>
      </c>
    </row>
    <row r="63">
      <c r="A63">
        <f>IFERROR(__xludf.DUMMYFUNCTION("""COMPUTED_VALUE"""),61.0)</f>
        <v>61</v>
      </c>
      <c r="B63" t="str">
        <f>IFERROR(__xludf.DUMMYFUNCTION("""COMPUTED_VALUE"""),"Sri Lanka")</f>
        <v>Sri Lanka</v>
      </c>
      <c r="C63">
        <f>IFERROR(__xludf.DUMMYFUNCTION("""COMPUTED_VALUE"""),2.2971617E7)</f>
        <v>22971617</v>
      </c>
      <c r="D63">
        <f>IFERROR(__xludf.DUMMYFUNCTION("""COMPUTED_VALUE"""),2.3290249E7)</f>
        <v>23290249</v>
      </c>
    </row>
    <row r="64">
      <c r="A64">
        <f>IFERROR(__xludf.DUMMYFUNCTION("""COMPUTED_VALUE"""),62.0)</f>
        <v>62</v>
      </c>
      <c r="B64" t="str">
        <f>IFERROR(__xludf.DUMMYFUNCTION("""COMPUTED_VALUE"""),"Malawi")</f>
        <v>Malawi</v>
      </c>
      <c r="C64">
        <f>IFERROR(__xludf.DUMMYFUNCTION("""COMPUTED_VALUE"""),2.1104482E7)</f>
        <v>21104482</v>
      </c>
      <c r="D64">
        <f>IFERROR(__xludf.DUMMYFUNCTION("""COMPUTED_VALUE"""),2.2497799E7)</f>
        <v>22497799</v>
      </c>
    </row>
    <row r="65">
      <c r="A65">
        <f>IFERROR(__xludf.DUMMYFUNCTION("""COMPUTED_VALUE"""),63.0)</f>
        <v>63</v>
      </c>
      <c r="B65" t="str">
        <f>IFERROR(__xludf.DUMMYFUNCTION("""COMPUTED_VALUE"""),"Zambie")</f>
        <v>Zambie</v>
      </c>
      <c r="C65">
        <f>IFERROR(__xludf.DUMMYFUNCTION("""COMPUTED_VALUE"""),2.0723965E7)</f>
        <v>20723965</v>
      </c>
      <c r="D65">
        <f>IFERROR(__xludf.DUMMYFUNCTION("""COMPUTED_VALUE"""),2.2215385E7)</f>
        <v>22215385</v>
      </c>
    </row>
    <row r="66">
      <c r="A66">
        <f>IFERROR(__xludf.DUMMYFUNCTION("""COMPUTED_VALUE"""),64.0)</f>
        <v>64</v>
      </c>
      <c r="B66" t="str">
        <f>IFERROR(__xludf.DUMMYFUNCTION("""COMPUTED_VALUE"""),"Kazakhstan")</f>
        <v>Kazakhstan</v>
      </c>
      <c r="C66">
        <f>IFERROR(__xludf.DUMMYFUNCTION("""COMPUTED_VALUE"""),2.0330104E7)</f>
        <v>20330104</v>
      </c>
      <c r="D66">
        <f>IFERROR(__xludf.DUMMYFUNCTION("""COMPUTED_VALUE"""),2.0966575E7)</f>
        <v>20966575</v>
      </c>
    </row>
    <row r="67">
      <c r="A67">
        <f>IFERROR(__xludf.DUMMYFUNCTION("""COMPUTED_VALUE"""),65.0)</f>
        <v>65</v>
      </c>
      <c r="B67" t="str">
        <f>IFERROR(__xludf.DUMMYFUNCTION("""COMPUTED_VALUE"""),"Chili")</f>
        <v>Chili</v>
      </c>
      <c r="C67">
        <f>IFERROR(__xludf.DUMMYFUNCTION("""COMPUTED_VALUE"""),1.9658835E7)</f>
        <v>19658835</v>
      </c>
      <c r="D67">
        <f>IFERROR(__xludf.DUMMYFUNCTION("""COMPUTED_VALUE"""),1.990473E7)</f>
        <v>19904730</v>
      </c>
    </row>
    <row r="68">
      <c r="A68">
        <f>IFERROR(__xludf.DUMMYFUNCTION("""COMPUTED_VALUE"""),66.0)</f>
        <v>66</v>
      </c>
      <c r="B68" t="str">
        <f>IFERROR(__xludf.DUMMYFUNCTION("""COMPUTED_VALUE"""),"Tchad")</f>
        <v>Tchad</v>
      </c>
      <c r="C68">
        <f>IFERROR(__xludf.DUMMYFUNCTION("""COMPUTED_VALUE"""),1.9319064E7)</f>
        <v>19319064</v>
      </c>
      <c r="D68">
        <f>IFERROR(__xludf.DUMMYFUNCTION("""COMPUTED_VALUE"""),2.1279608E7)</f>
        <v>21279608</v>
      </c>
    </row>
    <row r="69">
      <c r="A69">
        <f>IFERROR(__xludf.DUMMYFUNCTION("""COMPUTED_VALUE"""),67.0)</f>
        <v>67</v>
      </c>
      <c r="B69" t="str">
        <f>IFERROR(__xludf.DUMMYFUNCTION("""COMPUTED_VALUE"""),"Roumanie")</f>
        <v>Roumanie</v>
      </c>
      <c r="C69">
        <f>IFERROR(__xludf.DUMMYFUNCTION("""COMPUTED_VALUE"""),1.9118479E7)</f>
        <v>19118479</v>
      </c>
      <c r="D69">
        <f>IFERROR(__xludf.DUMMYFUNCTION("""COMPUTED_VALUE"""),1.8854963E7)</f>
        <v>18854963</v>
      </c>
    </row>
    <row r="70">
      <c r="A70">
        <f>IFERROR(__xludf.DUMMYFUNCTION("""COMPUTED_VALUE"""),68.0)</f>
        <v>68</v>
      </c>
      <c r="B70" t="str">
        <f>IFERROR(__xludf.DUMMYFUNCTION("""COMPUTED_VALUE"""),"Somalie[k]")</f>
        <v>Somalie[k]</v>
      </c>
      <c r="C70">
        <f>IFERROR(__xludf.DUMMYFUNCTION("""COMPUTED_VALUE"""),1.8358615E7)</f>
        <v>18358615</v>
      </c>
      <c r="D70">
        <f>IFERROR(__xludf.DUMMYFUNCTION("""COMPUTED_VALUE"""),1.9977002E7)</f>
        <v>19977002</v>
      </c>
    </row>
    <row r="71">
      <c r="A71">
        <f>IFERROR(__xludf.DUMMYFUNCTION("""COMPUTED_VALUE"""),69.0)</f>
        <v>69</v>
      </c>
      <c r="B71" t="str">
        <f>IFERROR(__xludf.DUMMYFUNCTION("""COMPUTED_VALUE"""),"Guatemala")</f>
        <v>Guatemala</v>
      </c>
      <c r="C71">
        <f>IFERROR(__xludf.DUMMYFUNCTION("""COMPUTED_VALUE"""),1.8124838E7)</f>
        <v>18124838</v>
      </c>
      <c r="D71">
        <f>IFERROR(__xludf.DUMMYFUNCTION("""COMPUTED_VALUE"""),1.8828237E7)</f>
        <v>18828237</v>
      </c>
    </row>
    <row r="72">
      <c r="A72">
        <f>IFERROR(__xludf.DUMMYFUNCTION("""COMPUTED_VALUE"""),70.0)</f>
        <v>70</v>
      </c>
      <c r="B72" t="str">
        <f>IFERROR(__xludf.DUMMYFUNCTION("""COMPUTED_VALUE"""),"Pays-Bas[l]")</f>
        <v>Pays-Bas[l]</v>
      </c>
      <c r="C72">
        <f>IFERROR(__xludf.DUMMYFUNCTION("""COMPUTED_VALUE"""),1.8092524E7)</f>
        <v>18092524</v>
      </c>
      <c r="D72">
        <f>IFERROR(__xludf.DUMMYFUNCTION("""COMPUTED_VALUE"""),1.8401709E7)</f>
        <v>18401709</v>
      </c>
    </row>
    <row r="73">
      <c r="A73">
        <f>IFERROR(__xludf.DUMMYFUNCTION("""COMPUTED_VALUE"""),71.0)</f>
        <v>71</v>
      </c>
      <c r="B73" t="str">
        <f>IFERROR(__xludf.DUMMYFUNCTION("""COMPUTED_VALUE"""),"Sénégal")</f>
        <v>Sénégal</v>
      </c>
      <c r="C73">
        <f>IFERROR(__xludf.DUMMYFUNCTION("""COMPUTED_VALUE"""),1.8077573E7)</f>
        <v>18077573</v>
      </c>
      <c r="D73">
        <f>IFERROR(__xludf.DUMMYFUNCTION("""COMPUTED_VALUE"""),1.9148038E7)</f>
        <v>19148038</v>
      </c>
    </row>
    <row r="74">
      <c r="A74">
        <f>IFERROR(__xludf.DUMMYFUNCTION("""COMPUTED_VALUE"""),72.0)</f>
        <v>72</v>
      </c>
      <c r="B74" t="str">
        <f>IFERROR(__xludf.DUMMYFUNCTION("""COMPUTED_VALUE"""),"Équateur")</f>
        <v>Équateur</v>
      </c>
      <c r="C74">
        <f>IFERROR(__xludf.DUMMYFUNCTION("""COMPUTED_VALUE"""),1.7980083E7)</f>
        <v>17980083</v>
      </c>
      <c r="D74">
        <f>IFERROR(__xludf.DUMMYFUNCTION("""COMPUTED_VALUE"""),1.8366994E7)</f>
        <v>18366994</v>
      </c>
    </row>
    <row r="75">
      <c r="A75">
        <f>IFERROR(__xludf.DUMMYFUNCTION("""COMPUTED_VALUE"""),73.0)</f>
        <v>73</v>
      </c>
      <c r="B75" t="str">
        <f>IFERROR(__xludf.DUMMYFUNCTION("""COMPUTED_VALUE"""),"Cambodge")</f>
        <v>Cambodge</v>
      </c>
      <c r="C75">
        <f>IFERROR(__xludf.DUMMYFUNCTION("""COMPUTED_VALUE"""),1.742388E7)</f>
        <v>17423880</v>
      </c>
      <c r="D75">
        <f>IFERROR(__xludf.DUMMYFUNCTION("""COMPUTED_VALUE"""),1.7951445E7)</f>
        <v>17951445</v>
      </c>
    </row>
    <row r="76">
      <c r="A76">
        <f>IFERROR(__xludf.DUMMYFUNCTION("""COMPUTED_VALUE"""),74.0)</f>
        <v>74</v>
      </c>
      <c r="B76" t="str">
        <f>IFERROR(__xludf.DUMMYFUNCTION("""COMPUTED_VALUE"""),"Zimbabwe")</f>
        <v>Zimbabwe</v>
      </c>
      <c r="C76">
        <f>IFERROR(__xludf.DUMMYFUNCTION("""COMPUTED_VALUE"""),1.6340822E7)</f>
        <v>16340822</v>
      </c>
      <c r="D76">
        <f>IFERROR(__xludf.DUMMYFUNCTION("""COMPUTED_VALUE"""),1.7111229E7)</f>
        <v>17111229</v>
      </c>
    </row>
    <row r="77">
      <c r="A77">
        <f>IFERROR(__xludf.DUMMYFUNCTION("""COMPUTED_VALUE"""),75.0)</f>
        <v>75</v>
      </c>
      <c r="B77" t="str">
        <f>IFERROR(__xludf.DUMMYFUNCTION("""COMPUTED_VALUE"""),"Guinée")</f>
        <v>Guinée</v>
      </c>
      <c r="C77">
        <f>IFERROR(__xludf.DUMMYFUNCTION("""COMPUTED_VALUE"""),1.4405468E7)</f>
        <v>14405468</v>
      </c>
      <c r="D77">
        <f>IFERROR(__xludf.DUMMYFUNCTION("""COMPUTED_VALUE"""),1.5271424E7)</f>
        <v>15271424</v>
      </c>
    </row>
    <row r="78">
      <c r="A78">
        <f>IFERROR(__xludf.DUMMYFUNCTION("""COMPUTED_VALUE"""),76.0)</f>
        <v>76</v>
      </c>
      <c r="B78" t="str">
        <f>IFERROR(__xludf.DUMMYFUNCTION("""COMPUTED_VALUE"""),"Bénin")</f>
        <v>Bénin</v>
      </c>
      <c r="C78">
        <f>IFERROR(__xludf.DUMMYFUNCTION("""COMPUTED_VALUE"""),1.4111034E7)</f>
        <v>14111034</v>
      </c>
      <c r="D78">
        <f>IFERROR(__xludf.DUMMYFUNCTION("""COMPUTED_VALUE"""),1.4991374E7)</f>
        <v>14991374</v>
      </c>
    </row>
    <row r="79">
      <c r="A79">
        <f>IFERROR(__xludf.DUMMYFUNCTION("""COMPUTED_VALUE"""),77.0)</f>
        <v>77</v>
      </c>
      <c r="B79" t="str">
        <f>IFERROR(__xludf.DUMMYFUNCTION("""COMPUTED_VALUE"""),"Rwanda")</f>
        <v>Rwanda</v>
      </c>
      <c r="C79">
        <f>IFERROR(__xludf.DUMMYFUNCTION("""COMPUTED_VALUE"""),1.3954471E7)</f>
        <v>13954471</v>
      </c>
      <c r="D79">
        <f>IFERROR(__xludf.DUMMYFUNCTION("""COMPUTED_VALUE"""),1.4731895E7)</f>
        <v>14731895</v>
      </c>
    </row>
    <row r="80">
      <c r="A80">
        <f>IFERROR(__xludf.DUMMYFUNCTION("""COMPUTED_VALUE"""),78.0)</f>
        <v>78</v>
      </c>
      <c r="B80" t="str">
        <f>IFERROR(__xludf.DUMMYFUNCTION("""COMPUTED_VALUE"""),"Burundi")</f>
        <v>Burundi</v>
      </c>
      <c r="C80">
        <f>IFERROR(__xludf.DUMMYFUNCTION("""COMPUTED_VALUE"""),1.368945E7)</f>
        <v>13689450</v>
      </c>
      <c r="D80">
        <f>IFERROR(__xludf.DUMMYFUNCTION("""COMPUTED_VALUE"""),1.4559334E7)</f>
        <v>14559334</v>
      </c>
    </row>
    <row r="81">
      <c r="A81">
        <f>IFERROR(__xludf.DUMMYFUNCTION("""COMPUTED_VALUE"""),79.0)</f>
        <v>79</v>
      </c>
      <c r="B81" t="str">
        <f>IFERROR(__xludf.DUMMYFUNCTION("""COMPUTED_VALUE"""),"Bolivie")</f>
        <v>Bolivie</v>
      </c>
      <c r="C81">
        <f>IFERROR(__xludf.DUMMYFUNCTION("""COMPUTED_VALUE"""),1.2244159E7)</f>
        <v>12244159</v>
      </c>
      <c r="D81">
        <f>IFERROR(__xludf.DUMMYFUNCTION("""COMPUTED_VALUE"""),1.2665879E7)</f>
        <v>12665879</v>
      </c>
    </row>
    <row r="82">
      <c r="A82">
        <f>IFERROR(__xludf.DUMMYFUNCTION("""COMPUTED_VALUE"""),80.0)</f>
        <v>80</v>
      </c>
      <c r="B82" t="str">
        <f>IFERROR(__xludf.DUMMYFUNCTION("""COMPUTED_VALUE"""),"Tunisie")</f>
        <v>Tunisie</v>
      </c>
      <c r="C82">
        <f>IFERROR(__xludf.DUMMYFUNCTION("""COMPUTED_VALUE"""),1.2200431E7)</f>
        <v>12200431</v>
      </c>
      <c r="D82">
        <f>IFERROR(__xludf.DUMMYFUNCTION("""COMPUTED_VALUE"""),1.2383188E7)</f>
        <v>12383188</v>
      </c>
    </row>
    <row r="83">
      <c r="A83">
        <f>IFERROR(__xludf.DUMMYFUNCTION("""COMPUTED_VALUE"""),81.0)</f>
        <v>81</v>
      </c>
      <c r="B83" t="str">
        <f>IFERROR(__xludf.DUMMYFUNCTION("""COMPUTED_VALUE"""),"Belgique")</f>
        <v>Belgique</v>
      </c>
      <c r="C83">
        <f>IFERROR(__xludf.DUMMYFUNCTION("""COMPUTED_VALUE"""),1.1712893E7)</f>
        <v>11712893</v>
      </c>
      <c r="D83">
        <f>IFERROR(__xludf.DUMMYFUNCTION("""COMPUTED_VALUE"""),1.1767361E7)</f>
        <v>11767361</v>
      </c>
    </row>
    <row r="84">
      <c r="A84">
        <f>IFERROR(__xludf.DUMMYFUNCTION("""COMPUTED_VALUE"""),82.0)</f>
        <v>82</v>
      </c>
      <c r="B84" t="str">
        <f>IFERROR(__xludf.DUMMYFUNCTION("""COMPUTED_VALUE"""),"Haïti")</f>
        <v>Haïti</v>
      </c>
      <c r="C84">
        <f>IFERROR(__xludf.DUMMYFUNCTION("""COMPUTED_VALUE"""),1.1637398E7)</f>
        <v>11637398</v>
      </c>
      <c r="D84">
        <f>IFERROR(__xludf.DUMMYFUNCTION("""COMPUTED_VALUE"""),1.1972272E7)</f>
        <v>11972272</v>
      </c>
    </row>
    <row r="85">
      <c r="A85">
        <f>IFERROR(__xludf.DUMMYFUNCTION("""COMPUTED_VALUE"""),83.0)</f>
        <v>83</v>
      </c>
      <c r="B85" t="str">
        <f>IFERROR(__xludf.DUMMYFUNCTION("""COMPUTED_VALUE"""),"Soudan du Sud")</f>
        <v>Soudan du Sud</v>
      </c>
      <c r="C85">
        <f>IFERROR(__xludf.DUMMYFUNCTION("""COMPUTED_VALUE"""),1.1483374E7)</f>
        <v>11483374</v>
      </c>
      <c r="D85">
        <f>IFERROR(__xludf.DUMMYFUNCTION("""COMPUTED_VALUE"""),1.2310612E7)</f>
        <v>12310612</v>
      </c>
    </row>
    <row r="86">
      <c r="A86">
        <f>IFERROR(__xludf.DUMMYFUNCTION("""COMPUTED_VALUE"""),84.0)</f>
        <v>84</v>
      </c>
      <c r="B86" t="str">
        <f>IFERROR(__xludf.DUMMYFUNCTION("""COMPUTED_VALUE"""),"Jordanie")</f>
        <v>Jordanie</v>
      </c>
      <c r="C86">
        <f>IFERROR(__xludf.DUMMYFUNCTION("""COMPUTED_VALUE"""),1.1439213E7)</f>
        <v>11439213</v>
      </c>
      <c r="D86">
        <f>IFERROR(__xludf.DUMMYFUNCTION("""COMPUTED_VALUE"""),1.146656E7)</f>
        <v>11466560</v>
      </c>
    </row>
    <row r="87">
      <c r="A87">
        <f>IFERROR(__xludf.DUMMYFUNCTION("""COMPUTED_VALUE"""),85.0)</f>
        <v>85</v>
      </c>
      <c r="B87" t="str">
        <f>IFERROR(__xludf.DUMMYFUNCTION("""COMPUTED_VALUE"""),"République dominicaine")</f>
        <v>République dominicaine</v>
      </c>
      <c r="C87">
        <f>IFERROR(__xludf.DUMMYFUNCTION("""COMPUTED_VALUE"""),1.1331265E7)</f>
        <v>11331265</v>
      </c>
      <c r="D87">
        <f>IFERROR(__xludf.DUMMYFUNCTION("""COMPUTED_VALUE"""),1.1565848E7)</f>
        <v>11565848</v>
      </c>
    </row>
    <row r="88">
      <c r="A88">
        <f>IFERROR(__xludf.DUMMYFUNCTION("""COMPUTED_VALUE"""),86.0)</f>
        <v>86</v>
      </c>
      <c r="B88" t="str">
        <f>IFERROR(__xludf.DUMMYFUNCTION("""COMPUTED_VALUE"""),"Cuba")</f>
        <v>Cuba</v>
      </c>
      <c r="C88">
        <f>IFERROR(__xludf.DUMMYFUNCTION("""COMPUTED_VALUE"""),1.1019931E7)</f>
        <v>11019931</v>
      </c>
      <c r="D88">
        <f>IFERROR(__xludf.DUMMYFUNCTION("""COMPUTED_VALUE"""),1.0915434E7)</f>
        <v>10915434</v>
      </c>
    </row>
    <row r="89">
      <c r="A89">
        <f>IFERROR(__xludf.DUMMYFUNCTION("""COMPUTED_VALUE"""),87.0)</f>
        <v>87</v>
      </c>
      <c r="B89" t="str">
        <f>IFERROR(__xludf.DUMMYFUNCTION("""COMPUTED_VALUE"""),"Tchéquie")</f>
        <v>Tchéquie</v>
      </c>
      <c r="C89">
        <f>IFERROR(__xludf.DUMMYFUNCTION("""COMPUTED_VALUE"""),1.0809716E7)</f>
        <v>10809716</v>
      </c>
      <c r="D89">
        <f>IFERROR(__xludf.DUMMYFUNCTION("""COMPUTED_VALUE"""),1.0538315E7)</f>
        <v>10538315</v>
      </c>
    </row>
    <row r="90">
      <c r="A90">
        <f>IFERROR(__xludf.DUMMYFUNCTION("""COMPUTED_VALUE"""),88.0)</f>
        <v>88</v>
      </c>
      <c r="B90" t="str">
        <f>IFERROR(__xludf.DUMMYFUNCTION("""COMPUTED_VALUE"""),"Honduras")</f>
        <v>Honduras</v>
      </c>
      <c r="C90">
        <f>IFERROR(__xludf.DUMMYFUNCTION("""COMPUTED_VALUE"""),1.0644851E7)</f>
        <v>10644851</v>
      </c>
      <c r="D90">
        <f>IFERROR(__xludf.DUMMYFUNCTION("""COMPUTED_VALUE"""),1.1095684E7)</f>
        <v>11095684</v>
      </c>
    </row>
    <row r="91">
      <c r="A91">
        <f>IFERROR(__xludf.DUMMYFUNCTION("""COMPUTED_VALUE"""),89.0)</f>
        <v>89</v>
      </c>
      <c r="B91" t="str">
        <f>IFERROR(__xludf.DUMMYFUNCTION("""COMPUTED_VALUE"""),"Émirats arabes unis")</f>
        <v>Émirats arabes unis</v>
      </c>
      <c r="C91">
        <f>IFERROR(__xludf.DUMMYFUNCTION("""COMPUTED_VALUE"""),1.0642081E7)</f>
        <v>10642081</v>
      </c>
      <c r="D91">
        <f>IFERROR(__xludf.DUMMYFUNCTION("""COMPUTED_VALUE"""),1.1476873E7)</f>
        <v>11476873</v>
      </c>
    </row>
    <row r="92">
      <c r="A92">
        <f>IFERROR(__xludf.DUMMYFUNCTION("""COMPUTED_VALUE"""),90.0)</f>
        <v>90</v>
      </c>
      <c r="B92" t="str">
        <f>IFERROR(__xludf.DUMMYFUNCTION("""COMPUTED_VALUE"""),"Suède")</f>
        <v>Suède</v>
      </c>
      <c r="C92">
        <f>IFERROR(__xludf.DUMMYFUNCTION("""COMPUTED_VALUE"""),1.0551494E7)</f>
        <v>10551494</v>
      </c>
      <c r="D92">
        <f>IFERROR(__xludf.DUMMYFUNCTION("""COMPUTED_VALUE"""),1.0680346E7)</f>
        <v>10680346</v>
      </c>
    </row>
    <row r="93">
      <c r="A93">
        <f>IFERROR(__xludf.DUMMYFUNCTION("""COMPUTED_VALUE"""),91.0)</f>
        <v>91</v>
      </c>
      <c r="B93" t="str">
        <f>IFERROR(__xludf.DUMMYFUNCTION("""COMPUTED_VALUE"""),"Portugal")</f>
        <v>Portugal</v>
      </c>
      <c r="C93">
        <f>IFERROR(__xludf.DUMMYFUNCTION("""COMPUTED_VALUE"""),1.0430738E7)</f>
        <v>10430738</v>
      </c>
      <c r="D93">
        <f>IFERROR(__xludf.DUMMYFUNCTION("""COMPUTED_VALUE"""),1.0403733E7)</f>
        <v>10403733</v>
      </c>
    </row>
    <row r="94">
      <c r="A94">
        <f>IFERROR(__xludf.DUMMYFUNCTION("""COMPUTED_VALUE"""),92.0)</f>
        <v>92</v>
      </c>
      <c r="B94" t="str">
        <f>IFERROR(__xludf.DUMMYFUNCTION("""COMPUTED_VALUE"""),"Tadjikistan")</f>
        <v>Tadjikistan</v>
      </c>
      <c r="C94">
        <f>IFERROR(__xludf.DUMMYFUNCTION("""COMPUTED_VALUE"""),1.0389799E7)</f>
        <v>10389799</v>
      </c>
      <c r="D94">
        <f>IFERROR(__xludf.DUMMYFUNCTION("""COMPUTED_VALUE"""),1.0883318E7)</f>
        <v>10883318</v>
      </c>
    </row>
    <row r="95">
      <c r="A95">
        <f>IFERROR(__xludf.DUMMYFUNCTION("""COMPUTED_VALUE"""),93.0)</f>
        <v>93</v>
      </c>
      <c r="B95" t="str">
        <f>IFERROR(__xludf.DUMMYFUNCTION("""COMPUTED_VALUE"""),"Papouasie-Nouvelle-Guinée")</f>
        <v>Papouasie-Nouvelle-Guinée</v>
      </c>
      <c r="C95">
        <f>IFERROR(__xludf.DUMMYFUNCTION("""COMPUTED_VALUE"""),1.0389635E7)</f>
        <v>10389635</v>
      </c>
      <c r="D95">
        <f>IFERROR(__xludf.DUMMYFUNCTION("""COMPUTED_VALUE"""),1.0855692E7)</f>
        <v>10855692</v>
      </c>
    </row>
    <row r="96">
      <c r="A96">
        <f>IFERROR(__xludf.DUMMYFUNCTION("""COMPUTED_VALUE"""),94.0)</f>
        <v>94</v>
      </c>
      <c r="B96" t="str">
        <f>IFERROR(__xludf.DUMMYFUNCTION("""COMPUTED_VALUE"""),"Azerbaïdjan[m]")</f>
        <v>Azerbaïdjan[m]</v>
      </c>
      <c r="C96">
        <f>IFERROR(__xludf.DUMMYFUNCTION("""COMPUTED_VALUE"""),1.0318207E7)</f>
        <v>10318207</v>
      </c>
      <c r="D96">
        <f>IFERROR(__xludf.DUMMYFUNCTION("""COMPUTED_VALUE"""),1.042706E7)</f>
        <v>10427060</v>
      </c>
    </row>
    <row r="97">
      <c r="A97">
        <f>IFERROR(__xludf.DUMMYFUNCTION("""COMPUTED_VALUE"""),95.0)</f>
        <v>95</v>
      </c>
      <c r="B97" t="str">
        <f>IFERROR(__xludf.DUMMYFUNCTION("""COMPUTED_VALUE"""),"Grèce")</f>
        <v>Grèce</v>
      </c>
      <c r="C97">
        <f>IFERROR(__xludf.DUMMYFUNCTION("""COMPUTED_VALUE"""),1.0242908E7)</f>
        <v>10242908</v>
      </c>
      <c r="D97">
        <f>IFERROR(__xludf.DUMMYFUNCTION("""COMPUTED_VALUE"""),9918577.0)</f>
        <v>9918577</v>
      </c>
    </row>
    <row r="98">
      <c r="A98">
        <f>IFERROR(__xludf.DUMMYFUNCTION("""COMPUTED_VALUE"""),96.0)</f>
        <v>96</v>
      </c>
      <c r="B98" t="str">
        <f>IFERROR(__xludf.DUMMYFUNCTION("""COMPUTED_VALUE"""),"Hongrie")</f>
        <v>Hongrie</v>
      </c>
      <c r="C98">
        <f>IFERROR(__xludf.DUMMYFUNCTION("""COMPUTED_VALUE"""),9686463.0)</f>
        <v>9686463</v>
      </c>
      <c r="D98">
        <f>IFERROR(__xludf.DUMMYFUNCTION("""COMPUTED_VALUE"""),9602027.0)</f>
        <v>9602027</v>
      </c>
    </row>
    <row r="99">
      <c r="A99">
        <f>IFERROR(__xludf.DUMMYFUNCTION("""COMPUTED_VALUE"""),97.0)</f>
        <v>97</v>
      </c>
      <c r="B99" t="str">
        <f>IFERROR(__xludf.DUMMYFUNCTION("""COMPUTED_VALUE"""),"Togo")</f>
        <v>Togo</v>
      </c>
      <c r="C99">
        <f>IFERROR(__xludf.DUMMYFUNCTION("""COMPUTED_VALUE"""),9304337.0)</f>
        <v>9304337</v>
      </c>
      <c r="D99">
        <f>IFERROR(__xludf.DUMMYFUNCTION("""COMPUTED_VALUE"""),9825136.0)</f>
        <v>9825136</v>
      </c>
    </row>
    <row r="100">
      <c r="A100">
        <f>IFERROR(__xludf.DUMMYFUNCTION("""COMPUTED_VALUE"""),98.0)</f>
        <v>98</v>
      </c>
      <c r="B100" t="str">
        <f>IFERROR(__xludf.DUMMYFUNCTION("""COMPUTED_VALUE"""),"Israël[n]")</f>
        <v>Israël[n]</v>
      </c>
      <c r="C100">
        <f>IFERROR(__xludf.DUMMYFUNCTION("""COMPUTED_VALUE"""),9256314.0)</f>
        <v>9256314</v>
      </c>
      <c r="D100">
        <f>IFERROR(__xludf.DUMMYFUNCTION("""COMPUTED_VALUE"""),9582136.0)</f>
        <v>9582136</v>
      </c>
    </row>
    <row r="101">
      <c r="A101">
        <f>IFERROR(__xludf.DUMMYFUNCTION("""COMPUTED_VALUE"""),99.0)</f>
        <v>99</v>
      </c>
      <c r="B101" t="str">
        <f>IFERROR(__xludf.DUMMYFUNCTION("""COMPUTED_VALUE"""),"Autriche")</f>
        <v>Autriche</v>
      </c>
      <c r="C101">
        <f>IFERROR(__xludf.DUMMYFUNCTION("""COMPUTED_VALUE"""),9130429.0)</f>
        <v>9130429</v>
      </c>
      <c r="D101">
        <f>IFERROR(__xludf.DUMMYFUNCTION("""COMPUTED_VALUE"""),9110277.0)</f>
        <v>9110277</v>
      </c>
    </row>
    <row r="102">
      <c r="A102">
        <f>IFERROR(__xludf.DUMMYFUNCTION("""COMPUTED_VALUE"""),100.0)</f>
        <v>100</v>
      </c>
      <c r="B102" t="str">
        <f>IFERROR(__xludf.DUMMYFUNCTION("""COMPUTED_VALUE"""),"Biélorussie")</f>
        <v>Biélorussie</v>
      </c>
      <c r="C102">
        <f>IFERROR(__xludf.DUMMYFUNCTION("""COMPUTED_VALUE"""),9115680.0)</f>
        <v>9115680</v>
      </c>
      <c r="D102">
        <f>IFERROR(__xludf.DUMMYFUNCTION("""COMPUTED_VALUE"""),8967712.0)</f>
        <v>8967712</v>
      </c>
    </row>
    <row r="103">
      <c r="A103">
        <f>IFERROR(__xludf.DUMMYFUNCTION("""COMPUTED_VALUE"""),101.0)</f>
        <v>101</v>
      </c>
      <c r="B103" t="str">
        <f>IFERROR(__xludf.DUMMYFUNCTION("""COMPUTED_VALUE"""),"Suisse")</f>
        <v>Suisse</v>
      </c>
      <c r="C103">
        <f>IFERROR(__xludf.DUMMYFUNCTION("""COMPUTED_VALUE"""),8870561.0)</f>
        <v>8870561</v>
      </c>
      <c r="D103">
        <f>IFERROR(__xludf.DUMMYFUNCTION("""COMPUTED_VALUE"""),8988922.0)</f>
        <v>8988922</v>
      </c>
    </row>
    <row r="104">
      <c r="A104">
        <f>IFERROR(__xludf.DUMMYFUNCTION("""COMPUTED_VALUE"""),102.0)</f>
        <v>102</v>
      </c>
      <c r="B104" t="str">
        <f>IFERROR(__xludf.DUMMYFUNCTION("""COMPUTED_VALUE"""),"Sierra Leone")</f>
        <v>Sierra Leone</v>
      </c>
      <c r="C104">
        <f>IFERROR(__xludf.DUMMYFUNCTION("""COMPUTED_VALUE"""),8460512.0)</f>
        <v>8460512</v>
      </c>
      <c r="D104">
        <f>IFERROR(__xludf.DUMMYFUNCTION("""COMPUTED_VALUE"""),8908448.0)</f>
        <v>8908448</v>
      </c>
    </row>
    <row r="105">
      <c r="A105">
        <f>IFERROR(__xludf.DUMMYFUNCTION("""COMPUTED_VALUE"""),103.0)</f>
        <v>103</v>
      </c>
      <c r="B105" t="str">
        <f>IFERROR(__xludf.DUMMYFUNCTION("""COMPUTED_VALUE"""),"Laos")</f>
        <v>Laos</v>
      </c>
      <c r="C105">
        <f>IFERROR(__xludf.DUMMYFUNCTION("""COMPUTED_VALUE"""),7664993.0)</f>
        <v>7664993</v>
      </c>
      <c r="D105">
        <f>IFERROR(__xludf.DUMMYFUNCTION("""COMPUTED_VALUE"""),7924127.0)</f>
        <v>7924127</v>
      </c>
    </row>
    <row r="106">
      <c r="A106" t="str">
        <f>IFERROR(__xludf.DUMMYFUNCTION("""COMPUTED_VALUE"""),"-")</f>
        <v>-</v>
      </c>
      <c r="B106" t="str">
        <f>IFERROR(__xludf.DUMMYFUNCTION("""COMPUTED_VALUE"""),"*Hong Kong*")</f>
        <v>*Hong Kong*</v>
      </c>
      <c r="C106" t="str">
        <f>IFERROR(__xludf.DUMMYFUNCTION("""COMPUTED_VALUE"""),"*7 442 734*")</f>
        <v>*7 442 734*</v>
      </c>
      <c r="D106" t="str">
        <f>IFERROR(__xludf.DUMMYFUNCTION("""COMPUTED_VALUE"""),"*7 395 411*")</f>
        <v>*7 395 411*</v>
      </c>
    </row>
    <row r="107">
      <c r="A107">
        <f>IFERROR(__xludf.DUMMYFUNCTION("""COMPUTED_VALUE"""),104.0)</f>
        <v>104</v>
      </c>
      <c r="B107" t="str">
        <f>IFERROR(__xludf.DUMMYFUNCTION("""COMPUTED_VALUE"""),"Turkménistan")</f>
        <v>Turkménistan</v>
      </c>
      <c r="C107">
        <f>IFERROR(__xludf.DUMMYFUNCTION("""COMPUTED_VALUE"""),7364438.0)</f>
        <v>7364438</v>
      </c>
      <c r="D107">
        <f>IFERROR(__xludf.DUMMYFUNCTION("""COMPUTED_VALUE"""),7679401.0)</f>
        <v>7679401</v>
      </c>
    </row>
    <row r="108">
      <c r="A108">
        <f>IFERROR(__xludf.DUMMYFUNCTION("""COMPUTED_VALUE"""),105.0)</f>
        <v>105</v>
      </c>
      <c r="B108" t="str">
        <f>IFERROR(__xludf.DUMMYFUNCTION("""COMPUTED_VALUE"""),"Libye")</f>
        <v>Libye</v>
      </c>
      <c r="C108">
        <f>IFERROR(__xludf.DUMMYFUNCTION("""COMPUTED_VALUE"""),7305659.0)</f>
        <v>7305659</v>
      </c>
      <c r="D108">
        <f>IFERROR(__xludf.DUMMYFUNCTION("""COMPUTED_VALUE"""),7497603.0)</f>
        <v>7497603</v>
      </c>
    </row>
    <row r="109">
      <c r="A109">
        <f>IFERROR(__xludf.DUMMYFUNCTION("""COMPUTED_VALUE"""),106.0)</f>
        <v>106</v>
      </c>
      <c r="B109" t="str">
        <f>IFERROR(__xludf.DUMMYFUNCTION("""COMPUTED_VALUE"""),"Kirghizistan")</f>
        <v>Kirghizistan</v>
      </c>
      <c r="C109">
        <f>IFERROR(__xludf.DUMMYFUNCTION("""COMPUTED_VALUE"""),7073516.0)</f>
        <v>7073516</v>
      </c>
      <c r="D109">
        <f>IFERROR(__xludf.DUMMYFUNCTION("""COMPUTED_VALUE"""),7348645.0)</f>
        <v>7348645</v>
      </c>
    </row>
    <row r="110">
      <c r="A110">
        <f>IFERROR(__xludf.DUMMYFUNCTION("""COMPUTED_VALUE"""),107.0)</f>
        <v>107</v>
      </c>
      <c r="B110" t="str">
        <f>IFERROR(__xludf.DUMMYFUNCTION("""COMPUTED_VALUE"""),"Paraguay")</f>
        <v>Paraguay</v>
      </c>
      <c r="C110">
        <f>IFERROR(__xludf.DUMMYFUNCTION("""COMPUTED_VALUE"""),6844146.0)</f>
        <v>6844146</v>
      </c>
      <c r="D110">
        <f>IFERROR(__xludf.DUMMYFUNCTION("""COMPUTED_VALUE"""),7054615.0)</f>
        <v>7054615</v>
      </c>
    </row>
    <row r="111">
      <c r="A111">
        <f>IFERROR(__xludf.DUMMYFUNCTION("""COMPUTED_VALUE"""),108.0)</f>
        <v>108</v>
      </c>
      <c r="B111" t="str">
        <f>IFERROR(__xludf.DUMMYFUNCTION("""COMPUTED_VALUE"""),"Nicaragua")</f>
        <v>Nicaragua</v>
      </c>
      <c r="C111">
        <f>IFERROR(__xludf.DUMMYFUNCTION("""COMPUTED_VALUE"""),6823613.0)</f>
        <v>6823613</v>
      </c>
      <c r="D111">
        <f>IFERROR(__xludf.DUMMYFUNCTION("""COMPUTED_VALUE"""),7052795.0)</f>
        <v>7052795</v>
      </c>
    </row>
    <row r="112">
      <c r="A112">
        <f>IFERROR(__xludf.DUMMYFUNCTION("""COMPUTED_VALUE"""),109.0)</f>
        <v>109</v>
      </c>
      <c r="B112" t="str">
        <f>IFERROR(__xludf.DUMMYFUNCTION("""COMPUTED_VALUE"""),"Bulgarie")</f>
        <v>Bulgarie</v>
      </c>
      <c r="C112">
        <f>IFERROR(__xludf.DUMMYFUNCTION("""COMPUTED_VALUE"""),6795803.0)</f>
        <v>6795803</v>
      </c>
      <c r="D112">
        <f>IFERROR(__xludf.DUMMYFUNCTION("""COMPUTED_VALUE"""),6691964.0)</f>
        <v>6691964</v>
      </c>
    </row>
    <row r="113">
      <c r="A113">
        <f>IFERROR(__xludf.DUMMYFUNCTION("""COMPUTED_VALUE"""),110.0)</f>
        <v>110</v>
      </c>
      <c r="B113" t="str">
        <f>IFERROR(__xludf.DUMMYFUNCTION("""COMPUTED_VALUE"""),"Serbie[o]")</f>
        <v>Serbie[o]</v>
      </c>
      <c r="C113">
        <f>IFERROR(__xludf.DUMMYFUNCTION("""COMPUTED_VALUE"""),6773201.0)</f>
        <v>6773201</v>
      </c>
      <c r="D113">
        <f>IFERROR(__xludf.DUMMYFUNCTION("""COMPUTED_VALUE"""),6663980.0)</f>
        <v>6663980</v>
      </c>
    </row>
    <row r="114">
      <c r="A114">
        <f>IFERROR(__xludf.DUMMYFUNCTION("""COMPUTED_VALUE"""),111.0)</f>
        <v>111</v>
      </c>
      <c r="B114" t="str">
        <f>IFERROR(__xludf.DUMMYFUNCTION("""COMPUTED_VALUE"""),"Salvador")</f>
        <v>Salvador</v>
      </c>
      <c r="C114">
        <f>IFERROR(__xludf.DUMMYFUNCTION("""COMPUTED_VALUE"""),6309624.0)</f>
        <v>6309624</v>
      </c>
      <c r="D114">
        <f>IFERROR(__xludf.DUMMYFUNCTION("""COMPUTED_VALUE"""),6378605.0)</f>
        <v>6378605</v>
      </c>
    </row>
    <row r="115">
      <c r="A115">
        <f>IFERROR(__xludf.DUMMYFUNCTION("""COMPUTED_VALUE"""),112.0)</f>
        <v>112</v>
      </c>
      <c r="B115" t="str">
        <f>IFERROR(__xludf.DUMMYFUNCTION("""COMPUTED_VALUE"""),"République du Congo")</f>
        <v>République du Congo</v>
      </c>
      <c r="C115">
        <f>IFERROR(__xludf.DUMMYFUNCTION("""COMPUTED_VALUE"""),6182885.0)</f>
        <v>6182885</v>
      </c>
      <c r="D115">
        <f>IFERROR(__xludf.DUMMYFUNCTION("""COMPUTED_VALUE"""),6560580.0)</f>
        <v>6560580</v>
      </c>
    </row>
    <row r="116">
      <c r="A116">
        <f>IFERROR(__xludf.DUMMYFUNCTION("""COMPUTED_VALUE"""),113.0)</f>
        <v>113</v>
      </c>
      <c r="B116" t="str">
        <f>IFERROR(__xludf.DUMMYFUNCTION("""COMPUTED_VALUE"""),"Danemark[p]")</f>
        <v>Danemark[p]</v>
      </c>
      <c r="C116">
        <f>IFERROR(__xludf.DUMMYFUNCTION("""COMPUTED_VALUE"""),5948136.0)</f>
        <v>5948136</v>
      </c>
      <c r="D116">
        <f>IFERROR(__xludf.DUMMYFUNCTION("""COMPUTED_VALUE"""),6014093.0)</f>
        <v>6014093</v>
      </c>
    </row>
    <row r="117">
      <c r="A117">
        <f>IFERROR(__xludf.DUMMYFUNCTION("""COMPUTED_VALUE"""),114.0)</f>
        <v>114</v>
      </c>
      <c r="B117" t="str">
        <f>IFERROR(__xludf.DUMMYFUNCTION("""COMPUTED_VALUE"""),"Singapour")</f>
        <v>Singapour</v>
      </c>
      <c r="C117">
        <f>IFERROR(__xludf.DUMMYFUNCTION("""COMPUTED_VALUE"""),5789090.0)</f>
        <v>5789090</v>
      </c>
      <c r="D117">
        <f>IFERROR(__xludf.DUMMYFUNCTION("""COMPUTED_VALUE"""),5889187.0)</f>
        <v>5889187</v>
      </c>
    </row>
    <row r="118">
      <c r="A118">
        <f>IFERROR(__xludf.DUMMYFUNCTION("""COMPUTED_VALUE"""),115.0)</f>
        <v>115</v>
      </c>
      <c r="B118" t="str">
        <f>IFERROR(__xludf.DUMMYFUNCTION("""COMPUTED_VALUE"""),"Liban")</f>
        <v>Liban</v>
      </c>
      <c r="C118">
        <f>IFERROR(__xludf.DUMMYFUNCTION("""COMPUTED_VALUE"""),5773493.0)</f>
        <v>5773493</v>
      </c>
      <c r="D118">
        <f>IFERROR(__xludf.DUMMYFUNCTION("""COMPUTED_VALUE"""),5872709.0)</f>
        <v>5872709</v>
      </c>
    </row>
    <row r="119">
      <c r="A119">
        <f>IFERROR(__xludf.DUMMYFUNCTION("""COMPUTED_VALUE"""),116.0)</f>
        <v>116</v>
      </c>
      <c r="B119" t="str">
        <f>IFERROR(__xludf.DUMMYFUNCTION("""COMPUTED_VALUE"""),"Finlande[q]")</f>
        <v>Finlande[q]</v>
      </c>
      <c r="C119">
        <f>IFERROR(__xludf.DUMMYFUNCTION("""COMPUTED_VALUE"""),5601185.0)</f>
        <v>5601185</v>
      </c>
      <c r="D119">
        <f>IFERROR(__xludf.DUMMYFUNCTION("""COMPUTED_VALUE"""),5624082.0)</f>
        <v>5624082</v>
      </c>
    </row>
    <row r="120">
      <c r="A120">
        <f>IFERROR(__xludf.DUMMYFUNCTION("""COMPUTED_VALUE"""),117.0)</f>
        <v>117</v>
      </c>
      <c r="B120" t="str">
        <f>IFERROR(__xludf.DUMMYFUNCTION("""COMPUTED_VALUE"""),"Norvège")</f>
        <v>Norvège</v>
      </c>
      <c r="C120">
        <f>IFERROR(__xludf.DUMMYFUNCTION("""COMPUTED_VALUE"""),5519167.0)</f>
        <v>5519167</v>
      </c>
      <c r="D120">
        <f>IFERROR(__xludf.DUMMYFUNCTION("""COMPUTED_VALUE"""),5642601.0)</f>
        <v>5642601</v>
      </c>
    </row>
    <row r="121">
      <c r="A121">
        <f>IFERROR(__xludf.DUMMYFUNCTION("""COMPUTED_VALUE"""),118.0)</f>
        <v>118</v>
      </c>
      <c r="B121" t="str">
        <f>IFERROR(__xludf.DUMMYFUNCTION("""COMPUTED_VALUE"""),"Slovaquie")</f>
        <v>Slovaquie</v>
      </c>
      <c r="C121">
        <f>IFERROR(__xludf.DUMMYFUNCTION("""COMPUTED_VALUE"""),5518055.0)</f>
        <v>5518055</v>
      </c>
      <c r="D121">
        <f>IFERROR(__xludf.DUMMYFUNCTION("""COMPUTED_VALUE"""),5455816.0)</f>
        <v>5455816</v>
      </c>
    </row>
    <row r="122">
      <c r="A122">
        <f>IFERROR(__xludf.DUMMYFUNCTION("""COMPUTED_VALUE"""),119.0)</f>
        <v>119</v>
      </c>
      <c r="B122" t="str">
        <f>IFERROR(__xludf.DUMMYFUNCTION("""COMPUTED_VALUE"""),"Liberia")</f>
        <v>Liberia</v>
      </c>
      <c r="C122">
        <f>IFERROR(__xludf.DUMMYFUNCTION("""COMPUTED_VALUE"""),5493031.0)</f>
        <v>5493031</v>
      </c>
      <c r="D122">
        <f>IFERROR(__xludf.DUMMYFUNCTION("""COMPUTED_VALUE"""),5790170.0)</f>
        <v>5790170</v>
      </c>
    </row>
    <row r="123">
      <c r="A123">
        <f>IFERROR(__xludf.DUMMYFUNCTION("""COMPUTED_VALUE"""),120.0)</f>
        <v>120</v>
      </c>
      <c r="B123" t="str">
        <f>IFERROR(__xludf.DUMMYFUNCTION("""COMPUTED_VALUE"""),"Palestine[r]")</f>
        <v>Palestine[r]</v>
      </c>
      <c r="C123">
        <f>IFERROR(__xludf.DUMMYFUNCTION("""COMPUTED_VALUE"""),5409202.0)</f>
        <v>5409202</v>
      </c>
      <c r="D123">
        <f>IFERROR(__xludf.DUMMYFUNCTION("""COMPUTED_VALUE"""),5638786.0)</f>
        <v>5638786</v>
      </c>
    </row>
    <row r="124">
      <c r="A124">
        <f>IFERROR(__xludf.DUMMYFUNCTION("""COMPUTED_VALUE"""),121.0)</f>
        <v>121</v>
      </c>
      <c r="B124" t="str">
        <f>IFERROR(__xludf.DUMMYFUNCTION("""COMPUTED_VALUE"""),"Irlande")</f>
        <v>Irlande</v>
      </c>
      <c r="C124">
        <f>IFERROR(__xludf.DUMMYFUNCTION("""COMPUTED_VALUE"""),5196630.0)</f>
        <v>5196630</v>
      </c>
      <c r="D124">
        <f>IFERROR(__xludf.DUMMYFUNCTION("""COMPUTED_VALUE"""),5333468.0)</f>
        <v>5333468</v>
      </c>
    </row>
    <row r="125">
      <c r="A125">
        <f>IFERROR(__xludf.DUMMYFUNCTION("""COMPUTED_VALUE"""),122.0)</f>
        <v>122</v>
      </c>
      <c r="B125" t="str">
        <f>IFERROR(__xludf.DUMMYFUNCTION("""COMPUTED_VALUE"""),"Nouvelle-Zélande[s]")</f>
        <v>Nouvelle-Zélande[s]</v>
      </c>
      <c r="C125">
        <f>IFERROR(__xludf.DUMMYFUNCTION("""COMPUTED_VALUE"""),5172836.0)</f>
        <v>5172836</v>
      </c>
      <c r="D125">
        <f>IFERROR(__xludf.DUMMYFUNCTION("""COMPUTED_VALUE"""),5270225.0)</f>
        <v>5270225</v>
      </c>
    </row>
    <row r="126">
      <c r="A126">
        <f>IFERROR(__xludf.DUMMYFUNCTION("""COMPUTED_VALUE"""),123.0)</f>
        <v>123</v>
      </c>
      <c r="B126" t="str">
        <f>IFERROR(__xludf.DUMMYFUNCTION("""COMPUTED_VALUE"""),"République centrafricaine")</f>
        <v>République centrafricaine</v>
      </c>
      <c r="C126">
        <f>IFERROR(__xludf.DUMMYFUNCTION("""COMPUTED_VALUE"""),5152421.0)</f>
        <v>5152421</v>
      </c>
      <c r="D126">
        <f>IFERROR(__xludf.DUMMYFUNCTION("""COMPUTED_VALUE"""),5605434.0)</f>
        <v>5605434</v>
      </c>
    </row>
    <row r="127">
      <c r="A127">
        <f>IFERROR(__xludf.DUMMYFUNCTION("""COMPUTED_VALUE"""),124.0)</f>
        <v>124</v>
      </c>
      <c r="B127" t="str">
        <f>IFERROR(__xludf.DUMMYFUNCTION("""COMPUTED_VALUE"""),"Costa Rica")</f>
        <v>Costa Rica</v>
      </c>
      <c r="C127">
        <f>IFERROR(__xludf.DUMMYFUNCTION("""COMPUTED_VALUE"""),5105525.0)</f>
        <v>5105525</v>
      </c>
      <c r="D127">
        <f>IFERROR(__xludf.DUMMYFUNCTION("""COMPUTED_VALUE"""),5164155.0)</f>
        <v>5164155</v>
      </c>
    </row>
    <row r="128">
      <c r="A128">
        <f>IFERROR(__xludf.DUMMYFUNCTION("""COMPUTED_VALUE"""),125.0)</f>
        <v>125</v>
      </c>
      <c r="B128" t="str">
        <f>IFERROR(__xludf.DUMMYFUNCTION("""COMPUTED_VALUE"""),"Oman")</f>
        <v>Oman</v>
      </c>
      <c r="C128">
        <f>IFERROR(__xludf.DUMMYFUNCTION("""COMPUTED_VALUE"""),5049269.0)</f>
        <v>5049269</v>
      </c>
      <c r="D128">
        <f>IFERROR(__xludf.DUMMYFUNCTION("""COMPUTED_VALUE"""),5591450.0)</f>
        <v>5591450</v>
      </c>
    </row>
    <row r="129">
      <c r="A129">
        <f>IFERROR(__xludf.DUMMYFUNCTION("""COMPUTED_VALUE"""),126.0)</f>
        <v>126</v>
      </c>
      <c r="B129" t="str">
        <f>IFERROR(__xludf.DUMMYFUNCTION("""COMPUTED_VALUE"""),"Mauritanie")</f>
        <v>Mauritanie</v>
      </c>
      <c r="C129">
        <f>IFERROR(__xludf.DUMMYFUNCTION("""COMPUTED_VALUE"""),5022441.0)</f>
        <v>5022441</v>
      </c>
      <c r="D129">
        <f>IFERROR(__xludf.DUMMYFUNCTION("""COMPUTED_VALUE"""),5387859.0)</f>
        <v>5387859</v>
      </c>
    </row>
    <row r="130">
      <c r="A130">
        <f>IFERROR(__xludf.DUMMYFUNCTION("""COMPUTED_VALUE"""),127.0)</f>
        <v>127</v>
      </c>
      <c r="B130" t="str">
        <f>IFERROR(__xludf.DUMMYFUNCTION("""COMPUTED_VALUE"""),"Koweït")</f>
        <v>Koweït</v>
      </c>
      <c r="C130">
        <f>IFERROR(__xludf.DUMMYFUNCTION("""COMPUTED_VALUE"""),4838782.0)</f>
        <v>4838782</v>
      </c>
      <c r="D130">
        <f>IFERROR(__xludf.DUMMYFUNCTION("""COMPUTED_VALUE"""),5067283.0)</f>
        <v>5067283</v>
      </c>
    </row>
    <row r="131">
      <c r="A131">
        <f>IFERROR(__xludf.DUMMYFUNCTION("""COMPUTED_VALUE"""),128.0)</f>
        <v>128</v>
      </c>
      <c r="B131" t="str">
        <f>IFERROR(__xludf.DUMMYFUNCTION("""COMPUTED_VALUE"""),"Panama")</f>
        <v>Panama</v>
      </c>
      <c r="C131">
        <f>IFERROR(__xludf.DUMMYFUNCTION("""COMPUTED_VALUE"""),4458759.0)</f>
        <v>4458759</v>
      </c>
      <c r="D131">
        <f>IFERROR(__xludf.DUMMYFUNCTION("""COMPUTED_VALUE"""),4598712.0)</f>
        <v>4598712</v>
      </c>
    </row>
    <row r="132">
      <c r="A132">
        <f>IFERROR(__xludf.DUMMYFUNCTION("""COMPUTED_VALUE"""),129.0)</f>
        <v>129</v>
      </c>
      <c r="B132" t="str">
        <f>IFERROR(__xludf.DUMMYFUNCTION("""COMPUTED_VALUE"""),"Croatie")</f>
        <v>Croatie</v>
      </c>
      <c r="C132">
        <f>IFERROR(__xludf.DUMMYFUNCTION("""COMPUTED_VALUE"""),3896023.0)</f>
        <v>3896023</v>
      </c>
      <c r="D132">
        <f>IFERROR(__xludf.DUMMYFUNCTION("""COMPUTED_VALUE"""),3835005.0)</f>
        <v>3835005</v>
      </c>
    </row>
    <row r="133">
      <c r="A133">
        <f>IFERROR(__xludf.DUMMYFUNCTION("""COMPUTED_VALUE"""),130.0)</f>
        <v>130</v>
      </c>
      <c r="B133" t="str">
        <f>IFERROR(__xludf.DUMMYFUNCTION("""COMPUTED_VALUE"""),"Géorgie[t]")</f>
        <v>Géorgie[t]</v>
      </c>
      <c r="C133">
        <f>IFERROR(__xludf.DUMMYFUNCTION("""COMPUTED_VALUE"""),3807492.0)</f>
        <v>3807492</v>
      </c>
      <c r="D133">
        <f>IFERROR(__xludf.DUMMYFUNCTION("""COMPUTED_VALUE"""),3805841.0)</f>
        <v>3805841</v>
      </c>
    </row>
    <row r="134">
      <c r="A134">
        <f>IFERROR(__xludf.DUMMYFUNCTION("""COMPUTED_VALUE"""),131.0)</f>
        <v>131</v>
      </c>
      <c r="B134" t="str">
        <f>IFERROR(__xludf.DUMMYFUNCTION("""COMPUTED_VALUE"""),"Érythrée")</f>
        <v>Érythrée</v>
      </c>
      <c r="C134">
        <f>IFERROR(__xludf.DUMMYFUNCTION("""COMPUTED_VALUE"""),3470390.0)</f>
        <v>3470390</v>
      </c>
      <c r="D134">
        <f>IFERROR(__xludf.DUMMYFUNCTION("""COMPUTED_VALUE"""),3644580.0)</f>
        <v>3644580</v>
      </c>
    </row>
    <row r="135">
      <c r="A135">
        <f>IFERROR(__xludf.DUMMYFUNCTION("""COMPUTED_VALUE"""),132.0)</f>
        <v>132</v>
      </c>
      <c r="B135" t="str">
        <f>IFERROR(__xludf.DUMMYFUNCTION("""COMPUTED_VALUE"""),"Mongolie")</f>
        <v>Mongolie</v>
      </c>
      <c r="C135">
        <f>IFERROR(__xludf.DUMMYFUNCTION("""COMPUTED_VALUE"""),3431932.0)</f>
        <v>3431932</v>
      </c>
      <c r="D135">
        <f>IFERROR(__xludf.DUMMYFUNCTION("""COMPUTED_VALUE"""),3537390.0)</f>
        <v>3537390</v>
      </c>
    </row>
    <row r="136">
      <c r="A136">
        <f>IFERROR(__xludf.DUMMYFUNCTION("""COMPUTED_VALUE"""),133.0)</f>
        <v>133</v>
      </c>
      <c r="B136" t="str">
        <f>IFERROR(__xludf.DUMMYFUNCTION("""COMPUTED_VALUE"""),"Uruguay")</f>
        <v>Uruguay</v>
      </c>
      <c r="C136">
        <f>IFERROR(__xludf.DUMMYFUNCTION("""COMPUTED_VALUE"""),3388081.0)</f>
        <v>3388081</v>
      </c>
      <c r="D136">
        <f>IFERROR(__xludf.DUMMYFUNCTION("""COMPUTED_VALUE"""),3383680.0)</f>
        <v>3383680</v>
      </c>
    </row>
    <row r="137">
      <c r="A137" t="str">
        <f>IFERROR(__xludf.DUMMYFUNCTION("""COMPUTED_VALUE"""),"-")</f>
        <v>-</v>
      </c>
      <c r="B137" t="str">
        <f>IFERROR(__xludf.DUMMYFUNCTION("""COMPUTED_VALUE"""),"*Porto Rico*")</f>
        <v>*Porto Rico*</v>
      </c>
      <c r="C137" t="str">
        <f>IFERROR(__xludf.DUMMYFUNCTION("""COMPUTED_VALUE"""),"*3 242 023*")</f>
        <v>*3 242 023*</v>
      </c>
      <c r="D137" t="str">
        <f>IFERROR(__xludf.DUMMYFUNCTION("""COMPUTED_VALUE"""),"*3 230 204*")</f>
        <v>*3 230 204*</v>
      </c>
    </row>
    <row r="138">
      <c r="A138">
        <f>IFERROR(__xludf.DUMMYFUNCTION("""COMPUTED_VALUE"""),134.0)</f>
        <v>134</v>
      </c>
      <c r="B138" t="str">
        <f>IFERROR(__xludf.DUMMYFUNCTION("""COMPUTED_VALUE"""),"Bosnie-Herzégovine")</f>
        <v>Bosnie-Herzégovine</v>
      </c>
      <c r="C138">
        <f>IFERROR(__xludf.DUMMYFUNCTION("""COMPUTED_VALUE"""),3185073.0)</f>
        <v>3185073</v>
      </c>
      <c r="D138">
        <f>IFERROR(__xludf.DUMMYFUNCTION("""COMPUTED_VALUE"""),3127365.0)</f>
        <v>3127365</v>
      </c>
    </row>
    <row r="139">
      <c r="A139">
        <f>IFERROR(__xludf.DUMMYFUNCTION("""COMPUTED_VALUE"""),135.0)</f>
        <v>135</v>
      </c>
      <c r="B139" t="str">
        <f>IFERROR(__xludf.DUMMYFUNCTION("""COMPUTED_VALUE"""),"Moldavie[u]")</f>
        <v>Moldavie[u]</v>
      </c>
      <c r="C139">
        <f>IFERROR(__xludf.DUMMYFUNCTION("""COMPUTED_VALUE"""),3067070.0)</f>
        <v>3067070</v>
      </c>
      <c r="D139">
        <f>IFERROR(__xludf.DUMMYFUNCTION("""COMPUTED_VALUE"""),2975706.0)</f>
        <v>2975706</v>
      </c>
    </row>
    <row r="140">
      <c r="A140">
        <f>IFERROR(__xludf.DUMMYFUNCTION("""COMPUTED_VALUE"""),136.0)</f>
        <v>136</v>
      </c>
      <c r="B140" t="str">
        <f>IFERROR(__xludf.DUMMYFUNCTION("""COMPUTED_VALUE"""),"Qatar")</f>
        <v>Qatar</v>
      </c>
      <c r="C140">
        <f>IFERROR(__xludf.DUMMYFUNCTION("""COMPUTED_VALUE"""),2979082.0)</f>
        <v>2979082</v>
      </c>
      <c r="D140">
        <f>IFERROR(__xludf.DUMMYFUNCTION("""COMPUTED_VALUE"""),3147383.0)</f>
        <v>3147383</v>
      </c>
    </row>
    <row r="141">
      <c r="A141">
        <f>IFERROR(__xludf.DUMMYFUNCTION("""COMPUTED_VALUE"""),137.0)</f>
        <v>137</v>
      </c>
      <c r="B141" t="str">
        <f>IFERROR(__xludf.DUMMYFUNCTION("""COMPUTED_VALUE"""),"Namibie")</f>
        <v>Namibie</v>
      </c>
      <c r="C141">
        <f>IFERROR(__xludf.DUMMYFUNCTION("""COMPUTED_VALUE"""),2963095.0)</f>
        <v>2963095</v>
      </c>
      <c r="D141">
        <f>IFERROR(__xludf.DUMMYFUNCTION("""COMPUTED_VALUE"""),3123524.0)</f>
        <v>3123524</v>
      </c>
    </row>
    <row r="142">
      <c r="A142">
        <f>IFERROR(__xludf.DUMMYFUNCTION("""COMPUTED_VALUE"""),138.0)</f>
        <v>138</v>
      </c>
      <c r="B142" t="str">
        <f>IFERROR(__xludf.DUMMYFUNCTION("""COMPUTED_VALUE"""),"Arménie")</f>
        <v>Arménie</v>
      </c>
      <c r="C142">
        <f>IFERROR(__xludf.DUMMYFUNCTION("""COMPUTED_VALUE"""),2943393.0)</f>
        <v>2943393</v>
      </c>
      <c r="D142">
        <f>IFERROR(__xludf.DUMMYFUNCTION("""COMPUTED_VALUE"""),2941486.0)</f>
        <v>2941486</v>
      </c>
    </row>
    <row r="143">
      <c r="A143">
        <f>IFERROR(__xludf.DUMMYFUNCTION("""COMPUTED_VALUE"""),139.0)</f>
        <v>139</v>
      </c>
      <c r="B143" t="str">
        <f>IFERROR(__xludf.DUMMYFUNCTION("""COMPUTED_VALUE"""),"Lituanie")</f>
        <v>Lituanie</v>
      </c>
      <c r="C143">
        <f>IFERROR(__xludf.DUMMYFUNCTION("""COMPUTED_VALUE"""),2854099.0)</f>
        <v>2854099</v>
      </c>
      <c r="D143">
        <f>IFERROR(__xludf.DUMMYFUNCTION("""COMPUTED_VALUE"""),2808883.0)</f>
        <v>2808883</v>
      </c>
    </row>
    <row r="144">
      <c r="A144">
        <f>IFERROR(__xludf.DUMMYFUNCTION("""COMPUTED_VALUE"""),140.0)</f>
        <v>140</v>
      </c>
      <c r="B144" t="str">
        <f>IFERROR(__xludf.DUMMYFUNCTION("""COMPUTED_VALUE"""),"Jamaïque")</f>
        <v>Jamaïque</v>
      </c>
      <c r="C144">
        <f>IFERROR(__xludf.DUMMYFUNCTION("""COMPUTED_VALUE"""),2839786.0)</f>
        <v>2839786</v>
      </c>
      <c r="D144">
        <f>IFERROR(__xludf.DUMMYFUNCTION("""COMPUTED_VALUE"""),2835627.0)</f>
        <v>2835627</v>
      </c>
    </row>
    <row r="145">
      <c r="A145">
        <f>IFERROR(__xludf.DUMMYFUNCTION("""COMPUTED_VALUE"""),141.0)</f>
        <v>141</v>
      </c>
      <c r="B145" t="str">
        <f>IFERROR(__xludf.DUMMYFUNCTION("""COMPUTED_VALUE"""),"Albanie")</f>
        <v>Albanie</v>
      </c>
      <c r="C145">
        <f>IFERROR(__xludf.DUMMYFUNCTION("""COMPUTED_VALUE"""),2811655.0)</f>
        <v>2811655</v>
      </c>
      <c r="D145">
        <f>IFERROR(__xludf.DUMMYFUNCTION("""COMPUTED_VALUE"""),2761147.0)</f>
        <v>2761147</v>
      </c>
    </row>
    <row r="146">
      <c r="A146">
        <f>IFERROR(__xludf.DUMMYFUNCTION("""COMPUTED_VALUE"""),142.0)</f>
        <v>142</v>
      </c>
      <c r="B146" t="str">
        <f>IFERROR(__xludf.DUMMYFUNCTION("""COMPUTED_VALUE"""),"Gambie")</f>
        <v>Gambie</v>
      </c>
      <c r="C146">
        <f>IFERROR(__xludf.DUMMYFUNCTION("""COMPUTED_VALUE"""),2697845.0)</f>
        <v>2697845</v>
      </c>
      <c r="D146">
        <f>IFERROR(__xludf.DUMMYFUNCTION("""COMPUTED_VALUE"""),2853116.0)</f>
        <v>2853116</v>
      </c>
    </row>
    <row r="147">
      <c r="A147">
        <f>IFERROR(__xludf.DUMMYFUNCTION("""COMPUTED_VALUE"""),143.0)</f>
        <v>143</v>
      </c>
      <c r="B147" t="str">
        <f>IFERROR(__xludf.DUMMYFUNCTION("""COMPUTED_VALUE"""),"Gabon")</f>
        <v>Gabon</v>
      </c>
      <c r="C147">
        <f>IFERROR(__xludf.DUMMYFUNCTION("""COMPUTED_VALUE"""),2484789.0)</f>
        <v>2484789</v>
      </c>
      <c r="D147">
        <f>IFERROR(__xludf.DUMMYFUNCTION("""COMPUTED_VALUE"""),2620218.0)</f>
        <v>2620218</v>
      </c>
    </row>
    <row r="148">
      <c r="A148">
        <f>IFERROR(__xludf.DUMMYFUNCTION("""COMPUTED_VALUE"""),144.0)</f>
        <v>144</v>
      </c>
      <c r="B148" t="str">
        <f>IFERROR(__xludf.DUMMYFUNCTION("""COMPUTED_VALUE"""),"Botswana")</f>
        <v>Botswana</v>
      </c>
      <c r="C148">
        <f>IFERROR(__xludf.DUMMYFUNCTION("""COMPUTED_VALUE"""),2480244.0)</f>
        <v>2480244</v>
      </c>
      <c r="D148">
        <f>IFERROR(__xludf.DUMMYFUNCTION("""COMPUTED_VALUE"""),2582518.0)</f>
        <v>2582518</v>
      </c>
    </row>
    <row r="149">
      <c r="A149">
        <f>IFERROR(__xludf.DUMMYFUNCTION("""COMPUTED_VALUE"""),145.0)</f>
        <v>145</v>
      </c>
      <c r="B149" t="str">
        <f>IFERROR(__xludf.DUMMYFUNCTION("""COMPUTED_VALUE"""),"Lesotho")</f>
        <v>Lesotho</v>
      </c>
      <c r="C149">
        <f>IFERROR(__xludf.DUMMYFUNCTION("""COMPUTED_VALUE"""),2311472.0)</f>
        <v>2311472</v>
      </c>
      <c r="D149">
        <f>IFERROR(__xludf.DUMMYFUNCTION("""COMPUTED_VALUE"""),2376252.0)</f>
        <v>2376252</v>
      </c>
    </row>
    <row r="150">
      <c r="A150">
        <f>IFERROR(__xludf.DUMMYFUNCTION("""COMPUTED_VALUE"""),146.0)</f>
        <v>146</v>
      </c>
      <c r="B150" t="str">
        <f>IFERROR(__xludf.DUMMYFUNCTION("""COMPUTED_VALUE"""),"Guinée-Bissau")</f>
        <v>Guinée-Bissau</v>
      </c>
      <c r="C150">
        <f>IFERROR(__xludf.DUMMYFUNCTION("""COMPUTED_VALUE"""),2153339.0)</f>
        <v>2153339</v>
      </c>
      <c r="D150">
        <f>IFERROR(__xludf.DUMMYFUNCTION("""COMPUTED_VALUE"""),2273714.0)</f>
        <v>2273714</v>
      </c>
    </row>
    <row r="151">
      <c r="A151">
        <f>IFERROR(__xludf.DUMMYFUNCTION("""COMPUTED_VALUE"""),147.0)</f>
        <v>147</v>
      </c>
      <c r="B151" t="str">
        <f>IFERROR(__xludf.DUMMYFUNCTION("""COMPUTED_VALUE"""),"Slovénie")</f>
        <v>Slovénie</v>
      </c>
      <c r="C151">
        <f>IFERROR(__xludf.DUMMYFUNCTION("""COMPUTED_VALUE"""),2118396.0)</f>
        <v>2118396</v>
      </c>
      <c r="D151">
        <f>IFERROR(__xludf.DUMMYFUNCTION("""COMPUTED_VALUE"""),2115975.0)</f>
        <v>2115975</v>
      </c>
    </row>
    <row r="152">
      <c r="A152">
        <f>IFERROR(__xludf.DUMMYFUNCTION("""COMPUTED_VALUE"""),148.0)</f>
        <v>148</v>
      </c>
      <c r="B152" t="str">
        <f>IFERROR(__xludf.DUMMYFUNCTION("""COMPUTED_VALUE"""),"Lettonie")</f>
        <v>Lettonie</v>
      </c>
      <c r="C152">
        <f>IFERROR(__xludf.DUMMYFUNCTION("""COMPUTED_VALUE"""),1882396.0)</f>
        <v>1882396</v>
      </c>
      <c r="D152">
        <f>IFERROR(__xludf.DUMMYFUNCTION("""COMPUTED_VALUE"""),1843068.0)</f>
        <v>1843068</v>
      </c>
    </row>
    <row r="153">
      <c r="A153">
        <f>IFERROR(__xludf.DUMMYFUNCTION("""COMPUTED_VALUE"""),149.0)</f>
        <v>149</v>
      </c>
      <c r="B153" t="str">
        <f>IFERROR(__xludf.DUMMYFUNCTION("""COMPUTED_VALUE"""),"Guinée équatoriale")</f>
        <v>Guinée équatoriale</v>
      </c>
      <c r="C153">
        <f>IFERROR(__xludf.DUMMYFUNCTION("""COMPUTED_VALUE"""),1847549.0)</f>
        <v>1847549</v>
      </c>
      <c r="D153">
        <f>IFERROR(__xludf.DUMMYFUNCTION("""COMPUTED_VALUE"""),1961447.0)</f>
        <v>1961447</v>
      </c>
    </row>
    <row r="154">
      <c r="A154">
        <f>IFERROR(__xludf.DUMMYFUNCTION("""COMPUTED_VALUE"""),150.0)</f>
        <v>150</v>
      </c>
      <c r="B154" t="str">
        <f>IFERROR(__xludf.DUMMYFUNCTION("""COMPUTED_VALUE"""),"Macédoine du Nord")</f>
        <v>Macédoine du Nord</v>
      </c>
      <c r="C154">
        <f>IFERROR(__xludf.DUMMYFUNCTION("""COMPUTED_VALUE"""),1831802.0)</f>
        <v>1831802</v>
      </c>
      <c r="D154">
        <f>IFERROR(__xludf.DUMMYFUNCTION("""COMPUTED_VALUE"""),1809076.0)</f>
        <v>1809076</v>
      </c>
    </row>
    <row r="155">
      <c r="A155">
        <f>IFERROR(__xludf.DUMMYFUNCTION("""COMPUTED_VALUE"""),151.0)</f>
        <v>151</v>
      </c>
      <c r="B155" t="str">
        <f>IFERROR(__xludf.DUMMYFUNCTION("""COMPUTED_VALUE"""),"Kosovo")</f>
        <v>Kosovo</v>
      </c>
      <c r="C155">
        <f>IFERROR(__xludf.DUMMYFUNCTION("""COMPUTED_VALUE"""),1700031.0)</f>
        <v>1700031</v>
      </c>
      <c r="D155">
        <f>IFERROR(__xludf.DUMMYFUNCTION("""COMPUTED_VALUE"""),1669591.0)</f>
        <v>1669591</v>
      </c>
    </row>
    <row r="156">
      <c r="A156">
        <f>IFERROR(__xludf.DUMMYFUNCTION("""COMPUTED_VALUE"""),152.0)</f>
        <v>152</v>
      </c>
      <c r="B156" t="str">
        <f>IFERROR(__xludf.DUMMYFUNCTION("""COMPUTED_VALUE"""),"Bahreïn")</f>
        <v>Bahreïn</v>
      </c>
      <c r="C156">
        <f>IFERROR(__xludf.DUMMYFUNCTION("""COMPUTED_VALUE"""),1569666.0)</f>
        <v>1569666</v>
      </c>
      <c r="D156">
        <f>IFERROR(__xludf.DUMMYFUNCTION("""COMPUTED_VALUE"""),1660370.0)</f>
        <v>1660370</v>
      </c>
    </row>
    <row r="157">
      <c r="A157">
        <f>IFERROR(__xludf.DUMMYFUNCTION("""COMPUTED_VALUE"""),153.0)</f>
        <v>153</v>
      </c>
      <c r="B157" t="str">
        <f>IFERROR(__xludf.DUMMYFUNCTION("""COMPUTED_VALUE"""),"Trinité-et-Tobago")</f>
        <v>Trinité-et-Tobago</v>
      </c>
      <c r="C157">
        <f>IFERROR(__xludf.DUMMYFUNCTION("""COMPUTED_VALUE"""),1502932.0)</f>
        <v>1502932</v>
      </c>
      <c r="D157">
        <f>IFERROR(__xludf.DUMMYFUNCTION("""COMPUTED_VALUE"""),1512502.0)</f>
        <v>1512502</v>
      </c>
    </row>
    <row r="158">
      <c r="A158">
        <f>IFERROR(__xludf.DUMMYFUNCTION("""COMPUTED_VALUE"""),154.0)</f>
        <v>154</v>
      </c>
      <c r="B158" t="str">
        <f>IFERROR(__xludf.DUMMYFUNCTION("""COMPUTED_VALUE"""),"Timor oriental")</f>
        <v>Timor oriental</v>
      </c>
      <c r="C158">
        <f>IFERROR(__xludf.DUMMYFUNCTION("""COMPUTED_VALUE"""),1384286.0)</f>
        <v>1384286</v>
      </c>
      <c r="D158">
        <f>IFERROR(__xludf.DUMMYFUNCTION("""COMPUTED_VALUE"""),1427484.0)</f>
        <v>1427484</v>
      </c>
    </row>
    <row r="159">
      <c r="A159">
        <f>IFERROR(__xludf.DUMMYFUNCTION("""COMPUTED_VALUE"""),155.0)</f>
        <v>155</v>
      </c>
      <c r="B159" t="str">
        <f>IFERROR(__xludf.DUMMYFUNCTION("""COMPUTED_VALUE"""),"Estonie")</f>
        <v>Estonie</v>
      </c>
      <c r="C159">
        <f>IFERROR(__xludf.DUMMYFUNCTION("""COMPUTED_VALUE"""),1367196.0)</f>
        <v>1367196</v>
      </c>
      <c r="D159">
        <f>IFERROR(__xludf.DUMMYFUNCTION("""COMPUTED_VALUE"""),1334598.0)</f>
        <v>1334598</v>
      </c>
    </row>
    <row r="160">
      <c r="A160">
        <f>IFERROR(__xludf.DUMMYFUNCTION("""COMPUTED_VALUE"""),156.0)</f>
        <v>156</v>
      </c>
      <c r="B160" t="str">
        <f>IFERROR(__xludf.DUMMYFUNCTION("""COMPUTED_VALUE"""),"Chypre[v]")</f>
        <v>Chypre[v]</v>
      </c>
      <c r="C160">
        <f>IFERROR(__xludf.DUMMYFUNCTION("""COMPUTED_VALUE"""),1344976.0)</f>
        <v>1344976</v>
      </c>
      <c r="D160">
        <f>IFERROR(__xludf.DUMMYFUNCTION("""COMPUTED_VALUE"""),1376781.0)</f>
        <v>1376781</v>
      </c>
    </row>
    <row r="161">
      <c r="A161">
        <f>IFERROR(__xludf.DUMMYFUNCTION("""COMPUTED_VALUE"""),157.0)</f>
        <v>157</v>
      </c>
      <c r="B161" t="str">
        <f>IFERROR(__xludf.DUMMYFUNCTION("""COMPUTED_VALUE"""),"Maurice")</f>
        <v>Maurice</v>
      </c>
      <c r="C161">
        <f>IFERROR(__xludf.DUMMYFUNCTION("""COMPUTED_VALUE"""),1273588.0)</f>
        <v>1273588</v>
      </c>
      <c r="D161">
        <f>IFERROR(__xludf.DUMMYFUNCTION("""COMPUTED_VALUE"""),1266738.0)</f>
        <v>1266738</v>
      </c>
    </row>
    <row r="162">
      <c r="A162">
        <f>IFERROR(__xludf.DUMMYFUNCTION("""COMPUTED_VALUE"""),158.0)</f>
        <v>158</v>
      </c>
      <c r="B162" t="str">
        <f>IFERROR(__xludf.DUMMYFUNCTION("""COMPUTED_VALUE"""),"Eswatini")</f>
        <v>Eswatini</v>
      </c>
      <c r="C162">
        <f>IFERROR(__xludf.DUMMYFUNCTION("""COMPUTED_VALUE"""),1230506.0)</f>
        <v>1230506</v>
      </c>
      <c r="D162">
        <f>IFERROR(__xludf.DUMMYFUNCTION("""COMPUTED_VALUE"""),1263011.0)</f>
        <v>1263011</v>
      </c>
    </row>
    <row r="163">
      <c r="A163">
        <f>IFERROR(__xludf.DUMMYFUNCTION("""COMPUTED_VALUE"""),159.0)</f>
        <v>159</v>
      </c>
      <c r="B163" t="str">
        <f>IFERROR(__xludf.DUMMYFUNCTION("""COMPUTED_VALUE"""),"Djibouti")</f>
        <v>Djibouti</v>
      </c>
      <c r="C163">
        <f>IFERROR(__xludf.DUMMYFUNCTION("""COMPUTED_VALUE"""),1152944.0)</f>
        <v>1152944</v>
      </c>
      <c r="D163">
        <f>IFERROR(__xludf.DUMMYFUNCTION("""COMPUTED_VALUE"""),1191581.0)</f>
        <v>1191581</v>
      </c>
    </row>
    <row r="164">
      <c r="A164">
        <f>IFERROR(__xludf.DUMMYFUNCTION("""COMPUTED_VALUE"""),160.0)</f>
        <v>160</v>
      </c>
      <c r="B164" t="str">
        <f>IFERROR(__xludf.DUMMYFUNCTION("""COMPUTED_VALUE"""),"Fidji")</f>
        <v>Fidji</v>
      </c>
      <c r="C164">
        <f>IFERROR(__xludf.DUMMYFUNCTION("""COMPUTED_VALUE"""),924145.0)</f>
        <v>924145</v>
      </c>
      <c r="D164">
        <f>IFERROR(__xludf.DUMMYFUNCTION("""COMPUTED_VALUE"""),935285.0)</f>
        <v>935285</v>
      </c>
    </row>
    <row r="165">
      <c r="A165" t="str">
        <f>IFERROR(__xludf.DUMMYFUNCTION("""COMPUTED_VALUE"""),"-")</f>
        <v>-</v>
      </c>
      <c r="B165" t="str">
        <f>IFERROR(__xludf.DUMMYFUNCTION("""COMPUTED_VALUE"""),"*La Réunion*")</f>
        <v>*La Réunion*</v>
      </c>
      <c r="C165" t="str">
        <f>IFERROR(__xludf.DUMMYFUNCTION("""COMPUTED_VALUE"""),"*874 883*")</f>
        <v>*874 883*</v>
      </c>
      <c r="D165" t="str">
        <f>IFERROR(__xludf.DUMMYFUNCTION("""COMPUTED_VALUE"""),"*884 305*")</f>
        <v>*884 305*</v>
      </c>
    </row>
    <row r="166">
      <c r="A166">
        <f>IFERROR(__xludf.DUMMYFUNCTION("""COMPUTED_VALUE"""),161.0)</f>
        <v>161</v>
      </c>
      <c r="B166" t="str">
        <f>IFERROR(__xludf.DUMMYFUNCTION("""COMPUTED_VALUE"""),"Comores")</f>
        <v>Comores</v>
      </c>
      <c r="C166">
        <f>IFERROR(__xludf.DUMMYFUNCTION("""COMPUTED_VALUE"""),850387.0)</f>
        <v>850387</v>
      </c>
      <c r="D166">
        <f>IFERROR(__xludf.DUMMYFUNCTION("""COMPUTED_VALUE"""),890946.0)</f>
        <v>890946</v>
      </c>
    </row>
    <row r="167">
      <c r="A167">
        <f>IFERROR(__xludf.DUMMYFUNCTION("""COMPUTED_VALUE"""),162.0)</f>
        <v>162</v>
      </c>
      <c r="B167" t="str">
        <f>IFERROR(__xludf.DUMMYFUNCTION("""COMPUTED_VALUE"""),"Guyana")</f>
        <v>Guyana</v>
      </c>
      <c r="C167">
        <f>IFERROR(__xludf.DUMMYFUNCTION("""COMPUTED_VALUE"""),826353.0)</f>
        <v>826353</v>
      </c>
      <c r="D167">
        <f>IFERROR(__xludf.DUMMYFUNCTION("""COMPUTED_VALUE"""),838431.0)</f>
        <v>838431</v>
      </c>
    </row>
    <row r="168">
      <c r="A168">
        <f>IFERROR(__xludf.DUMMYFUNCTION("""COMPUTED_VALUE"""),163.0)</f>
        <v>163</v>
      </c>
      <c r="B168" t="str">
        <f>IFERROR(__xludf.DUMMYFUNCTION("""COMPUTED_VALUE"""),"Îles Salomon")</f>
        <v>Îles Salomon</v>
      </c>
      <c r="C168">
        <f>IFERROR(__xludf.DUMMYFUNCTION("""COMPUTED_VALUE"""),800005.0)</f>
        <v>800005</v>
      </c>
      <c r="D168">
        <f>IFERROR(__xludf.DUMMYFUNCTION("""COMPUTED_VALUE"""),848434.0)</f>
        <v>848434</v>
      </c>
    </row>
    <row r="169">
      <c r="A169">
        <f>IFERROR(__xludf.DUMMYFUNCTION("""COMPUTED_VALUE"""),164.0)</f>
        <v>164</v>
      </c>
      <c r="B169" t="str">
        <f>IFERROR(__xludf.DUMMYFUNCTION("""COMPUTED_VALUE"""),"Bhoutan")</f>
        <v>Bhoutan</v>
      </c>
      <c r="C169">
        <f>IFERROR(__xludf.DUMMYFUNCTION("""COMPUTED_VALUE"""),786385.0)</f>
        <v>786385</v>
      </c>
      <c r="D169">
        <f>IFERROR(__xludf.DUMMYFUNCTION("""COMPUTED_VALUE"""),799420.0)</f>
        <v>799420</v>
      </c>
    </row>
    <row r="170">
      <c r="A170" t="str">
        <f>IFERROR(__xludf.DUMMYFUNCTION("""COMPUTED_VALUE"""),"-")</f>
        <v>-</v>
      </c>
      <c r="B170" t="str">
        <f>IFERROR(__xludf.DUMMYFUNCTION("""COMPUTED_VALUE"""),"*Macao*")</f>
        <v>*Macao*</v>
      </c>
      <c r="C170" t="str">
        <f>IFERROR(__xludf.DUMMYFUNCTION("""COMPUTED_VALUE"""),"*713 912*")</f>
        <v>*713 912*</v>
      </c>
      <c r="D170" t="str">
        <f>IFERROR(__xludf.DUMMYFUNCTION("""COMPUTED_VALUE"""),"*722 357*")</f>
        <v>*722 357*</v>
      </c>
    </row>
    <row r="171">
      <c r="A171">
        <f>IFERROR(__xludf.DUMMYFUNCTION("""COMPUTED_VALUE"""),165.0)</f>
        <v>165</v>
      </c>
      <c r="B171" t="str">
        <f>IFERROR(__xludf.DUMMYFUNCTION("""COMPUTED_VALUE"""),"Luxembourg")</f>
        <v>Luxembourg</v>
      </c>
      <c r="C171">
        <f>IFERROR(__xludf.DUMMYFUNCTION("""COMPUTED_VALUE"""),665098.0)</f>
        <v>665098</v>
      </c>
      <c r="D171">
        <f>IFERROR(__xludf.DUMMYFUNCTION("""COMPUTED_VALUE"""),684039.0)</f>
        <v>684039</v>
      </c>
    </row>
    <row r="172">
      <c r="A172">
        <f>IFERROR(__xludf.DUMMYFUNCTION("""COMPUTED_VALUE"""),166.0)</f>
        <v>166</v>
      </c>
      <c r="B172" t="str">
        <f>IFERROR(__xludf.DUMMYFUNCTION("""COMPUTED_VALUE"""),"Monténégro")</f>
        <v>Monténégro</v>
      </c>
      <c r="C172">
        <f>IFERROR(__xludf.DUMMYFUNCTION("""COMPUTED_VALUE"""),633552.0)</f>
        <v>633552</v>
      </c>
      <c r="D172">
        <f>IFERROR(__xludf.DUMMYFUNCTION("""COMPUTED_VALUE"""),627936.0)</f>
        <v>627936</v>
      </c>
    </row>
    <row r="173">
      <c r="A173">
        <f>IFERROR(__xludf.DUMMYFUNCTION("""COMPUTED_VALUE"""),167.0)</f>
        <v>167</v>
      </c>
      <c r="B173" t="str">
        <f>IFERROR(__xludf.DUMMYFUNCTION("""COMPUTED_VALUE"""),"Suriname")</f>
        <v>Suriname</v>
      </c>
      <c r="C173">
        <f>IFERROR(__xludf.DUMMYFUNCTION("""COMPUTED_VALUE"""),628886.0)</f>
        <v>628886</v>
      </c>
      <c r="D173">
        <f>IFERROR(__xludf.DUMMYFUNCTION("""COMPUTED_VALUE"""),642582.0)</f>
        <v>642582</v>
      </c>
    </row>
    <row r="174">
      <c r="A174">
        <f>IFERROR(__xludf.DUMMYFUNCTION("""COMPUTED_VALUE"""),168.0)</f>
        <v>168</v>
      </c>
      <c r="B174" t="str">
        <f>IFERROR(__xludf.DUMMYFUNCTION("""COMPUTED_VALUE"""),"Sahara occidental[w]")</f>
        <v>Sahara occidental[w]</v>
      </c>
      <c r="C174">
        <f>IFERROR(__xludf.DUMMYFUNCTION("""COMPUTED_VALUE"""),579729.0)</f>
        <v>579729</v>
      </c>
      <c r="D174">
        <f>IFERROR(__xludf.DUMMYFUNCTION("""COMPUTED_VALUE"""),605978.0)</f>
        <v>605978</v>
      </c>
    </row>
    <row r="175">
      <c r="A175">
        <f>IFERROR(__xludf.DUMMYFUNCTION("""COMPUTED_VALUE"""),169.0)</f>
        <v>169</v>
      </c>
      <c r="B175" t="str">
        <f>IFERROR(__xludf.DUMMYFUNCTION("""COMPUTED_VALUE"""),"Malte")</f>
        <v>Malte</v>
      </c>
      <c r="C175">
        <f>IFERROR(__xludf.DUMMYFUNCTION("""COMPUTED_VALUE"""),532956.0)</f>
        <v>532956</v>
      </c>
      <c r="D175">
        <f>IFERROR(__xludf.DUMMYFUNCTION("""COMPUTED_VALUE"""),547990.0)</f>
        <v>547990</v>
      </c>
    </row>
    <row r="176">
      <c r="A176">
        <f>IFERROR(__xludf.DUMMYFUNCTION("""COMPUTED_VALUE"""),170.0)</f>
        <v>170</v>
      </c>
      <c r="B176" t="str">
        <f>IFERROR(__xludf.DUMMYFUNCTION("""COMPUTED_VALUE"""),"Maldives")</f>
        <v>Maldives</v>
      </c>
      <c r="C176">
        <f>IFERROR(__xludf.DUMMYFUNCTION("""COMPUTED_VALUE"""),525994.0)</f>
        <v>525994</v>
      </c>
      <c r="D176">
        <f>IFERROR(__xludf.DUMMYFUNCTION("""COMPUTED_VALUE"""),530598.0)</f>
        <v>530598</v>
      </c>
    </row>
    <row r="177">
      <c r="A177">
        <f>IFERROR(__xludf.DUMMYFUNCTION("""COMPUTED_VALUE"""),171.0)</f>
        <v>171</v>
      </c>
      <c r="B177" t="str">
        <f>IFERROR(__xludf.DUMMYFUNCTION("""COMPUTED_VALUE"""),"Cap-Vert")</f>
        <v>Cap-Vert</v>
      </c>
      <c r="C177">
        <f>IFERROR(__xludf.DUMMYFUNCTION("""COMPUTED_VALUE"""),522331.0)</f>
        <v>522331</v>
      </c>
      <c r="D177">
        <f>IFERROR(__xludf.DUMMYFUNCTION("""COMPUTED_VALUE"""),528511.0)</f>
        <v>528511</v>
      </c>
    </row>
    <row r="178">
      <c r="A178">
        <f>IFERROR(__xludf.DUMMYFUNCTION("""COMPUTED_VALUE"""),172.0)</f>
        <v>172</v>
      </c>
      <c r="B178" t="str">
        <f>IFERROR(__xludf.DUMMYFUNCTION("""COMPUTED_VALUE"""),"Brunei")</f>
        <v>Brunei</v>
      </c>
      <c r="C178">
        <f>IFERROR(__xludf.DUMMYFUNCTION("""COMPUTED_VALUE"""),458949.0)</f>
        <v>458949</v>
      </c>
      <c r="D178">
        <f>IFERROR(__xludf.DUMMYFUNCTION("""COMPUTED_VALUE"""),468087.0)</f>
        <v>468087</v>
      </c>
    </row>
    <row r="179">
      <c r="A179">
        <f>IFERROR(__xludf.DUMMYFUNCTION("""COMPUTED_VALUE"""),173.0)</f>
        <v>173</v>
      </c>
      <c r="B179" t="str">
        <f>IFERROR(__xludf.DUMMYFUNCTION("""COMPUTED_VALUE"""),"Belize")</f>
        <v>Belize</v>
      </c>
      <c r="C179">
        <f>IFERROR(__xludf.DUMMYFUNCTION("""COMPUTED_VALUE"""),411106.0)</f>
        <v>411106</v>
      </c>
      <c r="D179">
        <f>IFERROR(__xludf.DUMMYFUNCTION("""COMPUTED_VALUE"""),425802.0)</f>
        <v>425802</v>
      </c>
    </row>
    <row r="180">
      <c r="A180">
        <f>IFERROR(__xludf.DUMMYFUNCTION("""COMPUTED_VALUE"""),174.0)</f>
        <v>174</v>
      </c>
      <c r="B180" t="str">
        <f>IFERROR(__xludf.DUMMYFUNCTION("""COMPUTED_VALUE"""),"Bahamas")</f>
        <v>Bahamas</v>
      </c>
      <c r="C180">
        <f>IFERROR(__xludf.DUMMYFUNCTION("""COMPUTED_VALUE"""),399440.0)</f>
        <v>399440</v>
      </c>
      <c r="D180">
        <f>IFERROR(__xludf.DUMMYFUNCTION("""COMPUTED_VALUE"""),403865.0)</f>
        <v>403865</v>
      </c>
    </row>
    <row r="181">
      <c r="A181">
        <f>IFERROR(__xludf.DUMMYFUNCTION("""COMPUTED_VALUE"""),175.0)</f>
        <v>175</v>
      </c>
      <c r="B181" t="str">
        <f>IFERROR(__xludf.DUMMYFUNCTION("""COMPUTED_VALUE"""),"Islande")</f>
        <v>Islande</v>
      </c>
      <c r="C181">
        <f>IFERROR(__xludf.DUMMYFUNCTION("""COMPUTED_VALUE"""),387558.0)</f>
        <v>387558</v>
      </c>
      <c r="D181">
        <f>IFERROR(__xludf.DUMMYFUNCTION("""COMPUTED_VALUE"""),400481.0)</f>
        <v>400481</v>
      </c>
    </row>
    <row r="182">
      <c r="A182" t="str">
        <f>IFERROR(__xludf.DUMMYFUNCTION("""COMPUTED_VALUE"""),"-")</f>
        <v>-</v>
      </c>
      <c r="B182" t="str">
        <f>IFERROR(__xludf.DUMMYFUNCTION("""COMPUTED_VALUE"""),"*Guadeloupe*")</f>
        <v>*Guadeloupe*</v>
      </c>
      <c r="C182" t="str">
        <f>IFERROR(__xludf.DUMMYFUNCTION("""COMPUTED_VALUE"""),"*376 517*")</f>
        <v>*376 517*</v>
      </c>
      <c r="D182" t="str">
        <f>IFERROR(__xludf.DUMMYFUNCTION("""COMPUTED_VALUE"""),"*373 126*")</f>
        <v>*373 126*</v>
      </c>
    </row>
    <row r="183">
      <c r="A183" t="str">
        <f>IFERROR(__xludf.DUMMYFUNCTION("""COMPUTED_VALUE"""),"-")</f>
        <v>-</v>
      </c>
      <c r="B183" t="str">
        <f>IFERROR(__xludf.DUMMYFUNCTION("""COMPUTED_VALUE"""),"*Martinique*")</f>
        <v>*Martinique*</v>
      </c>
      <c r="C183" t="str">
        <f>IFERROR(__xludf.DUMMYFUNCTION("""COMPUTED_VALUE"""),"*346 002*")</f>
        <v>*346 002*</v>
      </c>
      <c r="D183" t="str">
        <f>IFERROR(__xludf.DUMMYFUNCTION("""COMPUTED_VALUE"""),"*339 065*")</f>
        <v>*339 065*</v>
      </c>
    </row>
    <row r="184">
      <c r="A184">
        <f>IFERROR(__xludf.DUMMYFUNCTION("""COMPUTED_VALUE"""),176.0)</f>
        <v>176</v>
      </c>
      <c r="B184" t="str">
        <f>IFERROR(__xludf.DUMMYFUNCTION("""COMPUTED_VALUE"""),"Vanuatu")</f>
        <v>Vanuatu</v>
      </c>
      <c r="C184">
        <f>IFERROR(__xludf.DUMMYFUNCTION("""COMPUTED_VALUE"""),320409.0)</f>
        <v>320409</v>
      </c>
      <c r="D184">
        <f>IFERROR(__xludf.DUMMYFUNCTION("""COMPUTED_VALUE"""),338868.0)</f>
        <v>338868</v>
      </c>
    </row>
    <row r="185">
      <c r="A185" t="str">
        <f>IFERROR(__xludf.DUMMYFUNCTION("""COMPUTED_VALUE"""),"-")</f>
        <v>-</v>
      </c>
      <c r="B185" t="str">
        <f>IFERROR(__xludf.DUMMYFUNCTION("""COMPUTED_VALUE"""),"*Mayotte*")</f>
        <v>*Mayotte*</v>
      </c>
      <c r="C185" t="str">
        <f>IFERROR(__xludf.DUMMYFUNCTION("""COMPUTED_VALUE"""),"*316 015*")</f>
        <v>*316 015*</v>
      </c>
      <c r="D185" t="str">
        <f>IFERROR(__xludf.DUMMYFUNCTION("""COMPUTED_VALUE"""),"*342 263*")</f>
        <v>*342 263*</v>
      </c>
    </row>
    <row r="186">
      <c r="A186" t="str">
        <f>IFERROR(__xludf.DUMMYFUNCTION("""COMPUTED_VALUE"""),"-")</f>
        <v>-</v>
      </c>
      <c r="B186" t="str">
        <f>IFERROR(__xludf.DUMMYFUNCTION("""COMPUTED_VALUE"""),"*Guyane*")</f>
        <v>*Guyane*</v>
      </c>
      <c r="C186" t="str">
        <f>IFERROR(__xludf.DUMMYFUNCTION("""COMPUTED_VALUE"""),"*303 402*")</f>
        <v>*303 402*</v>
      </c>
      <c r="D186" t="str">
        <f>IFERROR(__xludf.DUMMYFUNCTION("""COMPUTED_VALUE"""),"*316 247*")</f>
        <v>*316 247*</v>
      </c>
    </row>
    <row r="187">
      <c r="A187" t="str">
        <f>IFERROR(__xludf.DUMMYFUNCTION("""COMPUTED_VALUE"""),"-")</f>
        <v>-</v>
      </c>
      <c r="B187" t="str">
        <f>IFERROR(__xludf.DUMMYFUNCTION("""COMPUTED_VALUE"""),"*Nouvelle-Calédonie*")</f>
        <v>*Nouvelle-Calédonie*</v>
      </c>
      <c r="C187" t="str">
        <f>IFERROR(__xludf.DUMMYFUNCTION("""COMPUTED_VALUE"""),"*289 870*")</f>
        <v>*289 870*</v>
      </c>
      <c r="D187" t="str">
        <f>IFERROR(__xludf.DUMMYFUNCTION("""COMPUTED_VALUE"""),"*296 656*")</f>
        <v>*296 656*</v>
      </c>
    </row>
    <row r="188">
      <c r="A188">
        <f>IFERROR(__xludf.DUMMYFUNCTION("""COMPUTED_VALUE"""),177.0)</f>
        <v>177</v>
      </c>
      <c r="B188" t="str">
        <f>IFERROR(__xludf.DUMMYFUNCTION("""COMPUTED_VALUE"""),"Barbade")</f>
        <v>Barbade</v>
      </c>
      <c r="C188">
        <f>IFERROR(__xludf.DUMMYFUNCTION("""COMPUTED_VALUE"""),282336.0)</f>
        <v>282336</v>
      </c>
      <c r="D188">
        <f>IFERROR(__xludf.DUMMYFUNCTION("""COMPUTED_VALUE"""),282688.0)</f>
        <v>282688</v>
      </c>
    </row>
    <row r="189">
      <c r="A189" t="str">
        <f>IFERROR(__xludf.DUMMYFUNCTION("""COMPUTED_VALUE"""),"-")</f>
        <v>-</v>
      </c>
      <c r="B189" t="str">
        <f>IFERROR(__xludf.DUMMYFUNCTION("""COMPUTED_VALUE"""),"*Polynésie française*")</f>
        <v>*Polynésie française*</v>
      </c>
      <c r="C189" t="str">
        <f>IFERROR(__xludf.DUMMYFUNCTION("""COMPUTED_VALUE"""),"*281 118*")</f>
        <v>*281 118*</v>
      </c>
      <c r="D189" t="str">
        <f>IFERROR(__xludf.DUMMYFUNCTION("""COMPUTED_VALUE"""),"*282 783*")</f>
        <v>*282 783*</v>
      </c>
    </row>
    <row r="190">
      <c r="A190">
        <f>IFERROR(__xludf.DUMMYFUNCTION("""COMPUTED_VALUE"""),178.0)</f>
        <v>178</v>
      </c>
      <c r="B190" t="str">
        <f>IFERROR(__xludf.DUMMYFUNCTION("""COMPUTED_VALUE"""),"Sao Tomé-et-Principe")</f>
        <v>Sao Tomé-et-Principe</v>
      </c>
      <c r="C190">
        <f>IFERROR(__xludf.DUMMYFUNCTION("""COMPUTED_VALUE"""),230871.0)</f>
        <v>230871</v>
      </c>
      <c r="D190">
        <f>IFERROR(__xludf.DUMMYFUNCTION("""COMPUTED_VALUE"""),242620.0)</f>
        <v>242620</v>
      </c>
    </row>
    <row r="191">
      <c r="A191">
        <f>IFERROR(__xludf.DUMMYFUNCTION("""COMPUTED_VALUE"""),179.0)</f>
        <v>179</v>
      </c>
      <c r="B191" t="str">
        <f>IFERROR(__xludf.DUMMYFUNCTION("""COMPUTED_VALUE"""),"Samoa")</f>
        <v>Samoa</v>
      </c>
      <c r="C191">
        <f>IFERROR(__xludf.DUMMYFUNCTION("""COMPUTED_VALUE"""),216663.0)</f>
        <v>216663</v>
      </c>
      <c r="D191">
        <f>IFERROR(__xludf.DUMMYFUNCTION("""COMPUTED_VALUE"""),219916.0)</f>
        <v>219916</v>
      </c>
    </row>
    <row r="192">
      <c r="A192" t="str">
        <f>IFERROR(__xludf.DUMMYFUNCTION("""COMPUTED_VALUE"""),"-")</f>
        <v>-</v>
      </c>
      <c r="B192" t="str">
        <f>IFERROR(__xludf.DUMMYFUNCTION("""COMPUTED_VALUE"""),"*Curaçao*")</f>
        <v>*Curaçao*</v>
      </c>
      <c r="C192" t="str">
        <f>IFERROR(__xludf.DUMMYFUNCTION("""COMPUTED_VALUE"""),"*185 427*")</f>
        <v>*185 427*</v>
      </c>
      <c r="D192" t="str">
        <f>IFERROR(__xludf.DUMMYFUNCTION("""COMPUTED_VALUE"""),"*185 471*")</f>
        <v>*185 471*</v>
      </c>
    </row>
    <row r="193">
      <c r="A193">
        <f>IFERROR(__xludf.DUMMYFUNCTION("""COMPUTED_VALUE"""),180.0)</f>
        <v>180</v>
      </c>
      <c r="B193" t="str">
        <f>IFERROR(__xludf.DUMMYFUNCTION("""COMPUTED_VALUE"""),"Sainte-Lucie")</f>
        <v>Sainte-Lucie</v>
      </c>
      <c r="C193">
        <f>IFERROR(__xludf.DUMMYFUNCTION("""COMPUTED_VALUE"""),179285.0)</f>
        <v>179285</v>
      </c>
      <c r="D193">
        <f>IFERROR(__xludf.DUMMYFUNCTION("""COMPUTED_VALUE"""),180334.0)</f>
        <v>180334</v>
      </c>
    </row>
    <row r="194">
      <c r="A194" t="str">
        <f>IFERROR(__xludf.DUMMYFUNCTION("""COMPUTED_VALUE"""),"-")</f>
        <v>-</v>
      </c>
      <c r="B194" t="str">
        <f>IFERROR(__xludf.DUMMYFUNCTION("""COMPUTED_VALUE"""),"*Guam*")</f>
        <v>*Guam*</v>
      </c>
      <c r="C194" t="str">
        <f>IFERROR(__xludf.DUMMYFUNCTION("""COMPUTED_VALUE"""),"*166 506*")</f>
        <v>*166 506*</v>
      </c>
      <c r="D194" t="str">
        <f>IFERROR(__xludf.DUMMYFUNCTION("""COMPUTED_VALUE"""),"*169 598*")</f>
        <v>*169 598*</v>
      </c>
    </row>
    <row r="195">
      <c r="A195">
        <f>IFERROR(__xludf.DUMMYFUNCTION("""COMPUTED_VALUE"""),181.0)</f>
        <v>181</v>
      </c>
      <c r="B195" t="str">
        <f>IFERROR(__xludf.DUMMYFUNCTION("""COMPUTED_VALUE"""),"Kiribati")</f>
        <v>Kiribati</v>
      </c>
      <c r="C195">
        <f>IFERROR(__xludf.DUMMYFUNCTION("""COMPUTED_VALUE"""),132530.0)</f>
        <v>132530</v>
      </c>
      <c r="D195">
        <f>IFERROR(__xludf.DUMMYFUNCTION("""COMPUTED_VALUE"""),137468.0)</f>
        <v>137468</v>
      </c>
    </row>
    <row r="196">
      <c r="A196">
        <f>IFERROR(__xludf.DUMMYFUNCTION("""COMPUTED_VALUE"""),182.0)</f>
        <v>182</v>
      </c>
      <c r="B196" t="str">
        <f>IFERROR(__xludf.DUMMYFUNCTION("""COMPUTED_VALUE"""),"Seychelles")</f>
        <v>Seychelles</v>
      </c>
      <c r="C196">
        <f>IFERROR(__xludf.DUMMYFUNCTION("""COMPUTED_VALUE"""),127951.0)</f>
        <v>127951</v>
      </c>
      <c r="D196">
        <f>IFERROR(__xludf.DUMMYFUNCTION("""COMPUTED_VALUE"""),133927.0)</f>
        <v>133927</v>
      </c>
    </row>
    <row r="197">
      <c r="A197">
        <f>IFERROR(__xludf.DUMMYFUNCTION("""COMPUTED_VALUE"""),183.0)</f>
        <v>183</v>
      </c>
      <c r="B197" t="str">
        <f>IFERROR(__xludf.DUMMYFUNCTION("""COMPUTED_VALUE"""),"Grenade")</f>
        <v>Grenade</v>
      </c>
      <c r="C197">
        <f>IFERROR(__xludf.DUMMYFUNCTION("""COMPUTED_VALUE"""),117081.0)</f>
        <v>117081</v>
      </c>
      <c r="D197">
        <f>IFERROR(__xludf.DUMMYFUNCTION("""COMPUTED_VALUE"""),117347.0)</f>
        <v>117347</v>
      </c>
    </row>
    <row r="198">
      <c r="A198">
        <f>IFERROR(__xludf.DUMMYFUNCTION("""COMPUTED_VALUE"""),184.0)</f>
        <v>184</v>
      </c>
      <c r="B198" t="str">
        <f>IFERROR(__xludf.DUMMYFUNCTION("""COMPUTED_VALUE"""),"États fédérés de Micronésie")</f>
        <v>États fédérés de Micronésie</v>
      </c>
      <c r="C198">
        <f>IFERROR(__xludf.DUMMYFUNCTION("""COMPUTED_VALUE"""),112630.0)</f>
        <v>112630</v>
      </c>
      <c r="D198">
        <f>IFERROR(__xludf.DUMMYFUNCTION("""COMPUTED_VALUE"""),113938.0)</f>
        <v>113938</v>
      </c>
    </row>
    <row r="199">
      <c r="A199" t="str">
        <f>IFERROR(__xludf.DUMMYFUNCTION("""COMPUTED_VALUE"""),"-")</f>
        <v>-</v>
      </c>
      <c r="B199" t="str">
        <f>IFERROR(__xludf.DUMMYFUNCTION("""COMPUTED_VALUE"""),"*Aruba*")</f>
        <v>*Aruba*</v>
      </c>
      <c r="C199" t="str">
        <f>IFERROR(__xludf.DUMMYFUNCTION("""COMPUTED_VALUE"""),"*107 939*")</f>
        <v>*107 939*</v>
      </c>
      <c r="D199" t="str">
        <f>IFERROR(__xludf.DUMMYFUNCTION("""COMPUTED_VALUE"""),"*108 173*")</f>
        <v>*108 173*</v>
      </c>
    </row>
    <row r="200">
      <c r="A200">
        <f>IFERROR(__xludf.DUMMYFUNCTION("""COMPUTED_VALUE"""),185.0)</f>
        <v>185</v>
      </c>
      <c r="B200" t="str">
        <f>IFERROR(__xludf.DUMMYFUNCTION("""COMPUTED_VALUE"""),"Tonga")</f>
        <v>Tonga</v>
      </c>
      <c r="C200">
        <f>IFERROR(__xludf.DUMMYFUNCTION("""COMPUTED_VALUE"""),104597.0)</f>
        <v>104597</v>
      </c>
      <c r="D200">
        <f>IFERROR(__xludf.DUMMYFUNCTION("""COMPUTED_VALUE"""),103512.0)</f>
        <v>103512</v>
      </c>
    </row>
    <row r="201">
      <c r="A201" t="str">
        <f>IFERROR(__xludf.DUMMYFUNCTION("""COMPUTED_VALUE"""),"-")</f>
        <v>-</v>
      </c>
      <c r="B201" t="str">
        <f>IFERROR(__xludf.DUMMYFUNCTION("""COMPUTED_VALUE"""),"*Jersey*")</f>
        <v>*Jersey*</v>
      </c>
      <c r="C201" t="str">
        <f>IFERROR(__xludf.DUMMYFUNCTION("""COMPUTED_VALUE"""),"*103 674*")</f>
        <v>*103 674*</v>
      </c>
      <c r="D201" t="str">
        <f>IFERROR(__xludf.DUMMYFUNCTION("""COMPUTED_VALUE"""),"*104 052*")</f>
        <v>*104 052*</v>
      </c>
    </row>
    <row r="202">
      <c r="A202">
        <f>IFERROR(__xludf.DUMMYFUNCTION("""COMPUTED_VALUE"""),186.0)</f>
        <v>186</v>
      </c>
      <c r="B202" t="str">
        <f>IFERROR(__xludf.DUMMYFUNCTION("""COMPUTED_VALUE"""),"Saint-Vincent-et-les-Grenadines")</f>
        <v>Saint-Vincent-et-les-Grenadines</v>
      </c>
      <c r="C202">
        <f>IFERROR(__xludf.DUMMYFUNCTION("""COMPUTED_VALUE"""),101323.0)</f>
        <v>101323</v>
      </c>
      <c r="D202">
        <f>IFERROR(__xludf.DUMMYFUNCTION("""COMPUTED_VALUE"""),99583.0)</f>
        <v>99583</v>
      </c>
    </row>
    <row r="203">
      <c r="A203">
        <f>IFERROR(__xludf.DUMMYFUNCTION("""COMPUTED_VALUE"""),187.0)</f>
        <v>187</v>
      </c>
      <c r="B203" t="str">
        <f>IFERROR(__xludf.DUMMYFUNCTION("""COMPUTED_VALUE"""),"Antigua-et-Barbuda")</f>
        <v>Antigua-et-Barbuda</v>
      </c>
      <c r="C203">
        <f>IFERROR(__xludf.DUMMYFUNCTION("""COMPUTED_VALUE"""),93316.0)</f>
        <v>93316</v>
      </c>
      <c r="D203">
        <f>IFERROR(__xludf.DUMMYFUNCTION("""COMPUTED_VALUE"""),94423.0)</f>
        <v>94423</v>
      </c>
    </row>
    <row r="204">
      <c r="A204" t="str">
        <f>IFERROR(__xludf.DUMMYFUNCTION("""COMPUTED_VALUE"""),"-")</f>
        <v>-</v>
      </c>
      <c r="B204" t="str">
        <f>IFERROR(__xludf.DUMMYFUNCTION("""COMPUTED_VALUE"""),"*Îles Vierges des États-Unis*")</f>
        <v>*Îles Vierges des États-Unis*</v>
      </c>
      <c r="C204" t="str">
        <f>IFERROR(__xludf.DUMMYFUNCTION("""COMPUTED_VALUE"""),"*85 701*")</f>
        <v>*85 701*</v>
      </c>
      <c r="D204" t="str">
        <f>IFERROR(__xludf.DUMMYFUNCTION("""COMPUTED_VALUE"""),"*83 770*")</f>
        <v>*83 770*</v>
      </c>
    </row>
    <row r="205">
      <c r="A205" t="str">
        <f>IFERROR(__xludf.DUMMYFUNCTION("""COMPUTED_VALUE"""),"-")</f>
        <v>-</v>
      </c>
      <c r="B205" t="str">
        <f>IFERROR(__xludf.DUMMYFUNCTION("""COMPUTED_VALUE"""),"*Île de Man*")</f>
        <v>*Île de Man*</v>
      </c>
      <c r="C205" t="str">
        <f>IFERROR(__xludf.DUMMYFUNCTION("""COMPUTED_VALUE"""),"*84 165*")</f>
        <v>*84 165*</v>
      </c>
      <c r="D205" t="str">
        <f>IFERROR(__xludf.DUMMYFUNCTION("""COMPUTED_VALUE"""),"*84 089*")</f>
        <v>*84 089*</v>
      </c>
    </row>
    <row r="206">
      <c r="A206">
        <f>IFERROR(__xludf.DUMMYFUNCTION("""COMPUTED_VALUE"""),188.0)</f>
        <v>188</v>
      </c>
      <c r="B206" t="str">
        <f>IFERROR(__xludf.DUMMYFUNCTION("""COMPUTED_VALUE"""),"Andorre")</f>
        <v>Andorre</v>
      </c>
      <c r="C206">
        <f>IFERROR(__xludf.DUMMYFUNCTION("""COMPUTED_VALUE"""),80856.0)</f>
        <v>80856</v>
      </c>
      <c r="D206">
        <f>IFERROR(__xludf.DUMMYFUNCTION("""COMPUTED_VALUE"""),83352.0)</f>
        <v>83352</v>
      </c>
    </row>
    <row r="207">
      <c r="A207" t="str">
        <f>IFERROR(__xludf.DUMMYFUNCTION("""COMPUTED_VALUE"""),"-")</f>
        <v>-</v>
      </c>
      <c r="B207" t="str">
        <f>IFERROR(__xludf.DUMMYFUNCTION("""COMPUTED_VALUE"""),"*Îles Caïmans*")</f>
        <v>*Îles Caïmans*</v>
      </c>
      <c r="C207" t="str">
        <f>IFERROR(__xludf.DUMMYFUNCTION("""COMPUTED_VALUE"""),"*73 038*")</f>
        <v>*73 038*</v>
      </c>
      <c r="D207" t="str">
        <f>IFERROR(__xludf.DUMMYFUNCTION("""COMPUTED_VALUE"""),"*76 528*")</f>
        <v>*76 528*</v>
      </c>
    </row>
    <row r="208">
      <c r="A208">
        <f>IFERROR(__xludf.DUMMYFUNCTION("""COMPUTED_VALUE"""),189.0)</f>
        <v>189</v>
      </c>
      <c r="B208" t="str">
        <f>IFERROR(__xludf.DUMMYFUNCTION("""COMPUTED_VALUE"""),"Dominique")</f>
        <v>Dominique</v>
      </c>
      <c r="C208">
        <f>IFERROR(__xludf.DUMMYFUNCTION("""COMPUTED_VALUE"""),66510.0)</f>
        <v>66510</v>
      </c>
      <c r="D208">
        <f>IFERROR(__xludf.DUMMYFUNCTION("""COMPUTED_VALUE"""),65686.0)</f>
        <v>65686</v>
      </c>
    </row>
    <row r="209">
      <c r="A209" t="str">
        <f>IFERROR(__xludf.DUMMYFUNCTION("""COMPUTED_VALUE"""),"-")</f>
        <v>-</v>
      </c>
      <c r="B209" t="str">
        <f>IFERROR(__xludf.DUMMYFUNCTION("""COMPUTED_VALUE"""),"*Bermudes*")</f>
        <v>*Bermudes*</v>
      </c>
      <c r="C209" t="str">
        <f>IFERROR(__xludf.DUMMYFUNCTION("""COMPUTED_VALUE"""),"*64 698*")</f>
        <v>*64 698*</v>
      </c>
      <c r="D209" t="str">
        <f>IFERROR(__xludf.DUMMYFUNCTION("""COMPUTED_VALUE"""),"*64 508*")</f>
        <v>*64 508*</v>
      </c>
    </row>
    <row r="210">
      <c r="A210" t="str">
        <f>IFERROR(__xludf.DUMMYFUNCTION("""COMPUTED_VALUE"""),"-")</f>
        <v>-</v>
      </c>
      <c r="B210" t="str">
        <f>IFERROR(__xludf.DUMMYFUNCTION("""COMPUTED_VALUE"""),"*Guernesey*")</f>
        <v>*Guernesey*</v>
      </c>
      <c r="C210" t="str">
        <f>IFERROR(__xludf.DUMMYFUNCTION("""COMPUTED_VALUE"""),"*64 017*")</f>
        <v>*64 017*</v>
      </c>
      <c r="D210" t="str">
        <f>IFERROR(__xludf.DUMMYFUNCTION("""COMPUTED_VALUE"""),"*64 562*")</f>
        <v>*64 562*</v>
      </c>
    </row>
    <row r="211">
      <c r="A211" t="str">
        <f>IFERROR(__xludf.DUMMYFUNCTION("""COMPUTED_VALUE"""),"-")</f>
        <v>-</v>
      </c>
      <c r="B211" t="str">
        <f>IFERROR(__xludf.DUMMYFUNCTION("""COMPUTED_VALUE"""),"*Groenland*")</f>
        <v>*Groenland*</v>
      </c>
      <c r="C211" t="str">
        <f>IFERROR(__xludf.DUMMYFUNCTION("""COMPUTED_VALUE"""),"*55 922*")</f>
        <v>*55 922*</v>
      </c>
      <c r="D211" t="str">
        <f>IFERROR(__xludf.DUMMYFUNCTION("""COMPUTED_VALUE"""),"*55 693*")</f>
        <v>*55 693*</v>
      </c>
    </row>
    <row r="212">
      <c r="A212" t="str">
        <f>IFERROR(__xludf.DUMMYFUNCTION("""COMPUTED_VALUE"""),"-")</f>
        <v>-</v>
      </c>
      <c r="B212" t="str">
        <f>IFERROR(__xludf.DUMMYFUNCTION("""COMPUTED_VALUE"""),"*Îles Féroé*")</f>
        <v>*Îles Féroé*</v>
      </c>
      <c r="C212" t="str">
        <f>IFERROR(__xludf.DUMMYFUNCTION("""COMPUTED_VALUE"""),"*54 714*")</f>
        <v>*54 714*</v>
      </c>
      <c r="D212" t="str">
        <f>IFERROR(__xludf.DUMMYFUNCTION("""COMPUTED_VALUE"""),"*56 281*")</f>
        <v>*56 281*</v>
      </c>
    </row>
    <row r="213">
      <c r="A213" t="str">
        <f>IFERROR(__xludf.DUMMYFUNCTION("""COMPUTED_VALUE"""),"-")</f>
        <v>-</v>
      </c>
      <c r="B213" t="str">
        <f>IFERROR(__xludf.DUMMYFUNCTION("""COMPUTED_VALUE"""),"*Samoa américaines*")</f>
        <v>*Samoa américaines*</v>
      </c>
      <c r="C213" t="str">
        <f>IFERROR(__xludf.DUMMYFUNCTION("""COMPUTED_VALUE"""),"*47 521*")</f>
        <v>*47 521*</v>
      </c>
      <c r="D213" t="str">
        <f>IFERROR(__xludf.DUMMYFUNCTION("""COMPUTED_VALUE"""),"*45 668*")</f>
        <v>*45 668*</v>
      </c>
    </row>
    <row r="214">
      <c r="A214">
        <f>IFERROR(__xludf.DUMMYFUNCTION("""COMPUTED_VALUE"""),190.0)</f>
        <v>190</v>
      </c>
      <c r="B214" t="str">
        <f>IFERROR(__xludf.DUMMYFUNCTION("""COMPUTED_VALUE"""),"Saint-Christophe-et-Niévès")</f>
        <v>Saint-Christophe-et-Niévès</v>
      </c>
      <c r="C214">
        <f>IFERROR(__xludf.DUMMYFUNCTION("""COMPUTED_VALUE"""),46758.0)</f>
        <v>46758</v>
      </c>
      <c r="D214">
        <f>IFERROR(__xludf.DUMMYFUNCTION("""COMPUTED_VALUE"""),46960.0)</f>
        <v>46960</v>
      </c>
    </row>
    <row r="215">
      <c r="A215" t="str">
        <f>IFERROR(__xludf.DUMMYFUNCTION("""COMPUTED_VALUE"""),"-")</f>
        <v>-</v>
      </c>
      <c r="B215" t="str">
        <f>IFERROR(__xludf.DUMMYFUNCTION("""COMPUTED_VALUE"""),"*Îles Turques-et-Caïques*")</f>
        <v>*Îles Turques-et-Caïques*</v>
      </c>
      <c r="C215" t="str">
        <f>IFERROR(__xludf.DUMMYFUNCTION("""COMPUTED_VALUE"""),"*46 198*")</f>
        <v>*46 198*</v>
      </c>
      <c r="D215" t="str">
        <f>IFERROR(__xludf.DUMMYFUNCTION("""COMPUTED_VALUE"""),"*47 010*")</f>
        <v>*47 010*</v>
      </c>
    </row>
    <row r="216">
      <c r="A216" t="str">
        <f>IFERROR(__xludf.DUMMYFUNCTION("""COMPUTED_VALUE"""),"-")</f>
        <v>-</v>
      </c>
      <c r="B216" t="str">
        <f>IFERROR(__xludf.DUMMYFUNCTION("""COMPUTED_VALUE"""),"*Îles Mariannes du Nord*")</f>
        <v>*Îles Mariannes du Nord*</v>
      </c>
      <c r="C216" t="str">
        <f>IFERROR(__xludf.DUMMYFUNCTION("""COMPUTED_VALUE"""),"*45 143*")</f>
        <v>*45 143*</v>
      </c>
      <c r="D216" t="str">
        <f>IFERROR(__xludf.DUMMYFUNCTION("""COMPUTED_VALUE"""),"*43 194*")</f>
        <v>*43 194*</v>
      </c>
    </row>
    <row r="217">
      <c r="A217" t="str">
        <f>IFERROR(__xludf.DUMMYFUNCTION("""COMPUTED_VALUE"""),"-")</f>
        <v>-</v>
      </c>
      <c r="B217" t="str">
        <f>IFERROR(__xludf.DUMMYFUNCTION("""COMPUTED_VALUE"""),"*Saint-Martin*")</f>
        <v>*Saint-Martin*</v>
      </c>
      <c r="C217" t="str">
        <f>IFERROR(__xludf.DUMMYFUNCTION("""COMPUTED_VALUE"""),"*42 749*")</f>
        <v>*42 749*</v>
      </c>
      <c r="D217" t="str">
        <f>IFERROR(__xludf.DUMMYFUNCTION("""COMPUTED_VALUE"""),"*44 201*")</f>
        <v>*44 201*</v>
      </c>
    </row>
    <row r="218">
      <c r="A218">
        <f>IFERROR(__xludf.DUMMYFUNCTION("""COMPUTED_VALUE"""),191.0)</f>
        <v>191</v>
      </c>
      <c r="B218" t="str">
        <f>IFERROR(__xludf.DUMMYFUNCTION("""COMPUTED_VALUE"""),"Liechtenstein")</f>
        <v>Liechtenstein</v>
      </c>
      <c r="C218">
        <f>IFERROR(__xludf.DUMMYFUNCTION("""COMPUTED_VALUE"""),39598.0)</f>
        <v>39598</v>
      </c>
      <c r="D218">
        <f>IFERROR(__xludf.DUMMYFUNCTION("""COMPUTED_VALUE"""),40252.0)</f>
        <v>40252</v>
      </c>
    </row>
    <row r="219">
      <c r="A219" t="str">
        <f>IFERROR(__xludf.DUMMYFUNCTION("""COMPUTED_VALUE"""),"-")</f>
        <v>-</v>
      </c>
      <c r="B219" t="str">
        <f>IFERROR(__xludf.DUMMYFUNCTION("""COMPUTED_VALUE"""),"*Îles Vierges britanniques*")</f>
        <v>*Îles Vierges britanniques*</v>
      </c>
      <c r="C219" t="str">
        <f>IFERROR(__xludf.DUMMYFUNCTION("""COMPUTED_VALUE"""),"*38 985*")</f>
        <v>*38 985*</v>
      </c>
      <c r="D219" t="str">
        <f>IFERROR(__xludf.DUMMYFUNCTION("""COMPUTED_VALUE"""),"*39 849*")</f>
        <v>*39 849*</v>
      </c>
    </row>
    <row r="220">
      <c r="A220">
        <f>IFERROR(__xludf.DUMMYFUNCTION("""COMPUTED_VALUE"""),192.0)</f>
        <v>192</v>
      </c>
      <c r="B220" t="str">
        <f>IFERROR(__xludf.DUMMYFUNCTION("""COMPUTED_VALUE"""),"Monaco")</f>
        <v>Monaco</v>
      </c>
      <c r="C220">
        <f>IFERROR(__xludf.DUMMYFUNCTION("""COMPUTED_VALUE"""),38956.0)</f>
        <v>38956</v>
      </c>
      <c r="D220">
        <f>IFERROR(__xludf.DUMMYFUNCTION("""COMPUTED_VALUE"""),38197.0)</f>
        <v>38197</v>
      </c>
    </row>
    <row r="221">
      <c r="A221">
        <f>IFERROR(__xludf.DUMMYFUNCTION("""COMPUTED_VALUE"""),193.0)</f>
        <v>193</v>
      </c>
      <c r="B221" t="str">
        <f>IFERROR(__xludf.DUMMYFUNCTION("""COMPUTED_VALUE"""),"Îles Marshall")</f>
        <v>Îles Marshall</v>
      </c>
      <c r="C221">
        <f>IFERROR(__xludf.DUMMYFUNCTION("""COMPUTED_VALUE"""),38827.0)</f>
        <v>38827</v>
      </c>
      <c r="D221">
        <f>IFERROR(__xludf.DUMMYFUNCTION("""COMPUTED_VALUE"""),35650.0)</f>
        <v>35650</v>
      </c>
    </row>
    <row r="222">
      <c r="A222" t="str">
        <f>IFERROR(__xludf.DUMMYFUNCTION("""COMPUTED_VALUE"""),"-")</f>
        <v>-</v>
      </c>
      <c r="B222" t="str">
        <f>IFERROR(__xludf.DUMMYFUNCTION("""COMPUTED_VALUE"""),"*Gibraltar*")</f>
        <v>*Gibraltar*</v>
      </c>
      <c r="C222" t="str">
        <f>IFERROR(__xludf.DUMMYFUNCTION("""COMPUTED_VALUE"""),"*38 471*")</f>
        <v>*38 471*</v>
      </c>
      <c r="D222" t="str">
        <f>IFERROR(__xludf.DUMMYFUNCTION("""COMPUTED_VALUE"""),"*40 513*")</f>
        <v>*40 513*</v>
      </c>
    </row>
    <row r="223">
      <c r="A223">
        <f>IFERROR(__xludf.DUMMYFUNCTION("""COMPUTED_VALUE"""),194.0)</f>
        <v>194</v>
      </c>
      <c r="B223" t="str">
        <f>IFERROR(__xludf.DUMMYFUNCTION("""COMPUTED_VALUE"""),"Saint-Marin")</f>
        <v>Saint-Marin</v>
      </c>
      <c r="C223">
        <f>IFERROR(__xludf.DUMMYFUNCTION("""COMPUTED_VALUE"""),33733.0)</f>
        <v>33733</v>
      </c>
      <c r="D223">
        <f>IFERROR(__xludf.DUMMYFUNCTION("""COMPUTED_VALUE"""),33590.0)</f>
        <v>33590</v>
      </c>
    </row>
    <row r="224">
      <c r="A224" t="str">
        <f>IFERROR(__xludf.DUMMYFUNCTION("""COMPUTED_VALUE"""),"-")</f>
        <v>-</v>
      </c>
      <c r="B224" t="str">
        <f>IFERROR(__xludf.DUMMYFUNCTION("""COMPUTED_VALUE"""),"*Pays-Bas caribéens*")</f>
        <v>*Pays-Bas caribéens*</v>
      </c>
      <c r="C224" t="str">
        <f>IFERROR(__xludf.DUMMYFUNCTION("""COMPUTED_VALUE"""),"*29 898*")</f>
        <v>*29 898*</v>
      </c>
      <c r="D224" t="str">
        <f>IFERROR(__xludf.DUMMYFUNCTION("""COMPUTED_VALUE"""),"*31 650*")</f>
        <v>*31 650*</v>
      </c>
    </row>
    <row r="225">
      <c r="A225" t="str">
        <f>IFERROR(__xludf.DUMMYFUNCTION("""COMPUTED_VALUE"""),"-")</f>
        <v>-</v>
      </c>
      <c r="B225" t="str">
        <f>IFERROR(__xludf.DUMMYFUNCTION("""COMPUTED_VALUE"""),"*Saint-Martin*")</f>
        <v>*Saint-Martin*</v>
      </c>
      <c r="C225" t="str">
        <f>IFERROR(__xludf.DUMMYFUNCTION("""COMPUTED_VALUE"""),"*27 515*")</f>
        <v>*27 515*</v>
      </c>
      <c r="D225" t="str">
        <f>IFERROR(__xludf.DUMMYFUNCTION("""COMPUTED_VALUE"""),"*24 395*")</f>
        <v>*24 395*</v>
      </c>
    </row>
    <row r="226">
      <c r="A226">
        <f>IFERROR(__xludf.DUMMYFUNCTION("""COMPUTED_VALUE"""),195.0)</f>
        <v>195</v>
      </c>
      <c r="B226" t="str">
        <f>IFERROR(__xludf.DUMMYFUNCTION("""COMPUTED_VALUE"""),"Palaos")</f>
        <v>Palaos</v>
      </c>
      <c r="C226">
        <f>IFERROR(__xludf.DUMMYFUNCTION("""COMPUTED_VALUE"""),17727.0)</f>
        <v>17727</v>
      </c>
      <c r="D226">
        <f>IFERROR(__xludf.DUMMYFUNCTION("""COMPUTED_VALUE"""),17641.0)</f>
        <v>17641</v>
      </c>
    </row>
    <row r="227">
      <c r="A227" t="str">
        <f>IFERROR(__xludf.DUMMYFUNCTION("""COMPUTED_VALUE"""),"-")</f>
        <v>-</v>
      </c>
      <c r="B227" t="str">
        <f>IFERROR(__xludf.DUMMYFUNCTION("""COMPUTED_VALUE"""),"*Anguilla*")</f>
        <v>*Anguilla*</v>
      </c>
      <c r="C227" t="str">
        <f>IFERROR(__xludf.DUMMYFUNCTION("""COMPUTED_VALUE"""),"*14 410*")</f>
        <v>*14 410*</v>
      </c>
      <c r="D227" t="str">
        <f>IFERROR(__xludf.DUMMYFUNCTION("""COMPUTED_VALUE"""),"*14 782*")</f>
        <v>*14 782*</v>
      </c>
    </row>
    <row r="228">
      <c r="A228">
        <f>IFERROR(__xludf.DUMMYFUNCTION("""COMPUTED_VALUE"""),196.0)</f>
        <v>196</v>
      </c>
      <c r="B228" t="str">
        <f>IFERROR(__xludf.DUMMYFUNCTION("""COMPUTED_VALUE"""),"Îles Cook")</f>
        <v>Îles Cook</v>
      </c>
      <c r="C228">
        <f>IFERROR(__xludf.DUMMYFUNCTION("""COMPUTED_VALUE"""),14222.0)</f>
        <v>14222</v>
      </c>
      <c r="D228">
        <f>IFERROR(__xludf.DUMMYFUNCTION("""COMPUTED_VALUE"""),13035.0)</f>
        <v>13035</v>
      </c>
    </row>
    <row r="229">
      <c r="A229">
        <f>IFERROR(__xludf.DUMMYFUNCTION("""COMPUTED_VALUE"""),197.0)</f>
        <v>197</v>
      </c>
      <c r="B229" t="str">
        <f>IFERROR(__xludf.DUMMYFUNCTION("""COMPUTED_VALUE"""),"Nauru")</f>
        <v>Nauru</v>
      </c>
      <c r="C229">
        <f>IFERROR(__xludf.DUMMYFUNCTION("""COMPUTED_VALUE"""),11875.0)</f>
        <v>11875</v>
      </c>
      <c r="D229">
        <f>IFERROR(__xludf.DUMMYFUNCTION("""COMPUTED_VALUE"""),12063.0)</f>
        <v>12063</v>
      </c>
    </row>
    <row r="230">
      <c r="A230" t="str">
        <f>IFERROR(__xludf.DUMMYFUNCTION("""COMPUTED_VALUE"""),"-")</f>
        <v>-</v>
      </c>
      <c r="B230" t="str">
        <f>IFERROR(__xludf.DUMMYFUNCTION("""COMPUTED_VALUE"""),"*Wallis-et-Futuna*")</f>
        <v>*Wallis-et-Futuna*</v>
      </c>
      <c r="C230" t="str">
        <f>IFERROR(__xludf.DUMMYFUNCTION("""COMPUTED_VALUE"""),"*11 370*")</f>
        <v>*11 370*</v>
      </c>
      <c r="D230" t="str">
        <f>IFERROR(__xludf.DUMMYFUNCTION("""COMPUTED_VALUE"""),"*11 153*")</f>
        <v>*11 153*</v>
      </c>
    </row>
    <row r="231">
      <c r="A231" t="str">
        <f>IFERROR(__xludf.DUMMYFUNCTION("""COMPUTED_VALUE"""),"-")</f>
        <v>-</v>
      </c>
      <c r="B231" t="str">
        <f>IFERROR(__xludf.DUMMYFUNCTION("""COMPUTED_VALUE"""),"*Saint-Barthélemy*")</f>
        <v>*Saint-Barthélemy*</v>
      </c>
      <c r="C231" t="str">
        <f>IFERROR(__xludf.DUMMYFUNCTION("""COMPUTED_VALUE"""),"*11 085*")</f>
        <v>*11 085*</v>
      </c>
      <c r="D231" t="str">
        <f>IFERROR(__xludf.DUMMYFUNCTION("""COMPUTED_VALUE"""),"*11 489*")</f>
        <v>*11 489*</v>
      </c>
    </row>
    <row r="232">
      <c r="A232">
        <f>IFERROR(__xludf.DUMMYFUNCTION("""COMPUTED_VALUE"""),198.0)</f>
        <v>198</v>
      </c>
      <c r="B232" t="str">
        <f>IFERROR(__xludf.DUMMYFUNCTION("""COMPUTED_VALUE"""),"Tuvalu")</f>
        <v>Tuvalu</v>
      </c>
      <c r="C232">
        <f>IFERROR(__xludf.DUMMYFUNCTION("""COMPUTED_VALUE"""),9816.0)</f>
        <v>9816</v>
      </c>
      <c r="D232">
        <f>IFERROR(__xludf.DUMMYFUNCTION("""COMPUTED_VALUE"""),9420.0)</f>
        <v>9420</v>
      </c>
    </row>
    <row r="233">
      <c r="A233" t="str">
        <f>IFERROR(__xludf.DUMMYFUNCTION("""COMPUTED_VALUE"""),"-")</f>
        <v>-</v>
      </c>
      <c r="B233" t="str">
        <f>IFERROR(__xludf.DUMMYFUNCTION("""COMPUTED_VALUE"""),"*Saint-Pierre-et-Miquelon*")</f>
        <v>*Saint-Pierre-et-Miquelon*</v>
      </c>
      <c r="C233" t="str">
        <f>IFERROR(__xludf.DUMMYFUNCTION("""COMPUTED_VALUE"""),"*5 681*")</f>
        <v>*5 681*</v>
      </c>
      <c r="D233" t="str">
        <f>IFERROR(__xludf.DUMMYFUNCTION("""COMPUTED_VALUE"""),"*5 545*")</f>
        <v>*5 545*</v>
      </c>
    </row>
    <row r="234">
      <c r="A234" t="str">
        <f>IFERROR(__xludf.DUMMYFUNCTION("""COMPUTED_VALUE"""),"-")</f>
        <v>-</v>
      </c>
      <c r="B234" t="str">
        <f>IFERROR(__xludf.DUMMYFUNCTION("""COMPUTED_VALUE"""),"*Sainte-Hélène, Ascension et Tristan da Cunha*")</f>
        <v>*Sainte-Hélène, Ascension et Tristan da Cunha*</v>
      </c>
      <c r="C234" t="str">
        <f>IFERROR(__xludf.DUMMYFUNCTION("""COMPUTED_VALUE"""),"*5 289*")</f>
        <v>*5 289*</v>
      </c>
      <c r="D234" t="str">
        <f>IFERROR(__xludf.DUMMYFUNCTION("""COMPUTED_VALUE"""),"*5 177*")</f>
        <v>*5 177*</v>
      </c>
    </row>
    <row r="235">
      <c r="A235" t="str">
        <f>IFERROR(__xludf.DUMMYFUNCTION("""COMPUTED_VALUE"""),"-")</f>
        <v>-</v>
      </c>
      <c r="B235" t="str">
        <f>IFERROR(__xludf.DUMMYFUNCTION("""COMPUTED_VALUE"""),"*Montserrat*")</f>
        <v>*Montserrat*</v>
      </c>
      <c r="C235" t="str">
        <f>IFERROR(__xludf.DUMMYFUNCTION("""COMPUTED_VALUE"""),"*4 420*")</f>
        <v>*4 420*</v>
      </c>
      <c r="D235" t="str">
        <f>IFERROR(__xludf.DUMMYFUNCTION("""COMPUTED_VALUE"""),"*4 346*")</f>
        <v>*4 346*</v>
      </c>
    </row>
    <row r="236">
      <c r="A236" t="str">
        <f>IFERROR(__xludf.DUMMYFUNCTION("""COMPUTED_VALUE"""),"-")</f>
        <v>-</v>
      </c>
      <c r="B236" t="str">
        <f>IFERROR(__xludf.DUMMYFUNCTION("""COMPUTED_VALUE"""),"*Îles Malouines*")</f>
        <v>*Îles Malouines*</v>
      </c>
      <c r="C236" t="str">
        <f>IFERROR(__xludf.DUMMYFUNCTION("""COMPUTED_VALUE"""),"*3 477*")</f>
        <v>*3 477*</v>
      </c>
      <c r="D236" t="str">
        <f>IFERROR(__xludf.DUMMYFUNCTION("""COMPUTED_VALUE"""),"*3 467*")</f>
        <v>*3 467*</v>
      </c>
    </row>
    <row r="237">
      <c r="A237" t="str">
        <f>IFERROR(__xludf.DUMMYFUNCTION("""COMPUTED_VALUE"""),"-")</f>
        <v>-</v>
      </c>
      <c r="B237" t="str">
        <f>IFERROR(__xludf.DUMMYFUNCTION("""COMPUTED_VALUE"""),"*Tokelau*")</f>
        <v>*Tokelau*</v>
      </c>
      <c r="C237" t="str">
        <f>IFERROR(__xludf.DUMMYFUNCTION("""COMPUTED_VALUE"""),"*2 397*")</f>
        <v>*2 397*</v>
      </c>
      <c r="D237" t="str">
        <f>IFERROR(__xludf.DUMMYFUNCTION("""COMPUTED_VALUE"""),"*2 656*")</f>
        <v>*2 656*</v>
      </c>
    </row>
    <row r="238">
      <c r="A238">
        <f>IFERROR(__xludf.DUMMYFUNCTION("""COMPUTED_VALUE"""),199.0)</f>
        <v>199</v>
      </c>
      <c r="B238" t="str">
        <f>IFERROR(__xludf.DUMMYFUNCTION("""COMPUTED_VALUE"""),"Niue")</f>
        <v>Niue</v>
      </c>
      <c r="C238">
        <f>IFERROR(__xludf.DUMMYFUNCTION("""COMPUTED_VALUE"""),1817.0)</f>
        <v>1817</v>
      </c>
      <c r="D238">
        <f>IFERROR(__xludf.DUMMYFUNCTION("""COMPUTED_VALUE"""),1819.0)</f>
        <v>1819</v>
      </c>
    </row>
    <row r="239">
      <c r="A239">
        <f>IFERROR(__xludf.DUMMYFUNCTION("""COMPUTED_VALUE"""),200.0)</f>
        <v>200</v>
      </c>
      <c r="B239" t="str">
        <f>IFERROR(__xludf.DUMMYFUNCTION("""COMPUTED_VALUE"""),"Vatican")</f>
        <v>Vatican</v>
      </c>
      <c r="C239">
        <f>IFERROR(__xludf.DUMMYFUNCTION("""COMPUTED_VALUE"""),496.0)</f>
        <v>496</v>
      </c>
      <c r="D239">
        <f>IFERROR(__xludf.DUMMYFUNCTION("""COMPUTED_VALUE"""),503.0)</f>
        <v>503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IFERROR(__xludf.DUMMYFUNCTION("IMPORTHTML(""https://fr.wikipedia.org/wiki/Harry_Potter_(s%C3%A9rie_de_films)"",""table"")"),"")</f>
        <v/>
      </c>
      <c r="B1" t="str">
        <f>IFERROR(__xludf.DUMMYFUNCTION("""COMPUTED_VALUE"""),"Film 1")</f>
        <v>Film 1</v>
      </c>
      <c r="C1" t="str">
        <f>IFERROR(__xludf.DUMMYFUNCTION("""COMPUTED_VALUE"""),"Film 2")</f>
        <v>Film 2</v>
      </c>
      <c r="D1" t="str">
        <f>IFERROR(__xludf.DUMMYFUNCTION("""COMPUTED_VALUE"""),"Film 3")</f>
        <v>Film 3</v>
      </c>
      <c r="E1" t="str">
        <f>IFERROR(__xludf.DUMMYFUNCTION("""COMPUTED_VALUE"""),"Film 4")</f>
        <v>Film 4</v>
      </c>
      <c r="F1" t="str">
        <f>IFERROR(__xludf.DUMMYFUNCTION("""COMPUTED_VALUE"""),"Film 5")</f>
        <v>Film 5</v>
      </c>
      <c r="G1" t="str">
        <f>IFERROR(__xludf.DUMMYFUNCTION("""COMPUTED_VALUE"""),"Film 6")</f>
        <v>Film 6</v>
      </c>
      <c r="H1" t="str">
        <f>IFERROR(__xludf.DUMMYFUNCTION("""COMPUTED_VALUE"""),"Film 7")</f>
        <v>Film 7</v>
      </c>
      <c r="I1" t="str">
        <f>IFERROR(__xludf.DUMMYFUNCTION("""COMPUTED_VALUE"""),"Film 8")</f>
        <v>Film 8</v>
      </c>
    </row>
    <row r="2">
      <c r="A2" t="str">
        <f>IFERROR(__xludf.DUMMYFUNCTION("""COMPUTED_VALUE"""),"Titres")</f>
        <v>Titres</v>
      </c>
    </row>
    <row r="3">
      <c r="A3" t="str">
        <f>IFERROR(__xludf.DUMMYFUNCTION("""COMPUTED_VALUE"""),"Francophonie")</f>
        <v>Francophonie</v>
      </c>
      <c r="B3" t="str">
        <f>IFERROR(__xludf.DUMMYFUNCTION("""COMPUTED_VALUE"""),"*Harry Potter à l'école des sorciers*")</f>
        <v>*Harry Potter à l'école des sorciers*</v>
      </c>
      <c r="C3" t="str">
        <f>IFERROR(__xludf.DUMMYFUNCTION("""COMPUTED_VALUE"""),"*Harry Potter et la Chambre des secrets*")</f>
        <v>*Harry Potter et la Chambre des secrets*</v>
      </c>
      <c r="D3" t="str">
        <f>IFERROR(__xludf.DUMMYFUNCTION("""COMPUTED_VALUE"""),"*Harry Potter et le Prisonnier d'Azkaban*")</f>
        <v>*Harry Potter et le Prisonnier d'Azkaban*</v>
      </c>
      <c r="E3" t="str">
        <f>IFERROR(__xludf.DUMMYFUNCTION("""COMPUTED_VALUE"""),"*Harry Potter et la Coupe de feu*")</f>
        <v>*Harry Potter et la Coupe de feu*</v>
      </c>
      <c r="F3" t="str">
        <f>IFERROR(__xludf.DUMMYFUNCTION("""COMPUTED_VALUE"""),"*Harry Potter et l'Ordre du Phénix*")</f>
        <v>*Harry Potter et l'Ordre du Phénix*</v>
      </c>
      <c r="G3" t="str">
        <f>IFERROR(__xludf.DUMMYFUNCTION("""COMPUTED_VALUE"""),"*Harry Potter et le Prince de sang-mêlé*")</f>
        <v>*Harry Potter et le Prince de sang-mêlé*</v>
      </c>
      <c r="H3" t="str">
        <f>IFERROR(__xludf.DUMMYFUNCTION("""COMPUTED_VALUE"""),"*Harry Potter et les Reliques de la Mort, partie 1*")</f>
        <v>*Harry Potter et les Reliques de la Mort, partie 1*</v>
      </c>
      <c r="I3" t="str">
        <f>IFERROR(__xludf.DUMMYFUNCTION("""COMPUTED_VALUE"""),"*Harry Potter et les Reliques de la Mort, partie 2*")</f>
        <v>*Harry Potter et les Reliques de la Mort, partie 2*</v>
      </c>
    </row>
    <row r="4">
      <c r="A4" t="str">
        <f>IFERROR(__xludf.DUMMYFUNCTION("""COMPUTED_VALUE"""),"Royaume-Uni")</f>
        <v>Royaume-Uni</v>
      </c>
      <c r="B4" t="str">
        <f>IFERROR(__xludf.DUMMYFUNCTION("""COMPUTED_VALUE"""),"*Harry Potter and the Philosopher's Stone*")</f>
        <v>*Harry Potter and the Philosopher's Stone*</v>
      </c>
      <c r="C4" t="str">
        <f>IFERROR(__xludf.DUMMYFUNCTION("""COMPUTED_VALUE"""),"*Harry Potter and the Chamber of Secrets*")</f>
        <v>*Harry Potter and the Chamber of Secrets*</v>
      </c>
      <c r="D4" t="str">
        <f>IFERROR(__xludf.DUMMYFUNCTION("""COMPUTED_VALUE"""),"*Harry Potter and the Prisoner of Azkaban*")</f>
        <v>*Harry Potter and the Prisoner of Azkaban*</v>
      </c>
      <c r="E4" t="str">
        <f>IFERROR(__xludf.DUMMYFUNCTION("""COMPUTED_VALUE"""),"*Harry Potter and the Goblet of Fire*")</f>
        <v>*Harry Potter and the Goblet of Fire*</v>
      </c>
      <c r="F4" t="str">
        <f>IFERROR(__xludf.DUMMYFUNCTION("""COMPUTED_VALUE"""),"*Harry Potter and the Order of the Phoenix*")</f>
        <v>*Harry Potter and the Order of the Phoenix*</v>
      </c>
      <c r="G4" t="str">
        <f>IFERROR(__xludf.DUMMYFUNCTION("""COMPUTED_VALUE"""),"*Harry Potter and the Half-Blood Prince*")</f>
        <v>*Harry Potter and the Half-Blood Prince*</v>
      </c>
      <c r="H4" t="str">
        <f>IFERROR(__xludf.DUMMYFUNCTION("""COMPUTED_VALUE"""),"*Harry Potter and the Deathly Hallows - Part 1*")</f>
        <v>*Harry Potter and the Deathly Hallows - Part 1*</v>
      </c>
      <c r="I4" t="str">
        <f>IFERROR(__xludf.DUMMYFUNCTION("""COMPUTED_VALUE"""),"*Harry Potter and the Deathly Hallows - Part 2*")</f>
        <v>*Harry Potter and the Deathly Hallows - Part 2*</v>
      </c>
    </row>
    <row r="5">
      <c r="A5" t="str">
        <f>IFERROR(__xludf.DUMMYFUNCTION("""COMPUTED_VALUE"""),"États-Unis")</f>
        <v>États-Unis</v>
      </c>
      <c r="B5" t="str">
        <f>IFERROR(__xludf.DUMMYFUNCTION("""COMPUTED_VALUE"""),"*Harry Potter and the Sorcerer's Stone*")</f>
        <v>*Harry Potter and the Sorcerer's Stone*</v>
      </c>
    </row>
    <row r="6">
      <c r="A6" t="str">
        <f>IFERROR(__xludf.DUMMYFUNCTION("""COMPUTED_VALUE"""),"Équipes")</f>
        <v>Équipes</v>
      </c>
    </row>
    <row r="7">
      <c r="A7" t="str">
        <f>IFERROR(__xludf.DUMMYFUNCTION("""COMPUTED_VALUE"""),"Réalisation")</f>
        <v>Réalisation</v>
      </c>
      <c r="B7" t="str">
        <f>IFERROR(__xludf.DUMMYFUNCTION("""COMPUTED_VALUE"""),"Chris Columbus[S 11]")</f>
        <v>Chris Columbus[S 11]</v>
      </c>
      <c r="D7" t="str">
        <f>IFERROR(__xludf.DUMMYFUNCTION("""COMPUTED_VALUE"""),"Alfonso Cuarón[S 12]")</f>
        <v>Alfonso Cuarón[S 12]</v>
      </c>
      <c r="E7" t="str">
        <f>IFERROR(__xludf.DUMMYFUNCTION("""COMPUTED_VALUE"""),"Mike Newell[S 13]")</f>
        <v>Mike Newell[S 13]</v>
      </c>
      <c r="F7" t="str">
        <f>IFERROR(__xludf.DUMMYFUNCTION("""COMPUTED_VALUE"""),"David Yates[S 14]")</f>
        <v>David Yates[S 14]</v>
      </c>
    </row>
    <row r="8">
      <c r="A8" t="str">
        <f>IFERROR(__xludf.DUMMYFUNCTION("""COMPUTED_VALUE"""),"Scénario")</f>
        <v>Scénario</v>
      </c>
      <c r="B8" t="str">
        <f>IFERROR(__xludf.DUMMYFUNCTION("""COMPUTED_VALUE"""),"Steve Kloves[S 15]")</f>
        <v>Steve Kloves[S 15]</v>
      </c>
      <c r="F8" t="str">
        <f>IFERROR(__xludf.DUMMYFUNCTION("""COMPUTED_VALUE"""),"Michael Goldenberg[S 16]")</f>
        <v>Michael Goldenberg[S 16]</v>
      </c>
      <c r="G8" t="str">
        <f>IFERROR(__xludf.DUMMYFUNCTION("""COMPUTED_VALUE"""),"Steve Kloves[S 16]")</f>
        <v>Steve Kloves[S 16]</v>
      </c>
    </row>
    <row r="9">
      <c r="A9" t="str">
        <f>IFERROR(__xludf.DUMMYFUNCTION("""COMPUTED_VALUE"""),"Musique")</f>
        <v>Musique</v>
      </c>
      <c r="B9" t="str">
        <f>IFERROR(__xludf.DUMMYFUNCTION("""COMPUTED_VALUE"""),"John Williams[8]")</f>
        <v>John Williams[8]</v>
      </c>
      <c r="E9" t="str">
        <f>IFERROR(__xludf.DUMMYFUNCTION("""COMPUTED_VALUE"""),"Patrick Doyle[9]")</f>
        <v>Patrick Doyle[9]</v>
      </c>
      <c r="F9" t="str">
        <f>IFERROR(__xludf.DUMMYFUNCTION("""COMPUTED_VALUE"""),"Nicholas Hooper[10]")</f>
        <v>Nicholas Hooper[10]</v>
      </c>
      <c r="H9" t="str">
        <f>IFERROR(__xludf.DUMMYFUNCTION("""COMPUTED_VALUE"""),"Alexandre Desplat[11]")</f>
        <v>Alexandre Desplat[11]</v>
      </c>
    </row>
    <row r="10">
      <c r="A10" t="str">
        <f>IFERROR(__xludf.DUMMYFUNCTION("""COMPUTED_VALUE"""),"Production")</f>
        <v>Production</v>
      </c>
      <c r="B10" t="str">
        <f>IFERROR(__xludf.DUMMYFUNCTION("""COMPUTED_VALUE"""),"David Heyman[S 15]")</f>
        <v>David Heyman[S 15]</v>
      </c>
    </row>
    <row r="11">
      <c r="C11" t="str">
        <f>IFERROR(__xludf.DUMMYFUNCTION("""COMPUTED_VALUE"""),"David Barron[12]")</f>
        <v>David Barron[12]</v>
      </c>
      <c r="D11" t="str">
        <f>IFERROR(__xludf.DUMMYFUNCTION("""COMPUTED_VALUE"""),"Mark Radcliffe[13]")</f>
        <v>Mark Radcliffe[13]</v>
      </c>
      <c r="E11" t="str">
        <f>IFERROR(__xludf.DUMMYFUNCTION("""COMPUTED_VALUE"""),"David Barron[12]")</f>
        <v>David Barron[12]</v>
      </c>
    </row>
    <row r="12">
      <c r="D12" t="str">
        <f>IFERROR(__xludf.DUMMYFUNCTION("""COMPUTED_VALUE"""),"Chris Columbus[13]")</f>
        <v>Chris Columbus[13]</v>
      </c>
      <c r="H12" t="str">
        <f>IFERROR(__xludf.DUMMYFUNCTION("""COMPUTED_VALUE"""),"J. K. Rowling")</f>
        <v>J. K. Rowling</v>
      </c>
    </row>
    <row r="13">
      <c r="A13" t="str">
        <f>IFERROR(__xludf.DUMMYFUNCTION("""COMPUTED_VALUE"""),"Décors")</f>
        <v>Décors</v>
      </c>
      <c r="B13" t="str">
        <f>IFERROR(__xludf.DUMMYFUNCTION("""COMPUTED_VALUE"""),"Stuart Craig[S 17]")</f>
        <v>Stuart Craig[S 17]</v>
      </c>
    </row>
    <row r="14">
      <c r="A14" t="str">
        <f>IFERROR(__xludf.DUMMYFUNCTION("""COMPUTED_VALUE"""),"Directeur de la photographie")</f>
        <v>Directeur de la photographie</v>
      </c>
      <c r="B14" t="str">
        <f>IFERROR(__xludf.DUMMYFUNCTION("""COMPUTED_VALUE"""),"John Seale[S 18]")</f>
        <v>John Seale[S 18]</v>
      </c>
      <c r="C14" t="str">
        <f>IFERROR(__xludf.DUMMYFUNCTION("""COMPUTED_VALUE"""),"Roger Pratt[14]")</f>
        <v>Roger Pratt[14]</v>
      </c>
      <c r="D14" t="str">
        <f>IFERROR(__xludf.DUMMYFUNCTION("""COMPUTED_VALUE"""),"Michael Seresin[15]")</f>
        <v>Michael Seresin[15]</v>
      </c>
      <c r="E14" t="str">
        <f>IFERROR(__xludf.DUMMYFUNCTION("""COMPUTED_VALUE"""),"Roger Pratt[14]")</f>
        <v>Roger Pratt[14]</v>
      </c>
      <c r="F14" t="str">
        <f>IFERROR(__xludf.DUMMYFUNCTION("""COMPUTED_VALUE"""),"Sławomir Idziak[16]")</f>
        <v>Sławomir Idziak[16]</v>
      </c>
      <c r="G14" t="str">
        <f>IFERROR(__xludf.DUMMYFUNCTION("""COMPUTED_VALUE"""),"Bruno Delbonnel[17]")</f>
        <v>Bruno Delbonnel[17]</v>
      </c>
      <c r="H14" t="str">
        <f>IFERROR(__xludf.DUMMYFUNCTION("""COMPUTED_VALUE"""),"Eduardo Serra[18],[19]")</f>
        <v>Eduardo Serra[18],[19]</v>
      </c>
    </row>
    <row r="15">
      <c r="A15" t="str">
        <f>IFERROR(__xludf.DUMMYFUNCTION("""COMPUTED_VALUE"""),"Costumes")</f>
        <v>Costumes</v>
      </c>
      <c r="B15" t="str">
        <f>IFERROR(__xludf.DUMMYFUNCTION("""COMPUTED_VALUE"""),"Judianna Makovsky[S 19]")</f>
        <v>Judianna Makovsky[S 19]</v>
      </c>
      <c r="C15" t="str">
        <f>IFERROR(__xludf.DUMMYFUNCTION("""COMPUTED_VALUE"""),"Lindy Hemming[S 20]")</f>
        <v>Lindy Hemming[S 20]</v>
      </c>
      <c r="D15" t="str">
        <f>IFERROR(__xludf.DUMMYFUNCTION("""COMPUTED_VALUE"""),"Jany Temime[S 21]")</f>
        <v>Jany Temime[S 21]</v>
      </c>
    </row>
    <row r="16">
      <c r="A16" t="str">
        <f>IFERROR(__xludf.DUMMYFUNCTION("""COMPUTED_VALUE"""),"Montage")</f>
        <v>Montage</v>
      </c>
      <c r="B16" t="str">
        <f>IFERROR(__xludf.DUMMYFUNCTION("""COMPUTED_VALUE"""),"Richard Francis-Bruce")</f>
        <v>Richard Francis-Bruce</v>
      </c>
      <c r="C16" t="str">
        <f>IFERROR(__xludf.DUMMYFUNCTION("""COMPUTED_VALUE"""),"Peter Honess")</f>
        <v>Peter Honess</v>
      </c>
      <c r="D16" t="str">
        <f>IFERROR(__xludf.DUMMYFUNCTION("""COMPUTED_VALUE"""),"Steven Weisberg")</f>
        <v>Steven Weisberg</v>
      </c>
      <c r="E16" t="str">
        <f>IFERROR(__xludf.DUMMYFUNCTION("""COMPUTED_VALUE"""),"Mike Audsley")</f>
        <v>Mike Audsley</v>
      </c>
      <c r="F16" t="str">
        <f>IFERROR(__xludf.DUMMYFUNCTION("""COMPUTED_VALUE"""),"Mark Day[18],[19]")</f>
        <v>Mark Day[18],[19]</v>
      </c>
    </row>
    <row r="17">
      <c r="A17" t="str">
        <f>IFERROR(__xludf.DUMMYFUNCTION("""COMPUTED_VALUE"""),"Casting")</f>
        <v>Casting</v>
      </c>
      <c r="B17" t="str">
        <f>IFERROR(__xludf.DUMMYFUNCTION("""COMPUTED_VALUE"""),"Susie Figgis, Janet Hirshenson, Jane Jenkins, Karen Lindsay-Stewart")</f>
        <v>Susie Figgis, Janet Hirshenson, Jane Jenkins, Karen Lindsay-Stewart</v>
      </c>
      <c r="C17" t="str">
        <f>IFERROR(__xludf.DUMMYFUNCTION("""COMPUTED_VALUE"""),"Karen Lindsay-Stewart")</f>
        <v>Karen Lindsay-Stewart</v>
      </c>
      <c r="D17" t="str">
        <f>IFERROR(__xludf.DUMMYFUNCTION("""COMPUTED_VALUE"""),"Jina Jay")</f>
        <v>Jina Jay</v>
      </c>
      <c r="E17" t="str">
        <f>IFERROR(__xludf.DUMMYFUNCTION("""COMPUTED_VALUE"""),"Mary Selway, Fiona Weir[20]")</f>
        <v>Mary Selway, Fiona Weir[20]</v>
      </c>
      <c r="F17" t="str">
        <f>IFERROR(__xludf.DUMMYFUNCTION("""COMPUTED_VALUE"""),"Fiona Weir[20]")</f>
        <v>Fiona Weir[20]</v>
      </c>
    </row>
    <row r="18">
      <c r="A18" t="str">
        <f>IFERROR(__xludf.DUMMYFUNCTION("""COMPUTED_VALUE"""),"Société de production")</f>
        <v>Société de production</v>
      </c>
      <c r="B18" t="str">
        <f>IFERROR(__xludf.DUMMYFUNCTION("""COMPUTED_VALUE"""),"Warner Bros. Pictures")</f>
        <v>Warner Bros. Pictures</v>
      </c>
    </row>
    <row r="19">
      <c r="A19" t="str">
        <f>IFERROR(__xludf.DUMMYFUNCTION("""COMPUTED_VALUE"""),"Société de distribution")</f>
        <v>Société de distribution</v>
      </c>
      <c r="B19" t="str">
        <f>IFERROR(__xludf.DUMMYFUNCTION("""COMPUTED_VALUE"""),"Warner Bros.")</f>
        <v>Warner Bros.</v>
      </c>
    </row>
    <row r="20">
      <c r="A20" t="str">
        <f>IFERROR(__xludf.DUMMYFUNCTION("""COMPUTED_VALUE"""),"Dates de sortie")</f>
        <v>Dates de sortie</v>
      </c>
    </row>
    <row r="21">
      <c r="A21" t="str">
        <f>IFERROR(__xludf.DUMMYFUNCTION("""COMPUTED_VALUE"""),"Belgique")</f>
        <v>Belgique</v>
      </c>
      <c r="B21" s="14">
        <f>IFERROR(__xludf.DUMMYFUNCTION("""COMPUTED_VALUE"""),37216.0)</f>
        <v>37216</v>
      </c>
      <c r="C21" s="14">
        <f>IFERROR(__xludf.DUMMYFUNCTION("""COMPUTED_VALUE"""),37580.0)</f>
        <v>37580</v>
      </c>
      <c r="D21" s="14">
        <f>IFERROR(__xludf.DUMMYFUNCTION("""COMPUTED_VALUE"""),38140.0)</f>
        <v>38140</v>
      </c>
      <c r="E21" s="14">
        <f>IFERROR(__xludf.DUMMYFUNCTION("""COMPUTED_VALUE"""),38679.0)</f>
        <v>38679</v>
      </c>
      <c r="F21" s="14">
        <f>IFERROR(__xludf.DUMMYFUNCTION("""COMPUTED_VALUE"""),39274.0)</f>
        <v>39274</v>
      </c>
      <c r="G21" s="14">
        <f>IFERROR(__xludf.DUMMYFUNCTION("""COMPUTED_VALUE"""),40009.0)</f>
        <v>40009</v>
      </c>
      <c r="H21" s="14">
        <f>IFERROR(__xludf.DUMMYFUNCTION("""COMPUTED_VALUE"""),40499.0)</f>
        <v>40499</v>
      </c>
      <c r="I21" s="14">
        <f>IFERROR(__xludf.DUMMYFUNCTION("""COMPUTED_VALUE"""),40737.0)</f>
        <v>40737</v>
      </c>
    </row>
    <row r="22">
      <c r="A22" t="str">
        <f>IFERROR(__xludf.DUMMYFUNCTION("""COMPUTED_VALUE"""),"France")</f>
        <v>France</v>
      </c>
      <c r="B22" s="14">
        <f>IFERROR(__xludf.DUMMYFUNCTION("""COMPUTED_VALUE"""),37230.0)</f>
        <v>37230</v>
      </c>
      <c r="C22" s="14">
        <f>IFERROR(__xludf.DUMMYFUNCTION("""COMPUTED_VALUE"""),37594.0)</f>
        <v>37594</v>
      </c>
      <c r="E22" s="14">
        <f>IFERROR(__xludf.DUMMYFUNCTION("""COMPUTED_VALUE"""),38686.0)</f>
        <v>38686</v>
      </c>
      <c r="H22" s="14">
        <f>IFERROR(__xludf.DUMMYFUNCTION("""COMPUTED_VALUE"""),40506.0)</f>
        <v>40506</v>
      </c>
    </row>
    <row r="23">
      <c r="A23" t="str">
        <f>IFERROR(__xludf.DUMMYFUNCTION("""COMPUTED_VALUE"""),"Suisse romande")</f>
        <v>Suisse romande</v>
      </c>
      <c r="B23" t="str">
        <f>IFERROR(__xludf.DUMMYFUNCTION("""COMPUTED_VALUE"""),"NC")</f>
        <v>NC</v>
      </c>
      <c r="F23" t="str">
        <f>IFERROR(__xludf.DUMMYFUNCTION("""COMPUTED_VALUE"""),"NC")</f>
        <v>NC</v>
      </c>
      <c r="I23" t="str">
        <f>IFERROR(__xludf.DUMMYFUNCTION("""COMPUTED_VALUE"""),"NC")</f>
        <v>NC</v>
      </c>
    </row>
    <row r="24">
      <c r="A24" t="str">
        <f>IFERROR(__xludf.DUMMYFUNCTION("""COMPUTED_VALUE"""),"Canada")</f>
        <v>Canada</v>
      </c>
      <c r="B24" s="14">
        <f>IFERROR(__xludf.DUMMYFUNCTION("""COMPUTED_VALUE"""),37211.0)</f>
        <v>37211</v>
      </c>
      <c r="C24" s="14">
        <f>IFERROR(__xludf.DUMMYFUNCTION("""COMPUTED_VALUE"""),37575.0)</f>
        <v>37575</v>
      </c>
      <c r="D24" s="14">
        <f>IFERROR(__xludf.DUMMYFUNCTION("""COMPUTED_VALUE"""),38142.0)</f>
        <v>38142</v>
      </c>
      <c r="E24" s="14">
        <f>IFERROR(__xludf.DUMMYFUNCTION("""COMPUTED_VALUE"""),38674.0)</f>
        <v>38674</v>
      </c>
      <c r="F24" s="14">
        <f>IFERROR(__xludf.DUMMYFUNCTION("""COMPUTED_VALUE"""),39274.0)</f>
        <v>39274</v>
      </c>
      <c r="H24" s="14">
        <f>IFERROR(__xludf.DUMMYFUNCTION("""COMPUTED_VALUE"""),40501.0)</f>
        <v>40501</v>
      </c>
      <c r="I24" s="14">
        <f>IFERROR(__xludf.DUMMYFUNCTION("""COMPUTED_VALUE"""),40739.0)</f>
        <v>40739</v>
      </c>
    </row>
    <row r="25">
      <c r="A25" t="str">
        <f>IFERROR(__xludf.DUMMYFUNCTION("""COMPUTED_VALUE"""),"États-Unis")</f>
        <v>États-Unis</v>
      </c>
    </row>
    <row r="26">
      <c r="A26" t="str">
        <f>IFERROR(__xludf.DUMMYFUNCTION("""COMPUTED_VALUE"""),"Royaume-Uni")</f>
        <v>Royaume-Uni</v>
      </c>
      <c r="F26" s="14">
        <f>IFERROR(__xludf.DUMMYFUNCTION("""COMPUTED_VALUE"""),39275.0)</f>
        <v>39275</v>
      </c>
    </row>
    <row r="27">
      <c r="A27" t="str">
        <f>IFERROR(__xludf.DUMMYFUNCTION("""COMPUTED_VALUE"""),"Classification")</f>
        <v>Classification</v>
      </c>
    </row>
    <row r="28">
      <c r="A28" t="str">
        <f>IFERROR(__xludf.DUMMYFUNCTION("""COMPUTED_VALUE"""),"France")</f>
        <v>France</v>
      </c>
      <c r="B28" t="str">
        <f>IFERROR(__xludf.DUMMYFUNCTION("""COMPUTED_VALUE"""),"Tous publics")</f>
        <v>Tous publics</v>
      </c>
      <c r="E28" t="str">
        <f>IFERROR(__xludf.DUMMYFUNCTION("""COMPUTED_VALUE"""),"Tous publics
(avec avertissement)")</f>
        <v>Tous publics
(avec avertissement)</v>
      </c>
      <c r="F28" t="str">
        <f>IFERROR(__xludf.DUMMYFUNCTION("""COMPUTED_VALUE"""),"Tous publics")</f>
        <v>Tous publics</v>
      </c>
    </row>
    <row r="29">
      <c r="A29" t="str">
        <f>IFERROR(__xludf.DUMMYFUNCTION("""COMPUTED_VALUE"""),"Belgique")</f>
        <v>Belgique</v>
      </c>
      <c r="B29" t="str">
        <f>IFERROR(__xludf.DUMMYFUNCTION("""COMPUTED_VALUE"""),"9 (potentiellement préjudiciable jusqu'à 9 ans)[21],[22],[23]")</f>
        <v>9 (potentiellement préjudiciable jusqu'à 9 ans)[21],[22],[23]</v>
      </c>
      <c r="E29" t="str">
        <f>IFERROR(__xludf.DUMMYFUNCTION("""COMPUTED_VALUE"""),"12 (potentiellement préjudiciable jusqu'à 12 ans)[24],[25],[26],[27],[28]")</f>
        <v>12 (potentiellement préjudiciable jusqu'à 12 ans)[24],[25],[26],[27],[28]</v>
      </c>
    </row>
    <row r="30">
      <c r="A30" t="str">
        <f>IFERROR(__xludf.DUMMYFUNCTION("""COMPUTED_VALUE"""),"Suisse romande")</f>
        <v>Suisse romande</v>
      </c>
      <c r="B30" t="str">
        <f>IFERROR(__xludf.DUMMYFUNCTION("""COMPUTED_VALUE"""),"10 (déconseillé aux moins de 10 ans)")</f>
        <v>10 (déconseillé aux moins de 10 ans)</v>
      </c>
      <c r="H30" t="str">
        <f>IFERROR(__xludf.DUMMYFUNCTION("""COMPUTED_VALUE"""),"12 (déconseillé aux moins de 12 ans)")</f>
        <v>12 (déconseillé aux moins de 12 ans)</v>
      </c>
    </row>
    <row r="31">
      <c r="A31" t="str">
        <f>IFERROR(__xludf.DUMMYFUNCTION("""COMPUTED_VALUE"""),"Canada")</f>
        <v>Canada</v>
      </c>
      <c r="B31" t="str">
        <f>IFERROR(__xludf.DUMMYFUNCTION("""COMPUTED_VALUE"""),"PG (contrôle parental conseillé)(Canada) / G (tous âges)(Québec)")</f>
        <v>PG (contrôle parental conseillé)(Canada) / G (tous âges)(Québec)</v>
      </c>
    </row>
    <row r="32">
      <c r="A32" t="str">
        <f>IFERROR(__xludf.DUMMYFUNCTION("""COMPUTED_VALUE"""),"États-Unis")</f>
        <v>États-Unis</v>
      </c>
      <c r="B32" t="str">
        <f>IFERROR(__xludf.DUMMYFUNCTION("""COMPUTED_VALUE"""),"PG")</f>
        <v>PG</v>
      </c>
      <c r="E32" t="str">
        <f>IFERROR(__xludf.DUMMYFUNCTION("""COMPUTED_VALUE"""),"PG-13")</f>
        <v>PG-13</v>
      </c>
      <c r="G32" t="str">
        <f>IFERROR(__xludf.DUMMYFUNCTION("""COMPUTED_VALUE"""),"PG")</f>
        <v>PG</v>
      </c>
      <c r="H32" t="str">
        <f>IFERROR(__xludf.DUMMYFUNCTION("""COMPUTED_VALUE"""),"PG-13")</f>
        <v>PG-13</v>
      </c>
    </row>
    <row r="33">
      <c r="A33" t="str">
        <f>IFERROR(__xludf.DUMMYFUNCTION("""COMPUTED_VALUE"""),"Royaume-Uni")</f>
        <v>Royaume-Uni</v>
      </c>
      <c r="B33" t="str">
        <f>IFERROR(__xludf.DUMMYFUNCTION("""COMPUTED_VALUE"""),"PG")</f>
        <v>PG</v>
      </c>
      <c r="E33" t="str">
        <f>IFERROR(__xludf.DUMMYFUNCTION("""COMPUTED_VALUE"""),"12A")</f>
        <v>12A</v>
      </c>
    </row>
    <row r="34">
      <c r="A34" t="str">
        <f>IFERROR(__xludf.DUMMYFUNCTION("""COMPUTED_VALUE"""),"Informations complémentaires")</f>
        <v>Informations complémentaires</v>
      </c>
    </row>
    <row r="35">
      <c r="A35" t="str">
        <f>IFERROR(__xludf.DUMMYFUNCTION("""COMPUTED_VALUE"""),"Genres")</f>
        <v>Genres</v>
      </c>
      <c r="B35" t="str">
        <f>IFERROR(__xludf.DUMMYFUNCTION("""COMPUTED_VALUE"""),"Fantastique, action, aventure, familial, dramatique")</f>
        <v>Fantastique, action, aventure, familial, dramatique</v>
      </c>
    </row>
    <row r="36">
      <c r="A36" t="str">
        <f>IFERROR(__xludf.DUMMYFUNCTION("""COMPUTED_VALUE"""),"Durée
[Version longue]")</f>
        <v>Durée
[Version longue]</v>
      </c>
      <c r="B36" t="str">
        <f>IFERROR(__xludf.DUMMYFUNCTION("""COMPUTED_VALUE"""),"152 min 
[159 min]")</f>
        <v>152 min 
[159 min]</v>
      </c>
      <c r="C36" t="str">
        <f>IFERROR(__xludf.DUMMYFUNCTION("""COMPUTED_VALUE"""),"161 min 
[174 min]")</f>
        <v>161 min 
[174 min]</v>
      </c>
      <c r="D36" t="str">
        <f>IFERROR(__xludf.DUMMYFUNCTION("""COMPUTED_VALUE"""),"142 min")</f>
        <v>142 min</v>
      </c>
      <c r="E36" t="str">
        <f>IFERROR(__xludf.DUMMYFUNCTION("""COMPUTED_VALUE"""),"157 min")</f>
        <v>157 min</v>
      </c>
      <c r="F36" t="str">
        <f>IFERROR(__xludf.DUMMYFUNCTION("""COMPUTED_VALUE"""),"138 min")</f>
        <v>138 min</v>
      </c>
      <c r="G36" t="str">
        <f>IFERROR(__xludf.DUMMYFUNCTION("""COMPUTED_VALUE"""),"153 min")</f>
        <v>153 min</v>
      </c>
      <c r="H36" t="str">
        <f>IFERROR(__xludf.DUMMYFUNCTION("""COMPUTED_VALUE"""),"146 min")</f>
        <v>146 min</v>
      </c>
      <c r="I36" t="str">
        <f>IFERROR(__xludf.DUMMYFUNCTION("""COMPUTED_VALUE"""),"130 min")</f>
        <v>130 min</v>
      </c>
    </row>
    <row r="37">
      <c r="A37" t="str">
        <f>IFERROR(__xludf.DUMMYFUNCTION("""COMPUTED_VALUE"""),"Budget")</f>
        <v>Budget</v>
      </c>
      <c r="B37" t="str">
        <f>IFERROR(__xludf.DUMMYFUNCTION("""COMPUTED_VALUE"""),"125 000 000 $[29]")</f>
        <v>125 000 000 $[29]</v>
      </c>
      <c r="C37" t="str">
        <f>IFERROR(__xludf.DUMMYFUNCTION("""COMPUTED_VALUE"""),"100 000 000 $[30]")</f>
        <v>100 000 000 $[30]</v>
      </c>
      <c r="D37" t="str">
        <f>IFERROR(__xludf.DUMMYFUNCTION("""COMPUTED_VALUE"""),"130 000 000 $[31]")</f>
        <v>130 000 000 $[31]</v>
      </c>
      <c r="E37" t="str">
        <f>IFERROR(__xludf.DUMMYFUNCTION("""COMPUTED_VALUE"""),"150 000 000 $[32]")</f>
        <v>150 000 000 $[32]</v>
      </c>
      <c r="F37" t="str">
        <f>IFERROR(__xludf.DUMMYFUNCTION("""COMPUTED_VALUE"""),"150 000 000 $[33]")</f>
        <v>150 000 000 $[33]</v>
      </c>
      <c r="G37" t="str">
        <f>IFERROR(__xludf.DUMMYFUNCTION("""COMPUTED_VALUE"""),"250 000 000 $[34]")</f>
        <v>250 000 000 $[34]</v>
      </c>
      <c r="H37" t="str">
        <f>IFERROR(__xludf.DUMMYFUNCTION("""COMPUTED_VALUE"""),"125 000 000 $[S 22]")</f>
        <v>125 000 000 $[S 22]</v>
      </c>
      <c r="I37" t="str">
        <f>IFERROR(__xludf.DUMMYFUNCTION("""COMPUTED_VALUE"""),"125 000 000 $[S 22]")</f>
        <v>125 000 000 $[S 22]</v>
      </c>
    </row>
    <row r="38">
      <c r="A38" t="str">
        <f>IFERROR(__xludf.DUMMYFUNCTION("""COMPUTED_VALUE"""),"Format")</f>
        <v>Format</v>
      </c>
      <c r="B38" t="str">
        <f>IFERROR(__xludf.DUMMYFUNCTION("""COMPUTED_VALUE"""),"Technicolor — 35 mm — 2,39:1CinemaScope — Dolby S.R. + Digital S.R.-D. + 
D.T.S. &amp; S.D.D.S.")</f>
        <v>Technicolor — 35 mm — 2,39:1CinemaScope — Dolby S.R. + Digital S.R.-D. + 
D.T.S. &amp; S.D.D.S.</v>
      </c>
    </row>
    <row r="39">
      <c r="A39" t="str">
        <f>IFERROR(__xludf.DUMMYFUNCTION("""COMPUTED_VALUE"""),"Langue du tournage")</f>
        <v>Langue du tournage</v>
      </c>
      <c r="B39" t="str">
        <f>IFERROR(__xludf.DUMMYFUNCTION("""COMPUTED_VALUE"""),"Anglais")</f>
        <v>Anglais</v>
      </c>
    </row>
    <row r="40">
      <c r="A40" t="str">
        <f>IFERROR(__xludf.DUMMYFUNCTION("""COMPUTED_VALUE"""),"Pays d'origine")</f>
        <v>Pays d'origine</v>
      </c>
      <c r="B40" t="str">
        <f>IFERROR(__xludf.DUMMYFUNCTION("""COMPUTED_VALUE"""),"États-Unis, Royaume-Uni")</f>
        <v>États-Unis, Royaume-Uni</v>
      </c>
    </row>
    <row r="41">
      <c r="A41" t="str">
        <f>IFERROR(__xludf.DUMMYFUNCTION("""COMPUTED_VALUE"""),"Début du tournage")</f>
        <v>Début du tournage</v>
      </c>
      <c r="B41" t="str">
        <f>IFERROR(__xludf.DUMMYFUNCTION("""COMPUTED_VALUE"""),"29 septembre 2000[35]")</f>
        <v>29 septembre 2000[35]</v>
      </c>
      <c r="C41" t="str">
        <f>IFERROR(__xludf.DUMMYFUNCTION("""COMPUTED_VALUE"""),"19 novembre 2001[35]")</f>
        <v>19 novembre 2001[35]</v>
      </c>
      <c r="D41" t="str">
        <f>IFERROR(__xludf.DUMMYFUNCTION("""COMPUTED_VALUE"""),"24 février 2003[35]")</f>
        <v>24 février 2003[35]</v>
      </c>
      <c r="E41" t="str">
        <f>IFERROR(__xludf.DUMMYFUNCTION("""COMPUTED_VALUE"""),"4 mai 2004[35]")</f>
        <v>4 mai 2004[35]</v>
      </c>
      <c r="F41" t="str">
        <f>IFERROR(__xludf.DUMMYFUNCTION("""COMPUTED_VALUE"""),"6 février 2006[35]")</f>
        <v>6 février 2006[35]</v>
      </c>
      <c r="G41" s="5">
        <f>IFERROR(__xludf.DUMMYFUNCTION("""COMPUTED_VALUE"""),39338.0)</f>
        <v>39338</v>
      </c>
      <c r="H41" t="str">
        <f>IFERROR(__xludf.DUMMYFUNCTION("""COMPUTED_VALUE"""),"19 février 2009[35]")</f>
        <v>19 février 2009[35]</v>
      </c>
    </row>
    <row r="42">
      <c r="A42" t="str">
        <f>IFERROR(__xludf.DUMMYFUNCTION("""COMPUTED_VALUE"""),"Fin du tournage")</f>
        <v>Fin du tournage</v>
      </c>
      <c r="B42" s="5">
        <f>IFERROR(__xludf.DUMMYFUNCTION("""COMPUTED_VALUE"""),36973.0)</f>
        <v>36973</v>
      </c>
      <c r="C42" s="5">
        <f>IFERROR(__xludf.DUMMYFUNCTION("""COMPUTED_VALUE"""),37463.0)</f>
        <v>37463</v>
      </c>
      <c r="D42" s="5">
        <f>IFERROR(__xludf.DUMMYFUNCTION("""COMPUTED_VALUE"""),37953.0)</f>
        <v>37953</v>
      </c>
      <c r="E42" s="5">
        <f>IFERROR(__xludf.DUMMYFUNCTION("""COMPUTED_VALUE"""),38429.0)</f>
        <v>38429</v>
      </c>
      <c r="F42" s="5">
        <f>IFERROR(__xludf.DUMMYFUNCTION("""COMPUTED_VALUE"""),39063.0)</f>
        <v>39063</v>
      </c>
      <c r="G42" s="5">
        <f>IFERROR(__xludf.DUMMYFUNCTION("""COMPUTED_VALUE"""),39585.0)</f>
        <v>39585</v>
      </c>
      <c r="H42" s="5">
        <f>IFERROR(__xludf.DUMMYFUNCTION("""COMPUTED_VALUE"""),40341.0)</f>
        <v>40341</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5.88"/>
    <col customWidth="1" min="3" max="3" width="20.13"/>
    <col customWidth="1" min="7" max="7" width="17.38"/>
  </cols>
  <sheetData>
    <row r="1">
      <c r="A1" s="6" t="str">
        <f>IFERROR(__xludf.DUMMYFUNCTION("IMPORTHTML(""https://fr.wikipedia.org/wiki/Liste_des_plus_gros_succ%C3%A8s_du_box-office_mondial"",""table"")"),"Rang")</f>
        <v>Rang</v>
      </c>
      <c r="B1" t="str">
        <f>IFERROR(__xludf.DUMMYFUNCTION("""COMPUTED_VALUE"""),"Meilleur
rang")</f>
        <v>Meilleur
rang</v>
      </c>
      <c r="C1" t="str">
        <f>IFERROR(__xludf.DUMMYFUNCTION("""COMPUTED_VALUE"""),"Titre")</f>
        <v>Titre</v>
      </c>
      <c r="D1" t="str">
        <f>IFERROR(__xludf.DUMMYFUNCTION("""COMPUTED_VALUE"""),"Réalisateur")</f>
        <v>Réalisateur</v>
      </c>
      <c r="E1" t="str">
        <f>IFERROR(__xludf.DUMMYFUNCTION("""COMPUTED_VALUE"""),"Année")</f>
        <v>Année</v>
      </c>
      <c r="F1" t="str">
        <f>IFERROR(__xludf.DUMMYFUNCTION("""COMPUTED_VALUE"""),"Pays de
production")</f>
        <v>Pays de
production</v>
      </c>
      <c r="G1" t="str">
        <f>IFERROR(__xludf.DUMMYFUNCTION("""COMPUTED_VALUE"""),"Recettes")</f>
        <v>Recettes</v>
      </c>
    </row>
    <row r="2">
      <c r="A2">
        <f>IFERROR(__xludf.DUMMYFUNCTION("""COMPUTED_VALUE"""),1.0)</f>
        <v>1</v>
      </c>
      <c r="B2">
        <f>IFERROR(__xludf.DUMMYFUNCTION("""COMPUTED_VALUE"""),1.0)</f>
        <v>1</v>
      </c>
      <c r="C2" t="str">
        <f>IFERROR(__xludf.DUMMYFUNCTION("""COMPUTED_VALUE"""),"*Avatar*")</f>
        <v>*Avatar*</v>
      </c>
      <c r="D2" t="str">
        <f>IFERROR(__xludf.DUMMYFUNCTION("""COMPUTED_VALUE"""),"James Cameron")</f>
        <v>James Cameron</v>
      </c>
      <c r="E2">
        <f>IFERROR(__xludf.DUMMYFUNCTION("""COMPUTED_VALUE"""),2009.0)</f>
        <v>2009</v>
      </c>
      <c r="F2" t="str">
        <f>IFERROR(__xludf.DUMMYFUNCTION("""COMPUTED_VALUE"""),"États-Unis")</f>
        <v>États-Unis</v>
      </c>
      <c r="G2" t="str">
        <f>IFERROR(__xludf.DUMMYFUNCTION("""COMPUTED_VALUE"""),"2 923 710 708 $[a 2]")</f>
        <v>2 923 710 708 $[a 2]</v>
      </c>
    </row>
    <row r="3">
      <c r="A3">
        <f>IFERROR(__xludf.DUMMYFUNCTION("""COMPUTED_VALUE"""),2.0)</f>
        <v>2</v>
      </c>
      <c r="B3">
        <f>IFERROR(__xludf.DUMMYFUNCTION("""COMPUTED_VALUE"""),1.0)</f>
        <v>1</v>
      </c>
      <c r="C3" t="str">
        <f>IFERROR(__xludf.DUMMYFUNCTION("""COMPUTED_VALUE"""),"*Avengers: Endgame*")</f>
        <v>*Avengers: Endgame*</v>
      </c>
      <c r="D3" t="str">
        <f>IFERROR(__xludf.DUMMYFUNCTION("""COMPUTED_VALUE"""),"Anthony et
Joe Russo")</f>
        <v>Anthony et
Joe Russo</v>
      </c>
      <c r="E3">
        <f>IFERROR(__xludf.DUMMYFUNCTION("""COMPUTED_VALUE"""),2019.0)</f>
        <v>2019</v>
      </c>
      <c r="F3" t="str">
        <f>IFERROR(__xludf.DUMMYFUNCTION("""COMPUTED_VALUE"""),"États-Unis")</f>
        <v>États-Unis</v>
      </c>
      <c r="G3" t="str">
        <f>IFERROR(__xludf.DUMMYFUNCTION("""COMPUTED_VALUE"""),"2 799 439 100 $[a 3]")</f>
        <v>2 799 439 100 $[a 3]</v>
      </c>
    </row>
    <row r="4">
      <c r="A4">
        <f>IFERROR(__xludf.DUMMYFUNCTION("""COMPUTED_VALUE"""),3.0)</f>
        <v>3</v>
      </c>
      <c r="B4">
        <f>IFERROR(__xludf.DUMMYFUNCTION("""COMPUTED_VALUE"""),3.0)</f>
        <v>3</v>
      </c>
      <c r="C4" t="str">
        <f>IFERROR(__xludf.DUMMYFUNCTION("""COMPUTED_VALUE"""),"*Avatar : La Voie de l'eau*")</f>
        <v>*Avatar : La Voie de l'eau*</v>
      </c>
      <c r="D4" t="str">
        <f>IFERROR(__xludf.DUMMYFUNCTION("""COMPUTED_VALUE"""),"James Cameron")</f>
        <v>James Cameron</v>
      </c>
      <c r="E4">
        <f>IFERROR(__xludf.DUMMYFUNCTION("""COMPUTED_VALUE"""),2022.0)</f>
        <v>2022</v>
      </c>
      <c r="F4" t="str">
        <f>IFERROR(__xludf.DUMMYFUNCTION("""COMPUTED_VALUE"""),"États-Unis")</f>
        <v>États-Unis</v>
      </c>
      <c r="G4" t="str">
        <f>IFERROR(__xludf.DUMMYFUNCTION("""COMPUTED_VALUE"""),"2 334 484 620 $[a 4]")</f>
        <v>2 334 484 620 $[a 4]</v>
      </c>
    </row>
    <row r="5">
      <c r="A5">
        <f>IFERROR(__xludf.DUMMYFUNCTION("""COMPUTED_VALUE"""),4.0)</f>
        <v>4</v>
      </c>
      <c r="B5">
        <f>IFERROR(__xludf.DUMMYFUNCTION("""COMPUTED_VALUE"""),1.0)</f>
        <v>1</v>
      </c>
      <c r="C5" t="str">
        <f>IFERROR(__xludf.DUMMYFUNCTION("""COMPUTED_VALUE"""),"*Titanic*")</f>
        <v>*Titanic*</v>
      </c>
      <c r="D5" t="str">
        <f>IFERROR(__xludf.DUMMYFUNCTION("""COMPUTED_VALUE"""),"James Cameron")</f>
        <v>James Cameron</v>
      </c>
      <c r="E5">
        <f>IFERROR(__xludf.DUMMYFUNCTION("""COMPUTED_VALUE"""),1997.0)</f>
        <v>1997</v>
      </c>
      <c r="F5" t="str">
        <f>IFERROR(__xludf.DUMMYFUNCTION("""COMPUTED_VALUE"""),"États-Unis")</f>
        <v>États-Unis</v>
      </c>
      <c r="G5" t="str">
        <f>IFERROR(__xludf.DUMMYFUNCTION("""COMPUTED_VALUE"""),"2 264 812 968 $[a 5]")</f>
        <v>2 264 812 968 $[a 5]</v>
      </c>
    </row>
    <row r="6">
      <c r="A6">
        <f>IFERROR(__xludf.DUMMYFUNCTION("""COMPUTED_VALUE"""),5.0)</f>
        <v>5</v>
      </c>
      <c r="B6">
        <f>IFERROR(__xludf.DUMMYFUNCTION("""COMPUTED_VALUE"""),5.0)</f>
        <v>5</v>
      </c>
      <c r="C6" t="str">
        <f>IFERROR(__xludf.DUMMYFUNCTION("""COMPUTED_VALUE"""),"*Ne Zha 2*")</f>
        <v>*Ne Zha 2*</v>
      </c>
      <c r="D6" t="str">
        <f>IFERROR(__xludf.DUMMYFUNCTION("""COMPUTED_VALUE"""),"Jiaozi (en)")</f>
        <v>Jiaozi (en)</v>
      </c>
      <c r="E6">
        <f>IFERROR(__xludf.DUMMYFUNCTION("""COMPUTED_VALUE"""),2025.0)</f>
        <v>2025</v>
      </c>
      <c r="F6" t="str">
        <f>IFERROR(__xludf.DUMMYFUNCTION("""COMPUTED_VALUE"""),"Chine")</f>
        <v>Chine</v>
      </c>
      <c r="G6" t="str">
        <f>IFERROR(__xludf.DUMMYFUNCTION("""COMPUTED_VALUE"""),"2 259 822 417 $[a 6]")</f>
        <v>2 259 822 417 $[a 6]</v>
      </c>
    </row>
    <row r="7">
      <c r="A7">
        <f>IFERROR(__xludf.DUMMYFUNCTION("""COMPUTED_VALUE"""),6.0)</f>
        <v>6</v>
      </c>
      <c r="B7">
        <f>IFERROR(__xludf.DUMMYFUNCTION("""COMPUTED_VALUE"""),3.0)</f>
        <v>3</v>
      </c>
      <c r="C7" t="str">
        <f>IFERROR(__xludf.DUMMYFUNCTION("""COMPUTED_VALUE"""),"*Star Wars, épisode VII : Le Réveil de la Force*")</f>
        <v>*Star Wars, épisode VII : Le Réveil de la Force*</v>
      </c>
      <c r="D7" t="str">
        <f>IFERROR(__xludf.DUMMYFUNCTION("""COMPUTED_VALUE"""),"J. J. Abrams")</f>
        <v>J. J. Abrams</v>
      </c>
      <c r="E7">
        <f>IFERROR(__xludf.DUMMYFUNCTION("""COMPUTED_VALUE"""),2015.0)</f>
        <v>2015</v>
      </c>
      <c r="F7" t="str">
        <f>IFERROR(__xludf.DUMMYFUNCTION("""COMPUTED_VALUE"""),"États-Unis")</f>
        <v>États-Unis</v>
      </c>
      <c r="G7" t="str">
        <f>IFERROR(__xludf.DUMMYFUNCTION("""COMPUTED_VALUE"""),"2 071 310 218 $[a 7]")</f>
        <v>2 071 310 218 $[a 7]</v>
      </c>
    </row>
    <row r="8">
      <c r="A8">
        <f>IFERROR(__xludf.DUMMYFUNCTION("""COMPUTED_VALUE"""),7.0)</f>
        <v>7</v>
      </c>
      <c r="B8">
        <f>IFERROR(__xludf.DUMMYFUNCTION("""COMPUTED_VALUE"""),4.0)</f>
        <v>4</v>
      </c>
      <c r="C8" t="str">
        <f>IFERROR(__xludf.DUMMYFUNCTION("""COMPUTED_VALUE"""),"*Avengers: Infinity War*")</f>
        <v>*Avengers: Infinity War*</v>
      </c>
      <c r="D8" t="str">
        <f>IFERROR(__xludf.DUMMYFUNCTION("""COMPUTED_VALUE"""),"Anthony et
Joe Russo")</f>
        <v>Anthony et
Joe Russo</v>
      </c>
      <c r="E8">
        <f>IFERROR(__xludf.DUMMYFUNCTION("""COMPUTED_VALUE"""),2018.0)</f>
        <v>2018</v>
      </c>
      <c r="F8" t="str">
        <f>IFERROR(__xludf.DUMMYFUNCTION("""COMPUTED_VALUE"""),"États-Unis")</f>
        <v>États-Unis</v>
      </c>
      <c r="G8" t="str">
        <f>IFERROR(__xludf.DUMMYFUNCTION("""COMPUTED_VALUE"""),"2 052 415 039 $[a 8]")</f>
        <v>2 052 415 039 $[a 8]</v>
      </c>
    </row>
    <row r="9">
      <c r="A9">
        <f>IFERROR(__xludf.DUMMYFUNCTION("""COMPUTED_VALUE"""),8.0)</f>
        <v>8</v>
      </c>
      <c r="B9">
        <f>IFERROR(__xludf.DUMMYFUNCTION("""COMPUTED_VALUE"""),6.0)</f>
        <v>6</v>
      </c>
      <c r="C9" t="str">
        <f>IFERROR(__xludf.DUMMYFUNCTION("""COMPUTED_VALUE"""),"*Spider-Man: No Way Home*")</f>
        <v>*Spider-Man: No Way Home*</v>
      </c>
      <c r="D9" t="str">
        <f>IFERROR(__xludf.DUMMYFUNCTION("""COMPUTED_VALUE"""),"Jon Watts")</f>
        <v>Jon Watts</v>
      </c>
      <c r="E9">
        <f>IFERROR(__xludf.DUMMYFUNCTION("""COMPUTED_VALUE"""),2021.0)</f>
        <v>2021</v>
      </c>
      <c r="F9" t="str">
        <f>IFERROR(__xludf.DUMMYFUNCTION("""COMPUTED_VALUE"""),"États-Unis")</f>
        <v>États-Unis</v>
      </c>
      <c r="G9" t="str">
        <f>IFERROR(__xludf.DUMMYFUNCTION("""COMPUTED_VALUE"""),"1 921 426 073 $[a 9]")</f>
        <v>1 921 426 073 $[a 9]</v>
      </c>
    </row>
    <row r="10">
      <c r="A10">
        <f>IFERROR(__xludf.DUMMYFUNCTION("""COMPUTED_VALUE"""),9.0)</f>
        <v>9</v>
      </c>
      <c r="B10">
        <f>IFERROR(__xludf.DUMMYFUNCTION("""COMPUTED_VALUE"""),9.0)</f>
        <v>9</v>
      </c>
      <c r="C10" t="str">
        <f>IFERROR(__xludf.DUMMYFUNCTION("""COMPUTED_VALUE"""),"*Zootopie 2*")</f>
        <v>*Zootopie 2*</v>
      </c>
      <c r="D10" t="str">
        <f>IFERROR(__xludf.DUMMYFUNCTION("""COMPUTED_VALUE"""),"Jared Bush")</f>
        <v>Jared Bush</v>
      </c>
      <c r="E10">
        <f>IFERROR(__xludf.DUMMYFUNCTION("""COMPUTED_VALUE"""),2025.0)</f>
        <v>2025</v>
      </c>
      <c r="F10" t="str">
        <f>IFERROR(__xludf.DUMMYFUNCTION("""COMPUTED_VALUE"""),"États-Unis")</f>
        <v>États-Unis</v>
      </c>
      <c r="G10" t="str">
        <f>IFERROR(__xludf.DUMMYFUNCTION("""COMPUTED_VALUE"""),"1 802 806 721 $[a 10]")</f>
        <v>1 802 806 721 $[a 10]</v>
      </c>
    </row>
    <row r="11">
      <c r="A11">
        <f>IFERROR(__xludf.DUMMYFUNCTION("""COMPUTED_VALUE"""),10.0)</f>
        <v>10</v>
      </c>
      <c r="B11">
        <f>IFERROR(__xludf.DUMMYFUNCTION("""COMPUTED_VALUE"""),8.0)</f>
        <v>8</v>
      </c>
      <c r="C11" t="str">
        <f>IFERROR(__xludf.DUMMYFUNCTION("""COMPUTED_VALUE"""),"*Vice-versa 2*")</f>
        <v>*Vice-versa 2*</v>
      </c>
      <c r="D11" t="str">
        <f>IFERROR(__xludf.DUMMYFUNCTION("""COMPUTED_VALUE"""),"Kelsey Mann")</f>
        <v>Kelsey Mann</v>
      </c>
      <c r="E11">
        <f>IFERROR(__xludf.DUMMYFUNCTION("""COMPUTED_VALUE"""),2024.0)</f>
        <v>2024</v>
      </c>
      <c r="F11" t="str">
        <f>IFERROR(__xludf.DUMMYFUNCTION("""COMPUTED_VALUE"""),"États-Unis")</f>
        <v>États-Unis</v>
      </c>
      <c r="G11" t="str">
        <f>IFERROR(__xludf.DUMMYFUNCTION("""COMPUTED_VALUE"""),"1 698 863 816 $[a 11]")</f>
        <v>1 698 863 816 $[a 11]</v>
      </c>
    </row>
    <row r="12">
      <c r="A12">
        <f>IFERROR(__xludf.DUMMYFUNCTION("""COMPUTED_VALUE"""),11.0)</f>
        <v>11</v>
      </c>
      <c r="B12">
        <f>IFERROR(__xludf.DUMMYFUNCTION("""COMPUTED_VALUE"""),3.0)</f>
        <v>3</v>
      </c>
      <c r="C12" t="str">
        <f>IFERROR(__xludf.DUMMYFUNCTION("""COMPUTED_VALUE"""),"*Jurassic World*")</f>
        <v>*Jurassic World*</v>
      </c>
      <c r="D12" t="str">
        <f>IFERROR(__xludf.DUMMYFUNCTION("""COMPUTED_VALUE"""),"Colin Trevorrow")</f>
        <v>Colin Trevorrow</v>
      </c>
      <c r="E12">
        <f>IFERROR(__xludf.DUMMYFUNCTION("""COMPUTED_VALUE"""),2015.0)</f>
        <v>2015</v>
      </c>
      <c r="F12" t="str">
        <f>IFERROR(__xludf.DUMMYFUNCTION("""COMPUTED_VALUE"""),"États-Unis")</f>
        <v>États-Unis</v>
      </c>
      <c r="G12" t="str">
        <f>IFERROR(__xludf.DUMMYFUNCTION("""COMPUTED_VALUE"""),"1 671 537 444 $[a 12]")</f>
        <v>1 671 537 444 $[a 12]</v>
      </c>
    </row>
    <row r="13">
      <c r="A13">
        <f>IFERROR(__xludf.DUMMYFUNCTION("""COMPUTED_VALUE"""),12.0)</f>
        <v>12</v>
      </c>
      <c r="B13">
        <f>IFERROR(__xludf.DUMMYFUNCTION("""COMPUTED_VALUE"""),7.0)</f>
        <v>7</v>
      </c>
      <c r="C13" t="str">
        <f>IFERROR(__xludf.DUMMYFUNCTION("""COMPUTED_VALUE"""),"*Le Roi lion*")</f>
        <v>*Le Roi lion*</v>
      </c>
      <c r="D13" t="str">
        <f>IFERROR(__xludf.DUMMYFUNCTION("""COMPUTED_VALUE"""),"Jon Favreau")</f>
        <v>Jon Favreau</v>
      </c>
      <c r="E13">
        <f>IFERROR(__xludf.DUMMYFUNCTION("""COMPUTED_VALUE"""),2019.0)</f>
        <v>2019</v>
      </c>
      <c r="F13" t="str">
        <f>IFERROR(__xludf.DUMMYFUNCTION("""COMPUTED_VALUE"""),"États-Unis")</f>
        <v>États-Unis</v>
      </c>
      <c r="G13" t="str">
        <f>IFERROR(__xludf.DUMMYFUNCTION("""COMPUTED_VALUE"""),"1 662 020 819 $[a 13]")</f>
        <v>1 662 020 819 $[a 13]</v>
      </c>
    </row>
    <row r="14">
      <c r="A14">
        <f>IFERROR(__xludf.DUMMYFUNCTION("""COMPUTED_VALUE"""),13.0)</f>
        <v>13</v>
      </c>
      <c r="B14">
        <f>IFERROR(__xludf.DUMMYFUNCTION("""COMPUTED_VALUE"""),3.0)</f>
        <v>3</v>
      </c>
      <c r="C14" t="str">
        <f>IFERROR(__xludf.DUMMYFUNCTION("""COMPUTED_VALUE"""),"*Avengers*")</f>
        <v>*Avengers*</v>
      </c>
      <c r="D14" t="str">
        <f>IFERROR(__xludf.DUMMYFUNCTION("""COMPUTED_VALUE"""),"Joss Whedon")</f>
        <v>Joss Whedon</v>
      </c>
      <c r="E14">
        <f>IFERROR(__xludf.DUMMYFUNCTION("""COMPUTED_VALUE"""),2012.0)</f>
        <v>2012</v>
      </c>
      <c r="F14" t="str">
        <f>IFERROR(__xludf.DUMMYFUNCTION("""COMPUTED_VALUE"""),"États-Unis")</f>
        <v>États-Unis</v>
      </c>
      <c r="G14" t="str">
        <f>IFERROR(__xludf.DUMMYFUNCTION("""COMPUTED_VALUE"""),"1 520 538 536 $[a 14]")</f>
        <v>1 520 538 536 $[a 14]</v>
      </c>
    </row>
    <row r="15">
      <c r="A15">
        <f>IFERROR(__xludf.DUMMYFUNCTION("""COMPUTED_VALUE"""),14.0)</f>
        <v>14</v>
      </c>
      <c r="B15">
        <f>IFERROR(__xludf.DUMMYFUNCTION("""COMPUTED_VALUE"""),4.0)</f>
        <v>4</v>
      </c>
      <c r="C15" t="str">
        <f>IFERROR(__xludf.DUMMYFUNCTION("""COMPUTED_VALUE"""),"*Fast and Furious 7*")</f>
        <v>*Fast and Furious 7*</v>
      </c>
      <c r="D15" t="str">
        <f>IFERROR(__xludf.DUMMYFUNCTION("""COMPUTED_VALUE"""),"James Wan")</f>
        <v>James Wan</v>
      </c>
      <c r="E15">
        <f>IFERROR(__xludf.DUMMYFUNCTION("""COMPUTED_VALUE"""),2015.0)</f>
        <v>2015</v>
      </c>
      <c r="F15" t="str">
        <f>IFERROR(__xludf.DUMMYFUNCTION("""COMPUTED_VALUE"""),"États-Unis")</f>
        <v>États-Unis</v>
      </c>
      <c r="G15" t="str">
        <f>IFERROR(__xludf.DUMMYFUNCTION("""COMPUTED_VALUE"""),"1 515 342 457 $[a 15]")</f>
        <v>1 515 342 457 $[a 15]</v>
      </c>
    </row>
    <row r="16">
      <c r="A16">
        <f>IFERROR(__xludf.DUMMYFUNCTION("""COMPUTED_VALUE"""),15.0)</f>
        <v>15</v>
      </c>
      <c r="B16">
        <f>IFERROR(__xludf.DUMMYFUNCTION("""COMPUTED_VALUE"""),11.0)</f>
        <v>11</v>
      </c>
      <c r="C16" t="str">
        <f>IFERROR(__xludf.DUMMYFUNCTION("""COMPUTED_VALUE"""),"*Top Gun: Maverick*")</f>
        <v>*Top Gun: Maverick*</v>
      </c>
      <c r="D16" t="str">
        <f>IFERROR(__xludf.DUMMYFUNCTION("""COMPUTED_VALUE"""),"Joseph Kosinski")</f>
        <v>Joseph Kosinski</v>
      </c>
      <c r="E16">
        <f>IFERROR(__xludf.DUMMYFUNCTION("""COMPUTED_VALUE"""),2022.0)</f>
        <v>2022</v>
      </c>
      <c r="F16" t="str">
        <f>IFERROR(__xludf.DUMMYFUNCTION("""COMPUTED_VALUE"""),"États-Unis")</f>
        <v>États-Unis</v>
      </c>
      <c r="G16" t="str">
        <f>IFERROR(__xludf.DUMMYFUNCTION("""COMPUTED_VALUE"""),"1 495 696 292 $[a 16]")</f>
        <v>1 495 696 292 $[a 16]</v>
      </c>
    </row>
    <row r="17">
      <c r="A17">
        <f>IFERROR(__xludf.DUMMYFUNCTION("""COMPUTED_VALUE"""),16.0)</f>
        <v>16</v>
      </c>
      <c r="B17">
        <f>IFERROR(__xludf.DUMMYFUNCTION("""COMPUTED_VALUE"""),10.0)</f>
        <v>10</v>
      </c>
      <c r="C17" t="str">
        <f>IFERROR(__xludf.DUMMYFUNCTION("""COMPUTED_VALUE"""),"*La Reine des neiges 2*")</f>
        <v>*La Reine des neiges 2*</v>
      </c>
      <c r="D17" t="str">
        <f>IFERROR(__xludf.DUMMYFUNCTION("""COMPUTED_VALUE"""),"Chris Buck
Jennifer Lee")</f>
        <v>Chris Buck
Jennifer Lee</v>
      </c>
      <c r="E17">
        <f>IFERROR(__xludf.DUMMYFUNCTION("""COMPUTED_VALUE"""),2019.0)</f>
        <v>2019</v>
      </c>
      <c r="F17" t="str">
        <f>IFERROR(__xludf.DUMMYFUNCTION("""COMPUTED_VALUE"""),"États-Unis")</f>
        <v>États-Unis</v>
      </c>
      <c r="G17" t="str">
        <f>IFERROR(__xludf.DUMMYFUNCTION("""COMPUTED_VALUE"""),"1 453 683 476 $[a 17]")</f>
        <v>1 453 683 476 $[a 17]</v>
      </c>
    </row>
    <row r="18">
      <c r="A18">
        <f>IFERROR(__xludf.DUMMYFUNCTION("""COMPUTED_VALUE"""),17.0)</f>
        <v>17</v>
      </c>
      <c r="B18">
        <f>IFERROR(__xludf.DUMMYFUNCTION("""COMPUTED_VALUE"""),14.0)</f>
        <v>14</v>
      </c>
      <c r="C18" t="str">
        <f>IFERROR(__xludf.DUMMYFUNCTION("""COMPUTED_VALUE"""),"*Barbie*")</f>
        <v>*Barbie*</v>
      </c>
      <c r="D18" t="str">
        <f>IFERROR(__xludf.DUMMYFUNCTION("""COMPUTED_VALUE"""),"Greta Gerwig")</f>
        <v>Greta Gerwig</v>
      </c>
      <c r="E18">
        <f>IFERROR(__xludf.DUMMYFUNCTION("""COMPUTED_VALUE"""),2023.0)</f>
        <v>2023</v>
      </c>
      <c r="F18" t="str">
        <f>IFERROR(__xludf.DUMMYFUNCTION("""COMPUTED_VALUE"""),"États-Unis
Royaume-Uni")</f>
        <v>États-Unis
Royaume-Uni</v>
      </c>
      <c r="G18" t="str">
        <f>IFERROR(__xludf.DUMMYFUNCTION("""COMPUTED_VALUE"""),"1 447 038 421 $[a 18]")</f>
        <v>1 447 038 421 $[a 18]</v>
      </c>
    </row>
    <row r="19">
      <c r="A19">
        <f>IFERROR(__xludf.DUMMYFUNCTION("""COMPUTED_VALUE"""),18.0)</f>
        <v>18</v>
      </c>
      <c r="B19">
        <f>IFERROR(__xludf.DUMMYFUNCTION("""COMPUTED_VALUE"""),18.0)</f>
        <v>18</v>
      </c>
      <c r="C19" t="str">
        <f>IFERROR(__xludf.DUMMYFUNCTION("""COMPUTED_VALUE"""),"*Avatar : De feu et de cendres*")</f>
        <v>*Avatar : De feu et de cendres*</v>
      </c>
      <c r="D19" t="str">
        <f>IFERROR(__xludf.DUMMYFUNCTION("""COMPUTED_VALUE"""),"James Cameron")</f>
        <v>James Cameron</v>
      </c>
      <c r="E19">
        <f>IFERROR(__xludf.DUMMYFUNCTION("""COMPUTED_VALUE"""),2025.0)</f>
        <v>2025</v>
      </c>
      <c r="F19" t="str">
        <f>IFERROR(__xludf.DUMMYFUNCTION("""COMPUTED_VALUE"""),"États-Unis")</f>
        <v>États-Unis</v>
      </c>
      <c r="G19" t="str">
        <f>IFERROR(__xludf.DUMMYFUNCTION("""COMPUTED_VALUE"""),"1 439 133 850 $[a 19]")</f>
        <v>1 439 133 850 $[a 19]</v>
      </c>
    </row>
    <row r="20">
      <c r="A20">
        <f>IFERROR(__xludf.DUMMYFUNCTION("""COMPUTED_VALUE"""),19.0)</f>
        <v>19</v>
      </c>
      <c r="B20">
        <f>IFERROR(__xludf.DUMMYFUNCTION("""COMPUTED_VALUE"""),5.0)</f>
        <v>5</v>
      </c>
      <c r="C20" t="str">
        <f>IFERROR(__xludf.DUMMYFUNCTION("""COMPUTED_VALUE"""),"*Avengers : L'Ère d'Ultron*")</f>
        <v>*Avengers : L'Ère d'Ultron*</v>
      </c>
      <c r="D20" t="str">
        <f>IFERROR(__xludf.DUMMYFUNCTION("""COMPUTED_VALUE"""),"Joss Whedon")</f>
        <v>Joss Whedon</v>
      </c>
      <c r="E20">
        <f>IFERROR(__xludf.DUMMYFUNCTION("""COMPUTED_VALUE"""),2015.0)</f>
        <v>2015</v>
      </c>
      <c r="F20" t="str">
        <f>IFERROR(__xludf.DUMMYFUNCTION("""COMPUTED_VALUE"""),"États-Unis")</f>
        <v>États-Unis</v>
      </c>
      <c r="G20" t="str">
        <f>IFERROR(__xludf.DUMMYFUNCTION("""COMPUTED_VALUE"""),"1 405 018 048 $[a 20]")</f>
        <v>1 405 018 048 $[a 20]</v>
      </c>
    </row>
    <row r="21">
      <c r="A21">
        <f>IFERROR(__xludf.DUMMYFUNCTION("""COMPUTED_VALUE"""),20.0)</f>
        <v>20</v>
      </c>
      <c r="B21">
        <f>IFERROR(__xludf.DUMMYFUNCTION("""COMPUTED_VALUE"""),15.0)</f>
        <v>15</v>
      </c>
      <c r="C21" t="str">
        <f>IFERROR(__xludf.DUMMYFUNCTION("""COMPUTED_VALUE"""),"*Super Mario Bros. le film*")</f>
        <v>*Super Mario Bros. le film*</v>
      </c>
      <c r="D21" t="str">
        <f>IFERROR(__xludf.DUMMYFUNCTION("""COMPUTED_VALUE"""),"Aaron Horvath
Michael Jelenic (en)")</f>
        <v>Aaron Horvath
Michael Jelenic (en)</v>
      </c>
      <c r="E21">
        <f>IFERROR(__xludf.DUMMYFUNCTION("""COMPUTED_VALUE"""),2023.0)</f>
        <v>2023</v>
      </c>
      <c r="F21" t="str">
        <f>IFERROR(__xludf.DUMMYFUNCTION("""COMPUTED_VALUE"""),"États-Unis
Japon")</f>
        <v>États-Unis
Japon</v>
      </c>
      <c r="G21" t="str">
        <f>IFERROR(__xludf.DUMMYFUNCTION("""COMPUTED_VALUE"""),"1 360 879 735 $[a 21]")</f>
        <v>1 360 879 735 $[a 21]</v>
      </c>
    </row>
    <row r="22">
      <c r="A22">
        <f>IFERROR(__xludf.DUMMYFUNCTION("""COMPUTED_VALUE"""),21.0)</f>
        <v>21</v>
      </c>
      <c r="B22">
        <f>IFERROR(__xludf.DUMMYFUNCTION("""COMPUTED_VALUE"""),9.0)</f>
        <v>9</v>
      </c>
      <c r="C22" t="str">
        <f>IFERROR(__xludf.DUMMYFUNCTION("""COMPUTED_VALUE"""),"*Black Panther*")</f>
        <v>*Black Panther*</v>
      </c>
      <c r="D22" t="str">
        <f>IFERROR(__xludf.DUMMYFUNCTION("""COMPUTED_VALUE"""),"Ryan Coogler")</f>
        <v>Ryan Coogler</v>
      </c>
      <c r="E22">
        <f>IFERROR(__xludf.DUMMYFUNCTION("""COMPUTED_VALUE"""),2018.0)</f>
        <v>2018</v>
      </c>
      <c r="F22" t="str">
        <f>IFERROR(__xludf.DUMMYFUNCTION("""COMPUTED_VALUE"""),"États-Unis")</f>
        <v>États-Unis</v>
      </c>
      <c r="G22" t="str">
        <f>IFERROR(__xludf.DUMMYFUNCTION("""COMPUTED_VALUE"""),"1 349 926 083 $[a 22]")</f>
        <v>1 349 926 083 $[a 22]</v>
      </c>
    </row>
    <row r="23">
      <c r="A23">
        <f>IFERROR(__xludf.DUMMYFUNCTION("""COMPUTED_VALUE"""),22.0)</f>
        <v>22</v>
      </c>
      <c r="B23">
        <f>IFERROR(__xludf.DUMMYFUNCTION("""COMPUTED_VALUE"""),3.0)</f>
        <v>3</v>
      </c>
      <c r="C23" t="str">
        <f>IFERROR(__xludf.DUMMYFUNCTION("""COMPUTED_VALUE"""),"*Harry Potter et les Reliques de la Mort : Partie 2*")</f>
        <v>*Harry Potter et les Reliques de la Mort : Partie 2*</v>
      </c>
      <c r="D23" t="str">
        <f>IFERROR(__xludf.DUMMYFUNCTION("""COMPUTED_VALUE"""),"David Yates")</f>
        <v>David Yates</v>
      </c>
      <c r="E23">
        <f>IFERROR(__xludf.DUMMYFUNCTION("""COMPUTED_VALUE"""),2011.0)</f>
        <v>2011</v>
      </c>
      <c r="F23" t="str">
        <f>IFERROR(__xludf.DUMMYFUNCTION("""COMPUTED_VALUE"""),"États-Unis
Royaume-Uni")</f>
        <v>États-Unis
Royaume-Uni</v>
      </c>
      <c r="G23" t="str">
        <f>IFERROR(__xludf.DUMMYFUNCTION("""COMPUTED_VALUE"""),"1 342 505 340 $[a 23]")</f>
        <v>1 342 505 340 $[a 23]</v>
      </c>
    </row>
    <row r="24">
      <c r="A24">
        <f>IFERROR(__xludf.DUMMYFUNCTION("""COMPUTED_VALUE"""),23.0)</f>
        <v>23</v>
      </c>
      <c r="B24">
        <f>IFERROR(__xludf.DUMMYFUNCTION("""COMPUTED_VALUE"""),20.0)</f>
        <v>20</v>
      </c>
      <c r="C24" t="str">
        <f>IFERROR(__xludf.DUMMYFUNCTION("""COMPUTED_VALUE"""),"*Deadpool et Wolverine*")</f>
        <v>*Deadpool et Wolverine*</v>
      </c>
      <c r="D24" t="str">
        <f>IFERROR(__xludf.DUMMYFUNCTION("""COMPUTED_VALUE"""),"Shawn Levy")</f>
        <v>Shawn Levy</v>
      </c>
      <c r="E24">
        <f>IFERROR(__xludf.DUMMYFUNCTION("""COMPUTED_VALUE"""),2024.0)</f>
        <v>2024</v>
      </c>
      <c r="F24" t="str">
        <f>IFERROR(__xludf.DUMMYFUNCTION("""COMPUTED_VALUE"""),"États-Unis")</f>
        <v>États-Unis</v>
      </c>
      <c r="G24" t="str">
        <f>IFERROR(__xludf.DUMMYFUNCTION("""COMPUTED_VALUE"""),"1 338 073 645 $[a 24]")</f>
        <v>1 338 073 645 $[a 24]</v>
      </c>
    </row>
    <row r="25">
      <c r="A25">
        <f>IFERROR(__xludf.DUMMYFUNCTION("""COMPUTED_VALUE"""),24.0)</f>
        <v>24</v>
      </c>
      <c r="B25">
        <f>IFERROR(__xludf.DUMMYFUNCTION("""COMPUTED_VALUE"""),9.0)</f>
        <v>9</v>
      </c>
      <c r="C25" t="str">
        <f>IFERROR(__xludf.DUMMYFUNCTION("""COMPUTED_VALUE"""),"*Star Wars, épisode VIII : Les Derniers Jedi*")</f>
        <v>*Star Wars, épisode VIII : Les Derniers Jedi*</v>
      </c>
      <c r="D25" t="str">
        <f>IFERROR(__xludf.DUMMYFUNCTION("""COMPUTED_VALUE"""),"Rian Johnson")</f>
        <v>Rian Johnson</v>
      </c>
      <c r="E25">
        <f>IFERROR(__xludf.DUMMYFUNCTION("""COMPUTED_VALUE"""),2017.0)</f>
        <v>2017</v>
      </c>
      <c r="F25" t="str">
        <f>IFERROR(__xludf.DUMMYFUNCTION("""COMPUTED_VALUE"""),"États-Unis")</f>
        <v>États-Unis</v>
      </c>
      <c r="G25" t="str">
        <f>IFERROR(__xludf.DUMMYFUNCTION("""COMPUTED_VALUE"""),"1 334 407 706 $[a 25]")</f>
        <v>1 334 407 706 $[a 25]</v>
      </c>
    </row>
    <row r="26">
      <c r="A26">
        <f>IFERROR(__xludf.DUMMYFUNCTION("""COMPUTED_VALUE"""),25.0)</f>
        <v>25</v>
      </c>
      <c r="B26">
        <f>IFERROR(__xludf.DUMMYFUNCTION("""COMPUTED_VALUE"""),5.0)</f>
        <v>5</v>
      </c>
      <c r="C26" t="str">
        <f>IFERROR(__xludf.DUMMYFUNCTION("""COMPUTED_VALUE"""),"*La Reine des neiges*")</f>
        <v>*La Reine des neiges*</v>
      </c>
      <c r="D26" t="str">
        <f>IFERROR(__xludf.DUMMYFUNCTION("""COMPUTED_VALUE"""),"Chris Buck
Jennifer Lee")</f>
        <v>Chris Buck
Jennifer Lee</v>
      </c>
      <c r="E26">
        <f>IFERROR(__xludf.DUMMYFUNCTION("""COMPUTED_VALUE"""),2013.0)</f>
        <v>2013</v>
      </c>
      <c r="F26" t="str">
        <f>IFERROR(__xludf.DUMMYFUNCTION("""COMPUTED_VALUE"""),"États-Unis")</f>
        <v>États-Unis</v>
      </c>
      <c r="G26" t="str">
        <f>IFERROR(__xludf.DUMMYFUNCTION("""COMPUTED_VALUE"""),"1 310 530 830 $[a 26]")</f>
        <v>1 310 530 830 $[a 26]</v>
      </c>
    </row>
    <row r="27">
      <c r="A27">
        <f>IFERROR(__xludf.DUMMYFUNCTION("""COMPUTED_VALUE"""),26.0)</f>
        <v>26</v>
      </c>
      <c r="B27">
        <f>IFERROR(__xludf.DUMMYFUNCTION("""COMPUTED_VALUE"""),12.0)</f>
        <v>12</v>
      </c>
      <c r="C27" t="str">
        <f>IFERROR(__xludf.DUMMYFUNCTION("""COMPUTED_VALUE"""),"*Jurassic World: Fallen Kingdom*")</f>
        <v>*Jurassic World: Fallen Kingdom*</v>
      </c>
      <c r="D27" t="str">
        <f>IFERROR(__xludf.DUMMYFUNCTION("""COMPUTED_VALUE"""),"J.A. Bayona")</f>
        <v>J.A. Bayona</v>
      </c>
      <c r="E27">
        <f>IFERROR(__xludf.DUMMYFUNCTION("""COMPUTED_VALUE"""),2018.0)</f>
        <v>2018</v>
      </c>
      <c r="F27" t="str">
        <f>IFERROR(__xludf.DUMMYFUNCTION("""COMPUTED_VALUE"""),"États-Unis")</f>
        <v>États-Unis</v>
      </c>
      <c r="G27" t="str">
        <f>IFERROR(__xludf.DUMMYFUNCTION("""COMPUTED_VALUE"""),"1 308 566 455 $[a 27]")</f>
        <v>1 308 566 455 $[a 27]</v>
      </c>
    </row>
    <row r="28">
      <c r="A28">
        <f>IFERROR(__xludf.DUMMYFUNCTION("""COMPUTED_VALUE"""),27.0)</f>
        <v>27</v>
      </c>
      <c r="B28">
        <f>IFERROR(__xludf.DUMMYFUNCTION("""COMPUTED_VALUE"""),10.0)</f>
        <v>10</v>
      </c>
      <c r="C28" t="str">
        <f>IFERROR(__xludf.DUMMYFUNCTION("""COMPUTED_VALUE"""),"*La Belle et la Bête*")</f>
        <v>*La Belle et la Bête*</v>
      </c>
      <c r="D28" t="str">
        <f>IFERROR(__xludf.DUMMYFUNCTION("""COMPUTED_VALUE"""),"Bill Condon")</f>
        <v>Bill Condon</v>
      </c>
      <c r="E28">
        <f>IFERROR(__xludf.DUMMYFUNCTION("""COMPUTED_VALUE"""),2017.0)</f>
        <v>2017</v>
      </c>
      <c r="F28" t="str">
        <f>IFERROR(__xludf.DUMMYFUNCTION("""COMPUTED_VALUE"""),"États-Unis")</f>
        <v>États-Unis</v>
      </c>
      <c r="G28" t="str">
        <f>IFERROR(__xludf.DUMMYFUNCTION("""COMPUTED_VALUE"""),"1 266 115 964 $[a 28]")</f>
        <v>1 266 115 964 $[a 28]</v>
      </c>
    </row>
    <row r="29">
      <c r="A29">
        <f>IFERROR(__xludf.DUMMYFUNCTION("""COMPUTED_VALUE"""),28.0)</f>
        <v>28</v>
      </c>
      <c r="B29">
        <f>IFERROR(__xludf.DUMMYFUNCTION("""COMPUTED_VALUE"""),15.0)</f>
        <v>15</v>
      </c>
      <c r="C29" t="str">
        <f>IFERROR(__xludf.DUMMYFUNCTION("""COMPUTED_VALUE"""),"*Les Indestructibles 2*")</f>
        <v>*Les Indestructibles 2*</v>
      </c>
      <c r="D29" t="str">
        <f>IFERROR(__xludf.DUMMYFUNCTION("""COMPUTED_VALUE"""),"Brad Bird")</f>
        <v>Brad Bird</v>
      </c>
      <c r="E29">
        <f>IFERROR(__xludf.DUMMYFUNCTION("""COMPUTED_VALUE"""),2018.0)</f>
        <v>2018</v>
      </c>
      <c r="F29" t="str">
        <f>IFERROR(__xludf.DUMMYFUNCTION("""COMPUTED_VALUE"""),"États-Unis")</f>
        <v>États-Unis</v>
      </c>
      <c r="G29" t="str">
        <f>IFERROR(__xludf.DUMMYFUNCTION("""COMPUTED_VALUE"""),"1 243 225 667 $[a 29]")</f>
        <v>1 243 225 667 $[a 29]</v>
      </c>
    </row>
    <row r="30">
      <c r="A30">
        <f>IFERROR(__xludf.DUMMYFUNCTION("""COMPUTED_VALUE"""),29.0)</f>
        <v>29</v>
      </c>
      <c r="B30">
        <f>IFERROR(__xludf.DUMMYFUNCTION("""COMPUTED_VALUE"""),11.0)</f>
        <v>11</v>
      </c>
      <c r="C30" t="str">
        <f>IFERROR(__xludf.DUMMYFUNCTION("""COMPUTED_VALUE"""),"*Fast and Furious 8*")</f>
        <v>*Fast and Furious 8*</v>
      </c>
      <c r="D30" t="str">
        <f>IFERROR(__xludf.DUMMYFUNCTION("""COMPUTED_VALUE"""),"F. Gary Gray")</f>
        <v>F. Gary Gray</v>
      </c>
      <c r="E30">
        <f>IFERROR(__xludf.DUMMYFUNCTION("""COMPUTED_VALUE"""),2017.0)</f>
        <v>2017</v>
      </c>
      <c r="F30" t="str">
        <f>IFERROR(__xludf.DUMMYFUNCTION("""COMPUTED_VALUE"""),"États-Unis")</f>
        <v>États-Unis</v>
      </c>
      <c r="G30" t="str">
        <f>IFERROR(__xludf.DUMMYFUNCTION("""COMPUTED_VALUE"""),"1 236 009 236 $[a 30]")</f>
        <v>1 236 009 236 $[a 30]</v>
      </c>
    </row>
    <row r="31">
      <c r="A31">
        <f>IFERROR(__xludf.DUMMYFUNCTION("""COMPUTED_VALUE"""),30.0)</f>
        <v>30</v>
      </c>
      <c r="B31">
        <f>IFERROR(__xludf.DUMMYFUNCTION("""COMPUTED_VALUE"""),5.0)</f>
        <v>5</v>
      </c>
      <c r="C31" t="str">
        <f>IFERROR(__xludf.DUMMYFUNCTION("""COMPUTED_VALUE"""),"*Iron Man 3*")</f>
        <v>*Iron Man 3*</v>
      </c>
      <c r="D31" t="str">
        <f>IFERROR(__xludf.DUMMYFUNCTION("""COMPUTED_VALUE"""),"Shane Black")</f>
        <v>Shane Black</v>
      </c>
      <c r="E31">
        <f>IFERROR(__xludf.DUMMYFUNCTION("""COMPUTED_VALUE"""),2013.0)</f>
        <v>2013</v>
      </c>
      <c r="F31" t="str">
        <f>IFERROR(__xludf.DUMMYFUNCTION("""COMPUTED_VALUE"""),"États-Unis")</f>
        <v>États-Unis</v>
      </c>
      <c r="G31" t="str">
        <f>IFERROR(__xludf.DUMMYFUNCTION("""COMPUTED_VALUE"""),"1 215 577 205 $[a 31]")</f>
        <v>1 215 577 205 $[a 31]</v>
      </c>
    </row>
    <row r="32">
      <c r="A32">
        <f>IFERROR(__xludf.DUMMYFUNCTION("""COMPUTED_VALUE"""),31.0)</f>
        <v>31</v>
      </c>
      <c r="B32">
        <f>IFERROR(__xludf.DUMMYFUNCTION("""COMPUTED_VALUE"""),10.0)</f>
        <v>10</v>
      </c>
      <c r="C32" t="str">
        <f>IFERROR(__xludf.DUMMYFUNCTION("""COMPUTED_VALUE"""),"*Les Minions*")</f>
        <v>*Les Minions*</v>
      </c>
      <c r="D32" t="str">
        <f>IFERROR(__xludf.DUMMYFUNCTION("""COMPUTED_VALUE"""),"Kyle Balda
Pierre Coffin")</f>
        <v>Kyle Balda
Pierre Coffin</v>
      </c>
      <c r="E32">
        <f>IFERROR(__xludf.DUMMYFUNCTION("""COMPUTED_VALUE"""),2015.0)</f>
        <v>2015</v>
      </c>
      <c r="F32" t="str">
        <f>IFERROR(__xludf.DUMMYFUNCTION("""COMPUTED_VALUE"""),"États-Unis")</f>
        <v>États-Unis</v>
      </c>
      <c r="G32" t="str">
        <f>IFERROR(__xludf.DUMMYFUNCTION("""COMPUTED_VALUE"""),"1 159 457 503 $[a 32]")</f>
        <v>1 159 457 503 $[a 32]</v>
      </c>
    </row>
    <row r="33">
      <c r="A33">
        <f>IFERROR(__xludf.DUMMYFUNCTION("""COMPUTED_VALUE"""),32.0)</f>
        <v>32</v>
      </c>
      <c r="B33">
        <f>IFERROR(__xludf.DUMMYFUNCTION("""COMPUTED_VALUE"""),12.0)</f>
        <v>12</v>
      </c>
      <c r="C33" t="str">
        <f>IFERROR(__xludf.DUMMYFUNCTION("""COMPUTED_VALUE"""),"*Captain America: Civil War*")</f>
        <v>*Captain America: Civil War*</v>
      </c>
      <c r="D33" t="str">
        <f>IFERROR(__xludf.DUMMYFUNCTION("""COMPUTED_VALUE"""),"Anthony et
Joe Russo")</f>
        <v>Anthony et
Joe Russo</v>
      </c>
      <c r="E33">
        <f>IFERROR(__xludf.DUMMYFUNCTION("""COMPUTED_VALUE"""),2016.0)</f>
        <v>2016</v>
      </c>
      <c r="F33" t="str">
        <f>IFERROR(__xludf.DUMMYFUNCTION("""COMPUTED_VALUE"""),"États-Unis")</f>
        <v>États-Unis</v>
      </c>
      <c r="G33" t="str">
        <f>IFERROR(__xludf.DUMMYFUNCTION("""COMPUTED_VALUE"""),"1 155 046 416 $[a 33]")</f>
        <v>1 155 046 416 $[a 33]</v>
      </c>
    </row>
    <row r="34">
      <c r="A34">
        <f>IFERROR(__xludf.DUMMYFUNCTION("""COMPUTED_VALUE"""),33.0)</f>
        <v>33</v>
      </c>
      <c r="B34">
        <f>IFERROR(__xludf.DUMMYFUNCTION("""COMPUTED_VALUE"""),20.0)</f>
        <v>20</v>
      </c>
      <c r="C34" t="str">
        <f>IFERROR(__xludf.DUMMYFUNCTION("""COMPUTED_VALUE"""),"*Aquaman*")</f>
        <v>*Aquaman*</v>
      </c>
      <c r="D34" t="str">
        <f>IFERROR(__xludf.DUMMYFUNCTION("""COMPUTED_VALUE"""),"James Wan")</f>
        <v>James Wan</v>
      </c>
      <c r="E34">
        <f>IFERROR(__xludf.DUMMYFUNCTION("""COMPUTED_VALUE"""),2018.0)</f>
        <v>2018</v>
      </c>
      <c r="F34" t="str">
        <f>IFERROR(__xludf.DUMMYFUNCTION("""COMPUTED_VALUE"""),"États-Unis")</f>
        <v>États-Unis</v>
      </c>
      <c r="G34" t="str">
        <f>IFERROR(__xludf.DUMMYFUNCTION("""COMPUTED_VALUE"""),"1 152 028 393 $[a 34]")</f>
        <v>1 152 028 393 $[a 34]</v>
      </c>
    </row>
    <row r="35">
      <c r="A35">
        <f>IFERROR(__xludf.DUMMYFUNCTION("""COMPUTED_VALUE"""),34.0)</f>
        <v>34</v>
      </c>
      <c r="B35">
        <f>IFERROR(__xludf.DUMMYFUNCTION("""COMPUTED_VALUE"""),2.0)</f>
        <v>2</v>
      </c>
      <c r="C35" t="str">
        <f>IFERROR(__xludf.DUMMYFUNCTION("""COMPUTED_VALUE"""),"*Le Seigneur des anneaux : Le Retour du roi*")</f>
        <v>*Le Seigneur des anneaux : Le Retour du roi*</v>
      </c>
      <c r="D35" t="str">
        <f>IFERROR(__xludf.DUMMYFUNCTION("""COMPUTED_VALUE"""),"Peter Jackson")</f>
        <v>Peter Jackson</v>
      </c>
      <c r="E35">
        <f>IFERROR(__xludf.DUMMYFUNCTION("""COMPUTED_VALUE"""),2003.0)</f>
        <v>2003</v>
      </c>
      <c r="F35" t="str">
        <f>IFERROR(__xludf.DUMMYFUNCTION("""COMPUTED_VALUE"""),"États-Unis
Nouvelle-Zélande")</f>
        <v>États-Unis
Nouvelle-Zélande</v>
      </c>
      <c r="G35" t="str">
        <f>IFERROR(__xludf.DUMMYFUNCTION("""COMPUTED_VALUE"""),"1 148 738 106 $[a 35]")</f>
        <v>1 148 738 106 $[a 35]</v>
      </c>
    </row>
    <row r="36">
      <c r="A36">
        <f>IFERROR(__xludf.DUMMYFUNCTION("""COMPUTED_VALUE"""),35.0)</f>
        <v>35</v>
      </c>
      <c r="B36">
        <f>IFERROR(__xludf.DUMMYFUNCTION("""COMPUTED_VALUE"""),24.0)</f>
        <v>24</v>
      </c>
      <c r="C36" t="str">
        <f>IFERROR(__xludf.DUMMYFUNCTION("""COMPUTED_VALUE"""),"*Spider-Man: Far From Home*")</f>
        <v>*Spider-Man: Far From Home*</v>
      </c>
      <c r="D36" t="str">
        <f>IFERROR(__xludf.DUMMYFUNCTION("""COMPUTED_VALUE"""),"Jon Watts")</f>
        <v>Jon Watts</v>
      </c>
      <c r="E36">
        <f>IFERROR(__xludf.DUMMYFUNCTION("""COMPUTED_VALUE"""),2019.0)</f>
        <v>2019</v>
      </c>
      <c r="F36" t="str">
        <f>IFERROR(__xludf.DUMMYFUNCTION("""COMPUTED_VALUE"""),"États-Unis")</f>
        <v>États-Unis</v>
      </c>
      <c r="G36" t="str">
        <f>IFERROR(__xludf.DUMMYFUNCTION("""COMPUTED_VALUE"""),"1 132 723 226 $[a 36]")</f>
        <v>1 132 723 226 $[a 36]</v>
      </c>
    </row>
    <row r="37">
      <c r="A37">
        <f>IFERROR(__xludf.DUMMYFUNCTION("""COMPUTED_VALUE"""),36.0)</f>
        <v>36</v>
      </c>
      <c r="B37">
        <f>IFERROR(__xludf.DUMMYFUNCTION("""COMPUTED_VALUE"""),23.0)</f>
        <v>23</v>
      </c>
      <c r="C37" t="str">
        <f>IFERROR(__xludf.DUMMYFUNCTION("""COMPUTED_VALUE"""),"*Captain Marvel*")</f>
        <v>*Captain Marvel*</v>
      </c>
      <c r="D37" t="str">
        <f>IFERROR(__xludf.DUMMYFUNCTION("""COMPUTED_VALUE"""),"Anna Boden
Ryan Fleck")</f>
        <v>Anna Boden
Ryan Fleck</v>
      </c>
      <c r="E37">
        <f>IFERROR(__xludf.DUMMYFUNCTION("""COMPUTED_VALUE"""),2019.0)</f>
        <v>2019</v>
      </c>
      <c r="F37" t="str">
        <f>IFERROR(__xludf.DUMMYFUNCTION("""COMPUTED_VALUE"""),"États-Unis")</f>
        <v>États-Unis</v>
      </c>
      <c r="G37" t="str">
        <f>IFERROR(__xludf.DUMMYFUNCTION("""COMPUTED_VALUE"""),"1 131 416 446 $[a 37]")</f>
        <v>1 131 416 446 $[a 37]</v>
      </c>
    </row>
    <row r="38">
      <c r="A38">
        <f>IFERROR(__xludf.DUMMYFUNCTION("""COMPUTED_VALUE"""),37.0)</f>
        <v>37</v>
      </c>
      <c r="B38">
        <f>IFERROR(__xludf.DUMMYFUNCTION("""COMPUTED_VALUE"""),5.0)</f>
        <v>5</v>
      </c>
      <c r="C38" t="str">
        <f>IFERROR(__xludf.DUMMYFUNCTION("""COMPUTED_VALUE"""),"*Transformers 3 : La Face cachée de la Lune*")</f>
        <v>*Transformers 3 : La Face cachée de la Lune*</v>
      </c>
      <c r="D38" t="str">
        <f>IFERROR(__xludf.DUMMYFUNCTION("""COMPUTED_VALUE"""),"Michael Bay")</f>
        <v>Michael Bay</v>
      </c>
      <c r="E38">
        <f>IFERROR(__xludf.DUMMYFUNCTION("""COMPUTED_VALUE"""),2011.0)</f>
        <v>2011</v>
      </c>
      <c r="F38" t="str">
        <f>IFERROR(__xludf.DUMMYFUNCTION("""COMPUTED_VALUE"""),"États-Unis")</f>
        <v>États-Unis</v>
      </c>
      <c r="G38" t="str">
        <f>IFERROR(__xludf.DUMMYFUNCTION("""COMPUTED_VALUE"""),"1 123 794 079 $[a 38]")</f>
        <v>1 123 794 079 $[a 38]</v>
      </c>
    </row>
    <row r="39">
      <c r="A39">
        <f>IFERROR(__xludf.DUMMYFUNCTION("""COMPUTED_VALUE"""),38.0)</f>
        <v>38</v>
      </c>
      <c r="B39">
        <f>IFERROR(__xludf.DUMMYFUNCTION("""COMPUTED_VALUE"""),7.0)</f>
        <v>7</v>
      </c>
      <c r="C39" t="str">
        <f>IFERROR(__xludf.DUMMYFUNCTION("""COMPUTED_VALUE"""),"*Skyfall*")</f>
        <v>*Skyfall*</v>
      </c>
      <c r="D39" t="str">
        <f>IFERROR(__xludf.DUMMYFUNCTION("""COMPUTED_VALUE"""),"Sam Mendes")</f>
        <v>Sam Mendes</v>
      </c>
      <c r="E39">
        <f>IFERROR(__xludf.DUMMYFUNCTION("""COMPUTED_VALUE"""),2012.0)</f>
        <v>2012</v>
      </c>
      <c r="F39" t="str">
        <f>IFERROR(__xludf.DUMMYFUNCTION("""COMPUTED_VALUE"""),"États-Unis
Royaume-Uni")</f>
        <v>États-Unis
Royaume-Uni</v>
      </c>
      <c r="G39" t="str">
        <f>IFERROR(__xludf.DUMMYFUNCTION("""COMPUTED_VALUE"""),"1 108 594 137 $[a 39]")</f>
        <v>1 108 594 137 $[a 39]</v>
      </c>
    </row>
    <row r="40">
      <c r="A40">
        <f>IFERROR(__xludf.DUMMYFUNCTION("""COMPUTED_VALUE"""),39.0)</f>
        <v>39</v>
      </c>
      <c r="B40">
        <f>IFERROR(__xludf.DUMMYFUNCTION("""COMPUTED_VALUE"""),10.0)</f>
        <v>10</v>
      </c>
      <c r="C40" t="str">
        <f>IFERROR(__xludf.DUMMYFUNCTION("""COMPUTED_VALUE"""),"*Transformers : L'Âge de l'extinction*")</f>
        <v>*Transformers : L'Âge de l'extinction*</v>
      </c>
      <c r="D40" t="str">
        <f>IFERROR(__xludf.DUMMYFUNCTION("""COMPUTED_VALUE"""),"Michael Bay")</f>
        <v>Michael Bay</v>
      </c>
      <c r="E40">
        <f>IFERROR(__xludf.DUMMYFUNCTION("""COMPUTED_VALUE"""),2014.0)</f>
        <v>2014</v>
      </c>
      <c r="F40" t="str">
        <f>IFERROR(__xludf.DUMMYFUNCTION("""COMPUTED_VALUE"""),"États-Unis")</f>
        <v>États-Unis</v>
      </c>
      <c r="G40" t="str">
        <f>IFERROR(__xludf.DUMMYFUNCTION("""COMPUTED_VALUE"""),"1 105 261 713 $[a 40]")</f>
        <v>1 105 261 713 $[a 40]</v>
      </c>
    </row>
    <row r="41">
      <c r="A41">
        <f>IFERROR(__xludf.DUMMYFUNCTION("""COMPUTED_VALUE"""),40.0)</f>
        <v>40</v>
      </c>
      <c r="B41">
        <f>IFERROR(__xludf.DUMMYFUNCTION("""COMPUTED_VALUE"""),1.0)</f>
        <v>1</v>
      </c>
      <c r="C41" t="str">
        <f>IFERROR(__xludf.DUMMYFUNCTION("""COMPUTED_VALUE"""),"*Jurassic Park*")</f>
        <v>*Jurassic Park*</v>
      </c>
      <c r="D41" t="str">
        <f>IFERROR(__xludf.DUMMYFUNCTION("""COMPUTED_VALUE"""),"Steven Spielberg")</f>
        <v>Steven Spielberg</v>
      </c>
      <c r="E41">
        <f>IFERROR(__xludf.DUMMYFUNCTION("""COMPUTED_VALUE"""),1993.0)</f>
        <v>1993</v>
      </c>
      <c r="F41" t="str">
        <f>IFERROR(__xludf.DUMMYFUNCTION("""COMPUTED_VALUE"""),"États-Unis")</f>
        <v>États-Unis</v>
      </c>
      <c r="G41" t="str">
        <f>IFERROR(__xludf.DUMMYFUNCTION("""COMPUTED_VALUE"""),"1 103 096 466 $[a 41]")</f>
        <v>1 103 096 466 $[a 41]</v>
      </c>
    </row>
    <row r="42">
      <c r="A42">
        <f>IFERROR(__xludf.DUMMYFUNCTION("""COMPUTED_VALUE"""),41.0)</f>
        <v>41</v>
      </c>
      <c r="B42">
        <f>IFERROR(__xludf.DUMMYFUNCTION("""COMPUTED_VALUE"""),7.0)</f>
        <v>7</v>
      </c>
      <c r="C42" t="str">
        <f>IFERROR(__xludf.DUMMYFUNCTION("""COMPUTED_VALUE"""),"*The Dark Knight Rises*")</f>
        <v>*The Dark Knight Rises*</v>
      </c>
      <c r="D42" t="str">
        <f>IFERROR(__xludf.DUMMYFUNCTION("""COMPUTED_VALUE"""),"Christopher Nolan")</f>
        <v>Christopher Nolan</v>
      </c>
      <c r="E42">
        <f>IFERROR(__xludf.DUMMYFUNCTION("""COMPUTED_VALUE"""),2012.0)</f>
        <v>2012</v>
      </c>
      <c r="F42" t="str">
        <f>IFERROR(__xludf.DUMMYFUNCTION("""COMPUTED_VALUE"""),"États-Unis
Royaume-Uni")</f>
        <v>États-Unis
Royaume-Uni</v>
      </c>
      <c r="G42" t="str">
        <f>IFERROR(__xludf.DUMMYFUNCTION("""COMPUTED_VALUE"""),"1 085 199 115 $[a 42]")</f>
        <v>1 085 199 115 $[a 42]</v>
      </c>
    </row>
    <row r="43">
      <c r="A43">
        <f>IFERROR(__xludf.DUMMYFUNCTION("""COMPUTED_VALUE"""),42.0)</f>
        <v>42</v>
      </c>
      <c r="B43">
        <f>IFERROR(__xludf.DUMMYFUNCTION("""COMPUTED_VALUE"""),31.0)</f>
        <v>31</v>
      </c>
      <c r="C43" t="str">
        <f>IFERROR(__xludf.DUMMYFUNCTION("""COMPUTED_VALUE"""),"*Joker*")</f>
        <v>*Joker*</v>
      </c>
      <c r="D43" t="str">
        <f>IFERROR(__xludf.DUMMYFUNCTION("""COMPUTED_VALUE"""),"Todd Phillips")</f>
        <v>Todd Phillips</v>
      </c>
      <c r="E43">
        <f>IFERROR(__xludf.DUMMYFUNCTION("""COMPUTED_VALUE"""),2019.0)</f>
        <v>2019</v>
      </c>
      <c r="F43" t="str">
        <f>IFERROR(__xludf.DUMMYFUNCTION("""COMPUTED_VALUE"""),"États-Unis")</f>
        <v>États-Unis</v>
      </c>
      <c r="G43" t="str">
        <f>IFERROR(__xludf.DUMMYFUNCTION("""COMPUTED_VALUE"""),"1 078 958 629 $[a 43]")</f>
        <v>1 078 958 629 $[a 43]</v>
      </c>
    </row>
    <row r="44">
      <c r="A44">
        <f>IFERROR(__xludf.DUMMYFUNCTION("""COMPUTED_VALUE"""),43.0)</f>
        <v>43</v>
      </c>
      <c r="B44">
        <f>IFERROR(__xludf.DUMMYFUNCTION("""COMPUTED_VALUE"""),32.0)</f>
        <v>32</v>
      </c>
      <c r="C44" t="str">
        <f>IFERROR(__xludf.DUMMYFUNCTION("""COMPUTED_VALUE"""),"*Star Wars, épisode IX : L'Ascension de Skywalker*")</f>
        <v>*Star Wars, épisode IX : L'Ascension de Skywalker*</v>
      </c>
      <c r="D44" t="str">
        <f>IFERROR(__xludf.DUMMYFUNCTION("""COMPUTED_VALUE"""),"J. J. Abrams")</f>
        <v>J. J. Abrams</v>
      </c>
      <c r="E44">
        <f>IFERROR(__xludf.DUMMYFUNCTION("""COMPUTED_VALUE"""),2019.0)</f>
        <v>2019</v>
      </c>
      <c r="F44" t="str">
        <f>IFERROR(__xludf.DUMMYFUNCTION("""COMPUTED_VALUE"""),"États-Unis")</f>
        <v>États-Unis</v>
      </c>
      <c r="G44" t="str">
        <f>IFERROR(__xludf.DUMMYFUNCTION("""COMPUTED_VALUE"""),"1 077 022 372 $[a 44]")</f>
        <v>1 077 022 372 $[a 44]</v>
      </c>
    </row>
    <row r="45">
      <c r="A45">
        <f>IFERROR(__xludf.DUMMYFUNCTION("""COMPUTED_VALUE"""),44.0)</f>
        <v>44</v>
      </c>
      <c r="B45">
        <f>IFERROR(__xludf.DUMMYFUNCTION("""COMPUTED_VALUE"""),30.0)</f>
        <v>30</v>
      </c>
      <c r="C45" t="str">
        <f>IFERROR(__xludf.DUMMYFUNCTION("""COMPUTED_VALUE"""),"*Toy Story 4*")</f>
        <v>*Toy Story 4*</v>
      </c>
      <c r="D45" t="str">
        <f>IFERROR(__xludf.DUMMYFUNCTION("""COMPUTED_VALUE"""),"Josh Cooley")</f>
        <v>Josh Cooley</v>
      </c>
      <c r="E45">
        <f>IFERROR(__xludf.DUMMYFUNCTION("""COMPUTED_VALUE"""),2019.0)</f>
        <v>2019</v>
      </c>
      <c r="F45" t="str">
        <f>IFERROR(__xludf.DUMMYFUNCTION("""COMPUTED_VALUE"""),"États-Unis")</f>
        <v>États-Unis</v>
      </c>
      <c r="G45" t="str">
        <f>IFERROR(__xludf.DUMMYFUNCTION("""COMPUTED_VALUE"""),"1 073 841 394 $[a 45]")</f>
        <v>1 073 841 394 $[a 45]</v>
      </c>
    </row>
    <row r="46">
      <c r="A46">
        <f>IFERROR(__xludf.DUMMYFUNCTION("""COMPUTED_VALUE"""),45.0)</f>
        <v>45</v>
      </c>
      <c r="B46">
        <f>IFERROR(__xludf.DUMMYFUNCTION("""COMPUTED_VALUE"""),4.0)</f>
        <v>4</v>
      </c>
      <c r="C46" t="str">
        <f>IFERROR(__xludf.DUMMYFUNCTION("""COMPUTED_VALUE"""),"*Toy Story 3*")</f>
        <v>*Toy Story 3*</v>
      </c>
      <c r="D46" t="str">
        <f>IFERROR(__xludf.DUMMYFUNCTION("""COMPUTED_VALUE"""),"Lee Unkrich")</f>
        <v>Lee Unkrich</v>
      </c>
      <c r="E46">
        <f>IFERROR(__xludf.DUMMYFUNCTION("""COMPUTED_VALUE"""),2010.0)</f>
        <v>2010</v>
      </c>
      <c r="F46" t="str">
        <f>IFERROR(__xludf.DUMMYFUNCTION("""COMPUTED_VALUE"""),"États-Unis")</f>
        <v>États-Unis</v>
      </c>
      <c r="G46" t="str">
        <f>IFERROR(__xludf.DUMMYFUNCTION("""COMPUTED_VALUE"""),"1 067 316 101 $[a 46]")</f>
        <v>1 067 316 101 $[a 46]</v>
      </c>
    </row>
    <row r="47">
      <c r="A47">
        <f>IFERROR(__xludf.DUMMYFUNCTION("""COMPUTED_VALUE"""),46.0)</f>
        <v>46</v>
      </c>
      <c r="B47">
        <f>IFERROR(__xludf.DUMMYFUNCTION("""COMPUTED_VALUE"""),3.0)</f>
        <v>3</v>
      </c>
      <c r="C47" t="str">
        <f>IFERROR(__xludf.DUMMYFUNCTION("""COMPUTED_VALUE"""),"*Pirates des Caraïbes : Le Secret du coffre maudit*")</f>
        <v>*Pirates des Caraïbes : Le Secret du coffre maudit*</v>
      </c>
      <c r="D47" t="str">
        <f>IFERROR(__xludf.DUMMYFUNCTION("""COMPUTED_VALUE"""),"Gore Verbinski")</f>
        <v>Gore Verbinski</v>
      </c>
      <c r="E47">
        <f>IFERROR(__xludf.DUMMYFUNCTION("""COMPUTED_VALUE"""),2006.0)</f>
        <v>2006</v>
      </c>
      <c r="F47" t="str">
        <f>IFERROR(__xludf.DUMMYFUNCTION("""COMPUTED_VALUE"""),"États-Unis")</f>
        <v>États-Unis</v>
      </c>
      <c r="G47" t="str">
        <f>IFERROR(__xludf.DUMMYFUNCTION("""COMPUTED_VALUE"""),"1 066 179 747 $[a 47]")</f>
        <v>1 066 179 747 $[a 47]</v>
      </c>
    </row>
    <row r="48">
      <c r="A48">
        <f>IFERROR(__xludf.DUMMYFUNCTION("""COMPUTED_VALUE"""),47.0)</f>
        <v>47</v>
      </c>
      <c r="B48">
        <f>IFERROR(__xludf.DUMMYFUNCTION("""COMPUTED_VALUE"""),45.0)</f>
        <v>45</v>
      </c>
      <c r="C48" t="str">
        <f>IFERROR(__xludf.DUMMYFUNCTION("""COMPUTED_VALUE"""),"*Vaiana 2*")</f>
        <v>*Vaiana 2*</v>
      </c>
      <c r="D48" t="str">
        <f>IFERROR(__xludf.DUMMYFUNCTION("""COMPUTED_VALUE"""),"David Derrick Jr. (en)")</f>
        <v>David Derrick Jr. (en)</v>
      </c>
      <c r="E48">
        <f>IFERROR(__xludf.DUMMYFUNCTION("""COMPUTED_VALUE"""),2024.0)</f>
        <v>2024</v>
      </c>
      <c r="F48" t="str">
        <f>IFERROR(__xludf.DUMMYFUNCTION("""COMPUTED_VALUE"""),"États-Unis")</f>
        <v>États-Unis</v>
      </c>
      <c r="G48" t="str">
        <f>IFERROR(__xludf.DUMMYFUNCTION("""COMPUTED_VALUE"""),"1 059 242 164 $[a 48]")</f>
        <v>1 059 242 164 $[a 48]</v>
      </c>
    </row>
    <row r="49">
      <c r="A49">
        <f>IFERROR(__xludf.DUMMYFUNCTION("""COMPUTED_VALUE"""),48.0)</f>
        <v>48</v>
      </c>
      <c r="B49">
        <f>IFERROR(__xludf.DUMMYFUNCTION("""COMPUTED_VALUE"""),20.0)</f>
        <v>20</v>
      </c>
      <c r="C49" t="str">
        <f>IFERROR(__xludf.DUMMYFUNCTION("""COMPUTED_VALUE"""),"*Rogue One: A Star Wars Story*")</f>
        <v>*Rogue One: A Star Wars Story*</v>
      </c>
      <c r="D49" t="str">
        <f>IFERROR(__xludf.DUMMYFUNCTION("""COMPUTED_VALUE"""),"Gareth Edwards")</f>
        <v>Gareth Edwards</v>
      </c>
      <c r="E49">
        <f>IFERROR(__xludf.DUMMYFUNCTION("""COMPUTED_VALUE"""),2016.0)</f>
        <v>2016</v>
      </c>
      <c r="F49" t="str">
        <f>IFERROR(__xludf.DUMMYFUNCTION("""COMPUTED_VALUE"""),"États-Unis")</f>
        <v>États-Unis</v>
      </c>
      <c r="G49" t="str">
        <f>IFERROR(__xludf.DUMMYFUNCTION("""COMPUTED_VALUE"""),"1 058 684 742 $[a 49]")</f>
        <v>1 058 684 742 $[a 49]</v>
      </c>
    </row>
    <row r="50">
      <c r="A50">
        <f>IFERROR(__xludf.DUMMYFUNCTION("""COMPUTED_VALUE"""),49.0)</f>
        <v>49</v>
      </c>
      <c r="B50">
        <f>IFERROR(__xludf.DUMMYFUNCTION("""COMPUTED_VALUE"""),34.0)</f>
        <v>34</v>
      </c>
      <c r="C50" t="str">
        <f>IFERROR(__xludf.DUMMYFUNCTION("""COMPUTED_VALUE"""),"*Aladdin*")</f>
        <v>*Aladdin*</v>
      </c>
      <c r="D50" t="str">
        <f>IFERROR(__xludf.DUMMYFUNCTION("""COMPUTED_VALUE"""),"Guy Ritchie")</f>
        <v>Guy Ritchie</v>
      </c>
      <c r="E50">
        <f>IFERROR(__xludf.DUMMYFUNCTION("""COMPUTED_VALUE"""),2019.0)</f>
        <v>2019</v>
      </c>
      <c r="F50" t="str">
        <f>IFERROR(__xludf.DUMMYFUNCTION("""COMPUTED_VALUE"""),"États-Unis")</f>
        <v>États-Unis</v>
      </c>
      <c r="G50" t="str">
        <f>IFERROR(__xludf.DUMMYFUNCTION("""COMPUTED_VALUE"""),"1 054 304 000 $[a 50]")</f>
        <v>1 054 304 000 $[a 50]</v>
      </c>
    </row>
    <row r="51">
      <c r="A51">
        <f>IFERROR(__xludf.DUMMYFUNCTION("""COMPUTED_VALUE"""),50.0)</f>
        <v>50</v>
      </c>
      <c r="B51">
        <f>IFERROR(__xludf.DUMMYFUNCTION("""COMPUTED_VALUE"""),6.0)</f>
        <v>6</v>
      </c>
      <c r="C51" t="str">
        <f>IFERROR(__xludf.DUMMYFUNCTION("""COMPUTED_VALUE"""),"*Pirates des Caraïbes : La Fontaine de Jouvence*")</f>
        <v>*Pirates des Caraïbes : La Fontaine de Jouvence*</v>
      </c>
      <c r="D51" t="str">
        <f>IFERROR(__xludf.DUMMYFUNCTION("""COMPUTED_VALUE"""),"Rob Marshall")</f>
        <v>Rob Marshall</v>
      </c>
      <c r="E51">
        <f>IFERROR(__xludf.DUMMYFUNCTION("""COMPUTED_VALUE"""),2011.0)</f>
        <v>2011</v>
      </c>
      <c r="F51" t="str">
        <f>IFERROR(__xludf.DUMMYFUNCTION("""COMPUTED_VALUE"""),"États-Unis")</f>
        <v>États-Unis</v>
      </c>
      <c r="G51" t="str">
        <f>IFERROR(__xludf.DUMMYFUNCTION("""COMPUTED_VALUE"""),"1 046 721 266 $[a 51]")</f>
        <v>1 046 721 266 $[a 51]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IFERROR(__xludf.DUMMYFUNCTION("IMPORTHTML(""https://fr.wikipedia.org/wiki/Liste_des_villes_les_plus_peuplées_des_États-Unis"",""table"")"),"#REF!")</f>
        <v>#REF!</v>
      </c>
      <c r="F1" t="str">
        <f>IFERROR(__xludf.DUMMYFUNCTION("IMPORTHTML(""https://fr.wikipedia.org/wiki/Championnat_de_France_de_rugby_à_XV"", ""table"", 7)"),"Date")</f>
        <v>Date</v>
      </c>
      <c r="G1" s="15" t="str">
        <f>IFERROR(__xludf.DUMMYFUNCTION("""COMPUTED_VALUE"""),"Vainqueur")</f>
        <v>Vainqueur</v>
      </c>
      <c r="H1" t="str">
        <f>IFERROR(__xludf.DUMMYFUNCTION("""COMPUTED_VALUE"""),"Score")</f>
        <v>Score</v>
      </c>
      <c r="I1" t="str">
        <f>IFERROR(__xludf.DUMMYFUNCTION("""COMPUTED_VALUE"""),"Finaliste")</f>
        <v>Finaliste</v>
      </c>
      <c r="J1" s="15" t="str">
        <f>IFERROR(__xludf.DUMMYFUNCTION("""COMPUTED_VALUE"""),"Lieu")</f>
        <v>Lieu</v>
      </c>
      <c r="K1" t="str">
        <f>IFERROR(__xludf.DUMMYFUNCTION("""COMPUTED_VALUE"""),"Spectateurs")</f>
        <v>Spectateurs</v>
      </c>
    </row>
    <row r="2">
      <c r="E2" s="6" t="s">
        <v>4198</v>
      </c>
      <c r="F2" s="16">
        <f>IFERROR(__xludf.DUMMYFUNCTION("""COMPUTED_VALUE"""),15786.0)</f>
        <v>15786</v>
      </c>
      <c r="G2" s="15" t="str">
        <f>IFERROR(__xludf.DUMMYFUNCTION("""COMPUTED_VALUE"""),"*Aviron bayonnais* (3)")</f>
        <v>*Aviron bayonnais* (3)</v>
      </c>
      <c r="H2" t="str">
        <f>IFERROR(__xludf.DUMMYFUNCTION("""COMPUTED_VALUE"""),"*3* – 0")</f>
        <v>*3* – 0</v>
      </c>
      <c r="I2" t="str">
        <f>IFERROR(__xludf.DUMMYFUNCTION("""COMPUTED_VALUE"""),"SU Agen")</f>
        <v>SU Agen</v>
      </c>
      <c r="J2" s="15" t="str">
        <f>IFERROR(__xludf.DUMMYFUNCTION("""COMPUTED_VALUE"""),"Parc des Princes, Paris")</f>
        <v>Parc des Princes, Paris</v>
      </c>
      <c r="K2">
        <f>IFERROR(__xludf.DUMMYFUNCTION("""COMPUTED_VALUE"""),28000.0)</f>
        <v>28000</v>
      </c>
    </row>
    <row r="3">
      <c r="F3" s="16">
        <f>IFERROR(__xludf.DUMMYFUNCTION("""COMPUTED_VALUE"""),16157.0)</f>
        <v>16157</v>
      </c>
      <c r="G3" s="15" t="str">
        <f>IFERROR(__xludf.DUMMYFUNCTION("""COMPUTED_VALUE"""),"*USA Perpignan* (2)")</f>
        <v>*USA Perpignan* (2)</v>
      </c>
      <c r="H3" t="str">
        <f>IFERROR(__xludf.DUMMYFUNCTION("""COMPUTED_VALUE"""),"*20* – 5")</f>
        <v>*20* – 5</v>
      </c>
      <c r="I3" t="str">
        <f>IFERROR(__xludf.DUMMYFUNCTION("""COMPUTED_VALUE"""),"Aviron bayonnais")</f>
        <v>Aviron bayonnais</v>
      </c>
      <c r="J3" s="15" t="str">
        <f>IFERROR(__xludf.DUMMYFUNCTION("""COMPUTED_VALUE"""),"Parc des Princes, Paris")</f>
        <v>Parc des Princes, Paris</v>
      </c>
      <c r="K3">
        <f>IFERROR(__xludf.DUMMYFUNCTION("""COMPUTED_VALUE"""),35000.0)</f>
        <v>35000</v>
      </c>
    </row>
    <row r="4">
      <c r="F4" s="16">
        <f>IFERROR(__xludf.DUMMYFUNCTION("""COMPUTED_VALUE"""),16534.0)</f>
        <v>16534</v>
      </c>
      <c r="G4" s="15" t="str">
        <f>IFERROR(__xludf.DUMMYFUNCTION("""COMPUTED_VALUE"""),"*SU Agen* (2)")</f>
        <v>*SU Agen* (2)</v>
      </c>
      <c r="H4" t="str">
        <f>IFERROR(__xludf.DUMMYFUNCTION("""COMPUTED_VALUE"""),"*7* – 3")</f>
        <v>*7* – 3</v>
      </c>
      <c r="I4" t="str">
        <f>IFERROR(__xludf.DUMMYFUNCTION("""COMPUTED_VALUE"""),"FC Lourdes")</f>
        <v>FC Lourdes</v>
      </c>
      <c r="J4" s="15" t="str">
        <f>IFERROR(__xludf.DUMMYFUNCTION("""COMPUTED_VALUE"""),"Parc des Princes, Paris")</f>
        <v>Parc des Princes, Paris</v>
      </c>
      <c r="K4">
        <f>IFERROR(__xludf.DUMMYFUNCTION("""COMPUTED_VALUE"""),30000.0)</f>
        <v>30000</v>
      </c>
    </row>
    <row r="5">
      <c r="F5" s="16">
        <f>IFERROR(__xludf.DUMMYFUNCTION("""COMPUTED_VALUE"""),16885.0)</f>
        <v>16885</v>
      </c>
      <c r="G5" s="15" t="str">
        <f>IFERROR(__xludf.DUMMYFUNCTION("""COMPUTED_VALUE"""),"*Section paloise* (2)")</f>
        <v>*Section paloise* (2)</v>
      </c>
      <c r="H5" t="str">
        <f>IFERROR(__xludf.DUMMYFUNCTION("""COMPUTED_VALUE"""),"*11* – 0")</f>
        <v>*11* – 0</v>
      </c>
      <c r="I5" t="str">
        <f>IFERROR(__xludf.DUMMYFUNCTION("""COMPUTED_VALUE"""),"FC Lourdes")</f>
        <v>FC Lourdes</v>
      </c>
      <c r="J5" s="15" t="str">
        <f>IFERROR(__xludf.DUMMYFUNCTION("""COMPUTED_VALUE"""),"Parc des Princes, Paris")</f>
        <v>Parc des Princes, Paris</v>
      </c>
      <c r="K5">
        <f>IFERROR(__xludf.DUMMYFUNCTION("""COMPUTED_VALUE"""),30000.0)</f>
        <v>30000</v>
      </c>
    </row>
    <row r="6">
      <c r="F6" s="16">
        <f>IFERROR(__xludf.DUMMYFUNCTION("""COMPUTED_VALUE"""),17270.0)</f>
        <v>17270</v>
      </c>
      <c r="G6" s="15" t="str">
        <f>IFERROR(__xludf.DUMMYFUNCTION("""COMPUTED_VALUE"""),"*Stade toulousain* (7)")</f>
        <v>*Stade toulousain* (7)</v>
      </c>
      <c r="H6" t="str">
        <f>IFERROR(__xludf.DUMMYFUNCTION("""COMPUTED_VALUE"""),"*10* – 3")</f>
        <v>*10* – 3</v>
      </c>
      <c r="I6" t="str">
        <f>IFERROR(__xludf.DUMMYFUNCTION("""COMPUTED_VALUE"""),"SU Agen")</f>
        <v>SU Agen</v>
      </c>
      <c r="J6" s="15" t="str">
        <f>IFERROR(__xludf.DUMMYFUNCTION("""COMPUTED_VALUE"""),"Stade des Ponts Jumeaux, Toulouse")</f>
        <v>Stade des Ponts Jumeaux, Toulouse</v>
      </c>
      <c r="K6">
        <f>IFERROR(__xludf.DUMMYFUNCTION("""COMPUTED_VALUE"""),25000.0)</f>
        <v>25000</v>
      </c>
    </row>
    <row r="7">
      <c r="F7" s="16">
        <f>IFERROR(__xludf.DUMMYFUNCTION("""COMPUTED_VALUE"""),17641.0)</f>
        <v>17641</v>
      </c>
      <c r="G7" s="15" t="str">
        <f>IFERROR(__xludf.DUMMYFUNCTION("""COMPUTED_VALUE"""),"*FC Lourdes* (1)")</f>
        <v>*FC Lourdes* (1)</v>
      </c>
      <c r="H7" t="str">
        <f>IFERROR(__xludf.DUMMYFUNCTION("""COMPUTED_VALUE"""),"*11* – 3")</f>
        <v>*11* – 3</v>
      </c>
      <c r="I7" t="str">
        <f>IFERROR(__xludf.DUMMYFUNCTION("""COMPUTED_VALUE"""),"RC Toulon")</f>
        <v>RC Toulon</v>
      </c>
      <c r="J7" s="15" t="str">
        <f>IFERROR(__xludf.DUMMYFUNCTION("""COMPUTED_VALUE"""),"Stade des Ponts Jumeaux, Toulouse")</f>
        <v>Stade des Ponts Jumeaux, Toulouse</v>
      </c>
      <c r="K7">
        <f>IFERROR(__xludf.DUMMYFUNCTION("""COMPUTED_VALUE"""),29753.0)</f>
        <v>29753</v>
      </c>
    </row>
    <row r="8">
      <c r="F8" s="16">
        <f>IFERROR(__xludf.DUMMYFUNCTION("""COMPUTED_VALUE"""),18040.0)</f>
        <v>18040</v>
      </c>
      <c r="G8" s="15" t="str">
        <f>IFERROR(__xludf.DUMMYFUNCTION("""COMPUTED_VALUE"""),"*Castres olympique* (1)")</f>
        <v>*Castres olympique* (1)</v>
      </c>
      <c r="H8" t="str">
        <f>IFERROR(__xludf.DUMMYFUNCTION("""COMPUTED_VALUE"""),"*14* – 3[Note 13]")</f>
        <v>*14* – 3[Note 13]</v>
      </c>
      <c r="I8" t="str">
        <f>IFERROR(__xludf.DUMMYFUNCTION("""COMPUTED_VALUE"""),"Stade montois")</f>
        <v>Stade montois</v>
      </c>
      <c r="J8" s="15" t="str">
        <f>IFERROR(__xludf.DUMMYFUNCTION("""COMPUTED_VALUE"""),"Stade des Ponts Jumeaux, Toulouse")</f>
        <v>Stade des Ponts Jumeaux, Toulouse</v>
      </c>
      <c r="K8">
        <f>IFERROR(__xludf.DUMMYFUNCTION("""COMPUTED_VALUE"""),23000.0)</f>
        <v>23000</v>
      </c>
    </row>
    <row r="9">
      <c r="F9" s="16">
        <f>IFERROR(__xludf.DUMMYFUNCTION("""COMPUTED_VALUE"""),18369.0)</f>
        <v>18369</v>
      </c>
      <c r="G9" s="15" t="str">
        <f>IFERROR(__xludf.DUMMYFUNCTION("""COMPUTED_VALUE"""),"*Castres olympique* (2)")</f>
        <v>*Castres olympique* (2)</v>
      </c>
      <c r="H9" t="str">
        <f>IFERROR(__xludf.DUMMYFUNCTION("""COMPUTED_VALUE"""),"*11* – 8")</f>
        <v>*11* – 8</v>
      </c>
      <c r="I9" t="str">
        <f>IFERROR(__xludf.DUMMYFUNCTION("""COMPUTED_VALUE"""),"Racing club de France")</f>
        <v>Racing club de France</v>
      </c>
      <c r="J9" s="15" t="str">
        <f>IFERROR(__xludf.DUMMYFUNCTION("""COMPUTED_VALUE"""),"Stade des Ponts Jumeaux, Toulouse")</f>
        <v>Stade des Ponts Jumeaux, Toulouse</v>
      </c>
      <c r="K9">
        <f>IFERROR(__xludf.DUMMYFUNCTION("""COMPUTED_VALUE"""),25000.0)</f>
        <v>25000</v>
      </c>
    </row>
    <row r="10">
      <c r="F10" s="16">
        <f>IFERROR(__xludf.DUMMYFUNCTION("""COMPUTED_VALUE"""),18768.0)</f>
        <v>18768</v>
      </c>
      <c r="G10" s="15" t="str">
        <f>IFERROR(__xludf.DUMMYFUNCTION("""COMPUTED_VALUE"""),"*US Carmaux* (1)")</f>
        <v>*US Carmaux* (1)</v>
      </c>
      <c r="H10" t="str">
        <f>IFERROR(__xludf.DUMMYFUNCTION("""COMPUTED_VALUE"""),"*14* – 12ap")</f>
        <v>*14* – 12ap</v>
      </c>
      <c r="I10" t="str">
        <f>IFERROR(__xludf.DUMMYFUNCTION("""COMPUTED_VALUE"""),"Stadoceste tarbais")</f>
        <v>Stadoceste tarbais</v>
      </c>
      <c r="J10" s="15" t="str">
        <f>IFERROR(__xludf.DUMMYFUNCTION("""COMPUTED_VALUE"""),"Stadium municipal, Toulouse")</f>
        <v>Stadium municipal, Toulouse</v>
      </c>
      <c r="K10">
        <f>IFERROR(__xludf.DUMMYFUNCTION("""COMPUTED_VALUE"""),39450.0)</f>
        <v>39450</v>
      </c>
    </row>
    <row r="11">
      <c r="F11" s="16">
        <f>IFERROR(__xludf.DUMMYFUNCTION("""COMPUTED_VALUE"""),19118.0)</f>
        <v>19118</v>
      </c>
      <c r="G11" s="15" t="str">
        <f>IFERROR(__xludf.DUMMYFUNCTION("""COMPUTED_VALUE"""),"*FC Lourdes* (2)")</f>
        <v>*FC Lourdes* (2)</v>
      </c>
      <c r="H11" t="str">
        <f>IFERROR(__xludf.DUMMYFUNCTION("""COMPUTED_VALUE"""),"*20* – 11")</f>
        <v>*20* – 11</v>
      </c>
      <c r="I11" t="str">
        <f>IFERROR(__xludf.DUMMYFUNCTION("""COMPUTED_VALUE"""),"USA Perpignan")</f>
        <v>USA Perpignan</v>
      </c>
      <c r="J11" s="15" t="str">
        <f>IFERROR(__xludf.DUMMYFUNCTION("""COMPUTED_VALUE"""),"Stadium municipal, Toulouse")</f>
        <v>Stadium municipal, Toulouse</v>
      </c>
      <c r="K11">
        <f>IFERROR(__xludf.DUMMYFUNCTION("""COMPUTED_VALUE"""),32500.0)</f>
        <v>32500</v>
      </c>
    </row>
    <row r="12">
      <c r="F12" s="16">
        <f>IFERROR(__xludf.DUMMYFUNCTION("""COMPUTED_VALUE"""),19496.0)</f>
        <v>19496</v>
      </c>
      <c r="G12" s="15" t="str">
        <f>IFERROR(__xludf.DUMMYFUNCTION("""COMPUTED_VALUE"""),"*FC Lourdes* (3)")</f>
        <v>*FC Lourdes* (3)</v>
      </c>
      <c r="H12" t="str">
        <f>IFERROR(__xludf.DUMMYFUNCTION("""COMPUTED_VALUE"""),"*21* – 16")</f>
        <v>*21* – 16</v>
      </c>
      <c r="I12" t="str">
        <f>IFERROR(__xludf.DUMMYFUNCTION("""COMPUTED_VALUE"""),"Stade montois")</f>
        <v>Stade montois</v>
      </c>
      <c r="J12" s="15" t="str">
        <f>IFERROR(__xludf.DUMMYFUNCTION("""COMPUTED_VALUE"""),"Stadium municipal, Toulouse")</f>
        <v>Stadium municipal, Toulouse</v>
      </c>
      <c r="K12">
        <f>IFERROR(__xludf.DUMMYFUNCTION("""COMPUTED_VALUE"""),32500.0)</f>
        <v>32500</v>
      </c>
    </row>
    <row r="13">
      <c r="F13" s="16">
        <f>IFERROR(__xludf.DUMMYFUNCTION("""COMPUTED_VALUE"""),19867.0)</f>
        <v>19867</v>
      </c>
      <c r="G13" s="15" t="str">
        <f>IFERROR(__xludf.DUMMYFUNCTION("""COMPUTED_VALUE"""),"*FC Grenoble* (1)")</f>
        <v>*FC Grenoble* (1)</v>
      </c>
      <c r="H13" t="str">
        <f>IFERROR(__xludf.DUMMYFUNCTION("""COMPUTED_VALUE"""),"*5* – 3")</f>
        <v>*5* – 3</v>
      </c>
      <c r="I13" t="str">
        <f>IFERROR(__xludf.DUMMYFUNCTION("""COMPUTED_VALUE"""),"US Cognac")</f>
        <v>US Cognac</v>
      </c>
      <c r="J13" s="15" t="str">
        <f>IFERROR(__xludf.DUMMYFUNCTION("""COMPUTED_VALUE"""),"Stadium municipal, Toulouse")</f>
        <v>Stadium municipal, Toulouse</v>
      </c>
      <c r="K13">
        <f>IFERROR(__xludf.DUMMYFUNCTION("""COMPUTED_VALUE"""),34230.0)</f>
        <v>34230</v>
      </c>
    </row>
    <row r="14">
      <c r="F14" s="16">
        <f>IFERROR(__xludf.DUMMYFUNCTION("""COMPUTED_VALUE"""),20231.0)</f>
        <v>20231</v>
      </c>
      <c r="G14" s="15" t="str">
        <f>IFERROR(__xludf.DUMMYFUNCTION("""COMPUTED_VALUE"""),"*USA Perpignan* (3)")</f>
        <v>*USA Perpignan* (3)</v>
      </c>
      <c r="H14" t="str">
        <f>IFERROR(__xludf.DUMMYFUNCTION("""COMPUTED_VALUE"""),"*11* – 6")</f>
        <v>*11* – 6</v>
      </c>
      <c r="I14" t="str">
        <f>IFERROR(__xludf.DUMMYFUNCTION("""COMPUTED_VALUE"""),"FC Lourdes")</f>
        <v>FC Lourdes</v>
      </c>
      <c r="J14" s="15" t="str">
        <f>IFERROR(__xludf.DUMMYFUNCTION("""COMPUTED_VALUE"""),"Parc Lescure, Bordeaux")</f>
        <v>Parc Lescure, Bordeaux</v>
      </c>
      <c r="K14">
        <f>IFERROR(__xludf.DUMMYFUNCTION("""COMPUTED_VALUE"""),39764.0)</f>
        <v>39764</v>
      </c>
    </row>
    <row r="15">
      <c r="F15" s="16">
        <f>IFERROR(__xludf.DUMMYFUNCTION("""COMPUTED_VALUE"""),20609.0)</f>
        <v>20609</v>
      </c>
      <c r="G15" s="15" t="str">
        <f>IFERROR(__xludf.DUMMYFUNCTION("""COMPUTED_VALUE"""),"*FC Lourdes* (4)")</f>
        <v>*FC Lourdes* (4)</v>
      </c>
      <c r="H15" t="str">
        <f>IFERROR(__xludf.DUMMYFUNCTION("""COMPUTED_VALUE"""),"*20* – 0")</f>
        <v>*20* – 0</v>
      </c>
      <c r="I15" t="str">
        <f>IFERROR(__xludf.DUMMYFUNCTION("""COMPUTED_VALUE"""),"US Dax")</f>
        <v>US Dax</v>
      </c>
      <c r="J15" s="15" t="str">
        <f>IFERROR(__xludf.DUMMYFUNCTION("""COMPUTED_VALUE"""),"Stadium municipal, Toulouse")</f>
        <v>Stadium municipal, Toulouse</v>
      </c>
      <c r="K15">
        <f>IFERROR(__xludf.DUMMYFUNCTION("""COMPUTED_VALUE"""),38426.0)</f>
        <v>38426</v>
      </c>
    </row>
    <row r="16">
      <c r="F16" s="16">
        <f>IFERROR(__xludf.DUMMYFUNCTION("""COMPUTED_VALUE"""),20966.0)</f>
        <v>20966</v>
      </c>
      <c r="G16" s="15" t="str">
        <f>IFERROR(__xludf.DUMMYFUNCTION("""COMPUTED_VALUE"""),"*FC Lourdes* (5)")</f>
        <v>*FC Lourdes* (5)</v>
      </c>
      <c r="H16" t="str">
        <f>IFERROR(__xludf.DUMMYFUNCTION("""COMPUTED_VALUE"""),"*16* – 13")</f>
        <v>*16* – 13</v>
      </c>
      <c r="I16" t="str">
        <f>IFERROR(__xludf.DUMMYFUNCTION("""COMPUTED_VALUE"""),"Racing club de France")</f>
        <v>Racing club de France</v>
      </c>
      <c r="J16" s="15" t="str">
        <f>IFERROR(__xludf.DUMMYFUNCTION("""COMPUTED_VALUE"""),"Stade de Gerland, Lyon")</f>
        <v>Stade de Gerland, Lyon</v>
      </c>
      <c r="K16">
        <f>IFERROR(__xludf.DUMMYFUNCTION("""COMPUTED_VALUE"""),30000.0)</f>
        <v>30000</v>
      </c>
    </row>
    <row r="17">
      <c r="F17" s="16">
        <f>IFERROR(__xludf.DUMMYFUNCTION("""COMPUTED_VALUE"""),21323.0)</f>
        <v>21323</v>
      </c>
      <c r="G17" s="15" t="str">
        <f>IFERROR(__xludf.DUMMYFUNCTION("""COMPUTED_VALUE"""),"*FC Lourdes* (6)")</f>
        <v>*FC Lourdes* (6)</v>
      </c>
      <c r="H17" t="str">
        <f>IFERROR(__xludf.DUMMYFUNCTION("""COMPUTED_VALUE"""),"*25* – 8")</f>
        <v>*25* – 8</v>
      </c>
      <c r="I17" t="str">
        <f>IFERROR(__xludf.DUMMYFUNCTION("""COMPUTED_VALUE"""),"SC Mazamet")</f>
        <v>SC Mazamet</v>
      </c>
      <c r="J17" s="15" t="str">
        <f>IFERROR(__xludf.DUMMYFUNCTION("""COMPUTED_VALUE"""),"Stadium municipal, Toulouse")</f>
        <v>Stadium municipal, Toulouse</v>
      </c>
      <c r="K17">
        <f>IFERROR(__xludf.DUMMYFUNCTION("""COMPUTED_VALUE"""),37164.0)</f>
        <v>37164</v>
      </c>
    </row>
    <row r="18">
      <c r="F18" s="16">
        <f>IFERROR(__xludf.DUMMYFUNCTION("""COMPUTED_VALUE"""),21694.0)</f>
        <v>21694</v>
      </c>
      <c r="G18" s="15" t="str">
        <f>IFERROR(__xludf.DUMMYFUNCTION("""COMPUTED_VALUE"""),"*Racing club de France* (4)")</f>
        <v>*Racing club de France* (4)</v>
      </c>
      <c r="H18" t="str">
        <f>IFERROR(__xludf.DUMMYFUNCTION("""COMPUTED_VALUE"""),"*8* – 3")</f>
        <v>*8* – 3</v>
      </c>
      <c r="I18" t="str">
        <f>IFERROR(__xludf.DUMMYFUNCTION("""COMPUTED_VALUE"""),"Stade montois")</f>
        <v>Stade montois</v>
      </c>
      <c r="J18" s="15" t="str">
        <f>IFERROR(__xludf.DUMMYFUNCTION("""COMPUTED_VALUE"""),"Parc Lescure, Bordeaux")</f>
        <v>Parc Lescure, Bordeaux</v>
      </c>
      <c r="K18">
        <f>IFERROR(__xludf.DUMMYFUNCTION("""COMPUTED_VALUE"""),31098.0)</f>
        <v>31098</v>
      </c>
    </row>
    <row r="19">
      <c r="F19" s="16">
        <f>IFERROR(__xludf.DUMMYFUNCTION("""COMPUTED_VALUE"""),22058.0)</f>
        <v>22058</v>
      </c>
      <c r="G19" s="15" t="str">
        <f>IFERROR(__xludf.DUMMYFUNCTION("""COMPUTED_VALUE"""),"*FC Lourdes* (7)")</f>
        <v>*FC Lourdes* (7)</v>
      </c>
      <c r="H19" t="str">
        <f>IFERROR(__xludf.DUMMYFUNCTION("""COMPUTED_VALUE"""),"*14* – 11")</f>
        <v>*14* – 11</v>
      </c>
      <c r="I19" t="str">
        <f>IFERROR(__xludf.DUMMYFUNCTION("""COMPUTED_VALUE"""),"AS Béziers")</f>
        <v>AS Béziers</v>
      </c>
      <c r="J19" s="15" t="str">
        <f>IFERROR(__xludf.DUMMYFUNCTION("""COMPUTED_VALUE"""),"Stadium municipal, Toulouse")</f>
        <v>Stadium municipal, Toulouse</v>
      </c>
      <c r="K19">
        <f>IFERROR(__xludf.DUMMYFUNCTION("""COMPUTED_VALUE"""),37200.0)</f>
        <v>37200</v>
      </c>
    </row>
    <row r="20">
      <c r="F20" s="16">
        <f>IFERROR(__xludf.DUMMYFUNCTION("""COMPUTED_VALUE"""),22429.0)</f>
        <v>22429</v>
      </c>
      <c r="G20" s="15" t="str">
        <f>IFERROR(__xludf.DUMMYFUNCTION("""COMPUTED_VALUE"""),"*AS Béziers* (1)")</f>
        <v>*AS Béziers* (1)</v>
      </c>
      <c r="H20" t="str">
        <f>IFERROR(__xludf.DUMMYFUNCTION("""COMPUTED_VALUE"""),"*6* – 3")</f>
        <v>*6* – 3</v>
      </c>
      <c r="I20" t="str">
        <f>IFERROR(__xludf.DUMMYFUNCTION("""COMPUTED_VALUE"""),"US Dax")</f>
        <v>US Dax</v>
      </c>
      <c r="J20" s="15" t="str">
        <f>IFERROR(__xludf.DUMMYFUNCTION("""COMPUTED_VALUE"""),"Stade de Gerland, Lyon")</f>
        <v>Stade de Gerland, Lyon</v>
      </c>
      <c r="K20">
        <f>IFERROR(__xludf.DUMMYFUNCTION("""COMPUTED_VALUE"""),35000.0)</f>
        <v>35000</v>
      </c>
    </row>
    <row r="21">
      <c r="F21" s="16">
        <f>IFERROR(__xludf.DUMMYFUNCTION("""COMPUTED_VALUE"""),22793.0)</f>
        <v>22793</v>
      </c>
      <c r="G21" s="15" t="str">
        <f>IFERROR(__xludf.DUMMYFUNCTION("""COMPUTED_VALUE"""),"*SU Agen* (3)")</f>
        <v>*SU Agen* (3)</v>
      </c>
      <c r="H21" t="str">
        <f>IFERROR(__xludf.DUMMYFUNCTION("""COMPUTED_VALUE"""),"*14* – 11")</f>
        <v>*14* – 11</v>
      </c>
      <c r="I21" t="str">
        <f>IFERROR(__xludf.DUMMYFUNCTION("""COMPUTED_VALUE"""),"AS Béziers")</f>
        <v>AS Béziers</v>
      </c>
      <c r="J21" s="15" t="str">
        <f>IFERROR(__xludf.DUMMYFUNCTION("""COMPUTED_VALUE"""),"Stadium municipal, Toulouse")</f>
        <v>Stadium municipal, Toulouse</v>
      </c>
      <c r="K21">
        <f>IFERROR(__xludf.DUMMYFUNCTION("""COMPUTED_VALUE"""),37705.0)</f>
        <v>37705</v>
      </c>
    </row>
    <row r="22">
      <c r="F22" s="16">
        <f>IFERROR(__xludf.DUMMYFUNCTION("""COMPUTED_VALUE"""),23164.0)</f>
        <v>23164</v>
      </c>
      <c r="G22" s="15" t="str">
        <f>IFERROR(__xludf.DUMMYFUNCTION("""COMPUTED_VALUE"""),"*Stade montois* (1)")</f>
        <v>*Stade montois* (1)</v>
      </c>
      <c r="H22" t="str">
        <f>IFERROR(__xludf.DUMMYFUNCTION("""COMPUTED_VALUE"""),"*9* – 6")</f>
        <v>*9* – 6</v>
      </c>
      <c r="I22" t="str">
        <f>IFERROR(__xludf.DUMMYFUNCTION("""COMPUTED_VALUE"""),"US Dax")</f>
        <v>US Dax</v>
      </c>
      <c r="J22" s="15" t="str">
        <f>IFERROR(__xludf.DUMMYFUNCTION("""COMPUTED_VALUE"""),"Parc Lescure, Bordeaux")</f>
        <v>Parc Lescure, Bordeaux</v>
      </c>
      <c r="K22">
        <f>IFERROR(__xludf.DUMMYFUNCTION("""COMPUTED_VALUE"""),39000.0)</f>
        <v>39000</v>
      </c>
    </row>
    <row r="23">
      <c r="F23" s="16">
        <f>IFERROR(__xludf.DUMMYFUNCTION("""COMPUTED_VALUE"""),23521.0)</f>
        <v>23521</v>
      </c>
      <c r="G23" s="15" t="str">
        <f>IFERROR(__xludf.DUMMYFUNCTION("""COMPUTED_VALUE"""),"*Section paloise* (3)")</f>
        <v>*Section paloise* (3)</v>
      </c>
      <c r="H23" t="str">
        <f>IFERROR(__xludf.DUMMYFUNCTION("""COMPUTED_VALUE"""),"*14* – 0")</f>
        <v>*14* – 0</v>
      </c>
      <c r="I23" t="str">
        <f>IFERROR(__xludf.DUMMYFUNCTION("""COMPUTED_VALUE"""),"AS Béziers")</f>
        <v>AS Béziers</v>
      </c>
      <c r="J23" s="15" t="str">
        <f>IFERROR(__xludf.DUMMYFUNCTION("""COMPUTED_VALUE"""),"Stadium municipal, Toulouse")</f>
        <v>Stadium municipal, Toulouse</v>
      </c>
      <c r="K23">
        <f>IFERROR(__xludf.DUMMYFUNCTION("""COMPUTED_VALUE"""),27797.0)</f>
        <v>27797</v>
      </c>
    </row>
    <row r="24">
      <c r="F24" s="16">
        <f>IFERROR(__xludf.DUMMYFUNCTION("""COMPUTED_VALUE"""),23885.0)</f>
        <v>23885</v>
      </c>
      <c r="G24" s="15" t="str">
        <f>IFERROR(__xludf.DUMMYFUNCTION("""COMPUTED_VALUE"""),"*SU Agen* (4)")</f>
        <v>*SU Agen* (4)</v>
      </c>
      <c r="H24" t="str">
        <f>IFERROR(__xludf.DUMMYFUNCTION("""COMPUTED_VALUE"""),"*15* – 8")</f>
        <v>*15* – 8</v>
      </c>
      <c r="I24" t="str">
        <f>IFERROR(__xludf.DUMMYFUNCTION("""COMPUTED_VALUE"""),"CA Brive")</f>
        <v>CA Brive</v>
      </c>
      <c r="J24" s="15" t="str">
        <f>IFERROR(__xludf.DUMMYFUNCTION("""COMPUTED_VALUE"""),"Stade de Gerland, Lyon")</f>
        <v>Stade de Gerland, Lyon</v>
      </c>
      <c r="K24">
        <f>IFERROR(__xludf.DUMMYFUNCTION("""COMPUTED_VALUE"""),28758.0)</f>
        <v>28758</v>
      </c>
    </row>
    <row r="25">
      <c r="F25" s="16">
        <f>IFERROR(__xludf.DUMMYFUNCTION("""COMPUTED_VALUE"""),24249.0)</f>
        <v>24249</v>
      </c>
      <c r="G25" s="15" t="str">
        <f>IFERROR(__xludf.DUMMYFUNCTION("""COMPUTED_VALUE"""),"*SU Agen* (5)")</f>
        <v>*SU Agen* (5)</v>
      </c>
      <c r="H25" t="str">
        <f>IFERROR(__xludf.DUMMYFUNCTION("""COMPUTED_VALUE"""),"*9*- – 8")</f>
        <v>*9*- – 8</v>
      </c>
      <c r="I25" t="str">
        <f>IFERROR(__xludf.DUMMYFUNCTION("""COMPUTED_VALUE"""),"US Dax")</f>
        <v>US Dax</v>
      </c>
      <c r="J25" s="15" t="str">
        <f>IFERROR(__xludf.DUMMYFUNCTION("""COMPUTED_VALUE"""),"Stadium municipal, Toulouse")</f>
        <v>Stadium municipal, Toulouse</v>
      </c>
      <c r="K25">
        <f>IFERROR(__xludf.DUMMYFUNCTION("""COMPUTED_VALUE"""),28803.0)</f>
        <v>28803</v>
      </c>
    </row>
    <row r="26">
      <c r="F26" s="16">
        <f>IFERROR(__xludf.DUMMYFUNCTION("""COMPUTED_VALUE"""),24620.0)</f>
        <v>24620</v>
      </c>
      <c r="G26" s="15" t="str">
        <f>IFERROR(__xludf.DUMMYFUNCTION("""COMPUTED_VALUE"""),"*US Montauban* (1)")</f>
        <v>*US Montauban* (1)</v>
      </c>
      <c r="H26" t="str">
        <f>IFERROR(__xludf.DUMMYFUNCTION("""COMPUTED_VALUE"""),"*11* – -3")</f>
        <v>*11* – -3</v>
      </c>
      <c r="I26" t="str">
        <f>IFERROR(__xludf.DUMMYFUNCTION("""COMPUTED_VALUE"""),"CA Bègles")</f>
        <v>CA Bègles</v>
      </c>
      <c r="J26" s="15" t="str">
        <f>IFERROR(__xludf.DUMMYFUNCTION("""COMPUTED_VALUE"""),"Parc Lescure, Bordeaux")</f>
        <v>Parc Lescure, Bordeaux</v>
      </c>
      <c r="K26">
        <f>IFERROR(__xludf.DUMMYFUNCTION("""COMPUTED_VALUE"""),32115.0)</f>
        <v>32115</v>
      </c>
    </row>
    <row r="27">
      <c r="F27" s="16">
        <f>IFERROR(__xludf.DUMMYFUNCTION("""COMPUTED_VALUE"""),25005.0)</f>
        <v>25005</v>
      </c>
      <c r="G27" s="15" t="str">
        <f>IFERROR(__xludf.DUMMYFUNCTION("""COMPUTED_VALUE"""),"*FC Lourdes* (8)")</f>
        <v>*FC Lourdes* (8)</v>
      </c>
      <c r="H27" t="str">
        <f>IFERROR(__xludf.DUMMYFUNCTION("""COMPUTED_VALUE"""),"*9* – 9[Note 14]ap")</f>
        <v>*9* – 9[Note 14]ap</v>
      </c>
      <c r="I27" t="str">
        <f>IFERROR(__xludf.DUMMYFUNCTION("""COMPUTED_VALUE"""),"RC Toulon")</f>
        <v>RC Toulon</v>
      </c>
      <c r="J27" s="15" t="str">
        <f>IFERROR(__xludf.DUMMYFUNCTION("""COMPUTED_VALUE"""),"Stadium municipal, Toulouse")</f>
        <v>Stadium municipal, Toulouse</v>
      </c>
      <c r="K27">
        <f>IFERROR(__xludf.DUMMYFUNCTION("""COMPUTED_VALUE"""),28526.0)</f>
        <v>28526</v>
      </c>
    </row>
    <row r="28">
      <c r="F28" s="16">
        <f>IFERROR(__xludf.DUMMYFUNCTION("""COMPUTED_VALUE"""),25341.0)</f>
        <v>25341</v>
      </c>
      <c r="G28" s="15" t="str">
        <f>IFERROR(__xludf.DUMMYFUNCTION("""COMPUTED_VALUE"""),"*CA Bègles* (1)")</f>
        <v>*CA Bègles* (1)</v>
      </c>
      <c r="H28" t="str">
        <f>IFERROR(__xludf.DUMMYFUNCTION("""COMPUTED_VALUE"""),"*11* – 9")</f>
        <v>*11* – 9</v>
      </c>
      <c r="I28" t="str">
        <f>IFERROR(__xludf.DUMMYFUNCTION("""COMPUTED_VALUE"""),"Stade toulousain")</f>
        <v>Stade toulousain</v>
      </c>
      <c r="J28" s="15" t="str">
        <f>IFERROR(__xludf.DUMMYFUNCTION("""COMPUTED_VALUE"""),"Stade de Gerland, Lyon")</f>
        <v>Stade de Gerland, Lyon</v>
      </c>
      <c r="K28">
        <f>IFERROR(__xludf.DUMMYFUNCTION("""COMPUTED_VALUE"""),22191.0)</f>
        <v>22191</v>
      </c>
    </row>
    <row r="29">
      <c r="F29" s="16">
        <f>IFERROR(__xludf.DUMMYFUNCTION("""COMPUTED_VALUE"""),25705.0)</f>
        <v>25705</v>
      </c>
      <c r="G29" s="15" t="str">
        <f>IFERROR(__xludf.DUMMYFUNCTION("""COMPUTED_VALUE"""),"*La Voulte sportif* (1)")</f>
        <v>*La Voulte sportif* (1)</v>
      </c>
      <c r="H29" t="str">
        <f>IFERROR(__xludf.DUMMYFUNCTION("""COMPUTED_VALUE"""),"*3* – 0")</f>
        <v>*3* – 0</v>
      </c>
      <c r="I29" t="str">
        <f>IFERROR(__xludf.DUMMYFUNCTION("""COMPUTED_VALUE"""),"AS Montferrand")</f>
        <v>AS Montferrand</v>
      </c>
      <c r="J29" s="15" t="str">
        <f>IFERROR(__xludf.DUMMYFUNCTION("""COMPUTED_VALUE"""),"Stadium municipal, Toulouse")</f>
        <v>Stadium municipal, Toulouse</v>
      </c>
      <c r="K29">
        <f>IFERROR(__xludf.DUMMYFUNCTION("""COMPUTED_VALUE"""),35000.0)</f>
        <v>35000</v>
      </c>
    </row>
    <row r="30">
      <c r="G30" s="15"/>
      <c r="J30" s="15"/>
    </row>
    <row r="31">
      <c r="G31" s="15"/>
      <c r="J31" s="15"/>
    </row>
    <row r="32">
      <c r="G32" s="15"/>
      <c r="J32" s="15"/>
    </row>
    <row r="33">
      <c r="G33" s="15"/>
      <c r="J33" s="15"/>
    </row>
    <row r="34">
      <c r="G34" s="15"/>
      <c r="J34" s="15"/>
    </row>
    <row r="35">
      <c r="G35" s="15"/>
      <c r="J35" s="15"/>
    </row>
    <row r="36">
      <c r="G36" s="15"/>
      <c r="J36" s="15"/>
    </row>
    <row r="37">
      <c r="G37" s="15"/>
      <c r="J37" s="15"/>
    </row>
    <row r="38">
      <c r="G38" s="15"/>
      <c r="J38" s="15"/>
    </row>
    <row r="39">
      <c r="G39" s="15"/>
      <c r="J39" s="15"/>
    </row>
    <row r="40">
      <c r="G40" s="15"/>
      <c r="J40" s="15"/>
    </row>
    <row r="41">
      <c r="G41" s="15"/>
      <c r="J41" s="15"/>
    </row>
    <row r="42">
      <c r="G42" s="15"/>
      <c r="J42" s="15"/>
    </row>
    <row r="43">
      <c r="G43" s="15"/>
      <c r="J43" s="15"/>
    </row>
    <row r="44">
      <c r="G44" s="15"/>
      <c r="J44" s="15"/>
    </row>
    <row r="45">
      <c r="G45" s="15"/>
      <c r="J45" s="15"/>
    </row>
    <row r="46">
      <c r="G46" s="15"/>
      <c r="J46" s="15"/>
    </row>
    <row r="47">
      <c r="G47" s="15"/>
      <c r="J47" s="15"/>
    </row>
    <row r="48">
      <c r="G48" s="15"/>
      <c r="J48" s="15"/>
    </row>
    <row r="49">
      <c r="G49" s="15"/>
      <c r="J49" s="15"/>
    </row>
    <row r="50">
      <c r="G50" s="15"/>
      <c r="J50" s="15"/>
    </row>
    <row r="51">
      <c r="G51" s="15"/>
      <c r="J51" s="15"/>
    </row>
    <row r="52">
      <c r="G52" s="15"/>
      <c r="J52" s="15"/>
    </row>
    <row r="53">
      <c r="G53" s="15"/>
      <c r="J53" s="15"/>
    </row>
    <row r="54">
      <c r="G54" s="15"/>
      <c r="J54" s="15"/>
    </row>
    <row r="55">
      <c r="G55" s="15"/>
      <c r="J55" s="15"/>
    </row>
    <row r="56">
      <c r="G56" s="15"/>
      <c r="J56" s="15"/>
    </row>
    <row r="57">
      <c r="G57" s="15"/>
      <c r="J57" s="15"/>
    </row>
    <row r="58">
      <c r="G58" s="15"/>
      <c r="J58" s="15"/>
    </row>
    <row r="59">
      <c r="G59" s="15"/>
      <c r="J59" s="15"/>
    </row>
    <row r="60">
      <c r="G60" s="15"/>
      <c r="J60" s="15"/>
    </row>
    <row r="61">
      <c r="G61" s="15"/>
      <c r="J61" s="15"/>
    </row>
    <row r="62">
      <c r="G62" s="15"/>
      <c r="J62" s="15"/>
    </row>
    <row r="63">
      <c r="G63" s="15"/>
      <c r="J63" s="15"/>
    </row>
    <row r="64">
      <c r="G64" s="15"/>
      <c r="J64" s="15"/>
    </row>
    <row r="65">
      <c r="G65" s="15"/>
      <c r="J65" s="15"/>
    </row>
    <row r="66">
      <c r="G66" s="15"/>
      <c r="J66" s="15"/>
    </row>
    <row r="67">
      <c r="G67" s="15"/>
      <c r="J67" s="15"/>
    </row>
    <row r="68">
      <c r="G68" s="15"/>
      <c r="J68" s="15"/>
    </row>
    <row r="69">
      <c r="G69" s="15"/>
      <c r="J69" s="15"/>
    </row>
    <row r="70">
      <c r="G70" s="15"/>
      <c r="J70" s="15"/>
    </row>
    <row r="71">
      <c r="G71" s="15"/>
      <c r="J71" s="15"/>
    </row>
    <row r="72">
      <c r="G72" s="15"/>
      <c r="J72" s="15"/>
    </row>
    <row r="73">
      <c r="G73" s="15"/>
      <c r="J73" s="15"/>
    </row>
    <row r="74">
      <c r="G74" s="15"/>
      <c r="J74" s="15"/>
    </row>
    <row r="75">
      <c r="G75" s="15"/>
      <c r="J75" s="15"/>
    </row>
    <row r="76">
      <c r="G76" s="15"/>
      <c r="J76" s="15"/>
    </row>
    <row r="77">
      <c r="G77" s="15"/>
      <c r="J77" s="15"/>
    </row>
    <row r="78">
      <c r="G78" s="15"/>
      <c r="J78" s="15"/>
    </row>
    <row r="79">
      <c r="G79" s="15"/>
      <c r="J79" s="15"/>
    </row>
    <row r="80">
      <c r="G80" s="15"/>
      <c r="J80" s="15"/>
    </row>
    <row r="81">
      <c r="G81" s="15"/>
      <c r="J81" s="15"/>
    </row>
    <row r="82">
      <c r="G82" s="15"/>
      <c r="J82" s="15"/>
    </row>
    <row r="83">
      <c r="G83" s="15"/>
      <c r="J83" s="15"/>
    </row>
    <row r="84">
      <c r="G84" s="15"/>
      <c r="J84" s="15"/>
    </row>
    <row r="85">
      <c r="G85" s="15"/>
      <c r="J85" s="15"/>
    </row>
    <row r="86">
      <c r="G86" s="15"/>
      <c r="J86" s="15"/>
    </row>
    <row r="87">
      <c r="G87" s="15"/>
      <c r="J87" s="15"/>
    </row>
    <row r="88">
      <c r="G88" s="15"/>
      <c r="J88" s="15"/>
    </row>
    <row r="89">
      <c r="G89" s="15"/>
      <c r="J89" s="15"/>
    </row>
    <row r="90">
      <c r="G90" s="15"/>
      <c r="J90" s="15"/>
    </row>
    <row r="91">
      <c r="G91" s="15"/>
      <c r="J91" s="15"/>
    </row>
    <row r="92">
      <c r="G92" s="15"/>
      <c r="J92" s="15"/>
    </row>
    <row r="93">
      <c r="G93" s="15"/>
      <c r="J93" s="15"/>
    </row>
    <row r="94">
      <c r="G94" s="15"/>
      <c r="J94" s="15"/>
    </row>
    <row r="95">
      <c r="G95" s="15"/>
      <c r="J95" s="15"/>
    </row>
    <row r="96">
      <c r="G96" s="15"/>
      <c r="J96" s="15"/>
    </row>
    <row r="97">
      <c r="G97" s="15"/>
      <c r="J97" s="15"/>
    </row>
    <row r="98">
      <c r="G98" s="15"/>
      <c r="J98" s="15"/>
    </row>
    <row r="99">
      <c r="G99" s="15"/>
      <c r="J99" s="15"/>
    </row>
    <row r="100">
      <c r="G100" s="15"/>
      <c r="J100" s="15"/>
    </row>
    <row r="101">
      <c r="G101" s="15"/>
      <c r="J101" s="15"/>
    </row>
    <row r="102">
      <c r="G102" s="15"/>
      <c r="J102" s="15"/>
    </row>
    <row r="103">
      <c r="G103" s="15"/>
      <c r="J103" s="15"/>
    </row>
    <row r="104">
      <c r="G104" s="15"/>
      <c r="J104" s="15"/>
    </row>
    <row r="105">
      <c r="G105" s="15"/>
      <c r="J105" s="15"/>
    </row>
    <row r="106">
      <c r="G106" s="15"/>
      <c r="J106" s="15"/>
    </row>
    <row r="107">
      <c r="G107" s="15"/>
      <c r="J107" s="15"/>
    </row>
    <row r="108">
      <c r="G108" s="15"/>
      <c r="J108" s="15"/>
    </row>
    <row r="109">
      <c r="G109" s="15"/>
      <c r="J109" s="15"/>
    </row>
    <row r="110">
      <c r="G110" s="15"/>
      <c r="J110" s="15"/>
    </row>
    <row r="111">
      <c r="G111" s="15"/>
      <c r="J111" s="15"/>
    </row>
    <row r="112">
      <c r="G112" s="15"/>
      <c r="J112" s="15"/>
    </row>
    <row r="113">
      <c r="G113" s="15"/>
      <c r="J113" s="15"/>
    </row>
    <row r="114">
      <c r="G114" s="15"/>
      <c r="J114" s="15"/>
    </row>
    <row r="115">
      <c r="G115" s="15"/>
      <c r="J115" s="15"/>
    </row>
    <row r="116">
      <c r="G116" s="15"/>
      <c r="J116" s="15"/>
    </row>
    <row r="117">
      <c r="G117" s="15"/>
      <c r="J117" s="15"/>
    </row>
    <row r="118">
      <c r="G118" s="15"/>
      <c r="J118" s="15"/>
    </row>
    <row r="119">
      <c r="G119" s="15"/>
      <c r="J119" s="15"/>
    </row>
    <row r="120">
      <c r="G120" s="15"/>
      <c r="J120" s="15"/>
    </row>
    <row r="121">
      <c r="G121" s="15"/>
      <c r="J121" s="15"/>
    </row>
    <row r="122">
      <c r="G122" s="15"/>
      <c r="J122" s="15"/>
    </row>
    <row r="123">
      <c r="G123" s="15"/>
      <c r="J123" s="15"/>
    </row>
    <row r="124">
      <c r="A124" t="str">
        <f>IFERROR(__xludf.DUMMYFUNCTION("IMPORTHTML(""https://fr.wikipedia.org/wiki/Liste_des_villes_les_plus_peuplées_des_États-Unis"",""table"",2)"),"Rang")</f>
        <v>Rang</v>
      </c>
      <c r="B124" t="str">
        <f>IFERROR(__xludf.DUMMYFUNCTION("""COMPUTED_VALUE"""),"CDP")</f>
        <v>CDP</v>
      </c>
      <c r="C124" t="str">
        <f>IFERROR(__xludf.DUMMYFUNCTION("""COMPUTED_VALUE"""),"État")</f>
        <v>État</v>
      </c>
      <c r="D124" t="str">
        <f>IFERROR(__xludf.DUMMYFUNCTION("""COMPUTED_VALUE"""),"Population (recensement de 2020)")</f>
        <v>Population (recensement de 2020)</v>
      </c>
      <c r="G124" s="15"/>
      <c r="J124" s="15"/>
    </row>
    <row r="125">
      <c r="A125">
        <f>IFERROR(__xludf.DUMMYFUNCTION("""COMPUTED_VALUE"""),1.0)</f>
        <v>1</v>
      </c>
      <c r="B125" t="str">
        <f>IFERROR(__xludf.DUMMYFUNCTION("""COMPUTED_VALUE"""),"Arlington")</f>
        <v>Arlington</v>
      </c>
      <c r="C125" t="str">
        <f>IFERROR(__xludf.DUMMYFUNCTION("""COMPUTED_VALUE"""),"Virginie")</f>
        <v>Virginie</v>
      </c>
      <c r="D125">
        <f>IFERROR(__xludf.DUMMYFUNCTION("""COMPUTED_VALUE"""),238643.0)</f>
        <v>238643</v>
      </c>
      <c r="G125" s="15"/>
      <c r="J125" s="15"/>
    </row>
    <row r="126">
      <c r="A126">
        <f>IFERROR(__xludf.DUMMYFUNCTION("""COMPUTED_VALUE"""),2.0)</f>
        <v>2</v>
      </c>
      <c r="B126" t="str">
        <f>IFERROR(__xludf.DUMMYFUNCTION("""COMPUTED_VALUE"""),"Enterprise")</f>
        <v>Enterprise</v>
      </c>
      <c r="C126" t="str">
        <f>IFERROR(__xludf.DUMMYFUNCTION("""COMPUTED_VALUE"""),"Nevada")</f>
        <v>Nevada</v>
      </c>
      <c r="D126">
        <f>IFERROR(__xludf.DUMMYFUNCTION("""COMPUTED_VALUE"""),221831.0)</f>
        <v>221831</v>
      </c>
      <c r="G126" s="15"/>
      <c r="J126" s="15"/>
    </row>
    <row r="127">
      <c r="A127">
        <f>IFERROR(__xludf.DUMMYFUNCTION("""COMPUTED_VALUE"""),3.0)</f>
        <v>3</v>
      </c>
      <c r="B127" t="str">
        <f>IFERROR(__xludf.DUMMYFUNCTION("""COMPUTED_VALUE"""),"Spring Valley")</f>
        <v>Spring Valley</v>
      </c>
      <c r="C127" t="str">
        <f>IFERROR(__xludf.DUMMYFUNCTION("""COMPUTED_VALUE"""),"Nevada")</f>
        <v>Nevada</v>
      </c>
      <c r="D127">
        <f>IFERROR(__xludf.DUMMYFUNCTION("""COMPUTED_VALUE"""),215597.0)</f>
        <v>215597</v>
      </c>
      <c r="G127" s="15"/>
      <c r="J127" s="15"/>
    </row>
    <row r="128">
      <c r="A128">
        <f>IFERROR(__xludf.DUMMYFUNCTION("""COMPUTED_VALUE"""),4.0)</f>
        <v>4</v>
      </c>
      <c r="B128" t="str">
        <f>IFERROR(__xludf.DUMMYFUNCTION("""COMPUTED_VALUE"""),"Sunrise Manor")</f>
        <v>Sunrise Manor</v>
      </c>
      <c r="C128" t="str">
        <f>IFERROR(__xludf.DUMMYFUNCTION("""COMPUTED_VALUE"""),"Nevada")</f>
        <v>Nevada</v>
      </c>
      <c r="D128">
        <f>IFERROR(__xludf.DUMMYFUNCTION("""COMPUTED_VALUE"""),205618.0)</f>
        <v>205618</v>
      </c>
      <c r="G128" s="15"/>
      <c r="J128" s="15"/>
    </row>
    <row r="129">
      <c r="G129" s="15"/>
      <c r="J129" s="15"/>
    </row>
    <row r="130">
      <c r="G130" s="15"/>
      <c r="J130" s="15"/>
    </row>
    <row r="131">
      <c r="G131" s="15"/>
      <c r="J131" s="15"/>
    </row>
    <row r="132">
      <c r="G132" s="15"/>
      <c r="J132" s="15"/>
    </row>
    <row r="133">
      <c r="G133" s="15"/>
      <c r="J133" s="15"/>
    </row>
    <row r="134">
      <c r="G134" s="15"/>
      <c r="J134" s="15"/>
    </row>
    <row r="135">
      <c r="G135" s="15"/>
      <c r="J135" s="15"/>
    </row>
    <row r="136">
      <c r="G136" s="15"/>
      <c r="J136" s="15"/>
    </row>
    <row r="137">
      <c r="G137" s="15"/>
      <c r="J137" s="15"/>
    </row>
    <row r="138">
      <c r="G138" s="15"/>
      <c r="J138" s="15"/>
    </row>
    <row r="139">
      <c r="G139" s="15"/>
      <c r="J139" s="15"/>
    </row>
    <row r="140">
      <c r="G140" s="15"/>
      <c r="J140" s="15"/>
    </row>
    <row r="141">
      <c r="G141" s="15"/>
      <c r="J141" s="15"/>
    </row>
    <row r="142">
      <c r="G142" s="15"/>
      <c r="J142" s="15"/>
    </row>
    <row r="143">
      <c r="G143" s="15"/>
      <c r="J143" s="15"/>
    </row>
    <row r="144">
      <c r="G144" s="15"/>
      <c r="J144" s="15"/>
    </row>
    <row r="145">
      <c r="G145" s="15"/>
      <c r="J145" s="15"/>
    </row>
    <row r="146">
      <c r="G146" s="15"/>
      <c r="J146" s="15"/>
    </row>
    <row r="147">
      <c r="G147" s="15"/>
      <c r="J147" s="15"/>
    </row>
    <row r="148">
      <c r="G148" s="15"/>
      <c r="J148" s="15"/>
    </row>
    <row r="149">
      <c r="G149" s="15"/>
      <c r="J149" s="15"/>
    </row>
    <row r="150">
      <c r="G150" s="15"/>
      <c r="J150" s="15"/>
    </row>
    <row r="151">
      <c r="G151" s="15"/>
      <c r="J151" s="15"/>
    </row>
    <row r="152">
      <c r="G152" s="15"/>
      <c r="J152" s="15"/>
    </row>
    <row r="153">
      <c r="G153" s="15"/>
      <c r="J153" s="15"/>
    </row>
    <row r="154">
      <c r="G154" s="15"/>
      <c r="J154" s="15"/>
    </row>
    <row r="155">
      <c r="G155" s="15"/>
      <c r="J155" s="15"/>
    </row>
    <row r="156">
      <c r="G156" s="15"/>
      <c r="J156" s="15"/>
    </row>
    <row r="157">
      <c r="G157" s="15"/>
      <c r="J157" s="15"/>
    </row>
    <row r="158">
      <c r="G158" s="15"/>
      <c r="J158" s="15"/>
    </row>
    <row r="159">
      <c r="G159" s="15"/>
      <c r="J159" s="15"/>
    </row>
    <row r="160">
      <c r="G160" s="15"/>
      <c r="J160" s="15"/>
    </row>
    <row r="161">
      <c r="G161" s="15"/>
      <c r="J161" s="15"/>
    </row>
    <row r="162">
      <c r="G162" s="15"/>
      <c r="J162" s="15"/>
    </row>
    <row r="163">
      <c r="G163" s="15"/>
      <c r="J163" s="15"/>
    </row>
    <row r="164">
      <c r="G164" s="15"/>
      <c r="J164" s="15"/>
    </row>
    <row r="165">
      <c r="G165" s="15"/>
      <c r="J165" s="15"/>
    </row>
    <row r="166">
      <c r="G166" s="15"/>
      <c r="J166" s="15"/>
    </row>
    <row r="167">
      <c r="G167" s="15"/>
      <c r="J167" s="15"/>
    </row>
    <row r="168">
      <c r="G168" s="15"/>
      <c r="J168" s="15"/>
    </row>
    <row r="169">
      <c r="G169" s="15"/>
      <c r="J169" s="15"/>
    </row>
    <row r="170">
      <c r="G170" s="15"/>
      <c r="J170" s="15"/>
    </row>
    <row r="171">
      <c r="G171" s="15"/>
      <c r="J171" s="15"/>
    </row>
    <row r="172">
      <c r="G172" s="15"/>
      <c r="J172" s="15"/>
    </row>
    <row r="173">
      <c r="G173" s="15"/>
      <c r="J173" s="15"/>
    </row>
    <row r="174">
      <c r="G174" s="15"/>
      <c r="J174" s="15"/>
    </row>
    <row r="175">
      <c r="G175" s="15"/>
      <c r="J175" s="15"/>
    </row>
    <row r="176">
      <c r="G176" s="15"/>
      <c r="J176" s="15"/>
    </row>
    <row r="177">
      <c r="G177" s="15"/>
      <c r="J177" s="15"/>
    </row>
    <row r="178">
      <c r="G178" s="15"/>
      <c r="J178" s="15"/>
    </row>
    <row r="179">
      <c r="G179" s="15"/>
      <c r="J179" s="15"/>
    </row>
    <row r="180">
      <c r="G180" s="15"/>
      <c r="J180" s="15"/>
    </row>
    <row r="181">
      <c r="G181" s="15"/>
      <c r="J181" s="15"/>
    </row>
    <row r="182">
      <c r="G182" s="15"/>
      <c r="J182" s="15"/>
    </row>
    <row r="183">
      <c r="G183" s="15"/>
      <c r="J183" s="15"/>
    </row>
    <row r="184">
      <c r="G184" s="15"/>
      <c r="J184" s="15"/>
    </row>
    <row r="185">
      <c r="G185" s="15"/>
      <c r="J185" s="15"/>
    </row>
    <row r="186">
      <c r="G186" s="15"/>
      <c r="J186" s="15"/>
    </row>
    <row r="187">
      <c r="G187" s="15"/>
      <c r="J187" s="15"/>
    </row>
    <row r="188">
      <c r="G188" s="15"/>
      <c r="J188" s="15"/>
    </row>
    <row r="189">
      <c r="G189" s="15"/>
      <c r="J189" s="15"/>
    </row>
    <row r="190">
      <c r="G190" s="15"/>
      <c r="J190" s="15"/>
    </row>
    <row r="191">
      <c r="G191" s="15"/>
      <c r="J191" s="15"/>
    </row>
    <row r="192">
      <c r="G192" s="15"/>
      <c r="J192" s="15"/>
    </row>
    <row r="193">
      <c r="G193" s="15"/>
      <c r="J193" s="15"/>
    </row>
    <row r="194">
      <c r="G194" s="15"/>
      <c r="J194" s="15"/>
    </row>
    <row r="195">
      <c r="G195" s="15"/>
      <c r="J195" s="15"/>
    </row>
    <row r="196">
      <c r="G196" s="15"/>
      <c r="J196" s="15"/>
    </row>
    <row r="197">
      <c r="G197" s="15"/>
      <c r="J197" s="15"/>
    </row>
    <row r="198">
      <c r="G198" s="15"/>
      <c r="J198" s="15"/>
    </row>
    <row r="199">
      <c r="G199" s="15"/>
      <c r="J199" s="15"/>
    </row>
    <row r="200">
      <c r="G200" s="15"/>
      <c r="J200" s="15"/>
    </row>
    <row r="201">
      <c r="G201" s="15"/>
      <c r="J201" s="15"/>
    </row>
    <row r="202">
      <c r="G202" s="15"/>
      <c r="J202" s="15"/>
    </row>
    <row r="203">
      <c r="G203" s="15"/>
      <c r="J203" s="15"/>
    </row>
    <row r="204">
      <c r="G204" s="15"/>
      <c r="J204" s="15"/>
    </row>
    <row r="205">
      <c r="G205" s="15"/>
      <c r="J205" s="15"/>
    </row>
    <row r="206">
      <c r="G206" s="15"/>
      <c r="J206" s="15"/>
    </row>
    <row r="207">
      <c r="G207" s="15"/>
      <c r="J207" s="15"/>
    </row>
    <row r="208">
      <c r="G208" s="15"/>
      <c r="J208" s="15"/>
    </row>
    <row r="209">
      <c r="G209" s="15"/>
      <c r="J209" s="15"/>
    </row>
    <row r="210">
      <c r="G210" s="15"/>
      <c r="J210" s="15"/>
    </row>
    <row r="211">
      <c r="G211" s="15"/>
      <c r="J211" s="15"/>
    </row>
    <row r="212">
      <c r="G212" s="15"/>
      <c r="J212" s="15"/>
    </row>
    <row r="213">
      <c r="G213" s="15"/>
      <c r="J213" s="15"/>
    </row>
    <row r="214">
      <c r="G214" s="15"/>
      <c r="J214" s="15"/>
    </row>
    <row r="215">
      <c r="G215" s="15"/>
      <c r="J215" s="15"/>
    </row>
    <row r="216">
      <c r="G216" s="15"/>
      <c r="J216" s="15"/>
    </row>
    <row r="217">
      <c r="G217" s="15"/>
      <c r="J217" s="15"/>
    </row>
    <row r="218">
      <c r="G218" s="15"/>
      <c r="J218" s="15"/>
    </row>
    <row r="219">
      <c r="G219" s="15"/>
      <c r="J219" s="15"/>
    </row>
    <row r="220">
      <c r="G220" s="15"/>
      <c r="J220" s="15"/>
    </row>
    <row r="221">
      <c r="G221" s="15"/>
      <c r="J221" s="15"/>
    </row>
    <row r="222">
      <c r="G222" s="15"/>
      <c r="J222" s="15"/>
    </row>
    <row r="223">
      <c r="G223" s="15"/>
      <c r="J223" s="15"/>
    </row>
    <row r="224">
      <c r="G224" s="15"/>
      <c r="J224" s="15"/>
    </row>
    <row r="225">
      <c r="G225" s="15"/>
      <c r="J225" s="15"/>
    </row>
    <row r="226">
      <c r="G226" s="15"/>
      <c r="J226" s="15"/>
    </row>
    <row r="227">
      <c r="G227" s="15"/>
      <c r="J227" s="15"/>
    </row>
    <row r="228">
      <c r="G228" s="15"/>
      <c r="J228" s="15"/>
    </row>
    <row r="229">
      <c r="G229" s="15"/>
      <c r="J229" s="15"/>
    </row>
    <row r="230">
      <c r="G230" s="15"/>
      <c r="J230" s="15"/>
    </row>
    <row r="231">
      <c r="G231" s="15"/>
      <c r="J231" s="15"/>
    </row>
    <row r="232">
      <c r="G232" s="15"/>
      <c r="J232" s="15"/>
    </row>
    <row r="233">
      <c r="G233" s="15"/>
      <c r="J233" s="15"/>
    </row>
    <row r="234">
      <c r="G234" s="15"/>
      <c r="J234" s="15"/>
    </row>
    <row r="235">
      <c r="G235" s="15"/>
      <c r="J235" s="15"/>
    </row>
    <row r="236">
      <c r="G236" s="15"/>
      <c r="J236" s="15"/>
    </row>
    <row r="237">
      <c r="G237" s="15"/>
      <c r="J237" s="15"/>
    </row>
    <row r="238">
      <c r="G238" s="15"/>
      <c r="J238" s="15"/>
    </row>
    <row r="239">
      <c r="G239" s="15"/>
      <c r="J239" s="15"/>
    </row>
    <row r="240">
      <c r="G240" s="15"/>
      <c r="J240" s="15"/>
    </row>
    <row r="241">
      <c r="G241" s="15"/>
      <c r="J241" s="15"/>
    </row>
    <row r="242">
      <c r="G242" s="15"/>
      <c r="J242" s="15"/>
    </row>
    <row r="243">
      <c r="G243" s="15"/>
      <c r="J243" s="15"/>
    </row>
    <row r="244">
      <c r="G244" s="15"/>
      <c r="J244" s="15"/>
    </row>
    <row r="245">
      <c r="G245" s="15"/>
      <c r="J245" s="15"/>
    </row>
    <row r="246">
      <c r="G246" s="15"/>
      <c r="J246" s="15"/>
    </row>
    <row r="247">
      <c r="G247" s="15"/>
      <c r="J247" s="15"/>
    </row>
    <row r="248">
      <c r="G248" s="15"/>
      <c r="J248" s="15"/>
    </row>
    <row r="249">
      <c r="G249" s="15"/>
      <c r="J249" s="15"/>
    </row>
    <row r="250">
      <c r="G250" s="15"/>
      <c r="J250" s="15"/>
    </row>
    <row r="251">
      <c r="G251" s="15"/>
      <c r="J251" s="15"/>
    </row>
    <row r="252">
      <c r="G252" s="15"/>
      <c r="J252" s="15"/>
    </row>
    <row r="253">
      <c r="G253" s="15"/>
      <c r="J253" s="15"/>
    </row>
    <row r="254">
      <c r="G254" s="15"/>
      <c r="J254" s="15"/>
    </row>
    <row r="255">
      <c r="G255" s="15"/>
      <c r="J255" s="15"/>
    </row>
    <row r="256">
      <c r="G256" s="15"/>
      <c r="J256" s="15"/>
    </row>
    <row r="257">
      <c r="G257" s="15"/>
      <c r="J257" s="15"/>
    </row>
    <row r="258">
      <c r="G258" s="15"/>
      <c r="J258" s="15"/>
    </row>
    <row r="259">
      <c r="G259" s="15"/>
      <c r="J259" s="15"/>
    </row>
    <row r="260">
      <c r="G260" s="15"/>
      <c r="J260" s="15"/>
    </row>
    <row r="261">
      <c r="G261" s="15"/>
      <c r="J261" s="15"/>
    </row>
    <row r="262">
      <c r="G262" s="15"/>
      <c r="J262" s="15"/>
    </row>
    <row r="263">
      <c r="G263" s="15"/>
      <c r="J263" s="15"/>
    </row>
    <row r="264">
      <c r="G264" s="15"/>
      <c r="J264" s="15"/>
    </row>
    <row r="265">
      <c r="G265" s="15"/>
      <c r="J265" s="15"/>
    </row>
    <row r="266">
      <c r="G266" s="15"/>
      <c r="J266" s="15"/>
    </row>
    <row r="267">
      <c r="G267" s="15"/>
      <c r="J267" s="15"/>
    </row>
    <row r="268">
      <c r="G268" s="15"/>
      <c r="J268" s="15"/>
    </row>
    <row r="269">
      <c r="G269" s="15"/>
      <c r="J269" s="15"/>
    </row>
    <row r="270">
      <c r="G270" s="15"/>
      <c r="J270" s="15"/>
    </row>
    <row r="271">
      <c r="G271" s="15"/>
      <c r="J271" s="15"/>
    </row>
    <row r="272">
      <c r="G272" s="15"/>
      <c r="J272" s="15"/>
    </row>
    <row r="273">
      <c r="G273" s="15"/>
      <c r="J273" s="15"/>
    </row>
    <row r="274">
      <c r="G274" s="15"/>
      <c r="J274" s="15"/>
    </row>
    <row r="275">
      <c r="G275" s="15"/>
      <c r="J275" s="15"/>
    </row>
    <row r="276">
      <c r="G276" s="15"/>
      <c r="J276" s="15"/>
    </row>
    <row r="277">
      <c r="G277" s="15"/>
      <c r="J277" s="15"/>
    </row>
    <row r="278">
      <c r="G278" s="15"/>
      <c r="J278" s="15"/>
    </row>
    <row r="279">
      <c r="G279" s="15"/>
      <c r="J279" s="15"/>
    </row>
    <row r="280">
      <c r="G280" s="15"/>
      <c r="J280" s="15"/>
    </row>
    <row r="281">
      <c r="G281" s="15"/>
      <c r="J281" s="15"/>
    </row>
    <row r="282">
      <c r="G282" s="15"/>
      <c r="J282" s="15"/>
    </row>
    <row r="283">
      <c r="G283" s="15"/>
      <c r="J283" s="15"/>
    </row>
    <row r="284">
      <c r="G284" s="15"/>
      <c r="J284" s="15"/>
    </row>
    <row r="285">
      <c r="G285" s="15"/>
      <c r="J285" s="15"/>
    </row>
    <row r="286">
      <c r="G286" s="15"/>
      <c r="J286" s="15"/>
    </row>
    <row r="287">
      <c r="G287" s="15"/>
      <c r="J287" s="15"/>
    </row>
    <row r="288">
      <c r="G288" s="15"/>
      <c r="J288" s="15"/>
    </row>
    <row r="289">
      <c r="G289" s="15"/>
      <c r="J289" s="15"/>
    </row>
    <row r="290">
      <c r="G290" s="15"/>
      <c r="J290" s="15"/>
    </row>
    <row r="291">
      <c r="G291" s="15"/>
      <c r="J291" s="15"/>
    </row>
    <row r="292">
      <c r="G292" s="15"/>
      <c r="J292" s="15"/>
    </row>
    <row r="293">
      <c r="G293" s="15"/>
      <c r="J293" s="15"/>
    </row>
    <row r="294">
      <c r="G294" s="15"/>
      <c r="J294" s="15"/>
    </row>
    <row r="295">
      <c r="G295" s="15"/>
      <c r="J295" s="15"/>
    </row>
    <row r="296">
      <c r="G296" s="15"/>
      <c r="J296" s="15"/>
    </row>
    <row r="297">
      <c r="G297" s="15"/>
      <c r="J297" s="15"/>
    </row>
    <row r="298">
      <c r="G298" s="15"/>
      <c r="J298" s="15"/>
    </row>
    <row r="299">
      <c r="G299" s="15"/>
      <c r="J299" s="15"/>
    </row>
    <row r="300">
      <c r="G300" s="15"/>
      <c r="J300" s="15"/>
    </row>
    <row r="301">
      <c r="G301" s="15"/>
      <c r="J301" s="15"/>
    </row>
    <row r="302">
      <c r="G302" s="15"/>
      <c r="J302" s="15"/>
    </row>
    <row r="303">
      <c r="G303" s="15"/>
      <c r="J303" s="15"/>
    </row>
    <row r="304">
      <c r="G304" s="15"/>
      <c r="J304" s="15"/>
    </row>
    <row r="305">
      <c r="G305" s="15"/>
      <c r="J305" s="15"/>
    </row>
    <row r="306">
      <c r="G306" s="15"/>
      <c r="J306" s="15"/>
    </row>
    <row r="307">
      <c r="G307" s="15"/>
      <c r="J307" s="15"/>
    </row>
    <row r="308">
      <c r="G308" s="15"/>
      <c r="J308" s="15"/>
    </row>
    <row r="309">
      <c r="G309" s="15"/>
      <c r="J309" s="15"/>
    </row>
    <row r="310">
      <c r="G310" s="15"/>
      <c r="J310" s="15"/>
    </row>
    <row r="311">
      <c r="G311" s="15"/>
      <c r="J311" s="15"/>
    </row>
    <row r="312">
      <c r="G312" s="15"/>
      <c r="J312" s="15"/>
    </row>
    <row r="313">
      <c r="G313" s="15"/>
      <c r="J313" s="15"/>
    </row>
    <row r="314">
      <c r="G314" s="15"/>
      <c r="J314" s="15"/>
    </row>
    <row r="315">
      <c r="G315" s="15"/>
      <c r="J315" s="15"/>
    </row>
    <row r="316">
      <c r="G316" s="15"/>
      <c r="J316" s="15"/>
    </row>
    <row r="317">
      <c r="G317" s="15"/>
      <c r="J317" s="15"/>
    </row>
    <row r="318">
      <c r="G318" s="15"/>
      <c r="J318" s="15"/>
    </row>
    <row r="319">
      <c r="G319" s="15"/>
      <c r="J319" s="15"/>
    </row>
    <row r="320">
      <c r="G320" s="15"/>
      <c r="J320" s="15"/>
    </row>
    <row r="321">
      <c r="G321" s="15"/>
      <c r="J321" s="15"/>
    </row>
    <row r="322">
      <c r="G322" s="15"/>
      <c r="J322" s="15"/>
    </row>
    <row r="323">
      <c r="G323" s="15"/>
      <c r="J323" s="15"/>
    </row>
    <row r="324">
      <c r="G324" s="15"/>
      <c r="J324" s="15"/>
    </row>
    <row r="325">
      <c r="G325" s="15"/>
      <c r="J325" s="15"/>
    </row>
    <row r="326">
      <c r="G326" s="15"/>
      <c r="J326" s="15"/>
    </row>
    <row r="327">
      <c r="G327" s="15"/>
      <c r="J327" s="15"/>
    </row>
    <row r="328">
      <c r="G328" s="15"/>
      <c r="J328" s="15"/>
    </row>
    <row r="329">
      <c r="G329" s="15"/>
      <c r="J329" s="15"/>
    </row>
    <row r="330">
      <c r="G330" s="15"/>
      <c r="J330" s="15"/>
    </row>
    <row r="331">
      <c r="G331" s="15"/>
      <c r="J331" s="15"/>
    </row>
    <row r="332">
      <c r="G332" s="15"/>
      <c r="J332" s="15"/>
    </row>
    <row r="333">
      <c r="G333" s="15"/>
      <c r="J333" s="15"/>
    </row>
    <row r="334">
      <c r="G334" s="15"/>
      <c r="J334" s="15"/>
    </row>
    <row r="335">
      <c r="G335" s="15"/>
      <c r="J335" s="15"/>
    </row>
    <row r="336">
      <c r="G336" s="15"/>
      <c r="J336" s="15"/>
    </row>
    <row r="337">
      <c r="G337" s="15"/>
      <c r="J337" s="15"/>
    </row>
    <row r="338">
      <c r="G338" s="15"/>
      <c r="J338" s="15"/>
    </row>
    <row r="339">
      <c r="G339" s="15"/>
      <c r="J339" s="15"/>
    </row>
    <row r="340">
      <c r="G340" s="15"/>
      <c r="J340" s="15"/>
    </row>
    <row r="341">
      <c r="G341" s="15"/>
      <c r="J341" s="15"/>
    </row>
    <row r="342">
      <c r="G342" s="15"/>
      <c r="J342" s="15"/>
    </row>
    <row r="343">
      <c r="G343" s="15"/>
      <c r="J343" s="15"/>
    </row>
    <row r="344">
      <c r="G344" s="15"/>
      <c r="J344" s="15"/>
    </row>
    <row r="345">
      <c r="G345" s="15"/>
      <c r="J345" s="15"/>
    </row>
    <row r="346">
      <c r="G346" s="15"/>
      <c r="J346" s="15"/>
    </row>
    <row r="347">
      <c r="G347" s="15"/>
      <c r="J347" s="15"/>
    </row>
    <row r="348">
      <c r="G348" s="15"/>
      <c r="J348" s="15"/>
    </row>
    <row r="349">
      <c r="G349" s="15"/>
      <c r="J349" s="15"/>
    </row>
    <row r="350">
      <c r="G350" s="15"/>
      <c r="J350" s="15"/>
    </row>
    <row r="351">
      <c r="G351" s="15"/>
      <c r="J351" s="15"/>
    </row>
    <row r="352">
      <c r="G352" s="15"/>
      <c r="J352" s="15"/>
    </row>
    <row r="353">
      <c r="G353" s="15"/>
      <c r="J353" s="15"/>
    </row>
    <row r="354">
      <c r="G354" s="15"/>
      <c r="J354" s="15"/>
    </row>
    <row r="355">
      <c r="G355" s="15"/>
      <c r="J355" s="15"/>
    </row>
    <row r="356">
      <c r="G356" s="15"/>
      <c r="J356" s="15"/>
    </row>
    <row r="357">
      <c r="G357" s="15"/>
      <c r="J357" s="15"/>
    </row>
    <row r="358">
      <c r="G358" s="15"/>
      <c r="J358" s="15"/>
    </row>
    <row r="359">
      <c r="G359" s="15"/>
      <c r="J359" s="15"/>
    </row>
    <row r="360">
      <c r="G360" s="15"/>
      <c r="J360" s="15"/>
    </row>
    <row r="361">
      <c r="G361" s="15"/>
      <c r="J361" s="15"/>
    </row>
    <row r="362">
      <c r="G362" s="15"/>
      <c r="J362" s="15"/>
    </row>
    <row r="363">
      <c r="G363" s="15"/>
      <c r="J363" s="15"/>
    </row>
    <row r="364">
      <c r="G364" s="15"/>
      <c r="J364" s="15"/>
    </row>
    <row r="365">
      <c r="G365" s="15"/>
      <c r="J365" s="15"/>
    </row>
    <row r="366">
      <c r="G366" s="15"/>
      <c r="J366" s="15"/>
    </row>
    <row r="367">
      <c r="G367" s="15"/>
      <c r="J367" s="15"/>
    </row>
    <row r="368">
      <c r="G368" s="15"/>
      <c r="J368" s="15"/>
    </row>
    <row r="369">
      <c r="G369" s="15"/>
      <c r="J369" s="15"/>
    </row>
    <row r="370">
      <c r="G370" s="15"/>
      <c r="J370" s="15"/>
    </row>
    <row r="371">
      <c r="G371" s="15"/>
      <c r="J371" s="15"/>
    </row>
    <row r="372">
      <c r="G372" s="15"/>
      <c r="J372" s="15"/>
    </row>
    <row r="373">
      <c r="G373" s="15"/>
      <c r="J373" s="15"/>
    </row>
    <row r="374">
      <c r="G374" s="15"/>
      <c r="J374" s="15"/>
    </row>
    <row r="375">
      <c r="G375" s="15"/>
      <c r="J375" s="15"/>
    </row>
    <row r="376">
      <c r="G376" s="15"/>
      <c r="J376" s="15"/>
    </row>
    <row r="377">
      <c r="G377" s="15"/>
      <c r="J377" s="15"/>
    </row>
    <row r="378">
      <c r="G378" s="15"/>
      <c r="J378" s="15"/>
    </row>
    <row r="379">
      <c r="G379" s="15"/>
      <c r="J379" s="15"/>
    </row>
    <row r="380">
      <c r="G380" s="15"/>
      <c r="J380" s="15"/>
    </row>
    <row r="381">
      <c r="G381" s="15"/>
      <c r="J381" s="15"/>
    </row>
    <row r="382">
      <c r="G382" s="15"/>
      <c r="J382" s="15"/>
    </row>
    <row r="383">
      <c r="G383" s="15"/>
      <c r="J383" s="15"/>
    </row>
    <row r="384">
      <c r="G384" s="15"/>
      <c r="J384" s="15"/>
    </row>
    <row r="385">
      <c r="G385" s="15"/>
      <c r="J385" s="15"/>
    </row>
    <row r="386">
      <c r="G386" s="15"/>
      <c r="J386" s="15"/>
    </row>
    <row r="387">
      <c r="G387" s="15"/>
      <c r="J387" s="15"/>
    </row>
    <row r="388">
      <c r="G388" s="15"/>
      <c r="J388" s="15"/>
    </row>
    <row r="389">
      <c r="G389" s="15"/>
      <c r="J389" s="15"/>
    </row>
    <row r="390">
      <c r="G390" s="15"/>
      <c r="J390" s="15"/>
    </row>
    <row r="391">
      <c r="G391" s="15"/>
      <c r="J391" s="15"/>
    </row>
    <row r="392">
      <c r="G392" s="15"/>
      <c r="J392" s="15"/>
    </row>
    <row r="393">
      <c r="G393" s="15"/>
      <c r="J393" s="15"/>
    </row>
    <row r="394">
      <c r="G394" s="15"/>
      <c r="J394" s="15"/>
    </row>
    <row r="395">
      <c r="G395" s="15"/>
      <c r="J395" s="15"/>
    </row>
    <row r="396">
      <c r="G396" s="15"/>
      <c r="J396" s="15"/>
    </row>
    <row r="397">
      <c r="G397" s="15"/>
      <c r="J397" s="15"/>
    </row>
    <row r="398">
      <c r="G398" s="15"/>
      <c r="J398" s="15"/>
    </row>
    <row r="399">
      <c r="G399" s="15"/>
      <c r="J399" s="15"/>
    </row>
    <row r="400">
      <c r="G400" s="15"/>
      <c r="J400" s="15"/>
    </row>
    <row r="401">
      <c r="G401" s="15"/>
      <c r="J401" s="15"/>
    </row>
    <row r="402">
      <c r="G402" s="15"/>
      <c r="J402" s="15"/>
    </row>
    <row r="403">
      <c r="G403" s="15"/>
      <c r="J403" s="15"/>
    </row>
    <row r="404">
      <c r="G404" s="15"/>
      <c r="J404" s="15"/>
    </row>
    <row r="405">
      <c r="G405" s="15"/>
      <c r="J405" s="15"/>
    </row>
    <row r="406">
      <c r="G406" s="15"/>
      <c r="J406" s="15"/>
    </row>
    <row r="407">
      <c r="G407" s="15"/>
      <c r="J407" s="15"/>
    </row>
    <row r="408">
      <c r="G408" s="15"/>
      <c r="J408" s="15"/>
    </row>
    <row r="409">
      <c r="G409" s="15"/>
      <c r="J409" s="15"/>
    </row>
    <row r="410">
      <c r="G410" s="15"/>
      <c r="J410" s="15"/>
    </row>
    <row r="411">
      <c r="G411" s="15"/>
      <c r="J411" s="15"/>
    </row>
    <row r="412">
      <c r="G412" s="15"/>
      <c r="J412" s="15"/>
    </row>
    <row r="413">
      <c r="G413" s="15"/>
      <c r="J413" s="15"/>
    </row>
    <row r="414">
      <c r="G414" s="15"/>
      <c r="J414" s="15"/>
    </row>
    <row r="415">
      <c r="G415" s="15"/>
      <c r="J415" s="15"/>
    </row>
    <row r="416">
      <c r="G416" s="15"/>
      <c r="J416" s="15"/>
    </row>
    <row r="417">
      <c r="G417" s="15"/>
      <c r="J417" s="15"/>
    </row>
    <row r="418">
      <c r="G418" s="15"/>
      <c r="J418" s="15"/>
    </row>
    <row r="419">
      <c r="G419" s="15"/>
      <c r="J419" s="15"/>
    </row>
    <row r="420">
      <c r="G420" s="15"/>
      <c r="J420" s="15"/>
    </row>
    <row r="421">
      <c r="G421" s="15"/>
      <c r="J421" s="15"/>
    </row>
    <row r="422">
      <c r="G422" s="15"/>
      <c r="J422" s="15"/>
    </row>
    <row r="423">
      <c r="G423" s="15"/>
      <c r="J423" s="15"/>
    </row>
    <row r="424">
      <c r="G424" s="15"/>
      <c r="J424" s="15"/>
    </row>
    <row r="425">
      <c r="G425" s="15"/>
      <c r="J425" s="15"/>
    </row>
    <row r="426">
      <c r="G426" s="15"/>
      <c r="J426" s="15"/>
    </row>
    <row r="427">
      <c r="G427" s="15"/>
      <c r="J427" s="15"/>
    </row>
    <row r="428">
      <c r="G428" s="15"/>
      <c r="J428" s="15"/>
    </row>
    <row r="429">
      <c r="G429" s="15"/>
      <c r="J429" s="15"/>
    </row>
    <row r="430">
      <c r="G430" s="15"/>
      <c r="J430" s="15"/>
    </row>
    <row r="431">
      <c r="G431" s="15"/>
      <c r="J431" s="15"/>
    </row>
    <row r="432">
      <c r="G432" s="15"/>
      <c r="J432" s="15"/>
    </row>
    <row r="433">
      <c r="G433" s="15"/>
      <c r="J433" s="15"/>
    </row>
    <row r="434">
      <c r="G434" s="15"/>
      <c r="J434" s="15"/>
    </row>
    <row r="435">
      <c r="G435" s="15"/>
      <c r="J435" s="15"/>
    </row>
    <row r="436">
      <c r="G436" s="15"/>
      <c r="J436" s="15"/>
    </row>
    <row r="437">
      <c r="G437" s="15"/>
      <c r="J437" s="15"/>
    </row>
    <row r="438">
      <c r="G438" s="15"/>
      <c r="J438" s="15"/>
    </row>
    <row r="439">
      <c r="G439" s="15"/>
      <c r="J439" s="15"/>
    </row>
    <row r="440">
      <c r="G440" s="15"/>
      <c r="J440" s="15"/>
    </row>
    <row r="441">
      <c r="G441" s="15"/>
      <c r="J441" s="15"/>
    </row>
    <row r="442">
      <c r="G442" s="15"/>
      <c r="J442" s="15"/>
    </row>
    <row r="443">
      <c r="G443" s="15"/>
      <c r="J443" s="15"/>
    </row>
    <row r="444">
      <c r="G444" s="15"/>
      <c r="J444" s="15"/>
    </row>
    <row r="445">
      <c r="G445" s="15"/>
      <c r="J445" s="15"/>
    </row>
    <row r="446">
      <c r="G446" s="15"/>
      <c r="J446" s="15"/>
    </row>
    <row r="447">
      <c r="G447" s="15"/>
      <c r="J447" s="15"/>
    </row>
    <row r="448">
      <c r="G448" s="15"/>
      <c r="J448" s="15"/>
    </row>
    <row r="449">
      <c r="G449" s="15"/>
      <c r="J449" s="15"/>
    </row>
    <row r="450">
      <c r="G450" s="15"/>
      <c r="J450" s="15"/>
    </row>
    <row r="451">
      <c r="G451" s="15"/>
      <c r="J451" s="15"/>
    </row>
    <row r="452">
      <c r="G452" s="15"/>
      <c r="J452" s="15"/>
    </row>
    <row r="453">
      <c r="G453" s="15"/>
      <c r="J453" s="15"/>
    </row>
    <row r="454">
      <c r="G454" s="15"/>
      <c r="J454" s="15"/>
    </row>
    <row r="455">
      <c r="G455" s="15"/>
      <c r="J455" s="15"/>
    </row>
    <row r="456">
      <c r="G456" s="15"/>
      <c r="J456" s="15"/>
    </row>
    <row r="457">
      <c r="G457" s="15"/>
      <c r="J457" s="15"/>
    </row>
    <row r="458">
      <c r="G458" s="15"/>
      <c r="J458" s="15"/>
    </row>
    <row r="459">
      <c r="G459" s="15"/>
      <c r="J459" s="15"/>
    </row>
    <row r="460">
      <c r="G460" s="15"/>
      <c r="J460" s="15"/>
    </row>
    <row r="461">
      <c r="G461" s="15"/>
      <c r="J461" s="15"/>
    </row>
    <row r="462">
      <c r="G462" s="15"/>
      <c r="J462" s="15"/>
    </row>
    <row r="463">
      <c r="G463" s="15"/>
      <c r="J463" s="15"/>
    </row>
    <row r="464">
      <c r="G464" s="15"/>
      <c r="J464" s="15"/>
    </row>
    <row r="465">
      <c r="G465" s="15"/>
      <c r="J465" s="15"/>
    </row>
    <row r="466">
      <c r="G466" s="15"/>
      <c r="J466" s="15"/>
    </row>
    <row r="467">
      <c r="G467" s="15"/>
      <c r="J467" s="15"/>
    </row>
    <row r="468">
      <c r="G468" s="15"/>
      <c r="J468" s="15"/>
    </row>
    <row r="469">
      <c r="G469" s="15"/>
      <c r="J469" s="15"/>
    </row>
    <row r="470">
      <c r="G470" s="15"/>
      <c r="J470" s="15"/>
    </row>
    <row r="471">
      <c r="G471" s="15"/>
      <c r="J471" s="15"/>
    </row>
    <row r="472">
      <c r="G472" s="15"/>
      <c r="J472" s="15"/>
    </row>
    <row r="473">
      <c r="G473" s="15"/>
      <c r="J473" s="15"/>
    </row>
    <row r="474">
      <c r="G474" s="15"/>
      <c r="J474" s="15"/>
    </row>
    <row r="475">
      <c r="G475" s="15"/>
      <c r="J475" s="15"/>
    </row>
    <row r="476">
      <c r="G476" s="15"/>
      <c r="J476" s="15"/>
    </row>
    <row r="477">
      <c r="G477" s="15"/>
      <c r="J477" s="15"/>
    </row>
    <row r="478">
      <c r="G478" s="15"/>
      <c r="J478" s="15"/>
    </row>
    <row r="479">
      <c r="G479" s="15"/>
      <c r="J479" s="15"/>
    </row>
    <row r="480">
      <c r="G480" s="15"/>
      <c r="J480" s="15"/>
    </row>
    <row r="481">
      <c r="G481" s="15"/>
      <c r="J481" s="15"/>
    </row>
    <row r="482">
      <c r="G482" s="15"/>
      <c r="J482" s="15"/>
    </row>
    <row r="483">
      <c r="G483" s="15"/>
      <c r="J483" s="15"/>
    </row>
    <row r="484">
      <c r="G484" s="15"/>
      <c r="J484" s="15"/>
    </row>
    <row r="485">
      <c r="G485" s="15"/>
      <c r="J485" s="15"/>
    </row>
    <row r="486">
      <c r="G486" s="15"/>
      <c r="J486" s="15"/>
    </row>
    <row r="487">
      <c r="G487" s="15"/>
      <c r="J487" s="15"/>
    </row>
    <row r="488">
      <c r="G488" s="15"/>
      <c r="J488" s="15"/>
    </row>
    <row r="489">
      <c r="G489" s="15"/>
      <c r="J489" s="15"/>
    </row>
    <row r="490">
      <c r="G490" s="15"/>
      <c r="J490" s="15"/>
    </row>
    <row r="491">
      <c r="G491" s="15"/>
      <c r="J491" s="15"/>
    </row>
    <row r="492">
      <c r="G492" s="15"/>
      <c r="J492" s="15"/>
    </row>
    <row r="493">
      <c r="G493" s="15"/>
      <c r="J493" s="15"/>
    </row>
    <row r="494">
      <c r="G494" s="15"/>
      <c r="J494" s="15"/>
    </row>
    <row r="495">
      <c r="G495" s="15"/>
      <c r="J495" s="15"/>
    </row>
    <row r="496">
      <c r="G496" s="15"/>
      <c r="J496" s="15"/>
    </row>
    <row r="497">
      <c r="G497" s="15"/>
      <c r="J497" s="15"/>
    </row>
    <row r="498">
      <c r="G498" s="15"/>
      <c r="J498" s="15"/>
    </row>
    <row r="499">
      <c r="G499" s="15"/>
      <c r="J499" s="15"/>
    </row>
    <row r="500">
      <c r="G500" s="15"/>
      <c r="J500" s="15"/>
    </row>
    <row r="501">
      <c r="G501" s="15"/>
      <c r="J501" s="15"/>
    </row>
    <row r="502">
      <c r="G502" s="15"/>
      <c r="J502" s="15"/>
    </row>
    <row r="503">
      <c r="G503" s="15"/>
      <c r="J503" s="15"/>
    </row>
    <row r="504">
      <c r="G504" s="15"/>
      <c r="J504" s="15"/>
    </row>
    <row r="505">
      <c r="G505" s="15"/>
      <c r="J505" s="15"/>
    </row>
    <row r="506">
      <c r="G506" s="15"/>
      <c r="J506" s="15"/>
    </row>
    <row r="507">
      <c r="G507" s="15"/>
      <c r="J507" s="15"/>
    </row>
    <row r="508">
      <c r="G508" s="15"/>
      <c r="J508" s="15"/>
    </row>
    <row r="509">
      <c r="G509" s="15"/>
      <c r="J509" s="15"/>
    </row>
    <row r="510">
      <c r="G510" s="15"/>
      <c r="J510" s="15"/>
    </row>
    <row r="511">
      <c r="G511" s="15"/>
      <c r="J511" s="15"/>
    </row>
    <row r="512">
      <c r="G512" s="15"/>
      <c r="J512" s="15"/>
    </row>
    <row r="513">
      <c r="G513" s="15"/>
      <c r="J513" s="15"/>
    </row>
    <row r="514">
      <c r="G514" s="15"/>
      <c r="J514" s="15"/>
    </row>
    <row r="515">
      <c r="G515" s="15"/>
      <c r="J515" s="15"/>
    </row>
    <row r="516">
      <c r="G516" s="15"/>
      <c r="J516" s="15"/>
    </row>
    <row r="517">
      <c r="G517" s="15"/>
      <c r="J517" s="15"/>
    </row>
    <row r="518">
      <c r="G518" s="15"/>
      <c r="J518" s="15"/>
    </row>
    <row r="519">
      <c r="G519" s="15"/>
      <c r="J519" s="15"/>
    </row>
    <row r="520">
      <c r="G520" s="15"/>
      <c r="J520" s="15"/>
    </row>
    <row r="521">
      <c r="G521" s="15"/>
      <c r="J521" s="15"/>
    </row>
    <row r="522">
      <c r="G522" s="15"/>
      <c r="J522" s="15"/>
    </row>
    <row r="523">
      <c r="G523" s="15"/>
      <c r="J523" s="15"/>
    </row>
    <row r="524">
      <c r="G524" s="15"/>
      <c r="J524" s="15"/>
    </row>
    <row r="525">
      <c r="G525" s="15"/>
      <c r="J525" s="15"/>
    </row>
    <row r="526">
      <c r="G526" s="15"/>
      <c r="J526" s="15"/>
    </row>
    <row r="527">
      <c r="G527" s="15"/>
      <c r="J527" s="15"/>
    </row>
    <row r="528">
      <c r="G528" s="15"/>
      <c r="J528" s="15"/>
    </row>
    <row r="529">
      <c r="G529" s="15"/>
      <c r="J529" s="15"/>
    </row>
    <row r="530">
      <c r="G530" s="15"/>
      <c r="J530" s="15"/>
    </row>
    <row r="531">
      <c r="G531" s="15"/>
      <c r="J531" s="15"/>
    </row>
    <row r="532">
      <c r="G532" s="15"/>
      <c r="J532" s="15"/>
    </row>
    <row r="533">
      <c r="G533" s="15"/>
      <c r="J533" s="15"/>
    </row>
    <row r="534">
      <c r="G534" s="15"/>
      <c r="J534" s="15"/>
    </row>
    <row r="535">
      <c r="G535" s="15"/>
      <c r="J535" s="15"/>
    </row>
    <row r="536">
      <c r="G536" s="15"/>
      <c r="J536" s="15"/>
    </row>
    <row r="537">
      <c r="G537" s="15"/>
      <c r="J537" s="15"/>
    </row>
    <row r="538">
      <c r="G538" s="15"/>
      <c r="J538" s="15"/>
    </row>
    <row r="539">
      <c r="G539" s="15"/>
      <c r="J539" s="15"/>
    </row>
    <row r="540">
      <c r="G540" s="15"/>
      <c r="J540" s="15"/>
    </row>
    <row r="541">
      <c r="G541" s="15"/>
      <c r="J541" s="15"/>
    </row>
    <row r="542">
      <c r="G542" s="15"/>
      <c r="J542" s="15"/>
    </row>
    <row r="543">
      <c r="G543" s="15"/>
      <c r="J543" s="15"/>
    </row>
    <row r="544">
      <c r="G544" s="15"/>
      <c r="J544" s="15"/>
    </row>
    <row r="545">
      <c r="G545" s="15"/>
      <c r="J545" s="15"/>
    </row>
    <row r="546">
      <c r="G546" s="15"/>
      <c r="J546" s="15"/>
    </row>
    <row r="547">
      <c r="G547" s="15"/>
      <c r="J547" s="15"/>
    </row>
    <row r="548">
      <c r="G548" s="15"/>
      <c r="J548" s="15"/>
    </row>
    <row r="549">
      <c r="G549" s="15"/>
      <c r="J549" s="15"/>
    </row>
    <row r="550">
      <c r="G550" s="15"/>
      <c r="J550" s="15"/>
    </row>
    <row r="551">
      <c r="G551" s="15"/>
      <c r="J551" s="15"/>
    </row>
    <row r="552">
      <c r="G552" s="15"/>
      <c r="J552" s="15"/>
    </row>
    <row r="553">
      <c r="G553" s="15"/>
      <c r="J553" s="15"/>
    </row>
    <row r="554">
      <c r="G554" s="15"/>
      <c r="J554" s="15"/>
    </row>
    <row r="555">
      <c r="G555" s="15"/>
      <c r="J555" s="15"/>
    </row>
    <row r="556">
      <c r="G556" s="15"/>
      <c r="J556" s="15"/>
    </row>
    <row r="557">
      <c r="G557" s="15"/>
      <c r="J557" s="15"/>
    </row>
    <row r="558">
      <c r="G558" s="15"/>
      <c r="J558" s="15"/>
    </row>
    <row r="559">
      <c r="G559" s="15"/>
      <c r="J559" s="15"/>
    </row>
    <row r="560">
      <c r="G560" s="15"/>
      <c r="J560" s="15"/>
    </row>
    <row r="561">
      <c r="G561" s="15"/>
      <c r="J561" s="15"/>
    </row>
    <row r="562">
      <c r="G562" s="15"/>
      <c r="J562" s="15"/>
    </row>
    <row r="563">
      <c r="G563" s="15"/>
      <c r="J563" s="15"/>
    </row>
    <row r="564">
      <c r="G564" s="15"/>
      <c r="J564" s="15"/>
    </row>
    <row r="565">
      <c r="G565" s="15"/>
      <c r="J565" s="15"/>
    </row>
    <row r="566">
      <c r="G566" s="15"/>
      <c r="J566" s="15"/>
    </row>
    <row r="567">
      <c r="G567" s="15"/>
      <c r="J567" s="15"/>
    </row>
    <row r="568">
      <c r="G568" s="15"/>
      <c r="J568" s="15"/>
    </row>
    <row r="569">
      <c r="G569" s="15"/>
      <c r="J569" s="15"/>
    </row>
    <row r="570">
      <c r="G570" s="15"/>
      <c r="J570" s="15"/>
    </row>
    <row r="571">
      <c r="G571" s="15"/>
      <c r="J571" s="15"/>
    </row>
    <row r="572">
      <c r="G572" s="15"/>
      <c r="J572" s="15"/>
    </row>
    <row r="573">
      <c r="G573" s="15"/>
      <c r="J573" s="15"/>
    </row>
    <row r="574">
      <c r="G574" s="15"/>
      <c r="J574" s="15"/>
    </row>
    <row r="575">
      <c r="G575" s="15"/>
      <c r="J575" s="15"/>
    </row>
    <row r="576">
      <c r="G576" s="15"/>
      <c r="J576" s="15"/>
    </row>
    <row r="577">
      <c r="G577" s="15"/>
      <c r="J577" s="15"/>
    </row>
    <row r="578">
      <c r="G578" s="15"/>
      <c r="J578" s="15"/>
    </row>
    <row r="579">
      <c r="G579" s="15"/>
      <c r="J579" s="15"/>
    </row>
    <row r="580">
      <c r="G580" s="15"/>
      <c r="J580" s="15"/>
    </row>
    <row r="581">
      <c r="G581" s="15"/>
      <c r="J581" s="15"/>
    </row>
    <row r="582">
      <c r="G582" s="15"/>
      <c r="J582" s="15"/>
    </row>
    <row r="583">
      <c r="G583" s="15"/>
      <c r="J583" s="15"/>
    </row>
    <row r="584">
      <c r="G584" s="15"/>
      <c r="J584" s="15"/>
    </row>
    <row r="585">
      <c r="G585" s="15"/>
      <c r="J585" s="15"/>
    </row>
    <row r="586">
      <c r="G586" s="15"/>
      <c r="J586" s="15"/>
    </row>
    <row r="587">
      <c r="G587" s="15"/>
      <c r="J587" s="15"/>
    </row>
    <row r="588">
      <c r="G588" s="15"/>
      <c r="J588" s="15"/>
    </row>
    <row r="589">
      <c r="G589" s="15"/>
      <c r="J589" s="15"/>
    </row>
    <row r="590">
      <c r="G590" s="15"/>
      <c r="J590" s="15"/>
    </row>
    <row r="591">
      <c r="G591" s="15"/>
      <c r="J591" s="15"/>
    </row>
    <row r="592">
      <c r="G592" s="15"/>
      <c r="J592" s="15"/>
    </row>
    <row r="593">
      <c r="G593" s="15"/>
      <c r="J593" s="15"/>
    </row>
    <row r="594">
      <c r="G594" s="15"/>
      <c r="J594" s="15"/>
    </row>
    <row r="595">
      <c r="G595" s="15"/>
      <c r="J595" s="15"/>
    </row>
    <row r="596">
      <c r="G596" s="15"/>
      <c r="J596" s="15"/>
    </row>
    <row r="597">
      <c r="G597" s="15"/>
      <c r="J597" s="15"/>
    </row>
    <row r="598">
      <c r="G598" s="15"/>
      <c r="J598" s="15"/>
    </row>
    <row r="599">
      <c r="G599" s="15"/>
      <c r="J599" s="15"/>
    </row>
    <row r="600">
      <c r="G600" s="15"/>
      <c r="J600" s="15"/>
    </row>
    <row r="601">
      <c r="G601" s="15"/>
      <c r="J601" s="15"/>
    </row>
    <row r="602">
      <c r="G602" s="15"/>
      <c r="J602" s="15"/>
    </row>
    <row r="603">
      <c r="G603" s="15"/>
      <c r="J603" s="15"/>
    </row>
    <row r="604">
      <c r="G604" s="15"/>
      <c r="J604" s="15"/>
    </row>
    <row r="605">
      <c r="G605" s="15"/>
      <c r="J605" s="15"/>
    </row>
    <row r="606">
      <c r="G606" s="15"/>
      <c r="J606" s="15"/>
    </row>
    <row r="607">
      <c r="G607" s="15"/>
      <c r="J607" s="15"/>
    </row>
    <row r="608">
      <c r="G608" s="15"/>
      <c r="J608" s="15"/>
    </row>
    <row r="609">
      <c r="G609" s="15"/>
      <c r="J609" s="15"/>
    </row>
    <row r="610">
      <c r="G610" s="15"/>
      <c r="J610" s="15"/>
    </row>
    <row r="611">
      <c r="G611" s="15"/>
      <c r="J611" s="15"/>
    </row>
    <row r="612">
      <c r="G612" s="15"/>
      <c r="J612" s="15"/>
    </row>
    <row r="613">
      <c r="G613" s="15"/>
      <c r="J613" s="15"/>
    </row>
    <row r="614">
      <c r="G614" s="15"/>
      <c r="J614" s="15"/>
    </row>
    <row r="615">
      <c r="G615" s="15"/>
      <c r="J615" s="15"/>
    </row>
    <row r="616">
      <c r="G616" s="15"/>
      <c r="J616" s="15"/>
    </row>
    <row r="617">
      <c r="G617" s="15"/>
      <c r="J617" s="15"/>
    </row>
    <row r="618">
      <c r="G618" s="15"/>
      <c r="J618" s="15"/>
    </row>
    <row r="619">
      <c r="G619" s="15"/>
      <c r="J619" s="15"/>
    </row>
    <row r="620">
      <c r="G620" s="15"/>
      <c r="J620" s="15"/>
    </row>
    <row r="621">
      <c r="G621" s="15"/>
      <c r="J621" s="15"/>
    </row>
    <row r="622">
      <c r="G622" s="15"/>
      <c r="J622" s="15"/>
    </row>
    <row r="623">
      <c r="G623" s="15"/>
      <c r="J623" s="15"/>
    </row>
    <row r="624">
      <c r="G624" s="15"/>
      <c r="J624" s="15"/>
    </row>
    <row r="625">
      <c r="G625" s="15"/>
      <c r="J625" s="15"/>
    </row>
    <row r="626">
      <c r="G626" s="15"/>
      <c r="J626" s="15"/>
    </row>
    <row r="627">
      <c r="G627" s="15"/>
      <c r="J627" s="15"/>
    </row>
    <row r="628">
      <c r="G628" s="15"/>
      <c r="J628" s="15"/>
    </row>
    <row r="629">
      <c r="G629" s="15"/>
      <c r="J629" s="15"/>
    </row>
    <row r="630">
      <c r="G630" s="15"/>
      <c r="J630" s="15"/>
    </row>
    <row r="631">
      <c r="G631" s="15"/>
      <c r="J631" s="15"/>
    </row>
    <row r="632">
      <c r="G632" s="15"/>
      <c r="J632" s="15"/>
    </row>
    <row r="633">
      <c r="G633" s="15"/>
      <c r="J633" s="15"/>
    </row>
    <row r="634">
      <c r="G634" s="15"/>
      <c r="J634" s="15"/>
    </row>
    <row r="635">
      <c r="G635" s="15"/>
      <c r="J635" s="15"/>
    </row>
    <row r="636">
      <c r="G636" s="15"/>
      <c r="J636" s="15"/>
    </row>
    <row r="637">
      <c r="G637" s="15"/>
      <c r="J637" s="15"/>
    </row>
    <row r="638">
      <c r="G638" s="15"/>
      <c r="J638" s="15"/>
    </row>
    <row r="639">
      <c r="G639" s="15"/>
      <c r="J639" s="15"/>
    </row>
    <row r="640">
      <c r="G640" s="15"/>
      <c r="J640" s="15"/>
    </row>
    <row r="641">
      <c r="G641" s="15"/>
      <c r="J641" s="15"/>
    </row>
    <row r="642">
      <c r="G642" s="15"/>
      <c r="J642" s="15"/>
    </row>
    <row r="643">
      <c r="G643" s="15"/>
      <c r="J643" s="15"/>
    </row>
    <row r="644">
      <c r="G644" s="15"/>
      <c r="J644" s="15"/>
    </row>
    <row r="645">
      <c r="G645" s="15"/>
      <c r="J645" s="15"/>
    </row>
    <row r="646">
      <c r="G646" s="15"/>
      <c r="J646" s="15"/>
    </row>
    <row r="647">
      <c r="G647" s="15"/>
      <c r="J647" s="15"/>
    </row>
    <row r="648">
      <c r="G648" s="15"/>
      <c r="J648" s="15"/>
    </row>
    <row r="649">
      <c r="G649" s="15"/>
      <c r="J649" s="15"/>
    </row>
    <row r="650">
      <c r="G650" s="15"/>
      <c r="J650" s="15"/>
    </row>
    <row r="651">
      <c r="G651" s="15"/>
      <c r="J651" s="15"/>
    </row>
    <row r="652">
      <c r="G652" s="15"/>
      <c r="J652" s="15"/>
    </row>
    <row r="653">
      <c r="G653" s="15"/>
      <c r="J653" s="15"/>
    </row>
    <row r="654">
      <c r="G654" s="15"/>
      <c r="J654" s="15"/>
    </row>
    <row r="655">
      <c r="G655" s="15"/>
      <c r="J655" s="15"/>
    </row>
    <row r="656">
      <c r="G656" s="15"/>
      <c r="J656" s="15"/>
    </row>
    <row r="657">
      <c r="G657" s="15"/>
      <c r="J657" s="15"/>
    </row>
    <row r="658">
      <c r="G658" s="15"/>
      <c r="J658" s="15"/>
    </row>
    <row r="659">
      <c r="G659" s="15"/>
      <c r="J659" s="15"/>
    </row>
    <row r="660">
      <c r="G660" s="15"/>
      <c r="J660" s="15"/>
    </row>
    <row r="661">
      <c r="G661" s="15"/>
      <c r="J661" s="15"/>
    </row>
    <row r="662">
      <c r="G662" s="15"/>
      <c r="J662" s="15"/>
    </row>
    <row r="663">
      <c r="G663" s="15"/>
      <c r="J663" s="15"/>
    </row>
    <row r="664">
      <c r="G664" s="15"/>
      <c r="J664" s="15"/>
    </row>
    <row r="665">
      <c r="G665" s="15"/>
      <c r="J665" s="15"/>
    </row>
    <row r="666">
      <c r="G666" s="15"/>
      <c r="J666" s="15"/>
    </row>
    <row r="667">
      <c r="G667" s="15"/>
      <c r="J667" s="15"/>
    </row>
    <row r="668">
      <c r="G668" s="15"/>
      <c r="J668" s="15"/>
    </row>
    <row r="669">
      <c r="G669" s="15"/>
      <c r="J669" s="15"/>
    </row>
    <row r="670">
      <c r="G670" s="15"/>
      <c r="J670" s="15"/>
    </row>
    <row r="671">
      <c r="G671" s="15"/>
      <c r="J671" s="15"/>
    </row>
    <row r="672">
      <c r="G672" s="15"/>
      <c r="J672" s="15"/>
    </row>
    <row r="673">
      <c r="G673" s="15"/>
      <c r="J673" s="15"/>
    </row>
    <row r="674">
      <c r="G674" s="15"/>
      <c r="J674" s="15"/>
    </row>
    <row r="675">
      <c r="G675" s="15"/>
      <c r="J675" s="15"/>
    </row>
    <row r="676">
      <c r="G676" s="15"/>
      <c r="J676" s="15"/>
    </row>
    <row r="677">
      <c r="G677" s="15"/>
      <c r="J677" s="15"/>
    </row>
    <row r="678">
      <c r="G678" s="15"/>
      <c r="J678" s="15"/>
    </row>
    <row r="679">
      <c r="G679" s="15"/>
      <c r="J679" s="15"/>
    </row>
    <row r="680">
      <c r="G680" s="15"/>
      <c r="J680" s="15"/>
    </row>
    <row r="681">
      <c r="G681" s="15"/>
      <c r="J681" s="15"/>
    </row>
    <row r="682">
      <c r="G682" s="15"/>
      <c r="J682" s="15"/>
    </row>
    <row r="683">
      <c r="G683" s="15"/>
      <c r="J683" s="15"/>
    </row>
    <row r="684">
      <c r="G684" s="15"/>
      <c r="J684" s="15"/>
    </row>
    <row r="685">
      <c r="G685" s="15"/>
      <c r="J685" s="15"/>
    </row>
    <row r="686">
      <c r="G686" s="15"/>
      <c r="J686" s="15"/>
    </row>
    <row r="687">
      <c r="G687" s="15"/>
      <c r="J687" s="15"/>
    </row>
    <row r="688">
      <c r="G688" s="15"/>
      <c r="J688" s="15"/>
    </row>
    <row r="689">
      <c r="G689" s="15"/>
      <c r="J689" s="15"/>
    </row>
    <row r="690">
      <c r="G690" s="15"/>
      <c r="J690" s="15"/>
    </row>
    <row r="691">
      <c r="G691" s="15"/>
      <c r="J691" s="15"/>
    </row>
    <row r="692">
      <c r="G692" s="15"/>
      <c r="J692" s="15"/>
    </row>
    <row r="693">
      <c r="G693" s="15"/>
      <c r="J693" s="15"/>
    </row>
    <row r="694">
      <c r="G694" s="15"/>
      <c r="J694" s="15"/>
    </row>
    <row r="695">
      <c r="G695" s="15"/>
      <c r="J695" s="15"/>
    </row>
    <row r="696">
      <c r="G696" s="15"/>
      <c r="J696" s="15"/>
    </row>
    <row r="697">
      <c r="G697" s="15"/>
      <c r="J697" s="15"/>
    </row>
    <row r="698">
      <c r="G698" s="15"/>
      <c r="J698" s="15"/>
    </row>
    <row r="699">
      <c r="G699" s="15"/>
      <c r="J699" s="15"/>
    </row>
    <row r="700">
      <c r="G700" s="15"/>
      <c r="J700" s="15"/>
    </row>
    <row r="701">
      <c r="G701" s="15"/>
      <c r="J701" s="15"/>
    </row>
    <row r="702">
      <c r="G702" s="15"/>
      <c r="J702" s="15"/>
    </row>
    <row r="703">
      <c r="G703" s="15"/>
      <c r="J703" s="15"/>
    </row>
    <row r="704">
      <c r="G704" s="15"/>
      <c r="J704" s="15"/>
    </row>
    <row r="705">
      <c r="G705" s="15"/>
      <c r="J705" s="15"/>
    </row>
    <row r="706">
      <c r="G706" s="15"/>
      <c r="J706" s="15"/>
    </row>
    <row r="707">
      <c r="G707" s="15"/>
      <c r="J707" s="15"/>
    </row>
    <row r="708">
      <c r="G708" s="15"/>
      <c r="J708" s="15"/>
    </row>
    <row r="709">
      <c r="G709" s="15"/>
      <c r="J709" s="15"/>
    </row>
    <row r="710">
      <c r="G710" s="15"/>
      <c r="J710" s="15"/>
    </row>
    <row r="711">
      <c r="G711" s="15"/>
      <c r="J711" s="15"/>
    </row>
    <row r="712">
      <c r="G712" s="15"/>
      <c r="J712" s="15"/>
    </row>
    <row r="713">
      <c r="G713" s="15"/>
      <c r="J713" s="15"/>
    </row>
    <row r="714">
      <c r="G714" s="15"/>
      <c r="J714" s="15"/>
    </row>
    <row r="715">
      <c r="G715" s="15"/>
      <c r="J715" s="15"/>
    </row>
    <row r="716">
      <c r="G716" s="15"/>
      <c r="J716" s="15"/>
    </row>
    <row r="717">
      <c r="G717" s="15"/>
      <c r="J717" s="15"/>
    </row>
    <row r="718">
      <c r="G718" s="15"/>
      <c r="J718" s="15"/>
    </row>
    <row r="719">
      <c r="G719" s="15"/>
      <c r="J719" s="15"/>
    </row>
    <row r="720">
      <c r="G720" s="15"/>
      <c r="J720" s="15"/>
    </row>
    <row r="721">
      <c r="G721" s="15"/>
      <c r="J721" s="15"/>
    </row>
    <row r="722">
      <c r="G722" s="15"/>
      <c r="J722" s="15"/>
    </row>
    <row r="723">
      <c r="G723" s="15"/>
      <c r="J723" s="15"/>
    </row>
    <row r="724">
      <c r="G724" s="15"/>
      <c r="J724" s="15"/>
    </row>
    <row r="725">
      <c r="G725" s="15"/>
      <c r="J725" s="15"/>
    </row>
    <row r="726">
      <c r="G726" s="15"/>
      <c r="J726" s="15"/>
    </row>
    <row r="727">
      <c r="G727" s="15"/>
      <c r="J727" s="15"/>
    </row>
    <row r="728">
      <c r="G728" s="15"/>
      <c r="J728" s="15"/>
    </row>
    <row r="729">
      <c r="G729" s="15"/>
      <c r="J729" s="15"/>
    </row>
    <row r="730">
      <c r="G730" s="15"/>
      <c r="J730" s="15"/>
    </row>
    <row r="731">
      <c r="G731" s="15"/>
      <c r="J731" s="15"/>
    </row>
    <row r="732">
      <c r="G732" s="15"/>
      <c r="J732" s="15"/>
    </row>
    <row r="733">
      <c r="G733" s="15"/>
      <c r="J733" s="15"/>
    </row>
    <row r="734">
      <c r="G734" s="15"/>
      <c r="J734" s="15"/>
    </row>
    <row r="735">
      <c r="G735" s="15"/>
      <c r="J735" s="15"/>
    </row>
    <row r="736">
      <c r="G736" s="15"/>
      <c r="J736" s="15"/>
    </row>
    <row r="737">
      <c r="G737" s="15"/>
      <c r="J737" s="15"/>
    </row>
    <row r="738">
      <c r="G738" s="15"/>
      <c r="J738" s="15"/>
    </row>
    <row r="739">
      <c r="G739" s="15"/>
      <c r="J739" s="15"/>
    </row>
    <row r="740">
      <c r="G740" s="15"/>
      <c r="J740" s="15"/>
    </row>
    <row r="741">
      <c r="G741" s="15"/>
      <c r="J741" s="15"/>
    </row>
    <row r="742">
      <c r="G742" s="15"/>
      <c r="J742" s="15"/>
    </row>
    <row r="743">
      <c r="G743" s="15"/>
      <c r="J743" s="15"/>
    </row>
    <row r="744">
      <c r="G744" s="15"/>
      <c r="J744" s="15"/>
    </row>
    <row r="745">
      <c r="G745" s="15"/>
      <c r="J745" s="15"/>
    </row>
    <row r="746">
      <c r="G746" s="15"/>
      <c r="J746" s="15"/>
    </row>
    <row r="747">
      <c r="G747" s="15"/>
      <c r="J747" s="15"/>
    </row>
    <row r="748">
      <c r="G748" s="15"/>
      <c r="J748" s="15"/>
    </row>
    <row r="749">
      <c r="G749" s="15"/>
      <c r="J749" s="15"/>
    </row>
    <row r="750">
      <c r="G750" s="15"/>
      <c r="J750" s="15"/>
    </row>
    <row r="751">
      <c r="G751" s="15"/>
      <c r="J751" s="15"/>
    </row>
    <row r="752">
      <c r="G752" s="15"/>
      <c r="J752" s="15"/>
    </row>
    <row r="753">
      <c r="G753" s="15"/>
      <c r="J753" s="15"/>
    </row>
    <row r="754">
      <c r="G754" s="15"/>
      <c r="J754" s="15"/>
    </row>
    <row r="755">
      <c r="G755" s="15"/>
      <c r="J755" s="15"/>
    </row>
    <row r="756">
      <c r="G756" s="15"/>
      <c r="J756" s="15"/>
    </row>
    <row r="757">
      <c r="G757" s="15"/>
      <c r="J757" s="15"/>
    </row>
    <row r="758">
      <c r="G758" s="15"/>
      <c r="J758" s="15"/>
    </row>
    <row r="759">
      <c r="G759" s="15"/>
      <c r="J759" s="15"/>
    </row>
    <row r="760">
      <c r="G760" s="15"/>
      <c r="J760" s="15"/>
    </row>
    <row r="761">
      <c r="G761" s="15"/>
      <c r="J761" s="15"/>
    </row>
    <row r="762">
      <c r="G762" s="15"/>
      <c r="J762" s="15"/>
    </row>
    <row r="763">
      <c r="G763" s="15"/>
      <c r="J763" s="15"/>
    </row>
    <row r="764">
      <c r="G764" s="15"/>
      <c r="J764" s="15"/>
    </row>
    <row r="765">
      <c r="G765" s="15"/>
      <c r="J765" s="15"/>
    </row>
    <row r="766">
      <c r="G766" s="15"/>
      <c r="J766" s="15"/>
    </row>
    <row r="767">
      <c r="G767" s="15"/>
      <c r="J767" s="15"/>
    </row>
    <row r="768">
      <c r="G768" s="15"/>
      <c r="J768" s="15"/>
    </row>
    <row r="769">
      <c r="G769" s="15"/>
      <c r="J769" s="15"/>
    </row>
    <row r="770">
      <c r="G770" s="15"/>
      <c r="J770" s="15"/>
    </row>
    <row r="771">
      <c r="G771" s="15"/>
      <c r="J771" s="15"/>
    </row>
    <row r="772">
      <c r="G772" s="15"/>
      <c r="J772" s="15"/>
    </row>
    <row r="773">
      <c r="G773" s="15"/>
      <c r="J773" s="15"/>
    </row>
    <row r="774">
      <c r="G774" s="15"/>
      <c r="J774" s="15"/>
    </row>
    <row r="775">
      <c r="G775" s="15"/>
      <c r="J775" s="15"/>
    </row>
    <row r="776">
      <c r="G776" s="15"/>
      <c r="J776" s="15"/>
    </row>
    <row r="777">
      <c r="G777" s="15"/>
      <c r="J777" s="15"/>
    </row>
    <row r="778">
      <c r="G778" s="15"/>
      <c r="J778" s="15"/>
    </row>
    <row r="779">
      <c r="G779" s="15"/>
      <c r="J779" s="15"/>
    </row>
    <row r="780">
      <c r="G780" s="15"/>
      <c r="J780" s="15"/>
    </row>
    <row r="781">
      <c r="G781" s="15"/>
      <c r="J781" s="15"/>
    </row>
    <row r="782">
      <c r="G782" s="15"/>
      <c r="J782" s="15"/>
    </row>
    <row r="783">
      <c r="G783" s="15"/>
      <c r="J783" s="15"/>
    </row>
    <row r="784">
      <c r="G784" s="15"/>
      <c r="J784" s="15"/>
    </row>
    <row r="785">
      <c r="G785" s="15"/>
      <c r="J785" s="15"/>
    </row>
    <row r="786">
      <c r="G786" s="15"/>
      <c r="J786" s="15"/>
    </row>
    <row r="787">
      <c r="G787" s="15"/>
      <c r="J787" s="15"/>
    </row>
    <row r="788">
      <c r="G788" s="15"/>
      <c r="J788" s="15"/>
    </row>
    <row r="789">
      <c r="G789" s="15"/>
      <c r="J789" s="15"/>
    </row>
    <row r="790">
      <c r="G790" s="15"/>
      <c r="J790" s="15"/>
    </row>
    <row r="791">
      <c r="G791" s="15"/>
      <c r="J791" s="15"/>
    </row>
    <row r="792">
      <c r="G792" s="15"/>
      <c r="J792" s="15"/>
    </row>
    <row r="793">
      <c r="G793" s="15"/>
      <c r="J793" s="15"/>
    </row>
    <row r="794">
      <c r="G794" s="15"/>
      <c r="J794" s="15"/>
    </row>
    <row r="795">
      <c r="G795" s="15"/>
      <c r="J795" s="15"/>
    </row>
    <row r="796">
      <c r="G796" s="15"/>
      <c r="J796" s="15"/>
    </row>
    <row r="797">
      <c r="G797" s="15"/>
      <c r="J797" s="15"/>
    </row>
    <row r="798">
      <c r="G798" s="15"/>
      <c r="J798" s="15"/>
    </row>
    <row r="799">
      <c r="G799" s="15"/>
      <c r="J799" s="15"/>
    </row>
    <row r="800">
      <c r="G800" s="15"/>
      <c r="J800" s="15"/>
    </row>
    <row r="801">
      <c r="G801" s="15"/>
      <c r="J801" s="15"/>
    </row>
    <row r="802">
      <c r="G802" s="15"/>
      <c r="J802" s="15"/>
    </row>
    <row r="803">
      <c r="G803" s="15"/>
      <c r="J803" s="15"/>
    </row>
    <row r="804">
      <c r="G804" s="15"/>
      <c r="J804" s="15"/>
    </row>
    <row r="805">
      <c r="G805" s="15"/>
      <c r="J805" s="15"/>
    </row>
    <row r="806">
      <c r="G806" s="15"/>
      <c r="J806" s="15"/>
    </row>
    <row r="807">
      <c r="G807" s="15"/>
      <c r="J807" s="15"/>
    </row>
    <row r="808">
      <c r="G808" s="15"/>
      <c r="J808" s="15"/>
    </row>
    <row r="809">
      <c r="G809" s="15"/>
      <c r="J809" s="15"/>
    </row>
    <row r="810">
      <c r="G810" s="15"/>
      <c r="J810" s="15"/>
    </row>
    <row r="811">
      <c r="G811" s="15"/>
      <c r="J811" s="15"/>
    </row>
    <row r="812">
      <c r="G812" s="15"/>
      <c r="J812" s="15"/>
    </row>
    <row r="813">
      <c r="G813" s="15"/>
      <c r="J813" s="15"/>
    </row>
    <row r="814">
      <c r="G814" s="15"/>
      <c r="J814" s="15"/>
    </row>
    <row r="815">
      <c r="G815" s="15"/>
      <c r="J815" s="15"/>
    </row>
    <row r="816">
      <c r="G816" s="15"/>
      <c r="J816" s="15"/>
    </row>
    <row r="817">
      <c r="G817" s="15"/>
      <c r="J817" s="15"/>
    </row>
    <row r="818">
      <c r="G818" s="15"/>
      <c r="J818" s="15"/>
    </row>
    <row r="819">
      <c r="G819" s="15"/>
      <c r="J819" s="15"/>
    </row>
    <row r="820">
      <c r="G820" s="15"/>
      <c r="J820" s="15"/>
    </row>
    <row r="821">
      <c r="G821" s="15"/>
      <c r="J821" s="15"/>
    </row>
    <row r="822">
      <c r="G822" s="15"/>
      <c r="J822" s="15"/>
    </row>
    <row r="823">
      <c r="G823" s="15"/>
      <c r="J823" s="15"/>
    </row>
    <row r="824">
      <c r="G824" s="15"/>
      <c r="J824" s="15"/>
    </row>
    <row r="825">
      <c r="G825" s="15"/>
      <c r="J825" s="15"/>
    </row>
    <row r="826">
      <c r="G826" s="15"/>
      <c r="J826" s="15"/>
    </row>
    <row r="827">
      <c r="G827" s="15"/>
      <c r="J827" s="15"/>
    </row>
    <row r="828">
      <c r="G828" s="15"/>
      <c r="J828" s="15"/>
    </row>
    <row r="829">
      <c r="G829" s="15"/>
      <c r="J829" s="15"/>
    </row>
    <row r="830">
      <c r="G830" s="15"/>
      <c r="J830" s="15"/>
    </row>
    <row r="831">
      <c r="G831" s="15"/>
      <c r="J831" s="15"/>
    </row>
    <row r="832">
      <c r="G832" s="15"/>
      <c r="J832" s="15"/>
    </row>
    <row r="833">
      <c r="G833" s="15"/>
      <c r="J833" s="15"/>
    </row>
    <row r="834">
      <c r="G834" s="15"/>
      <c r="J834" s="15"/>
    </row>
    <row r="835">
      <c r="G835" s="15"/>
      <c r="J835" s="15"/>
    </row>
    <row r="836">
      <c r="G836" s="15"/>
      <c r="J836" s="15"/>
    </row>
    <row r="837">
      <c r="G837" s="15"/>
      <c r="J837" s="15"/>
    </row>
    <row r="838">
      <c r="G838" s="15"/>
      <c r="J838" s="15"/>
    </row>
    <row r="839">
      <c r="G839" s="15"/>
      <c r="J839" s="15"/>
    </row>
    <row r="840">
      <c r="G840" s="15"/>
      <c r="J840" s="15"/>
    </row>
    <row r="841">
      <c r="G841" s="15"/>
      <c r="J841" s="15"/>
    </row>
    <row r="842">
      <c r="G842" s="15"/>
      <c r="J842" s="15"/>
    </row>
    <row r="843">
      <c r="G843" s="15"/>
      <c r="J843" s="15"/>
    </row>
    <row r="844">
      <c r="G844" s="15"/>
      <c r="J844" s="15"/>
    </row>
    <row r="845">
      <c r="G845" s="15"/>
      <c r="J845" s="15"/>
    </row>
    <row r="846">
      <c r="G846" s="15"/>
      <c r="J846" s="15"/>
    </row>
    <row r="847">
      <c r="G847" s="15"/>
      <c r="J847" s="15"/>
    </row>
    <row r="848">
      <c r="G848" s="15"/>
      <c r="J848" s="15"/>
    </row>
    <row r="849">
      <c r="G849" s="15"/>
      <c r="J849" s="15"/>
    </row>
    <row r="850">
      <c r="G850" s="15"/>
      <c r="J850" s="15"/>
    </row>
    <row r="851">
      <c r="G851" s="15"/>
      <c r="J851" s="15"/>
    </row>
    <row r="852">
      <c r="G852" s="15"/>
      <c r="J852" s="15"/>
    </row>
    <row r="853">
      <c r="G853" s="15"/>
      <c r="J853" s="15"/>
    </row>
    <row r="854">
      <c r="G854" s="15"/>
      <c r="J854" s="15"/>
    </row>
    <row r="855">
      <c r="G855" s="15"/>
      <c r="J855" s="15"/>
    </row>
    <row r="856">
      <c r="G856" s="15"/>
      <c r="J856" s="15"/>
    </row>
    <row r="857">
      <c r="G857" s="15"/>
      <c r="J857" s="15"/>
    </row>
    <row r="858">
      <c r="G858" s="15"/>
      <c r="J858" s="15"/>
    </row>
    <row r="859">
      <c r="G859" s="15"/>
      <c r="J859" s="15"/>
    </row>
    <row r="860">
      <c r="G860" s="15"/>
      <c r="J860" s="15"/>
    </row>
    <row r="861">
      <c r="G861" s="15"/>
      <c r="J861" s="15"/>
    </row>
    <row r="862">
      <c r="G862" s="15"/>
      <c r="J862" s="15"/>
    </row>
    <row r="863">
      <c r="G863" s="15"/>
      <c r="J863" s="15"/>
    </row>
    <row r="864">
      <c r="G864" s="15"/>
      <c r="J864" s="15"/>
    </row>
    <row r="865">
      <c r="G865" s="15"/>
      <c r="J865" s="15"/>
    </row>
    <row r="866">
      <c r="G866" s="15"/>
      <c r="J866" s="15"/>
    </row>
    <row r="867">
      <c r="G867" s="15"/>
      <c r="J867" s="15"/>
    </row>
    <row r="868">
      <c r="G868" s="15"/>
      <c r="J868" s="15"/>
    </row>
    <row r="869">
      <c r="G869" s="15"/>
      <c r="J869" s="15"/>
    </row>
    <row r="870">
      <c r="G870" s="15"/>
      <c r="J870" s="15"/>
    </row>
    <row r="871">
      <c r="G871" s="15"/>
      <c r="J871" s="15"/>
    </row>
    <row r="872">
      <c r="G872" s="15"/>
      <c r="J872" s="15"/>
    </row>
    <row r="873">
      <c r="G873" s="15"/>
      <c r="J873" s="15"/>
    </row>
    <row r="874">
      <c r="G874" s="15"/>
      <c r="J874" s="15"/>
    </row>
    <row r="875">
      <c r="G875" s="15"/>
      <c r="J875" s="15"/>
    </row>
    <row r="876">
      <c r="G876" s="15"/>
      <c r="J876" s="15"/>
    </row>
    <row r="877">
      <c r="G877" s="15"/>
      <c r="J877" s="15"/>
    </row>
    <row r="878">
      <c r="G878" s="15"/>
      <c r="J878" s="15"/>
    </row>
    <row r="879">
      <c r="G879" s="15"/>
      <c r="J879" s="15"/>
    </row>
    <row r="880">
      <c r="G880" s="15"/>
      <c r="J880" s="15"/>
    </row>
    <row r="881">
      <c r="G881" s="15"/>
      <c r="J881" s="15"/>
    </row>
    <row r="882">
      <c r="G882" s="15"/>
      <c r="J882" s="15"/>
    </row>
    <row r="883">
      <c r="G883" s="15"/>
      <c r="J883" s="15"/>
    </row>
    <row r="884">
      <c r="G884" s="15"/>
      <c r="J884" s="15"/>
    </row>
    <row r="885">
      <c r="G885" s="15"/>
      <c r="J885" s="15"/>
    </row>
    <row r="886">
      <c r="G886" s="15"/>
      <c r="J886" s="15"/>
    </row>
    <row r="887">
      <c r="G887" s="15"/>
      <c r="J887" s="15"/>
    </row>
    <row r="888">
      <c r="G888" s="15"/>
      <c r="J888" s="15"/>
    </row>
    <row r="889">
      <c r="G889" s="15"/>
      <c r="J889" s="15"/>
    </row>
    <row r="890">
      <c r="G890" s="15"/>
      <c r="J890" s="15"/>
    </row>
    <row r="891">
      <c r="G891" s="15"/>
      <c r="J891" s="15"/>
    </row>
    <row r="892">
      <c r="G892" s="15"/>
      <c r="J892" s="15"/>
    </row>
    <row r="893">
      <c r="G893" s="15"/>
      <c r="J893" s="15"/>
    </row>
    <row r="894">
      <c r="G894" s="15"/>
      <c r="J894" s="15"/>
    </row>
    <row r="895">
      <c r="G895" s="15"/>
      <c r="J895" s="15"/>
    </row>
    <row r="896">
      <c r="G896" s="15"/>
      <c r="J896" s="15"/>
    </row>
    <row r="897">
      <c r="G897" s="15"/>
      <c r="J897" s="15"/>
    </row>
    <row r="898">
      <c r="G898" s="15"/>
      <c r="J898" s="15"/>
    </row>
    <row r="899">
      <c r="G899" s="15"/>
      <c r="J899" s="15"/>
    </row>
    <row r="900">
      <c r="G900" s="15"/>
      <c r="J900" s="15"/>
    </row>
    <row r="901">
      <c r="G901" s="15"/>
      <c r="J901" s="15"/>
    </row>
    <row r="902">
      <c r="G902" s="15"/>
      <c r="J902" s="15"/>
    </row>
    <row r="903">
      <c r="G903" s="15"/>
      <c r="J903" s="15"/>
    </row>
    <row r="904">
      <c r="G904" s="15"/>
      <c r="J904" s="15"/>
    </row>
    <row r="905">
      <c r="G905" s="15"/>
      <c r="J905" s="15"/>
    </row>
    <row r="906">
      <c r="G906" s="15"/>
      <c r="J906" s="15"/>
    </row>
    <row r="907">
      <c r="G907" s="15"/>
      <c r="J907" s="15"/>
    </row>
    <row r="908">
      <c r="G908" s="15"/>
      <c r="J908" s="15"/>
    </row>
    <row r="909">
      <c r="G909" s="15"/>
      <c r="J909" s="15"/>
    </row>
    <row r="910">
      <c r="G910" s="15"/>
      <c r="J910" s="15"/>
    </row>
    <row r="911">
      <c r="G911" s="15"/>
      <c r="J911" s="15"/>
    </row>
    <row r="912">
      <c r="G912" s="15"/>
      <c r="J912" s="15"/>
    </row>
    <row r="913">
      <c r="G913" s="15"/>
      <c r="J913" s="15"/>
    </row>
    <row r="914">
      <c r="G914" s="15"/>
      <c r="J914" s="15"/>
    </row>
    <row r="915">
      <c r="G915" s="15"/>
      <c r="J915" s="15"/>
    </row>
    <row r="916">
      <c r="G916" s="15"/>
      <c r="J916" s="15"/>
    </row>
    <row r="917">
      <c r="G917" s="15"/>
      <c r="J917" s="15"/>
    </row>
    <row r="918">
      <c r="G918" s="15"/>
      <c r="J918" s="15"/>
    </row>
    <row r="919">
      <c r="G919" s="15"/>
      <c r="J919" s="15"/>
    </row>
    <row r="920">
      <c r="G920" s="15"/>
      <c r="J920" s="15"/>
    </row>
    <row r="921">
      <c r="G921" s="15"/>
      <c r="J921" s="15"/>
    </row>
    <row r="922">
      <c r="G922" s="15"/>
      <c r="J922" s="15"/>
    </row>
    <row r="923">
      <c r="G923" s="15"/>
      <c r="J923" s="15"/>
    </row>
    <row r="924">
      <c r="G924" s="15"/>
      <c r="J924" s="15"/>
    </row>
    <row r="925">
      <c r="G925" s="15"/>
      <c r="J925" s="15"/>
    </row>
    <row r="926">
      <c r="G926" s="15"/>
      <c r="J926" s="15"/>
    </row>
    <row r="927">
      <c r="G927" s="15"/>
      <c r="J927" s="15"/>
    </row>
    <row r="928">
      <c r="G928" s="15"/>
      <c r="J928" s="15"/>
    </row>
    <row r="929">
      <c r="G929" s="15"/>
      <c r="J929" s="15"/>
    </row>
    <row r="930">
      <c r="G930" s="15"/>
      <c r="J930" s="15"/>
    </row>
    <row r="931">
      <c r="G931" s="15"/>
      <c r="J931" s="15"/>
    </row>
    <row r="932">
      <c r="G932" s="15"/>
      <c r="J932" s="15"/>
    </row>
    <row r="933">
      <c r="G933" s="15"/>
      <c r="J933" s="15"/>
    </row>
    <row r="934">
      <c r="G934" s="15"/>
      <c r="J934" s="15"/>
    </row>
    <row r="935">
      <c r="G935" s="15"/>
      <c r="J935" s="15"/>
    </row>
    <row r="936">
      <c r="G936" s="15"/>
      <c r="J936" s="15"/>
    </row>
    <row r="937">
      <c r="G937" s="15"/>
      <c r="J937" s="15"/>
    </row>
    <row r="938">
      <c r="G938" s="15"/>
      <c r="J938" s="15"/>
    </row>
    <row r="939">
      <c r="G939" s="15"/>
      <c r="J939" s="15"/>
    </row>
    <row r="940">
      <c r="G940" s="15"/>
      <c r="J940" s="15"/>
    </row>
    <row r="941">
      <c r="G941" s="15"/>
      <c r="J941" s="15"/>
    </row>
    <row r="942">
      <c r="G942" s="15"/>
      <c r="J942" s="15"/>
    </row>
    <row r="943">
      <c r="G943" s="15"/>
      <c r="J943" s="15"/>
    </row>
    <row r="944">
      <c r="G944" s="15"/>
      <c r="J944" s="15"/>
    </row>
    <row r="945">
      <c r="G945" s="15"/>
      <c r="J945" s="15"/>
    </row>
    <row r="946">
      <c r="G946" s="15"/>
      <c r="J946" s="15"/>
    </row>
    <row r="947">
      <c r="G947" s="15"/>
      <c r="J947" s="15"/>
    </row>
    <row r="948">
      <c r="G948" s="15"/>
      <c r="J948" s="15"/>
    </row>
    <row r="949">
      <c r="G949" s="15"/>
      <c r="J949" s="15"/>
    </row>
    <row r="950">
      <c r="G950" s="15"/>
      <c r="J950" s="15"/>
    </row>
    <row r="951">
      <c r="G951" s="15"/>
      <c r="J951" s="15"/>
    </row>
    <row r="952">
      <c r="G952" s="15"/>
      <c r="J952" s="15"/>
    </row>
    <row r="953">
      <c r="G953" s="15"/>
      <c r="J953" s="15"/>
    </row>
    <row r="954">
      <c r="G954" s="15"/>
      <c r="J954" s="15"/>
    </row>
    <row r="955">
      <c r="G955" s="15"/>
      <c r="J955" s="15"/>
    </row>
    <row r="956">
      <c r="G956" s="15"/>
      <c r="J956" s="15"/>
    </row>
    <row r="957">
      <c r="G957" s="15"/>
      <c r="J957" s="15"/>
    </row>
    <row r="958">
      <c r="G958" s="15"/>
      <c r="J958" s="15"/>
    </row>
    <row r="959">
      <c r="G959" s="15"/>
      <c r="J959" s="15"/>
    </row>
    <row r="960">
      <c r="G960" s="15"/>
      <c r="J960" s="15"/>
    </row>
    <row r="961">
      <c r="G961" s="15"/>
      <c r="J961" s="15"/>
    </row>
    <row r="962">
      <c r="G962" s="15"/>
      <c r="J962" s="15"/>
    </row>
    <row r="963">
      <c r="G963" s="15"/>
      <c r="J963" s="15"/>
    </row>
    <row r="964">
      <c r="G964" s="15"/>
      <c r="J964" s="15"/>
    </row>
    <row r="965">
      <c r="G965" s="15"/>
      <c r="J965" s="15"/>
    </row>
    <row r="966">
      <c r="G966" s="15"/>
      <c r="J966" s="15"/>
    </row>
    <row r="967">
      <c r="G967" s="15"/>
      <c r="J967" s="15"/>
    </row>
    <row r="968">
      <c r="G968" s="15"/>
      <c r="J968" s="15"/>
    </row>
    <row r="969">
      <c r="G969" s="15"/>
      <c r="J969" s="15"/>
    </row>
    <row r="970">
      <c r="G970" s="15"/>
      <c r="J970" s="15"/>
    </row>
    <row r="971">
      <c r="G971" s="15"/>
      <c r="J971" s="15"/>
    </row>
    <row r="972">
      <c r="G972" s="15"/>
      <c r="J972" s="15"/>
    </row>
    <row r="973">
      <c r="G973" s="15"/>
      <c r="J973" s="15"/>
    </row>
    <row r="974">
      <c r="G974" s="15"/>
      <c r="J974" s="15"/>
    </row>
    <row r="975">
      <c r="G975" s="15"/>
      <c r="J975" s="15"/>
    </row>
    <row r="976">
      <c r="G976" s="15"/>
      <c r="J976" s="15"/>
    </row>
    <row r="977">
      <c r="G977" s="15"/>
      <c r="J977" s="15"/>
    </row>
    <row r="978">
      <c r="G978" s="15"/>
      <c r="J978" s="15"/>
    </row>
    <row r="979">
      <c r="G979" s="15"/>
      <c r="J979" s="15"/>
    </row>
    <row r="980">
      <c r="G980" s="15"/>
      <c r="J980" s="15"/>
    </row>
    <row r="981">
      <c r="G981" s="15"/>
      <c r="J981" s="15"/>
    </row>
    <row r="982">
      <c r="G982" s="15"/>
      <c r="J982" s="15"/>
    </row>
    <row r="983">
      <c r="G983" s="15"/>
      <c r="J983" s="15"/>
    </row>
    <row r="984">
      <c r="G984" s="15"/>
      <c r="J984" s="15"/>
    </row>
    <row r="985">
      <c r="G985" s="15"/>
      <c r="J985" s="15"/>
    </row>
    <row r="986">
      <c r="G986" s="15"/>
      <c r="J986" s="15"/>
    </row>
    <row r="987">
      <c r="G987" s="15"/>
      <c r="J987" s="15"/>
    </row>
    <row r="988">
      <c r="G988" s="15"/>
      <c r="J988" s="15"/>
    </row>
    <row r="989">
      <c r="G989" s="15"/>
      <c r="J989" s="15"/>
    </row>
    <row r="990">
      <c r="G990" s="15"/>
      <c r="J990" s="15"/>
    </row>
    <row r="991">
      <c r="G991" s="15"/>
      <c r="J991" s="15"/>
    </row>
    <row r="992">
      <c r="G992" s="15"/>
      <c r="J992" s="15"/>
    </row>
    <row r="993">
      <c r="G993" s="15"/>
      <c r="J993" s="15"/>
    </row>
    <row r="994">
      <c r="G994" s="15"/>
      <c r="J994" s="15"/>
    </row>
    <row r="995">
      <c r="G995" s="15"/>
      <c r="J995" s="15"/>
    </row>
    <row r="996">
      <c r="G996" s="15"/>
      <c r="J996" s="15"/>
    </row>
    <row r="997">
      <c r="G997" s="15"/>
      <c r="J997" s="15"/>
    </row>
    <row r="998">
      <c r="G998" s="15"/>
      <c r="J998" s="15"/>
    </row>
    <row r="999">
      <c r="G999" s="15"/>
      <c r="J999" s="15"/>
    </row>
    <row r="1000">
      <c r="G1000" s="15"/>
      <c r="J1000" s="15"/>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4199</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IFERROR(__xludf.DUMMYFUNCTION("IMPORTHTML(""https://fr.wikipedia.org/wiki/Démographie_de_la_France"",""table"")"),"")</f>
        <v/>
      </c>
      <c r="B1" t="str">
        <f>IFERROR(__xludf.DUMMYFUNCTION("""COMPUTED_VALUE"""),"Population (1er janvier)")</f>
        <v>Population (1er janvier)</v>
      </c>
      <c r="C1" t="str">
        <f>IFERROR(__xludf.DUMMYFUNCTION("""COMPUTED_VALUE"""),"Naissances")</f>
        <v>Naissances</v>
      </c>
      <c r="D1" t="str">
        <f>IFERROR(__xludf.DUMMYFUNCTION("""COMPUTED_VALUE"""),"Décès")</f>
        <v>Décès</v>
      </c>
      <c r="E1" t="str">
        <f>IFERROR(__xludf.DUMMYFUNCTION("""COMPUTED_VALUE"""),"Solde naturel")</f>
        <v>Solde naturel</v>
      </c>
      <c r="F1" t="str">
        <f>IFERROR(__xludf.DUMMYFUNCTION("""COMPUTED_VALUE"""),"Taux de natalité (pour 1000)")</f>
        <v>Taux de natalité (pour 1000)</v>
      </c>
      <c r="G1" t="str">
        <f>IFERROR(__xludf.DUMMYFUNCTION("""COMPUTED_VALUE"""),"Taux de mortalité (pour 1000)")</f>
        <v>Taux de mortalité (pour 1000)</v>
      </c>
      <c r="H1" t="str">
        <f>IFERROR(__xludf.DUMMYFUNCTION("""COMPUTED_VALUE"""),"Accroissement naturel (pour 1000)")</f>
        <v>Accroissement naturel (pour 1000)</v>
      </c>
      <c r="I1" t="str">
        <f>IFERROR(__xludf.DUMMYFUNCTION("""COMPUTED_VALUE"""),"Indice de fécondité[Note 3]")</f>
        <v>Indice de fécondité[Note 3]</v>
      </c>
      <c r="J1" t="str">
        <f>IFERROR(__xludf.DUMMYFUNCTION("""COMPUTED_VALUE"""),"Taux de mortalité infantile (pour 1000 naissances)")</f>
        <v>Taux de mortalité infantile (pour 1000 naissances)</v>
      </c>
      <c r="K1" t="str">
        <f>IFERROR(__xludf.DUMMYFUNCTION("""COMPUTED_VALUE"""),"Espérance de vie (hommes)")</f>
        <v>Espérance de vie (hommes)</v>
      </c>
      <c r="L1" t="str">
        <f>IFERROR(__xludf.DUMMYFUNCTION("""COMPUTED_VALUE"""),"Espérance de vie (femmes)")</f>
        <v>Espérance de vie (femmes)</v>
      </c>
    </row>
    <row r="2">
      <c r="A2">
        <f>IFERROR(__xludf.DUMMYFUNCTION("""COMPUTED_VALUE"""),1900.0)</f>
        <v>1900</v>
      </c>
      <c r="C2">
        <f>IFERROR(__xludf.DUMMYFUNCTION("""COMPUTED_VALUE"""),885200.0)</f>
        <v>885200</v>
      </c>
      <c r="D2">
        <f>IFERROR(__xludf.DUMMYFUNCTION("""COMPUTED_VALUE"""),818900.0)</f>
        <v>818900</v>
      </c>
      <c r="E2">
        <f>IFERROR(__xludf.DUMMYFUNCTION("""COMPUTED_VALUE"""),66300.0)</f>
        <v>66300</v>
      </c>
      <c r="F2">
        <f>IFERROR(__xludf.DUMMYFUNCTION("""COMPUTED_VALUE"""),22.7)</f>
        <v>22.7</v>
      </c>
      <c r="G2">
        <f>IFERROR(__xludf.DUMMYFUNCTION("""COMPUTED_VALUE"""),21.0)</f>
        <v>21</v>
      </c>
      <c r="H2">
        <f>IFERROR(__xludf.DUMMYFUNCTION("""COMPUTED_VALUE"""),1.7)</f>
        <v>1.7</v>
      </c>
      <c r="I2">
        <f>IFERROR(__xludf.DUMMYFUNCTION("""COMPUTED_VALUE"""),2.8)</f>
        <v>2.8</v>
      </c>
    </row>
    <row r="3">
      <c r="A3">
        <f>IFERROR(__xludf.DUMMYFUNCTION("""COMPUTED_VALUE"""),1901.0)</f>
        <v>1901</v>
      </c>
      <c r="B3">
        <f>IFERROR(__xludf.DUMMYFUNCTION("""COMPUTED_VALUE"""),4.071E7)</f>
        <v>40710000</v>
      </c>
      <c r="C3">
        <f>IFERROR(__xludf.DUMMYFUNCTION("""COMPUTED_VALUE"""),917075.0)</f>
        <v>917075</v>
      </c>
      <c r="D3">
        <f>IFERROR(__xludf.DUMMYFUNCTION("""COMPUTED_VALUE"""),825315.0)</f>
        <v>825315</v>
      </c>
      <c r="E3">
        <f>IFERROR(__xludf.DUMMYFUNCTION("""COMPUTED_VALUE"""),91760.0)</f>
        <v>91760</v>
      </c>
      <c r="F3">
        <f>IFERROR(__xludf.DUMMYFUNCTION("""COMPUTED_VALUE"""),22.5)</f>
        <v>22.5</v>
      </c>
      <c r="G3">
        <f>IFERROR(__xludf.DUMMYFUNCTION("""COMPUTED_VALUE"""),20.3)</f>
        <v>20.3</v>
      </c>
      <c r="H3">
        <f>IFERROR(__xludf.DUMMYFUNCTION("""COMPUTED_VALUE"""),2.3)</f>
        <v>2.3</v>
      </c>
      <c r="I3">
        <f>IFERROR(__xludf.DUMMYFUNCTION("""COMPUTED_VALUE"""),2.9)</f>
        <v>2.9</v>
      </c>
    </row>
    <row r="4">
      <c r="A4">
        <f>IFERROR(__xludf.DUMMYFUNCTION("""COMPUTED_VALUE"""),1902.0)</f>
        <v>1902</v>
      </c>
      <c r="B4">
        <f>IFERROR(__xludf.DUMMYFUNCTION("""COMPUTED_VALUE"""),4.081E7)</f>
        <v>40810000</v>
      </c>
      <c r="C4">
        <f>IFERROR(__xludf.DUMMYFUNCTION("""COMPUTED_VALUE"""),904434.0)</f>
        <v>904434</v>
      </c>
      <c r="D4">
        <f>IFERROR(__xludf.DUMMYFUNCTION("""COMPUTED_VALUE"""),801379.0)</f>
        <v>801379</v>
      </c>
      <c r="E4">
        <f>IFERROR(__xludf.DUMMYFUNCTION("""COMPUTED_VALUE"""),103055.0)</f>
        <v>103055</v>
      </c>
      <c r="F4">
        <f>IFERROR(__xludf.DUMMYFUNCTION("""COMPUTED_VALUE"""),22.2)</f>
        <v>22.2</v>
      </c>
      <c r="G4">
        <f>IFERROR(__xludf.DUMMYFUNCTION("""COMPUTED_VALUE"""),19.6)</f>
        <v>19.6</v>
      </c>
      <c r="H4">
        <f>IFERROR(__xludf.DUMMYFUNCTION("""COMPUTED_VALUE"""),2.5)</f>
        <v>2.5</v>
      </c>
      <c r="I4">
        <f>IFERROR(__xludf.DUMMYFUNCTION("""COMPUTED_VALUE"""),2.85)</f>
        <v>2.85</v>
      </c>
    </row>
    <row r="5">
      <c r="A5">
        <f>IFERROR(__xludf.DUMMYFUNCTION("""COMPUTED_VALUE"""),1903.0)</f>
        <v>1903</v>
      </c>
      <c r="B5">
        <f>IFERROR(__xludf.DUMMYFUNCTION("""COMPUTED_VALUE"""),4.091E7)</f>
        <v>40910000</v>
      </c>
      <c r="C5">
        <f>IFERROR(__xludf.DUMMYFUNCTION("""COMPUTED_VALUE"""),884498.0)</f>
        <v>884498</v>
      </c>
      <c r="D5">
        <f>IFERROR(__xludf.DUMMYFUNCTION("""COMPUTED_VALUE"""),794566.0)</f>
        <v>794566</v>
      </c>
      <c r="E5">
        <f>IFERROR(__xludf.DUMMYFUNCTION("""COMPUTED_VALUE"""),89932.0)</f>
        <v>89932</v>
      </c>
      <c r="F5">
        <f>IFERROR(__xludf.DUMMYFUNCTION("""COMPUTED_VALUE"""),21.6)</f>
        <v>21.6</v>
      </c>
      <c r="G5">
        <f>IFERROR(__xludf.DUMMYFUNCTION("""COMPUTED_VALUE"""),19.4)</f>
        <v>19.4</v>
      </c>
      <c r="H5">
        <f>IFERROR(__xludf.DUMMYFUNCTION("""COMPUTED_VALUE"""),2.2)</f>
        <v>2.2</v>
      </c>
      <c r="I5">
        <f>IFERROR(__xludf.DUMMYFUNCTION("""COMPUTED_VALUE"""),2.78)</f>
        <v>2.78</v>
      </c>
    </row>
    <row r="6">
      <c r="A6">
        <f>IFERROR(__xludf.DUMMYFUNCTION("""COMPUTED_VALUE"""),1904.0)</f>
        <v>1904</v>
      </c>
      <c r="B6">
        <f>IFERROR(__xludf.DUMMYFUNCTION("""COMPUTED_VALUE"""),4.1E7)</f>
        <v>41000000</v>
      </c>
      <c r="C6">
        <f>IFERROR(__xludf.DUMMYFUNCTION("""COMPUTED_VALUE"""),877091.0)</f>
        <v>877091</v>
      </c>
      <c r="D6">
        <f>IFERROR(__xludf.DUMMYFUNCTION("""COMPUTED_VALUE"""),802536.0)</f>
        <v>802536</v>
      </c>
      <c r="E6">
        <f>IFERROR(__xludf.DUMMYFUNCTION("""COMPUTED_VALUE"""),74555.0)</f>
        <v>74555</v>
      </c>
      <c r="F6">
        <f>IFERROR(__xludf.DUMMYFUNCTION("""COMPUTED_VALUE"""),21.4)</f>
        <v>21.4</v>
      </c>
      <c r="G6">
        <f>IFERROR(__xludf.DUMMYFUNCTION("""COMPUTED_VALUE"""),19.6)</f>
        <v>19.6</v>
      </c>
      <c r="H6">
        <f>IFERROR(__xludf.DUMMYFUNCTION("""COMPUTED_VALUE"""),1.8)</f>
        <v>1.8</v>
      </c>
      <c r="I6">
        <f>IFERROR(__xludf.DUMMYFUNCTION("""COMPUTED_VALUE"""),2.75)</f>
        <v>2.75</v>
      </c>
    </row>
    <row r="7">
      <c r="A7">
        <f>IFERROR(__xludf.DUMMYFUNCTION("""COMPUTED_VALUE"""),1905.0)</f>
        <v>1905</v>
      </c>
      <c r="B7">
        <f>IFERROR(__xludf.DUMMYFUNCTION("""COMPUTED_VALUE"""),4.105E7)</f>
        <v>41050000</v>
      </c>
      <c r="C7">
        <f>IFERROR(__xludf.DUMMYFUNCTION("""COMPUTED_VALUE"""),865604.0)</f>
        <v>865604</v>
      </c>
      <c r="D7">
        <f>IFERROR(__xludf.DUMMYFUNCTION("""COMPUTED_VALUE"""),812338.0)</f>
        <v>812338</v>
      </c>
      <c r="E7">
        <f>IFERROR(__xludf.DUMMYFUNCTION("""COMPUTED_VALUE"""),53266.0)</f>
        <v>53266</v>
      </c>
      <c r="F7">
        <f>IFERROR(__xludf.DUMMYFUNCTION("""COMPUTED_VALUE"""),21.1)</f>
        <v>21.1</v>
      </c>
      <c r="G7">
        <f>IFERROR(__xludf.DUMMYFUNCTION("""COMPUTED_VALUE"""),19.8)</f>
        <v>19.8</v>
      </c>
      <c r="H7">
        <f>IFERROR(__xludf.DUMMYFUNCTION("""COMPUTED_VALUE"""),1.3)</f>
        <v>1.3</v>
      </c>
      <c r="I7">
        <f>IFERROR(__xludf.DUMMYFUNCTION("""COMPUTED_VALUE"""),2.71)</f>
        <v>2.71</v>
      </c>
    </row>
    <row r="8">
      <c r="A8">
        <f>IFERROR(__xludf.DUMMYFUNCTION("""COMPUTED_VALUE"""),1906.0)</f>
        <v>1906</v>
      </c>
      <c r="B8">
        <f>IFERROR(__xludf.DUMMYFUNCTION("""COMPUTED_VALUE"""),4.11E7)</f>
        <v>41100000</v>
      </c>
      <c r="C8">
        <f>IFERROR(__xludf.DUMMYFUNCTION("""COMPUTED_VALUE"""),864745.0)</f>
        <v>864745</v>
      </c>
      <c r="D8">
        <f>IFERROR(__xludf.DUMMYFUNCTION("""COMPUTED_VALUE"""),820051.0)</f>
        <v>820051</v>
      </c>
      <c r="E8">
        <f>IFERROR(__xludf.DUMMYFUNCTION("""COMPUTED_VALUE"""),44694.0)</f>
        <v>44694</v>
      </c>
      <c r="F8">
        <f>IFERROR(__xludf.DUMMYFUNCTION("""COMPUTED_VALUE"""),21.0)</f>
        <v>21</v>
      </c>
      <c r="G8">
        <f>IFERROR(__xludf.DUMMYFUNCTION("""COMPUTED_VALUE"""),20.0)</f>
        <v>20</v>
      </c>
      <c r="H8">
        <f>IFERROR(__xludf.DUMMYFUNCTION("""COMPUTED_VALUE"""),1.1)</f>
        <v>1.1</v>
      </c>
      <c r="I8">
        <f>IFERROR(__xludf.DUMMYFUNCTION("""COMPUTED_VALUE"""),2.7)</f>
        <v>2.7</v>
      </c>
    </row>
    <row r="9">
      <c r="A9">
        <f>IFERROR(__xludf.DUMMYFUNCTION("""COMPUTED_VALUE"""),1907.0)</f>
        <v>1907</v>
      </c>
      <c r="B9">
        <f>IFERROR(__xludf.DUMMYFUNCTION("""COMPUTED_VALUE"""),4.11E7)</f>
        <v>41100000</v>
      </c>
      <c r="C9">
        <f>IFERROR(__xludf.DUMMYFUNCTION("""COMPUTED_VALUE"""),829632.0)</f>
        <v>829632</v>
      </c>
      <c r="D9">
        <f>IFERROR(__xludf.DUMMYFUNCTION("""COMPUTED_VALUE"""),830871.0)</f>
        <v>830871</v>
      </c>
      <c r="E9">
        <f>IFERROR(__xludf.DUMMYFUNCTION("""COMPUTED_VALUE"""),-1239.0)</f>
        <v>-1239</v>
      </c>
      <c r="F9">
        <f>IFERROR(__xludf.DUMMYFUNCTION("""COMPUTED_VALUE"""),20.2)</f>
        <v>20.2</v>
      </c>
      <c r="G9">
        <f>IFERROR(__xludf.DUMMYFUNCTION("""COMPUTED_VALUE"""),20.2)</f>
        <v>20.2</v>
      </c>
      <c r="H9">
        <f>IFERROR(__xludf.DUMMYFUNCTION("""COMPUTED_VALUE"""),0.0)</f>
        <v>0</v>
      </c>
      <c r="I9">
        <f>IFERROR(__xludf.DUMMYFUNCTION("""COMPUTED_VALUE"""),2.58)</f>
        <v>2.58</v>
      </c>
    </row>
    <row r="10">
      <c r="A10">
        <f>IFERROR(__xludf.DUMMYFUNCTION("""COMPUTED_VALUE"""),1908.0)</f>
        <v>1908</v>
      </c>
      <c r="B10">
        <f>IFERROR(__xludf.DUMMYFUNCTION("""COMPUTED_VALUE"""),4.119E7)</f>
        <v>41190000</v>
      </c>
      <c r="C10">
        <f>IFERROR(__xludf.DUMMYFUNCTION("""COMPUTED_VALUE"""),848982.0)</f>
        <v>848982</v>
      </c>
      <c r="D10">
        <f>IFERROR(__xludf.DUMMYFUNCTION("""COMPUTED_VALUE"""),784415.0)</f>
        <v>784415</v>
      </c>
      <c r="E10">
        <f>IFERROR(__xludf.DUMMYFUNCTION("""COMPUTED_VALUE"""),64567.0)</f>
        <v>64567</v>
      </c>
      <c r="F10">
        <f>IFERROR(__xludf.DUMMYFUNCTION("""COMPUTED_VALUE"""),20.6)</f>
        <v>20.6</v>
      </c>
      <c r="G10">
        <f>IFERROR(__xludf.DUMMYFUNCTION("""COMPUTED_VALUE"""),19.0)</f>
        <v>19</v>
      </c>
      <c r="H10">
        <f>IFERROR(__xludf.DUMMYFUNCTION("""COMPUTED_VALUE"""),1.6)</f>
        <v>1.6</v>
      </c>
      <c r="I10">
        <f>IFERROR(__xludf.DUMMYFUNCTION("""COMPUTED_VALUE"""),2.64)</f>
        <v>2.64</v>
      </c>
    </row>
    <row r="11">
      <c r="A11">
        <f>IFERROR(__xludf.DUMMYFUNCTION("""COMPUTED_VALUE"""),1909.0)</f>
        <v>1909</v>
      </c>
      <c r="B11">
        <f>IFERROR(__xludf.DUMMYFUNCTION("""COMPUTED_VALUE"""),4.124E7)</f>
        <v>41240000</v>
      </c>
      <c r="C11">
        <f>IFERROR(__xludf.DUMMYFUNCTION("""COMPUTED_VALUE"""),824739.0)</f>
        <v>824739</v>
      </c>
      <c r="D11">
        <f>IFERROR(__xludf.DUMMYFUNCTION("""COMPUTED_VALUE"""),792798.0)</f>
        <v>792798</v>
      </c>
      <c r="E11">
        <f>IFERROR(__xludf.DUMMYFUNCTION("""COMPUTED_VALUE"""),31941.0)</f>
        <v>31941</v>
      </c>
      <c r="F11">
        <f>IFERROR(__xludf.DUMMYFUNCTION("""COMPUTED_VALUE"""),20.0)</f>
        <v>20</v>
      </c>
      <c r="G11">
        <f>IFERROR(__xludf.DUMMYFUNCTION("""COMPUTED_VALUE"""),19.2)</f>
        <v>19.2</v>
      </c>
      <c r="H11">
        <f>IFERROR(__xludf.DUMMYFUNCTION("""COMPUTED_VALUE"""),0.8)</f>
        <v>0.8</v>
      </c>
      <c r="I11">
        <f>IFERROR(__xludf.DUMMYFUNCTION("""COMPUTED_VALUE"""),2.56)</f>
        <v>2.56</v>
      </c>
    </row>
    <row r="12">
      <c r="A12">
        <f>IFERROR(__xludf.DUMMYFUNCTION("""COMPUTED_VALUE"""),1910.0)</f>
        <v>1910</v>
      </c>
      <c r="B12">
        <f>IFERROR(__xludf.DUMMYFUNCTION("""COMPUTED_VALUE"""),4.135E7)</f>
        <v>41350000</v>
      </c>
      <c r="C12">
        <f>IFERROR(__xludf.DUMMYFUNCTION("""COMPUTED_VALUE"""),828140.0)</f>
        <v>828140</v>
      </c>
      <c r="D12">
        <f>IFERROR(__xludf.DUMMYFUNCTION("""COMPUTED_VALUE"""),737877.0)</f>
        <v>737877</v>
      </c>
      <c r="E12">
        <f>IFERROR(__xludf.DUMMYFUNCTION("""COMPUTED_VALUE"""),90263.0)</f>
        <v>90263</v>
      </c>
      <c r="F12">
        <f>IFERROR(__xludf.DUMMYFUNCTION("""COMPUTED_VALUE"""),20.0)</f>
        <v>20</v>
      </c>
      <c r="G12">
        <f>IFERROR(__xludf.DUMMYFUNCTION("""COMPUTED_VALUE"""),17.8)</f>
        <v>17.8</v>
      </c>
      <c r="H12">
        <f>IFERROR(__xludf.DUMMYFUNCTION("""COMPUTED_VALUE"""),2.2)</f>
        <v>2.2</v>
      </c>
      <c r="I12">
        <f>IFERROR(__xludf.DUMMYFUNCTION("""COMPUTED_VALUE"""),2.57)</f>
        <v>2.57</v>
      </c>
    </row>
    <row r="13">
      <c r="A13">
        <f>IFERROR(__xludf.DUMMYFUNCTION("""COMPUTED_VALUE"""),1911.0)</f>
        <v>1911</v>
      </c>
      <c r="B13">
        <f>IFERROR(__xludf.DUMMYFUNCTION("""COMPUTED_VALUE"""),4.142E7)</f>
        <v>41420000</v>
      </c>
      <c r="C13">
        <f>IFERROR(__xludf.DUMMYFUNCTION("""COMPUTED_VALUE"""),793506.0)</f>
        <v>793506</v>
      </c>
      <c r="D13">
        <f>IFERROR(__xludf.DUMMYFUNCTION("""COMPUTED_VALUE"""),813653.0)</f>
        <v>813653</v>
      </c>
      <c r="E13">
        <f>IFERROR(__xludf.DUMMYFUNCTION("""COMPUTED_VALUE"""),-20147.0)</f>
        <v>-20147</v>
      </c>
      <c r="F13">
        <f>IFERROR(__xludf.DUMMYFUNCTION("""COMPUTED_VALUE"""),19.2)</f>
        <v>19.2</v>
      </c>
      <c r="G13">
        <f>IFERROR(__xludf.DUMMYFUNCTION("""COMPUTED_VALUE"""),19.6)</f>
        <v>19.6</v>
      </c>
      <c r="H13">
        <f>IFERROR(__xludf.DUMMYFUNCTION("""COMPUTED_VALUE"""),-0.5)</f>
        <v>-0.5</v>
      </c>
      <c r="I13">
        <f>IFERROR(__xludf.DUMMYFUNCTION("""COMPUTED_VALUE"""),2.46)</f>
        <v>2.46</v>
      </c>
    </row>
    <row r="14">
      <c r="A14">
        <f>IFERROR(__xludf.DUMMYFUNCTION("""COMPUTED_VALUE"""),1912.0)</f>
        <v>1912</v>
      </c>
      <c r="B14">
        <f>IFERROR(__xludf.DUMMYFUNCTION("""COMPUTED_VALUE"""),4.153E7)</f>
        <v>41530000</v>
      </c>
      <c r="C14">
        <f>IFERROR(__xludf.DUMMYFUNCTION("""COMPUTED_VALUE"""),801642.0)</f>
        <v>801642</v>
      </c>
      <c r="D14">
        <f>IFERROR(__xludf.DUMMYFUNCTION("""COMPUTED_VALUE"""),726848.0)</f>
        <v>726848</v>
      </c>
      <c r="E14">
        <f>IFERROR(__xludf.DUMMYFUNCTION("""COMPUTED_VALUE"""),74794.0)</f>
        <v>74794</v>
      </c>
      <c r="F14">
        <f>IFERROR(__xludf.DUMMYFUNCTION("""COMPUTED_VALUE"""),19.3)</f>
        <v>19.3</v>
      </c>
      <c r="G14">
        <f>IFERROR(__xludf.DUMMYFUNCTION("""COMPUTED_VALUE"""),17.5)</f>
        <v>17.5</v>
      </c>
      <c r="H14">
        <f>IFERROR(__xludf.DUMMYFUNCTION("""COMPUTED_VALUE"""),1.8)</f>
        <v>1.8</v>
      </c>
      <c r="I14">
        <f>IFERROR(__xludf.DUMMYFUNCTION("""COMPUTED_VALUE"""),2.49)</f>
        <v>2.49</v>
      </c>
    </row>
    <row r="15">
      <c r="A15">
        <f>IFERROR(__xludf.DUMMYFUNCTION("""COMPUTED_VALUE"""),1913.0)</f>
        <v>1913</v>
      </c>
      <c r="B15">
        <f>IFERROR(__xludf.DUMMYFUNCTION("""COMPUTED_VALUE"""),4.162E7)</f>
        <v>41620000</v>
      </c>
      <c r="C15">
        <f>IFERROR(__xludf.DUMMYFUNCTION("""COMPUTED_VALUE"""),795851.0)</f>
        <v>795851</v>
      </c>
      <c r="D15">
        <f>IFERROR(__xludf.DUMMYFUNCTION("""COMPUTED_VALUE"""),736937.0)</f>
        <v>736937</v>
      </c>
      <c r="E15">
        <f>IFERROR(__xludf.DUMMYFUNCTION("""COMPUTED_VALUE"""),58914.0)</f>
        <v>58914</v>
      </c>
      <c r="F15">
        <f>IFERROR(__xludf.DUMMYFUNCTION("""COMPUTED_VALUE"""),19.1)</f>
        <v>19.1</v>
      </c>
      <c r="G15">
        <f>IFERROR(__xludf.DUMMYFUNCTION("""COMPUTED_VALUE"""),17.7)</f>
        <v>17.7</v>
      </c>
      <c r="H15">
        <f>IFERROR(__xludf.DUMMYFUNCTION("""COMPUTED_VALUE"""),1.4)</f>
        <v>1.4</v>
      </c>
      <c r="I15">
        <f>IFERROR(__xludf.DUMMYFUNCTION("""COMPUTED_VALUE"""),2.47)</f>
        <v>2.47</v>
      </c>
    </row>
    <row r="16">
      <c r="A16">
        <f>IFERROR(__xludf.DUMMYFUNCTION("""COMPUTED_VALUE"""),1914.0)</f>
        <v>1914</v>
      </c>
      <c r="B16">
        <f>IFERROR(__xludf.DUMMYFUNCTION("""COMPUTED_VALUE"""),4.163E7)</f>
        <v>41630000</v>
      </c>
      <c r="C16">
        <f>IFERROR(__xludf.DUMMYFUNCTION("""COMPUTED_VALUE"""),757931.0)</f>
        <v>757931</v>
      </c>
      <c r="D16">
        <f>IFERROR(__xludf.DUMMYFUNCTION("""COMPUTED_VALUE"""),774931.0)</f>
        <v>774931</v>
      </c>
      <c r="E16">
        <f>IFERROR(__xludf.DUMMYFUNCTION("""COMPUTED_VALUE"""),-17000.0)</f>
        <v>-17000</v>
      </c>
      <c r="F16">
        <f>IFERROR(__xludf.DUMMYFUNCTION("""COMPUTED_VALUE"""),18.2)</f>
        <v>18.2</v>
      </c>
      <c r="G16">
        <f>IFERROR(__xludf.DUMMYFUNCTION("""COMPUTED_VALUE"""),18.6)</f>
        <v>18.6</v>
      </c>
      <c r="H16">
        <f>IFERROR(__xludf.DUMMYFUNCTION("""COMPUTED_VALUE"""),-0.4)</f>
        <v>-0.4</v>
      </c>
      <c r="I16">
        <f>IFERROR(__xludf.DUMMYFUNCTION("""COMPUTED_VALUE"""),2.34)</f>
        <v>2.34</v>
      </c>
    </row>
    <row r="17">
      <c r="A17">
        <f>IFERROR(__xludf.DUMMYFUNCTION("""COMPUTED_VALUE"""),1915.0)</f>
        <v>1915</v>
      </c>
      <c r="B17">
        <f>IFERROR(__xludf.DUMMYFUNCTION("""COMPUTED_VALUE"""),4.062E7)</f>
        <v>40620000</v>
      </c>
      <c r="C17">
        <f>IFERROR(__xludf.DUMMYFUNCTION("""COMPUTED_VALUE"""),482968.0)</f>
        <v>482968</v>
      </c>
      <c r="D17">
        <f>IFERROR(__xludf.DUMMYFUNCTION("""COMPUTED_VALUE"""),747968.0)</f>
        <v>747968</v>
      </c>
      <c r="E17">
        <f>IFERROR(__xludf.DUMMYFUNCTION("""COMPUTED_VALUE"""),-265000.0)</f>
        <v>-265000</v>
      </c>
      <c r="F17">
        <f>IFERROR(__xludf.DUMMYFUNCTION("""COMPUTED_VALUE"""),11.9)</f>
        <v>11.9</v>
      </c>
      <c r="G17">
        <f>IFERROR(__xludf.DUMMYFUNCTION("""COMPUTED_VALUE"""),18.4)</f>
        <v>18.4</v>
      </c>
      <c r="H17">
        <f>IFERROR(__xludf.DUMMYFUNCTION("""COMPUTED_VALUE"""),-6.5)</f>
        <v>-6.5</v>
      </c>
      <c r="I17">
        <f>IFERROR(__xludf.DUMMYFUNCTION("""COMPUTED_VALUE"""),1.52)</f>
        <v>1.52</v>
      </c>
    </row>
    <row r="18">
      <c r="A18">
        <f>IFERROR(__xludf.DUMMYFUNCTION("""COMPUTED_VALUE"""),1916.0)</f>
        <v>1916</v>
      </c>
      <c r="B18">
        <f>IFERROR(__xludf.DUMMYFUNCTION("""COMPUTED_VALUE"""),4.002E7)</f>
        <v>40020000</v>
      </c>
      <c r="C18">
        <f>IFERROR(__xludf.DUMMYFUNCTION("""COMPUTED_VALUE"""),384676.0)</f>
        <v>384676</v>
      </c>
      <c r="D18">
        <f>IFERROR(__xludf.DUMMYFUNCTION("""COMPUTED_VALUE"""),697676.0)</f>
        <v>697676</v>
      </c>
      <c r="E18">
        <f>IFERROR(__xludf.DUMMYFUNCTION("""COMPUTED_VALUE"""),-313000.0)</f>
        <v>-313000</v>
      </c>
      <c r="F18">
        <f>IFERROR(__xludf.DUMMYFUNCTION("""COMPUTED_VALUE"""),9.6)</f>
        <v>9.6</v>
      </c>
      <c r="G18">
        <f>IFERROR(__xludf.DUMMYFUNCTION("""COMPUTED_VALUE"""),17.4)</f>
        <v>17.4</v>
      </c>
      <c r="H18">
        <f>IFERROR(__xludf.DUMMYFUNCTION("""COMPUTED_VALUE"""),-7.8)</f>
        <v>-7.8</v>
      </c>
      <c r="I18">
        <f>IFERROR(__xludf.DUMMYFUNCTION("""COMPUTED_VALUE"""),1.23)</f>
        <v>1.23</v>
      </c>
    </row>
    <row r="19">
      <c r="A19">
        <f>IFERROR(__xludf.DUMMYFUNCTION("""COMPUTED_VALUE"""),1917.0)</f>
        <v>1917</v>
      </c>
      <c r="B19">
        <f>IFERROR(__xludf.DUMMYFUNCTION("""COMPUTED_VALUE"""),3.942E7)</f>
        <v>39420000</v>
      </c>
      <c r="C19">
        <f>IFERROR(__xludf.DUMMYFUNCTION("""COMPUTED_VALUE"""),412744.0)</f>
        <v>412744</v>
      </c>
      <c r="D19">
        <f>IFERROR(__xludf.DUMMYFUNCTION("""COMPUTED_VALUE"""),712744.0)</f>
        <v>712744</v>
      </c>
      <c r="E19">
        <f>IFERROR(__xludf.DUMMYFUNCTION("""COMPUTED_VALUE"""),-300000.0)</f>
        <v>-300000</v>
      </c>
      <c r="F19">
        <f>IFERROR(__xludf.DUMMYFUNCTION("""COMPUTED_VALUE"""),10.5)</f>
        <v>10.5</v>
      </c>
      <c r="G19">
        <f>IFERROR(__xludf.DUMMYFUNCTION("""COMPUTED_VALUE"""),18.1)</f>
        <v>18.1</v>
      </c>
      <c r="H19">
        <f>IFERROR(__xludf.DUMMYFUNCTION("""COMPUTED_VALUE"""),-7.6)</f>
        <v>-7.6</v>
      </c>
      <c r="I19">
        <f>IFERROR(__xludf.DUMMYFUNCTION("""COMPUTED_VALUE"""),1.34)</f>
        <v>1.34</v>
      </c>
    </row>
    <row r="20">
      <c r="A20">
        <f>IFERROR(__xludf.DUMMYFUNCTION("""COMPUTED_VALUE"""),1918.0)</f>
        <v>1918</v>
      </c>
      <c r="B20">
        <f>IFERROR(__xludf.DUMMYFUNCTION("""COMPUTED_VALUE"""),3.867E7)</f>
        <v>38670000</v>
      </c>
      <c r="C20">
        <f>IFERROR(__xludf.DUMMYFUNCTION("""COMPUTED_VALUE"""),472816.0)</f>
        <v>472816</v>
      </c>
      <c r="D20">
        <f>IFERROR(__xludf.DUMMYFUNCTION("""COMPUTED_VALUE"""),867816.0)</f>
        <v>867816</v>
      </c>
      <c r="E20">
        <f>IFERROR(__xludf.DUMMYFUNCTION("""COMPUTED_VALUE"""),-395000.0)</f>
        <v>-395000</v>
      </c>
      <c r="F20">
        <f>IFERROR(__xludf.DUMMYFUNCTION("""COMPUTED_VALUE"""),12.2)</f>
        <v>12.2</v>
      </c>
      <c r="G20">
        <f>IFERROR(__xludf.DUMMYFUNCTION("""COMPUTED_VALUE"""),22.4)</f>
        <v>22.4</v>
      </c>
      <c r="H20">
        <f>IFERROR(__xludf.DUMMYFUNCTION("""COMPUTED_VALUE"""),-10.2)</f>
        <v>-10.2</v>
      </c>
      <c r="I20">
        <f>IFERROR(__xludf.DUMMYFUNCTION("""COMPUTED_VALUE"""),1.56)</f>
        <v>1.56</v>
      </c>
    </row>
    <row r="21">
      <c r="A21">
        <f>IFERROR(__xludf.DUMMYFUNCTION("""COMPUTED_VALUE"""),1919.0)</f>
        <v>1919</v>
      </c>
      <c r="B21">
        <f>IFERROR(__xludf.DUMMYFUNCTION("""COMPUTED_VALUE"""),3.86E7)</f>
        <v>38600000</v>
      </c>
      <c r="C21">
        <f>IFERROR(__xludf.DUMMYFUNCTION("""COMPUTED_VALUE"""),506960.0)</f>
        <v>506960</v>
      </c>
      <c r="D21">
        <f>IFERROR(__xludf.DUMMYFUNCTION("""COMPUTED_VALUE"""),739901.0)</f>
        <v>739901</v>
      </c>
      <c r="E21">
        <f>IFERROR(__xludf.DUMMYFUNCTION("""COMPUTED_VALUE"""),-232941.0)</f>
        <v>-232941</v>
      </c>
      <c r="F21">
        <f>IFERROR(__xludf.DUMMYFUNCTION("""COMPUTED_VALUE"""),13.1)</f>
        <v>13.1</v>
      </c>
      <c r="G21">
        <f>IFERROR(__xludf.DUMMYFUNCTION("""COMPUTED_VALUE"""),19.2)</f>
        <v>19.2</v>
      </c>
      <c r="H21">
        <f>IFERROR(__xludf.DUMMYFUNCTION("""COMPUTED_VALUE"""),-6.0)</f>
        <v>-6</v>
      </c>
      <c r="I21">
        <f>IFERROR(__xludf.DUMMYFUNCTION("""COMPUTED_VALUE"""),1.59)</f>
        <v>1.59</v>
      </c>
    </row>
    <row r="22">
      <c r="A22">
        <f>IFERROR(__xludf.DUMMYFUNCTION("""COMPUTED_VALUE"""),1920.0)</f>
        <v>1920</v>
      </c>
      <c r="B22">
        <f>IFERROR(__xludf.DUMMYFUNCTION("""COMPUTED_VALUE"""),3.89E7)</f>
        <v>38900000</v>
      </c>
      <c r="C22">
        <f>IFERROR(__xludf.DUMMYFUNCTION("""COMPUTED_VALUE"""),838137.0)</f>
        <v>838137</v>
      </c>
      <c r="D22">
        <f>IFERROR(__xludf.DUMMYFUNCTION("""COMPUTED_VALUE"""),675676.0)</f>
        <v>675676</v>
      </c>
      <c r="E22">
        <f>IFERROR(__xludf.DUMMYFUNCTION("""COMPUTED_VALUE"""),162461.0)</f>
        <v>162461</v>
      </c>
      <c r="F22">
        <f>IFERROR(__xludf.DUMMYFUNCTION("""COMPUTED_VALUE"""),21.5)</f>
        <v>21.5</v>
      </c>
      <c r="G22">
        <f>IFERROR(__xludf.DUMMYFUNCTION("""COMPUTED_VALUE"""),17.4)</f>
        <v>17.4</v>
      </c>
      <c r="H22">
        <f>IFERROR(__xludf.DUMMYFUNCTION("""COMPUTED_VALUE"""),4.2)</f>
        <v>4.2</v>
      </c>
      <c r="I22">
        <f>IFERROR(__xludf.DUMMYFUNCTION("""COMPUTED_VALUE"""),2.69)</f>
        <v>2.69</v>
      </c>
    </row>
    <row r="23">
      <c r="A23">
        <f>IFERROR(__xludf.DUMMYFUNCTION("""COMPUTED_VALUE"""),1921.0)</f>
        <v>1921</v>
      </c>
      <c r="B23">
        <f>IFERROR(__xludf.DUMMYFUNCTION("""COMPUTED_VALUE"""),3.914E7)</f>
        <v>39140000</v>
      </c>
      <c r="C23">
        <f>IFERROR(__xludf.DUMMYFUNCTION("""COMPUTED_VALUE"""),816555.0)</f>
        <v>816555</v>
      </c>
      <c r="D23">
        <f>IFERROR(__xludf.DUMMYFUNCTION("""COMPUTED_VALUE"""),697904.0)</f>
        <v>697904</v>
      </c>
      <c r="E23">
        <f>IFERROR(__xludf.DUMMYFUNCTION("""COMPUTED_VALUE"""),118651.0)</f>
        <v>118651</v>
      </c>
      <c r="F23">
        <f>IFERROR(__xludf.DUMMYFUNCTION("""COMPUTED_VALUE"""),20.9)</f>
        <v>20.9</v>
      </c>
      <c r="G23">
        <f>IFERROR(__xludf.DUMMYFUNCTION("""COMPUTED_VALUE"""),17.8)</f>
        <v>17.8</v>
      </c>
      <c r="H23">
        <f>IFERROR(__xludf.DUMMYFUNCTION("""COMPUTED_VALUE"""),3.0)</f>
        <v>3</v>
      </c>
      <c r="I23">
        <f>IFERROR(__xludf.DUMMYFUNCTION("""COMPUTED_VALUE"""),2.6)</f>
        <v>2.6</v>
      </c>
    </row>
    <row r="24">
      <c r="A24">
        <f>IFERROR(__xludf.DUMMYFUNCTION("""COMPUTED_VALUE"""),1922.0)</f>
        <v>1922</v>
      </c>
      <c r="B24">
        <f>IFERROR(__xludf.DUMMYFUNCTION("""COMPUTED_VALUE"""),3.931E7)</f>
        <v>39310000</v>
      </c>
      <c r="C24">
        <f>IFERROR(__xludf.DUMMYFUNCTION("""COMPUTED_VALUE"""),764373.0)</f>
        <v>764373</v>
      </c>
      <c r="D24">
        <f>IFERROR(__xludf.DUMMYFUNCTION("""COMPUTED_VALUE"""),692322.0)</f>
        <v>692322</v>
      </c>
      <c r="E24">
        <f>IFERROR(__xludf.DUMMYFUNCTION("""COMPUTED_VALUE"""),72051.0)</f>
        <v>72051</v>
      </c>
      <c r="F24">
        <f>IFERROR(__xludf.DUMMYFUNCTION("""COMPUTED_VALUE"""),19.4)</f>
        <v>19.4</v>
      </c>
      <c r="G24">
        <f>IFERROR(__xludf.DUMMYFUNCTION("""COMPUTED_VALUE"""),17.6)</f>
        <v>17.6</v>
      </c>
      <c r="H24">
        <f>IFERROR(__xludf.DUMMYFUNCTION("""COMPUTED_VALUE"""),1.8)</f>
        <v>1.8</v>
      </c>
      <c r="I24">
        <f>IFERROR(__xludf.DUMMYFUNCTION("""COMPUTED_VALUE"""),2.42)</f>
        <v>2.42</v>
      </c>
    </row>
    <row r="25">
      <c r="A25">
        <f>IFERROR(__xludf.DUMMYFUNCTION("""COMPUTED_VALUE"""),1923.0)</f>
        <v>1923</v>
      </c>
      <c r="B25">
        <f>IFERROR(__xludf.DUMMYFUNCTION("""COMPUTED_VALUE"""),3.975E7)</f>
        <v>39750000</v>
      </c>
      <c r="C25">
        <f>IFERROR(__xludf.DUMMYFUNCTION("""COMPUTED_VALUE"""),765888.0)</f>
        <v>765888</v>
      </c>
      <c r="D25">
        <f>IFERROR(__xludf.DUMMYFUNCTION("""COMPUTED_VALUE"""),670326.0)</f>
        <v>670326</v>
      </c>
      <c r="E25">
        <f>IFERROR(__xludf.DUMMYFUNCTION("""COMPUTED_VALUE"""),95562.0)</f>
        <v>95562</v>
      </c>
      <c r="F25">
        <f>IFERROR(__xludf.DUMMYFUNCTION("""COMPUTED_VALUE"""),19.3)</f>
        <v>19.3</v>
      </c>
      <c r="G25">
        <f>IFERROR(__xludf.DUMMYFUNCTION("""COMPUTED_VALUE"""),16.9)</f>
        <v>16.9</v>
      </c>
      <c r="H25">
        <f>IFERROR(__xludf.DUMMYFUNCTION("""COMPUTED_VALUE"""),2.4)</f>
        <v>2.4</v>
      </c>
      <c r="I25">
        <f>IFERROR(__xludf.DUMMYFUNCTION("""COMPUTED_VALUE"""),2.41)</f>
        <v>2.41</v>
      </c>
    </row>
    <row r="26">
      <c r="A26">
        <f>IFERROR(__xludf.DUMMYFUNCTION("""COMPUTED_VALUE"""),1924.0)</f>
        <v>1924</v>
      </c>
      <c r="B26">
        <f>IFERROR(__xludf.DUMMYFUNCTION("""COMPUTED_VALUE"""),4.017E7)</f>
        <v>40170000</v>
      </c>
      <c r="C26">
        <f>IFERROR(__xludf.DUMMYFUNCTION("""COMPUTED_VALUE"""),757873.0)</f>
        <v>757873</v>
      </c>
      <c r="D26">
        <f>IFERROR(__xludf.DUMMYFUNCTION("""COMPUTED_VALUE"""),683296.0)</f>
        <v>683296</v>
      </c>
      <c r="E26">
        <f>IFERROR(__xludf.DUMMYFUNCTION("""COMPUTED_VALUE"""),74577.0)</f>
        <v>74577</v>
      </c>
      <c r="F26">
        <f>IFERROR(__xludf.DUMMYFUNCTION("""COMPUTED_VALUE"""),18.9)</f>
        <v>18.9</v>
      </c>
      <c r="G26">
        <f>IFERROR(__xludf.DUMMYFUNCTION("""COMPUTED_VALUE"""),17.0)</f>
        <v>17</v>
      </c>
      <c r="H26">
        <f>IFERROR(__xludf.DUMMYFUNCTION("""COMPUTED_VALUE"""),1.9)</f>
        <v>1.9</v>
      </c>
      <c r="I26">
        <f>IFERROR(__xludf.DUMMYFUNCTION("""COMPUTED_VALUE"""),2.36)</f>
        <v>2.36</v>
      </c>
    </row>
    <row r="27">
      <c r="A27">
        <f>IFERROR(__xludf.DUMMYFUNCTION("""COMPUTED_VALUE"""),1925.0)</f>
        <v>1925</v>
      </c>
      <c r="B27">
        <f>IFERROR(__xludf.DUMMYFUNCTION("""COMPUTED_VALUE"""),4.046E7)</f>
        <v>40460000</v>
      </c>
      <c r="C27">
        <f>IFERROR(__xludf.DUMMYFUNCTION("""COMPUTED_VALUE"""),774455.0)</f>
        <v>774455</v>
      </c>
      <c r="D27">
        <f>IFERROR(__xludf.DUMMYFUNCTION("""COMPUTED_VALUE"""),712211.0)</f>
        <v>712211</v>
      </c>
      <c r="E27">
        <f>IFERROR(__xludf.DUMMYFUNCTION("""COMPUTED_VALUE"""),62244.0)</f>
        <v>62244</v>
      </c>
      <c r="F27">
        <f>IFERROR(__xludf.DUMMYFUNCTION("""COMPUTED_VALUE"""),19.1)</f>
        <v>19.1</v>
      </c>
      <c r="G27">
        <f>IFERROR(__xludf.DUMMYFUNCTION("""COMPUTED_VALUE"""),17.6)</f>
        <v>17.6</v>
      </c>
      <c r="H27">
        <f>IFERROR(__xludf.DUMMYFUNCTION("""COMPUTED_VALUE"""),1.5)</f>
        <v>1.5</v>
      </c>
      <c r="I27">
        <f>IFERROR(__xludf.DUMMYFUNCTION("""COMPUTED_VALUE"""),2.39)</f>
        <v>2.39</v>
      </c>
    </row>
    <row r="28">
      <c r="A28">
        <f>IFERROR(__xludf.DUMMYFUNCTION("""COMPUTED_VALUE"""),1926.0)</f>
        <v>1926</v>
      </c>
      <c r="B28">
        <f>IFERROR(__xludf.DUMMYFUNCTION("""COMPUTED_VALUE"""),4.071E7)</f>
        <v>40710000</v>
      </c>
      <c r="C28">
        <f>IFERROR(__xludf.DUMMYFUNCTION("""COMPUTED_VALUE"""),771690.0)</f>
        <v>771690</v>
      </c>
      <c r="D28">
        <f>IFERROR(__xludf.DUMMYFUNCTION("""COMPUTED_VALUE"""),716966.0)</f>
        <v>716966</v>
      </c>
      <c r="E28">
        <f>IFERROR(__xludf.DUMMYFUNCTION("""COMPUTED_VALUE"""),54724.0)</f>
        <v>54724</v>
      </c>
      <c r="F28">
        <f>IFERROR(__xludf.DUMMYFUNCTION("""COMPUTED_VALUE"""),19.0)</f>
        <v>19</v>
      </c>
      <c r="G28">
        <f>IFERROR(__xludf.DUMMYFUNCTION("""COMPUTED_VALUE"""),17.6)</f>
        <v>17.6</v>
      </c>
      <c r="H28">
        <f>IFERROR(__xludf.DUMMYFUNCTION("""COMPUTED_VALUE"""),1.3)</f>
        <v>1.3</v>
      </c>
      <c r="I28">
        <f>IFERROR(__xludf.DUMMYFUNCTION("""COMPUTED_VALUE"""),2.37)</f>
        <v>2.37</v>
      </c>
    </row>
    <row r="29">
      <c r="A29">
        <f>IFERROR(__xludf.DUMMYFUNCTION("""COMPUTED_VALUE"""),1927.0)</f>
        <v>1927</v>
      </c>
      <c r="B29">
        <f>IFERROR(__xludf.DUMMYFUNCTION("""COMPUTED_VALUE"""),4.077E7)</f>
        <v>40770000</v>
      </c>
      <c r="C29">
        <f>IFERROR(__xludf.DUMMYFUNCTION("""COMPUTED_VALUE"""),748102.0)</f>
        <v>748102</v>
      </c>
      <c r="D29">
        <f>IFERROR(__xludf.DUMMYFUNCTION("""COMPUTED_VALUE"""),679809.0)</f>
        <v>679809</v>
      </c>
      <c r="E29">
        <f>IFERROR(__xludf.DUMMYFUNCTION("""COMPUTED_VALUE"""),68293.0)</f>
        <v>68293</v>
      </c>
      <c r="F29">
        <f>IFERROR(__xludf.DUMMYFUNCTION("""COMPUTED_VALUE"""),18.3)</f>
        <v>18.3</v>
      </c>
      <c r="G29">
        <f>IFERROR(__xludf.DUMMYFUNCTION("""COMPUTED_VALUE"""),16.7)</f>
        <v>16.7</v>
      </c>
      <c r="H29">
        <f>IFERROR(__xludf.DUMMYFUNCTION("""COMPUTED_VALUE"""),1.7)</f>
        <v>1.7</v>
      </c>
      <c r="I29">
        <f>IFERROR(__xludf.DUMMYFUNCTION("""COMPUTED_VALUE"""),2.29)</f>
        <v>2.29</v>
      </c>
    </row>
    <row r="30">
      <c r="A30">
        <f>IFERROR(__xludf.DUMMYFUNCTION("""COMPUTED_VALUE"""),1928.0)</f>
        <v>1928</v>
      </c>
      <c r="B30">
        <f>IFERROR(__xludf.DUMMYFUNCTION("""COMPUTED_VALUE"""),4.088E7)</f>
        <v>40880000</v>
      </c>
      <c r="C30">
        <f>IFERROR(__xludf.DUMMYFUNCTION("""COMPUTED_VALUE"""),753570.0)</f>
        <v>753570</v>
      </c>
      <c r="D30">
        <f>IFERROR(__xludf.DUMMYFUNCTION("""COMPUTED_VALUE"""),678269.0)</f>
        <v>678269</v>
      </c>
      <c r="E30">
        <f>IFERROR(__xludf.DUMMYFUNCTION("""COMPUTED_VALUE"""),75301.0)</f>
        <v>75301</v>
      </c>
      <c r="F30">
        <f>IFERROR(__xludf.DUMMYFUNCTION("""COMPUTED_VALUE"""),18.4)</f>
        <v>18.4</v>
      </c>
      <c r="G30">
        <f>IFERROR(__xludf.DUMMYFUNCTION("""COMPUTED_VALUE"""),16.6)</f>
        <v>16.6</v>
      </c>
      <c r="H30">
        <f>IFERROR(__xludf.DUMMYFUNCTION("""COMPUTED_VALUE"""),1.8)</f>
        <v>1.8</v>
      </c>
      <c r="I30">
        <f>IFERROR(__xludf.DUMMYFUNCTION("""COMPUTED_VALUE"""),2.31)</f>
        <v>2.31</v>
      </c>
    </row>
    <row r="31">
      <c r="A31">
        <f>IFERROR(__xludf.DUMMYFUNCTION("""COMPUTED_VALUE"""),1929.0)</f>
        <v>1929</v>
      </c>
      <c r="B31">
        <f>IFERROR(__xludf.DUMMYFUNCTION("""COMPUTED_VALUE"""),4.102E7)</f>
        <v>41020000</v>
      </c>
      <c r="C31">
        <f>IFERROR(__xludf.DUMMYFUNCTION("""COMPUTED_VALUE"""),734140.0)</f>
        <v>734140</v>
      </c>
      <c r="D31">
        <f>IFERROR(__xludf.DUMMYFUNCTION("""COMPUTED_VALUE"""),742732.0)</f>
        <v>742732</v>
      </c>
      <c r="E31">
        <f>IFERROR(__xludf.DUMMYFUNCTION("""COMPUTED_VALUE"""),-8592.0)</f>
        <v>-8592</v>
      </c>
      <c r="F31">
        <f>IFERROR(__xludf.DUMMYFUNCTION("""COMPUTED_VALUE"""),17.9)</f>
        <v>17.9</v>
      </c>
      <c r="G31">
        <f>IFERROR(__xludf.DUMMYFUNCTION("""COMPUTED_VALUE"""),18.1)</f>
        <v>18.1</v>
      </c>
      <c r="H31">
        <f>IFERROR(__xludf.DUMMYFUNCTION("""COMPUTED_VALUE"""),-0.2)</f>
        <v>-0.2</v>
      </c>
      <c r="I31">
        <f>IFERROR(__xludf.DUMMYFUNCTION("""COMPUTED_VALUE"""),2.24)</f>
        <v>2.24</v>
      </c>
    </row>
    <row r="32">
      <c r="A32">
        <f>IFERROR(__xludf.DUMMYFUNCTION("""COMPUTED_VALUE"""),1930.0)</f>
        <v>1930</v>
      </c>
      <c r="B32">
        <f>IFERROR(__xludf.DUMMYFUNCTION("""COMPUTED_VALUE"""),4.134E7)</f>
        <v>41340000</v>
      </c>
      <c r="C32">
        <f>IFERROR(__xludf.DUMMYFUNCTION("""COMPUTED_VALUE"""),754020.0)</f>
        <v>754020</v>
      </c>
      <c r="D32">
        <f>IFERROR(__xludf.DUMMYFUNCTION("""COMPUTED_VALUE"""),652953.0)</f>
        <v>652953</v>
      </c>
      <c r="E32">
        <f>IFERROR(__xludf.DUMMYFUNCTION("""COMPUTED_VALUE"""),101067.0)</f>
        <v>101067</v>
      </c>
      <c r="F32">
        <f>IFERROR(__xludf.DUMMYFUNCTION("""COMPUTED_VALUE"""),18.2)</f>
        <v>18.2</v>
      </c>
      <c r="G32">
        <f>IFERROR(__xludf.DUMMYFUNCTION("""COMPUTED_VALUE"""),15.8)</f>
        <v>15.8</v>
      </c>
      <c r="H32">
        <f>IFERROR(__xludf.DUMMYFUNCTION("""COMPUTED_VALUE"""),2.4)</f>
        <v>2.4</v>
      </c>
      <c r="I32">
        <f>IFERROR(__xludf.DUMMYFUNCTION("""COMPUTED_VALUE"""),2.3)</f>
        <v>2.3</v>
      </c>
    </row>
    <row r="33">
      <c r="A33">
        <f>IFERROR(__xludf.DUMMYFUNCTION("""COMPUTED_VALUE"""),1931.0)</f>
        <v>1931</v>
      </c>
      <c r="B33">
        <f>IFERROR(__xludf.DUMMYFUNCTION("""COMPUTED_VALUE"""),4.155E7)</f>
        <v>41550000</v>
      </c>
      <c r="C33">
        <f>IFERROR(__xludf.DUMMYFUNCTION("""COMPUTED_VALUE"""),737611.0)</f>
        <v>737611</v>
      </c>
      <c r="D33">
        <f>IFERROR(__xludf.DUMMYFUNCTION("""COMPUTED_VALUE"""),682816.0)</f>
        <v>682816</v>
      </c>
      <c r="E33">
        <f>IFERROR(__xludf.DUMMYFUNCTION("""COMPUTED_VALUE"""),54795.0)</f>
        <v>54795</v>
      </c>
      <c r="F33">
        <f>IFERROR(__xludf.DUMMYFUNCTION("""COMPUTED_VALUE"""),17.8)</f>
        <v>17.8</v>
      </c>
      <c r="G33">
        <f>IFERROR(__xludf.DUMMYFUNCTION("""COMPUTED_VALUE"""),16.4)</f>
        <v>16.4</v>
      </c>
      <c r="H33">
        <f>IFERROR(__xludf.DUMMYFUNCTION("""COMPUTED_VALUE"""),1.3)</f>
        <v>1.3</v>
      </c>
      <c r="I33">
        <f>IFERROR(__xludf.DUMMYFUNCTION("""COMPUTED_VALUE"""),2.25)</f>
        <v>2.25</v>
      </c>
    </row>
    <row r="34">
      <c r="A34">
        <f>IFERROR(__xludf.DUMMYFUNCTION("""COMPUTED_VALUE"""),1932.0)</f>
        <v>1932</v>
      </c>
      <c r="B34">
        <f>IFERROR(__xludf.DUMMYFUNCTION("""COMPUTED_VALUE"""),4.151E7)</f>
        <v>41510000</v>
      </c>
      <c r="C34">
        <f>IFERROR(__xludf.DUMMYFUNCTION("""COMPUTED_VALUE"""),726299.0)</f>
        <v>726299</v>
      </c>
      <c r="D34">
        <f>IFERROR(__xludf.DUMMYFUNCTION("""COMPUTED_VALUE"""),663705.0)</f>
        <v>663705</v>
      </c>
      <c r="E34">
        <f>IFERROR(__xludf.DUMMYFUNCTION("""COMPUTED_VALUE"""),62594.0)</f>
        <v>62594</v>
      </c>
      <c r="F34">
        <f>IFERROR(__xludf.DUMMYFUNCTION("""COMPUTED_VALUE"""),17.5)</f>
        <v>17.5</v>
      </c>
      <c r="G34">
        <f>IFERROR(__xludf.DUMMYFUNCTION("""COMPUTED_VALUE"""),16.0)</f>
        <v>16</v>
      </c>
      <c r="H34">
        <f>IFERROR(__xludf.DUMMYFUNCTION("""COMPUTED_VALUE"""),1.5)</f>
        <v>1.5</v>
      </c>
      <c r="I34">
        <f>IFERROR(__xludf.DUMMYFUNCTION("""COMPUTED_VALUE"""),2.23)</f>
        <v>2.23</v>
      </c>
    </row>
    <row r="35">
      <c r="A35">
        <f>IFERROR(__xludf.DUMMYFUNCTION("""COMPUTED_VALUE"""),1933.0)</f>
        <v>1933</v>
      </c>
      <c r="B35">
        <f>IFERROR(__xludf.DUMMYFUNCTION("""COMPUTED_VALUE"""),4.152E7)</f>
        <v>41520000</v>
      </c>
      <c r="C35">
        <f>IFERROR(__xludf.DUMMYFUNCTION("""COMPUTED_VALUE"""),682394.0)</f>
        <v>682394</v>
      </c>
      <c r="D35">
        <f>IFERROR(__xludf.DUMMYFUNCTION("""COMPUTED_VALUE"""),664133.0)</f>
        <v>664133</v>
      </c>
      <c r="E35">
        <f>IFERROR(__xludf.DUMMYFUNCTION("""COMPUTED_VALUE"""),18261.0)</f>
        <v>18261</v>
      </c>
      <c r="F35">
        <f>IFERROR(__xludf.DUMMYFUNCTION("""COMPUTED_VALUE"""),16.4)</f>
        <v>16.4</v>
      </c>
      <c r="G35">
        <f>IFERROR(__xludf.DUMMYFUNCTION("""COMPUTED_VALUE"""),16.0)</f>
        <v>16</v>
      </c>
      <c r="H35">
        <f>IFERROR(__xludf.DUMMYFUNCTION("""COMPUTED_VALUE"""),0.4)</f>
        <v>0.4</v>
      </c>
      <c r="I35">
        <f>IFERROR(__xludf.DUMMYFUNCTION("""COMPUTED_VALUE"""),2.11)</f>
        <v>2.11</v>
      </c>
    </row>
    <row r="36">
      <c r="A36">
        <f>IFERROR(__xludf.DUMMYFUNCTION("""COMPUTED_VALUE"""),1934.0)</f>
        <v>1934</v>
      </c>
      <c r="B36">
        <f>IFERROR(__xludf.DUMMYFUNCTION("""COMPUTED_VALUE"""),4.157E7)</f>
        <v>41570000</v>
      </c>
      <c r="C36">
        <f>IFERROR(__xludf.DUMMYFUNCTION("""COMPUTED_VALUE"""),681518.0)</f>
        <v>681518</v>
      </c>
      <c r="D36">
        <f>IFERROR(__xludf.DUMMYFUNCTION("""COMPUTED_VALUE"""),637713.0)</f>
        <v>637713</v>
      </c>
      <c r="E36">
        <f>IFERROR(__xludf.DUMMYFUNCTION("""COMPUTED_VALUE"""),43805.0)</f>
        <v>43805</v>
      </c>
      <c r="F36">
        <f>IFERROR(__xludf.DUMMYFUNCTION("""COMPUTED_VALUE"""),16.4)</f>
        <v>16.4</v>
      </c>
      <c r="G36">
        <f>IFERROR(__xludf.DUMMYFUNCTION("""COMPUTED_VALUE"""),15.3)</f>
        <v>15.3</v>
      </c>
      <c r="H36">
        <f>IFERROR(__xludf.DUMMYFUNCTION("""COMPUTED_VALUE"""),1.1)</f>
        <v>1.1</v>
      </c>
      <c r="I36">
        <f>IFERROR(__xludf.DUMMYFUNCTION("""COMPUTED_VALUE"""),2.14)</f>
        <v>2.14</v>
      </c>
    </row>
    <row r="37">
      <c r="A37">
        <f>IFERROR(__xludf.DUMMYFUNCTION("""COMPUTED_VALUE"""),1935.0)</f>
        <v>1935</v>
      </c>
      <c r="B37">
        <f>IFERROR(__xludf.DUMMYFUNCTION("""COMPUTED_VALUE"""),4.155E7)</f>
        <v>41550000</v>
      </c>
      <c r="C37">
        <f>IFERROR(__xludf.DUMMYFUNCTION("""COMPUTED_VALUE"""),643870.0)</f>
        <v>643870</v>
      </c>
      <c r="D37">
        <f>IFERROR(__xludf.DUMMYFUNCTION("""COMPUTED_VALUE"""),661722.0)</f>
        <v>661722</v>
      </c>
      <c r="E37">
        <f>IFERROR(__xludf.DUMMYFUNCTION("""COMPUTED_VALUE"""),-17852.0)</f>
        <v>-17852</v>
      </c>
      <c r="F37">
        <f>IFERROR(__xludf.DUMMYFUNCTION("""COMPUTED_VALUE"""),15.5)</f>
        <v>15.5</v>
      </c>
      <c r="G37">
        <f>IFERROR(__xludf.DUMMYFUNCTION("""COMPUTED_VALUE"""),15.9)</f>
        <v>15.9</v>
      </c>
      <c r="H37">
        <f>IFERROR(__xludf.DUMMYFUNCTION("""COMPUTED_VALUE"""),-0.4)</f>
        <v>-0.4</v>
      </c>
      <c r="I37">
        <f>IFERROR(__xludf.DUMMYFUNCTION("""COMPUTED_VALUE"""),2.07)</f>
        <v>2.07</v>
      </c>
    </row>
    <row r="38">
      <c r="A38">
        <f>IFERROR(__xludf.DUMMYFUNCTION("""COMPUTED_VALUE"""),1936.0)</f>
        <v>1936</v>
      </c>
      <c r="B38">
        <f>IFERROR(__xludf.DUMMYFUNCTION("""COMPUTED_VALUE"""),4.15E7)</f>
        <v>41500000</v>
      </c>
      <c r="C38">
        <f>IFERROR(__xludf.DUMMYFUNCTION("""COMPUTED_VALUE"""),634344.0)</f>
        <v>634344</v>
      </c>
      <c r="D38">
        <f>IFERROR(__xludf.DUMMYFUNCTION("""COMPUTED_VALUE"""),645844.0)</f>
        <v>645844</v>
      </c>
      <c r="E38">
        <f>IFERROR(__xludf.DUMMYFUNCTION("""COMPUTED_VALUE"""),-11500.0)</f>
        <v>-11500</v>
      </c>
      <c r="F38">
        <f>IFERROR(__xludf.DUMMYFUNCTION("""COMPUTED_VALUE"""),15.3)</f>
        <v>15.3</v>
      </c>
      <c r="G38">
        <f>IFERROR(__xludf.DUMMYFUNCTION("""COMPUTED_VALUE"""),15.6)</f>
        <v>15.6</v>
      </c>
      <c r="H38">
        <f>IFERROR(__xludf.DUMMYFUNCTION("""COMPUTED_VALUE"""),-0.3)</f>
        <v>-0.3</v>
      </c>
      <c r="I38">
        <f>IFERROR(__xludf.DUMMYFUNCTION("""COMPUTED_VALUE"""),2.09)</f>
        <v>2.09</v>
      </c>
    </row>
    <row r="39">
      <c r="A39">
        <f>IFERROR(__xludf.DUMMYFUNCTION("""COMPUTED_VALUE"""),1937.0)</f>
        <v>1937</v>
      </c>
      <c r="B39">
        <f>IFERROR(__xludf.DUMMYFUNCTION("""COMPUTED_VALUE"""),4.153E7)</f>
        <v>41530000</v>
      </c>
      <c r="C39">
        <f>IFERROR(__xludf.DUMMYFUNCTION("""COMPUTED_VALUE"""),621453.0)</f>
        <v>621453</v>
      </c>
      <c r="D39">
        <f>IFERROR(__xludf.DUMMYFUNCTION("""COMPUTED_VALUE"""),632896.0)</f>
        <v>632896</v>
      </c>
      <c r="E39">
        <f>IFERROR(__xludf.DUMMYFUNCTION("""COMPUTED_VALUE"""),-11443.0)</f>
        <v>-11443</v>
      </c>
      <c r="F39">
        <f>IFERROR(__xludf.DUMMYFUNCTION("""COMPUTED_VALUE"""),15.0)</f>
        <v>15</v>
      </c>
      <c r="G39">
        <f>IFERROR(__xludf.DUMMYFUNCTION("""COMPUTED_VALUE"""),15.2)</f>
        <v>15.2</v>
      </c>
      <c r="H39">
        <f>IFERROR(__xludf.DUMMYFUNCTION("""COMPUTED_VALUE"""),-0.3)</f>
        <v>-0.3</v>
      </c>
      <c r="I39">
        <f>IFERROR(__xludf.DUMMYFUNCTION("""COMPUTED_VALUE"""),2.1)</f>
        <v>2.1</v>
      </c>
    </row>
    <row r="40">
      <c r="A40">
        <f>IFERROR(__xludf.DUMMYFUNCTION("""COMPUTED_VALUE"""),1938.0)</f>
        <v>1938</v>
      </c>
      <c r="B40">
        <f>IFERROR(__xludf.DUMMYFUNCTION("""COMPUTED_VALUE"""),4.156E7)</f>
        <v>41560000</v>
      </c>
      <c r="C40">
        <f>IFERROR(__xludf.DUMMYFUNCTION("""COMPUTED_VALUE"""),615582.0)</f>
        <v>615582</v>
      </c>
      <c r="D40">
        <f>IFERROR(__xludf.DUMMYFUNCTION("""COMPUTED_VALUE"""),650832.0)</f>
        <v>650832</v>
      </c>
      <c r="E40">
        <f>IFERROR(__xludf.DUMMYFUNCTION("""COMPUTED_VALUE"""),-35250.0)</f>
        <v>-35250</v>
      </c>
      <c r="F40">
        <f>IFERROR(__xludf.DUMMYFUNCTION("""COMPUTED_VALUE"""),14.8)</f>
        <v>14.8</v>
      </c>
      <c r="G40">
        <f>IFERROR(__xludf.DUMMYFUNCTION("""COMPUTED_VALUE"""),15.7)</f>
        <v>15.7</v>
      </c>
      <c r="H40">
        <f>IFERROR(__xludf.DUMMYFUNCTION("""COMPUTED_VALUE"""),-0.8)</f>
        <v>-0.8</v>
      </c>
      <c r="I40">
        <f>IFERROR(__xludf.DUMMYFUNCTION("""COMPUTED_VALUE"""),2.13)</f>
        <v>2.13</v>
      </c>
    </row>
    <row r="41">
      <c r="A41">
        <f>IFERROR(__xludf.DUMMYFUNCTION("""COMPUTED_VALUE"""),1939.0)</f>
        <v>1939</v>
      </c>
      <c r="B41">
        <f>IFERROR(__xludf.DUMMYFUNCTION("""COMPUTED_VALUE"""),4.151E7)</f>
        <v>41510000</v>
      </c>
      <c r="C41">
        <f>IFERROR(__xludf.DUMMYFUNCTION("""COMPUTED_VALUE"""),615599.0)</f>
        <v>615599</v>
      </c>
      <c r="D41">
        <f>IFERROR(__xludf.DUMMYFUNCTION("""COMPUTED_VALUE"""),645677.0)</f>
        <v>645677</v>
      </c>
      <c r="E41">
        <f>IFERROR(__xludf.DUMMYFUNCTION("""COMPUTED_VALUE"""),-30078.0)</f>
        <v>-30078</v>
      </c>
      <c r="F41">
        <f>IFERROR(__xludf.DUMMYFUNCTION("""COMPUTED_VALUE"""),14.8)</f>
        <v>14.8</v>
      </c>
      <c r="G41">
        <f>IFERROR(__xludf.DUMMYFUNCTION("""COMPUTED_VALUE"""),15.6)</f>
        <v>15.6</v>
      </c>
      <c r="H41">
        <f>IFERROR(__xludf.DUMMYFUNCTION("""COMPUTED_VALUE"""),-0.7)</f>
        <v>-0.7</v>
      </c>
      <c r="I41">
        <f>IFERROR(__xludf.DUMMYFUNCTION("""COMPUTED_VALUE"""),2.17)</f>
        <v>2.17</v>
      </c>
    </row>
    <row r="42">
      <c r="A42">
        <f>IFERROR(__xludf.DUMMYFUNCTION("""COMPUTED_VALUE"""),1940.0)</f>
        <v>1940</v>
      </c>
      <c r="B42">
        <f>IFERROR(__xludf.DUMMYFUNCTION("""COMPUTED_VALUE"""),4.069E7)</f>
        <v>40690000</v>
      </c>
      <c r="C42">
        <f>IFERROR(__xludf.DUMMYFUNCTION("""COMPUTED_VALUE"""),561281.0)</f>
        <v>561281</v>
      </c>
      <c r="D42">
        <f>IFERROR(__xludf.DUMMYFUNCTION("""COMPUTED_VALUE"""),740281.0)</f>
        <v>740281</v>
      </c>
      <c r="E42">
        <f>IFERROR(__xludf.DUMMYFUNCTION("""COMPUTED_VALUE"""),-179000.0)</f>
        <v>-179000</v>
      </c>
      <c r="F42">
        <f>IFERROR(__xludf.DUMMYFUNCTION("""COMPUTED_VALUE"""),13.8)</f>
        <v>13.8</v>
      </c>
      <c r="G42">
        <f>IFERROR(__xludf.DUMMYFUNCTION("""COMPUTED_VALUE"""),18.2)</f>
        <v>18.2</v>
      </c>
      <c r="H42">
        <f>IFERROR(__xludf.DUMMYFUNCTION("""COMPUTED_VALUE"""),-4.4)</f>
        <v>-4.4</v>
      </c>
      <c r="I42">
        <f>IFERROR(__xludf.DUMMYFUNCTION("""COMPUTED_VALUE"""),2.0)</f>
        <v>2</v>
      </c>
    </row>
    <row r="43">
      <c r="A43">
        <f>IFERROR(__xludf.DUMMYFUNCTION("""COMPUTED_VALUE"""),1941.0)</f>
        <v>1941</v>
      </c>
      <c r="B43">
        <f>IFERROR(__xludf.DUMMYFUNCTION("""COMPUTED_VALUE"""),3.942E7)</f>
        <v>39420000</v>
      </c>
      <c r="C43">
        <f>IFERROR(__xludf.DUMMYFUNCTION("""COMPUTED_VALUE"""),522261.0)</f>
        <v>522261</v>
      </c>
      <c r="D43">
        <f>IFERROR(__xludf.DUMMYFUNCTION("""COMPUTED_VALUE"""),675261.0)</f>
        <v>675261</v>
      </c>
      <c r="E43">
        <f>IFERROR(__xludf.DUMMYFUNCTION("""COMPUTED_VALUE"""),-153000.0)</f>
        <v>-153000</v>
      </c>
      <c r="F43">
        <f>IFERROR(__xludf.DUMMYFUNCTION("""COMPUTED_VALUE"""),13.2)</f>
        <v>13.2</v>
      </c>
      <c r="G43">
        <f>IFERROR(__xludf.DUMMYFUNCTION("""COMPUTED_VALUE"""),17.1)</f>
        <v>17.1</v>
      </c>
      <c r="H43">
        <f>IFERROR(__xludf.DUMMYFUNCTION("""COMPUTED_VALUE"""),-3.9)</f>
        <v>-3.9</v>
      </c>
      <c r="I43">
        <f>IFERROR(__xludf.DUMMYFUNCTION("""COMPUTED_VALUE"""),1.85)</f>
        <v>1.85</v>
      </c>
    </row>
    <row r="44">
      <c r="A44">
        <f>IFERROR(__xludf.DUMMYFUNCTION("""COMPUTED_VALUE"""),1942.0)</f>
        <v>1942</v>
      </c>
      <c r="B44">
        <f>IFERROR(__xludf.DUMMYFUNCTION("""COMPUTED_VALUE"""),3.922E7)</f>
        <v>39220000</v>
      </c>
      <c r="C44">
        <f>IFERROR(__xludf.DUMMYFUNCTION("""COMPUTED_VALUE"""),575261.0)</f>
        <v>575261</v>
      </c>
      <c r="D44">
        <f>IFERROR(__xludf.DUMMYFUNCTION("""COMPUTED_VALUE"""),656261.0)</f>
        <v>656261</v>
      </c>
      <c r="E44">
        <f>IFERROR(__xludf.DUMMYFUNCTION("""COMPUTED_VALUE"""),-81000.0)</f>
        <v>-81000</v>
      </c>
      <c r="F44">
        <f>IFERROR(__xludf.DUMMYFUNCTION("""COMPUTED_VALUE"""),14.7)</f>
        <v>14.7</v>
      </c>
      <c r="G44">
        <f>IFERROR(__xludf.DUMMYFUNCTION("""COMPUTED_VALUE"""),16.7)</f>
        <v>16.7</v>
      </c>
      <c r="H44">
        <f>IFERROR(__xludf.DUMMYFUNCTION("""COMPUTED_VALUE"""),-2.1)</f>
        <v>-2.1</v>
      </c>
      <c r="I44">
        <f>IFERROR(__xludf.DUMMYFUNCTION("""COMPUTED_VALUE"""),2.04)</f>
        <v>2.04</v>
      </c>
    </row>
    <row r="45">
      <c r="A45">
        <f>IFERROR(__xludf.DUMMYFUNCTION("""COMPUTED_VALUE"""),1943.0)</f>
        <v>1943</v>
      </c>
      <c r="B45">
        <f>IFERROR(__xludf.DUMMYFUNCTION("""COMPUTED_VALUE"""),3.886E7)</f>
        <v>38860000</v>
      </c>
      <c r="C45">
        <f>IFERROR(__xludf.DUMMYFUNCTION("""COMPUTED_VALUE"""),615780.0)</f>
        <v>615780</v>
      </c>
      <c r="D45">
        <f>IFERROR(__xludf.DUMMYFUNCTION("""COMPUTED_VALUE"""),626780.0)</f>
        <v>626780</v>
      </c>
      <c r="E45">
        <f>IFERROR(__xludf.DUMMYFUNCTION("""COMPUTED_VALUE"""),-11000.0)</f>
        <v>-11000</v>
      </c>
      <c r="F45">
        <f>IFERROR(__xludf.DUMMYFUNCTION("""COMPUTED_VALUE"""),15.8)</f>
        <v>15.8</v>
      </c>
      <c r="G45">
        <f>IFERROR(__xludf.DUMMYFUNCTION("""COMPUTED_VALUE"""),16.1)</f>
        <v>16.1</v>
      </c>
      <c r="H45">
        <f>IFERROR(__xludf.DUMMYFUNCTION("""COMPUTED_VALUE"""),-0.3)</f>
        <v>-0.3</v>
      </c>
      <c r="I45">
        <f>IFERROR(__xludf.DUMMYFUNCTION("""COMPUTED_VALUE"""),2.19)</f>
        <v>2.19</v>
      </c>
    </row>
    <row r="46">
      <c r="A46">
        <f>IFERROR(__xludf.DUMMYFUNCTION("""COMPUTED_VALUE"""),1944.0)</f>
        <v>1944</v>
      </c>
      <c r="B46">
        <f>IFERROR(__xludf.DUMMYFUNCTION("""COMPUTED_VALUE"""),3.877E7)</f>
        <v>38770000</v>
      </c>
      <c r="C46">
        <f>IFERROR(__xludf.DUMMYFUNCTION("""COMPUTED_VALUE"""),629878.0)</f>
        <v>629878</v>
      </c>
      <c r="D46">
        <f>IFERROR(__xludf.DUMMYFUNCTION("""COMPUTED_VALUE"""),666878.0)</f>
        <v>666878</v>
      </c>
      <c r="E46">
        <f>IFERROR(__xludf.DUMMYFUNCTION("""COMPUTED_VALUE"""),-37000.0)</f>
        <v>-37000</v>
      </c>
      <c r="F46">
        <f>IFERROR(__xludf.DUMMYFUNCTION("""COMPUTED_VALUE"""),16.2)</f>
        <v>16.2</v>
      </c>
      <c r="G46">
        <f>IFERROR(__xludf.DUMMYFUNCTION("""COMPUTED_VALUE"""),17.2)</f>
        <v>17.2</v>
      </c>
      <c r="H46">
        <f>IFERROR(__xludf.DUMMYFUNCTION("""COMPUTED_VALUE"""),-1.0)</f>
        <v>-1</v>
      </c>
      <c r="I46">
        <f>IFERROR(__xludf.DUMMYFUNCTION("""COMPUTED_VALUE"""),2.25)</f>
        <v>2.25</v>
      </c>
    </row>
    <row r="47">
      <c r="A47">
        <f>IFERROR(__xludf.DUMMYFUNCTION("""COMPUTED_VALUE"""),1945.0)</f>
        <v>1945</v>
      </c>
      <c r="B47">
        <f>IFERROR(__xludf.DUMMYFUNCTION("""COMPUTED_VALUE"""),3.966E7)</f>
        <v>39660000</v>
      </c>
      <c r="C47">
        <f>IFERROR(__xludf.DUMMYFUNCTION("""COMPUTED_VALUE"""),645899.0)</f>
        <v>645899</v>
      </c>
      <c r="D47">
        <f>IFERROR(__xludf.DUMMYFUNCTION("""COMPUTED_VALUE"""),643899.0)</f>
        <v>643899</v>
      </c>
      <c r="E47">
        <f>IFERROR(__xludf.DUMMYFUNCTION("""COMPUTED_VALUE"""),2000.0)</f>
        <v>2000</v>
      </c>
      <c r="F47">
        <f>IFERROR(__xludf.DUMMYFUNCTION("""COMPUTED_VALUE"""),16.3)</f>
        <v>16.3</v>
      </c>
      <c r="G47">
        <f>IFERROR(__xludf.DUMMYFUNCTION("""COMPUTED_VALUE"""),16.2)</f>
        <v>16.2</v>
      </c>
      <c r="H47">
        <f>IFERROR(__xludf.DUMMYFUNCTION("""COMPUTED_VALUE"""),0.1)</f>
        <v>0.1</v>
      </c>
      <c r="I47">
        <f>IFERROR(__xludf.DUMMYFUNCTION("""COMPUTED_VALUE"""),2.31)</f>
        <v>2.31</v>
      </c>
    </row>
    <row r="48">
      <c r="A48">
        <f>IFERROR(__xludf.DUMMYFUNCTION("""COMPUTED_VALUE"""),1946.0)</f>
        <v>1946</v>
      </c>
      <c r="B48">
        <f>IFERROR(__xludf.DUMMYFUNCTION("""COMPUTED_VALUE"""),4.0287E7)</f>
        <v>40287000</v>
      </c>
      <c r="C48">
        <f>IFERROR(__xludf.DUMMYFUNCTION("""COMPUTED_VALUE"""),843904.0)</f>
        <v>843904</v>
      </c>
      <c r="D48">
        <f>IFERROR(__xludf.DUMMYFUNCTION("""COMPUTED_VALUE"""),545880.0)</f>
        <v>545880</v>
      </c>
      <c r="E48">
        <f>IFERROR(__xludf.DUMMYFUNCTION("""COMPUTED_VALUE"""),298024.0)</f>
        <v>298024</v>
      </c>
      <c r="F48">
        <f>IFERROR(__xludf.DUMMYFUNCTION("""COMPUTED_VALUE"""),20.9)</f>
        <v>20.9</v>
      </c>
      <c r="G48">
        <f>IFERROR(__xludf.DUMMYFUNCTION("""COMPUTED_VALUE"""),13.5)</f>
        <v>13.5</v>
      </c>
      <c r="H48">
        <f>IFERROR(__xludf.DUMMYFUNCTION("""COMPUTED_VALUE"""),7.4)</f>
        <v>7.4</v>
      </c>
      <c r="I48">
        <f>IFERROR(__xludf.DUMMYFUNCTION("""COMPUTED_VALUE"""),3.0)</f>
        <v>3</v>
      </c>
      <c r="J48">
        <f>IFERROR(__xludf.DUMMYFUNCTION("""COMPUTED_VALUE"""),77.8)</f>
        <v>77.8</v>
      </c>
      <c r="K48">
        <f>IFERROR(__xludf.DUMMYFUNCTION("""COMPUTED_VALUE"""),59.9)</f>
        <v>59.9</v>
      </c>
      <c r="L48">
        <f>IFERROR(__xludf.DUMMYFUNCTION("""COMPUTED_VALUE"""),65.2)</f>
        <v>65.2</v>
      </c>
    </row>
    <row r="49">
      <c r="A49">
        <f>IFERROR(__xludf.DUMMYFUNCTION("""COMPUTED_VALUE"""),1947.0)</f>
        <v>1947</v>
      </c>
      <c r="B49">
        <f>IFERROR(__xludf.DUMMYFUNCTION("""COMPUTED_VALUE"""),4.0679E7)</f>
        <v>40679000</v>
      </c>
      <c r="C49">
        <f>IFERROR(__xludf.DUMMYFUNCTION("""COMPUTED_VALUE"""),870472.0)</f>
        <v>870472</v>
      </c>
      <c r="D49">
        <f>IFERROR(__xludf.DUMMYFUNCTION("""COMPUTED_VALUE"""),538157.0)</f>
        <v>538157</v>
      </c>
      <c r="E49">
        <f>IFERROR(__xludf.DUMMYFUNCTION("""COMPUTED_VALUE"""),332315.0)</f>
        <v>332315</v>
      </c>
      <c r="F49">
        <f>IFERROR(__xludf.DUMMYFUNCTION("""COMPUTED_VALUE"""),21.4)</f>
        <v>21.4</v>
      </c>
      <c r="G49">
        <f>IFERROR(__xludf.DUMMYFUNCTION("""COMPUTED_VALUE"""),13.2)</f>
        <v>13.2</v>
      </c>
      <c r="H49">
        <f>IFERROR(__xludf.DUMMYFUNCTION("""COMPUTED_VALUE"""),8.2)</f>
        <v>8.2</v>
      </c>
      <c r="I49">
        <f>IFERROR(__xludf.DUMMYFUNCTION("""COMPUTED_VALUE"""),3.04)</f>
        <v>3.04</v>
      </c>
      <c r="J49">
        <f>IFERROR(__xludf.DUMMYFUNCTION("""COMPUTED_VALUE"""),71.1)</f>
        <v>71.1</v>
      </c>
      <c r="K49">
        <f>IFERROR(__xludf.DUMMYFUNCTION("""COMPUTED_VALUE"""),61.2)</f>
        <v>61.2</v>
      </c>
      <c r="L49">
        <f>IFERROR(__xludf.DUMMYFUNCTION("""COMPUTED_VALUE"""),66.7)</f>
        <v>66.7</v>
      </c>
    </row>
    <row r="50">
      <c r="A50">
        <f>IFERROR(__xludf.DUMMYFUNCTION("""COMPUTED_VALUE"""),1948.0)</f>
        <v>1948</v>
      </c>
      <c r="B50">
        <f>IFERROR(__xludf.DUMMYFUNCTION("""COMPUTED_VALUE"""),4.1112E7)</f>
        <v>41112000</v>
      </c>
      <c r="C50">
        <f>IFERROR(__xludf.DUMMYFUNCTION("""COMPUTED_VALUE"""),870836.0)</f>
        <v>870836</v>
      </c>
      <c r="D50">
        <f>IFERROR(__xludf.DUMMYFUNCTION("""COMPUTED_VALUE"""),513210.0)</f>
        <v>513210</v>
      </c>
      <c r="E50">
        <f>IFERROR(__xludf.DUMMYFUNCTION("""COMPUTED_VALUE"""),357626.0)</f>
        <v>357626</v>
      </c>
      <c r="F50">
        <f>IFERROR(__xludf.DUMMYFUNCTION("""COMPUTED_VALUE"""),21.2)</f>
        <v>21.2</v>
      </c>
      <c r="G50">
        <f>IFERROR(__xludf.DUMMYFUNCTION("""COMPUTED_VALUE"""),12.5)</f>
        <v>12.5</v>
      </c>
      <c r="H50">
        <f>IFERROR(__xludf.DUMMYFUNCTION("""COMPUTED_VALUE"""),8.7)</f>
        <v>8.7</v>
      </c>
      <c r="I50">
        <f>IFERROR(__xludf.DUMMYFUNCTION("""COMPUTED_VALUE"""),3.02)</f>
        <v>3.02</v>
      </c>
      <c r="J50">
        <f>IFERROR(__xludf.DUMMYFUNCTION("""COMPUTED_VALUE"""),55.9)</f>
        <v>55.9</v>
      </c>
      <c r="K50">
        <f>IFERROR(__xludf.DUMMYFUNCTION("""COMPUTED_VALUE"""),62.7)</f>
        <v>62.7</v>
      </c>
      <c r="L50">
        <f>IFERROR(__xludf.DUMMYFUNCTION("""COMPUTED_VALUE"""),68.8)</f>
        <v>68.8</v>
      </c>
    </row>
    <row r="51">
      <c r="A51">
        <f>IFERROR(__xludf.DUMMYFUNCTION("""COMPUTED_VALUE"""),1949.0)</f>
        <v>1949</v>
      </c>
      <c r="B51">
        <f>IFERROR(__xludf.DUMMYFUNCTION("""COMPUTED_VALUE"""),4.148E7)</f>
        <v>41480000</v>
      </c>
      <c r="C51">
        <f>IFERROR(__xludf.DUMMYFUNCTION("""COMPUTED_VALUE"""),872661.0)</f>
        <v>872661</v>
      </c>
      <c r="D51">
        <f>IFERROR(__xludf.DUMMYFUNCTION("""COMPUTED_VALUE"""),573598.0)</f>
        <v>573598</v>
      </c>
      <c r="E51">
        <f>IFERROR(__xludf.DUMMYFUNCTION("""COMPUTED_VALUE"""),299063.0)</f>
        <v>299063</v>
      </c>
      <c r="F51">
        <f>IFERROR(__xludf.DUMMYFUNCTION("""COMPUTED_VALUE"""),21.0)</f>
        <v>21</v>
      </c>
      <c r="G51">
        <f>IFERROR(__xludf.DUMMYFUNCTION("""COMPUTED_VALUE"""),13.8)</f>
        <v>13.8</v>
      </c>
      <c r="H51">
        <f>IFERROR(__xludf.DUMMYFUNCTION("""COMPUTED_VALUE"""),7.2)</f>
        <v>7.2</v>
      </c>
      <c r="I51">
        <f>IFERROR(__xludf.DUMMYFUNCTION("""COMPUTED_VALUE"""),3.0)</f>
        <v>3</v>
      </c>
      <c r="J51">
        <f>IFERROR(__xludf.DUMMYFUNCTION("""COMPUTED_VALUE"""),60.3)</f>
        <v>60.3</v>
      </c>
      <c r="K51">
        <f>IFERROR(__xludf.DUMMYFUNCTION("""COMPUTED_VALUE"""),62.2)</f>
        <v>62.2</v>
      </c>
      <c r="L51">
        <f>IFERROR(__xludf.DUMMYFUNCTION("""COMPUTED_VALUE"""),67.6)</f>
        <v>67.6</v>
      </c>
    </row>
    <row r="52">
      <c r="A52">
        <f>IFERROR(__xludf.DUMMYFUNCTION("""COMPUTED_VALUE"""),1950.0)</f>
        <v>1950</v>
      </c>
      <c r="B52">
        <f>IFERROR(__xludf.DUMMYFUNCTION("""COMPUTED_VALUE"""),4.1829E7)</f>
        <v>41829000</v>
      </c>
      <c r="C52">
        <f>IFERROR(__xludf.DUMMYFUNCTION("""COMPUTED_VALUE"""),862310.0)</f>
        <v>862310</v>
      </c>
      <c r="D52">
        <f>IFERROR(__xludf.DUMMYFUNCTION("""COMPUTED_VALUE"""),534480.0)</f>
        <v>534480</v>
      </c>
      <c r="E52">
        <f>IFERROR(__xludf.DUMMYFUNCTION("""COMPUTED_VALUE"""),327830.0)</f>
        <v>327830</v>
      </c>
      <c r="F52">
        <f>IFERROR(__xludf.DUMMYFUNCTION("""COMPUTED_VALUE"""),20.6)</f>
        <v>20.6</v>
      </c>
      <c r="G52">
        <f>IFERROR(__xludf.DUMMYFUNCTION("""COMPUTED_VALUE"""),12.8)</f>
        <v>12.8</v>
      </c>
      <c r="H52">
        <f>IFERROR(__xludf.DUMMYFUNCTION("""COMPUTED_VALUE"""),7.8)</f>
        <v>7.8</v>
      </c>
      <c r="I52">
        <f>IFERROR(__xludf.DUMMYFUNCTION("""COMPUTED_VALUE"""),2.95)</f>
        <v>2.95</v>
      </c>
      <c r="J52">
        <f>IFERROR(__xludf.DUMMYFUNCTION("""COMPUTED_VALUE"""),52.0)</f>
        <v>52</v>
      </c>
      <c r="K52">
        <f>IFERROR(__xludf.DUMMYFUNCTION("""COMPUTED_VALUE"""),63.4)</f>
        <v>63.4</v>
      </c>
      <c r="L52">
        <f>IFERROR(__xludf.DUMMYFUNCTION("""COMPUTED_VALUE"""),69.2)</f>
        <v>69.2</v>
      </c>
    </row>
    <row r="53">
      <c r="A53">
        <f>IFERROR(__xludf.DUMMYFUNCTION("""COMPUTED_VALUE"""),1951.0)</f>
        <v>1951</v>
      </c>
      <c r="B53">
        <f>IFERROR(__xludf.DUMMYFUNCTION("""COMPUTED_VALUE"""),4.2156E7)</f>
        <v>42156000</v>
      </c>
      <c r="C53">
        <f>IFERROR(__xludf.DUMMYFUNCTION("""COMPUTED_VALUE"""),826722.0)</f>
        <v>826722</v>
      </c>
      <c r="D53">
        <f>IFERROR(__xludf.DUMMYFUNCTION("""COMPUTED_VALUE"""),565829.0)</f>
        <v>565829</v>
      </c>
      <c r="E53">
        <f>IFERROR(__xludf.DUMMYFUNCTION("""COMPUTED_VALUE"""),260893.0)</f>
        <v>260893</v>
      </c>
      <c r="F53">
        <f>IFERROR(__xludf.DUMMYFUNCTION("""COMPUTED_VALUE"""),19.6)</f>
        <v>19.6</v>
      </c>
      <c r="G53">
        <f>IFERROR(__xludf.DUMMYFUNCTION("""COMPUTED_VALUE"""),13.4)</f>
        <v>13.4</v>
      </c>
      <c r="H53">
        <f>IFERROR(__xludf.DUMMYFUNCTION("""COMPUTED_VALUE"""),6.2)</f>
        <v>6.2</v>
      </c>
      <c r="I53">
        <f>IFERROR(__xludf.DUMMYFUNCTION("""COMPUTED_VALUE"""),2.81)</f>
        <v>2.81</v>
      </c>
      <c r="J53">
        <f>IFERROR(__xludf.DUMMYFUNCTION("""COMPUTED_VALUE"""),50.8)</f>
        <v>50.8</v>
      </c>
      <c r="K53">
        <f>IFERROR(__xludf.DUMMYFUNCTION("""COMPUTED_VALUE"""),63.1)</f>
        <v>63.1</v>
      </c>
      <c r="L53">
        <f>IFERROR(__xludf.DUMMYFUNCTION("""COMPUTED_VALUE"""),68.9)</f>
        <v>68.9</v>
      </c>
    </row>
    <row r="54">
      <c r="A54">
        <f>IFERROR(__xludf.DUMMYFUNCTION("""COMPUTED_VALUE"""),1952.0)</f>
        <v>1952</v>
      </c>
      <c r="B54">
        <f>IFERROR(__xludf.DUMMYFUNCTION("""COMPUTED_VALUE"""),4.246E7)</f>
        <v>42460000</v>
      </c>
      <c r="C54">
        <f>IFERROR(__xludf.DUMMYFUNCTION("""COMPUTED_VALUE"""),822204.0)</f>
        <v>822204</v>
      </c>
      <c r="D54">
        <f>IFERROR(__xludf.DUMMYFUNCTION("""COMPUTED_VALUE"""),524831.0)</f>
        <v>524831</v>
      </c>
      <c r="E54">
        <f>IFERROR(__xludf.DUMMYFUNCTION("""COMPUTED_VALUE"""),297373.0)</f>
        <v>297373</v>
      </c>
      <c r="F54">
        <f>IFERROR(__xludf.DUMMYFUNCTION("""COMPUTED_VALUE"""),19.4)</f>
        <v>19.4</v>
      </c>
      <c r="G54">
        <f>IFERROR(__xludf.DUMMYFUNCTION("""COMPUTED_VALUE"""),12.4)</f>
        <v>12.4</v>
      </c>
      <c r="H54">
        <f>IFERROR(__xludf.DUMMYFUNCTION("""COMPUTED_VALUE"""),7.0)</f>
        <v>7</v>
      </c>
      <c r="I54">
        <f>IFERROR(__xludf.DUMMYFUNCTION("""COMPUTED_VALUE"""),2.78)</f>
        <v>2.78</v>
      </c>
      <c r="J54">
        <f>IFERROR(__xludf.DUMMYFUNCTION("""COMPUTED_VALUE"""),45.2)</f>
        <v>45.2</v>
      </c>
      <c r="K54">
        <f>IFERROR(__xludf.DUMMYFUNCTION("""COMPUTED_VALUE"""),64.4)</f>
        <v>64.4</v>
      </c>
      <c r="L54">
        <f>IFERROR(__xludf.DUMMYFUNCTION("""COMPUTED_VALUE"""),70.2)</f>
        <v>70.2</v>
      </c>
    </row>
    <row r="55">
      <c r="A55">
        <f>IFERROR(__xludf.DUMMYFUNCTION("""COMPUTED_VALUE"""),1953.0)</f>
        <v>1953</v>
      </c>
      <c r="B55">
        <f>IFERROR(__xludf.DUMMYFUNCTION("""COMPUTED_VALUE"""),4.2752E7)</f>
        <v>42752000</v>
      </c>
      <c r="C55">
        <f>IFERROR(__xludf.DUMMYFUNCTION("""COMPUTED_VALUE"""),804696.0)</f>
        <v>804696</v>
      </c>
      <c r="D55">
        <f>IFERROR(__xludf.DUMMYFUNCTION("""COMPUTED_VALUE"""),556983.0)</f>
        <v>556983</v>
      </c>
      <c r="E55">
        <f>IFERROR(__xludf.DUMMYFUNCTION("""COMPUTED_VALUE"""),247713.0)</f>
        <v>247713</v>
      </c>
      <c r="F55">
        <f>IFERROR(__xludf.DUMMYFUNCTION("""COMPUTED_VALUE"""),18.8)</f>
        <v>18.8</v>
      </c>
      <c r="G55">
        <f>IFERROR(__xludf.DUMMYFUNCTION("""COMPUTED_VALUE"""),13.0)</f>
        <v>13</v>
      </c>
      <c r="H55">
        <f>IFERROR(__xludf.DUMMYFUNCTION("""COMPUTED_VALUE"""),5.8)</f>
        <v>5.8</v>
      </c>
      <c r="I55">
        <f>IFERROR(__xludf.DUMMYFUNCTION("""COMPUTED_VALUE"""),2.7)</f>
        <v>2.7</v>
      </c>
      <c r="J55">
        <f>IFERROR(__xludf.DUMMYFUNCTION("""COMPUTED_VALUE"""),41.9)</f>
        <v>41.9</v>
      </c>
      <c r="K55">
        <f>IFERROR(__xludf.DUMMYFUNCTION("""COMPUTED_VALUE"""),64.3)</f>
        <v>64.3</v>
      </c>
      <c r="L55">
        <f>IFERROR(__xludf.DUMMYFUNCTION("""COMPUTED_VALUE"""),70.3)</f>
        <v>70.3</v>
      </c>
    </row>
    <row r="56">
      <c r="A56">
        <f>IFERROR(__xludf.DUMMYFUNCTION("""COMPUTED_VALUE"""),1954.0)</f>
        <v>1954</v>
      </c>
      <c r="B56">
        <f>IFERROR(__xludf.DUMMYFUNCTION("""COMPUTED_VALUE"""),4.3057E7)</f>
        <v>43057000</v>
      </c>
      <c r="C56">
        <f>IFERROR(__xludf.DUMMYFUNCTION("""COMPUTED_VALUE"""),810754.0)</f>
        <v>810754</v>
      </c>
      <c r="D56">
        <f>IFERROR(__xludf.DUMMYFUNCTION("""COMPUTED_VALUE"""),518892.0)</f>
        <v>518892</v>
      </c>
      <c r="E56">
        <f>IFERROR(__xludf.DUMMYFUNCTION("""COMPUTED_VALUE"""),291862.0)</f>
        <v>291862</v>
      </c>
      <c r="F56">
        <f>IFERROR(__xludf.DUMMYFUNCTION("""COMPUTED_VALUE"""),18.8)</f>
        <v>18.8</v>
      </c>
      <c r="G56">
        <f>IFERROR(__xludf.DUMMYFUNCTION("""COMPUTED_VALUE"""),12.1)</f>
        <v>12.1</v>
      </c>
      <c r="H56">
        <f>IFERROR(__xludf.DUMMYFUNCTION("""COMPUTED_VALUE"""),6.8)</f>
        <v>6.8</v>
      </c>
      <c r="I56">
        <f>IFERROR(__xludf.DUMMYFUNCTION("""COMPUTED_VALUE"""),2.71)</f>
        <v>2.71</v>
      </c>
      <c r="J56">
        <f>IFERROR(__xludf.DUMMYFUNCTION("""COMPUTED_VALUE"""),40.7)</f>
        <v>40.7</v>
      </c>
      <c r="K56">
        <f>IFERROR(__xludf.DUMMYFUNCTION("""COMPUTED_VALUE"""),65.0)</f>
        <v>65</v>
      </c>
      <c r="L56">
        <f>IFERROR(__xludf.DUMMYFUNCTION("""COMPUTED_VALUE"""),71.2)</f>
        <v>71.2</v>
      </c>
    </row>
    <row r="57">
      <c r="A57">
        <f>IFERROR(__xludf.DUMMYFUNCTION("""COMPUTED_VALUE"""),1955.0)</f>
        <v>1955</v>
      </c>
      <c r="B57">
        <f>IFERROR(__xludf.DUMMYFUNCTION("""COMPUTED_VALUE"""),4.3428E7)</f>
        <v>43428000</v>
      </c>
      <c r="C57">
        <f>IFERROR(__xludf.DUMMYFUNCTION("""COMPUTED_VALUE"""),805917.0)</f>
        <v>805917</v>
      </c>
      <c r="D57">
        <f>IFERROR(__xludf.DUMMYFUNCTION("""COMPUTED_VALUE"""),526322.0)</f>
        <v>526322</v>
      </c>
      <c r="E57">
        <f>IFERROR(__xludf.DUMMYFUNCTION("""COMPUTED_VALUE"""),279595.0)</f>
        <v>279595</v>
      </c>
      <c r="F57">
        <f>IFERROR(__xludf.DUMMYFUNCTION("""COMPUTED_VALUE"""),18.6)</f>
        <v>18.6</v>
      </c>
      <c r="G57">
        <f>IFERROR(__xludf.DUMMYFUNCTION("""COMPUTED_VALUE"""),12.1)</f>
        <v>12.1</v>
      </c>
      <c r="H57">
        <f>IFERROR(__xludf.DUMMYFUNCTION("""COMPUTED_VALUE"""),6.4)</f>
        <v>6.4</v>
      </c>
      <c r="I57">
        <f>IFERROR(__xludf.DUMMYFUNCTION("""COMPUTED_VALUE"""),2.68)</f>
        <v>2.68</v>
      </c>
      <c r="J57">
        <f>IFERROR(__xludf.DUMMYFUNCTION("""COMPUTED_VALUE"""),38.6)</f>
        <v>38.6</v>
      </c>
      <c r="K57">
        <f>IFERROR(__xludf.DUMMYFUNCTION("""COMPUTED_VALUE"""),65.2)</f>
        <v>65.2</v>
      </c>
      <c r="L57">
        <f>IFERROR(__xludf.DUMMYFUNCTION("""COMPUTED_VALUE"""),71.5)</f>
        <v>71.5</v>
      </c>
    </row>
    <row r="58">
      <c r="A58">
        <f>IFERROR(__xludf.DUMMYFUNCTION("""COMPUTED_VALUE"""),1956.0)</f>
        <v>1956</v>
      </c>
      <c r="B58">
        <f>IFERROR(__xludf.DUMMYFUNCTION("""COMPUTED_VALUE"""),4.3843E7)</f>
        <v>43843000</v>
      </c>
      <c r="C58">
        <f>IFERROR(__xludf.DUMMYFUNCTION("""COMPUTED_VALUE"""),806916.0)</f>
        <v>806916</v>
      </c>
      <c r="D58">
        <f>IFERROR(__xludf.DUMMYFUNCTION("""COMPUTED_VALUE"""),545700.0)</f>
        <v>545700</v>
      </c>
      <c r="E58">
        <f>IFERROR(__xludf.DUMMYFUNCTION("""COMPUTED_VALUE"""),261216.0)</f>
        <v>261216</v>
      </c>
      <c r="F58">
        <f>IFERROR(__xludf.DUMMYFUNCTION("""COMPUTED_VALUE"""),18.4)</f>
        <v>18.4</v>
      </c>
      <c r="G58">
        <f>IFERROR(__xludf.DUMMYFUNCTION("""COMPUTED_VALUE"""),12.4)</f>
        <v>12.4</v>
      </c>
      <c r="H58">
        <f>IFERROR(__xludf.DUMMYFUNCTION("""COMPUTED_VALUE"""),6.0)</f>
        <v>6</v>
      </c>
      <c r="I58">
        <f>IFERROR(__xludf.DUMMYFUNCTION("""COMPUTED_VALUE"""),2.67)</f>
        <v>2.67</v>
      </c>
      <c r="J58">
        <f>IFERROR(__xludf.DUMMYFUNCTION("""COMPUTED_VALUE"""),36.2)</f>
        <v>36.2</v>
      </c>
      <c r="K58">
        <f>IFERROR(__xludf.DUMMYFUNCTION("""COMPUTED_VALUE"""),65.2)</f>
        <v>65.2</v>
      </c>
      <c r="L58">
        <f>IFERROR(__xludf.DUMMYFUNCTION("""COMPUTED_VALUE"""),71.7)</f>
        <v>71.7</v>
      </c>
    </row>
    <row r="59">
      <c r="A59">
        <f>IFERROR(__xludf.DUMMYFUNCTION("""COMPUTED_VALUE"""),1957.0)</f>
        <v>1957</v>
      </c>
      <c r="B59">
        <f>IFERROR(__xludf.DUMMYFUNCTION("""COMPUTED_VALUE"""),4.4311E7)</f>
        <v>44311000</v>
      </c>
      <c r="C59">
        <f>IFERROR(__xludf.DUMMYFUNCTION("""COMPUTED_VALUE"""),816467.0)</f>
        <v>816467</v>
      </c>
      <c r="D59">
        <f>IFERROR(__xludf.DUMMYFUNCTION("""COMPUTED_VALUE"""),532107.0)</f>
        <v>532107</v>
      </c>
      <c r="E59">
        <f>IFERROR(__xludf.DUMMYFUNCTION("""COMPUTED_VALUE"""),284360.0)</f>
        <v>284360</v>
      </c>
      <c r="F59">
        <f>IFERROR(__xludf.DUMMYFUNCTION("""COMPUTED_VALUE"""),18.4)</f>
        <v>18.4</v>
      </c>
      <c r="G59">
        <f>IFERROR(__xludf.DUMMYFUNCTION("""COMPUTED_VALUE"""),12.0)</f>
        <v>12</v>
      </c>
      <c r="H59">
        <f>IFERROR(__xludf.DUMMYFUNCTION("""COMPUTED_VALUE"""),6.4)</f>
        <v>6.4</v>
      </c>
      <c r="I59">
        <f>IFERROR(__xludf.DUMMYFUNCTION("""COMPUTED_VALUE"""),2.69)</f>
        <v>2.69</v>
      </c>
      <c r="J59">
        <f>IFERROR(__xludf.DUMMYFUNCTION("""COMPUTED_VALUE"""),33.8)</f>
        <v>33.8</v>
      </c>
      <c r="K59">
        <f>IFERROR(__xludf.DUMMYFUNCTION("""COMPUTED_VALUE"""),65.5)</f>
        <v>65.5</v>
      </c>
      <c r="L59">
        <f>IFERROR(__xludf.DUMMYFUNCTION("""COMPUTED_VALUE"""),72.2)</f>
        <v>72.2</v>
      </c>
    </row>
    <row r="60">
      <c r="A60">
        <f>IFERROR(__xludf.DUMMYFUNCTION("""COMPUTED_VALUE"""),1958.0)</f>
        <v>1958</v>
      </c>
      <c r="B60">
        <f>IFERROR(__xludf.DUMMYFUNCTION("""COMPUTED_VALUE"""),4.4789E7)</f>
        <v>44789000</v>
      </c>
      <c r="C60">
        <f>IFERROR(__xludf.DUMMYFUNCTION("""COMPUTED_VALUE"""),812215.0)</f>
        <v>812215</v>
      </c>
      <c r="D60">
        <f>IFERROR(__xludf.DUMMYFUNCTION("""COMPUTED_VALUE"""),500596.0)</f>
        <v>500596</v>
      </c>
      <c r="E60">
        <f>IFERROR(__xludf.DUMMYFUNCTION("""COMPUTED_VALUE"""),311619.0)</f>
        <v>311619</v>
      </c>
      <c r="F60">
        <f>IFERROR(__xludf.DUMMYFUNCTION("""COMPUTED_VALUE"""),18.1)</f>
        <v>18.1</v>
      </c>
      <c r="G60">
        <f>IFERROR(__xludf.DUMMYFUNCTION("""COMPUTED_VALUE"""),11.2)</f>
        <v>11.2</v>
      </c>
      <c r="H60">
        <f>IFERROR(__xludf.DUMMYFUNCTION("""COMPUTED_VALUE"""),7.0)</f>
        <v>7</v>
      </c>
      <c r="I60">
        <f>IFERROR(__xludf.DUMMYFUNCTION("""COMPUTED_VALUE"""),2.68)</f>
        <v>2.68</v>
      </c>
      <c r="J60">
        <f>IFERROR(__xludf.DUMMYFUNCTION("""COMPUTED_VALUE"""),31.4)</f>
        <v>31.4</v>
      </c>
      <c r="K60">
        <f>IFERROR(__xludf.DUMMYFUNCTION("""COMPUTED_VALUE"""),66.8)</f>
        <v>66.8</v>
      </c>
      <c r="L60">
        <f>IFERROR(__xludf.DUMMYFUNCTION("""COMPUTED_VALUE"""),73.4)</f>
        <v>73.4</v>
      </c>
    </row>
    <row r="61">
      <c r="A61">
        <f>IFERROR(__xludf.DUMMYFUNCTION("""COMPUTED_VALUE"""),1959.0)</f>
        <v>1959</v>
      </c>
      <c r="B61">
        <f>IFERROR(__xludf.DUMMYFUNCTION("""COMPUTED_VALUE"""),4.524E7)</f>
        <v>45240000</v>
      </c>
      <c r="C61">
        <f>IFERROR(__xludf.DUMMYFUNCTION("""COMPUTED_VALUE"""),829249.0)</f>
        <v>829249</v>
      </c>
      <c r="D61">
        <f>IFERROR(__xludf.DUMMYFUNCTION("""COMPUTED_VALUE"""),509114.0)</f>
        <v>509114</v>
      </c>
      <c r="E61">
        <f>IFERROR(__xludf.DUMMYFUNCTION("""COMPUTED_VALUE"""),320135.0)</f>
        <v>320135</v>
      </c>
      <c r="F61">
        <f>IFERROR(__xludf.DUMMYFUNCTION("""COMPUTED_VALUE"""),18.3)</f>
        <v>18.3</v>
      </c>
      <c r="G61">
        <f>IFERROR(__xludf.DUMMYFUNCTION("""COMPUTED_VALUE"""),11.3)</f>
        <v>11.3</v>
      </c>
      <c r="H61">
        <f>IFERROR(__xludf.DUMMYFUNCTION("""COMPUTED_VALUE"""),7.1)</f>
        <v>7.1</v>
      </c>
      <c r="I61">
        <f>IFERROR(__xludf.DUMMYFUNCTION("""COMPUTED_VALUE"""),2.75)</f>
        <v>2.75</v>
      </c>
      <c r="J61">
        <f>IFERROR(__xludf.DUMMYFUNCTION("""COMPUTED_VALUE"""),29.6)</f>
        <v>29.6</v>
      </c>
      <c r="K61">
        <f>IFERROR(__xludf.DUMMYFUNCTION("""COMPUTED_VALUE"""),66.8)</f>
        <v>66.8</v>
      </c>
      <c r="L61">
        <f>IFERROR(__xludf.DUMMYFUNCTION("""COMPUTED_VALUE"""),73.2)</f>
        <v>73.2</v>
      </c>
    </row>
    <row r="62">
      <c r="A62">
        <f>IFERROR(__xludf.DUMMYFUNCTION("""COMPUTED_VALUE"""),1960.0)</f>
        <v>1960</v>
      </c>
      <c r="B62">
        <f>IFERROR(__xludf.DUMMYFUNCTION("""COMPUTED_VALUE"""),4.5684E7)</f>
        <v>45684000</v>
      </c>
      <c r="C62">
        <f>IFERROR(__xludf.DUMMYFUNCTION("""COMPUTED_VALUE"""),819819.0)</f>
        <v>819819</v>
      </c>
      <c r="D62">
        <f>IFERROR(__xludf.DUMMYFUNCTION("""COMPUTED_VALUE"""),520960.0)</f>
        <v>520960</v>
      </c>
      <c r="E62">
        <f>IFERROR(__xludf.DUMMYFUNCTION("""COMPUTED_VALUE"""),298859.0)</f>
        <v>298859</v>
      </c>
      <c r="F62">
        <f>IFERROR(__xludf.DUMMYFUNCTION("""COMPUTED_VALUE"""),17.9)</f>
        <v>17.9</v>
      </c>
      <c r="G62">
        <f>IFERROR(__xludf.DUMMYFUNCTION("""COMPUTED_VALUE"""),11.4)</f>
        <v>11.4</v>
      </c>
      <c r="H62">
        <f>IFERROR(__xludf.DUMMYFUNCTION("""COMPUTED_VALUE"""),6.5)</f>
        <v>6.5</v>
      </c>
      <c r="I62">
        <f>IFERROR(__xludf.DUMMYFUNCTION("""COMPUTED_VALUE"""),2.74)</f>
        <v>2.74</v>
      </c>
      <c r="J62">
        <f>IFERROR(__xludf.DUMMYFUNCTION("""COMPUTED_VALUE"""),27.4)</f>
        <v>27.4</v>
      </c>
      <c r="K62">
        <f>IFERROR(__xludf.DUMMYFUNCTION("""COMPUTED_VALUE"""),67.0)</f>
        <v>67</v>
      </c>
      <c r="L62">
        <f>IFERROR(__xludf.DUMMYFUNCTION("""COMPUTED_VALUE"""),73.6)</f>
        <v>73.6</v>
      </c>
    </row>
    <row r="63">
      <c r="A63">
        <f>IFERROR(__xludf.DUMMYFUNCTION("""COMPUTED_VALUE"""),1961.0)</f>
        <v>1961</v>
      </c>
      <c r="B63">
        <f>IFERROR(__xludf.DUMMYFUNCTION("""COMPUTED_VALUE"""),4.6163E7)</f>
        <v>46163000</v>
      </c>
      <c r="C63">
        <f>IFERROR(__xludf.DUMMYFUNCTION("""COMPUTED_VALUE"""),838633.0)</f>
        <v>838633</v>
      </c>
      <c r="D63">
        <f>IFERROR(__xludf.DUMMYFUNCTION("""COMPUTED_VALUE"""),500289.0)</f>
        <v>500289</v>
      </c>
      <c r="E63">
        <f>IFERROR(__xludf.DUMMYFUNCTION("""COMPUTED_VALUE"""),338344.0)</f>
        <v>338344</v>
      </c>
      <c r="F63">
        <f>IFERROR(__xludf.DUMMYFUNCTION("""COMPUTED_VALUE"""),18.2)</f>
        <v>18.2</v>
      </c>
      <c r="G63">
        <f>IFERROR(__xludf.DUMMYFUNCTION("""COMPUTED_VALUE"""),10.8)</f>
        <v>10.8</v>
      </c>
      <c r="H63">
        <f>IFERROR(__xludf.DUMMYFUNCTION("""COMPUTED_VALUE"""),7.3)</f>
        <v>7.3</v>
      </c>
      <c r="I63">
        <f>IFERROR(__xludf.DUMMYFUNCTION("""COMPUTED_VALUE"""),2.82)</f>
        <v>2.82</v>
      </c>
      <c r="J63">
        <f>IFERROR(__xludf.DUMMYFUNCTION("""COMPUTED_VALUE"""),25.7)</f>
        <v>25.7</v>
      </c>
      <c r="K63">
        <f>IFERROR(__xludf.DUMMYFUNCTION("""COMPUTED_VALUE"""),67.5)</f>
        <v>67.5</v>
      </c>
      <c r="L63">
        <f>IFERROR(__xludf.DUMMYFUNCTION("""COMPUTED_VALUE"""),74.4)</f>
        <v>74.4</v>
      </c>
    </row>
    <row r="64">
      <c r="A64">
        <f>IFERROR(__xludf.DUMMYFUNCTION("""COMPUTED_VALUE"""),1962.0)</f>
        <v>1962</v>
      </c>
      <c r="B64">
        <f>IFERROR(__xludf.DUMMYFUNCTION("""COMPUTED_VALUE"""),4.6998E7)</f>
        <v>46998000</v>
      </c>
      <c r="C64">
        <f>IFERROR(__xludf.DUMMYFUNCTION("""COMPUTED_VALUE"""),832353.0)</f>
        <v>832353</v>
      </c>
      <c r="D64">
        <f>IFERROR(__xludf.DUMMYFUNCTION("""COMPUTED_VALUE"""),541147.0)</f>
        <v>541147</v>
      </c>
      <c r="E64">
        <f>IFERROR(__xludf.DUMMYFUNCTION("""COMPUTED_VALUE"""),291206.0)</f>
        <v>291206</v>
      </c>
      <c r="F64">
        <f>IFERROR(__xludf.DUMMYFUNCTION("""COMPUTED_VALUE"""),17.7)</f>
        <v>17.7</v>
      </c>
      <c r="G64">
        <f>IFERROR(__xludf.DUMMYFUNCTION("""COMPUTED_VALUE"""),11.5)</f>
        <v>11.5</v>
      </c>
      <c r="H64">
        <f>IFERROR(__xludf.DUMMYFUNCTION("""COMPUTED_VALUE"""),6.2)</f>
        <v>6.2</v>
      </c>
      <c r="I64">
        <f>IFERROR(__xludf.DUMMYFUNCTION("""COMPUTED_VALUE"""),2.8)</f>
        <v>2.8</v>
      </c>
      <c r="J64">
        <f>IFERROR(__xludf.DUMMYFUNCTION("""COMPUTED_VALUE"""),25.7)</f>
        <v>25.7</v>
      </c>
      <c r="K64">
        <f>IFERROR(__xludf.DUMMYFUNCTION("""COMPUTED_VALUE"""),67.0)</f>
        <v>67</v>
      </c>
      <c r="L64">
        <f>IFERROR(__xludf.DUMMYFUNCTION("""COMPUTED_VALUE"""),73.9)</f>
        <v>73.9</v>
      </c>
    </row>
    <row r="65">
      <c r="A65">
        <f>IFERROR(__xludf.DUMMYFUNCTION("""COMPUTED_VALUE"""),1963.0)</f>
        <v>1963</v>
      </c>
      <c r="B65">
        <f>IFERROR(__xludf.DUMMYFUNCTION("""COMPUTED_VALUE"""),4.7816E7)</f>
        <v>47816000</v>
      </c>
      <c r="C65">
        <f>IFERROR(__xludf.DUMMYFUNCTION("""COMPUTED_VALUE"""),868876.0)</f>
        <v>868876</v>
      </c>
      <c r="D65">
        <f>IFERROR(__xludf.DUMMYFUNCTION("""COMPUTED_VALUE"""),557852.0)</f>
        <v>557852</v>
      </c>
      <c r="E65">
        <f>IFERROR(__xludf.DUMMYFUNCTION("""COMPUTED_VALUE"""),311024.0)</f>
        <v>311024</v>
      </c>
      <c r="F65">
        <f>IFERROR(__xludf.DUMMYFUNCTION("""COMPUTED_VALUE"""),18.2)</f>
        <v>18.2</v>
      </c>
      <c r="G65">
        <f>IFERROR(__xludf.DUMMYFUNCTION("""COMPUTED_VALUE"""),11.7)</f>
        <v>11.7</v>
      </c>
      <c r="H65">
        <f>IFERROR(__xludf.DUMMYFUNCTION("""COMPUTED_VALUE"""),6.5)</f>
        <v>6.5</v>
      </c>
      <c r="I65">
        <f>IFERROR(__xludf.DUMMYFUNCTION("""COMPUTED_VALUE"""),2.9)</f>
        <v>2.9</v>
      </c>
      <c r="J65">
        <f>IFERROR(__xludf.DUMMYFUNCTION("""COMPUTED_VALUE"""),25.6)</f>
        <v>25.6</v>
      </c>
      <c r="K65">
        <f>IFERROR(__xludf.DUMMYFUNCTION("""COMPUTED_VALUE"""),66.8)</f>
        <v>66.8</v>
      </c>
      <c r="L65">
        <f>IFERROR(__xludf.DUMMYFUNCTION("""COMPUTED_VALUE"""),73.8)</f>
        <v>73.8</v>
      </c>
    </row>
    <row r="66">
      <c r="A66">
        <f>IFERROR(__xludf.DUMMYFUNCTION("""COMPUTED_VALUE"""),1964.0)</f>
        <v>1964</v>
      </c>
      <c r="B66">
        <f>IFERROR(__xludf.DUMMYFUNCTION("""COMPUTED_VALUE"""),4.831E7)</f>
        <v>48310000</v>
      </c>
      <c r="C66">
        <f>IFERROR(__xludf.DUMMYFUNCTION("""COMPUTED_VALUE"""),877804.0)</f>
        <v>877804</v>
      </c>
      <c r="D66">
        <f>IFERROR(__xludf.DUMMYFUNCTION("""COMPUTED_VALUE"""),520033.0)</f>
        <v>520033</v>
      </c>
      <c r="E66">
        <f>IFERROR(__xludf.DUMMYFUNCTION("""COMPUTED_VALUE"""),357771.0)</f>
        <v>357771</v>
      </c>
      <c r="F66">
        <f>IFERROR(__xludf.DUMMYFUNCTION("""COMPUTED_VALUE"""),18.2)</f>
        <v>18.2</v>
      </c>
      <c r="G66">
        <f>IFERROR(__xludf.DUMMYFUNCTION("""COMPUTED_VALUE"""),10.8)</f>
        <v>10.8</v>
      </c>
      <c r="H66">
        <f>IFERROR(__xludf.DUMMYFUNCTION("""COMPUTED_VALUE"""),7.4)</f>
        <v>7.4</v>
      </c>
      <c r="I66">
        <f>IFERROR(__xludf.DUMMYFUNCTION("""COMPUTED_VALUE"""),2.91)</f>
        <v>2.91</v>
      </c>
      <c r="J66">
        <f>IFERROR(__xludf.DUMMYFUNCTION("""COMPUTED_VALUE"""),23.4)</f>
        <v>23.4</v>
      </c>
      <c r="K66">
        <f>IFERROR(__xludf.DUMMYFUNCTION("""COMPUTED_VALUE"""),67.7)</f>
        <v>67.7</v>
      </c>
      <c r="L66">
        <f>IFERROR(__xludf.DUMMYFUNCTION("""COMPUTED_VALUE"""),74.8)</f>
        <v>74.8</v>
      </c>
    </row>
    <row r="67">
      <c r="A67">
        <f>IFERROR(__xludf.DUMMYFUNCTION("""COMPUTED_VALUE"""),1965.0)</f>
        <v>1965</v>
      </c>
      <c r="B67">
        <f>IFERROR(__xludf.DUMMYFUNCTION("""COMPUTED_VALUE"""),4.8758E7)</f>
        <v>48758000</v>
      </c>
      <c r="C67">
        <f>IFERROR(__xludf.DUMMYFUNCTION("""COMPUTED_VALUE"""),865688.0)</f>
        <v>865688</v>
      </c>
      <c r="D67">
        <f>IFERROR(__xludf.DUMMYFUNCTION("""COMPUTED_VALUE"""),543696.0)</f>
        <v>543696</v>
      </c>
      <c r="E67">
        <f>IFERROR(__xludf.DUMMYFUNCTION("""COMPUTED_VALUE"""),321992.0)</f>
        <v>321992</v>
      </c>
      <c r="F67">
        <f>IFERROR(__xludf.DUMMYFUNCTION("""COMPUTED_VALUE"""),17.8)</f>
        <v>17.8</v>
      </c>
      <c r="G67">
        <f>IFERROR(__xludf.DUMMYFUNCTION("""COMPUTED_VALUE"""),11.2)</f>
        <v>11.2</v>
      </c>
      <c r="H67">
        <f>IFERROR(__xludf.DUMMYFUNCTION("""COMPUTED_VALUE"""),6.6)</f>
        <v>6.6</v>
      </c>
      <c r="I67">
        <f>IFERROR(__xludf.DUMMYFUNCTION("""COMPUTED_VALUE"""),2.85)</f>
        <v>2.85</v>
      </c>
      <c r="J67">
        <f>IFERROR(__xludf.DUMMYFUNCTION("""COMPUTED_VALUE"""),21.9)</f>
        <v>21.9</v>
      </c>
      <c r="K67">
        <f>IFERROR(__xludf.DUMMYFUNCTION("""COMPUTED_VALUE"""),67.5)</f>
        <v>67.5</v>
      </c>
      <c r="L67">
        <f>IFERROR(__xludf.DUMMYFUNCTION("""COMPUTED_VALUE"""),74.7)</f>
        <v>74.7</v>
      </c>
    </row>
    <row r="68">
      <c r="A68">
        <f>IFERROR(__xludf.DUMMYFUNCTION("""COMPUTED_VALUE"""),1966.0)</f>
        <v>1966</v>
      </c>
      <c r="B68">
        <f>IFERROR(__xludf.DUMMYFUNCTION("""COMPUTED_VALUE"""),4.9164E7)</f>
        <v>49164000</v>
      </c>
      <c r="C68">
        <f>IFERROR(__xludf.DUMMYFUNCTION("""COMPUTED_VALUE"""),863527.0)</f>
        <v>863527</v>
      </c>
      <c r="D68">
        <f>IFERROR(__xludf.DUMMYFUNCTION("""COMPUTED_VALUE"""),528782.0)</f>
        <v>528782</v>
      </c>
      <c r="E68">
        <f>IFERROR(__xludf.DUMMYFUNCTION("""COMPUTED_VALUE"""),334745.0)</f>
        <v>334745</v>
      </c>
      <c r="F68">
        <f>IFERROR(__xludf.DUMMYFUNCTION("""COMPUTED_VALUE"""),17.6)</f>
        <v>17.6</v>
      </c>
      <c r="G68">
        <f>IFERROR(__xludf.DUMMYFUNCTION("""COMPUTED_VALUE"""),10.8)</f>
        <v>10.8</v>
      </c>
      <c r="H68">
        <f>IFERROR(__xludf.DUMMYFUNCTION("""COMPUTED_VALUE"""),6.8)</f>
        <v>6.8</v>
      </c>
      <c r="I68">
        <f>IFERROR(__xludf.DUMMYFUNCTION("""COMPUTED_VALUE"""),2.8)</f>
        <v>2.8</v>
      </c>
      <c r="J68">
        <f>IFERROR(__xludf.DUMMYFUNCTION("""COMPUTED_VALUE"""),21.7)</f>
        <v>21.7</v>
      </c>
      <c r="K68">
        <f>IFERROR(__xludf.DUMMYFUNCTION("""COMPUTED_VALUE"""),67.8)</f>
        <v>67.8</v>
      </c>
      <c r="L68">
        <f>IFERROR(__xludf.DUMMYFUNCTION("""COMPUTED_VALUE"""),75.2)</f>
        <v>75.2</v>
      </c>
    </row>
    <row r="69">
      <c r="A69">
        <f>IFERROR(__xludf.DUMMYFUNCTION("""COMPUTED_VALUE"""),1967.0)</f>
        <v>1967</v>
      </c>
      <c r="B69">
        <f>IFERROR(__xludf.DUMMYFUNCTION("""COMPUTED_VALUE"""),4.9548E7)</f>
        <v>49548000</v>
      </c>
      <c r="C69">
        <f>IFERROR(__xludf.DUMMYFUNCTION("""COMPUTED_VALUE"""),840568.0)</f>
        <v>840568</v>
      </c>
      <c r="D69">
        <f>IFERROR(__xludf.DUMMYFUNCTION("""COMPUTED_VALUE"""),543033.0)</f>
        <v>543033</v>
      </c>
      <c r="E69">
        <f>IFERROR(__xludf.DUMMYFUNCTION("""COMPUTED_VALUE"""),297535.0)</f>
        <v>297535</v>
      </c>
      <c r="F69">
        <f>IFERROR(__xludf.DUMMYFUNCTION("""COMPUTED_VALUE"""),17.0)</f>
        <v>17</v>
      </c>
      <c r="G69">
        <f>IFERROR(__xludf.DUMMYFUNCTION("""COMPUTED_VALUE"""),11.0)</f>
        <v>11</v>
      </c>
      <c r="H69">
        <f>IFERROR(__xludf.DUMMYFUNCTION("""COMPUTED_VALUE"""),6.0)</f>
        <v>6</v>
      </c>
      <c r="I69">
        <f>IFERROR(__xludf.DUMMYFUNCTION("""COMPUTED_VALUE"""),2.67)</f>
        <v>2.67</v>
      </c>
      <c r="J69">
        <f>IFERROR(__xludf.DUMMYFUNCTION("""COMPUTED_VALUE"""),20.7)</f>
        <v>20.7</v>
      </c>
      <c r="K69">
        <f>IFERROR(__xludf.DUMMYFUNCTION("""COMPUTED_VALUE"""),67.8)</f>
        <v>67.8</v>
      </c>
      <c r="L69">
        <f>IFERROR(__xludf.DUMMYFUNCTION("""COMPUTED_VALUE"""),75.2)</f>
        <v>75.2</v>
      </c>
    </row>
    <row r="70">
      <c r="A70">
        <f>IFERROR(__xludf.DUMMYFUNCTION("""COMPUTED_VALUE"""),1968.0)</f>
        <v>1968</v>
      </c>
      <c r="B70">
        <f>IFERROR(__xludf.DUMMYFUNCTION("""COMPUTED_VALUE"""),4.9915E7)</f>
        <v>49915000</v>
      </c>
      <c r="C70">
        <f>IFERROR(__xludf.DUMMYFUNCTION("""COMPUTED_VALUE"""),835796.0)</f>
        <v>835796</v>
      </c>
      <c r="D70">
        <f>IFERROR(__xludf.DUMMYFUNCTION("""COMPUTED_VALUE"""),553441.0)</f>
        <v>553441</v>
      </c>
      <c r="E70">
        <f>IFERROR(__xludf.DUMMYFUNCTION("""COMPUTED_VALUE"""),282355.0)</f>
        <v>282355</v>
      </c>
      <c r="F70">
        <f>IFERROR(__xludf.DUMMYFUNCTION("""COMPUTED_VALUE"""),16.7)</f>
        <v>16.7</v>
      </c>
      <c r="G70">
        <f>IFERROR(__xludf.DUMMYFUNCTION("""COMPUTED_VALUE"""),11.1)</f>
        <v>11.1</v>
      </c>
      <c r="H70">
        <f>IFERROR(__xludf.DUMMYFUNCTION("""COMPUTED_VALUE"""),5.7)</f>
        <v>5.7</v>
      </c>
      <c r="I70">
        <f>IFERROR(__xludf.DUMMYFUNCTION("""COMPUTED_VALUE"""),2.59)</f>
        <v>2.59</v>
      </c>
      <c r="J70">
        <f>IFERROR(__xludf.DUMMYFUNCTION("""COMPUTED_VALUE"""),20.4)</f>
        <v>20.4</v>
      </c>
      <c r="K70">
        <f>IFERROR(__xludf.DUMMYFUNCTION("""COMPUTED_VALUE"""),67.8)</f>
        <v>67.8</v>
      </c>
      <c r="L70">
        <f>IFERROR(__xludf.DUMMYFUNCTION("""COMPUTED_VALUE"""),75.2)</f>
        <v>75.2</v>
      </c>
    </row>
    <row r="71">
      <c r="A71">
        <f>IFERROR(__xludf.DUMMYFUNCTION("""COMPUTED_VALUE"""),1969.0)</f>
        <v>1969</v>
      </c>
      <c r="B71">
        <f>IFERROR(__xludf.DUMMYFUNCTION("""COMPUTED_VALUE"""),5.0318E7)</f>
        <v>50318000</v>
      </c>
      <c r="C71">
        <f>IFERROR(__xludf.DUMMYFUNCTION("""COMPUTED_VALUE"""),842245.0)</f>
        <v>842245</v>
      </c>
      <c r="D71">
        <f>IFERROR(__xludf.DUMMYFUNCTION("""COMPUTED_VALUE"""),573335.0)</f>
        <v>573335</v>
      </c>
      <c r="E71">
        <f>IFERROR(__xludf.DUMMYFUNCTION("""COMPUTED_VALUE"""),268910.0)</f>
        <v>268910</v>
      </c>
      <c r="F71">
        <f>IFERROR(__xludf.DUMMYFUNCTION("""COMPUTED_VALUE"""),16.7)</f>
        <v>16.7</v>
      </c>
      <c r="G71">
        <f>IFERROR(__xludf.DUMMYFUNCTION("""COMPUTED_VALUE"""),11.4)</f>
        <v>11.4</v>
      </c>
      <c r="H71">
        <f>IFERROR(__xludf.DUMMYFUNCTION("""COMPUTED_VALUE"""),5.3)</f>
        <v>5.3</v>
      </c>
      <c r="I71">
        <f>IFERROR(__xludf.DUMMYFUNCTION("""COMPUTED_VALUE"""),2.53)</f>
        <v>2.53</v>
      </c>
      <c r="J71">
        <f>IFERROR(__xludf.DUMMYFUNCTION("""COMPUTED_VALUE"""),19.6)</f>
        <v>19.6</v>
      </c>
      <c r="K71">
        <f>IFERROR(__xludf.DUMMYFUNCTION("""COMPUTED_VALUE"""),67.4)</f>
        <v>67.4</v>
      </c>
      <c r="L71">
        <f>IFERROR(__xludf.DUMMYFUNCTION("""COMPUTED_VALUE"""),75.1)</f>
        <v>75.1</v>
      </c>
    </row>
    <row r="72">
      <c r="A72">
        <f>IFERROR(__xludf.DUMMYFUNCTION("""COMPUTED_VALUE"""),1970.0)</f>
        <v>1970</v>
      </c>
      <c r="B72">
        <f>IFERROR(__xludf.DUMMYFUNCTION("""COMPUTED_VALUE"""),5.0772E7)</f>
        <v>50772000</v>
      </c>
      <c r="C72">
        <f>IFERROR(__xludf.DUMMYFUNCTION("""COMPUTED_VALUE"""),850381.0)</f>
        <v>850381</v>
      </c>
      <c r="D72">
        <f>IFERROR(__xludf.DUMMYFUNCTION("""COMPUTED_VALUE"""),542277.0)</f>
        <v>542277</v>
      </c>
      <c r="E72">
        <f>IFERROR(__xludf.DUMMYFUNCTION("""COMPUTED_VALUE"""),308104.0)</f>
        <v>308104</v>
      </c>
      <c r="F72">
        <f>IFERROR(__xludf.DUMMYFUNCTION("""COMPUTED_VALUE"""),16.7)</f>
        <v>16.7</v>
      </c>
      <c r="G72">
        <f>IFERROR(__xludf.DUMMYFUNCTION("""COMPUTED_VALUE"""),10.7)</f>
        <v>10.7</v>
      </c>
      <c r="H72">
        <f>IFERROR(__xludf.DUMMYFUNCTION("""COMPUTED_VALUE"""),6.1)</f>
        <v>6.1</v>
      </c>
      <c r="I72">
        <f>IFERROR(__xludf.DUMMYFUNCTION("""COMPUTED_VALUE"""),2.48)</f>
        <v>2.48</v>
      </c>
      <c r="J72">
        <f>IFERROR(__xludf.DUMMYFUNCTION("""COMPUTED_VALUE"""),18.2)</f>
        <v>18.2</v>
      </c>
      <c r="K72">
        <f>IFERROR(__xludf.DUMMYFUNCTION("""COMPUTED_VALUE"""),68.4)</f>
        <v>68.4</v>
      </c>
      <c r="L72">
        <f>IFERROR(__xludf.DUMMYFUNCTION("""COMPUTED_VALUE"""),75.9)</f>
        <v>75.9</v>
      </c>
    </row>
    <row r="73">
      <c r="A73">
        <f>IFERROR(__xludf.DUMMYFUNCTION("""COMPUTED_VALUE"""),1971.0)</f>
        <v>1971</v>
      </c>
      <c r="B73">
        <f>IFERROR(__xludf.DUMMYFUNCTION("""COMPUTED_VALUE"""),5.1251E7)</f>
        <v>51251000</v>
      </c>
      <c r="C73">
        <f>IFERROR(__xludf.DUMMYFUNCTION("""COMPUTED_VALUE"""),881284.0)</f>
        <v>881284</v>
      </c>
      <c r="D73">
        <f>IFERROR(__xludf.DUMMYFUNCTION("""COMPUTED_VALUE"""),554151.0)</f>
        <v>554151</v>
      </c>
      <c r="E73">
        <f>IFERROR(__xludf.DUMMYFUNCTION("""COMPUTED_VALUE"""),327133.0)</f>
        <v>327133</v>
      </c>
      <c r="F73">
        <f>IFERROR(__xludf.DUMMYFUNCTION("""COMPUTED_VALUE"""),17.2)</f>
        <v>17.2</v>
      </c>
      <c r="G73">
        <f>IFERROR(__xludf.DUMMYFUNCTION("""COMPUTED_VALUE"""),10.8)</f>
        <v>10.8</v>
      </c>
      <c r="H73">
        <f>IFERROR(__xludf.DUMMYFUNCTION("""COMPUTED_VALUE"""),6.4)</f>
        <v>6.4</v>
      </c>
      <c r="I73">
        <f>IFERROR(__xludf.DUMMYFUNCTION("""COMPUTED_VALUE"""),2.5)</f>
        <v>2.5</v>
      </c>
      <c r="J73">
        <f>IFERROR(__xludf.DUMMYFUNCTION("""COMPUTED_VALUE"""),17.2)</f>
        <v>17.2</v>
      </c>
      <c r="K73">
        <f>IFERROR(__xludf.DUMMYFUNCTION("""COMPUTED_VALUE"""),68.3)</f>
        <v>68.3</v>
      </c>
      <c r="L73">
        <f>IFERROR(__xludf.DUMMYFUNCTION("""COMPUTED_VALUE"""),75.9)</f>
        <v>75.9</v>
      </c>
    </row>
    <row r="74">
      <c r="A74">
        <f>IFERROR(__xludf.DUMMYFUNCTION("""COMPUTED_VALUE"""),1972.0)</f>
        <v>1972</v>
      </c>
      <c r="B74">
        <f>IFERROR(__xludf.DUMMYFUNCTION("""COMPUTED_VALUE"""),5.1701E7)</f>
        <v>51701000</v>
      </c>
      <c r="C74">
        <f>IFERROR(__xludf.DUMMYFUNCTION("""COMPUTED_VALUE"""),877506.0)</f>
        <v>877506</v>
      </c>
      <c r="D74">
        <f>IFERROR(__xludf.DUMMYFUNCTION("""COMPUTED_VALUE"""),549900.0)</f>
        <v>549900</v>
      </c>
      <c r="E74">
        <f>IFERROR(__xludf.DUMMYFUNCTION("""COMPUTED_VALUE"""),327606.0)</f>
        <v>327606</v>
      </c>
      <c r="F74">
        <f>IFERROR(__xludf.DUMMYFUNCTION("""COMPUTED_VALUE"""),17.0)</f>
        <v>17</v>
      </c>
      <c r="G74">
        <f>IFERROR(__xludf.DUMMYFUNCTION("""COMPUTED_VALUE"""),10.6)</f>
        <v>10.6</v>
      </c>
      <c r="H74">
        <f>IFERROR(__xludf.DUMMYFUNCTION("""COMPUTED_VALUE"""),6.3)</f>
        <v>6.3</v>
      </c>
      <c r="I74">
        <f>IFERROR(__xludf.DUMMYFUNCTION("""COMPUTED_VALUE"""),2.42)</f>
        <v>2.42</v>
      </c>
      <c r="J74">
        <f>IFERROR(__xludf.DUMMYFUNCTION("""COMPUTED_VALUE"""),16.0)</f>
        <v>16</v>
      </c>
      <c r="K74">
        <f>IFERROR(__xludf.DUMMYFUNCTION("""COMPUTED_VALUE"""),68.5)</f>
        <v>68.5</v>
      </c>
      <c r="L74">
        <f>IFERROR(__xludf.DUMMYFUNCTION("""COMPUTED_VALUE"""),76.2)</f>
        <v>76.2</v>
      </c>
    </row>
    <row r="75">
      <c r="A75">
        <f>IFERROR(__xludf.DUMMYFUNCTION("""COMPUTED_VALUE"""),1973.0)</f>
        <v>1973</v>
      </c>
      <c r="B75">
        <f>IFERROR(__xludf.DUMMYFUNCTION("""COMPUTED_VALUE"""),5.2118E7)</f>
        <v>52118000</v>
      </c>
      <c r="C75">
        <f>IFERROR(__xludf.DUMMYFUNCTION("""COMPUTED_VALUE"""),857186.0)</f>
        <v>857186</v>
      </c>
      <c r="D75">
        <f>IFERROR(__xludf.DUMMYFUNCTION("""COMPUTED_VALUE"""),558782.0)</f>
        <v>558782</v>
      </c>
      <c r="E75">
        <f>IFERROR(__xludf.DUMMYFUNCTION("""COMPUTED_VALUE"""),298404.0)</f>
        <v>298404</v>
      </c>
      <c r="F75">
        <f>IFERROR(__xludf.DUMMYFUNCTION("""COMPUTED_VALUE"""),16.4)</f>
        <v>16.4</v>
      </c>
      <c r="G75">
        <f>IFERROR(__xludf.DUMMYFUNCTION("""COMPUTED_VALUE"""),10.7)</f>
        <v>10.7</v>
      </c>
      <c r="H75">
        <f>IFERROR(__xludf.DUMMYFUNCTION("""COMPUTED_VALUE"""),5.7)</f>
        <v>5.7</v>
      </c>
      <c r="I75">
        <f>IFERROR(__xludf.DUMMYFUNCTION("""COMPUTED_VALUE"""),2.31)</f>
        <v>2.31</v>
      </c>
      <c r="J75">
        <f>IFERROR(__xludf.DUMMYFUNCTION("""COMPUTED_VALUE"""),15.4)</f>
        <v>15.4</v>
      </c>
      <c r="K75">
        <f>IFERROR(__xludf.DUMMYFUNCTION("""COMPUTED_VALUE"""),68.7)</f>
        <v>68.7</v>
      </c>
      <c r="L75">
        <f>IFERROR(__xludf.DUMMYFUNCTION("""COMPUTED_VALUE"""),76.3)</f>
        <v>76.3</v>
      </c>
    </row>
    <row r="76">
      <c r="A76">
        <f>IFERROR(__xludf.DUMMYFUNCTION("""COMPUTED_VALUE"""),1974.0)</f>
        <v>1974</v>
      </c>
      <c r="B76">
        <f>IFERROR(__xludf.DUMMYFUNCTION("""COMPUTED_VALUE"""),5.246E7)</f>
        <v>52460000</v>
      </c>
      <c r="C76">
        <f>IFERROR(__xludf.DUMMYFUNCTION("""COMPUTED_VALUE"""),801218.0)</f>
        <v>801218</v>
      </c>
      <c r="D76">
        <f>IFERROR(__xludf.DUMMYFUNCTION("""COMPUTED_VALUE"""),552551.0)</f>
        <v>552551</v>
      </c>
      <c r="E76">
        <f>IFERROR(__xludf.DUMMYFUNCTION("""COMPUTED_VALUE"""),248667.0)</f>
        <v>248667</v>
      </c>
      <c r="F76">
        <f>IFERROR(__xludf.DUMMYFUNCTION("""COMPUTED_VALUE"""),15.3)</f>
        <v>15.3</v>
      </c>
      <c r="G76">
        <f>IFERROR(__xludf.DUMMYFUNCTION("""COMPUTED_VALUE"""),10.5)</f>
        <v>10.5</v>
      </c>
      <c r="H76">
        <f>IFERROR(__xludf.DUMMYFUNCTION("""COMPUTED_VALUE"""),4.7)</f>
        <v>4.7</v>
      </c>
      <c r="I76">
        <f>IFERROR(__xludf.DUMMYFUNCTION("""COMPUTED_VALUE"""),2.11)</f>
        <v>2.11</v>
      </c>
      <c r="J76">
        <f>IFERROR(__xludf.DUMMYFUNCTION("""COMPUTED_VALUE"""),14.6)</f>
        <v>14.6</v>
      </c>
      <c r="K76">
        <f>IFERROR(__xludf.DUMMYFUNCTION("""COMPUTED_VALUE"""),68.9)</f>
        <v>68.9</v>
      </c>
      <c r="L76">
        <f>IFERROR(__xludf.DUMMYFUNCTION("""COMPUTED_VALUE"""),76.7)</f>
        <v>76.7</v>
      </c>
    </row>
    <row r="77">
      <c r="A77">
        <f>IFERROR(__xludf.DUMMYFUNCTION("""COMPUTED_VALUE"""),1975.0)</f>
        <v>1975</v>
      </c>
      <c r="B77">
        <f>IFERROR(__xludf.DUMMYFUNCTION("""COMPUTED_VALUE"""),5.2699E7)</f>
        <v>52699000</v>
      </c>
      <c r="C77">
        <f>IFERROR(__xludf.DUMMYFUNCTION("""COMPUTED_VALUE"""),745065.0)</f>
        <v>745065</v>
      </c>
      <c r="D77">
        <f>IFERROR(__xludf.DUMMYFUNCTION("""COMPUTED_VALUE"""),560353.0)</f>
        <v>560353</v>
      </c>
      <c r="E77">
        <f>IFERROR(__xludf.DUMMYFUNCTION("""COMPUTED_VALUE"""),184712.0)</f>
        <v>184712</v>
      </c>
      <c r="F77">
        <f>IFERROR(__xludf.DUMMYFUNCTION("""COMPUTED_VALUE"""),14.1)</f>
        <v>14.1</v>
      </c>
      <c r="G77">
        <f>IFERROR(__xludf.DUMMYFUNCTION("""COMPUTED_VALUE"""),10.6)</f>
        <v>10.6</v>
      </c>
      <c r="H77">
        <f>IFERROR(__xludf.DUMMYFUNCTION("""COMPUTED_VALUE"""),3.5)</f>
        <v>3.5</v>
      </c>
      <c r="I77">
        <f>IFERROR(__xludf.DUMMYFUNCTION("""COMPUTED_VALUE"""),1.93)</f>
        <v>1.93</v>
      </c>
      <c r="J77">
        <f>IFERROR(__xludf.DUMMYFUNCTION("""COMPUTED_VALUE"""),13.8)</f>
        <v>13.8</v>
      </c>
      <c r="K77">
        <f>IFERROR(__xludf.DUMMYFUNCTION("""COMPUTED_VALUE"""),69.0)</f>
        <v>69</v>
      </c>
      <c r="L77">
        <f>IFERROR(__xludf.DUMMYFUNCTION("""COMPUTED_VALUE"""),76.9)</f>
        <v>76.9</v>
      </c>
    </row>
    <row r="78">
      <c r="A78">
        <f>IFERROR(__xludf.DUMMYFUNCTION("""COMPUTED_VALUE"""),1976.0)</f>
        <v>1976</v>
      </c>
      <c r="B78">
        <f>IFERROR(__xludf.DUMMYFUNCTION("""COMPUTED_VALUE"""),5.2909E7)</f>
        <v>52909000</v>
      </c>
      <c r="C78">
        <f>IFERROR(__xludf.DUMMYFUNCTION("""COMPUTED_VALUE"""),720395.0)</f>
        <v>720395</v>
      </c>
      <c r="D78">
        <f>IFERROR(__xludf.DUMMYFUNCTION("""COMPUTED_VALUE"""),557114.0)</f>
        <v>557114</v>
      </c>
      <c r="E78">
        <f>IFERROR(__xludf.DUMMYFUNCTION("""COMPUTED_VALUE"""),163281.0)</f>
        <v>163281</v>
      </c>
      <c r="F78">
        <f>IFERROR(__xludf.DUMMYFUNCTION("""COMPUTED_VALUE"""),13.6)</f>
        <v>13.6</v>
      </c>
      <c r="G78">
        <f>IFERROR(__xludf.DUMMYFUNCTION("""COMPUTED_VALUE"""),10.5)</f>
        <v>10.5</v>
      </c>
      <c r="H78">
        <f>IFERROR(__xludf.DUMMYFUNCTION("""COMPUTED_VALUE"""),3.1)</f>
        <v>3.1</v>
      </c>
      <c r="I78">
        <f>IFERROR(__xludf.DUMMYFUNCTION("""COMPUTED_VALUE"""),1.83)</f>
        <v>1.83</v>
      </c>
      <c r="J78">
        <f>IFERROR(__xludf.DUMMYFUNCTION("""COMPUTED_VALUE"""),12.5)</f>
        <v>12.5</v>
      </c>
      <c r="K78">
        <f>IFERROR(__xludf.DUMMYFUNCTION("""COMPUTED_VALUE"""),69.2)</f>
        <v>69.2</v>
      </c>
      <c r="L78">
        <f>IFERROR(__xludf.DUMMYFUNCTION("""COMPUTED_VALUE"""),77.2)</f>
        <v>77.2</v>
      </c>
    </row>
    <row r="79">
      <c r="A79">
        <f>IFERROR(__xludf.DUMMYFUNCTION("""COMPUTED_VALUE"""),1977.0)</f>
        <v>1977</v>
      </c>
      <c r="B79">
        <f>IFERROR(__xludf.DUMMYFUNCTION("""COMPUTED_VALUE"""),5.3145E7)</f>
        <v>53145000</v>
      </c>
      <c r="C79">
        <f>IFERROR(__xludf.DUMMYFUNCTION("""COMPUTED_VALUE"""),744744.0)</f>
        <v>744744</v>
      </c>
      <c r="D79">
        <f>IFERROR(__xludf.DUMMYFUNCTION("""COMPUTED_VALUE"""),536221.0)</f>
        <v>536221</v>
      </c>
      <c r="E79">
        <f>IFERROR(__xludf.DUMMYFUNCTION("""COMPUTED_VALUE"""),208523.0)</f>
        <v>208523</v>
      </c>
      <c r="F79">
        <f>IFERROR(__xludf.DUMMYFUNCTION("""COMPUTED_VALUE"""),14.0)</f>
        <v>14</v>
      </c>
      <c r="G79">
        <f>IFERROR(__xludf.DUMMYFUNCTION("""COMPUTED_VALUE"""),10.1)</f>
        <v>10.1</v>
      </c>
      <c r="H79">
        <f>IFERROR(__xludf.DUMMYFUNCTION("""COMPUTED_VALUE"""),3.9)</f>
        <v>3.9</v>
      </c>
      <c r="I79">
        <f>IFERROR(__xludf.DUMMYFUNCTION("""COMPUTED_VALUE"""),1.86)</f>
        <v>1.86</v>
      </c>
      <c r="J79">
        <f>IFERROR(__xludf.DUMMYFUNCTION("""COMPUTED_VALUE"""),11.4)</f>
        <v>11.4</v>
      </c>
      <c r="K79">
        <f>IFERROR(__xludf.DUMMYFUNCTION("""COMPUTED_VALUE"""),69.7)</f>
        <v>69.7</v>
      </c>
      <c r="L79">
        <f>IFERROR(__xludf.DUMMYFUNCTION("""COMPUTED_VALUE"""),77.8)</f>
        <v>77.8</v>
      </c>
    </row>
    <row r="80">
      <c r="A80">
        <f>IFERROR(__xludf.DUMMYFUNCTION("""COMPUTED_VALUE"""),1978.0)</f>
        <v>1978</v>
      </c>
      <c r="B80">
        <f>IFERROR(__xludf.DUMMYFUNCTION("""COMPUTED_VALUE"""),5.3376E7)</f>
        <v>53376000</v>
      </c>
      <c r="C80">
        <f>IFERROR(__xludf.DUMMYFUNCTION("""COMPUTED_VALUE"""),737062.0)</f>
        <v>737062</v>
      </c>
      <c r="D80">
        <f>IFERROR(__xludf.DUMMYFUNCTION("""COMPUTED_VALUE"""),546916.0)</f>
        <v>546916</v>
      </c>
      <c r="E80">
        <f>IFERROR(__xludf.DUMMYFUNCTION("""COMPUTED_VALUE"""),190146.0)</f>
        <v>190146</v>
      </c>
      <c r="F80">
        <f>IFERROR(__xludf.DUMMYFUNCTION("""COMPUTED_VALUE"""),13.8)</f>
        <v>13.8</v>
      </c>
      <c r="G80">
        <f>IFERROR(__xludf.DUMMYFUNCTION("""COMPUTED_VALUE"""),10.2)</f>
        <v>10.2</v>
      </c>
      <c r="H80">
        <f>IFERROR(__xludf.DUMMYFUNCTION("""COMPUTED_VALUE"""),3.6)</f>
        <v>3.6</v>
      </c>
      <c r="I80">
        <f>IFERROR(__xludf.DUMMYFUNCTION("""COMPUTED_VALUE"""),1.82)</f>
        <v>1.82</v>
      </c>
      <c r="J80">
        <f>IFERROR(__xludf.DUMMYFUNCTION("""COMPUTED_VALUE"""),10.7)</f>
        <v>10.7</v>
      </c>
      <c r="K80">
        <f>IFERROR(__xludf.DUMMYFUNCTION("""COMPUTED_VALUE"""),69.8)</f>
        <v>69.8</v>
      </c>
      <c r="L80">
        <f>IFERROR(__xludf.DUMMYFUNCTION("""COMPUTED_VALUE"""),77.9)</f>
        <v>77.9</v>
      </c>
    </row>
    <row r="81">
      <c r="A81">
        <f>IFERROR(__xludf.DUMMYFUNCTION("""COMPUTED_VALUE"""),1979.0)</f>
        <v>1979</v>
      </c>
      <c r="B81">
        <f>IFERROR(__xludf.DUMMYFUNCTION("""COMPUTED_VALUE"""),5.3606E7)</f>
        <v>53606000</v>
      </c>
      <c r="C81">
        <f>IFERROR(__xludf.DUMMYFUNCTION("""COMPUTED_VALUE"""),757354.0)</f>
        <v>757354</v>
      </c>
      <c r="D81">
        <f>IFERROR(__xludf.DUMMYFUNCTION("""COMPUTED_VALUE"""),541805.0)</f>
        <v>541805</v>
      </c>
      <c r="E81">
        <f>IFERROR(__xludf.DUMMYFUNCTION("""COMPUTED_VALUE"""),215549.0)</f>
        <v>215549</v>
      </c>
      <c r="F81">
        <f>IFERROR(__xludf.DUMMYFUNCTION("""COMPUTED_VALUE"""),14.1)</f>
        <v>14.1</v>
      </c>
      <c r="G81">
        <f>IFERROR(__xludf.DUMMYFUNCTION("""COMPUTED_VALUE"""),10.1)</f>
        <v>10.1</v>
      </c>
      <c r="H81">
        <f>IFERROR(__xludf.DUMMYFUNCTION("""COMPUTED_VALUE"""),4.0)</f>
        <v>4</v>
      </c>
      <c r="I81">
        <f>IFERROR(__xludf.DUMMYFUNCTION("""COMPUTED_VALUE"""),1.86)</f>
        <v>1.86</v>
      </c>
      <c r="J81">
        <f>IFERROR(__xludf.DUMMYFUNCTION("""COMPUTED_VALUE"""),10.0)</f>
        <v>10</v>
      </c>
      <c r="K81">
        <f>IFERROR(__xludf.DUMMYFUNCTION("""COMPUTED_VALUE"""),70.1)</f>
        <v>70.1</v>
      </c>
      <c r="L81">
        <f>IFERROR(__xludf.DUMMYFUNCTION("""COMPUTED_VALUE"""),78.3)</f>
        <v>78.3</v>
      </c>
    </row>
    <row r="82">
      <c r="A82">
        <f>IFERROR(__xludf.DUMMYFUNCTION("""COMPUTED_VALUE"""),1980.0)</f>
        <v>1980</v>
      </c>
      <c r="B82">
        <f>IFERROR(__xludf.DUMMYFUNCTION("""COMPUTED_VALUE"""),5.388E7)</f>
        <v>53880000</v>
      </c>
      <c r="C82">
        <f>IFERROR(__xludf.DUMMYFUNCTION("""COMPUTED_VALUE"""),800376.0)</f>
        <v>800376</v>
      </c>
      <c r="D82">
        <f>IFERROR(__xludf.DUMMYFUNCTION("""COMPUTED_VALUE"""),547107.0)</f>
        <v>547107</v>
      </c>
      <c r="E82">
        <f>IFERROR(__xludf.DUMMYFUNCTION("""COMPUTED_VALUE"""),253269.0)</f>
        <v>253269</v>
      </c>
      <c r="F82">
        <f>IFERROR(__xludf.DUMMYFUNCTION("""COMPUTED_VALUE"""),14.9)</f>
        <v>14.9</v>
      </c>
      <c r="G82">
        <f>IFERROR(__xludf.DUMMYFUNCTION("""COMPUTED_VALUE"""),10.2)</f>
        <v>10.2</v>
      </c>
      <c r="H82">
        <f>IFERROR(__xludf.DUMMYFUNCTION("""COMPUTED_VALUE"""),4.7)</f>
        <v>4.7</v>
      </c>
      <c r="I82">
        <f>IFERROR(__xludf.DUMMYFUNCTION("""COMPUTED_VALUE"""),1.95)</f>
        <v>1.95</v>
      </c>
      <c r="J82">
        <f>IFERROR(__xludf.DUMMYFUNCTION("""COMPUTED_VALUE"""),10.0)</f>
        <v>10</v>
      </c>
      <c r="K82">
        <f>IFERROR(__xludf.DUMMYFUNCTION("""COMPUTED_VALUE"""),70.2)</f>
        <v>70.2</v>
      </c>
      <c r="L82">
        <f>IFERROR(__xludf.DUMMYFUNCTION("""COMPUTED_VALUE"""),78.4)</f>
        <v>78.4</v>
      </c>
    </row>
    <row r="83">
      <c r="A83">
        <f>IFERROR(__xludf.DUMMYFUNCTION("""COMPUTED_VALUE"""),1981.0)</f>
        <v>1981</v>
      </c>
      <c r="B83">
        <f>IFERROR(__xludf.DUMMYFUNCTION("""COMPUTED_VALUE"""),5.4182E7)</f>
        <v>54182000</v>
      </c>
      <c r="C83">
        <f>IFERROR(__xludf.DUMMYFUNCTION("""COMPUTED_VALUE"""),805483.0)</f>
        <v>805483</v>
      </c>
      <c r="D83">
        <f>IFERROR(__xludf.DUMMYFUNCTION("""COMPUTED_VALUE"""),554823.0)</f>
        <v>554823</v>
      </c>
      <c r="E83">
        <f>IFERROR(__xludf.DUMMYFUNCTION("""COMPUTED_VALUE"""),250660.0)</f>
        <v>250660</v>
      </c>
      <c r="F83">
        <f>IFERROR(__xludf.DUMMYFUNCTION("""COMPUTED_VALUE"""),14.9)</f>
        <v>14.9</v>
      </c>
      <c r="G83">
        <f>IFERROR(__xludf.DUMMYFUNCTION("""COMPUTED_VALUE"""),10.2)</f>
        <v>10.2</v>
      </c>
      <c r="H83">
        <f>IFERROR(__xludf.DUMMYFUNCTION("""COMPUTED_VALUE"""),4.6)</f>
        <v>4.6</v>
      </c>
      <c r="I83">
        <f>IFERROR(__xludf.DUMMYFUNCTION("""COMPUTED_VALUE"""),1.95)</f>
        <v>1.95</v>
      </c>
      <c r="J83">
        <f>IFERROR(__xludf.DUMMYFUNCTION("""COMPUTED_VALUE"""),9.7)</f>
        <v>9.7</v>
      </c>
      <c r="K83">
        <f>IFERROR(__xludf.DUMMYFUNCTION("""COMPUTED_VALUE"""),70.4)</f>
        <v>70.4</v>
      </c>
      <c r="L83">
        <f>IFERROR(__xludf.DUMMYFUNCTION("""COMPUTED_VALUE"""),78.5)</f>
        <v>78.5</v>
      </c>
    </row>
    <row r="84">
      <c r="A84">
        <f>IFERROR(__xludf.DUMMYFUNCTION("""COMPUTED_VALUE"""),1982.0)</f>
        <v>1982</v>
      </c>
      <c r="B84">
        <f>IFERROR(__xludf.DUMMYFUNCTION("""COMPUTED_VALUE"""),5.4492E7)</f>
        <v>54492000</v>
      </c>
      <c r="C84">
        <f>IFERROR(__xludf.DUMMYFUNCTION("""COMPUTED_VALUE"""),797223.0)</f>
        <v>797223</v>
      </c>
      <c r="D84">
        <f>IFERROR(__xludf.DUMMYFUNCTION("""COMPUTED_VALUE"""),543104.0)</f>
        <v>543104</v>
      </c>
      <c r="E84">
        <f>IFERROR(__xludf.DUMMYFUNCTION("""COMPUTED_VALUE"""),254119.0)</f>
        <v>254119</v>
      </c>
      <c r="F84">
        <f>IFERROR(__xludf.DUMMYFUNCTION("""COMPUTED_VALUE"""),14.6)</f>
        <v>14.6</v>
      </c>
      <c r="G84">
        <f>IFERROR(__xludf.DUMMYFUNCTION("""COMPUTED_VALUE"""),10.0)</f>
        <v>10</v>
      </c>
      <c r="H84">
        <f>IFERROR(__xludf.DUMMYFUNCTION("""COMPUTED_VALUE"""),4.7)</f>
        <v>4.7</v>
      </c>
      <c r="I84">
        <f>IFERROR(__xludf.DUMMYFUNCTION("""COMPUTED_VALUE"""),1.91)</f>
        <v>1.91</v>
      </c>
      <c r="J84">
        <f>IFERROR(__xludf.DUMMYFUNCTION("""COMPUTED_VALUE"""),9.5)</f>
        <v>9.5</v>
      </c>
      <c r="K84">
        <f>IFERROR(__xludf.DUMMYFUNCTION("""COMPUTED_VALUE"""),70.7)</f>
        <v>70.7</v>
      </c>
      <c r="L84">
        <f>IFERROR(__xludf.DUMMYFUNCTION("""COMPUTED_VALUE"""),78.9)</f>
        <v>78.9</v>
      </c>
    </row>
    <row r="85">
      <c r="A85">
        <f>IFERROR(__xludf.DUMMYFUNCTION("""COMPUTED_VALUE"""),1983.0)</f>
        <v>1983</v>
      </c>
      <c r="B85">
        <f>IFERROR(__xludf.DUMMYFUNCTION("""COMPUTED_VALUE"""),5.4772E7)</f>
        <v>54772000</v>
      </c>
      <c r="C85">
        <f>IFERROR(__xludf.DUMMYFUNCTION("""COMPUTED_VALUE"""),748525.0)</f>
        <v>748525</v>
      </c>
      <c r="D85">
        <f>IFERROR(__xludf.DUMMYFUNCTION("""COMPUTED_VALUE"""),559655.0)</f>
        <v>559655</v>
      </c>
      <c r="E85">
        <f>IFERROR(__xludf.DUMMYFUNCTION("""COMPUTED_VALUE"""),188870.0)</f>
        <v>188870</v>
      </c>
      <c r="F85">
        <f>IFERROR(__xludf.DUMMYFUNCTION("""COMPUTED_VALUE"""),13.7)</f>
        <v>13.7</v>
      </c>
      <c r="G85">
        <f>IFERROR(__xludf.DUMMYFUNCTION("""COMPUTED_VALUE"""),10.2)</f>
        <v>10.2</v>
      </c>
      <c r="H85">
        <f>IFERROR(__xludf.DUMMYFUNCTION("""COMPUTED_VALUE"""),3.4)</f>
        <v>3.4</v>
      </c>
      <c r="I85">
        <f>IFERROR(__xludf.DUMMYFUNCTION("""COMPUTED_VALUE"""),1.78)</f>
        <v>1.78</v>
      </c>
      <c r="J85">
        <f>IFERROR(__xludf.DUMMYFUNCTION("""COMPUTED_VALUE"""),9.1)</f>
        <v>9.1</v>
      </c>
      <c r="K85">
        <f>IFERROR(__xludf.DUMMYFUNCTION("""COMPUTED_VALUE"""),70.7)</f>
        <v>70.7</v>
      </c>
      <c r="L85">
        <f>IFERROR(__xludf.DUMMYFUNCTION("""COMPUTED_VALUE"""),78.8)</f>
        <v>78.8</v>
      </c>
    </row>
    <row r="86">
      <c r="A86">
        <f>IFERROR(__xludf.DUMMYFUNCTION("""COMPUTED_VALUE"""),1984.0)</f>
        <v>1984</v>
      </c>
      <c r="B86">
        <f>IFERROR(__xludf.DUMMYFUNCTION("""COMPUTED_VALUE"""),5.5026E7)</f>
        <v>55026000</v>
      </c>
      <c r="C86">
        <f>IFERROR(__xludf.DUMMYFUNCTION("""COMPUTED_VALUE"""),759939.0)</f>
        <v>759939</v>
      </c>
      <c r="D86">
        <f>IFERROR(__xludf.DUMMYFUNCTION("""COMPUTED_VALUE"""),542490.0)</f>
        <v>542490</v>
      </c>
      <c r="E86">
        <f>IFERROR(__xludf.DUMMYFUNCTION("""COMPUTED_VALUE"""),217449.0)</f>
        <v>217449</v>
      </c>
      <c r="F86">
        <f>IFERROR(__xludf.DUMMYFUNCTION("""COMPUTED_VALUE"""),13.8)</f>
        <v>13.8</v>
      </c>
      <c r="G86">
        <f>IFERROR(__xludf.DUMMYFUNCTION("""COMPUTED_VALUE"""),9.9)</f>
        <v>9.9</v>
      </c>
      <c r="H86">
        <f>IFERROR(__xludf.DUMMYFUNCTION("""COMPUTED_VALUE"""),4.0)</f>
        <v>4</v>
      </c>
      <c r="I86">
        <f>IFERROR(__xludf.DUMMYFUNCTION("""COMPUTED_VALUE"""),1.8)</f>
        <v>1.8</v>
      </c>
      <c r="J86">
        <f>IFERROR(__xludf.DUMMYFUNCTION("""COMPUTED_VALUE"""),8.3)</f>
        <v>8.3</v>
      </c>
      <c r="K86">
        <f>IFERROR(__xludf.DUMMYFUNCTION("""COMPUTED_VALUE"""),71.2)</f>
        <v>71.2</v>
      </c>
      <c r="L86">
        <f>IFERROR(__xludf.DUMMYFUNCTION("""COMPUTED_VALUE"""),79.3)</f>
        <v>79.3</v>
      </c>
    </row>
    <row r="87">
      <c r="A87">
        <f>IFERROR(__xludf.DUMMYFUNCTION("""COMPUTED_VALUE"""),1985.0)</f>
        <v>1985</v>
      </c>
      <c r="B87">
        <f>IFERROR(__xludf.DUMMYFUNCTION("""COMPUTED_VALUE"""),5.5284E7)</f>
        <v>55284000</v>
      </c>
      <c r="C87">
        <f>IFERROR(__xludf.DUMMYFUNCTION("""COMPUTED_VALUE"""),768431.0)</f>
        <v>768431</v>
      </c>
      <c r="D87">
        <f>IFERROR(__xludf.DUMMYFUNCTION("""COMPUTED_VALUE"""),552496.0)</f>
        <v>552496</v>
      </c>
      <c r="E87">
        <f>IFERROR(__xludf.DUMMYFUNCTION("""COMPUTED_VALUE"""),215935.0)</f>
        <v>215935</v>
      </c>
      <c r="F87">
        <f>IFERROR(__xludf.DUMMYFUNCTION("""COMPUTED_VALUE"""),13.9)</f>
        <v>13.9</v>
      </c>
      <c r="G87">
        <f>IFERROR(__xludf.DUMMYFUNCTION("""COMPUTED_VALUE"""),10.0)</f>
        <v>10</v>
      </c>
      <c r="H87">
        <f>IFERROR(__xludf.DUMMYFUNCTION("""COMPUTED_VALUE"""),3.9)</f>
        <v>3.9</v>
      </c>
      <c r="I87">
        <f>IFERROR(__xludf.DUMMYFUNCTION("""COMPUTED_VALUE"""),1.81)</f>
        <v>1.81</v>
      </c>
      <c r="J87">
        <f>IFERROR(__xludf.DUMMYFUNCTION("""COMPUTED_VALUE"""),8.3)</f>
        <v>8.3</v>
      </c>
      <c r="K87">
        <f>IFERROR(__xludf.DUMMYFUNCTION("""COMPUTED_VALUE"""),71.3)</f>
        <v>71.3</v>
      </c>
      <c r="L87">
        <f>IFERROR(__xludf.DUMMYFUNCTION("""COMPUTED_VALUE"""),79.4)</f>
        <v>79.4</v>
      </c>
    </row>
    <row r="88">
      <c r="A88">
        <f>IFERROR(__xludf.DUMMYFUNCTION("""COMPUTED_VALUE"""),1986.0)</f>
        <v>1986</v>
      </c>
      <c r="B88">
        <f>IFERROR(__xludf.DUMMYFUNCTION("""COMPUTED_VALUE"""),5.5577E7)</f>
        <v>55577000</v>
      </c>
      <c r="C88">
        <f>IFERROR(__xludf.DUMMYFUNCTION("""COMPUTED_VALUE"""),778468.0)</f>
        <v>778468</v>
      </c>
      <c r="D88">
        <f>IFERROR(__xludf.DUMMYFUNCTION("""COMPUTED_VALUE"""),546926.0)</f>
        <v>546926</v>
      </c>
      <c r="E88">
        <f>IFERROR(__xludf.DUMMYFUNCTION("""COMPUTED_VALUE"""),231542.0)</f>
        <v>231542</v>
      </c>
      <c r="F88">
        <f>IFERROR(__xludf.DUMMYFUNCTION("""COMPUTED_VALUE"""),14.0)</f>
        <v>14</v>
      </c>
      <c r="G88">
        <f>IFERROR(__xludf.DUMMYFUNCTION("""COMPUTED_VALUE"""),9.8)</f>
        <v>9.8</v>
      </c>
      <c r="H88">
        <f>IFERROR(__xludf.DUMMYFUNCTION("""COMPUTED_VALUE"""),4.2)</f>
        <v>4.2</v>
      </c>
      <c r="I88">
        <f>IFERROR(__xludf.DUMMYFUNCTION("""COMPUTED_VALUE"""),1.83)</f>
        <v>1.83</v>
      </c>
      <c r="J88">
        <f>IFERROR(__xludf.DUMMYFUNCTION("""COMPUTED_VALUE"""),8.0)</f>
        <v>8</v>
      </c>
      <c r="K88">
        <f>IFERROR(__xludf.DUMMYFUNCTION("""COMPUTED_VALUE"""),71.5)</f>
        <v>71.5</v>
      </c>
      <c r="L88">
        <f>IFERROR(__xludf.DUMMYFUNCTION("""COMPUTED_VALUE"""),79.7)</f>
        <v>79.7</v>
      </c>
    </row>
    <row r="89">
      <c r="A89">
        <f>IFERROR(__xludf.DUMMYFUNCTION("""COMPUTED_VALUE"""),1987.0)</f>
        <v>1987</v>
      </c>
      <c r="B89">
        <f>IFERROR(__xludf.DUMMYFUNCTION("""COMPUTED_VALUE"""),5.5824E7)</f>
        <v>55824000</v>
      </c>
      <c r="C89">
        <f>IFERROR(__xludf.DUMMYFUNCTION("""COMPUTED_VALUE"""),767828.0)</f>
        <v>767828</v>
      </c>
      <c r="D89">
        <f>IFERROR(__xludf.DUMMYFUNCTION("""COMPUTED_VALUE"""),527466.0)</f>
        <v>527466</v>
      </c>
      <c r="E89">
        <f>IFERROR(__xludf.DUMMYFUNCTION("""COMPUTED_VALUE"""),240362.0)</f>
        <v>240362</v>
      </c>
      <c r="F89">
        <f>IFERROR(__xludf.DUMMYFUNCTION("""COMPUTED_VALUE"""),13.8)</f>
        <v>13.8</v>
      </c>
      <c r="G89">
        <f>IFERROR(__xludf.DUMMYFUNCTION("""COMPUTED_VALUE"""),9.4)</f>
        <v>9.4</v>
      </c>
      <c r="H89">
        <f>IFERROR(__xludf.DUMMYFUNCTION("""COMPUTED_VALUE"""),4.3)</f>
        <v>4.3</v>
      </c>
      <c r="I89">
        <f>IFERROR(__xludf.DUMMYFUNCTION("""COMPUTED_VALUE"""),1.8)</f>
        <v>1.8</v>
      </c>
      <c r="J89">
        <f>IFERROR(__xludf.DUMMYFUNCTION("""COMPUTED_VALUE"""),7.8)</f>
        <v>7.8</v>
      </c>
      <c r="K89">
        <f>IFERROR(__xludf.DUMMYFUNCTION("""COMPUTED_VALUE"""),72.0)</f>
        <v>72</v>
      </c>
      <c r="L89">
        <f>IFERROR(__xludf.DUMMYFUNCTION("""COMPUTED_VALUE"""),80.3)</f>
        <v>80.3</v>
      </c>
    </row>
    <row r="90">
      <c r="A90">
        <f>IFERROR(__xludf.DUMMYFUNCTION("""COMPUTED_VALUE"""),1988.0)</f>
        <v>1988</v>
      </c>
      <c r="B90">
        <f>IFERROR(__xludf.DUMMYFUNCTION("""COMPUTED_VALUE"""),5.6118E7)</f>
        <v>56118000</v>
      </c>
      <c r="C90">
        <f>IFERROR(__xludf.DUMMYFUNCTION("""COMPUTED_VALUE"""),771268.0)</f>
        <v>771268</v>
      </c>
      <c r="D90">
        <f>IFERROR(__xludf.DUMMYFUNCTION("""COMPUTED_VALUE"""),524600.0)</f>
        <v>524600</v>
      </c>
      <c r="E90">
        <f>IFERROR(__xludf.DUMMYFUNCTION("""COMPUTED_VALUE"""),246668.0)</f>
        <v>246668</v>
      </c>
      <c r="F90">
        <f>IFERROR(__xludf.DUMMYFUNCTION("""COMPUTED_VALUE"""),13.7)</f>
        <v>13.7</v>
      </c>
      <c r="G90">
        <f>IFERROR(__xludf.DUMMYFUNCTION("""COMPUTED_VALUE"""),9.3)</f>
        <v>9.3</v>
      </c>
      <c r="H90">
        <f>IFERROR(__xludf.DUMMYFUNCTION("""COMPUTED_VALUE"""),4.4)</f>
        <v>4.4</v>
      </c>
      <c r="I90">
        <f>IFERROR(__xludf.DUMMYFUNCTION("""COMPUTED_VALUE"""),1.81)</f>
        <v>1.81</v>
      </c>
      <c r="J90">
        <f>IFERROR(__xludf.DUMMYFUNCTION("""COMPUTED_VALUE"""),7.8)</f>
        <v>7.8</v>
      </c>
      <c r="K90">
        <f>IFERROR(__xludf.DUMMYFUNCTION("""COMPUTED_VALUE"""),72.3)</f>
        <v>72.3</v>
      </c>
      <c r="L90">
        <f>IFERROR(__xludf.DUMMYFUNCTION("""COMPUTED_VALUE"""),80.5)</f>
        <v>80.5</v>
      </c>
    </row>
    <row r="91">
      <c r="A91">
        <f>IFERROR(__xludf.DUMMYFUNCTION("""COMPUTED_VALUE"""),1989.0)</f>
        <v>1989</v>
      </c>
      <c r="B91">
        <f>IFERROR(__xludf.DUMMYFUNCTION("""COMPUTED_VALUE"""),5.6423E7)</f>
        <v>56423000</v>
      </c>
      <c r="C91">
        <f>IFERROR(__xludf.DUMMYFUNCTION("""COMPUTED_VALUE"""),765473.0)</f>
        <v>765473</v>
      </c>
      <c r="D91">
        <f>IFERROR(__xludf.DUMMYFUNCTION("""COMPUTED_VALUE"""),529283.0)</f>
        <v>529283</v>
      </c>
      <c r="E91">
        <f>IFERROR(__xludf.DUMMYFUNCTION("""COMPUTED_VALUE"""),236190.0)</f>
        <v>236190</v>
      </c>
      <c r="F91">
        <f>IFERROR(__xludf.DUMMYFUNCTION("""COMPUTED_VALUE"""),13.6)</f>
        <v>13.6</v>
      </c>
      <c r="G91">
        <f>IFERROR(__xludf.DUMMYFUNCTION("""COMPUTED_VALUE"""),9.4)</f>
        <v>9.4</v>
      </c>
      <c r="H91">
        <f>IFERROR(__xludf.DUMMYFUNCTION("""COMPUTED_VALUE"""),4.2)</f>
        <v>4.2</v>
      </c>
      <c r="I91">
        <f>IFERROR(__xludf.DUMMYFUNCTION("""COMPUTED_VALUE"""),1.79)</f>
        <v>1.79</v>
      </c>
      <c r="J91">
        <f>IFERROR(__xludf.DUMMYFUNCTION("""COMPUTED_VALUE"""),7.5)</f>
        <v>7.5</v>
      </c>
      <c r="K91">
        <f>IFERROR(__xludf.DUMMYFUNCTION("""COMPUTED_VALUE"""),72.5)</f>
        <v>72.5</v>
      </c>
      <c r="L91">
        <f>IFERROR(__xludf.DUMMYFUNCTION("""COMPUTED_VALUE"""),80.6)</f>
        <v>80.6</v>
      </c>
    </row>
    <row r="92">
      <c r="A92">
        <f>IFERROR(__xludf.DUMMYFUNCTION("""COMPUTED_VALUE"""),1990.0)</f>
        <v>1990</v>
      </c>
      <c r="B92">
        <f>IFERROR(__xludf.DUMMYFUNCTION("""COMPUTED_VALUE"""),5.6709E7)</f>
        <v>56709000</v>
      </c>
      <c r="C92">
        <f>IFERROR(__xludf.DUMMYFUNCTION("""COMPUTED_VALUE"""),762407.0)</f>
        <v>762407</v>
      </c>
      <c r="D92">
        <f>IFERROR(__xludf.DUMMYFUNCTION("""COMPUTED_VALUE"""),526201.0)</f>
        <v>526201</v>
      </c>
      <c r="E92">
        <f>IFERROR(__xludf.DUMMYFUNCTION("""COMPUTED_VALUE"""),236206.0)</f>
        <v>236206</v>
      </c>
      <c r="F92">
        <f>IFERROR(__xludf.DUMMYFUNCTION("""COMPUTED_VALUE"""),13.4)</f>
        <v>13.4</v>
      </c>
      <c r="G92">
        <f>IFERROR(__xludf.DUMMYFUNCTION("""COMPUTED_VALUE"""),9.3)</f>
        <v>9.3</v>
      </c>
      <c r="H92">
        <f>IFERROR(__xludf.DUMMYFUNCTION("""COMPUTED_VALUE"""),4.2)</f>
        <v>4.2</v>
      </c>
      <c r="I92">
        <f>IFERROR(__xludf.DUMMYFUNCTION("""COMPUTED_VALUE"""),1.78)</f>
        <v>1.78</v>
      </c>
      <c r="J92">
        <f>IFERROR(__xludf.DUMMYFUNCTION("""COMPUTED_VALUE"""),7.3)</f>
        <v>7.3</v>
      </c>
      <c r="K92">
        <f>IFERROR(__xludf.DUMMYFUNCTION("""COMPUTED_VALUE"""),72.7)</f>
        <v>72.7</v>
      </c>
      <c r="L92">
        <f>IFERROR(__xludf.DUMMYFUNCTION("""COMPUTED_VALUE"""),81.0)</f>
        <v>81</v>
      </c>
    </row>
    <row r="93">
      <c r="A93">
        <f>IFERROR(__xludf.DUMMYFUNCTION("""COMPUTED_VALUE"""),1991.0)</f>
        <v>1991</v>
      </c>
      <c r="B93">
        <f>IFERROR(__xludf.DUMMYFUNCTION("""COMPUTED_VALUE"""),5.6976E7)</f>
        <v>56976000</v>
      </c>
      <c r="C93">
        <f>IFERROR(__xludf.DUMMYFUNCTION("""COMPUTED_VALUE"""),759056.0)</f>
        <v>759056</v>
      </c>
      <c r="D93">
        <f>IFERROR(__xludf.DUMMYFUNCTION("""COMPUTED_VALUE"""),524685.0)</f>
        <v>524685</v>
      </c>
      <c r="E93">
        <f>IFERROR(__xludf.DUMMYFUNCTION("""COMPUTED_VALUE"""),234371.0)</f>
        <v>234371</v>
      </c>
      <c r="F93">
        <f>IFERROR(__xludf.DUMMYFUNCTION("""COMPUTED_VALUE"""),13.3)</f>
        <v>13.3</v>
      </c>
      <c r="G93">
        <f>IFERROR(__xludf.DUMMYFUNCTION("""COMPUTED_VALUE"""),9.2)</f>
        <v>9.2</v>
      </c>
      <c r="H93">
        <f>IFERROR(__xludf.DUMMYFUNCTION("""COMPUTED_VALUE"""),4.1)</f>
        <v>4.1</v>
      </c>
      <c r="I93">
        <f>IFERROR(__xludf.DUMMYFUNCTION("""COMPUTED_VALUE"""),1.77)</f>
        <v>1.77</v>
      </c>
      <c r="J93">
        <f>IFERROR(__xludf.DUMMYFUNCTION("""COMPUTED_VALUE"""),7.3)</f>
        <v>7.3</v>
      </c>
      <c r="K93">
        <f>IFERROR(__xludf.DUMMYFUNCTION("""COMPUTED_VALUE"""),72.9)</f>
        <v>72.9</v>
      </c>
      <c r="L93">
        <f>IFERROR(__xludf.DUMMYFUNCTION("""COMPUTED_VALUE"""),81.2)</f>
        <v>81.2</v>
      </c>
    </row>
    <row r="94">
      <c r="A94">
        <f>IFERROR(__xludf.DUMMYFUNCTION("""COMPUTED_VALUE"""),1992.0)</f>
        <v>1992</v>
      </c>
      <c r="B94">
        <f>IFERROR(__xludf.DUMMYFUNCTION("""COMPUTED_VALUE"""),5.724E7)</f>
        <v>57240000</v>
      </c>
      <c r="C94">
        <f>IFERROR(__xludf.DUMMYFUNCTION("""COMPUTED_VALUE"""),743658.0)</f>
        <v>743658</v>
      </c>
      <c r="D94">
        <f>IFERROR(__xludf.DUMMYFUNCTION("""COMPUTED_VALUE"""),521530.0)</f>
        <v>521530</v>
      </c>
      <c r="E94">
        <f>IFERROR(__xludf.DUMMYFUNCTION("""COMPUTED_VALUE"""),222128.0)</f>
        <v>222128</v>
      </c>
      <c r="F94">
        <f>IFERROR(__xludf.DUMMYFUNCTION("""COMPUTED_VALUE"""),13.0)</f>
        <v>13</v>
      </c>
      <c r="G94">
        <f>IFERROR(__xludf.DUMMYFUNCTION("""COMPUTED_VALUE"""),9.1)</f>
        <v>9.1</v>
      </c>
      <c r="H94">
        <f>IFERROR(__xludf.DUMMYFUNCTION("""COMPUTED_VALUE"""),3.9)</f>
        <v>3.9</v>
      </c>
      <c r="I94">
        <f>IFERROR(__xludf.DUMMYFUNCTION("""COMPUTED_VALUE"""),1.73)</f>
        <v>1.73</v>
      </c>
      <c r="J94">
        <f>IFERROR(__xludf.DUMMYFUNCTION("""COMPUTED_VALUE"""),6.8)</f>
        <v>6.8</v>
      </c>
      <c r="K94">
        <f>IFERROR(__xludf.DUMMYFUNCTION("""COMPUTED_VALUE"""),73.2)</f>
        <v>73.2</v>
      </c>
      <c r="L94">
        <f>IFERROR(__xludf.DUMMYFUNCTION("""COMPUTED_VALUE"""),81.5)</f>
        <v>81.5</v>
      </c>
    </row>
    <row r="95">
      <c r="A95">
        <f>IFERROR(__xludf.DUMMYFUNCTION("""COMPUTED_VALUE"""),1993.0)</f>
        <v>1993</v>
      </c>
      <c r="B95">
        <f>IFERROR(__xludf.DUMMYFUNCTION("""COMPUTED_VALUE"""),5.7467E7)</f>
        <v>57467000</v>
      </c>
      <c r="C95">
        <f>IFERROR(__xludf.DUMMYFUNCTION("""COMPUTED_VALUE"""),711610.0)</f>
        <v>711610</v>
      </c>
      <c r="D95">
        <f>IFERROR(__xludf.DUMMYFUNCTION("""COMPUTED_VALUE"""),532263.0)</f>
        <v>532263</v>
      </c>
      <c r="E95">
        <f>IFERROR(__xludf.DUMMYFUNCTION("""COMPUTED_VALUE"""),179347.0)</f>
        <v>179347</v>
      </c>
      <c r="F95">
        <f>IFERROR(__xludf.DUMMYFUNCTION("""COMPUTED_VALUE"""),12.4)</f>
        <v>12.4</v>
      </c>
      <c r="G95">
        <f>IFERROR(__xludf.DUMMYFUNCTION("""COMPUTED_VALUE"""),9.3)</f>
        <v>9.3</v>
      </c>
      <c r="H95">
        <f>IFERROR(__xludf.DUMMYFUNCTION("""COMPUTED_VALUE"""),3.1)</f>
        <v>3.1</v>
      </c>
      <c r="I95">
        <f>IFERROR(__xludf.DUMMYFUNCTION("""COMPUTED_VALUE"""),1.66)</f>
        <v>1.66</v>
      </c>
      <c r="J95">
        <f>IFERROR(__xludf.DUMMYFUNCTION("""COMPUTED_VALUE"""),6.5)</f>
        <v>6.5</v>
      </c>
      <c r="K95">
        <f>IFERROR(__xludf.DUMMYFUNCTION("""COMPUTED_VALUE"""),73.3)</f>
        <v>73.3</v>
      </c>
      <c r="L95">
        <f>IFERROR(__xludf.DUMMYFUNCTION("""COMPUTED_VALUE"""),81.5)</f>
        <v>81.5</v>
      </c>
    </row>
    <row r="96">
      <c r="A96">
        <f>IFERROR(__xludf.DUMMYFUNCTION("""COMPUTED_VALUE"""),1994.0)</f>
        <v>1994</v>
      </c>
      <c r="B96">
        <f>IFERROR(__xludf.DUMMYFUNCTION("""COMPUTED_VALUE"""),5.7659E7)</f>
        <v>57659000</v>
      </c>
      <c r="C96">
        <f>IFERROR(__xludf.DUMMYFUNCTION("""COMPUTED_VALUE"""),710993.0)</f>
        <v>710993</v>
      </c>
      <c r="D96">
        <f>IFERROR(__xludf.DUMMYFUNCTION("""COMPUTED_VALUE"""),519965.0)</f>
        <v>519965</v>
      </c>
      <c r="E96">
        <f>IFERROR(__xludf.DUMMYFUNCTION("""COMPUTED_VALUE"""),191028.0)</f>
        <v>191028</v>
      </c>
      <c r="F96">
        <f>IFERROR(__xludf.DUMMYFUNCTION("""COMPUTED_VALUE"""),12.3)</f>
        <v>12.3</v>
      </c>
      <c r="G96">
        <f>IFERROR(__xludf.DUMMYFUNCTION("""COMPUTED_VALUE"""),9.0)</f>
        <v>9</v>
      </c>
      <c r="H96">
        <f>IFERROR(__xludf.DUMMYFUNCTION("""COMPUTED_VALUE"""),3.3)</f>
        <v>3.3</v>
      </c>
      <c r="I96">
        <f>IFERROR(__xludf.DUMMYFUNCTION("""COMPUTED_VALUE"""),1.66)</f>
        <v>1.66</v>
      </c>
      <c r="J96">
        <f>IFERROR(__xludf.DUMMYFUNCTION("""COMPUTED_VALUE"""),5.9)</f>
        <v>5.9</v>
      </c>
      <c r="K96">
        <f>IFERROR(__xludf.DUMMYFUNCTION("""COMPUTED_VALUE"""),73.6)</f>
        <v>73.6</v>
      </c>
      <c r="L96">
        <f>IFERROR(__xludf.DUMMYFUNCTION("""COMPUTED_VALUE"""),81.8)</f>
        <v>81.8</v>
      </c>
    </row>
    <row r="97">
      <c r="A97">
        <f>IFERROR(__xludf.DUMMYFUNCTION("""COMPUTED_VALUE"""),1995.0)</f>
        <v>1995</v>
      </c>
      <c r="B97">
        <f>IFERROR(__xludf.DUMMYFUNCTION("""COMPUTED_VALUE"""),5.7844E7)</f>
        <v>57844000</v>
      </c>
      <c r="C97">
        <f>IFERROR(__xludf.DUMMYFUNCTION("""COMPUTED_VALUE"""),729609.0)</f>
        <v>729609</v>
      </c>
      <c r="D97">
        <f>IFERROR(__xludf.DUMMYFUNCTION("""COMPUTED_VALUE"""),531618.0)</f>
        <v>531618</v>
      </c>
      <c r="E97">
        <f>IFERROR(__xludf.DUMMYFUNCTION("""COMPUTED_VALUE"""),197991.0)</f>
        <v>197991</v>
      </c>
      <c r="F97">
        <f>IFERROR(__xludf.DUMMYFUNCTION("""COMPUTED_VALUE"""),12.6)</f>
        <v>12.6</v>
      </c>
      <c r="G97">
        <f>IFERROR(__xludf.DUMMYFUNCTION("""COMPUTED_VALUE"""),9.2)</f>
        <v>9.2</v>
      </c>
      <c r="H97">
        <f>IFERROR(__xludf.DUMMYFUNCTION("""COMPUTED_VALUE"""),3.4)</f>
        <v>3.4</v>
      </c>
      <c r="I97">
        <f>IFERROR(__xludf.DUMMYFUNCTION("""COMPUTED_VALUE"""),1.71)</f>
        <v>1.71</v>
      </c>
      <c r="J97">
        <f>IFERROR(__xludf.DUMMYFUNCTION("""COMPUTED_VALUE"""),4.9)</f>
        <v>4.9</v>
      </c>
      <c r="K97">
        <f>IFERROR(__xludf.DUMMYFUNCTION("""COMPUTED_VALUE"""),73.8)</f>
        <v>73.8</v>
      </c>
      <c r="L97">
        <f>IFERROR(__xludf.DUMMYFUNCTION("""COMPUTED_VALUE"""),81.9)</f>
        <v>81.9</v>
      </c>
    </row>
    <row r="98">
      <c r="A98">
        <f>IFERROR(__xludf.DUMMYFUNCTION("""COMPUTED_VALUE"""),1996.0)</f>
        <v>1996</v>
      </c>
      <c r="B98">
        <f>IFERROR(__xludf.DUMMYFUNCTION("""COMPUTED_VALUE"""),5.8026E7)</f>
        <v>58026000</v>
      </c>
      <c r="C98">
        <f>IFERROR(__xludf.DUMMYFUNCTION("""COMPUTED_VALUE"""),734338.0)</f>
        <v>734338</v>
      </c>
      <c r="D98">
        <f>IFERROR(__xludf.DUMMYFUNCTION("""COMPUTED_VALUE"""),535775.0)</f>
        <v>535775</v>
      </c>
      <c r="E98">
        <f>IFERROR(__xludf.DUMMYFUNCTION("""COMPUTED_VALUE"""),198563.0)</f>
        <v>198563</v>
      </c>
      <c r="F98">
        <f>IFERROR(__xludf.DUMMYFUNCTION("""COMPUTED_VALUE"""),12.7)</f>
        <v>12.7</v>
      </c>
      <c r="G98">
        <f>IFERROR(__xludf.DUMMYFUNCTION("""COMPUTED_VALUE"""),9.2)</f>
        <v>9.2</v>
      </c>
      <c r="H98">
        <f>IFERROR(__xludf.DUMMYFUNCTION("""COMPUTED_VALUE"""),3.4)</f>
        <v>3.4</v>
      </c>
      <c r="I98">
        <f>IFERROR(__xludf.DUMMYFUNCTION("""COMPUTED_VALUE"""),1.73)</f>
        <v>1.73</v>
      </c>
      <c r="J98">
        <f>IFERROR(__xludf.DUMMYFUNCTION("""COMPUTED_VALUE"""),4.8)</f>
        <v>4.8</v>
      </c>
      <c r="K98">
        <f>IFERROR(__xludf.DUMMYFUNCTION("""COMPUTED_VALUE"""),74.1)</f>
        <v>74.1</v>
      </c>
      <c r="L98">
        <f>IFERROR(__xludf.DUMMYFUNCTION("""COMPUTED_VALUE"""),82.0)</f>
        <v>82</v>
      </c>
    </row>
    <row r="99">
      <c r="A99">
        <f>IFERROR(__xludf.DUMMYFUNCTION("""COMPUTED_VALUE"""),1997.0)</f>
        <v>1997</v>
      </c>
      <c r="B99">
        <f>IFERROR(__xludf.DUMMYFUNCTION("""COMPUTED_VALUE"""),5.8207E7)</f>
        <v>58207000</v>
      </c>
      <c r="C99">
        <f>IFERROR(__xludf.DUMMYFUNCTION("""COMPUTED_VALUE"""),726768.0)</f>
        <v>726768</v>
      </c>
      <c r="D99">
        <f>IFERROR(__xludf.DUMMYFUNCTION("""COMPUTED_VALUE"""),530319.0)</f>
        <v>530319</v>
      </c>
      <c r="E99">
        <f>IFERROR(__xludf.DUMMYFUNCTION("""COMPUTED_VALUE"""),196449.0)</f>
        <v>196449</v>
      </c>
      <c r="F99">
        <f>IFERROR(__xludf.DUMMYFUNCTION("""COMPUTED_VALUE"""),12.5)</f>
        <v>12.5</v>
      </c>
      <c r="G99">
        <f>IFERROR(__xludf.DUMMYFUNCTION("""COMPUTED_VALUE"""),9.1)</f>
        <v>9.1</v>
      </c>
      <c r="H99">
        <f>IFERROR(__xludf.DUMMYFUNCTION("""COMPUTED_VALUE"""),3.4)</f>
        <v>3.4</v>
      </c>
      <c r="I99">
        <f>IFERROR(__xludf.DUMMYFUNCTION("""COMPUTED_VALUE"""),1.73)</f>
        <v>1.73</v>
      </c>
      <c r="J99">
        <f>IFERROR(__xludf.DUMMYFUNCTION("""COMPUTED_VALUE"""),4.7)</f>
        <v>4.7</v>
      </c>
      <c r="K99">
        <f>IFERROR(__xludf.DUMMYFUNCTION("""COMPUTED_VALUE"""),74.5)</f>
        <v>74.5</v>
      </c>
      <c r="L99">
        <f>IFERROR(__xludf.DUMMYFUNCTION("""COMPUTED_VALUE"""),82.3)</f>
        <v>82.3</v>
      </c>
    </row>
    <row r="100">
      <c r="A100">
        <f>IFERROR(__xludf.DUMMYFUNCTION("""COMPUTED_VALUE"""),1998.0)</f>
        <v>1998</v>
      </c>
      <c r="B100">
        <f>IFERROR(__xludf.DUMMYFUNCTION("""COMPUTED_VALUE"""),5.8398E7)</f>
        <v>58398000</v>
      </c>
      <c r="C100">
        <f>IFERROR(__xludf.DUMMYFUNCTION("""COMPUTED_VALUE"""),738080.0)</f>
        <v>738080</v>
      </c>
      <c r="D100">
        <f>IFERROR(__xludf.DUMMYFUNCTION("""COMPUTED_VALUE"""),534005.0)</f>
        <v>534005</v>
      </c>
      <c r="E100">
        <f>IFERROR(__xludf.DUMMYFUNCTION("""COMPUTED_VALUE"""),204075.0)</f>
        <v>204075</v>
      </c>
      <c r="F100">
        <f>IFERROR(__xludf.DUMMYFUNCTION("""COMPUTED_VALUE"""),12.6)</f>
        <v>12.6</v>
      </c>
      <c r="G100">
        <f>IFERROR(__xludf.DUMMYFUNCTION("""COMPUTED_VALUE"""),9.1)</f>
        <v>9.1</v>
      </c>
      <c r="H100">
        <f>IFERROR(__xludf.DUMMYFUNCTION("""COMPUTED_VALUE"""),3.5)</f>
        <v>3.5</v>
      </c>
      <c r="I100">
        <f>IFERROR(__xludf.DUMMYFUNCTION("""COMPUTED_VALUE"""),1.76)</f>
        <v>1.76</v>
      </c>
      <c r="J100">
        <f>IFERROR(__xludf.DUMMYFUNCTION("""COMPUTED_VALUE"""),4.6)</f>
        <v>4.6</v>
      </c>
      <c r="K100">
        <f>IFERROR(__xludf.DUMMYFUNCTION("""COMPUTED_VALUE"""),74.7)</f>
        <v>74.7</v>
      </c>
      <c r="L100">
        <f>IFERROR(__xludf.DUMMYFUNCTION("""COMPUTED_VALUE"""),82.4)</f>
        <v>82.4</v>
      </c>
    </row>
    <row r="101">
      <c r="A101">
        <f>IFERROR(__xludf.DUMMYFUNCTION("""COMPUTED_VALUE"""),1999.0)</f>
        <v>1999</v>
      </c>
      <c r="B101">
        <f>IFERROR(__xludf.DUMMYFUNCTION("""COMPUTED_VALUE"""),5.8661E7)</f>
        <v>58661000</v>
      </c>
      <c r="C101">
        <f>IFERROR(__xludf.DUMMYFUNCTION("""COMPUTED_VALUE"""),744791.0)</f>
        <v>744791</v>
      </c>
      <c r="D101">
        <f>IFERROR(__xludf.DUMMYFUNCTION("""COMPUTED_VALUE"""),537661.0)</f>
        <v>537661</v>
      </c>
      <c r="E101">
        <f>IFERROR(__xludf.DUMMYFUNCTION("""COMPUTED_VALUE"""),207130.0)</f>
        <v>207130</v>
      </c>
      <c r="F101">
        <f>IFERROR(__xludf.DUMMYFUNCTION("""COMPUTED_VALUE"""),12.7)</f>
        <v>12.7</v>
      </c>
      <c r="G101">
        <f>IFERROR(__xludf.DUMMYFUNCTION("""COMPUTED_VALUE"""),9.2)</f>
        <v>9.2</v>
      </c>
      <c r="H101">
        <f>IFERROR(__xludf.DUMMYFUNCTION("""COMPUTED_VALUE"""),3.5)</f>
        <v>3.5</v>
      </c>
      <c r="I101">
        <f>IFERROR(__xludf.DUMMYFUNCTION("""COMPUTED_VALUE"""),1.79)</f>
        <v>1.79</v>
      </c>
      <c r="J101">
        <f>IFERROR(__xludf.DUMMYFUNCTION("""COMPUTED_VALUE"""),4.3)</f>
        <v>4.3</v>
      </c>
      <c r="K101">
        <f>IFERROR(__xludf.DUMMYFUNCTION("""COMPUTED_VALUE"""),74.9)</f>
        <v>74.9</v>
      </c>
      <c r="L101">
        <f>IFERROR(__xludf.DUMMYFUNCTION("""COMPUTED_VALUE"""),82.5)</f>
        <v>82.5</v>
      </c>
    </row>
    <row r="102">
      <c r="A102">
        <f>IFERROR(__xludf.DUMMYFUNCTION("""COMPUTED_VALUE"""),2000.0)</f>
        <v>2000</v>
      </c>
      <c r="B102">
        <f>IFERROR(__xludf.DUMMYFUNCTION("""COMPUTED_VALUE"""),5.9049E7)</f>
        <v>59049000</v>
      </c>
      <c r="C102">
        <f>IFERROR(__xludf.DUMMYFUNCTION("""COMPUTED_VALUE"""),774782.0)</f>
        <v>774782</v>
      </c>
      <c r="D102">
        <f>IFERROR(__xludf.DUMMYFUNCTION("""COMPUTED_VALUE"""),530864.0)</f>
        <v>530864</v>
      </c>
      <c r="E102">
        <f>IFERROR(__xludf.DUMMYFUNCTION("""COMPUTED_VALUE"""),243918.0)</f>
        <v>243918</v>
      </c>
      <c r="F102">
        <f>IFERROR(__xludf.DUMMYFUNCTION("""COMPUTED_VALUE"""),13.1)</f>
        <v>13.1</v>
      </c>
      <c r="G102">
        <f>IFERROR(__xludf.DUMMYFUNCTION("""COMPUTED_VALUE"""),9.0)</f>
        <v>9</v>
      </c>
      <c r="H102">
        <f>IFERROR(__xludf.DUMMYFUNCTION("""COMPUTED_VALUE"""),4.1)</f>
        <v>4.1</v>
      </c>
      <c r="I102">
        <f>IFERROR(__xludf.DUMMYFUNCTION("""COMPUTED_VALUE"""),1.87)</f>
        <v>1.87</v>
      </c>
      <c r="J102">
        <f>IFERROR(__xludf.DUMMYFUNCTION("""COMPUTED_VALUE"""),4.4)</f>
        <v>4.4</v>
      </c>
      <c r="K102">
        <f>IFERROR(__xludf.DUMMYFUNCTION("""COMPUTED_VALUE"""),75.2)</f>
        <v>75.2</v>
      </c>
      <c r="L102">
        <f>IFERROR(__xludf.DUMMYFUNCTION("""COMPUTED_VALUE"""),82.8)</f>
        <v>82.8</v>
      </c>
    </row>
    <row r="103">
      <c r="A103">
        <f>IFERROR(__xludf.DUMMYFUNCTION("""COMPUTED_VALUE"""),2001.0)</f>
        <v>2001</v>
      </c>
      <c r="B103">
        <f>IFERROR(__xludf.DUMMYFUNCTION("""COMPUTED_VALUE"""),5.9477E7)</f>
        <v>59477000</v>
      </c>
      <c r="C103">
        <f>IFERROR(__xludf.DUMMYFUNCTION("""COMPUTED_VALUE"""),770945.0)</f>
        <v>770945</v>
      </c>
      <c r="D103">
        <f>IFERROR(__xludf.DUMMYFUNCTION("""COMPUTED_VALUE"""),531073.0)</f>
        <v>531073</v>
      </c>
      <c r="E103">
        <f>IFERROR(__xludf.DUMMYFUNCTION("""COMPUTED_VALUE"""),239872.0)</f>
        <v>239872</v>
      </c>
      <c r="F103">
        <f>IFERROR(__xludf.DUMMYFUNCTION("""COMPUTED_VALUE"""),13.0)</f>
        <v>13</v>
      </c>
      <c r="G103">
        <f>IFERROR(__xludf.DUMMYFUNCTION("""COMPUTED_VALUE"""),8.9)</f>
        <v>8.9</v>
      </c>
      <c r="H103">
        <f>IFERROR(__xludf.DUMMYFUNCTION("""COMPUTED_VALUE"""),4.0)</f>
        <v>4</v>
      </c>
      <c r="I103">
        <f>IFERROR(__xludf.DUMMYFUNCTION("""COMPUTED_VALUE"""),1.88)</f>
        <v>1.88</v>
      </c>
      <c r="J103">
        <f>IFERROR(__xludf.DUMMYFUNCTION("""COMPUTED_VALUE"""),4.5)</f>
        <v>4.5</v>
      </c>
      <c r="K103">
        <f>IFERROR(__xludf.DUMMYFUNCTION("""COMPUTED_VALUE"""),75.4)</f>
        <v>75.4</v>
      </c>
      <c r="L103">
        <f>IFERROR(__xludf.DUMMYFUNCTION("""COMPUTED_VALUE"""),82.9)</f>
        <v>82.9</v>
      </c>
    </row>
    <row r="104">
      <c r="A104">
        <f>IFERROR(__xludf.DUMMYFUNCTION("""COMPUTED_VALUE"""),2002.0)</f>
        <v>2002</v>
      </c>
      <c r="B104">
        <f>IFERROR(__xludf.DUMMYFUNCTION("""COMPUTED_VALUE"""),5.9894E7)</f>
        <v>59894000</v>
      </c>
      <c r="C104">
        <f>IFERROR(__xludf.DUMMYFUNCTION("""COMPUTED_VALUE"""),761630.0)</f>
        <v>761630</v>
      </c>
      <c r="D104">
        <f>IFERROR(__xludf.DUMMYFUNCTION("""COMPUTED_VALUE"""),535144.0)</f>
        <v>535144</v>
      </c>
      <c r="E104">
        <f>IFERROR(__xludf.DUMMYFUNCTION("""COMPUTED_VALUE"""),226486.0)</f>
        <v>226486</v>
      </c>
      <c r="F104">
        <f>IFERROR(__xludf.DUMMYFUNCTION("""COMPUTED_VALUE"""),12.7)</f>
        <v>12.7</v>
      </c>
      <c r="G104">
        <f>IFERROR(__xludf.DUMMYFUNCTION("""COMPUTED_VALUE"""),8.9)</f>
        <v>8.9</v>
      </c>
      <c r="H104">
        <f>IFERROR(__xludf.DUMMYFUNCTION("""COMPUTED_VALUE"""),3.8)</f>
        <v>3.8</v>
      </c>
      <c r="I104">
        <f>IFERROR(__xludf.DUMMYFUNCTION("""COMPUTED_VALUE"""),1.86)</f>
        <v>1.86</v>
      </c>
      <c r="J104">
        <f>IFERROR(__xludf.DUMMYFUNCTION("""COMPUTED_VALUE"""),4.1)</f>
        <v>4.1</v>
      </c>
      <c r="K104">
        <f>IFERROR(__xludf.DUMMYFUNCTION("""COMPUTED_VALUE"""),75.7)</f>
        <v>75.7</v>
      </c>
      <c r="L104">
        <f>IFERROR(__xludf.DUMMYFUNCTION("""COMPUTED_VALUE"""),83.0)</f>
        <v>83</v>
      </c>
    </row>
    <row r="105">
      <c r="A105">
        <f>IFERROR(__xludf.DUMMYFUNCTION("""COMPUTED_VALUE"""),2003.0)</f>
        <v>2003</v>
      </c>
      <c r="B105">
        <f>IFERROR(__xludf.DUMMYFUNCTION("""COMPUTED_VALUE"""),6.0304E7)</f>
        <v>60304000</v>
      </c>
      <c r="C105">
        <f>IFERROR(__xludf.DUMMYFUNCTION("""COMPUTED_VALUE"""),761464.0)</f>
        <v>761464</v>
      </c>
      <c r="D105">
        <f>IFERROR(__xludf.DUMMYFUNCTION("""COMPUTED_VALUE"""),552339.0)</f>
        <v>552339</v>
      </c>
      <c r="E105">
        <f>IFERROR(__xludf.DUMMYFUNCTION("""COMPUTED_VALUE"""),209125.0)</f>
        <v>209125</v>
      </c>
      <c r="F105">
        <f>IFERROR(__xludf.DUMMYFUNCTION("""COMPUTED_VALUE"""),12.6)</f>
        <v>12.6</v>
      </c>
      <c r="G105">
        <f>IFERROR(__xludf.DUMMYFUNCTION("""COMPUTED_VALUE"""),9.2)</f>
        <v>9.2</v>
      </c>
      <c r="H105">
        <f>IFERROR(__xludf.DUMMYFUNCTION("""COMPUTED_VALUE"""),3.5)</f>
        <v>3.5</v>
      </c>
      <c r="I105">
        <f>IFERROR(__xludf.DUMMYFUNCTION("""COMPUTED_VALUE"""),1.87)</f>
        <v>1.87</v>
      </c>
      <c r="J105">
        <f>IFERROR(__xludf.DUMMYFUNCTION("""COMPUTED_VALUE"""),4.0)</f>
        <v>4</v>
      </c>
      <c r="K105">
        <f>IFERROR(__xludf.DUMMYFUNCTION("""COMPUTED_VALUE"""),75.8)</f>
        <v>75.8</v>
      </c>
      <c r="L105">
        <f>IFERROR(__xludf.DUMMYFUNCTION("""COMPUTED_VALUE"""),82.9)</f>
        <v>82.9</v>
      </c>
    </row>
    <row r="106">
      <c r="A106">
        <f>IFERROR(__xludf.DUMMYFUNCTION("""COMPUTED_VALUE"""),2004.0)</f>
        <v>2004</v>
      </c>
      <c r="B106">
        <f>IFERROR(__xludf.DUMMYFUNCTION("""COMPUTED_VALUE"""),6.0734E7)</f>
        <v>60734000</v>
      </c>
      <c r="C106">
        <f>IFERROR(__xludf.DUMMYFUNCTION("""COMPUTED_VALUE"""),767816.0)</f>
        <v>767816</v>
      </c>
      <c r="D106">
        <f>IFERROR(__xludf.DUMMYFUNCTION("""COMPUTED_VALUE"""),509429.0)</f>
        <v>509429</v>
      </c>
      <c r="E106">
        <f>IFERROR(__xludf.DUMMYFUNCTION("""COMPUTED_VALUE"""),258387.0)</f>
        <v>258387</v>
      </c>
      <c r="F106">
        <f>IFERROR(__xludf.DUMMYFUNCTION("""COMPUTED_VALUE"""),12.6)</f>
        <v>12.6</v>
      </c>
      <c r="G106">
        <f>IFERROR(__xludf.DUMMYFUNCTION("""COMPUTED_VALUE"""),8.4)</f>
        <v>8.4</v>
      </c>
      <c r="H106">
        <f>IFERROR(__xludf.DUMMYFUNCTION("""COMPUTED_VALUE"""),4.3)</f>
        <v>4.3</v>
      </c>
      <c r="I106">
        <f>IFERROR(__xludf.DUMMYFUNCTION("""COMPUTED_VALUE"""),1.9)</f>
        <v>1.9</v>
      </c>
      <c r="J106">
        <f>IFERROR(__xludf.DUMMYFUNCTION("""COMPUTED_VALUE"""),3.9)</f>
        <v>3.9</v>
      </c>
      <c r="K106">
        <f>IFERROR(__xludf.DUMMYFUNCTION("""COMPUTED_VALUE"""),76.7)</f>
        <v>76.7</v>
      </c>
      <c r="L106">
        <f>IFERROR(__xludf.DUMMYFUNCTION("""COMPUTED_VALUE"""),83.8)</f>
        <v>83.8</v>
      </c>
    </row>
    <row r="107">
      <c r="A107">
        <f>IFERROR(__xludf.DUMMYFUNCTION("""COMPUTED_VALUE"""),2005.0)</f>
        <v>2005</v>
      </c>
      <c r="B107">
        <f>IFERROR(__xludf.DUMMYFUNCTION("""COMPUTED_VALUE"""),6.1182E7)</f>
        <v>61182000</v>
      </c>
      <c r="C107">
        <f>IFERROR(__xludf.DUMMYFUNCTION("""COMPUTED_VALUE"""),774355.0)</f>
        <v>774355</v>
      </c>
      <c r="D107">
        <f>IFERROR(__xludf.DUMMYFUNCTION("""COMPUTED_VALUE"""),527533.0)</f>
        <v>527533</v>
      </c>
      <c r="E107">
        <f>IFERROR(__xludf.DUMMYFUNCTION("""COMPUTED_VALUE"""),246822.0)</f>
        <v>246822</v>
      </c>
      <c r="F107">
        <f>IFERROR(__xludf.DUMMYFUNCTION("""COMPUTED_VALUE"""),12.7)</f>
        <v>12.7</v>
      </c>
      <c r="G107">
        <f>IFERROR(__xludf.DUMMYFUNCTION("""COMPUTED_VALUE"""),8.6)</f>
        <v>8.6</v>
      </c>
      <c r="H107">
        <f>IFERROR(__xludf.DUMMYFUNCTION("""COMPUTED_VALUE"""),4.0)</f>
        <v>4</v>
      </c>
      <c r="I107">
        <f>IFERROR(__xludf.DUMMYFUNCTION("""COMPUTED_VALUE"""),1.92)</f>
        <v>1.92</v>
      </c>
      <c r="J107">
        <f>IFERROR(__xludf.DUMMYFUNCTION("""COMPUTED_VALUE"""),3.6)</f>
        <v>3.6</v>
      </c>
      <c r="K107">
        <f>IFERROR(__xludf.DUMMYFUNCTION("""COMPUTED_VALUE"""),76.7)</f>
        <v>76.7</v>
      </c>
      <c r="L107">
        <f>IFERROR(__xludf.DUMMYFUNCTION("""COMPUTED_VALUE"""),83.8)</f>
        <v>83.8</v>
      </c>
    </row>
    <row r="108">
      <c r="A108">
        <f>IFERROR(__xludf.DUMMYFUNCTION("""COMPUTED_VALUE"""),2006.0)</f>
        <v>2006</v>
      </c>
      <c r="B108">
        <f>IFERROR(__xludf.DUMMYFUNCTION("""COMPUTED_VALUE"""),6.1598E7)</f>
        <v>61598000</v>
      </c>
      <c r="C108">
        <f>IFERROR(__xludf.DUMMYFUNCTION("""COMPUTED_VALUE"""),796896.0)</f>
        <v>796896</v>
      </c>
      <c r="D108">
        <f>IFERROR(__xludf.DUMMYFUNCTION("""COMPUTED_VALUE"""),516416.0)</f>
        <v>516416</v>
      </c>
      <c r="E108">
        <f>IFERROR(__xludf.DUMMYFUNCTION("""COMPUTED_VALUE"""),280480.0)</f>
        <v>280480</v>
      </c>
      <c r="F108">
        <f>IFERROR(__xludf.DUMMYFUNCTION("""COMPUTED_VALUE"""),12.9)</f>
        <v>12.9</v>
      </c>
      <c r="G108">
        <f>IFERROR(__xludf.DUMMYFUNCTION("""COMPUTED_VALUE"""),8.4)</f>
        <v>8.4</v>
      </c>
      <c r="H108">
        <f>IFERROR(__xludf.DUMMYFUNCTION("""COMPUTED_VALUE"""),4.6)</f>
        <v>4.6</v>
      </c>
      <c r="I108">
        <f>IFERROR(__xludf.DUMMYFUNCTION("""COMPUTED_VALUE"""),1.98)</f>
        <v>1.98</v>
      </c>
      <c r="J108">
        <f>IFERROR(__xludf.DUMMYFUNCTION("""COMPUTED_VALUE"""),3.6)</f>
        <v>3.6</v>
      </c>
      <c r="K108">
        <f>IFERROR(__xludf.DUMMYFUNCTION("""COMPUTED_VALUE"""),77.1)</f>
        <v>77.1</v>
      </c>
      <c r="L108">
        <f>IFERROR(__xludf.DUMMYFUNCTION("""COMPUTED_VALUE"""),84.2)</f>
        <v>84.2</v>
      </c>
    </row>
    <row r="109">
      <c r="A109">
        <f>IFERROR(__xludf.DUMMYFUNCTION("""COMPUTED_VALUE"""),2007.0)</f>
        <v>2007</v>
      </c>
      <c r="B109">
        <f>IFERROR(__xludf.DUMMYFUNCTION("""COMPUTED_VALUE"""),6.1965E7)</f>
        <v>61965000</v>
      </c>
      <c r="C109">
        <f>IFERROR(__xludf.DUMMYFUNCTION("""COMPUTED_VALUE"""),785985.0)</f>
        <v>785985</v>
      </c>
      <c r="D109">
        <f>IFERROR(__xludf.DUMMYFUNCTION("""COMPUTED_VALUE"""),521016.0)</f>
        <v>521016</v>
      </c>
      <c r="E109">
        <f>IFERROR(__xludf.DUMMYFUNCTION("""COMPUTED_VALUE"""),264969.0)</f>
        <v>264969</v>
      </c>
      <c r="F109">
        <f>IFERROR(__xludf.DUMMYFUNCTION("""COMPUTED_VALUE"""),12.7)</f>
        <v>12.7</v>
      </c>
      <c r="G109">
        <f>IFERROR(__xludf.DUMMYFUNCTION("""COMPUTED_VALUE"""),8.4)</f>
        <v>8.4</v>
      </c>
      <c r="H109">
        <f>IFERROR(__xludf.DUMMYFUNCTION("""COMPUTED_VALUE"""),4.3)</f>
        <v>4.3</v>
      </c>
      <c r="I109">
        <f>IFERROR(__xludf.DUMMYFUNCTION("""COMPUTED_VALUE"""),1.96)</f>
        <v>1.96</v>
      </c>
      <c r="J109">
        <f>IFERROR(__xludf.DUMMYFUNCTION("""COMPUTED_VALUE"""),3.6)</f>
        <v>3.6</v>
      </c>
      <c r="K109">
        <f>IFERROR(__xludf.DUMMYFUNCTION("""COMPUTED_VALUE"""),77.4)</f>
        <v>77.4</v>
      </c>
      <c r="L109">
        <f>IFERROR(__xludf.DUMMYFUNCTION("""COMPUTED_VALUE"""),84.4)</f>
        <v>84.4</v>
      </c>
    </row>
    <row r="110">
      <c r="A110">
        <f>IFERROR(__xludf.DUMMYFUNCTION("""COMPUTED_VALUE"""),2008.0)</f>
        <v>2008</v>
      </c>
      <c r="B110">
        <f>IFERROR(__xludf.DUMMYFUNCTION("""COMPUTED_VALUE"""),6.2301E7)</f>
        <v>62301000</v>
      </c>
      <c r="C110">
        <f>IFERROR(__xludf.DUMMYFUNCTION("""COMPUTED_VALUE"""),796044.0)</f>
        <v>796044</v>
      </c>
      <c r="D110">
        <f>IFERROR(__xludf.DUMMYFUNCTION("""COMPUTED_VALUE"""),532131.0)</f>
        <v>532131</v>
      </c>
      <c r="E110">
        <f>IFERROR(__xludf.DUMMYFUNCTION("""COMPUTED_VALUE"""),263913.0)</f>
        <v>263913</v>
      </c>
      <c r="F110">
        <f>IFERROR(__xludf.DUMMYFUNCTION("""COMPUTED_VALUE"""),12.8)</f>
        <v>12.8</v>
      </c>
      <c r="G110">
        <f>IFERROR(__xludf.DUMMYFUNCTION("""COMPUTED_VALUE"""),8.5)</f>
        <v>8.5</v>
      </c>
      <c r="H110">
        <f>IFERROR(__xludf.DUMMYFUNCTION("""COMPUTED_VALUE"""),4.2)</f>
        <v>4.2</v>
      </c>
      <c r="I110">
        <f>IFERROR(__xludf.DUMMYFUNCTION("""COMPUTED_VALUE"""),1.99)</f>
        <v>1.99</v>
      </c>
      <c r="J110">
        <f>IFERROR(__xludf.DUMMYFUNCTION("""COMPUTED_VALUE"""),3.6)</f>
        <v>3.6</v>
      </c>
      <c r="K110">
        <f>IFERROR(__xludf.DUMMYFUNCTION("""COMPUTED_VALUE"""),77.6)</f>
        <v>77.6</v>
      </c>
      <c r="L110">
        <f>IFERROR(__xludf.DUMMYFUNCTION("""COMPUTED_VALUE"""),84.3)</f>
        <v>84.3</v>
      </c>
    </row>
    <row r="111">
      <c r="A111">
        <f>IFERROR(__xludf.DUMMYFUNCTION("""COMPUTED_VALUE"""),2009.0)</f>
        <v>2009</v>
      </c>
      <c r="B111">
        <f>IFERROR(__xludf.DUMMYFUNCTION("""COMPUTED_VALUE"""),6.2616E7)</f>
        <v>62616000</v>
      </c>
      <c r="C111">
        <f>IFERROR(__xludf.DUMMYFUNCTION("""COMPUTED_VALUE"""),793420.0)</f>
        <v>793420</v>
      </c>
      <c r="D111">
        <f>IFERROR(__xludf.DUMMYFUNCTION("""COMPUTED_VALUE"""),538166.0)</f>
        <v>538166</v>
      </c>
      <c r="E111">
        <f>IFERROR(__xludf.DUMMYFUNCTION("""COMPUTED_VALUE"""),255254.0)</f>
        <v>255254</v>
      </c>
      <c r="F111">
        <f>IFERROR(__xludf.DUMMYFUNCTION("""COMPUTED_VALUE"""),12.7)</f>
        <v>12.7</v>
      </c>
      <c r="G111">
        <f>IFERROR(__xludf.DUMMYFUNCTION("""COMPUTED_VALUE"""),8.6)</f>
        <v>8.6</v>
      </c>
      <c r="H111">
        <f>IFERROR(__xludf.DUMMYFUNCTION("""COMPUTED_VALUE"""),4.1)</f>
        <v>4.1</v>
      </c>
      <c r="I111">
        <f>IFERROR(__xludf.DUMMYFUNCTION("""COMPUTED_VALUE"""),1.99)</f>
        <v>1.99</v>
      </c>
      <c r="J111">
        <f>IFERROR(__xludf.DUMMYFUNCTION("""COMPUTED_VALUE"""),3.7)</f>
        <v>3.7</v>
      </c>
      <c r="K111">
        <f>IFERROR(__xludf.DUMMYFUNCTION("""COMPUTED_VALUE"""),77.7)</f>
        <v>77.7</v>
      </c>
      <c r="L111">
        <f>IFERROR(__xludf.DUMMYFUNCTION("""COMPUTED_VALUE"""),84.4)</f>
        <v>84.4</v>
      </c>
    </row>
    <row r="112">
      <c r="A112">
        <f>IFERROR(__xludf.DUMMYFUNCTION("""COMPUTED_VALUE"""),2010.0)</f>
        <v>2010</v>
      </c>
      <c r="B112">
        <f>IFERROR(__xludf.DUMMYFUNCTION("""COMPUTED_VALUE"""),6.2765E7)</f>
        <v>62765000</v>
      </c>
      <c r="C112">
        <f>IFERROR(__xludf.DUMMYFUNCTION("""COMPUTED_VALUE"""),802224.0)</f>
        <v>802224</v>
      </c>
      <c r="D112">
        <f>IFERROR(__xludf.DUMMYFUNCTION("""COMPUTED_VALUE"""),540469.0)</f>
        <v>540469</v>
      </c>
      <c r="E112">
        <f>IFERROR(__xludf.DUMMYFUNCTION("""COMPUTED_VALUE"""),261755.0)</f>
        <v>261755</v>
      </c>
      <c r="F112">
        <f>IFERROR(__xludf.DUMMYFUNCTION("""COMPUTED_VALUE"""),12.8)</f>
        <v>12.8</v>
      </c>
      <c r="G112">
        <f>IFERROR(__xludf.DUMMYFUNCTION("""COMPUTED_VALUE"""),8.6)</f>
        <v>8.6</v>
      </c>
      <c r="H112">
        <f>IFERROR(__xludf.DUMMYFUNCTION("""COMPUTED_VALUE"""),4.2)</f>
        <v>4.2</v>
      </c>
      <c r="I112">
        <f>IFERROR(__xludf.DUMMYFUNCTION("""COMPUTED_VALUE"""),2.02)</f>
        <v>2.02</v>
      </c>
      <c r="J112">
        <f>IFERROR(__xludf.DUMMYFUNCTION("""COMPUTED_VALUE"""),3.6)</f>
        <v>3.6</v>
      </c>
      <c r="K112">
        <f>IFERROR(__xludf.DUMMYFUNCTION("""COMPUTED_VALUE"""),78.0)</f>
        <v>78</v>
      </c>
      <c r="L112">
        <f>IFERROR(__xludf.DUMMYFUNCTION("""COMPUTED_VALUE"""),84.6)</f>
        <v>84.6</v>
      </c>
    </row>
    <row r="113">
      <c r="A113">
        <f>IFERROR(__xludf.DUMMYFUNCTION("""COMPUTED_VALUE"""),2011.0)</f>
        <v>2011</v>
      </c>
      <c r="B113">
        <f>IFERROR(__xludf.DUMMYFUNCTION("""COMPUTED_VALUE"""),6.307E7)</f>
        <v>63070000</v>
      </c>
      <c r="C113">
        <f>IFERROR(__xludf.DUMMYFUNCTION("""COMPUTED_VALUE"""),792996.0)</f>
        <v>792996</v>
      </c>
      <c r="D113">
        <f>IFERROR(__xludf.DUMMYFUNCTION("""COMPUTED_VALUE"""),534795.0)</f>
        <v>534795</v>
      </c>
      <c r="E113">
        <f>IFERROR(__xludf.DUMMYFUNCTION("""COMPUTED_VALUE"""),258201.0)</f>
        <v>258201</v>
      </c>
      <c r="F113">
        <f>IFERROR(__xludf.DUMMYFUNCTION("""COMPUTED_VALUE"""),12.5)</f>
        <v>12.5</v>
      </c>
      <c r="G113">
        <f>IFERROR(__xludf.DUMMYFUNCTION("""COMPUTED_VALUE"""),8.5)</f>
        <v>8.5</v>
      </c>
      <c r="H113">
        <f>IFERROR(__xludf.DUMMYFUNCTION("""COMPUTED_VALUE"""),4.0)</f>
        <v>4</v>
      </c>
      <c r="I113">
        <f>IFERROR(__xludf.DUMMYFUNCTION("""COMPUTED_VALUE"""),2.0)</f>
        <v>2</v>
      </c>
      <c r="J113">
        <f>IFERROR(__xludf.DUMMYFUNCTION("""COMPUTED_VALUE"""),3.5)</f>
        <v>3.5</v>
      </c>
      <c r="K113">
        <f>IFERROR(__xludf.DUMMYFUNCTION("""COMPUTED_VALUE"""),78.4)</f>
        <v>78.4</v>
      </c>
      <c r="L113">
        <f>IFERROR(__xludf.DUMMYFUNCTION("""COMPUTED_VALUE"""),85.0)</f>
        <v>85</v>
      </c>
    </row>
    <row r="114">
      <c r="A114">
        <f>IFERROR(__xludf.DUMMYFUNCTION("""COMPUTED_VALUE"""),2012.0)</f>
        <v>2012</v>
      </c>
      <c r="B114">
        <f>IFERROR(__xludf.DUMMYFUNCTION("""COMPUTED_VALUE"""),6.3375E7)</f>
        <v>63375000</v>
      </c>
      <c r="C114">
        <f>IFERROR(__xludf.DUMMYFUNCTION("""COMPUTED_VALUE"""),790290.0)</f>
        <v>790290</v>
      </c>
      <c r="D114">
        <f>IFERROR(__xludf.DUMMYFUNCTION("""COMPUTED_VALUE"""),559227.0)</f>
        <v>559227</v>
      </c>
      <c r="E114">
        <f>IFERROR(__xludf.DUMMYFUNCTION("""COMPUTED_VALUE"""),231063.0)</f>
        <v>231063</v>
      </c>
      <c r="F114">
        <f>IFERROR(__xludf.DUMMYFUNCTION("""COMPUTED_VALUE"""),12.4)</f>
        <v>12.4</v>
      </c>
      <c r="G114">
        <f>IFERROR(__xludf.DUMMYFUNCTION("""COMPUTED_VALUE"""),8.8)</f>
        <v>8.8</v>
      </c>
      <c r="H114">
        <f>IFERROR(__xludf.DUMMYFUNCTION("""COMPUTED_VALUE"""),3.6)</f>
        <v>3.6</v>
      </c>
      <c r="I114">
        <f>IFERROR(__xludf.DUMMYFUNCTION("""COMPUTED_VALUE"""),1.99)</f>
        <v>1.99</v>
      </c>
      <c r="J114">
        <f>IFERROR(__xludf.DUMMYFUNCTION("""COMPUTED_VALUE"""),3.5)</f>
        <v>3.5</v>
      </c>
      <c r="K114">
        <f>IFERROR(__xludf.DUMMYFUNCTION("""COMPUTED_VALUE"""),78.5)</f>
        <v>78.5</v>
      </c>
      <c r="L114">
        <f>IFERROR(__xludf.DUMMYFUNCTION("""COMPUTED_VALUE"""),84.8)</f>
        <v>84.8</v>
      </c>
    </row>
    <row r="115">
      <c r="A115">
        <f>IFERROR(__xludf.DUMMYFUNCTION("""COMPUTED_VALUE"""),2013.0)</f>
        <v>2013</v>
      </c>
      <c r="B115">
        <f>IFERROR(__xludf.DUMMYFUNCTION("""COMPUTED_VALUE"""),6.3697E7)</f>
        <v>63697000</v>
      </c>
      <c r="C115">
        <f>IFERROR(__xludf.DUMMYFUNCTION("""COMPUTED_VALUE"""),781621.0)</f>
        <v>781621</v>
      </c>
      <c r="D115">
        <f>IFERROR(__xludf.DUMMYFUNCTION("""COMPUTED_VALUE"""),558408.0)</f>
        <v>558408</v>
      </c>
      <c r="E115">
        <f>IFERROR(__xludf.DUMMYFUNCTION("""COMPUTED_VALUE"""),223213.0)</f>
        <v>223213</v>
      </c>
      <c r="F115">
        <f>IFERROR(__xludf.DUMMYFUNCTION("""COMPUTED_VALUE"""),12.2)</f>
        <v>12.2</v>
      </c>
      <c r="G115">
        <f>IFERROR(__xludf.DUMMYFUNCTION("""COMPUTED_VALUE"""),8.7)</f>
        <v>8.7</v>
      </c>
      <c r="H115">
        <f>IFERROR(__xludf.DUMMYFUNCTION("""COMPUTED_VALUE"""),3.5)</f>
        <v>3.5</v>
      </c>
      <c r="I115">
        <f>IFERROR(__xludf.DUMMYFUNCTION("""COMPUTED_VALUE"""),1.97)</f>
        <v>1.97</v>
      </c>
      <c r="J115">
        <f>IFERROR(__xludf.DUMMYFUNCTION("""COMPUTED_VALUE"""),3.5)</f>
        <v>3.5</v>
      </c>
      <c r="K115">
        <f>IFERROR(__xludf.DUMMYFUNCTION("""COMPUTED_VALUE"""),78.7)</f>
        <v>78.7</v>
      </c>
      <c r="L115">
        <f>IFERROR(__xludf.DUMMYFUNCTION("""COMPUTED_VALUE"""),85.0)</f>
        <v>85</v>
      </c>
    </row>
    <row r="116">
      <c r="A116">
        <f>IFERROR(__xludf.DUMMYFUNCTION("""COMPUTED_VALUE"""),2014.0)</f>
        <v>2014</v>
      </c>
      <c r="B116">
        <f>IFERROR(__xludf.DUMMYFUNCTION("""COMPUTED_VALUE"""),6.4028E7)</f>
        <v>64028000</v>
      </c>
      <c r="C116">
        <f>IFERROR(__xludf.DUMMYFUNCTION("""COMPUTED_VALUE"""),781167.0)</f>
        <v>781167</v>
      </c>
      <c r="D116">
        <f>IFERROR(__xludf.DUMMYFUNCTION("""COMPUTED_VALUE"""),547003.0)</f>
        <v>547003</v>
      </c>
      <c r="E116">
        <f>IFERROR(__xludf.DUMMYFUNCTION("""COMPUTED_VALUE"""),234164.0)</f>
        <v>234164</v>
      </c>
      <c r="F116">
        <f>IFERROR(__xludf.DUMMYFUNCTION("""COMPUTED_VALUE"""),12.2)</f>
        <v>12.2</v>
      </c>
      <c r="G116">
        <f>IFERROR(__xludf.DUMMYFUNCTION("""COMPUTED_VALUE"""),8.5)</f>
        <v>8.5</v>
      </c>
      <c r="H116">
        <f>IFERROR(__xludf.DUMMYFUNCTION("""COMPUTED_VALUE"""),3.7)</f>
        <v>3.7</v>
      </c>
      <c r="I116">
        <f>IFERROR(__xludf.DUMMYFUNCTION("""COMPUTED_VALUE"""),1.97)</f>
        <v>1.97</v>
      </c>
      <c r="J116">
        <f>IFERROR(__xludf.DUMMYFUNCTION("""COMPUTED_VALUE"""),3.3)</f>
        <v>3.3</v>
      </c>
      <c r="K116">
        <f>IFERROR(__xludf.DUMMYFUNCTION("""COMPUTED_VALUE"""),79.2)</f>
        <v>79.2</v>
      </c>
      <c r="L116">
        <f>IFERROR(__xludf.DUMMYFUNCTION("""COMPUTED_VALUE"""),85.4)</f>
        <v>85.4</v>
      </c>
    </row>
    <row r="117">
      <c r="A117">
        <f>IFERROR(__xludf.DUMMYFUNCTION("""COMPUTED_VALUE"""),2015.0)</f>
        <v>2015</v>
      </c>
      <c r="B117">
        <f>IFERROR(__xludf.DUMMYFUNCTION("""COMPUTED_VALUE"""),6.4301E7)</f>
        <v>64301000</v>
      </c>
      <c r="C117">
        <f>IFERROR(__xludf.DUMMYFUNCTION("""COMPUTED_VALUE"""),760421.0)</f>
        <v>760421</v>
      </c>
      <c r="D117">
        <f>IFERROR(__xludf.DUMMYFUNCTION("""COMPUTED_VALUE"""),581770.0)</f>
        <v>581770</v>
      </c>
      <c r="E117">
        <f>IFERROR(__xludf.DUMMYFUNCTION("""COMPUTED_VALUE"""),178651.0)</f>
        <v>178651</v>
      </c>
      <c r="F117">
        <f>IFERROR(__xludf.DUMMYFUNCTION("""COMPUTED_VALUE"""),11.8)</f>
        <v>11.8</v>
      </c>
      <c r="G117">
        <f>IFERROR(__xludf.DUMMYFUNCTION("""COMPUTED_VALUE"""),9.0)</f>
        <v>9</v>
      </c>
      <c r="H117">
        <f>IFERROR(__xludf.DUMMYFUNCTION("""COMPUTED_VALUE"""),2.8)</f>
        <v>2.8</v>
      </c>
      <c r="I117">
        <f>IFERROR(__xludf.DUMMYFUNCTION("""COMPUTED_VALUE"""),1.93)</f>
        <v>1.93</v>
      </c>
      <c r="J117">
        <f>IFERROR(__xludf.DUMMYFUNCTION("""COMPUTED_VALUE"""),3.5)</f>
        <v>3.5</v>
      </c>
      <c r="K117">
        <f>IFERROR(__xludf.DUMMYFUNCTION("""COMPUTED_VALUE"""),79.0)</f>
        <v>79</v>
      </c>
      <c r="L117">
        <f>IFERROR(__xludf.DUMMYFUNCTION("""COMPUTED_VALUE"""),85.1)</f>
        <v>85.1</v>
      </c>
    </row>
    <row r="118">
      <c r="A118">
        <f>IFERROR(__xludf.DUMMYFUNCTION("""COMPUTED_VALUE"""),2016.0)</f>
        <v>2016</v>
      </c>
      <c r="B118">
        <f>IFERROR(__xludf.DUMMYFUNCTION("""COMPUTED_VALUE"""),6.4469E7)</f>
        <v>64469000</v>
      </c>
      <c r="C118">
        <f>IFERROR(__xludf.DUMMYFUNCTION("""COMPUTED_VALUE"""),744697.0)</f>
        <v>744697</v>
      </c>
      <c r="D118">
        <f>IFERROR(__xludf.DUMMYFUNCTION("""COMPUTED_VALUE"""),581073.0)</f>
        <v>581073</v>
      </c>
      <c r="E118">
        <f>IFERROR(__xludf.DUMMYFUNCTION("""COMPUTED_VALUE"""),163624.0)</f>
        <v>163624</v>
      </c>
      <c r="F118">
        <f>IFERROR(__xludf.DUMMYFUNCTION("""COMPUTED_VALUE"""),11.5)</f>
        <v>11.5</v>
      </c>
      <c r="G118">
        <f>IFERROR(__xludf.DUMMYFUNCTION("""COMPUTED_VALUE"""),9.0)</f>
        <v>9</v>
      </c>
      <c r="H118">
        <f>IFERROR(__xludf.DUMMYFUNCTION("""COMPUTED_VALUE"""),2.5)</f>
        <v>2.5</v>
      </c>
      <c r="I118">
        <f>IFERROR(__xludf.DUMMYFUNCTION("""COMPUTED_VALUE"""),1.89)</f>
        <v>1.89</v>
      </c>
      <c r="J118">
        <f>IFERROR(__xludf.DUMMYFUNCTION("""COMPUTED_VALUE"""),3.5)</f>
        <v>3.5</v>
      </c>
      <c r="K118">
        <f>IFERROR(__xludf.DUMMYFUNCTION("""COMPUTED_VALUE"""),79.3)</f>
        <v>79.3</v>
      </c>
      <c r="L118">
        <f>IFERROR(__xludf.DUMMYFUNCTION("""COMPUTED_VALUE"""),85.3)</f>
        <v>85.3</v>
      </c>
    </row>
    <row r="119">
      <c r="A119">
        <f>IFERROR(__xludf.DUMMYFUNCTION("""COMPUTED_VALUE"""),2017.0)</f>
        <v>2017</v>
      </c>
      <c r="B119">
        <f>IFERROR(__xludf.DUMMYFUNCTION("""COMPUTED_VALUE"""),6.4639E7)</f>
        <v>64639000</v>
      </c>
      <c r="C119">
        <f>IFERROR(__xludf.DUMMYFUNCTION("""COMPUTED_VALUE"""),730242.0)</f>
        <v>730242</v>
      </c>
      <c r="D119">
        <f>IFERROR(__xludf.DUMMYFUNCTION("""COMPUTED_VALUE"""),593606.0)</f>
        <v>593606</v>
      </c>
      <c r="E119">
        <f>IFERROR(__xludf.DUMMYFUNCTION("""COMPUTED_VALUE"""),136636.0)</f>
        <v>136636</v>
      </c>
      <c r="F119">
        <f>IFERROR(__xludf.DUMMYFUNCTION("""COMPUTED_VALUE"""),11.3)</f>
        <v>11.3</v>
      </c>
      <c r="G119">
        <f>IFERROR(__xludf.DUMMYFUNCTION("""COMPUTED_VALUE"""),9.2)</f>
        <v>9.2</v>
      </c>
      <c r="H119">
        <f>IFERROR(__xludf.DUMMYFUNCTION("""COMPUTED_VALUE"""),2.1)</f>
        <v>2.1</v>
      </c>
      <c r="I119">
        <f>IFERROR(__xludf.DUMMYFUNCTION("""COMPUTED_VALUE"""),1.86)</f>
        <v>1.86</v>
      </c>
      <c r="J119">
        <f>IFERROR(__xludf.DUMMYFUNCTION("""COMPUTED_VALUE"""),3.6)</f>
        <v>3.6</v>
      </c>
      <c r="K119">
        <f>IFERROR(__xludf.DUMMYFUNCTION("""COMPUTED_VALUE"""),79.5)</f>
        <v>79.5</v>
      </c>
      <c r="L119">
        <f>IFERROR(__xludf.DUMMYFUNCTION("""COMPUTED_VALUE"""),85.3)</f>
        <v>85.3</v>
      </c>
    </row>
    <row r="120">
      <c r="A120">
        <f>IFERROR(__xludf.DUMMYFUNCTION("""COMPUTED_VALUE"""),2018.0)</f>
        <v>2018</v>
      </c>
      <c r="B120">
        <f>IFERROR(__xludf.DUMMYFUNCTION("""COMPUTED_VALUE"""),6.4844E7)</f>
        <v>64844000</v>
      </c>
      <c r="C120">
        <f>IFERROR(__xludf.DUMMYFUNCTION("""COMPUTED_VALUE"""),719737.0)</f>
        <v>719737</v>
      </c>
      <c r="D120">
        <f>IFERROR(__xludf.DUMMYFUNCTION("""COMPUTED_VALUE"""),596552.0)</f>
        <v>596552</v>
      </c>
      <c r="E120">
        <f>IFERROR(__xludf.DUMMYFUNCTION("""COMPUTED_VALUE"""),123185.0)</f>
        <v>123185</v>
      </c>
      <c r="F120">
        <f>IFERROR(__xludf.DUMMYFUNCTION("""COMPUTED_VALUE"""),11.1)</f>
        <v>11.1</v>
      </c>
      <c r="G120">
        <f>IFERROR(__xludf.DUMMYFUNCTION("""COMPUTED_VALUE"""),9.2)</f>
        <v>9.2</v>
      </c>
      <c r="H120">
        <f>IFERROR(__xludf.DUMMYFUNCTION("""COMPUTED_VALUE"""),1.9)</f>
        <v>1.9</v>
      </c>
      <c r="I120">
        <f>IFERROR(__xludf.DUMMYFUNCTION("""COMPUTED_VALUE"""),1.84)</f>
        <v>1.84</v>
      </c>
      <c r="J120">
        <f>IFERROR(__xludf.DUMMYFUNCTION("""COMPUTED_VALUE"""),3.6)</f>
        <v>3.6</v>
      </c>
      <c r="K120">
        <f>IFERROR(__xludf.DUMMYFUNCTION("""COMPUTED_VALUE"""),79.6)</f>
        <v>79.6</v>
      </c>
      <c r="L120">
        <f>IFERROR(__xludf.DUMMYFUNCTION("""COMPUTED_VALUE"""),85.5)</f>
        <v>85.5</v>
      </c>
    </row>
    <row r="121">
      <c r="A121">
        <f>IFERROR(__xludf.DUMMYFUNCTION("""COMPUTED_VALUE"""),2019.0)</f>
        <v>2019</v>
      </c>
      <c r="B121">
        <f>IFERROR(__xludf.DUMMYFUNCTION("""COMPUTED_VALUE"""),6.5097E7)</f>
        <v>65097000</v>
      </c>
      <c r="C121">
        <f>IFERROR(__xludf.DUMMYFUNCTION("""COMPUTED_VALUE"""),714029.0)</f>
        <v>714029</v>
      </c>
      <c r="D121">
        <f>IFERROR(__xludf.DUMMYFUNCTION("""COMPUTED_VALUE"""),599408.0)</f>
        <v>599408</v>
      </c>
      <c r="E121">
        <f>IFERROR(__xludf.DUMMYFUNCTION("""COMPUTED_VALUE"""),114621.0)</f>
        <v>114621</v>
      </c>
      <c r="F121">
        <f>IFERROR(__xludf.DUMMYFUNCTION("""COMPUTED_VALUE"""),11.0)</f>
        <v>11</v>
      </c>
      <c r="G121">
        <f>IFERROR(__xludf.DUMMYFUNCTION("""COMPUTED_VALUE"""),9.2)</f>
        <v>9.2</v>
      </c>
      <c r="H121">
        <f>IFERROR(__xludf.DUMMYFUNCTION("""COMPUTED_VALUE"""),1.8)</f>
        <v>1.8</v>
      </c>
      <c r="I121">
        <f>IFERROR(__xludf.DUMMYFUNCTION("""COMPUTED_VALUE"""),1.83)</f>
        <v>1.83</v>
      </c>
      <c r="J121">
        <f>IFERROR(__xludf.DUMMYFUNCTION("""COMPUTED_VALUE"""),3.6)</f>
        <v>3.6</v>
      </c>
      <c r="K121">
        <f>IFERROR(__xludf.DUMMYFUNCTION("""COMPUTED_VALUE"""),79.8)</f>
        <v>79.8</v>
      </c>
      <c r="L121">
        <f>IFERROR(__xludf.DUMMYFUNCTION("""COMPUTED_VALUE"""),85.6)</f>
        <v>85.6</v>
      </c>
    </row>
    <row r="122">
      <c r="A122">
        <f>IFERROR(__xludf.DUMMYFUNCTION("""COMPUTED_VALUE"""),2020.0)</f>
        <v>2020</v>
      </c>
      <c r="B122">
        <f>IFERROR(__xludf.DUMMYFUNCTION("""COMPUTED_VALUE"""),6.5269E7)</f>
        <v>65269000</v>
      </c>
      <c r="C122">
        <f>IFERROR(__xludf.DUMMYFUNCTION("""COMPUTED_VALUE"""),696664.0)</f>
        <v>696664</v>
      </c>
      <c r="D122">
        <f>IFERROR(__xludf.DUMMYFUNCTION("""COMPUTED_VALUE"""),654599.0)</f>
        <v>654599</v>
      </c>
      <c r="E122">
        <f>IFERROR(__xludf.DUMMYFUNCTION("""COMPUTED_VALUE"""),42065.0)</f>
        <v>42065</v>
      </c>
      <c r="F122">
        <f>IFERROR(__xludf.DUMMYFUNCTION("""COMPUTED_VALUE"""),10.7)</f>
        <v>10.7</v>
      </c>
      <c r="G122">
        <f>IFERROR(__xludf.DUMMYFUNCTION("""COMPUTED_VALUE"""),10.0)</f>
        <v>10</v>
      </c>
      <c r="H122">
        <f>IFERROR(__xludf.DUMMYFUNCTION("""COMPUTED_VALUE"""),0.7)</f>
        <v>0.7</v>
      </c>
      <c r="I122">
        <f>IFERROR(__xludf.DUMMYFUNCTION("""COMPUTED_VALUE"""),1.78)</f>
        <v>1.78</v>
      </c>
      <c r="J122">
        <f>IFERROR(__xludf.DUMMYFUNCTION("""COMPUTED_VALUE"""),3.4)</f>
        <v>3.4</v>
      </c>
      <c r="K122">
        <f>IFERROR(__xludf.DUMMYFUNCTION("""COMPUTED_VALUE"""),79.2)</f>
        <v>79.2</v>
      </c>
      <c r="L122">
        <f>IFERROR(__xludf.DUMMYFUNCTION("""COMPUTED_VALUE"""),85.2)</f>
        <v>85.2</v>
      </c>
    </row>
    <row r="123">
      <c r="A123">
        <f>IFERROR(__xludf.DUMMYFUNCTION("""COMPUTED_VALUE"""),2021.0)</f>
        <v>2021</v>
      </c>
      <c r="B123">
        <f>IFERROR(__xludf.DUMMYFUNCTION("""COMPUTED_VALUE"""),6.5505E7)</f>
        <v>65505000</v>
      </c>
      <c r="C123">
        <f>IFERROR(__xludf.DUMMYFUNCTION("""COMPUTED_VALUE"""),701819.0)</f>
        <v>701819</v>
      </c>
      <c r="D123">
        <f>IFERROR(__xludf.DUMMYFUNCTION("""COMPUTED_VALUE"""),644201.0)</f>
        <v>644201</v>
      </c>
      <c r="E123">
        <f>IFERROR(__xludf.DUMMYFUNCTION("""COMPUTED_VALUE"""),57618.0)</f>
        <v>57618</v>
      </c>
      <c r="F123">
        <f>IFERROR(__xludf.DUMMYFUNCTION("""COMPUTED_VALUE"""),10.7)</f>
        <v>10.7</v>
      </c>
      <c r="G123">
        <f>IFERROR(__xludf.DUMMYFUNCTION("""COMPUTED_VALUE"""),9.8)</f>
        <v>9.8</v>
      </c>
      <c r="H123">
        <f>IFERROR(__xludf.DUMMYFUNCTION("""COMPUTED_VALUE"""),0.9)</f>
        <v>0.9</v>
      </c>
      <c r="I123">
        <f>IFERROR(__xludf.DUMMYFUNCTION("""COMPUTED_VALUE"""),1.79)</f>
        <v>1.79</v>
      </c>
      <c r="J123">
        <f>IFERROR(__xludf.DUMMYFUNCTION("""COMPUTED_VALUE"""),3.4)</f>
        <v>3.4</v>
      </c>
      <c r="K123">
        <f>IFERROR(__xludf.DUMMYFUNCTION("""COMPUTED_VALUE"""),79.3)</f>
        <v>79.3</v>
      </c>
      <c r="L123">
        <f>IFERROR(__xludf.DUMMYFUNCTION("""COMPUTED_VALUE"""),85.3)</f>
        <v>85.3</v>
      </c>
    </row>
    <row r="124">
      <c r="A124">
        <f>IFERROR(__xludf.DUMMYFUNCTION("""COMPUTED_VALUE"""),2022.0)</f>
        <v>2022</v>
      </c>
      <c r="B124">
        <f>IFERROR(__xludf.DUMMYFUNCTION("""COMPUTED_VALUE"""),6.5846E7)</f>
        <v>65846000</v>
      </c>
      <c r="C124">
        <f>IFERROR(__xludf.DUMMYFUNCTION("""COMPUTED_VALUE"""),686564.0)</f>
        <v>686564</v>
      </c>
      <c r="D124">
        <f>IFERROR(__xludf.DUMMYFUNCTION("""COMPUTED_VALUE"""),658434.0)</f>
        <v>658434</v>
      </c>
      <c r="E124">
        <f>IFERROR(__xludf.DUMMYFUNCTION("""COMPUTED_VALUE"""),28130.0)</f>
        <v>28130</v>
      </c>
      <c r="F124">
        <f>IFERROR(__xludf.DUMMYFUNCTION("""COMPUTED_VALUE"""),10.4)</f>
        <v>10.4</v>
      </c>
      <c r="G124">
        <f>IFERROR(__xludf.DUMMYFUNCTION("""COMPUTED_VALUE"""),10.0)</f>
        <v>10</v>
      </c>
      <c r="H124">
        <f>IFERROR(__xludf.DUMMYFUNCTION("""COMPUTED_VALUE"""),0.4)</f>
        <v>0.4</v>
      </c>
      <c r="I124">
        <f>IFERROR(__xludf.DUMMYFUNCTION("""COMPUTED_VALUE"""),1.74)</f>
        <v>1.74</v>
      </c>
      <c r="J124">
        <f>IFERROR(__xludf.DUMMYFUNCTION("""COMPUTED_VALUE"""),3.7)</f>
        <v>3.7</v>
      </c>
      <c r="K124">
        <f>IFERROR(__xludf.DUMMYFUNCTION("""COMPUTED_VALUE"""),79.4)</f>
        <v>79.4</v>
      </c>
      <c r="L124">
        <f>IFERROR(__xludf.DUMMYFUNCTION("""COMPUTED_VALUE"""),85.2)</f>
        <v>85.2</v>
      </c>
    </row>
    <row r="125">
      <c r="A125">
        <f>IFERROR(__xludf.DUMMYFUNCTION("""COMPUTED_VALUE"""),2023.0)</f>
        <v>2023</v>
      </c>
      <c r="B125">
        <f>IFERROR(__xludf.DUMMYFUNCTION("""COMPUTED_VALUE"""),6.6166E7)</f>
        <v>66166000</v>
      </c>
      <c r="C125">
        <f>IFERROR(__xludf.DUMMYFUNCTION("""COMPUTED_VALUE"""),639533.0)</f>
        <v>639533</v>
      </c>
      <c r="D125">
        <f>IFERROR(__xludf.DUMMYFUNCTION("""COMPUTED_VALUE"""),623959.0)</f>
        <v>623959</v>
      </c>
      <c r="E125">
        <f>IFERROR(__xludf.DUMMYFUNCTION("""COMPUTED_VALUE"""),15574.0)</f>
        <v>15574</v>
      </c>
      <c r="F125">
        <f>IFERROR(__xludf.DUMMYFUNCTION("""COMPUTED_VALUE"""),9.7)</f>
        <v>9.7</v>
      </c>
      <c r="G125">
        <f>IFERROR(__xludf.DUMMYFUNCTION("""COMPUTED_VALUE"""),9.4)</f>
        <v>9.4</v>
      </c>
      <c r="H125">
        <f>IFERROR(__xludf.DUMMYFUNCTION("""COMPUTED_VALUE"""),0.3)</f>
        <v>0.3</v>
      </c>
      <c r="I125">
        <f>IFERROR(__xludf.DUMMYFUNCTION("""COMPUTED_VALUE"""),1.62)</f>
        <v>1.62</v>
      </c>
      <c r="J125">
        <f>IFERROR(__xludf.DUMMYFUNCTION("""COMPUTED_VALUE"""),3.7)</f>
        <v>3.7</v>
      </c>
      <c r="K125">
        <f>IFERROR(__xludf.DUMMYFUNCTION("""COMPUTED_VALUE"""),80.1)</f>
        <v>80.1</v>
      </c>
      <c r="L125">
        <f>IFERROR(__xludf.DUMMYFUNCTION("""COMPUTED_VALUE"""),85.7)</f>
        <v>85.7</v>
      </c>
    </row>
    <row r="126">
      <c r="A126">
        <f>IFERROR(__xludf.DUMMYFUNCTION("""COMPUTED_VALUE"""),2024.0)</f>
        <v>2024</v>
      </c>
      <c r="B126">
        <f>IFERROR(__xludf.DUMMYFUNCTION("""COMPUTED_VALUE"""),6.638E7)</f>
        <v>66380000</v>
      </c>
      <c r="C126">
        <f>IFERROR(__xludf.DUMMYFUNCTION("""COMPUTED_VALUE"""),626776.0)</f>
        <v>626776</v>
      </c>
      <c r="D126">
        <f>IFERROR(__xludf.DUMMYFUNCTION("""COMPUTED_VALUE"""),627513.0)</f>
        <v>627513</v>
      </c>
      <c r="E126">
        <f>IFERROR(__xludf.DUMMYFUNCTION("""COMPUTED_VALUE"""),-737.0)</f>
        <v>-737</v>
      </c>
      <c r="F126">
        <f>IFERROR(__xludf.DUMMYFUNCTION("""COMPUTED_VALUE"""),9.4)</f>
        <v>9.4</v>
      </c>
      <c r="G126">
        <f>IFERROR(__xludf.DUMMYFUNCTION("""COMPUTED_VALUE"""),9.4)</f>
        <v>9.4</v>
      </c>
      <c r="H126">
        <f>IFERROR(__xludf.DUMMYFUNCTION("""COMPUTED_VALUE"""),0.0)</f>
        <v>0</v>
      </c>
      <c r="I126">
        <f>IFERROR(__xludf.DUMMYFUNCTION("""COMPUTED_VALUE"""),1.58)</f>
        <v>1.58</v>
      </c>
      <c r="J126">
        <f>IFERROR(__xludf.DUMMYFUNCTION("""COMPUTED_VALUE"""),3.9)</f>
        <v>3.9</v>
      </c>
      <c r="K126">
        <f>IFERROR(__xludf.DUMMYFUNCTION("""COMPUTED_VALUE"""),80.3)</f>
        <v>80.3</v>
      </c>
      <c r="L126">
        <f>IFERROR(__xludf.DUMMYFUNCTION("""COMPUTED_VALUE"""),85.8)</f>
        <v>85.8</v>
      </c>
    </row>
    <row r="127">
      <c r="A127">
        <f>IFERROR(__xludf.DUMMYFUNCTION("""COMPUTED_VALUE"""),2025.0)</f>
        <v>2025</v>
      </c>
      <c r="B127">
        <f>IFERROR(__xludf.DUMMYFUNCTION("""COMPUTED_VALUE"""),6.6579E7)</f>
        <v>66579000</v>
      </c>
      <c r="C127">
        <f>IFERROR(__xludf.DUMMYFUNCTION("""COMPUTED_VALUE"""),611000.0)</f>
        <v>611000</v>
      </c>
      <c r="D127">
        <f>IFERROR(__xludf.DUMMYFUNCTION("""COMPUTED_VALUE"""),635000.0)</f>
        <v>635000</v>
      </c>
      <c r="E127">
        <f>IFERROR(__xludf.DUMMYFUNCTION("""COMPUTED_VALUE"""),-24000.0)</f>
        <v>-24000</v>
      </c>
      <c r="F127">
        <f>IFERROR(__xludf.DUMMYFUNCTION("""COMPUTED_VALUE"""),9.2)</f>
        <v>9.2</v>
      </c>
      <c r="G127">
        <f>IFERROR(__xludf.DUMMYFUNCTION("""COMPUTED_VALUE"""),9.5)</f>
        <v>9.5</v>
      </c>
      <c r="H127">
        <f>IFERROR(__xludf.DUMMYFUNCTION("""COMPUTED_VALUE"""),-0.3)</f>
        <v>-0.3</v>
      </c>
      <c r="I127">
        <f>IFERROR(__xludf.DUMMYFUNCTION("""COMPUTED_VALUE"""),1.53)</f>
        <v>1.53</v>
      </c>
      <c r="J127">
        <f>IFERROR(__xludf.DUMMYFUNCTION("""COMPUTED_VALUE"""),3.8)</f>
        <v>3.8</v>
      </c>
      <c r="K127">
        <f>IFERROR(__xludf.DUMMYFUNCTION("""COMPUTED_VALUE"""),80.4)</f>
        <v>80.4</v>
      </c>
      <c r="L127">
        <f>IFERROR(__xludf.DUMMYFUNCTION("""COMPUTED_VALUE"""),85.9)</f>
        <v>85.9</v>
      </c>
    </row>
    <row r="128">
      <c r="B128" t="str">
        <f>IFERROR(__xludf.DUMMYFUNCTION("""COMPUTED_VALUE"""),"Population (1er janvier)")</f>
        <v>Population (1er janvier)</v>
      </c>
      <c r="C128" t="str">
        <f>IFERROR(__xludf.DUMMYFUNCTION("""COMPUTED_VALUE"""),"Naissances")</f>
        <v>Naissances</v>
      </c>
      <c r="D128" t="str">
        <f>IFERROR(__xludf.DUMMYFUNCTION("""COMPUTED_VALUE"""),"Décès")</f>
        <v>Décès</v>
      </c>
      <c r="E128" t="str">
        <f>IFERROR(__xludf.DUMMYFUNCTION("""COMPUTED_VALUE"""),"Solde naturel")</f>
        <v>Solde naturel</v>
      </c>
      <c r="F128" t="str">
        <f>IFERROR(__xludf.DUMMYFUNCTION("""COMPUTED_VALUE"""),"Taux de natalité (pour 1000)")</f>
        <v>Taux de natalité (pour 1000)</v>
      </c>
      <c r="G128" t="str">
        <f>IFERROR(__xludf.DUMMYFUNCTION("""COMPUTED_VALUE"""),"Taux de mortalité (pour 1000)")</f>
        <v>Taux de mortalité (pour 1000)</v>
      </c>
      <c r="H128" t="str">
        <f>IFERROR(__xludf.DUMMYFUNCTION("""COMPUTED_VALUE"""),"Accroissement naturel (pour 1000)")</f>
        <v>Accroissement naturel (pour 1000)</v>
      </c>
      <c r="I128" t="str">
        <f>IFERROR(__xludf.DUMMYFUNCTION("""COMPUTED_VALUE"""),"Indice de fécondité")</f>
        <v>Indice de fécondité</v>
      </c>
      <c r="J128" t="str">
        <f>IFERROR(__xludf.DUMMYFUNCTION("""COMPUTED_VALUE"""),"Taux de mortalité infantile (pour 1000 naissances)")</f>
        <v>Taux de mortalité infantile (pour 1000 naissances)</v>
      </c>
      <c r="K128" t="str">
        <f>IFERROR(__xludf.DUMMYFUNCTION("""COMPUTED_VALUE"""),"Espérance de vie (hommes)")</f>
        <v>Espérance de vie (hommes)</v>
      </c>
      <c r="L128" t="str">
        <f>IFERROR(__xludf.DUMMYFUNCTION("""COMPUTED_VALUE"""),"Espérance de vie (femmes)")</f>
        <v>Espérance de vie (femmes)</v>
      </c>
    </row>
  </sheetData>
  <drawing r:id="rId1"/>
</worksheet>
</file>
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  <sheet state="visible" name="Feuille 2" sheetId="2" r:id="rId6"/>
    <sheet state="visible" name="Feuille 3" sheetId="3" r:id="rId7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0" xfId="0" applyFont="1" applyNumberFormat="1"/>
    <xf borderId="0" fillId="0" fontId="1" numFmtId="9" xfId="0" applyFont="1" applyNumberFormat="1"/>
    <xf borderId="0" fillId="0" fontId="1" numFmtId="164" xfId="0" applyFont="1" applyNumberForma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IFERROR(__xludf.DUMMYFUNCTION("importhtml(""https://www.journaldunet.fr/patrimoine/guide-des-finances-personnelles/1209268-classement-pib-2024-quelles-sont-les-puissances-mondiales/"",""table"",1)"),"Rang")</f>
        <v>Rang</v>
      </c>
      <c r="B1" s="1" t="str">
        <f>IFERROR(__xludf.DUMMYFUNCTION("""COMPUTED_VALUE"""),"Pays")</f>
        <v>Pays</v>
      </c>
      <c r="C1" s="1" t="str">
        <f>IFERROR(__xludf.DUMMYFUNCTION("""COMPUTED_VALUE"""),"PIB  2023 (milliards $)")</f>
        <v>PIB  2023 (milliards $)</v>
      </c>
      <c r="D1" s="1" t="str">
        <f>IFERROR(__xludf.DUMMYFUNCTION("""COMPUTED_VALUE"""),"Croissance du PIB en 2024 (%)")</f>
        <v>Croissance du PIB en 2024 (%)</v>
      </c>
    </row>
    <row r="2">
      <c r="A2" s="1">
        <f>IFERROR(__xludf.DUMMYFUNCTION("""COMPUTED_VALUE"""),1.0)</f>
        <v>1</v>
      </c>
      <c r="B2" s="1" t="str">
        <f>IFERROR(__xludf.DUMMYFUNCTION("""COMPUTED_VALUE"""),"Etats-Unis")</f>
        <v>Etats-Unis</v>
      </c>
      <c r="C2" s="1" t="str">
        <f>IFERROR(__xludf.DUMMYFUNCTION("""COMPUTED_VALUE"""),"26 185 mds $")</f>
        <v>26 185 mds $</v>
      </c>
      <c r="D2" s="2">
        <f>IFERROR(__xludf.DUMMYFUNCTION("""COMPUTED_VALUE"""),0.021)</f>
        <v>0.021</v>
      </c>
    </row>
    <row r="3">
      <c r="A3" s="1">
        <f>IFERROR(__xludf.DUMMYFUNCTION("""COMPUTED_VALUE"""),2.0)</f>
        <v>2</v>
      </c>
      <c r="B3" s="1" t="str">
        <f>IFERROR(__xludf.DUMMYFUNCTION("""COMPUTED_VALUE"""),"Chine")</f>
        <v>Chine</v>
      </c>
      <c r="C3" s="1" t="str">
        <f>IFERROR(__xludf.DUMMYFUNCTION("""COMPUTED_VALUE"""),"21 643 mds $")</f>
        <v>21 643 mds $</v>
      </c>
      <c r="D3" s="2">
        <f>IFERROR(__xludf.DUMMYFUNCTION("""COMPUTED_VALUE"""),0.047)</f>
        <v>0.047</v>
      </c>
    </row>
    <row r="4">
      <c r="A4" s="1">
        <f>IFERROR(__xludf.DUMMYFUNCTION("""COMPUTED_VALUE"""),3.0)</f>
        <v>3</v>
      </c>
      <c r="B4" s="1" t="str">
        <f>IFERROR(__xludf.DUMMYFUNCTION("""COMPUTED_VALUE"""),"Japon")</f>
        <v>Japon</v>
      </c>
      <c r="C4" s="1" t="str">
        <f>IFERROR(__xludf.DUMMYFUNCTION("""COMPUTED_VALUE"""),"4 365 mds $")</f>
        <v>4 365 mds $</v>
      </c>
      <c r="D4" s="3">
        <f>IFERROR(__xludf.DUMMYFUNCTION("""COMPUTED_VALUE"""),0.01)</f>
        <v>0.01</v>
      </c>
    </row>
    <row r="5">
      <c r="A5" s="1">
        <f>IFERROR(__xludf.DUMMYFUNCTION("""COMPUTED_VALUE"""),4.0)</f>
        <v>4</v>
      </c>
      <c r="B5" s="1" t="str">
        <f>IFERROR(__xludf.DUMMYFUNCTION("""COMPUTED_VALUE"""),"Allemagne")</f>
        <v>Allemagne</v>
      </c>
      <c r="C5" s="1" t="str">
        <f>IFERROR(__xludf.DUMMYFUNCTION("""COMPUTED_VALUE"""),"4 120 mds $")</f>
        <v>4 120 mds $</v>
      </c>
      <c r="D5" s="2">
        <f>IFERROR(__xludf.DUMMYFUNCTION("""COMPUTED_VALUE"""),0.003)</f>
        <v>0.003</v>
      </c>
    </row>
    <row r="6">
      <c r="A6" s="1">
        <f>IFERROR(__xludf.DUMMYFUNCTION("""COMPUTED_VALUE"""),5.0)</f>
        <v>5</v>
      </c>
      <c r="B6" s="1" t="str">
        <f>IFERROR(__xludf.DUMMYFUNCTION("""COMPUTED_VALUE"""),"Inde")</f>
        <v>Inde</v>
      </c>
      <c r="C6" s="1" t="str">
        <f>IFERROR(__xludf.DUMMYFUNCTION("""COMPUTED_VALUE"""),"3 820 mds $")</f>
        <v>3 820 mds $</v>
      </c>
      <c r="D6" s="2">
        <f>IFERROR(__xludf.DUMMYFUNCTION("""COMPUTED_VALUE"""),0.062)</f>
        <v>0.062</v>
      </c>
    </row>
    <row r="7">
      <c r="A7" s="1">
        <f>IFERROR(__xludf.DUMMYFUNCTION("""COMPUTED_VALUE"""),6.0)</f>
        <v>6</v>
      </c>
      <c r="B7" s="1" t="str">
        <f>IFERROR(__xludf.DUMMYFUNCTION("""COMPUTED_VALUE"""),"Royaume-Uni")</f>
        <v>Royaume-Uni</v>
      </c>
      <c r="C7" s="1" t="str">
        <f>IFERROR(__xludf.DUMMYFUNCTION("""COMPUTED_VALUE"""),"3 479 mds $")</f>
        <v>3 479 mds $</v>
      </c>
      <c r="D7" s="2">
        <f>IFERROR(__xludf.DUMMYFUNCTION("""COMPUTED_VALUE"""),0.007)</f>
        <v>0.007</v>
      </c>
    </row>
    <row r="8">
      <c r="A8" s="1">
        <f>IFERROR(__xludf.DUMMYFUNCTION("""COMPUTED_VALUE"""),7.0)</f>
        <v>7</v>
      </c>
      <c r="B8" s="1" t="str">
        <f>IFERROR(__xludf.DUMMYFUNCTION("""COMPUTED_VALUE"""),"France")</f>
        <v>France</v>
      </c>
      <c r="C8" s="1" t="str">
        <f>IFERROR(__xludf.DUMMYFUNCTION("""COMPUTED_VALUE"""),"2 806 mds $")</f>
        <v>2 806 mds $</v>
      </c>
      <c r="D8" s="2">
        <f>IFERROR(__xludf.DUMMYFUNCTION("""COMPUTED_VALUE"""),0.006)</f>
        <v>0.006</v>
      </c>
    </row>
    <row r="9">
      <c r="A9" s="1">
        <f>IFERROR(__xludf.DUMMYFUNCTION("""COMPUTED_VALUE"""),8.0)</f>
        <v>8</v>
      </c>
      <c r="B9" s="1" t="str">
        <f>IFERROR(__xludf.DUMMYFUNCTION("""COMPUTED_VALUE"""),"Canada")</f>
        <v>Canada</v>
      </c>
      <c r="C9" s="1" t="str">
        <f>IFERROR(__xludf.DUMMYFUNCTION("""COMPUTED_VALUE"""),"2 326 mds $")</f>
        <v>2 326 mds $</v>
      </c>
      <c r="D9" s="2">
        <f>IFERROR(__xludf.DUMMYFUNCTION("""COMPUTED_VALUE"""),0.009)</f>
        <v>0.009</v>
      </c>
    </row>
    <row r="10">
      <c r="A10" s="1">
        <f>IFERROR(__xludf.DUMMYFUNCTION("""COMPUTED_VALUE"""),9.0)</f>
        <v>9</v>
      </c>
      <c r="B10" s="1" t="str">
        <f>IFERROR(__xludf.DUMMYFUNCTION("""COMPUTED_VALUE"""),"Russie")</f>
        <v>Russie</v>
      </c>
      <c r="C10" s="1" t="str">
        <f>IFERROR(__xludf.DUMMYFUNCTION("""COMPUTED_VALUE"""),"2 136 mds $")</f>
        <v>2 136 mds $</v>
      </c>
      <c r="D10" s="2">
        <f>IFERROR(__xludf.DUMMYFUNCTION("""COMPUTED_VALUE"""),0.018)</f>
        <v>0.018</v>
      </c>
    </row>
    <row r="11">
      <c r="A11" s="1">
        <f>IFERROR(__xludf.DUMMYFUNCTION("""COMPUTED_VALUE"""),10.0)</f>
        <v>10</v>
      </c>
      <c r="B11" s="1" t="str">
        <f>IFERROR(__xludf.DUMMYFUNCTION("""COMPUTED_VALUE"""),"Brésil")</f>
        <v>Brésil</v>
      </c>
      <c r="C11" s="1" t="str">
        <f>IFERROR(__xludf.DUMMYFUNCTION("""COMPUTED_VALUE"""),"2 059 mds $")</f>
        <v>2 059 mds $</v>
      </c>
      <c r="D11" s="2">
        <f>IFERROR(__xludf.DUMMYFUNCTION("""COMPUTED_VALUE"""),0.018)</f>
        <v>0.018</v>
      </c>
    </row>
    <row r="12">
      <c r="A12" s="1">
        <f>IFERROR(__xludf.DUMMYFUNCTION("""COMPUTED_VALUE"""),11.0)</f>
        <v>11</v>
      </c>
      <c r="B12" s="1" t="str">
        <f>IFERROR(__xludf.DUMMYFUNCTION("""COMPUTED_VALUE"""),"Iran")</f>
        <v>Iran</v>
      </c>
      <c r="C12" s="1" t="str">
        <f>IFERROR(__xludf.DUMMYFUNCTION("""COMPUTED_VALUE"""),"2 044 mds $")</f>
        <v>2 044 mds $</v>
      </c>
      <c r="D12" s="1" t="str">
        <f>IFERROR(__xludf.DUMMYFUNCTION("""COMPUTED_VALUE"""),"x")</f>
        <v>x</v>
      </c>
    </row>
    <row r="13">
      <c r="A13" s="1">
        <f>IFERROR(__xludf.DUMMYFUNCTION("""COMPUTED_VALUE"""),12.0)</f>
        <v>12</v>
      </c>
      <c r="B13" s="1" t="str">
        <f>IFERROR(__xludf.DUMMYFUNCTION("""COMPUTED_VALUE"""),"Italie")</f>
        <v>Italie</v>
      </c>
      <c r="C13" s="1" t="str">
        <f>IFERROR(__xludf.DUMMYFUNCTION("""COMPUTED_VALUE"""),"1 991 mds $")</f>
        <v>1 991 mds $</v>
      </c>
      <c r="D13" s="2">
        <f>IFERROR(__xludf.DUMMYFUNCTION("""COMPUTED_VALUE"""),0.007)</f>
        <v>0.007</v>
      </c>
    </row>
    <row r="14">
      <c r="A14" s="1">
        <f>IFERROR(__xludf.DUMMYFUNCTION("""COMPUTED_VALUE"""),13.0)</f>
        <v>13</v>
      </c>
      <c r="B14" s="1" t="str">
        <f>IFERROR(__xludf.DUMMYFUNCTION("""COMPUTED_VALUE"""),"Corée")</f>
        <v>Corée</v>
      </c>
      <c r="C14" s="1" t="str">
        <f>IFERROR(__xludf.DUMMYFUNCTION("""COMPUTED_VALUE"""),"1 792 mds $")</f>
        <v>1 792 mds $</v>
      </c>
      <c r="D14" s="2">
        <f>IFERROR(__xludf.DUMMYFUNCTION("""COMPUTED_VALUE"""),0.022)</f>
        <v>0.022</v>
      </c>
    </row>
    <row r="15">
      <c r="A15" s="1">
        <f>IFERROR(__xludf.DUMMYFUNCTION("""COMPUTED_VALUE"""),14.0)</f>
        <v>14</v>
      </c>
      <c r="B15" s="1" t="str">
        <f>IFERROR(__xludf.DUMMYFUNCTION("""COMPUTED_VALUE"""),"Australie")</f>
        <v>Australie</v>
      </c>
      <c r="C15" s="1" t="str">
        <f>IFERROR(__xludf.DUMMYFUNCTION("""COMPUTED_VALUE"""),"1 787 mds $")</f>
        <v>1 787 mds $</v>
      </c>
      <c r="D15" s="2">
        <f>IFERROR(__xludf.DUMMYFUNCTION("""COMPUTED_VALUE"""),0.014)</f>
        <v>0.014</v>
      </c>
    </row>
    <row r="16">
      <c r="A16" s="1">
        <f>IFERROR(__xludf.DUMMYFUNCTION("""COMPUTED_VALUE"""),15.0)</f>
        <v>15</v>
      </c>
      <c r="B16" s="1" t="str">
        <f>IFERROR(__xludf.DUMMYFUNCTION("""COMPUTED_VALUE"""),"Mexique")</f>
        <v>Mexique</v>
      </c>
      <c r="C16" s="1" t="str">
        <f>IFERROR(__xludf.DUMMYFUNCTION("""COMPUTED_VALUE"""),"1 476 mds $")</f>
        <v>1 476 mds $</v>
      </c>
      <c r="D16" s="2">
        <f>IFERROR(__xludf.DUMMYFUNCTION("""COMPUTED_VALUE"""),0.025)</f>
        <v>0.025</v>
      </c>
    </row>
    <row r="17">
      <c r="A17" s="1">
        <f>IFERROR(__xludf.DUMMYFUNCTION("""COMPUTED_VALUE"""),16.0)</f>
        <v>16</v>
      </c>
      <c r="B17" s="1" t="str">
        <f>IFERROR(__xludf.DUMMYFUNCTION("""COMPUTED_VALUE"""),"Espagne")</f>
        <v>Espagne</v>
      </c>
      <c r="C17" s="1" t="str">
        <f>IFERROR(__xludf.DUMMYFUNCTION("""COMPUTED_VALUE"""),"1 421 mds $")</f>
        <v>1 421 mds $</v>
      </c>
      <c r="D17" s="2">
        <f>IFERROR(__xludf.DUMMYFUNCTION("""COMPUTED_VALUE"""),0.015)</f>
        <v>0.015</v>
      </c>
    </row>
    <row r="18">
      <c r="A18" s="1">
        <f>IFERROR(__xludf.DUMMYFUNCTION("""COMPUTED_VALUE"""),17.0)</f>
        <v>17</v>
      </c>
      <c r="B18" s="1" t="str">
        <f>IFERROR(__xludf.DUMMYFUNCTION("""COMPUTED_VALUE"""),"Indonésie")</f>
        <v>Indonésie</v>
      </c>
      <c r="C18" s="1" t="str">
        <f>IFERROR(__xludf.DUMMYFUNCTION("""COMPUTED_VALUE"""),"1 388 mds $")</f>
        <v>1 388 mds $</v>
      </c>
      <c r="D18" s="2">
        <f>IFERROR(__xludf.DUMMYFUNCTION("""COMPUTED_VALUE"""),0.051)</f>
        <v>0.051</v>
      </c>
    </row>
    <row r="19">
      <c r="A19" s="1">
        <f>IFERROR(__xludf.DUMMYFUNCTION("""COMPUTED_VALUE"""),18.0)</f>
        <v>18</v>
      </c>
      <c r="B19" s="1" t="str">
        <f>IFERROR(__xludf.DUMMYFUNCTION("""COMPUTED_VALUE"""),"Pays-Bas")</f>
        <v>Pays-Bas</v>
      </c>
      <c r="C19" s="1" t="str">
        <f>IFERROR(__xludf.DUMMYFUNCTION("""COMPUTED_VALUE"""),"1 019 mds $")</f>
        <v>1 019 mds $</v>
      </c>
      <c r="D19" s="2">
        <f>IFERROR(__xludf.DUMMYFUNCTION("""COMPUTED_VALUE"""),0.006)</f>
        <v>0.006</v>
      </c>
    </row>
    <row r="20">
      <c r="A20" s="1">
        <f>IFERROR(__xludf.DUMMYFUNCTION("""COMPUTED_VALUE"""),19.0)</f>
        <v>19</v>
      </c>
      <c r="B20" s="1" t="str">
        <f>IFERROR(__xludf.DUMMYFUNCTION("""COMPUTED_VALUE"""),"Arabie Saoudite")</f>
        <v>Arabie Saoudite</v>
      </c>
      <c r="C20" s="1" t="str">
        <f>IFERROR(__xludf.DUMMYFUNCTION("""COMPUTED_VALUE"""),"996 mds $")</f>
        <v>996 mds $</v>
      </c>
      <c r="D20" s="2">
        <f>IFERROR(__xludf.DUMMYFUNCTION("""COMPUTED_VALUE"""),0.024)</f>
        <v>0.024</v>
      </c>
    </row>
    <row r="21">
      <c r="A21" s="1">
        <f>IFERROR(__xludf.DUMMYFUNCTION("""COMPUTED_VALUE"""),20.0)</f>
        <v>20</v>
      </c>
      <c r="B21" s="1" t="str">
        <f>IFERROR(__xludf.DUMMYFUNCTION("""COMPUTED_VALUE"""),"Turquie")</f>
        <v>Turquie</v>
      </c>
      <c r="C21" s="1" t="str">
        <f>IFERROR(__xludf.DUMMYFUNCTION("""COMPUTED_VALUE"""),"941 mds $")</f>
        <v>941 mds $</v>
      </c>
      <c r="D21" s="2">
        <f>IFERROR(__xludf.DUMMYFUNCTION("""COMPUTED_VALUE"""),0.029)</f>
        <v>0.029</v>
      </c>
    </row>
    <row r="22">
      <c r="A22" s="1">
        <f>IFERROR(__xludf.DUMMYFUNCTION("""COMPUTED_VALUE"""),21.0)</f>
        <v>21</v>
      </c>
      <c r="B22" s="1" t="str">
        <f>IFERROR(__xludf.DUMMYFUNCTION("""COMPUTED_VALUE"""),"Taiwan")</f>
        <v>Taiwan</v>
      </c>
      <c r="C22" s="1" t="str">
        <f>IFERROR(__xludf.DUMMYFUNCTION("""COMPUTED_VALUE"""),"858 mds $")</f>
        <v>858 mds $</v>
      </c>
      <c r="D22" s="1" t="str">
        <f>IFERROR(__xludf.DUMMYFUNCTION("""COMPUTED_VALUE"""),"x")</f>
        <v>x</v>
      </c>
    </row>
    <row r="23">
      <c r="A23" s="1">
        <f>IFERROR(__xludf.DUMMYFUNCTION("""COMPUTED_VALUE"""),22.0)</f>
        <v>22</v>
      </c>
      <c r="B23" s="1" t="str">
        <f>IFERROR(__xludf.DUMMYFUNCTION("""COMPUTED_VALUE"""),"Suisse")</f>
        <v>Suisse</v>
      </c>
      <c r="C23" s="1" t="str">
        <f>IFERROR(__xludf.DUMMYFUNCTION("""COMPUTED_VALUE"""),"834 mds $")</f>
        <v>834 mds $</v>
      </c>
      <c r="D23" s="2">
        <f>IFERROR(__xludf.DUMMYFUNCTION("""COMPUTED_VALUE"""),0.006)</f>
        <v>0.006</v>
      </c>
    </row>
    <row r="24">
      <c r="A24" s="1">
        <f>IFERROR(__xludf.DUMMYFUNCTION("""COMPUTED_VALUE"""),23.0)</f>
        <v>23</v>
      </c>
      <c r="B24" s="1" t="str">
        <f>IFERROR(__xludf.DUMMYFUNCTION("""COMPUTED_VALUE"""),"Pologne")</f>
        <v>Pologne</v>
      </c>
      <c r="C24" s="1" t="str">
        <f>IFERROR(__xludf.DUMMYFUNCTION("""COMPUTED_VALUE"""),"753 mds $")</f>
        <v>753 mds $</v>
      </c>
      <c r="D24" s="2">
        <f>IFERROR(__xludf.DUMMYFUNCTION("""COMPUTED_VALUE"""),0.006)</f>
        <v>0.006</v>
      </c>
    </row>
    <row r="25">
      <c r="A25" s="1">
        <f>IFERROR(__xludf.DUMMYFUNCTION("""COMPUTED_VALUE"""),24.0)</f>
        <v>24</v>
      </c>
      <c r="B25" s="1" t="str">
        <f>IFERROR(__xludf.DUMMYFUNCTION("""COMPUTED_VALUE"""),"Suède")</f>
        <v>Suède</v>
      </c>
      <c r="C25" s="1" t="str">
        <f>IFERROR(__xludf.DUMMYFUNCTION("""COMPUTED_VALUE"""),"653 mds $")</f>
        <v>653 mds $</v>
      </c>
      <c r="D25" s="2">
        <f>IFERROR(__xludf.DUMMYFUNCTION("""COMPUTED_VALUE"""),0.006)</f>
        <v>0.006</v>
      </c>
    </row>
    <row r="26">
      <c r="A26" s="1">
        <f>IFERROR(__xludf.DUMMYFUNCTION("""COMPUTED_VALUE"""),25.0)</f>
        <v>25</v>
      </c>
      <c r="B26" s="1" t="str">
        <f>IFERROR(__xludf.DUMMYFUNCTION("""COMPUTED_VALUE"""),"Argentine")</f>
        <v>Argentine</v>
      </c>
      <c r="C26" s="1" t="str">
        <f>IFERROR(__xludf.DUMMYFUNCTION("""COMPUTED_VALUE"""),"643 mds $")</f>
        <v>643 mds $</v>
      </c>
      <c r="D26" s="2">
        <f>IFERROR(__xludf.DUMMYFUNCTION("""COMPUTED_VALUE"""),-0.023)</f>
        <v>-0.023</v>
      </c>
    </row>
    <row r="27">
      <c r="A27" s="1">
        <f>IFERROR(__xludf.DUMMYFUNCTION("""COMPUTED_VALUE"""),26.0)</f>
        <v>26</v>
      </c>
      <c r="B27" s="1" t="str">
        <f>IFERROR(__xludf.DUMMYFUNCTION("""COMPUTED_VALUE"""),"Belgique")</f>
        <v>Belgique</v>
      </c>
      <c r="C27" s="1" t="str">
        <f>IFERROR(__xludf.DUMMYFUNCTION("""COMPUTED_VALUE"""),"596 mds $")</f>
        <v>596 mds $</v>
      </c>
      <c r="D27" s="2">
        <f>IFERROR(__xludf.DUMMYFUNCTION("""COMPUTED_VALUE"""),0.006)</f>
        <v>0.006</v>
      </c>
    </row>
    <row r="28">
      <c r="A28" s="1">
        <f>IFERROR(__xludf.DUMMYFUNCTION("""COMPUTED_VALUE"""),27.0)</f>
        <v>27</v>
      </c>
      <c r="B28" s="1" t="str">
        <f>IFERROR(__xludf.DUMMYFUNCTION("""COMPUTED_VALUE"""),"Thaïlande")</f>
        <v>Thaïlande</v>
      </c>
      <c r="C28" s="1" t="str">
        <f>IFERROR(__xludf.DUMMYFUNCTION("""COMPUTED_VALUE"""),"580 mds $")</f>
        <v>580 mds $</v>
      </c>
      <c r="D28" s="1" t="str">
        <f>IFERROR(__xludf.DUMMYFUNCTION("""COMPUTED_VALUE"""),"x")</f>
        <v>x</v>
      </c>
    </row>
    <row r="29">
      <c r="A29" s="1">
        <f>IFERROR(__xludf.DUMMYFUNCTION("""COMPUTED_VALUE"""),28.0)</f>
        <v>28</v>
      </c>
      <c r="B29" s="1" t="str">
        <f>IFERROR(__xludf.DUMMYFUNCTION("""COMPUTED_VALUE"""),"Autriche")</f>
        <v>Autriche</v>
      </c>
      <c r="C29" s="1" t="str">
        <f>IFERROR(__xludf.DUMMYFUNCTION("""COMPUTED_VALUE"""),"572 mds $")</f>
        <v>572 mds $</v>
      </c>
      <c r="D29" s="2">
        <f>IFERROR(__xludf.DUMMYFUNCTION("""COMPUTED_VALUE"""),0.006)</f>
        <v>0.006</v>
      </c>
    </row>
    <row r="30">
      <c r="A30" s="1">
        <f>IFERROR(__xludf.DUMMYFUNCTION("""COMPUTED_VALUE"""),29.0)</f>
        <v>29</v>
      </c>
      <c r="B30" s="1" t="str">
        <f>IFERROR(__xludf.DUMMYFUNCTION("""COMPUTED_VALUE"""),"Nigeria")</f>
        <v>Nigeria</v>
      </c>
      <c r="C30" s="1" t="str">
        <f>IFERROR(__xludf.DUMMYFUNCTION("""COMPUTED_VALUE"""),"574 mds $")</f>
        <v>574 mds $</v>
      </c>
      <c r="D30" s="1" t="str">
        <f>IFERROR(__xludf.DUMMYFUNCTION("""COMPUTED_VALUE"""),"x")</f>
        <v>x</v>
      </c>
    </row>
    <row r="31">
      <c r="A31" s="1">
        <f>IFERROR(__xludf.DUMMYFUNCTION("""COMPUTED_VALUE"""),30.0)</f>
        <v>30</v>
      </c>
      <c r="B31" s="1" t="str">
        <f>IFERROR(__xludf.DUMMYFUNCTION("""COMPUTED_VALUE"""),"Irlande")</f>
        <v>Irlande</v>
      </c>
      <c r="C31" s="1" t="str">
        <f>IFERROR(__xludf.DUMMYFUNCTION("""COMPUTED_VALUE"""),"549 mds $")</f>
        <v>549 mds $</v>
      </c>
      <c r="D31" s="2">
        <f>IFERROR(__xludf.DUMMYFUNCTION("""COMPUTED_VALUE"""),0.006)</f>
        <v>0.006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IFERROR(__xludf.DUMMYFUNCTION("importHTML(""https://www.journaldunet.fr/patrimoine/guide-des-finances-personnelles/1209268-classement-pib-2024-quelles-sont-les-puissances-mondiales/"",""table"",""1"")"),"Rang")</f>
        <v>Rang</v>
      </c>
      <c r="B1" s="1" t="str">
        <f>IFERROR(__xludf.DUMMYFUNCTION("""COMPUTED_VALUE"""),"Pays")</f>
        <v>Pays</v>
      </c>
      <c r="C1" s="1" t="str">
        <f>IFERROR(__xludf.DUMMYFUNCTION("""COMPUTED_VALUE"""),"PIB  2023 (milliards $)")</f>
        <v>PIB  2023 (milliards $)</v>
      </c>
      <c r="D1" s="1" t="str">
        <f>IFERROR(__xludf.DUMMYFUNCTION("""COMPUTED_VALUE"""),"Croissance du PIB en 2024 (%)")</f>
        <v>Croissance du PIB en 2024 (%)</v>
      </c>
    </row>
    <row r="2">
      <c r="A2" s="1">
        <f>IFERROR(__xludf.DUMMYFUNCTION("""COMPUTED_VALUE"""),1.0)</f>
        <v>1</v>
      </c>
      <c r="B2" s="1" t="str">
        <f>IFERROR(__xludf.DUMMYFUNCTION("""COMPUTED_VALUE"""),"Etats-Unis")</f>
        <v>Etats-Unis</v>
      </c>
      <c r="C2" s="1" t="str">
        <f>IFERROR(__xludf.DUMMYFUNCTION("""COMPUTED_VALUE"""),"26 185 mds $")</f>
        <v>26 185 mds $</v>
      </c>
      <c r="D2" s="2">
        <f>IFERROR(__xludf.DUMMYFUNCTION("""COMPUTED_VALUE"""),0.021)</f>
        <v>0.021</v>
      </c>
    </row>
    <row r="3">
      <c r="A3" s="1">
        <f>IFERROR(__xludf.DUMMYFUNCTION("""COMPUTED_VALUE"""),2.0)</f>
        <v>2</v>
      </c>
      <c r="B3" s="1" t="str">
        <f>IFERROR(__xludf.DUMMYFUNCTION("""COMPUTED_VALUE"""),"Chine")</f>
        <v>Chine</v>
      </c>
      <c r="C3" s="1" t="str">
        <f>IFERROR(__xludf.DUMMYFUNCTION("""COMPUTED_VALUE"""),"21 643 mds $")</f>
        <v>21 643 mds $</v>
      </c>
      <c r="D3" s="2">
        <f>IFERROR(__xludf.DUMMYFUNCTION("""COMPUTED_VALUE"""),0.047)</f>
        <v>0.047</v>
      </c>
    </row>
    <row r="4">
      <c r="A4" s="1">
        <f>IFERROR(__xludf.DUMMYFUNCTION("""COMPUTED_VALUE"""),3.0)</f>
        <v>3</v>
      </c>
      <c r="B4" s="1" t="str">
        <f>IFERROR(__xludf.DUMMYFUNCTION("""COMPUTED_VALUE"""),"Japon")</f>
        <v>Japon</v>
      </c>
      <c r="C4" s="1" t="str">
        <f>IFERROR(__xludf.DUMMYFUNCTION("""COMPUTED_VALUE"""),"4 365 mds $")</f>
        <v>4 365 mds $</v>
      </c>
      <c r="D4" s="3">
        <f>IFERROR(__xludf.DUMMYFUNCTION("""COMPUTED_VALUE"""),0.01)</f>
        <v>0.01</v>
      </c>
    </row>
    <row r="5">
      <c r="A5" s="1">
        <f>IFERROR(__xludf.DUMMYFUNCTION("""COMPUTED_VALUE"""),4.0)</f>
        <v>4</v>
      </c>
      <c r="B5" s="1" t="str">
        <f>IFERROR(__xludf.DUMMYFUNCTION("""COMPUTED_VALUE"""),"Allemagne")</f>
        <v>Allemagne</v>
      </c>
      <c r="C5" s="1" t="str">
        <f>IFERROR(__xludf.DUMMYFUNCTION("""COMPUTED_VALUE"""),"4 120 mds $")</f>
        <v>4 120 mds $</v>
      </c>
      <c r="D5" s="2">
        <f>IFERROR(__xludf.DUMMYFUNCTION("""COMPUTED_VALUE"""),0.003)</f>
        <v>0.003</v>
      </c>
    </row>
    <row r="6">
      <c r="A6" s="1">
        <f>IFERROR(__xludf.DUMMYFUNCTION("""COMPUTED_VALUE"""),5.0)</f>
        <v>5</v>
      </c>
      <c r="B6" s="1" t="str">
        <f>IFERROR(__xludf.DUMMYFUNCTION("""COMPUTED_VALUE"""),"Inde")</f>
        <v>Inde</v>
      </c>
      <c r="C6" s="1" t="str">
        <f>IFERROR(__xludf.DUMMYFUNCTION("""COMPUTED_VALUE"""),"3 820 mds $")</f>
        <v>3 820 mds $</v>
      </c>
      <c r="D6" s="2">
        <f>IFERROR(__xludf.DUMMYFUNCTION("""COMPUTED_VALUE"""),0.062)</f>
        <v>0.062</v>
      </c>
    </row>
    <row r="7">
      <c r="A7" s="1">
        <f>IFERROR(__xludf.DUMMYFUNCTION("""COMPUTED_VALUE"""),6.0)</f>
        <v>6</v>
      </c>
      <c r="B7" s="1" t="str">
        <f>IFERROR(__xludf.DUMMYFUNCTION("""COMPUTED_VALUE"""),"Royaume-Uni")</f>
        <v>Royaume-Uni</v>
      </c>
      <c r="C7" s="1" t="str">
        <f>IFERROR(__xludf.DUMMYFUNCTION("""COMPUTED_VALUE"""),"3 479 mds $")</f>
        <v>3 479 mds $</v>
      </c>
      <c r="D7" s="2">
        <f>IFERROR(__xludf.DUMMYFUNCTION("""COMPUTED_VALUE"""),0.007)</f>
        <v>0.007</v>
      </c>
    </row>
    <row r="8">
      <c r="A8" s="1">
        <f>IFERROR(__xludf.DUMMYFUNCTION("""COMPUTED_VALUE"""),7.0)</f>
        <v>7</v>
      </c>
      <c r="B8" s="1" t="str">
        <f>IFERROR(__xludf.DUMMYFUNCTION("""COMPUTED_VALUE"""),"France")</f>
        <v>France</v>
      </c>
      <c r="C8" s="1" t="str">
        <f>IFERROR(__xludf.DUMMYFUNCTION("""COMPUTED_VALUE"""),"2 806 mds $")</f>
        <v>2 806 mds $</v>
      </c>
      <c r="D8" s="2">
        <f>IFERROR(__xludf.DUMMYFUNCTION("""COMPUTED_VALUE"""),0.006)</f>
        <v>0.006</v>
      </c>
    </row>
    <row r="9">
      <c r="A9" s="1">
        <f>IFERROR(__xludf.DUMMYFUNCTION("""COMPUTED_VALUE"""),8.0)</f>
        <v>8</v>
      </c>
      <c r="B9" s="1" t="str">
        <f>IFERROR(__xludf.DUMMYFUNCTION("""COMPUTED_VALUE"""),"Canada")</f>
        <v>Canada</v>
      </c>
      <c r="C9" s="1" t="str">
        <f>IFERROR(__xludf.DUMMYFUNCTION("""COMPUTED_VALUE"""),"2 326 mds $")</f>
        <v>2 326 mds $</v>
      </c>
      <c r="D9" s="2">
        <f>IFERROR(__xludf.DUMMYFUNCTION("""COMPUTED_VALUE"""),0.009)</f>
        <v>0.009</v>
      </c>
    </row>
    <row r="10">
      <c r="A10" s="1">
        <f>IFERROR(__xludf.DUMMYFUNCTION("""COMPUTED_VALUE"""),9.0)</f>
        <v>9</v>
      </c>
      <c r="B10" s="1" t="str">
        <f>IFERROR(__xludf.DUMMYFUNCTION("""COMPUTED_VALUE"""),"Russie")</f>
        <v>Russie</v>
      </c>
      <c r="C10" s="1" t="str">
        <f>IFERROR(__xludf.DUMMYFUNCTION("""COMPUTED_VALUE"""),"2 136 mds $")</f>
        <v>2 136 mds $</v>
      </c>
      <c r="D10" s="2">
        <f>IFERROR(__xludf.DUMMYFUNCTION("""COMPUTED_VALUE"""),0.018)</f>
        <v>0.018</v>
      </c>
    </row>
    <row r="11">
      <c r="A11" s="1">
        <f>IFERROR(__xludf.DUMMYFUNCTION("""COMPUTED_VALUE"""),10.0)</f>
        <v>10</v>
      </c>
      <c r="B11" s="1" t="str">
        <f>IFERROR(__xludf.DUMMYFUNCTION("""COMPUTED_VALUE"""),"Brésil")</f>
        <v>Brésil</v>
      </c>
      <c r="C11" s="1" t="str">
        <f>IFERROR(__xludf.DUMMYFUNCTION("""COMPUTED_VALUE"""),"2 059 mds $")</f>
        <v>2 059 mds $</v>
      </c>
      <c r="D11" s="2">
        <f>IFERROR(__xludf.DUMMYFUNCTION("""COMPUTED_VALUE"""),0.018)</f>
        <v>0.018</v>
      </c>
    </row>
    <row r="12">
      <c r="A12" s="1">
        <f>IFERROR(__xludf.DUMMYFUNCTION("""COMPUTED_VALUE"""),11.0)</f>
        <v>11</v>
      </c>
      <c r="B12" s="1" t="str">
        <f>IFERROR(__xludf.DUMMYFUNCTION("""COMPUTED_VALUE"""),"Iran")</f>
        <v>Iran</v>
      </c>
      <c r="C12" s="1" t="str">
        <f>IFERROR(__xludf.DUMMYFUNCTION("""COMPUTED_VALUE"""),"2 044 mds $")</f>
        <v>2 044 mds $</v>
      </c>
      <c r="D12" s="1" t="str">
        <f>IFERROR(__xludf.DUMMYFUNCTION("""COMPUTED_VALUE"""),"x")</f>
        <v>x</v>
      </c>
    </row>
    <row r="13">
      <c r="A13" s="1">
        <f>IFERROR(__xludf.DUMMYFUNCTION("""COMPUTED_VALUE"""),12.0)</f>
        <v>12</v>
      </c>
      <c r="B13" s="1" t="str">
        <f>IFERROR(__xludf.DUMMYFUNCTION("""COMPUTED_VALUE"""),"Italie")</f>
        <v>Italie</v>
      </c>
      <c r="C13" s="1" t="str">
        <f>IFERROR(__xludf.DUMMYFUNCTION("""COMPUTED_VALUE"""),"1 991 mds $")</f>
        <v>1 991 mds $</v>
      </c>
      <c r="D13" s="2">
        <f>IFERROR(__xludf.DUMMYFUNCTION("""COMPUTED_VALUE"""),0.007)</f>
        <v>0.007</v>
      </c>
    </row>
    <row r="14">
      <c r="A14" s="1">
        <f>IFERROR(__xludf.DUMMYFUNCTION("""COMPUTED_VALUE"""),13.0)</f>
        <v>13</v>
      </c>
      <c r="B14" s="1" t="str">
        <f>IFERROR(__xludf.DUMMYFUNCTION("""COMPUTED_VALUE"""),"Corée")</f>
        <v>Corée</v>
      </c>
      <c r="C14" s="1" t="str">
        <f>IFERROR(__xludf.DUMMYFUNCTION("""COMPUTED_VALUE"""),"1 792 mds $")</f>
        <v>1 792 mds $</v>
      </c>
      <c r="D14" s="2">
        <f>IFERROR(__xludf.DUMMYFUNCTION("""COMPUTED_VALUE"""),0.022)</f>
        <v>0.022</v>
      </c>
    </row>
    <row r="15">
      <c r="A15" s="1">
        <f>IFERROR(__xludf.DUMMYFUNCTION("""COMPUTED_VALUE"""),14.0)</f>
        <v>14</v>
      </c>
      <c r="B15" s="1" t="str">
        <f>IFERROR(__xludf.DUMMYFUNCTION("""COMPUTED_VALUE"""),"Australie")</f>
        <v>Australie</v>
      </c>
      <c r="C15" s="1" t="str">
        <f>IFERROR(__xludf.DUMMYFUNCTION("""COMPUTED_VALUE"""),"1 787 mds $")</f>
        <v>1 787 mds $</v>
      </c>
      <c r="D15" s="2">
        <f>IFERROR(__xludf.DUMMYFUNCTION("""COMPUTED_VALUE"""),0.014)</f>
        <v>0.014</v>
      </c>
    </row>
    <row r="16">
      <c r="A16" s="1">
        <f>IFERROR(__xludf.DUMMYFUNCTION("""COMPUTED_VALUE"""),15.0)</f>
        <v>15</v>
      </c>
      <c r="B16" s="1" t="str">
        <f>IFERROR(__xludf.DUMMYFUNCTION("""COMPUTED_VALUE"""),"Mexique")</f>
        <v>Mexique</v>
      </c>
      <c r="C16" s="1" t="str">
        <f>IFERROR(__xludf.DUMMYFUNCTION("""COMPUTED_VALUE"""),"1 476 mds $")</f>
        <v>1 476 mds $</v>
      </c>
      <c r="D16" s="2">
        <f>IFERROR(__xludf.DUMMYFUNCTION("""COMPUTED_VALUE"""),0.025)</f>
        <v>0.025</v>
      </c>
    </row>
    <row r="17">
      <c r="A17" s="1">
        <f>IFERROR(__xludf.DUMMYFUNCTION("""COMPUTED_VALUE"""),16.0)</f>
        <v>16</v>
      </c>
      <c r="B17" s="1" t="str">
        <f>IFERROR(__xludf.DUMMYFUNCTION("""COMPUTED_VALUE"""),"Espagne")</f>
        <v>Espagne</v>
      </c>
      <c r="C17" s="1" t="str">
        <f>IFERROR(__xludf.DUMMYFUNCTION("""COMPUTED_VALUE"""),"1 421 mds $")</f>
        <v>1 421 mds $</v>
      </c>
      <c r="D17" s="2">
        <f>IFERROR(__xludf.DUMMYFUNCTION("""COMPUTED_VALUE"""),0.015)</f>
        <v>0.015</v>
      </c>
    </row>
    <row r="18">
      <c r="A18" s="1">
        <f>IFERROR(__xludf.DUMMYFUNCTION("""COMPUTED_VALUE"""),17.0)</f>
        <v>17</v>
      </c>
      <c r="B18" s="1" t="str">
        <f>IFERROR(__xludf.DUMMYFUNCTION("""COMPUTED_VALUE"""),"Indonésie")</f>
        <v>Indonésie</v>
      </c>
      <c r="C18" s="1" t="str">
        <f>IFERROR(__xludf.DUMMYFUNCTION("""COMPUTED_VALUE"""),"1 388 mds $")</f>
        <v>1 388 mds $</v>
      </c>
      <c r="D18" s="2">
        <f>IFERROR(__xludf.DUMMYFUNCTION("""COMPUTED_VALUE"""),0.051)</f>
        <v>0.051</v>
      </c>
    </row>
    <row r="19">
      <c r="A19" s="1">
        <f>IFERROR(__xludf.DUMMYFUNCTION("""COMPUTED_VALUE"""),18.0)</f>
        <v>18</v>
      </c>
      <c r="B19" s="1" t="str">
        <f>IFERROR(__xludf.DUMMYFUNCTION("""COMPUTED_VALUE"""),"Pays-Bas")</f>
        <v>Pays-Bas</v>
      </c>
      <c r="C19" s="1" t="str">
        <f>IFERROR(__xludf.DUMMYFUNCTION("""COMPUTED_VALUE"""),"1 019 mds $")</f>
        <v>1 019 mds $</v>
      </c>
      <c r="D19" s="2">
        <f>IFERROR(__xludf.DUMMYFUNCTION("""COMPUTED_VALUE"""),0.006)</f>
        <v>0.006</v>
      </c>
    </row>
    <row r="20">
      <c r="A20" s="1">
        <f>IFERROR(__xludf.DUMMYFUNCTION("""COMPUTED_VALUE"""),19.0)</f>
        <v>19</v>
      </c>
      <c r="B20" s="1" t="str">
        <f>IFERROR(__xludf.DUMMYFUNCTION("""COMPUTED_VALUE"""),"Arabie Saoudite")</f>
        <v>Arabie Saoudite</v>
      </c>
      <c r="C20" s="1" t="str">
        <f>IFERROR(__xludf.DUMMYFUNCTION("""COMPUTED_VALUE"""),"996 mds $")</f>
        <v>996 mds $</v>
      </c>
      <c r="D20" s="2">
        <f>IFERROR(__xludf.DUMMYFUNCTION("""COMPUTED_VALUE"""),0.024)</f>
        <v>0.024</v>
      </c>
    </row>
    <row r="21">
      <c r="A21" s="1">
        <f>IFERROR(__xludf.DUMMYFUNCTION("""COMPUTED_VALUE"""),20.0)</f>
        <v>20</v>
      </c>
      <c r="B21" s="1" t="str">
        <f>IFERROR(__xludf.DUMMYFUNCTION("""COMPUTED_VALUE"""),"Turquie")</f>
        <v>Turquie</v>
      </c>
      <c r="C21" s="1" t="str">
        <f>IFERROR(__xludf.DUMMYFUNCTION("""COMPUTED_VALUE"""),"941 mds $")</f>
        <v>941 mds $</v>
      </c>
      <c r="D21" s="2">
        <f>IFERROR(__xludf.DUMMYFUNCTION("""COMPUTED_VALUE"""),0.029)</f>
        <v>0.029</v>
      </c>
    </row>
    <row r="22">
      <c r="A22" s="1">
        <f>IFERROR(__xludf.DUMMYFUNCTION("""COMPUTED_VALUE"""),21.0)</f>
        <v>21</v>
      </c>
      <c r="B22" s="1" t="str">
        <f>IFERROR(__xludf.DUMMYFUNCTION("""COMPUTED_VALUE"""),"Taiwan")</f>
        <v>Taiwan</v>
      </c>
      <c r="C22" s="1" t="str">
        <f>IFERROR(__xludf.DUMMYFUNCTION("""COMPUTED_VALUE"""),"858 mds $")</f>
        <v>858 mds $</v>
      </c>
      <c r="D22" s="1" t="str">
        <f>IFERROR(__xludf.DUMMYFUNCTION("""COMPUTED_VALUE"""),"x")</f>
        <v>x</v>
      </c>
    </row>
    <row r="23">
      <c r="A23" s="1">
        <f>IFERROR(__xludf.DUMMYFUNCTION("""COMPUTED_VALUE"""),22.0)</f>
        <v>22</v>
      </c>
      <c r="B23" s="1" t="str">
        <f>IFERROR(__xludf.DUMMYFUNCTION("""COMPUTED_VALUE"""),"Suisse")</f>
        <v>Suisse</v>
      </c>
      <c r="C23" s="1" t="str">
        <f>IFERROR(__xludf.DUMMYFUNCTION("""COMPUTED_VALUE"""),"834 mds $")</f>
        <v>834 mds $</v>
      </c>
      <c r="D23" s="2">
        <f>IFERROR(__xludf.DUMMYFUNCTION("""COMPUTED_VALUE"""),0.006)</f>
        <v>0.006</v>
      </c>
    </row>
    <row r="24">
      <c r="A24" s="1">
        <f>IFERROR(__xludf.DUMMYFUNCTION("""COMPUTED_VALUE"""),23.0)</f>
        <v>23</v>
      </c>
      <c r="B24" s="1" t="str">
        <f>IFERROR(__xludf.DUMMYFUNCTION("""COMPUTED_VALUE"""),"Pologne")</f>
        <v>Pologne</v>
      </c>
      <c r="C24" s="1" t="str">
        <f>IFERROR(__xludf.DUMMYFUNCTION("""COMPUTED_VALUE"""),"753 mds $")</f>
        <v>753 mds $</v>
      </c>
      <c r="D24" s="2">
        <f>IFERROR(__xludf.DUMMYFUNCTION("""COMPUTED_VALUE"""),0.006)</f>
        <v>0.006</v>
      </c>
    </row>
    <row r="25">
      <c r="A25" s="1">
        <f>IFERROR(__xludf.DUMMYFUNCTION("""COMPUTED_VALUE"""),24.0)</f>
        <v>24</v>
      </c>
      <c r="B25" s="1" t="str">
        <f>IFERROR(__xludf.DUMMYFUNCTION("""COMPUTED_VALUE"""),"Suède")</f>
        <v>Suède</v>
      </c>
      <c r="C25" s="1" t="str">
        <f>IFERROR(__xludf.DUMMYFUNCTION("""COMPUTED_VALUE"""),"653 mds $")</f>
        <v>653 mds $</v>
      </c>
      <c r="D25" s="2">
        <f>IFERROR(__xludf.DUMMYFUNCTION("""COMPUTED_VALUE"""),0.006)</f>
        <v>0.006</v>
      </c>
    </row>
    <row r="26">
      <c r="A26" s="1">
        <f>IFERROR(__xludf.DUMMYFUNCTION("""COMPUTED_VALUE"""),25.0)</f>
        <v>25</v>
      </c>
      <c r="B26" s="1" t="str">
        <f>IFERROR(__xludf.DUMMYFUNCTION("""COMPUTED_VALUE"""),"Argentine")</f>
        <v>Argentine</v>
      </c>
      <c r="C26" s="1" t="str">
        <f>IFERROR(__xludf.DUMMYFUNCTION("""COMPUTED_VALUE"""),"643 mds $")</f>
        <v>643 mds $</v>
      </c>
      <c r="D26" s="2">
        <f>IFERROR(__xludf.DUMMYFUNCTION("""COMPUTED_VALUE"""),-0.023)</f>
        <v>-0.023</v>
      </c>
    </row>
    <row r="27">
      <c r="A27" s="1">
        <f>IFERROR(__xludf.DUMMYFUNCTION("""COMPUTED_VALUE"""),26.0)</f>
        <v>26</v>
      </c>
      <c r="B27" s="1" t="str">
        <f>IFERROR(__xludf.DUMMYFUNCTION("""COMPUTED_VALUE"""),"Belgique")</f>
        <v>Belgique</v>
      </c>
      <c r="C27" s="1" t="str">
        <f>IFERROR(__xludf.DUMMYFUNCTION("""COMPUTED_VALUE"""),"596 mds $")</f>
        <v>596 mds $</v>
      </c>
      <c r="D27" s="2">
        <f>IFERROR(__xludf.DUMMYFUNCTION("""COMPUTED_VALUE"""),0.006)</f>
        <v>0.006</v>
      </c>
    </row>
    <row r="28">
      <c r="A28" s="1">
        <f>IFERROR(__xludf.DUMMYFUNCTION("""COMPUTED_VALUE"""),27.0)</f>
        <v>27</v>
      </c>
      <c r="B28" s="1" t="str">
        <f>IFERROR(__xludf.DUMMYFUNCTION("""COMPUTED_VALUE"""),"Thaïlande")</f>
        <v>Thaïlande</v>
      </c>
      <c r="C28" s="1" t="str">
        <f>IFERROR(__xludf.DUMMYFUNCTION("""COMPUTED_VALUE"""),"580 mds $")</f>
        <v>580 mds $</v>
      </c>
      <c r="D28" s="1" t="str">
        <f>IFERROR(__xludf.DUMMYFUNCTION("""COMPUTED_VALUE"""),"x")</f>
        <v>x</v>
      </c>
    </row>
    <row r="29">
      <c r="A29" s="1">
        <f>IFERROR(__xludf.DUMMYFUNCTION("""COMPUTED_VALUE"""),28.0)</f>
        <v>28</v>
      </c>
      <c r="B29" s="1" t="str">
        <f>IFERROR(__xludf.DUMMYFUNCTION("""COMPUTED_VALUE"""),"Autriche")</f>
        <v>Autriche</v>
      </c>
      <c r="C29" s="1" t="str">
        <f>IFERROR(__xludf.DUMMYFUNCTION("""COMPUTED_VALUE"""),"572 mds $")</f>
        <v>572 mds $</v>
      </c>
      <c r="D29" s="2">
        <f>IFERROR(__xludf.DUMMYFUNCTION("""COMPUTED_VALUE"""),0.006)</f>
        <v>0.006</v>
      </c>
    </row>
    <row r="30">
      <c r="A30" s="1">
        <f>IFERROR(__xludf.DUMMYFUNCTION("""COMPUTED_VALUE"""),29.0)</f>
        <v>29</v>
      </c>
      <c r="B30" s="1" t="str">
        <f>IFERROR(__xludf.DUMMYFUNCTION("""COMPUTED_VALUE"""),"Nigeria")</f>
        <v>Nigeria</v>
      </c>
      <c r="C30" s="1" t="str">
        <f>IFERROR(__xludf.DUMMYFUNCTION("""COMPUTED_VALUE"""),"574 mds $")</f>
        <v>574 mds $</v>
      </c>
      <c r="D30" s="1" t="str">
        <f>IFERROR(__xludf.DUMMYFUNCTION("""COMPUTED_VALUE"""),"x")</f>
        <v>x</v>
      </c>
    </row>
    <row r="31">
      <c r="A31" s="1">
        <f>IFERROR(__xludf.DUMMYFUNCTION("""COMPUTED_VALUE"""),30.0)</f>
        <v>30</v>
      </c>
      <c r="B31" s="1" t="str">
        <f>IFERROR(__xludf.DUMMYFUNCTION("""COMPUTED_VALUE"""),"Irlande")</f>
        <v>Irlande</v>
      </c>
      <c r="C31" s="1" t="str">
        <f>IFERROR(__xludf.DUMMYFUNCTION("""COMPUTED_VALUE"""),"549 mds $")</f>
        <v>549 mds $</v>
      </c>
      <c r="D31" s="2">
        <f>IFERROR(__xludf.DUMMYFUNCTION("""COMPUTED_VALUE"""),0.006)</f>
        <v>0.006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IFERROR(__xludf.DUMMYFUNCTION("importhtml(""https://fr.wikipedia.org/wiki/Joueurs_num%C3%A9ros_1_mondiaux_%C3%A0_l%27ATP_en_simple"",""table"",""2"")"),"#")</f>
        <v>#</v>
      </c>
      <c r="B1" s="1" t="str">
        <f>IFERROR(__xludf.DUMMYFUNCTION("""COMPUTED_VALUE"""),"Joueur")</f>
        <v>Joueur</v>
      </c>
      <c r="C1" s="1" t="str">
        <f>IFERROR(__xludf.DUMMYFUNCTION("""COMPUTED_VALUE"""),"Âge")</f>
        <v>Âge</v>
      </c>
      <c r="D1" s="1" t="str">
        <f>IFERROR(__xludf.DUMMYFUNCTION("""COMPUTED_VALUE"""),"Date")</f>
        <v>Date</v>
      </c>
    </row>
    <row r="2">
      <c r="A2" s="1" t="str">
        <f>IFERROR(__xludf.DUMMYFUNCTION("""COMPUTED_VALUE"""),"1er")</f>
        <v>1er</v>
      </c>
      <c r="B2" s="1" t="str">
        <f>IFERROR(__xludf.DUMMYFUNCTION("""COMPUTED_VALUE"""),"*Carlos Alcaraz*")</f>
        <v>*Carlos Alcaraz*</v>
      </c>
      <c r="C2" s="1" t="str">
        <f>IFERROR(__xludf.DUMMYFUNCTION("""COMPUTED_VALUE"""),"19 ans 4 mois 7 jours")</f>
        <v>19 ans 4 mois 7 jours</v>
      </c>
      <c r="D2" s="4">
        <f>IFERROR(__xludf.DUMMYFUNCTION("""COMPUTED_VALUE"""),44816.0)</f>
        <v>44816</v>
      </c>
    </row>
    <row r="3">
      <c r="A3" s="1" t="str">
        <f>IFERROR(__xludf.DUMMYFUNCTION("""COMPUTED_VALUE"""),"2e")</f>
        <v>2e</v>
      </c>
      <c r="B3" s="1" t="str">
        <f>IFERROR(__xludf.DUMMYFUNCTION("""COMPUTED_VALUE"""),"Lleyton Hewitt")</f>
        <v>Lleyton Hewitt</v>
      </c>
      <c r="C3" s="1" t="str">
        <f>IFERROR(__xludf.DUMMYFUNCTION("""COMPUTED_VALUE"""),"20 ans 8 mois 23 jours")</f>
        <v>20 ans 8 mois 23 jours</v>
      </c>
      <c r="D3" s="5">
        <f>IFERROR(__xludf.DUMMYFUNCTION("""COMPUTED_VALUE"""),37214.0)</f>
        <v>37214</v>
      </c>
    </row>
    <row r="4">
      <c r="A4" s="1" t="str">
        <f>IFERROR(__xludf.DUMMYFUNCTION("""COMPUTED_VALUE"""),"3e")</f>
        <v>3e</v>
      </c>
      <c r="B4" s="1" t="str">
        <f>IFERROR(__xludf.DUMMYFUNCTION("""COMPUTED_VALUE"""),"Marat Safin")</f>
        <v>Marat Safin</v>
      </c>
      <c r="C4" s="1" t="str">
        <f>IFERROR(__xludf.DUMMYFUNCTION("""COMPUTED_VALUE"""),"20 ans 9 mois 24 jours")</f>
        <v>20 ans 9 mois 24 jours</v>
      </c>
      <c r="D4" s="5">
        <f>IFERROR(__xludf.DUMMYFUNCTION("""COMPUTED_VALUE"""),36850.0)</f>
        <v>36850</v>
      </c>
    </row>
    <row r="5">
      <c r="A5" s="1" t="str">
        <f>IFERROR(__xludf.DUMMYFUNCTION("""COMPUTED_VALUE"""),"4e")</f>
        <v>4e</v>
      </c>
      <c r="B5" s="1" t="str">
        <f>IFERROR(__xludf.DUMMYFUNCTION("""COMPUTED_VALUE"""),"John McEnroe")</f>
        <v>John McEnroe</v>
      </c>
      <c r="C5" s="1" t="str">
        <f>IFERROR(__xludf.DUMMYFUNCTION("""COMPUTED_VALUE"""),"21 ans 15 jours")</f>
        <v>21 ans 15 jours</v>
      </c>
      <c r="D5" s="4">
        <f>IFERROR(__xludf.DUMMYFUNCTION("""COMPUTED_VALUE"""),29283.0)</f>
        <v>29283</v>
      </c>
    </row>
    <row r="6">
      <c r="A6" s="1" t="str">
        <f>IFERROR(__xludf.DUMMYFUNCTION("""COMPUTED_VALUE"""),"5e")</f>
        <v>5e</v>
      </c>
      <c r="B6" s="1" t="str">
        <f>IFERROR(__xludf.DUMMYFUNCTION("""COMPUTED_VALUE"""),"Andy Roddick")</f>
        <v>Andy Roddick</v>
      </c>
      <c r="C6" s="1" t="str">
        <f>IFERROR(__xludf.DUMMYFUNCTION("""COMPUTED_VALUE"""),"21 ans 2 mois 4 jours")</f>
        <v>21 ans 2 mois 4 jours</v>
      </c>
      <c r="D6" s="4">
        <f>IFERROR(__xludf.DUMMYFUNCTION("""COMPUTED_VALUE"""),37928.0)</f>
        <v>37928</v>
      </c>
    </row>
    <row r="7">
      <c r="A7" s="1" t="str">
        <f>IFERROR(__xludf.DUMMYFUNCTION("""COMPUTED_VALUE"""),"6e")</f>
        <v>6e</v>
      </c>
      <c r="B7" s="1" t="str">
        <f>IFERROR(__xludf.DUMMYFUNCTION("""COMPUTED_VALUE"""),"Bjorn Borg")</f>
        <v>Bjorn Borg</v>
      </c>
      <c r="C7" s="1" t="str">
        <f>IFERROR(__xludf.DUMMYFUNCTION("""COMPUTED_VALUE"""),"21 ans 2 mois 17 jours")</f>
        <v>21 ans 2 mois 17 jours</v>
      </c>
      <c r="D7" s="4">
        <f>IFERROR(__xludf.DUMMYFUNCTION("""COMPUTED_VALUE"""),28360.0)</f>
        <v>28360</v>
      </c>
    </row>
    <row r="8">
      <c r="A8" s="1" t="str">
        <f>IFERROR(__xludf.DUMMYFUNCTION("""COMPUTED_VALUE"""),"7e")</f>
        <v>7e</v>
      </c>
      <c r="B8" s="1" t="str">
        <f>IFERROR(__xludf.DUMMYFUNCTION("""COMPUTED_VALUE"""),"Jim Courier")</f>
        <v>Jim Courier</v>
      </c>
      <c r="C8" s="1" t="str">
        <f>IFERROR(__xludf.DUMMYFUNCTION("""COMPUTED_VALUE"""),"21 ans 5 mois 24 jours")</f>
        <v>21 ans 5 mois 24 jours</v>
      </c>
      <c r="D8" s="4">
        <f>IFERROR(__xludf.DUMMYFUNCTION("""COMPUTED_VALUE"""),33644.0)</f>
        <v>33644</v>
      </c>
    </row>
    <row r="9">
      <c r="A9" s="1" t="str">
        <f>IFERROR(__xludf.DUMMYFUNCTION("""COMPUTED_VALUE"""),"8e")</f>
        <v>8e</v>
      </c>
      <c r="B9" s="1" t="str">
        <f>IFERROR(__xludf.DUMMYFUNCTION("""COMPUTED_VALUE"""),"Pete Sampras")</f>
        <v>Pete Sampras</v>
      </c>
      <c r="C9" s="1" t="str">
        <f>IFERROR(__xludf.DUMMYFUNCTION("""COMPUTED_VALUE"""),"21 ans 8 mois")</f>
        <v>21 ans 8 mois</v>
      </c>
      <c r="D9" s="4">
        <f>IFERROR(__xludf.DUMMYFUNCTION("""COMPUTED_VALUE"""),34071.0)</f>
        <v>34071</v>
      </c>
    </row>
    <row r="10">
      <c r="A10" s="1" t="str">
        <f>IFERROR(__xludf.DUMMYFUNCTION("""COMPUTED_VALUE"""),"9e")</f>
        <v>9e</v>
      </c>
      <c r="B10" s="1" t="str">
        <f>IFERROR(__xludf.DUMMYFUNCTION("""COMPUTED_VALUE"""),"Jimmy Connors")</f>
        <v>Jimmy Connors</v>
      </c>
      <c r="C10" s="1" t="str">
        <f>IFERROR(__xludf.DUMMYFUNCTION("""COMPUTED_VALUE"""),"21 ans 10 mois 27 jours")</f>
        <v>21 ans 10 mois 27 jours</v>
      </c>
      <c r="D10" s="4">
        <f>IFERROR(__xludf.DUMMYFUNCTION("""COMPUTED_VALUE"""),27239.0)</f>
        <v>27239</v>
      </c>
    </row>
    <row r="11">
      <c r="A11" s="1" t="str">
        <f>IFERROR(__xludf.DUMMYFUNCTION("""COMPUTED_VALUE"""),"10e")</f>
        <v>10e</v>
      </c>
      <c r="B11" s="1" t="str">
        <f>IFERROR(__xludf.DUMMYFUNCTION("""COMPUTED_VALUE"""),"Rafael Nadal")</f>
        <v>Rafael Nadal</v>
      </c>
      <c r="C11" s="1" t="str">
        <f>IFERROR(__xludf.DUMMYFUNCTION("""COMPUTED_VALUE"""),"22 ans 2 mois 15 jours")</f>
        <v>22 ans 2 mois 15 jours</v>
      </c>
      <c r="D11" s="4">
        <f>IFERROR(__xludf.DUMMYFUNCTION("""COMPUTED_VALUE"""),39678.0)</f>
        <v>39678</v>
      </c>
    </row>
  </sheetData>
  <drawing r:id="rId1"/>
</worksheet>
</file>
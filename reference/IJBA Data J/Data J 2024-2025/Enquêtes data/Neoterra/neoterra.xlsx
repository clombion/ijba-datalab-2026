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<sst xmlns="http://schemas.openxmlformats.org/spreadsheetml/2006/main" count="440" uniqueCount="292">
  <si>
    <t>name</t>
  </si>
  <si>
    <t>link</t>
  </si>
  <si>
    <t>lat</t>
  </si>
  <si>
    <t>link description</t>
  </si>
  <si>
    <t>full description</t>
  </si>
  <si>
    <t>Créateur de forêt</t>
  </si>
  <si>
    <t>https://www.createurdeforet.fr/projets/jaure-24-2023/</t>
  </si>
  <si>
    <t>Le Bois de L’Espèr, à la reconquête de la biodiversité</t>
  </si>
  <si>
    <t>A Jaure en Dordogne, sur une ancienne coupe rase, la commune s’est associée à Créateur de Forêt afin de créer un îlot de biodiversité sur une parcelle dont elle est propriétaire. Sur 5.98 hectares, une mosaïque de biodiversité se construit désormais. Elle implique : une reconstruction de l’entièreté de la zone, son enrichissement et l’ajout de plants supplémentaires.</t>
  </si>
  <si>
    <t>Lycée professionnel Rompsay</t>
  </si>
  <si>
    <t>https://www.lyceerompsay17.com/</t>
  </si>
  <si>
    <t xml:space="preserve">Reconquête et préservation de la biodiversité en lycées </t>
  </si>
  <si>
    <t>Dans le cadre d’un engagement sur la biodiversité depuis de nombreuses années, une équipe d’agents de la Région se sont engagés dans le développement d’une gestion écologique exemplaire des espaces verts du lycée.</t>
  </si>
  <si>
    <t>Menuiserie Philippe Parnoix</t>
  </si>
  <si>
    <t>https://www.facebook.com/parnoixphilippe/?locale=fr_FR</t>
  </si>
  <si>
    <t>Achat d’une scie à grumes</t>
  </si>
  <si>
    <t>Entreprise de menuiserie familiale, la menuiserie Philippe Parnoix</t>
  </si>
  <si>
    <t>Parc Agro-Paysager</t>
  </si>
  <si>
    <t>https://www.facebook.com/espacessaquary/</t>
  </si>
  <si>
    <t>Les espaces Saquary, tiers-lieu nourricier</t>
  </si>
  <si>
    <t>Le tiers lieu « Les Espaces Saquary » est dédié à l’expérimentation et la prospective en résilience territoriale.</t>
  </si>
  <si>
    <t>Association AfreakA</t>
  </si>
  <si>
    <t>https://afreaka.fr/objet/</t>
  </si>
  <si>
    <t>En mode éthique</t>
  </si>
  <si>
    <t>Parcours pédagogique de sensibilisation à la mode éthique et éco-responsable s’étalant sur une année scolaire.</t>
  </si>
  <si>
    <t>ALEFPA</t>
  </si>
  <si>
    <t>https://alefpatrail.com/</t>
  </si>
  <si>
    <t>ALEFPA Trail</t>
  </si>
  <si>
    <t>L’ALEFPA Trail cherche des solutions pour réduire son impact sur l’environnement.</t>
  </si>
  <si>
    <t>Le Petit Pack</t>
  </si>
  <si>
    <t>https://www.opack.fr/</t>
  </si>
  <si>
    <t>OPACK – les colis réutilisables 100 fois</t>
  </si>
  <si>
    <t>La start-up Le Petit Pack développe des solutions réutilisables dans le domaine de la logistique afin de la faire entrer dans l'économie circulaire et éviter les déchets, la pollution et le gaspillage des matières premières liés aux milliards d'emballages à usage unique.</t>
  </si>
  <si>
    <t>La Colporteuse</t>
  </si>
  <si>
    <t>https://www.argentonnay.fr/annuaire/la-colporteuse/</t>
  </si>
  <si>
    <t>Ecole de la transition écologique</t>
  </si>
  <si>
    <t>La Colporteuse est une fabrique d’initiatives citoyennes œuvrant dans le domaine de l’éducation populaire et reconnue comme centre socioculturel, tiers lieux, organisme de formation et école de la transition écologique.</t>
  </si>
  <si>
    <t>L’abeille Gaillarde</t>
  </si>
  <si>
    <t>https://www.labeillegaillarde.fr/</t>
  </si>
  <si>
    <t>Biosurveillance de l’environnement par les abeilles</t>
  </si>
  <si>
    <t>Le projet développé par l’Abeille Gaillarde utilise ainsi des ruches connectées pour mesurer la biodiversité floristique et la qualité de l’air, et participe à des études européennes en partenariat avec les laboratoires de recherche.</t>
  </si>
  <si>
    <t>Programme TERENA</t>
  </si>
  <si>
    <t>https://www.duvertdanslesrouages.fr/rte</t>
  </si>
  <si>
    <t>Du vert dans les Rouages</t>
  </si>
  <si>
    <t>Le programme TERENA accompagne les collectivités et les filières souhaitant agir pour la responsabilité territoriale et la résilience des entreprises, par la coopération locale entre acteurs économiques au service du bien commun.</t>
  </si>
  <si>
    <t>Fédération Départementale des Chasseurs de la Charente</t>
  </si>
  <si>
    <t>https://www.fdc16.com/</t>
  </si>
  <si>
    <t>Naturo’bus, l’observatoire ambulant de la biodiversité</t>
  </si>
  <si>
    <t>Lieu ambulant de découverte de la nature ordinaire.
Le principe est d’amener la nature directement à la population, là où les moyens et les supports de sensibilisation font défaut.</t>
  </si>
  <si>
    <t>Association Le Belvédère</t>
  </si>
  <si>
    <t>Poïpoïdrome flottant</t>
  </si>
  <si>
    <t>Les artistes Robert Filliou et Joachim Pfeufer ont imaginé à partir de 1963 le (ou la) Poïpoïdrome, un centre d’inutilité publique dédié à la création permanente et aux relations fonctionnelles.</t>
  </si>
  <si>
    <t>EVAD Connect</t>
  </si>
  <si>
    <t>https://evad.org/connect/</t>
  </si>
  <si>
    <t>Serious game immersif et collaboratif</t>
  </si>
  <si>
    <t>Jeu en ligne de type « serious game » immersif et collaboratif pour promouvoir la transition écologique par la gamification, en offrant une perspective optimiste de l’avenir.</t>
  </si>
  <si>
    <t>Association l’Escolinas</t>
  </si>
  <si>
    <t>https://www.helloasso.com/associations/association-l-escolinas</t>
  </si>
  <si>
    <t>Ecole de Transition Ecologique des Pyrénées-Atlantiques</t>
  </si>
  <si>
    <t>Parcours de remobilisation et, dès 2024, des parcours de préqualification dans différents métiers des secteurs de l'écoconstruction et de l’agroécologie.</t>
  </si>
  <si>
    <t>CHU de Poitiers</t>
  </si>
  <si>
    <t>https://www.chu-poitiers.fr/le-chu-de-poitiers/</t>
  </si>
  <si>
    <t>Création d’un bâtiment sobre en énergie et éco responsable pour le campus santé</t>
  </si>
  <si>
    <t>Le CHU souhaite bâtir un projet éco-conçu : énergie, préservation de l'eau, choix des matériaux afin de limiter leur impact environnemental, encouragement à l’usage des modes de transport durables.</t>
  </si>
  <si>
    <t>MFR de Saint-Germain de Marencennes</t>
  </si>
  <si>
    <t>https://mfr-saintgermain.fr/</t>
  </si>
  <si>
    <t>Plantation de haies avec des élèves de bac pro agricole</t>
  </si>
  <si>
    <t>Les apprenants en bac pro CGEA de la MFR de Saint Germain de Marencennes plantent des haies chez des agriculteurs. En lien avec ces derniers et accompagnés par la Chambre d’Agriculture de Charente-Maritime et Deux-Sèvres, ces jeunes comprennent les enjeux environnementaux de cette action.</t>
  </si>
  <si>
    <t>SCIC Ceinture Verte Pays de Béarn</t>
  </si>
  <si>
    <t>https://laceintureverte.fr/</t>
  </si>
  <si>
    <t>Relocaliser l’agriculture nourricière dans des fermes de proximité</t>
  </si>
  <si>
    <t>La Ceinture Verte Pays de Béarn propose à des maraîchers qui veulent s’installer des fermes clés-en-main, avec des terrains équipés et un accompagnement technico-économique, tout en les laissant responsables de leur production agricole.</t>
  </si>
  <si>
    <t>Une brocante éco-solidaire</t>
  </si>
  <si>
    <t>https://www.brocanteecosolidaire.fr/public/accueil.php</t>
  </si>
  <si>
    <t>Graines de partage</t>
  </si>
  <si>
    <t>Recyclerie qui collecte valorise et revend à petits prix des objets de seconde main.</t>
  </si>
  <si>
    <t>Collectif Arbronautes</t>
  </si>
  <si>
    <t>https://www.helloasso.com/associations/dame-foret</t>
  </si>
  <si>
    <t>Association Dame Forêt</t>
  </si>
  <si>
    <t>Création de la première filière de la graine sauvage à l'arbre entre associations, établissements d'enseignement, entreprises, habitants.</t>
  </si>
  <si>
    <t>Vision technology</t>
  </si>
  <si>
    <t>https://annuaire.helioparc.fr/fr/adherent/vision-technology</t>
  </si>
  <si>
    <t>Conception de moteurs thermiques à hydrogène</t>
  </si>
  <si>
    <t>Développement de motorisations thermiques à hydrogène, à destination du marché automobile, et plus largement de celui des transports.</t>
  </si>
  <si>
    <t>Les Nouvelles fermes</t>
  </si>
  <si>
    <t>http://www.lesnouvellesfermes.com/</t>
  </si>
  <si>
    <t>Les Nouvelles fermes a construit l’une des plus grandes serres aquaponiques d’Europe à vocation commerciale. Ses légumes prenant racines dans l’eau sont vendus à la grande distribution et aux restaurants autour de la métropole de Bordeaux.</t>
  </si>
  <si>
    <t>La Possiblerie</t>
  </si>
  <si>
    <t>/comment-agir/les-projets-labellises-neo-terra/un-tiers-lieu-ouvert-a-lagroecologie/</t>
  </si>
  <si>
    <t>Un tiers-lieu ouvert à l’agroécologie</t>
  </si>
  <si>
    <t>Association AIMA</t>
  </si>
  <si>
    <t>/index.php?page_id=1719</t>
  </si>
  <si>
    <t>Déchets : de la collecte à la réutilisation</t>
  </si>
  <si>
    <t>Avatar Mobilité</t>
  </si>
  <si>
    <t>/index.php?page_id=1721</t>
  </si>
  <si>
    <t>Le véhicule ultra bas impact du quotidien</t>
  </si>
  <si>
    <t>Baignade en milieu naturel</t>
  </si>
  <si>
    <t>/index.php?page_id=1723</t>
  </si>
  <si>
    <t>L’Etang de Jonas reprend vie</t>
  </si>
  <si>
    <t>Bicycompost</t>
  </si>
  <si>
    <t>/index.php?page_id=1725</t>
  </si>
  <si>
    <t>Recycler les déchets alimentaires en ville</t>
  </si>
  <si>
    <t>Casa Gaïa</t>
  </si>
  <si>
    <t>/index.php?page_id=1727</t>
  </si>
  <si>
    <t>Du champ à l’assiette</t>
  </si>
  <si>
    <t>Exposition PLASTIC</t>
  </si>
  <si>
    <t>/index.php?page_id=1729</t>
  </si>
  <si>
    <t>Des territoires unis pour des solutions durables</t>
  </si>
  <si>
    <t>Graines en Balade</t>
  </si>
  <si>
    <t>/index.php?page_id=1731</t>
  </si>
  <si>
    <t>La sensibilisation à l’environnement s’invite aux balades</t>
  </si>
  <si>
    <t>La gourde Chopette</t>
  </si>
  <si>
    <t>/index.php?page_id=1733</t>
  </si>
  <si>
    <t>Chope ta gourde en verre recyclé</t>
  </si>
  <si>
    <t>Les Nouveaux Potagers</t>
  </si>
  <si>
    <t>/index.php?page_id=1735</t>
  </si>
  <si>
    <t>De nouveaux potagers d’utilité publique</t>
  </si>
  <si>
    <t>Les pieds dans le bocal</t>
  </si>
  <si>
    <t>/index.php?page_id=1737</t>
  </si>
  <si>
    <t>Une boutique écoresponsable</t>
  </si>
  <si>
    <t>Manger Bio Sud-Ouest</t>
  </si>
  <si>
    <t>/index.php?page_id=1739</t>
  </si>
  <si>
    <t>Dynamiser l’approvisionnement bio sur le territoire</t>
  </si>
  <si>
    <t>Micro-forêt et smart lightening</t>
  </si>
  <si>
    <t>/index.php?page_id=1741</t>
  </si>
  <si>
    <t>A Bègles, le lycée à énergie positive continue d’innover</t>
  </si>
  <si>
    <t>No Gasp</t>
  </si>
  <si>
    <t>/index.php?page_id=1743</t>
  </si>
  <si>
    <t>Faire une croix sur le gaspillage alimentaire</t>
  </si>
  <si>
    <t>Polyola</t>
  </si>
  <si>
    <t>/index.php?page_id=1745</t>
  </si>
  <si>
    <t>Une planche de surf 100% recyclée</t>
  </si>
  <si>
    <t>Projet 10 900 arbres</t>
  </si>
  <si>
    <t>/index.php?page_id=1747</t>
  </si>
  <si>
    <t>Le pari d’une biodiversité retrouvée</t>
  </si>
  <si>
    <t>MARQ Rénovation des Quartiers</t>
  </si>
  <si>
    <t>/index.php?page_id=1749</t>
  </si>
  <si>
    <t>La rénovation énergétique prend ses quartiers à Oloron-Sainte-Marie</t>
  </si>
  <si>
    <t>Spectacle Le Cantique aquatique</t>
  </si>
  <si>
    <t>/index.php?page_id=1751</t>
  </si>
  <si>
    <t>Un cantique aquatique pour sensibiliser</t>
  </si>
  <si>
    <t>Thermocadre</t>
  </si>
  <si>
    <t>/index.php?page_id=1753</t>
  </si>
  <si>
    <t>La solution pour l’isolation thermique</t>
  </si>
  <si>
    <t>Traille</t>
  </si>
  <si>
    <t>/index.php?page_id=1755</t>
  </si>
  <si>
    <t>Revaloriser la laine des brebis basco-béarnaises</t>
  </si>
  <si>
    <t>Wine Protect</t>
  </si>
  <si>
    <t>/index.php?page_id=1757</t>
  </si>
  <si>
    <t>La vigne, tu protègeras</t>
  </si>
  <si>
    <t>lng</t>
  </si>
  <si>
    <t>title</t>
  </si>
  <si>
    <t xml:space="preserve">Achat d’une scie à grumes </t>
  </si>
  <si>
    <t xml:space="preserve">Les espaces Saquary, tiers-lieu nourricier </t>
  </si>
  <si>
    <t xml:space="preserve">En mode éthique  </t>
  </si>
  <si>
    <t>OPACK - les colis réutilisables 100 fois</t>
  </si>
  <si>
    <t>Biosurveillance de l'environnement par les abeilles</t>
  </si>
  <si>
    <t xml:space="preserve">Du vert dans les Rouages </t>
  </si>
  <si>
    <t xml:space="preserve">Naturo'bus, l'observatoire ambulant de la biodiversité </t>
  </si>
  <si>
    <t xml:space="preserve">Poïpoïdrome flottant </t>
  </si>
  <si>
    <t xml:space="preserve">Serious game immersif et collaboratif </t>
  </si>
  <si>
    <t xml:space="preserve">Création d'un bâtiment sobre en énergie et éco responsable pour le campus santé </t>
  </si>
  <si>
    <t xml:space="preserve">Graines de partage </t>
  </si>
  <si>
    <t xml:space="preserve">Association Dame Forêt  </t>
  </si>
  <si>
    <t xml:space="preserve">Conception de moteurs thermiques à hydrogène </t>
  </si>
  <si>
    <t>id</t>
  </si>
  <si>
    <t>raison_sociale</t>
  </si>
  <si>
    <t>denomination_courante</t>
  </si>
  <si>
    <t>siret</t>
  </si>
  <si>
    <t>numero_bio</t>
  </si>
  <si>
    <t>gerant</t>
  </si>
  <si>
    <t>code_commune1</t>
  </si>
  <si>
    <t>ville1</t>
  </si>
  <si>
    <t>132882</t>
  </si>
  <si>
    <t>20PINS</t>
  </si>
  <si>
    <t>SASU LA FERME DES 20 PAINS</t>
  </si>
  <si>
    <t>LY Henri</t>
  </si>
  <si>
    <t>Soulac-sur-Mer</t>
  </si>
  <si>
    <t>GAILLAN-EN-MEDOC</t>
  </si>
  <si>
    <t>Lieux de vente</t>
  </si>
  <si>
    <t>Lieux d'activité</t>
  </si>
  <si>
    <t>Siège social</t>
  </si>
  <si>
    <t>FR-BIO-16</t>
  </si>
  <si>
    <t>Qualisud</t>
  </si>
  <si>
    <t>ENGAGEE</t>
  </si>
  <si>
    <t>2023-05-25"</t>
  </si>
  <si>
    <t>27177</t>
  </si>
  <si>
    <t>2 AILES DISTRI</t>
  </si>
  <si>
    <t>CARREFOUR CONTACT MONSEGUR - SARL 2 AILES DISTRI</t>
  </si>
  <si>
    <t>LABAT</t>
  </si>
  <si>
    <t>MONSEGUR</t>
  </si>
  <si>
    <t>FR-BIO-10</t>
  </si>
  <si>
    <t>Bureau Veritas Certification France</t>
  </si>
  <si>
    <t>2010-09-28"</t>
  </si>
  <si>
    <t>94989</t>
  </si>
  <si>
    <t>33 GRAMMES</t>
  </si>
  <si>
    <t>BELLEC MILENE</t>
  </si>
  <si>
    <t>LE BOUSCAT</t>
  </si>
  <si>
    <t>Le Bouscat</t>
  </si>
  <si>
    <t>FR-BIO-01</t>
  </si>
  <si>
    <t>Ecocert France</t>
  </si>
  <si>
    <t>ARRETEE</t>
  </si>
  <si>
    <t>2020-12-15"</t>
  </si>
  <si>
    <t>70111</t>
  </si>
  <si>
    <t>4ULTRA</t>
  </si>
  <si>
    <t>SASU 4ULTRA</t>
  </si>
  <si>
    <t xml:space="preserve">Cursan </t>
  </si>
  <si>
    <t>MORIZES</t>
  </si>
  <si>
    <t>2020-01-01"</t>
  </si>
  <si>
    <t>91579</t>
  </si>
  <si>
    <t>AAA LE TRUCH</t>
  </si>
  <si>
    <t>SAS AAA LE TRUCH</t>
  </si>
  <si>
    <t>Fournier-Sicre</t>
  </si>
  <si>
    <t>SAINT-LOUBES</t>
  </si>
  <si>
    <t>MONTUSSAN</t>
  </si>
  <si>
    <t>FR-BIO-12</t>
  </si>
  <si>
    <t>Certisud</t>
  </si>
  <si>
    <t>2020-06-24"</t>
  </si>
  <si>
    <t>114852</t>
  </si>
  <si>
    <t>ABBADIE VERONIQUE ANNA</t>
  </si>
  <si>
    <t>ABBADIE Véronique</t>
  </si>
  <si>
    <t>LALANDE DE POMEROL</t>
  </si>
  <si>
    <t>lalande de pomerol</t>
  </si>
  <si>
    <t>2021-12-01"</t>
  </si>
  <si>
    <t>10426</t>
  </si>
  <si>
    <t>ABBA LAURENT</t>
  </si>
  <si>
    <t>Le Bosquet des Fleurs</t>
  </si>
  <si>
    <t>LA REOLE</t>
  </si>
  <si>
    <t>2015-03-13"</t>
  </si>
  <si>
    <t>22530</t>
  </si>
  <si>
    <t>ABC FOODS</t>
  </si>
  <si>
    <t>ABC FOODS Sarl</t>
  </si>
  <si>
    <t>BORDEAUX</t>
  </si>
  <si>
    <t>2018-08-10"</t>
  </si>
  <si>
    <t>104629</t>
  </si>
  <si>
    <t>ABELA CYRIL</t>
  </si>
  <si>
    <t>MONTIGNAC</t>
  </si>
  <si>
    <t>2021-04-26"</t>
  </si>
  <si>
    <t>104630</t>
  </si>
  <si>
    <t>ABELA FRANCOISE</t>
  </si>
  <si>
    <t>66086</t>
  </si>
  <si>
    <t>AB SELECTION</t>
  </si>
  <si>
    <t>2015-03-25"</t>
  </si>
  <si>
    <t>57963</t>
  </si>
  <si>
    <t>ACAS BIGARD</t>
  </si>
  <si>
    <t>CARREFOUR CITY ACAS BIGARD</t>
  </si>
  <si>
    <t>LE TEICH</t>
  </si>
  <si>
    <t>2018-03-28"</t>
  </si>
  <si>
    <t>99139</t>
  </si>
  <si>
    <t>A. CHAMVERMEIL</t>
  </si>
  <si>
    <t>JACQUES JEROME</t>
  </si>
  <si>
    <t>ARSAC</t>
  </si>
  <si>
    <t>FR-BIO-09</t>
  </si>
  <si>
    <t>Certipaq Bio</t>
  </si>
  <si>
    <t>2021-01-01"</t>
  </si>
  <si>
    <t>131549</t>
  </si>
  <si>
    <t>ACJ</t>
  </si>
  <si>
    <t>ACJ COURJAUD Anne</t>
  </si>
  <si>
    <t>Courjaud Anne</t>
  </si>
  <si>
    <t>CARS</t>
  </si>
  <si>
    <t>2023-04-21"</t>
  </si>
  <si>
    <t>126029</t>
  </si>
  <si>
    <t>ACTI BIO SUD OUEST</t>
  </si>
  <si>
    <t xml:space="preserve">ACTI'BIO SUD OUEST </t>
  </si>
  <si>
    <t xml:space="preserve">FAYARD </t>
  </si>
  <si>
    <t>SAINT-JEAN-DE-BLAIGNAC</t>
  </si>
  <si>
    <t>Mouliets et Villemartin</t>
  </si>
  <si>
    <t>2022-10-26"</t>
  </si>
  <si>
    <t>126030</t>
  </si>
  <si>
    <t>ACTI'BIO SUD OUEST</t>
  </si>
  <si>
    <t>18473</t>
  </si>
  <si>
    <t>ACTIV'INSIDE</t>
  </si>
  <si>
    <t>Beychac et Caillau</t>
  </si>
  <si>
    <t>BEYCHAC-ET-CAILLAU</t>
  </si>
  <si>
    <t>2010-12-01"</t>
  </si>
  <si>
    <t>122794</t>
  </si>
  <si>
    <t>AD AETERNAM</t>
  </si>
  <si>
    <t>BROCHARD GUILLAUME</t>
  </si>
  <si>
    <t>FRANCS</t>
  </si>
  <si>
    <t>Francs</t>
  </si>
  <si>
    <t>2022-07-10"</t>
  </si>
  <si>
    <t>119944</t>
  </si>
  <si>
    <t>ADAPEI</t>
  </si>
  <si>
    <t>ADAPEI GIRONDE  ESAT BASSIN MEDOC site d'Audenge</t>
  </si>
  <si>
    <t>GRECHEZ Annouck</t>
  </si>
  <si>
    <t>AUDENGE</t>
  </si>
  <si>
    <t>Audenge</t>
  </si>
  <si>
    <t>2022-04-13"</t>
  </si>
  <si>
    <t>19677</t>
  </si>
  <si>
    <t>ADAPEI 33</t>
  </si>
  <si>
    <t>PESSAC</t>
  </si>
  <si>
    <t>2018-01-03"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</si>
</sst>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1" numFmtId="0" xfId="0" applyAlignment="1" applyFont="1">
      <alignment readingOrder="0" shrinkToFit="0" wrapText="0"/>
    </xf>
    <xf borderId="0" fillId="0" fontId="1" numFmtId="4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www.lesnouvellesfermes.com/" TargetMode="External"/><Relationship Id="rId11" Type="http://schemas.openxmlformats.org/officeDocument/2006/relationships/hyperlink" Target="https://www.fdc16.com/" TargetMode="External"/><Relationship Id="rId10" Type="http://schemas.openxmlformats.org/officeDocument/2006/relationships/hyperlink" Target="https://www.duvertdanslesrouages.fr/rte" TargetMode="External"/><Relationship Id="rId21" Type="http://schemas.openxmlformats.org/officeDocument/2006/relationships/drawing" Target="../drawings/drawing1.xml"/><Relationship Id="rId13" Type="http://schemas.openxmlformats.org/officeDocument/2006/relationships/hyperlink" Target="https://www.helloasso.com/associations/association-l-escolinas" TargetMode="External"/><Relationship Id="rId12" Type="http://schemas.openxmlformats.org/officeDocument/2006/relationships/hyperlink" Target="https://evad.org/connect/" TargetMode="External"/><Relationship Id="rId1" Type="http://schemas.openxmlformats.org/officeDocument/2006/relationships/hyperlink" Target="https://www.createurdeforet.fr/projets/jaure-24-2023/" TargetMode="External"/><Relationship Id="rId2" Type="http://schemas.openxmlformats.org/officeDocument/2006/relationships/hyperlink" Target="https://www.lyceerompsay17.com/" TargetMode="External"/><Relationship Id="rId3" Type="http://schemas.openxmlformats.org/officeDocument/2006/relationships/hyperlink" Target="https://www.facebook.com/parnoixphilippe/?locale=fr_FR" TargetMode="External"/><Relationship Id="rId4" Type="http://schemas.openxmlformats.org/officeDocument/2006/relationships/hyperlink" Target="https://www.facebook.com/espacessaquary/" TargetMode="External"/><Relationship Id="rId9" Type="http://schemas.openxmlformats.org/officeDocument/2006/relationships/hyperlink" Target="https://www.labeillegaillarde.fr/" TargetMode="External"/><Relationship Id="rId15" Type="http://schemas.openxmlformats.org/officeDocument/2006/relationships/hyperlink" Target="https://mfr-saintgermain.fr/" TargetMode="External"/><Relationship Id="rId14" Type="http://schemas.openxmlformats.org/officeDocument/2006/relationships/hyperlink" Target="https://www.chu-poitiers.fr/le-chu-de-poitiers/" TargetMode="External"/><Relationship Id="rId17" Type="http://schemas.openxmlformats.org/officeDocument/2006/relationships/hyperlink" Target="https://www.brocanteecosolidaire.fr/public/accueil.php" TargetMode="External"/><Relationship Id="rId16" Type="http://schemas.openxmlformats.org/officeDocument/2006/relationships/hyperlink" Target="https://laceintureverte.fr/" TargetMode="External"/><Relationship Id="rId5" Type="http://schemas.openxmlformats.org/officeDocument/2006/relationships/hyperlink" Target="https://afreaka.fr/objet/" TargetMode="External"/><Relationship Id="rId19" Type="http://schemas.openxmlformats.org/officeDocument/2006/relationships/hyperlink" Target="https://annuaire.helioparc.fr/fr/adherent/vision-technology" TargetMode="External"/><Relationship Id="rId6" Type="http://schemas.openxmlformats.org/officeDocument/2006/relationships/hyperlink" Target="https://alefpatrail.com/" TargetMode="External"/><Relationship Id="rId18" Type="http://schemas.openxmlformats.org/officeDocument/2006/relationships/hyperlink" Target="https://www.helloasso.com/associations/dame-foret" TargetMode="External"/><Relationship Id="rId7" Type="http://schemas.openxmlformats.org/officeDocument/2006/relationships/hyperlink" Target="https://www.opack.fr/" TargetMode="External"/><Relationship Id="rId8" Type="http://schemas.openxmlformats.org/officeDocument/2006/relationships/hyperlink" Target="https://www.argentonnay.fr/annuaire/la-colporteus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31.63"/>
    <col customWidth="1" min="3" max="3" width="27.38"/>
    <col customWidth="1" min="4" max="5" width="42.38"/>
  </cols>
  <sheetData>
    <row r="1">
      <c r="A1" s="1" t="s">
        <v>0</v>
      </c>
      <c r="B1" s="1" t="s">
        <v>1</v>
      </c>
      <c r="C1" s="1" t="s">
        <v>2</v>
      </c>
      <c r="D1" s="1"/>
      <c r="E1" s="1" t="s">
        <v>3</v>
      </c>
      <c r="F1" s="1" t="s">
        <v>4</v>
      </c>
    </row>
    <row r="2">
      <c r="A2" s="1" t="s">
        <v>5</v>
      </c>
      <c r="B2" s="2" t="s">
        <v>6</v>
      </c>
      <c r="C2" s="1">
        <f>IFERROR(__xludf.DUMMYFUNCTION("FILTER(Sheet2!A:A,E2=Sheet2!C:C)"),45.0466394425417)</f>
        <v>45.04663944</v>
      </c>
      <c r="D2" s="3">
        <f>IFERROR(__xludf.DUMMYFUNCTION("FILTER(Sheet2!B:B,E2=Sheet2!C:C)"),0.567167074962012)</f>
        <v>0.567167075</v>
      </c>
      <c r="E2" s="1" t="s">
        <v>7</v>
      </c>
      <c r="F2" s="1" t="s">
        <v>8</v>
      </c>
    </row>
    <row r="3">
      <c r="A3" s="1" t="s">
        <v>9</v>
      </c>
      <c r="B3" s="2" t="s">
        <v>10</v>
      </c>
      <c r="C3" s="1">
        <f>IFERROR(__xludf.DUMMYFUNCTION("FILTER(Sheet2!A:A,E3=Sheet2!C:C)"),46.159732)</f>
        <v>46.159732</v>
      </c>
      <c r="D3" s="3">
        <f>IFERROR(__xludf.DUMMYFUNCTION("FILTER(Sheet2!B:B,E3=Sheet2!C:C)"),-1.1515951)</f>
        <v>-1.1515951</v>
      </c>
      <c r="E3" s="1" t="s">
        <v>11</v>
      </c>
      <c r="F3" s="1" t="s">
        <v>12</v>
      </c>
    </row>
    <row r="4">
      <c r="A4" s="1" t="s">
        <v>13</v>
      </c>
      <c r="B4" s="2" t="s">
        <v>14</v>
      </c>
      <c r="C4" s="1" t="str">
        <f>IFERROR(__xludf.DUMMYFUNCTION("FILTER(Sheet2!A:A,E4=Sheet2!C:C)"),"#N/A")</f>
        <v>#N/A</v>
      </c>
      <c r="D4" s="3" t="str">
        <f>IFERROR(__xludf.DUMMYFUNCTION("FILTER(Sheet2!B:B,E4=Sheet2!C:C)"),"#N/A")</f>
        <v>#N/A</v>
      </c>
      <c r="E4" s="1" t="s">
        <v>15</v>
      </c>
      <c r="F4" s="1" t="s">
        <v>16</v>
      </c>
    </row>
    <row r="5">
      <c r="A5" s="1" t="s">
        <v>17</v>
      </c>
      <c r="B5" s="2" t="s">
        <v>18</v>
      </c>
      <c r="C5" s="1" t="str">
        <f>IFERROR(__xludf.DUMMYFUNCTION("FILTER(Sheet2!A:A,E5=Sheet2!C:C)"),"#N/A")</f>
        <v>#N/A</v>
      </c>
      <c r="D5" s="3" t="str">
        <f>IFERROR(__xludf.DUMMYFUNCTION("FILTER(Sheet2!B:B,E5=Sheet2!C:C)"),"#N/A")</f>
        <v>#N/A</v>
      </c>
      <c r="E5" s="1" t="s">
        <v>19</v>
      </c>
      <c r="F5" s="1" t="s">
        <v>20</v>
      </c>
    </row>
    <row r="6">
      <c r="A6" s="1" t="s">
        <v>21</v>
      </c>
      <c r="B6" s="2" t="s">
        <v>22</v>
      </c>
      <c r="C6" s="1" t="str">
        <f>IFERROR(__xludf.DUMMYFUNCTION("FILTER(Sheet2!A:A,E6=Sheet2!C:C)"),"#N/A")</f>
        <v>#N/A</v>
      </c>
      <c r="D6" s="3" t="str">
        <f>IFERROR(__xludf.DUMMYFUNCTION("FILTER(Sheet2!B:B,E6=Sheet2!C:C)"),"#N/A")</f>
        <v>#N/A</v>
      </c>
      <c r="E6" s="1" t="s">
        <v>23</v>
      </c>
      <c r="F6" s="1" t="s">
        <v>24</v>
      </c>
    </row>
    <row r="7">
      <c r="A7" s="1" t="s">
        <v>25</v>
      </c>
      <c r="B7" s="2" t="s">
        <v>26</v>
      </c>
      <c r="C7" s="1">
        <f>IFERROR(__xludf.DUMMYFUNCTION("FILTER(Sheet2!A:A,E7=Sheet2!C:C)"),45.7389214)</f>
        <v>45.7389214</v>
      </c>
      <c r="D7" s="3">
        <f>IFERROR(__xludf.DUMMYFUNCTION("FILTER(Sheet2!B:B,E7=Sheet2!C:C)"),1.7432748)</f>
        <v>1.7432748</v>
      </c>
      <c r="E7" s="1" t="s">
        <v>27</v>
      </c>
      <c r="F7" s="1" t="s">
        <v>28</v>
      </c>
    </row>
    <row r="8">
      <c r="A8" s="1" t="s">
        <v>29</v>
      </c>
      <c r="B8" s="2" t="s">
        <v>30</v>
      </c>
      <c r="C8" s="1" t="str">
        <f>IFERROR(__xludf.DUMMYFUNCTION("FILTER(Sheet2!A:A,E8=Sheet2!C:C)"),"#N/A")</f>
        <v>#N/A</v>
      </c>
      <c r="D8" s="3" t="str">
        <f>IFERROR(__xludf.DUMMYFUNCTION("FILTER(Sheet2!B:B,E8=Sheet2!C:C)"),"#N/A")</f>
        <v>#N/A</v>
      </c>
      <c r="E8" s="1" t="s">
        <v>31</v>
      </c>
      <c r="F8" s="1" t="s">
        <v>32</v>
      </c>
    </row>
    <row r="9">
      <c r="A9" s="1" t="s">
        <v>33</v>
      </c>
      <c r="B9" s="2" t="s">
        <v>34</v>
      </c>
      <c r="C9" s="1">
        <f>IFERROR(__xludf.DUMMYFUNCTION("FILTER(Sheet2!A:A,E9=Sheet2!C:C)"),46.9599917974315)</f>
        <v>46.9599918</v>
      </c>
      <c r="D9" s="3">
        <f>IFERROR(__xludf.DUMMYFUNCTION("FILTER(Sheet2!B:B,E9=Sheet2!C:C)"),-0.437736844366405)</f>
        <v>-0.4377368444</v>
      </c>
      <c r="E9" s="1" t="s">
        <v>35</v>
      </c>
      <c r="F9" s="1" t="s">
        <v>36</v>
      </c>
    </row>
    <row r="10">
      <c r="A10" s="1" t="s">
        <v>37</v>
      </c>
      <c r="B10" s="2" t="s">
        <v>38</v>
      </c>
      <c r="C10" s="1" t="str">
        <f>IFERROR(__xludf.DUMMYFUNCTION("FILTER(Sheet2!A:A,E10=Sheet2!C:C)"),"#N/A")</f>
        <v>#N/A</v>
      </c>
      <c r="D10" s="3" t="str">
        <f>IFERROR(__xludf.DUMMYFUNCTION("FILTER(Sheet2!B:B,E10=Sheet2!C:C)"),"#N/A")</f>
        <v>#N/A</v>
      </c>
      <c r="E10" s="1" t="s">
        <v>39</v>
      </c>
      <c r="F10" s="1" t="s">
        <v>40</v>
      </c>
    </row>
    <row r="11">
      <c r="A11" s="1" t="s">
        <v>41</v>
      </c>
      <c r="B11" s="2" t="s">
        <v>42</v>
      </c>
      <c r="C11" s="1" t="str">
        <f>IFERROR(__xludf.DUMMYFUNCTION("FILTER(Sheet2!A:A,E11=Sheet2!C:C)"),"#N/A")</f>
        <v>#N/A</v>
      </c>
      <c r="D11" s="3" t="str">
        <f>IFERROR(__xludf.DUMMYFUNCTION("FILTER(Sheet2!B:B,E11=Sheet2!C:C)"),"#N/A")</f>
        <v>#N/A</v>
      </c>
      <c r="E11" s="1" t="s">
        <v>43</v>
      </c>
      <c r="F11" s="1" t="s">
        <v>44</v>
      </c>
    </row>
    <row r="12">
      <c r="A12" s="1" t="s">
        <v>45</v>
      </c>
      <c r="B12" s="2" t="s">
        <v>46</v>
      </c>
      <c r="C12" s="1" t="str">
        <f>IFERROR(__xludf.DUMMYFUNCTION("FILTER(Sheet2!A:A,E12=Sheet2!C:C)"),"#N/A")</f>
        <v>#N/A</v>
      </c>
      <c r="D12" s="3" t="str">
        <f>IFERROR(__xludf.DUMMYFUNCTION("FILTER(Sheet2!B:B,E12=Sheet2!C:C)"),"#N/A")</f>
        <v>#N/A</v>
      </c>
      <c r="E12" s="1" t="s">
        <v>47</v>
      </c>
      <c r="F12" s="1" t="s">
        <v>48</v>
      </c>
    </row>
    <row r="13">
      <c r="A13" s="1" t="s">
        <v>49</v>
      </c>
      <c r="C13" s="1" t="str">
        <f>IFERROR(__xludf.DUMMYFUNCTION("FILTER(Sheet2!A:A,E13=Sheet2!C:C)"),"#N/A")</f>
        <v>#N/A</v>
      </c>
      <c r="D13" s="3" t="str">
        <f>IFERROR(__xludf.DUMMYFUNCTION("FILTER(Sheet2!B:B,E13=Sheet2!C:C)"),"#N/A")</f>
        <v>#N/A</v>
      </c>
      <c r="E13" s="1" t="s">
        <v>50</v>
      </c>
      <c r="F13" s="1" t="s">
        <v>51</v>
      </c>
    </row>
    <row r="14">
      <c r="A14" s="1" t="s">
        <v>52</v>
      </c>
      <c r="B14" s="2" t="s">
        <v>53</v>
      </c>
      <c r="C14" s="1" t="str">
        <f>IFERROR(__xludf.DUMMYFUNCTION("FILTER(Sheet2!A:A,E14=Sheet2!C:C)"),"#N/A")</f>
        <v>#N/A</v>
      </c>
      <c r="D14" s="3" t="str">
        <f>IFERROR(__xludf.DUMMYFUNCTION("FILTER(Sheet2!B:B,E14=Sheet2!C:C)"),"#N/A")</f>
        <v>#N/A</v>
      </c>
      <c r="E14" s="1" t="s">
        <v>54</v>
      </c>
      <c r="F14" s="1" t="s">
        <v>55</v>
      </c>
    </row>
    <row r="15">
      <c r="A15" s="1" t="s">
        <v>56</v>
      </c>
      <c r="B15" s="2" t="s">
        <v>57</v>
      </c>
      <c r="C15" s="1">
        <f>IFERROR(__xludf.DUMMYFUNCTION("FILTER(Sheet2!A:A,E15=Sheet2!C:C)"),43.4874963)</f>
        <v>43.4874963</v>
      </c>
      <c r="D15" s="3">
        <f>IFERROR(__xludf.DUMMYFUNCTION("FILTER(Sheet2!B:B,E15=Sheet2!C:C)"),-0.7738363)</f>
        <v>-0.7738363</v>
      </c>
      <c r="E15" s="1" t="s">
        <v>58</v>
      </c>
      <c r="F15" s="1" t="s">
        <v>59</v>
      </c>
    </row>
    <row r="16">
      <c r="A16" s="1" t="s">
        <v>60</v>
      </c>
      <c r="B16" s="2" t="s">
        <v>61</v>
      </c>
      <c r="C16" s="1" t="str">
        <f>IFERROR(__xludf.DUMMYFUNCTION("FILTER(Sheet2!A:A,E16=Sheet2!C:C)"),"#N/A")</f>
        <v>#N/A</v>
      </c>
      <c r="D16" s="3" t="str">
        <f>IFERROR(__xludf.DUMMYFUNCTION("FILTER(Sheet2!B:B,E16=Sheet2!C:C)"),"#N/A")</f>
        <v>#N/A</v>
      </c>
      <c r="E16" s="1" t="s">
        <v>62</v>
      </c>
      <c r="F16" s="1" t="s">
        <v>63</v>
      </c>
    </row>
    <row r="17">
      <c r="A17" s="1" t="s">
        <v>64</v>
      </c>
      <c r="B17" s="2" t="s">
        <v>65</v>
      </c>
      <c r="C17" s="1">
        <f>IFERROR(__xludf.DUMMYFUNCTION("FILTER(Sheet2!A:A,E17=Sheet2!C:C)"),46.0769177909057)</f>
        <v>46.07691779</v>
      </c>
      <c r="D17" s="3">
        <f>IFERROR(__xludf.DUMMYFUNCTION("FILTER(Sheet2!B:B,E17=Sheet2!C:C)"),-0.796700690022753)</f>
        <v>-0.79670069</v>
      </c>
      <c r="E17" s="1" t="s">
        <v>66</v>
      </c>
      <c r="F17" s="1" t="s">
        <v>67</v>
      </c>
    </row>
    <row r="18">
      <c r="A18" s="1" t="s">
        <v>68</v>
      </c>
      <c r="B18" s="2" t="s">
        <v>69</v>
      </c>
      <c r="C18" s="1">
        <f>IFERROR(__xludf.DUMMYFUNCTION("FILTER(Sheet2!A:A,E18=Sheet2!C:C)"),43.18718655)</f>
        <v>43.18718655</v>
      </c>
      <c r="D18" s="3">
        <f>IFERROR(__xludf.DUMMYFUNCTION("FILTER(Sheet2!B:B,E18=Sheet2!C:C)"),-0.728247400084667)</f>
        <v>-0.7282474001</v>
      </c>
      <c r="E18" s="1" t="s">
        <v>70</v>
      </c>
      <c r="F18" s="1" t="s">
        <v>71</v>
      </c>
    </row>
    <row r="19">
      <c r="A19" s="1" t="s">
        <v>72</v>
      </c>
      <c r="B19" s="2" t="s">
        <v>73</v>
      </c>
      <c r="C19" s="1" t="str">
        <f>IFERROR(__xludf.DUMMYFUNCTION("FILTER(Sheet2!A:A,E19=Sheet2!C:C)"),"#N/A")</f>
        <v>#N/A</v>
      </c>
      <c r="D19" s="3" t="str">
        <f>IFERROR(__xludf.DUMMYFUNCTION("FILTER(Sheet2!B:B,E19=Sheet2!C:C)"),"#N/A")</f>
        <v>#N/A</v>
      </c>
      <c r="E19" s="1" t="s">
        <v>74</v>
      </c>
      <c r="F19" s="1" t="s">
        <v>75</v>
      </c>
    </row>
    <row r="20">
      <c r="A20" s="1" t="s">
        <v>76</v>
      </c>
      <c r="B20" s="2" t="s">
        <v>77</v>
      </c>
      <c r="C20" s="1" t="str">
        <f>IFERROR(__xludf.DUMMYFUNCTION("FILTER(Sheet2!A:A,E20=Sheet2!C:C)"),"#N/A")</f>
        <v>#N/A</v>
      </c>
      <c r="D20" s="3" t="str">
        <f>IFERROR(__xludf.DUMMYFUNCTION("FILTER(Sheet2!B:B,E20=Sheet2!C:C)"),"#N/A")</f>
        <v>#N/A</v>
      </c>
      <c r="E20" s="1" t="s">
        <v>78</v>
      </c>
      <c r="F20" s="1" t="s">
        <v>79</v>
      </c>
    </row>
    <row r="21">
      <c r="A21" s="1" t="s">
        <v>80</v>
      </c>
      <c r="B21" s="2" t="s">
        <v>81</v>
      </c>
      <c r="C21" s="1" t="str">
        <f>IFERROR(__xludf.DUMMYFUNCTION("FILTER(Sheet2!A:A,E21=Sheet2!C:C)"),"#N/A")</f>
        <v>#N/A</v>
      </c>
      <c r="D21" s="3" t="str">
        <f>IFERROR(__xludf.DUMMYFUNCTION("FILTER(Sheet2!B:B,E21=Sheet2!C:C)"),"#N/A")</f>
        <v>#N/A</v>
      </c>
      <c r="E21" s="1" t="s">
        <v>82</v>
      </c>
      <c r="F21" s="1" t="s">
        <v>83</v>
      </c>
    </row>
    <row r="22">
      <c r="A22" s="1" t="s">
        <v>84</v>
      </c>
      <c r="B22" s="2" t="s">
        <v>85</v>
      </c>
      <c r="C22" s="1">
        <f>IFERROR(__xludf.DUMMYFUNCTION("FILTER(Sheet2!A:A,E22=Sheet2!C:C)"),44.842168)</f>
        <v>44.842168</v>
      </c>
      <c r="D22" s="3">
        <f>IFERROR(__xludf.DUMMYFUNCTION("FILTER(Sheet2!B:B,E22=Sheet2!C:C)"),-0.6469022)</f>
        <v>-0.6469022</v>
      </c>
      <c r="E22" s="1" t="s">
        <v>84</v>
      </c>
      <c r="F22" s="1" t="s">
        <v>86</v>
      </c>
    </row>
    <row r="23">
      <c r="A23" s="1" t="s">
        <v>87</v>
      </c>
      <c r="B23" s="1" t="s">
        <v>88</v>
      </c>
      <c r="C23" s="1">
        <f>IFERROR(__xludf.DUMMYFUNCTION("FILTER(Sheet2!A:A,E23=Sheet2!C:C)"),44.8365393)</f>
        <v>44.8365393</v>
      </c>
      <c r="D23" s="3">
        <f>IFERROR(__xludf.DUMMYFUNCTION("FILTER(Sheet2!B:B,E23=Sheet2!C:C)"),-0.5892062)</f>
        <v>-0.5892062</v>
      </c>
      <c r="E23" s="1" t="s">
        <v>89</v>
      </c>
    </row>
    <row r="24">
      <c r="A24" s="1" t="s">
        <v>90</v>
      </c>
      <c r="B24" s="1" t="s">
        <v>91</v>
      </c>
      <c r="C24" s="1">
        <f>IFERROR(__xludf.DUMMYFUNCTION("FILTER(Sheet2!A:A,E24=Sheet2!C:C)"),44.8365393)</f>
        <v>44.8365393</v>
      </c>
      <c r="D24" s="3">
        <f>IFERROR(__xludf.DUMMYFUNCTION("FILTER(Sheet2!B:B,E24=Sheet2!C:C)"),-0.5892062)</f>
        <v>-0.5892062</v>
      </c>
      <c r="E24" s="1" t="s">
        <v>92</v>
      </c>
    </row>
    <row r="25">
      <c r="A25" s="1" t="s">
        <v>93</v>
      </c>
      <c r="B25" s="1" t="s">
        <v>94</v>
      </c>
      <c r="C25" s="1">
        <f>IFERROR(__xludf.DUMMYFUNCTION("FILTER(Sheet2!A:A,E25=Sheet2!C:C)"),46.1907035194667)</f>
        <v>46.19070352</v>
      </c>
      <c r="D25" s="3">
        <f>IFERROR(__xludf.DUMMYFUNCTION("FILTER(Sheet2!B:B,E25=Sheet2!C:C)"),-1.15396101283626)</f>
        <v>-1.153961013</v>
      </c>
      <c r="E25" s="1" t="s">
        <v>95</v>
      </c>
    </row>
    <row r="26">
      <c r="A26" s="1" t="s">
        <v>96</v>
      </c>
      <c r="B26" s="1" t="s">
        <v>97</v>
      </c>
      <c r="C26" s="1">
        <f>IFERROR(__xludf.DUMMYFUNCTION("FILTER(Sheet2!A:A,E26=Sheet2!C:C)"),45.9585156916151)</f>
        <v>45.95851569</v>
      </c>
      <c r="D26" s="3">
        <f>IFERROR(__xludf.DUMMYFUNCTION("FILTER(Sheet2!B:B,E26=Sheet2!C:C)"),1.402427521064)</f>
        <v>1.402427521</v>
      </c>
      <c r="E26" s="1" t="s">
        <v>98</v>
      </c>
    </row>
    <row r="27">
      <c r="A27" s="1" t="s">
        <v>99</v>
      </c>
      <c r="B27" s="1" t="s">
        <v>100</v>
      </c>
      <c r="C27" s="1">
        <f>IFERROR(__xludf.DUMMYFUNCTION("FILTER(Sheet2!A:A,E27=Sheet2!C:C)"),44.8382754734305)</f>
        <v>44.83827547</v>
      </c>
      <c r="D27" s="3">
        <f>IFERROR(__xludf.DUMMYFUNCTION("FILTER(Sheet2!B:B,E27=Sheet2!C:C)"),-0.57674298233235)</f>
        <v>-0.5767429823</v>
      </c>
      <c r="E27" s="1" t="s">
        <v>101</v>
      </c>
    </row>
    <row r="28">
      <c r="A28" s="1" t="s">
        <v>102</v>
      </c>
      <c r="B28" s="1" t="s">
        <v>103</v>
      </c>
      <c r="C28" s="1">
        <f>IFERROR(__xludf.DUMMYFUNCTION("FILTER(Sheet2!A:A,E28=Sheet2!C:C)"),44.8382754734305)</f>
        <v>44.83827547</v>
      </c>
      <c r="D28" s="3">
        <f>IFERROR(__xludf.DUMMYFUNCTION("FILTER(Sheet2!B:B,E28=Sheet2!C:C)"),-0.576227998198918)</f>
        <v>-0.5762279982</v>
      </c>
      <c r="E28" s="1" t="s">
        <v>104</v>
      </c>
    </row>
    <row r="29">
      <c r="A29" s="1" t="s">
        <v>105</v>
      </c>
      <c r="B29" s="1" t="s">
        <v>106</v>
      </c>
      <c r="C29" s="1">
        <f>IFERROR(__xludf.DUMMYFUNCTION("FILTER(Sheet2!A:A,E29=Sheet2!C:C)"),44.8388840954955)</f>
        <v>44.8388841</v>
      </c>
      <c r="D29" s="3">
        <f>IFERROR(__xludf.DUMMYFUNCTION("FILTER(Sheet2!B:B,E29=Sheet2!C:C)"),-0.580004548510752)</f>
        <v>-0.5800045485</v>
      </c>
      <c r="E29" s="1" t="s">
        <v>107</v>
      </c>
    </row>
    <row r="30">
      <c r="A30" s="1" t="s">
        <v>108</v>
      </c>
      <c r="B30" s="1" t="s">
        <v>109</v>
      </c>
      <c r="C30" s="1">
        <f>IFERROR(__xludf.DUMMYFUNCTION("FILTER(Sheet2!A:A,E30=Sheet2!C:C)"),46.5804936028844)</f>
        <v>46.5804936</v>
      </c>
      <c r="D30" s="3">
        <f>IFERROR(__xludf.DUMMYFUNCTION("FILTER(Sheet2!B:B,E30=Sheet2!C:C)"),0.337295859082901)</f>
        <v>0.3372958591</v>
      </c>
      <c r="E30" s="1" t="s">
        <v>110</v>
      </c>
    </row>
    <row r="31">
      <c r="A31" s="1" t="s">
        <v>111</v>
      </c>
      <c r="B31" s="1" t="s">
        <v>112</v>
      </c>
      <c r="C31" s="1">
        <f>IFERROR(__xludf.DUMMYFUNCTION("FILTER(Sheet2!A:A,E31=Sheet2!C:C)"),45.6911729607915)</f>
        <v>45.69117296</v>
      </c>
      <c r="D31" s="3">
        <f>IFERROR(__xludf.DUMMYFUNCTION("FILTER(Sheet2!B:B,E31=Sheet2!C:C)"),-0.329657255399081)</f>
        <v>-0.3296572554</v>
      </c>
      <c r="E31" s="1" t="s">
        <v>113</v>
      </c>
    </row>
    <row r="32">
      <c r="A32" s="1" t="s">
        <v>114</v>
      </c>
      <c r="B32" s="1" t="s">
        <v>115</v>
      </c>
      <c r="C32" s="1">
        <f>IFERROR(__xludf.DUMMYFUNCTION("FILTER(Sheet2!A:A,E32=Sheet2!C:C)"),44.838518923028)</f>
        <v>44.83851892</v>
      </c>
      <c r="D32" s="3">
        <f>IFERROR(__xludf.DUMMYFUNCTION("FILTER(Sheet2!B:B,E32=Sheet2!C:C)"),-0.577086305087971)</f>
        <v>-0.5770863051</v>
      </c>
      <c r="E32" s="1" t="s">
        <v>116</v>
      </c>
    </row>
    <row r="33">
      <c r="A33" s="1" t="s">
        <v>117</v>
      </c>
      <c r="B33" s="1" t="s">
        <v>118</v>
      </c>
      <c r="C33" s="1">
        <f>IFERROR(__xludf.DUMMYFUNCTION("FILTER(Sheet2!A:A,E33=Sheet2!C:C)"),45.1381988770107)</f>
        <v>45.13819888</v>
      </c>
      <c r="D33" s="3">
        <f>IFERROR(__xludf.DUMMYFUNCTION("FILTER(Sheet2!B:B,E33=Sheet2!C:C)"),1.074247095943)</f>
        <v>1.074247096</v>
      </c>
      <c r="E33" s="1" t="s">
        <v>119</v>
      </c>
    </row>
    <row r="34">
      <c r="A34" s="1" t="s">
        <v>120</v>
      </c>
      <c r="B34" s="1" t="s">
        <v>121</v>
      </c>
      <c r="C34" s="1">
        <f>IFERROR(__xludf.DUMMYFUNCTION("FILTER(Sheet2!A:A,E34=Sheet2!C:C)"),44.2908876460236)</f>
        <v>44.29088765</v>
      </c>
      <c r="D34" s="3">
        <f>IFERROR(__xludf.DUMMYFUNCTION("FILTER(Sheet2!B:B,E34=Sheet2!C:C)"),0.275488728779048)</f>
        <v>0.2754887288</v>
      </c>
      <c r="E34" s="1" t="s">
        <v>122</v>
      </c>
    </row>
    <row r="35">
      <c r="A35" s="1" t="s">
        <v>123</v>
      </c>
      <c r="B35" s="1" t="s">
        <v>124</v>
      </c>
      <c r="C35" s="1">
        <f>IFERROR(__xludf.DUMMYFUNCTION("FILTER(Sheet2!A:A,E35=Sheet2!C:C)"),44.8121558883862)</f>
        <v>44.81215589</v>
      </c>
      <c r="D35" s="3">
        <f>IFERROR(__xludf.DUMMYFUNCTION("FILTER(Sheet2!B:B,E35=Sheet2!C:C)"),-0.544312608264202)</f>
        <v>-0.5443126083</v>
      </c>
      <c r="E35" s="1" t="s">
        <v>125</v>
      </c>
    </row>
    <row r="36">
      <c r="A36" s="1" t="s">
        <v>126</v>
      </c>
      <c r="B36" s="1" t="s">
        <v>127</v>
      </c>
      <c r="C36" s="1">
        <f>IFERROR(__xludf.DUMMYFUNCTION("FILTER(Sheet2!A:A,E36=Sheet2!C:C)"),45.7166583358495)</f>
        <v>45.71665834</v>
      </c>
      <c r="D36" s="3">
        <f>IFERROR(__xludf.DUMMYFUNCTION("FILTER(Sheet2!B:B,E36=Sheet2!C:C)"),0.206970737226185)</f>
        <v>0.2069707372</v>
      </c>
      <c r="E36" s="1" t="s">
        <v>128</v>
      </c>
    </row>
    <row r="37">
      <c r="A37" s="1" t="s">
        <v>129</v>
      </c>
      <c r="B37" s="1" t="s">
        <v>130</v>
      </c>
      <c r="C37" s="1">
        <f>IFERROR(__xludf.DUMMYFUNCTION("FILTER(Sheet2!A:A,E37=Sheet2!C:C)"),43.4814068163418)</f>
        <v>43.48140682</v>
      </c>
      <c r="D37" s="3">
        <f>IFERROR(__xludf.DUMMYFUNCTION("FILTER(Sheet2!B:B,E37=Sheet2!C:C)"),-1.51554891197748)</f>
        <v>-1.515548912</v>
      </c>
      <c r="E37" s="1" t="s">
        <v>131</v>
      </c>
    </row>
    <row r="38">
      <c r="A38" s="1" t="s">
        <v>132</v>
      </c>
      <c r="B38" s="1" t="s">
        <v>133</v>
      </c>
      <c r="C38" s="1">
        <f>IFERROR(__xludf.DUMMYFUNCTION("FILTER(Sheet2!A:A,E38=Sheet2!C:C)"),45.1803877849963)</f>
        <v>45.18038778</v>
      </c>
      <c r="D38" s="3">
        <f>IFERROR(__xludf.DUMMYFUNCTION("FILTER(Sheet2!B:B,E38=Sheet2!C:C)"),0.771818946761729)</f>
        <v>0.7718189468</v>
      </c>
      <c r="E38" s="1" t="s">
        <v>134</v>
      </c>
    </row>
    <row r="39">
      <c r="A39" s="1" t="s">
        <v>135</v>
      </c>
      <c r="B39" s="1" t="s">
        <v>136</v>
      </c>
      <c r="C39" s="1">
        <f>IFERROR(__xludf.DUMMYFUNCTION("FILTER(Sheet2!A:A,E39=Sheet2!C:C)"),43.1938801839086)</f>
        <v>43.19388018</v>
      </c>
      <c r="D39" s="3">
        <f>IFERROR(__xludf.DUMMYFUNCTION("FILTER(Sheet2!B:B,E39=Sheet2!C:C)"),-0.605329568158562)</f>
        <v>-0.6053295682</v>
      </c>
      <c r="E39" s="1" t="s">
        <v>137</v>
      </c>
    </row>
    <row r="40">
      <c r="A40" s="1" t="s">
        <v>138</v>
      </c>
      <c r="B40" s="1" t="s">
        <v>139</v>
      </c>
      <c r="C40" s="1">
        <f>IFERROR(__xludf.DUMMYFUNCTION("FILTER(Sheet2!A:A,E40=Sheet2!C:C)"),46.0089580131757)</f>
        <v>46.00895801</v>
      </c>
      <c r="D40" s="3">
        <f>IFERROR(__xludf.DUMMYFUNCTION("FILTER(Sheet2!B:B,E40=Sheet2!C:C)"),1.17527808925982)</f>
        <v>1.175278089</v>
      </c>
      <c r="E40" s="1" t="s">
        <v>140</v>
      </c>
    </row>
    <row r="41">
      <c r="A41" s="1" t="s">
        <v>141</v>
      </c>
      <c r="B41" s="1" t="s">
        <v>142</v>
      </c>
      <c r="C41" s="1">
        <f>IFERROR(__xludf.DUMMYFUNCTION("FILTER(Sheet2!A:A,E41=Sheet2!C:C)"),44.8387623715968)</f>
        <v>44.83876237</v>
      </c>
      <c r="D41" s="3">
        <f>IFERROR(__xludf.DUMMYFUNCTION("FILTER(Sheet2!B:B,E41=Sheet2!C:C)"),-0.582922791933533)</f>
        <v>-0.5829227919</v>
      </c>
      <c r="E41" s="1" t="s">
        <v>143</v>
      </c>
    </row>
    <row r="42">
      <c r="A42" s="1" t="s">
        <v>144</v>
      </c>
      <c r="B42" s="1" t="s">
        <v>145</v>
      </c>
      <c r="C42" s="1">
        <f>IFERROR(__xludf.DUMMYFUNCTION("FILTER(Sheet2!A:A,E42=Sheet2!C:C)"),43.4836014102715)</f>
        <v>43.48360141</v>
      </c>
      <c r="D42" s="3">
        <f>IFERROR(__xludf.DUMMYFUNCTION("FILTER(Sheet2!B:B,E42=Sheet2!C:C)"),-1.55888052055631)</f>
        <v>-1.558880521</v>
      </c>
      <c r="E42" s="1" t="s">
        <v>146</v>
      </c>
    </row>
    <row r="43">
      <c r="A43" s="1" t="s">
        <v>147</v>
      </c>
      <c r="B43" s="1" t="s">
        <v>148</v>
      </c>
      <c r="C43" s="1">
        <f>IFERROR(__xludf.DUMMYFUNCTION("FILTER(Sheet2!A:A,E43=Sheet2!C:C)"),44.9813844484655)</f>
        <v>44.98138445</v>
      </c>
      <c r="D43" s="3">
        <f>IFERROR(__xludf.DUMMYFUNCTION("FILTER(Sheet2!B:B,E43=Sheet2!C:C)"),-0.603351095538419)</f>
        <v>-0.6033510955</v>
      </c>
      <c r="E43" s="1" t="s">
        <v>149</v>
      </c>
    </row>
    <row r="44">
      <c r="A44" s="4"/>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4"/>
    <hyperlink r:id="rId13" ref="B15"/>
    <hyperlink r:id="rId14" ref="B16"/>
    <hyperlink r:id="rId15" ref="B17"/>
    <hyperlink r:id="rId16" ref="B18"/>
    <hyperlink r:id="rId17" ref="B19"/>
    <hyperlink r:id="rId18" ref="B20"/>
    <hyperlink r:id="rId19" ref="B21"/>
    <hyperlink r:id="rId20" ref="B22"/>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15.38"/>
    <col customWidth="1" min="3" max="3" width="64.25"/>
  </cols>
  <sheetData>
    <row r="1">
      <c r="A1" s="1" t="s">
        <v>2</v>
      </c>
      <c r="B1" s="1" t="s">
        <v>150</v>
      </c>
      <c r="C1" s="1" t="s">
        <v>151</v>
      </c>
    </row>
    <row r="2">
      <c r="A2" s="1">
        <v>45.0466394425417</v>
      </c>
      <c r="B2" s="1">
        <v>0.567167074962012</v>
      </c>
      <c r="C2" s="1" t="s">
        <v>7</v>
      </c>
    </row>
    <row r="3">
      <c r="A3" s="1">
        <v>46.159732</v>
      </c>
      <c r="B3" s="1">
        <v>-1.1515951</v>
      </c>
      <c r="C3" s="1" t="s">
        <v>11</v>
      </c>
    </row>
    <row r="4">
      <c r="A4" s="1">
        <v>46.3501168</v>
      </c>
      <c r="B4" s="1">
        <v>1.8467107</v>
      </c>
      <c r="C4" s="1" t="s">
        <v>152</v>
      </c>
    </row>
    <row r="5">
      <c r="A5" s="1">
        <v>45.103967</v>
      </c>
      <c r="B5" s="1">
        <v>-0.6472076</v>
      </c>
      <c r="C5" s="1" t="s">
        <v>153</v>
      </c>
    </row>
    <row r="6">
      <c r="A6" s="1">
        <v>43.4945144</v>
      </c>
      <c r="B6" s="1">
        <v>-1.4736657</v>
      </c>
      <c r="C6" s="1" t="s">
        <v>154</v>
      </c>
    </row>
    <row r="7">
      <c r="A7" s="1">
        <v>45.7389214</v>
      </c>
      <c r="B7" s="1">
        <v>1.7432748</v>
      </c>
      <c r="C7" s="1" t="s">
        <v>27</v>
      </c>
    </row>
    <row r="8">
      <c r="A8" s="1">
        <v>44.841225</v>
      </c>
      <c r="B8" s="1">
        <v>-0.5800364</v>
      </c>
      <c r="C8" s="1" t="s">
        <v>155</v>
      </c>
    </row>
    <row r="9">
      <c r="A9" s="1">
        <v>46.9599917974315</v>
      </c>
      <c r="B9" s="1">
        <v>-0.437736844366405</v>
      </c>
      <c r="C9" s="1" t="s">
        <v>35</v>
      </c>
    </row>
    <row r="10">
      <c r="A10" s="1">
        <v>45.1584982</v>
      </c>
      <c r="B10" s="1">
        <v>1.5332389</v>
      </c>
      <c r="C10" s="1" t="s">
        <v>156</v>
      </c>
    </row>
    <row r="11">
      <c r="A11" s="1">
        <v>44.8332218</v>
      </c>
      <c r="B11" s="1">
        <v>-0.5704452</v>
      </c>
      <c r="C11" s="1" t="s">
        <v>157</v>
      </c>
    </row>
    <row r="12">
      <c r="A12" s="1">
        <v>45.6667902</v>
      </c>
      <c r="B12" s="1">
        <v>0.0973050440984851</v>
      </c>
      <c r="C12" s="1" t="s">
        <v>158</v>
      </c>
    </row>
    <row r="13">
      <c r="A13" s="1">
        <v>44.5315985</v>
      </c>
      <c r="B13" s="1">
        <v>0.7699592</v>
      </c>
      <c r="C13" s="1" t="s">
        <v>159</v>
      </c>
    </row>
    <row r="14">
      <c r="A14" s="1">
        <v>44.2015827</v>
      </c>
      <c r="B14" s="1">
        <v>0.6176112</v>
      </c>
      <c r="C14" s="1" t="s">
        <v>160</v>
      </c>
    </row>
    <row r="15">
      <c r="A15" s="1">
        <v>43.4874963</v>
      </c>
      <c r="B15" s="1">
        <v>-0.7738363</v>
      </c>
      <c r="C15" s="1" t="s">
        <v>58</v>
      </c>
    </row>
    <row r="16">
      <c r="A16" s="1">
        <v>46.5601099</v>
      </c>
      <c r="B16" s="1">
        <v>0.3822398</v>
      </c>
      <c r="C16" s="1" t="s">
        <v>161</v>
      </c>
    </row>
    <row r="17">
      <c r="A17" s="1">
        <v>46.0769177909057</v>
      </c>
      <c r="B17" s="1">
        <v>-0.796700690022753</v>
      </c>
      <c r="C17" s="1" t="s">
        <v>66</v>
      </c>
    </row>
    <row r="18">
      <c r="A18" s="1">
        <v>43.18718655</v>
      </c>
      <c r="B18" s="1">
        <v>-0.728247400084667</v>
      </c>
      <c r="C18" s="1" t="s">
        <v>70</v>
      </c>
    </row>
    <row r="19">
      <c r="A19" s="1">
        <v>43.64878</v>
      </c>
      <c r="B19" s="1">
        <v>-0.94891</v>
      </c>
      <c r="C19" s="1" t="s">
        <v>162</v>
      </c>
    </row>
    <row r="20">
      <c r="A20" s="1">
        <v>45.6667902</v>
      </c>
      <c r="B20" s="1">
        <v>0.0973050440984851</v>
      </c>
      <c r="C20" s="1" t="s">
        <v>163</v>
      </c>
    </row>
    <row r="21">
      <c r="A21" s="1">
        <v>43.1702393281766</v>
      </c>
      <c r="B21" s="1">
        <v>-0.330065685100847</v>
      </c>
      <c r="C21" s="1" t="s">
        <v>164</v>
      </c>
    </row>
    <row r="22">
      <c r="A22" s="1">
        <v>44.842168</v>
      </c>
      <c r="B22" s="1">
        <v>-0.6469022</v>
      </c>
      <c r="C22" s="1" t="s">
        <v>84</v>
      </c>
    </row>
    <row r="23">
      <c r="A23" s="1">
        <v>44.8365393</v>
      </c>
      <c r="B23" s="1">
        <v>-0.5892062</v>
      </c>
      <c r="C23" s="1" t="s">
        <v>89</v>
      </c>
    </row>
    <row r="24">
      <c r="A24" s="1">
        <v>44.8365393</v>
      </c>
      <c r="B24" s="1">
        <v>-0.5892062</v>
      </c>
      <c r="C24" s="1" t="s">
        <v>92</v>
      </c>
    </row>
    <row r="25">
      <c r="A25" s="1">
        <v>46.1907035194667</v>
      </c>
      <c r="B25" s="1">
        <v>-1.15396101283626</v>
      </c>
      <c r="C25" s="1" t="s">
        <v>95</v>
      </c>
    </row>
    <row r="26">
      <c r="A26" s="1">
        <v>45.9585156916151</v>
      </c>
      <c r="B26" s="1">
        <v>1.402427521064</v>
      </c>
      <c r="C26" s="1" t="s">
        <v>98</v>
      </c>
    </row>
    <row r="27">
      <c r="A27" s="1">
        <v>44.8382754734305</v>
      </c>
      <c r="B27" s="1">
        <v>-0.57674298233235</v>
      </c>
      <c r="C27" s="1" t="s">
        <v>101</v>
      </c>
    </row>
    <row r="28">
      <c r="A28" s="1">
        <v>44.8382754734305</v>
      </c>
      <c r="B28" s="1">
        <v>-0.576227998198918</v>
      </c>
      <c r="C28" s="1" t="s">
        <v>104</v>
      </c>
    </row>
    <row r="29">
      <c r="A29" s="1">
        <v>44.8388840954955</v>
      </c>
      <c r="B29" s="1">
        <v>-0.580004548510752</v>
      </c>
      <c r="C29" s="1" t="s">
        <v>107</v>
      </c>
    </row>
    <row r="30">
      <c r="A30" s="1">
        <v>46.5804936028844</v>
      </c>
      <c r="B30" s="1">
        <v>0.337295859082901</v>
      </c>
      <c r="C30" s="1" t="s">
        <v>110</v>
      </c>
    </row>
    <row r="31">
      <c r="A31" s="1">
        <v>45.6911729607915</v>
      </c>
      <c r="B31" s="1">
        <v>-0.329657255399081</v>
      </c>
      <c r="C31" s="1" t="s">
        <v>113</v>
      </c>
    </row>
    <row r="32">
      <c r="A32" s="1">
        <v>44.838518923028</v>
      </c>
      <c r="B32" s="1">
        <v>-0.577086305087971</v>
      </c>
      <c r="C32" s="1" t="s">
        <v>116</v>
      </c>
    </row>
    <row r="33">
      <c r="A33" s="1">
        <v>45.1381988770107</v>
      </c>
      <c r="B33" s="1">
        <v>1.074247095943</v>
      </c>
      <c r="C33" s="1" t="s">
        <v>119</v>
      </c>
    </row>
    <row r="34">
      <c r="A34" s="1">
        <v>44.2908876460236</v>
      </c>
      <c r="B34" s="1">
        <v>0.275488728779048</v>
      </c>
      <c r="C34" s="1" t="s">
        <v>122</v>
      </c>
    </row>
    <row r="35">
      <c r="A35" s="1">
        <v>44.8121558883862</v>
      </c>
      <c r="B35" s="1">
        <v>-0.544312608264202</v>
      </c>
      <c r="C35" s="1" t="s">
        <v>125</v>
      </c>
    </row>
    <row r="36">
      <c r="A36" s="1">
        <v>45.7166583358495</v>
      </c>
      <c r="B36" s="1">
        <v>0.206970737226185</v>
      </c>
      <c r="C36" s="1" t="s">
        <v>128</v>
      </c>
    </row>
    <row r="37">
      <c r="A37" s="1">
        <v>43.4814068163418</v>
      </c>
      <c r="B37" s="1">
        <v>-1.51554891197748</v>
      </c>
      <c r="C37" s="1" t="s">
        <v>131</v>
      </c>
    </row>
    <row r="38">
      <c r="A38" s="1">
        <v>45.1803877849963</v>
      </c>
      <c r="B38" s="1">
        <v>0.771818946761729</v>
      </c>
      <c r="C38" s="1" t="s">
        <v>134</v>
      </c>
    </row>
    <row r="39">
      <c r="A39" s="1">
        <v>43.1938801839086</v>
      </c>
      <c r="B39" s="1">
        <v>-0.605329568158562</v>
      </c>
      <c r="C39" s="1" t="s">
        <v>137</v>
      </c>
    </row>
    <row r="40">
      <c r="A40" s="1">
        <v>46.0089580131757</v>
      </c>
      <c r="B40" s="1">
        <v>1.17527808925982</v>
      </c>
      <c r="C40" s="1" t="s">
        <v>140</v>
      </c>
    </row>
    <row r="41">
      <c r="A41" s="1">
        <v>44.8387623715968</v>
      </c>
      <c r="B41" s="1">
        <v>-0.582922791933533</v>
      </c>
      <c r="C41" s="1" t="s">
        <v>143</v>
      </c>
    </row>
    <row r="42">
      <c r="A42" s="1">
        <v>43.4836014102715</v>
      </c>
      <c r="B42" s="1">
        <v>-1.55888052055631</v>
      </c>
      <c r="C42" s="1" t="s">
        <v>146</v>
      </c>
    </row>
    <row r="43">
      <c r="A43" s="1">
        <v>44.9813844484655</v>
      </c>
      <c r="B43" s="1">
        <v>-0.603351095538419</v>
      </c>
      <c r="C43" s="1" t="s">
        <v>149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38.63"/>
    <col customWidth="1" min="4" max="4" width="23.5"/>
    <col customWidth="1" min="6" max="6" width="18.13"/>
  </cols>
  <sheetData>
    <row r="1">
      <c r="A1" s="5" t="s">
        <v>165</v>
      </c>
      <c r="B1" s="1" t="s">
        <v>166</v>
      </c>
      <c r="C1" s="1" t="s">
        <v>167</v>
      </c>
      <c r="D1" s="1" t="s">
        <v>168</v>
      </c>
      <c r="E1" s="1" t="s">
        <v>169</v>
      </c>
      <c r="F1" s="1" t="s">
        <v>170</v>
      </c>
      <c r="G1" s="1" t="s">
        <v>171</v>
      </c>
      <c r="H1" s="1" t="s">
        <v>172</v>
      </c>
      <c r="I1" s="1"/>
      <c r="J1" s="1"/>
      <c r="K1" s="1"/>
      <c r="L1" s="1"/>
      <c r="M1" s="1"/>
      <c r="N1" s="1"/>
      <c r="O1" s="1"/>
      <c r="Q1" s="1"/>
      <c r="R1" s="1"/>
      <c r="S1" s="1"/>
      <c r="T1" s="1"/>
      <c r="U1" s="1"/>
      <c r="V1" s="1"/>
      <c r="W1" s="1"/>
      <c r="X1" s="1"/>
    </row>
    <row r="2">
      <c r="A2" s="5" t="s">
        <v>173</v>
      </c>
      <c r="B2" s="1" t="s">
        <v>174</v>
      </c>
      <c r="C2" s="1" t="s">
        <v>175</v>
      </c>
      <c r="D2" s="1">
        <v>8.9017341200028E13</v>
      </c>
      <c r="E2" s="1">
        <v>53966.0</v>
      </c>
      <c r="F2" s="1" t="s">
        <v>176</v>
      </c>
      <c r="G2" s="1">
        <v>33780.0</v>
      </c>
      <c r="H2" s="1" t="s">
        <v>177</v>
      </c>
      <c r="I2" s="1">
        <v>35.0</v>
      </c>
      <c r="J2" s="1"/>
      <c r="K2" s="1">
        <v>33340.0</v>
      </c>
      <c r="L2" s="1" t="s">
        <v>178</v>
      </c>
      <c r="N2" s="1">
        <v>33514.0</v>
      </c>
      <c r="O2" s="1">
        <v>33177.0</v>
      </c>
      <c r="Q2" s="1">
        <v>35.0</v>
      </c>
      <c r="R2" s="1" t="s">
        <v>179</v>
      </c>
      <c r="S2" s="1" t="s">
        <v>180</v>
      </c>
      <c r="T2" s="1" t="s">
        <v>181</v>
      </c>
      <c r="U2" s="1" t="s">
        <v>182</v>
      </c>
      <c r="V2" s="1" t="s">
        <v>183</v>
      </c>
      <c r="W2" s="1" t="s">
        <v>184</v>
      </c>
      <c r="X2" s="1" t="s">
        <v>185</v>
      </c>
    </row>
    <row r="3">
      <c r="A3" s="5" t="s">
        <v>186</v>
      </c>
      <c r="B3" s="1" t="s">
        <v>187</v>
      </c>
      <c r="C3" s="1" t="s">
        <v>188</v>
      </c>
      <c r="D3" s="1">
        <v>8.2769422500034E13</v>
      </c>
      <c r="E3" s="1">
        <v>125243.0</v>
      </c>
      <c r="F3" s="1" t="s">
        <v>189</v>
      </c>
      <c r="G3" s="1">
        <v>33580.0</v>
      </c>
      <c r="H3" s="1" t="s">
        <v>190</v>
      </c>
      <c r="I3" s="1">
        <v>35.0</v>
      </c>
      <c r="J3" s="1"/>
      <c r="K3" s="1">
        <v>33580.0</v>
      </c>
      <c r="L3" s="1" t="s">
        <v>190</v>
      </c>
      <c r="N3" s="1">
        <v>33289.0</v>
      </c>
      <c r="O3" s="1">
        <v>33289.0</v>
      </c>
      <c r="Q3" s="1">
        <v>35.0</v>
      </c>
      <c r="R3" s="1" t="s">
        <v>180</v>
      </c>
      <c r="S3" s="1" t="s">
        <v>181</v>
      </c>
      <c r="T3" s="1" t="s">
        <v>191</v>
      </c>
      <c r="U3" s="1" t="s">
        <v>192</v>
      </c>
      <c r="V3" s="1" t="s">
        <v>184</v>
      </c>
      <c r="W3" s="1" t="s">
        <v>193</v>
      </c>
    </row>
    <row r="4">
      <c r="A4" s="5" t="s">
        <v>194</v>
      </c>
      <c r="B4" s="1" t="s">
        <v>195</v>
      </c>
      <c r="C4" s="1" t="s">
        <v>195</v>
      </c>
      <c r="D4" s="1">
        <v>8.8751534400018E13</v>
      </c>
      <c r="E4" s="1">
        <v>16284.0</v>
      </c>
      <c r="F4" s="1" t="s">
        <v>196</v>
      </c>
      <c r="G4" s="1">
        <v>33110.0</v>
      </c>
      <c r="H4" s="1" t="s">
        <v>197</v>
      </c>
      <c r="I4" s="1">
        <v>35.0</v>
      </c>
      <c r="J4" s="1"/>
      <c r="K4" s="1">
        <v>33110.0</v>
      </c>
      <c r="L4" s="1" t="s">
        <v>198</v>
      </c>
      <c r="N4" s="1">
        <v>33069.0</v>
      </c>
      <c r="O4" s="1">
        <v>33069.0</v>
      </c>
      <c r="Q4" s="1">
        <v>35.0</v>
      </c>
      <c r="R4" s="1" t="s">
        <v>181</v>
      </c>
      <c r="S4" s="1" t="s">
        <v>180</v>
      </c>
      <c r="T4" s="1" t="s">
        <v>199</v>
      </c>
      <c r="U4" s="1" t="s">
        <v>200</v>
      </c>
      <c r="V4" s="1" t="s">
        <v>201</v>
      </c>
      <c r="W4" s="1" t="s">
        <v>202</v>
      </c>
    </row>
    <row r="5">
      <c r="A5" s="5" t="s">
        <v>203</v>
      </c>
      <c r="B5" s="1" t="s">
        <v>204</v>
      </c>
      <c r="C5" s="1" t="s">
        <v>205</v>
      </c>
      <c r="D5" s="1">
        <v>8.4530134000012E13</v>
      </c>
      <c r="E5" s="1">
        <v>4876.0</v>
      </c>
      <c r="F5" s="1" t="s">
        <v>206</v>
      </c>
      <c r="G5" s="1">
        <v>33190.0</v>
      </c>
      <c r="H5" s="1" t="s">
        <v>207</v>
      </c>
      <c r="I5" s="1">
        <v>35.0</v>
      </c>
      <c r="J5" s="1"/>
      <c r="K5" s="1">
        <v>33294.0</v>
      </c>
      <c r="R5" s="1" t="s">
        <v>180</v>
      </c>
      <c r="S5" s="1" t="s">
        <v>181</v>
      </c>
      <c r="T5" s="1" t="s">
        <v>182</v>
      </c>
      <c r="U5" s="1" t="s">
        <v>183</v>
      </c>
      <c r="V5" s="1" t="s">
        <v>184</v>
      </c>
      <c r="W5" s="1" t="s">
        <v>208</v>
      </c>
    </row>
    <row r="6">
      <c r="A6" s="5" t="s">
        <v>209</v>
      </c>
      <c r="B6" s="1" t="s">
        <v>210</v>
      </c>
      <c r="C6" s="1" t="s">
        <v>211</v>
      </c>
      <c r="D6" s="1">
        <v>7.9338077500015E13</v>
      </c>
      <c r="E6" s="1">
        <v>13072.0</v>
      </c>
      <c r="F6" s="1" t="s">
        <v>212</v>
      </c>
      <c r="G6" s="1">
        <v>33450.0</v>
      </c>
      <c r="H6" s="1" t="s">
        <v>213</v>
      </c>
      <c r="I6" s="1">
        <v>35.0</v>
      </c>
      <c r="J6" s="1"/>
      <c r="K6" s="1">
        <v>33450.0</v>
      </c>
      <c r="L6" s="1" t="s">
        <v>214</v>
      </c>
      <c r="N6" s="1">
        <v>33433.0</v>
      </c>
      <c r="O6" s="1">
        <v>33293.0</v>
      </c>
      <c r="Q6" s="1">
        <v>35.0</v>
      </c>
      <c r="R6" s="1" t="s">
        <v>181</v>
      </c>
      <c r="S6" s="1" t="s">
        <v>180</v>
      </c>
      <c r="T6" s="1" t="s">
        <v>215</v>
      </c>
      <c r="U6" s="1" t="s">
        <v>216</v>
      </c>
      <c r="V6" s="1" t="s">
        <v>184</v>
      </c>
      <c r="W6" s="1" t="s">
        <v>217</v>
      </c>
    </row>
    <row r="7">
      <c r="A7" s="5" t="s">
        <v>218</v>
      </c>
      <c r="B7" s="1" t="s">
        <v>219</v>
      </c>
      <c r="C7" s="1" t="s">
        <v>220</v>
      </c>
      <c r="D7" s="1">
        <v>5.2075895400017E13</v>
      </c>
      <c r="E7" s="1">
        <v>35965.0</v>
      </c>
      <c r="F7" s="1" t="s">
        <v>219</v>
      </c>
      <c r="G7" s="1">
        <v>33500.0</v>
      </c>
      <c r="H7" s="1" t="s">
        <v>221</v>
      </c>
      <c r="I7" s="1">
        <v>35.0</v>
      </c>
      <c r="J7" s="1"/>
      <c r="K7" s="1">
        <v>33500.0</v>
      </c>
      <c r="L7" s="1" t="s">
        <v>222</v>
      </c>
      <c r="N7" s="1">
        <v>33222.0</v>
      </c>
      <c r="O7" s="1">
        <v>33222.0</v>
      </c>
      <c r="Q7" s="1">
        <v>35.0</v>
      </c>
      <c r="R7" s="1" t="s">
        <v>180</v>
      </c>
      <c r="S7" s="1" t="s">
        <v>181</v>
      </c>
      <c r="T7" s="1" t="s">
        <v>182</v>
      </c>
      <c r="U7" s="1" t="s">
        <v>183</v>
      </c>
      <c r="V7" s="1" t="s">
        <v>184</v>
      </c>
      <c r="W7" s="1" t="s">
        <v>223</v>
      </c>
    </row>
    <row r="8">
      <c r="A8" s="5" t="s">
        <v>224</v>
      </c>
      <c r="B8" s="1" t="s">
        <v>225</v>
      </c>
      <c r="C8" s="1" t="s">
        <v>226</v>
      </c>
      <c r="D8" s="1">
        <v>8.2284668900013E13</v>
      </c>
      <c r="E8" s="1">
        <v>108494.0</v>
      </c>
      <c r="G8" s="1">
        <v>33190.0</v>
      </c>
      <c r="H8" s="1" t="s">
        <v>227</v>
      </c>
      <c r="I8" s="1">
        <v>35.0</v>
      </c>
      <c r="J8" s="1"/>
      <c r="K8" s="1">
        <v>33190.0</v>
      </c>
      <c r="L8" s="1" t="s">
        <v>227</v>
      </c>
      <c r="N8" s="1">
        <v>33352.0</v>
      </c>
      <c r="O8" s="1">
        <v>33352.0</v>
      </c>
      <c r="Q8" s="1">
        <v>35.0</v>
      </c>
      <c r="R8" s="1" t="s">
        <v>180</v>
      </c>
      <c r="S8" s="1" t="s">
        <v>179</v>
      </c>
      <c r="T8" s="1" t="s">
        <v>181</v>
      </c>
      <c r="U8" s="1" t="s">
        <v>182</v>
      </c>
      <c r="V8" s="1" t="s">
        <v>183</v>
      </c>
      <c r="W8" s="1" t="s">
        <v>201</v>
      </c>
      <c r="X8" s="1" t="s">
        <v>228</v>
      </c>
    </row>
    <row r="9">
      <c r="A9" s="5" t="s">
        <v>229</v>
      </c>
      <c r="B9" s="1" t="s">
        <v>230</v>
      </c>
      <c r="C9" s="1" t="s">
        <v>231</v>
      </c>
      <c r="D9" s="1">
        <v>4.9838545900033E13</v>
      </c>
      <c r="E9" s="1">
        <v>120606.0</v>
      </c>
      <c r="G9" s="1">
        <v>33800.0</v>
      </c>
      <c r="H9" s="1" t="s">
        <v>232</v>
      </c>
      <c r="I9" s="1">
        <v>35.0</v>
      </c>
      <c r="J9" s="1"/>
      <c r="K9" s="1">
        <v>33000.0</v>
      </c>
      <c r="L9" s="1" t="s">
        <v>232</v>
      </c>
      <c r="N9" s="1">
        <v>33063.0</v>
      </c>
      <c r="O9" s="1">
        <v>33063.0</v>
      </c>
      <c r="Q9" s="1">
        <v>35.0</v>
      </c>
      <c r="R9" s="1" t="s">
        <v>180</v>
      </c>
      <c r="S9" s="1" t="s">
        <v>180</v>
      </c>
      <c r="T9" s="1" t="s">
        <v>179</v>
      </c>
      <c r="U9" s="1" t="s">
        <v>181</v>
      </c>
      <c r="V9" s="1" t="s">
        <v>182</v>
      </c>
      <c r="W9" s="1" t="s">
        <v>183</v>
      </c>
      <c r="X9" s="1" t="s">
        <v>184</v>
      </c>
      <c r="Y9" s="1" t="s">
        <v>233</v>
      </c>
    </row>
    <row r="10">
      <c r="A10" s="5" t="s">
        <v>234</v>
      </c>
      <c r="B10" s="1" t="s">
        <v>235</v>
      </c>
      <c r="C10" s="1" t="s">
        <v>235</v>
      </c>
      <c r="D10" s="1">
        <v>4.1307811400019E13</v>
      </c>
      <c r="E10" s="1">
        <v>25747.0</v>
      </c>
      <c r="F10" s="1" t="s">
        <v>235</v>
      </c>
      <c r="G10" s="1">
        <v>33760.0</v>
      </c>
      <c r="H10" s="1" t="s">
        <v>236</v>
      </c>
      <c r="I10" s="1">
        <v>35.0</v>
      </c>
      <c r="J10" s="1"/>
      <c r="K10" s="1">
        <v>33292.0</v>
      </c>
      <c r="N10" s="1" t="s">
        <v>180</v>
      </c>
      <c r="O10" s="1" t="s">
        <v>181</v>
      </c>
      <c r="P10" s="1" t="s">
        <v>182</v>
      </c>
      <c r="Q10" s="1" t="s">
        <v>183</v>
      </c>
      <c r="R10" s="1" t="s">
        <v>184</v>
      </c>
      <c r="S10" s="1" t="s">
        <v>237</v>
      </c>
    </row>
    <row r="11">
      <c r="A11" s="5" t="s">
        <v>238</v>
      </c>
      <c r="B11" s="1" t="s">
        <v>239</v>
      </c>
      <c r="C11" s="1" t="s">
        <v>239</v>
      </c>
      <c r="D11" s="1">
        <v>4.1047134600016E13</v>
      </c>
      <c r="E11" s="1">
        <v>25748.0</v>
      </c>
      <c r="F11" s="1" t="s">
        <v>239</v>
      </c>
      <c r="G11" s="1">
        <v>33760.0</v>
      </c>
      <c r="H11" s="1" t="s">
        <v>236</v>
      </c>
      <c r="I11" s="1">
        <v>35.0</v>
      </c>
      <c r="J11" s="1"/>
      <c r="K11" s="1">
        <v>33292.0</v>
      </c>
      <c r="N11" s="1" t="s">
        <v>180</v>
      </c>
      <c r="O11" s="1" t="s">
        <v>181</v>
      </c>
      <c r="P11" s="1" t="s">
        <v>182</v>
      </c>
      <c r="Q11" s="1" t="s">
        <v>183</v>
      </c>
      <c r="R11" s="1" t="s">
        <v>184</v>
      </c>
      <c r="S11" s="1" t="s">
        <v>237</v>
      </c>
    </row>
    <row r="12">
      <c r="A12" s="5" t="s">
        <v>240</v>
      </c>
      <c r="B12" s="3" t="s">
        <v>241</v>
      </c>
      <c r="D12" s="1">
        <v>3.7988252500056E13</v>
      </c>
      <c r="E12" s="1">
        <v>164178.0</v>
      </c>
      <c r="G12" s="1">
        <v>33300.0</v>
      </c>
      <c r="H12" s="1" t="s">
        <v>232</v>
      </c>
      <c r="I12" s="1">
        <v>35.0</v>
      </c>
      <c r="J12" s="1"/>
      <c r="K12" s="1">
        <v>33063.0</v>
      </c>
      <c r="N12" s="1" t="s">
        <v>180</v>
      </c>
      <c r="O12" s="1" t="s">
        <v>181</v>
      </c>
      <c r="P12" s="1" t="s">
        <v>199</v>
      </c>
      <c r="Q12" s="1" t="s">
        <v>200</v>
      </c>
      <c r="R12" s="1" t="s">
        <v>184</v>
      </c>
      <c r="S12" s="1" t="s">
        <v>242</v>
      </c>
    </row>
    <row r="13">
      <c r="A13" s="5" t="s">
        <v>243</v>
      </c>
      <c r="B13" s="1" t="s">
        <v>244</v>
      </c>
      <c r="C13" s="1" t="s">
        <v>245</v>
      </c>
      <c r="D13" s="1">
        <v>7.5243591700022E13</v>
      </c>
      <c r="E13" s="1">
        <v>156044.0</v>
      </c>
      <c r="G13" s="1">
        <v>33470.0</v>
      </c>
      <c r="H13" s="1" t="s">
        <v>246</v>
      </c>
      <c r="I13" s="1">
        <v>35.0</v>
      </c>
      <c r="J13" s="1"/>
      <c r="K13" s="1">
        <v>33470.0</v>
      </c>
      <c r="L13" s="1" t="s">
        <v>246</v>
      </c>
      <c r="N13" s="1">
        <v>33527.0</v>
      </c>
      <c r="O13" s="1">
        <v>33527.0</v>
      </c>
      <c r="Q13" s="1">
        <v>35.0</v>
      </c>
      <c r="R13" s="1" t="s">
        <v>180</v>
      </c>
      <c r="S13" s="1" t="s">
        <v>180</v>
      </c>
      <c r="T13" s="1" t="s">
        <v>179</v>
      </c>
      <c r="U13" s="1" t="s">
        <v>181</v>
      </c>
      <c r="V13" s="1" t="s">
        <v>191</v>
      </c>
      <c r="W13" s="1" t="s">
        <v>192</v>
      </c>
      <c r="X13" s="1" t="s">
        <v>184</v>
      </c>
      <c r="Y13" s="1" t="s">
        <v>247</v>
      </c>
    </row>
    <row r="14">
      <c r="A14" s="5" t="s">
        <v>248</v>
      </c>
      <c r="B14" s="1" t="s">
        <v>249</v>
      </c>
      <c r="C14" s="1" t="s">
        <v>249</v>
      </c>
      <c r="D14" s="1">
        <v>8.0280880800017E13</v>
      </c>
      <c r="E14" s="1">
        <v>20264.0</v>
      </c>
      <c r="F14" s="1" t="s">
        <v>250</v>
      </c>
      <c r="G14" s="1">
        <v>33460.0</v>
      </c>
      <c r="H14" s="1" t="s">
        <v>251</v>
      </c>
      <c r="I14" s="1">
        <v>35.0</v>
      </c>
      <c r="J14" s="1"/>
      <c r="K14" s="1">
        <v>33460.0</v>
      </c>
      <c r="L14" s="1" t="s">
        <v>251</v>
      </c>
      <c r="N14" s="1">
        <v>33012.0</v>
      </c>
      <c r="O14" s="1">
        <v>33012.0</v>
      </c>
      <c r="Q14" s="1">
        <v>35.0</v>
      </c>
      <c r="R14" s="1" t="s">
        <v>180</v>
      </c>
      <c r="S14" s="1" t="s">
        <v>180</v>
      </c>
      <c r="T14" s="1" t="s">
        <v>181</v>
      </c>
      <c r="U14" s="1" t="s">
        <v>252</v>
      </c>
      <c r="V14" s="1" t="s">
        <v>253</v>
      </c>
      <c r="W14" s="1" t="s">
        <v>184</v>
      </c>
      <c r="X14" s="1" t="s">
        <v>254</v>
      </c>
    </row>
    <row r="15">
      <c r="A15" s="5" t="s">
        <v>255</v>
      </c>
      <c r="B15" s="1" t="s">
        <v>256</v>
      </c>
      <c r="C15" s="1" t="s">
        <v>257</v>
      </c>
      <c r="D15" s="1">
        <v>9.2151941900011E13</v>
      </c>
      <c r="E15" s="1">
        <v>52633.0</v>
      </c>
      <c r="F15" s="1" t="s">
        <v>258</v>
      </c>
      <c r="G15" s="1">
        <v>33390.0</v>
      </c>
      <c r="H15" s="1" t="s">
        <v>259</v>
      </c>
      <c r="I15" s="1">
        <v>35.0</v>
      </c>
      <c r="J15" s="1"/>
      <c r="K15" s="1">
        <v>33100.0</v>
      </c>
      <c r="N15" s="1" t="s">
        <v>180</v>
      </c>
      <c r="O15" s="1" t="s">
        <v>181</v>
      </c>
      <c r="P15" s="1" t="s">
        <v>199</v>
      </c>
      <c r="Q15" s="1" t="s">
        <v>200</v>
      </c>
      <c r="R15" s="1" t="s">
        <v>184</v>
      </c>
      <c r="S15" s="1" t="s">
        <v>260</v>
      </c>
    </row>
    <row r="16">
      <c r="A16" s="5" t="s">
        <v>261</v>
      </c>
      <c r="B16" s="1" t="s">
        <v>262</v>
      </c>
      <c r="C16" s="1" t="s">
        <v>263</v>
      </c>
      <c r="D16" s="1">
        <v>9.0883416100014E13</v>
      </c>
      <c r="E16" s="1">
        <v>47113.0</v>
      </c>
      <c r="F16" s="1" t="s">
        <v>264</v>
      </c>
      <c r="G16" s="1">
        <v>33420.0</v>
      </c>
      <c r="H16" s="1" t="s">
        <v>265</v>
      </c>
      <c r="I16" s="1">
        <v>35.0</v>
      </c>
      <c r="J16" s="1"/>
      <c r="K16" s="1">
        <v>33350.0</v>
      </c>
      <c r="L16" s="1" t="s">
        <v>266</v>
      </c>
      <c r="N16" s="1">
        <v>33421.0</v>
      </c>
      <c r="O16" s="1">
        <v>33296.0</v>
      </c>
      <c r="Q16" s="1">
        <v>35.0</v>
      </c>
      <c r="R16" s="1" t="s">
        <v>181</v>
      </c>
      <c r="S16" s="1" t="s">
        <v>180</v>
      </c>
      <c r="T16" s="1" t="s">
        <v>199</v>
      </c>
      <c r="U16" s="1" t="s">
        <v>200</v>
      </c>
      <c r="V16" s="1" t="s">
        <v>201</v>
      </c>
      <c r="W16" s="1" t="s">
        <v>267</v>
      </c>
    </row>
    <row r="17">
      <c r="A17" s="5" t="s">
        <v>268</v>
      </c>
      <c r="B17" s="1" t="s">
        <v>262</v>
      </c>
      <c r="C17" s="1" t="s">
        <v>269</v>
      </c>
      <c r="D17" s="1">
        <v>9.0883416100014E13</v>
      </c>
      <c r="E17" s="1">
        <v>47114.0</v>
      </c>
      <c r="F17" s="1" t="s">
        <v>264</v>
      </c>
      <c r="G17" s="1">
        <v>33420.0</v>
      </c>
      <c r="H17" s="1" t="s">
        <v>265</v>
      </c>
      <c r="I17" s="1">
        <v>35.0</v>
      </c>
      <c r="J17" s="1"/>
      <c r="K17" s="1">
        <v>33350.0</v>
      </c>
      <c r="L17" s="1" t="s">
        <v>266</v>
      </c>
      <c r="N17" s="1">
        <v>33421.0</v>
      </c>
      <c r="O17" s="1">
        <v>33296.0</v>
      </c>
      <c r="Q17" s="1">
        <v>35.0</v>
      </c>
      <c r="R17" s="1" t="s">
        <v>180</v>
      </c>
      <c r="S17" s="1" t="s">
        <v>181</v>
      </c>
      <c r="T17" s="1" t="s">
        <v>180</v>
      </c>
      <c r="U17" s="1" t="s">
        <v>199</v>
      </c>
      <c r="V17" s="1" t="s">
        <v>200</v>
      </c>
      <c r="W17" s="1" t="s">
        <v>184</v>
      </c>
      <c r="X17" s="1" t="s">
        <v>267</v>
      </c>
    </row>
    <row r="18">
      <c r="A18" s="5" t="s">
        <v>270</v>
      </c>
      <c r="B18" s="3" t="s">
        <v>271</v>
      </c>
      <c r="D18" s="1">
        <v>5.0970848300045E13</v>
      </c>
      <c r="E18" s="1">
        <v>116530.0</v>
      </c>
      <c r="G18" s="1">
        <v>33750.0</v>
      </c>
      <c r="H18" s="1" t="s">
        <v>272</v>
      </c>
      <c r="I18" s="1">
        <v>35.0</v>
      </c>
      <c r="J18" s="1"/>
      <c r="K18" s="1">
        <v>33750.0</v>
      </c>
      <c r="L18" s="1" t="s">
        <v>273</v>
      </c>
      <c r="N18" s="1">
        <v>33049.0</v>
      </c>
      <c r="O18" s="1">
        <v>33049.0</v>
      </c>
      <c r="Q18" s="1">
        <v>35.0</v>
      </c>
      <c r="R18" s="1" t="s">
        <v>180</v>
      </c>
      <c r="S18" s="1" t="s">
        <v>181</v>
      </c>
      <c r="T18" s="1" t="s">
        <v>199</v>
      </c>
      <c r="U18" s="1" t="s">
        <v>200</v>
      </c>
      <c r="V18" s="1" t="s">
        <v>184</v>
      </c>
      <c r="W18" s="1" t="s">
        <v>274</v>
      </c>
    </row>
    <row r="19">
      <c r="A19" s="5" t="s">
        <v>275</v>
      </c>
      <c r="B19" s="1" t="s">
        <v>276</v>
      </c>
      <c r="C19" s="1" t="s">
        <v>276</v>
      </c>
      <c r="D19" s="1">
        <v>8.3299875100016E13</v>
      </c>
      <c r="E19" s="1">
        <v>43878.0</v>
      </c>
      <c r="F19" s="1" t="s">
        <v>277</v>
      </c>
      <c r="G19" s="1">
        <v>33570.0</v>
      </c>
      <c r="H19" s="1" t="s">
        <v>278</v>
      </c>
      <c r="I19" s="1">
        <v>35.0</v>
      </c>
      <c r="J19" s="1"/>
      <c r="K19" s="1">
        <v>33570.0</v>
      </c>
      <c r="L19" s="1" t="s">
        <v>279</v>
      </c>
      <c r="N19" s="1">
        <v>33173.0</v>
      </c>
      <c r="O19" s="1">
        <v>33173.0</v>
      </c>
      <c r="Q19" s="1">
        <v>35.0</v>
      </c>
      <c r="R19" s="1" t="s">
        <v>181</v>
      </c>
      <c r="S19" s="1" t="s">
        <v>180</v>
      </c>
      <c r="T19" s="1" t="s">
        <v>199</v>
      </c>
      <c r="U19" s="1" t="s">
        <v>200</v>
      </c>
      <c r="V19" s="1" t="s">
        <v>201</v>
      </c>
      <c r="W19" s="1" t="s">
        <v>280</v>
      </c>
    </row>
    <row r="20">
      <c r="A20" s="5" t="s">
        <v>281</v>
      </c>
      <c r="B20" s="1" t="s">
        <v>282</v>
      </c>
      <c r="C20" s="1" t="s">
        <v>283</v>
      </c>
      <c r="D20" s="1">
        <v>7.7558500300863E13</v>
      </c>
      <c r="E20" s="1">
        <v>41028.0</v>
      </c>
      <c r="F20" s="1" t="s">
        <v>284</v>
      </c>
      <c r="G20" s="1">
        <v>33980.0</v>
      </c>
      <c r="H20" s="1" t="s">
        <v>285</v>
      </c>
      <c r="I20" s="1">
        <v>35.0</v>
      </c>
      <c r="J20" s="1"/>
      <c r="K20" s="1">
        <v>33980.0</v>
      </c>
      <c r="L20" s="1" t="s">
        <v>286</v>
      </c>
      <c r="N20" s="1">
        <v>33019.0</v>
      </c>
      <c r="O20" s="1">
        <v>33019.0</v>
      </c>
      <c r="Q20" s="1">
        <v>35.0</v>
      </c>
      <c r="R20" s="1" t="s">
        <v>180</v>
      </c>
      <c r="S20" s="1" t="s">
        <v>181</v>
      </c>
      <c r="T20" s="1" t="s">
        <v>180</v>
      </c>
      <c r="U20" s="1" t="s">
        <v>199</v>
      </c>
      <c r="V20" s="1" t="s">
        <v>200</v>
      </c>
      <c r="W20" s="1" t="s">
        <v>184</v>
      </c>
      <c r="X20" s="1" t="s">
        <v>287</v>
      </c>
    </row>
    <row r="21">
      <c r="A21" s="5" t="s">
        <v>288</v>
      </c>
      <c r="B21" s="1" t="s">
        <v>282</v>
      </c>
      <c r="C21" s="1" t="s">
        <v>289</v>
      </c>
      <c r="D21" s="1">
        <v>7.7558500300707E13</v>
      </c>
      <c r="E21" s="1">
        <v>117741.0</v>
      </c>
      <c r="G21" s="1">
        <v>33600.0</v>
      </c>
      <c r="H21" s="1" t="s">
        <v>290</v>
      </c>
      <c r="I21" s="1">
        <v>35.0</v>
      </c>
      <c r="J21" s="1"/>
      <c r="K21" s="1">
        <v>33318.0</v>
      </c>
      <c r="N21" s="1" t="s">
        <v>180</v>
      </c>
      <c r="O21" s="1" t="s">
        <v>179</v>
      </c>
      <c r="P21" s="1" t="s">
        <v>181</v>
      </c>
      <c r="Q21" s="1" t="s">
        <v>182</v>
      </c>
      <c r="R21" s="1" t="s">
        <v>183</v>
      </c>
      <c r="S21" s="1" t="s">
        <v>201</v>
      </c>
      <c r="T21" s="1" t="s">
        <v>291</v>
      </c>
    </row>
  </sheetData>
  <drawing r:id="rId1"/>
</worksheet>
</file>
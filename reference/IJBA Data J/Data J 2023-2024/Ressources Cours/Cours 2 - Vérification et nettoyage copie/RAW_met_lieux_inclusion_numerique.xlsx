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met_lieux_inclusion_numeriq" sheetId="1" r:id="rId5"/>
    <sheet state="visible" name="Feuille 2" sheetId="2" r:id="rId6"/>
    <sheet state="visible" name="etape1" sheetId="3" r:id="rId7"/>
    <sheet state="visible" name="subventions-metropole-de-bordea" sheetId="4" r:id="rId8"/>
  </sheets>
  <definedNames>
    <definedName hidden="1" localSheetId="2" name="_xlnm._FilterDatabase">etape1!$A$1:$R$128</definedName>
  </definedNames>
  <calcPr/>
</workbook>
</file>

<file path=xl/sharedStrings.xml><?xml version="1.0" encoding="utf-8"?>
<sst xmlns="http://schemas.openxmlformats.org/spreadsheetml/2006/main" count="15549" uniqueCount="3752">
  <si>
    <t>id</t>
  </si>
  <si>
    <t>nom</t>
  </si>
  <si>
    <t>structure_porteuse</t>
  </si>
  <si>
    <t>description</t>
  </si>
  <si>
    <t>type_lieu</t>
  </si>
  <si>
    <t>statut</t>
  </si>
  <si>
    <t>nature_juridique</t>
  </si>
  <si>
    <t>siret</t>
  </si>
  <si>
    <t>adresse_brut</t>
  </si>
  <si>
    <t>adresse_numero</t>
  </si>
  <si>
    <t>adresse_rue</t>
  </si>
  <si>
    <t>adresse_code_postal</t>
  </si>
  <si>
    <t>adresse_code_insee</t>
  </si>
  <si>
    <t>adresse_commune</t>
  </si>
  <si>
    <t>adresse_departement</t>
  </si>
  <si>
    <t>adresse_region</t>
  </si>
  <si>
    <t>adresse_complément</t>
  </si>
  <si>
    <t>latitude</t>
  </si>
  <si>
    <t>longitude</t>
  </si>
  <si>
    <t>itinerant</t>
  </si>
  <si>
    <t>en_ligne</t>
  </si>
  <si>
    <t>contact_telephone</t>
  </si>
  <si>
    <t>contact_telephone_complement</t>
  </si>
  <si>
    <t>contact_telephone_details</t>
  </si>
  <si>
    <t>contact_telephone_complement_detail</t>
  </si>
  <si>
    <t>contact_email</t>
  </si>
  <si>
    <t>contact_web</t>
  </si>
  <si>
    <t>contact_facebook</t>
  </si>
  <si>
    <t>horaires_ouverture_brut</t>
  </si>
  <si>
    <t>horaires_ouverture_osm</t>
  </si>
  <si>
    <t>public_cible</t>
  </si>
  <si>
    <t>modalites_acces</t>
  </si>
  <si>
    <t>modalites_accompagnement</t>
  </si>
  <si>
    <t>tarifs</t>
  </si>
  <si>
    <t>accessibilite</t>
  </si>
  <si>
    <t>services</t>
  </si>
  <si>
    <t>niveau_service</t>
  </si>
  <si>
    <t>labels</t>
  </si>
  <si>
    <t>geo_point</t>
  </si>
  <si>
    <t>Emmaüs Connect</t>
  </si>
  <si>
    <t>Nous mettons en place des activités dédiées à accompagner les personnes en difficulté numérique dans leur parcours. Nous les aidons à accéder à une offre solidaire pour s’équiper et se connecter tout en leur fournissant des outils pédagogiques pour appréhender seules ou accompagnées les services numériques essentiels à leur insertion sociale et professionnelle.</t>
  </si>
  <si>
    <t>Association</t>
  </si>
  <si>
    <t>Privé</t>
  </si>
  <si>
    <t>38 cours des Aubiers</t>
  </si>
  <si>
    <t>Cours des Aubiers</t>
  </si>
  <si>
    <t>Bordeaux</t>
  </si>
  <si>
    <t>Gironde</t>
  </si>
  <si>
    <t>Nouvelle Aquitaine</t>
  </si>
  <si>
    <t>44.8729813595829</t>
  </si>
  <si>
    <t>-0.57225924758073</t>
  </si>
  <si>
    <t>Non</t>
  </si>
  <si>
    <t>Mardi au Jeudi : 10h-13h/14h-17h45. Vendredi 10h-13h/14h-16h45.</t>
  </si>
  <si>
    <t>csbordeaux@emmaus-connect.org</t>
  </si>
  <si>
    <t>https://emmaus-connect.org/bordeaux/</t>
  </si>
  <si>
    <t>Tu-Th 10:00-13:00,14:00-17:45; Fr 10:00-13:00,14:00-16:45</t>
  </si>
  <si>
    <t>Tout public</t>
  </si>
  <si>
    <t>Sur inscription ou rendez-vous</t>
  </si>
  <si>
    <t>Collectif</t>
  </si>
  <si>
    <t>Gratuit,Adhérent</t>
  </si>
  <si>
    <t>Accès à un équipement informatique,Le public peut amener son propre matériel</t>
  </si>
  <si>
    <t>TABLETTE/Expert,ORDI/Expert,INTERNET/Expert,MAILS/Expert,CV/Maîtrise,DIFFCV/Maîtrise,ORGRECHEMPLOI/Maîtrise,EMPLOISTORE/Maîtrise,DECLAPE/Basique,IMPOTS/Basique,DROITSSOCIAUXRSACAF/Basique,RETRAITE/Basique,CPAM/Basique,FACTURES/Basique,ETATCIVIL/Basique,PERMIS/Basique,PHOTO/Non,IMPTROISD/Non,PAO/Non,SITEWEB/Non,CODE/Non,MOOC/Basique</t>
  </si>
  <si>
    <t>44.8729813596, -0.572259247581</t>
  </si>
  <si>
    <t>L'Atelier de No Working Bordeaux Bacalan</t>
  </si>
  <si>
    <t>L'atelier de No Working est un espace d'activités, d'échange et de partage à destination des seniors.</t>
  </si>
  <si>
    <t>Autre / Inconnu</t>
  </si>
  <si>
    <t>Société par Actions Simplifiée (SAS)</t>
  </si>
  <si>
    <t>19 rue Achard</t>
  </si>
  <si>
    <t>Rue Achard</t>
  </si>
  <si>
    <t>44.8655620407963</t>
  </si>
  <si>
    <t>-0.549216592052866</t>
  </si>
  <si>
    <t>Du Lundi au Vendredi : 9h12h30/13h30-18h.</t>
  </si>
  <si>
    <t>contact@atelierdenoworking.fr</t>
  </si>
  <si>
    <t>https://atelierdenoworking.fr/</t>
  </si>
  <si>
    <t>https://www.facebook.com/atelierdenoworking</t>
  </si>
  <si>
    <t>Mo-Fr 09:00-12:30,13:30-18:00</t>
  </si>
  <si>
    <t>Séniors</t>
  </si>
  <si>
    <t>Individuel,Collectif</t>
  </si>
  <si>
    <t>Payant</t>
  </si>
  <si>
    <t>TABLETTE/Basique,ORDI/Non,INTERNET/Basique,MAILS/Basique,CV/Non,DIFFCV/Non,ORGRECHEMPLOI/Non,EMPLOISTORE/Non,DECLAPE/Non,IMPOTS/Non,DROITSSOCIAUXRSACAF/Non,RETRAITE/Non,CPAM/Non,FACTURES/Non,ETATCIVIL/Non,PERMIS/Non,PHOTO/Basique,IMPTROISD/Non,PAO/Non,SITEWEB/Non,CODE/Non,MOOC/Non</t>
  </si>
  <si>
    <t>44.8655620408, -0.549216592053</t>
  </si>
  <si>
    <t>Pôle Emploi Gironde - Bordeaux Nord</t>
  </si>
  <si>
    <t>Pôle Emploi</t>
  </si>
  <si>
    <t>Accueille et accompagne toute personne à la recherche d'un emploi, d'une formation, d'un conseil professionnelle, d'une aide à la mobilité ou à l'insertion sociale et professionnelle.Indemnise les personnes relevant de l'assurance-chômage. Conseille et accompagne les entreprises dans leurs recrutements. Relaie les politiques publiques en relation avec ses missions.</t>
  </si>
  <si>
    <t>Public</t>
  </si>
  <si>
    <t>Autre</t>
  </si>
  <si>
    <t>5 place Ravezies</t>
  </si>
  <si>
    <t>Place Ravezies</t>
  </si>
  <si>
    <t>Immeuble le 5</t>
  </si>
  <si>
    <t>44.8373274551188</t>
  </si>
  <si>
    <t>-0.572872104001035</t>
  </si>
  <si>
    <t>Réception sans rendez-vous  les matin du Lundi au Vendredi de 8h30 à 12h30 et sur rendez-vous les après-midi sauf le Jeudi.</t>
  </si>
  <si>
    <t>Non communiqué</t>
  </si>
  <si>
    <t>https://www.pole-emploi.fr</t>
  </si>
  <si>
    <t>Mo-Fr 08:30-12:30</t>
  </si>
  <si>
    <t>Demandeurs d'emploi</t>
  </si>
  <si>
    <t>Gratuit</t>
  </si>
  <si>
    <t>Accès à un équipement informatique</t>
  </si>
  <si>
    <t>TABLETTE/Non,ORDI/Non,INTERNET/Non,MAILS/Non,CV/Expert,DIFFCV/Expert,ORGRECHEMPLOI/Expert,EMPLOISTORE/Expert,DECLAPE/Expert,IMPOTS/Non,DROITSSOCIAUXRSACAF/Non,RETRAITE/Non,CPAM/Non,FACTURES/Non,ETATCIVIL/Non,PERMIS/Non,PHOTO/Non,IMPTROISD/Non,PAO/Non,SITEWEB/Non,CODE/Non,MOOC/Non</t>
  </si>
  <si>
    <t>44.8373274551, -0.572872104001</t>
  </si>
  <si>
    <t>Chantecler Bordeaux</t>
  </si>
  <si>
    <t>Aujourd’hui c’est 61 activités proposées pour 3600 pratiquants. Cette belle aventure doit sa réussite aux bénévoles, aux salariés et aux adhérents qui se sont succédés au cours de ces 92 années passées. Nous serons donc très prochainement CENTENAIRE… Nous nous sommes attachés à préserver les valeurs qui ont initié CHANTECLER : accueil pour tous, solidarité et esprit d’équipe.</t>
  </si>
  <si>
    <t>impasse Ste Elisabeth</t>
  </si>
  <si>
    <t>Impasse Sainte Elisabeth</t>
  </si>
  <si>
    <t>44.8541256031603</t>
  </si>
  <si>
    <t>-0.57673879988569</t>
  </si>
  <si>
    <t>Lundi, Mardi, Mercredi, Vendredi : 9h-12h30/13h30-18h.</t>
  </si>
  <si>
    <t>http://www.maisondequartierchantecler.fr/</t>
  </si>
  <si>
    <t>https://www.facebook.com/chantecler.asso.7</t>
  </si>
  <si>
    <t>Mo-Fr 09:00-12:30,13:30-18:00; Th off</t>
  </si>
  <si>
    <t>Individuel</t>
  </si>
  <si>
    <t>TABLETTE/Expert,ORDI/Expert,INTERNET/Expert,MAILS/Expert,CV/Basique,DIFFCV/Basique,ORGRECHEMPLOI/Non,EMPLOISTORE/Basique,DECLAPE/Basique,IMPOTS/Basique,DROITSSOCIAUXRSACAF/Basique,RETRAITE/Basique,CPAM/Basique,FACTURES/Basique,ETATCIVIL/Basique,PERMIS/Basique,PHOTO/Basique,IMPTROISD/Non,PAO/Basique,SITEWEB/Non,CODE/Non,MOOC/Non</t>
  </si>
  <si>
    <t>44.8541256032, -0.576738799886</t>
  </si>
  <si>
    <t>Foyer Fraternel Centre Social</t>
  </si>
  <si>
    <t>Le Foyer Fraternel est à la fois un centre social &amp; un organisme de formation. Il répond aux besoins éducatifs et de loisirs, aux besoins d’insertion sociale et de solidarité, aux besoins de formation et d’insertion professionnelle. L’association propose notamment des cours de Français (Alpha, FLE) et des ateliers pour le numérique. Elle compte 800 adhérents et 2500 usagers dans les quartiers Chartrons, Grand Parc, Jardin Public.</t>
  </si>
  <si>
    <t>Centre social</t>
  </si>
  <si>
    <t>23 rue Gouffrand</t>
  </si>
  <si>
    <t>Rue Gouffrand</t>
  </si>
  <si>
    <t>44.8558462446764</t>
  </si>
  <si>
    <t>-0.572110842345362</t>
  </si>
  <si>
    <t>Lundi au Vendredi : 9h-18h.</t>
  </si>
  <si>
    <t>accueil@foyerfraternel.fr</t>
  </si>
  <si>
    <t>http://www.centresocial-foyerfraternel.fr/</t>
  </si>
  <si>
    <t>https://www.facebook.com/foyerfraternelbordeaux/</t>
  </si>
  <si>
    <t>Mo-Fr 09:00-18:00</t>
  </si>
  <si>
    <t>Allocataires,Demandeurs d'emploi,Etrangers,Jeunes,Séniors</t>
  </si>
  <si>
    <t>Handicap moteur</t>
  </si>
  <si>
    <t>TABLETTE/Expert,ORDI/Expert,INTERNET/Expert,MAILS/Expert,CV/Expert,DIFFCV/Expert,ORGRECHEMPLOI/Expert,EMPLOISTORE/Expert,DECLAPE/Expert,IMPOTS/Non,DROITSSOCIAUXRSACAF/Expert,RETRAITE/Non,CPAM/Expert,FACTURES/Non,ETATCIVIL/Non,PERMIS/Non,PHOTO/Non,IMPTROISD/Non,PAO/Non,SITEWEB/Non,CODE/Non,MOOC/Non</t>
  </si>
  <si>
    <t>Autre dispositif</t>
  </si>
  <si>
    <t>44.8558462447, -0.572110842345</t>
  </si>
  <si>
    <t>Bibliothèque Mériadeck</t>
  </si>
  <si>
    <t>Mairie de Bordeaux</t>
  </si>
  <si>
    <t>La bibliothèque Mériadeck est la plus grande bibliothèque du réseau bordelais. C'est également l'une des plus grandes bibliothèques municipales de France, avec ses 8 000 m² ouverts au public ! L'offre de documents est vaste : le bâtiment abrite plus d'un million de documents dans des dizaines de kilomètres de rayonnages, soit en accès tout à fait simple et facile, dans les salles, pour l'emprunt à domicile ou la lecture sur place, soit en magasins.</t>
  </si>
  <si>
    <t>Bibliothèque / Médiathèque</t>
  </si>
  <si>
    <t>Collectivité locale ou territoriale</t>
  </si>
  <si>
    <t>85 cours du Maréchal Juin</t>
  </si>
  <si>
    <t>Cours Maréchal Juin</t>
  </si>
  <si>
    <t>44.8351168280552</t>
  </si>
  <si>
    <t>-0.586759237213544</t>
  </si>
  <si>
    <t>Lundi et Jeudi : 13h à 19h / Mardi Mercredi et Vendredi : 10h-19h, Samedi : 10h-18h (espace Patrimoine 13h-18h), Dimanche : 14h-18h d'octobre à avril.</t>
  </si>
  <si>
    <t>dgac.lectpub@mairie-bordeaux.fr</t>
  </si>
  <si>
    <t>http://bibliotheque.bordeaux.fr</t>
  </si>
  <si>
    <t>https://www.facebook.com/bibliotheques.bordeaux/</t>
  </si>
  <si>
    <t>Mo,Th 13:00-19:00; Tu,We,Fr 10:00-19:00; Sa 10:00-18:00; Oct-Apr Su 14:00-18:00</t>
  </si>
  <si>
    <t>TABLETTE/Expert,ORDI/Expert,INTERNET/Expert,MAILS/Expert,CV/Basique,DIFFCV/Basique,ORGRECHEMPLOI/Basique,EMPLOISTORE/Basique,DECLAPE/Basique,IMPOTS/Basique,DROITSSOCIAUXRSACAF/Basique,RETRAITE/Basique,CPAM/Basique,FACTURES/Basique,ETATCIVIL/Basique,PERMIS/Basique,PHOTO/Maîtrise,IMPTROISD/Non,PAO/Maîtrise,SITEWEB/Basique,CODE/Non,MOOC/Maîtrise</t>
  </si>
  <si>
    <t>44.8351168281, -0.586759237214</t>
  </si>
  <si>
    <t>CRIJ Nouvelle Aquitaine</t>
  </si>
  <si>
    <t>L'information Jeunesse vise à informer tous les Jeunes sur tous les sujets en lien avec leurs démarches d'accès à l'autonomie. Le CRIJ Nouvelle Aquitaine est la tête de réseau régionale des 170 structures IJ du territoire et gère l'accueil des Jeunes sur ses trois sites de Bordeaux, Limoges et Poitiers.</t>
  </si>
  <si>
    <t>125 Cours Alsace Lorraine</t>
  </si>
  <si>
    <t>Cours d'Alsace Et Lorraine</t>
  </si>
  <si>
    <t>44.8374899117795</t>
  </si>
  <si>
    <t>-0.575839282860387</t>
  </si>
  <si>
    <t>Lundi 13h30-17h Mardi à Jeudi 10h-12h et 13h30-17h Vendredi 10h-12h et 13h30-16h30.</t>
  </si>
  <si>
    <t>bordeaux@crijna.fr</t>
  </si>
  <si>
    <t>http://www.jeuneabordeaux.fr/</t>
  </si>
  <si>
    <t>https://www.facebook.com/InfoJeunes.NA.Bordeaux.Europedirect/</t>
  </si>
  <si>
    <t>Mo 13:30-17:00; Tu-Th 10:00-12:00,13:30-17:00; Fr 10:00-12:00,13:30-16:30</t>
  </si>
  <si>
    <t>Jeunes</t>
  </si>
  <si>
    <t>TABLETTE/Maîtrise,ORDI/Maîtrise,INTERNET/Expert,MAILS/Expert,CV/Expert,DIFFCV/Maîtrise,ORGRECHEMPLOI/Expert,EMPLOISTORE/Maîtrise,DECLAPE/Maîtrise,IMPOTS/Maîtrise,DROITSSOCIAUXRSACAF/Maîtrise,RETRAITE/Basique,CPAM/Maîtrise,FACTURES/Maîtrise,ETATCIVIL/Maîtrise,PERMIS/Basique,PHOTO/Basique,IMPTROISD/Non,PAO/Basique,SITEWEB/Non,CODE/Non,MOOC/Maîtrise</t>
  </si>
  <si>
    <t>APTIC</t>
  </si>
  <si>
    <t>44.8374899118, -0.57583928286</t>
  </si>
  <si>
    <t>Le Nom Lieu</t>
  </si>
  <si>
    <t>Le Nom Lieu est une association de l'ESS qui accompagne les Jeunes de 16 à 25 ans en situation de fragilité psychique et/ou d'exclusion sociale à partir de leurs affinités dans les domaines du numérique vers leur insertion sociale et professionnelle.</t>
  </si>
  <si>
    <t>Tiers-lieu / Coworking / FabLab / Hackerspace</t>
  </si>
  <si>
    <t>Le Node 12 rue des faussets</t>
  </si>
  <si>
    <t>Rue des Faussets</t>
  </si>
  <si>
    <t>Le Node</t>
  </si>
  <si>
    <t>44.840415176588</t>
  </si>
  <si>
    <t>-0.570517578425619</t>
  </si>
  <si>
    <t>Mercredi : 9h-17h, Samedi : 10h-13h.</t>
  </si>
  <si>
    <t>lenomlieu@gmail.com</t>
  </si>
  <si>
    <t>https://lenomlieu.wordpress.com/accueil/</t>
  </si>
  <si>
    <t>https://lenomlieu.org/accueil/?share=facebook&amp;nb=1</t>
  </si>
  <si>
    <t>We 09:00-17:00; Sa 10:00-13:00</t>
  </si>
  <si>
    <t>Allocataires,Demandeurs d'emploi,Jeunes,Personnes en situation de handicap</t>
  </si>
  <si>
    <t>TABLETTE/Expert,ORDI/Expert,INTERNET/Expert,MAILS/Expert,CV/Maîtrise,DIFFCV/Maîtrise,ORGRECHEMPLOI/Maîtrise,EMPLOISTORE/Non,DECLAPE/Non,IMPOTS/Non,DROITSSOCIAUXRSACAF/Non,RETRAITE/Non,CPAM/Non,FACTURES/Non,ETATCIVIL/Non,PERMIS/Non,PHOTO/Expert,IMPTROISD/Maîtrise,PAO/Expert,SITEWEB/Expert,CODE/Expert,MOOC/Expert</t>
  </si>
  <si>
    <t>44.8404151766, -0.570517578426</t>
  </si>
  <si>
    <t>Oxygène</t>
  </si>
  <si>
    <t>Nos missions s’inscrivent dans le champ de l’insertion sociale et dans la lutte contre les exclusions et l’isolement en amenant notre public, au travers de nos actions, à retisser du lien social, à retrouver confiance et estime de soi. Il s’agit de lever progressivement les freins et les obstacles à l’émergence de projets.</t>
  </si>
  <si>
    <t>27-29 quai Richelieu</t>
  </si>
  <si>
    <t>Quai Richelieu</t>
  </si>
  <si>
    <t>44.8386536722948</t>
  </si>
  <si>
    <t>-0.568043900826017</t>
  </si>
  <si>
    <t>Permanences tous les Mercredi après-midi.</t>
  </si>
  <si>
    <t>oxygene.asso@wanadoo.fr</t>
  </si>
  <si>
    <t>http://oxygene-asso.fr/</t>
  </si>
  <si>
    <t>We 13:30-18:00</t>
  </si>
  <si>
    <t>TABLETTE/Basique,ORDI/Maîtrise,INTERNET/Maîtrise,MAILS/Maîtrise,CV/Maîtrise,DIFFCV/Basique,ORGRECHEMPLOI/Basique,EMPLOISTORE/Non,DECLAPE/Basique,IMPOTS/Basique,DROITSSOCIAUXRSACAF/Basique,RETRAITE/Basique,CPAM/Basique,FACTURES/Basique,ETATCIVIL/Basique,PERMIS/Non,PHOTO/Non,IMPTROISD/Non,PAO/Basique,SITEWEB/Non,CODE/Non,MOOC/Non</t>
  </si>
  <si>
    <t>44.8386536723, -0.568043900826</t>
  </si>
  <si>
    <t>Philomathique de Bordeaux</t>
  </si>
  <si>
    <t>Centre de formation professionnelle depuis 1808 à Bordeaux, spécialisé historiquement dans les métiers d'arts et d'artisanat et qui propose depuis 2015 des formations en lien avec le numérique, et notamment le web et ses usages. Les formations sont à la fois à destination de publics demandeurs d'emplois, particuliers ou en reconversion professionnelle. Ces actions sont diplômantes ou certifiantes. De plus des actions d'intérêt général sont ouvertes à destination des associations du territoire à travers l'action "A l'Asso du Web".</t>
  </si>
  <si>
    <t>66 rue Abbé de l'Epée</t>
  </si>
  <si>
    <t>Rue Abbé de l'Epée</t>
  </si>
  <si>
    <t>44.8421776416482</t>
  </si>
  <si>
    <t>-0.582816427120468</t>
  </si>
  <si>
    <t>Lundi au Vendredi : 8h30-18 h.</t>
  </si>
  <si>
    <t>communication@philomathiquebordeaux.com</t>
  </si>
  <si>
    <t>https://www.philomathiquebordeaux.com/</t>
  </si>
  <si>
    <t>Mo-Fr 08:30-18:00</t>
  </si>
  <si>
    <t>TABLETTE/Non,ORDI/Non,INTERNET/Non,MAILS/Non,CV/Non,DIFFCV/Non,ORGRECHEMPLOI/Non,EMPLOISTORE/Non,DECLAPE/Non,IMPOTS/Non,DROITSSOCIAUXRSACAF/Non,RETRAITE/Non,CPAM/Non,FACTURES/Non,ETATCIVIL/Non,PERMIS/Non,PHOTO/Non,IMPTROISD/Non,PAO/Non,SITEWEB/Expert,CODE/Expert,MOOC/Non</t>
  </si>
  <si>
    <t>44.8421776416, -0.58281642712</t>
  </si>
  <si>
    <t>Abracodabra</t>
  </si>
  <si>
    <t>Abracodabra propose des ateliers de création numérique pour les enfants et adolescents de 4 à 15 ans. Durant les vacances scolaires ou pour des ateliers hebdomadaires, les Jeunes utilise le numérique comme un outil pour créer des robots, sites web, jeux vidéo, etc.</t>
  </si>
  <si>
    <t>Société à responsabilité limitée (SARL)</t>
  </si>
  <si>
    <t>77 rue Lecocq</t>
  </si>
  <si>
    <t>Rue Lecocq</t>
  </si>
  <si>
    <t>44.8342970402626</t>
  </si>
  <si>
    <t>-0.586211937760128</t>
  </si>
  <si>
    <t>Selon programme d’ateliers.</t>
  </si>
  <si>
    <t>contact@abracodabra.fr</t>
  </si>
  <si>
    <t>http://www.abracodabra.fr/</t>
  </si>
  <si>
    <t>https://www.facebook.com/abracodabrabx/</t>
  </si>
  <si>
    <t>Jeunes,Personnes en situation de handicap</t>
  </si>
  <si>
    <t>TABLETTE/Basique,ORDI/Basique,INTERNET/Basique,MAILS/Non,CV/Non,DIFFCV/Non,ORGRECHEMPLOI/Non,EMPLOISTORE/Non,DECLAPE/Non,IMPOTS/Non,DROITSSOCIAUXRSACAF/Non,RETRAITE/Non,CPAM/Non,FACTURES/Non,ETATCIVIL/Non,PERMIS/Non,PHOTO/Expert,IMPTROISD/Expert,PAO/Non,SITEWEB/Expert,CODE/Expert,MOOC/Non</t>
  </si>
  <si>
    <t>44.8342970403, -0.58621193776</t>
  </si>
  <si>
    <t>Bibliothèque Capucins / St Michel</t>
  </si>
  <si>
    <t>Au cœur du quartier St Michel, quartier de palabres et de saveurs, la bibliothèque met à l'honneur le théâtre et la poésie. Face au marché des Capucins, la bibliothèque vous accueille pour un temps de lecture, de rêverie... ou une simple pause, pour consulter la presse ou internet.</t>
  </si>
  <si>
    <t>10-12 place des Capucins</t>
  </si>
  <si>
    <t>Place des Capucins</t>
  </si>
  <si>
    <t>44.8308018716672</t>
  </si>
  <si>
    <t>-0.567016016608649</t>
  </si>
  <si>
    <t>Mardi : 10h-12h/14h-18h, Mercredi et Samedi : 10h-18h, Jeudi et Vendredi : 14h-18h.</t>
  </si>
  <si>
    <t>Tu 10:00-12:00,14:00-18:00; We,Sa 10:00-18:00; Th,Fr 14:00-18:00</t>
  </si>
  <si>
    <t>TABLETTE/Basique,ORDI/Basique,INTERNET/Basique,MAILS/Expert,CV/Basique,DIFFCV/Basique,ORGRECHEMPLOI/Non,EMPLOISTORE/Non,DECLAPE/Basique,IMPOTS/Basique,DROITSSOCIAUXRSACAF/Basique,RETRAITE/Basique,CPAM/Basique,FACTURES/Basique,ETATCIVIL/Basique,PERMIS/Basique,PHOTO/Basique,IMPTROISD/Non,PAO/Basique,SITEWEB/Non,CODE/Non,MOOC/Basique</t>
  </si>
  <si>
    <t>44.8308018717, -0.567016016609</t>
  </si>
  <si>
    <t>Bibliothèque Flora Tristan</t>
  </si>
  <si>
    <t>10 fois plus grande que l’ancienne bibliothèque Son Tay, chaleureuse, équipée d’espaces multimédia, de jeux vidéo et d'une grande salle d'animation, elle propose des services numériques innovants et des collections variées pour tous.</t>
  </si>
  <si>
    <t>1 place d'Armagnac</t>
  </si>
  <si>
    <t>Place d'Armagnac</t>
  </si>
  <si>
    <t>44.8212741540285</t>
  </si>
  <si>
    <t>-0.550768072761059</t>
  </si>
  <si>
    <t>TABLETTE/Maîtrise,ORDI/Maîtrise,INTERNET/Maîtrise,MAILS/Maîtrise,CV/Basique,DIFFCV/Basique,ORGRECHEMPLOI/Basique,EMPLOISTORE/Basique,DECLAPE/Basique,IMPOTS/Basique,DROITSSOCIAUXRSACAF/Basique,RETRAITE/Basique,CPAM/Basique,FACTURES/Basique,ETATCIVIL/Basique,PERMIS/Basique,PHOTO/Maîtrise,IMPTROISD/Non,PAO/Maîtrise,SITEWEB/Basique,CODE/Basique,MOOC/Maîtrise</t>
  </si>
  <si>
    <t>44.821274154, -0.550768072761</t>
  </si>
  <si>
    <t>Bibliothèque Pierre Veilletet</t>
  </si>
  <si>
    <t>La bibliothèque Pierre Veilletet du quartier Caudéran a ouvert le 8 juin 2019. Elle est située sur la place Eugène Gauthier, dans un pôle regroupant un ensemble scolaire, un complexe sportif, une piscine, un skatepark, des commerces de proximité et le marché hebdomadaire. Elle a pour objectif d’être un lieu de rencontres et d’échanges accessible, convivial et confortable pour les habitants du quartier.</t>
  </si>
  <si>
    <t>21 rue Domion</t>
  </si>
  <si>
    <t>Rue Domion</t>
  </si>
  <si>
    <t>44.8576510865659</t>
  </si>
  <si>
    <t>-0.623685335493888</t>
  </si>
  <si>
    <t>Mardi et Vendredi : 10h-12h/14h-18h, Mercredi et Samedi : 10h-18h.</t>
  </si>
  <si>
    <t>Tu,Fr 10:00-12:00,14:00-18:00; We,Sa 10:00-18:00</t>
  </si>
  <si>
    <t>TABLETTE/Expert,ORDI/Expert,INTERNET/Expert,MAILS/Expert,CV/Basique,DIFFCV/Basique,ORGRECHEMPLOI/Basique,EMPLOISTORE/Basique,DECLAPE/Basique,IMPOTS/Basique,DROITSSOCIAUXRSACAF/Basique,RETRAITE/Basique,CPAM/Basique,FACTURES/Basique,ETATCIVIL/Basique,PERMIS/Basique,PHOTO/Maîtrise,IMPTROISD/Basique,PAO/Maîtrise,SITEWEB/Basique,CODE/Basique,MOOC/Maîtrise</t>
  </si>
  <si>
    <t>44.8576510866, -0.623685335494</t>
  </si>
  <si>
    <t>Ligue de l'enseignement – Fédération de la Gironde</t>
  </si>
  <si>
    <t>La Ligue de l’enseignement réunit des femmes et des hommes qui agissent au quotidien pour mieux vivre ensemble, lutter contre les inégalités et pour faire vivre une démocratie plus effective. L’identité de la Ligue de l'Enseignement se fonde sur le triptyque : Démocratie - Laïcité   Education. Ces actions se déclinent en plusieurs formats : formations, animations, ateliers, évènementiels, festivals culturels, centre de ressources pour les associations affiliées, etc. Elles s adressent aussi bien aux enfants scolarisais qu’à tous les publics défavorisés, fragilisés ou discriminés, des jeunes aux Seniors.</t>
  </si>
  <si>
    <t>château BétailheBètailhe , 72 avenue de l'Eglise romane</t>
  </si>
  <si>
    <t>Avenue de l'Eglise Romane</t>
  </si>
  <si>
    <t>Artigues-près-Bordeaux</t>
  </si>
  <si>
    <t>44.8587549498054</t>
  </si>
  <si>
    <t>-0.497308676329456</t>
  </si>
  <si>
    <t>Du Lundi au Vendredi : 9h-12h/13h30-17h.</t>
  </si>
  <si>
    <t>contact@laligue33.org</t>
  </si>
  <si>
    <t>https://www.facebook.com/liguedelenseignement.gironde/</t>
  </si>
  <si>
    <t>Mo-Fr 09:00-12:00,13:30-17:00</t>
  </si>
  <si>
    <t>Jeunes,Personnes en situation de handicap,Séniors</t>
  </si>
  <si>
    <t>TABLETTE/Expert,ORDI/Expert,INTERNET/Expert,MAILS/Expert,CV/Non,DIFFCV/Non,ORGRECHEMPLOI/Non,EMPLOISTORE/Non,DECLAPE/Non,IMPOTS/Expert,DROITSSOCIAUXRSACAF/Expert,RETRAITE/Maîtrise,CPAM/Expert,FACTURES/Expert,ETATCIVIL/Expert,PERMIS/Expert,PHOTO/Maîtrise,IMPTROISD/Non,PAO/Expert,SITEWEB/Maîtrise,CODE/Maîtrise,MOOC/Expert</t>
  </si>
  <si>
    <t>44.8587549498, -0.497308676329</t>
  </si>
  <si>
    <t>CCAS Carbon-Blanc</t>
  </si>
  <si>
    <t>Le CCAS participe au développement d'une offre cohérente, coordonnée et complémentaire d'accompagnement au numérique. sur le territoire de Carbon-Blanc. Porté par le Pôle insertion du CCAS, il permet de répondre à la mission initiale de l’établissement qui est de favoriser l’intégration des populations les plus fragiles.</t>
  </si>
  <si>
    <t>Commune (Ville, CCAS, Centre Culturel…)</t>
  </si>
  <si>
    <t>Maison pour tous Parc Favols</t>
  </si>
  <si>
    <t>Carbon-Blanc</t>
  </si>
  <si>
    <t>Lundi: 8h30-12h/13h30-18h. Mardi, Mercredi, Jeudi: 8h30-12h/13h30-17h. Vendredi: 8h30-12h/13h30-16h.</t>
  </si>
  <si>
    <t>an.garnier@carbon-blanc.fr</t>
  </si>
  <si>
    <t>https://www.carbon-blanc.fr/a-tout-age/solidarites/le-centre-communal-daction-sociale-2.html</t>
  </si>
  <si>
    <t>Mo 08:30-12:00,13:30-18:00; Tu-Th 08:30-12:00,13:30-17:00; Fr 08:30-12:00,13:30-16:00</t>
  </si>
  <si>
    <t>Allocataires,Etrangers,Jeunes,Personnes en situation de handicap,Séniors</t>
  </si>
  <si>
    <t>TABLETTE/Maîtrise,ORDI/Basique,INTERNET/Maîtrise,MAILS/Maîtrise,CV/Basique,DIFFCV/Basique,ORGRECHEMPLOI/Basique,EMPLOISTORE/Basique,DECLAPE/Maîtrise,IMPOTS/Basique,DROITSSOCIAUXRSACAF/Maîtrise,RETRAITE/Basique,CPAM/Maîtrise,FACTURES/Maîtrise,ETATCIVIL/Maîtrise,PERMIS/Maîtrise,PHOTO/Non,IMPTROISD/Non,PAO/Non,SITEWEB/Non,CODE/Non,MOOC/Non</t>
  </si>
  <si>
    <t>Le Pixel Relai numérique de Cenon</t>
  </si>
  <si>
    <t>Mairie de Cenon</t>
  </si>
  <si>
    <t>Le Pixel est un espace numérique ouvert à tous les publics souhaitant découvrir et s’initier aux outils multimédia. C'est un lieu d’échanges de savoirs et de communication. Le lieu propose en accès libre des ordinateurs et autres équipements (connexion internet, logiciel, scanner). Vous pouvez aussi perfectionner vos connaissances en participant à des ateliers sur des thématiques diverses (Bureautique Internet, Réseaux Sociaux, Photo ). Une équipe de médiateurs numériques vous accompagne lors de vos différentes démarches administratives.</t>
  </si>
  <si>
    <t>Maison des Associations 11 rue du 8 Mai 1945</t>
  </si>
  <si>
    <t>Rue du 8 Mai 1945</t>
  </si>
  <si>
    <t>Cenon</t>
  </si>
  <si>
    <t>Maison des Associations</t>
  </si>
  <si>
    <t>44.8521127117729</t>
  </si>
  <si>
    <t>-0.513358806912427</t>
  </si>
  <si>
    <t>Mardi, Mercredi, Vendredi : 10h30-12h30/14h-17h30. Jeudi : 14h-17h30. Samedi :10h30-13h.</t>
  </si>
  <si>
    <t>lepixel@ville-cenon.fr</t>
  </si>
  <si>
    <t>https://pixel.cenon.fr/</t>
  </si>
  <si>
    <t>http://facebook.com/lepixelrelaisnumerique</t>
  </si>
  <si>
    <t>Tu-Fr 10:30-12:30,14:00-17:30; Th 14:00-17:30; Sa 10:30-13:00</t>
  </si>
  <si>
    <t>TABLETTE/Maîtrise,ORDI/Expert,INTERNET/Expert,MAILS/Expert,CV/Basique,DIFFCV/Expert,ORGRECHEMPLOI/Maîtrise,EMPLOISTORE/Maîtrise,DECLAPE/Expert,IMPOTS/Expert,DROITSSOCIAUXRSACAF/Maîtrise,RETRAITE/Maîtrise,CPAM/Maîtrise,FACTURES/Maîtrise,ETATCIVIL/Expert,PERMIS/Expert,PHOTO/Maîtrise,IMPTROISD/Non,PAO/Maîtrise,SITEWEB/Maîtrise,CODE/Maîtrise,MOOC/Basique</t>
  </si>
  <si>
    <t>44.8521127118, -0.513358806912</t>
  </si>
  <si>
    <t>Centre d'animation Bois Fleuri</t>
  </si>
  <si>
    <t>Le centre d'animation est une structure de proximitè pour tous à vocation sociale, familial et culturel. Un accompagnement aux démarches administratives, logement, emploi, CAF, est assurè afin de répondre au mieux aux demandes des usagers.</t>
  </si>
  <si>
    <t>5 Rue des Arts</t>
  </si>
  <si>
    <t>Rue des Arts</t>
  </si>
  <si>
    <t>Lormont</t>
  </si>
  <si>
    <t>44.8756415415234</t>
  </si>
  <si>
    <t>-0.520124802867933</t>
  </si>
  <si>
    <t>Mardi, Jeudi, Vendredi : 10h-12h.</t>
  </si>
  <si>
    <t>bois.fleuri.cgcvl@gmail.com</t>
  </si>
  <si>
    <t>https://www.facebook.com/CGCVL/</t>
  </si>
  <si>
    <t>Tu-Fr 10:00-12:00; We off</t>
  </si>
  <si>
    <t>Allocataires,Demandeurs d'emploi,Jeunes,Séniors</t>
  </si>
  <si>
    <t>Gratuit,Adhérent,Payant</t>
  </si>
  <si>
    <t>TABLETTE/Maîtrise,ORDI/Basique,INTERNET/Basique,MAILS/Basique,CV/Maîtrise,DIFFCV/Maîtrise,ORGRECHEMPLOI/Basique,EMPLOISTORE/Basique,DECLAPE/Basique,IMPOTS/Basique,DROITSSOCIAUXRSACAF/Basique,RETRAITE/Basique,CPAM/Basique,FACTURES/Basique,ETATCIVIL/Basique,PERMIS/Basique,PHOTO/Non,IMPTROISD/Non,PAO/Non,SITEWEB/Non,CODE/Non,MOOC/Non</t>
  </si>
  <si>
    <t>44.8756415415, -0.520124802868</t>
  </si>
  <si>
    <t>CLAP Sud-Ouest</t>
  </si>
  <si>
    <t>Dans sa partie DPLAI (Dispositif Permanent de Lutte de l’Analphabètisme et l’Illettrisme), le CLAP Sud Ouest association d’èvaluation linguistique de la langue française, d’accompagnement et de suivi, propose l’action SILE (Soutien Informatique Liè à l’Emploi).</t>
  </si>
  <si>
    <t>1 bis, rue des Arts</t>
  </si>
  <si>
    <t>1bis</t>
  </si>
  <si>
    <t>44.875605745008</t>
  </si>
  <si>
    <t>-0.519866584630024</t>
  </si>
  <si>
    <t>Du Lundi au Vendredi : 9h-12h/14h-17h.</t>
  </si>
  <si>
    <t>dplaird@clap-so.org</t>
  </si>
  <si>
    <t>http://www.clap-so.org/les-secteurs/dplai/</t>
  </si>
  <si>
    <t>Mo-Fr 09:00-12:00,14:00-17:00</t>
  </si>
  <si>
    <t>Demandeurs d'emploi,Etrangers,Jeunes,Personnes en situation de handicap</t>
  </si>
  <si>
    <t>TABLETTE/Maîtrise,ORDI/Maîtrise,INTERNET/Maîtrise,MAILS/Expert,CV/Expert,DIFFCV/Expert,ORGRECHEMPLOI/Expert,EMPLOISTORE/Maîtrise,DECLAPE/Expert,IMPOTS/Non,DROITSSOCIAUXRSACAF/Non,RETRAITE/Non,CPAM/Non,FACTURES/Non,ETATCIVIL/Non,PERMIS/Non,PHOTO/Non,IMPTROISD/Non,PAO/Non,SITEWEB/Non,CODE/Non,MOOC/Basique</t>
  </si>
  <si>
    <t>44.875605745, -0.51986658463</t>
  </si>
  <si>
    <t>Alter Egaux</t>
  </si>
  <si>
    <t>Créée au printemps 2018, Alter Egaux est une micro-entreprise qui propose des services très diversifiés d'accompagnement administratif numérique et juridique aux particuliers, associations et petites entreprises.</t>
  </si>
  <si>
    <t>12 rue du Marechal Joffre</t>
  </si>
  <si>
    <t>Rue du Maréchal Joffre</t>
  </si>
  <si>
    <t>Bègles</t>
  </si>
  <si>
    <t>44.8065018752672</t>
  </si>
  <si>
    <t>-0.549419830942252</t>
  </si>
  <si>
    <t>Du Lundi au Vendredi : 9h45-13h/14h30-19h30. Sur rendez-vous le Samedi matin.</t>
  </si>
  <si>
    <t>cyrille.alteregaux@orange.fr</t>
  </si>
  <si>
    <t>https://www.alteregaux33.fr/</t>
  </si>
  <si>
    <t>Mo-Fr 09:45-13:00,14:30-19:30</t>
  </si>
  <si>
    <t>TABLETTE/Maîtrise,ORDI/Expert,INTERNET/Expert,MAILS/Expert,CV/Maîtrise,DIFFCV/Expert,ORGRECHEMPLOI/Basique,EMPLOISTORE/Basique,DECLAPE/Expert,IMPOTS/Expert,DROITSSOCIAUXRSACAF/Expert,RETRAITE/Expert,CPAM/Expert,FACTURES/Expert,ETATCIVIL/Expert,PERMIS/Expert,PHOTO/Basique,IMPTROISD/Non,PAO/Maîtrise,SITEWEB/Non,CODE/Non,MOOC/Non</t>
  </si>
  <si>
    <t>44.8065018753, -0.549419830942</t>
  </si>
  <si>
    <t>Bureau Information Jeunesse de Bègles</t>
  </si>
  <si>
    <t>Relais du CRIJNA, c'est un lieu d'accueil, d'information, d'accompagnement des jeunes béglais concernant la découverte des métiers, l’orientation, l'emploi, le logement, la santé, la culture, la vie quotidienne.</t>
  </si>
  <si>
    <t>21 rue Calixte Camelle</t>
  </si>
  <si>
    <t>Rue Calixte Camelle</t>
  </si>
  <si>
    <t>44.8076435408269</t>
  </si>
  <si>
    <t>-0.547586500721045</t>
  </si>
  <si>
    <t>Hors vacances solaires : Lundi et Vendredi  :14h-17h. Mercredi : 10h-12h/14h-18h. Pendant les vacances scolaires : Lundi, Mardi, Vendredi : 14h-17. Mercredi :10h-12h/14h-17h.</t>
  </si>
  <si>
    <t>bij@mairie-begles.fr</t>
  </si>
  <si>
    <t>Mo,Fr 10:00,14:00-17:00; Tu-Th,Sa,Su 10:00; We 10:00-12:00,14:00-18:00; SH Mo-Fr 14:00-17:00; SH We 10:00-12:00,14:00-17:00; SH Th,Sa,Su off</t>
  </si>
  <si>
    <t>TABLETTE/Maîtrise,ORDI/Maîtrise,INTERNET/Maîtrise,MAILS/Expert,CV/Expert,DIFFCV/Expert,ORGRECHEMPLOI/Maîtrise,EMPLOISTORE/Basique,DECLAPE/Maîtrise,IMPOTS/Maîtrise,DROITSSOCIAUXRSACAF/Maîtrise,RETRAITE/Non,CPAM/Maîtrise,FACTURES/Maîtrise,ETATCIVIL/Maîtrise,PERMIS/Maîtrise,PHOTO/Basique,IMPTROISD/Non,PAO/Basique,SITEWEB/Non,CODE/Non,MOOC/Maîtrise</t>
  </si>
  <si>
    <t>44.8076435408, -0.547586500721</t>
  </si>
  <si>
    <t>FabLab BEN (BORDEAUX ECOLE NUMÉRIQUE)</t>
  </si>
  <si>
    <t>Nous sommes un atelier de fabrication numérique, ouvert à toutes et tous, qui permet de prototyper, créer ou produire, dans le respect des personnes et de l’environnement. Nous cherchons à favoriser l’acquisition, la transmission et la production des savoirs et des compétences par l’expérimentation, le faire soi-même, l’échange de pairs à pairs et la pratique collective. Nous souhaitons participer, à l’apprentissage du numérique et des ces nouveaux usages vis-à-vis de nos jeunes et de nos pères, mais aussi à la lutte contre la fracture sociale et l’e-exclusion due aux inégalités d’accès au monde numérique.</t>
  </si>
  <si>
    <t>09 Av du Prof BERGONIE</t>
  </si>
  <si>
    <t>Avenue du Professeur Bergonie</t>
  </si>
  <si>
    <t>44.8028048793341</t>
  </si>
  <si>
    <t>-0.546547422017029</t>
  </si>
  <si>
    <t>10h-12h 14h-18h du Mardi ou Samedi, avec les soirées Découverte de 18h à 20h30.</t>
  </si>
  <si>
    <t>bonjour@bordeaux-ecole-numerique.fr</t>
  </si>
  <si>
    <t>http://www.bordeaux-ecole-numerique.fr/</t>
  </si>
  <si>
    <t>10h-12h 14h-18h du Mardi au Samedi, avec les soirées Découverte de 18h à 20h30.</t>
  </si>
  <si>
    <t>Tu-Sa 10:00-12:00,14:00-18:00</t>
  </si>
  <si>
    <t>TABLETTE/Maîtrise,ORDI/Expert,INTERNET/Expert,MAILS/Expert,CV/Maîtrise,DIFFCV/Maîtrise,ORGRECHEMPLOI/Maîtrise,EMPLOISTORE/Basique,DECLAPE/Basique,IMPOTS/Basique,DROITSSOCIAUXRSACAF/Basique,RETRAITE/Basique,CPAM/Basique,FACTURES/Basique,ETATCIVIL/Non,PERMIS/Non,PHOTO/Basique,IMPTROISD/Expert,PAO/Expert,SITEWEB/Maîtrise,CODE/Basique,MOOC/Expert</t>
  </si>
  <si>
    <t>44.8028048793, -0.546547422017</t>
  </si>
  <si>
    <t>Fablab Cohabit</t>
  </si>
  <si>
    <t>Le fablab Coh@bit (contraction de l'anglais Fabrication Laboratory, « laboratoire de fabrication ») est un lieu ouvert au public et dédié à la création et à la production numériques. Il est équipé de machines et d'outils de prototypage. Des projets variés s'y développent : ruches connectées, machines-outils, robots agricoles, réalité augmentée, loisir créatif ... Vous serez toujours les bienvenus au Fablab ! Dans l’univers de l’open source et du Do It Yourself, les projets appartiennent à ceux qui les font vivre !</t>
  </si>
  <si>
    <t>IUT de Bordeaux 15 rue Naudet, bât 10a</t>
  </si>
  <si>
    <t>Rue Naudet</t>
  </si>
  <si>
    <t>Gradignan</t>
  </si>
  <si>
    <t>IUT de Bordeaux, Bât 10a</t>
  </si>
  <si>
    <t>44.7889887374992</t>
  </si>
  <si>
    <t>-0.612368967969213</t>
  </si>
  <si>
    <t>Du Lundi au Vendredi de 10h à 18h.</t>
  </si>
  <si>
    <t>fablab@iut.u-bordeaux.fr</t>
  </si>
  <si>
    <t>https://www.iut.u-bordeaux.fr/cohabit/</t>
  </si>
  <si>
    <t>https://www.facebook.com/Fablab-Cohabit-1713924472234837/</t>
  </si>
  <si>
    <t>Mo-Fr 10:00-18:00</t>
  </si>
  <si>
    <t>Allocataires,Demandeurs d'emploi,Jeunes,Personnes en situation de handicap,Séniors</t>
  </si>
  <si>
    <t>TABLETTE/Non,ORDI/Maîtrise,INTERNET/Expert,MAILS/Maîtrise,CV/Non,DIFFCV/Non,ORGRECHEMPLOI/Non,EMPLOISTORE/Non,DECLAPE/Non,IMPOTS/Non,DROITSSOCIAUXRSACAF/Non,RETRAITE/Non,CPAM/Non,FACTURES/Non,ETATCIVIL/Non,PERMIS/Non,PHOTO/Basique,IMPTROISD/Expert,PAO/Basique,SITEWEB/Basique,CODE/Basique,MOOC/Non</t>
  </si>
  <si>
    <t>44.7889887375, -0.612368967969</t>
  </si>
  <si>
    <t>PLIE Portes du Sud</t>
  </si>
  <si>
    <t>Le PLIE Portes du Sud (Plan Local pour l’Insertion et l’Emploi) est un dispositif destiné à favoriser le retour à l’emploi durable ou l’accès à une formation qualifiante des personnes en situation d’exclusion professionnelle. Pour atteindre ses objectifs, le PLIE met en œuvre des parcours individualisés et renforcés et mobilise les partenaires et les entreprises de son territoire d’intervention (Talence, Gradignan et Villenave d'Ornon).</t>
  </si>
  <si>
    <t>7 avenue jean larrieu</t>
  </si>
  <si>
    <t>Avenue Jean Larrieu</t>
  </si>
  <si>
    <t>44.7736456578647</t>
  </si>
  <si>
    <t>-0.615701455140657</t>
  </si>
  <si>
    <t>Sur rendez-vous.</t>
  </si>
  <si>
    <t>plie.portesdusud@9business.fr</t>
  </si>
  <si>
    <t>http://www.plie-portesdusud.org</t>
  </si>
  <si>
    <t>TABLETTE/Basique,ORDI/Basique,INTERNET/Basique,MAILS/Basique,CV/Expert,DIFFCV/Expert,ORGRECHEMPLOI/Expert,EMPLOISTORE/Maîtrise,DECLAPE/Maîtrise,IMPOTS/Non,DROITSSOCIAUXRSACAF/Basique,RETRAITE/Non,CPAM/Non,FACTURES/Non,ETATCIVIL/Non,PERMIS/Non,PHOTO/Non,IMPTROISD/Non,PAO/Non,SITEWEB/Non,CODE/Non,MOOC/Basique</t>
  </si>
  <si>
    <t>44.7736456579, -0.615701455141</t>
  </si>
  <si>
    <t>Bibliothèque Pablo Neruda</t>
  </si>
  <si>
    <t>Mairie de Pessac</t>
  </si>
  <si>
    <t>La Bibliothèque Pablo Neruda (quartier de Saige à Pessac) met à disposition des usagers 6 ordinateurs avec un accès internet gratuit et un accès WIFI. Un photocopieur-imprimante-scan est à disposition. Des ateliers individuels permettent un accompagnement personnalisé sur les usages du numérique. La médiathèque est référencée Espace Public Numérique.</t>
  </si>
  <si>
    <t>16 bis allée des mimosas</t>
  </si>
  <si>
    <t>16bis</t>
  </si>
  <si>
    <t>Allée des Mimosas</t>
  </si>
  <si>
    <t>Pessac</t>
  </si>
  <si>
    <t>44.7905690650944</t>
  </si>
  <si>
    <t>-0.631374521566855</t>
  </si>
  <si>
    <t>Mardi, Jeudi, Vendredi : 15h30-18h30. Mercredi : 10h-12h/14h-18h30. Samedi : 10h-12h/14h-17h.</t>
  </si>
  <si>
    <t>biblio.pabloneruda@mairie-pessac.fr</t>
  </si>
  <si>
    <t>http://mediatheque.mairie-pessac.fr/</t>
  </si>
  <si>
    <t>Tu-Fr 15:30-18:30; We 10:00-12:00,14:00-18:30; Sa 10:00-12:00,14:00-17:00</t>
  </si>
  <si>
    <t>TABLETTE/Maîtrise,ORDI/Maîtrise,INTERNET/Expert,MAILS/Expert,CV/Maîtrise,DIFFCV/Maîtrise,ORGRECHEMPLOI/Basique,EMPLOISTORE/Non,DECLAPE/Maîtrise,IMPOTS/Maîtrise,DROITSSOCIAUXRSACAF/Maîtrise,RETRAITE/Maîtrise,CPAM/Maîtrise,FACTURES/Maîtrise,ETATCIVIL/Maîtrise,PERMIS/Maîtrise,PHOTO/Maîtrise,IMPTROISD/Non,PAO/Maîtrise,SITEWEB/Maîtrise,CODE/Basique,MOOC/Maîtrise</t>
  </si>
  <si>
    <t>44.7905690651, -0.631374521567</t>
  </si>
  <si>
    <t>Infos Jeunes Talence</t>
  </si>
  <si>
    <t>Mairie de Talence</t>
  </si>
  <si>
    <t>Au service municipal Infos Jeunes, il y en a pour tous les goûts ! Interlocuteur privilégié de la jeunesse talençaise, cet espace permet à chacun de bénéficier d’une aide adaptée à ses besoins et ses envies. C'est un lieu où ils peuvent venir poser toutes les questions qui les préoccupent, des animatrices sont là pour accueillir et aider à trouver les interlocuteurs adaptés à leurs recherches.</t>
  </si>
  <si>
    <t>17 avenue Espeléta</t>
  </si>
  <si>
    <t>Avenue Espeleta</t>
  </si>
  <si>
    <t>Talence</t>
  </si>
  <si>
    <t>44.8101291961431</t>
  </si>
  <si>
    <t>-0.58955777600575</t>
  </si>
  <si>
    <t>Lundi, Mardi, Jeudi, Vendredi : 13h-18h. Mercredi : 10h-18h.</t>
  </si>
  <si>
    <t>eij@talence.fr</t>
  </si>
  <si>
    <t>https://www.talence.fr/quotidien/jeunesse-vie-etudiante/service-jeunesse-esj/</t>
  </si>
  <si>
    <t>https://www.facebook.com/EIJTalence/</t>
  </si>
  <si>
    <t>Mo-Fr 13:00-18:00; We 10:00-18:00</t>
  </si>
  <si>
    <t>TABLETTE/Maîtrise,ORDI/Maîtrise,INTERNET/Maîtrise,MAILS/Expert,CV/Maîtrise,DIFFCV/Maîtrise,ORGRECHEMPLOI/Maîtrise,EMPLOISTORE/Maîtrise,DECLAPE/Expert,IMPOTS/Maîtrise,DROITSSOCIAUXRSACAF/Expert,RETRAITE/Basique,CPAM/Maîtrise,FACTURES/Expert,ETATCIVIL/Maîtrise,PERMIS/Maîtrise,PHOTO/Expert,IMPTROISD/Basique,PAO/Expert,SITEWEB/Basique,CODE/Non,MOOC/Maîtrise</t>
  </si>
  <si>
    <t>44.8101291961, -0.589557776006</t>
  </si>
  <si>
    <t>Médiathèque de Thouars</t>
  </si>
  <si>
    <t>Ouverte à tous les inscrits du réseau des médiathèques de la ville (gratuit), la Cyber-base de Thouars met à votre disposition 3 ordinateurs équipés de casques audio, de webcams, et pourvus d’une connexion Internet haut débit, et vous propose de larges plages dédiées à la consultation libre. Un animateur est présent pour un accompagnement individualisé "réservez un animateur" sur rendez-vous les mardis de 16h à 18h30 et les vendredis de 15h30 à 17h.</t>
  </si>
  <si>
    <t>Le Dôme 221 avenue de Thouars</t>
  </si>
  <si>
    <t>Avenue de Thouars</t>
  </si>
  <si>
    <t>44.7921533785375</t>
  </si>
  <si>
    <t>-0.591619437817714</t>
  </si>
  <si>
    <t>Lundi, Mardi, Jeudi, Vendredi : 15h30-18h30. Mercredi : 10h-18h30.</t>
  </si>
  <si>
    <t>mediatheque@talence.fr</t>
  </si>
  <si>
    <t>https://portail.mediatheques.talence.fr</t>
  </si>
  <si>
    <t>Mo-Fr 15:30-18:30; We 10:00-18:30</t>
  </si>
  <si>
    <t>TABLETTE/Maîtrise,ORDI/Maîtrise,INTERNET/Maîtrise,MAILS/Maîtrise,CV/Basique,DIFFCV/Maîtrise,ORGRECHEMPLOI/Basique,EMPLOISTORE/Basique,DECLAPE/Maîtrise,IMPOTS/Basique,DROITSSOCIAUXRSACAF/Basique,RETRAITE/Basique,CPAM/Basique,FACTURES/Basique,ETATCIVIL/Basique,PERMIS/Basique,PHOTO/Maîtrise,IMPTROISD/Non,PAO/Maîtrise,SITEWEB/Maîtrise,CODE/Maîtrise,MOOC/Basique</t>
  </si>
  <si>
    <t>44.7921533785, -0.591619437818</t>
  </si>
  <si>
    <t>Association Le Relais Talençais</t>
  </si>
  <si>
    <t>Notre association gère une épicerie solidaire et propose en parallèle un accompagnement social, des ateliers et des animations aux adhérents et aux familles bénéficiaires.</t>
  </si>
  <si>
    <t>25 rue du 19 Mars  Tour Chateaubriand, Appt 33</t>
  </si>
  <si>
    <t>Rue du 19 Mars 1962</t>
  </si>
  <si>
    <t>44.7966261639296</t>
  </si>
  <si>
    <t>-0.59542433449458</t>
  </si>
  <si>
    <t>Lundi et Jeudi : 14h-16h sur rendez-vous.</t>
  </si>
  <si>
    <t>le.relais.talencais@gmail.com</t>
  </si>
  <si>
    <t>http://le-relais-talencais.org/</t>
  </si>
  <si>
    <t>https://www.facebook.com/Lerelaistalencais</t>
  </si>
  <si>
    <t>Mo,Th 14:00-16:00</t>
  </si>
  <si>
    <t>TABLETTE/Basique,ORDI/Maîtrise,INTERNET/Maîtrise,MAILS/Maîtrise,CV/Maîtrise,DIFFCV/Maîtrise,ORGRECHEMPLOI/Maîtrise,EMPLOISTORE/Basique,DECLAPE/Maîtrise,IMPOTS/Non,DROITSSOCIAUXRSACAF/Non,RETRAITE/Basique,CPAM/Non,FACTURES/Basique,ETATCIVIL/Non,PERMIS/Non,PHOTO/Basique,IMPTROISD/Non,PAO/Basique,SITEWEB/Maîtrise,CODE/Non,MOOC/Maîtrise</t>
  </si>
  <si>
    <t>44.7966261639, -0.595424334495</t>
  </si>
  <si>
    <t>Centre socioculturel Les Terrasses</t>
  </si>
  <si>
    <t>Association où coopèrent des habitants et des salariés autour d'un projet de développement social à Martignas. Elle diversifie ses "portes d'entrées" afin "d'aller vers" tous les publics. Elle accueille, accompagne les habitants pour construire des projets dans le respect des valeurs de son réseau: respect de la dignité humaine, solidarité, démocratie.</t>
  </si>
  <si>
    <t>14 Avenue de Verdun Cedex 15</t>
  </si>
  <si>
    <t>Avenue de Verdun</t>
  </si>
  <si>
    <t>Martignas-sur-Jalle</t>
  </si>
  <si>
    <t>44.8423719486755</t>
  </si>
  <si>
    <t>-0.779397321153063</t>
  </si>
  <si>
    <t>Lundi : 10h-12h30/14h-18h. Mardi, Jeudi : 9h30-12h30/14h-18h30. Mercredi : 14h-18h. Vendredi : 9h30-12h30/14h-17h.</t>
  </si>
  <si>
    <t>cscmartignas@gmail.com</t>
  </si>
  <si>
    <t>https://www.ville-martignas.fr/centre-socioculturel/</t>
  </si>
  <si>
    <t>Mo 10:00-12:30,14:00-18:00; Tu,Th 09:30-12:30,14:00-18:30; We 14:00-18:00; Fr 09:30-12:30,14:00-17:00</t>
  </si>
  <si>
    <t>TABLETTE/Basique,ORDI/Maîtrise,INTERNET/Maîtrise,MAILS/Maîtrise,CV/Basique,DIFFCV/Basique,ORGRECHEMPLOI/Basique,EMPLOISTORE/Non,DECLAPE/Basique,IMPOTS/Basique,DROITSSOCIAUXRSACAF/Maîtrise,RETRAITE/Basique,CPAM/Basique,FACTURES/Basique,ETATCIVIL/Basique,PERMIS/Basique,PHOTO/Basique,IMPTROISD/Non,PAO/Basique,SITEWEB/Non,CODE/Non,MOOC/Basique</t>
  </si>
  <si>
    <t>44.8423719487, -0.779397321153</t>
  </si>
  <si>
    <t>Le Puzzle</t>
  </si>
  <si>
    <t>L'association LE PUZZLE est agréée centre social et culturel et multi-accueil. Située au sein du quartier Capeyron à Mérignac,les actions menées sont en direction de tous les publics. La référente famille CESF, est à même d'orienter le public sur les questions d'accès aux droits et de parentalité. L'équipe d'animation accueille les enfants de 3 à 17 ans sur des temps de loisirs et d'accompagnement à la scolarité. Nous hébergeons une bibliothèque dans les murs. Des ateliers de français pour étrangers sont dispensés à environ 200 personnes par an. De nombreuses activités de loisirs sont proposées également.</t>
  </si>
  <si>
    <t>Rue Jean Giono</t>
  </si>
  <si>
    <t>Mérignac</t>
  </si>
  <si>
    <t>44.8517186438456</t>
  </si>
  <si>
    <t>-0.649471556771519</t>
  </si>
  <si>
    <t>Lundi au Vendredi : 8h30-12h15/13h30-18h.</t>
  </si>
  <si>
    <t>puzzle.administratif@orange.fr</t>
  </si>
  <si>
    <t>https://puzzle-capeyron.fr/</t>
  </si>
  <si>
    <t>https://www.facebook.com/puzzlecapeyron/</t>
  </si>
  <si>
    <t>Mo-Fr 08:30-12:15,13:30-18:00</t>
  </si>
  <si>
    <t>TABLETTE/Basique,ORDI/Maîtrise,INTERNET/Maîtrise,MAILS/Expert,CV/Basique,DIFFCV/Basique,ORGRECHEMPLOI/Basique,EMPLOISTORE/Basique,DECLAPE/Maîtrise,IMPOTS/Maîtrise,DROITSSOCIAUXRSACAF/Maîtrise,RETRAITE/Maîtrise,CPAM/Maîtrise,FACTURES/Maîtrise,ETATCIVIL/Maîtrise,PERMIS/Maîtrise,PHOTO/Basique,IMPTROISD/Non,PAO/Basique,SITEWEB/Non,CODE/Non,MOOC/Basique</t>
  </si>
  <si>
    <t>44.8517186438, -0.649471556772</t>
  </si>
  <si>
    <t>Association Socioculturelle de l'Ouest (ASCO)</t>
  </si>
  <si>
    <t>L'Association SocioCulturelle de l’Ouest (ASCO) est un lieu d'initiatives portées par les habitants et accompagnées par une équipe salariée / bénévoles. L’association est agréée centre social par la CAF depuis 2009. Cet agrément implique la mise en oeuvre d’un projet social portant sur l’animation sociale des quartiers Ouest, la participation active des habitants, une veille sociale auprès des publics fragilisés, une attention particulière pour les familles et la mise en place d’actions partenariales.</t>
  </si>
  <si>
    <t>104 avenue Anatole France</t>
  </si>
  <si>
    <t>Avenue Anatole France</t>
  </si>
  <si>
    <t>Saint-Médard-en-Jalles</t>
  </si>
  <si>
    <t>44.8939099455002</t>
  </si>
  <si>
    <t>-0.749362859460567</t>
  </si>
  <si>
    <t>Lundi au Vendredi : 14h à 18h.</t>
  </si>
  <si>
    <t>accueil.asco@gmail.com</t>
  </si>
  <si>
    <t>http://association-asco.com/</t>
  </si>
  <si>
    <t>https://www.facebook.com/ASCO-Association-Socio-Culturelle-de-lOuest-350004958881145</t>
  </si>
  <si>
    <t>Mo-Fr 14:00-18:00</t>
  </si>
  <si>
    <t>TABLETTE/Maîtrise,ORDI/Maîtrise,INTERNET/Maîtrise,MAILS/Maîtrise,CV/Basique,DIFFCV/Maîtrise,ORGRECHEMPLOI/Maîtrise,EMPLOISTORE/Non,DECLAPE/Maîtrise,IMPOTS/Maîtrise,DROITSSOCIAUXRSACAF/Maîtrise,RETRAITE/Basique,CPAM/Maîtrise,FACTURES/Maîtrise,ETATCIVIL/Maîtrise,PERMIS/Maîtrise,PHOTO/Basique,IMPTROISD/Non,PAO/Maîtrise,SITEWEB/Non,CODE/Non,MOOC/Basique</t>
  </si>
  <si>
    <t>44.8939099455, -0.749362859461</t>
  </si>
  <si>
    <t>Atelier Remuménage</t>
  </si>
  <si>
    <t>L'Atelier Remuménage est une association girondine, basée dans le quartier Saint-Michel/Capucins, qui propose des services de déménagement et transport, solidaires et écologiques. Acteur depuis 20 ans dans l'Economie Sociale et Solidaire, l'association est en partenariat avec les acteurs sociaux du territoire. L'association est également reconnu Atelier Chantier d'Insertion depuis 2015. Elle accompagne 26 personnes éloignées de l'emploi dans leurs parcours socioprofessionnels.Depuis 2019, elle participe au programme Quartiers numériques, et propose des ateliers pour les personnes qui en ont besoin.</t>
  </si>
  <si>
    <t>5 cours de l'Yser</t>
  </si>
  <si>
    <t>cours de l'Yser</t>
  </si>
  <si>
    <t>44.8296189183359</t>
  </si>
  <si>
    <t>-0.568234732775661</t>
  </si>
  <si>
    <t>Du Lundi au Vendredi : 09h-12h30/.13h30-18h.</t>
  </si>
  <si>
    <t>contact@atelier-remumenage.org</t>
  </si>
  <si>
    <t>http://atelier-remumenage.org/</t>
  </si>
  <si>
    <t>https://www.facebook.com/AtelierRemumenage/</t>
  </si>
  <si>
    <t>TABLETTE/Maîtrise,ORDI/Maîtrise,INTERNET/Maîtrise,MAILS/Maîtrise,CV/Maîtrise,DIFFCV/Maîtrise,ORGRECHEMPLOI/Maîtrise,EMPLOISTORE/Maîtrise,DECLAPE/Maîtrise,IMPOTS/Maîtrise,DROITSSOCIAUXRSACAF/Maîtrise,RETRAITE/Maîtrise,CPAM/Maîtrise,FACTURES/Maîtrise,ETATCIVIL/Maîtrise,PERMIS/Maîtrise,PHOTO/Non,IMPTROISD/Non,PAO/Non,SITEWEB/Non,CODE/Non,MOOC/Non</t>
  </si>
  <si>
    <t>44.8296189183, -0.568234732776</t>
  </si>
  <si>
    <t>Centre d'animation Bacalan</t>
  </si>
  <si>
    <t>Le centre d’animation Bacalan fait partie de l’association Centres d’animation de Bordeaux, association républicaine d’animation socioculturelle, loi 1901. À ce titre, son action se fonde sur un ensemble de valeurs et de principes et est guidée par ses textes fondateurs dont ses statuts et son projet associatif. Agréée jeunesse et éducation populaire et agréé Centre Social, le centre œuvre avec toutes et tous afin de contribuer à l’émancipation des personnes qu’elle accueille en promouvant une éducation tout au long de la vie et l’égale reconnaissance des savoirs, savoir-faire et savoir-être.</t>
  </si>
  <si>
    <t>139 rue Joseph Brunet</t>
  </si>
  <si>
    <t>Rue Joseph Brunet</t>
  </si>
  <si>
    <t>44.8795887016774</t>
  </si>
  <si>
    <t>-0.543182251350188</t>
  </si>
  <si>
    <t>Mardi et Vendredi : 14h-18h Mercredi  : 9h-13h/14h-18h30 Jeudi : 9h-13h/15h-19h30</t>
  </si>
  <si>
    <t>bacalan@cabordeaux.fr</t>
  </si>
  <si>
    <t>https://centresanimationbordeaux.fr/bacalan</t>
  </si>
  <si>
    <t>https://www.facebook.com/centresanimationbordeaux/</t>
  </si>
  <si>
    <t>Tu,Fr 14:00-18:00; We 09:00-13:00,14:00-18:30; Th 09:00-13:00,15:00-19:30</t>
  </si>
  <si>
    <t>TABLETTE/,ORDI/Maîtrise,INTERNET/Maîtrise,MAILS/Maîtrise,CV/Maîtrise,DIFFCV/Maîtrise,ORGRECHEMPLOI/Maîtrise,EMPLOISTORE/Basique,DECLAPE/Expert,IMPOTS/Maîtrise,DROITSSOCIAUXRSACAF/Expert,RETRAITE/Maîtrise,CPAM/Expert,FACTURES/Maîtrise,ETATCIVIL/Maîtrise,PERMIS/Maîtrise,PHOTO/Non,IMPTROISD/Non,PAO/Non,SITEWEB/Non,CODE/Non,MOOC/Non</t>
  </si>
  <si>
    <t>Point relais CAF</t>
  </si>
  <si>
    <t>44.8795887017, -0.54318225135</t>
  </si>
  <si>
    <t>Maison des femmes de Bordeaux</t>
  </si>
  <si>
    <t>Deux ordinateurs sont mis à disposition des femmes. Isabelle, chargée de l'insertion à la Maison des Femmes, vous accompagne dans vos démarches administratives.</t>
  </si>
  <si>
    <t>27 cours Alsace Lorraine</t>
  </si>
  <si>
    <t>Cours Alsace Lorraine</t>
  </si>
  <si>
    <t>44.8379529077461</t>
  </si>
  <si>
    <t>-0.569515586992977</t>
  </si>
  <si>
    <t>Lundi au Vendredi : 14h-18h.</t>
  </si>
  <si>
    <t>maison.des.femmes@wanadoo.fr</t>
  </si>
  <si>
    <t>http://maisondesfemmes.net</t>
  </si>
  <si>
    <t>TABLETTE/Basique,ORDI/Maîtrise,INTERNET/Expert,MAILS/Expert,CV/Maîtrise,DIFFCV/Expert,ORGRECHEMPLOI/Maîtrise,EMPLOISTORE/Basique,DECLAPE/Maîtrise,IMPOTS/Maîtrise,DROITSSOCIAUXRSACAF/Maîtrise,RETRAITE/Non,CPAM/Maîtrise,FACTURES/Maîtrise,ETATCIVIL/Maîtrise,PERMIS/Basique,PHOTO/Non,IMPTROISD/Non,PAO/Non,SITEWEB/Non,CODE/Non,MOOC/Non</t>
  </si>
  <si>
    <t>44.8379529077, -0.569515586993</t>
  </si>
  <si>
    <t>Amicale Laïque de Bacalan</t>
  </si>
  <si>
    <t>Association issue de l'Education Populaire, ouverte à tous pour l'épanouissement de chacune et chacun. Evénements culturels, ateliers culturels et sportifs, périscolaire, médiation, accompagnement des publics, lieu d'accueil des habitants et des associations.</t>
  </si>
  <si>
    <t>5 rue Joseph Brunet</t>
  </si>
  <si>
    <t>44.8740305391211</t>
  </si>
  <si>
    <t>-0.546146638400272</t>
  </si>
  <si>
    <t>Lundi : 15h-21h, Mardi Mercredi Jeudi Vendredi : 14h-21h.</t>
  </si>
  <si>
    <t>amicalebacalan@free.fr</t>
  </si>
  <si>
    <t>http://amicalebacalan.com/</t>
  </si>
  <si>
    <t>Mo 15:00-21:00; Tu-Fr 14:00-21:00</t>
  </si>
  <si>
    <t>TABLETTE/Non,ORDI/Expert,INTERNET/Maîtrise,MAILS/Expert,CV/Maîtrise,DIFFCV/Maîtrise,ORGRECHEMPLOI/Maîtrise,EMPLOISTORE/Basique,DECLAPE/Expert,IMPOTS/Expert,DROITSSOCIAUXRSACAF/Expert,RETRAITE/Expert,CPAM/Expert,FACTURES/Expert,ETATCIVIL/Basique,PERMIS/Basique,PHOTO/Maîtrise,IMPTROISD/Non,PAO/Basique,SITEWEB/Maîtrise,CODE/Basique,MOOC/Basique</t>
  </si>
  <si>
    <t>44.8740305391, -0.5461466384</t>
  </si>
  <si>
    <t>Bibliothèque Bacalan</t>
  </si>
  <si>
    <t>Bien amarrée au territoire de Bordeaux Maritime, la bibliothèque Bacalan vous attend en famille, autour de rencontres, d'expositions ou d'ateliers... Demandez le programme ! Pour lire, travailler, vous informer ou vous détendre, la bibliothèque met à votre disposition 4 postes Internet et plus de 20 places assises.</t>
  </si>
  <si>
    <t>196 rue Achard</t>
  </si>
  <si>
    <t>44.873133961464</t>
  </si>
  <si>
    <t>-0.546282394370516</t>
  </si>
  <si>
    <t>TABLETTE/Basique,ORDI/Basique,INTERNET/Basique,MAILS/Expert,CV/Basique,DIFFCV/Basique,ORGRECHEMPLOI/Non,EMPLOISTORE/Non,DECLAPE/Basique,IMPOTS/Basique,DROITSSOCIAUXRSACAF/Basique,RETRAITE/Basique,CPAM/Basique,FACTURES/Basique,ETATCIVIL/Basique,PERMIS/Basique,PHOTO/Basique,IMPTROISD/Non,PAO/Basique,SITEWEB/Non,CODE/Non,MOOC/Expert</t>
  </si>
  <si>
    <t>44.8731339615, -0.546282394371</t>
  </si>
  <si>
    <t>Centre d'animation Bordeaux Lac</t>
  </si>
  <si>
    <t>Animation socioculturelle en direction des enfants et Jeunes de 3 à 17 ans et de leurs familles. (activités péri et extra scolaires + Sorties, séjours période scolaire et vacances + accompagnement à la scolarité) Accueil et accompagnement des familles : Accès aux droits (permanences sociales avec partenaires), sorties, séjours. Développement social local par animations de quartier et soutien aux initiatives locales.</t>
  </si>
  <si>
    <t>79 cours des Aubiers</t>
  </si>
  <si>
    <t>44.8725467917707</t>
  </si>
  <si>
    <t>-0.572518333173997</t>
  </si>
  <si>
    <t>Lundi, Mardi et Vendredi : 13h30-18h30, Mercredi : 9h-12h/13h30-18h30, Jeudi : 9h-12h/ 13h30-17h.</t>
  </si>
  <si>
    <t>ca.bordeauxlac@acaqb.fr</t>
  </si>
  <si>
    <t>https://centresanimationbordeaux.fr/bordeaux-lac/</t>
  </si>
  <si>
    <t>Mo-Fr 13:30-18:30; We 09:00-12:00,13:30-18:30; Th 09:00-12:00,13:30-17:00</t>
  </si>
  <si>
    <t>TABLETTE/Non,ORDI/Non,INTERNET/Maîtrise,MAILS/Basique,CV/Non,DIFFCV/Expert,ORGRECHEMPLOI/Expert,EMPLOISTORE/Expert,DECLAPE/Maîtrise,IMPOTS/Basique,DROITSSOCIAUXRSACAF/Basique,RETRAITE/Basique,CPAM/Basique,FACTURES/Basique,ETATCIVIL/Basique,PERMIS/Basique,PHOTO/Non,IMPTROISD/Non,PAO/Non,SITEWEB/Non,CODE/Non,MOOC/Non</t>
  </si>
  <si>
    <t>44.8725467918, -0.572518333174</t>
  </si>
  <si>
    <t>Centre social et familial Bordeaux Nord</t>
  </si>
  <si>
    <t>Accueil des habitants du quartier pour participer à des activités de loisirs et de soutien scolaire pour les enfants des activités d'insertion sociale, professionnelle et de solidarité pour les adultes.</t>
  </si>
  <si>
    <t>58 rue Joséphine</t>
  </si>
  <si>
    <t>Rue Josephine</t>
  </si>
  <si>
    <t>44.8602284600313</t>
  </si>
  <si>
    <t>-0.562106192547505</t>
  </si>
  <si>
    <t>Du Lundi au Vendredi : 9h-12h30/14h-18h30.</t>
  </si>
  <si>
    <t>contact@csbn.org</t>
  </si>
  <si>
    <t>http://www.csbn.org/</t>
  </si>
  <si>
    <t>Mo-Fr 09:00-12:30,14:00-18:30</t>
  </si>
  <si>
    <t>TABLETTE/Expert,ORDI/Expert,INTERNET/Expert,MAILS/Expert,CV/Expert,DIFFCV/Expert,ORGRECHEMPLOI/Maîtrise,EMPLOISTORE/Maîtrise,DECLAPE/Expert,IMPOTS/Basique,DROITSSOCIAUXRSACAF/Expert,RETRAITE/Basique,CPAM/Expert,FACTURES/Maîtrise,ETATCIVIL/Basique,PERMIS/Basique,PHOTO/Basique,IMPTROISD/Non,PAO/Expert,SITEWEB/Non,CODE/Non,MOOC/Expert</t>
  </si>
  <si>
    <t>44.86022846, -0.562106192548</t>
  </si>
  <si>
    <t>Bibliothèque Grand Parc</t>
  </si>
  <si>
    <t>Dans sa rotonde centrale, elle accueille les œuvres de nombreux artistes peintres et sculpteurs : vous y découvrirez chaque mois des expositions d’art contemporain. Située au cœur du quartier Grand Parc, en bordure de Caudéran, du Jardin Public et des Chartrons, la bibliothèque vous offre un équipement culturel dynamique.</t>
  </si>
  <si>
    <t>34 rue Pierre Trébod</t>
  </si>
  <si>
    <t>Rue Pierre</t>
  </si>
  <si>
    <t>44.839435124121</t>
  </si>
  <si>
    <t>-0.593256789357832</t>
  </si>
  <si>
    <t>Mardi : 10h-12h/14h-18h, Mercredi et Samedi : 10h-18h,Jeudi et Vendredi : 14h-18h.</t>
  </si>
  <si>
    <t>44.8394351241, -0.593256789358</t>
  </si>
  <si>
    <t>CCAS de Bordeaux</t>
  </si>
  <si>
    <t>Le CCAS de Bordeaux (Centre Communal d'Action Sociale), établissement public, met en oeuvre les solidarités et organise l'aide sociale au profit des Bordelais. A ce titre il lutte contre les exclusions en accompagnant l'attribution de l'aide sociale légale, en dispensant une aide sociale facultative selon la politique d'action sociale de la commune. Coordonnant les acteurs du territoire il porte des actions innovantes pour lutter contre les précarités. Le CCAS de Bordeaux n'assure pas un accompagnement numérique mais a un soutien numérique aux usagers dans le cadre de la dématérialisation des procédures.</t>
  </si>
  <si>
    <t>4 rue Claude Bonnier</t>
  </si>
  <si>
    <t>Rue Claude Bonnier</t>
  </si>
  <si>
    <t>44.8382043106635</t>
  </si>
  <si>
    <t>-0.582316627110537</t>
  </si>
  <si>
    <t>Lundi au Vendredi : 8h30-18h.</t>
  </si>
  <si>
    <t>p.souchon@mairie-bordeaux.fr</t>
  </si>
  <si>
    <t>https://www.bordeaux.fr/p80983/le-centre-communal-d-action-sociale</t>
  </si>
  <si>
    <t>TABLETTE/Non,ORDI/Non,INTERNET/Non,MAILS/Basique,CV/Non,DIFFCV/Non,ORGRECHEMPLOI/Non,EMPLOISTORE/Non,DECLAPE/Basique,IMPOTS/Basique,DROITSSOCIAUXRSACAF/Basique,RETRAITE/Basique,CPAM/Non,FACTURES/Non,ETATCIVIL/Basique,PERMIS/Non,PHOTO/Non,IMPTROISD/Non,PAO/Non,SITEWEB/Non,CODE/Non,MOOC/Non</t>
  </si>
  <si>
    <t>44.8382043107, -0.582316627111</t>
  </si>
  <si>
    <t>GEM Grain de Café</t>
  </si>
  <si>
    <t>Association qui a pour objet de soutenir et de promouvoir la participation sociale et la citoyenneté des personnes isolées et/ou en souffrance psychique.</t>
  </si>
  <si>
    <t>6 rue Ausone</t>
  </si>
  <si>
    <t>Rue Ausone</t>
  </si>
  <si>
    <t>44.8384732018026</t>
  </si>
  <si>
    <t>-0.568542188054494</t>
  </si>
  <si>
    <t>Lundi au Vendredi : 14h-17h.</t>
  </si>
  <si>
    <t>gemgraindecafe@gmail.com</t>
  </si>
  <si>
    <t>https://gem-grain-de-cafe.business.site/</t>
  </si>
  <si>
    <t>Mo-Fr 14:00-17:00</t>
  </si>
  <si>
    <t>TABLETTE/Basique,ORDI/Basique,INTERNET/Basique,MAILS/Basique,CV/Basique,DIFFCV/Non,ORGRECHEMPLOI/Non,EMPLOISTORE/Non,DECLAPE/Basique,IMPOTS/Basique,DROITSSOCIAUXRSACAF/Basique,RETRAITE/Non,CPAM/Basique,FACTURES/Basique,ETATCIVIL/Basique,PERMIS/Basique,PHOTO/Non,IMPTROISD/Non,PAO/Non,SITEWEB/Non,CODE/Non,MOOC/Non</t>
  </si>
  <si>
    <t>44.8384732018, -0.568542188054</t>
  </si>
  <si>
    <t>La Ressourcerie</t>
  </si>
  <si>
    <t>Un lieu de vie au cœur de Bordeaux pour se ressourcer ensemble et prendre du temps pour soi. Conçue à l’origine pour les personnes accompagnant un proche, la Ressourcerie est ouverte à tous. Vous trouverez ici du répit, de l’entraide et de l’envie d’agir pour vous ressourcer.</t>
  </si>
  <si>
    <t>21 Cours du Chapeau Rouge</t>
  </si>
  <si>
    <t>Cours du Chapeau Rouge</t>
  </si>
  <si>
    <t>44.8424830956179</t>
  </si>
  <si>
    <t>-0.572462929593069</t>
  </si>
  <si>
    <t>Lundi : 14h-18h30, Mardi, Mercredi, Jeudi, Vendredi : 10h-18h.</t>
  </si>
  <si>
    <t>contact@la-ressourcerie.com</t>
  </si>
  <si>
    <t>https://www.la-ressourcerie.com/</t>
  </si>
  <si>
    <t>https://www.facebook.com/laressourceriebordeaux/</t>
  </si>
  <si>
    <t>Mo 14:00-18:30; Tu-Fr 10:00-18:00</t>
  </si>
  <si>
    <t>Jeunes,Séniors</t>
  </si>
  <si>
    <t>TABLETTE/Maîtrise,ORDI/Maîtrise,INTERNET/Maîtrise,MAILS/Maîtrise,CV/Basique,DIFFCV/Basique,ORGRECHEMPLOI/Non,EMPLOISTORE/Non,DECLAPE/Maîtrise,IMPOTS/Maîtrise,DROITSSOCIAUXRSACAF/Maîtrise,RETRAITE/Maîtrise,CPAM/Maîtrise,FACTURES/Maîtrise,ETATCIVIL/Maîtrise,PERMIS/Maîtrise,PHOTO/Non,IMPTROISD/Non,PAO/Non,SITEWEB/Non,CODE/Non,MOOC/Non</t>
  </si>
  <si>
    <t>44.8424830956, -0.572462929593</t>
  </si>
  <si>
    <t>Pôle Emploi Gironde - Bordeaux Mériadeck</t>
  </si>
  <si>
    <t>1 Terrasse du Front du Médoc</t>
  </si>
  <si>
    <t>Terrasse Front du Médoc</t>
  </si>
  <si>
    <t>44.838066640169</t>
  </si>
  <si>
    <t>-0.588190718004337</t>
  </si>
  <si>
    <t>Réception sans rendez-vous les matin du Lundi au Vendredi de 8h30 à 12h30 et sur rendez-vous les après-midi sauf le Jeudi.</t>
  </si>
  <si>
    <t>44.8380666402, -0.588190718004</t>
  </si>
  <si>
    <t>Groupement des Intellectuels Aveugles ou Amblyopes</t>
  </si>
  <si>
    <t>Le G.I.A.A Aquitaine a pour vocation l’aide aux personnes déficientes visuelles. Nos activités : soutien d’étudiants déficients visuels par la fourniture à la demande de documents numérisés accessibles, gestion d’une bibliothèque sonore (plus de 12 000 ouvrages audio (au format MP3), cours d’informatique adapté, cours de braille, soutien psychologique, aide aux démarches administratives et accompagnement vers l’emploi.</t>
  </si>
  <si>
    <t>14 rue de la Réole</t>
  </si>
  <si>
    <t>Rue de la Reole</t>
  </si>
  <si>
    <t>44.8222816066295</t>
  </si>
  <si>
    <t>-0.566530287678929</t>
  </si>
  <si>
    <t>Du Lundi au Jeudi : 9h-17h30.</t>
  </si>
  <si>
    <t>contact.aquitaine@giaa.org</t>
  </si>
  <si>
    <t>http://www.giaa-aquitaine.fr/</t>
  </si>
  <si>
    <t>https://www.facebook.com/GIAA.apiDv.Nouvelle.aquitaine</t>
  </si>
  <si>
    <t>Mo-Th 09:00-17:30</t>
  </si>
  <si>
    <t>TABLETTE/Maîtrise,ORDI/Expert,INTERNET/Expert,MAILS/Expert,CV/Expert,DIFFCV/Expert,ORGRECHEMPLOI/Expert,EMPLOISTORE/Non,DECLAPE/Maîtrise,IMPOTS/Basique,DROITSSOCIAUXRSACAF/Basique,RETRAITE/Basique,CPAM/Basique,FACTURES/Basique,ETATCIVIL/Basique,PERMIS/Basique,PHOTO/Non,IMPTROISD/Non,PAO/Basique,SITEWEB/Expert,CODE/Non,MOOC/Basique</t>
  </si>
  <si>
    <t>44.8222816066, -0.566530287679</t>
  </si>
  <si>
    <t>Pôle Emploi Gironde - Bordeaux St Jean</t>
  </si>
  <si>
    <t>4 rue Bac Ninh</t>
  </si>
  <si>
    <t>Rue de Bac Ninh</t>
  </si>
  <si>
    <t>44.8271058055701</t>
  </si>
  <si>
    <t>-0.554196479441024</t>
  </si>
  <si>
    <t>44.8271058056, -0.554196479441</t>
  </si>
  <si>
    <t>Pôle Emploi Gironde - Bordeaux Bastide</t>
  </si>
  <si>
    <t>4 rue René Buthaut</t>
  </si>
  <si>
    <t>Rue René Buthaut</t>
  </si>
  <si>
    <t>44.8380460348437</t>
  </si>
  <si>
    <t>-0.555132098171409</t>
  </si>
  <si>
    <t>44.8380460348, -0.555132098171</t>
  </si>
  <si>
    <t>APF France handicap Délégation Gironde</t>
  </si>
  <si>
    <t>Association de défense des droits des personnes en situation de handicap. Des missions associatives et militantes au sein de la délégation de Gironde. 400 adhérents, 125 bénévoles, 6 salariés, un Conseil APF de Département de 9 membres élus pour un mandat de 4 ans missionné entre autre.s, pour la mise en œuvre de notre projet associatif "Pouvoir d'agir, pouvoir choisir".</t>
  </si>
  <si>
    <t>30 rue Delacroix</t>
  </si>
  <si>
    <t>Rue Delacroix</t>
  </si>
  <si>
    <t>44.855371825466</t>
  </si>
  <si>
    <t>-0.632757573764835</t>
  </si>
  <si>
    <t>Du Lundi au Vendredi : 9h30-12h/14h-17h30.</t>
  </si>
  <si>
    <t>dd.33@apf.asso.fr</t>
  </si>
  <si>
    <t>http://apf33.blogs.apf.asso.fr/</t>
  </si>
  <si>
    <t>Mo-Fr 09:30-12:00,14:00-17:30</t>
  </si>
  <si>
    <t>Demandeurs d'emploi,Jeunes,Personnes en situation de handicap,Séniors</t>
  </si>
  <si>
    <t>TABLETTE/Non,ORDI/Basique,INTERNET/Basique,MAILS/Basique,CV/Basique,DIFFCV/Basique,ORGRECHEMPLOI/Basique,EMPLOISTORE/Non,DECLAPE/Non,IMPOTS/Non,DROITSSOCIAUXRSACAF/Non,RETRAITE/Non,CPAM/Non,FACTURES/Non,ETATCIVIL/Non,PERMIS/Non,PHOTO/Non,IMPTROISD/Non,PAO/Non,SITEWEB/Non,CODE/Non,MOOC/Non</t>
  </si>
  <si>
    <t>44.8553718255, -0.632757573765</t>
  </si>
  <si>
    <t>MJC CL2V</t>
  </si>
  <si>
    <t>Association d'éducation populaire, la MJC CL2V est agréée centre social. Les valeurs de l'association sont : Respect, Solidarité, Citoyenneté. C'est un espace de loisirs, de rencontres, de partage, ouvert à tous.</t>
  </si>
  <si>
    <t>11 rue Erik Satie</t>
  </si>
  <si>
    <t>Rue Erik Satie</t>
  </si>
  <si>
    <t>44.8454470154606</t>
  </si>
  <si>
    <t>-0.630545305706131</t>
  </si>
  <si>
    <t>Lundi : 9h-12h30/14h-19h, Mardi : 9h-12h30/13h30-18h30, Mercredi : 8h30-13h00/13h30-19h, Jeudi 8h30-12h30/14h-18h30, Vendredi : 8h30-12h/13h30-16.</t>
  </si>
  <si>
    <t>accueil@mjccl2v.fr</t>
  </si>
  <si>
    <t>http://www.mjccl2v.fr/</t>
  </si>
  <si>
    <t>Mo 09:00-12:30,14:00-19:00; Tu 09:00-12:30,13:30-18:30; We 08:30-13:00,13:15-19:00; Th 08:30-12:30,14:00-18:30; Fr 08:30-12:00,13:30-16:00</t>
  </si>
  <si>
    <t>TABLETTE/Maîtrise,ORDI/Maîtrise,INTERNET/Maîtrise,MAILS/Maîtrise,CV/Maîtrise,DIFFCV/Basique,ORGRECHEMPLOI/Non,EMPLOISTORE/Non,DECLAPE/Maîtrise,IMPOTS/Non,DROITSSOCIAUXRSACAF/Maîtrise,RETRAITE/Basique,CPAM/Basique,FACTURES/Basique,ETATCIVIL/Basique,PERMIS/Basique,PHOTO/Basique,IMPTROISD/Non,PAO/Non,SITEWEB/Non,CODE/Non,MOOC/Non</t>
  </si>
  <si>
    <t>44.8454470155, -0.630545305706</t>
  </si>
  <si>
    <t>Bibliothèque François Mitterrand</t>
  </si>
  <si>
    <t>L’espace multimédia de la bibliothèque municipale d'Ambarès-et-Lagrave a pour objectif de promouvoir l’accès à l’ information et de favoriser l’ égalité d’accès aux ressources numériques. L’utilisation autonome des ordinateurs est libre et gratuite. La bibliothèque accueille de façon ponctuelle des ateliers et des animations numériques dans le cadre de sa programmation.</t>
  </si>
  <si>
    <t>9 rue Edmond Fabulation</t>
  </si>
  <si>
    <t>rue Edmond Fabulation</t>
  </si>
  <si>
    <t>Ambarès-et-Lagrave</t>
  </si>
  <si>
    <t>Mardi, Jeudi, Vendredi :16h-18h30. Mercredi : 14h-19h. Samedi : 9h30-12h30.</t>
  </si>
  <si>
    <t>bibliotheque@ville-ambaresetlagrave.fr</t>
  </si>
  <si>
    <t>https://bibliotheque.ville-ambaresetlagrave.fr/</t>
  </si>
  <si>
    <t>Tu-Fr 16:00-18:30; Th 14:00-19:00; Sa 09:30-12:30</t>
  </si>
  <si>
    <t>TABLETTE/Maîtrise,ORDI/Expert,INTERNET/Expert,MAILS/Maîtrise,CV/Non,DIFFCV/Non,ORGRECHEMPLOI/Non,EMPLOISTORE/Non,DECLAPE/Non,IMPOTS/Non,DROITSSOCIAUXRSACAF/Non,RETRAITE/Non,CPAM/Non,FACTURES/Non,ETATCIVIL/Non,PERMIS/Non,PHOTO/Basique,IMPTROISD/Non,PAO/Maîtrise,SITEWEB/Basique,CODE/Non,MOOC/Basique</t>
  </si>
  <si>
    <t>Médiathèque François Mitterrand</t>
  </si>
  <si>
    <t>Mairie d'Ambès</t>
  </si>
  <si>
    <t>La médiathèque François Mitterrand est un service public municipal mis à la disposition de tous. Ce lieu donne accès à différents types de médias, permettant la consultation sur place et à domicile pour tous les âges, ainsi que de nombreux services (espace public numérique., animation, ateliers). Attention : La bibliothèque est en travaux jusqu’en janvier 2021. L’accompagnement au numérique. est possible uniquement sur rendez-vous.</t>
  </si>
  <si>
    <t>5 avenue du Dr Gustave Couaillac</t>
  </si>
  <si>
    <t>Rue du Docteur Gustave Couaillac</t>
  </si>
  <si>
    <t>Ambès</t>
  </si>
  <si>
    <t>45.0117542940425</t>
  </si>
  <si>
    <t>-0.532699085742132</t>
  </si>
  <si>
    <t>Sur rendez-vous jusqu’en janvier 2021 (travaux en cours).</t>
  </si>
  <si>
    <t>biblio@mairie-ambes.fr</t>
  </si>
  <si>
    <t>https://ambes.c3rb.org/</t>
  </si>
  <si>
    <t>https://www.facebook.com/Médiathèque-dAmbès-114018863703336</t>
  </si>
  <si>
    <t>Allocataires,Séniors</t>
  </si>
  <si>
    <t>TABLETTE/Maîtrise,ORDI/Maîtrise,INTERNET/Maîtrise,MAILS/Maîtrise,CV/Maîtrise,DIFFCV/Maîtrise,ORGRECHEMPLOI/Maîtrise,EMPLOISTORE/Basique,DECLAPE/Basique,IMPOTS/Basique,DROITSSOCIAUXRSACAF/Basique,RETRAITE/Basique,CPAM/Basique,FACTURES/Basique,ETATCIVIL/Basique,PERMIS/Basique,PHOTO/Basique,IMPTROISD/Non,PAO/Maîtrise,SITEWEB/Basique,CODE/Non,MOOC/Non</t>
  </si>
  <si>
    <t>45.011754294, -0.532699085742</t>
  </si>
  <si>
    <t>CCAS de la Ville d'Artigues-près-Bordeaux</t>
  </si>
  <si>
    <t>Le Centre Communale d'Action Sociale de la Ville d'Artigues-près-Bordeaux propose depuis 3 ans des ateliers numériques gratuits à destination des Seniors de + de 55 ans, ainsi qu'un accompagnement sociale des personnes en situation précaire.</t>
  </si>
  <si>
    <t>château Bétailhe, 72 avenue de l'Eglise romane</t>
  </si>
  <si>
    <t>château Bétailhe</t>
  </si>
  <si>
    <t>Du Lundi au Vendredi : 8h30-12h/13h30-17h.</t>
  </si>
  <si>
    <t>ccas@artigues-pres-bordeaux.fr</t>
  </si>
  <si>
    <t>https://www.artigues-pres-bordeaux.fr/</t>
  </si>
  <si>
    <t>https://www.facebook.com/artiguespresbordeaux/</t>
  </si>
  <si>
    <t>Mo-Fr 08:30-12:00,13:30-17:00</t>
  </si>
  <si>
    <t>Allocataires,Etrangers,Personnes en situation de handicap</t>
  </si>
  <si>
    <t>TABLETTE/Basique,ORDI/Basique,INTERNET/Basique,MAILS/Maîtrise,CV/Basique,DIFFCV/Basique,ORGRECHEMPLOI/Basique,EMPLOISTORE/Non,DECLAPE/Maîtrise,IMPOTS/Maîtrise,DROITSSOCIAUXRSACAF/Maîtrise,RETRAITE/Basique,CPAM/Maîtrise,FACTURES/Maîtrise,ETATCIVIL/Non,PERMIS/Basique,PHOTO/Non,IMPTROISD/Non,PAO/Non,SITEWEB/Non,CODE/Non,MOOC/Non</t>
  </si>
  <si>
    <t>Unisphères</t>
  </si>
  <si>
    <t>UNISPHERES est une association pluridisciplinaire de Mèdiation et de Dèveloppement Artistique, Culturel et Numèrique qui dèploie son projet a travers 6 pôles d activitès : Action Culturelle, Mèdiation, Accompagnement, Formation, Crèation, Evènements.</t>
  </si>
  <si>
    <t>Château de Palmer - Rue Aristide Briand</t>
  </si>
  <si>
    <t>Rue Aristide Briand</t>
  </si>
  <si>
    <t>44.8588687967202</t>
  </si>
  <si>
    <t>-0.524002976837326</t>
  </si>
  <si>
    <t>Du Lundi au Vendredi : 10h-18h.</t>
  </si>
  <si>
    <t>contact@unispheres.fr</t>
  </si>
  <si>
    <t>https://unispheres.fr/</t>
  </si>
  <si>
    <t>https://www.facebook.com/assounispheres/</t>
  </si>
  <si>
    <t>Demandeurs d'emploi,Jeunes,Personnes en situation de handicap</t>
  </si>
  <si>
    <t>TABLETTE/Expert,ORDI/Expert,INTERNET/Expert,MAILS/Expert,CV/Expert,DIFFCV/Expert,ORGRECHEMPLOI/Expert,EMPLOISTORE/Expert,DECLAPE/Expert,IMPOTS/Expert,DROITSSOCIAUXRSACAF/Expert,RETRAITE/Expert,CPAM/Expert,FACTURES/Expert,ETATCIVIL/Expert,PERMIS/Expert,PHOTO/Expert,IMPTROISD/Expert,PAO/Expert,SITEWEB/Expert,CODE/Expert,MOOC/Expert</t>
  </si>
  <si>
    <t>Point relais CAF,Relais Pole Emploi,autres dispositifs</t>
  </si>
  <si>
    <t>44.8588687967, -0.524002976837</t>
  </si>
  <si>
    <t>Fabrique Citoyenne</t>
  </si>
  <si>
    <t>Mairie de Floirac</t>
  </si>
  <si>
    <t>La Fabrique citoyenne, nèe de l'ancienne Mairie annexe, a ouvert ses portes en septembre 2018. Elle est situèe au coeur d'un quartier prioritaire en plein renouvellement urbain. C'est une structure qui accompagne les usagers dans leurs démarches administratives, qu'elles soient numèriques ou papier. Ce lieu a aussi vocation à accueillir les usagers qui ont juste envie d'un cafè, pour tisser le lien social avec les autres habitants et sortir de l'isolement. C'est aussi un lieu qui accueille diffèrentes permanences pour l'accès aux droits des usagers. La Fabrique c'est aussi le siège des démarches participatives.</t>
  </si>
  <si>
    <t>CC de Dravemont Rue Salvador Allende</t>
  </si>
  <si>
    <t>Rue Salvador Allende</t>
  </si>
  <si>
    <t>Floirac</t>
  </si>
  <si>
    <t>CC de Dravemont</t>
  </si>
  <si>
    <t>44.8463369112469</t>
  </si>
  <si>
    <t>-0.51028293977931</t>
  </si>
  <si>
    <t>Lundi au Vendredi : 8h30-17h.</t>
  </si>
  <si>
    <t>fabriquecitoyenne@ville-floirac33.fr</t>
  </si>
  <si>
    <t>http://www.ville-floirac33.fr/la-democratie-participative/la-fabrique-citoyenne/</t>
  </si>
  <si>
    <t>Mo-Fr 08:30-17:00</t>
  </si>
  <si>
    <t>TABLETTE/Maîtrise,ORDI/Non,INTERNET/Maîtrise,MAILS/Expert,CV/Expert,DIFFCV/Expert,ORGRECHEMPLOI/Expert,EMPLOISTORE/Non,DECLAPE/Expert,IMPOTS/Expert,DROITSSOCIAUXRSACAF/Expert,RETRAITE/Expert,CPAM/Expert,FACTURES/Expert,ETATCIVIL/Expert,PERMIS/Expert,PHOTO/Non,IMPTROISD/Non,PAO/Non,SITEWEB/Non,CODE/Non,MOOC/Non</t>
  </si>
  <si>
    <t>44.8463369112, -0.510282939779</t>
  </si>
  <si>
    <t>LESCAN</t>
  </si>
  <si>
    <t>Proposer des formations et des activitès de crèation artistiques et numèriques : musique, thèètre, photographie, vidèo, etc. Proposer des activitès d’exploration du monde mèdiatique : ateliers d’èducation aux mèdias, dècryptage journalistique, courts mètrages et documentaires. Promouvoir les valeurs communes du vivre ensemble, les relations intergènèrationnelles et la mixitè sociale. Rendre accessibles, les technologies numèriques au plus grand nombre, lutter contre l'illectronisme. Accompagner tous les publics (particuliers, associations, collectivitès, structures publiques et privèes)</t>
  </si>
  <si>
    <t>rue Marcel Cerdan</t>
  </si>
  <si>
    <t>Rue Marcel Cerdan</t>
  </si>
  <si>
    <t>44.8376047991885</t>
  </si>
  <si>
    <t>-0.507394294243189</t>
  </si>
  <si>
    <t>Du Lundi au Vendredi :09h-18h.</t>
  </si>
  <si>
    <t>lescan.asso@gmail.com</t>
  </si>
  <si>
    <t>TABLETTE/Expert,ORDI/Expert,INTERNET/Expert,MAILS/Expert,CV/Expert,DIFFCV/Expert,ORGRECHEMPLOI/Expert,EMPLOISTORE/Maîtrise,DECLAPE/Expert,IMPOTS/Expert,DROITSSOCIAUXRSACAF/Expert,RETRAITE/Expert,CPAM/Expert,FACTURES/Expert,ETATCIVIL/Expert,PERMIS/Expert,PHOTO/Expert,IMPTROISD/Basique,PAO/Maîtrise,SITEWEB/Non,CODE/Non,MOOC/Basique</t>
  </si>
  <si>
    <t>44.8376047992, -0.507394294243</t>
  </si>
  <si>
    <t>M.270</t>
  </si>
  <si>
    <t>Espace multimédia rèalisant de l'accompagnement et de la formation.</t>
  </si>
  <si>
    <t>11 Avenue Pierre Curie</t>
  </si>
  <si>
    <t>Avenue Pierre Curie</t>
  </si>
  <si>
    <t>44.8364247769704</t>
  </si>
  <si>
    <t>-0.531707590720176</t>
  </si>
  <si>
    <t>Du Mardi au Samedi : 9h-12h/14h-18h30.</t>
  </si>
  <si>
    <t>multimediam270@gmail.com</t>
  </si>
  <si>
    <t>Tu-Sa 09:00-12:00,14:00-18:30</t>
  </si>
  <si>
    <t>TABLETTE/Expert,ORDI/Expert,INTERNET/Expert,MAILS/Expert,CV/Maîtrise,DIFFCV/Maîtrise,ORGRECHEMPLOI/Maîtrise,EMPLOISTORE/Maîtrise,DECLAPE/Maîtrise,IMPOTS/Maîtrise,DROITSSOCIAUXRSACAF/Maîtrise,RETRAITE/Maîtrise,CPAM/Maîtrise,FACTURES/Maîtrise,ETATCIVIL/Maîtrise,PERMIS/Maîtrise,PHOTO/Expert,IMPTROISD/Non,PAO/Expert,SITEWEB/Maîtrise,CODE/Maîtrise,MOOC/Basique</t>
  </si>
  <si>
    <t>44.836424777, -0.53170759072</t>
  </si>
  <si>
    <t>UNIRE Centre Social</t>
  </si>
  <si>
    <t>Le Centre Social et l'Equipement de Vie Sociale gèrès par l'association UNIRE, proposent sur le territoire de Floirac un accompagnement social et culturel des habitants : soutien à la parentalitè, animation loisirs, développement vie locale, apprentissage du français, accompagnement au numèrique, insertion sociale et professionnelle.</t>
  </si>
  <si>
    <t>1 rue Voltaire</t>
  </si>
  <si>
    <t>Rue Voltaire</t>
  </si>
  <si>
    <t>44.8444830123419</t>
  </si>
  <si>
    <t>-0.509406242522894</t>
  </si>
  <si>
    <t>Du Lundi au Vendredi : 9h-12h30/14h-18h.</t>
  </si>
  <si>
    <t>accueil.centresocial@unire.fr</t>
  </si>
  <si>
    <t>https://unire.fr/</t>
  </si>
  <si>
    <t>Mo-Fr 09:00-12:30,14:00-18:00</t>
  </si>
  <si>
    <t>TABLETTE/Maîtrise,ORDI/Maîtrise,INTERNET/Maîtrise,MAILS/Maîtrise,CV/Non,DIFFCV/Non,ORGRECHEMPLOI/Non,EMPLOISTORE/Non,DECLAPE/Non,IMPOTS/Non,DROITSSOCIAUXRSACAF/Basique,RETRAITE/Non,CPAM/Non,FACTURES/Non,ETATCIVIL/Non,PERMIS/Non,PHOTO/Non,IMPTROISD/Non,PAO/Non,SITEWEB/Non,CODE/Non,MOOC/Non</t>
  </si>
  <si>
    <t>44.8444830123, -0.509406242523</t>
  </si>
  <si>
    <t>DIDEE - Centre social et culturel Carriet</t>
  </si>
  <si>
    <t>Animation de la vie sociale sur le quartier de Carriet à Lormont. Le centre accompagne les habitants sur des projets de dèveloppement local divers et variés : jardin partagé, soirées culturelles, dressing solidaire, maison des savoirs, ateliers cuisine, ... La structure a un ancrage dans le quartier et un lien fort avec les familles au travers également de l'accompagnement à la scolaritè et le centre de loisirs. Permanences d'accès aux droits (écrivains publics, numérique)</t>
  </si>
  <si>
    <t>4, rue Jacques Thibaud</t>
  </si>
  <si>
    <t>Rue Jacques Thibaud</t>
  </si>
  <si>
    <t>44.8827468615767</t>
  </si>
  <si>
    <t>-0.525437555691245</t>
  </si>
  <si>
    <t>Du Lundi au Vendredi 9h-12h30/14h-17h30 (sauf le jeudi matin).* attention horaires suspendus depuis le dèbut du confinement, accueil uniquement sur rendez-vous.</t>
  </si>
  <si>
    <t>didee@asso-didee.org</t>
  </si>
  <si>
    <t>https://asso-didee.org/</t>
  </si>
  <si>
    <t>https://www.facebook.com/Association-DIDEE-113473513436622</t>
  </si>
  <si>
    <t>Mo-Fr 09:00-12:30,14:00-17:30; Th 14:00-17:30</t>
  </si>
  <si>
    <t>TABLETTE/Maîtrise,ORDI/Maîtrise,INTERNET/Maîtrise,MAILS/Maîtrise,CV/Basique,DIFFCV/Basique,ORGRECHEMPLOI/Non,EMPLOISTORE/Non,DECLAPE/Basique,IMPOTS/Basique,DROITSSOCIAUXRSACAF/Basique,RETRAITE/Non,CPAM/Basique,FACTURES/Basique,ETATCIVIL/Non,PERMIS/Basique,PHOTO/Basique,IMPTROISD/Non,PAO/Maîtrise,SITEWEB/Basique,CODE/Basique,MOOC/Basique</t>
  </si>
  <si>
    <t>44.8827468616, -0.525437555691</t>
  </si>
  <si>
    <t>Lormont Informatique Association</t>
  </si>
  <si>
    <t>L'objectif de LIA est de faciliter l'accès au numèrique aux publics financièrement fragiles. Pour cela, nous proposons des cours individuels et collectifs (grands dèbutants compris), des services de réparation et du matériel à petits prix. Nous nous appuyons sur le don, la récupération d'appareils que nous remettons à jour.</t>
  </si>
  <si>
    <t>aucun local</t>
  </si>
  <si>
    <t>nèant</t>
  </si>
  <si>
    <t>contact@lormont-informatique.fr</t>
  </si>
  <si>
    <t>https://lormont-informatique.fr</t>
  </si>
  <si>
    <t>https://www.facebook.com/Lormontinformatique/</t>
  </si>
  <si>
    <t>Allocataires,Demandeurs d'emploi,Personnes en situation de handicap,Séniors</t>
  </si>
  <si>
    <t>TABLETTE/Expert,ORDI/Basique,INTERNET/Expert,MAILS/Expert,CV/Basique,DIFFCV/Maîtrise,ORGRECHEMPLOI/Basique,EMPLOISTORE/Basique,DECLAPE/Basique,IMPOTS/Basique,DROITSSOCIAUXRSACAF/Basique,RETRAITE/Basique,CPAM/Basique,FACTURES/Basique,ETATCIVIL/Basique,PERMIS/Basique,PHOTO/Maîtrise,IMPTROISD/Non,PAO/Maîtrise,SITEWEB/Expert,CODE/Basique,MOOC/Expert</t>
  </si>
  <si>
    <t>Médiathèque du Bois Fleuri</t>
  </si>
  <si>
    <t>Marie de Lormont</t>
  </si>
  <si>
    <t>Situèe au coeur du Pôle culturel et sportif du Bois fleuri, la Médiathèque est un outil documentaire de pointe. Innovant tant sur le plan architectural que culturel, spacieuse et moderne, baignée de lumière naturelle, la Médiathèque invite à l inspiration et à la dètente.</t>
  </si>
  <si>
    <t>1 rue Lavergne</t>
  </si>
  <si>
    <t>Rue Lavergne</t>
  </si>
  <si>
    <t>44.8766038808015</t>
  </si>
  <si>
    <t>-0.521938633678236</t>
  </si>
  <si>
    <t>Mardi et Vendredi : 15h-19h. Mercredi : 10h-12h30/15h-19h. Samedi : 10h-12h30/13h30-17h.</t>
  </si>
  <si>
    <t>mediatheque@lormont.fr</t>
  </si>
  <si>
    <t>https://mediatheque.lormont.fr/</t>
  </si>
  <si>
    <t>Tu,Fr 15:00-19:00; We 10:00-12:30,15:00-19:00; Sa 10:00-12:30,13:30-17:00</t>
  </si>
  <si>
    <t>TABLETTE/Maîtrise,ORDI/Maîtrise,INTERNET/Maîtrise,MAILS/Maîtrise,CV/Maîtrise,DIFFCV/Maîtrise,ORGRECHEMPLOI/Maîtrise,EMPLOISTORE/Maîtrise,DECLAPE/Maîtrise,IMPOTS/Maîtrise,DROITSSOCIAUXRSACAF/Maîtrise,RETRAITE/Maîtrise,CPAM/Maîtrise,FACTURES/Maîtrise,ETATCIVIL/Maîtrise,PERMIS/Maîtrise,PHOTO/Maîtrise,IMPTROISD/Maîtrise,PAO/Maîtrise,SITEWEB/Maîtrise,CODE/Maîtrise,MOOC/Maîtrise</t>
  </si>
  <si>
    <t>44.8766038808, -0.521938633678</t>
  </si>
  <si>
    <t>Bibliothèque de Bègles</t>
  </si>
  <si>
    <t>Mairie de Bègles</t>
  </si>
  <si>
    <t>La Bibliothèque de Bègles dispose d'un espace numérique de 10 postes fixes et accès Wi-Fi. Des ateliers d'initiations pour les publics adultes et de découverte des pratiques numériques pour les plus jeunes.</t>
  </si>
  <si>
    <t>58 avenue du Maréchal de Lattre de Tassigny</t>
  </si>
  <si>
    <t>Avenue Maréchal de Lattre de Tassigny</t>
  </si>
  <si>
    <t>44.8056800277814</t>
  </si>
  <si>
    <t>-0.543079531580383</t>
  </si>
  <si>
    <t>Mardi : 16h-19h. Mercredi : 10h30-18h. Jeudi : 15h-18h. Vendredi : 15h-18h. Samedi : 10h30-18h.</t>
  </si>
  <si>
    <t>bibliotheque@mairie-begles.fr</t>
  </si>
  <si>
    <t>http://bibliotheque.mairie-begles.fr/</t>
  </si>
  <si>
    <t>https://www.facebook.com/bibliothequedebegles</t>
  </si>
  <si>
    <t>Tu 16:00-19:00; We,Sa 10:30-18:00; Th,Fr 15:00-18:00</t>
  </si>
  <si>
    <t>TABLETTE/Maîtrise,ORDI/Basique,INTERNET/Maîtrise,MAILS/Expert,CV/Maîtrise,DIFFCV/Maîtrise,ORGRECHEMPLOI/Basique,EMPLOISTORE/Non,DECLAPE/Maîtrise,IMPOTS/Basique,DROITSSOCIAUXRSACAF/Basique,RETRAITE/Non,CPAM/Basique,FACTURES/Basique,ETATCIVIL/Basique,PERMIS/Basique,PHOTO/Maîtrise,IMPTROISD/Non,PAO/Basique,SITEWEB/Basique,CODE/Non,MOOC/Maîtrise</t>
  </si>
  <si>
    <t>44.8056800278, -0.54307953158</t>
  </si>
  <si>
    <t>ASTI-Pessac (Association de Solidarité avec Tous les Immigrés</t>
  </si>
  <si>
    <t>Association d'aide à l'intégration sociale  des populations issues de l'immigration  et peu autonomes : accompagnement juridique (droit des étrangers : titres de séjour, visas, naturalisation,...), socio-administratif et vie quotidienne (CAF, Pole Emploi,CPAM,.../ téléphonie, assurances, rendez-vous médicaux,...), accompagnement socio-professionnel (CV, lettres de motivations, liens avec les acteurs de l'emploi ou les employeurs,...), démarches liées à la scolarité.</t>
  </si>
  <si>
    <t>Maison municipale de saige - allée des mimosas</t>
  </si>
  <si>
    <t>Maison Municipale de Saige</t>
  </si>
  <si>
    <t>44.7904094346285</t>
  </si>
  <si>
    <t>-0.631189597161964</t>
  </si>
  <si>
    <t>Juridique, socio-administratif et vie quotidienne :  permanences Lundi, Mercredi et Vendredi : 10h30-12h30/15h30-17h30. Mardi et Jeudi : 16h-18h. Autres horaires possibles sur rendez-vous. Accompagnement socio-professionnel et scolarité sur rendez-vous.</t>
  </si>
  <si>
    <t>asti-pessac@wanadoo.fr</t>
  </si>
  <si>
    <t>www.asti-pessac.org</t>
  </si>
  <si>
    <t>Mo-Fr 10:30-13:30; Tu,Th 16:00-18:00</t>
  </si>
  <si>
    <t>TABLETTE/Maîtrise,ORDI/Maîtrise,INTERNET/Maîtrise,MAILS/Expert,CV/Maîtrise,DIFFCV/Maîtrise,ORGRECHEMPLOI/Maîtrise,EMPLOISTORE/Basique,DECLAPE/Expert,IMPOTS/Expert,DROITSSOCIAUXRSACAF/Expert,RETRAITE/Expert,CPAM/Expert,FACTURES/Expert,ETATCIVIL/Expert,PERMIS/Basique,PHOTO/Basique,IMPTROISD/Non,PAO/Basique,SITEWEB/Non,CODE/Non,MOOC/Basique</t>
  </si>
  <si>
    <t>44.7904094346, -0.631189597162</t>
  </si>
  <si>
    <t>ADAV33</t>
  </si>
  <si>
    <t>Nous disposons d'une borne tactile ainsi que de tablettes pour accompagner les gens dans leur accès au droit par le numérique. Cette démarche est accompagnée par une personne en service civique sous forme de : - permanences à l'accueil sur les horaires d'ouverture de l'ADAV33,- rendez-vous individuels,- ateliers collectifs.</t>
  </si>
  <si>
    <t>91 Rue de la République</t>
  </si>
  <si>
    <t>Rue de la République</t>
  </si>
  <si>
    <t>44.8177376513979</t>
  </si>
  <si>
    <t>-0.580674541287163</t>
  </si>
  <si>
    <t>Durant l’année : ouverture tous les matins de 8h45 à 12h15 + Lundi et Jeudi après-midi de 13h45 a 16h30. En période de vacances scolaires : tous les matins de 8h45 à 12h15.</t>
  </si>
  <si>
    <t>siege@adav-33.fr</t>
  </si>
  <si>
    <t>https://www.adav33.fr/</t>
  </si>
  <si>
    <t>Mo,Th 08:45-12:15,13:45-16:30; Tu,We,Fr 08:45-12:15; SH Mo,Th 08:45-12:15</t>
  </si>
  <si>
    <t>TABLETTE/Maîtrise,ORDI/Maîtrise,INTERNET/Maîtrise,MAILS/Maîtrise,CV/Maîtrise,DIFFCV/Basique,ORGRECHEMPLOI/Maîtrise,EMPLOISTORE/Maîtrise,DECLAPE/Maîtrise,IMPOTS/Expert,DROITSSOCIAUXRSACAF/Expert,RETRAITE/Expert,CPAM/Expert,FACTURES/Expert,ETATCIVIL/Expert,PERMIS/Expert,PHOTO/Basique,IMPTROISD/Non,PAO/Non,SITEWEB/Non,CODE/Non,MOOC/Basique</t>
  </si>
  <si>
    <t>44.8177376514, -0.580674541287</t>
  </si>
  <si>
    <t>CCAS de Talence</t>
  </si>
  <si>
    <t>Chargée de mener une action générale de soutien aux personnes et de développement social sur la commune, la structure accompagne socialement les foyers talençais sans enfant mineur à charge, décline des prestations d'aide à domicile à l'attention des personnes âgées et des personnes porteuses d'un handicap, propose aux familles des solutions d'accueil pour les 0-3 ans.</t>
  </si>
  <si>
    <t>Rue du Professeur Arnozan</t>
  </si>
  <si>
    <t>44.8089936315001</t>
  </si>
  <si>
    <t>-0.587922987815969</t>
  </si>
  <si>
    <t>Du Lundi au Mercredi : 12h30-19h00. Jeudi et Vendredi : 8h30-12h/13-16h30.</t>
  </si>
  <si>
    <t>ccas@talence.fr</t>
  </si>
  <si>
    <t>https://www.talence.fr/quotidien/action-sociale-solidarite/ccas/</t>
  </si>
  <si>
    <t>Mo-We 12:30-19:00; Th,Fr 08:30-12:00,13:00-16:30</t>
  </si>
  <si>
    <t>Allocataires,Jeunes,Personnes en situation de handicap,Séniors</t>
  </si>
  <si>
    <t>TABLETTE/Non,ORDI/Basique,INTERNET/Maîtrise,MAILS/Maîtrise,CV/Non,DIFFCV/Non,ORGRECHEMPLOI/Non,EMPLOISTORE/Non,DECLAPE/Expert,IMPOTS/Maîtrise,DROITSSOCIAUXRSACAF/Expert,RETRAITE/Basique,CPAM/Expert,FACTURES/Basique,ETATCIVIL/Non,PERMIS/Non,PHOTO/Non,IMPTROISD/Non,PAO/Non,SITEWEB/Non,CODE/Non,MOOC/Non</t>
  </si>
  <si>
    <t>44.8089936315, -0.587922987816</t>
  </si>
  <si>
    <t>Service Municipal Emploi Ville de Talence</t>
  </si>
  <si>
    <t>Le service municipal de l'emploi de la Ville de Talence a pour mission : d'accompagner les demandeurs d'emploi de la commune dans le cadre de leur recherche d'emploi, de proposer et d'animer des actions favorisant l'insertion professionnelle des demandeurs d'emploi, de faire du lien entre les personnes en recherche d'emploi et les entreprises en phase de recrutement, de coordonner et d'animer le réseau des partenaires de l'emploi du territoire</t>
  </si>
  <si>
    <t>23 Avenue Espeleta</t>
  </si>
  <si>
    <t>44.8104067328905</t>
  </si>
  <si>
    <t>-0.589569364962254</t>
  </si>
  <si>
    <t>Lundi, Mardi, Mercredi : 8h30-12h30/13h30-17h. Jeudi : 10h30-12h30/13h30-17h. Vendredi : 8h30-12h30/13h30-16h15.</t>
  </si>
  <si>
    <t>service.emploi@talence.fr</t>
  </si>
  <si>
    <t>https://www.talence.fr/quotidien/economie-emploi/service-emploi-espalata-dome/</t>
  </si>
  <si>
    <t>Mo-We 08:30-12:30,13:30-17:00; Th 10:30-12:30,13:30-17:00; Fr 08:30-12:30,13:30-16:30</t>
  </si>
  <si>
    <t>TABLETTE/Non,ORDI/Expert,INTERNET/Expert,MAILS/Expert,CV/Expert,DIFFCV/Expert,ORGRECHEMPLOI/Expert,EMPLOISTORE/Expert,DECLAPE/Expert,IMPOTS/Non,DROITSSOCIAUXRSACAF/Expert,RETRAITE/Non,CPAM/Non,FACTURES/Non,ETATCIVIL/Non,PERMIS/Non,PHOTO/Non,IMPTROISD/Non,PAO/Non,SITEWEB/Non,CODE/Non,MOOC/Non</t>
  </si>
  <si>
    <t>44.8104067329, -0.589569364962</t>
  </si>
  <si>
    <t>L'Eycho du Bourg M3E</t>
  </si>
  <si>
    <t>Mairie d'Eysines</t>
  </si>
  <si>
    <t>L'Eycho est un lieu d'animation et de vie sociale à vocation familiale, pluri-générationnelle et donc ouvert à tou(te)s! Organisé en 4 pôles situés au cœur des quartiers Eysinais, Il propose des projets, des ateliers, des activités et des moments conviviaux à partager tout au long de l'année. Les actions de l'Eycho sont conçues avec les habitants et à partir de leurs attentes dans les domaines du sport, de la culture, des loisirs, du multimédia, de l'action sociale, de l'emploi, de la solidarité ou encore du développement durable.</t>
  </si>
  <si>
    <t>2 avenue de Verdun</t>
  </si>
  <si>
    <t>Eysines</t>
  </si>
  <si>
    <t>44.8858595676289</t>
  </si>
  <si>
    <t>-0.650427802085846</t>
  </si>
  <si>
    <t>Lundi 10h-12h30/14h-18h, Mardi Mercredi Jeudi 10h-12h30/14h-17h15, Vendredi 14h-17h15</t>
  </si>
  <si>
    <t>leycho.bourg@eysines.fr</t>
  </si>
  <si>
    <t>https://www.eysines.fr/solidarite-et-social/leycho/le-centre-social-eycho/</t>
  </si>
  <si>
    <t>https://www.facebook.com/eychoeysines</t>
  </si>
  <si>
    <t>Mo 10:00-12:30,14:00-18:00; Tu-Th 10:00-12:30,14:00-17:15; Fr 14:00-17:15</t>
  </si>
  <si>
    <t>TABLETTE/Expert,ORDI/Expert,INTERNET/Expert,MAILS/Expert,CV/Expert,DIFFCV/Expert,ORGRECHEMPLOI/Maîtrise,EMPLOISTORE/Maîtrise,DECLAPE/Expert,IMPOTS/Maîtrise,DROITSSOCIAUXRSACAF/Expert,RETRAITE/Basique,CPAM/Expert,FACTURES/Expert,ETATCIVIL/Maîtrise,PERMIS/Basique,PHOTO/Maîtrise,IMPTROISD/Non,PAO/Expert,SITEWEB/Basique,CODE/Non,MOOC/Maîtrise</t>
  </si>
  <si>
    <t>44.8858595676, -0.650427802086</t>
  </si>
  <si>
    <t>L'Eycho de la Forêt</t>
  </si>
  <si>
    <t>10 rue Marguerite Duras</t>
  </si>
  <si>
    <t>Rue Marguerite Duras</t>
  </si>
  <si>
    <t>44.8637608719417</t>
  </si>
  <si>
    <t>-0.643801653753086</t>
  </si>
  <si>
    <t>Lundi 10h-13h/14h-18h, Mardi Mercredi Jeudi 10h-13h/14h-19h, Vendredi 15h-19h, Samedi 14h-18h</t>
  </si>
  <si>
    <t>Lundi 10h-13h/14h-18h, Mardi Mercredi Jeudi 10h-13h/14h-19h, Vendredi 15h-19h, Samedi 14h-18h.</t>
  </si>
  <si>
    <t>Mo 10:00-13:00,14:00-18:00; Tu-Th 10:00-13:00,14:00-19:00; Fr 15:00-19:00; Sa 14:00-18:00</t>
  </si>
  <si>
    <t>44.8637608719, -0.643801653753</t>
  </si>
  <si>
    <t>Médiathèque Jean Degoul d'Eysines</t>
  </si>
  <si>
    <t>Encadrée de verdure et au pied du tram D, la médiathèque Jean Degoul vous propose des espaces au calme pour lire ou travailler, mais aussi, pour toute la famille, des rencontres littéraires ou musicales, des conférences, des expositions, des lectures pour la jeunesse et un "club des incorrigibles lecteurs". Avec 4 postes en libre-service et 10 tablettes en prêt sur place, pour consulter vos messageries ou surfer sur internet, venez expérimenter, dans les ateliers, des apprentissages facilités et des expériences utilisateurs innovantes et épanouissantes.</t>
  </si>
  <si>
    <t>2 rue de l’Église</t>
  </si>
  <si>
    <t>Rue de l'Eglise</t>
  </si>
  <si>
    <t>Mardi, Vendredi : 14h-18h30. Mercredi : 10h-18h30. Samedi : 10h-16h.</t>
  </si>
  <si>
    <t>mediatheque@eysines.fr</t>
  </si>
  <si>
    <t>https://www.eysines-culture.fr/lieux/mediatheque-jean-degoul/</t>
  </si>
  <si>
    <t>https://www.facebook.com/EysinesCulture</t>
  </si>
  <si>
    <t>Tu,Fr 14:00-18:30; We 10:00-18:30; Sa 10:00-16:00</t>
  </si>
  <si>
    <t>TABLETTE/Basique,ORDI/Basique,INTERNET/Basique,MAILS/Basique,CV/Non,DIFFCV/Non,ORGRECHEMPLOI/Non,EMPLOISTORE/Non,DECLAPE/Non,IMPOTS/Non,DROITSSOCIAUXRSACAF/Non,RETRAITE/Non,CPAM/Non,FACTURES/Non,ETATCIVIL/Non,PERMIS/Non,PHOTO/Non,IMPTROISD/Non,PAO/Non,SITEWEB/Non,CODE/Basique,MOOC/Non</t>
  </si>
  <si>
    <t>Ricochet</t>
  </si>
  <si>
    <t>L'association Ricochet est un lieu d'initiatives porté par des habitants. Espace de création sociale et de participation citoyenne, elle réunit des personnes de toutes générations autour de valeurs communes. Ricochet est un partenaire de la vie de la ville du Bouscat et souhaite porter une attention toute particulière et contribuer au développement social local de l'est du Bouscat, de l'avenue de la Libération à la Place Ravezies. Depuis le 1er janvier 2019, l'association Ricochet est agréée centre social par la CAF de la Gironde.</t>
  </si>
  <si>
    <t>8 rue Condorcet</t>
  </si>
  <si>
    <t>Rue Condorcet</t>
  </si>
  <si>
    <t>Le Bouscat</t>
  </si>
  <si>
    <t>44.8691056484179</t>
  </si>
  <si>
    <t>-0.578416104725714</t>
  </si>
  <si>
    <t>Sur rendez-vous le : Mardi, Mercredi, Vendredi et Samedi 11h-12h30/14h-19h. Jeudi : 16h30-20h accès sans rendez-vous.</t>
  </si>
  <si>
    <t>association@ricochetasso.fr</t>
  </si>
  <si>
    <t>https://www.ricochetasso.fr</t>
  </si>
  <si>
    <t>https://www.facebook.com/ricochetasso33/</t>
  </si>
  <si>
    <t>Th 16:30-20:00</t>
  </si>
  <si>
    <t>TABLETTE/Expert,ORDI/Maîtrise,INTERNET/Maîtrise,MAILS/Expert,CV/Maîtrise,DIFFCV/Basique,ORGRECHEMPLOI/Basique,EMPLOISTORE/Basique,DECLAPE/Maîtrise,IMPOTS/Maîtrise,DROITSSOCIAUXRSACAF/Maîtrise,RETRAITE/Basique,CPAM/Maîtrise,FACTURES/Maîtrise,ETATCIVIL/Maîtrise,PERMIS/Maîtrise,PHOTO/Basique,IMPTROISD/Non,PAO/Basique,SITEWEB/Basique,CODE/Non,MOOC/Basique</t>
  </si>
  <si>
    <t>44.8691056484, -0.578416104726</t>
  </si>
  <si>
    <t>Centre Socioculturel La Source</t>
  </si>
  <si>
    <t>La Source est un équipement de proximité porté par des habitants engagés, accompagnés par une équipe de professionnels au service de leurs projets. Le centre participe à la vie du territoire en soutenant les initiatives locales autour du vivre ensemble et de la citoyenneté. Il soutient les habitants de tous âges et les familles en proposant des actions relatives à la parentalité, des loisirs éducatifs, de l'accompagnement aux démarches administratives et d'accès aux droits ainsi qu'au montage de projet. Il accueille également des partenaires autour du logement, de l’accompagnement social, et de l'alphabétisation.</t>
  </si>
  <si>
    <t>58 rue Edmond Rostand</t>
  </si>
  <si>
    <t>Rue Edmond Rostand</t>
  </si>
  <si>
    <t>Le Haillan</t>
  </si>
  <si>
    <t>44.8636131735727</t>
  </si>
  <si>
    <t>-0.671097076611717</t>
  </si>
  <si>
    <t>Lundi : 14h-18h. Mardi, Mercredi, Jeudi, Vendredi : 9h-12h/ 14h-18h.</t>
  </si>
  <si>
    <t>lasource@ville-lehaillan.fr</t>
  </si>
  <si>
    <t>https://www.ville-lehaillan.fr/La-Source-Centre-Socio-Culturel.html</t>
  </si>
  <si>
    <t>https://www.facebook.com/LaSource33185/</t>
  </si>
  <si>
    <t>Mo 14:00-18:00; Tu-Fr 09:00-12:00,14:00-18:00</t>
  </si>
  <si>
    <t>TABLETTE/Non,ORDI/Non,INTERNET/Maîtrise,MAILS/Maîtrise,CV/Maîtrise,DIFFCV/Maîtrise,ORGRECHEMPLOI/Maîtrise,EMPLOISTORE/Non,DECLAPE/Maîtrise,IMPOTS/Maîtrise,DROITSSOCIAUXRSACAF/Expert,RETRAITE/Maîtrise,CPAM/Maîtrise,FACTURES/Maîtrise,ETATCIVIL/Maîtrise,PERMIS/Non,PHOTO/Non,IMPTROISD/Non,PAO/Non,SITEWEB/Non,CODE/Non,MOOC/Non</t>
  </si>
  <si>
    <t>44.8636131736, -0.671097076612</t>
  </si>
  <si>
    <t>Médiathèque du Taillan-Médoc</t>
  </si>
  <si>
    <t>Mairie du Taillan-Médoc</t>
  </si>
  <si>
    <t>Au cœur du Pôle Culturel de la Haye, la culture se livre ici dans un véritable écrin de verdure. Sur plus de 1500m2, profitez d’un choix de plus de 30 000 documents, au gré d’espaces chaleureux et accueillants, où l’équipe de la médiathèque vous accompagnera dans vos découvertes.</t>
  </si>
  <si>
    <t>8 rue de Calavet</t>
  </si>
  <si>
    <t>Rue de Calavet</t>
  </si>
  <si>
    <t>Le Taillan-Médoc</t>
  </si>
  <si>
    <t>44.9114663819495</t>
  </si>
  <si>
    <t>-0.681306588097497</t>
  </si>
  <si>
    <t>Mardi : 14h-18h. Mercredi : 10h-18h. Vendredi : 14h-18h. Samedi : 10h-17h.</t>
  </si>
  <si>
    <t>mediatheque@taillan-medoc.fr</t>
  </si>
  <si>
    <t>http://www.mediatheque-taillan-medoc.fr/</t>
  </si>
  <si>
    <t>https://www.facebook.com/Médiathèque-du-Taillan-Médoc-5980382303</t>
  </si>
  <si>
    <t>Tu,Fr 14:00-18:00; We 10:00-18:00; Sa 10:00-17:00</t>
  </si>
  <si>
    <t>TABLETTE/Maîtrise,ORDI/Maîtrise,INTERNET/Maîtrise,MAILS/Maîtrise,CV/Basique,DIFFCV/Basique,ORGRECHEMPLOI/Basique,EMPLOISTORE/Non,DECLAPE/Basique,IMPOTS/Basique,DROITSSOCIAUXRSACAF/Basique,RETRAITE/Basique,CPAM/Basique,FACTURES/Basique,ETATCIVIL/Basique,PERMIS/Basique,PHOTO/Basique,IMPTROISD/Non,PAO/Basique,SITEWEB/Non,CODE/Non,MOOC/Maîtrise</t>
  </si>
  <si>
    <t>44.9114663819, -0.681306588097</t>
  </si>
  <si>
    <t>AGIRabcd (Association Générale des Intervenants Retraités actions de bénévoles de coopération et de développement)</t>
  </si>
  <si>
    <t>L’Association Générale des Intervenants Retraités met les compétences de ses bénévoles au service du public en difficulté.</t>
  </si>
  <si>
    <t>55 avenue du Maréchal de Lattre de Tassigny</t>
  </si>
  <si>
    <t>44.8458005622477</t>
  </si>
  <si>
    <t>-0.65471965686926</t>
  </si>
  <si>
    <t>Lundi au Vendredi : 9h-17h.</t>
  </si>
  <si>
    <t>agirmerignac@gmail.com</t>
  </si>
  <si>
    <t>http://agirabcd33.com/antenne-merignac.html</t>
  </si>
  <si>
    <t>Mo-Fr 09:00-17:00</t>
  </si>
  <si>
    <t>TABLETTE/Maîtrise,ORDI/Maîtrise,INTERNET/Maîtrise,MAILS/Maîtrise,CV/Non,DIFFCV/Non,ORGRECHEMPLOI/Non,EMPLOISTORE/Non,DECLAPE/Non,IMPOTS/Non,DROITSSOCIAUXRSACAF/Non,RETRAITE/Non,CPAM/Non,FACTURES/Non,ETATCIVIL/Non,PERMIS/Non,PHOTO/Non,IMPTROISD/Non,PAO/Non,SITEWEB/Non,CODE/Non,MOOC/Non</t>
  </si>
  <si>
    <t>44.8458005622, -0.654719656869</t>
  </si>
  <si>
    <t>Arts et Loisirs d'Arlac - Centre Socioculturel</t>
  </si>
  <si>
    <t>Le centre socioculturel Arts et Loisirs d’Arlac est une association à but non lucratif, agréée d’Education Populaire. Elle fonctionne grâce à tous ses adhérents, des administrateurs élus lors de l’Assemblée Générale annuelle, ses nombreux bénévoles et une équipe de salariés.</t>
  </si>
  <si>
    <t>14 rue Marcel</t>
  </si>
  <si>
    <t>Avenue Chapelle Sainte-Bernadette</t>
  </si>
  <si>
    <t>44.8232334870555</t>
  </si>
  <si>
    <t>-0.62372669315055</t>
  </si>
  <si>
    <t>Lundi : 14h-19h. Mardi : 10h-12h/14h-19h. Mercredi : 9h30-12h/14h-17h30. Jeudi : 10h30-12h/14h-19h. Vendredi : 10h-12h/14h-19h. Samedi : 9h30-12h.</t>
  </si>
  <si>
    <t>contact@artsetloisirsarlac.fr</t>
  </si>
  <si>
    <t>https://artsetloisirsarlac.centres-sociaux.fr/</t>
  </si>
  <si>
    <t>https://www.facebook.com/artsetloisirsarlac.fr/</t>
  </si>
  <si>
    <t>Mo 14:00-19:00; Tu,Fr 10:00-12:00,14:00-19:00; We 09:30-12:00,14:00-19:30; Th 10:30-12:00,14:00-19:00; Sa 09:30-12:00</t>
  </si>
  <si>
    <t>TABLETTE/Maîtrise,ORDI/Expert,INTERNET/Maîtrise,MAILS/Maîtrise,CV/Maîtrise,DIFFCV/Maîtrise,ORGRECHEMPLOI/Maîtrise,EMPLOISTORE/Maîtrise,DECLAPE/Basique,IMPOTS/Basique,DROITSSOCIAUXRSACAF/Maîtrise,RETRAITE/Non,CPAM/Maîtrise,FACTURES/Non,ETATCIVIL/Basique,PERMIS/Basique,PHOTO/Expert,IMPTROISD/Expert,PAO/Maîtrise,SITEWEB/Expert,CODE/Maîtrise,MOOC/Basique</t>
  </si>
  <si>
    <t>44.8232334871, -0.623726693151</t>
  </si>
  <si>
    <t>Bureau Information Jeunesse Mérignac</t>
  </si>
  <si>
    <t>Le BIJ est un lieu d'accueil, d'information, de conseil et d'accompagnement aux projets pour : l’orientation, l’insertion, la recherche d’emploi : aide à la rédaction de CV et de lettre de motivation, les dispositifs d’aide ou projets de mobilité. Le BIJ propose au public différents services : accès à des postes informatiques, imprimante, scanner, photocopieuse ainsi que de la documentation et d’autres outils d’information.</t>
  </si>
  <si>
    <t>Place Charles de Gaulle</t>
  </si>
  <si>
    <t>Mérignac Cedex</t>
  </si>
  <si>
    <t>médiathèque Michel Sainte Marie BP 40273</t>
  </si>
  <si>
    <t>44.842035341258</t>
  </si>
  <si>
    <t>-0.646547467595936</t>
  </si>
  <si>
    <t>Mardi et Vendredi : 14h-18h. Mercredi : 10h-13h/14h-18h. Jeudi : 14h-17h. Samedi : 10h-13h/14h-17h.</t>
  </si>
  <si>
    <t>bij@merignac.com</t>
  </si>
  <si>
    <t>http://www.merignac.com/actualites/le-bureau-information-jeunesse-merignac-un-lieu-pour-tous-les-jeunes-de-11-30-ans</t>
  </si>
  <si>
    <t>https://www.facebook.com/merignacjeunesse/</t>
  </si>
  <si>
    <t>Mo,Fr 14:00-18:00; We 10:00-13:00,14:00-18:00; Th 14:00-17:00; Sa 10:00-13:00,14:00-17:00</t>
  </si>
  <si>
    <t>Etrangers,Jeunes,Personnes en situation de handicap</t>
  </si>
  <si>
    <t>TABLETTE/Maîtrise,ORDI/Maîtrise,INTERNET/Maîtrise,MAILS/Maîtrise,CV/Maîtrise,DIFFCV/Maîtrise,ORGRECHEMPLOI/Maîtrise,EMPLOISTORE/Maîtrise,DECLAPE/Maîtrise,IMPOTS/Non,DROITSSOCIAUXRSACAF/Non,RETRAITE/Non,CPAM/Non,FACTURES/Non,ETATCIVIL/Non,PERMIS/Non,PHOTO/Basique,IMPTROISD/Non,PAO/Maîtrise,SITEWEB/Non,CODE/Non,MOOC/Maîtrise</t>
  </si>
  <si>
    <t>44.8420353413, -0.646547467596</t>
  </si>
  <si>
    <t>ConfluenceS</t>
  </si>
  <si>
    <t>ConfluenceS est l'association qui regroupe l'Espace de Vie Sociale de Feydit (quartier de Corbiac), le centre social de la Maison d'Animation des Jalles (quartiers de Magudas et Caupian) et l'Espace de Vie Sociale de La Ruche (quartiers du centre-ville et Gajac). Elle accueille les familles des quartiers Est de la ville de Saint-Médard-en-Jalles.</t>
  </si>
  <si>
    <t>11 rue du Commandant Charcot</t>
  </si>
  <si>
    <t>Rue du Commandant Charcot</t>
  </si>
  <si>
    <t>44.864356090348</t>
  </si>
  <si>
    <t>-0.725727940959489</t>
  </si>
  <si>
    <t>Lundi au Jeudi : 8h30-12h30/13h30-18h00.</t>
  </si>
  <si>
    <t>maj@asso-confluences.fr</t>
  </si>
  <si>
    <t>http://www.maisondanimationdesjalles.org/</t>
  </si>
  <si>
    <t>Mo-Th 09:30-12:30,13:30-18:00</t>
  </si>
  <si>
    <t>TABLETTE/Basique,ORDI/Basique,INTERNET/Maîtrise,MAILS/Maîtrise,CV/Basique,DIFFCV/Non,ORGRECHEMPLOI/Non,EMPLOISTORE/Non,DECLAPE/Basique,IMPOTS/Basique,DROITSSOCIAUXRSACAF/Expert,RETRAITE/Basique,CPAM/Basique,FACTURES/Basique,ETATCIVIL/Basique,PERMIS/Basique,PHOTO/Non,IMPTROISD/Non,PAO/Non,SITEWEB/Non,CODE/Non,MOOC/Non</t>
  </si>
  <si>
    <t>44.8643560903, -0.725727940959</t>
  </si>
  <si>
    <t>La Ruche – ConfluenceS</t>
  </si>
  <si>
    <t>L'association ConfluenceS regroupe 1 centre social et 2 Espaces de Vie Sociale sur Saint-Médard-en-Jalles. L'Espace de Vie Sociale de La Ruche y développe des projets d'animation de la vie locale en centre-ville.</t>
  </si>
  <si>
    <t>23 rue Henri Martin</t>
  </si>
  <si>
    <t>Rue Henri Martin</t>
  </si>
  <si>
    <t>44.8934245841448</t>
  </si>
  <si>
    <t>-0.714179885020223</t>
  </si>
  <si>
    <t>Ateliers informatiques : Mardi et Jeudi : 14h-16h. Permanences administratives : Mardi et Jeudi : 17h-19h.</t>
  </si>
  <si>
    <t>laruche@asso-confluences.fr</t>
  </si>
  <si>
    <t>https://www.laruchenjalles.com/</t>
  </si>
  <si>
    <t>Tu,Th 14:00-16:00</t>
  </si>
  <si>
    <t>Tout public,Allocataires,Demandeurs d'emploi,Etrangers,Jeunes,Personnes en situation de handicap,Séniors</t>
  </si>
  <si>
    <t>TABLETTE/Basique,ORDI/Basique,INTERNET/Maîtrise,MAILS/Maîtrise,CV/Basique,DIFFCV/Basique,ORGRECHEMPLOI/Basique,EMPLOISTORE/Non,DECLAPE/Basique,IMPOTS/Basique,DROITSSOCIAUXRSACAF/Maîtrise,RETRAITE/Basique,CPAM/Basique,FACTURES/Basique,ETATCIVIL/Basique,PERMIS/Basique,PHOTO/Non,IMPTROISD/Non,PAO/Non,SITEWEB/Non,CODE/Non,MOOC/Non</t>
  </si>
  <si>
    <t>44.8934245841, -0.71417988502</t>
  </si>
  <si>
    <t>Médiathèque de Saint-Médard-en-Jalles</t>
  </si>
  <si>
    <t>Mairie de Saint-Médard-en-Jalles</t>
  </si>
  <si>
    <t>Les Médiathèques vous proposent des livres, BD et mangas, CD et DVD, partitions et instruments de musique, jeux vidéo et jeux traditionnels, journaux et revues, un espace d’autoformation, deux espaces multimédia et des ressources numériques pour toute la famille. Vous y trouverez aussi une programmation culturelle riche et variée, renouvelée chaque mois.</t>
  </si>
  <si>
    <t>Place de la République</t>
  </si>
  <si>
    <t>44.8926963614846</t>
  </si>
  <si>
    <t>-0.71496582302561</t>
  </si>
  <si>
    <t>Mardi, Jeudi et Vendredi : 14h30-18h. Mercredi : 10h-19h. Samedi : 10h-18h.</t>
  </si>
  <si>
    <t>mediatheques@saint-medard-en-jalles.fr</t>
  </si>
  <si>
    <t>http://mediatheques.saint-medard-en-jalles.fr</t>
  </si>
  <si>
    <t>https://www.facebook.com/lesmediathequessmj/</t>
  </si>
  <si>
    <t>Tu-Fr 14:30-18:00; We 10:00-19:00; Sa 10:00-18:00</t>
  </si>
  <si>
    <t>TABLETTE/Maîtrise,ORDI/Maîtrise,INTERNET/Expert,MAILS/Expert,CV/Basique,DIFFCV/Basique,ORGRECHEMPLOI/Non,EMPLOISTORE/Non,DECLAPE/Non,IMPOTS/Basique,DROITSSOCIAUXRSACAF/Basique,RETRAITE/Non,CPAM/Non,FACTURES/Non,ETATCIVIL/Basique,PERMIS/Basique,PHOTO/Maîtrise,IMPTROISD/Non,PAO/Maîtrise,SITEWEB/Maîtrise,CODE/Maîtrise,MOOC/Maîtrise</t>
  </si>
  <si>
    <t>44.8926963615, -0.714965823026</t>
  </si>
  <si>
    <t>Maison de quartier Feydit</t>
  </si>
  <si>
    <t>L'association " Centre d'animation de Feydit ", créée en décembre 1992, est une association de quartiers (secteurs EST de Saint-Médard-en-Jalles) dont les buts visent principalement la création de liens entre les habitants le dialogue et la solidarité entre générations, la possibilité pour chacun de s'exprimer et l'animation d'un centre d'accueil pour les jeunes. Les activités proposées par Feydit concernent toutes les classes d'âges.</t>
  </si>
  <si>
    <t>Maison de quartier</t>
  </si>
  <si>
    <t>60 route de Feydit</t>
  </si>
  <si>
    <t>Route de Feydit</t>
  </si>
  <si>
    <t>44.8697194156193</t>
  </si>
  <si>
    <t>-0.70281075287073</t>
  </si>
  <si>
    <t>Jeudi 14h-16 Point relais CAF.  Ponctuellement le Vendredi 14h-16h.</t>
  </si>
  <si>
    <t>feydit@asso-confluences.fr</t>
  </si>
  <si>
    <t>http://feydit.saintmedardasso.fr/</t>
  </si>
  <si>
    <t>Th,Fr 14:00-16:00</t>
  </si>
  <si>
    <t>TABLETTE/Maîtrise,ORDI/Maîtrise,INTERNET/Maîtrise,MAILS/Maîtrise,CV/Basique,DIFFCV/Basique,ORGRECHEMPLOI/Basique,EMPLOISTORE/Non,DECLAPE/Non,IMPOTS/Non,DROITSSOCIAUXRSACAF/Basique,RETRAITE/Non,CPAM/Non,FACTURES/Non,ETATCIVIL/Non,PERMIS/Non,PHOTO/Maîtrise,IMPTROISD/Non,PAO/Basique,SITEWEB/Non,CODE/Non,MOOC/Non</t>
  </si>
  <si>
    <t>44.8697194156, -0.702810752871</t>
  </si>
  <si>
    <t>Atelier Giono</t>
  </si>
  <si>
    <t>Les ateliers Brach et Giono de la ville de bordeaux dispensent des activités d'apprentissage tout le long de l'année aux personnes âgées de 60 ans, par le biais des intervenants professionnels Des cours d'informatiques sont donnés sous un format de stage de 3h à 6h autour  de différentes thématiques . Les tarifs d'un stage de 3h, établis en fonction des résidents bordelais, s'échelonnent  de 3 à 11 euros. Un forfait de 13 euros est appliqué aux seniors non domiciliés sur Bordeaux</t>
  </si>
  <si>
    <t>Maison Polyvalente Coeur de Bastide 13 allée Jean Giono</t>
  </si>
  <si>
    <t>Allée Jean Giono</t>
  </si>
  <si>
    <t>44.845486732478</t>
  </si>
  <si>
    <t>-0.562919208432608</t>
  </si>
  <si>
    <t>Lundi au Vendredi : 9h à 12 h et de 14h à 17h</t>
  </si>
  <si>
    <t>atelierssenior@mairie-bordeaux.fr</t>
  </si>
  <si>
    <t>https://seniorsreporters.bordeaux.fr</t>
  </si>
  <si>
    <t>https://www.facebook.com/Bordeaux.Seniors/</t>
  </si>
  <si>
    <t>TABLETTE/Expert,ORDI/Expert,INTERNET/Expert,MAILS/Maîtrise,CV/Non,DIFFCV/Non,ORGRECHEMPLOI/Non,EMPLOISTORE/Non,DECLAPE/Non,IMPOTS/Non,DROITSSOCIAUXRSACAF/Non,RETRAITE/Non,CPAM/Non,FACTURES/Non,ETATCIVIL/Non,PERMIS/Non,PHOTO/Expert,IMPTROISD/Non,PAO/Non,SITEWEB/Non,CODE/Non,MOOC/Non</t>
  </si>
  <si>
    <t>44.8454867325, -0.562919208433</t>
  </si>
  <si>
    <t>Ludo-Médiathèque de Saint-Médard-en-Jalles</t>
  </si>
  <si>
    <t>26, rue Aurel Chazeau</t>
  </si>
  <si>
    <t>Rue Aurel Chazeau</t>
  </si>
  <si>
    <t>44.9002627879429</t>
  </si>
  <si>
    <t>-0.744992912932955</t>
  </si>
  <si>
    <t>Mardi et Vendredi : 14h30-18h. Mercredi : 10h-19h. Samedi : 10h-18h.</t>
  </si>
  <si>
    <t>Tu,Fr 14:30-18:00; We 10:00-19:00; Sa 10:00-18:00</t>
  </si>
  <si>
    <t>44.9002627879, -0.744992912933</t>
  </si>
  <si>
    <t>L'Eycho du Vigean</t>
  </si>
  <si>
    <t>Grand Caillou, Bât 11</t>
  </si>
  <si>
    <t>Grand Caillou</t>
  </si>
  <si>
    <t>Bât 11</t>
  </si>
  <si>
    <t>44.8806485493299</t>
  </si>
  <si>
    <t>-0.635387067744235</t>
  </si>
  <si>
    <t>Lundi 10h-12h30/14h-17h, Mardi Mercredi Jeudi 9h-12h30/14h-19h, Vendredi 14h-18h, Samedi 14h-18h</t>
  </si>
  <si>
    <t>Mo 10:00-12:30,14:00-17:00; Tu-Th 09:00-12:30,14:00-19:00; Fr,Sa 14:00-18:00</t>
  </si>
  <si>
    <t>44.8806485493, -0.635387067744</t>
  </si>
  <si>
    <t>UDAF de la Gironde</t>
  </si>
  <si>
    <t>L'Union Départementale des Associations Familiale de Gironde est une association d'utilité publique dont la mission est de représenter les familles en défendant les intérêts de ces dernières. Dans le cadre des actions proposées aux familles, elle anime des ateliers de codage informatique pour les enfants et leurs parents afin de favoriser la formation à l'usage responsable du numérique et la relation intergénérationnelle.</t>
  </si>
  <si>
    <t>25 rue Francis Martin</t>
  </si>
  <si>
    <t>Rue Francis Martin</t>
  </si>
  <si>
    <t>44.8496866967274</t>
  </si>
  <si>
    <t>-0.582296016292285</t>
  </si>
  <si>
    <t>Réception du public sur rendez-vous.</t>
  </si>
  <si>
    <t>institution@udaf33.fr</t>
  </si>
  <si>
    <t>www.udaf33.fr</t>
  </si>
  <si>
    <t>https://www.facebook.com/UDAF.Gironde.33</t>
  </si>
  <si>
    <t>TABLETTE/Non,ORDI/Non,INTERNET/Non,MAILS/Non,CV/Non,DIFFCV/Non,ORGRECHEMPLOI/Non,EMPLOISTORE/Non,DECLAPE/Non,IMPOTS/Non,DROITSSOCIAUXRSACAF/Non,RETRAITE/Non,CPAM/Non,FACTURES/Non,ETATCIVIL/Non,PERMIS/Non,PHOTO/Non,IMPTROISD/Non,PAO/Non,SITEWEB/Non,CODE/Maîtrise,MOOC/Non</t>
  </si>
  <si>
    <t>44.8496866967, -0.582296016292</t>
  </si>
  <si>
    <t>Bibliothèque Bordeaux Lac</t>
  </si>
  <si>
    <t>Au cœur de la cité arborée des Aubiers, la bibliothèque accompagne les familles et participe à la réflexion sur les changements urbains et architecturaux de ce quartier en pleine mutation. La bibliothèque met à votre disposition quatre postes Internet et des tables de travail.</t>
  </si>
  <si>
    <t>Place Ginette Neveu</t>
  </si>
  <si>
    <t>44.8738197515941</t>
  </si>
  <si>
    <t>-0.572357500735627</t>
  </si>
  <si>
    <t>44.8738197516, -0.572357500736</t>
  </si>
  <si>
    <t>Cap Sciences / Fab Lab du 127°</t>
  </si>
  <si>
    <t>Cap Sciences est un Centre de Culture Scientifique, Technique et Industrielle (CCSTI) qui a pour mission de diffuser la culture scientifique auprès du plus grand nombre. Ouvert au sein du Hangar 20 sur les quais, le Fab Lab du 127° est un lieu dédié à la fabrication numérique. Imprimantes 3D, découpes lasers ou vinyle, le Fab Lab propose un accès à des outils de fabrication numérique, un espace de travail et l'accompagnement d'une équipe de Fab managers. Ateliers, stages, projets, évènements rythment la programmation annuelle du lieu, accessible gratuitement sur certains rendez-vous (ateliers découverte, Open Labs) ou sur tarification ou abonnement pour les usagers plus réguliers.</t>
  </si>
  <si>
    <t>quai de Bacalan</t>
  </si>
  <si>
    <t>Quai de Bacalan</t>
  </si>
  <si>
    <t>Hangar 20</t>
  </si>
  <si>
    <t>44.8596742548768</t>
  </si>
  <si>
    <t>-0.554840941922581</t>
  </si>
  <si>
    <t>Le Fab Lab est ouvert à 18h30 les Mercredis "Open lab" (gratuit), Jeudi et Vendredi : 14h-18h, Samedi et Dimanche : 14h-19h.</t>
  </si>
  <si>
    <t>contact@cap-sciences.net</t>
  </si>
  <si>
    <t>http://cap-sciences.net/</t>
  </si>
  <si>
    <t>https://www.facebook.com/cap.sciences</t>
  </si>
  <si>
    <t>Th,Fr 14:00-18:00; Sa,Su 14:00-19:00</t>
  </si>
  <si>
    <t>TABLETTE/Maîtrise,ORDI/Maîtrise,INTERNET/Maîtrise,MAILS/Maîtrise,CV/Non,DIFFCV/Non,ORGRECHEMPLOI/Non,EMPLOISTORE/Non,DECLAPE/Non,IMPOTS/Non,DROITSSOCIAUXRSACAF/Non,RETRAITE/Non,CPAM/Non,FACTURES/Non,ETATCIVIL/Non,PERMIS/Non,PHOTO/Basique,IMPTROISD/Expert,PAO/Maîtrise,SITEWEB/Non,CODE/Maîtrise,MOOC/Basique</t>
  </si>
  <si>
    <t>44.8596742549, -0.554840941923</t>
  </si>
  <si>
    <t>Dans sa partie DPLAI (Dispositif Permanent de Lutte de Analphabétisme et l’Illettrisme), le CLAP Sud Ouest association d'évaluation linguistique de la langue française, d'accompagnement et de suivi, propose l'action SILE (Soutien Informatique Lié à l'Emploi).</t>
  </si>
  <si>
    <t>176, rue Achard Bât D</t>
  </si>
  <si>
    <t>Bât D</t>
  </si>
  <si>
    <t>44.8712538348828</t>
  </si>
  <si>
    <t>-0.5471219312627</t>
  </si>
  <si>
    <t>dplai@clap-so.org</t>
  </si>
  <si>
    <t>Demandeurs d'emploi,Etrangers,Jeunes</t>
  </si>
  <si>
    <t>TABLETTE/Basique,ORDI/Maîtrise,INTERNET/Maîtrise,MAILS/Expert,CV/Expert,DIFFCV/Expert,ORGRECHEMPLOI/Expert,EMPLOISTORE/Maîtrise,DECLAPE/Expert,IMPOTS/Non,DROITSSOCIAUXRSACAF/Non,RETRAITE/Non,CPAM/Non,FACTURES/Non,ETATCIVIL/Non,PERMIS/Non,PHOTO/Non,IMPTROISD/Non,PAO/Non,SITEWEB/Non,CODE/Non,MOOC/Basique</t>
  </si>
  <si>
    <t>44.8712538349, -0.547121931263</t>
  </si>
  <si>
    <t>CPAM de la Gironde - Europe</t>
  </si>
  <si>
    <t>Les principales missions de la CPAM : gérer les droits à l'assurance maladie des assurés sociaux, verser les prestations dues à chaque assuré, appliquer le plan d'action relatif à la gestion du risque en relation avec les professionnels de santé ; mettre en œuvre les campagnes de prévention, mettre en œuvre la politique d’action sanitaire et sociale par des aides individuelles aux assurés ou des aides collectives aux associations, faciliter l’accès aux droits et aux soins.</t>
  </si>
  <si>
    <t>Organisme de sécurité sociale (CAF, CPAM, CARSAT, MSA…)</t>
  </si>
  <si>
    <t>Public-privé</t>
  </si>
  <si>
    <t>Place de l'Europe</t>
  </si>
  <si>
    <t>44.8598419227794</t>
  </si>
  <si>
    <t>-0.579596200925825</t>
  </si>
  <si>
    <t>Du Lundi au Vendredi : 9h-17h.</t>
  </si>
  <si>
    <t>https://www.ameli.fr/gironde/</t>
  </si>
  <si>
    <t>TABLETTE/Non,ORDI/Non,INTERNET/Non,MAILS/Non,CV/Non,DIFFCV/Non,ORGRECHEMPLOI/Non,EMPLOISTORE/Non,DECLAPE/Non,IMPOTS/Non,DROITSSOCIAUXRSACAF/Non,RETRAITE/Non,CPAM/Expert,FACTURES/Non,ETATCIVIL/Non,PERMIS/Non,PHOTO/Non,IMPTROISD/Non,PAO/Non,SITEWEB/Non,CODE/Non,MOOC/Non</t>
  </si>
  <si>
    <t>44.8598419228, -0.579596200926</t>
  </si>
  <si>
    <t>GP Inten6t</t>
  </si>
  <si>
    <t>Centre Social et Culturel du Grand Parc : Accompagnement Social et Développement Social Local, Animation de la vie locale et action culturelle, Participation des habitants et citoyenneté, Accueil de loisirs petite enfance, enfance, Jeunesse.</t>
  </si>
  <si>
    <t>Du Lundi au Vendredi : 9h30-18h30. Fermé le Jeudi matin.</t>
  </si>
  <si>
    <t>accueil@gpinten6t.fr</t>
  </si>
  <si>
    <t>http://gpinten6t.fr/</t>
  </si>
  <si>
    <t>https://www.facebook.com/GP-Inten6t-Centre-Social-Et-Culturel-Du-Grand-Parc-486862171457017/</t>
  </si>
  <si>
    <t>Mo-Fr 09:30-18:30; Th 14:00-18:30</t>
  </si>
  <si>
    <t>TABLETTE/Maîtrise,ORDI/Maîtrise,INTERNET/Basique,MAILS/Basique,CV/Basique,DIFFCV/Basique,ORGRECHEMPLOI/Basique,EMPLOISTORE/Non,DECLAPE/Basique,IMPOTS/Basique,DROITSSOCIAUXRSACAF/Maîtrise,RETRAITE/Non,CPAM/Basique,FACTURES/Basique,ETATCIVIL/Basique,PERMIS/Basique,PHOTO/Non,IMPTROISD/Non,PAO/Non,SITEWEB/Non,CODE/Non,MOOC/Non</t>
  </si>
  <si>
    <t>Maison de l'emploi de Bordeaux</t>
  </si>
  <si>
    <t>Créée à l’initiative de la Ville de Bordeaux, de l’Etat et de Pôle Emploi, la Maison de l’Emploi de Bordeaux agit pour l’accès à l’emploi, la création d’entreprise et le développement économique.</t>
  </si>
  <si>
    <t>127 avenue Emile Counord</t>
  </si>
  <si>
    <t>Avenue Emile Counord</t>
  </si>
  <si>
    <t>44.860192189202</t>
  </si>
  <si>
    <t>-0.575155274726418</t>
  </si>
  <si>
    <t>Du Lundi au Vendredi : 9h-12h30/13h30-17h30.</t>
  </si>
  <si>
    <t>contact@maison-emploi-bordeaux.fr</t>
  </si>
  <si>
    <t>https://www.emploi-bordeaux.fr/</t>
  </si>
  <si>
    <t>Mo-Fr 09:00-12:30,13:30-17:30</t>
  </si>
  <si>
    <t>TABLETTE/Non,ORDI/Non,INTERNET/Expert,MAILS/Expert,CV/Expert,DIFFCV/Expert,ORGRECHEMPLOI/Expert,EMPLOISTORE/Expert,DECLAPE/Expert,IMPOTS/Non,DROITSSOCIAUXRSACAF/Basique,RETRAITE/Non,CPAM/Non,FACTURES/Non,ETATCIVIL/Non,PERMIS/Non,PHOTO/Non,IMPTROISD/Non,PAO/Non,SITEWEB/Non,CODE/Non,MOOC/Non</t>
  </si>
  <si>
    <t>44.8601921892, -0.575155274726</t>
  </si>
  <si>
    <t>CAIO</t>
  </si>
  <si>
    <t>Le Centre d'accueil, d'information et d'orientation (CAIO) a pour but d'accueillir, d'informer et d'orienter les personnes les plus en difficultés et de les accompagner dans la recherche d'un hébergement et d'un logement autonome, et d'un emploi stable.</t>
  </si>
  <si>
    <t>7 rue Ausone</t>
  </si>
  <si>
    <t>La Bagagerie</t>
  </si>
  <si>
    <t>44.8383939284361</t>
  </si>
  <si>
    <t>-0.568611215892525</t>
  </si>
  <si>
    <t>Lundis, Jeudis et Vendredis : 14h-17h.</t>
  </si>
  <si>
    <t>bagagerienumerique@caio-bordeaux.fr</t>
  </si>
  <si>
    <t>https://www.caio-bordeaux.com/</t>
  </si>
  <si>
    <t>Mo-Fr 14:00-17:00; Tu,We off</t>
  </si>
  <si>
    <t>TABLETTE/Maîtrise,ORDI/Maîtrise,INTERNET/Maîtrise,MAILS/Maîtrise,CV/Basique,DIFFCV/Basique,ORGRECHEMPLOI/Basique,EMPLOISTORE/Basique,DECLAPE/Maîtrise,IMPOTS/Maîtrise,DROITSSOCIAUXRSACAF/Maîtrise,RETRAITE/Maîtrise,CPAM/Maîtrise,FACTURES/Basique,ETATCIVIL/Maîtrise,PERMIS/Basique,PHOTO/Non,IMPTROISD/Non,PAO/Non,SITEWEB/Non,CODE/Non,MOOC/Non</t>
  </si>
  <si>
    <t>44.8383939284, -0.568611215893</t>
  </si>
  <si>
    <t>Centre d'animation Saint Pierre</t>
  </si>
  <si>
    <t>Le centre d'animation Saint-Pierre fait partie de l'association Centres d'animation Bordeaux est ouvert à tous et à vocation sociale, familiale, et culturelle. Il s'adresse aux habitants du quartier, associations, partenaires et acteurs qui partagent les mêmes valeurs : respect, hospitalité, citoyenneté, responsabilité et le principe de laïcité.</t>
  </si>
  <si>
    <t>4 rue du Mulet</t>
  </si>
  <si>
    <t>Rue du Mulet</t>
  </si>
  <si>
    <t>44.8395865762102</t>
  </si>
  <si>
    <t>-0.572861035491858</t>
  </si>
  <si>
    <t>Mardi et Mercredi : 9h-12h30/14h-19h, Jeudi : 10h-12h30/14h-18h(uniquement le matin si ouverture le samedi 1er du mois) Vendredi: 14-18h. 1er Samedi du mois: 14h-18h (hors vacances scolaires).</t>
  </si>
  <si>
    <t>saintpierre@cabordeaux.fr</t>
  </si>
  <si>
    <t>https://centresanimationbordeaux.fr/saint-pierre/</t>
  </si>
  <si>
    <t>Tu,We 09:00-12:30,14:00-19:00; Th 10:00-12:30,14:00-18:00; Fr 14:00-18:00</t>
  </si>
  <si>
    <t>TABLETTE/Maîtrise,ORDI/Expert,INTERNET/Maîtrise,MAILS/Maîtrise,CV/Non,DIFFCV/Non,ORGRECHEMPLOI/Non,EMPLOISTORE/Non,DECLAPE/Basique,IMPOTS/Maîtrise,DROITSSOCIAUXRSACAF/Basique,RETRAITE/Non,CPAM/Maîtrise,FACTURES/Basique,ETATCIVIL/Basique,PERMIS/Basique,PHOTO/Expert,IMPTROISD/Maîtrise,PAO/Expert,SITEWEB/Expert,CODE/Basique,MOOC/Maîtrise</t>
  </si>
  <si>
    <t>44.8395865762, -0.572861035492</t>
  </si>
  <si>
    <t>Astrolab’</t>
  </si>
  <si>
    <t>Astrolab’, association créée en 1996, est agréée Espace de vie sociale et d’éducation populaire.Implantée sur le territoire de Bordeaux Sud, c’est un équipement plurigénérationnel qui s’adresse aux enfants, aux adolescents, aux adultes et aux familles. Les actions de l’association se developpent autour de : - l’accompagnement scolaire, élémentaire 1 et secondaire, - un centre de loisirs enfants &amp; adolescents, - un accompagnement des initiatives des habitants, - la participation à la vie associative locale du territoire.</t>
  </si>
  <si>
    <t>40 rue Laffiteau</t>
  </si>
  <si>
    <t>Cours de l'Yser</t>
  </si>
  <si>
    <t>44.8246991659039</t>
  </si>
  <si>
    <t>-0.551960065362746</t>
  </si>
  <si>
    <t>Vendredi : 14h-16h</t>
  </si>
  <si>
    <t>https://astrolabelcier.fr/</t>
  </si>
  <si>
    <t>https://www.facebook.com/Astrolabelcier</t>
  </si>
  <si>
    <t>Fr 14:00-16:00</t>
  </si>
  <si>
    <t>TABLETTE/Maîtrise,ORDI/Maîtrise,INTERNET/Maîtrise,MAILS/Maîtrise,CV/Basique,DIFFCV/Basique,ORGRECHEMPLOI/Basique,EMPLOISTORE/Non,DECLAPE/Basique,IMPOTS/Basique,DROITSSOCIAUXRSACAF/Basique,RETRAITE/Non,CPAM/Basique,FACTURES/Non,ETATCIVIL/Non,PERMIS/Non,PHOTO/Basique,IMPTROISD/Non,PAO/Basique,SITEWEB/Non,CODE/Non,MOOC/Non</t>
  </si>
  <si>
    <t>44.8246991659, -0.551960065363</t>
  </si>
  <si>
    <t>Bibliothèque Jean de la Ville de Mirmont</t>
  </si>
  <si>
    <t>Au cœur du " village Saint Augustin ", la nouvelle bibliothèque du quartier vous propose des collections riches et variées (albums, romans, BD, films, presse...), offrant désormais une place de choix à la musique (3000 CD) et aux nouvelles technologies (salle multimédia, tablettes, jeux vidéo...) dans une ambiance chaleureuse.</t>
  </si>
  <si>
    <t>Place de l'Eglise Saint-Augustin</t>
  </si>
  <si>
    <t>Place de l'Eglise Saint Augustin</t>
  </si>
  <si>
    <t>44.8321917073071</t>
  </si>
  <si>
    <t>-0.610899292845509</t>
  </si>
  <si>
    <t>TABLETTE/Expert,ORDI/Expert,INTERNET/Expert,MAILS/Expert,CV/Maîtrise,DIFFCV/Expert,ORGRECHEMPLOI/Basique,EMPLOISTORE/Expert,DECLAPE/Basique,IMPOTS/Basique,DROITSSOCIAUXRSACAF/Basique,RETRAITE/Basique,CPAM/Basique,FACTURES/Basique,ETATCIVIL/Basique,PERMIS/Basique,PHOTO/Expert,IMPTROISD/Non,PAO/Maîtrise,SITEWEB/Expert,CODE/Expert,MOOC/Expert</t>
  </si>
  <si>
    <t>44.8321917073, -0.610899292846</t>
  </si>
  <si>
    <t>UNADEV (Union Nationale des Aveugles et Déficients Visuels)</t>
  </si>
  <si>
    <t>L'Union Nationale des Aveugles et Déficients Visuels (UNADEV) créée en 1929 à Bordeaux est une association reconnue d'assistance et de bienfaisance. Nos actions portent sur trois missions : Accompagner et aider les personnes déficientes visuelles pour leur insertion sociale et professionnelle ; Sensibiliser et informer le grand public et les décideurs ; Soutenir la recherche médicale et la prévention des maladies cécitantes.</t>
  </si>
  <si>
    <t>12 rue de Cursol</t>
  </si>
  <si>
    <t>Rue de Cursol</t>
  </si>
  <si>
    <t>44.8349144689267</t>
  </si>
  <si>
    <t>-0.576043795226171</t>
  </si>
  <si>
    <t>Lundi au Vendredi : 9h-17h30.</t>
  </si>
  <si>
    <t>unadev@unadev.com</t>
  </si>
  <si>
    <t>https://www.unadev.com</t>
  </si>
  <si>
    <t>https://www.facebook.com/unadevfrance/</t>
  </si>
  <si>
    <t>Mo-Fr 09:00-17:30</t>
  </si>
  <si>
    <t>TABLETTE/Expert,ORDI/Expert,INTERNET/Expert,MAILS/Expert,CV/Non,DIFFCV/Non,ORGRECHEMPLOI/Non,EMPLOISTORE/Non,DECLAPE/Non,IMPOTS/Non,DROITSSOCIAUXRSACAF/Expert,RETRAITE/Maîtrise,CPAM/Expert,FACTURES/Maîtrise,ETATCIVIL/Expert,PERMIS/Non,PHOTO/Basique,IMPTROISD/Basique,PAO/Basique,SITEWEB/Non,CODE/Non,MOOC/Basique</t>
  </si>
  <si>
    <t>44.8349144689, -0.576043795226</t>
  </si>
  <si>
    <t>CPAM de la Gironde - Pelleport</t>
  </si>
  <si>
    <t>232 Rue Pelleport</t>
  </si>
  <si>
    <t>Rue Pelleport</t>
  </si>
  <si>
    <t>44.8205132178248</t>
  </si>
  <si>
    <t>-0.568085077455168</t>
  </si>
  <si>
    <t>Du Lundi au Vendredi : 09h-17h.</t>
  </si>
  <si>
    <t>44.8205132178, -0.568085077455</t>
  </si>
  <si>
    <t>FAits de Coeur’S</t>
  </si>
  <si>
    <t>Lutte contre l’isolement des seniors.</t>
  </si>
  <si>
    <t>45 rue Son Tay</t>
  </si>
  <si>
    <t>Rue de Son Tay</t>
  </si>
  <si>
    <t>44.8250662993679</t>
  </si>
  <si>
    <t>-0.551851435413458</t>
  </si>
  <si>
    <t>Selon planning disponible sur notre site.</t>
  </si>
  <si>
    <t>faitsdecoeur.s@gmail.com</t>
  </si>
  <si>
    <t>https://www.faitsdecoeurs.org/</t>
  </si>
  <si>
    <t>https://fr-fr.facebook.com/FAits-de-CoeurS-1603332716546381/</t>
  </si>
  <si>
    <t>TABLETTE/Basique,ORDI/Basique,INTERNET/Basique,MAILS/Basique,CV/Non,DIFFCV/Non,ORGRECHEMPLOI/Non,EMPLOISTORE/Non,DECLAPE/Non,IMPOTS/Non,DROITSSOCIAUXRSACAF/Non,RETRAITE/Non,CPAM/Non,FACTURES/Non,ETATCIVIL/Non,PERMIS/Non,PHOTO/Basique,IMPTROISD/Non,PAO/Basique,SITEWEB/Non,CODE/Non,MOOC/Basique</t>
  </si>
  <si>
    <t>44.8250662994, -0.551851435413</t>
  </si>
  <si>
    <t>La Halle des Douves</t>
  </si>
  <si>
    <t>L'association Halle des Douves a en charge l'animation et la programmation du marché des Douves, maison de vie associative et des habitants. L'association compte environ 180 à 200 associations adhérentes, une soixantaine de particuliers et un millier d'adhérents à son café associatif.</t>
  </si>
  <si>
    <t>4 bis rue des Douves</t>
  </si>
  <si>
    <t>4bis</t>
  </si>
  <si>
    <t>Rue des Douves</t>
  </si>
  <si>
    <t>44.8306264205286</t>
  </si>
  <si>
    <t>-0.566204732923668</t>
  </si>
  <si>
    <t>Du Mercredi au Samedi : 10h-22h et le Mardi : 13h30-22h.</t>
  </si>
  <si>
    <t>contact@douves.org</t>
  </si>
  <si>
    <t>https://www.douves.org/</t>
  </si>
  <si>
    <t>Tu 13:30-22:00; We-Sa 10:00-22:00</t>
  </si>
  <si>
    <t>TABLETTE/Basique,ORDI/Basique,INTERNET/Basique,MAILS/Basique,CV/Non,DIFFCV/Non,ORGRECHEMPLOI/Non,EMPLOISTORE/Non,DECLAPE/Non,IMPOTS/Non,DROITSSOCIAUXRSACAF/Non,RETRAITE/Non,CPAM/Non,FACTURES/Non,ETATCIVIL/Non,PERMIS/Non,PHOTO/Basique,IMPTROISD/Non,PAO/Non,SITEWEB/Non,CODE/Basique,MOOC/Non</t>
  </si>
  <si>
    <t>44.8306264205, -0.566204732924</t>
  </si>
  <si>
    <t>PIMMS de Bordeaux</t>
  </si>
  <si>
    <t>Favoriser l’accès aux services publics et améliorer la vie quotidienne des populations en proposant à ses utilisateurs des services de type généraliste (information de premier niveau, orientation, accompagnement dans les démarches, services de proximité), des actions de prévention et de médiation visant à réduire leurs éventuelles difficultés.</t>
  </si>
  <si>
    <t>Point Information Médiation Multi Services (PIMMS)</t>
  </si>
  <si>
    <t>213 bis cours de la Marne</t>
  </si>
  <si>
    <t>213bis</t>
  </si>
  <si>
    <t>Cours de la Marne</t>
  </si>
  <si>
    <t>44.8275310350376</t>
  </si>
  <si>
    <t>-0.558820401540681</t>
  </si>
  <si>
    <t>Lundi, Mercredi, Jeudi,Vendredi : 9h30-12h30 / 13h30-17h.  Mardi : 14h-18h30.</t>
  </si>
  <si>
    <t>bordeaux@pimms.org</t>
  </si>
  <si>
    <t>https://www.pimmsdebordeaux.org/</t>
  </si>
  <si>
    <t>https://www.facebook.com/PIMMS-de-Bordeaux-1435073096755036/</t>
  </si>
  <si>
    <t>Mo-Fr 09:30-12:30,13:30-17:00; Tu 14:00-18:30</t>
  </si>
  <si>
    <t>TABLETTE/Maîtrise,ORDI/Maîtrise,INTERNET/Maîtrise,MAILS/Expert,CV/Basique,DIFFCV/Basique,ORGRECHEMPLOI/Basique,EMPLOISTORE/Basique,DECLAPE/Expert,IMPOTS/Basique,DROITSSOCIAUXRSACAF/Expert,RETRAITE/Basique,CPAM/Expert,FACTURES/Expert,ETATCIVIL/Expert,PERMIS/Expert,PHOTO/Non,IMPTROISD/Non,PAO/Non,SITEWEB/Non,CODE/Non,MOOC/Non</t>
  </si>
  <si>
    <t>44.827531035, -0.558820401541</t>
  </si>
  <si>
    <t>Sesame</t>
  </si>
  <si>
    <t>Bordeaux Métropole</t>
  </si>
  <si>
    <t>L'espace de médiation est un service d'accompagnement au numérique pour le grand public. Il propose : de fournir ponctuellement des moyens d'accès à Internet et d'utilisation de logiciels, d'accompagner le grand public dans l'acquisition de compétences informatiques de base, de sensibiliser aux risques et aux responsabilités dans l'utilisation du numérique et à une utilisation raisonnée et responsable d'Internet.</t>
  </si>
  <si>
    <t>Espace Public Numérique (EPN)</t>
  </si>
  <si>
    <t>13 place Canteloup</t>
  </si>
  <si>
    <t>Place Canteloup</t>
  </si>
  <si>
    <t>44.8337909140404</t>
  </si>
  <si>
    <t>-0.565754451572799</t>
  </si>
  <si>
    <t>Du Lundi au Jeudi : 9h-12h/13h-17h30, Vendredi : 9h-12h. Fermé en aout.</t>
  </si>
  <si>
    <t>sesame@bordeaux-metropole.fr</t>
  </si>
  <si>
    <t>http://www.bordeaux.fr/o383/sesame</t>
  </si>
  <si>
    <t>Mo-Th 09:00-12:00,13:00-17:30; Fr 09:00-12:00; Aug Mo-Fr off</t>
  </si>
  <si>
    <t>TABLETTE/Expert,ORDI/Expert,INTERNET/Expert,MAILS/Expert,CV/Maîtrise,DIFFCV/Basique,ORGRECHEMPLOI/Non,EMPLOISTORE/Non,DECLAPE/Basique,IMPOTS/Basique,DROITSSOCIAUXRSACAF/Basique,RETRAITE/Non,CPAM/Basique,FACTURES/Basique,ETATCIVIL/Basique,PERMIS/Basique,PHOTO/Expert,IMPTROISD/Maîtrise,PAO/Expert,SITEWEB/Expert,CODE/Non,MOOC/Maîtrise</t>
  </si>
  <si>
    <t>44.833790914, -0.565754451573</t>
  </si>
  <si>
    <t>Bibliothèque La Bastide</t>
  </si>
  <si>
    <t>C'est la bibliothèque de référence sur la rive droite, dans un quartier en pleine mutation.Elle chouchoute les tout petits, les collégiens... et les mélomanes. La bibliothèque met à votre disposition livres, DVD, revues, mais aussi un beau fonds de CD musicaux et six postes Internet. Les collégiens du quartier sont accueillis à des tables de travail et guidés dans leurs recherches.</t>
  </si>
  <si>
    <t>18-22 rue Alexander Fleming</t>
  </si>
  <si>
    <t>Rue Alexander Fleming</t>
  </si>
  <si>
    <t>44.8441359166854</t>
  </si>
  <si>
    <t>-0.542196720968236</t>
  </si>
  <si>
    <t>44.8441359167, -0.542196720968</t>
  </si>
  <si>
    <t>Centre socioculturel Danielle Mitterrand / MSAP</t>
  </si>
  <si>
    <t>Le centre socioculturel propose aux habitants un lieu dédié à l’accueil des administrés. L’objectif est d’accueillir l’ensemble de la population et de proposer un accompagnement aux démarches et à l’accès aux droits au travers d’un accueil bienveillant et individualisé (démarches administratives en particulier des partenaires de la MSAP, une information fiable et claire, accompagner les habitants vers l’autonomie, en particulier pour ce qui concerne les démarches dématérialisées).</t>
  </si>
  <si>
    <t>Maison de Service au Public (MSAP)</t>
  </si>
  <si>
    <t>1 rue Louis Massina</t>
  </si>
  <si>
    <t>Rue Louis Massina</t>
  </si>
  <si>
    <t>44.9277930802108</t>
  </si>
  <si>
    <t>-0.488512977996998</t>
  </si>
  <si>
    <t>Lundi : 9h30-12h30/14h-19h. Mardi : 9h30-12h30/14h-17h. Mercredi : 9h30-12h30/14h-18h. Jeudi : 8h30-12h30/14h-17h. Vendredi : 14h-18h.</t>
  </si>
  <si>
    <t>contact.csc@ville-ambaresetlagrave.fr</t>
  </si>
  <si>
    <t>Mo 09:30-12:30,14:00-19:00; Tu 09:30-12:30,14:00-17:00; We 09:30-12:30,14:00-18:00; Th 08:30-12:30,14:00-17:00; Fr 14:00-18:00</t>
  </si>
  <si>
    <t>TABLETTE/Maîtrise,ORDI/Maîtrise,INTERNET/Expert,MAILS/Expert,CV/Basique,DIFFCV/Basique,ORGRECHEMPLOI/Basique,EMPLOISTORE/Maîtrise,DECLAPE/Expert,IMPOTS/Basique,DROITSSOCIAUXRSACAF/Expert,RETRAITE/Maîtrise,CPAM/Maîtrise,FACTURES/Basique,ETATCIVIL/Expert,PERMIS/Expert,PHOTO/Basique,IMPTROISD/Non,PAO/Maîtrise,SITEWEB/Non,CODE/Non,MOOC/Basique</t>
  </si>
  <si>
    <t>France Services,Point relais CAF</t>
  </si>
  <si>
    <t>44.9277930802, -0.488512977997</t>
  </si>
  <si>
    <t>Pôle Culturel Evasion</t>
  </si>
  <si>
    <t>Mairie de Ambarès-et-Lagrave</t>
  </si>
  <si>
    <t>Equipement culturel de proximité de la ville d'Ambarès-et-Lagrave, le Pôle Culturel Evasion a pour vocation la transmission des pratiques artistiques et la découverte de formes innovantes. L'objectif est de mettre en œuvre une action cohérente dédiée aux enjeux de la rencontre entre professionnels et amateurs, entre artistes et populations. Fort d’une expérience autour d’une Mission FEDER numérique Axe 2, de plusieurs actions menées dans le cadre d’appels à projets le Pôle Culturel a développé au fil des années des compétences autour du numérique.</t>
  </si>
  <si>
    <t>place de la République</t>
  </si>
  <si>
    <t>44.9264558802494</t>
  </si>
  <si>
    <t>-0.488479333307143</t>
  </si>
  <si>
    <t>Mardi : 18h-21h. Vendredi : 10h-12h.Samedi : 10h-13h.</t>
  </si>
  <si>
    <t>contact.culture@ville-ambaresetlagrave.fr</t>
  </si>
  <si>
    <t>https://evasion.ville-ambaresetlagrave.fr/</t>
  </si>
  <si>
    <t>https://www.facebook.com/pole.culturel.evasion</t>
  </si>
  <si>
    <t>Tu 18:00-21:00; Fr 10:00-12:00; Sa 10:00-13:00</t>
  </si>
  <si>
    <t>TABLETTE/Maîtrise,ORDI/Maîtrise,INTERNET/Maîtrise,MAILS/Maîtrise,CV/Non,DIFFCV/Basique,ORGRECHEMPLOI/Non,EMPLOISTORE/Non,DECLAPE/Non,IMPOTS/Non,DROITSSOCIAUXRSACAF/Non,RETRAITE/Non,CPAM/Non,FACTURES/Non,ETATCIVIL/Non,PERMIS/Non,PHOTO/Maîtrise,IMPTROISD/Non,PAO/Maîtrise,SITEWEB/Basique,CODE/Basique,MOOC/Maîtrise</t>
  </si>
  <si>
    <t>44.9264558802, -0.488479333307</t>
  </si>
  <si>
    <t>Médiathèque municipale de Bassens</t>
  </si>
  <si>
    <t>Mairie de Bassens</t>
  </si>
  <si>
    <t>La médiathèque propose des ateliers d'initiation aux usages du numérique., une aide et un accompagnement à l’équipement numérique, un accès libre et gratuit soumis à inscription à la médiathèque.</t>
  </si>
  <si>
    <t>rue 8 mai 1945</t>
  </si>
  <si>
    <t>Bassens</t>
  </si>
  <si>
    <t>44.8996031552278</t>
  </si>
  <si>
    <t>-0.516190784702733</t>
  </si>
  <si>
    <t>Médiathèque: Mardi : 14h-18h. Mercredi : 10h-12h/14h-18h. Vendredi : 10h-12h/14h-19h. Samedi : 10h-12h/14h-17h. EPN : Mardi : 16h-18h. Mercredi : 10h-12h (sur RV uniquement)/14h-18h. Vendredi : 10h-12h (accueil avec agents du CCAS pour leurs bènèficiaires) /14h-17h. Samedi : 10h-12h. Ateliers initiation le Mardi : 14h-16h et le Vendredi : 17h-19h (sur inscription)</t>
  </si>
  <si>
    <t>mediatheque@ville-bassens.fr</t>
  </si>
  <si>
    <t>https://mediatheque.ville-bassens.fr</t>
  </si>
  <si>
    <t>Tu 14:00-18:00; We 10:00-12:00,14:00-18:00; Fr 10:00-12:00,14:00-19:00; Sa 10:00-12:00,14:00-17:00</t>
  </si>
  <si>
    <t>TABLETTE/Maîtrise,ORDI/Expert,INTERNET/Maîtrise,MAILS/Maîtrise,CV/Basique,DIFFCV/Basique,ORGRECHEMPLOI/Basique,EMPLOISTORE/Non,DECLAPE/Basique,IMPOTS/Maîtrise,DROITSSOCIAUXRSACAF/Basique,RETRAITE/Basique,CPAM/Basique,FACTURES/Basique,ETATCIVIL/Maîtrise,PERMIS/Maîtrise,PHOTO/Expert,IMPTROISD/Non,PAO/Non,SITEWEB/Maîtrise,CODE/Basique,MOOC/Non</t>
  </si>
  <si>
    <t>44.8996031552, -0.516190784703</t>
  </si>
  <si>
    <t>Médiathèque de Carbon-Blanc</t>
  </si>
  <si>
    <t>Mairie de Carbon-Blanc</t>
  </si>
  <si>
    <t>La médiathèque de Carbon-Blanc dispose de 5 postes informatiques à destination des publics, accessibles gratuitement pour les inscrits à la médiathèque (inscription gratuite). Pour les mineurs, la consultation est soumise àl’autorisation parentale. Le public a accès à Internet, à des outils de bureautiques ainsi que des ressources en ligne. Les personnes peuvent être accompagnées dans leurs recherches par un bibliothécaire sur demande.</t>
  </si>
  <si>
    <t>17 Avenue Vignau Anglade BP 30</t>
  </si>
  <si>
    <t>Avenue André Vignau Anglade</t>
  </si>
  <si>
    <t>BP 30</t>
  </si>
  <si>
    <t>44.8958988624813</t>
  </si>
  <si>
    <t>-0.514769766938758</t>
  </si>
  <si>
    <t>La médiathèque est ouverte du mardi au samedi. Pour consulter les horaires veuillez vous rendre sur le site de la ville : www.carbon-blanc.fr.</t>
  </si>
  <si>
    <t>mediatheque@carbon-blanc.fr</t>
  </si>
  <si>
    <t>http://www.mediatheque-carbon-blanc.fr</t>
  </si>
  <si>
    <t>Tu-Fr 14:30-18:30; We,Sa 10:30-12:30,14:30-18:30</t>
  </si>
  <si>
    <t>TABLETTE/Basique,ORDI/Maîtrise,INTERNET/Maîtrise,MAILS/Maîtrise,CV/Maîtrise,DIFFCV/Maîtrise,ORGRECHEMPLOI/Maîtrise,EMPLOISTORE/Basique,DECLAPE/Basique,IMPOTS/Basique,DROITSSOCIAUXRSACAF/Basique,RETRAITE/Basique,CPAM/Basique,FACTURES/Basique,ETATCIVIL/Basique,PERMIS/Basique,PHOTO/Maîtrise,IMPTROISD/Expert,PAO/Maîtrise,SITEWEB/Maîtrise,CODE/Maîtrise,MOOC/Maîtrise</t>
  </si>
  <si>
    <t>44.8958988625, -0.514769766939</t>
  </si>
  <si>
    <t>Centre social et culturel La Colline</t>
  </si>
  <si>
    <t>Le centre social et culturel est une association qui propose des actions en direction des familles, des enfants, des jeunes et des adultes. Ses trois axes de travail sont : l’épanouissement individuel et collectif (Cours de français, accompagnement aux vacances, accompagnement social, soirées, sorties ), l'accès à la culture (spectacles, concerts, festival, découverte des métiers culturels&amp; ), l'accès au numérique (ateliers, utilisation des outils (ordinateurs, tablettes, smartphone), utilisation des plateformes administratives).</t>
  </si>
  <si>
    <t>2 rue Stéphane Mallarmé</t>
  </si>
  <si>
    <t>Rue Stéphane Mallarme</t>
  </si>
  <si>
    <t>44.856408823067</t>
  </si>
  <si>
    <t>-0.520666850365824</t>
  </si>
  <si>
    <t>info@csc-lacolline.com</t>
  </si>
  <si>
    <t>http://csc-lacolline.com/</t>
  </si>
  <si>
    <t>https://www.facebook.com/lacollinecsc</t>
  </si>
  <si>
    <t>TABLETTE/Basique,ORDI/Maîtrise,INTERNET/Maîtrise,MAILS/Maîtrise,CV/Basique,DIFFCV/Basique,ORGRECHEMPLOI/Non,EMPLOISTORE/Basique,DECLAPE/Basique,IMPOTS/Basique,DROITSSOCIAUXRSACAF/Maîtrise,RETRAITE/Basique,CPAM/Basique,FACTURES/Basique,ETATCIVIL/Basique,PERMIS/Non,PHOTO/Basique,IMPTROISD/Non,PAO/Non,SITEWEB/Non,CODE/Non,MOOC/Non</t>
  </si>
  <si>
    <t>44.8564088231, -0.520666850366</t>
  </si>
  <si>
    <t>PIMMS de Cenon</t>
  </si>
  <si>
    <t>Faciliter l’accès des populations aux services publics et aux droits sociaux. Généraliste sur son territoire, le PIMMS développe une activité multiservices. Ainsi, le PIMMS œuvre à l'accessibilité des habitants aux services nécessaires à la vie courante, en relayant, facilitant la compréhension, en complétant l'offre de services de ses partenaires et en proposant des services de type généraliste (information de premier niveau,...).  Notamment, Il offre un accès à Internet et accompagne dans l’utilisation des services publics distants via les portails numériques des opérateurs de services.</t>
  </si>
  <si>
    <t>89 avenue Jean Jaurès</t>
  </si>
  <si>
    <t>Avenue Jean Jaurès</t>
  </si>
  <si>
    <t>44.8570117421531</t>
  </si>
  <si>
    <t>-0.532118545204031</t>
  </si>
  <si>
    <t>Lundi, mercredi Vendredi 9h/12h30-13h30/17h   Mardi et Jeudiè13h30/17h</t>
  </si>
  <si>
    <t>cenon@pimms.org</t>
  </si>
  <si>
    <t>https://www.pimms.org/</t>
  </si>
  <si>
    <t>https://fr-fr.facebook.com/pimmsdecenon33150/</t>
  </si>
  <si>
    <t>Lundi, mercredi Vendredi 9h/12h30-13h30/17h   Mardi et Jeudi 13h30/17h</t>
  </si>
  <si>
    <t>Mo-Fr 09:00-12:30,13:30-17:00; Tu,Th 13:30-17:00</t>
  </si>
  <si>
    <t>TABLETTE/Non,ORDI/Non,INTERNET/Basique,MAILS/Basique,CV/Non,DIFFCV/Non,ORGRECHEMPLOI/Non,EMPLOISTORE/Non,DECLAPE/Basique,IMPOTS/Non,DROITSSOCIAUXRSACAF/Basique,RETRAITE/Basique,CPAM/Basique,FACTURES/Basique,ETATCIVIL/Basique,PERMIS/Non,PHOTO/Non,IMPTROISD/Non,PAO/Non,SITEWEB/Non,CODE/Non,MOOC/Non</t>
  </si>
  <si>
    <t>44.8570117422, -0.532118545204</t>
  </si>
  <si>
    <t>Rocher de Palmer I Musiques de Nuit Diffusion</t>
  </si>
  <si>
    <t>Le Forum du Rocher, c'est une boite à outils geéante et des espaces au sein du Rocher de Palmer où l’on vient se former, travailler, echanger, s’enregistrer et/ou structurer son parcours professionnel dans le secteur des industries culturelles et creatives. Il s'adresse aux personnes en recherche d’emploi, porteurs de projets, habitants en quartier prioritaire, ètudiants et propose : une formation numèrique (2 mois), un espace coworking, des ateliers de 2 jours (numèrique), un studio de captation numèrique et une pèpinière d’entreprise culturelle.</t>
  </si>
  <si>
    <t>1 rue Aristide Briand</t>
  </si>
  <si>
    <t>44.8621455642501</t>
  </si>
  <si>
    <t>-0.52400296271831</t>
  </si>
  <si>
    <t>Du Lundi au Vendredi 9h30-18h.</t>
  </si>
  <si>
    <t>forum@rocherdepalmer.fr</t>
  </si>
  <si>
    <t>https://lerocherdepalmer.fr/forum/</t>
  </si>
  <si>
    <t>https://www.facebook.com/forumdurocher</t>
  </si>
  <si>
    <t>Mo-Fr 09:30-18:00</t>
  </si>
  <si>
    <t>Allocataires,Jeunes,Personnes en situation de handicap</t>
  </si>
  <si>
    <t>TABLETTE/Non,ORDI/Non,INTERNET/Non,MAILS/Non,CV/Non,DIFFCV/Non,ORGRECHEMPLOI/Basique,EMPLOISTORE/Non,DECLAPE/Non,IMPOTS/Non,DROITSSOCIAUXRSACAF/Non,RETRAITE/Non,CPAM/Non,FACTURES/Non,ETATCIVIL/Non,PERMIS/Non,PHOTO/Maîtrise,IMPTROISD/Non,PAO/Maîtrise,SITEWEB/Basique,CODE/Non,MOOC/Non</t>
  </si>
  <si>
    <t>44.8621455643, -0.524002962718</t>
  </si>
  <si>
    <t>DEFI</t>
  </si>
  <si>
    <t>L’association DEFI a été créée en 1994. Son objectif est « d’aider toutes les personnes exclues à défendre et accéder à leurs droits, mais aussi de les aider à s’insérer à tous les niveaux de leur vie citoyenne par une action d’information, de formation et par un soutien tout au long de leur démarche d’insertion ». Nos actions pour y répondre, la Médiation Sociale, l’accession à la citoyenneté par la valorisation de l’alphabétisation, Français Langue Étrangère et Seconde, la participation active et citoyenne des habitants et plus particulièrement des femmes, dans la vie de la cité et les ateliers de formation aux usages et savoirs de base du numérique dans le cadre du programme Quartiers Numériques.</t>
  </si>
  <si>
    <t>18 Rue Henri DUNANT esplanade Saint-Hilaire</t>
  </si>
  <si>
    <t>Rue Henri Dunant</t>
  </si>
  <si>
    <t>esplanade Saint-Hilaire</t>
  </si>
  <si>
    <t>44.8714835662089</t>
  </si>
  <si>
    <t>-0.51433540137424</t>
  </si>
  <si>
    <t>Du Lundi au Vendredi : 9h-16h.</t>
  </si>
  <si>
    <t>defi.asso.lormont@orange.fr</t>
  </si>
  <si>
    <t>Mo-Fr 09:00-16:00</t>
  </si>
  <si>
    <t>TABLETTE/Expert,ORDI/Expert,INTERNET/Expert,MAILS/Expert,CV/Maîtrise,DIFFCV/Maîtrise,ORGRECHEMPLOI/Maîtrise,EMPLOISTORE/Maîtrise,DECLAPE/Maîtrise,IMPOTS/Maîtrise,DROITSSOCIAUXRSACAF/Maîtrise,RETRAITE/Maîtrise,CPAM/Maîtrise,FACTURES/Maîtrise,ETATCIVIL/Maîtrise,PERMIS/Maîtrise,PHOTO/Maîtrise,IMPTROISD/Non,PAO/Expert,SITEWEB/Non,CODE/Non,MOOC/Expert</t>
  </si>
  <si>
    <t>APTIC,Quartiers numériques</t>
  </si>
  <si>
    <t>44.8714835662, -0.514335401374</t>
  </si>
  <si>
    <t>Mediatheque Jean Vautrin</t>
  </si>
  <si>
    <t>Mairie de Gradignan</t>
  </si>
  <si>
    <t>Accompagnement individuel pour les démarches administratives. Accompagnement individuel pour de l'aide sur PC ou smartphone. Ateliers collectifs du mardi au vendredi. Espace jeu vidéo</t>
  </si>
  <si>
    <t>32 route de léognan</t>
  </si>
  <si>
    <t>Route de Léognan</t>
  </si>
  <si>
    <t>44.7680067313461</t>
  </si>
  <si>
    <t>-0.611460715625453</t>
  </si>
  <si>
    <t>Mardi : 14h- 20h. Mercredi et Samedi: 10h – 18h. Jeudi et Vendredi : 14h – 18h.</t>
  </si>
  <si>
    <t>lamediatheque@ville-gradignan.fr</t>
  </si>
  <si>
    <t>http://www.lamediathequedegradignan.fr</t>
  </si>
  <si>
    <t>Tu 14:00-20:00; We,Sa 10:00-18:00; Th,Fr 14:00-18:00</t>
  </si>
  <si>
    <t>TABLETTE/Expert,ORDI/Expert,INTERNET/Expert,MAILS/Expert,CV/Maîtrise,DIFFCV/Maîtrise,ORGRECHEMPLOI/Basique,EMPLOISTORE/Basique,DECLAPE/Maîtrise,IMPOTS/Maîtrise,DROITSSOCIAUXRSACAF/Maîtrise,RETRAITE/Basique,CPAM/Basique,FACTURES/Maîtrise,ETATCIVIL/Maîtrise,PERMIS/Maîtrise,PHOTO/Basique,IMPTROISD/Basique,PAO/Basique,SITEWEB/Non,CODE/Non,MOOC/Non</t>
  </si>
  <si>
    <t>44.7680067313, -0.611460715625</t>
  </si>
  <si>
    <t>EPI'SOL Pessac</t>
  </si>
  <si>
    <t>Atelier informatique tous les 15 jours. Poste informatique en libre service. Reconnu facilitateur CAF sur le site caf.fr</t>
  </si>
  <si>
    <t>8 place germaine tillion</t>
  </si>
  <si>
    <t>Place Germaine Tillion</t>
  </si>
  <si>
    <t>44.8052764816374</t>
  </si>
  <si>
    <t>-0.632860320910708</t>
  </si>
  <si>
    <t>Du Mardi au Vendredi : 10h-13h et 15h-19h.   Samedi : 10h-13h.  Atelier 1 Vendredi sur 2.  Permanence caf.fr le Vendredi matin.</t>
  </si>
  <si>
    <t>episolpessac@gmail.com</t>
  </si>
  <si>
    <t>https://www.episolpessac.org/</t>
  </si>
  <si>
    <t>https://www.facebook.com/episolpessac/</t>
  </si>
  <si>
    <t>Tu-Fr 10:00-13:00,15:00-19:00; Sa 10:00-13:00</t>
  </si>
  <si>
    <t>TABLETTE/Basique,ORDI/Maîtrise,INTERNET/Basique,MAILS/Maîtrise,CV/Non,DIFFCV/Non,ORGRECHEMPLOI/Non,EMPLOISTORE/Non,DECLAPE/Non,IMPOTS/Non,DROITSSOCIAUXRSACAF/Basique,RETRAITE/Non,CPAM/Non,FACTURES/Non,ETATCIVIL/Non,PERMIS/Non,PHOTO/Non,IMPTROISD/Non,PAO/Non,SITEWEB/Non,CODE/Non,MOOC/Non</t>
  </si>
  <si>
    <t>44.8052764816, -0.632860320911</t>
  </si>
  <si>
    <t>Espace Social et d'Animation Alain Coudert</t>
  </si>
  <si>
    <t>Centre social de Saige à Pessac, quartier prioritaire. Propose un accueil tous publics.  Le projet social de la structure est construit en 4 sous projets :  1) Accueil, Animation de la vie sociale et Cadre de vie  2) Accès aux Droits, Insertion et Parentalité (assistance numérique) 3) Alimentation, Santé &amp; Solidarité  4) Education et prévention</t>
  </si>
  <si>
    <t>68 rue de l'horloge</t>
  </si>
  <si>
    <t>Rue de l'Horloge</t>
  </si>
  <si>
    <t>44.7911631632469</t>
  </si>
  <si>
    <t>-0.628702414403621</t>
  </si>
  <si>
    <t>Lundi : 13h30-19h. Du Mardi au Vendredi : 10h30-12h30/13h30-19h.</t>
  </si>
  <si>
    <t>esaac.esf@orange.fr</t>
  </si>
  <si>
    <t>https://www.facebook.com/esaacsaige33/</t>
  </si>
  <si>
    <t>Mo 13:30-19:00; Tu-Fr 10:30-12:30,13:30-19:00</t>
  </si>
  <si>
    <t>TABLETTE/Maîtrise,ORDI/Maîtrise,INTERNET/Maîtrise,MAILS/Maîtrise,CV/Maîtrise,DIFFCV/Maîtrise,ORGRECHEMPLOI/Basique,EMPLOISTORE/Basique,DECLAPE/Maîtrise,IMPOTS/Maîtrise,DROITSSOCIAUXRSACAF/Maîtrise,RETRAITE/Basique,CPAM/Maîtrise,FACTURES/Maîtrise,ETATCIVIL/Maîtrise,PERMIS/Maîtrise,PHOTO/Non,IMPTROISD/Non,PAO/Maîtrise,SITEWEB/Non,CODE/Non,MOOC/Basique</t>
  </si>
  <si>
    <t>Point relais CAF,autre dispositif</t>
  </si>
  <si>
    <t>44.7911631632, -0.628702414404</t>
  </si>
  <si>
    <t>Centre Social de Bagatelle</t>
  </si>
  <si>
    <t>Le centre social de Bagatelle accueille toutes personnes souhaitant participer à des projets, activités, événements ou en recherche de vivre ensemble. Permanences d'accès aux droits (écrivain public et CESF) et espace numérique.</t>
  </si>
  <si>
    <t>203 Route de Toulouse</t>
  </si>
  <si>
    <t>Route de Toulouse</t>
  </si>
  <si>
    <t>44.8085123457487</t>
  </si>
  <si>
    <t>-0.573962965955822</t>
  </si>
  <si>
    <t>Du Lundi au Jeudi : 9h-12h/14h-17h30. Vendredi : 9h-12h. Vendredi après-midi, Samedi et dimanche : fermé. Ces horaires correspondent à la période actuelle (COVID-19), merci de nous contacter par téléphone pour toute demande d'accès au numérique. Présence de facilitateurs numériques le Lundi 9h30-12h / et le Vendredi : 9h30-12h.</t>
  </si>
  <si>
    <t>s.socioculturel@centre-social.com</t>
  </si>
  <si>
    <t>http://www.centre-social.com/</t>
  </si>
  <si>
    <t>https://www.facebook.com/Centre-social-de-Bagatelle-1671666503071790/</t>
  </si>
  <si>
    <t>Mo-Th 09:00-12:00,14:00-17:30; Fr 09:00-12:00</t>
  </si>
  <si>
    <t>TABLETTE/Maîtrise,ORDI/Maîtrise,INTERNET/Expert,MAILS/Expert,CV/Maîtrise,DIFFCV/Maîtrise,ORGRECHEMPLOI/Maîtrise,EMPLOISTORE/Basique,DECLAPE/Maîtrise,IMPOTS/Maîtrise,DROITSSOCIAUXRSACAF/Expert,RETRAITE/Basique,CPAM/Maîtrise,FACTURES/Maîtrise,ETATCIVIL/Maîtrise,PERMIS/Basique,PHOTO/Non,IMPTROISD/Non,PAO/Basique,SITEWEB/Non,CODE/Non,MOOC/Basique</t>
  </si>
  <si>
    <t>44.8085123457, -0.573962965956</t>
  </si>
  <si>
    <t>Médiathèque Castagnéra</t>
  </si>
  <si>
    <t>La Cyber-base de Talence vous accueille sur deux sites, à la médiathèque Castagnéra. Ouverte à tous les inscrits du réseau des médiathèques de la ville (inscription gratuite), la Cyber-base met à votre disposition des ordinateurs équipés de casques audio, de webcams,  d’une connexion Internet haut débit, et vous propose de larges plages dédiées à la consultation libre, en présence d’un animateur. Des ateliers multimédias ont pour objectif de vous familiariser avec les outils informatiques, et de découvrir le potentiel des ressources numériques.</t>
  </si>
  <si>
    <t>1 allée Peixotto</t>
  </si>
  <si>
    <t>Allée Peixotto</t>
  </si>
  <si>
    <t>44.8073646003272</t>
  </si>
  <si>
    <t>-0.590091761879263</t>
  </si>
  <si>
    <t>Mardi Jeud  : 14h-18h30. Mercredi : 10h30-18h30. Vendredi  : 10h30-18h30. Samedi : 10h30-18h (10h30-16h en juillet et août).</t>
  </si>
  <si>
    <t>Tu,Th 14:00-18:30; We,Fr 10:30-18:30; Sa 10:30-18:00; Jul-Aug Sa 10:30-16:00</t>
  </si>
  <si>
    <t>44.8073646003, -0.590091761879</t>
  </si>
  <si>
    <t>Médiathèque d'Ornon</t>
  </si>
  <si>
    <t>Mairie de Villenave-d'Ornon</t>
  </si>
  <si>
    <t>Espace de 1000 m² situé dans le quartier de Chambéry, la Médiathèque d’Ornon est un outil culturel riche, conçu pour favoriser la lecture, l'ouverture au monde musical et audiovisuel et l'initiation aux nouvelles technologies, mais aussi lieu de loisirs, de convivialité, de détente et d'accès à l'information grâce à sa collection d'environ 70000 documents.Vous pouvez assister, tout au long de l'année aux différentes manifestations culturelles gratuites proposées par la Médiathèque d'Ornon : concerts, ateliers de lecture et d'écriture, contes, animations multimédia.</t>
  </si>
  <si>
    <t>46 bis rue Jean-Jacques Rousseau</t>
  </si>
  <si>
    <t>46bis</t>
  </si>
  <si>
    <t>Rue Jean-Jacques Rousseau</t>
  </si>
  <si>
    <t>Villenave-d'Ornon</t>
  </si>
  <si>
    <t>44.7647467798463</t>
  </si>
  <si>
    <t>-0.584067604517552</t>
  </si>
  <si>
    <t>Mardi : 15h-19h (ou 20h). Mercredi : 10h-18h. Jeudi : 15h-18h. Vendredi : 10h-12h /14h-18h. Samedi : 10h-18h.</t>
  </si>
  <si>
    <t>service.mediatheque@mairie-villenavedornon.fr</t>
  </si>
  <si>
    <t>https://mediatheque.villenavedornon.fr/exploitation/</t>
  </si>
  <si>
    <t>Tu 15:00-19:00; We,Sa 10:00-18:00; Th 15:00-18:00; Fr 10:00-12:00,14:00-18:00</t>
  </si>
  <si>
    <t>TABLETTE/Basique,ORDI/Basique,INTERNET/Basique,MAILS/Basique,CV/Basique,DIFFCV/Non,ORGRECHEMPLOI/Non,EMPLOISTORE/Non,DECLAPE/Non,IMPOTS/Non,DROITSSOCIAUXRSACAF/Non,RETRAITE/Non,CPAM/Non,FACTURES/Non,ETATCIVIL/Non,PERMIS/Non,PHOTO/Basique,IMPTROISD/Non,PAO/Basique,SITEWEB/Non,CODE/Non,MOOC/Basique</t>
  </si>
  <si>
    <t>44.7647467798, -0.584067604518</t>
  </si>
  <si>
    <t>Médiathèque Les Etoiles</t>
  </si>
  <si>
    <t>La Médiathèque les Etoiles est située dans le quartier du Bocage, dans un bâtiment regroupant également le Centre socioculturel et les Archives municipales. Destinée à accueillir tous les publics, elle propose des espaces livres, presse, vidéo-son, multimédia et jeux vidéo afin de favoriser la lecture, l’accès à la musique et l’initiation aux nouvelles technologies.En plus des animations gratuites proposées tout au long de l’année et d’un large fonds, la Médiathèque les Etoiles dispose également d'une partothèque, et les musiciens locaux peuvent enrichir la démothèque mise à disposition.</t>
  </si>
  <si>
    <t>7 rue Colette Besson</t>
  </si>
  <si>
    <t>Rue Colette Besson</t>
  </si>
  <si>
    <t>44.776760132855</t>
  </si>
  <si>
    <t>-0.532773266803185</t>
  </si>
  <si>
    <t>44.7767601329, -0.532773266803</t>
  </si>
  <si>
    <t>Service Municipal Emploi de Villenave d'Ornon</t>
  </si>
  <si>
    <t>Ce service aide à la recherche d’emploi et accueille tous les demandeurs d’emplois Villenavaises et Villenavais, qui souhaitent être aidés dans leurs recherches d’emplois et/ou dans leur réinsertion professionnelle. Un « cyber espace » avec plusieurs postes informatiques est mis à disposition des demandeurs d’emploi pour faciliter les démarches en ligne liées à la recherche d’emploi. Le service emploi municipal propose des rendez-vous individuels pour faire un point sur sa recherche d’emploi, aider à la rédaction de lettre de motivation et CV, mettre à jour son profil de compétences sur le site de Pôle Emploi.</t>
  </si>
  <si>
    <t>Domaine Jacques Brel, 45 Avenue du Marechal Leclerc</t>
  </si>
  <si>
    <t>Avenue du Maréchal Leclerc</t>
  </si>
  <si>
    <t>44.778427104317</t>
  </si>
  <si>
    <t>-0.573094593051273</t>
  </si>
  <si>
    <t>Du Lundi au Vendredi : 8h45-12h30/14h-16h45.</t>
  </si>
  <si>
    <t>service.emploi@mairie-villenavedornon.fr</t>
  </si>
  <si>
    <t>https://www.villenavedornon.fr/developpement-economie-emploi/aide-emploi/service-emploi-municipal/</t>
  </si>
  <si>
    <t>https://www.facebook.com/mairievillenavedornon/?fref=ts</t>
  </si>
  <si>
    <t>Mo-Fr 08:45-12:30,14:00-16:45</t>
  </si>
  <si>
    <t>TABLETTE/Basique,ORDI/Basique,INTERNET/Expert,MAILS/Expert,CV/Expert,DIFFCV/Expert,ORGRECHEMPLOI/Maîtrise,EMPLOISTORE/Basique,DECLAPE/Expert,IMPOTS/Non,DROITSSOCIAUXRSACAF/Basique,RETRAITE/Non,CPAM/Non,FACTURES/Non,ETATCIVIL/Non,PERMIS/Non,PHOTO/Non,IMPTROISD/Non,PAO/Non,SITEWEB/Non,CODE/Non,MOOC/Non</t>
  </si>
  <si>
    <t>44.7784271043, -0.573094593051</t>
  </si>
  <si>
    <t>Médiathèque Assia Djebar</t>
  </si>
  <si>
    <t>Mairie de Blanquefort</t>
  </si>
  <si>
    <t>La médiathèque Assia Djebar de Blanquefort est située au sein du Centre Culturel Les Colonnes. Elle offre un accès à tous les médias en matière de loisirs, de culture, d’information et de formation continue. Ouverte 35h par semaine, elle accueille des usagers qui viennent pour emprunter des documents, pour lire la presse, consulter Internet, travailler, accompagner, se rencontrer... Elle propose aussi une programmation culturelle tout au long de l’année : expositions, rencontres… L’espace numérique Le F.I.L (Formation Innovation Ludique) est situé au niveau -1 de la médiathèque.</t>
  </si>
  <si>
    <t>4 rue du Docteur Castéra</t>
  </si>
  <si>
    <t>Rue du Docteur Castera</t>
  </si>
  <si>
    <t>Blanquefort</t>
  </si>
  <si>
    <t>44.9104983923576</t>
  </si>
  <si>
    <t>-0.632884204441594</t>
  </si>
  <si>
    <t>Mardi et Jeudi : 14h-19h. Mercredi et Vendredi : 10h-19h. Samedi : 10h-17h. Horaires d'été (juillet-août) : Mardi au Jeudi : 14h-18h. Mercredi et Vendredi : 10h-12h/14h-18h. Samedi : 10h13h.</t>
  </si>
  <si>
    <t>mediatheque@ville-blanquefort.fr</t>
  </si>
  <si>
    <t>http://mediatheque.ville-blanquefort.fr</t>
  </si>
  <si>
    <t>https://www.facebook.com/mediathequeassiadjebarblanquefort</t>
  </si>
  <si>
    <t>Tu,Th 14:00-19:00; We,Fr 10:00-19:00; Sa 10:00-17:00; Jul-Aug Tu,Th 14:00-18:00; Jul-Aug We,Fr 10:00-12:00,14:00-18:00; Jul-Aug Sa 10:00-13:00</t>
  </si>
  <si>
    <t>TABLETTE/Expert,ORDI/Expert,INTERNET/Expert,MAILS/Expert,CV/Basique,DIFFCV/Basique,ORGRECHEMPLOI/Basique,EMPLOISTORE/Non,DECLAPE/Basique,IMPOTS/Non,DROITSSOCIAUXRSACAF/Basique,RETRAITE/Basique,CPAM/Basique,FACTURES/Basique,ETATCIVIL/Basique,PERMIS/Basique,PHOTO/Expert,IMPTROISD/Expert,PAO/Expert,SITEWEB/Expert,CODE/Expert,MOOC/Maîtrise</t>
  </si>
  <si>
    <t>44.9104983924, -0.632884204442</t>
  </si>
  <si>
    <t>Bibliothèque du Haillan</t>
  </si>
  <si>
    <t>Mairie du Haillan</t>
  </si>
  <si>
    <t>Service municipal de proximité ayant pour mission la diffusion et la promotion de l'information, de l'éducation et de la culture.</t>
  </si>
  <si>
    <t>30 rue de Los Heros</t>
  </si>
  <si>
    <t>Rue de Los Heros</t>
  </si>
  <si>
    <t>44.8739005905383</t>
  </si>
  <si>
    <t>-0.675935112261396</t>
  </si>
  <si>
    <t>Mardi : 14h-18h. Mercredi : 10h-12h30/14h-18h. Jeudi : 10h-12h30/14h-18h. Vendredi : 10h-12h30/14h-19h. Samedi : 10h-17h.</t>
  </si>
  <si>
    <t>service.bibliotheque@ville-lehaillan.fr</t>
  </si>
  <si>
    <t>bibliotheque.ville-lehaillan.fr</t>
  </si>
  <si>
    <t>Tu 14:00-18:00; We,Th 10:00-12:30,14:00-18:00; Fr 10:00-12:30,14:00-19:00; Sa 10:00-17:00</t>
  </si>
  <si>
    <t>TABLETTE/Maîtrise,ORDI/Maîtrise,INTERNET/Maîtrise,MAILS/Maîtrise,CV/Basique,DIFFCV/Maîtrise,ORGRECHEMPLOI/Maîtrise,EMPLOISTORE/Basique,DECLAPE/Basique,IMPOTS/Basique,DROITSSOCIAUXRSACAF/Basique,RETRAITE/Basique,CPAM/Basique,FACTURES/Basique,ETATCIVIL/Basique,PERMIS/Basique,PHOTO/Maîtrise,IMPTROISD/Non,PAO/Maîtrise,SITEWEB/Maîtrise,CODE/Maîtrise,MOOC/Maîtrise</t>
  </si>
  <si>
    <t>44.8739005905, -0.675935112261</t>
  </si>
  <si>
    <t>CCAS de Mérignac</t>
  </si>
  <si>
    <t>Le CCAS, établissement public de proximité, anime l’action générale de prévention et de développement social dans la commune. Au cœur des solidarités, le CCAS, en lien avec les partenaires, institutions publiques et privées, travaille en coordination et complémentarité avec l’ensemble des acteurs, dans le but d’améliorer les conditions de vie des habitants de Mérignac, faciliter l’accès aux droits, en s’appuyant sur l’observation constante de la demande sociale et ainsi lier les conditions de développement de nouvelles réponses.</t>
  </si>
  <si>
    <t>60 Avenue Maréchal de Lattre de Tassigny</t>
  </si>
  <si>
    <t>44.8461771954759</t>
  </si>
  <si>
    <t>-0.656229041984005</t>
  </si>
  <si>
    <t>Lundi : 13h-17h. Mardi au Vendredi : 8h30-17h.</t>
  </si>
  <si>
    <t>ccas@merignac.com</t>
  </si>
  <si>
    <t>http://www.merignac.com/</t>
  </si>
  <si>
    <t>https://www.facebook.com/Merignac</t>
  </si>
  <si>
    <t>Mo 13:00-17:00; Tu-Fr 08:30-17:00</t>
  </si>
  <si>
    <t>TABLETTE/Basique,ORDI/Basique,INTERNET/Basique,MAILS/Basique,CV/Non,DIFFCV/Non,ORGRECHEMPLOI/Non,EMPLOISTORE/Non,DECLAPE/Basique,IMPOTS/Non,DROITSSOCIAUXRSACAF/Basique,RETRAITE/Basique,CPAM/Basique,FACTURES/Basique,ETATCIVIL/Basique,PERMIS/Basique,PHOTO/Non,IMPTROISD/Non,PAO/Non,SITEWEB/Non,CODE/Non,MOOC/Non</t>
  </si>
  <si>
    <t>44.8461771955, -0.656229041984</t>
  </si>
  <si>
    <t>Le Vivier des Partages</t>
  </si>
  <si>
    <t>Le Vivier des Partages est une association qui a trois objectifs : encourager l'engagement collectif, développer des réseaux de solidarité et créer des temps et des espaces de convivialité. Ainsi, nous créons café-débat, nous accompagnons des projets collectifs,  nous animons des ateliers sur des thématiques diverses et enfin nous proposons de l'entraide numérique. Toutes nos interventions sont motivées par l'esprit de l'éducation populaire et l'apprentissage par l'action. L'entraide numérique se déroule chez nos partenaires notamment une fois par mois au café le Petit Grain à Bordeaux.</t>
  </si>
  <si>
    <t>Variables.</t>
  </si>
  <si>
    <t>levivierdespartages@hotmail.com</t>
  </si>
  <si>
    <t>https://levivierdespartages.wixsite.com/accueil</t>
  </si>
  <si>
    <t>https://www.facebook.com/levivierdespartages/</t>
  </si>
  <si>
    <t>TABLETTE/Basique,ORDI/Maîtrise,INTERNET/Maîtrise,MAILS/Basique,CV/Maîtrise,DIFFCV/Basique,ORGRECHEMPLOI/Basique,EMPLOISTORE/Basique,DECLAPE/Maîtrise,IMPOTS/Basique,DROITSSOCIAUXRSACAF/Maîtrise,RETRAITE/Non,CPAM/Basique,FACTURES/Basique,ETATCIVIL/Basique,PERMIS/Non,PHOTO/Basique,IMPTROISD/Non,PAO/Basique,SITEWEB/Basique,CODE/Non,MOOC/Basique</t>
  </si>
  <si>
    <t>Espace Public Numérique de Beaudésert : Réseau des Médiathèques de Mérignac</t>
  </si>
  <si>
    <t>Mairie de Mérignac</t>
  </si>
  <si>
    <t>L'EPN de la médiathèque de BEAUDESERT est un espace dédié à la découverte, à l'apprentissage et à la pratique des techniques de l'information et de la communication. La vocation de cet espace est d'aider tous les publics à s'approprier les usages numériques pour leurs projets personnels ou professionnels. Tous les publics peuvent bénéficier de conseils et d'une assistance, auprès d'une équipe d'animateurs professionnels. Des ateliers multimédia et des animations sont régulièrement organisés afin de découvrir les usages numériques.</t>
  </si>
  <si>
    <t>74  avenue des marronniers</t>
  </si>
  <si>
    <t>Avenue des Marronniers</t>
  </si>
  <si>
    <t>44.8437159703148</t>
  </si>
  <si>
    <t>-0.679598329225639</t>
  </si>
  <si>
    <t>Mardi : 17h-18h30. Mercredi : 14h-17h. Jeudi : 15h-18h. Vendredi : 10h30-12h.</t>
  </si>
  <si>
    <t>mediatheque.epn@merignac.com</t>
  </si>
  <si>
    <t>http://www.mediatheque.merignac.com/Default/informatique.aspx</t>
  </si>
  <si>
    <t>https://www.facebook.com/mediathequemerignac/</t>
  </si>
  <si>
    <t>Tu 17:00-18:30; We 14:00-17:00; Th 15:00-18:00; Fr 10:30-12:00</t>
  </si>
  <si>
    <t>TABLETTE/Maîtrise,ORDI/Expert,INTERNET/Expert,MAILS/Expert,CV/Basique,DIFFCV/Maîtrise,ORGRECHEMPLOI/Basique,EMPLOISTORE/Basique,DECLAPE/Maîtrise,IMPOTS/Expert,DROITSSOCIAUXRSACAF/Maîtrise,RETRAITE/Basique,CPAM/Maîtrise,FACTURES/Maîtrise,ETATCIVIL/Maîtrise,PERMIS/Maîtrise,PHOTO/Maîtrise,IMPTROISD/Non,PAO/Maîtrise,SITEWEB/Maîtrise,CODE/Non,MOOC/Basique</t>
  </si>
  <si>
    <t>44.8437159703, -0.679598329226</t>
  </si>
  <si>
    <t>Médiathèque Michel Sainte-Marie Espace Public Numérique</t>
  </si>
  <si>
    <t>L'EPN de la médiathèque Michel SAINTE-MARIE est un espace public dédié à la découverte, à l'apprentissage et à la pratique des technologies de l'information et de la communication. La vocation de cet espace est d'aider tous les publics à s'approprier les usages numériques pour leurs projets personnels ou professionnels. Tous les publics peuvent bénéficier de conseils et d'une assistance auprès d'une équipe d'animateurs multimédia professionnels. Des ateliers numériques et des animations sont régulièrement organisés afin de découvrir les usages numériques.</t>
  </si>
  <si>
    <t>19 place Charles de Gaulle</t>
  </si>
  <si>
    <t>44.8423693794038</t>
  </si>
  <si>
    <t>-0.646640984989363</t>
  </si>
  <si>
    <t>Du Mardi au Samedi : 13h-17h. Mercredi : 13h-19h.</t>
  </si>
  <si>
    <t>Tu-Sa 13:00-17:00; We 13:00-19:00</t>
  </si>
  <si>
    <t>TABLETTE/Maîtrise,ORDI/Expert,INTERNET/Expert,MAILS/Expert,CV/Basique,DIFFCV/Maîtrise,ORGRECHEMPLOI/Basique,EMPLOISTORE/Basique,DECLAPE/Expert,IMPOTS/Expert,DROITSSOCIAUXRSACAF/Maîtrise,RETRAITE/Basique,CPAM/Maîtrise,FACTURES/Maîtrise,ETATCIVIL/Maîtrise,PERMIS/Maîtrise,PHOTO/Maîtrise,IMPTROISD/Non,PAO/Maîtrise,SITEWEB/Maîtrise,CODE/Basique,MOOC/Expert</t>
  </si>
  <si>
    <t>44.8423693794, -0.646640984989</t>
  </si>
  <si>
    <t>Mission Locale Technowest</t>
  </si>
  <si>
    <t>Structure du service public de l'emploi en charge de l'accueil et de l'accompagnement vers l'insertion sociale et professionnelle des jeunes âgés de 16 à 25 ans sortis du système scolaire et résidant sur le territoire des 16 communes adhérentes à la Mission Locale Technowest. Accompagnement global: Formation, projet professionnel, emploi, santé, citoyenneté, logement, loisirs et culture, mobilité internationale.</t>
  </si>
  <si>
    <t>9 rue Montgolfier</t>
  </si>
  <si>
    <t>Rue Montgolfier</t>
  </si>
  <si>
    <t>44.8550175341636</t>
  </si>
  <si>
    <t>-0.65310983538959</t>
  </si>
  <si>
    <t>Lundi au Vendredi : 8h30-12h30/13h30-17h30.</t>
  </si>
  <si>
    <t>contact@missionlocaletechnowest.fr</t>
  </si>
  <si>
    <t>https://www.mltechnowest.com/</t>
  </si>
  <si>
    <t>https://www.facebook.com/MiLoTechnowest/</t>
  </si>
  <si>
    <t>Mo-Fr 08:30-12:30,13:30-17:30</t>
  </si>
  <si>
    <t>TABLETTE/Non,ORDI/Basique,INTERNET/Basique,MAILS/Basique,CV/Expert,DIFFCV/Expert,ORGRECHEMPLOI/Expert,EMPLOISTORE/Maîtrise,DECLAPE/Maîtrise,IMPOTS/Basique,DROITSSOCIAUXRSACAF/Basique,RETRAITE/Non,CPAM/Basique,FACTURES/Non,ETATCIVIL/Non,PERMIS/Non,PHOTO/Non,IMPTROISD/Non,PAO/Non,SITEWEB/Non,CODE/Non,MOOC/Basique</t>
  </si>
  <si>
    <t>44.8550175342, -0.65310983539</t>
  </si>
  <si>
    <t>Atelier Brach</t>
  </si>
  <si>
    <t>33 rue de Brach</t>
  </si>
  <si>
    <t>Rue de Brach</t>
  </si>
  <si>
    <t>44.8389866834739</t>
  </si>
  <si>
    <t>-0.594572270945236</t>
  </si>
  <si>
    <t>44.8389866835, -0.594572270945</t>
  </si>
  <si>
    <t>Centre d'animation Monséjour</t>
  </si>
  <si>
    <t>Le centre d’animation Monséjour fait partie de l’association des Centres d’animation de Bordeaux, association républicaine d’animation socioculturelle, loi 1901. Son action se fonde sur un ensemble de valeurs et de principes et est guidée par ses textes fondateurs, dont ses statuts et son projet associatif. Agréée jeunesse et éducation populaire, 10 centres d’animation sont agréés Centre social, elle œuvre avec toutes et tous afin de contribuer à l’émancipation des personnes qu’elle accueille en promouvant une éducation tout au long de la vie et l’égale reconnaissance des savoirs, savoir-faire et savoir-être.</t>
  </si>
  <si>
    <t>rue François Coppée</t>
  </si>
  <si>
    <t>Rue François Coppée</t>
  </si>
  <si>
    <t>44.8541855653373</t>
  </si>
  <si>
    <t>-0.629699824219564</t>
  </si>
  <si>
    <t>Lundi, Mercredi et Vendredi : 14h – 19h, Mardi et jeudi : 9h – 12h30 / 14h – 18h30.</t>
  </si>
  <si>
    <t>monsejour@cabordeaux.fr</t>
  </si>
  <si>
    <t>https://centresanimationbordeaux.fr/monsejour/</t>
  </si>
  <si>
    <t>Mo-Fr 14:00-19:00; Tu,Th 09:00-12:30,14:00-18:00</t>
  </si>
  <si>
    <t>Demandeurs d'emploi,Etrangers,Jeunes,Personnes en situation de handicap,Séniors</t>
  </si>
  <si>
    <t>TABLETTE/Non,ORDI/Non,INTERNET/Basique,MAILS/Basique,CV/Non,DIFFCV/Non,ORGRECHEMPLOI/Non,EMPLOISTORE/Non,DECLAPE/Basique,IMPOTS/Basique,DROITSSOCIAUXRSACAF/Basique,RETRAITE/Basique,CPAM/Basique,FACTURES/Basique,ETATCIVIL/Basique,PERMIS/Non,PHOTO/Non,IMPTROISD/Non,PAO/Non,SITEWEB/Non,CODE/Non,MOOC/Non</t>
  </si>
  <si>
    <t>44.8541855653, -0.62969982422</t>
  </si>
  <si>
    <t>Espace de vie sociale Barthez</t>
  </si>
  <si>
    <t>Permanences d'accueils individuels et collectifs  caf, info droits, service emploi de la ville de Gradignan -  Informations pour l’accès aux loisirs et vacances (point information vacances) - Ateliers de formation pour adultes : alphabétisation, FLE - Actions d'accompagnement vers l'emploi - Accompagnement à la scolarité élémentaire - Ateliers d’échange de savoirs (cuisine, couture) - soirées thématiques (contes, karaoké, loto, jeux de société) - Sorties et projets week-end familles - Manifestations de quartier des projets des familles - Activites parents-enfants.</t>
  </si>
  <si>
    <t>20 bis bd malartic  residence barthez</t>
  </si>
  <si>
    <t>20bis</t>
  </si>
  <si>
    <t>Boulevard de Malartic</t>
  </si>
  <si>
    <t>44.7708750360885</t>
  </si>
  <si>
    <t>-0.600367778910753</t>
  </si>
  <si>
    <t>Lundi, Mercredi : 9h-12h/14h-18h.  Mardi, Jeudi, Vendredi : 9h-12h/14h-19h. Samedi sur projet.</t>
  </si>
  <si>
    <t>epajgbarthez@ville-gradignan.fr</t>
  </si>
  <si>
    <t>Mo,We 09:00-12:00,14:00-18:00; Tu,Th,Fr 09:00-12:00,14:00-19:00</t>
  </si>
  <si>
    <t>TABLETTE/Non,ORDI/Non,INTERNET/Non,MAILS/Basique,CV/Maîtrise,DIFFCV/Maîtrise,ORGRECHEMPLOI/Maîtrise,EMPLOISTORE/Maîtrise,DECLAPE/Maîtrise,IMPOTS/Maîtrise,DROITSSOCIAUXRSACAF/Maîtrise,RETRAITE/Basique,CPAM/Maîtrise,FACTURES/Maîtrise,ETATCIVIL/Maîtrise,PERMIS/Maîtrise,PHOTO/Non,IMPTROISD/Non,PAO/Non,SITEWEB/Non,CODE/Non,MOOC/Non</t>
  </si>
  <si>
    <t>44.7708750361, -0.600367778911</t>
  </si>
  <si>
    <t>Eysines France Services</t>
  </si>
  <si>
    <t>Nous disposons d'un espace numérique de 2 ordinateurs en accès libres dédiés au public. Ils peuvent être utilisés en autonomie ou accompagnés par les agents présents.</t>
  </si>
  <si>
    <t>Place du Rouillaou</t>
  </si>
  <si>
    <t>44.8798847142447</t>
  </si>
  <si>
    <t>-0.636249034327296</t>
  </si>
  <si>
    <t>Du Lundi au Jeudi : 9h/12h30-14H/18h. Vendredi : 9h-12h30.</t>
  </si>
  <si>
    <t>msap@eysines.fr</t>
  </si>
  <si>
    <t>Mo-Th 09:00-12:30,14:00-18:00; Fr 09:30-12:30</t>
  </si>
  <si>
    <t>TABLETTE/Non,ORDI/Basique,INTERNET/Basique,MAILS/Basique,CV/Basique,DIFFCV/Non,ORGRECHEMPLOI/Non,EMPLOISTORE/Non,DECLAPE/Expert,IMPOTS/Expert,DROITSSOCIAUXRSACAF/Expert,RETRAITE/Expert,CPAM/Expert,FACTURES/Expert,ETATCIVIL/Expert,PERMIS/Expert,PHOTO/Non,IMPTROISD/Non,PAO/Non,SITEWEB/Non,CODE/Non,MOOC/Non</t>
  </si>
  <si>
    <t>44.8798847142, -0.636249034327</t>
  </si>
  <si>
    <t>Public cible : allocataires et/ou demandeurs d'emploi</t>
  </si>
  <si>
    <t>datepublication</t>
  </si>
  <si>
    <t>nomAttribuant</t>
  </si>
  <si>
    <t>idAttribuant</t>
  </si>
  <si>
    <t>dateConvention</t>
  </si>
  <si>
    <t>referenceDecision</t>
  </si>
  <si>
    <t>nomBénéficiaire</t>
  </si>
  <si>
    <t>idBeneficiaire</t>
  </si>
  <si>
    <t>objet</t>
  </si>
  <si>
    <t>montant</t>
  </si>
  <si>
    <t>nature</t>
  </si>
  <si>
    <t>conditionsVersement</t>
  </si>
  <si>
    <t>datesPériodeVersement</t>
  </si>
  <si>
    <t>idRAE</t>
  </si>
  <si>
    <t>notificationUE</t>
  </si>
  <si>
    <t>pourcentageSubvention</t>
  </si>
  <si>
    <t>date_deb</t>
  </si>
  <si>
    <t>date_fin</t>
  </si>
  <si>
    <t>objet_reuse</t>
  </si>
  <si>
    <t>montant_reuse</t>
  </si>
  <si>
    <t>2019-02-06</t>
  </si>
  <si>
    <t>BORDEAUX METROPOLE</t>
  </si>
  <si>
    <t>24330031600011.0</t>
  </si>
  <si>
    <t>2018-10-09</t>
  </si>
  <si>
    <t>2018/040</t>
  </si>
  <si>
    <t>GIHP INSERT PERS HAND</t>
  </si>
  <si>
    <t>31231100400039.0</t>
  </si>
  <si>
    <t>Zéro déchets</t>
  </si>
  <si>
    <t>5000</t>
  </si>
  <si>
    <t>aide en numéraire</t>
  </si>
  <si>
    <t>unique</t>
  </si>
  <si>
    <t>2018-10-09/2019-04-09</t>
  </si>
  <si>
    <t>sans objet</t>
  </si>
  <si>
    <t>non</t>
  </si>
  <si>
    <t>1.00</t>
  </si>
  <si>
    <t>Autre objet</t>
  </si>
  <si>
    <t>Inférieur à 30 000€</t>
  </si>
  <si>
    <t>2018-11-09</t>
  </si>
  <si>
    <t>2018/573</t>
  </si>
  <si>
    <t>ADIL 33</t>
  </si>
  <si>
    <t>30537823400036.0</t>
  </si>
  <si>
    <t>Fonctionnement</t>
  </si>
  <si>
    <t>97740</t>
  </si>
  <si>
    <t>échelonné</t>
  </si>
  <si>
    <t>2018-11-09/2019-05-09</t>
  </si>
  <si>
    <t>Entre 30 000€ et 100 000€</t>
  </si>
  <si>
    <t>2019-01-24</t>
  </si>
  <si>
    <t>2018/578</t>
  </si>
  <si>
    <t>WIMOOV GIRONDE</t>
  </si>
  <si>
    <t>42213614300068.0</t>
  </si>
  <si>
    <t>plateforme mobilité</t>
  </si>
  <si>
    <t>55000</t>
  </si>
  <si>
    <t>2019-01-24/2019-07-24</t>
  </si>
  <si>
    <t>2019-01-31</t>
  </si>
  <si>
    <t>2018/677</t>
  </si>
  <si>
    <t>AQUITEC</t>
  </si>
  <si>
    <t>39061052500029.0</t>
  </si>
  <si>
    <t>26000</t>
  </si>
  <si>
    <t>2019-01-31/2019-07-31</t>
  </si>
  <si>
    <t>2018-12-18</t>
  </si>
  <si>
    <t>2018/588</t>
  </si>
  <si>
    <t>LA RONDE DES QUARTIERS DE BORDEAUX</t>
  </si>
  <si>
    <t>52539664400011.0</t>
  </si>
  <si>
    <t>Action CO²LIM</t>
  </si>
  <si>
    <t>14500</t>
  </si>
  <si>
    <t>2018-12-18/2019-06-18</t>
  </si>
  <si>
    <t>2019-04-02</t>
  </si>
  <si>
    <t>2018-09-10</t>
  </si>
  <si>
    <t>2018/359</t>
  </si>
  <si>
    <t>CAP SCIENCES</t>
  </si>
  <si>
    <t>39988425300036.0</t>
  </si>
  <si>
    <t>Investissement</t>
  </si>
  <si>
    <t>120000</t>
  </si>
  <si>
    <t>2018-09-10/2019-03-10</t>
  </si>
  <si>
    <t>Entre 100 000€ et 500 000€</t>
  </si>
  <si>
    <t>2019-02-14</t>
  </si>
  <si>
    <t>2018/804</t>
  </si>
  <si>
    <t>UNION BORDEAUX METROPOLE (UBM)</t>
  </si>
  <si>
    <t>41892140900011.0</t>
  </si>
  <si>
    <t>165000</t>
  </si>
  <si>
    <t>2019-02-14/2019-08-14</t>
  </si>
  <si>
    <t>2018/805</t>
  </si>
  <si>
    <t>COS Bordeaux Métropole</t>
  </si>
  <si>
    <t>48301340500012.0</t>
  </si>
  <si>
    <t>1680000</t>
  </si>
  <si>
    <t>Supérieur à 500 000€</t>
  </si>
  <si>
    <t>2019-02-19</t>
  </si>
  <si>
    <t>2019/53</t>
  </si>
  <si>
    <t>COMPAGNIE LES MARCHES DE L'ÉTÉ</t>
  </si>
  <si>
    <t>32848008200069.0</t>
  </si>
  <si>
    <t>FESTIVAL 30/30</t>
  </si>
  <si>
    <t>15000</t>
  </si>
  <si>
    <t>2019-02-19_2019-08-19</t>
  </si>
  <si>
    <t>2019-08-19</t>
  </si>
  <si>
    <t>2019-02-20</t>
  </si>
  <si>
    <t>CREAC DE BEGLES</t>
  </si>
  <si>
    <t>37809063300017.0</t>
  </si>
  <si>
    <t>saison cirque</t>
  </si>
  <si>
    <t>47500</t>
  </si>
  <si>
    <t>2019-02-20/2019-08-20</t>
  </si>
  <si>
    <t>2019-03-08</t>
  </si>
  <si>
    <t>2019/69</t>
  </si>
  <si>
    <t>LE LAB</t>
  </si>
  <si>
    <t>84217399900017.0</t>
  </si>
  <si>
    <t>investissement travaux Lormont</t>
  </si>
  <si>
    <t>7000</t>
  </si>
  <si>
    <t>2019-03-08/2019-09-08</t>
  </si>
  <si>
    <t>2019-03-11</t>
  </si>
  <si>
    <t>ESPRIT DE CORPS</t>
  </si>
  <si>
    <t>42008956700036.0</t>
  </si>
  <si>
    <t>festival POUCE</t>
  </si>
  <si>
    <t>20000</t>
  </si>
  <si>
    <t>2019-03-11/2019-09-11</t>
  </si>
  <si>
    <t>2019-02-22</t>
  </si>
  <si>
    <t>CHAHUTS</t>
  </si>
  <si>
    <t>40265285300069.0</t>
  </si>
  <si>
    <t>LES ARTS DE LA PAROLE</t>
  </si>
  <si>
    <t>35000</t>
  </si>
  <si>
    <t>2019-02-22/2019-08-22</t>
  </si>
  <si>
    <t>2018-12-07</t>
  </si>
  <si>
    <t>2018/664</t>
  </si>
  <si>
    <t>MUSIQUES DE NUIT DIFFUSION</t>
  </si>
  <si>
    <t>34169319000033.0</t>
  </si>
  <si>
    <t>journées afro contemporaines</t>
  </si>
  <si>
    <t>33250</t>
  </si>
  <si>
    <t>2018-12-07/2019-06-07</t>
  </si>
  <si>
    <t>2019-03-06</t>
  </si>
  <si>
    <t>2019/45</t>
  </si>
  <si>
    <t>AURBA</t>
  </si>
  <si>
    <t>78181448800040.0</t>
  </si>
  <si>
    <t>4372000</t>
  </si>
  <si>
    <t>2019-03-06/2019-09-06</t>
  </si>
  <si>
    <t>2019-06-20</t>
  </si>
  <si>
    <t>2019-05-21</t>
  </si>
  <si>
    <t>2019/263</t>
  </si>
  <si>
    <t>LETTRES DU MONDE</t>
  </si>
  <si>
    <t>45227479800035.0</t>
  </si>
  <si>
    <t>IN SITU ÉTÉ METROPOLITAIN</t>
  </si>
  <si>
    <t>6000</t>
  </si>
  <si>
    <t>2019-05-21/2019-11-21</t>
  </si>
  <si>
    <t>2019-05-15</t>
  </si>
  <si>
    <t>2019/181</t>
  </si>
  <si>
    <t>BORDEAUX TECHNOWEST</t>
  </si>
  <si>
    <t>37781852100025.0</t>
  </si>
  <si>
    <t>LA TECHNOPOLE</t>
  </si>
  <si>
    <t>440000</t>
  </si>
  <si>
    <t>2019-05-15/2019-11-15</t>
  </si>
  <si>
    <t>2019-05-27</t>
  </si>
  <si>
    <t>BORDEAUX ROCK</t>
  </si>
  <si>
    <t>48029371100028.0</t>
  </si>
  <si>
    <t>Eté métropolitain</t>
  </si>
  <si>
    <t>8000</t>
  </si>
  <si>
    <t>2019-05-27/2019-11-27</t>
  </si>
  <si>
    <t>40265285300019.0</t>
  </si>
  <si>
    <t>25000</t>
  </si>
  <si>
    <t>COMPAGNIE TANDAIM</t>
  </si>
  <si>
    <t>41827063300021.0</t>
  </si>
  <si>
    <t>23500</t>
  </si>
  <si>
    <t>ADMAA</t>
  </si>
  <si>
    <t>48956307200029.0</t>
  </si>
  <si>
    <t>2019-05-23</t>
  </si>
  <si>
    <t>2019/183</t>
  </si>
  <si>
    <t>CLUSTER BORDEAUX SUPERYACHT</t>
  </si>
  <si>
    <t>82071933400014.0</t>
  </si>
  <si>
    <t>2019-05-23/2019-11-23</t>
  </si>
  <si>
    <t>2019-05-28</t>
  </si>
  <si>
    <t>LE BLEU DU CIEL</t>
  </si>
  <si>
    <t>48466802500030.0</t>
  </si>
  <si>
    <t>9000</t>
  </si>
  <si>
    <t>2019-05-28/2019-11-28</t>
  </si>
  <si>
    <t>2019-05-29</t>
  </si>
  <si>
    <t>BORDEAUX ART CONTEMPORAIN</t>
  </si>
  <si>
    <t>82831200900016.0</t>
  </si>
  <si>
    <t>2019-05-29/2019-11-29</t>
  </si>
  <si>
    <t>2019-06-03</t>
  </si>
  <si>
    <t>LA MECANIQUE GENERALE</t>
  </si>
  <si>
    <t>82469850000017.0</t>
  </si>
  <si>
    <t>12500</t>
  </si>
  <si>
    <t>2019-06-03/2019-12-03</t>
  </si>
  <si>
    <t>2019/265</t>
  </si>
  <si>
    <t>AGEC ET CO</t>
  </si>
  <si>
    <t>49848483100033.0</t>
  </si>
  <si>
    <t>projet artistique</t>
  </si>
  <si>
    <t>14250</t>
  </si>
  <si>
    <t>2019-01-23</t>
  </si>
  <si>
    <t>2018/651</t>
  </si>
  <si>
    <t>UNIS CITE</t>
  </si>
  <si>
    <t>39819156900142.0</t>
  </si>
  <si>
    <t>ambassadeurs du vélo</t>
  </si>
  <si>
    <t>49000</t>
  </si>
  <si>
    <t>2019-01-23/2019-07-23</t>
  </si>
  <si>
    <t>2019-06-05</t>
  </si>
  <si>
    <t>40000</t>
  </si>
  <si>
    <t>2019-06-05/2019-12-05</t>
  </si>
  <si>
    <t>2019-06-12</t>
  </si>
  <si>
    <t>L'ART DANS TOUS SES ETATS</t>
  </si>
  <si>
    <t>82155741000015.0</t>
  </si>
  <si>
    <t>6600</t>
  </si>
  <si>
    <t>2019-06-12/2019-12-12</t>
  </si>
  <si>
    <t>2019-06-06</t>
  </si>
  <si>
    <t>2019/205</t>
  </si>
  <si>
    <t>CSDL</t>
  </si>
  <si>
    <t>41900910500018.0</t>
  </si>
  <si>
    <t>ESS programme d'actions</t>
  </si>
  <si>
    <t>38000</t>
  </si>
  <si>
    <t>2019-06-06/2019-12-06</t>
  </si>
  <si>
    <t>2019/185</t>
  </si>
  <si>
    <t>FRENTECH BORDEAUX</t>
  </si>
  <si>
    <t>81831326400025.0</t>
  </si>
  <si>
    <t>204000</t>
  </si>
  <si>
    <t>2019-06-13</t>
  </si>
  <si>
    <t>2019/182</t>
  </si>
  <si>
    <t>BORDEAUX UNITEC</t>
  </si>
  <si>
    <t>37796404400038.0</t>
  </si>
  <si>
    <t>manifestation Innovaday</t>
  </si>
  <si>
    <t>2019-06-13/2019-12-13</t>
  </si>
  <si>
    <t>2019-09-16</t>
  </si>
  <si>
    <t>2019-06-19</t>
  </si>
  <si>
    <t>2019/278</t>
  </si>
  <si>
    <t>ALPHA</t>
  </si>
  <si>
    <t>47941474000049.0</t>
  </si>
  <si>
    <t>57000</t>
  </si>
  <si>
    <t>2019-06-19/2019-12-19</t>
  </si>
  <si>
    <t>2019/169</t>
  </si>
  <si>
    <t>CSBN</t>
  </si>
  <si>
    <t>78184921100029.0</t>
  </si>
  <si>
    <t>3500</t>
  </si>
  <si>
    <t>2019-06-20/2019-12-20</t>
  </si>
  <si>
    <t>2019-06-27</t>
  </si>
  <si>
    <t>FACE</t>
  </si>
  <si>
    <t>39856806300059.0</t>
  </si>
  <si>
    <t>2019-06-27/2019-12-27</t>
  </si>
  <si>
    <t>LE RITUEL</t>
  </si>
  <si>
    <t>82978181400019.0</t>
  </si>
  <si>
    <t>4500</t>
  </si>
  <si>
    <t>2019/257</t>
  </si>
  <si>
    <t>ALEC</t>
  </si>
  <si>
    <t>49500944100033.0</t>
  </si>
  <si>
    <t>137000</t>
  </si>
  <si>
    <t>2019-06-04</t>
  </si>
  <si>
    <t>2019/169_</t>
  </si>
  <si>
    <t>CREPAQ</t>
  </si>
  <si>
    <t>40996896300010.0</t>
  </si>
  <si>
    <t>4350</t>
  </si>
  <si>
    <t>2019-06-04/2019-12-04</t>
  </si>
  <si>
    <t>2019-08-02</t>
  </si>
  <si>
    <t>2019/386</t>
  </si>
  <si>
    <t>2019-08-02/2020-02-02</t>
  </si>
  <si>
    <t>2019-07-31</t>
  </si>
  <si>
    <t>2019/401</t>
  </si>
  <si>
    <t>MAISON EMPLOI BX MDE</t>
  </si>
  <si>
    <t>49058526200069.0</t>
  </si>
  <si>
    <t>2019-07-31/2020-01-31</t>
  </si>
  <si>
    <t>2019-07-25</t>
  </si>
  <si>
    <t>2019/279</t>
  </si>
  <si>
    <t>COM UNE PARENTHESE</t>
  </si>
  <si>
    <t>84515945800023.0</t>
  </si>
  <si>
    <t>actions spécifiques</t>
  </si>
  <si>
    <t>29000</t>
  </si>
  <si>
    <t>2019-07-25/2020-01-25</t>
  </si>
  <si>
    <t>2019-07-23</t>
  </si>
  <si>
    <t>CIDFF</t>
  </si>
  <si>
    <t>33348540700017.0</t>
  </si>
  <si>
    <t>8500</t>
  </si>
  <si>
    <t>2019-07-23/2020-01-23</t>
  </si>
  <si>
    <t>ADIE</t>
  </si>
  <si>
    <t>35221687300015.0</t>
  </si>
  <si>
    <t>2019-08-22</t>
  </si>
  <si>
    <t>2019/418</t>
  </si>
  <si>
    <t>LES DETRITIVORES</t>
  </si>
  <si>
    <t>81292453800018.0</t>
  </si>
  <si>
    <t>action déchets</t>
  </si>
  <si>
    <t>50000</t>
  </si>
  <si>
    <t>2019-08-22/2020-02-22</t>
  </si>
  <si>
    <t>2019-08-26</t>
  </si>
  <si>
    <t>2019/390</t>
  </si>
  <si>
    <t>SEMER LE DOUTE</t>
  </si>
  <si>
    <t>53389682500023.0</t>
  </si>
  <si>
    <t>Festival FIFIB</t>
  </si>
  <si>
    <t>2019-08-26/2020-02-26</t>
  </si>
  <si>
    <t>2019-11-15</t>
  </si>
  <si>
    <t>2019-10-17</t>
  </si>
  <si>
    <t>2019/582</t>
  </si>
  <si>
    <t>URHAJ NOUVELLE AQUITAINE</t>
  </si>
  <si>
    <t>82791162900018.0</t>
  </si>
  <si>
    <t>69000</t>
  </si>
  <si>
    <t>2019-10-17/2020-04-17</t>
  </si>
  <si>
    <t>2019-10-31</t>
  </si>
  <si>
    <t>2019/489</t>
  </si>
  <si>
    <t>AEROSPACE VALLEY</t>
  </si>
  <si>
    <t>48428452600072.0</t>
  </si>
  <si>
    <t>90000</t>
  </si>
  <si>
    <t>2019-10-31/2020-04-31</t>
  </si>
  <si>
    <t>2019-11-12</t>
  </si>
  <si>
    <t>2019/594</t>
  </si>
  <si>
    <t>FESTIVAL INTERNATIONAL</t>
  </si>
  <si>
    <t>37914022100019.0</t>
  </si>
  <si>
    <t>Festival du film d'histoire</t>
  </si>
  <si>
    <t>2019-11-12/2020-05-12</t>
  </si>
  <si>
    <t>2018-03-12</t>
  </si>
  <si>
    <t>2017/799</t>
  </si>
  <si>
    <t>BMSL</t>
  </si>
  <si>
    <t>39484466600013.0</t>
  </si>
  <si>
    <t>88000</t>
  </si>
  <si>
    <t>2018-03-12/2018-09-12</t>
  </si>
  <si>
    <t>2018-12-10</t>
  </si>
  <si>
    <t>2018/597</t>
  </si>
  <si>
    <t>NANTES SUMMERCAMP</t>
  </si>
  <si>
    <t>81195928700012.0</t>
  </si>
  <si>
    <t>SOFILM</t>
  </si>
  <si>
    <t>225000</t>
  </si>
  <si>
    <t>2018-12-10/2019-06-10</t>
  </si>
  <si>
    <t>2018/601</t>
  </si>
  <si>
    <t>LE LIVRE VERT</t>
  </si>
  <si>
    <t>79493089100013.0</t>
  </si>
  <si>
    <t>investissement</t>
  </si>
  <si>
    <t>2019-01-17</t>
  </si>
  <si>
    <t>2018/678</t>
  </si>
  <si>
    <t>CARREFOURS POUR L'EMPLOI</t>
  </si>
  <si>
    <t>43294548300035.0</t>
  </si>
  <si>
    <t>18000</t>
  </si>
  <si>
    <t>2019-01-17/2019-07-17</t>
  </si>
  <si>
    <t>2018-09-24</t>
  </si>
  <si>
    <t>2015/488</t>
  </si>
  <si>
    <t>SIMOREP ET CIE</t>
  </si>
  <si>
    <t>32852574600017.0</t>
  </si>
  <si>
    <t>investissement projet butterfly</t>
  </si>
  <si>
    <t>400000</t>
  </si>
  <si>
    <t>2018-09-24/2019-03-24</t>
  </si>
  <si>
    <t>2018/666</t>
  </si>
  <si>
    <t>Fête de la science</t>
  </si>
  <si>
    <t>POLA</t>
  </si>
  <si>
    <t>44433758800040.0</t>
  </si>
  <si>
    <t>114000</t>
  </si>
  <si>
    <t>2019/65</t>
  </si>
  <si>
    <t>OFFICE TOURISME &amp; CONGRES BORDEAUX</t>
  </si>
  <si>
    <t>78180455400017.0</t>
  </si>
  <si>
    <t>3000000</t>
  </si>
  <si>
    <t>2019-03-07</t>
  </si>
  <si>
    <t>2019/64</t>
  </si>
  <si>
    <t>MAISON EMPLOI INSERT ECO ENTREP.</t>
  </si>
  <si>
    <t>230000</t>
  </si>
  <si>
    <t>2019-03-07/2019-09-07</t>
  </si>
  <si>
    <t>2019/92</t>
  </si>
  <si>
    <t>déploiement PCAET</t>
  </si>
  <si>
    <t>82800</t>
  </si>
  <si>
    <t>2019-02-18</t>
  </si>
  <si>
    <t>2019/66</t>
  </si>
  <si>
    <t>AGENCE DEVELOPPEMENT TOURISTIQUE</t>
  </si>
  <si>
    <t>78184375000048.0</t>
  </si>
  <si>
    <t>180000</t>
  </si>
  <si>
    <t>2019-02-18/2019-08-18</t>
  </si>
  <si>
    <t>2019-02-15</t>
  </si>
  <si>
    <t>2019/77</t>
  </si>
  <si>
    <t>MÉMOIRE DE BORDEAUX</t>
  </si>
  <si>
    <t>34221545600043.0</t>
  </si>
  <si>
    <t>91379</t>
  </si>
  <si>
    <t>2019-02-15/2019-08-15</t>
  </si>
  <si>
    <t>2019/60</t>
  </si>
  <si>
    <t>ASSO.EUROPEENNE DU FILM ANIMATION</t>
  </si>
  <si>
    <t>50907979400012.0</t>
  </si>
  <si>
    <t>CARTOON MOVIE</t>
  </si>
  <si>
    <t>150000</t>
  </si>
  <si>
    <t>2019/68</t>
  </si>
  <si>
    <t>LA PLANCHE</t>
  </si>
  <si>
    <t>84474944000013.0</t>
  </si>
  <si>
    <t>Investissement tiers lieu</t>
  </si>
  <si>
    <t>27500</t>
  </si>
  <si>
    <t>2019-04-02/2019-10-02</t>
  </si>
  <si>
    <t>2019-04-01</t>
  </si>
  <si>
    <t>2019/172</t>
  </si>
  <si>
    <t>ADEM</t>
  </si>
  <si>
    <t>39811228400011.0</t>
  </si>
  <si>
    <t>DECASTAR</t>
  </si>
  <si>
    <t>58000</t>
  </si>
  <si>
    <t>2019-04-01/2019-10-01</t>
  </si>
  <si>
    <t>2019-04-24</t>
  </si>
  <si>
    <t>SAMPE France</t>
  </si>
  <si>
    <t>48428659600032.0</t>
  </si>
  <si>
    <t>Action journées techniques</t>
  </si>
  <si>
    <t>2019-04-24/2019-10-24</t>
  </si>
  <si>
    <t>2019/247</t>
  </si>
  <si>
    <t>VELO CITE</t>
  </si>
  <si>
    <t>43288382500031.0</t>
  </si>
  <si>
    <t>FETE DU VELO</t>
  </si>
  <si>
    <t>L'ORANGEADE</t>
  </si>
  <si>
    <t>80016249700039.0</t>
  </si>
  <si>
    <t>YES WE CAMP</t>
  </si>
  <si>
    <t>78942066800012.0</t>
  </si>
  <si>
    <t>10000</t>
  </si>
  <si>
    <t>BORDEAUX OPEN AIR</t>
  </si>
  <si>
    <t>82135493300011.0</t>
  </si>
  <si>
    <t>LES ASSOCIES CREW</t>
  </si>
  <si>
    <t>49206573500028.0</t>
  </si>
  <si>
    <t>8826</t>
  </si>
  <si>
    <t>COOP ALPHA</t>
  </si>
  <si>
    <t>48237148100029.0</t>
  </si>
  <si>
    <t>52000</t>
  </si>
  <si>
    <t>2019-06-11</t>
  </si>
  <si>
    <t>35221687300211.0</t>
  </si>
  <si>
    <t>2019-06-11/2019-12-11</t>
  </si>
  <si>
    <t>2019/187</t>
  </si>
  <si>
    <t>INVEST IN BORDEAUX</t>
  </si>
  <si>
    <t>40919981700050.0</t>
  </si>
  <si>
    <t>487775</t>
  </si>
  <si>
    <t>FRANCE ACTIVE</t>
  </si>
  <si>
    <t>45154609700028.0</t>
  </si>
  <si>
    <t>41250</t>
  </si>
  <si>
    <t>2019-04-16</t>
  </si>
  <si>
    <t>HAPANA</t>
  </si>
  <si>
    <t>81752354100016.0</t>
  </si>
  <si>
    <t>Action habitat</t>
  </si>
  <si>
    <t>3000</t>
  </si>
  <si>
    <t>2019-04-16/2019-10-16</t>
  </si>
  <si>
    <t>1000</t>
  </si>
  <si>
    <t>2019-06-17</t>
  </si>
  <si>
    <t>2019/264</t>
  </si>
  <si>
    <t>PASSAGE A L'ART</t>
  </si>
  <si>
    <t>48438218900021.0</t>
  </si>
  <si>
    <t>Manifestation "faire des bulles"</t>
  </si>
  <si>
    <t>15200</t>
  </si>
  <si>
    <t>2019-06-17/2019-12-17</t>
  </si>
  <si>
    <t>2019-06-26</t>
  </si>
  <si>
    <t>2019/274</t>
  </si>
  <si>
    <t>ATIS</t>
  </si>
  <si>
    <t>52289609100033.0</t>
  </si>
  <si>
    <t>Start up de territoire</t>
  </si>
  <si>
    <t>2019-06-26/2019-12-26</t>
  </si>
  <si>
    <t>2019/294</t>
  </si>
  <si>
    <t>ASSO EIPF</t>
  </si>
  <si>
    <t>33230399900079.0</t>
  </si>
  <si>
    <t>Investissement ESS</t>
  </si>
  <si>
    <t>30000</t>
  </si>
  <si>
    <t>Investissement sur outils financiers</t>
  </si>
  <si>
    <t>2019-06-25</t>
  </si>
  <si>
    <t>2019/318</t>
  </si>
  <si>
    <t>2019-06-25/2019-12-25</t>
  </si>
  <si>
    <t>ARC SUD DEVELOPPEMENT</t>
  </si>
  <si>
    <t>42198523500017.0</t>
  </si>
  <si>
    <t>2019-07-05</t>
  </si>
  <si>
    <t>2019/206</t>
  </si>
  <si>
    <t>ADELE</t>
  </si>
  <si>
    <t>43383594000027.0</t>
  </si>
  <si>
    <t>PLIE DES GRAVES</t>
  </si>
  <si>
    <t>2019-07-05/2020-01-05</t>
  </si>
  <si>
    <t>2019-07-12</t>
  </si>
  <si>
    <t>2019/297</t>
  </si>
  <si>
    <t>ENT'AUTRES</t>
  </si>
  <si>
    <t>80041897200017.0</t>
  </si>
  <si>
    <t>Investissement Le Local</t>
  </si>
  <si>
    <t>2019-07-12/2020-01-12</t>
  </si>
  <si>
    <t>2019-08-07</t>
  </si>
  <si>
    <t>OVERGROUND</t>
  </si>
  <si>
    <t>79981016300011.0</t>
  </si>
  <si>
    <t>5800</t>
  </si>
  <si>
    <t>2019-08-07/2020-02-07</t>
  </si>
  <si>
    <t>2019-07-09</t>
  </si>
  <si>
    <t>2019-07-09/2020-01-09</t>
  </si>
  <si>
    <t>CLAP SUD OUEST</t>
  </si>
  <si>
    <t>40228354300070.0</t>
  </si>
  <si>
    <t>33000</t>
  </si>
  <si>
    <t>ADSI TECHNOWEST</t>
  </si>
  <si>
    <t>43403882400042.0</t>
  </si>
  <si>
    <t>OIM action emploi</t>
  </si>
  <si>
    <t>2019-10-21</t>
  </si>
  <si>
    <t>2019/350</t>
  </si>
  <si>
    <t>MEBA</t>
  </si>
  <si>
    <t>51779186900012.0</t>
  </si>
  <si>
    <t>56400</t>
  </si>
  <si>
    <t>2019-10-21/2020-04-21</t>
  </si>
  <si>
    <t>Action spécifique dével. Outil numérique</t>
  </si>
  <si>
    <t>2018-07-17</t>
  </si>
  <si>
    <t>2018/288</t>
  </si>
  <si>
    <t>ASSO LEONARD DE VINCI</t>
  </si>
  <si>
    <t>40285022600018.0</t>
  </si>
  <si>
    <t>Big Data</t>
  </si>
  <si>
    <t>2018-07-17/2019-01-17</t>
  </si>
  <si>
    <t>2018-09-20</t>
  </si>
  <si>
    <t>2018/40</t>
  </si>
  <si>
    <t>TERRE D'ADELE</t>
  </si>
  <si>
    <t>48782378300013.0</t>
  </si>
  <si>
    <t>2018-09-20/2019-03-20</t>
  </si>
  <si>
    <t>2018-12-20</t>
  </si>
  <si>
    <t>2018/570</t>
  </si>
  <si>
    <t>SOLIHA SOLIDAIRE HABITAT</t>
  </si>
  <si>
    <t>78184854400032.0</t>
  </si>
  <si>
    <t>216000</t>
  </si>
  <si>
    <t>2018-12-20/2019-06-20</t>
  </si>
  <si>
    <t>2019-01-15</t>
  </si>
  <si>
    <t>2018/649</t>
  </si>
  <si>
    <t>AGENCE QUALITE CONSTRUCTION AQC</t>
  </si>
  <si>
    <t>32721569500047.0</t>
  </si>
  <si>
    <t>Bien construire</t>
  </si>
  <si>
    <t>2019-01-15/2019-07-15</t>
  </si>
  <si>
    <t>2018-11-28</t>
  </si>
  <si>
    <t>2018/667</t>
  </si>
  <si>
    <t>AQUINETIC</t>
  </si>
  <si>
    <t>51482209700028.0</t>
  </si>
  <si>
    <t>manifestation B BOOST</t>
  </si>
  <si>
    <t>2018-11-28/2019-05-28</t>
  </si>
  <si>
    <t>2018/841</t>
  </si>
  <si>
    <t>LES RESTAURANTS DU CŒUR</t>
  </si>
  <si>
    <t>33986341700418.0</t>
  </si>
  <si>
    <t>concert "Les Enfoirés"</t>
  </si>
  <si>
    <t>2019-02-19/2019-08-19</t>
  </si>
  <si>
    <t>2019-02-11</t>
  </si>
  <si>
    <t>ESCALES LITTERAIRES</t>
  </si>
  <si>
    <t>34426475900046.0</t>
  </si>
  <si>
    <t>Escales du livre</t>
  </si>
  <si>
    <t>2019-02-11/2019-08-11</t>
  </si>
  <si>
    <t>2019/63</t>
  </si>
  <si>
    <t>AFEPT</t>
  </si>
  <si>
    <t>30016423300029.0</t>
  </si>
  <si>
    <t>2019-02-04</t>
  </si>
  <si>
    <t>PARALLELES ATTITUDE DIFFUSION</t>
  </si>
  <si>
    <t>35011886500017.0</t>
  </si>
  <si>
    <t>carnaval des 2 rives</t>
  </si>
  <si>
    <t>2019-02-04/2019-08-04</t>
  </si>
  <si>
    <t>2019-02-12</t>
  </si>
  <si>
    <t>festival Hauts de garonne</t>
  </si>
  <si>
    <t>2019-02-12/2019-08-12</t>
  </si>
  <si>
    <t>2019-02-27</t>
  </si>
  <si>
    <t>2019/7</t>
  </si>
  <si>
    <t>JUMPING INTERNATIONAL</t>
  </si>
  <si>
    <t>42052348000016.0</t>
  </si>
  <si>
    <t>Jumping</t>
  </si>
  <si>
    <t>34000</t>
  </si>
  <si>
    <t>2019-02-27/2019-08-27</t>
  </si>
  <si>
    <t>2019-02-25</t>
  </si>
  <si>
    <t>LES ARTS AU MUR</t>
  </si>
  <si>
    <t>43434085700037.0</t>
  </si>
  <si>
    <t>Arthothèque</t>
  </si>
  <si>
    <t>2019-02-25/2019-08-25</t>
  </si>
  <si>
    <t>ASSO FESTIVAL ODP</t>
  </si>
  <si>
    <t>82343035000012.0</t>
  </si>
  <si>
    <t>Festival ODP codev</t>
  </si>
  <si>
    <t>2019-04-19</t>
  </si>
  <si>
    <t>2019/106</t>
  </si>
  <si>
    <t>CCI BORDEAUX GIRONDE</t>
  </si>
  <si>
    <t>13002285800018.0</t>
  </si>
  <si>
    <t>Fonds de soutien aux commerçants</t>
  </si>
  <si>
    <t>500000</t>
  </si>
  <si>
    <t>2019-04-19/2019-10-19</t>
  </si>
  <si>
    <t>2019-05-02</t>
  </si>
  <si>
    <t>2018/763</t>
  </si>
  <si>
    <t>CREAQ</t>
  </si>
  <si>
    <t>41993219900021.0</t>
  </si>
  <si>
    <t>Appel à projet ZZZ zéro déchets</t>
  </si>
  <si>
    <t>2019-05-02/2019-11-02</t>
  </si>
  <si>
    <t>2019-03-22</t>
  </si>
  <si>
    <t>2019/143</t>
  </si>
  <si>
    <t>CLUB CAP COM</t>
  </si>
  <si>
    <t>78886877600022.0</t>
  </si>
  <si>
    <t>FORUM</t>
  </si>
  <si>
    <t>2019-03-22/2019-09-22</t>
  </si>
  <si>
    <t>2019-04-30</t>
  </si>
  <si>
    <t>2019/165</t>
  </si>
  <si>
    <t>LEON A VELO</t>
  </si>
  <si>
    <t>82959066000017.0</t>
  </si>
  <si>
    <t>2019-04-30/2019-10-30</t>
  </si>
  <si>
    <t>2019-05-22</t>
  </si>
  <si>
    <t>GANG OF FOOD</t>
  </si>
  <si>
    <t>83273861100017.0</t>
  </si>
  <si>
    <t>ÉTÉ METROPOLITAIN</t>
  </si>
  <si>
    <t>22310</t>
  </si>
  <si>
    <t>2019-05-22/2019-11-22</t>
  </si>
  <si>
    <t>2019-05-24</t>
  </si>
  <si>
    <t>125000</t>
  </si>
  <si>
    <t>2019-05-24/2019-11-24</t>
  </si>
  <si>
    <t>MONTS ET MERVEILLES</t>
  </si>
  <si>
    <t>51066013700033.0</t>
  </si>
  <si>
    <t>6700</t>
  </si>
  <si>
    <t>PLIE</t>
  </si>
  <si>
    <t>ESS Emergence entreprises</t>
  </si>
  <si>
    <t>42750</t>
  </si>
  <si>
    <t>228000</t>
  </si>
  <si>
    <t>programme d'actions</t>
  </si>
  <si>
    <t>2019-06-07</t>
  </si>
  <si>
    <t>COAEQUO</t>
  </si>
  <si>
    <t>83122049600010.0</t>
  </si>
  <si>
    <t>SMAC d'agglo</t>
  </si>
  <si>
    <t>2019-06-07/2019-12-07</t>
  </si>
  <si>
    <t>2019/256</t>
  </si>
  <si>
    <t>IDDAC</t>
  </si>
  <si>
    <t>38389023300026.0</t>
  </si>
  <si>
    <t>17500</t>
  </si>
  <si>
    <t>HAUTS DE GARONNE</t>
  </si>
  <si>
    <t>34975346700043.0</t>
  </si>
  <si>
    <t>45000</t>
  </si>
  <si>
    <t>2019-07-02</t>
  </si>
  <si>
    <t>2019/276</t>
  </si>
  <si>
    <t>DIGITAL AQUITAINE</t>
  </si>
  <si>
    <t>80961975200011.0</t>
  </si>
  <si>
    <t>2019-07-02/2020-01-02</t>
  </si>
  <si>
    <t>2019/273</t>
  </si>
  <si>
    <t>FETE DU FLEUVE</t>
  </si>
  <si>
    <t>141000</t>
  </si>
  <si>
    <t>2019/186</t>
  </si>
  <si>
    <t>VILLA PRIMROSE</t>
  </si>
  <si>
    <t>78187611500010.0</t>
  </si>
  <si>
    <t>2019/381</t>
  </si>
  <si>
    <t>ARC EN REVE</t>
  </si>
  <si>
    <t>32123703400012.0</t>
  </si>
  <si>
    <t>407253</t>
  </si>
  <si>
    <t>L'ATELIER REMUMENAGE</t>
  </si>
  <si>
    <t>33483378700011.0</t>
  </si>
  <si>
    <t>4000</t>
  </si>
  <si>
    <t>FESTIVAL DES ARTS DE BORDEAUX</t>
  </si>
  <si>
    <t>44336259500037.0</t>
  </si>
  <si>
    <t>Festival des arts</t>
  </si>
  <si>
    <t>160000</t>
  </si>
  <si>
    <t>Festival Relache</t>
  </si>
  <si>
    <t>MELI MEL'ARTS</t>
  </si>
  <si>
    <t>52425936300017.0</t>
  </si>
  <si>
    <t>Festival</t>
  </si>
  <si>
    <t>2019/391</t>
  </si>
  <si>
    <t>AMANIEU DE BOULIAC</t>
  </si>
  <si>
    <t>42283936500018.0</t>
  </si>
  <si>
    <t>Médiévales</t>
  </si>
  <si>
    <t>6500</t>
  </si>
  <si>
    <t>2019-10-24</t>
  </si>
  <si>
    <t>2019/532</t>
  </si>
  <si>
    <t>RESTAURANTS DU CŒUR</t>
  </si>
  <si>
    <t>37954994200025.0</t>
  </si>
  <si>
    <t>2019-10-24/2020-04-24</t>
  </si>
  <si>
    <t>2019-10-25</t>
  </si>
  <si>
    <t>Le bon goût</t>
  </si>
  <si>
    <t>2019-10-25/2020-04-25</t>
  </si>
  <si>
    <t>2019-11-05</t>
  </si>
  <si>
    <t>BANQUE ALIMENTAIRE DE BORDEAUX</t>
  </si>
  <si>
    <t>34063725500027.0</t>
  </si>
  <si>
    <t>2019-11-05/2020-05-05</t>
  </si>
  <si>
    <t>Action spécifique plateforme linguistique</t>
  </si>
  <si>
    <t>24000</t>
  </si>
  <si>
    <t>2020-01-23</t>
  </si>
  <si>
    <t>24330031600000.0</t>
  </si>
  <si>
    <t>2019/648</t>
  </si>
  <si>
    <t>SEB STE ENCOURAGEMENT DE BORDEAUX</t>
  </si>
  <si>
    <t>78184354500000.0</t>
  </si>
  <si>
    <t>158178</t>
  </si>
  <si>
    <t>2019-11-15/2020-05-15</t>
  </si>
  <si>
    <t>2019-12-12</t>
  </si>
  <si>
    <t>2019/737</t>
  </si>
  <si>
    <t>LE GARAGE MODERNE</t>
  </si>
  <si>
    <t>43470528100000.0</t>
  </si>
  <si>
    <t>FAJ fonds aide aux jeunes</t>
  </si>
  <si>
    <t>2019-12-12/2020-06-12</t>
  </si>
  <si>
    <t>2019-12-17</t>
  </si>
  <si>
    <t>2019/529</t>
  </si>
  <si>
    <t>STARWAY</t>
  </si>
  <si>
    <t>75313370100000.0</t>
  </si>
  <si>
    <t>Investissement espace coworking</t>
  </si>
  <si>
    <t>60000</t>
  </si>
  <si>
    <t>2019-12-17/2020-06-17</t>
  </si>
  <si>
    <t>2019-12-16</t>
  </si>
  <si>
    <t>2019/748</t>
  </si>
  <si>
    <t>COMPAGNIE DES MARCHES DE L'ÉTÉ</t>
  </si>
  <si>
    <t>32848008200100.0</t>
  </si>
  <si>
    <t>codev 30/30 rencontres forme courte</t>
  </si>
  <si>
    <t>2019-12-16/2020-06-16</t>
  </si>
  <si>
    <t>2020-01-02</t>
  </si>
  <si>
    <t>ASSOCIATION ESPRIT DE CORPS</t>
  </si>
  <si>
    <t>42008956700000.0</t>
  </si>
  <si>
    <t>codev</t>
  </si>
  <si>
    <t>2020-01-02/2020-07-02</t>
  </si>
  <si>
    <t>2019-12-24</t>
  </si>
  <si>
    <t>2019/692</t>
  </si>
  <si>
    <t>52539664400000.0</t>
  </si>
  <si>
    <t>Animation commerciale</t>
  </si>
  <si>
    <t>25833</t>
  </si>
  <si>
    <t>2019-12-24/2020-06-24</t>
  </si>
  <si>
    <t>2020-02-26</t>
  </si>
  <si>
    <t>2019-12-29</t>
  </si>
  <si>
    <t>2019/831</t>
  </si>
  <si>
    <t>FONDATION BERGONIE</t>
  </si>
  <si>
    <t>80184893800000.0</t>
  </si>
  <si>
    <t>Prix Josy Reiffers 2019</t>
  </si>
  <si>
    <t>2019-12-29/2020-06-29</t>
  </si>
  <si>
    <t>2020-01-10</t>
  </si>
  <si>
    <t>2019/833</t>
  </si>
  <si>
    <t>MAISON DE NATURE ET ENVIRONNEMENT MNE</t>
  </si>
  <si>
    <t>40305516300000.0</t>
  </si>
  <si>
    <t>Action quartier ZZZ déchets</t>
  </si>
  <si>
    <t>2020-01-10/2020-07-10</t>
  </si>
  <si>
    <t>2020-04-08</t>
  </si>
  <si>
    <t>2020-02-14</t>
  </si>
  <si>
    <t>2020/54</t>
  </si>
  <si>
    <t>FUBICY</t>
  </si>
  <si>
    <t>40767625300000.0</t>
  </si>
  <si>
    <t>20e congrès</t>
  </si>
  <si>
    <t>2020-02-14/2020-08-14</t>
  </si>
  <si>
    <t>2020-03-05</t>
  </si>
  <si>
    <t>2020/76</t>
  </si>
  <si>
    <t>48428452600100.0</t>
  </si>
  <si>
    <t>2020-03-05/2020-09-05</t>
  </si>
  <si>
    <t>2020-03-11</t>
  </si>
  <si>
    <t>2020/78</t>
  </si>
  <si>
    <t>ASSO EUROPEENNE DU FILM D'ANIMATION</t>
  </si>
  <si>
    <t>50907979400000.0</t>
  </si>
  <si>
    <t>Cartoon moovies</t>
  </si>
  <si>
    <t>2020-03-11/2020-09-11</t>
  </si>
  <si>
    <t>2020/32</t>
  </si>
  <si>
    <t>39811228400000.0</t>
  </si>
  <si>
    <t>Décastar</t>
  </si>
  <si>
    <t>2020-03-03</t>
  </si>
  <si>
    <t>2020/63</t>
  </si>
  <si>
    <t>AGEC &amp; CO</t>
  </si>
  <si>
    <t>49848483100000.0</t>
  </si>
  <si>
    <t>SMAC agglo scènes musiques actuelles</t>
  </si>
  <si>
    <t>2020-03-03/2020-09-03</t>
  </si>
  <si>
    <t>2020-03-26</t>
  </si>
  <si>
    <t>2020/132</t>
  </si>
  <si>
    <t>LA FABRIQUE POLA</t>
  </si>
  <si>
    <t>44433758800000.0</t>
  </si>
  <si>
    <t>2020-03-26/2020-09-26</t>
  </si>
  <si>
    <t>2020-03-27</t>
  </si>
  <si>
    <t>2020/101</t>
  </si>
  <si>
    <t>52289609100000.0</t>
  </si>
  <si>
    <t>2020-03-27/2020-09-27</t>
  </si>
  <si>
    <t>2020/65</t>
  </si>
  <si>
    <t>LE CARRE-COLONNES</t>
  </si>
  <si>
    <t>52257430000000.0</t>
  </si>
  <si>
    <t>Festival Echappée Belle</t>
  </si>
  <si>
    <t>2020-03-31</t>
  </si>
  <si>
    <t>FRANCE ACTIVE AQUITAINE</t>
  </si>
  <si>
    <t>45154609700000.0</t>
  </si>
  <si>
    <t>Programme actions ESS/TPE</t>
  </si>
  <si>
    <t>2020-03-31/2020-09-30</t>
  </si>
  <si>
    <t>2020-04-06</t>
  </si>
  <si>
    <t>2020/72</t>
  </si>
  <si>
    <t>MAISON DE L'EMPLOI (MDE)</t>
  </si>
  <si>
    <t>49058526200100.0</t>
  </si>
  <si>
    <t>Programme d'actions et PLIE</t>
  </si>
  <si>
    <t>2020-04-06/2020-10-06</t>
  </si>
  <si>
    <t>2020-06-02</t>
  </si>
  <si>
    <t>2020-02-25</t>
  </si>
  <si>
    <t>2019/821</t>
  </si>
  <si>
    <t>WIMOOV</t>
  </si>
  <si>
    <t>42213614300100.0</t>
  </si>
  <si>
    <t>2 actions dévelop. de mobilité</t>
  </si>
  <si>
    <t>2020-02-25/2020-08-25</t>
  </si>
  <si>
    <t>2020-05-11</t>
  </si>
  <si>
    <t>2020/59</t>
  </si>
  <si>
    <t>2020-05-11/2020-11-11</t>
  </si>
  <si>
    <t>2020-02-20</t>
  </si>
  <si>
    <t>2020/112</t>
  </si>
  <si>
    <t>LE PARTENARIAT</t>
  </si>
  <si>
    <t>32500114700000.0</t>
  </si>
  <si>
    <t>Appel à projet international solidarité eau</t>
  </si>
  <si>
    <t>2020-02-20/2020-08-20</t>
  </si>
  <si>
    <t>2020/134</t>
  </si>
  <si>
    <t>ASSOCIATION GRET</t>
  </si>
  <si>
    <t>30912305700100.0</t>
  </si>
  <si>
    <t>AP international solidarité eau MAURITANIE</t>
  </si>
  <si>
    <t>2020-08-25</t>
  </si>
  <si>
    <t>2020-06-09</t>
  </si>
  <si>
    <t>2020/BM 0418</t>
  </si>
  <si>
    <t>ASSOCIATION SEW &amp; LAINE</t>
  </si>
  <si>
    <t>53454877100000.0</t>
  </si>
  <si>
    <t>Fabrication de masques</t>
  </si>
  <si>
    <t>211950</t>
  </si>
  <si>
    <t>2020-06-09/2020-12-09</t>
  </si>
  <si>
    <t>2020-06-10</t>
  </si>
  <si>
    <t>2020/BM 0402</t>
  </si>
  <si>
    <t>53389682500000.0</t>
  </si>
  <si>
    <t>FIFIB</t>
  </si>
  <si>
    <t>2020-06-10/2020-12-10</t>
  </si>
  <si>
    <t>2020-06-25</t>
  </si>
  <si>
    <t>34169319000000.0</t>
  </si>
  <si>
    <t>Les inédits de l'été E.M.</t>
  </si>
  <si>
    <t>28000</t>
  </si>
  <si>
    <t>2020-06-25/2020-12-25</t>
  </si>
  <si>
    <t>2020-12-01</t>
  </si>
  <si>
    <t>2020-09-14</t>
  </si>
  <si>
    <t>2020/195</t>
  </si>
  <si>
    <t>COMPAGNONS BATISSEURS AQUITAINE</t>
  </si>
  <si>
    <t>48856661300000.0</t>
  </si>
  <si>
    <t>Politique de la ville</t>
  </si>
  <si>
    <t>23150</t>
  </si>
  <si>
    <t>2020-09-14/2021-03-14</t>
  </si>
  <si>
    <t>2020-09-30</t>
  </si>
  <si>
    <t>2020/306</t>
  </si>
  <si>
    <t>51779186900000.0</t>
  </si>
  <si>
    <t>Programme activités</t>
  </si>
  <si>
    <t>54500</t>
  </si>
  <si>
    <t>2020-09-30/2021-03-30</t>
  </si>
  <si>
    <t>2020-11-24</t>
  </si>
  <si>
    <t>2020/225</t>
  </si>
  <si>
    <t>Formaero 2020</t>
  </si>
  <si>
    <t>2020-11-24/2021-05-24</t>
  </si>
  <si>
    <t>2020-11-26</t>
  </si>
  <si>
    <t>2020/397</t>
  </si>
  <si>
    <t>CRISTOPH HUTIN ARCHITECTURE</t>
  </si>
  <si>
    <t>79739136400000.0</t>
  </si>
  <si>
    <t>Biennale archi Venise</t>
  </si>
  <si>
    <t>37500</t>
  </si>
  <si>
    <t>2020-11-26/2021-05-26</t>
  </si>
  <si>
    <t>2019/616</t>
  </si>
  <si>
    <t>MVT FRANCAIS PLANNING FAMILIAL</t>
  </si>
  <si>
    <t>31611221800100.0</t>
  </si>
  <si>
    <t>8900</t>
  </si>
  <si>
    <t>2019/687</t>
  </si>
  <si>
    <t>21450</t>
  </si>
  <si>
    <t>2019/730</t>
  </si>
  <si>
    <t>39819156900000.0</t>
  </si>
  <si>
    <t>2019/688</t>
  </si>
  <si>
    <t>Aide pour création assos commerciales</t>
  </si>
  <si>
    <t>2020-01-23/2020-07-23</t>
  </si>
  <si>
    <t>2020-01-27</t>
  </si>
  <si>
    <t>2019/755</t>
  </si>
  <si>
    <t>39061052500000.0</t>
  </si>
  <si>
    <t>Salon AQUITEC</t>
  </si>
  <si>
    <t>21000</t>
  </si>
  <si>
    <t>2020-01-27/2020-07-27</t>
  </si>
  <si>
    <t>2020-01-30</t>
  </si>
  <si>
    <t>2019/615</t>
  </si>
  <si>
    <t>GARAGE MODERNE</t>
  </si>
  <si>
    <t>ESS Fonctionnement</t>
  </si>
  <si>
    <t>2020-01-30/2020-07-30</t>
  </si>
  <si>
    <t>2020-02-06</t>
  </si>
  <si>
    <t>2019/776</t>
  </si>
  <si>
    <t>34221545600000.0</t>
  </si>
  <si>
    <t>Mise à disposition d'un agent</t>
  </si>
  <si>
    <t>23421</t>
  </si>
  <si>
    <t>2020-02-06/2020-08-06</t>
  </si>
  <si>
    <t>2020-01-22</t>
  </si>
  <si>
    <t>2019/533</t>
  </si>
  <si>
    <t>COOPERATIVE FUNERAIRE SYPRES</t>
  </si>
  <si>
    <t>85240874900000.0</t>
  </si>
  <si>
    <t>ESS aide à investis. Immobilier (local)</t>
  </si>
  <si>
    <t>8594</t>
  </si>
  <si>
    <t>2020-01-22/2020-07-22</t>
  </si>
  <si>
    <t>Festival Hauts de garonne</t>
  </si>
  <si>
    <t>2020-03-16</t>
  </si>
  <si>
    <t>83122049600000.0</t>
  </si>
  <si>
    <t>2020-03-16/2020-09-16</t>
  </si>
  <si>
    <t>2020-03-13</t>
  </si>
  <si>
    <t>2020/106</t>
  </si>
  <si>
    <t>CRIJNA (centre rég.d'info. Jeunesse Nelle Aquit.)</t>
  </si>
  <si>
    <t>30733663600000.0</t>
  </si>
  <si>
    <t>30400</t>
  </si>
  <si>
    <t>2020-03-13/2020-09-13</t>
  </si>
  <si>
    <t>2020-03-04</t>
  </si>
  <si>
    <t>2020/108</t>
  </si>
  <si>
    <t>2020-03-04/2020-09-04</t>
  </si>
  <si>
    <t>2019-12-23</t>
  </si>
  <si>
    <t>2019/836</t>
  </si>
  <si>
    <t>Journées Diasporas Africaines</t>
  </si>
  <si>
    <t>2019-12-23/2020-06-23</t>
  </si>
  <si>
    <t>2020-03-25</t>
  </si>
  <si>
    <t>Festival intern. du film indépendant de Bordeaux</t>
  </si>
  <si>
    <t>2020-03-25/2020-09-25</t>
  </si>
  <si>
    <t>41900910500000.0</t>
  </si>
  <si>
    <t>2020-04-07</t>
  </si>
  <si>
    <t>2020/53</t>
  </si>
  <si>
    <t>78181448800000.0</t>
  </si>
  <si>
    <t>2020-04-07/2020-10-07</t>
  </si>
  <si>
    <t>2020-04-10</t>
  </si>
  <si>
    <t>2020/BM 0361</t>
  </si>
  <si>
    <t>BANQUE ALIMENTAIRE</t>
  </si>
  <si>
    <t>34063725500000.0</t>
  </si>
  <si>
    <t>2020-04-10/2020-10-10</t>
  </si>
  <si>
    <t>42283936500000.0</t>
  </si>
  <si>
    <t>Les médiévales de Bouliac</t>
  </si>
  <si>
    <t>2020/71</t>
  </si>
  <si>
    <t>42198523500000.0</t>
  </si>
  <si>
    <t>Actions dévelop. économique local</t>
  </si>
  <si>
    <t>2020-03-12</t>
  </si>
  <si>
    <t>OSONS ICI ET MAINTENANT</t>
  </si>
  <si>
    <t>81016086100000.0</t>
  </si>
  <si>
    <t>2020-03-12/2020-09-12</t>
  </si>
  <si>
    <t>2020/58</t>
  </si>
  <si>
    <t>41993219900000.0</t>
  </si>
  <si>
    <t>FESTIVAL INTERNATIONAL DES ARTS FAB</t>
  </si>
  <si>
    <t>44336259500000.0</t>
  </si>
  <si>
    <t>ASSOCIATION EAU POUR LA VIE</t>
  </si>
  <si>
    <t>50449400600000.0</t>
  </si>
  <si>
    <t>AP international solidarité eau BENIN</t>
  </si>
  <si>
    <t>2020/2</t>
  </si>
  <si>
    <t>81831326400000.0</t>
  </si>
  <si>
    <t>214000</t>
  </si>
  <si>
    <t>L'ARBRE A PALABRES APV</t>
  </si>
  <si>
    <t>82234558300000.0</t>
  </si>
  <si>
    <t>AP international solidarité eau TOGO</t>
  </si>
  <si>
    <t>ID DEVELOPPEMENT</t>
  </si>
  <si>
    <t>39459802300000.0</t>
  </si>
  <si>
    <t>AP international solidarité eau TAHITI</t>
  </si>
  <si>
    <t>2020-09-09</t>
  </si>
  <si>
    <t>2020/153</t>
  </si>
  <si>
    <t>37781852100000.0</t>
  </si>
  <si>
    <t>Journées UAV Days</t>
  </si>
  <si>
    <t>2020-09-09/2021-03-09</t>
  </si>
  <si>
    <t>2020-09-03</t>
  </si>
  <si>
    <t>CDAD</t>
  </si>
  <si>
    <t>18001003500000.0</t>
  </si>
  <si>
    <t>23000</t>
  </si>
  <si>
    <t>2020-09-03/2021-03-03</t>
  </si>
  <si>
    <t>ELECTRICIENS SANS FRONTIERES AQUITAINE</t>
  </si>
  <si>
    <t>39452889700000.0</t>
  </si>
  <si>
    <t>AP international solidarité eau BENIN BONOU</t>
  </si>
  <si>
    <t>2020-09-29</t>
  </si>
  <si>
    <t>2020/234</t>
  </si>
  <si>
    <t>LA MÉMOIRE DE BORDEAUX</t>
  </si>
  <si>
    <t>Centre de doc. Et recherche</t>
  </si>
  <si>
    <t>24339</t>
  </si>
  <si>
    <t>2020-09-29/2021-03-29</t>
  </si>
  <si>
    <t>2020-10-26</t>
  </si>
  <si>
    <t>35221687300200.0</t>
  </si>
  <si>
    <t>2020-10-26/2021-04-26</t>
  </si>
  <si>
    <t>2020-11-04</t>
  </si>
  <si>
    <t>2020/228</t>
  </si>
  <si>
    <t>NANTES SUMMERCAMP SOFILM</t>
  </si>
  <si>
    <t>81195928700000.0</t>
  </si>
  <si>
    <t>2020-11-04/2021-05-04</t>
  </si>
  <si>
    <t>2020-09-25</t>
  </si>
  <si>
    <t>2020/205</t>
  </si>
  <si>
    <t>MSF MEDECINS SANS FRONTIERE</t>
  </si>
  <si>
    <t>30500910200100.0</t>
  </si>
  <si>
    <t>2020-09-25/2021-03-25</t>
  </si>
  <si>
    <t>2020-02-15</t>
  </si>
  <si>
    <t>2020/61</t>
  </si>
  <si>
    <t>BEC BORDEAUX ETUDIANTS CLUB ESCRIME</t>
  </si>
  <si>
    <t>32740860500000.0</t>
  </si>
  <si>
    <t>Championnats France fleuret Elite</t>
  </si>
  <si>
    <t>2020-02-15/2020-08-15</t>
  </si>
  <si>
    <t>2021-02-02</t>
  </si>
  <si>
    <t>2021-01-27</t>
  </si>
  <si>
    <t>2020/571</t>
  </si>
  <si>
    <t>COOP ET BAT</t>
  </si>
  <si>
    <t>53310615000000.0</t>
  </si>
  <si>
    <t>Subvention exeptionnelle</t>
  </si>
  <si>
    <t>2021-01-27/2021-07-27</t>
  </si>
  <si>
    <t>2021-01-29</t>
  </si>
  <si>
    <t>2020/485</t>
  </si>
  <si>
    <t>SEPANSO</t>
  </si>
  <si>
    <t>39253524100000.0</t>
  </si>
  <si>
    <t>2021-01-29/2021-07-29</t>
  </si>
  <si>
    <t>2019-10-28</t>
  </si>
  <si>
    <t>2019/579</t>
  </si>
  <si>
    <t>30537823400000.0</t>
  </si>
  <si>
    <t>2019-10-28/2020-04-28</t>
  </si>
  <si>
    <t>2019/581</t>
  </si>
  <si>
    <t>ADAV 33</t>
  </si>
  <si>
    <t>30091783800000.0</t>
  </si>
  <si>
    <t>85000</t>
  </si>
  <si>
    <t>2020-01-28</t>
  </si>
  <si>
    <t>2019/775</t>
  </si>
  <si>
    <t>COS DU PERSONNEL DE BORDEAUX METROPOLE</t>
  </si>
  <si>
    <t>48301340500000.0</t>
  </si>
  <si>
    <t>2020-01-28/2020-07-28</t>
  </si>
  <si>
    <t>41892140900000.0</t>
  </si>
  <si>
    <t>Fonctionnement renouvellement 2020</t>
  </si>
  <si>
    <t>2020-02-10</t>
  </si>
  <si>
    <t>40265285300000.0</t>
  </si>
  <si>
    <t>Festival Chahuts</t>
  </si>
  <si>
    <t>2020-02-10/2020-08-10</t>
  </si>
  <si>
    <t>2020/75</t>
  </si>
  <si>
    <t>40919981700000.0</t>
  </si>
  <si>
    <t>48956307200000.0</t>
  </si>
  <si>
    <t>Festival Relaches</t>
  </si>
  <si>
    <t>2020-02-17</t>
  </si>
  <si>
    <t>82343035000000.0</t>
  </si>
  <si>
    <t>Festival ODP</t>
  </si>
  <si>
    <t>2020-02-17/2020-08-17</t>
  </si>
  <si>
    <t>35011886500000.0</t>
  </si>
  <si>
    <t>Carnaval 2 rives</t>
  </si>
  <si>
    <t>ASSO MELI MEL'ARTS</t>
  </si>
  <si>
    <t>52425936300000.0</t>
  </si>
  <si>
    <t>2020-02-27</t>
  </si>
  <si>
    <t>48438218900000.0</t>
  </si>
  <si>
    <t>Faites des bulles</t>
  </si>
  <si>
    <t>2020-02-27/2020-08-27</t>
  </si>
  <si>
    <t>CREAC</t>
  </si>
  <si>
    <t>Saison du cirque "la citécirque"</t>
  </si>
  <si>
    <t>2020-03-20</t>
  </si>
  <si>
    <t>43434085700000.0</t>
  </si>
  <si>
    <t>codev Bordeaux Métropolitain</t>
  </si>
  <si>
    <t>2020-03-20/2020-09-20</t>
  </si>
  <si>
    <t>2020-03-30</t>
  </si>
  <si>
    <t>ESCALES LITTERAIRES BORDEAUX AQUITAINE</t>
  </si>
  <si>
    <t>34426475900000.0</t>
  </si>
  <si>
    <t>2020-03-30/2020-09-30</t>
  </si>
  <si>
    <t>FIFH FESTIVAL DU FILM D'HISTOIRE</t>
  </si>
  <si>
    <t>37914022100000.0</t>
  </si>
  <si>
    <t>Festival international du film d'histoire</t>
  </si>
  <si>
    <t>2020/80</t>
  </si>
  <si>
    <t>GIRONDE TOURISME</t>
  </si>
  <si>
    <t>78184375000000.0</t>
  </si>
  <si>
    <t>Dotation outils financiers</t>
  </si>
  <si>
    <t>2020-04-16</t>
  </si>
  <si>
    <t>2019/488</t>
  </si>
  <si>
    <t>ADI (Agence Dévelop. et Innovation)</t>
  </si>
  <si>
    <t>82033673300000.0</t>
  </si>
  <si>
    <t>Actions spécifiques énergétiques</t>
  </si>
  <si>
    <t>2020-04-16/2020-10-16</t>
  </si>
  <si>
    <t>34975346700000.0</t>
  </si>
  <si>
    <t>Actions dévelop. économ. local et fonctionnement</t>
  </si>
  <si>
    <t>56000</t>
  </si>
  <si>
    <t>2020-03-09</t>
  </si>
  <si>
    <t>2020/79</t>
  </si>
  <si>
    <t>OTCBM OFFICE TOURISME ET CONGRES BORDEAUX</t>
  </si>
  <si>
    <t>78180455400000.0</t>
  </si>
  <si>
    <t>2020-03-09/2020-09-09</t>
  </si>
  <si>
    <t>49500944100000.0</t>
  </si>
  <si>
    <t>Fonctionnement renouvel. 2020</t>
  </si>
  <si>
    <t>2019/167</t>
  </si>
  <si>
    <t>SOLIHA</t>
  </si>
  <si>
    <t>78184854400000.0</t>
  </si>
  <si>
    <t>Habitat plateforme "louer clé en mains"</t>
  </si>
  <si>
    <t>ASSO LAIQUE DU PRADO ALP</t>
  </si>
  <si>
    <t>77558666200000.0</t>
  </si>
  <si>
    <t>ASLAV ASSO DE L'AMOUR VIVANT</t>
  </si>
  <si>
    <t>51950160500000.0</t>
  </si>
  <si>
    <t>AP international solidarité eau CONGO</t>
  </si>
  <si>
    <t>2020-06-12</t>
  </si>
  <si>
    <t>16000</t>
  </si>
  <si>
    <t>2020-06-12/2020-12-12</t>
  </si>
  <si>
    <t>2020-06-15</t>
  </si>
  <si>
    <t>83273861100000.0</t>
  </si>
  <si>
    <t>36000</t>
  </si>
  <si>
    <t>2020-06-15/2020-12-15</t>
  </si>
  <si>
    <t>38389023300000.0</t>
  </si>
  <si>
    <t>12000</t>
  </si>
  <si>
    <t>2020-06-22</t>
  </si>
  <si>
    <t>2020/BM 0514</t>
  </si>
  <si>
    <t>39988425300000.0</t>
  </si>
  <si>
    <t>Expo Robots</t>
  </si>
  <si>
    <t>2020-06-22/2020-12-22</t>
  </si>
  <si>
    <t>40228354300100.0</t>
  </si>
  <si>
    <t>Action Créajeunes</t>
  </si>
  <si>
    <t>2020-11-02</t>
  </si>
  <si>
    <t>2020/264</t>
  </si>
  <si>
    <t>Les 10 ans d'ATIS</t>
  </si>
  <si>
    <t>2020-11-02/2021-05-30</t>
  </si>
  <si>
    <t>2020-10-27</t>
  </si>
  <si>
    <t>2020/280</t>
  </si>
  <si>
    <t>IMPACT SUMMIT</t>
  </si>
  <si>
    <t>84532179300000.0</t>
  </si>
  <si>
    <t>2020-10-27/2021-04-27</t>
  </si>
  <si>
    <t>2020-09-16</t>
  </si>
  <si>
    <t>84515945800700.0</t>
  </si>
  <si>
    <t>2020-09-16/2021-03-16</t>
  </si>
  <si>
    <t>2020-11-19</t>
  </si>
  <si>
    <t>2020/301</t>
  </si>
  <si>
    <t>2020-11-19/2021-05-19</t>
  </si>
  <si>
    <t>2020/439</t>
  </si>
  <si>
    <t>CRESS AQUITAINE</t>
  </si>
  <si>
    <t>81090958000000.0</t>
  </si>
  <si>
    <t>200000</t>
  </si>
  <si>
    <t>2020-12-08</t>
  </si>
  <si>
    <t>2020/142</t>
  </si>
  <si>
    <t>48856661300045.0</t>
  </si>
  <si>
    <t>appel à projet FAJ</t>
  </si>
  <si>
    <t>17000</t>
  </si>
  <si>
    <t>2020-12-08/2021-06-08</t>
  </si>
  <si>
    <t>2020-12-10</t>
  </si>
  <si>
    <t>2020/422</t>
  </si>
  <si>
    <t>ADI NOUVELLE AQUITAINE</t>
  </si>
  <si>
    <t>82033673300010.0</t>
  </si>
  <si>
    <t>300000</t>
  </si>
  <si>
    <t>2020-12-10/2021-06-10</t>
  </si>
  <si>
    <t>2021-01-14</t>
  </si>
  <si>
    <t>2020/565</t>
  </si>
  <si>
    <t>48438218900039.0</t>
  </si>
  <si>
    <t>2021-01-14/2021-07-14</t>
  </si>
  <si>
    <t>2021-01-21</t>
  </si>
  <si>
    <t>2020/509</t>
  </si>
  <si>
    <t>CONGRES EXPOSITIONS DE BORDEAUX</t>
  </si>
  <si>
    <t>45309131600019.0</t>
  </si>
  <si>
    <t>Plan de relance</t>
  </si>
  <si>
    <t>1550000</t>
  </si>
  <si>
    <t>2021-01-21/2021-07-21</t>
  </si>
  <si>
    <t>CODEV</t>
  </si>
  <si>
    <t>2021-08-10</t>
  </si>
  <si>
    <t>2021-02-26</t>
  </si>
  <si>
    <t>2020/123</t>
  </si>
  <si>
    <t>3334</t>
  </si>
  <si>
    <t>2021-02-26/2021-08-26</t>
  </si>
  <si>
    <t>2021-03-15</t>
  </si>
  <si>
    <t>2021-03-15/2021-09-15</t>
  </si>
  <si>
    <t>2021-03-17</t>
  </si>
  <si>
    <t>COOP ALPHA COOPERATIVE</t>
  </si>
  <si>
    <t>48237148100060.0</t>
  </si>
  <si>
    <t>2021-03-17/2021-09-17</t>
  </si>
  <si>
    <t>2021-03-12</t>
  </si>
  <si>
    <t>ASSO ESPRIT DE CORPS</t>
  </si>
  <si>
    <t>42008956700044.0</t>
  </si>
  <si>
    <t>2021-03-12/2021-09-12</t>
  </si>
  <si>
    <t>2021-06-03</t>
  </si>
  <si>
    <t>2021/279</t>
  </si>
  <si>
    <t>CULTURE CULTURES</t>
  </si>
  <si>
    <t>89488264600017.0</t>
  </si>
  <si>
    <t>Festival 2021</t>
  </si>
  <si>
    <t>2021-06-03/2021-12-03</t>
  </si>
  <si>
    <t>2020-10-01</t>
  </si>
  <si>
    <t>2020/204</t>
  </si>
  <si>
    <t>APF France HANDICAP</t>
  </si>
  <si>
    <t>77568873208239.0</t>
  </si>
  <si>
    <t>CCSPL</t>
  </si>
  <si>
    <t>500</t>
  </si>
  <si>
    <t>2020-10-01/2021-04-01</t>
  </si>
  <si>
    <t>2021-05-29</t>
  </si>
  <si>
    <t>2021/308</t>
  </si>
  <si>
    <t>CENTRE REGIONAL INFORMATION JEUNESSE</t>
  </si>
  <si>
    <t>30733663600039.0</t>
  </si>
  <si>
    <t>2021-05-29/2021-11-29</t>
  </si>
  <si>
    <t>2021-06-04</t>
  </si>
  <si>
    <t>2021/282</t>
  </si>
  <si>
    <t>FESTIVAL ODP</t>
  </si>
  <si>
    <t>2021-06-04/2021-12-04</t>
  </si>
  <si>
    <t>2021-05-12</t>
  </si>
  <si>
    <t>2021/101</t>
  </si>
  <si>
    <t>73103</t>
  </si>
  <si>
    <t>2021-05-12/2021-11-12</t>
  </si>
  <si>
    <t>2021-06-10</t>
  </si>
  <si>
    <t>2021/281</t>
  </si>
  <si>
    <t>THEATRE NATIONAL DE BORDEAUX</t>
  </si>
  <si>
    <t>78182415600041.0</t>
  </si>
  <si>
    <t>Festival de la ruche</t>
  </si>
  <si>
    <t>2021-06-10/2021-12-10</t>
  </si>
  <si>
    <t>As comadres / A. Mnouchkine</t>
  </si>
  <si>
    <t>2021-07-04</t>
  </si>
  <si>
    <t>2021-07-04/2022-01-04</t>
  </si>
  <si>
    <t>2021-07-05</t>
  </si>
  <si>
    <t>2021/230</t>
  </si>
  <si>
    <t>81090958000021.0</t>
  </si>
  <si>
    <t>2021-06-29/2021-12-29</t>
  </si>
  <si>
    <t>2021-06-29</t>
  </si>
  <si>
    <t>2021-06-11</t>
  </si>
  <si>
    <t>2021-06-11/2021-12-11</t>
  </si>
  <si>
    <t>2021-06-30</t>
  </si>
  <si>
    <t>2021/212</t>
  </si>
  <si>
    <t>2021-06-30/2021-12-30</t>
  </si>
  <si>
    <t>2021-05-31</t>
  </si>
  <si>
    <t>2021/286</t>
  </si>
  <si>
    <t>Festival afro new bell 4</t>
  </si>
  <si>
    <t>32000</t>
  </si>
  <si>
    <t>2021-05-31/2021-11-30</t>
  </si>
  <si>
    <t>2021-02-19</t>
  </si>
  <si>
    <t>2021/55</t>
  </si>
  <si>
    <t>OPERA NATIONAL DE BORDEAUX</t>
  </si>
  <si>
    <t>44042396000010.0</t>
  </si>
  <si>
    <t>Projet DEMOS</t>
  </si>
  <si>
    <t>2021-02-19/2021-07-19</t>
  </si>
  <si>
    <t>2021-03-08</t>
  </si>
  <si>
    <t>2021/23</t>
  </si>
  <si>
    <t>PESMD</t>
  </si>
  <si>
    <t>38345677900032.0</t>
  </si>
  <si>
    <t>Construction locaux</t>
  </si>
  <si>
    <t>1500000</t>
  </si>
  <si>
    <t>2021-03-08/2021-09-08</t>
  </si>
  <si>
    <t>2021-06-01</t>
  </si>
  <si>
    <t>2021/142</t>
  </si>
  <si>
    <t>JEUNESSE HABITAT SOLIDAIRE</t>
  </si>
  <si>
    <t>78181276300022.0</t>
  </si>
  <si>
    <t>Lutte contre la précarité alimentaire</t>
  </si>
  <si>
    <t>40250</t>
  </si>
  <si>
    <t>2021-06-01/2021-12-01</t>
  </si>
  <si>
    <t>2021-07-21</t>
  </si>
  <si>
    <t>2021/128</t>
  </si>
  <si>
    <t>L'ECHOPPE ZERO DECHET</t>
  </si>
  <si>
    <t>85273031600027.0</t>
  </si>
  <si>
    <t>2021-07-21/2022-01-21</t>
  </si>
  <si>
    <t>2021-06-21</t>
  </si>
  <si>
    <t>2021/143</t>
  </si>
  <si>
    <t>VRAC</t>
  </si>
  <si>
    <t>83168785000014.0</t>
  </si>
  <si>
    <t>2021-06-21/2021-12-21</t>
  </si>
  <si>
    <t>2021-07-27</t>
  </si>
  <si>
    <t>2020/375</t>
  </si>
  <si>
    <t>2021-07-27/2022-01-27</t>
  </si>
  <si>
    <t>2020-07-24</t>
  </si>
  <si>
    <t>2020-BM0611</t>
  </si>
  <si>
    <t>Aide relance entrepreneurs</t>
  </si>
  <si>
    <t>2020-07-24/2021-01-24</t>
  </si>
  <si>
    <t>2021-05-25</t>
  </si>
  <si>
    <t>2021-143</t>
  </si>
  <si>
    <t>40996896300028.0</t>
  </si>
  <si>
    <t>Frigo zéro gaspi</t>
  </si>
  <si>
    <t>2021-05-25/2021-11-25</t>
  </si>
  <si>
    <t>2021-11-18</t>
  </si>
  <si>
    <t>2021-04-14</t>
  </si>
  <si>
    <t>42213614300084.0</t>
  </si>
  <si>
    <t>Plateforme mobilité seniors</t>
  </si>
  <si>
    <t>2021-04-14/2021-10-14</t>
  </si>
  <si>
    <t>2020-12-07</t>
  </si>
  <si>
    <t>2020/226</t>
  </si>
  <si>
    <t>A.D.E.L.E</t>
  </si>
  <si>
    <t>43383539400027.0</t>
  </si>
  <si>
    <t>2020-12-07/2021-06-07</t>
  </si>
  <si>
    <t>2021-08-31</t>
  </si>
  <si>
    <t>2021/365</t>
  </si>
  <si>
    <t>Soutien exceptionnel</t>
  </si>
  <si>
    <t>176000</t>
  </si>
  <si>
    <t>2021-08-31/2022-02-31</t>
  </si>
  <si>
    <t>2021-03-18</t>
  </si>
  <si>
    <t>2021/141</t>
  </si>
  <si>
    <t>Juniors du dévelop. durable</t>
  </si>
  <si>
    <t>2021-03-18/2021-09-18</t>
  </si>
  <si>
    <t>2021-07-23</t>
  </si>
  <si>
    <t>2021/335</t>
  </si>
  <si>
    <t>PIMMS</t>
  </si>
  <si>
    <t>79886728900018.0</t>
  </si>
  <si>
    <t>164528</t>
  </si>
  <si>
    <t>2021-07-23/2022-01-23</t>
  </si>
  <si>
    <t>2021-09-15</t>
  </si>
  <si>
    <t>2021/409</t>
  </si>
  <si>
    <t>35500</t>
  </si>
  <si>
    <t>2021-09-15/2022-03-15</t>
  </si>
  <si>
    <t>2021-09-20</t>
  </si>
  <si>
    <t>2021/215</t>
  </si>
  <si>
    <t>FIBOIS NOUVELLE-AQUITAINE</t>
  </si>
  <si>
    <t>85147541800030.0</t>
  </si>
  <si>
    <t>Rencontres Woodrise</t>
  </si>
  <si>
    <t>2021-09-20/2022-03-20</t>
  </si>
  <si>
    <t>2021-10-07</t>
  </si>
  <si>
    <t>2021-318</t>
  </si>
  <si>
    <t>HAUTS DE GARONNE DEVELOPPEMENT</t>
  </si>
  <si>
    <t>Château Brignon</t>
  </si>
  <si>
    <t>2021-10-07/2022-04-07</t>
  </si>
  <si>
    <t>2021-10-27</t>
  </si>
  <si>
    <t>2021-453</t>
  </si>
  <si>
    <t>2021-10-27/2022-04-27</t>
  </si>
  <si>
    <t>2021-12-20</t>
  </si>
  <si>
    <t>2021-11-08</t>
  </si>
  <si>
    <t>2021/459</t>
  </si>
  <si>
    <t>CAP SCIENCES CCSTI</t>
  </si>
  <si>
    <t>320000</t>
  </si>
  <si>
    <t>2021-11-08/2022-05-08</t>
  </si>
  <si>
    <t>2021-11-17</t>
  </si>
  <si>
    <t>2021/453</t>
  </si>
  <si>
    <t>115000</t>
  </si>
  <si>
    <t>2021-11-17/2022-05-17</t>
  </si>
  <si>
    <t>2021-10-20</t>
  </si>
  <si>
    <t>2020/139</t>
  </si>
  <si>
    <t>FOYER FRATERNEL</t>
  </si>
  <si>
    <t>78184865000011.0</t>
  </si>
  <si>
    <t>Plan pauvreté ALADDIN</t>
  </si>
  <si>
    <t>2000</t>
  </si>
  <si>
    <t>2021-10-20/2022-04-20</t>
  </si>
  <si>
    <t>2021-10-14</t>
  </si>
  <si>
    <t>ATELIER GRAPHITE</t>
  </si>
  <si>
    <t>49428909300028.0</t>
  </si>
  <si>
    <t>22000</t>
  </si>
  <si>
    <t>2021-10-14/2022-04-14</t>
  </si>
  <si>
    <t>2021-10-04</t>
  </si>
  <si>
    <t>UNIRE</t>
  </si>
  <si>
    <t>83844691200019.0</t>
  </si>
  <si>
    <t>2021-10-04/2022-04-04</t>
  </si>
  <si>
    <t>2021-10-11</t>
  </si>
  <si>
    <t>2021/528</t>
  </si>
  <si>
    <t>OCEAN CLIMAX</t>
  </si>
  <si>
    <t>81286869300019.0</t>
  </si>
  <si>
    <t>Festival CLIMAX</t>
  </si>
  <si>
    <t>2021-10-11/2022-04-11</t>
  </si>
  <si>
    <t>2021/527</t>
  </si>
  <si>
    <t>84532179300018.0</t>
  </si>
  <si>
    <t>Convention de partenariat</t>
  </si>
  <si>
    <t>2021-551</t>
  </si>
  <si>
    <t>DYNAMEAU</t>
  </si>
  <si>
    <t>52824466800018.0</t>
  </si>
  <si>
    <t>Action solidarité internationale eau</t>
  </si>
  <si>
    <t>BURKINA T.H</t>
  </si>
  <si>
    <t>51978184300015.0</t>
  </si>
  <si>
    <t>14000</t>
  </si>
  <si>
    <t>SENS</t>
  </si>
  <si>
    <t>48920860300022.0</t>
  </si>
  <si>
    <t>EXPERTS SOLIDAIRES</t>
  </si>
  <si>
    <t>75063995700034.0</t>
  </si>
  <si>
    <t>49500</t>
  </si>
  <si>
    <t>2021-12-01</t>
  </si>
  <si>
    <t>2021-524</t>
  </si>
  <si>
    <t>LA FUMAINERIE</t>
  </si>
  <si>
    <t>85180791700014.0</t>
  </si>
  <si>
    <t>2021-12-01/2022-06-01</t>
  </si>
  <si>
    <t>2021-10-28</t>
  </si>
  <si>
    <t>2021-577</t>
  </si>
  <si>
    <t>2021-10-28/2022-04-28</t>
  </si>
  <si>
    <t>2021-10-30</t>
  </si>
  <si>
    <t>2021-576</t>
  </si>
  <si>
    <t>ETU RECUP</t>
  </si>
  <si>
    <t>80127165100029.0</t>
  </si>
  <si>
    <t>MAMMA</t>
  </si>
  <si>
    <t>2021-10-30/2022-04-30</t>
  </si>
  <si>
    <t>2021-571</t>
  </si>
  <si>
    <t>CENTRE SOCIAL DE BORDEAUX NORD</t>
  </si>
  <si>
    <t>2020/341</t>
  </si>
  <si>
    <t>2020-12-09</t>
  </si>
  <si>
    <t>LA CRAVATE SOLIDAIRE BORDEAUX</t>
  </si>
  <si>
    <t>84779999600016.0</t>
  </si>
  <si>
    <t>2020-12-09/2021-06-09</t>
  </si>
  <si>
    <t>2021-01-11</t>
  </si>
  <si>
    <t>2020/440</t>
  </si>
  <si>
    <t>CSDL CAISSE SOCIALE DEV LOCAL</t>
  </si>
  <si>
    <t>80000</t>
  </si>
  <si>
    <t>2021-01-11/2021-07-11</t>
  </si>
  <si>
    <t>2021-01-19</t>
  </si>
  <si>
    <t>2021-01-19/2021-07-19</t>
  </si>
  <si>
    <t>2021-02-12</t>
  </si>
  <si>
    <t>Escales du livre 2021</t>
  </si>
  <si>
    <t>2021-02-12/2021-08-12</t>
  </si>
  <si>
    <t>2021/24</t>
  </si>
  <si>
    <t>Cartoon movie</t>
  </si>
  <si>
    <t>2021/56</t>
  </si>
  <si>
    <t>39811228400015.0</t>
  </si>
  <si>
    <t>Décastar 2021</t>
  </si>
  <si>
    <t>2020/292</t>
  </si>
  <si>
    <t>URHAJ</t>
  </si>
  <si>
    <t>82779162900018.0</t>
  </si>
  <si>
    <t>2021-02-02/2021-08-02</t>
  </si>
  <si>
    <t>HYDRAULIQUE SANS FRONTIERES</t>
  </si>
  <si>
    <t>38278967500032.0</t>
  </si>
  <si>
    <t>2021-01-25</t>
  </si>
  <si>
    <t>2021/136</t>
  </si>
  <si>
    <t>41892140900029.0</t>
  </si>
  <si>
    <t>197000</t>
  </si>
  <si>
    <t>2021-01-25/2021-07-25</t>
  </si>
  <si>
    <t>2021-05-26</t>
  </si>
  <si>
    <t>2021/171</t>
  </si>
  <si>
    <t>DESTINATION MULTIMEDIA</t>
  </si>
  <si>
    <t>52419833000036.0</t>
  </si>
  <si>
    <t>2021-05-26/2021-11-26</t>
  </si>
  <si>
    <t>2021-06-22</t>
  </si>
  <si>
    <t>2021/264</t>
  </si>
  <si>
    <t>30091783800025.0</t>
  </si>
  <si>
    <t>117400</t>
  </si>
  <si>
    <t>2021-06-22/2021-12-22</t>
  </si>
  <si>
    <t>Festival Musical écran</t>
  </si>
  <si>
    <t>2021/102</t>
  </si>
  <si>
    <t>OFFICE DE TOURISME ET DES CONGRES BM</t>
  </si>
  <si>
    <t>3500000</t>
  </si>
  <si>
    <t>2021-06-09</t>
  </si>
  <si>
    <t>2021/280</t>
  </si>
  <si>
    <t>STIGMERGIE</t>
  </si>
  <si>
    <t>88483872300010.0</t>
  </si>
  <si>
    <t>Smac agglo</t>
  </si>
  <si>
    <t>28500</t>
  </si>
  <si>
    <t>2021-06-09/2021-12-09</t>
  </si>
  <si>
    <t>2020-09-17</t>
  </si>
  <si>
    <t>TALENCE INNOVATION SUD DEVELOPPEMENT</t>
  </si>
  <si>
    <t>42971672300011.0</t>
  </si>
  <si>
    <t>42700</t>
  </si>
  <si>
    <t>2020-09-17/2022-03-09</t>
  </si>
  <si>
    <t>2021-07-09</t>
  </si>
  <si>
    <t>2021/206</t>
  </si>
  <si>
    <t>AVENIR PAPETERIE BEGLES</t>
  </si>
  <si>
    <t>89951852600012.0</t>
  </si>
  <si>
    <t>2021-07-09/2022-01-09</t>
  </si>
  <si>
    <t>COLLECTIF TOC TOC</t>
  </si>
  <si>
    <t>87921350200013.0</t>
  </si>
  <si>
    <t>La maison Toc Toc</t>
  </si>
  <si>
    <t>2021-06-18</t>
  </si>
  <si>
    <t>LES Z'ARPETES</t>
  </si>
  <si>
    <t>52528933600030.0</t>
  </si>
  <si>
    <t>Les Z'arpetes</t>
  </si>
  <si>
    <t>2021-06-18/2021-12-18</t>
  </si>
  <si>
    <t>2021-07-01</t>
  </si>
  <si>
    <t>2021-07-01/2022-01-01</t>
  </si>
  <si>
    <t>SOLIDARITE EAU EUROPE</t>
  </si>
  <si>
    <t>42002173500030.0</t>
  </si>
  <si>
    <t>2021-06-07</t>
  </si>
  <si>
    <t>HABITAT JEUNES DE LEVAIN</t>
  </si>
  <si>
    <t>78181271400017.0</t>
  </si>
  <si>
    <t>28250</t>
  </si>
  <si>
    <t>2021-06-07/2021-12-07</t>
  </si>
  <si>
    <t>2021-06-17</t>
  </si>
  <si>
    <t>HABITAT JEUNES HAUTS DE GARONNE</t>
  </si>
  <si>
    <t>32404359500010.0</t>
  </si>
  <si>
    <t>2021-06-17/2021-12-17</t>
  </si>
  <si>
    <t>GALAS</t>
  </si>
  <si>
    <t>88105035500018.0</t>
  </si>
  <si>
    <t>2021-304</t>
  </si>
  <si>
    <t>ECOSITE DU BOURGAILH</t>
  </si>
  <si>
    <t>44493244600032.0</t>
  </si>
  <si>
    <t>CAISSE SOCIALE DE DEVELOPPEMENT LOCAL</t>
  </si>
  <si>
    <t>Plateforme mobilité</t>
  </si>
  <si>
    <t>2021-04-27</t>
  </si>
  <si>
    <t>2021/137</t>
  </si>
  <si>
    <t>ADERA</t>
  </si>
  <si>
    <t>40328030800012.0</t>
  </si>
  <si>
    <t>Consortium Réseau Magest</t>
  </si>
  <si>
    <t>5500</t>
  </si>
  <si>
    <t>2021-04-27/2021-10-27</t>
  </si>
  <si>
    <t>2021-08-06</t>
  </si>
  <si>
    <t>2021/414</t>
  </si>
  <si>
    <t>ASSO CULTURELLE ISRAELITE GIRONDE</t>
  </si>
  <si>
    <t>78184198600016.0</t>
  </si>
  <si>
    <t>Rénovation orgue</t>
  </si>
  <si>
    <t>2021-08-06/2022-02-06</t>
  </si>
  <si>
    <t>2021/146</t>
  </si>
  <si>
    <t>ADPEP33</t>
  </si>
  <si>
    <t>78185055700088.0</t>
  </si>
  <si>
    <t>JDD</t>
  </si>
  <si>
    <t>13000</t>
  </si>
  <si>
    <t>2021/299</t>
  </si>
  <si>
    <t>GERMAINE VEILLE</t>
  </si>
  <si>
    <t>84231008800013.0</t>
  </si>
  <si>
    <t>2021-08-26</t>
  </si>
  <si>
    <t>L'ACADEMIE DES RUCHES</t>
  </si>
  <si>
    <t>50299030200049.0</t>
  </si>
  <si>
    <t>2021-08-26/2022-02-26</t>
  </si>
  <si>
    <t>2021/147</t>
  </si>
  <si>
    <t>GRAINE NOUVELLE-AQUITAINE</t>
  </si>
  <si>
    <t>38956456800027.0</t>
  </si>
  <si>
    <t>52500</t>
  </si>
  <si>
    <t>2021-09-10</t>
  </si>
  <si>
    <t>2021-09-10/2022-03-10</t>
  </si>
  <si>
    <t>2021-06-20</t>
  </si>
  <si>
    <t>2021-150</t>
  </si>
  <si>
    <t>WEJOB</t>
  </si>
  <si>
    <t>82182204600024.0</t>
  </si>
  <si>
    <t>Fonctionnement FAJ</t>
  </si>
  <si>
    <t>2021-06-20/2021-12-20</t>
  </si>
  <si>
    <t>2021-09-03</t>
  </si>
  <si>
    <t>2021/428</t>
  </si>
  <si>
    <t>Fête du vélo</t>
  </si>
  <si>
    <t>2021-09-03/2022-03-03</t>
  </si>
  <si>
    <t>2021-06-28</t>
  </si>
  <si>
    <t>2021-230</t>
  </si>
  <si>
    <t>2021-06-28/2021-12-28</t>
  </si>
  <si>
    <t>Pépinière de Floirac</t>
  </si>
  <si>
    <t>11000</t>
  </si>
  <si>
    <t>2021-10-10</t>
  </si>
  <si>
    <t>2021-333</t>
  </si>
  <si>
    <t>FESTIVAL INTER FILM D'HISTOIRE</t>
  </si>
  <si>
    <t>2021-10-10/2022-04-10</t>
  </si>
  <si>
    <t>2021-10-21</t>
  </si>
  <si>
    <t>2021-460</t>
  </si>
  <si>
    <t>SOFILM SUMMERCAMP</t>
  </si>
  <si>
    <t>2021-10-21/2022-04-21</t>
  </si>
  <si>
    <t>2021-507</t>
  </si>
  <si>
    <t>240000</t>
  </si>
  <si>
    <t>2021/544</t>
  </si>
  <si>
    <t>LA FONDATION CULTURE ET CIVILISATIONS DU VIN</t>
  </si>
  <si>
    <t>80985790700038.0</t>
  </si>
  <si>
    <t>Plan d'investissement</t>
  </si>
  <si>
    <t>1816000</t>
  </si>
  <si>
    <t>2021-06-14</t>
  </si>
  <si>
    <t>2021/138</t>
  </si>
  <si>
    <t>LA MAISON DE LA PROMOTION SOCIALE</t>
  </si>
  <si>
    <t>81910693100010.0</t>
  </si>
  <si>
    <t>Ma rénov Bordeaux Métropole</t>
  </si>
  <si>
    <t>2021-06-14/2021-12-14</t>
  </si>
  <si>
    <t>2021-10-22</t>
  </si>
  <si>
    <t>2021/570</t>
  </si>
  <si>
    <t>80961975200029.0</t>
  </si>
  <si>
    <t>2021-10-22/2022-04-22</t>
  </si>
  <si>
    <t>20500</t>
  </si>
  <si>
    <t>2021-10-15</t>
  </si>
  <si>
    <t>CRIJ NA</t>
  </si>
  <si>
    <t>800</t>
  </si>
  <si>
    <t>2021-10-15/2022-04-15</t>
  </si>
  <si>
    <t>BORDEAUX ECOLE NUMERIQUE</t>
  </si>
  <si>
    <t>84122122900013.0</t>
  </si>
  <si>
    <t>19800</t>
  </si>
  <si>
    <t>2021-10-25</t>
  </si>
  <si>
    <t>41214436200032.0</t>
  </si>
  <si>
    <t>2021-10-25/2022-04-25</t>
  </si>
  <si>
    <t>2021-11-29</t>
  </si>
  <si>
    <t>CYCLES ET MANIVELLES</t>
  </si>
  <si>
    <t>80077623900033.0</t>
  </si>
  <si>
    <t>2021-11-29/2022-05-29</t>
  </si>
  <si>
    <t>2021-12-09</t>
  </si>
  <si>
    <t>2021-733</t>
  </si>
  <si>
    <t>SOLIHA AIS</t>
  </si>
  <si>
    <t>49052081400032.0</t>
  </si>
  <si>
    <t>Plateforme "Louer clé en main"</t>
  </si>
  <si>
    <t>2021-12-09/2022-06-09</t>
  </si>
  <si>
    <t>ESPACE TEXTILE RIVE DROITE</t>
  </si>
  <si>
    <t>85029215200012.0</t>
  </si>
  <si>
    <t>2021-01-05</t>
  </si>
  <si>
    <t>Rencontres 30 30</t>
  </si>
  <si>
    <t>2021-01-05/2021-07-05</t>
  </si>
  <si>
    <t>2020/421</t>
  </si>
  <si>
    <t>TARMAQ</t>
  </si>
  <si>
    <t>88352417500014.0</t>
  </si>
  <si>
    <t>294365</t>
  </si>
  <si>
    <t>2020/501</t>
  </si>
  <si>
    <t>53310615000023.0</t>
  </si>
  <si>
    <t>Subvention exceptionnelle</t>
  </si>
  <si>
    <t>2020/503</t>
  </si>
  <si>
    <t>Salon formation</t>
  </si>
  <si>
    <t>MAISON INITIATIVE ENTREPRENARIAT MIE</t>
  </si>
  <si>
    <t>41219456500021.0</t>
  </si>
  <si>
    <t>7800</t>
  </si>
  <si>
    <t>2021-01-28</t>
  </si>
  <si>
    <t>2021-01-28/2021-07-28</t>
  </si>
  <si>
    <t>39253524100013.0</t>
  </si>
  <si>
    <t>35011886500046.0</t>
  </si>
  <si>
    <t>2021-03-02</t>
  </si>
  <si>
    <t>2021/54</t>
  </si>
  <si>
    <t>2021-03-02/2021-09-02</t>
  </si>
  <si>
    <t>2021-04-09</t>
  </si>
  <si>
    <t>2021/135</t>
  </si>
  <si>
    <t>1800000</t>
  </si>
  <si>
    <t>2021-04-09/2021-10-09</t>
  </si>
  <si>
    <t>2021-04-22</t>
  </si>
  <si>
    <t>2021/100</t>
  </si>
  <si>
    <t>2021-04-22/2021-10-22</t>
  </si>
  <si>
    <t>25525</t>
  </si>
  <si>
    <t>LES DROITS DU PIETON EN GIRONDE</t>
  </si>
  <si>
    <t>41138802800010.0</t>
  </si>
  <si>
    <t>2020-10-03</t>
  </si>
  <si>
    <t>ESPACE 33</t>
  </si>
  <si>
    <t>39507866000036.0</t>
  </si>
  <si>
    <t>2020-10-03/2021-04-03</t>
  </si>
  <si>
    <t>Festival Relâche</t>
  </si>
  <si>
    <t>BRUIT DU FRIGO</t>
  </si>
  <si>
    <t>41763246000073.0</t>
  </si>
  <si>
    <t>La mêlée</t>
  </si>
  <si>
    <t>53389682500031.0</t>
  </si>
  <si>
    <t>2021/232</t>
  </si>
  <si>
    <t>2021-07-05/2022-01-05</t>
  </si>
  <si>
    <t>2021/2014</t>
  </si>
  <si>
    <t>Fête du vin</t>
  </si>
  <si>
    <t>2021-06-23</t>
  </si>
  <si>
    <t>ENSEMBLE PYGMALION</t>
  </si>
  <si>
    <t>49301996200049.0</t>
  </si>
  <si>
    <t>Festival pulsations</t>
  </si>
  <si>
    <t>2021-06-23/2021-12-23</t>
  </si>
  <si>
    <t>LES RESTAURANTS DU CŒUR GIRONDE</t>
  </si>
  <si>
    <t>SECOURS POPULAIRE Français GIRONDE</t>
  </si>
  <si>
    <t>32571979700046.0</t>
  </si>
  <si>
    <t>2021-06-24</t>
  </si>
  <si>
    <t>SIVOC</t>
  </si>
  <si>
    <t>25330068500018.0</t>
  </si>
  <si>
    <t>Saison culturelle</t>
  </si>
  <si>
    <t>2500</t>
  </si>
  <si>
    <t>2021-06-24/2021-12-24</t>
  </si>
  <si>
    <t>2021/200</t>
  </si>
  <si>
    <t>AGENCE QUALITE CONSTRUCTION</t>
  </si>
  <si>
    <t>32721569500070.0</t>
  </si>
  <si>
    <t>2020-11-08</t>
  </si>
  <si>
    <t>2020/288</t>
  </si>
  <si>
    <t>84800</t>
  </si>
  <si>
    <t>2020-11-08/2021-05-08</t>
  </si>
  <si>
    <t>2021-03-03</t>
  </si>
  <si>
    <t>2021/66</t>
  </si>
  <si>
    <t>LES BRUITS DE LA RUE</t>
  </si>
  <si>
    <t>78989994500016.0</t>
  </si>
  <si>
    <t>Application TINKIET</t>
  </si>
  <si>
    <t>9720</t>
  </si>
  <si>
    <t>2021-03-03/2021-09-03</t>
  </si>
  <si>
    <t>TECHNOWEST LOGEMENT JEUNES</t>
  </si>
  <si>
    <t>48925061300028.0</t>
  </si>
  <si>
    <t>LES AMIS DE SOLEVENT</t>
  </si>
  <si>
    <t>83822381600011.0</t>
  </si>
  <si>
    <t>2021-101</t>
  </si>
  <si>
    <t>Centre de doc. et recherche</t>
  </si>
  <si>
    <t>12778</t>
  </si>
  <si>
    <t>2020/338</t>
  </si>
  <si>
    <t>2020/368</t>
  </si>
  <si>
    <t>PLIE DES SOURCES</t>
  </si>
  <si>
    <t>47827698300028.0</t>
  </si>
  <si>
    <t>Action "Clauses d'insertion"</t>
  </si>
  <si>
    <t>8355</t>
  </si>
  <si>
    <t>2021-04-08</t>
  </si>
  <si>
    <t>TERRE D'ADELES</t>
  </si>
  <si>
    <t>2021-04-08/2021-10-08</t>
  </si>
  <si>
    <t>2020-11-20</t>
  </si>
  <si>
    <t>82775559600018.0</t>
  </si>
  <si>
    <t>2020-11-20/2021-05-20</t>
  </si>
  <si>
    <t>2021-08-25</t>
  </si>
  <si>
    <t>33348540700030.0</t>
  </si>
  <si>
    <t>2021-08-25/2022-02-25</t>
  </si>
  <si>
    <t>2021-09-01</t>
  </si>
  <si>
    <t>2021/327</t>
  </si>
  <si>
    <t>2021-09-01/2022-03-01</t>
  </si>
  <si>
    <t>RECUP' BOKASHI</t>
  </si>
  <si>
    <t>85191355800025.0</t>
  </si>
  <si>
    <t>2021-08-30</t>
  </si>
  <si>
    <t>2021/382</t>
  </si>
  <si>
    <t>CAISSE SECOURS ET D'ENTRAIDE SDIS</t>
  </si>
  <si>
    <t>78184992200021.0</t>
  </si>
  <si>
    <t>116607</t>
  </si>
  <si>
    <t>2021-08-30/2022-02-30</t>
  </si>
  <si>
    <t>2021-279</t>
  </si>
  <si>
    <t>LES QUATUORS A BORDEAUX</t>
  </si>
  <si>
    <t>42243827500014.0</t>
  </si>
  <si>
    <t>Vivre ! Festival des quatuors</t>
  </si>
  <si>
    <t>2021-541</t>
  </si>
  <si>
    <t>Festival Lettres du Monde</t>
  </si>
  <si>
    <t>9500</t>
  </si>
  <si>
    <t>2021-215</t>
  </si>
  <si>
    <t>XYLOFUTUR</t>
  </si>
  <si>
    <t>48537603200036.0</t>
  </si>
  <si>
    <t>2021-406</t>
  </si>
  <si>
    <t>UNION SOCIALE POUR L'HABITAT</t>
  </si>
  <si>
    <t>77569790700068.0</t>
  </si>
  <si>
    <t>Congés USH</t>
  </si>
  <si>
    <t>70000</t>
  </si>
  <si>
    <t>2021/461</t>
  </si>
  <si>
    <t>2021/456</t>
  </si>
  <si>
    <t>CONGRES ET EXPOSITIONS DE BORDEAUX</t>
  </si>
  <si>
    <t>Aide à l'immobilier</t>
  </si>
  <si>
    <t>1600000</t>
  </si>
  <si>
    <t>EMMAUS CONNECT</t>
  </si>
  <si>
    <t>79227291600034.0</t>
  </si>
  <si>
    <t>OXYGENE</t>
  </si>
  <si>
    <t>40097769000033.0</t>
  </si>
  <si>
    <t>2021/505</t>
  </si>
  <si>
    <t>IFAID</t>
  </si>
  <si>
    <t>33884976300036.0</t>
  </si>
  <si>
    <t>Soutien au dispositif local d'accompagnement</t>
  </si>
  <si>
    <t>2021-07-08</t>
  </si>
  <si>
    <t>2021-07-08/2022-01-08</t>
  </si>
  <si>
    <t>2021/706</t>
  </si>
  <si>
    <t>MAISON DE L'EUROPE</t>
  </si>
  <si>
    <t>43000</t>
  </si>
  <si>
    <t>ASLAV</t>
  </si>
  <si>
    <t>51950160500017.0</t>
  </si>
  <si>
    <t>POMPIERS SOLIDAIRES</t>
  </si>
  <si>
    <t>53280194100032.0</t>
  </si>
  <si>
    <t>2021-11-25</t>
  </si>
  <si>
    <t>2020-556</t>
  </si>
  <si>
    <t>FONDATION COS ALEXANDRE GLASBERG</t>
  </si>
  <si>
    <t>77565757000377.0</t>
  </si>
  <si>
    <t>Foyer Quancard</t>
  </si>
  <si>
    <t>2021-11-25/2022-05-25</t>
  </si>
  <si>
    <t>2022-03-04</t>
  </si>
  <si>
    <t>2021-12-17</t>
  </si>
  <si>
    <t>2021/617</t>
  </si>
  <si>
    <t>ETU'RECUP</t>
  </si>
  <si>
    <t>Soutien aux étudiants dans la précarité</t>
  </si>
  <si>
    <t>7500</t>
  </si>
  <si>
    <t>2021-12-17/2022-06-17</t>
  </si>
  <si>
    <t>2021-12-22</t>
  </si>
  <si>
    <t>2021/655</t>
  </si>
  <si>
    <t>EMMAUS AQUITAINE</t>
  </si>
  <si>
    <t>39949552200019.0</t>
  </si>
  <si>
    <t>Subvention de fonctionnement</t>
  </si>
  <si>
    <t>2021-12-22/2022-06-22</t>
  </si>
  <si>
    <t>2021-12-13</t>
  </si>
  <si>
    <t>2021/696</t>
  </si>
  <si>
    <t>SOCIETE D'ENCOURAGEMENT DE BORDEAUX</t>
  </si>
  <si>
    <t>78184354500026.0</t>
  </si>
  <si>
    <t>Investissement : travaux de modernisation</t>
  </si>
  <si>
    <t>229227</t>
  </si>
  <si>
    <t>2021-12-13/2022-06-13</t>
  </si>
  <si>
    <t>2022-02-21</t>
  </si>
  <si>
    <t>2022/86</t>
  </si>
  <si>
    <t>MUSIQUE DE NUIT</t>
  </si>
  <si>
    <t>Festival Haut de Garonne 2022</t>
  </si>
  <si>
    <t>2022-02-21/2022-08-21</t>
  </si>
  <si>
    <t>2022-02-28</t>
  </si>
  <si>
    <t>2022/29</t>
  </si>
  <si>
    <t>Subvention d'Investissement</t>
  </si>
  <si>
    <t>129450</t>
  </si>
  <si>
    <t>2022-02-28/2022-08-28</t>
  </si>
  <si>
    <t>Subvention de Fonctionnement</t>
  </si>
  <si>
    <t>153480</t>
  </si>
  <si>
    <t>2022-03-01</t>
  </si>
  <si>
    <t>FESTIVAL DU FILM D'HISTOIRE</t>
  </si>
  <si>
    <t>Festival Internatinal du Film d'Histoire</t>
  </si>
  <si>
    <t>2022-03-01/2022-09-01</t>
  </si>
  <si>
    <t>2022-06-01</t>
  </si>
  <si>
    <t>2022-03-15</t>
  </si>
  <si>
    <t>2022/85</t>
  </si>
  <si>
    <t>OBJECTIF PERCHE ATLANTIQUE</t>
  </si>
  <si>
    <t>49793710200018.0</t>
  </si>
  <si>
    <t>2022-03-15/2022-09-15</t>
  </si>
  <si>
    <t>2022-03-23</t>
  </si>
  <si>
    <t>Festival internationnal des Arts de Bordeaux Métropole 2022</t>
  </si>
  <si>
    <t>2022-03-23/2022-09-23</t>
  </si>
  <si>
    <t>2022-03-03</t>
  </si>
  <si>
    <t>FIFB 2022</t>
  </si>
  <si>
    <t>2022-03-03/2022-09-03</t>
  </si>
  <si>
    <t>2022-04-13</t>
  </si>
  <si>
    <t>2022/142</t>
  </si>
  <si>
    <t>530000</t>
  </si>
  <si>
    <t>2022-04-13/2022-10-13</t>
  </si>
  <si>
    <t>INNO VIN</t>
  </si>
  <si>
    <t>49874718700025.0</t>
  </si>
  <si>
    <t>2022-04-14</t>
  </si>
  <si>
    <t>2022-04-14/2022-10-14</t>
  </si>
  <si>
    <t>2022-04-12</t>
  </si>
  <si>
    <t>2022/190</t>
  </si>
  <si>
    <t>Subvention Décastar 2022</t>
  </si>
  <si>
    <t>2022-04-12/2022-10-12</t>
  </si>
  <si>
    <t>2022-04-20</t>
  </si>
  <si>
    <t>2022/141</t>
  </si>
  <si>
    <t>2022-04-20/2022-10-20</t>
  </si>
  <si>
    <t>2022-04-26</t>
  </si>
  <si>
    <t>2022/140</t>
  </si>
  <si>
    <t>OFFICE DE TOURISME ET DES CONGRES BX METROPOLE</t>
  </si>
  <si>
    <t>3213000</t>
  </si>
  <si>
    <t>2022-04-26/2022-10-26</t>
  </si>
  <si>
    <t>2022/192</t>
  </si>
  <si>
    <t>2022-04-19</t>
  </si>
  <si>
    <t>2022/117</t>
  </si>
  <si>
    <t>42000</t>
  </si>
  <si>
    <t>2022-04-19/2022-10-19</t>
  </si>
  <si>
    <t>2022-05-10</t>
  </si>
  <si>
    <t>2022/136</t>
  </si>
  <si>
    <t>MAISON DE L'EMPLOI DE BORDEAUX</t>
  </si>
  <si>
    <t>2022-05-10/2022-11-10</t>
  </si>
  <si>
    <t>2022-05-20</t>
  </si>
  <si>
    <t>ODEYS</t>
  </si>
  <si>
    <t>84519241800018.0</t>
  </si>
  <si>
    <t>2022-05-20/2022-11-20</t>
  </si>
  <si>
    <t>2022/223</t>
  </si>
  <si>
    <t>2022-09-01</t>
  </si>
  <si>
    <t>2022-06-02</t>
  </si>
  <si>
    <t>2022/268</t>
  </si>
  <si>
    <t>407000</t>
  </si>
  <si>
    <t>2022-06-02/2022-12-02</t>
  </si>
  <si>
    <t>Exposition Commun</t>
  </si>
  <si>
    <t>2022-06-09</t>
  </si>
  <si>
    <t>2022/144</t>
  </si>
  <si>
    <t>FRENCH TECH</t>
  </si>
  <si>
    <t>81831326400033.0</t>
  </si>
  <si>
    <t>2022-06-09/2022-12-09</t>
  </si>
  <si>
    <t>2022-05-25</t>
  </si>
  <si>
    <t>2022/322</t>
  </si>
  <si>
    <t>ADAV</t>
  </si>
  <si>
    <t>87400</t>
  </si>
  <si>
    <t>2022-05-25/2022-11-25</t>
  </si>
  <si>
    <t>2022-06-23</t>
  </si>
  <si>
    <t>Les médiévales</t>
  </si>
  <si>
    <t>2022-06-23/2022-12-23</t>
  </si>
  <si>
    <t>2022-04-07</t>
  </si>
  <si>
    <t>ADI NOUVELLE-AQUITAINE</t>
  </si>
  <si>
    <t>2022-04-07/2022-10-07</t>
  </si>
  <si>
    <t>2022-06-28</t>
  </si>
  <si>
    <t>2022/266</t>
  </si>
  <si>
    <t>FRANCE ACTIVE N-A</t>
  </si>
  <si>
    <t>Programme d'actions ESS</t>
  </si>
  <si>
    <t>2022-06-28/2022-12-28</t>
  </si>
  <si>
    <t>2022-06-27</t>
  </si>
  <si>
    <t>2022/178</t>
  </si>
  <si>
    <t>310000</t>
  </si>
  <si>
    <t>2022-06-27/2022-12-27</t>
  </si>
  <si>
    <t>2022/179</t>
  </si>
  <si>
    <t>Accompagnement stratégies énergétiques</t>
  </si>
  <si>
    <t>2022-07-31</t>
  </si>
  <si>
    <t>2020/388</t>
  </si>
  <si>
    <t>30016423300052.0</t>
  </si>
  <si>
    <t>AAP FAJ / Politique de la Ville</t>
  </si>
  <si>
    <t>2022-07-31/2023-01-31</t>
  </si>
  <si>
    <t>2022-07-13</t>
  </si>
  <si>
    <t>2022/353</t>
  </si>
  <si>
    <t>Action clause d'insertion</t>
  </si>
  <si>
    <t>24830</t>
  </si>
  <si>
    <t>2022-07-13/2023-01-13</t>
  </si>
  <si>
    <t>2022-07-21</t>
  </si>
  <si>
    <t>2022/194</t>
  </si>
  <si>
    <t>AGENCE DE DEVELOPPEMENT TOURISTIQUE</t>
  </si>
  <si>
    <t>78184375000055.0</t>
  </si>
  <si>
    <t>Gironde Tourisme 2022</t>
  </si>
  <si>
    <t>2022-07-21/2023-01-21</t>
  </si>
  <si>
    <t>2022-06-15</t>
  </si>
  <si>
    <t>MAISON PROMOTION SOCIALE FORMATION</t>
  </si>
  <si>
    <t>SARE 2022</t>
  </si>
  <si>
    <t>2022-06-15/2022-12-15</t>
  </si>
  <si>
    <t>2022-07-25</t>
  </si>
  <si>
    <t>2022/364</t>
  </si>
  <si>
    <t>CEID ADDICTIONS</t>
  </si>
  <si>
    <t>31241056600011.0</t>
  </si>
  <si>
    <t>2022-07-25/2023-01-25</t>
  </si>
  <si>
    <t>2022-07-19</t>
  </si>
  <si>
    <t>2022/35</t>
  </si>
  <si>
    <t>E-GRAINE NOUVELLE AQUITAINE</t>
  </si>
  <si>
    <t>82365349800019.0</t>
  </si>
  <si>
    <t>Vers un quartier Zéro Déchets 2022/2024</t>
  </si>
  <si>
    <t>105000</t>
  </si>
  <si>
    <t>2022-07-19/2023-01-19</t>
  </si>
  <si>
    <t>2022-08-17</t>
  </si>
  <si>
    <t>2022/400</t>
  </si>
  <si>
    <t>368000</t>
  </si>
  <si>
    <t>2022-08-17/2023-02-17</t>
  </si>
  <si>
    <t>2022-07-05</t>
  </si>
  <si>
    <t>2022/357</t>
  </si>
  <si>
    <t>Actions de Sensibilisation 2022</t>
  </si>
  <si>
    <t>1500</t>
  </si>
  <si>
    <t>2022-07-05/2023-01-05</t>
  </si>
  <si>
    <t>2022-07-12</t>
  </si>
  <si>
    <t>AGENCE LOCALE ENERGIE</t>
  </si>
  <si>
    <t>S.A.R.E  2022</t>
  </si>
  <si>
    <t>250000</t>
  </si>
  <si>
    <t>2022-07-12/2023-01-12</t>
  </si>
  <si>
    <t>2022-12-02</t>
  </si>
  <si>
    <t>2022-09-06</t>
  </si>
  <si>
    <t>2022/292</t>
  </si>
  <si>
    <t>2022-09-06/2023-03-06</t>
  </si>
  <si>
    <t>2022-09-02</t>
  </si>
  <si>
    <t>2022/352</t>
  </si>
  <si>
    <t>SECOURS POPULAIRE Français</t>
  </si>
  <si>
    <t>2022-09-02/2023-03-02</t>
  </si>
  <si>
    <t>2022-09-08</t>
  </si>
  <si>
    <t>2022-09-08/2023-03-08</t>
  </si>
  <si>
    <t>2022-08-24</t>
  </si>
  <si>
    <t>AREMACS</t>
  </si>
  <si>
    <t>48041736900125.0</t>
  </si>
  <si>
    <t>Accompagnement pluriannuel vers une gestion responsable des déchêts</t>
  </si>
  <si>
    <t>échelonné sur 3 ans</t>
  </si>
  <si>
    <t>2022-08-24/2023-02-24</t>
  </si>
  <si>
    <t>2022-08-31</t>
  </si>
  <si>
    <t>2022/427</t>
  </si>
  <si>
    <t>PARALLELES ATTITUDES DIFFUSION</t>
  </si>
  <si>
    <t>2022-08-31/2023-02-31</t>
  </si>
  <si>
    <t>2022-08-22</t>
  </si>
  <si>
    <t>LES PETITS DEBROUILLARDS</t>
  </si>
  <si>
    <t>41087071100083.0</t>
  </si>
  <si>
    <t>Programme d'actions CDV 2022</t>
  </si>
  <si>
    <t>2022-08-22/2023-02-22</t>
  </si>
  <si>
    <t>31000</t>
  </si>
  <si>
    <t>2022-09-05</t>
  </si>
  <si>
    <t>2022-09-05/2023-03-05</t>
  </si>
  <si>
    <t>2022-09-22</t>
  </si>
  <si>
    <t>MUSIQUE DE NUIT DIFFUSION</t>
  </si>
  <si>
    <t>2022-09-22/2023-03-22</t>
  </si>
  <si>
    <t>2022-09-12</t>
  </si>
  <si>
    <t>2022/401</t>
  </si>
  <si>
    <t>2022-09-12/2023-03-12</t>
  </si>
  <si>
    <t>2022-10-17</t>
  </si>
  <si>
    <t>2022/391</t>
  </si>
  <si>
    <t>BAM PROJECT</t>
  </si>
  <si>
    <t>83121092700016.0</t>
  </si>
  <si>
    <t>Aide à l'investissement</t>
  </si>
  <si>
    <t>726800</t>
  </si>
  <si>
    <t>2022-10-17/2023-04-17</t>
  </si>
  <si>
    <t>2022/378</t>
  </si>
  <si>
    <t>Projet ALLADIN 2022</t>
  </si>
  <si>
    <t>2022-08-30</t>
  </si>
  <si>
    <t>RECONNECT</t>
  </si>
  <si>
    <t>51141404700031.0</t>
  </si>
  <si>
    <t>2022-08-30/2023-02-30</t>
  </si>
  <si>
    <t>2022-10-25</t>
  </si>
  <si>
    <t>2022/551</t>
  </si>
  <si>
    <t>CYBELE</t>
  </si>
  <si>
    <t>90053354800013.0</t>
  </si>
  <si>
    <t>Subvention d'investissement</t>
  </si>
  <si>
    <t>2022-10-25/2023-04-25</t>
  </si>
  <si>
    <t>L'EPHEMERE</t>
  </si>
  <si>
    <t>82138441900015.0</t>
  </si>
  <si>
    <t>39961</t>
  </si>
  <si>
    <t>LUDOSENS</t>
  </si>
  <si>
    <t>51317173600038.0</t>
  </si>
  <si>
    <t>41750</t>
  </si>
  <si>
    <t>2022-07-18</t>
  </si>
  <si>
    <t>2022/358</t>
  </si>
  <si>
    <t>GRAINE AQUITAINE</t>
  </si>
  <si>
    <t>2022-07-18/2023-01-18</t>
  </si>
  <si>
    <t>2022-06-08</t>
  </si>
  <si>
    <t>2022/283</t>
  </si>
  <si>
    <t>France VILLE DURABLE</t>
  </si>
  <si>
    <t>81794385500020.0</t>
  </si>
  <si>
    <t>2022-06-08/2022-12-08</t>
  </si>
  <si>
    <t>2022/474</t>
  </si>
  <si>
    <t>2022-11-07</t>
  </si>
  <si>
    <t>2022/473</t>
  </si>
  <si>
    <t>A.DE.LE</t>
  </si>
  <si>
    <t>2022-11-07/2023-05-07</t>
  </si>
  <si>
    <t>LES RACINES DE PONTAULIC</t>
  </si>
  <si>
    <t>91265216100015.0</t>
  </si>
  <si>
    <t>2022-10-28</t>
  </si>
  <si>
    <t>2022/581</t>
  </si>
  <si>
    <t>2022-10-28/2023-04-28</t>
  </si>
  <si>
    <t>2022-11-08</t>
  </si>
  <si>
    <t>2022-11-08/2023-05-08</t>
  </si>
  <si>
    <t>2023-01-17</t>
  </si>
  <si>
    <t>2022/717</t>
  </si>
  <si>
    <t>ENTR'AUTRES</t>
  </si>
  <si>
    <t>80041897200025.0</t>
  </si>
  <si>
    <t>Appel à Projets 
Emploi et Quartier</t>
  </si>
  <si>
    <t>2022-12-02/2023-06-02</t>
  </si>
  <si>
    <t>PROMOFEMMES</t>
  </si>
  <si>
    <t>39931862500023.0</t>
  </si>
  <si>
    <t>2022-12-01</t>
  </si>
  <si>
    <t>LA CRAVATE SOLIDAIRE</t>
  </si>
  <si>
    <t>2022-12-01/2023-06-01</t>
  </si>
  <si>
    <t>82000</t>
  </si>
  <si>
    <t>2022-12-09</t>
  </si>
  <si>
    <t>Programme d'actions 2022-2023</t>
  </si>
  <si>
    <t>2022-12-09/2023-06-09</t>
  </si>
  <si>
    <t>2022/749</t>
  </si>
  <si>
    <t>CITES UNIES France</t>
  </si>
  <si>
    <t>30957565200040.0</t>
  </si>
  <si>
    <t>Soutien à l'Ukraine 2022</t>
  </si>
  <si>
    <t>2022/527</t>
  </si>
  <si>
    <t>NANTES SUMMERCAMP - SoFILM</t>
  </si>
  <si>
    <t>2022-12-08</t>
  </si>
  <si>
    <t>2022/777</t>
  </si>
  <si>
    <t>Plateforme Louer Clé en Main</t>
  </si>
  <si>
    <t>2022-12-08/2023-06-08</t>
  </si>
  <si>
    <t>2022-09-07</t>
  </si>
  <si>
    <t>2022/425</t>
  </si>
  <si>
    <t>PEP 33</t>
  </si>
  <si>
    <t>Soutien sensibilisation à la citoyenneté et environnement</t>
  </si>
  <si>
    <t>130900</t>
  </si>
  <si>
    <t>2022-09-07/2023-03-07</t>
  </si>
  <si>
    <t>2022-01-13</t>
  </si>
  <si>
    <t>2021/658</t>
  </si>
  <si>
    <t>LA RONDE DES QUARTIERS DE BX</t>
  </si>
  <si>
    <t>52539664400029.0</t>
  </si>
  <si>
    <t>Participation Etude Numérisation</t>
  </si>
  <si>
    <t>2022-01-13/2022-07-13</t>
  </si>
  <si>
    <t>2022-12-22</t>
  </si>
  <si>
    <t>2021/653</t>
  </si>
  <si>
    <t>FONCIERE SOLIDAIRE NA</t>
  </si>
  <si>
    <t>90374437300015.0</t>
  </si>
  <si>
    <t>2022-01-04</t>
  </si>
  <si>
    <t>2021/652</t>
  </si>
  <si>
    <t>43470528100021.0</t>
  </si>
  <si>
    <t>2022-01-04/2022-07-04</t>
  </si>
  <si>
    <t>2022-01-03</t>
  </si>
  <si>
    <t>ALLIANCE SANTE INNOVATION NOUVELLE AQUITAINE</t>
  </si>
  <si>
    <t>88319642000011.0</t>
  </si>
  <si>
    <t>Programme d'actions 2022</t>
  </si>
  <si>
    <t>2022-01-03/2022-07-03</t>
  </si>
  <si>
    <t>2022-02-22</t>
  </si>
  <si>
    <t>32848008200093.0</t>
  </si>
  <si>
    <t>Festival "Trente Trente, les rencontres de la forme courte"</t>
  </si>
  <si>
    <t>2022-02-22/2022-08-22</t>
  </si>
  <si>
    <t>2022-02-23</t>
  </si>
  <si>
    <t>CREAC de BEGLES</t>
  </si>
  <si>
    <t>Temps forts du cirque 2022</t>
  </si>
  <si>
    <t>2022-02-23/2022-08-23</t>
  </si>
  <si>
    <t>2022-01-24</t>
  </si>
  <si>
    <t>2021/689</t>
  </si>
  <si>
    <t>Subventin de fonctionnement</t>
  </si>
  <si>
    <t>2022-01-24/2022-07-24</t>
  </si>
  <si>
    <t>2022-02-24</t>
  </si>
  <si>
    <t>Carnaval des deux rives 2022</t>
  </si>
  <si>
    <t>2022-02-24/2022-08-24</t>
  </si>
  <si>
    <t>2022-01-22</t>
  </si>
  <si>
    <t>COOP'ALPHA</t>
  </si>
  <si>
    <t>82524131800021.0</t>
  </si>
  <si>
    <t>2021/503</t>
  </si>
  <si>
    <t>SUPERCOOP</t>
  </si>
  <si>
    <t>8871</t>
  </si>
  <si>
    <t>2021-12-20/2022-06-20</t>
  </si>
  <si>
    <t>2021/502</t>
  </si>
  <si>
    <t>53310615900023.0</t>
  </si>
  <si>
    <t>2022/26</t>
  </si>
  <si>
    <t>ASS EUROP DU FILM D'ANIMATION CARTOON</t>
  </si>
  <si>
    <t>Manifestation Cartoon mars 2022</t>
  </si>
  <si>
    <t>2022-03-04/2022-09-04</t>
  </si>
  <si>
    <t>72500</t>
  </si>
  <si>
    <t>2022-03-17</t>
  </si>
  <si>
    <t>Subvention Faites des Bulles 2022</t>
  </si>
  <si>
    <t>2022-03-17/2022-09-17</t>
  </si>
  <si>
    <t>2022-03-30</t>
  </si>
  <si>
    <t>2022/33</t>
  </si>
  <si>
    <t>91000</t>
  </si>
  <si>
    <t>2022-03-30/2022-09-30</t>
  </si>
  <si>
    <t>19000</t>
  </si>
  <si>
    <t>2022-04-08</t>
  </si>
  <si>
    <t>BORDEAUX SUPERYACHTS REFIT</t>
  </si>
  <si>
    <t>2022-04-08/2022-10-08</t>
  </si>
  <si>
    <t>2022-04-15</t>
  </si>
  <si>
    <t>2022/139</t>
  </si>
  <si>
    <t>100000</t>
  </si>
  <si>
    <t>2022-04-15/2022-10-15</t>
  </si>
  <si>
    <t>2022-03-21</t>
  </si>
  <si>
    <t>Subvention Festival Pouce 2022</t>
  </si>
  <si>
    <t>2022-03-21/2022-09-21</t>
  </si>
  <si>
    <t>2022/185</t>
  </si>
  <si>
    <t>RESEAU PAUL BERT</t>
  </si>
  <si>
    <t>34084009900022.0</t>
  </si>
  <si>
    <t>284850</t>
  </si>
  <si>
    <t>2022-04-21</t>
  </si>
  <si>
    <t>2022/195</t>
  </si>
  <si>
    <t>VILLA PRIMEROSE</t>
  </si>
  <si>
    <t>2022-04-21/2022-10-21</t>
  </si>
  <si>
    <t>AGRI SO INNOVATION</t>
  </si>
  <si>
    <t>49919608700070.0</t>
  </si>
  <si>
    <t>97000</t>
  </si>
  <si>
    <t>AQUITAINE CHIMIE DURABLE</t>
  </si>
  <si>
    <t>52898001400021.0</t>
  </si>
  <si>
    <t>2022-04-27</t>
  </si>
  <si>
    <t>2022/222</t>
  </si>
  <si>
    <t>L'AGENCE D'URBANISME BORDEAUX AQUITAINE</t>
  </si>
  <si>
    <t>2022-04-27/2022-10-27</t>
  </si>
  <si>
    <t>2022/200</t>
  </si>
  <si>
    <t>MEDECINS SANS FRONTIERES</t>
  </si>
  <si>
    <t>30500910200081.0</t>
  </si>
  <si>
    <t>Subvention Except au profit des populations afghanes déplacées</t>
  </si>
  <si>
    <t>2022-05-02</t>
  </si>
  <si>
    <t>UNITEC</t>
  </si>
  <si>
    <t>140000</t>
  </si>
  <si>
    <t>2022-05-02/2022-11-02</t>
  </si>
  <si>
    <t>2022-05-30</t>
  </si>
  <si>
    <t>2020/119</t>
  </si>
  <si>
    <t>JUNIA</t>
  </si>
  <si>
    <t>78370700300035.0</t>
  </si>
  <si>
    <t>2022-05-30/2022-11-30</t>
  </si>
  <si>
    <t>2022-05-19</t>
  </si>
  <si>
    <t>2022/162</t>
  </si>
  <si>
    <t>GSEF</t>
  </si>
  <si>
    <t>91197691800019.0</t>
  </si>
  <si>
    <t>2022-05-19/2022-11-19</t>
  </si>
  <si>
    <t>Subvention Exceptionnelle</t>
  </si>
  <si>
    <t>2022-06-21</t>
  </si>
  <si>
    <t>2022/196</t>
  </si>
  <si>
    <t>QUATUORS A BORDEAUX</t>
  </si>
  <si>
    <t>Quatuors à Bordeaux</t>
  </si>
  <si>
    <t>2022-06-21/2022-12-21</t>
  </si>
  <si>
    <t>2022/246</t>
  </si>
  <si>
    <t>PLIE DES HAUTS DE GARONNE</t>
  </si>
  <si>
    <t>47838951300019.0</t>
  </si>
  <si>
    <t>APP Emploi et Quartiers</t>
  </si>
  <si>
    <t>2022/369</t>
  </si>
  <si>
    <t>Festival New Bell 2022</t>
  </si>
  <si>
    <t>33148</t>
  </si>
  <si>
    <t>2022-07-26</t>
  </si>
  <si>
    <t>2022/293</t>
  </si>
  <si>
    <t>Championnat de France Breaking</t>
  </si>
  <si>
    <t>2022-07-26/2023-01-26</t>
  </si>
  <si>
    <t>PLIE PORTES DU SUD</t>
  </si>
  <si>
    <t>49518895500019.0</t>
  </si>
  <si>
    <t>14106</t>
  </si>
  <si>
    <t>8135</t>
  </si>
  <si>
    <t>2022/436</t>
  </si>
  <si>
    <t>Aide à l'Investissement</t>
  </si>
  <si>
    <t>930000</t>
  </si>
  <si>
    <t>2022/279</t>
  </si>
  <si>
    <t>145000</t>
  </si>
  <si>
    <t>2022-08-18</t>
  </si>
  <si>
    <t>2022-08-18/2023-02-18</t>
  </si>
  <si>
    <t>2022/359</t>
  </si>
  <si>
    <t>Actions "Clauses d'insertion"</t>
  </si>
  <si>
    <t>36765</t>
  </si>
  <si>
    <t>2022/245</t>
  </si>
  <si>
    <t>77567137300154.0</t>
  </si>
  <si>
    <t>Bordeaux Fête le Vin</t>
  </si>
  <si>
    <t>2022-07-28</t>
  </si>
  <si>
    <t>2022/390</t>
  </si>
  <si>
    <t>2022-07-28/2023-01-28</t>
  </si>
  <si>
    <t>Projet TAPAJ NPNRU-Bordeaux et Hauts-de-Garonne</t>
  </si>
  <si>
    <t>2021-08-24</t>
  </si>
  <si>
    <t>UNIS CITES</t>
  </si>
  <si>
    <t>Action spécifique KIOSC 2021</t>
  </si>
  <si>
    <t>2021-08-24/2022-02-24</t>
  </si>
  <si>
    <t>2022/366</t>
  </si>
  <si>
    <t>CLUB MUNICIPAL OMNISPORT DE BASSENS</t>
  </si>
  <si>
    <t>33892405300014.0</t>
  </si>
  <si>
    <t>National de Pétanque</t>
  </si>
  <si>
    <t>2022-09-23</t>
  </si>
  <si>
    <t>2022/453</t>
  </si>
  <si>
    <t>Fête du vélo 2022</t>
  </si>
  <si>
    <t>2022-09-23/2023-03-23</t>
  </si>
  <si>
    <t>2022/454</t>
  </si>
  <si>
    <t>2022-06-29</t>
  </si>
  <si>
    <t>2022/294</t>
  </si>
  <si>
    <t>PIMMS DE BORDEAUX</t>
  </si>
  <si>
    <t>65567</t>
  </si>
  <si>
    <t>2022-06-29/2022-12-29</t>
  </si>
  <si>
    <t>2022-10-06</t>
  </si>
  <si>
    <t>ARTS ET LOISIRS D'ARLAC</t>
  </si>
  <si>
    <t>30604031200028.0</t>
  </si>
  <si>
    <t>2022-10-06/2023-04-06</t>
  </si>
  <si>
    <t>2022-09-24</t>
  </si>
  <si>
    <t>CENTRE SOCIAUX UNIRE</t>
  </si>
  <si>
    <t>2022-09-24/2023-03-24</t>
  </si>
  <si>
    <t>KONEXIO</t>
  </si>
  <si>
    <t>82424482600023.0</t>
  </si>
  <si>
    <t>HALTE 33</t>
  </si>
  <si>
    <t>48773632400046.0</t>
  </si>
  <si>
    <t>5400</t>
  </si>
  <si>
    <t>2022-08-29</t>
  </si>
  <si>
    <t>CENTRE ANIMATION DE BORDEAUX CULTIVONS LE PARTAGE</t>
  </si>
  <si>
    <t>78184929400280.0</t>
  </si>
  <si>
    <t>2022-08-29/2023-02-29</t>
  </si>
  <si>
    <t>CENTRE SOCIAL BAGATELLE</t>
  </si>
  <si>
    <t>78202130700015.0</t>
  </si>
  <si>
    <t>2022/166</t>
  </si>
  <si>
    <t>CRESS NA</t>
  </si>
  <si>
    <t>82802334100047.0</t>
  </si>
  <si>
    <t>DROP DE BETON</t>
  </si>
  <si>
    <t>41834346300026.0</t>
  </si>
  <si>
    <t>ATELIER REMUMENAGE</t>
  </si>
  <si>
    <t>43775023500040.0</t>
  </si>
  <si>
    <t>2022/470</t>
  </si>
  <si>
    <t>RACINES DE PONTAULIC</t>
  </si>
  <si>
    <t>2022-11-18</t>
  </si>
  <si>
    <t>2022/515</t>
  </si>
  <si>
    <t>2022-11-18/2023-05-18</t>
  </si>
  <si>
    <t>2022-11-21</t>
  </si>
  <si>
    <t>2022/516</t>
  </si>
  <si>
    <t>2022-11-21/2023-05-21</t>
  </si>
  <si>
    <t>2022-10-31</t>
  </si>
  <si>
    <t>2022-10-31/2023-04-31</t>
  </si>
  <si>
    <t>2022-11-29</t>
  </si>
  <si>
    <t>2022/544</t>
  </si>
  <si>
    <t>La Boussole des Jeunes</t>
  </si>
  <si>
    <t>2022-11-29/2023-05-29</t>
  </si>
  <si>
    <t>2022/772</t>
  </si>
  <si>
    <t>2022-09-30</t>
  </si>
  <si>
    <t>2022/552</t>
  </si>
  <si>
    <t>INTERCOMMUNALITES DE France</t>
  </si>
  <si>
    <t>38906263900056.0</t>
  </si>
  <si>
    <t>32° Convention nat. de l’Intercommunalité</t>
  </si>
  <si>
    <t>2022-09-30/2023-03-30</t>
  </si>
  <si>
    <t>2022-11-30</t>
  </si>
  <si>
    <t>2022/710</t>
  </si>
  <si>
    <t>WORLD IMPACT SUMMIT</t>
  </si>
  <si>
    <t>2022-11-30/2023-05-11</t>
  </si>
  <si>
    <t>LE PRADO</t>
  </si>
  <si>
    <t>77558666200071.0</t>
  </si>
  <si>
    <t>2021-12-15</t>
  </si>
  <si>
    <t>2021/609</t>
  </si>
  <si>
    <t>NANTES SUMMERCAMP- SOFILM</t>
  </si>
  <si>
    <t>Résidences écriture long métrage de cinéma</t>
  </si>
  <si>
    <t>75000</t>
  </si>
  <si>
    <t>2021-12-15/2022-06-15</t>
  </si>
  <si>
    <t>2022-01-06</t>
  </si>
  <si>
    <t>2021/733</t>
  </si>
  <si>
    <t>ASSOCIATION LAIQUE LE PRADO</t>
  </si>
  <si>
    <t>77558666200337.0</t>
  </si>
  <si>
    <t>Plateforme de captation "Louer Clé en Mains"</t>
  </si>
  <si>
    <t>2022-01-06/2022-07-06</t>
  </si>
  <si>
    <t>2021-09-06</t>
  </si>
  <si>
    <t>2021/326</t>
  </si>
  <si>
    <t>ASSOCIATION IKOS</t>
  </si>
  <si>
    <t>84324796600016.0</t>
  </si>
  <si>
    <t>Subvention Investissement</t>
  </si>
  <si>
    <t>2021-09-06/2022-03-06</t>
  </si>
  <si>
    <t>ASS DEF MUSIQUE ALTERNATIVE AQUITAINE</t>
  </si>
  <si>
    <t>ESCALE LITTERAIRES BORDEAUX AQUITAINE</t>
  </si>
  <si>
    <t>Escale du livre 2022</t>
  </si>
  <si>
    <t>INSTITUT 3IE</t>
  </si>
  <si>
    <t>81240643700028.0</t>
  </si>
  <si>
    <t>2022-03-09</t>
  </si>
  <si>
    <t>Evènements Artothèque 2022</t>
  </si>
  <si>
    <t>2022-03-09/2022-09-09</t>
  </si>
  <si>
    <t>2022/28</t>
  </si>
  <si>
    <t>WAY4SPACE</t>
  </si>
  <si>
    <t>90870146900011.0</t>
  </si>
  <si>
    <t>2022-03-14</t>
  </si>
  <si>
    <t>Subvention Festival 2022</t>
  </si>
  <si>
    <t>2022-03-14/2022-09-14</t>
  </si>
  <si>
    <t>Subvention Musical Ecran 2022</t>
  </si>
  <si>
    <t>2022-04-25</t>
  </si>
  <si>
    <t>2022/191</t>
  </si>
  <si>
    <t>2022-04-25/2022-10-25</t>
  </si>
  <si>
    <t>2022/164</t>
  </si>
  <si>
    <t>LA PETITE SŒUR</t>
  </si>
  <si>
    <t>89961367300016.0</t>
  </si>
  <si>
    <t>20950</t>
  </si>
  <si>
    <t>2022/60</t>
  </si>
  <si>
    <t>COMITE DES ŒUVRES SOCIALES DU PERSONNEL DE BORDEAUX METROPOLE</t>
  </si>
  <si>
    <t>2022-03-08</t>
  </si>
  <si>
    <t>2022/59</t>
  </si>
  <si>
    <t>UNION BORDEAUX METROPOLE</t>
  </si>
  <si>
    <t>206000</t>
  </si>
  <si>
    <t>2022-03-08/2022-09-08</t>
  </si>
  <si>
    <t>2022-06-22</t>
  </si>
  <si>
    <t>2022/265</t>
  </si>
  <si>
    <t>27200</t>
  </si>
  <si>
    <t>2022-06-22/2022-12-22</t>
  </si>
  <si>
    <t>2022-06-24</t>
  </si>
  <si>
    <t>2022-06-24/2022-12-24</t>
  </si>
  <si>
    <t>Festival INSITU</t>
  </si>
  <si>
    <t>2022/177</t>
  </si>
  <si>
    <t>A.DE.L.E PLIE des Graves</t>
  </si>
  <si>
    <t>19642</t>
  </si>
  <si>
    <t>116000</t>
  </si>
  <si>
    <t>2022-08-26</t>
  </si>
  <si>
    <t>2022-08-26/2023-02-26</t>
  </si>
  <si>
    <t>2022-09-27</t>
  </si>
  <si>
    <t>2022-09-27/2023-03-27</t>
  </si>
  <si>
    <t>2022/392</t>
  </si>
  <si>
    <t>216600</t>
  </si>
  <si>
    <t>2022-10-04</t>
  </si>
  <si>
    <t>2022-10-04/2023-04-04</t>
  </si>
  <si>
    <t>2022-09-15</t>
  </si>
  <si>
    <t>2022-09-15/2023-03-15</t>
  </si>
  <si>
    <t>PIMMS CENON</t>
  </si>
  <si>
    <t>52354600000028.0</t>
  </si>
  <si>
    <t>2022-09-29</t>
  </si>
  <si>
    <t>PIMMS BORDEAUX</t>
  </si>
  <si>
    <t>2022-09-29/2023-03-29</t>
  </si>
  <si>
    <t>ARBRES ET PAYSAGES</t>
  </si>
  <si>
    <t>40289121200035.0</t>
  </si>
  <si>
    <t>5665</t>
  </si>
  <si>
    <t>2022-11-22</t>
  </si>
  <si>
    <t>2022-11-22/2023-05-22</t>
  </si>
  <si>
    <t>2022/471</t>
  </si>
  <si>
    <t>CARREFOUR POUR L'EMPLOI</t>
  </si>
  <si>
    <t>ESPACE TEXTILE</t>
  </si>
  <si>
    <t>23100</t>
  </si>
  <si>
    <t>2022-12-05</t>
  </si>
  <si>
    <t>2022-12-05/2023-06-05</t>
  </si>
  <si>
    <t>2022/623</t>
  </si>
  <si>
    <t>Appel à Projets 
Parcarité Etudiante</t>
  </si>
  <si>
    <t>65000</t>
  </si>
  <si>
    <t>2022-12-07</t>
  </si>
  <si>
    <t>Appel à Projets Précarité Etudiante</t>
  </si>
  <si>
    <t>2022-12-07/2023-06-07</t>
  </si>
  <si>
    <t>2022/747</t>
  </si>
  <si>
    <t>MAISON DE L'EUROPE BORDEAUX AQUITAINE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</si>
</sst>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shrinkToFit="0" wrapText="1"/>
    </xf>
    <xf borderId="0" fillId="0" fontId="2"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le-relais-talencais.org/" TargetMode="External"/><Relationship Id="rId42" Type="http://schemas.openxmlformats.org/officeDocument/2006/relationships/hyperlink" Target="https://www.ville-martignas.fr/centre-socioculturel/" TargetMode="External"/><Relationship Id="rId41" Type="http://schemas.openxmlformats.org/officeDocument/2006/relationships/hyperlink" Target="https://www.facebook.com/Lerelaistalencais" TargetMode="External"/><Relationship Id="rId44" Type="http://schemas.openxmlformats.org/officeDocument/2006/relationships/hyperlink" Target="https://www.facebook.com/puzzlecapeyron/" TargetMode="External"/><Relationship Id="rId43" Type="http://schemas.openxmlformats.org/officeDocument/2006/relationships/hyperlink" Target="https://puzzle-capeyron.fr/" TargetMode="External"/><Relationship Id="rId46" Type="http://schemas.openxmlformats.org/officeDocument/2006/relationships/hyperlink" Target="https://www.facebook.com/ASCO-Association-Socio-Culturelle-de-lOuest-350004958881145" TargetMode="External"/><Relationship Id="rId45" Type="http://schemas.openxmlformats.org/officeDocument/2006/relationships/hyperlink" Target="http://association-asco.com/" TargetMode="External"/><Relationship Id="rId107" Type="http://schemas.openxmlformats.org/officeDocument/2006/relationships/hyperlink" Target="https://www.laruchenjalles.com/" TargetMode="External"/><Relationship Id="rId106" Type="http://schemas.openxmlformats.org/officeDocument/2006/relationships/hyperlink" Target="http://www.maisondanimationdesjalles.org/" TargetMode="External"/><Relationship Id="rId105" Type="http://schemas.openxmlformats.org/officeDocument/2006/relationships/hyperlink" Target="https://www.facebook.com/merignacjeunesse/" TargetMode="External"/><Relationship Id="rId104" Type="http://schemas.openxmlformats.org/officeDocument/2006/relationships/hyperlink" Target="http://www.merignac.com/actualites/le-bureau-information-jeunesse-merignac-un-lieu-pour-tous-les-jeunes-de-11-30-ans" TargetMode="External"/><Relationship Id="rId109" Type="http://schemas.openxmlformats.org/officeDocument/2006/relationships/hyperlink" Target="https://www.facebook.com/lesmediathequessmj/" TargetMode="External"/><Relationship Id="rId108" Type="http://schemas.openxmlformats.org/officeDocument/2006/relationships/hyperlink" Target="http://mediatheques.saint-medard-en-jalles.fr" TargetMode="External"/><Relationship Id="rId48" Type="http://schemas.openxmlformats.org/officeDocument/2006/relationships/hyperlink" Target="https://www.facebook.com/AtelierRemumenage/" TargetMode="External"/><Relationship Id="rId47" Type="http://schemas.openxmlformats.org/officeDocument/2006/relationships/hyperlink" Target="http://atelier-remumenage.org/" TargetMode="External"/><Relationship Id="rId49" Type="http://schemas.openxmlformats.org/officeDocument/2006/relationships/hyperlink" Target="https://centresanimationbordeaux.fr/bacalan" TargetMode="External"/><Relationship Id="rId184" Type="http://schemas.openxmlformats.org/officeDocument/2006/relationships/drawing" Target="../drawings/drawing1.xml"/><Relationship Id="rId103" Type="http://schemas.openxmlformats.org/officeDocument/2006/relationships/hyperlink" Target="https://www.facebook.com/artsetloisirsarlac.fr/" TargetMode="External"/><Relationship Id="rId102" Type="http://schemas.openxmlformats.org/officeDocument/2006/relationships/hyperlink" Target="https://artsetloisirsarlac.centres-sociaux.fr/" TargetMode="External"/><Relationship Id="rId101" Type="http://schemas.openxmlformats.org/officeDocument/2006/relationships/hyperlink" Target="http://agirabcd33.com/antenne-merignac.html" TargetMode="External"/><Relationship Id="rId100" Type="http://schemas.openxmlformats.org/officeDocument/2006/relationships/hyperlink" Target="http://www.mediatheque-taillan-medoc.fr/" TargetMode="External"/><Relationship Id="rId31" Type="http://schemas.openxmlformats.org/officeDocument/2006/relationships/hyperlink" Target="https://www.alteregaux33.fr/" TargetMode="External"/><Relationship Id="rId30" Type="http://schemas.openxmlformats.org/officeDocument/2006/relationships/hyperlink" Target="http://www.clap-so.org/les-secteurs/dplai/" TargetMode="External"/><Relationship Id="rId33" Type="http://schemas.openxmlformats.org/officeDocument/2006/relationships/hyperlink" Target="https://www.iut.u-bordeaux.fr/cohabit/" TargetMode="External"/><Relationship Id="rId183" Type="http://schemas.openxmlformats.org/officeDocument/2006/relationships/hyperlink" Target="https://www.facebook.com/centresanimationbordeaux/" TargetMode="External"/><Relationship Id="rId32" Type="http://schemas.openxmlformats.org/officeDocument/2006/relationships/hyperlink" Target="http://www.bordeaux-ecole-numerique.fr/" TargetMode="External"/><Relationship Id="rId182" Type="http://schemas.openxmlformats.org/officeDocument/2006/relationships/hyperlink" Target="https://centresanimationbordeaux.fr/monsejour/" TargetMode="External"/><Relationship Id="rId35" Type="http://schemas.openxmlformats.org/officeDocument/2006/relationships/hyperlink" Target="http://www.plie-portesdusud.org" TargetMode="External"/><Relationship Id="rId181" Type="http://schemas.openxmlformats.org/officeDocument/2006/relationships/hyperlink" Target="https://www.facebook.com/Bordeaux.Seniors/" TargetMode="External"/><Relationship Id="rId34" Type="http://schemas.openxmlformats.org/officeDocument/2006/relationships/hyperlink" Target="https://www.facebook.com/Fablab-Cohabit-1713924472234837/" TargetMode="External"/><Relationship Id="rId180" Type="http://schemas.openxmlformats.org/officeDocument/2006/relationships/hyperlink" Target="https://seniorsreporters.bordeaux.fr" TargetMode="External"/><Relationship Id="rId37" Type="http://schemas.openxmlformats.org/officeDocument/2006/relationships/hyperlink" Target="https://www.talence.fr/quotidien/jeunesse-vie-etudiante/service-jeunesse-esj/" TargetMode="External"/><Relationship Id="rId176" Type="http://schemas.openxmlformats.org/officeDocument/2006/relationships/hyperlink" Target="http://www.mediatheque.merignac.com/Default/informatique.aspx" TargetMode="External"/><Relationship Id="rId36" Type="http://schemas.openxmlformats.org/officeDocument/2006/relationships/hyperlink" Target="http://mediatheque.mairie-pessac.fr/" TargetMode="External"/><Relationship Id="rId175" Type="http://schemas.openxmlformats.org/officeDocument/2006/relationships/hyperlink" Target="https://www.facebook.com/mediathequemerignac/" TargetMode="External"/><Relationship Id="rId39" Type="http://schemas.openxmlformats.org/officeDocument/2006/relationships/hyperlink" Target="https://portail.mediatheques.talence.fr" TargetMode="External"/><Relationship Id="rId174" Type="http://schemas.openxmlformats.org/officeDocument/2006/relationships/hyperlink" Target="http://www.mediatheque.merignac.com/Default/informatique.aspx" TargetMode="External"/><Relationship Id="rId38" Type="http://schemas.openxmlformats.org/officeDocument/2006/relationships/hyperlink" Target="https://www.facebook.com/EIJTalence/" TargetMode="External"/><Relationship Id="rId173" Type="http://schemas.openxmlformats.org/officeDocument/2006/relationships/hyperlink" Target="https://www.facebook.com/levivierdespartages/" TargetMode="External"/><Relationship Id="rId179" Type="http://schemas.openxmlformats.org/officeDocument/2006/relationships/hyperlink" Target="https://www.facebook.com/MiLoTechnowest/" TargetMode="External"/><Relationship Id="rId178" Type="http://schemas.openxmlformats.org/officeDocument/2006/relationships/hyperlink" Target="https://www.mltechnowest.com/" TargetMode="External"/><Relationship Id="rId177" Type="http://schemas.openxmlformats.org/officeDocument/2006/relationships/hyperlink" Target="https://www.facebook.com/mediathequemerignac/" TargetMode="External"/><Relationship Id="rId20" Type="http://schemas.openxmlformats.org/officeDocument/2006/relationships/hyperlink" Target="https://www.facebook.com/bibliotheques.bordeaux/" TargetMode="External"/><Relationship Id="rId22" Type="http://schemas.openxmlformats.org/officeDocument/2006/relationships/hyperlink" Target="https://www.facebook.com/bibliotheques.bordeaux/" TargetMode="External"/><Relationship Id="rId21" Type="http://schemas.openxmlformats.org/officeDocument/2006/relationships/hyperlink" Target="http://bibliotheque.bordeaux.fr" TargetMode="External"/><Relationship Id="rId24" Type="http://schemas.openxmlformats.org/officeDocument/2006/relationships/hyperlink" Target="https://www.facebook.com/bibliotheques.bordeaux/" TargetMode="External"/><Relationship Id="rId23" Type="http://schemas.openxmlformats.org/officeDocument/2006/relationships/hyperlink" Target="http://bibliotheque.bordeaux.fr" TargetMode="External"/><Relationship Id="rId129" Type="http://schemas.openxmlformats.org/officeDocument/2006/relationships/hyperlink" Target="https://centresanimationbordeaux.fr/saint-pierre/" TargetMode="External"/><Relationship Id="rId128" Type="http://schemas.openxmlformats.org/officeDocument/2006/relationships/hyperlink" Target="https://www.caio-bordeaux.com/" TargetMode="External"/><Relationship Id="rId127" Type="http://schemas.openxmlformats.org/officeDocument/2006/relationships/hyperlink" Target="https://www.emploi-bordeaux.fr/" TargetMode="External"/><Relationship Id="rId126" Type="http://schemas.openxmlformats.org/officeDocument/2006/relationships/hyperlink" Target="https://www.facebook.com/GP-Inten6t-Centre-Social-Et-Culturel-Du-Grand-Parc-486862171457017/" TargetMode="External"/><Relationship Id="rId26" Type="http://schemas.openxmlformats.org/officeDocument/2006/relationships/hyperlink" Target="https://www.carbon-blanc.fr/a-tout-age/solidarites/le-centre-communal-daction-sociale-2.html" TargetMode="External"/><Relationship Id="rId121" Type="http://schemas.openxmlformats.org/officeDocument/2006/relationships/hyperlink" Target="http://cap-sciences.net/" TargetMode="External"/><Relationship Id="rId25" Type="http://schemas.openxmlformats.org/officeDocument/2006/relationships/hyperlink" Target="https://www.facebook.com/liguedelenseignement.gironde/" TargetMode="External"/><Relationship Id="rId120" Type="http://schemas.openxmlformats.org/officeDocument/2006/relationships/hyperlink" Target="https://www.facebook.com/bibliotheques.bordeaux/" TargetMode="External"/><Relationship Id="rId28" Type="http://schemas.openxmlformats.org/officeDocument/2006/relationships/hyperlink" Target="http://facebook.com/lepixelrelaisnumerique" TargetMode="External"/><Relationship Id="rId27" Type="http://schemas.openxmlformats.org/officeDocument/2006/relationships/hyperlink" Target="https://pixel.cenon.fr/" TargetMode="External"/><Relationship Id="rId125" Type="http://schemas.openxmlformats.org/officeDocument/2006/relationships/hyperlink" Target="http://gpinten6t.fr/" TargetMode="External"/><Relationship Id="rId29" Type="http://schemas.openxmlformats.org/officeDocument/2006/relationships/hyperlink" Target="https://www.facebook.com/CGCVL/" TargetMode="External"/><Relationship Id="rId124" Type="http://schemas.openxmlformats.org/officeDocument/2006/relationships/hyperlink" Target="https://www.ameli.fr/gironde/" TargetMode="External"/><Relationship Id="rId123" Type="http://schemas.openxmlformats.org/officeDocument/2006/relationships/hyperlink" Target="http://www.clap-so.org/les-secteurs/dplai/" TargetMode="External"/><Relationship Id="rId122" Type="http://schemas.openxmlformats.org/officeDocument/2006/relationships/hyperlink" Target="https://www.facebook.com/cap.sciences" TargetMode="External"/><Relationship Id="rId95" Type="http://schemas.openxmlformats.org/officeDocument/2006/relationships/hyperlink" Target="https://www.facebook.com/EysinesCulture" TargetMode="External"/><Relationship Id="rId94" Type="http://schemas.openxmlformats.org/officeDocument/2006/relationships/hyperlink" Target="https://www.eysines-culture.fr/lieux/mediatheque-jean-degoul/" TargetMode="External"/><Relationship Id="rId97" Type="http://schemas.openxmlformats.org/officeDocument/2006/relationships/hyperlink" Target="https://www.facebook.com/ricochetasso33/" TargetMode="External"/><Relationship Id="rId96" Type="http://schemas.openxmlformats.org/officeDocument/2006/relationships/hyperlink" Target="https://www.ricochetasso.fr" TargetMode="External"/><Relationship Id="rId11" Type="http://schemas.openxmlformats.org/officeDocument/2006/relationships/hyperlink" Target="http://www.jeuneabordeaux.fr/" TargetMode="External"/><Relationship Id="rId99" Type="http://schemas.openxmlformats.org/officeDocument/2006/relationships/hyperlink" Target="https://www.facebook.com/LaSource33185/" TargetMode="External"/><Relationship Id="rId10" Type="http://schemas.openxmlformats.org/officeDocument/2006/relationships/hyperlink" Target="https://www.facebook.com/bibliotheques.bordeaux/" TargetMode="External"/><Relationship Id="rId98" Type="http://schemas.openxmlformats.org/officeDocument/2006/relationships/hyperlink" Target="https://www.ville-lehaillan.fr/La-Source-Centre-Socio-Culturel.html" TargetMode="External"/><Relationship Id="rId13" Type="http://schemas.openxmlformats.org/officeDocument/2006/relationships/hyperlink" Target="https://lenomlieu.wordpress.com/accueil/" TargetMode="External"/><Relationship Id="rId12" Type="http://schemas.openxmlformats.org/officeDocument/2006/relationships/hyperlink" Target="https://www.facebook.com/InfoJeunes.NA.Bordeaux.Europedirect/" TargetMode="External"/><Relationship Id="rId91" Type="http://schemas.openxmlformats.org/officeDocument/2006/relationships/hyperlink" Target="https://www.facebook.com/eychoeysines" TargetMode="External"/><Relationship Id="rId90" Type="http://schemas.openxmlformats.org/officeDocument/2006/relationships/hyperlink" Target="https://www.eysines.fr/solidarite-et-social/leycho/le-centre-social-eycho/" TargetMode="External"/><Relationship Id="rId93" Type="http://schemas.openxmlformats.org/officeDocument/2006/relationships/hyperlink" Target="https://www.facebook.com/eychoeysines" TargetMode="External"/><Relationship Id="rId92" Type="http://schemas.openxmlformats.org/officeDocument/2006/relationships/hyperlink" Target="https://www.eysines.fr/solidarite-et-social/leycho/le-centre-social-eycho/" TargetMode="External"/><Relationship Id="rId118" Type="http://schemas.openxmlformats.org/officeDocument/2006/relationships/hyperlink" Target="https://www.facebook.com/UDAF.Gironde.33" TargetMode="External"/><Relationship Id="rId117" Type="http://schemas.openxmlformats.org/officeDocument/2006/relationships/hyperlink" Target="http://www.udaf33.fr" TargetMode="External"/><Relationship Id="rId116" Type="http://schemas.openxmlformats.org/officeDocument/2006/relationships/hyperlink" Target="https://www.facebook.com/eychoeysines" TargetMode="External"/><Relationship Id="rId115" Type="http://schemas.openxmlformats.org/officeDocument/2006/relationships/hyperlink" Target="https://www.eysines.fr/solidarite-et-social/leycho/le-centre-social-eycho/" TargetMode="External"/><Relationship Id="rId119" Type="http://schemas.openxmlformats.org/officeDocument/2006/relationships/hyperlink" Target="http://bibliotheque.bordeaux.fr" TargetMode="External"/><Relationship Id="rId15" Type="http://schemas.openxmlformats.org/officeDocument/2006/relationships/hyperlink" Target="http://oxygene-asso.fr/" TargetMode="External"/><Relationship Id="rId110" Type="http://schemas.openxmlformats.org/officeDocument/2006/relationships/hyperlink" Target="http://feydit.saintmedardasso.fr/" TargetMode="External"/><Relationship Id="rId14" Type="http://schemas.openxmlformats.org/officeDocument/2006/relationships/hyperlink" Target="https://lenomlieu.org/accueil/?share=facebook&amp;nb=1" TargetMode="External"/><Relationship Id="rId17" Type="http://schemas.openxmlformats.org/officeDocument/2006/relationships/hyperlink" Target="http://www.abracodabra.fr/" TargetMode="External"/><Relationship Id="rId16" Type="http://schemas.openxmlformats.org/officeDocument/2006/relationships/hyperlink" Target="https://www.philomathiquebordeaux.com/" TargetMode="External"/><Relationship Id="rId19" Type="http://schemas.openxmlformats.org/officeDocument/2006/relationships/hyperlink" Target="http://bibliotheque.bordeaux.fr" TargetMode="External"/><Relationship Id="rId114" Type="http://schemas.openxmlformats.org/officeDocument/2006/relationships/hyperlink" Target="https://www.facebook.com/lesmediathequessmj/" TargetMode="External"/><Relationship Id="rId18" Type="http://schemas.openxmlformats.org/officeDocument/2006/relationships/hyperlink" Target="https://www.facebook.com/abracodabrabx/" TargetMode="External"/><Relationship Id="rId113" Type="http://schemas.openxmlformats.org/officeDocument/2006/relationships/hyperlink" Target="http://mediatheques.saint-medard-en-jalles.fr" TargetMode="External"/><Relationship Id="rId112" Type="http://schemas.openxmlformats.org/officeDocument/2006/relationships/hyperlink" Target="https://www.facebook.com/Bordeaux.Seniors/" TargetMode="External"/><Relationship Id="rId111" Type="http://schemas.openxmlformats.org/officeDocument/2006/relationships/hyperlink" Target="https://seniorsreporters.bordeaux.fr" TargetMode="External"/><Relationship Id="rId84" Type="http://schemas.openxmlformats.org/officeDocument/2006/relationships/hyperlink" Target="http://bibliotheque.mairie-begles.fr/" TargetMode="External"/><Relationship Id="rId83" Type="http://schemas.openxmlformats.org/officeDocument/2006/relationships/hyperlink" Target="https://mediatheque.lormont.fr/" TargetMode="External"/><Relationship Id="rId86" Type="http://schemas.openxmlformats.org/officeDocument/2006/relationships/hyperlink" Target="http://www.asti-pessac.org" TargetMode="External"/><Relationship Id="rId85" Type="http://schemas.openxmlformats.org/officeDocument/2006/relationships/hyperlink" Target="https://www.facebook.com/bibliothequedebegles" TargetMode="External"/><Relationship Id="rId88" Type="http://schemas.openxmlformats.org/officeDocument/2006/relationships/hyperlink" Target="https://www.talence.fr/quotidien/action-sociale-solidarite/ccas/" TargetMode="External"/><Relationship Id="rId150" Type="http://schemas.openxmlformats.org/officeDocument/2006/relationships/hyperlink" Target="http://csc-lacolline.com/" TargetMode="External"/><Relationship Id="rId87" Type="http://schemas.openxmlformats.org/officeDocument/2006/relationships/hyperlink" Target="https://www.adav33.fr/" TargetMode="External"/><Relationship Id="rId89" Type="http://schemas.openxmlformats.org/officeDocument/2006/relationships/hyperlink" Target="https://www.talence.fr/quotidien/economie-emploi/service-emploi-espalata-dome/" TargetMode="External"/><Relationship Id="rId80" Type="http://schemas.openxmlformats.org/officeDocument/2006/relationships/hyperlink" Target="https://www.facebook.com/Association-DIDEE-113473513436622" TargetMode="External"/><Relationship Id="rId82" Type="http://schemas.openxmlformats.org/officeDocument/2006/relationships/hyperlink" Target="https://www.facebook.com/Lormontinformatique/" TargetMode="External"/><Relationship Id="rId81" Type="http://schemas.openxmlformats.org/officeDocument/2006/relationships/hyperlink" Target="https://lormont-informatique.fr" TargetMode="External"/><Relationship Id="rId1" Type="http://schemas.openxmlformats.org/officeDocument/2006/relationships/hyperlink" Target="https://emmaus-connect.org/bordeaux/" TargetMode="External"/><Relationship Id="rId2" Type="http://schemas.openxmlformats.org/officeDocument/2006/relationships/hyperlink" Target="https://atelierdenoworking.fr/" TargetMode="External"/><Relationship Id="rId3" Type="http://schemas.openxmlformats.org/officeDocument/2006/relationships/hyperlink" Target="https://www.facebook.com/atelierdenoworking" TargetMode="External"/><Relationship Id="rId149" Type="http://schemas.openxmlformats.org/officeDocument/2006/relationships/hyperlink" Target="http://www.mediatheque-carbon-blanc.fr" TargetMode="External"/><Relationship Id="rId4" Type="http://schemas.openxmlformats.org/officeDocument/2006/relationships/hyperlink" Target="https://www.pole-emploi.fr" TargetMode="External"/><Relationship Id="rId148" Type="http://schemas.openxmlformats.org/officeDocument/2006/relationships/hyperlink" Target="https://mediatheque.ville-bassens.fr" TargetMode="External"/><Relationship Id="rId9" Type="http://schemas.openxmlformats.org/officeDocument/2006/relationships/hyperlink" Target="http://bibliotheque.bordeaux.fr" TargetMode="External"/><Relationship Id="rId143" Type="http://schemas.openxmlformats.org/officeDocument/2006/relationships/hyperlink" Target="http://www.bordeaux.fr/o383/sesame" TargetMode="External"/><Relationship Id="rId142" Type="http://schemas.openxmlformats.org/officeDocument/2006/relationships/hyperlink" Target="https://www.facebook.com/PIMMS-de-Bordeaux-1435073096755036/" TargetMode="External"/><Relationship Id="rId141" Type="http://schemas.openxmlformats.org/officeDocument/2006/relationships/hyperlink" Target="https://www.pimmsdebordeaux.org/" TargetMode="External"/><Relationship Id="rId140" Type="http://schemas.openxmlformats.org/officeDocument/2006/relationships/hyperlink" Target="https://www.douves.org/" TargetMode="External"/><Relationship Id="rId5" Type="http://schemas.openxmlformats.org/officeDocument/2006/relationships/hyperlink" Target="http://www.maisondequartierchantecler.fr/" TargetMode="External"/><Relationship Id="rId147" Type="http://schemas.openxmlformats.org/officeDocument/2006/relationships/hyperlink" Target="https://www.facebook.com/pole.culturel.evasion" TargetMode="External"/><Relationship Id="rId6" Type="http://schemas.openxmlformats.org/officeDocument/2006/relationships/hyperlink" Target="https://www.facebook.com/chantecler.asso.7" TargetMode="External"/><Relationship Id="rId146" Type="http://schemas.openxmlformats.org/officeDocument/2006/relationships/hyperlink" Target="https://evasion.ville-ambaresetlagrave.fr/" TargetMode="External"/><Relationship Id="rId7" Type="http://schemas.openxmlformats.org/officeDocument/2006/relationships/hyperlink" Target="http://www.centresocial-foyerfraternel.fr/" TargetMode="External"/><Relationship Id="rId145" Type="http://schemas.openxmlformats.org/officeDocument/2006/relationships/hyperlink" Target="https://www.facebook.com/bibliotheques.bordeaux/" TargetMode="External"/><Relationship Id="rId8" Type="http://schemas.openxmlformats.org/officeDocument/2006/relationships/hyperlink" Target="https://www.facebook.com/foyerfraternelbordeaux/" TargetMode="External"/><Relationship Id="rId144" Type="http://schemas.openxmlformats.org/officeDocument/2006/relationships/hyperlink" Target="http://bibliotheque.bordeaux.fr" TargetMode="External"/><Relationship Id="rId73" Type="http://schemas.openxmlformats.org/officeDocument/2006/relationships/hyperlink" Target="https://www.artigues-pres-bordeaux.fr/" TargetMode="External"/><Relationship Id="rId72" Type="http://schemas.openxmlformats.org/officeDocument/2006/relationships/hyperlink" Target="https://ambes.c3rb.org/" TargetMode="External"/><Relationship Id="rId75" Type="http://schemas.openxmlformats.org/officeDocument/2006/relationships/hyperlink" Target="https://unispheres.fr/" TargetMode="External"/><Relationship Id="rId74" Type="http://schemas.openxmlformats.org/officeDocument/2006/relationships/hyperlink" Target="https://www.facebook.com/artiguespresbordeaux/" TargetMode="External"/><Relationship Id="rId77" Type="http://schemas.openxmlformats.org/officeDocument/2006/relationships/hyperlink" Target="http://www.ville-floirac33.fr/la-democratie-participative/la-fabrique-citoyenne/" TargetMode="External"/><Relationship Id="rId76" Type="http://schemas.openxmlformats.org/officeDocument/2006/relationships/hyperlink" Target="https://www.facebook.com/assounispheres/" TargetMode="External"/><Relationship Id="rId79" Type="http://schemas.openxmlformats.org/officeDocument/2006/relationships/hyperlink" Target="https://asso-didee.org/" TargetMode="External"/><Relationship Id="rId78" Type="http://schemas.openxmlformats.org/officeDocument/2006/relationships/hyperlink" Target="https://unire.fr/" TargetMode="External"/><Relationship Id="rId71" Type="http://schemas.openxmlformats.org/officeDocument/2006/relationships/hyperlink" Target="https://bibliotheque.ville-ambaresetlagrave.fr/" TargetMode="External"/><Relationship Id="rId70" Type="http://schemas.openxmlformats.org/officeDocument/2006/relationships/hyperlink" Target="http://www.mjccl2v.fr/" TargetMode="External"/><Relationship Id="rId139" Type="http://schemas.openxmlformats.org/officeDocument/2006/relationships/hyperlink" Target="https://fr-fr.facebook.com/FAits-de-CoeurS-1603332716546381/" TargetMode="External"/><Relationship Id="rId138" Type="http://schemas.openxmlformats.org/officeDocument/2006/relationships/hyperlink" Target="https://www.faitsdecoeurs.org/" TargetMode="External"/><Relationship Id="rId137" Type="http://schemas.openxmlformats.org/officeDocument/2006/relationships/hyperlink" Target="https://www.ameli.fr/gironde/" TargetMode="External"/><Relationship Id="rId132" Type="http://schemas.openxmlformats.org/officeDocument/2006/relationships/hyperlink" Target="https://www.facebook.com/Astrolabelcier" TargetMode="External"/><Relationship Id="rId131" Type="http://schemas.openxmlformats.org/officeDocument/2006/relationships/hyperlink" Target="https://astrolabelcier.fr/" TargetMode="External"/><Relationship Id="rId130" Type="http://schemas.openxmlformats.org/officeDocument/2006/relationships/hyperlink" Target="https://www.facebook.com/centresanimationbordeaux/" TargetMode="External"/><Relationship Id="rId136" Type="http://schemas.openxmlformats.org/officeDocument/2006/relationships/hyperlink" Target="https://www.facebook.com/unadevfrance/" TargetMode="External"/><Relationship Id="rId135" Type="http://schemas.openxmlformats.org/officeDocument/2006/relationships/hyperlink" Target="https://www.unadev.com" TargetMode="External"/><Relationship Id="rId134" Type="http://schemas.openxmlformats.org/officeDocument/2006/relationships/hyperlink" Target="https://www.facebook.com/bibliotheques.bordeaux/" TargetMode="External"/><Relationship Id="rId133" Type="http://schemas.openxmlformats.org/officeDocument/2006/relationships/hyperlink" Target="http://bibliotheque.bordeaux.fr" TargetMode="External"/><Relationship Id="rId62" Type="http://schemas.openxmlformats.org/officeDocument/2006/relationships/hyperlink" Target="https://www.la-ressourcerie.com/" TargetMode="External"/><Relationship Id="rId61" Type="http://schemas.openxmlformats.org/officeDocument/2006/relationships/hyperlink" Target="https://gem-grain-de-cafe.business.site/" TargetMode="External"/><Relationship Id="rId64" Type="http://schemas.openxmlformats.org/officeDocument/2006/relationships/hyperlink" Target="https://www.pole-emploi.fr" TargetMode="External"/><Relationship Id="rId63" Type="http://schemas.openxmlformats.org/officeDocument/2006/relationships/hyperlink" Target="https://www.facebook.com/laressourceriebordeaux/" TargetMode="External"/><Relationship Id="rId66" Type="http://schemas.openxmlformats.org/officeDocument/2006/relationships/hyperlink" Target="https://www.facebook.com/GIAA.apiDv.Nouvelle.aquitaine" TargetMode="External"/><Relationship Id="rId172" Type="http://schemas.openxmlformats.org/officeDocument/2006/relationships/hyperlink" Target="https://levivierdespartages.wixsite.com/accueil" TargetMode="External"/><Relationship Id="rId65" Type="http://schemas.openxmlformats.org/officeDocument/2006/relationships/hyperlink" Target="http://www.giaa-aquitaine.fr/" TargetMode="External"/><Relationship Id="rId171" Type="http://schemas.openxmlformats.org/officeDocument/2006/relationships/hyperlink" Target="https://www.facebook.com/Merignac" TargetMode="External"/><Relationship Id="rId68" Type="http://schemas.openxmlformats.org/officeDocument/2006/relationships/hyperlink" Target="https://www.pole-emploi.fr" TargetMode="External"/><Relationship Id="rId170" Type="http://schemas.openxmlformats.org/officeDocument/2006/relationships/hyperlink" Target="http://www.merignac.com/" TargetMode="External"/><Relationship Id="rId67" Type="http://schemas.openxmlformats.org/officeDocument/2006/relationships/hyperlink" Target="https://www.pole-emploi.fr" TargetMode="External"/><Relationship Id="rId60" Type="http://schemas.openxmlformats.org/officeDocument/2006/relationships/hyperlink" Target="https://www.bordeaux.fr/p80983/le-centre-communal-d-action-sociale" TargetMode="External"/><Relationship Id="rId165" Type="http://schemas.openxmlformats.org/officeDocument/2006/relationships/hyperlink" Target="https://www.villenavedornon.fr/developpement-economie-emploi/aide-emploi/service-emploi-municipal/" TargetMode="External"/><Relationship Id="rId69" Type="http://schemas.openxmlformats.org/officeDocument/2006/relationships/hyperlink" Target="http://apf33.blogs.apf.asso.fr/" TargetMode="External"/><Relationship Id="rId164" Type="http://schemas.openxmlformats.org/officeDocument/2006/relationships/hyperlink" Target="https://mediatheque.villenavedornon.fr/exploitation/" TargetMode="External"/><Relationship Id="rId163" Type="http://schemas.openxmlformats.org/officeDocument/2006/relationships/hyperlink" Target="https://mediatheque.villenavedornon.fr/exploitation/" TargetMode="External"/><Relationship Id="rId162" Type="http://schemas.openxmlformats.org/officeDocument/2006/relationships/hyperlink" Target="https://portail.mediatheques.talence.fr" TargetMode="External"/><Relationship Id="rId169" Type="http://schemas.openxmlformats.org/officeDocument/2006/relationships/hyperlink" Target="http://bibliotheque.ville-lehaillan.fr" TargetMode="External"/><Relationship Id="rId168" Type="http://schemas.openxmlformats.org/officeDocument/2006/relationships/hyperlink" Target="https://www.facebook.com/mediathequeassiadjebarblanquefort" TargetMode="External"/><Relationship Id="rId167" Type="http://schemas.openxmlformats.org/officeDocument/2006/relationships/hyperlink" Target="http://mediatheque.ville-blanquefort.fr" TargetMode="External"/><Relationship Id="rId166" Type="http://schemas.openxmlformats.org/officeDocument/2006/relationships/hyperlink" Target="https://www.facebook.com/mairievillenavedornon/?fref=ts" TargetMode="External"/><Relationship Id="rId51" Type="http://schemas.openxmlformats.org/officeDocument/2006/relationships/hyperlink" Target="http://maisondesfemmes.net" TargetMode="External"/><Relationship Id="rId50" Type="http://schemas.openxmlformats.org/officeDocument/2006/relationships/hyperlink" Target="https://www.facebook.com/centresanimationbordeaux/" TargetMode="External"/><Relationship Id="rId53" Type="http://schemas.openxmlformats.org/officeDocument/2006/relationships/hyperlink" Target="http://bibliotheque.bordeaux.fr" TargetMode="External"/><Relationship Id="rId52" Type="http://schemas.openxmlformats.org/officeDocument/2006/relationships/hyperlink" Target="http://amicalebacalan.com/" TargetMode="External"/><Relationship Id="rId55" Type="http://schemas.openxmlformats.org/officeDocument/2006/relationships/hyperlink" Target="https://centresanimationbordeaux.fr/bordeaux-lac/" TargetMode="External"/><Relationship Id="rId161" Type="http://schemas.openxmlformats.org/officeDocument/2006/relationships/hyperlink" Target="https://www.facebook.com/Centre-social-de-Bagatelle-1671666503071790/" TargetMode="External"/><Relationship Id="rId54" Type="http://schemas.openxmlformats.org/officeDocument/2006/relationships/hyperlink" Target="https://www.facebook.com/bibliotheques.bordeaux/" TargetMode="External"/><Relationship Id="rId160" Type="http://schemas.openxmlformats.org/officeDocument/2006/relationships/hyperlink" Target="http://www.centre-social.com/" TargetMode="External"/><Relationship Id="rId57" Type="http://schemas.openxmlformats.org/officeDocument/2006/relationships/hyperlink" Target="http://www.csbn.org/" TargetMode="External"/><Relationship Id="rId56" Type="http://schemas.openxmlformats.org/officeDocument/2006/relationships/hyperlink" Target="https://www.facebook.com/centresanimationbordeaux/" TargetMode="External"/><Relationship Id="rId159" Type="http://schemas.openxmlformats.org/officeDocument/2006/relationships/hyperlink" Target="https://www.facebook.com/esaacsaige33/" TargetMode="External"/><Relationship Id="rId59" Type="http://schemas.openxmlformats.org/officeDocument/2006/relationships/hyperlink" Target="https://www.facebook.com/bibliotheques.bordeaux/" TargetMode="External"/><Relationship Id="rId154" Type="http://schemas.openxmlformats.org/officeDocument/2006/relationships/hyperlink" Target="https://lerocherdepalmer.fr/forum/" TargetMode="External"/><Relationship Id="rId58" Type="http://schemas.openxmlformats.org/officeDocument/2006/relationships/hyperlink" Target="http://bibliotheque.bordeaux.fr" TargetMode="External"/><Relationship Id="rId153" Type="http://schemas.openxmlformats.org/officeDocument/2006/relationships/hyperlink" Target="https://fr-fr.facebook.com/pimmsdecenon33150/" TargetMode="External"/><Relationship Id="rId152" Type="http://schemas.openxmlformats.org/officeDocument/2006/relationships/hyperlink" Target="https://www.pimms.org/" TargetMode="External"/><Relationship Id="rId151" Type="http://schemas.openxmlformats.org/officeDocument/2006/relationships/hyperlink" Target="https://www.facebook.com/lacollinecsc" TargetMode="External"/><Relationship Id="rId158" Type="http://schemas.openxmlformats.org/officeDocument/2006/relationships/hyperlink" Target="https://www.facebook.com/episolpessac/" TargetMode="External"/><Relationship Id="rId157" Type="http://schemas.openxmlformats.org/officeDocument/2006/relationships/hyperlink" Target="https://www.episolpessac.org/" TargetMode="External"/><Relationship Id="rId156" Type="http://schemas.openxmlformats.org/officeDocument/2006/relationships/hyperlink" Target="http://www.lamediathequedegradignan.fr" TargetMode="External"/><Relationship Id="rId155" Type="http://schemas.openxmlformats.org/officeDocument/2006/relationships/hyperlink" Target="https://www.facebook.com/forumduroch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1.25"/>
    <col customWidth="1" min="8" max="8" width="14.75"/>
    <col customWidth="1" min="9" max="9" width="23.5"/>
    <col customWidth="1" min="10" max="10" width="11.25"/>
    <col customWidth="1" min="14" max="14" width="16.75"/>
    <col customWidth="1" min="29" max="29" width="27.0"/>
    <col customWidth="1" min="30" max="30" width="23.0"/>
    <col customWidth="1" min="36" max="36" width="22.5"/>
    <col customWidth="1" min="39" max="39" width="24.75"/>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24</v>
      </c>
      <c r="Z1" s="1" t="s">
        <v>25</v>
      </c>
      <c r="AA1" s="2" t="s">
        <v>26</v>
      </c>
      <c r="AB1" s="2" t="s">
        <v>27</v>
      </c>
      <c r="AC1" s="1" t="s">
        <v>28</v>
      </c>
      <c r="AD1" s="1" t="s">
        <v>29</v>
      </c>
      <c r="AE1" s="1" t="s">
        <v>30</v>
      </c>
      <c r="AF1" s="1" t="s">
        <v>31</v>
      </c>
      <c r="AG1" s="1" t="s">
        <v>32</v>
      </c>
      <c r="AH1" s="1" t="s">
        <v>33</v>
      </c>
      <c r="AI1" s="1" t="s">
        <v>34</v>
      </c>
      <c r="AJ1" s="1" t="s">
        <v>35</v>
      </c>
      <c r="AK1" s="2" t="s">
        <v>36</v>
      </c>
      <c r="AL1" s="1" t="s">
        <v>37</v>
      </c>
      <c r="AM1" s="2" t="s">
        <v>38</v>
      </c>
      <c r="AN1" s="3"/>
      <c r="AO1" s="3"/>
    </row>
    <row r="2">
      <c r="A2" s="1">
        <v>8.0</v>
      </c>
      <c r="B2" s="1" t="s">
        <v>39</v>
      </c>
      <c r="C2" s="3"/>
      <c r="D2" s="2" t="s">
        <v>40</v>
      </c>
      <c r="E2" s="1" t="s">
        <v>41</v>
      </c>
      <c r="F2" s="1" t="s">
        <v>42</v>
      </c>
      <c r="G2" s="1" t="s">
        <v>41</v>
      </c>
      <c r="H2" s="1">
        <v>7.92E13</v>
      </c>
      <c r="I2" s="1" t="s">
        <v>43</v>
      </c>
      <c r="J2" s="1">
        <v>38.0</v>
      </c>
      <c r="K2" s="1" t="s">
        <v>44</v>
      </c>
      <c r="L2" s="1">
        <v>33300.0</v>
      </c>
      <c r="M2" s="1">
        <v>33063.0</v>
      </c>
      <c r="N2" s="1" t="s">
        <v>45</v>
      </c>
      <c r="O2" s="1" t="s">
        <v>46</v>
      </c>
      <c r="P2" s="1" t="s">
        <v>47</v>
      </c>
      <c r="Q2" s="3"/>
      <c r="R2" s="1" t="s">
        <v>48</v>
      </c>
      <c r="S2" s="1" t="s">
        <v>49</v>
      </c>
      <c r="T2" s="3"/>
      <c r="U2" s="1" t="s">
        <v>50</v>
      </c>
      <c r="V2" s="1">
        <v>6.46803329E8</v>
      </c>
      <c r="W2" s="3"/>
      <c r="X2" s="2" t="s">
        <v>51</v>
      </c>
      <c r="Y2" s="3"/>
      <c r="Z2" s="1" t="s">
        <v>52</v>
      </c>
      <c r="AA2" s="4" t="s">
        <v>53</v>
      </c>
      <c r="AB2" s="5"/>
      <c r="AC2" s="1" t="s">
        <v>51</v>
      </c>
      <c r="AD2" s="1" t="s">
        <v>54</v>
      </c>
      <c r="AE2" s="1" t="s">
        <v>55</v>
      </c>
      <c r="AF2" s="1" t="s">
        <v>56</v>
      </c>
      <c r="AG2" s="1" t="s">
        <v>57</v>
      </c>
      <c r="AH2" s="1" t="s">
        <v>58</v>
      </c>
      <c r="AI2" s="3"/>
      <c r="AJ2" s="1" t="s">
        <v>59</v>
      </c>
      <c r="AK2" s="2" t="s">
        <v>60</v>
      </c>
      <c r="AL2" s="3"/>
      <c r="AM2" s="2" t="s">
        <v>61</v>
      </c>
      <c r="AN2" s="3"/>
      <c r="AO2" s="3"/>
    </row>
    <row r="3">
      <c r="A3" s="1">
        <v>9.0</v>
      </c>
      <c r="B3" s="1" t="s">
        <v>62</v>
      </c>
      <c r="C3" s="3"/>
      <c r="D3" s="2" t="s">
        <v>63</v>
      </c>
      <c r="E3" s="1" t="s">
        <v>64</v>
      </c>
      <c r="F3" s="1" t="s">
        <v>42</v>
      </c>
      <c r="G3" s="1" t="s">
        <v>65</v>
      </c>
      <c r="H3" s="3"/>
      <c r="I3" s="1" t="s">
        <v>66</v>
      </c>
      <c r="J3" s="1">
        <v>19.0</v>
      </c>
      <c r="K3" s="1" t="s">
        <v>67</v>
      </c>
      <c r="L3" s="1">
        <v>33300.0</v>
      </c>
      <c r="M3" s="1">
        <v>33063.0</v>
      </c>
      <c r="N3" s="1" t="s">
        <v>45</v>
      </c>
      <c r="O3" s="1" t="s">
        <v>46</v>
      </c>
      <c r="P3" s="1" t="s">
        <v>47</v>
      </c>
      <c r="Q3" s="3"/>
      <c r="R3" s="1" t="s">
        <v>68</v>
      </c>
      <c r="S3" s="1" t="s">
        <v>69</v>
      </c>
      <c r="T3" s="3"/>
      <c r="U3" s="1" t="s">
        <v>50</v>
      </c>
      <c r="V3" s="1">
        <v>5.56376895E8</v>
      </c>
      <c r="W3" s="3"/>
      <c r="X3" s="2" t="s">
        <v>70</v>
      </c>
      <c r="Y3" s="3"/>
      <c r="Z3" s="1" t="s">
        <v>71</v>
      </c>
      <c r="AA3" s="4" t="s">
        <v>72</v>
      </c>
      <c r="AB3" s="4" t="s">
        <v>73</v>
      </c>
      <c r="AC3" s="1" t="s">
        <v>70</v>
      </c>
      <c r="AD3" s="1" t="s">
        <v>74</v>
      </c>
      <c r="AE3" s="1" t="s">
        <v>75</v>
      </c>
      <c r="AF3" s="1" t="s">
        <v>56</v>
      </c>
      <c r="AG3" s="1" t="s">
        <v>76</v>
      </c>
      <c r="AH3" s="1" t="s">
        <v>77</v>
      </c>
      <c r="AI3" s="3"/>
      <c r="AJ3" s="1" t="s">
        <v>59</v>
      </c>
      <c r="AK3" s="2" t="s">
        <v>78</v>
      </c>
      <c r="AL3" s="3"/>
      <c r="AM3" s="2" t="s">
        <v>79</v>
      </c>
      <c r="AN3" s="3"/>
      <c r="AO3" s="3"/>
    </row>
    <row r="4">
      <c r="A4" s="1">
        <v>10.0</v>
      </c>
      <c r="B4" s="1" t="s">
        <v>80</v>
      </c>
      <c r="C4" s="1" t="s">
        <v>81</v>
      </c>
      <c r="D4" s="2" t="s">
        <v>82</v>
      </c>
      <c r="E4" s="1" t="s">
        <v>81</v>
      </c>
      <c r="F4" s="1" t="s">
        <v>83</v>
      </c>
      <c r="G4" s="1" t="s">
        <v>84</v>
      </c>
      <c r="H4" s="3"/>
      <c r="I4" s="1" t="s">
        <v>85</v>
      </c>
      <c r="J4" s="1">
        <v>5.0</v>
      </c>
      <c r="K4" s="1" t="s">
        <v>86</v>
      </c>
      <c r="L4" s="1">
        <v>33000.0</v>
      </c>
      <c r="M4" s="1">
        <v>33063.0</v>
      </c>
      <c r="N4" s="1" t="s">
        <v>45</v>
      </c>
      <c r="O4" s="1" t="s">
        <v>46</v>
      </c>
      <c r="P4" s="1" t="s">
        <v>47</v>
      </c>
      <c r="Q4" s="1" t="s">
        <v>87</v>
      </c>
      <c r="R4" s="1" t="s">
        <v>88</v>
      </c>
      <c r="S4" s="1" t="s">
        <v>89</v>
      </c>
      <c r="T4" s="3"/>
      <c r="U4" s="1" t="s">
        <v>50</v>
      </c>
      <c r="V4" s="1">
        <v>3949.0</v>
      </c>
      <c r="W4" s="3"/>
      <c r="X4" s="2" t="s">
        <v>90</v>
      </c>
      <c r="Y4" s="3"/>
      <c r="Z4" s="1" t="s">
        <v>91</v>
      </c>
      <c r="AA4" s="4" t="s">
        <v>92</v>
      </c>
      <c r="AB4" s="5"/>
      <c r="AC4" s="1" t="s">
        <v>90</v>
      </c>
      <c r="AD4" s="1" t="s">
        <v>93</v>
      </c>
      <c r="AE4" s="1" t="s">
        <v>94</v>
      </c>
      <c r="AF4" s="1" t="s">
        <v>56</v>
      </c>
      <c r="AG4" s="1" t="s">
        <v>76</v>
      </c>
      <c r="AH4" s="1" t="s">
        <v>95</v>
      </c>
      <c r="AI4" s="3"/>
      <c r="AJ4" s="1" t="s">
        <v>96</v>
      </c>
      <c r="AK4" s="2" t="s">
        <v>97</v>
      </c>
      <c r="AL4" s="3"/>
      <c r="AM4" s="2" t="s">
        <v>98</v>
      </c>
      <c r="AN4" s="3"/>
      <c r="AO4" s="3"/>
    </row>
    <row r="5">
      <c r="A5" s="1">
        <v>12.0</v>
      </c>
      <c r="B5" s="1" t="s">
        <v>99</v>
      </c>
      <c r="C5" s="3"/>
      <c r="D5" s="2" t="s">
        <v>100</v>
      </c>
      <c r="E5" s="1" t="s">
        <v>41</v>
      </c>
      <c r="F5" s="1" t="s">
        <v>42</v>
      </c>
      <c r="G5" s="1" t="s">
        <v>41</v>
      </c>
      <c r="H5" s="3"/>
      <c r="I5" s="1" t="s">
        <v>101</v>
      </c>
      <c r="J5" s="3"/>
      <c r="K5" s="1" t="s">
        <v>102</v>
      </c>
      <c r="L5" s="1">
        <v>33000.0</v>
      </c>
      <c r="M5" s="1">
        <v>33063.0</v>
      </c>
      <c r="N5" s="1" t="s">
        <v>45</v>
      </c>
      <c r="O5" s="1" t="s">
        <v>46</v>
      </c>
      <c r="P5" s="1" t="s">
        <v>47</v>
      </c>
      <c r="Q5" s="3"/>
      <c r="R5" s="1" t="s">
        <v>103</v>
      </c>
      <c r="S5" s="1" t="s">
        <v>104</v>
      </c>
      <c r="T5" s="3"/>
      <c r="U5" s="1" t="s">
        <v>50</v>
      </c>
      <c r="V5" s="1">
        <v>5.57870257E8</v>
      </c>
      <c r="W5" s="1">
        <v>5.56089855E8</v>
      </c>
      <c r="X5" s="2" t="s">
        <v>105</v>
      </c>
      <c r="Y5" s="3"/>
      <c r="Z5" s="3"/>
      <c r="AA5" s="4" t="s">
        <v>106</v>
      </c>
      <c r="AB5" s="4" t="s">
        <v>107</v>
      </c>
      <c r="AC5" s="1" t="s">
        <v>105</v>
      </c>
      <c r="AD5" s="1" t="s">
        <v>108</v>
      </c>
      <c r="AE5" s="1" t="s">
        <v>55</v>
      </c>
      <c r="AF5" s="1" t="s">
        <v>56</v>
      </c>
      <c r="AG5" s="1" t="s">
        <v>109</v>
      </c>
      <c r="AH5" s="1" t="s">
        <v>77</v>
      </c>
      <c r="AI5" s="3"/>
      <c r="AJ5" s="1" t="s">
        <v>59</v>
      </c>
      <c r="AK5" s="2" t="s">
        <v>110</v>
      </c>
      <c r="AL5" s="3"/>
      <c r="AM5" s="2" t="s">
        <v>111</v>
      </c>
      <c r="AN5" s="3"/>
      <c r="AO5" s="3"/>
    </row>
    <row r="6">
      <c r="A6" s="1">
        <v>14.0</v>
      </c>
      <c r="B6" s="1" t="s">
        <v>112</v>
      </c>
      <c r="C6" s="3"/>
      <c r="D6" s="2" t="s">
        <v>113</v>
      </c>
      <c r="E6" s="1" t="s">
        <v>114</v>
      </c>
      <c r="F6" s="1" t="s">
        <v>42</v>
      </c>
      <c r="G6" s="1" t="s">
        <v>41</v>
      </c>
      <c r="H6" s="3"/>
      <c r="I6" s="1" t="s">
        <v>115</v>
      </c>
      <c r="J6" s="1">
        <v>23.0</v>
      </c>
      <c r="K6" s="1" t="s">
        <v>116</v>
      </c>
      <c r="L6" s="1">
        <v>33300.0</v>
      </c>
      <c r="M6" s="1">
        <v>33063.0</v>
      </c>
      <c r="N6" s="1" t="s">
        <v>45</v>
      </c>
      <c r="O6" s="1" t="s">
        <v>46</v>
      </c>
      <c r="P6" s="1" t="s">
        <v>47</v>
      </c>
      <c r="Q6" s="3"/>
      <c r="R6" s="1" t="s">
        <v>117</v>
      </c>
      <c r="S6" s="1" t="s">
        <v>118</v>
      </c>
      <c r="T6" s="3"/>
      <c r="U6" s="1" t="s">
        <v>50</v>
      </c>
      <c r="V6" s="1">
        <v>5.57871392E8</v>
      </c>
      <c r="W6" s="3"/>
      <c r="X6" s="2" t="s">
        <v>119</v>
      </c>
      <c r="Y6" s="3"/>
      <c r="Z6" s="1" t="s">
        <v>120</v>
      </c>
      <c r="AA6" s="4" t="s">
        <v>121</v>
      </c>
      <c r="AB6" s="4" t="s">
        <v>122</v>
      </c>
      <c r="AC6" s="1" t="s">
        <v>119</v>
      </c>
      <c r="AD6" s="1" t="s">
        <v>123</v>
      </c>
      <c r="AE6" s="1" t="s">
        <v>124</v>
      </c>
      <c r="AF6" s="1" t="s">
        <v>56</v>
      </c>
      <c r="AG6" s="1" t="s">
        <v>76</v>
      </c>
      <c r="AH6" s="1" t="s">
        <v>95</v>
      </c>
      <c r="AI6" s="1" t="s">
        <v>125</v>
      </c>
      <c r="AJ6" s="1" t="s">
        <v>96</v>
      </c>
      <c r="AK6" s="2" t="s">
        <v>126</v>
      </c>
      <c r="AL6" s="1" t="s">
        <v>127</v>
      </c>
      <c r="AM6" s="2" t="s">
        <v>128</v>
      </c>
      <c r="AN6" s="3"/>
      <c r="AO6" s="3"/>
    </row>
    <row r="7">
      <c r="A7" s="1">
        <v>17.0</v>
      </c>
      <c r="B7" s="1" t="s">
        <v>129</v>
      </c>
      <c r="C7" s="1" t="s">
        <v>130</v>
      </c>
      <c r="D7" s="2" t="s">
        <v>131</v>
      </c>
      <c r="E7" s="1" t="s">
        <v>132</v>
      </c>
      <c r="F7" s="1" t="s">
        <v>83</v>
      </c>
      <c r="G7" s="1" t="s">
        <v>133</v>
      </c>
      <c r="H7" s="1">
        <v>2.13E13</v>
      </c>
      <c r="I7" s="1" t="s">
        <v>134</v>
      </c>
      <c r="J7" s="1">
        <v>85.0</v>
      </c>
      <c r="K7" s="1" t="s">
        <v>135</v>
      </c>
      <c r="L7" s="1">
        <v>33000.0</v>
      </c>
      <c r="M7" s="1">
        <v>33063.0</v>
      </c>
      <c r="N7" s="1" t="s">
        <v>45</v>
      </c>
      <c r="O7" s="1" t="s">
        <v>46</v>
      </c>
      <c r="P7" s="1" t="s">
        <v>47</v>
      </c>
      <c r="Q7" s="3"/>
      <c r="R7" s="1" t="s">
        <v>136</v>
      </c>
      <c r="S7" s="1" t="s">
        <v>137</v>
      </c>
      <c r="T7" s="3"/>
      <c r="U7" s="1" t="s">
        <v>50</v>
      </c>
      <c r="V7" s="1">
        <v>5.56103E8</v>
      </c>
      <c r="W7" s="3"/>
      <c r="X7" s="2" t="s">
        <v>138</v>
      </c>
      <c r="Y7" s="3"/>
      <c r="Z7" s="1" t="s">
        <v>139</v>
      </c>
      <c r="AA7" s="4" t="s">
        <v>140</v>
      </c>
      <c r="AB7" s="4" t="s">
        <v>141</v>
      </c>
      <c r="AC7" s="1" t="s">
        <v>138</v>
      </c>
      <c r="AD7" s="1" t="s">
        <v>142</v>
      </c>
      <c r="AE7" s="1" t="s">
        <v>55</v>
      </c>
      <c r="AF7" s="1" t="s">
        <v>56</v>
      </c>
      <c r="AG7" s="1" t="s">
        <v>76</v>
      </c>
      <c r="AH7" s="1" t="s">
        <v>58</v>
      </c>
      <c r="AI7" s="1" t="s">
        <v>125</v>
      </c>
      <c r="AJ7" s="1" t="s">
        <v>96</v>
      </c>
      <c r="AK7" s="2" t="s">
        <v>143</v>
      </c>
      <c r="AL7" s="3"/>
      <c r="AM7" s="2" t="s">
        <v>144</v>
      </c>
      <c r="AN7" s="3"/>
      <c r="AO7" s="3"/>
    </row>
    <row r="8">
      <c r="A8" s="1">
        <v>21.0</v>
      </c>
      <c r="B8" s="1" t="s">
        <v>145</v>
      </c>
      <c r="C8" s="3"/>
      <c r="D8" s="2" t="s">
        <v>146</v>
      </c>
      <c r="E8" s="1" t="s">
        <v>41</v>
      </c>
      <c r="F8" s="1" t="s">
        <v>42</v>
      </c>
      <c r="G8" s="1" t="s">
        <v>41</v>
      </c>
      <c r="H8" s="3"/>
      <c r="I8" s="1" t="s">
        <v>147</v>
      </c>
      <c r="J8" s="1">
        <v>125.0</v>
      </c>
      <c r="K8" s="1" t="s">
        <v>148</v>
      </c>
      <c r="L8" s="1">
        <v>33000.0</v>
      </c>
      <c r="M8" s="1">
        <v>33063.0</v>
      </c>
      <c r="N8" s="1" t="s">
        <v>45</v>
      </c>
      <c r="O8" s="1" t="s">
        <v>46</v>
      </c>
      <c r="P8" s="1" t="s">
        <v>47</v>
      </c>
      <c r="Q8" s="3"/>
      <c r="R8" s="1" t="s">
        <v>149</v>
      </c>
      <c r="S8" s="1" t="s">
        <v>150</v>
      </c>
      <c r="T8" s="3"/>
      <c r="U8" s="1" t="s">
        <v>50</v>
      </c>
      <c r="V8" s="1">
        <v>5.56560056E8</v>
      </c>
      <c r="W8" s="3"/>
      <c r="X8" s="2" t="s">
        <v>151</v>
      </c>
      <c r="Y8" s="3"/>
      <c r="Z8" s="1" t="s">
        <v>152</v>
      </c>
      <c r="AA8" s="4" t="s">
        <v>153</v>
      </c>
      <c r="AB8" s="4" t="s">
        <v>154</v>
      </c>
      <c r="AC8" s="1" t="s">
        <v>151</v>
      </c>
      <c r="AD8" s="1" t="s">
        <v>155</v>
      </c>
      <c r="AE8" s="1" t="s">
        <v>156</v>
      </c>
      <c r="AF8" s="1" t="s">
        <v>56</v>
      </c>
      <c r="AG8" s="1" t="s">
        <v>76</v>
      </c>
      <c r="AH8" s="1" t="s">
        <v>95</v>
      </c>
      <c r="AI8" s="1" t="s">
        <v>125</v>
      </c>
      <c r="AJ8" s="1" t="s">
        <v>59</v>
      </c>
      <c r="AK8" s="2" t="s">
        <v>157</v>
      </c>
      <c r="AL8" s="1" t="s">
        <v>158</v>
      </c>
      <c r="AM8" s="2" t="s">
        <v>159</v>
      </c>
      <c r="AN8" s="3"/>
      <c r="AO8" s="3"/>
    </row>
    <row r="9">
      <c r="A9" s="1">
        <v>24.0</v>
      </c>
      <c r="B9" s="1" t="s">
        <v>160</v>
      </c>
      <c r="C9" s="3"/>
      <c r="D9" s="2" t="s">
        <v>161</v>
      </c>
      <c r="E9" s="1" t="s">
        <v>162</v>
      </c>
      <c r="F9" s="1" t="s">
        <v>42</v>
      </c>
      <c r="G9" s="1" t="s">
        <v>41</v>
      </c>
      <c r="H9" s="3"/>
      <c r="I9" s="1" t="s">
        <v>163</v>
      </c>
      <c r="J9" s="1">
        <v>12.0</v>
      </c>
      <c r="K9" s="1" t="s">
        <v>164</v>
      </c>
      <c r="L9" s="1">
        <v>33000.0</v>
      </c>
      <c r="M9" s="1">
        <v>33063.0</v>
      </c>
      <c r="N9" s="1" t="s">
        <v>45</v>
      </c>
      <c r="O9" s="1" t="s">
        <v>46</v>
      </c>
      <c r="P9" s="1" t="s">
        <v>47</v>
      </c>
      <c r="Q9" s="1" t="s">
        <v>165</v>
      </c>
      <c r="R9" s="1" t="s">
        <v>166</v>
      </c>
      <c r="S9" s="1" t="s">
        <v>167</v>
      </c>
      <c r="T9" s="3"/>
      <c r="U9" s="1" t="s">
        <v>50</v>
      </c>
      <c r="V9" s="1">
        <v>6.25049296E8</v>
      </c>
      <c r="W9" s="3"/>
      <c r="X9" s="2" t="s">
        <v>168</v>
      </c>
      <c r="Y9" s="3"/>
      <c r="Z9" s="1" t="s">
        <v>169</v>
      </c>
      <c r="AA9" s="4" t="s">
        <v>170</v>
      </c>
      <c r="AB9" s="4" t="s">
        <v>171</v>
      </c>
      <c r="AC9" s="1" t="s">
        <v>168</v>
      </c>
      <c r="AD9" s="1" t="s">
        <v>172</v>
      </c>
      <c r="AE9" s="1" t="s">
        <v>173</v>
      </c>
      <c r="AF9" s="1" t="s">
        <v>56</v>
      </c>
      <c r="AG9" s="1" t="s">
        <v>76</v>
      </c>
      <c r="AH9" s="1" t="s">
        <v>58</v>
      </c>
      <c r="AI9" s="3"/>
      <c r="AJ9" s="1" t="s">
        <v>59</v>
      </c>
      <c r="AK9" s="2" t="s">
        <v>174</v>
      </c>
      <c r="AL9" s="3"/>
      <c r="AM9" s="2" t="s">
        <v>175</v>
      </c>
      <c r="AN9" s="3"/>
      <c r="AO9" s="3"/>
    </row>
    <row r="10">
      <c r="A10" s="1">
        <v>25.0</v>
      </c>
      <c r="B10" s="1" t="s">
        <v>176</v>
      </c>
      <c r="C10" s="3"/>
      <c r="D10" s="2" t="s">
        <v>177</v>
      </c>
      <c r="E10" s="1" t="s">
        <v>41</v>
      </c>
      <c r="F10" s="1" t="s">
        <v>42</v>
      </c>
      <c r="G10" s="1" t="s">
        <v>41</v>
      </c>
      <c r="H10" s="3"/>
      <c r="I10" s="1" t="s">
        <v>178</v>
      </c>
      <c r="J10" s="1">
        <v>27.0</v>
      </c>
      <c r="K10" s="1" t="s">
        <v>179</v>
      </c>
      <c r="L10" s="1">
        <v>33000.0</v>
      </c>
      <c r="M10" s="1">
        <v>33063.0</v>
      </c>
      <c r="N10" s="1" t="s">
        <v>45</v>
      </c>
      <c r="O10" s="1" t="s">
        <v>46</v>
      </c>
      <c r="P10" s="1" t="s">
        <v>47</v>
      </c>
      <c r="Q10" s="3"/>
      <c r="R10" s="1" t="s">
        <v>180</v>
      </c>
      <c r="S10" s="1" t="s">
        <v>181</v>
      </c>
      <c r="T10" s="3"/>
      <c r="U10" s="1" t="s">
        <v>50</v>
      </c>
      <c r="V10" s="1">
        <v>5.56969663E8</v>
      </c>
      <c r="W10" s="3"/>
      <c r="X10" s="2" t="s">
        <v>182</v>
      </c>
      <c r="Y10" s="3"/>
      <c r="Z10" s="1" t="s">
        <v>183</v>
      </c>
      <c r="AA10" s="4" t="s">
        <v>184</v>
      </c>
      <c r="AB10" s="5"/>
      <c r="AC10" s="1" t="s">
        <v>182</v>
      </c>
      <c r="AD10" s="1" t="s">
        <v>185</v>
      </c>
      <c r="AE10" s="1" t="s">
        <v>55</v>
      </c>
      <c r="AF10" s="1" t="s">
        <v>56</v>
      </c>
      <c r="AG10" s="1" t="s">
        <v>76</v>
      </c>
      <c r="AH10" s="1" t="s">
        <v>77</v>
      </c>
      <c r="AI10" s="3"/>
      <c r="AJ10" s="1" t="s">
        <v>59</v>
      </c>
      <c r="AK10" s="2" t="s">
        <v>186</v>
      </c>
      <c r="AL10" s="3"/>
      <c r="AM10" s="2" t="s">
        <v>187</v>
      </c>
      <c r="AN10" s="3"/>
      <c r="AO10" s="3"/>
    </row>
    <row r="11">
      <c r="A11" s="1">
        <v>26.0</v>
      </c>
      <c r="B11" s="1" t="s">
        <v>188</v>
      </c>
      <c r="C11" s="3"/>
      <c r="D11" s="2" t="s">
        <v>189</v>
      </c>
      <c r="E11" s="1" t="s">
        <v>41</v>
      </c>
      <c r="F11" s="1" t="s">
        <v>42</v>
      </c>
      <c r="G11" s="1" t="s">
        <v>41</v>
      </c>
      <c r="H11" s="3"/>
      <c r="I11" s="1" t="s">
        <v>190</v>
      </c>
      <c r="J11" s="1">
        <v>66.0</v>
      </c>
      <c r="K11" s="1" t="s">
        <v>191</v>
      </c>
      <c r="L11" s="1">
        <v>33000.0</v>
      </c>
      <c r="M11" s="1">
        <v>33063.0</v>
      </c>
      <c r="N11" s="1" t="s">
        <v>45</v>
      </c>
      <c r="O11" s="1" t="s">
        <v>46</v>
      </c>
      <c r="P11" s="1" t="s">
        <v>47</v>
      </c>
      <c r="Q11" s="3"/>
      <c r="R11" s="1" t="s">
        <v>192</v>
      </c>
      <c r="S11" s="1" t="s">
        <v>193</v>
      </c>
      <c r="T11" s="3"/>
      <c r="U11" s="1" t="s">
        <v>50</v>
      </c>
      <c r="V11" s="1">
        <v>5.56522326E8</v>
      </c>
      <c r="W11" s="3"/>
      <c r="X11" s="2" t="s">
        <v>194</v>
      </c>
      <c r="Y11" s="3"/>
      <c r="Z11" s="1" t="s">
        <v>195</v>
      </c>
      <c r="AA11" s="4" t="s">
        <v>196</v>
      </c>
      <c r="AB11" s="5"/>
      <c r="AC11" s="1" t="s">
        <v>194</v>
      </c>
      <c r="AD11" s="1" t="s">
        <v>197</v>
      </c>
      <c r="AE11" s="1" t="s">
        <v>94</v>
      </c>
      <c r="AF11" s="1" t="s">
        <v>56</v>
      </c>
      <c r="AG11" s="1" t="s">
        <v>57</v>
      </c>
      <c r="AH11" s="1" t="s">
        <v>77</v>
      </c>
      <c r="AI11" s="3"/>
      <c r="AJ11" s="1" t="s">
        <v>59</v>
      </c>
      <c r="AK11" s="2" t="s">
        <v>198</v>
      </c>
      <c r="AL11" s="3"/>
      <c r="AM11" s="2" t="s">
        <v>199</v>
      </c>
      <c r="AN11" s="3"/>
      <c r="AO11" s="3"/>
    </row>
    <row r="12">
      <c r="A12" s="1">
        <v>29.0</v>
      </c>
      <c r="B12" s="1" t="s">
        <v>200</v>
      </c>
      <c r="C12" s="3"/>
      <c r="D12" s="2" t="s">
        <v>201</v>
      </c>
      <c r="E12" s="1" t="s">
        <v>64</v>
      </c>
      <c r="F12" s="1" t="s">
        <v>42</v>
      </c>
      <c r="G12" s="1" t="s">
        <v>202</v>
      </c>
      <c r="H12" s="3"/>
      <c r="I12" s="1" t="s">
        <v>203</v>
      </c>
      <c r="J12" s="1">
        <v>77.0</v>
      </c>
      <c r="K12" s="1" t="s">
        <v>204</v>
      </c>
      <c r="L12" s="1">
        <v>33000.0</v>
      </c>
      <c r="M12" s="1">
        <v>33063.0</v>
      </c>
      <c r="N12" s="1" t="s">
        <v>45</v>
      </c>
      <c r="O12" s="1" t="s">
        <v>46</v>
      </c>
      <c r="P12" s="1" t="s">
        <v>47</v>
      </c>
      <c r="Q12" s="3"/>
      <c r="R12" s="1" t="s">
        <v>205</v>
      </c>
      <c r="S12" s="1" t="s">
        <v>206</v>
      </c>
      <c r="T12" s="3"/>
      <c r="U12" s="1" t="s">
        <v>50</v>
      </c>
      <c r="V12" s="1">
        <v>5.57657539E8</v>
      </c>
      <c r="W12" s="3"/>
      <c r="X12" s="2" t="s">
        <v>207</v>
      </c>
      <c r="Y12" s="3"/>
      <c r="Z12" s="1" t="s">
        <v>208</v>
      </c>
      <c r="AA12" s="4" t="s">
        <v>209</v>
      </c>
      <c r="AB12" s="4" t="s">
        <v>210</v>
      </c>
      <c r="AC12" s="1" t="s">
        <v>207</v>
      </c>
      <c r="AD12" s="3"/>
      <c r="AE12" s="1" t="s">
        <v>211</v>
      </c>
      <c r="AF12" s="1" t="s">
        <v>56</v>
      </c>
      <c r="AG12" s="1" t="s">
        <v>57</v>
      </c>
      <c r="AH12" s="1" t="s">
        <v>77</v>
      </c>
      <c r="AI12" s="3"/>
      <c r="AJ12" s="1" t="s">
        <v>59</v>
      </c>
      <c r="AK12" s="2" t="s">
        <v>212</v>
      </c>
      <c r="AL12" s="3"/>
      <c r="AM12" s="2" t="s">
        <v>213</v>
      </c>
      <c r="AN12" s="3"/>
      <c r="AO12" s="3"/>
    </row>
    <row r="13">
      <c r="A13" s="1">
        <v>34.0</v>
      </c>
      <c r="B13" s="1" t="s">
        <v>214</v>
      </c>
      <c r="C13" s="1" t="s">
        <v>130</v>
      </c>
      <c r="D13" s="2" t="s">
        <v>215</v>
      </c>
      <c r="E13" s="1" t="s">
        <v>132</v>
      </c>
      <c r="F13" s="1" t="s">
        <v>83</v>
      </c>
      <c r="G13" s="1" t="s">
        <v>133</v>
      </c>
      <c r="H13" s="1">
        <v>2.13E13</v>
      </c>
      <c r="I13" s="1" t="s">
        <v>216</v>
      </c>
      <c r="J13" s="1">
        <v>10.0</v>
      </c>
      <c r="K13" s="1" t="s">
        <v>217</v>
      </c>
      <c r="L13" s="1">
        <v>33800.0</v>
      </c>
      <c r="M13" s="1">
        <v>33063.0</v>
      </c>
      <c r="N13" s="1" t="s">
        <v>45</v>
      </c>
      <c r="O13" s="1" t="s">
        <v>46</v>
      </c>
      <c r="P13" s="1" t="s">
        <v>47</v>
      </c>
      <c r="Q13" s="3"/>
      <c r="R13" s="1" t="s">
        <v>218</v>
      </c>
      <c r="S13" s="1" t="s">
        <v>219</v>
      </c>
      <c r="T13" s="3"/>
      <c r="U13" s="1" t="s">
        <v>50</v>
      </c>
      <c r="V13" s="1">
        <v>5.56911879E8</v>
      </c>
      <c r="W13" s="3"/>
      <c r="X13" s="2" t="s">
        <v>220</v>
      </c>
      <c r="Y13" s="3"/>
      <c r="Z13" s="1" t="s">
        <v>139</v>
      </c>
      <c r="AA13" s="4" t="s">
        <v>140</v>
      </c>
      <c r="AB13" s="4" t="s">
        <v>141</v>
      </c>
      <c r="AC13" s="1" t="s">
        <v>220</v>
      </c>
      <c r="AD13" s="1" t="s">
        <v>221</v>
      </c>
      <c r="AE13" s="1" t="s">
        <v>55</v>
      </c>
      <c r="AF13" s="1" t="s">
        <v>56</v>
      </c>
      <c r="AG13" s="1" t="s">
        <v>76</v>
      </c>
      <c r="AH13" s="1" t="s">
        <v>58</v>
      </c>
      <c r="AI13" s="1" t="s">
        <v>125</v>
      </c>
      <c r="AJ13" s="1" t="s">
        <v>59</v>
      </c>
      <c r="AK13" s="2" t="s">
        <v>222</v>
      </c>
      <c r="AL13" s="3"/>
      <c r="AM13" s="2" t="s">
        <v>223</v>
      </c>
      <c r="AN13" s="3"/>
      <c r="AO13" s="3"/>
    </row>
    <row r="14">
      <c r="A14" s="1">
        <v>35.0</v>
      </c>
      <c r="B14" s="1" t="s">
        <v>224</v>
      </c>
      <c r="C14" s="1" t="s">
        <v>130</v>
      </c>
      <c r="D14" s="2" t="s">
        <v>225</v>
      </c>
      <c r="E14" s="1" t="s">
        <v>132</v>
      </c>
      <c r="F14" s="1" t="s">
        <v>83</v>
      </c>
      <c r="G14" s="1" t="s">
        <v>133</v>
      </c>
      <c r="H14" s="1">
        <v>2.13E13</v>
      </c>
      <c r="I14" s="1" t="s">
        <v>226</v>
      </c>
      <c r="J14" s="1">
        <v>1.0</v>
      </c>
      <c r="K14" s="1" t="s">
        <v>227</v>
      </c>
      <c r="L14" s="1">
        <v>33800.0</v>
      </c>
      <c r="M14" s="1">
        <v>33063.0</v>
      </c>
      <c r="N14" s="1" t="s">
        <v>45</v>
      </c>
      <c r="O14" s="1" t="s">
        <v>46</v>
      </c>
      <c r="P14" s="1" t="s">
        <v>47</v>
      </c>
      <c r="Q14" s="3"/>
      <c r="R14" s="1" t="s">
        <v>228</v>
      </c>
      <c r="S14" s="1" t="s">
        <v>229</v>
      </c>
      <c r="T14" s="3"/>
      <c r="U14" s="1" t="s">
        <v>50</v>
      </c>
      <c r="V14" s="1">
        <v>5.24996012E8</v>
      </c>
      <c r="W14" s="3"/>
      <c r="X14" s="2" t="s">
        <v>220</v>
      </c>
      <c r="Y14" s="3"/>
      <c r="Z14" s="1" t="s">
        <v>139</v>
      </c>
      <c r="AA14" s="4" t="s">
        <v>140</v>
      </c>
      <c r="AB14" s="4" t="s">
        <v>141</v>
      </c>
      <c r="AC14" s="1" t="s">
        <v>220</v>
      </c>
      <c r="AD14" s="1" t="s">
        <v>221</v>
      </c>
      <c r="AE14" s="1" t="s">
        <v>55</v>
      </c>
      <c r="AF14" s="1" t="s">
        <v>56</v>
      </c>
      <c r="AG14" s="1" t="s">
        <v>76</v>
      </c>
      <c r="AH14" s="1" t="s">
        <v>58</v>
      </c>
      <c r="AI14" s="1" t="s">
        <v>125</v>
      </c>
      <c r="AJ14" s="1" t="s">
        <v>59</v>
      </c>
      <c r="AK14" s="2" t="s">
        <v>230</v>
      </c>
      <c r="AL14" s="3"/>
      <c r="AM14" s="2" t="s">
        <v>231</v>
      </c>
      <c r="AN14" s="3"/>
      <c r="AO14" s="3"/>
    </row>
    <row r="15">
      <c r="A15" s="1">
        <v>44.0</v>
      </c>
      <c r="B15" s="1" t="s">
        <v>232</v>
      </c>
      <c r="C15" s="1" t="s">
        <v>130</v>
      </c>
      <c r="D15" s="2" t="s">
        <v>233</v>
      </c>
      <c r="E15" s="1" t="s">
        <v>132</v>
      </c>
      <c r="F15" s="1" t="s">
        <v>83</v>
      </c>
      <c r="G15" s="1" t="s">
        <v>133</v>
      </c>
      <c r="H15" s="1">
        <v>2.13E13</v>
      </c>
      <c r="I15" s="1" t="s">
        <v>234</v>
      </c>
      <c r="J15" s="1">
        <v>21.0</v>
      </c>
      <c r="K15" s="1" t="s">
        <v>235</v>
      </c>
      <c r="L15" s="1">
        <v>33200.0</v>
      </c>
      <c r="M15" s="1">
        <v>33063.0</v>
      </c>
      <c r="N15" s="1" t="s">
        <v>45</v>
      </c>
      <c r="O15" s="1" t="s">
        <v>46</v>
      </c>
      <c r="P15" s="1" t="s">
        <v>47</v>
      </c>
      <c r="Q15" s="3"/>
      <c r="R15" s="1" t="s">
        <v>236</v>
      </c>
      <c r="S15" s="1" t="s">
        <v>237</v>
      </c>
      <c r="T15" s="3"/>
      <c r="U15" s="1" t="s">
        <v>50</v>
      </c>
      <c r="V15" s="1">
        <v>5.2457676E8</v>
      </c>
      <c r="W15" s="3"/>
      <c r="X15" s="2" t="s">
        <v>238</v>
      </c>
      <c r="Y15" s="3"/>
      <c r="Z15" s="1" t="s">
        <v>139</v>
      </c>
      <c r="AA15" s="4" t="s">
        <v>140</v>
      </c>
      <c r="AB15" s="4" t="s">
        <v>141</v>
      </c>
      <c r="AC15" s="1" t="s">
        <v>238</v>
      </c>
      <c r="AD15" s="1" t="s">
        <v>239</v>
      </c>
      <c r="AE15" s="1" t="s">
        <v>55</v>
      </c>
      <c r="AF15" s="1" t="s">
        <v>56</v>
      </c>
      <c r="AG15" s="1" t="s">
        <v>76</v>
      </c>
      <c r="AH15" s="1" t="s">
        <v>58</v>
      </c>
      <c r="AI15" s="1" t="s">
        <v>125</v>
      </c>
      <c r="AJ15" s="1" t="s">
        <v>59</v>
      </c>
      <c r="AK15" s="2" t="s">
        <v>240</v>
      </c>
      <c r="AL15" s="3"/>
      <c r="AM15" s="2" t="s">
        <v>241</v>
      </c>
      <c r="AN15" s="3"/>
      <c r="AO15" s="3"/>
    </row>
    <row r="16">
      <c r="A16" s="1">
        <v>51.0</v>
      </c>
      <c r="B16" s="1" t="s">
        <v>242</v>
      </c>
      <c r="C16" s="3"/>
      <c r="D16" s="2" t="s">
        <v>243</v>
      </c>
      <c r="E16" s="1" t="s">
        <v>41</v>
      </c>
      <c r="F16" s="1" t="s">
        <v>42</v>
      </c>
      <c r="G16" s="1" t="s">
        <v>41</v>
      </c>
      <c r="H16" s="3"/>
      <c r="I16" s="1" t="s">
        <v>244</v>
      </c>
      <c r="J16" s="1">
        <v>72.0</v>
      </c>
      <c r="K16" s="1" t="s">
        <v>245</v>
      </c>
      <c r="L16" s="1">
        <v>33370.0</v>
      </c>
      <c r="M16" s="1">
        <v>33013.0</v>
      </c>
      <c r="N16" s="1" t="s">
        <v>246</v>
      </c>
      <c r="O16" s="1" t="s">
        <v>46</v>
      </c>
      <c r="P16" s="1" t="s">
        <v>47</v>
      </c>
      <c r="Q16" s="3"/>
      <c r="R16" s="1" t="s">
        <v>247</v>
      </c>
      <c r="S16" s="1" t="s">
        <v>248</v>
      </c>
      <c r="T16" s="3"/>
      <c r="U16" s="1" t="s">
        <v>50</v>
      </c>
      <c r="V16" s="1">
        <v>5.56445225E8</v>
      </c>
      <c r="W16" s="3"/>
      <c r="X16" s="2" t="s">
        <v>249</v>
      </c>
      <c r="Y16" s="3"/>
      <c r="Z16" s="1" t="s">
        <v>250</v>
      </c>
      <c r="AA16" s="5"/>
      <c r="AB16" s="4" t="s">
        <v>251</v>
      </c>
      <c r="AC16" s="1" t="s">
        <v>249</v>
      </c>
      <c r="AD16" s="1" t="s">
        <v>252</v>
      </c>
      <c r="AE16" s="1" t="s">
        <v>253</v>
      </c>
      <c r="AF16" s="3"/>
      <c r="AG16" s="1" t="s">
        <v>57</v>
      </c>
      <c r="AH16" s="1" t="s">
        <v>58</v>
      </c>
      <c r="AI16" s="1" t="s">
        <v>125</v>
      </c>
      <c r="AJ16" s="1" t="s">
        <v>59</v>
      </c>
      <c r="AK16" s="2" t="s">
        <v>254</v>
      </c>
      <c r="AL16" s="3"/>
      <c r="AM16" s="2" t="s">
        <v>255</v>
      </c>
      <c r="AN16" s="3"/>
      <c r="AO16" s="3"/>
    </row>
    <row r="17">
      <c r="A17" s="1">
        <v>53.0</v>
      </c>
      <c r="B17" s="1" t="s">
        <v>256</v>
      </c>
      <c r="C17" s="3"/>
      <c r="D17" s="2" t="s">
        <v>257</v>
      </c>
      <c r="E17" s="1" t="s">
        <v>258</v>
      </c>
      <c r="F17" s="1" t="s">
        <v>83</v>
      </c>
      <c r="G17" s="1" t="s">
        <v>133</v>
      </c>
      <c r="H17" s="3"/>
      <c r="I17" s="1" t="s">
        <v>259</v>
      </c>
      <c r="J17" s="3"/>
      <c r="K17" s="1" t="s">
        <v>259</v>
      </c>
      <c r="L17" s="1">
        <v>33560.0</v>
      </c>
      <c r="M17" s="3"/>
      <c r="N17" s="1" t="s">
        <v>260</v>
      </c>
      <c r="O17" s="1" t="s">
        <v>46</v>
      </c>
      <c r="P17" s="1" t="s">
        <v>47</v>
      </c>
      <c r="Q17" s="3"/>
      <c r="R17" s="3"/>
      <c r="S17" s="3"/>
      <c r="T17" s="3"/>
      <c r="U17" s="1" t="s">
        <v>50</v>
      </c>
      <c r="V17" s="1">
        <v>5.57776887E8</v>
      </c>
      <c r="W17" s="3"/>
      <c r="X17" s="2" t="s">
        <v>261</v>
      </c>
      <c r="Y17" s="3"/>
      <c r="Z17" s="1" t="s">
        <v>262</v>
      </c>
      <c r="AA17" s="4" t="s">
        <v>263</v>
      </c>
      <c r="AB17" s="5"/>
      <c r="AC17" s="1" t="s">
        <v>261</v>
      </c>
      <c r="AD17" s="1" t="s">
        <v>264</v>
      </c>
      <c r="AE17" s="1" t="s">
        <v>265</v>
      </c>
      <c r="AF17" s="1" t="s">
        <v>56</v>
      </c>
      <c r="AG17" s="1" t="s">
        <v>109</v>
      </c>
      <c r="AH17" s="1" t="s">
        <v>95</v>
      </c>
      <c r="AI17" s="1" t="s">
        <v>125</v>
      </c>
      <c r="AJ17" s="1" t="s">
        <v>96</v>
      </c>
      <c r="AK17" s="2" t="s">
        <v>266</v>
      </c>
      <c r="AL17" s="1" t="s">
        <v>127</v>
      </c>
      <c r="AM17" s="5"/>
      <c r="AN17" s="3"/>
      <c r="AO17" s="3"/>
    </row>
    <row r="18">
      <c r="A18" s="1">
        <v>56.0</v>
      </c>
      <c r="B18" s="1" t="s">
        <v>267</v>
      </c>
      <c r="C18" s="1" t="s">
        <v>268</v>
      </c>
      <c r="D18" s="2" t="s">
        <v>269</v>
      </c>
      <c r="E18" s="1" t="s">
        <v>258</v>
      </c>
      <c r="F18" s="1" t="s">
        <v>83</v>
      </c>
      <c r="G18" s="1" t="s">
        <v>133</v>
      </c>
      <c r="H18" s="3"/>
      <c r="I18" s="1" t="s">
        <v>270</v>
      </c>
      <c r="J18" s="1">
        <v>11.0</v>
      </c>
      <c r="K18" s="1" t="s">
        <v>271</v>
      </c>
      <c r="L18" s="1">
        <v>33150.0</v>
      </c>
      <c r="M18" s="1">
        <v>33119.0</v>
      </c>
      <c r="N18" s="1" t="s">
        <v>272</v>
      </c>
      <c r="O18" s="1" t="s">
        <v>46</v>
      </c>
      <c r="P18" s="1" t="s">
        <v>47</v>
      </c>
      <c r="Q18" s="1" t="s">
        <v>273</v>
      </c>
      <c r="R18" s="1" t="s">
        <v>274</v>
      </c>
      <c r="S18" s="1" t="s">
        <v>275</v>
      </c>
      <c r="T18" s="3"/>
      <c r="U18" s="1" t="s">
        <v>50</v>
      </c>
      <c r="V18" s="1">
        <v>5.56678066E8</v>
      </c>
      <c r="W18" s="3"/>
      <c r="X18" s="2" t="s">
        <v>276</v>
      </c>
      <c r="Y18" s="3"/>
      <c r="Z18" s="1" t="s">
        <v>277</v>
      </c>
      <c r="AA18" s="4" t="s">
        <v>278</v>
      </c>
      <c r="AB18" s="4" t="s">
        <v>279</v>
      </c>
      <c r="AC18" s="1" t="s">
        <v>276</v>
      </c>
      <c r="AD18" s="1" t="s">
        <v>280</v>
      </c>
      <c r="AE18" s="1" t="s">
        <v>55</v>
      </c>
      <c r="AF18" s="1" t="s">
        <v>56</v>
      </c>
      <c r="AG18" s="1" t="s">
        <v>76</v>
      </c>
      <c r="AH18" s="1" t="s">
        <v>58</v>
      </c>
      <c r="AI18" s="1" t="s">
        <v>125</v>
      </c>
      <c r="AJ18" s="1" t="s">
        <v>59</v>
      </c>
      <c r="AK18" s="2" t="s">
        <v>281</v>
      </c>
      <c r="AL18" s="3"/>
      <c r="AM18" s="2" t="s">
        <v>282</v>
      </c>
      <c r="AN18" s="3"/>
      <c r="AO18" s="3"/>
    </row>
    <row r="19">
      <c r="A19" s="1">
        <v>65.0</v>
      </c>
      <c r="B19" s="1" t="s">
        <v>283</v>
      </c>
      <c r="C19" s="3"/>
      <c r="D19" s="2" t="s">
        <v>284</v>
      </c>
      <c r="E19" s="1" t="s">
        <v>41</v>
      </c>
      <c r="F19" s="1" t="s">
        <v>42</v>
      </c>
      <c r="G19" s="1" t="s">
        <v>41</v>
      </c>
      <c r="H19" s="3"/>
      <c r="I19" s="1" t="s">
        <v>285</v>
      </c>
      <c r="J19" s="1">
        <v>5.0</v>
      </c>
      <c r="K19" s="1" t="s">
        <v>286</v>
      </c>
      <c r="L19" s="1">
        <v>33310.0</v>
      </c>
      <c r="M19" s="1">
        <v>33249.0</v>
      </c>
      <c r="N19" s="1" t="s">
        <v>287</v>
      </c>
      <c r="O19" s="1" t="s">
        <v>46</v>
      </c>
      <c r="P19" s="1" t="s">
        <v>47</v>
      </c>
      <c r="Q19" s="3"/>
      <c r="R19" s="1" t="s">
        <v>288</v>
      </c>
      <c r="S19" s="1" t="s">
        <v>289</v>
      </c>
      <c r="T19" s="3"/>
      <c r="U19" s="1" t="s">
        <v>50</v>
      </c>
      <c r="V19" s="1">
        <v>5.47330569E8</v>
      </c>
      <c r="W19" s="3"/>
      <c r="X19" s="2" t="s">
        <v>290</v>
      </c>
      <c r="Y19" s="3"/>
      <c r="Z19" s="1" t="s">
        <v>291</v>
      </c>
      <c r="AA19" s="5"/>
      <c r="AB19" s="4" t="s">
        <v>292</v>
      </c>
      <c r="AC19" s="1" t="s">
        <v>290</v>
      </c>
      <c r="AD19" s="1" t="s">
        <v>293</v>
      </c>
      <c r="AE19" s="1" t="s">
        <v>294</v>
      </c>
      <c r="AF19" s="1" t="s">
        <v>56</v>
      </c>
      <c r="AG19" s="1" t="s">
        <v>109</v>
      </c>
      <c r="AH19" s="1" t="s">
        <v>295</v>
      </c>
      <c r="AI19" s="3"/>
      <c r="AJ19" s="1" t="s">
        <v>59</v>
      </c>
      <c r="AK19" s="2" t="s">
        <v>296</v>
      </c>
      <c r="AL19" s="3"/>
      <c r="AM19" s="2" t="s">
        <v>297</v>
      </c>
      <c r="AN19" s="3"/>
      <c r="AO19" s="3"/>
    </row>
    <row r="20">
      <c r="A20" s="1">
        <v>66.0</v>
      </c>
      <c r="B20" s="1" t="s">
        <v>298</v>
      </c>
      <c r="C20" s="3"/>
      <c r="D20" s="2" t="s">
        <v>299</v>
      </c>
      <c r="E20" s="1" t="s">
        <v>41</v>
      </c>
      <c r="F20" s="1" t="s">
        <v>42</v>
      </c>
      <c r="G20" s="1" t="s">
        <v>41</v>
      </c>
      <c r="H20" s="3"/>
      <c r="I20" s="1" t="s">
        <v>300</v>
      </c>
      <c r="J20" s="1" t="s">
        <v>301</v>
      </c>
      <c r="K20" s="1" t="s">
        <v>286</v>
      </c>
      <c r="L20" s="1">
        <v>33310.0</v>
      </c>
      <c r="M20" s="1">
        <v>33249.0</v>
      </c>
      <c r="N20" s="1" t="s">
        <v>287</v>
      </c>
      <c r="O20" s="1" t="s">
        <v>46</v>
      </c>
      <c r="P20" s="1" t="s">
        <v>47</v>
      </c>
      <c r="Q20" s="3"/>
      <c r="R20" s="1" t="s">
        <v>302</v>
      </c>
      <c r="S20" s="1" t="s">
        <v>303</v>
      </c>
      <c r="T20" s="3"/>
      <c r="U20" s="1" t="s">
        <v>50</v>
      </c>
      <c r="V20" s="1">
        <v>5.5777772E8</v>
      </c>
      <c r="W20" s="3"/>
      <c r="X20" s="2" t="s">
        <v>304</v>
      </c>
      <c r="Y20" s="3"/>
      <c r="Z20" s="1" t="s">
        <v>305</v>
      </c>
      <c r="AA20" s="4" t="s">
        <v>306</v>
      </c>
      <c r="AB20" s="5"/>
      <c r="AC20" s="1" t="s">
        <v>304</v>
      </c>
      <c r="AD20" s="1" t="s">
        <v>307</v>
      </c>
      <c r="AE20" s="1" t="s">
        <v>308</v>
      </c>
      <c r="AF20" s="1" t="s">
        <v>56</v>
      </c>
      <c r="AG20" s="1" t="s">
        <v>109</v>
      </c>
      <c r="AH20" s="1" t="s">
        <v>95</v>
      </c>
      <c r="AI20" s="1" t="s">
        <v>125</v>
      </c>
      <c r="AJ20" s="1" t="s">
        <v>59</v>
      </c>
      <c r="AK20" s="2" t="s">
        <v>309</v>
      </c>
      <c r="AL20" s="3"/>
      <c r="AM20" s="2" t="s">
        <v>310</v>
      </c>
      <c r="AN20" s="3"/>
      <c r="AO20" s="3"/>
    </row>
    <row r="21">
      <c r="A21" s="1">
        <v>71.0</v>
      </c>
      <c r="B21" s="1" t="s">
        <v>311</v>
      </c>
      <c r="C21" s="3"/>
      <c r="D21" s="2" t="s">
        <v>312</v>
      </c>
      <c r="E21" s="1" t="s">
        <v>64</v>
      </c>
      <c r="F21" s="1" t="s">
        <v>42</v>
      </c>
      <c r="G21" s="1" t="s">
        <v>84</v>
      </c>
      <c r="H21" s="3"/>
      <c r="I21" s="1" t="s">
        <v>313</v>
      </c>
      <c r="J21" s="1">
        <v>12.0</v>
      </c>
      <c r="K21" s="1" t="s">
        <v>314</v>
      </c>
      <c r="L21" s="1">
        <v>33130.0</v>
      </c>
      <c r="M21" s="1">
        <v>33039.0</v>
      </c>
      <c r="N21" s="1" t="s">
        <v>315</v>
      </c>
      <c r="O21" s="1" t="s">
        <v>46</v>
      </c>
      <c r="P21" s="1" t="s">
        <v>47</v>
      </c>
      <c r="Q21" s="3"/>
      <c r="R21" s="1" t="s">
        <v>316</v>
      </c>
      <c r="S21" s="1" t="s">
        <v>317</v>
      </c>
      <c r="T21" s="3"/>
      <c r="U21" s="1" t="s">
        <v>50</v>
      </c>
      <c r="V21" s="1">
        <v>5.57042471E8</v>
      </c>
      <c r="W21" s="1">
        <v>7.85103325E8</v>
      </c>
      <c r="X21" s="2" t="s">
        <v>318</v>
      </c>
      <c r="Y21" s="3"/>
      <c r="Z21" s="1" t="s">
        <v>319</v>
      </c>
      <c r="AA21" s="4" t="s">
        <v>320</v>
      </c>
      <c r="AB21" s="5"/>
      <c r="AC21" s="1" t="s">
        <v>318</v>
      </c>
      <c r="AD21" s="1" t="s">
        <v>321</v>
      </c>
      <c r="AE21" s="1" t="s">
        <v>55</v>
      </c>
      <c r="AF21" s="1" t="s">
        <v>56</v>
      </c>
      <c r="AG21" s="1" t="s">
        <v>109</v>
      </c>
      <c r="AH21" s="1" t="s">
        <v>77</v>
      </c>
      <c r="AI21" s="1" t="s">
        <v>125</v>
      </c>
      <c r="AJ21" s="1" t="s">
        <v>59</v>
      </c>
      <c r="AK21" s="2" t="s">
        <v>322</v>
      </c>
      <c r="AL21" s="1" t="s">
        <v>158</v>
      </c>
      <c r="AM21" s="2" t="s">
        <v>323</v>
      </c>
      <c r="AN21" s="3"/>
      <c r="AO21" s="3"/>
    </row>
    <row r="22">
      <c r="A22" s="1">
        <v>73.0</v>
      </c>
      <c r="B22" s="1" t="s">
        <v>324</v>
      </c>
      <c r="C22" s="3"/>
      <c r="D22" s="2" t="s">
        <v>325</v>
      </c>
      <c r="E22" s="1" t="s">
        <v>41</v>
      </c>
      <c r="F22" s="1" t="s">
        <v>42</v>
      </c>
      <c r="G22" s="1" t="s">
        <v>41</v>
      </c>
      <c r="H22" s="3"/>
      <c r="I22" s="1" t="s">
        <v>326</v>
      </c>
      <c r="J22" s="1">
        <v>21.0</v>
      </c>
      <c r="K22" s="1" t="s">
        <v>327</v>
      </c>
      <c r="L22" s="1">
        <v>33130.0</v>
      </c>
      <c r="M22" s="1">
        <v>33039.0</v>
      </c>
      <c r="N22" s="1" t="s">
        <v>315</v>
      </c>
      <c r="O22" s="1" t="s">
        <v>46</v>
      </c>
      <c r="P22" s="1" t="s">
        <v>47</v>
      </c>
      <c r="Q22" s="3"/>
      <c r="R22" s="1" t="s">
        <v>328</v>
      </c>
      <c r="S22" s="1" t="s">
        <v>329</v>
      </c>
      <c r="T22" s="3"/>
      <c r="U22" s="1" t="s">
        <v>50</v>
      </c>
      <c r="V22" s="1">
        <v>5.56490634E8</v>
      </c>
      <c r="W22" s="3"/>
      <c r="X22" s="2" t="s">
        <v>330</v>
      </c>
      <c r="Y22" s="3"/>
      <c r="Z22" s="1" t="s">
        <v>331</v>
      </c>
      <c r="AA22" s="5"/>
      <c r="AB22" s="5"/>
      <c r="AC22" s="1" t="s">
        <v>330</v>
      </c>
      <c r="AD22" s="1" t="s">
        <v>332</v>
      </c>
      <c r="AE22" s="1" t="s">
        <v>156</v>
      </c>
      <c r="AF22" s="1" t="s">
        <v>56</v>
      </c>
      <c r="AG22" s="1" t="s">
        <v>76</v>
      </c>
      <c r="AH22" s="1" t="s">
        <v>95</v>
      </c>
      <c r="AI22" s="1" t="s">
        <v>125</v>
      </c>
      <c r="AJ22" s="1" t="s">
        <v>59</v>
      </c>
      <c r="AK22" s="2" t="s">
        <v>333</v>
      </c>
      <c r="AL22" s="3"/>
      <c r="AM22" s="2" t="s">
        <v>334</v>
      </c>
      <c r="AN22" s="3"/>
      <c r="AO22" s="3"/>
    </row>
    <row r="23">
      <c r="A23" s="1">
        <v>74.0</v>
      </c>
      <c r="B23" s="1" t="s">
        <v>335</v>
      </c>
      <c r="C23" s="3"/>
      <c r="D23" s="2" t="s">
        <v>336</v>
      </c>
      <c r="E23" s="1" t="s">
        <v>162</v>
      </c>
      <c r="F23" s="1" t="s">
        <v>42</v>
      </c>
      <c r="G23" s="1" t="s">
        <v>41</v>
      </c>
      <c r="H23" s="3"/>
      <c r="I23" s="1" t="s">
        <v>337</v>
      </c>
      <c r="J23" s="1">
        <v>9.0</v>
      </c>
      <c r="K23" s="1" t="s">
        <v>338</v>
      </c>
      <c r="L23" s="1">
        <v>33130.0</v>
      </c>
      <c r="M23" s="1">
        <v>33039.0</v>
      </c>
      <c r="N23" s="1" t="s">
        <v>315</v>
      </c>
      <c r="O23" s="1" t="s">
        <v>46</v>
      </c>
      <c r="P23" s="1" t="s">
        <v>47</v>
      </c>
      <c r="Q23" s="3"/>
      <c r="R23" s="1" t="s">
        <v>339</v>
      </c>
      <c r="S23" s="1" t="s">
        <v>340</v>
      </c>
      <c r="T23" s="3"/>
      <c r="U23" s="1" t="s">
        <v>50</v>
      </c>
      <c r="V23" s="1">
        <v>5.56759747E8</v>
      </c>
      <c r="W23" s="3"/>
      <c r="X23" s="2" t="s">
        <v>341</v>
      </c>
      <c r="Y23" s="3"/>
      <c r="Z23" s="1" t="s">
        <v>342</v>
      </c>
      <c r="AA23" s="4" t="s">
        <v>343</v>
      </c>
      <c r="AB23" s="5"/>
      <c r="AC23" s="1" t="s">
        <v>344</v>
      </c>
      <c r="AD23" s="1" t="s">
        <v>345</v>
      </c>
      <c r="AE23" s="1" t="s">
        <v>55</v>
      </c>
      <c r="AF23" s="1" t="s">
        <v>56</v>
      </c>
      <c r="AG23" s="1" t="s">
        <v>76</v>
      </c>
      <c r="AH23" s="1" t="s">
        <v>77</v>
      </c>
      <c r="AI23" s="3"/>
      <c r="AJ23" s="1" t="s">
        <v>59</v>
      </c>
      <c r="AK23" s="2" t="s">
        <v>346</v>
      </c>
      <c r="AL23" s="1" t="s">
        <v>158</v>
      </c>
      <c r="AM23" s="2" t="s">
        <v>347</v>
      </c>
      <c r="AN23" s="3"/>
      <c r="AO23" s="3"/>
    </row>
    <row r="24">
      <c r="A24" s="1">
        <v>76.0</v>
      </c>
      <c r="B24" s="1" t="s">
        <v>348</v>
      </c>
      <c r="C24" s="3"/>
      <c r="D24" s="2" t="s">
        <v>349</v>
      </c>
      <c r="E24" s="1" t="s">
        <v>162</v>
      </c>
      <c r="F24" s="1" t="s">
        <v>42</v>
      </c>
      <c r="G24" s="1" t="s">
        <v>41</v>
      </c>
      <c r="H24" s="3"/>
      <c r="I24" s="1" t="s">
        <v>350</v>
      </c>
      <c r="J24" s="1">
        <v>15.0</v>
      </c>
      <c r="K24" s="1" t="s">
        <v>351</v>
      </c>
      <c r="L24" s="1">
        <v>33170.0</v>
      </c>
      <c r="M24" s="1">
        <v>33192.0</v>
      </c>
      <c r="N24" s="1" t="s">
        <v>352</v>
      </c>
      <c r="O24" s="1" t="s">
        <v>46</v>
      </c>
      <c r="P24" s="1" t="s">
        <v>47</v>
      </c>
      <c r="Q24" s="1" t="s">
        <v>353</v>
      </c>
      <c r="R24" s="1" t="s">
        <v>354</v>
      </c>
      <c r="S24" s="1" t="s">
        <v>355</v>
      </c>
      <c r="T24" s="3"/>
      <c r="U24" s="1" t="s">
        <v>50</v>
      </c>
      <c r="V24" s="1">
        <v>5.56847961E8</v>
      </c>
      <c r="W24" s="3"/>
      <c r="X24" s="2" t="s">
        <v>356</v>
      </c>
      <c r="Y24" s="3"/>
      <c r="Z24" s="1" t="s">
        <v>357</v>
      </c>
      <c r="AA24" s="4" t="s">
        <v>358</v>
      </c>
      <c r="AB24" s="4" t="s">
        <v>359</v>
      </c>
      <c r="AC24" s="1" t="s">
        <v>356</v>
      </c>
      <c r="AD24" s="1" t="s">
        <v>360</v>
      </c>
      <c r="AE24" s="1" t="s">
        <v>361</v>
      </c>
      <c r="AF24" s="1" t="s">
        <v>56</v>
      </c>
      <c r="AG24" s="1" t="s">
        <v>76</v>
      </c>
      <c r="AH24" s="1" t="s">
        <v>295</v>
      </c>
      <c r="AI24" s="1" t="s">
        <v>125</v>
      </c>
      <c r="AJ24" s="1" t="s">
        <v>59</v>
      </c>
      <c r="AK24" s="2" t="s">
        <v>362</v>
      </c>
      <c r="AL24" s="3"/>
      <c r="AM24" s="2" t="s">
        <v>363</v>
      </c>
      <c r="AN24" s="3"/>
      <c r="AO24" s="3"/>
    </row>
    <row r="25">
      <c r="A25" s="1">
        <v>78.0</v>
      </c>
      <c r="B25" s="1" t="s">
        <v>364</v>
      </c>
      <c r="C25" s="3"/>
      <c r="D25" s="2" t="s">
        <v>365</v>
      </c>
      <c r="E25" s="1" t="s">
        <v>41</v>
      </c>
      <c r="F25" s="1" t="s">
        <v>42</v>
      </c>
      <c r="G25" s="1" t="s">
        <v>41</v>
      </c>
      <c r="H25" s="3"/>
      <c r="I25" s="1" t="s">
        <v>366</v>
      </c>
      <c r="J25" s="1">
        <v>7.0</v>
      </c>
      <c r="K25" s="1" t="s">
        <v>367</v>
      </c>
      <c r="L25" s="1">
        <v>33170.0</v>
      </c>
      <c r="M25" s="1">
        <v>33192.0</v>
      </c>
      <c r="N25" s="1" t="s">
        <v>352</v>
      </c>
      <c r="O25" s="1" t="s">
        <v>46</v>
      </c>
      <c r="P25" s="1" t="s">
        <v>47</v>
      </c>
      <c r="Q25" s="3"/>
      <c r="R25" s="1" t="s">
        <v>368</v>
      </c>
      <c r="S25" s="1" t="s">
        <v>369</v>
      </c>
      <c r="T25" s="3"/>
      <c r="U25" s="1" t="s">
        <v>50</v>
      </c>
      <c r="V25" s="1">
        <v>5.57968682E8</v>
      </c>
      <c r="W25" s="3"/>
      <c r="X25" s="2" t="s">
        <v>370</v>
      </c>
      <c r="Y25" s="3"/>
      <c r="Z25" s="1" t="s">
        <v>371</v>
      </c>
      <c r="AA25" s="4" t="s">
        <v>372</v>
      </c>
      <c r="AB25" s="5"/>
      <c r="AC25" s="1" t="s">
        <v>370</v>
      </c>
      <c r="AD25" s="3"/>
      <c r="AE25" s="1" t="s">
        <v>94</v>
      </c>
      <c r="AF25" s="1" t="s">
        <v>56</v>
      </c>
      <c r="AG25" s="1" t="s">
        <v>76</v>
      </c>
      <c r="AH25" s="1" t="s">
        <v>58</v>
      </c>
      <c r="AI25" s="1" t="s">
        <v>125</v>
      </c>
      <c r="AJ25" s="1" t="s">
        <v>96</v>
      </c>
      <c r="AK25" s="2" t="s">
        <v>373</v>
      </c>
      <c r="AL25" s="1" t="s">
        <v>127</v>
      </c>
      <c r="AM25" s="2" t="s">
        <v>374</v>
      </c>
      <c r="AN25" s="3"/>
      <c r="AO25" s="3"/>
    </row>
    <row r="26">
      <c r="A26" s="1">
        <v>80.0</v>
      </c>
      <c r="B26" s="1" t="s">
        <v>375</v>
      </c>
      <c r="C26" s="1" t="s">
        <v>376</v>
      </c>
      <c r="D26" s="2" t="s">
        <v>377</v>
      </c>
      <c r="E26" s="1" t="s">
        <v>132</v>
      </c>
      <c r="F26" s="1" t="s">
        <v>83</v>
      </c>
      <c r="G26" s="1" t="s">
        <v>133</v>
      </c>
      <c r="H26" s="3"/>
      <c r="I26" s="1" t="s">
        <v>378</v>
      </c>
      <c r="J26" s="1" t="s">
        <v>379</v>
      </c>
      <c r="K26" s="1" t="s">
        <v>380</v>
      </c>
      <c r="L26" s="1">
        <v>33600.0</v>
      </c>
      <c r="M26" s="1">
        <v>33318.0</v>
      </c>
      <c r="N26" s="1" t="s">
        <v>381</v>
      </c>
      <c r="O26" s="1" t="s">
        <v>46</v>
      </c>
      <c r="P26" s="1" t="s">
        <v>47</v>
      </c>
      <c r="Q26" s="3"/>
      <c r="R26" s="1" t="s">
        <v>382</v>
      </c>
      <c r="S26" s="1" t="s">
        <v>383</v>
      </c>
      <c r="T26" s="3"/>
      <c r="U26" s="1" t="s">
        <v>50</v>
      </c>
      <c r="V26" s="1">
        <v>5.5793672E8</v>
      </c>
      <c r="W26" s="3"/>
      <c r="X26" s="2" t="s">
        <v>384</v>
      </c>
      <c r="Y26" s="3"/>
      <c r="Z26" s="1" t="s">
        <v>385</v>
      </c>
      <c r="AA26" s="4" t="s">
        <v>386</v>
      </c>
      <c r="AB26" s="5"/>
      <c r="AC26" s="1" t="s">
        <v>384</v>
      </c>
      <c r="AD26" s="1" t="s">
        <v>387</v>
      </c>
      <c r="AE26" s="1" t="s">
        <v>55</v>
      </c>
      <c r="AF26" s="1" t="s">
        <v>56</v>
      </c>
      <c r="AG26" s="1" t="s">
        <v>109</v>
      </c>
      <c r="AH26" s="1" t="s">
        <v>95</v>
      </c>
      <c r="AI26" s="1" t="s">
        <v>125</v>
      </c>
      <c r="AJ26" s="1" t="s">
        <v>59</v>
      </c>
      <c r="AK26" s="2" t="s">
        <v>388</v>
      </c>
      <c r="AL26" s="3"/>
      <c r="AM26" s="2" t="s">
        <v>389</v>
      </c>
      <c r="AN26" s="3"/>
      <c r="AO26" s="3"/>
    </row>
    <row r="27">
      <c r="A27" s="1">
        <v>86.0</v>
      </c>
      <c r="B27" s="1" t="s">
        <v>390</v>
      </c>
      <c r="C27" s="1" t="s">
        <v>391</v>
      </c>
      <c r="D27" s="2" t="s">
        <v>392</v>
      </c>
      <c r="E27" s="1" t="s">
        <v>258</v>
      </c>
      <c r="F27" s="1" t="s">
        <v>83</v>
      </c>
      <c r="G27" s="1" t="s">
        <v>133</v>
      </c>
      <c r="H27" s="3"/>
      <c r="I27" s="1" t="s">
        <v>393</v>
      </c>
      <c r="J27" s="1">
        <v>17.0</v>
      </c>
      <c r="K27" s="1" t="s">
        <v>394</v>
      </c>
      <c r="L27" s="1">
        <v>33400.0</v>
      </c>
      <c r="M27" s="1">
        <v>33522.0</v>
      </c>
      <c r="N27" s="1" t="s">
        <v>395</v>
      </c>
      <c r="O27" s="1" t="s">
        <v>46</v>
      </c>
      <c r="P27" s="1" t="s">
        <v>47</v>
      </c>
      <c r="Q27" s="3"/>
      <c r="R27" s="1" t="s">
        <v>396</v>
      </c>
      <c r="S27" s="1" t="s">
        <v>397</v>
      </c>
      <c r="T27" s="3"/>
      <c r="U27" s="1" t="s">
        <v>50</v>
      </c>
      <c r="V27" s="1">
        <v>5.56847813E8</v>
      </c>
      <c r="W27" s="3"/>
      <c r="X27" s="2" t="s">
        <v>398</v>
      </c>
      <c r="Y27" s="3"/>
      <c r="Z27" s="1" t="s">
        <v>399</v>
      </c>
      <c r="AA27" s="4" t="s">
        <v>400</v>
      </c>
      <c r="AB27" s="4" t="s">
        <v>401</v>
      </c>
      <c r="AC27" s="1" t="s">
        <v>398</v>
      </c>
      <c r="AD27" s="1" t="s">
        <v>402</v>
      </c>
      <c r="AE27" s="1" t="s">
        <v>156</v>
      </c>
      <c r="AF27" s="1" t="s">
        <v>56</v>
      </c>
      <c r="AG27" s="1" t="s">
        <v>76</v>
      </c>
      <c r="AH27" s="1" t="s">
        <v>95</v>
      </c>
      <c r="AI27" s="1" t="s">
        <v>125</v>
      </c>
      <c r="AJ27" s="1" t="s">
        <v>59</v>
      </c>
      <c r="AK27" s="2" t="s">
        <v>403</v>
      </c>
      <c r="AL27" s="3"/>
      <c r="AM27" s="2" t="s">
        <v>404</v>
      </c>
      <c r="AN27" s="3"/>
      <c r="AO27" s="3"/>
    </row>
    <row r="28">
      <c r="A28" s="1">
        <v>88.0</v>
      </c>
      <c r="B28" s="1" t="s">
        <v>405</v>
      </c>
      <c r="C28" s="1" t="s">
        <v>391</v>
      </c>
      <c r="D28" s="2" t="s">
        <v>406</v>
      </c>
      <c r="E28" s="1" t="s">
        <v>132</v>
      </c>
      <c r="F28" s="1" t="s">
        <v>83</v>
      </c>
      <c r="G28" s="1" t="s">
        <v>133</v>
      </c>
      <c r="H28" s="3"/>
      <c r="I28" s="1" t="s">
        <v>407</v>
      </c>
      <c r="J28" s="1">
        <v>221.0</v>
      </c>
      <c r="K28" s="1" t="s">
        <v>408</v>
      </c>
      <c r="L28" s="1">
        <v>33400.0</v>
      </c>
      <c r="M28" s="1">
        <v>33522.0</v>
      </c>
      <c r="N28" s="1" t="s">
        <v>395</v>
      </c>
      <c r="O28" s="1" t="s">
        <v>46</v>
      </c>
      <c r="P28" s="1" t="s">
        <v>47</v>
      </c>
      <c r="Q28" s="3"/>
      <c r="R28" s="1" t="s">
        <v>409</v>
      </c>
      <c r="S28" s="1" t="s">
        <v>410</v>
      </c>
      <c r="T28" s="3"/>
      <c r="U28" s="1" t="s">
        <v>50</v>
      </c>
      <c r="V28" s="1">
        <v>5.56846421E8</v>
      </c>
      <c r="W28" s="3"/>
      <c r="X28" s="2" t="s">
        <v>411</v>
      </c>
      <c r="Y28" s="3"/>
      <c r="Z28" s="1" t="s">
        <v>412</v>
      </c>
      <c r="AA28" s="4" t="s">
        <v>413</v>
      </c>
      <c r="AB28" s="5"/>
      <c r="AC28" s="1" t="s">
        <v>411</v>
      </c>
      <c r="AD28" s="1" t="s">
        <v>414</v>
      </c>
      <c r="AE28" s="1" t="s">
        <v>294</v>
      </c>
      <c r="AF28" s="1" t="s">
        <v>56</v>
      </c>
      <c r="AG28" s="1" t="s">
        <v>109</v>
      </c>
      <c r="AH28" s="1" t="s">
        <v>58</v>
      </c>
      <c r="AI28" s="1" t="s">
        <v>125</v>
      </c>
      <c r="AJ28" s="1" t="s">
        <v>59</v>
      </c>
      <c r="AK28" s="2" t="s">
        <v>415</v>
      </c>
      <c r="AL28" s="3"/>
      <c r="AM28" s="2" t="s">
        <v>416</v>
      </c>
      <c r="AN28" s="3"/>
      <c r="AO28" s="3"/>
    </row>
    <row r="29">
      <c r="A29" s="1">
        <v>89.0</v>
      </c>
      <c r="B29" s="1" t="s">
        <v>417</v>
      </c>
      <c r="C29" s="3"/>
      <c r="D29" s="2" t="s">
        <v>418</v>
      </c>
      <c r="E29" s="1" t="s">
        <v>41</v>
      </c>
      <c r="F29" s="1" t="s">
        <v>42</v>
      </c>
      <c r="G29" s="1" t="s">
        <v>41</v>
      </c>
      <c r="H29" s="3"/>
      <c r="I29" s="1" t="s">
        <v>419</v>
      </c>
      <c r="J29" s="1">
        <v>25.0</v>
      </c>
      <c r="K29" s="1" t="s">
        <v>420</v>
      </c>
      <c r="L29" s="1">
        <v>33400.0</v>
      </c>
      <c r="M29" s="1">
        <v>33522.0</v>
      </c>
      <c r="N29" s="1" t="s">
        <v>395</v>
      </c>
      <c r="O29" s="1" t="s">
        <v>46</v>
      </c>
      <c r="P29" s="1" t="s">
        <v>47</v>
      </c>
      <c r="Q29" s="3"/>
      <c r="R29" s="1" t="s">
        <v>421</v>
      </c>
      <c r="S29" s="1" t="s">
        <v>422</v>
      </c>
      <c r="T29" s="3"/>
      <c r="U29" s="1" t="s">
        <v>50</v>
      </c>
      <c r="V29" s="1">
        <v>5.47335496E8</v>
      </c>
      <c r="W29" s="3"/>
      <c r="X29" s="2" t="s">
        <v>423</v>
      </c>
      <c r="Y29" s="3"/>
      <c r="Z29" s="1" t="s">
        <v>424</v>
      </c>
      <c r="AA29" s="4" t="s">
        <v>425</v>
      </c>
      <c r="AB29" s="4" t="s">
        <v>426</v>
      </c>
      <c r="AC29" s="1" t="s">
        <v>423</v>
      </c>
      <c r="AD29" s="1" t="s">
        <v>427</v>
      </c>
      <c r="AE29" s="1" t="s">
        <v>55</v>
      </c>
      <c r="AF29" s="1" t="s">
        <v>56</v>
      </c>
      <c r="AG29" s="1" t="s">
        <v>57</v>
      </c>
      <c r="AH29" s="1" t="s">
        <v>95</v>
      </c>
      <c r="AI29" s="1" t="s">
        <v>125</v>
      </c>
      <c r="AJ29" s="1" t="s">
        <v>59</v>
      </c>
      <c r="AK29" s="2" t="s">
        <v>428</v>
      </c>
      <c r="AL29" s="1" t="s">
        <v>158</v>
      </c>
      <c r="AM29" s="2" t="s">
        <v>429</v>
      </c>
      <c r="AN29" s="3"/>
      <c r="AO29" s="3"/>
    </row>
    <row r="30">
      <c r="A30" s="1">
        <v>103.0</v>
      </c>
      <c r="B30" s="1" t="s">
        <v>430</v>
      </c>
      <c r="C30" s="3"/>
      <c r="D30" s="2" t="s">
        <v>431</v>
      </c>
      <c r="E30" s="1" t="s">
        <v>114</v>
      </c>
      <c r="F30" s="1" t="s">
        <v>42</v>
      </c>
      <c r="G30" s="1" t="s">
        <v>41</v>
      </c>
      <c r="H30" s="3"/>
      <c r="I30" s="1" t="s">
        <v>432</v>
      </c>
      <c r="J30" s="1">
        <v>14.0</v>
      </c>
      <c r="K30" s="1" t="s">
        <v>433</v>
      </c>
      <c r="L30" s="1">
        <v>33127.0</v>
      </c>
      <c r="M30" s="1">
        <v>33273.0</v>
      </c>
      <c r="N30" s="1" t="s">
        <v>434</v>
      </c>
      <c r="O30" s="1" t="s">
        <v>46</v>
      </c>
      <c r="P30" s="1" t="s">
        <v>47</v>
      </c>
      <c r="Q30" s="3"/>
      <c r="R30" s="1" t="s">
        <v>435</v>
      </c>
      <c r="S30" s="1" t="s">
        <v>436</v>
      </c>
      <c r="T30" s="3"/>
      <c r="U30" s="1" t="s">
        <v>50</v>
      </c>
      <c r="V30" s="1">
        <v>5.56780548E8</v>
      </c>
      <c r="W30" s="3"/>
      <c r="X30" s="2" t="s">
        <v>437</v>
      </c>
      <c r="Y30" s="3"/>
      <c r="Z30" s="1" t="s">
        <v>438</v>
      </c>
      <c r="AA30" s="4" t="s">
        <v>439</v>
      </c>
      <c r="AB30" s="5"/>
      <c r="AC30" s="1" t="s">
        <v>437</v>
      </c>
      <c r="AD30" s="1" t="s">
        <v>440</v>
      </c>
      <c r="AE30" s="1" t="s">
        <v>55</v>
      </c>
      <c r="AF30" s="1" t="s">
        <v>56</v>
      </c>
      <c r="AG30" s="1" t="s">
        <v>76</v>
      </c>
      <c r="AH30" s="1" t="s">
        <v>295</v>
      </c>
      <c r="AI30" s="1" t="s">
        <v>125</v>
      </c>
      <c r="AJ30" s="1" t="s">
        <v>59</v>
      </c>
      <c r="AK30" s="2" t="s">
        <v>441</v>
      </c>
      <c r="AL30" s="3"/>
      <c r="AM30" s="2" t="s">
        <v>442</v>
      </c>
      <c r="AN30" s="3"/>
      <c r="AO30" s="3"/>
    </row>
    <row r="31">
      <c r="A31" s="1">
        <v>106.0</v>
      </c>
      <c r="B31" s="1" t="s">
        <v>443</v>
      </c>
      <c r="C31" s="3"/>
      <c r="D31" s="2" t="s">
        <v>444</v>
      </c>
      <c r="E31" s="1" t="s">
        <v>41</v>
      </c>
      <c r="F31" s="1" t="s">
        <v>42</v>
      </c>
      <c r="G31" s="1" t="s">
        <v>41</v>
      </c>
      <c r="H31" s="3"/>
      <c r="I31" s="1" t="s">
        <v>445</v>
      </c>
      <c r="J31" s="3"/>
      <c r="K31" s="1" t="s">
        <v>445</v>
      </c>
      <c r="L31" s="1">
        <v>33700.0</v>
      </c>
      <c r="M31" s="1">
        <v>33281.0</v>
      </c>
      <c r="N31" s="1" t="s">
        <v>446</v>
      </c>
      <c r="O31" s="1" t="s">
        <v>46</v>
      </c>
      <c r="P31" s="1" t="s">
        <v>47</v>
      </c>
      <c r="Q31" s="3"/>
      <c r="R31" s="1" t="s">
        <v>447</v>
      </c>
      <c r="S31" s="1" t="s">
        <v>448</v>
      </c>
      <c r="T31" s="3"/>
      <c r="U31" s="1" t="s">
        <v>50</v>
      </c>
      <c r="V31" s="1">
        <v>5.5612178E8</v>
      </c>
      <c r="W31" s="3"/>
      <c r="X31" s="2" t="s">
        <v>449</v>
      </c>
      <c r="Y31" s="3"/>
      <c r="Z31" s="1" t="s">
        <v>450</v>
      </c>
      <c r="AA31" s="4" t="s">
        <v>451</v>
      </c>
      <c r="AB31" s="4" t="s">
        <v>452</v>
      </c>
      <c r="AC31" s="1" t="s">
        <v>449</v>
      </c>
      <c r="AD31" s="1" t="s">
        <v>453</v>
      </c>
      <c r="AE31" s="1" t="s">
        <v>55</v>
      </c>
      <c r="AF31" s="1" t="s">
        <v>56</v>
      </c>
      <c r="AG31" s="1" t="s">
        <v>76</v>
      </c>
      <c r="AH31" s="1" t="s">
        <v>95</v>
      </c>
      <c r="AI31" s="1" t="s">
        <v>125</v>
      </c>
      <c r="AJ31" s="1" t="s">
        <v>96</v>
      </c>
      <c r="AK31" s="2" t="s">
        <v>454</v>
      </c>
      <c r="AL31" s="1" t="s">
        <v>127</v>
      </c>
      <c r="AM31" s="2" t="s">
        <v>455</v>
      </c>
      <c r="AN31" s="3"/>
      <c r="AO31" s="3"/>
    </row>
    <row r="32">
      <c r="A32" s="1">
        <v>113.0</v>
      </c>
      <c r="B32" s="1" t="s">
        <v>456</v>
      </c>
      <c r="C32" s="3"/>
      <c r="D32" s="2" t="s">
        <v>457</v>
      </c>
      <c r="E32" s="1" t="s">
        <v>41</v>
      </c>
      <c r="F32" s="1" t="s">
        <v>42</v>
      </c>
      <c r="G32" s="1" t="s">
        <v>41</v>
      </c>
      <c r="H32" s="3"/>
      <c r="I32" s="1" t="s">
        <v>458</v>
      </c>
      <c r="J32" s="1">
        <v>104.0</v>
      </c>
      <c r="K32" s="1" t="s">
        <v>459</v>
      </c>
      <c r="L32" s="1">
        <v>33160.0</v>
      </c>
      <c r="M32" s="1">
        <v>33449.0</v>
      </c>
      <c r="N32" s="1" t="s">
        <v>460</v>
      </c>
      <c r="O32" s="1" t="s">
        <v>46</v>
      </c>
      <c r="P32" s="1" t="s">
        <v>47</v>
      </c>
      <c r="Q32" s="3"/>
      <c r="R32" s="1" t="s">
        <v>461</v>
      </c>
      <c r="S32" s="1" t="s">
        <v>462</v>
      </c>
      <c r="T32" s="3"/>
      <c r="U32" s="1" t="s">
        <v>50</v>
      </c>
      <c r="V32" s="1">
        <v>5.56959916E8</v>
      </c>
      <c r="W32" s="3"/>
      <c r="X32" s="2" t="s">
        <v>463</v>
      </c>
      <c r="Y32" s="3"/>
      <c r="Z32" s="1" t="s">
        <v>464</v>
      </c>
      <c r="AA32" s="4" t="s">
        <v>465</v>
      </c>
      <c r="AB32" s="4" t="s">
        <v>466</v>
      </c>
      <c r="AC32" s="1" t="s">
        <v>463</v>
      </c>
      <c r="AD32" s="1" t="s">
        <v>467</v>
      </c>
      <c r="AE32" s="1" t="s">
        <v>55</v>
      </c>
      <c r="AF32" s="1" t="s">
        <v>56</v>
      </c>
      <c r="AG32" s="1" t="s">
        <v>76</v>
      </c>
      <c r="AH32" s="1" t="s">
        <v>295</v>
      </c>
      <c r="AI32" s="1" t="s">
        <v>125</v>
      </c>
      <c r="AJ32" s="1" t="s">
        <v>59</v>
      </c>
      <c r="AK32" s="2" t="s">
        <v>468</v>
      </c>
      <c r="AL32" s="1" t="s">
        <v>127</v>
      </c>
      <c r="AM32" s="2" t="s">
        <v>469</v>
      </c>
      <c r="AN32" s="3"/>
      <c r="AO32" s="3"/>
    </row>
    <row r="33">
      <c r="A33" s="1">
        <v>121.0</v>
      </c>
      <c r="B33" s="1" t="s">
        <v>470</v>
      </c>
      <c r="C33" s="3"/>
      <c r="D33" s="2" t="s">
        <v>471</v>
      </c>
      <c r="E33" s="1" t="s">
        <v>41</v>
      </c>
      <c r="F33" s="1" t="s">
        <v>42</v>
      </c>
      <c r="G33" s="1" t="s">
        <v>41</v>
      </c>
      <c r="H33" s="3"/>
      <c r="I33" s="1" t="s">
        <v>472</v>
      </c>
      <c r="J33" s="1">
        <v>5.0</v>
      </c>
      <c r="K33" s="1" t="s">
        <v>473</v>
      </c>
      <c r="L33" s="1">
        <v>33800.0</v>
      </c>
      <c r="M33" s="1">
        <v>33063.0</v>
      </c>
      <c r="N33" s="1" t="s">
        <v>45</v>
      </c>
      <c r="O33" s="1" t="s">
        <v>46</v>
      </c>
      <c r="P33" s="1" t="s">
        <v>47</v>
      </c>
      <c r="Q33" s="3"/>
      <c r="R33" s="1" t="s">
        <v>474</v>
      </c>
      <c r="S33" s="1" t="s">
        <v>475</v>
      </c>
      <c r="T33" s="3"/>
      <c r="U33" s="1" t="s">
        <v>50</v>
      </c>
      <c r="V33" s="1">
        <v>5.56928035E8</v>
      </c>
      <c r="W33" s="3"/>
      <c r="X33" s="2" t="s">
        <v>476</v>
      </c>
      <c r="Y33" s="3"/>
      <c r="Z33" s="1" t="s">
        <v>477</v>
      </c>
      <c r="AA33" s="4" t="s">
        <v>478</v>
      </c>
      <c r="AB33" s="4" t="s">
        <v>479</v>
      </c>
      <c r="AC33" s="1" t="s">
        <v>476</v>
      </c>
      <c r="AD33" s="1" t="s">
        <v>74</v>
      </c>
      <c r="AE33" s="1" t="s">
        <v>55</v>
      </c>
      <c r="AF33" s="1" t="s">
        <v>56</v>
      </c>
      <c r="AG33" s="1" t="s">
        <v>57</v>
      </c>
      <c r="AH33" s="1" t="s">
        <v>95</v>
      </c>
      <c r="AI33" s="1" t="s">
        <v>125</v>
      </c>
      <c r="AJ33" s="1" t="s">
        <v>96</v>
      </c>
      <c r="AK33" s="2" t="s">
        <v>480</v>
      </c>
      <c r="AL33" s="3"/>
      <c r="AM33" s="2" t="s">
        <v>481</v>
      </c>
      <c r="AN33" s="3"/>
      <c r="AO33" s="3"/>
    </row>
    <row r="34">
      <c r="A34" s="1">
        <v>123.0</v>
      </c>
      <c r="B34" s="1" t="s">
        <v>482</v>
      </c>
      <c r="C34" s="3"/>
      <c r="D34" s="2" t="s">
        <v>483</v>
      </c>
      <c r="E34" s="1" t="s">
        <v>41</v>
      </c>
      <c r="F34" s="1" t="s">
        <v>42</v>
      </c>
      <c r="G34" s="1" t="s">
        <v>41</v>
      </c>
      <c r="H34" s="1">
        <v>7.82E13</v>
      </c>
      <c r="I34" s="1" t="s">
        <v>484</v>
      </c>
      <c r="J34" s="1">
        <v>139.0</v>
      </c>
      <c r="K34" s="1" t="s">
        <v>485</v>
      </c>
      <c r="L34" s="1">
        <v>33300.0</v>
      </c>
      <c r="M34" s="1">
        <v>33063.0</v>
      </c>
      <c r="N34" s="1" t="s">
        <v>45</v>
      </c>
      <c r="O34" s="1" t="s">
        <v>46</v>
      </c>
      <c r="P34" s="1" t="s">
        <v>47</v>
      </c>
      <c r="Q34" s="3"/>
      <c r="R34" s="1" t="s">
        <v>486</v>
      </c>
      <c r="S34" s="1" t="s">
        <v>487</v>
      </c>
      <c r="T34" s="3"/>
      <c r="U34" s="1" t="s">
        <v>50</v>
      </c>
      <c r="V34" s="1">
        <v>5.56508218E8</v>
      </c>
      <c r="W34" s="3"/>
      <c r="X34" s="2" t="s">
        <v>488</v>
      </c>
      <c r="Y34" s="3"/>
      <c r="Z34" s="1" t="s">
        <v>489</v>
      </c>
      <c r="AA34" s="4" t="s">
        <v>490</v>
      </c>
      <c r="AB34" s="4" t="s">
        <v>491</v>
      </c>
      <c r="AC34" s="1" t="s">
        <v>488</v>
      </c>
      <c r="AD34" s="1" t="s">
        <v>492</v>
      </c>
      <c r="AE34" s="1" t="s">
        <v>55</v>
      </c>
      <c r="AF34" s="1" t="s">
        <v>56</v>
      </c>
      <c r="AG34" s="1" t="s">
        <v>76</v>
      </c>
      <c r="AH34" s="1" t="s">
        <v>95</v>
      </c>
      <c r="AI34" s="3"/>
      <c r="AJ34" s="1" t="s">
        <v>59</v>
      </c>
      <c r="AK34" s="2" t="s">
        <v>493</v>
      </c>
      <c r="AL34" s="1" t="s">
        <v>494</v>
      </c>
      <c r="AM34" s="2" t="s">
        <v>495</v>
      </c>
      <c r="AN34" s="3"/>
      <c r="AO34" s="3"/>
    </row>
    <row r="35">
      <c r="A35" s="1">
        <v>128.0</v>
      </c>
      <c r="B35" s="1" t="s">
        <v>496</v>
      </c>
      <c r="C35" s="3"/>
      <c r="D35" s="2" t="s">
        <v>497</v>
      </c>
      <c r="E35" s="1" t="s">
        <v>41</v>
      </c>
      <c r="F35" s="1" t="s">
        <v>42</v>
      </c>
      <c r="G35" s="1" t="s">
        <v>41</v>
      </c>
      <c r="H35" s="3"/>
      <c r="I35" s="1" t="s">
        <v>498</v>
      </c>
      <c r="J35" s="1">
        <v>27.0</v>
      </c>
      <c r="K35" s="1" t="s">
        <v>499</v>
      </c>
      <c r="L35" s="1">
        <v>33000.0</v>
      </c>
      <c r="M35" s="1">
        <v>33063.0</v>
      </c>
      <c r="N35" s="1" t="s">
        <v>45</v>
      </c>
      <c r="O35" s="1" t="s">
        <v>46</v>
      </c>
      <c r="P35" s="1" t="s">
        <v>47</v>
      </c>
      <c r="Q35" s="3"/>
      <c r="R35" s="1" t="s">
        <v>500</v>
      </c>
      <c r="S35" s="1" t="s">
        <v>501</v>
      </c>
      <c r="T35" s="3"/>
      <c r="U35" s="1" t="s">
        <v>50</v>
      </c>
      <c r="V35" s="1">
        <v>5.56513095E8</v>
      </c>
      <c r="W35" s="3"/>
      <c r="X35" s="2" t="s">
        <v>502</v>
      </c>
      <c r="Y35" s="3"/>
      <c r="Z35" s="1" t="s">
        <v>503</v>
      </c>
      <c r="AA35" s="4" t="s">
        <v>504</v>
      </c>
      <c r="AB35" s="5"/>
      <c r="AC35" s="1" t="s">
        <v>502</v>
      </c>
      <c r="AD35" s="1" t="s">
        <v>467</v>
      </c>
      <c r="AE35" s="1" t="s">
        <v>173</v>
      </c>
      <c r="AF35" s="1" t="s">
        <v>56</v>
      </c>
      <c r="AG35" s="1" t="s">
        <v>109</v>
      </c>
      <c r="AH35" s="1" t="s">
        <v>95</v>
      </c>
      <c r="AI35" s="1" t="s">
        <v>125</v>
      </c>
      <c r="AJ35" s="1" t="s">
        <v>59</v>
      </c>
      <c r="AK35" s="2" t="s">
        <v>505</v>
      </c>
      <c r="AL35" s="3"/>
      <c r="AM35" s="2" t="s">
        <v>506</v>
      </c>
      <c r="AN35" s="3"/>
      <c r="AO35" s="3"/>
    </row>
    <row r="36">
      <c r="A36" s="1">
        <v>1.0</v>
      </c>
      <c r="B36" s="1" t="s">
        <v>507</v>
      </c>
      <c r="C36" s="3"/>
      <c r="D36" s="2" t="s">
        <v>508</v>
      </c>
      <c r="E36" s="1" t="s">
        <v>41</v>
      </c>
      <c r="F36" s="1" t="s">
        <v>42</v>
      </c>
      <c r="G36" s="1" t="s">
        <v>41</v>
      </c>
      <c r="H36" s="1">
        <v>7.82E13</v>
      </c>
      <c r="I36" s="1" t="s">
        <v>509</v>
      </c>
      <c r="J36" s="1">
        <v>5.0</v>
      </c>
      <c r="K36" s="1" t="s">
        <v>485</v>
      </c>
      <c r="L36" s="1">
        <v>33000.0</v>
      </c>
      <c r="M36" s="1">
        <v>33063.0</v>
      </c>
      <c r="N36" s="1" t="s">
        <v>45</v>
      </c>
      <c r="O36" s="1" t="s">
        <v>46</v>
      </c>
      <c r="P36" s="1" t="s">
        <v>47</v>
      </c>
      <c r="Q36" s="3"/>
      <c r="R36" s="1" t="s">
        <v>510</v>
      </c>
      <c r="S36" s="1" t="s">
        <v>511</v>
      </c>
      <c r="T36" s="3"/>
      <c r="U36" s="1" t="s">
        <v>50</v>
      </c>
      <c r="V36" s="1">
        <v>5.5650856E8</v>
      </c>
      <c r="W36" s="3"/>
      <c r="X36" s="2" t="s">
        <v>512</v>
      </c>
      <c r="Y36" s="3"/>
      <c r="Z36" s="1" t="s">
        <v>513</v>
      </c>
      <c r="AA36" s="4" t="s">
        <v>514</v>
      </c>
      <c r="AB36" s="5"/>
      <c r="AC36" s="1" t="s">
        <v>512</v>
      </c>
      <c r="AD36" s="1" t="s">
        <v>515</v>
      </c>
      <c r="AE36" s="1" t="s">
        <v>55</v>
      </c>
      <c r="AF36" s="1" t="s">
        <v>56</v>
      </c>
      <c r="AG36" s="1" t="s">
        <v>109</v>
      </c>
      <c r="AH36" s="1" t="s">
        <v>77</v>
      </c>
      <c r="AI36" s="3"/>
      <c r="AJ36" s="1" t="s">
        <v>59</v>
      </c>
      <c r="AK36" s="2" t="s">
        <v>516</v>
      </c>
      <c r="AL36" s="3"/>
      <c r="AM36" s="2" t="s">
        <v>517</v>
      </c>
      <c r="AN36" s="3"/>
      <c r="AO36" s="3"/>
    </row>
    <row r="37">
      <c r="A37" s="1">
        <v>2.0</v>
      </c>
      <c r="B37" s="1" t="s">
        <v>518</v>
      </c>
      <c r="C37" s="1" t="s">
        <v>130</v>
      </c>
      <c r="D37" s="2" t="s">
        <v>519</v>
      </c>
      <c r="E37" s="1" t="s">
        <v>132</v>
      </c>
      <c r="F37" s="1" t="s">
        <v>83</v>
      </c>
      <c r="G37" s="1" t="s">
        <v>133</v>
      </c>
      <c r="H37" s="1">
        <v>2.13E13</v>
      </c>
      <c r="I37" s="1" t="s">
        <v>520</v>
      </c>
      <c r="J37" s="1">
        <v>196.0</v>
      </c>
      <c r="K37" s="1" t="s">
        <v>67</v>
      </c>
      <c r="L37" s="1">
        <v>33300.0</v>
      </c>
      <c r="M37" s="1">
        <v>33063.0</v>
      </c>
      <c r="N37" s="1" t="s">
        <v>45</v>
      </c>
      <c r="O37" s="1" t="s">
        <v>46</v>
      </c>
      <c r="P37" s="1" t="s">
        <v>47</v>
      </c>
      <c r="Q37" s="3"/>
      <c r="R37" s="1" t="s">
        <v>521</v>
      </c>
      <c r="S37" s="1" t="s">
        <v>522</v>
      </c>
      <c r="T37" s="3"/>
      <c r="U37" s="1" t="s">
        <v>50</v>
      </c>
      <c r="V37" s="1">
        <v>5.56508702E8</v>
      </c>
      <c r="W37" s="3"/>
      <c r="X37" s="2" t="s">
        <v>220</v>
      </c>
      <c r="Y37" s="3"/>
      <c r="Z37" s="1" t="s">
        <v>139</v>
      </c>
      <c r="AA37" s="4" t="s">
        <v>140</v>
      </c>
      <c r="AB37" s="4" t="s">
        <v>141</v>
      </c>
      <c r="AC37" s="1" t="s">
        <v>220</v>
      </c>
      <c r="AD37" s="1" t="s">
        <v>221</v>
      </c>
      <c r="AE37" s="1" t="s">
        <v>55</v>
      </c>
      <c r="AF37" s="1" t="s">
        <v>56</v>
      </c>
      <c r="AG37" s="1" t="s">
        <v>76</v>
      </c>
      <c r="AH37" s="1" t="s">
        <v>58</v>
      </c>
      <c r="AI37" s="1" t="s">
        <v>125</v>
      </c>
      <c r="AJ37" s="1" t="s">
        <v>59</v>
      </c>
      <c r="AK37" s="2" t="s">
        <v>523</v>
      </c>
      <c r="AL37" s="3"/>
      <c r="AM37" s="2" t="s">
        <v>524</v>
      </c>
      <c r="AN37" s="3"/>
      <c r="AO37" s="3"/>
    </row>
    <row r="38">
      <c r="A38" s="1">
        <v>5.0</v>
      </c>
      <c r="B38" s="1" t="s">
        <v>525</v>
      </c>
      <c r="C38" s="3"/>
      <c r="D38" s="2" t="s">
        <v>526</v>
      </c>
      <c r="E38" s="1" t="s">
        <v>41</v>
      </c>
      <c r="F38" s="1" t="s">
        <v>42</v>
      </c>
      <c r="G38" s="1" t="s">
        <v>41</v>
      </c>
      <c r="H38" s="1">
        <v>7.82E13</v>
      </c>
      <c r="I38" s="1" t="s">
        <v>527</v>
      </c>
      <c r="J38" s="1">
        <v>79.0</v>
      </c>
      <c r="K38" s="1" t="s">
        <v>44</v>
      </c>
      <c r="L38" s="1">
        <v>33300.0</v>
      </c>
      <c r="M38" s="1">
        <v>33063.0</v>
      </c>
      <c r="N38" s="1" t="s">
        <v>45</v>
      </c>
      <c r="O38" s="1" t="s">
        <v>46</v>
      </c>
      <c r="P38" s="1" t="s">
        <v>47</v>
      </c>
      <c r="Q38" s="3"/>
      <c r="R38" s="1" t="s">
        <v>528</v>
      </c>
      <c r="S38" s="1" t="s">
        <v>529</v>
      </c>
      <c r="T38" s="3"/>
      <c r="U38" s="1" t="s">
        <v>50</v>
      </c>
      <c r="V38" s="1">
        <v>5.56504773E8</v>
      </c>
      <c r="W38" s="3"/>
      <c r="X38" s="2" t="s">
        <v>530</v>
      </c>
      <c r="Y38" s="3"/>
      <c r="Z38" s="1" t="s">
        <v>531</v>
      </c>
      <c r="AA38" s="4" t="s">
        <v>532</v>
      </c>
      <c r="AB38" s="4" t="s">
        <v>491</v>
      </c>
      <c r="AC38" s="1" t="s">
        <v>530</v>
      </c>
      <c r="AD38" s="1" t="s">
        <v>533</v>
      </c>
      <c r="AE38" s="1" t="s">
        <v>361</v>
      </c>
      <c r="AF38" s="1" t="s">
        <v>56</v>
      </c>
      <c r="AG38" s="1" t="s">
        <v>109</v>
      </c>
      <c r="AH38" s="1" t="s">
        <v>95</v>
      </c>
      <c r="AI38" s="3"/>
      <c r="AJ38" s="1" t="s">
        <v>59</v>
      </c>
      <c r="AK38" s="2" t="s">
        <v>534</v>
      </c>
      <c r="AL38" s="1" t="s">
        <v>494</v>
      </c>
      <c r="AM38" s="2" t="s">
        <v>535</v>
      </c>
      <c r="AN38" s="3"/>
      <c r="AO38" s="3"/>
    </row>
    <row r="39">
      <c r="A39" s="1">
        <v>6.0</v>
      </c>
      <c r="B39" s="1" t="s">
        <v>536</v>
      </c>
      <c r="C39" s="3"/>
      <c r="D39" s="2" t="s">
        <v>537</v>
      </c>
      <c r="E39" s="1" t="s">
        <v>114</v>
      </c>
      <c r="F39" s="1" t="s">
        <v>42</v>
      </c>
      <c r="G39" s="1" t="s">
        <v>41</v>
      </c>
      <c r="H39" s="3"/>
      <c r="I39" s="1" t="s">
        <v>538</v>
      </c>
      <c r="J39" s="1">
        <v>58.0</v>
      </c>
      <c r="K39" s="1" t="s">
        <v>539</v>
      </c>
      <c r="L39" s="1">
        <v>33300.0</v>
      </c>
      <c r="M39" s="1">
        <v>33063.0</v>
      </c>
      <c r="N39" s="1" t="s">
        <v>45</v>
      </c>
      <c r="O39" s="1" t="s">
        <v>46</v>
      </c>
      <c r="P39" s="1" t="s">
        <v>47</v>
      </c>
      <c r="Q39" s="3"/>
      <c r="R39" s="1" t="s">
        <v>540</v>
      </c>
      <c r="S39" s="1" t="s">
        <v>541</v>
      </c>
      <c r="T39" s="3"/>
      <c r="U39" s="1" t="s">
        <v>50</v>
      </c>
      <c r="V39" s="1">
        <v>5.56394672E8</v>
      </c>
      <c r="W39" s="3"/>
      <c r="X39" s="2" t="s">
        <v>542</v>
      </c>
      <c r="Y39" s="3"/>
      <c r="Z39" s="1" t="s">
        <v>543</v>
      </c>
      <c r="AA39" s="4" t="s">
        <v>544</v>
      </c>
      <c r="AB39" s="5"/>
      <c r="AC39" s="1" t="s">
        <v>542</v>
      </c>
      <c r="AD39" s="1" t="s">
        <v>545</v>
      </c>
      <c r="AE39" s="1" t="s">
        <v>55</v>
      </c>
      <c r="AF39" s="1" t="s">
        <v>56</v>
      </c>
      <c r="AG39" s="1" t="s">
        <v>76</v>
      </c>
      <c r="AH39" s="1" t="s">
        <v>58</v>
      </c>
      <c r="AI39" s="3"/>
      <c r="AJ39" s="1" t="s">
        <v>59</v>
      </c>
      <c r="AK39" s="2" t="s">
        <v>546</v>
      </c>
      <c r="AL39" s="3"/>
      <c r="AM39" s="2" t="s">
        <v>547</v>
      </c>
      <c r="AN39" s="3"/>
      <c r="AO39" s="3"/>
    </row>
    <row r="40">
      <c r="A40" s="1">
        <v>11.0</v>
      </c>
      <c r="B40" s="1" t="s">
        <v>548</v>
      </c>
      <c r="C40" s="1" t="s">
        <v>130</v>
      </c>
      <c r="D40" s="2" t="s">
        <v>549</v>
      </c>
      <c r="E40" s="1" t="s">
        <v>132</v>
      </c>
      <c r="F40" s="1" t="s">
        <v>83</v>
      </c>
      <c r="G40" s="1" t="s">
        <v>133</v>
      </c>
      <c r="H40" s="1">
        <v>2.13E13</v>
      </c>
      <c r="I40" s="1" t="s">
        <v>550</v>
      </c>
      <c r="J40" s="1">
        <v>34.0</v>
      </c>
      <c r="K40" s="1" t="s">
        <v>551</v>
      </c>
      <c r="L40" s="1">
        <v>33000.0</v>
      </c>
      <c r="M40" s="1">
        <v>33063.0</v>
      </c>
      <c r="N40" s="1" t="s">
        <v>45</v>
      </c>
      <c r="O40" s="1" t="s">
        <v>46</v>
      </c>
      <c r="P40" s="1" t="s">
        <v>47</v>
      </c>
      <c r="Q40" s="3"/>
      <c r="R40" s="1" t="s">
        <v>552</v>
      </c>
      <c r="S40" s="1" t="s">
        <v>553</v>
      </c>
      <c r="T40" s="3"/>
      <c r="U40" s="1" t="s">
        <v>50</v>
      </c>
      <c r="V40" s="1">
        <v>5.56502835E8</v>
      </c>
      <c r="W40" s="3"/>
      <c r="X40" s="2" t="s">
        <v>554</v>
      </c>
      <c r="Y40" s="3"/>
      <c r="Z40" s="1" t="s">
        <v>139</v>
      </c>
      <c r="AA40" s="4" t="s">
        <v>140</v>
      </c>
      <c r="AB40" s="4" t="s">
        <v>141</v>
      </c>
      <c r="AC40" s="1" t="s">
        <v>554</v>
      </c>
      <c r="AD40" s="1" t="s">
        <v>221</v>
      </c>
      <c r="AE40" s="1" t="s">
        <v>55</v>
      </c>
      <c r="AF40" s="1" t="s">
        <v>56</v>
      </c>
      <c r="AG40" s="1" t="s">
        <v>76</v>
      </c>
      <c r="AH40" s="1" t="s">
        <v>58</v>
      </c>
      <c r="AI40" s="1" t="s">
        <v>125</v>
      </c>
      <c r="AJ40" s="1" t="s">
        <v>96</v>
      </c>
      <c r="AK40" s="2" t="s">
        <v>222</v>
      </c>
      <c r="AL40" s="3"/>
      <c r="AM40" s="2" t="s">
        <v>555</v>
      </c>
      <c r="AN40" s="3"/>
      <c r="AO40" s="3"/>
    </row>
    <row r="41">
      <c r="A41" s="1">
        <v>19.0</v>
      </c>
      <c r="B41" s="1" t="s">
        <v>556</v>
      </c>
      <c r="C41" s="3"/>
      <c r="D41" s="2" t="s">
        <v>557</v>
      </c>
      <c r="E41" s="1" t="s">
        <v>258</v>
      </c>
      <c r="F41" s="1" t="s">
        <v>83</v>
      </c>
      <c r="G41" s="1" t="s">
        <v>133</v>
      </c>
      <c r="H41" s="3"/>
      <c r="I41" s="1" t="s">
        <v>558</v>
      </c>
      <c r="J41" s="1">
        <v>4.0</v>
      </c>
      <c r="K41" s="1" t="s">
        <v>559</v>
      </c>
      <c r="L41" s="1">
        <v>33000.0</v>
      </c>
      <c r="M41" s="1">
        <v>33063.0</v>
      </c>
      <c r="N41" s="1" t="s">
        <v>45</v>
      </c>
      <c r="O41" s="1" t="s">
        <v>46</v>
      </c>
      <c r="P41" s="1" t="s">
        <v>47</v>
      </c>
      <c r="Q41" s="3"/>
      <c r="R41" s="1" t="s">
        <v>560</v>
      </c>
      <c r="S41" s="1" t="s">
        <v>561</v>
      </c>
      <c r="T41" s="3"/>
      <c r="U41" s="1" t="s">
        <v>50</v>
      </c>
      <c r="V41" s="1">
        <v>5.57893939E8</v>
      </c>
      <c r="W41" s="3"/>
      <c r="X41" s="2" t="s">
        <v>562</v>
      </c>
      <c r="Y41" s="3"/>
      <c r="Z41" s="1" t="s">
        <v>563</v>
      </c>
      <c r="AA41" s="4" t="s">
        <v>564</v>
      </c>
      <c r="AB41" s="5"/>
      <c r="AC41" s="1" t="s">
        <v>562</v>
      </c>
      <c r="AD41" s="1" t="s">
        <v>197</v>
      </c>
      <c r="AE41" s="1" t="s">
        <v>55</v>
      </c>
      <c r="AF41" s="3"/>
      <c r="AG41" s="1" t="s">
        <v>76</v>
      </c>
      <c r="AH41" s="1" t="s">
        <v>95</v>
      </c>
      <c r="AI41" s="1" t="s">
        <v>125</v>
      </c>
      <c r="AJ41" s="1" t="s">
        <v>96</v>
      </c>
      <c r="AK41" s="2" t="s">
        <v>565</v>
      </c>
      <c r="AL41" s="3"/>
      <c r="AM41" s="2" t="s">
        <v>566</v>
      </c>
      <c r="AN41" s="3"/>
      <c r="AO41" s="3"/>
    </row>
    <row r="42">
      <c r="A42" s="1">
        <v>22.0</v>
      </c>
      <c r="B42" s="1" t="s">
        <v>567</v>
      </c>
      <c r="C42" s="3"/>
      <c r="D42" s="2" t="s">
        <v>568</v>
      </c>
      <c r="E42" s="1" t="s">
        <v>41</v>
      </c>
      <c r="F42" s="1" t="s">
        <v>42</v>
      </c>
      <c r="G42" s="1" t="s">
        <v>41</v>
      </c>
      <c r="H42" s="3"/>
      <c r="I42" s="1" t="s">
        <v>569</v>
      </c>
      <c r="J42" s="1">
        <v>6.0</v>
      </c>
      <c r="K42" s="1" t="s">
        <v>570</v>
      </c>
      <c r="L42" s="1">
        <v>33000.0</v>
      </c>
      <c r="M42" s="1">
        <v>33063.0</v>
      </c>
      <c r="N42" s="1" t="s">
        <v>45</v>
      </c>
      <c r="O42" s="1" t="s">
        <v>46</v>
      </c>
      <c r="P42" s="1" t="s">
        <v>47</v>
      </c>
      <c r="Q42" s="3"/>
      <c r="R42" s="1" t="s">
        <v>571</v>
      </c>
      <c r="S42" s="1" t="s">
        <v>572</v>
      </c>
      <c r="T42" s="3"/>
      <c r="U42" s="1" t="s">
        <v>50</v>
      </c>
      <c r="V42" s="1">
        <v>5.56819322E8</v>
      </c>
      <c r="W42" s="3"/>
      <c r="X42" s="2" t="s">
        <v>573</v>
      </c>
      <c r="Y42" s="3"/>
      <c r="Z42" s="1" t="s">
        <v>574</v>
      </c>
      <c r="AA42" s="4" t="s">
        <v>575</v>
      </c>
      <c r="AB42" s="5"/>
      <c r="AC42" s="1" t="s">
        <v>573</v>
      </c>
      <c r="AD42" s="1" t="s">
        <v>576</v>
      </c>
      <c r="AE42" s="1" t="s">
        <v>55</v>
      </c>
      <c r="AF42" s="1" t="s">
        <v>56</v>
      </c>
      <c r="AG42" s="1" t="s">
        <v>109</v>
      </c>
      <c r="AH42" s="1" t="s">
        <v>295</v>
      </c>
      <c r="AI42" s="3"/>
      <c r="AJ42" s="1" t="s">
        <v>59</v>
      </c>
      <c r="AK42" s="2" t="s">
        <v>577</v>
      </c>
      <c r="AL42" s="3"/>
      <c r="AM42" s="2" t="s">
        <v>578</v>
      </c>
      <c r="AN42" s="3"/>
      <c r="AO42" s="3"/>
    </row>
    <row r="43">
      <c r="A43" s="1">
        <v>23.0</v>
      </c>
      <c r="B43" s="1" t="s">
        <v>579</v>
      </c>
      <c r="C43" s="3"/>
      <c r="D43" s="2" t="s">
        <v>580</v>
      </c>
      <c r="E43" s="1" t="s">
        <v>64</v>
      </c>
      <c r="F43" s="1" t="s">
        <v>42</v>
      </c>
      <c r="G43" s="1" t="s">
        <v>65</v>
      </c>
      <c r="H43" s="3"/>
      <c r="I43" s="1" t="s">
        <v>581</v>
      </c>
      <c r="J43" s="1">
        <v>21.0</v>
      </c>
      <c r="K43" s="1" t="s">
        <v>582</v>
      </c>
      <c r="L43" s="1">
        <v>33000.0</v>
      </c>
      <c r="M43" s="1">
        <v>33063.0</v>
      </c>
      <c r="N43" s="1" t="s">
        <v>45</v>
      </c>
      <c r="O43" s="1" t="s">
        <v>46</v>
      </c>
      <c r="P43" s="1" t="s">
        <v>47</v>
      </c>
      <c r="Q43" s="3"/>
      <c r="R43" s="1" t="s">
        <v>583</v>
      </c>
      <c r="S43" s="1" t="s">
        <v>584</v>
      </c>
      <c r="T43" s="3"/>
      <c r="U43" s="1" t="s">
        <v>50</v>
      </c>
      <c r="V43" s="1">
        <v>5.47743261E8</v>
      </c>
      <c r="W43" s="3"/>
      <c r="X43" s="2" t="s">
        <v>585</v>
      </c>
      <c r="Y43" s="3"/>
      <c r="Z43" s="1" t="s">
        <v>586</v>
      </c>
      <c r="AA43" s="4" t="s">
        <v>587</v>
      </c>
      <c r="AB43" s="4" t="s">
        <v>588</v>
      </c>
      <c r="AC43" s="1" t="s">
        <v>585</v>
      </c>
      <c r="AD43" s="1" t="s">
        <v>589</v>
      </c>
      <c r="AE43" s="1" t="s">
        <v>590</v>
      </c>
      <c r="AF43" s="1" t="s">
        <v>56</v>
      </c>
      <c r="AG43" s="1" t="s">
        <v>76</v>
      </c>
      <c r="AH43" s="1" t="s">
        <v>58</v>
      </c>
      <c r="AI43" s="3"/>
      <c r="AJ43" s="1" t="s">
        <v>59</v>
      </c>
      <c r="AK43" s="2" t="s">
        <v>591</v>
      </c>
      <c r="AL43" s="3"/>
      <c r="AM43" s="2" t="s">
        <v>592</v>
      </c>
      <c r="AN43" s="3"/>
      <c r="AO43" s="3"/>
    </row>
    <row r="44">
      <c r="A44" s="1">
        <v>27.0</v>
      </c>
      <c r="B44" s="1" t="s">
        <v>593</v>
      </c>
      <c r="C44" s="1" t="s">
        <v>81</v>
      </c>
      <c r="D44" s="2" t="s">
        <v>82</v>
      </c>
      <c r="E44" s="1" t="s">
        <v>81</v>
      </c>
      <c r="F44" s="1" t="s">
        <v>83</v>
      </c>
      <c r="G44" s="1" t="s">
        <v>84</v>
      </c>
      <c r="H44" s="3"/>
      <c r="I44" s="1" t="s">
        <v>594</v>
      </c>
      <c r="J44" s="1">
        <v>1.0</v>
      </c>
      <c r="K44" s="1" t="s">
        <v>595</v>
      </c>
      <c r="L44" s="1">
        <v>33076.0</v>
      </c>
      <c r="M44" s="1">
        <v>33063.0</v>
      </c>
      <c r="N44" s="1" t="s">
        <v>45</v>
      </c>
      <c r="O44" s="1" t="s">
        <v>46</v>
      </c>
      <c r="P44" s="1" t="s">
        <v>47</v>
      </c>
      <c r="Q44" s="3"/>
      <c r="R44" s="1" t="s">
        <v>596</v>
      </c>
      <c r="S44" s="1" t="s">
        <v>597</v>
      </c>
      <c r="T44" s="3"/>
      <c r="U44" s="1" t="s">
        <v>50</v>
      </c>
      <c r="V44" s="1">
        <v>3949.0</v>
      </c>
      <c r="W44" s="3"/>
      <c r="X44" s="2" t="s">
        <v>598</v>
      </c>
      <c r="Y44" s="3"/>
      <c r="Z44" s="1" t="s">
        <v>91</v>
      </c>
      <c r="AA44" s="4" t="s">
        <v>92</v>
      </c>
      <c r="AB44" s="5"/>
      <c r="AC44" s="1" t="s">
        <v>598</v>
      </c>
      <c r="AD44" s="1" t="s">
        <v>93</v>
      </c>
      <c r="AE44" s="1" t="s">
        <v>94</v>
      </c>
      <c r="AF44" s="1" t="s">
        <v>56</v>
      </c>
      <c r="AG44" s="1" t="s">
        <v>76</v>
      </c>
      <c r="AH44" s="1" t="s">
        <v>95</v>
      </c>
      <c r="AI44" s="3"/>
      <c r="AJ44" s="1" t="s">
        <v>96</v>
      </c>
      <c r="AK44" s="2" t="s">
        <v>97</v>
      </c>
      <c r="AL44" s="3"/>
      <c r="AM44" s="2" t="s">
        <v>599</v>
      </c>
      <c r="AN44" s="3"/>
      <c r="AO44" s="3"/>
    </row>
    <row r="45">
      <c r="A45" s="1">
        <v>33.0</v>
      </c>
      <c r="B45" s="1" t="s">
        <v>600</v>
      </c>
      <c r="C45" s="3"/>
      <c r="D45" s="2" t="s">
        <v>601</v>
      </c>
      <c r="E45" s="1" t="s">
        <v>41</v>
      </c>
      <c r="F45" s="1" t="s">
        <v>42</v>
      </c>
      <c r="G45" s="1" t="s">
        <v>41</v>
      </c>
      <c r="H45" s="3"/>
      <c r="I45" s="1" t="s">
        <v>602</v>
      </c>
      <c r="J45" s="1">
        <v>14.0</v>
      </c>
      <c r="K45" s="1" t="s">
        <v>603</v>
      </c>
      <c r="L45" s="1">
        <v>33800.0</v>
      </c>
      <c r="M45" s="1">
        <v>33063.0</v>
      </c>
      <c r="N45" s="1" t="s">
        <v>45</v>
      </c>
      <c r="O45" s="1" t="s">
        <v>46</v>
      </c>
      <c r="P45" s="1" t="s">
        <v>47</v>
      </c>
      <c r="Q45" s="3"/>
      <c r="R45" s="1" t="s">
        <v>604</v>
      </c>
      <c r="S45" s="1" t="s">
        <v>605</v>
      </c>
      <c r="T45" s="3"/>
      <c r="U45" s="1" t="s">
        <v>50</v>
      </c>
      <c r="V45" s="1">
        <v>5.56314848E8</v>
      </c>
      <c r="W45" s="3"/>
      <c r="X45" s="2" t="s">
        <v>606</v>
      </c>
      <c r="Y45" s="3"/>
      <c r="Z45" s="1" t="s">
        <v>607</v>
      </c>
      <c r="AA45" s="4" t="s">
        <v>608</v>
      </c>
      <c r="AB45" s="4" t="s">
        <v>609</v>
      </c>
      <c r="AC45" s="1" t="s">
        <v>606</v>
      </c>
      <c r="AD45" s="1" t="s">
        <v>610</v>
      </c>
      <c r="AE45" s="1" t="s">
        <v>361</v>
      </c>
      <c r="AF45" s="1" t="s">
        <v>56</v>
      </c>
      <c r="AG45" s="1" t="s">
        <v>76</v>
      </c>
      <c r="AH45" s="1" t="s">
        <v>77</v>
      </c>
      <c r="AI45" s="3"/>
      <c r="AJ45" s="1" t="s">
        <v>59</v>
      </c>
      <c r="AK45" s="2" t="s">
        <v>611</v>
      </c>
      <c r="AL45" s="3"/>
      <c r="AM45" s="2" t="s">
        <v>612</v>
      </c>
      <c r="AN45" s="3"/>
      <c r="AO45" s="3"/>
    </row>
    <row r="46">
      <c r="A46" s="1">
        <v>39.0</v>
      </c>
      <c r="B46" s="1" t="s">
        <v>613</v>
      </c>
      <c r="C46" s="1" t="s">
        <v>81</v>
      </c>
      <c r="D46" s="2" t="s">
        <v>82</v>
      </c>
      <c r="E46" s="1" t="s">
        <v>81</v>
      </c>
      <c r="F46" s="1" t="s">
        <v>83</v>
      </c>
      <c r="G46" s="1" t="s">
        <v>84</v>
      </c>
      <c r="H46" s="3"/>
      <c r="I46" s="1" t="s">
        <v>614</v>
      </c>
      <c r="J46" s="1">
        <v>4.0</v>
      </c>
      <c r="K46" s="1" t="s">
        <v>615</v>
      </c>
      <c r="L46" s="1">
        <v>33800.0</v>
      </c>
      <c r="M46" s="1">
        <v>33063.0</v>
      </c>
      <c r="N46" s="1" t="s">
        <v>45</v>
      </c>
      <c r="O46" s="1" t="s">
        <v>46</v>
      </c>
      <c r="P46" s="1" t="s">
        <v>47</v>
      </c>
      <c r="Q46" s="3"/>
      <c r="R46" s="1" t="s">
        <v>616</v>
      </c>
      <c r="S46" s="1" t="s">
        <v>617</v>
      </c>
      <c r="T46" s="3"/>
      <c r="U46" s="1" t="s">
        <v>50</v>
      </c>
      <c r="V46" s="1">
        <v>3949.0</v>
      </c>
      <c r="W46" s="3"/>
      <c r="X46" s="2" t="s">
        <v>598</v>
      </c>
      <c r="Y46" s="3"/>
      <c r="Z46" s="1" t="s">
        <v>91</v>
      </c>
      <c r="AA46" s="4" t="s">
        <v>92</v>
      </c>
      <c r="AB46" s="5"/>
      <c r="AC46" s="1" t="s">
        <v>598</v>
      </c>
      <c r="AD46" s="1" t="s">
        <v>93</v>
      </c>
      <c r="AE46" s="1" t="s">
        <v>94</v>
      </c>
      <c r="AF46" s="1" t="s">
        <v>56</v>
      </c>
      <c r="AG46" s="1" t="s">
        <v>76</v>
      </c>
      <c r="AH46" s="1" t="s">
        <v>95</v>
      </c>
      <c r="AI46" s="3"/>
      <c r="AJ46" s="1" t="s">
        <v>96</v>
      </c>
      <c r="AK46" s="2" t="s">
        <v>97</v>
      </c>
      <c r="AL46" s="3"/>
      <c r="AM46" s="2" t="s">
        <v>618</v>
      </c>
      <c r="AN46" s="3"/>
      <c r="AO46" s="3"/>
    </row>
    <row r="47">
      <c r="A47" s="1">
        <v>42.0</v>
      </c>
      <c r="B47" s="1" t="s">
        <v>619</v>
      </c>
      <c r="C47" s="1" t="s">
        <v>81</v>
      </c>
      <c r="D47" s="2" t="s">
        <v>82</v>
      </c>
      <c r="E47" s="1" t="s">
        <v>81</v>
      </c>
      <c r="F47" s="1" t="s">
        <v>83</v>
      </c>
      <c r="G47" s="1" t="s">
        <v>84</v>
      </c>
      <c r="H47" s="3"/>
      <c r="I47" s="1" t="s">
        <v>620</v>
      </c>
      <c r="J47" s="1">
        <v>4.0</v>
      </c>
      <c r="K47" s="1" t="s">
        <v>621</v>
      </c>
      <c r="L47" s="1">
        <v>33100.0</v>
      </c>
      <c r="M47" s="1">
        <v>33063.0</v>
      </c>
      <c r="N47" s="1" t="s">
        <v>45</v>
      </c>
      <c r="O47" s="1" t="s">
        <v>46</v>
      </c>
      <c r="P47" s="1" t="s">
        <v>47</v>
      </c>
      <c r="Q47" s="3"/>
      <c r="R47" s="1" t="s">
        <v>622</v>
      </c>
      <c r="S47" s="1" t="s">
        <v>623</v>
      </c>
      <c r="T47" s="3"/>
      <c r="U47" s="1" t="s">
        <v>50</v>
      </c>
      <c r="V47" s="1">
        <v>3949.0</v>
      </c>
      <c r="W47" s="3"/>
      <c r="X47" s="2" t="s">
        <v>598</v>
      </c>
      <c r="Y47" s="3"/>
      <c r="Z47" s="1" t="s">
        <v>91</v>
      </c>
      <c r="AA47" s="4" t="s">
        <v>92</v>
      </c>
      <c r="AB47" s="5"/>
      <c r="AC47" s="1" t="s">
        <v>598</v>
      </c>
      <c r="AD47" s="1" t="s">
        <v>93</v>
      </c>
      <c r="AE47" s="1" t="s">
        <v>94</v>
      </c>
      <c r="AF47" s="1" t="s">
        <v>56</v>
      </c>
      <c r="AG47" s="1" t="s">
        <v>76</v>
      </c>
      <c r="AH47" s="1" t="s">
        <v>95</v>
      </c>
      <c r="AI47" s="3"/>
      <c r="AJ47" s="1" t="s">
        <v>96</v>
      </c>
      <c r="AK47" s="2" t="s">
        <v>97</v>
      </c>
      <c r="AL47" s="3"/>
      <c r="AM47" s="2" t="s">
        <v>624</v>
      </c>
      <c r="AN47" s="3"/>
      <c r="AO47" s="3"/>
    </row>
    <row r="48">
      <c r="A48" s="1">
        <v>43.0</v>
      </c>
      <c r="B48" s="1" t="s">
        <v>625</v>
      </c>
      <c r="C48" s="3"/>
      <c r="D48" s="2" t="s">
        <v>626</v>
      </c>
      <c r="E48" s="1" t="s">
        <v>41</v>
      </c>
      <c r="F48" s="1" t="s">
        <v>42</v>
      </c>
      <c r="G48" s="1" t="s">
        <v>41</v>
      </c>
      <c r="H48" s="3"/>
      <c r="I48" s="1" t="s">
        <v>627</v>
      </c>
      <c r="J48" s="1">
        <v>30.0</v>
      </c>
      <c r="K48" s="1" t="s">
        <v>628</v>
      </c>
      <c r="L48" s="1">
        <v>33200.0</v>
      </c>
      <c r="M48" s="1">
        <v>33063.0</v>
      </c>
      <c r="N48" s="1" t="s">
        <v>45</v>
      </c>
      <c r="O48" s="1" t="s">
        <v>46</v>
      </c>
      <c r="P48" s="1" t="s">
        <v>47</v>
      </c>
      <c r="Q48" s="3"/>
      <c r="R48" s="1" t="s">
        <v>629</v>
      </c>
      <c r="S48" s="1" t="s">
        <v>630</v>
      </c>
      <c r="T48" s="3"/>
      <c r="U48" s="1" t="s">
        <v>50</v>
      </c>
      <c r="V48" s="1">
        <v>5.5608673E8</v>
      </c>
      <c r="W48" s="3"/>
      <c r="X48" s="2" t="s">
        <v>631</v>
      </c>
      <c r="Y48" s="3"/>
      <c r="Z48" s="1" t="s">
        <v>632</v>
      </c>
      <c r="AA48" s="4" t="s">
        <v>633</v>
      </c>
      <c r="AB48" s="5"/>
      <c r="AC48" s="1" t="s">
        <v>631</v>
      </c>
      <c r="AD48" s="1" t="s">
        <v>634</v>
      </c>
      <c r="AE48" s="1" t="s">
        <v>635</v>
      </c>
      <c r="AF48" s="1" t="s">
        <v>56</v>
      </c>
      <c r="AG48" s="1" t="s">
        <v>57</v>
      </c>
      <c r="AH48" s="1" t="s">
        <v>295</v>
      </c>
      <c r="AI48" s="3"/>
      <c r="AJ48" s="1" t="s">
        <v>59</v>
      </c>
      <c r="AK48" s="2" t="s">
        <v>636</v>
      </c>
      <c r="AL48" s="3"/>
      <c r="AM48" s="2" t="s">
        <v>637</v>
      </c>
      <c r="AN48" s="3"/>
      <c r="AO48" s="3"/>
    </row>
    <row r="49">
      <c r="A49" s="1">
        <v>45.0</v>
      </c>
      <c r="B49" s="1" t="s">
        <v>638</v>
      </c>
      <c r="C49" s="3"/>
      <c r="D49" s="2" t="s">
        <v>639</v>
      </c>
      <c r="E49" s="1" t="s">
        <v>41</v>
      </c>
      <c r="F49" s="1" t="s">
        <v>42</v>
      </c>
      <c r="G49" s="1" t="s">
        <v>41</v>
      </c>
      <c r="H49" s="3"/>
      <c r="I49" s="1" t="s">
        <v>640</v>
      </c>
      <c r="J49" s="1">
        <v>11.0</v>
      </c>
      <c r="K49" s="1" t="s">
        <v>641</v>
      </c>
      <c r="L49" s="1">
        <v>33200.0</v>
      </c>
      <c r="M49" s="1">
        <v>33281.0</v>
      </c>
      <c r="N49" s="1" t="s">
        <v>45</v>
      </c>
      <c r="O49" s="1" t="s">
        <v>46</v>
      </c>
      <c r="P49" s="1" t="s">
        <v>47</v>
      </c>
      <c r="Q49" s="3"/>
      <c r="R49" s="1" t="s">
        <v>642</v>
      </c>
      <c r="S49" s="1" t="s">
        <v>643</v>
      </c>
      <c r="T49" s="3"/>
      <c r="U49" s="1" t="s">
        <v>50</v>
      </c>
      <c r="V49" s="1">
        <v>5.56974E8</v>
      </c>
      <c r="W49" s="3"/>
      <c r="X49" s="2" t="s">
        <v>644</v>
      </c>
      <c r="Y49" s="3"/>
      <c r="Z49" s="1" t="s">
        <v>645</v>
      </c>
      <c r="AA49" s="4" t="s">
        <v>646</v>
      </c>
      <c r="AB49" s="5"/>
      <c r="AC49" s="1" t="s">
        <v>644</v>
      </c>
      <c r="AD49" s="1" t="s">
        <v>647</v>
      </c>
      <c r="AE49" s="1" t="s">
        <v>55</v>
      </c>
      <c r="AF49" s="1" t="s">
        <v>56</v>
      </c>
      <c r="AG49" s="1" t="s">
        <v>76</v>
      </c>
      <c r="AH49" s="1" t="s">
        <v>77</v>
      </c>
      <c r="AI49" s="3"/>
      <c r="AJ49" s="1" t="s">
        <v>59</v>
      </c>
      <c r="AK49" s="2" t="s">
        <v>648</v>
      </c>
      <c r="AL49" s="3"/>
      <c r="AM49" s="2" t="s">
        <v>649</v>
      </c>
      <c r="AN49" s="3"/>
      <c r="AO49" s="3"/>
    </row>
    <row r="50">
      <c r="A50" s="1">
        <v>46.0</v>
      </c>
      <c r="B50" s="1" t="s">
        <v>650</v>
      </c>
      <c r="C50" s="1" t="s">
        <v>130</v>
      </c>
      <c r="D50" s="2" t="s">
        <v>651</v>
      </c>
      <c r="E50" s="1" t="s">
        <v>132</v>
      </c>
      <c r="F50" s="1" t="s">
        <v>83</v>
      </c>
      <c r="G50" s="1" t="s">
        <v>133</v>
      </c>
      <c r="H50" s="3"/>
      <c r="I50" s="1" t="s">
        <v>652</v>
      </c>
      <c r="J50" s="1">
        <v>9.0</v>
      </c>
      <c r="K50" s="1" t="s">
        <v>653</v>
      </c>
      <c r="L50" s="1">
        <v>33440.0</v>
      </c>
      <c r="M50" s="3"/>
      <c r="N50" s="1" t="s">
        <v>654</v>
      </c>
      <c r="O50" s="1" t="s">
        <v>46</v>
      </c>
      <c r="P50" s="1" t="s">
        <v>47</v>
      </c>
      <c r="Q50" s="3"/>
      <c r="R50" s="3"/>
      <c r="S50" s="3"/>
      <c r="T50" s="3"/>
      <c r="U50" s="1" t="s">
        <v>50</v>
      </c>
      <c r="V50" s="1">
        <v>5.5780152E8</v>
      </c>
      <c r="W50" s="3"/>
      <c r="X50" s="2" t="s">
        <v>655</v>
      </c>
      <c r="Y50" s="3"/>
      <c r="Z50" s="1" t="s">
        <v>656</v>
      </c>
      <c r="AA50" s="4" t="s">
        <v>657</v>
      </c>
      <c r="AB50" s="5"/>
      <c r="AC50" s="1" t="s">
        <v>655</v>
      </c>
      <c r="AD50" s="1" t="s">
        <v>658</v>
      </c>
      <c r="AE50" s="1" t="s">
        <v>590</v>
      </c>
      <c r="AF50" s="1" t="s">
        <v>56</v>
      </c>
      <c r="AG50" s="1" t="s">
        <v>109</v>
      </c>
      <c r="AH50" s="1" t="s">
        <v>95</v>
      </c>
      <c r="AI50" s="3"/>
      <c r="AJ50" s="1" t="s">
        <v>59</v>
      </c>
      <c r="AK50" s="2" t="s">
        <v>659</v>
      </c>
      <c r="AL50" s="3"/>
      <c r="AM50" s="5"/>
      <c r="AN50" s="3"/>
      <c r="AO50" s="3"/>
    </row>
    <row r="51">
      <c r="A51" s="1">
        <v>49.0</v>
      </c>
      <c r="B51" s="1" t="s">
        <v>660</v>
      </c>
      <c r="C51" s="1" t="s">
        <v>661</v>
      </c>
      <c r="D51" s="2" t="s">
        <v>662</v>
      </c>
      <c r="E51" s="1" t="s">
        <v>132</v>
      </c>
      <c r="F51" s="1" t="s">
        <v>83</v>
      </c>
      <c r="G51" s="1" t="s">
        <v>133</v>
      </c>
      <c r="H51" s="3"/>
      <c r="I51" s="1" t="s">
        <v>663</v>
      </c>
      <c r="J51" s="1">
        <v>5.0</v>
      </c>
      <c r="K51" s="1" t="s">
        <v>664</v>
      </c>
      <c r="L51" s="1">
        <v>33810.0</v>
      </c>
      <c r="M51" s="1">
        <v>33004.0</v>
      </c>
      <c r="N51" s="1" t="s">
        <v>665</v>
      </c>
      <c r="O51" s="1" t="s">
        <v>46</v>
      </c>
      <c r="P51" s="1" t="s">
        <v>47</v>
      </c>
      <c r="Q51" s="3"/>
      <c r="R51" s="1" t="s">
        <v>666</v>
      </c>
      <c r="S51" s="1" t="s">
        <v>667</v>
      </c>
      <c r="T51" s="3"/>
      <c r="U51" s="1" t="s">
        <v>50</v>
      </c>
      <c r="V51" s="1">
        <v>5.56770269E8</v>
      </c>
      <c r="W51" s="3"/>
      <c r="X51" s="2" t="s">
        <v>668</v>
      </c>
      <c r="Y51" s="3"/>
      <c r="Z51" s="1" t="s">
        <v>669</v>
      </c>
      <c r="AA51" s="4" t="s">
        <v>670</v>
      </c>
      <c r="AB51" s="2" t="s">
        <v>671</v>
      </c>
      <c r="AC51" s="1" t="s">
        <v>668</v>
      </c>
      <c r="AD51" s="3"/>
      <c r="AE51" s="1" t="s">
        <v>672</v>
      </c>
      <c r="AF51" s="1" t="s">
        <v>56</v>
      </c>
      <c r="AG51" s="1" t="s">
        <v>109</v>
      </c>
      <c r="AH51" s="1" t="s">
        <v>58</v>
      </c>
      <c r="AI51" s="1" t="s">
        <v>125</v>
      </c>
      <c r="AJ51" s="1" t="s">
        <v>96</v>
      </c>
      <c r="AK51" s="2" t="s">
        <v>673</v>
      </c>
      <c r="AL51" s="3"/>
      <c r="AM51" s="2" t="s">
        <v>674</v>
      </c>
      <c r="AN51" s="3"/>
      <c r="AO51" s="3"/>
    </row>
    <row r="52">
      <c r="A52" s="1">
        <v>50.0</v>
      </c>
      <c r="B52" s="1" t="s">
        <v>675</v>
      </c>
      <c r="C52" s="3"/>
      <c r="D52" s="2" t="s">
        <v>676</v>
      </c>
      <c r="E52" s="1" t="s">
        <v>258</v>
      </c>
      <c r="F52" s="1" t="s">
        <v>83</v>
      </c>
      <c r="G52" s="1" t="s">
        <v>133</v>
      </c>
      <c r="H52" s="3"/>
      <c r="I52" s="1" t="s">
        <v>677</v>
      </c>
      <c r="J52" s="1">
        <v>72.0</v>
      </c>
      <c r="K52" s="1" t="s">
        <v>245</v>
      </c>
      <c r="L52" s="1">
        <v>33370.0</v>
      </c>
      <c r="M52" s="1">
        <v>33013.0</v>
      </c>
      <c r="N52" s="1" t="s">
        <v>246</v>
      </c>
      <c r="O52" s="1" t="s">
        <v>46</v>
      </c>
      <c r="P52" s="1" t="s">
        <v>47</v>
      </c>
      <c r="Q52" s="1" t="s">
        <v>678</v>
      </c>
      <c r="R52" s="1" t="s">
        <v>247</v>
      </c>
      <c r="S52" s="1" t="s">
        <v>248</v>
      </c>
      <c r="T52" s="3"/>
      <c r="U52" s="1" t="s">
        <v>50</v>
      </c>
      <c r="V52" s="1">
        <v>5.56740223E8</v>
      </c>
      <c r="W52" s="3"/>
      <c r="X52" s="2" t="s">
        <v>679</v>
      </c>
      <c r="Y52" s="3"/>
      <c r="Z52" s="1" t="s">
        <v>680</v>
      </c>
      <c r="AA52" s="4" t="s">
        <v>681</v>
      </c>
      <c r="AB52" s="4" t="s">
        <v>682</v>
      </c>
      <c r="AC52" s="1" t="s">
        <v>679</v>
      </c>
      <c r="AD52" s="1" t="s">
        <v>683</v>
      </c>
      <c r="AE52" s="1" t="s">
        <v>684</v>
      </c>
      <c r="AF52" s="1" t="s">
        <v>56</v>
      </c>
      <c r="AG52" s="1" t="s">
        <v>76</v>
      </c>
      <c r="AH52" s="1" t="s">
        <v>95</v>
      </c>
      <c r="AI52" s="1" t="s">
        <v>125</v>
      </c>
      <c r="AJ52" s="1" t="s">
        <v>59</v>
      </c>
      <c r="AK52" s="2" t="s">
        <v>685</v>
      </c>
      <c r="AL52" s="3"/>
      <c r="AM52" s="2" t="s">
        <v>255</v>
      </c>
      <c r="AN52" s="3"/>
      <c r="AO52" s="3"/>
    </row>
    <row r="53">
      <c r="A53" s="1">
        <v>59.0</v>
      </c>
      <c r="B53" s="1" t="s">
        <v>686</v>
      </c>
      <c r="C53" s="3"/>
      <c r="D53" s="2" t="s">
        <v>687</v>
      </c>
      <c r="E53" s="1" t="s">
        <v>41</v>
      </c>
      <c r="F53" s="1" t="s">
        <v>42</v>
      </c>
      <c r="G53" s="1" t="s">
        <v>41</v>
      </c>
      <c r="H53" s="3"/>
      <c r="I53" s="1" t="s">
        <v>688</v>
      </c>
      <c r="J53" s="3"/>
      <c r="K53" s="1" t="s">
        <v>689</v>
      </c>
      <c r="L53" s="1">
        <v>33150.0</v>
      </c>
      <c r="M53" s="1">
        <v>33119.0</v>
      </c>
      <c r="N53" s="1" t="s">
        <v>272</v>
      </c>
      <c r="O53" s="1" t="s">
        <v>46</v>
      </c>
      <c r="P53" s="1" t="s">
        <v>47</v>
      </c>
      <c r="Q53" s="3"/>
      <c r="R53" s="1" t="s">
        <v>690</v>
      </c>
      <c r="S53" s="1" t="s">
        <v>691</v>
      </c>
      <c r="T53" s="3"/>
      <c r="U53" s="1" t="s">
        <v>50</v>
      </c>
      <c r="V53" s="1">
        <v>6.22332142E8</v>
      </c>
      <c r="W53" s="3"/>
      <c r="X53" s="2" t="s">
        <v>692</v>
      </c>
      <c r="Y53" s="3"/>
      <c r="Z53" s="1" t="s">
        <v>693</v>
      </c>
      <c r="AA53" s="4" t="s">
        <v>694</v>
      </c>
      <c r="AB53" s="4" t="s">
        <v>695</v>
      </c>
      <c r="AC53" s="1" t="s">
        <v>692</v>
      </c>
      <c r="AD53" s="1" t="s">
        <v>360</v>
      </c>
      <c r="AE53" s="1" t="s">
        <v>696</v>
      </c>
      <c r="AF53" s="1" t="s">
        <v>56</v>
      </c>
      <c r="AG53" s="1" t="s">
        <v>76</v>
      </c>
      <c r="AH53" s="1" t="s">
        <v>77</v>
      </c>
      <c r="AI53" s="3"/>
      <c r="AJ53" s="1" t="s">
        <v>59</v>
      </c>
      <c r="AK53" s="2" t="s">
        <v>697</v>
      </c>
      <c r="AL53" s="1" t="s">
        <v>698</v>
      </c>
      <c r="AM53" s="2" t="s">
        <v>699</v>
      </c>
      <c r="AN53" s="3"/>
      <c r="AO53" s="3"/>
    </row>
    <row r="54">
      <c r="A54" s="1">
        <v>60.0</v>
      </c>
      <c r="B54" s="1" t="s">
        <v>700</v>
      </c>
      <c r="C54" s="1" t="s">
        <v>701</v>
      </c>
      <c r="D54" s="2" t="s">
        <v>702</v>
      </c>
      <c r="E54" s="1" t="s">
        <v>258</v>
      </c>
      <c r="F54" s="1" t="s">
        <v>83</v>
      </c>
      <c r="G54" s="1" t="s">
        <v>133</v>
      </c>
      <c r="H54" s="3"/>
      <c r="I54" s="1" t="s">
        <v>703</v>
      </c>
      <c r="J54" s="3"/>
      <c r="K54" s="1" t="s">
        <v>704</v>
      </c>
      <c r="L54" s="1">
        <v>33270.0</v>
      </c>
      <c r="M54" s="1">
        <v>33167.0</v>
      </c>
      <c r="N54" s="1" t="s">
        <v>705</v>
      </c>
      <c r="O54" s="1" t="s">
        <v>46</v>
      </c>
      <c r="P54" s="1" t="s">
        <v>47</v>
      </c>
      <c r="Q54" s="1" t="s">
        <v>706</v>
      </c>
      <c r="R54" s="1" t="s">
        <v>707</v>
      </c>
      <c r="S54" s="1" t="s">
        <v>708</v>
      </c>
      <c r="T54" s="3"/>
      <c r="U54" s="1" t="s">
        <v>50</v>
      </c>
      <c r="V54" s="1">
        <v>5.57809787E8</v>
      </c>
      <c r="W54" s="3"/>
      <c r="X54" s="2" t="s">
        <v>709</v>
      </c>
      <c r="Y54" s="3"/>
      <c r="Z54" s="1" t="s">
        <v>710</v>
      </c>
      <c r="AA54" s="4" t="s">
        <v>711</v>
      </c>
      <c r="AB54" s="5"/>
      <c r="AC54" s="1" t="s">
        <v>709</v>
      </c>
      <c r="AD54" s="1" t="s">
        <v>712</v>
      </c>
      <c r="AE54" s="1" t="s">
        <v>55</v>
      </c>
      <c r="AF54" s="1" t="s">
        <v>56</v>
      </c>
      <c r="AG54" s="1" t="s">
        <v>109</v>
      </c>
      <c r="AH54" s="1" t="s">
        <v>95</v>
      </c>
      <c r="AI54" s="1" t="s">
        <v>125</v>
      </c>
      <c r="AJ54" s="1" t="s">
        <v>59</v>
      </c>
      <c r="AK54" s="2" t="s">
        <v>713</v>
      </c>
      <c r="AL54" s="3"/>
      <c r="AM54" s="2" t="s">
        <v>714</v>
      </c>
      <c r="AN54" s="3"/>
      <c r="AO54" s="3"/>
    </row>
    <row r="55">
      <c r="A55" s="1">
        <v>61.0</v>
      </c>
      <c r="B55" s="1" t="s">
        <v>715</v>
      </c>
      <c r="C55" s="3"/>
      <c r="D55" s="2" t="s">
        <v>716</v>
      </c>
      <c r="E55" s="1" t="s">
        <v>41</v>
      </c>
      <c r="F55" s="1" t="s">
        <v>42</v>
      </c>
      <c r="G55" s="1" t="s">
        <v>41</v>
      </c>
      <c r="H55" s="3"/>
      <c r="I55" s="1" t="s">
        <v>717</v>
      </c>
      <c r="J55" s="3"/>
      <c r="K55" s="1" t="s">
        <v>718</v>
      </c>
      <c r="L55" s="1">
        <v>33270.0</v>
      </c>
      <c r="M55" s="1">
        <v>33167.0</v>
      </c>
      <c r="N55" s="1" t="s">
        <v>705</v>
      </c>
      <c r="O55" s="1" t="s">
        <v>46</v>
      </c>
      <c r="P55" s="1" t="s">
        <v>47</v>
      </c>
      <c r="Q55" s="3"/>
      <c r="R55" s="1" t="s">
        <v>719</v>
      </c>
      <c r="S55" s="1" t="s">
        <v>720</v>
      </c>
      <c r="T55" s="3"/>
      <c r="U55" s="1" t="s">
        <v>50</v>
      </c>
      <c r="V55" s="3"/>
      <c r="W55" s="3"/>
      <c r="X55" s="2" t="s">
        <v>721</v>
      </c>
      <c r="Y55" s="3"/>
      <c r="Z55" s="1" t="s">
        <v>722</v>
      </c>
      <c r="AA55" s="5"/>
      <c r="AB55" s="5"/>
      <c r="AC55" s="1" t="s">
        <v>721</v>
      </c>
      <c r="AD55" s="1" t="s">
        <v>123</v>
      </c>
      <c r="AE55" s="1" t="s">
        <v>55</v>
      </c>
      <c r="AF55" s="1" t="s">
        <v>56</v>
      </c>
      <c r="AG55" s="1" t="s">
        <v>76</v>
      </c>
      <c r="AH55" s="1" t="s">
        <v>77</v>
      </c>
      <c r="AI55" s="3"/>
      <c r="AJ55" s="1" t="s">
        <v>59</v>
      </c>
      <c r="AK55" s="2" t="s">
        <v>723</v>
      </c>
      <c r="AL55" s="3"/>
      <c r="AM55" s="2" t="s">
        <v>724</v>
      </c>
      <c r="AN55" s="3"/>
      <c r="AO55" s="3"/>
    </row>
    <row r="56">
      <c r="A56" s="1">
        <v>62.0</v>
      </c>
      <c r="B56" s="1" t="s">
        <v>725</v>
      </c>
      <c r="C56" s="1" t="s">
        <v>701</v>
      </c>
      <c r="D56" s="2" t="s">
        <v>726</v>
      </c>
      <c r="E56" s="1" t="s">
        <v>258</v>
      </c>
      <c r="F56" s="1" t="s">
        <v>83</v>
      </c>
      <c r="G56" s="1" t="s">
        <v>133</v>
      </c>
      <c r="H56" s="3"/>
      <c r="I56" s="1" t="s">
        <v>727</v>
      </c>
      <c r="J56" s="1">
        <v>11.0</v>
      </c>
      <c r="K56" s="1" t="s">
        <v>728</v>
      </c>
      <c r="L56" s="1">
        <v>33270.0</v>
      </c>
      <c r="M56" s="1">
        <v>33167.0</v>
      </c>
      <c r="N56" s="1" t="s">
        <v>705</v>
      </c>
      <c r="O56" s="1" t="s">
        <v>46</v>
      </c>
      <c r="P56" s="1" t="s">
        <v>47</v>
      </c>
      <c r="Q56" s="3"/>
      <c r="R56" s="1" t="s">
        <v>729</v>
      </c>
      <c r="S56" s="1" t="s">
        <v>730</v>
      </c>
      <c r="T56" s="3"/>
      <c r="U56" s="1" t="s">
        <v>50</v>
      </c>
      <c r="V56" s="1">
        <v>5.5780906E8</v>
      </c>
      <c r="W56" s="3"/>
      <c r="X56" s="2" t="s">
        <v>731</v>
      </c>
      <c r="Y56" s="3"/>
      <c r="Z56" s="1" t="s">
        <v>732</v>
      </c>
      <c r="AA56" s="5"/>
      <c r="AB56" s="5"/>
      <c r="AC56" s="1" t="s">
        <v>731</v>
      </c>
      <c r="AD56" s="1" t="s">
        <v>733</v>
      </c>
      <c r="AE56" s="1" t="s">
        <v>55</v>
      </c>
      <c r="AF56" s="1" t="s">
        <v>56</v>
      </c>
      <c r="AG56" s="1" t="s">
        <v>76</v>
      </c>
      <c r="AH56" s="1" t="s">
        <v>95</v>
      </c>
      <c r="AI56" s="1" t="s">
        <v>125</v>
      </c>
      <c r="AJ56" s="1" t="s">
        <v>59</v>
      </c>
      <c r="AK56" s="2" t="s">
        <v>734</v>
      </c>
      <c r="AL56" s="3"/>
      <c r="AM56" s="2" t="s">
        <v>735</v>
      </c>
      <c r="AN56" s="3"/>
      <c r="AO56" s="3"/>
    </row>
    <row r="57">
      <c r="A57" s="1">
        <v>63.0</v>
      </c>
      <c r="B57" s="1" t="s">
        <v>736</v>
      </c>
      <c r="C57" s="3"/>
      <c r="D57" s="2" t="s">
        <v>737</v>
      </c>
      <c r="E57" s="1" t="s">
        <v>41</v>
      </c>
      <c r="F57" s="1" t="s">
        <v>42</v>
      </c>
      <c r="G57" s="1" t="s">
        <v>41</v>
      </c>
      <c r="H57" s="3"/>
      <c r="I57" s="1" t="s">
        <v>738</v>
      </c>
      <c r="J57" s="1">
        <v>1.0</v>
      </c>
      <c r="K57" s="1" t="s">
        <v>739</v>
      </c>
      <c r="L57" s="1">
        <v>33270.0</v>
      </c>
      <c r="M57" s="1">
        <v>33167.0</v>
      </c>
      <c r="N57" s="1" t="s">
        <v>705</v>
      </c>
      <c r="O57" s="1" t="s">
        <v>46</v>
      </c>
      <c r="P57" s="1" t="s">
        <v>47</v>
      </c>
      <c r="Q57" s="3"/>
      <c r="R57" s="1" t="s">
        <v>740</v>
      </c>
      <c r="S57" s="1" t="s">
        <v>741</v>
      </c>
      <c r="T57" s="3"/>
      <c r="U57" s="1" t="s">
        <v>50</v>
      </c>
      <c r="V57" s="1">
        <v>5.56326391E8</v>
      </c>
      <c r="W57" s="3"/>
      <c r="X57" s="2" t="s">
        <v>742</v>
      </c>
      <c r="Y57" s="3"/>
      <c r="Z57" s="1" t="s">
        <v>743</v>
      </c>
      <c r="AA57" s="4" t="s">
        <v>744</v>
      </c>
      <c r="AB57" s="5"/>
      <c r="AC57" s="1" t="s">
        <v>742</v>
      </c>
      <c r="AD57" s="1" t="s">
        <v>745</v>
      </c>
      <c r="AE57" s="1" t="s">
        <v>55</v>
      </c>
      <c r="AF57" s="1" t="s">
        <v>56</v>
      </c>
      <c r="AG57" s="1" t="s">
        <v>76</v>
      </c>
      <c r="AH57" s="1" t="s">
        <v>295</v>
      </c>
      <c r="AI57" s="1" t="s">
        <v>125</v>
      </c>
      <c r="AJ57" s="1" t="s">
        <v>59</v>
      </c>
      <c r="AK57" s="2" t="s">
        <v>746</v>
      </c>
      <c r="AL57" s="3"/>
      <c r="AM57" s="2" t="s">
        <v>747</v>
      </c>
      <c r="AN57" s="3"/>
      <c r="AO57" s="3"/>
    </row>
    <row r="58">
      <c r="A58" s="1">
        <v>68.0</v>
      </c>
      <c r="B58" s="1" t="s">
        <v>748</v>
      </c>
      <c r="C58" s="3"/>
      <c r="D58" s="2" t="s">
        <v>749</v>
      </c>
      <c r="E58" s="1" t="s">
        <v>114</v>
      </c>
      <c r="F58" s="1" t="s">
        <v>42</v>
      </c>
      <c r="G58" s="1" t="s">
        <v>41</v>
      </c>
      <c r="H58" s="3"/>
      <c r="I58" s="1" t="s">
        <v>750</v>
      </c>
      <c r="J58" s="1">
        <v>4.0</v>
      </c>
      <c r="K58" s="1" t="s">
        <v>751</v>
      </c>
      <c r="L58" s="1">
        <v>33310.0</v>
      </c>
      <c r="M58" s="1">
        <v>33249.0</v>
      </c>
      <c r="N58" s="1" t="s">
        <v>287</v>
      </c>
      <c r="O58" s="1" t="s">
        <v>46</v>
      </c>
      <c r="P58" s="1" t="s">
        <v>47</v>
      </c>
      <c r="Q58" s="3"/>
      <c r="R58" s="1" t="s">
        <v>752</v>
      </c>
      <c r="S58" s="1" t="s">
        <v>753</v>
      </c>
      <c r="T58" s="3"/>
      <c r="U58" s="1" t="s">
        <v>50</v>
      </c>
      <c r="V58" s="1">
        <v>5.35140186E8</v>
      </c>
      <c r="W58" s="3"/>
      <c r="X58" s="2" t="s">
        <v>754</v>
      </c>
      <c r="Y58" s="3"/>
      <c r="Z58" s="1" t="s">
        <v>755</v>
      </c>
      <c r="AA58" s="4" t="s">
        <v>756</v>
      </c>
      <c r="AB58" s="4" t="s">
        <v>757</v>
      </c>
      <c r="AC58" s="1" t="s">
        <v>754</v>
      </c>
      <c r="AD58" s="1" t="s">
        <v>758</v>
      </c>
      <c r="AE58" s="1" t="s">
        <v>55</v>
      </c>
      <c r="AF58" s="1" t="s">
        <v>56</v>
      </c>
      <c r="AG58" s="1" t="s">
        <v>109</v>
      </c>
      <c r="AH58" s="1" t="s">
        <v>295</v>
      </c>
      <c r="AI58" s="3"/>
      <c r="AJ58" s="1" t="s">
        <v>59</v>
      </c>
      <c r="AK58" s="2" t="s">
        <v>759</v>
      </c>
      <c r="AL58" s="1" t="s">
        <v>494</v>
      </c>
      <c r="AM58" s="2" t="s">
        <v>760</v>
      </c>
      <c r="AN58" s="3"/>
      <c r="AO58" s="3"/>
    </row>
    <row r="59">
      <c r="A59" s="1">
        <v>69.0</v>
      </c>
      <c r="B59" s="1" t="s">
        <v>761</v>
      </c>
      <c r="C59" s="3"/>
      <c r="D59" s="2" t="s">
        <v>762</v>
      </c>
      <c r="E59" s="1" t="s">
        <v>41</v>
      </c>
      <c r="F59" s="1" t="s">
        <v>42</v>
      </c>
      <c r="G59" s="1" t="s">
        <v>41</v>
      </c>
      <c r="H59" s="3"/>
      <c r="I59" s="1" t="s">
        <v>763</v>
      </c>
      <c r="J59" s="3"/>
      <c r="K59" s="3"/>
      <c r="L59" s="1">
        <v>33310.0</v>
      </c>
      <c r="M59" s="3"/>
      <c r="N59" s="1" t="s">
        <v>287</v>
      </c>
      <c r="O59" s="1" t="s">
        <v>46</v>
      </c>
      <c r="P59" s="1" t="s">
        <v>47</v>
      </c>
      <c r="Q59" s="3"/>
      <c r="R59" s="3"/>
      <c r="S59" s="3"/>
      <c r="T59" s="3"/>
      <c r="U59" s="1" t="s">
        <v>50</v>
      </c>
      <c r="V59" s="1">
        <v>6.38861556E8</v>
      </c>
      <c r="W59" s="3"/>
      <c r="X59" s="2" t="s">
        <v>764</v>
      </c>
      <c r="Y59" s="3"/>
      <c r="Z59" s="1" t="s">
        <v>765</v>
      </c>
      <c r="AA59" s="4" t="s">
        <v>766</v>
      </c>
      <c r="AB59" s="4" t="s">
        <v>767</v>
      </c>
      <c r="AC59" s="1" t="s">
        <v>764</v>
      </c>
      <c r="AD59" s="3"/>
      <c r="AE59" s="1" t="s">
        <v>768</v>
      </c>
      <c r="AF59" s="1" t="s">
        <v>56</v>
      </c>
      <c r="AG59" s="1" t="s">
        <v>76</v>
      </c>
      <c r="AH59" s="1" t="s">
        <v>77</v>
      </c>
      <c r="AI59" s="3"/>
      <c r="AJ59" s="1" t="s">
        <v>59</v>
      </c>
      <c r="AK59" s="2" t="s">
        <v>769</v>
      </c>
      <c r="AL59" s="3"/>
      <c r="AM59" s="5"/>
      <c r="AN59" s="3"/>
      <c r="AO59" s="3"/>
    </row>
    <row r="60">
      <c r="A60" s="1">
        <v>70.0</v>
      </c>
      <c r="B60" s="1" t="s">
        <v>770</v>
      </c>
      <c r="C60" s="1" t="s">
        <v>771</v>
      </c>
      <c r="D60" s="2" t="s">
        <v>772</v>
      </c>
      <c r="E60" s="1" t="s">
        <v>132</v>
      </c>
      <c r="F60" s="1" t="s">
        <v>83</v>
      </c>
      <c r="G60" s="1" t="s">
        <v>133</v>
      </c>
      <c r="H60" s="3"/>
      <c r="I60" s="1" t="s">
        <v>773</v>
      </c>
      <c r="J60" s="1">
        <v>1.0</v>
      </c>
      <c r="K60" s="1" t="s">
        <v>774</v>
      </c>
      <c r="L60" s="1">
        <v>33310.0</v>
      </c>
      <c r="M60" s="1">
        <v>33249.0</v>
      </c>
      <c r="N60" s="1" t="s">
        <v>287</v>
      </c>
      <c r="O60" s="1" t="s">
        <v>46</v>
      </c>
      <c r="P60" s="1" t="s">
        <v>47</v>
      </c>
      <c r="Q60" s="3"/>
      <c r="R60" s="1" t="s">
        <v>775</v>
      </c>
      <c r="S60" s="1" t="s">
        <v>776</v>
      </c>
      <c r="T60" s="3"/>
      <c r="U60" s="1" t="s">
        <v>50</v>
      </c>
      <c r="V60" s="1">
        <v>5.5674598E8</v>
      </c>
      <c r="W60" s="3"/>
      <c r="X60" s="2" t="s">
        <v>777</v>
      </c>
      <c r="Y60" s="3"/>
      <c r="Z60" s="1" t="s">
        <v>778</v>
      </c>
      <c r="AA60" s="4" t="s">
        <v>779</v>
      </c>
      <c r="AB60" s="5"/>
      <c r="AC60" s="1" t="s">
        <v>777</v>
      </c>
      <c r="AD60" s="1" t="s">
        <v>780</v>
      </c>
      <c r="AE60" s="1" t="s">
        <v>55</v>
      </c>
      <c r="AF60" s="1" t="s">
        <v>56</v>
      </c>
      <c r="AG60" s="1" t="s">
        <v>76</v>
      </c>
      <c r="AH60" s="1" t="s">
        <v>295</v>
      </c>
      <c r="AI60" s="1" t="s">
        <v>125</v>
      </c>
      <c r="AJ60" s="1" t="s">
        <v>59</v>
      </c>
      <c r="AK60" s="2" t="s">
        <v>781</v>
      </c>
      <c r="AL60" s="3"/>
      <c r="AM60" s="2" t="s">
        <v>782</v>
      </c>
      <c r="AN60" s="3"/>
      <c r="AO60" s="3"/>
    </row>
    <row r="61">
      <c r="A61" s="1">
        <v>72.0</v>
      </c>
      <c r="B61" s="1" t="s">
        <v>783</v>
      </c>
      <c r="C61" s="1" t="s">
        <v>784</v>
      </c>
      <c r="D61" s="2" t="s">
        <v>785</v>
      </c>
      <c r="E61" s="1" t="s">
        <v>132</v>
      </c>
      <c r="F61" s="1" t="s">
        <v>83</v>
      </c>
      <c r="G61" s="1" t="s">
        <v>133</v>
      </c>
      <c r="H61" s="3"/>
      <c r="I61" s="1" t="s">
        <v>786</v>
      </c>
      <c r="J61" s="1">
        <v>58.0</v>
      </c>
      <c r="K61" s="1" t="s">
        <v>787</v>
      </c>
      <c r="L61" s="1">
        <v>33130.0</v>
      </c>
      <c r="M61" s="1">
        <v>33039.0</v>
      </c>
      <c r="N61" s="1" t="s">
        <v>315</v>
      </c>
      <c r="O61" s="1" t="s">
        <v>46</v>
      </c>
      <c r="P61" s="1" t="s">
        <v>47</v>
      </c>
      <c r="Q61" s="3"/>
      <c r="R61" s="1" t="s">
        <v>788</v>
      </c>
      <c r="S61" s="1" t="s">
        <v>789</v>
      </c>
      <c r="T61" s="3"/>
      <c r="U61" s="1" t="s">
        <v>50</v>
      </c>
      <c r="V61" s="1">
        <v>5.56495481E8</v>
      </c>
      <c r="W61" s="3"/>
      <c r="X61" s="2" t="s">
        <v>790</v>
      </c>
      <c r="Y61" s="3"/>
      <c r="Z61" s="1" t="s">
        <v>791</v>
      </c>
      <c r="AA61" s="4" t="s">
        <v>792</v>
      </c>
      <c r="AB61" s="4" t="s">
        <v>793</v>
      </c>
      <c r="AC61" s="1" t="s">
        <v>790</v>
      </c>
      <c r="AD61" s="1" t="s">
        <v>794</v>
      </c>
      <c r="AE61" s="1" t="s">
        <v>55</v>
      </c>
      <c r="AF61" s="1" t="s">
        <v>56</v>
      </c>
      <c r="AG61" s="1" t="s">
        <v>76</v>
      </c>
      <c r="AH61" s="1" t="s">
        <v>95</v>
      </c>
      <c r="AI61" s="1" t="s">
        <v>125</v>
      </c>
      <c r="AJ61" s="1" t="s">
        <v>59</v>
      </c>
      <c r="AK61" s="2" t="s">
        <v>795</v>
      </c>
      <c r="AL61" s="3"/>
      <c r="AM61" s="2" t="s">
        <v>796</v>
      </c>
      <c r="AN61" s="3"/>
      <c r="AO61" s="3"/>
    </row>
    <row r="62">
      <c r="A62" s="1">
        <v>79.0</v>
      </c>
      <c r="B62" s="1" t="s">
        <v>797</v>
      </c>
      <c r="C62" s="3"/>
      <c r="D62" s="2" t="s">
        <v>798</v>
      </c>
      <c r="E62" s="1" t="s">
        <v>41</v>
      </c>
      <c r="F62" s="1" t="s">
        <v>42</v>
      </c>
      <c r="G62" s="1" t="s">
        <v>41</v>
      </c>
      <c r="H62" s="3"/>
      <c r="I62" s="1" t="s">
        <v>799</v>
      </c>
      <c r="J62" s="3"/>
      <c r="K62" s="1" t="s">
        <v>380</v>
      </c>
      <c r="L62" s="1">
        <v>33600.0</v>
      </c>
      <c r="M62" s="1">
        <v>33318.0</v>
      </c>
      <c r="N62" s="1" t="s">
        <v>381</v>
      </c>
      <c r="O62" s="1" t="s">
        <v>46</v>
      </c>
      <c r="P62" s="1" t="s">
        <v>47</v>
      </c>
      <c r="Q62" s="1" t="s">
        <v>800</v>
      </c>
      <c r="R62" s="1" t="s">
        <v>801</v>
      </c>
      <c r="S62" s="1" t="s">
        <v>802</v>
      </c>
      <c r="T62" s="3"/>
      <c r="U62" s="1" t="s">
        <v>50</v>
      </c>
      <c r="V62" s="1">
        <v>5.56153026E8</v>
      </c>
      <c r="W62" s="3"/>
      <c r="X62" s="2" t="s">
        <v>803</v>
      </c>
      <c r="Y62" s="3"/>
      <c r="Z62" s="1" t="s">
        <v>804</v>
      </c>
      <c r="AA62" s="4" t="s">
        <v>805</v>
      </c>
      <c r="AB62" s="5"/>
      <c r="AC62" s="1" t="s">
        <v>803</v>
      </c>
      <c r="AD62" s="1" t="s">
        <v>806</v>
      </c>
      <c r="AE62" s="1" t="s">
        <v>55</v>
      </c>
      <c r="AF62" s="1" t="s">
        <v>56</v>
      </c>
      <c r="AG62" s="1" t="s">
        <v>109</v>
      </c>
      <c r="AH62" s="1" t="s">
        <v>95</v>
      </c>
      <c r="AI62" s="3"/>
      <c r="AJ62" s="1" t="s">
        <v>96</v>
      </c>
      <c r="AK62" s="2" t="s">
        <v>807</v>
      </c>
      <c r="AL62" s="3"/>
      <c r="AM62" s="2" t="s">
        <v>808</v>
      </c>
      <c r="AN62" s="3"/>
      <c r="AO62" s="3"/>
    </row>
    <row r="63">
      <c r="A63" s="1">
        <v>83.0</v>
      </c>
      <c r="B63" s="1" t="s">
        <v>809</v>
      </c>
      <c r="C63" s="3"/>
      <c r="D63" s="2" t="s">
        <v>810</v>
      </c>
      <c r="E63" s="1" t="s">
        <v>41</v>
      </c>
      <c r="F63" s="1" t="s">
        <v>42</v>
      </c>
      <c r="G63" s="1" t="s">
        <v>41</v>
      </c>
      <c r="H63" s="3"/>
      <c r="I63" s="1" t="s">
        <v>811</v>
      </c>
      <c r="J63" s="1">
        <v>91.0</v>
      </c>
      <c r="K63" s="1" t="s">
        <v>812</v>
      </c>
      <c r="L63" s="1">
        <v>33400.0</v>
      </c>
      <c r="M63" s="1">
        <v>33522.0</v>
      </c>
      <c r="N63" s="1" t="s">
        <v>395</v>
      </c>
      <c r="O63" s="1" t="s">
        <v>46</v>
      </c>
      <c r="P63" s="1" t="s">
        <v>47</v>
      </c>
      <c r="Q63" s="3"/>
      <c r="R63" s="1" t="s">
        <v>813</v>
      </c>
      <c r="S63" s="1" t="s">
        <v>814</v>
      </c>
      <c r="T63" s="3"/>
      <c r="U63" s="1" t="s">
        <v>50</v>
      </c>
      <c r="V63" s="1">
        <v>5.56041375E8</v>
      </c>
      <c r="W63" s="3"/>
      <c r="X63" s="2" t="s">
        <v>815</v>
      </c>
      <c r="Y63" s="3"/>
      <c r="Z63" s="1" t="s">
        <v>816</v>
      </c>
      <c r="AA63" s="4" t="s">
        <v>817</v>
      </c>
      <c r="AB63" s="5"/>
      <c r="AC63" s="1" t="s">
        <v>815</v>
      </c>
      <c r="AD63" s="1" t="s">
        <v>818</v>
      </c>
      <c r="AE63" s="1" t="s">
        <v>55</v>
      </c>
      <c r="AF63" s="1" t="s">
        <v>56</v>
      </c>
      <c r="AG63" s="1" t="s">
        <v>76</v>
      </c>
      <c r="AH63" s="1" t="s">
        <v>295</v>
      </c>
      <c r="AI63" s="1" t="s">
        <v>125</v>
      </c>
      <c r="AJ63" s="1" t="s">
        <v>96</v>
      </c>
      <c r="AK63" s="2" t="s">
        <v>819</v>
      </c>
      <c r="AL63" s="3"/>
      <c r="AM63" s="2" t="s">
        <v>820</v>
      </c>
      <c r="AN63" s="3"/>
      <c r="AO63" s="3"/>
    </row>
    <row r="64">
      <c r="A64" s="1">
        <v>84.0</v>
      </c>
      <c r="B64" s="1" t="s">
        <v>821</v>
      </c>
      <c r="C64" s="3"/>
      <c r="D64" s="2" t="s">
        <v>822</v>
      </c>
      <c r="E64" s="1" t="s">
        <v>258</v>
      </c>
      <c r="F64" s="1" t="s">
        <v>83</v>
      </c>
      <c r="G64" s="1" t="s">
        <v>133</v>
      </c>
      <c r="H64" s="3"/>
      <c r="I64" s="1" t="s">
        <v>823</v>
      </c>
      <c r="J64" s="3"/>
      <c r="K64" s="1" t="s">
        <v>823</v>
      </c>
      <c r="L64" s="1">
        <v>33400.0</v>
      </c>
      <c r="M64" s="1">
        <v>33522.0</v>
      </c>
      <c r="N64" s="1" t="s">
        <v>395</v>
      </c>
      <c r="O64" s="1" t="s">
        <v>46</v>
      </c>
      <c r="P64" s="1" t="s">
        <v>47</v>
      </c>
      <c r="Q64" s="3"/>
      <c r="R64" s="1" t="s">
        <v>824</v>
      </c>
      <c r="S64" s="1" t="s">
        <v>825</v>
      </c>
      <c r="T64" s="3"/>
      <c r="U64" s="1" t="s">
        <v>50</v>
      </c>
      <c r="V64" s="1">
        <v>5.56847871E8</v>
      </c>
      <c r="W64" s="3"/>
      <c r="X64" s="2" t="s">
        <v>826</v>
      </c>
      <c r="Y64" s="3"/>
      <c r="Z64" s="1" t="s">
        <v>827</v>
      </c>
      <c r="AA64" s="4" t="s">
        <v>828</v>
      </c>
      <c r="AB64" s="5"/>
      <c r="AC64" s="1" t="s">
        <v>826</v>
      </c>
      <c r="AD64" s="1" t="s">
        <v>829</v>
      </c>
      <c r="AE64" s="1" t="s">
        <v>830</v>
      </c>
      <c r="AF64" s="1" t="s">
        <v>56</v>
      </c>
      <c r="AG64" s="1" t="s">
        <v>109</v>
      </c>
      <c r="AH64" s="1" t="s">
        <v>95</v>
      </c>
      <c r="AI64" s="1" t="s">
        <v>125</v>
      </c>
      <c r="AJ64" s="1" t="s">
        <v>96</v>
      </c>
      <c r="AK64" s="2" t="s">
        <v>831</v>
      </c>
      <c r="AL64" s="3"/>
      <c r="AM64" s="2" t="s">
        <v>832</v>
      </c>
      <c r="AN64" s="3"/>
      <c r="AO64" s="3"/>
    </row>
    <row r="65">
      <c r="A65" s="1">
        <v>90.0</v>
      </c>
      <c r="B65" s="1" t="s">
        <v>833</v>
      </c>
      <c r="C65" s="1" t="s">
        <v>391</v>
      </c>
      <c r="D65" s="2" t="s">
        <v>834</v>
      </c>
      <c r="E65" s="1" t="s">
        <v>258</v>
      </c>
      <c r="F65" s="1" t="s">
        <v>83</v>
      </c>
      <c r="G65" s="1" t="s">
        <v>133</v>
      </c>
      <c r="H65" s="3"/>
      <c r="I65" s="1" t="s">
        <v>835</v>
      </c>
      <c r="J65" s="1">
        <v>23.0</v>
      </c>
      <c r="K65" s="1" t="s">
        <v>394</v>
      </c>
      <c r="L65" s="1">
        <v>33400.0</v>
      </c>
      <c r="M65" s="1">
        <v>33522.0</v>
      </c>
      <c r="N65" s="1" t="s">
        <v>395</v>
      </c>
      <c r="O65" s="1" t="s">
        <v>46</v>
      </c>
      <c r="P65" s="1" t="s">
        <v>47</v>
      </c>
      <c r="Q65" s="3"/>
      <c r="R65" s="1" t="s">
        <v>836</v>
      </c>
      <c r="S65" s="1" t="s">
        <v>837</v>
      </c>
      <c r="T65" s="3"/>
      <c r="U65" s="1" t="s">
        <v>50</v>
      </c>
      <c r="V65" s="1">
        <v>5.56847895E8</v>
      </c>
      <c r="W65" s="3"/>
      <c r="X65" s="2" t="s">
        <v>838</v>
      </c>
      <c r="Y65" s="3"/>
      <c r="Z65" s="1" t="s">
        <v>839</v>
      </c>
      <c r="AA65" s="4" t="s">
        <v>840</v>
      </c>
      <c r="AB65" s="5"/>
      <c r="AC65" s="1" t="s">
        <v>838</v>
      </c>
      <c r="AD65" s="1" t="s">
        <v>841</v>
      </c>
      <c r="AE65" s="1" t="s">
        <v>156</v>
      </c>
      <c r="AF65" s="3"/>
      <c r="AG65" s="1" t="s">
        <v>76</v>
      </c>
      <c r="AH65" s="1" t="s">
        <v>95</v>
      </c>
      <c r="AI65" s="1" t="s">
        <v>125</v>
      </c>
      <c r="AJ65" s="1" t="s">
        <v>96</v>
      </c>
      <c r="AK65" s="2" t="s">
        <v>842</v>
      </c>
      <c r="AL65" s="3"/>
      <c r="AM65" s="2" t="s">
        <v>843</v>
      </c>
      <c r="AN65" s="3"/>
      <c r="AO65" s="3"/>
    </row>
    <row r="66">
      <c r="A66" s="1">
        <v>95.0</v>
      </c>
      <c r="B66" s="1" t="s">
        <v>844</v>
      </c>
      <c r="C66" s="1" t="s">
        <v>845</v>
      </c>
      <c r="D66" s="2" t="s">
        <v>846</v>
      </c>
      <c r="E66" s="1" t="s">
        <v>258</v>
      </c>
      <c r="F66" s="1" t="s">
        <v>83</v>
      </c>
      <c r="G66" s="1" t="s">
        <v>133</v>
      </c>
      <c r="H66" s="3"/>
      <c r="I66" s="1" t="s">
        <v>847</v>
      </c>
      <c r="J66" s="1">
        <v>2.0</v>
      </c>
      <c r="K66" s="1" t="s">
        <v>433</v>
      </c>
      <c r="L66" s="1">
        <v>33320.0</v>
      </c>
      <c r="M66" s="1">
        <v>33162.0</v>
      </c>
      <c r="N66" s="1" t="s">
        <v>848</v>
      </c>
      <c r="O66" s="1" t="s">
        <v>46</v>
      </c>
      <c r="P66" s="1" t="s">
        <v>47</v>
      </c>
      <c r="Q66" s="3"/>
      <c r="R66" s="1" t="s">
        <v>849</v>
      </c>
      <c r="S66" s="1" t="s">
        <v>850</v>
      </c>
      <c r="T66" s="3"/>
      <c r="U66" s="1" t="s">
        <v>50</v>
      </c>
      <c r="V66" s="1">
        <v>5.56289217E8</v>
      </c>
      <c r="W66" s="1">
        <v>7.77260921E8</v>
      </c>
      <c r="X66" s="2" t="s">
        <v>851</v>
      </c>
      <c r="Y66" s="3"/>
      <c r="Z66" s="1" t="s">
        <v>852</v>
      </c>
      <c r="AA66" s="4" t="s">
        <v>853</v>
      </c>
      <c r="AB66" s="4" t="s">
        <v>854</v>
      </c>
      <c r="AC66" s="1" t="s">
        <v>851</v>
      </c>
      <c r="AD66" s="1" t="s">
        <v>855</v>
      </c>
      <c r="AE66" s="1" t="s">
        <v>55</v>
      </c>
      <c r="AF66" s="1" t="s">
        <v>56</v>
      </c>
      <c r="AG66" s="1" t="s">
        <v>76</v>
      </c>
      <c r="AH66" s="1" t="s">
        <v>295</v>
      </c>
      <c r="AI66" s="1" t="s">
        <v>125</v>
      </c>
      <c r="AJ66" s="1" t="s">
        <v>59</v>
      </c>
      <c r="AK66" s="2" t="s">
        <v>856</v>
      </c>
      <c r="AL66" s="1" t="s">
        <v>127</v>
      </c>
      <c r="AM66" s="2" t="s">
        <v>857</v>
      </c>
      <c r="AN66" s="3"/>
      <c r="AO66" s="3"/>
    </row>
    <row r="67">
      <c r="A67" s="1">
        <v>96.0</v>
      </c>
      <c r="B67" s="1" t="s">
        <v>858</v>
      </c>
      <c r="C67" s="1" t="s">
        <v>845</v>
      </c>
      <c r="D67" s="2" t="s">
        <v>846</v>
      </c>
      <c r="E67" s="1" t="s">
        <v>258</v>
      </c>
      <c r="F67" s="1" t="s">
        <v>83</v>
      </c>
      <c r="G67" s="1" t="s">
        <v>133</v>
      </c>
      <c r="H67" s="3"/>
      <c r="I67" s="1" t="s">
        <v>859</v>
      </c>
      <c r="J67" s="1">
        <v>10.0</v>
      </c>
      <c r="K67" s="1" t="s">
        <v>860</v>
      </c>
      <c r="L67" s="1">
        <v>33320.0</v>
      </c>
      <c r="M67" s="1">
        <v>33162.0</v>
      </c>
      <c r="N67" s="1" t="s">
        <v>848</v>
      </c>
      <c r="O67" s="1" t="s">
        <v>46</v>
      </c>
      <c r="P67" s="1" t="s">
        <v>47</v>
      </c>
      <c r="Q67" s="3"/>
      <c r="R67" s="1" t="s">
        <v>861</v>
      </c>
      <c r="S67" s="1" t="s">
        <v>862</v>
      </c>
      <c r="T67" s="3"/>
      <c r="U67" s="1" t="s">
        <v>50</v>
      </c>
      <c r="V67" s="1">
        <v>5.56289076E8</v>
      </c>
      <c r="W67" s="1">
        <v>7.77260922E8</v>
      </c>
      <c r="X67" s="2" t="s">
        <v>863</v>
      </c>
      <c r="Y67" s="3"/>
      <c r="Z67" s="1" t="s">
        <v>852</v>
      </c>
      <c r="AA67" s="4" t="s">
        <v>853</v>
      </c>
      <c r="AB67" s="4" t="s">
        <v>854</v>
      </c>
      <c r="AC67" s="1" t="s">
        <v>864</v>
      </c>
      <c r="AD67" s="1" t="s">
        <v>865</v>
      </c>
      <c r="AE67" s="1" t="s">
        <v>55</v>
      </c>
      <c r="AF67" s="1" t="s">
        <v>56</v>
      </c>
      <c r="AG67" s="1" t="s">
        <v>76</v>
      </c>
      <c r="AH67" s="1" t="s">
        <v>295</v>
      </c>
      <c r="AI67" s="1" t="s">
        <v>125</v>
      </c>
      <c r="AJ67" s="1" t="s">
        <v>59</v>
      </c>
      <c r="AK67" s="2" t="s">
        <v>856</v>
      </c>
      <c r="AL67" s="1" t="s">
        <v>127</v>
      </c>
      <c r="AM67" s="2" t="s">
        <v>866</v>
      </c>
      <c r="AN67" s="3"/>
      <c r="AO67" s="3"/>
    </row>
    <row r="68">
      <c r="A68" s="1">
        <v>97.0</v>
      </c>
      <c r="B68" s="1" t="s">
        <v>867</v>
      </c>
      <c r="C68" s="1" t="s">
        <v>845</v>
      </c>
      <c r="D68" s="2" t="s">
        <v>868</v>
      </c>
      <c r="E68" s="1" t="s">
        <v>132</v>
      </c>
      <c r="F68" s="1" t="s">
        <v>83</v>
      </c>
      <c r="G68" s="1" t="s">
        <v>133</v>
      </c>
      <c r="H68" s="3"/>
      <c r="I68" s="1" t="s">
        <v>869</v>
      </c>
      <c r="J68" s="1">
        <v>2.0</v>
      </c>
      <c r="K68" s="1" t="s">
        <v>870</v>
      </c>
      <c r="L68" s="1">
        <v>33320.0</v>
      </c>
      <c r="M68" s="3"/>
      <c r="N68" s="1" t="s">
        <v>848</v>
      </c>
      <c r="O68" s="1" t="s">
        <v>46</v>
      </c>
      <c r="P68" s="1" t="s">
        <v>47</v>
      </c>
      <c r="Q68" s="3"/>
      <c r="R68" s="3"/>
      <c r="S68" s="3"/>
      <c r="T68" s="3"/>
      <c r="U68" s="1" t="s">
        <v>50</v>
      </c>
      <c r="V68" s="1">
        <v>5.56578486E8</v>
      </c>
      <c r="W68" s="3"/>
      <c r="X68" s="2" t="s">
        <v>871</v>
      </c>
      <c r="Y68" s="3"/>
      <c r="Z68" s="1" t="s">
        <v>872</v>
      </c>
      <c r="AA68" s="4" t="s">
        <v>873</v>
      </c>
      <c r="AB68" s="4" t="s">
        <v>874</v>
      </c>
      <c r="AC68" s="1" t="s">
        <v>871</v>
      </c>
      <c r="AD68" s="1" t="s">
        <v>875</v>
      </c>
      <c r="AE68" s="1" t="s">
        <v>156</v>
      </c>
      <c r="AF68" s="3"/>
      <c r="AG68" s="1" t="s">
        <v>57</v>
      </c>
      <c r="AH68" s="1" t="s">
        <v>95</v>
      </c>
      <c r="AI68" s="1" t="s">
        <v>125</v>
      </c>
      <c r="AJ68" s="1" t="s">
        <v>96</v>
      </c>
      <c r="AK68" s="2" t="s">
        <v>876</v>
      </c>
      <c r="AL68" s="3"/>
      <c r="AM68" s="5"/>
      <c r="AN68" s="3"/>
      <c r="AO68" s="3"/>
    </row>
    <row r="69">
      <c r="A69" s="1">
        <v>99.0</v>
      </c>
      <c r="B69" s="1" t="s">
        <v>877</v>
      </c>
      <c r="C69" s="3"/>
      <c r="D69" s="2" t="s">
        <v>878</v>
      </c>
      <c r="E69" s="1" t="s">
        <v>41</v>
      </c>
      <c r="F69" s="1" t="s">
        <v>42</v>
      </c>
      <c r="G69" s="1" t="s">
        <v>41</v>
      </c>
      <c r="H69" s="3"/>
      <c r="I69" s="1" t="s">
        <v>879</v>
      </c>
      <c r="J69" s="1">
        <v>8.0</v>
      </c>
      <c r="K69" s="1" t="s">
        <v>880</v>
      </c>
      <c r="L69" s="1">
        <v>33110.0</v>
      </c>
      <c r="M69" s="1">
        <v>33069.0</v>
      </c>
      <c r="N69" s="1" t="s">
        <v>881</v>
      </c>
      <c r="O69" s="1" t="s">
        <v>46</v>
      </c>
      <c r="P69" s="1" t="s">
        <v>47</v>
      </c>
      <c r="Q69" s="3"/>
      <c r="R69" s="1" t="s">
        <v>882</v>
      </c>
      <c r="S69" s="1" t="s">
        <v>883</v>
      </c>
      <c r="T69" s="3"/>
      <c r="U69" s="1" t="s">
        <v>50</v>
      </c>
      <c r="V69" s="1">
        <v>5.56072048E8</v>
      </c>
      <c r="W69" s="3"/>
      <c r="X69" s="2" t="s">
        <v>884</v>
      </c>
      <c r="Y69" s="3"/>
      <c r="Z69" s="1" t="s">
        <v>885</v>
      </c>
      <c r="AA69" s="4" t="s">
        <v>886</v>
      </c>
      <c r="AB69" s="4" t="s">
        <v>887</v>
      </c>
      <c r="AC69" s="1" t="s">
        <v>884</v>
      </c>
      <c r="AD69" s="1" t="s">
        <v>888</v>
      </c>
      <c r="AE69" s="1" t="s">
        <v>830</v>
      </c>
      <c r="AF69" s="1" t="s">
        <v>56</v>
      </c>
      <c r="AG69" s="1" t="s">
        <v>76</v>
      </c>
      <c r="AH69" s="1" t="s">
        <v>95</v>
      </c>
      <c r="AI69" s="1" t="s">
        <v>125</v>
      </c>
      <c r="AJ69" s="1" t="s">
        <v>59</v>
      </c>
      <c r="AK69" s="2" t="s">
        <v>889</v>
      </c>
      <c r="AL69" s="3"/>
      <c r="AM69" s="2" t="s">
        <v>890</v>
      </c>
      <c r="AN69" s="3"/>
      <c r="AO69" s="3"/>
    </row>
    <row r="70">
      <c r="A70" s="1">
        <v>101.0</v>
      </c>
      <c r="B70" s="1" t="s">
        <v>891</v>
      </c>
      <c r="C70" s="3"/>
      <c r="D70" s="2" t="s">
        <v>892</v>
      </c>
      <c r="E70" s="1" t="s">
        <v>114</v>
      </c>
      <c r="F70" s="1" t="s">
        <v>83</v>
      </c>
      <c r="G70" s="1" t="s">
        <v>133</v>
      </c>
      <c r="H70" s="3"/>
      <c r="I70" s="1" t="s">
        <v>893</v>
      </c>
      <c r="J70" s="1">
        <v>58.0</v>
      </c>
      <c r="K70" s="1" t="s">
        <v>894</v>
      </c>
      <c r="L70" s="1">
        <v>33185.0</v>
      </c>
      <c r="M70" s="1">
        <v>33200.0</v>
      </c>
      <c r="N70" s="1" t="s">
        <v>895</v>
      </c>
      <c r="O70" s="1" t="s">
        <v>46</v>
      </c>
      <c r="P70" s="1" t="s">
        <v>47</v>
      </c>
      <c r="Q70" s="3"/>
      <c r="R70" s="1" t="s">
        <v>896</v>
      </c>
      <c r="S70" s="1" t="s">
        <v>897</v>
      </c>
      <c r="T70" s="3"/>
      <c r="U70" s="1" t="s">
        <v>50</v>
      </c>
      <c r="V70" s="1">
        <v>5.5634941E8</v>
      </c>
      <c r="W70" s="3"/>
      <c r="X70" s="2" t="s">
        <v>898</v>
      </c>
      <c r="Y70" s="3"/>
      <c r="Z70" s="1" t="s">
        <v>899</v>
      </c>
      <c r="AA70" s="4" t="s">
        <v>900</v>
      </c>
      <c r="AB70" s="4" t="s">
        <v>901</v>
      </c>
      <c r="AC70" s="1" t="s">
        <v>898</v>
      </c>
      <c r="AD70" s="1" t="s">
        <v>902</v>
      </c>
      <c r="AE70" s="1" t="s">
        <v>156</v>
      </c>
      <c r="AF70" s="1" t="s">
        <v>56</v>
      </c>
      <c r="AG70" s="1" t="s">
        <v>109</v>
      </c>
      <c r="AH70" s="1" t="s">
        <v>295</v>
      </c>
      <c r="AI70" s="1" t="s">
        <v>125</v>
      </c>
      <c r="AJ70" s="1" t="s">
        <v>96</v>
      </c>
      <c r="AK70" s="2" t="s">
        <v>903</v>
      </c>
      <c r="AL70" s="1" t="s">
        <v>494</v>
      </c>
      <c r="AM70" s="2" t="s">
        <v>904</v>
      </c>
      <c r="AN70" s="3"/>
      <c r="AO70" s="3"/>
    </row>
    <row r="71">
      <c r="A71" s="1">
        <v>102.0</v>
      </c>
      <c r="B71" s="1" t="s">
        <v>905</v>
      </c>
      <c r="C71" s="1" t="s">
        <v>906</v>
      </c>
      <c r="D71" s="2" t="s">
        <v>907</v>
      </c>
      <c r="E71" s="1" t="s">
        <v>132</v>
      </c>
      <c r="F71" s="1" t="s">
        <v>83</v>
      </c>
      <c r="G71" s="1" t="s">
        <v>133</v>
      </c>
      <c r="H71" s="3"/>
      <c r="I71" s="1" t="s">
        <v>908</v>
      </c>
      <c r="J71" s="1">
        <v>8.0</v>
      </c>
      <c r="K71" s="1" t="s">
        <v>909</v>
      </c>
      <c r="L71" s="1">
        <v>33320.0</v>
      </c>
      <c r="M71" s="1">
        <v>33519.0</v>
      </c>
      <c r="N71" s="1" t="s">
        <v>910</v>
      </c>
      <c r="O71" s="1" t="s">
        <v>46</v>
      </c>
      <c r="P71" s="1" t="s">
        <v>47</v>
      </c>
      <c r="Q71" s="3"/>
      <c r="R71" s="1" t="s">
        <v>911</v>
      </c>
      <c r="S71" s="1" t="s">
        <v>912</v>
      </c>
      <c r="T71" s="3"/>
      <c r="U71" s="1" t="s">
        <v>50</v>
      </c>
      <c r="V71" s="1">
        <v>5.56356096E8</v>
      </c>
      <c r="W71" s="3"/>
      <c r="X71" s="2" t="s">
        <v>913</v>
      </c>
      <c r="Y71" s="3"/>
      <c r="Z71" s="1" t="s">
        <v>914</v>
      </c>
      <c r="AA71" s="4" t="s">
        <v>915</v>
      </c>
      <c r="AB71" s="2" t="s">
        <v>916</v>
      </c>
      <c r="AC71" s="1" t="s">
        <v>913</v>
      </c>
      <c r="AD71" s="1" t="s">
        <v>917</v>
      </c>
      <c r="AE71" s="1" t="s">
        <v>672</v>
      </c>
      <c r="AF71" s="1" t="s">
        <v>56</v>
      </c>
      <c r="AG71" s="1" t="s">
        <v>57</v>
      </c>
      <c r="AH71" s="1" t="s">
        <v>58</v>
      </c>
      <c r="AI71" s="1" t="s">
        <v>125</v>
      </c>
      <c r="AJ71" s="1" t="s">
        <v>96</v>
      </c>
      <c r="AK71" s="2" t="s">
        <v>918</v>
      </c>
      <c r="AL71" s="3"/>
      <c r="AM71" s="2" t="s">
        <v>919</v>
      </c>
      <c r="AN71" s="3"/>
      <c r="AO71" s="3"/>
    </row>
    <row r="72">
      <c r="A72" s="1">
        <v>104.0</v>
      </c>
      <c r="B72" s="1" t="s">
        <v>920</v>
      </c>
      <c r="C72" s="3"/>
      <c r="D72" s="2" t="s">
        <v>921</v>
      </c>
      <c r="E72" s="1" t="s">
        <v>41</v>
      </c>
      <c r="F72" s="1" t="s">
        <v>42</v>
      </c>
      <c r="G72" s="1" t="s">
        <v>41</v>
      </c>
      <c r="H72" s="3"/>
      <c r="I72" s="1" t="s">
        <v>922</v>
      </c>
      <c r="J72" s="1">
        <v>55.0</v>
      </c>
      <c r="K72" s="1" t="s">
        <v>787</v>
      </c>
      <c r="L72" s="1">
        <v>33700.0</v>
      </c>
      <c r="M72" s="1">
        <v>33281.0</v>
      </c>
      <c r="N72" s="1" t="s">
        <v>446</v>
      </c>
      <c r="O72" s="1" t="s">
        <v>46</v>
      </c>
      <c r="P72" s="1" t="s">
        <v>47</v>
      </c>
      <c r="Q72" s="3"/>
      <c r="R72" s="1" t="s">
        <v>923</v>
      </c>
      <c r="S72" s="1" t="s">
        <v>924</v>
      </c>
      <c r="T72" s="3"/>
      <c r="U72" s="1" t="s">
        <v>50</v>
      </c>
      <c r="V72" s="1">
        <v>5.5700151E8</v>
      </c>
      <c r="W72" s="3"/>
      <c r="X72" s="2" t="s">
        <v>925</v>
      </c>
      <c r="Y72" s="3"/>
      <c r="Z72" s="1" t="s">
        <v>926</v>
      </c>
      <c r="AA72" s="4" t="s">
        <v>927</v>
      </c>
      <c r="AB72" s="5"/>
      <c r="AC72" s="1" t="s">
        <v>925</v>
      </c>
      <c r="AD72" s="1" t="s">
        <v>928</v>
      </c>
      <c r="AE72" s="1" t="s">
        <v>75</v>
      </c>
      <c r="AF72" s="1" t="s">
        <v>56</v>
      </c>
      <c r="AG72" s="1" t="s">
        <v>57</v>
      </c>
      <c r="AH72" s="1" t="s">
        <v>77</v>
      </c>
      <c r="AI72" s="3"/>
      <c r="AJ72" s="1" t="s">
        <v>59</v>
      </c>
      <c r="AK72" s="2" t="s">
        <v>929</v>
      </c>
      <c r="AL72" s="3"/>
      <c r="AM72" s="2" t="s">
        <v>930</v>
      </c>
      <c r="AN72" s="3"/>
      <c r="AO72" s="3"/>
    </row>
    <row r="73">
      <c r="A73" s="1">
        <v>105.0</v>
      </c>
      <c r="B73" s="1" t="s">
        <v>931</v>
      </c>
      <c r="C73" s="3"/>
      <c r="D73" s="2" t="s">
        <v>932</v>
      </c>
      <c r="E73" s="1" t="s">
        <v>114</v>
      </c>
      <c r="F73" s="1" t="s">
        <v>42</v>
      </c>
      <c r="G73" s="1" t="s">
        <v>41</v>
      </c>
      <c r="H73" s="3"/>
      <c r="I73" s="1" t="s">
        <v>933</v>
      </c>
      <c r="J73" s="3"/>
      <c r="K73" s="1" t="s">
        <v>934</v>
      </c>
      <c r="L73" s="1">
        <v>33700.0</v>
      </c>
      <c r="M73" s="1">
        <v>33281.0</v>
      </c>
      <c r="N73" s="1" t="s">
        <v>446</v>
      </c>
      <c r="O73" s="1" t="s">
        <v>46</v>
      </c>
      <c r="P73" s="1" t="s">
        <v>47</v>
      </c>
      <c r="Q73" s="3"/>
      <c r="R73" s="1" t="s">
        <v>935</v>
      </c>
      <c r="S73" s="1" t="s">
        <v>936</v>
      </c>
      <c r="T73" s="3"/>
      <c r="U73" s="1" t="s">
        <v>50</v>
      </c>
      <c r="V73" s="1">
        <v>5.56995533E8</v>
      </c>
      <c r="W73" s="3"/>
      <c r="X73" s="2" t="s">
        <v>937</v>
      </c>
      <c r="Y73" s="3"/>
      <c r="Z73" s="1" t="s">
        <v>938</v>
      </c>
      <c r="AA73" s="4" t="s">
        <v>939</v>
      </c>
      <c r="AB73" s="4" t="s">
        <v>940</v>
      </c>
      <c r="AC73" s="1" t="s">
        <v>937</v>
      </c>
      <c r="AD73" s="1" t="s">
        <v>941</v>
      </c>
      <c r="AE73" s="1" t="s">
        <v>55</v>
      </c>
      <c r="AF73" s="1" t="s">
        <v>56</v>
      </c>
      <c r="AG73" s="1" t="s">
        <v>76</v>
      </c>
      <c r="AH73" s="1" t="s">
        <v>295</v>
      </c>
      <c r="AI73" s="1" t="s">
        <v>125</v>
      </c>
      <c r="AJ73" s="1" t="s">
        <v>59</v>
      </c>
      <c r="AK73" s="2" t="s">
        <v>942</v>
      </c>
      <c r="AL73" s="1" t="s">
        <v>158</v>
      </c>
      <c r="AM73" s="2" t="s">
        <v>943</v>
      </c>
      <c r="AN73" s="3"/>
      <c r="AO73" s="3"/>
    </row>
    <row r="74">
      <c r="A74" s="1">
        <v>107.0</v>
      </c>
      <c r="B74" s="1" t="s">
        <v>944</v>
      </c>
      <c r="C74" s="3"/>
      <c r="D74" s="2" t="s">
        <v>945</v>
      </c>
      <c r="E74" s="1" t="s">
        <v>41</v>
      </c>
      <c r="F74" s="1" t="s">
        <v>42</v>
      </c>
      <c r="G74" s="1" t="s">
        <v>41</v>
      </c>
      <c r="H74" s="3"/>
      <c r="I74" s="1" t="s">
        <v>946</v>
      </c>
      <c r="J74" s="3"/>
      <c r="K74" s="1" t="s">
        <v>946</v>
      </c>
      <c r="L74" s="1">
        <v>33697.0</v>
      </c>
      <c r="M74" s="1">
        <v>33281.0</v>
      </c>
      <c r="N74" s="1" t="s">
        <v>947</v>
      </c>
      <c r="O74" s="1" t="s">
        <v>46</v>
      </c>
      <c r="P74" s="1" t="s">
        <v>47</v>
      </c>
      <c r="Q74" s="1" t="s">
        <v>948</v>
      </c>
      <c r="R74" s="1" t="s">
        <v>949</v>
      </c>
      <c r="S74" s="1" t="s">
        <v>950</v>
      </c>
      <c r="T74" s="3"/>
      <c r="U74" s="1" t="s">
        <v>50</v>
      </c>
      <c r="V74" s="1">
        <v>5.5700024E8</v>
      </c>
      <c r="W74" s="3"/>
      <c r="X74" s="2" t="s">
        <v>951</v>
      </c>
      <c r="Y74" s="3"/>
      <c r="Z74" s="1" t="s">
        <v>952</v>
      </c>
      <c r="AA74" s="4" t="s">
        <v>953</v>
      </c>
      <c r="AB74" s="4" t="s">
        <v>954</v>
      </c>
      <c r="AC74" s="1" t="s">
        <v>951</v>
      </c>
      <c r="AD74" s="1" t="s">
        <v>955</v>
      </c>
      <c r="AE74" s="1" t="s">
        <v>956</v>
      </c>
      <c r="AF74" s="1" t="s">
        <v>56</v>
      </c>
      <c r="AG74" s="1" t="s">
        <v>109</v>
      </c>
      <c r="AH74" s="1" t="s">
        <v>95</v>
      </c>
      <c r="AI74" s="1" t="s">
        <v>125</v>
      </c>
      <c r="AJ74" s="1" t="s">
        <v>59</v>
      </c>
      <c r="AK74" s="2" t="s">
        <v>957</v>
      </c>
      <c r="AL74" s="3"/>
      <c r="AM74" s="2" t="s">
        <v>958</v>
      </c>
      <c r="AN74" s="3"/>
      <c r="AO74" s="3"/>
    </row>
    <row r="75">
      <c r="A75" s="1">
        <v>114.0</v>
      </c>
      <c r="B75" s="1" t="s">
        <v>959</v>
      </c>
      <c r="C75" s="3"/>
      <c r="D75" s="2" t="s">
        <v>960</v>
      </c>
      <c r="E75" s="1" t="s">
        <v>41</v>
      </c>
      <c r="F75" s="1" t="s">
        <v>42</v>
      </c>
      <c r="G75" s="1" t="s">
        <v>41</v>
      </c>
      <c r="H75" s="3"/>
      <c r="I75" s="1" t="s">
        <v>961</v>
      </c>
      <c r="J75" s="1">
        <v>11.0</v>
      </c>
      <c r="K75" s="1" t="s">
        <v>962</v>
      </c>
      <c r="L75" s="1">
        <v>33160.0</v>
      </c>
      <c r="M75" s="1">
        <v>33449.0</v>
      </c>
      <c r="N75" s="1" t="s">
        <v>460</v>
      </c>
      <c r="O75" s="1" t="s">
        <v>46</v>
      </c>
      <c r="P75" s="1" t="s">
        <v>47</v>
      </c>
      <c r="Q75" s="3"/>
      <c r="R75" s="1" t="s">
        <v>963</v>
      </c>
      <c r="S75" s="1" t="s">
        <v>964</v>
      </c>
      <c r="T75" s="3"/>
      <c r="U75" s="1" t="s">
        <v>50</v>
      </c>
      <c r="V75" s="1">
        <v>5.56058219E8</v>
      </c>
      <c r="W75" s="3"/>
      <c r="X75" s="2" t="s">
        <v>965</v>
      </c>
      <c r="Y75" s="3"/>
      <c r="Z75" s="1" t="s">
        <v>966</v>
      </c>
      <c r="AA75" s="4" t="s">
        <v>967</v>
      </c>
      <c r="AB75" s="5"/>
      <c r="AC75" s="1" t="s">
        <v>965</v>
      </c>
      <c r="AD75" s="1" t="s">
        <v>968</v>
      </c>
      <c r="AE75" s="1" t="s">
        <v>55</v>
      </c>
      <c r="AF75" s="1" t="s">
        <v>56</v>
      </c>
      <c r="AG75" s="1" t="s">
        <v>109</v>
      </c>
      <c r="AH75" s="1" t="s">
        <v>95</v>
      </c>
      <c r="AI75" s="1" t="s">
        <v>125</v>
      </c>
      <c r="AJ75" s="1" t="s">
        <v>96</v>
      </c>
      <c r="AK75" s="2" t="s">
        <v>969</v>
      </c>
      <c r="AL75" s="3"/>
      <c r="AM75" s="2" t="s">
        <v>970</v>
      </c>
      <c r="AN75" s="3"/>
      <c r="AO75" s="3"/>
    </row>
    <row r="76">
      <c r="A76" s="1">
        <v>115.0</v>
      </c>
      <c r="B76" s="1" t="s">
        <v>971</v>
      </c>
      <c r="C76" s="3"/>
      <c r="D76" s="2" t="s">
        <v>972</v>
      </c>
      <c r="E76" s="1" t="s">
        <v>41</v>
      </c>
      <c r="F76" s="1" t="s">
        <v>42</v>
      </c>
      <c r="G76" s="1" t="s">
        <v>41</v>
      </c>
      <c r="H76" s="3"/>
      <c r="I76" s="1" t="s">
        <v>973</v>
      </c>
      <c r="J76" s="1">
        <v>23.0</v>
      </c>
      <c r="K76" s="1" t="s">
        <v>974</v>
      </c>
      <c r="L76" s="1">
        <v>33160.0</v>
      </c>
      <c r="M76" s="1">
        <v>33449.0</v>
      </c>
      <c r="N76" s="1" t="s">
        <v>460</v>
      </c>
      <c r="O76" s="1" t="s">
        <v>46</v>
      </c>
      <c r="P76" s="1" t="s">
        <v>47</v>
      </c>
      <c r="Q76" s="3"/>
      <c r="R76" s="1" t="s">
        <v>975</v>
      </c>
      <c r="S76" s="1" t="s">
        <v>976</v>
      </c>
      <c r="T76" s="3"/>
      <c r="U76" s="1" t="s">
        <v>50</v>
      </c>
      <c r="V76" s="1">
        <v>6.49288873E8</v>
      </c>
      <c r="W76" s="3"/>
      <c r="X76" s="2" t="s">
        <v>977</v>
      </c>
      <c r="Y76" s="3"/>
      <c r="Z76" s="1" t="s">
        <v>978</v>
      </c>
      <c r="AA76" s="4" t="s">
        <v>979</v>
      </c>
      <c r="AB76" s="5"/>
      <c r="AC76" s="1" t="s">
        <v>977</v>
      </c>
      <c r="AD76" s="1" t="s">
        <v>980</v>
      </c>
      <c r="AE76" s="1" t="s">
        <v>981</v>
      </c>
      <c r="AF76" s="1" t="s">
        <v>56</v>
      </c>
      <c r="AG76" s="1" t="s">
        <v>109</v>
      </c>
      <c r="AH76" s="1" t="s">
        <v>95</v>
      </c>
      <c r="AI76" s="1" t="s">
        <v>125</v>
      </c>
      <c r="AJ76" s="1" t="s">
        <v>96</v>
      </c>
      <c r="AK76" s="2" t="s">
        <v>982</v>
      </c>
      <c r="AL76" s="1" t="s">
        <v>127</v>
      </c>
      <c r="AM76" s="2" t="s">
        <v>983</v>
      </c>
      <c r="AN76" s="3"/>
      <c r="AO76" s="3"/>
    </row>
    <row r="77">
      <c r="A77" s="1">
        <v>116.0</v>
      </c>
      <c r="B77" s="1" t="s">
        <v>984</v>
      </c>
      <c r="C77" s="1" t="s">
        <v>985</v>
      </c>
      <c r="D77" s="2" t="s">
        <v>986</v>
      </c>
      <c r="E77" s="1" t="s">
        <v>132</v>
      </c>
      <c r="F77" s="1" t="s">
        <v>83</v>
      </c>
      <c r="G77" s="1" t="s">
        <v>133</v>
      </c>
      <c r="H77" s="3"/>
      <c r="I77" s="1" t="s">
        <v>987</v>
      </c>
      <c r="J77" s="3"/>
      <c r="K77" s="1" t="s">
        <v>987</v>
      </c>
      <c r="L77" s="1">
        <v>33160.0</v>
      </c>
      <c r="M77" s="1">
        <v>33449.0</v>
      </c>
      <c r="N77" s="1" t="s">
        <v>460</v>
      </c>
      <c r="O77" s="1" t="s">
        <v>46</v>
      </c>
      <c r="P77" s="1" t="s">
        <v>47</v>
      </c>
      <c r="Q77" s="3"/>
      <c r="R77" s="1" t="s">
        <v>988</v>
      </c>
      <c r="S77" s="1" t="s">
        <v>989</v>
      </c>
      <c r="T77" s="3"/>
      <c r="U77" s="1" t="s">
        <v>50</v>
      </c>
      <c r="V77" s="1">
        <v>5.5793185E8</v>
      </c>
      <c r="W77" s="3"/>
      <c r="X77" s="2" t="s">
        <v>990</v>
      </c>
      <c r="Y77" s="3"/>
      <c r="Z77" s="1" t="s">
        <v>991</v>
      </c>
      <c r="AA77" s="4" t="s">
        <v>992</v>
      </c>
      <c r="AB77" s="4" t="s">
        <v>993</v>
      </c>
      <c r="AC77" s="1" t="s">
        <v>990</v>
      </c>
      <c r="AD77" s="1" t="s">
        <v>994</v>
      </c>
      <c r="AE77" s="1" t="s">
        <v>294</v>
      </c>
      <c r="AF77" s="1" t="s">
        <v>56</v>
      </c>
      <c r="AG77" s="1" t="s">
        <v>76</v>
      </c>
      <c r="AH77" s="1" t="s">
        <v>58</v>
      </c>
      <c r="AI77" s="1" t="s">
        <v>125</v>
      </c>
      <c r="AJ77" s="1" t="s">
        <v>59</v>
      </c>
      <c r="AK77" s="2" t="s">
        <v>995</v>
      </c>
      <c r="AL77" s="3"/>
      <c r="AM77" s="2" t="s">
        <v>996</v>
      </c>
      <c r="AN77" s="3"/>
      <c r="AO77" s="3"/>
    </row>
    <row r="78">
      <c r="A78" s="1">
        <v>118.0</v>
      </c>
      <c r="B78" s="1" t="s">
        <v>997</v>
      </c>
      <c r="C78" s="3"/>
      <c r="D78" s="2" t="s">
        <v>998</v>
      </c>
      <c r="E78" s="1" t="s">
        <v>999</v>
      </c>
      <c r="F78" s="1" t="s">
        <v>42</v>
      </c>
      <c r="G78" s="1" t="s">
        <v>41</v>
      </c>
      <c r="H78" s="3"/>
      <c r="I78" s="1" t="s">
        <v>1000</v>
      </c>
      <c r="J78" s="1">
        <v>60.0</v>
      </c>
      <c r="K78" s="1" t="s">
        <v>1001</v>
      </c>
      <c r="L78" s="1">
        <v>33160.0</v>
      </c>
      <c r="M78" s="1">
        <v>33449.0</v>
      </c>
      <c r="N78" s="1" t="s">
        <v>460</v>
      </c>
      <c r="O78" s="1" t="s">
        <v>46</v>
      </c>
      <c r="P78" s="1" t="s">
        <v>47</v>
      </c>
      <c r="Q78" s="3"/>
      <c r="R78" s="1" t="s">
        <v>1002</v>
      </c>
      <c r="S78" s="1" t="s">
        <v>1003</v>
      </c>
      <c r="T78" s="3"/>
      <c r="U78" s="1" t="s">
        <v>50</v>
      </c>
      <c r="V78" s="1">
        <v>5.56054932E8</v>
      </c>
      <c r="W78" s="3"/>
      <c r="X78" s="2" t="s">
        <v>1004</v>
      </c>
      <c r="Y78" s="3"/>
      <c r="Z78" s="1" t="s">
        <v>1005</v>
      </c>
      <c r="AA78" s="4" t="s">
        <v>1006</v>
      </c>
      <c r="AB78" s="5"/>
      <c r="AC78" s="1" t="s">
        <v>1004</v>
      </c>
      <c r="AD78" s="1" t="s">
        <v>1007</v>
      </c>
      <c r="AE78" s="1" t="s">
        <v>75</v>
      </c>
      <c r="AF78" s="1" t="s">
        <v>56</v>
      </c>
      <c r="AG78" s="1" t="s">
        <v>57</v>
      </c>
      <c r="AH78" s="1" t="s">
        <v>295</v>
      </c>
      <c r="AI78" s="3"/>
      <c r="AJ78" s="1" t="s">
        <v>59</v>
      </c>
      <c r="AK78" s="2" t="s">
        <v>1008</v>
      </c>
      <c r="AL78" s="1" t="s">
        <v>494</v>
      </c>
      <c r="AM78" s="2" t="s">
        <v>1009</v>
      </c>
      <c r="AN78" s="3"/>
      <c r="AO78" s="3"/>
    </row>
    <row r="79">
      <c r="A79" s="1">
        <v>120.0</v>
      </c>
      <c r="B79" s="1" t="s">
        <v>1010</v>
      </c>
      <c r="C79" s="1" t="s">
        <v>130</v>
      </c>
      <c r="D79" s="2" t="s">
        <v>1011</v>
      </c>
      <c r="E79" s="1" t="s">
        <v>258</v>
      </c>
      <c r="F79" s="1" t="s">
        <v>83</v>
      </c>
      <c r="G79" s="1" t="s">
        <v>133</v>
      </c>
      <c r="H79" s="3"/>
      <c r="I79" s="1" t="s">
        <v>1012</v>
      </c>
      <c r="J79" s="1">
        <v>13.0</v>
      </c>
      <c r="K79" s="1" t="s">
        <v>1013</v>
      </c>
      <c r="L79" s="1">
        <v>33100.0</v>
      </c>
      <c r="M79" s="1">
        <v>33063.0</v>
      </c>
      <c r="N79" s="1" t="s">
        <v>45</v>
      </c>
      <c r="O79" s="1" t="s">
        <v>46</v>
      </c>
      <c r="P79" s="1" t="s">
        <v>47</v>
      </c>
      <c r="Q79" s="3"/>
      <c r="R79" s="1" t="s">
        <v>1014</v>
      </c>
      <c r="S79" s="1" t="s">
        <v>1015</v>
      </c>
      <c r="T79" s="3"/>
      <c r="U79" s="1" t="s">
        <v>50</v>
      </c>
      <c r="V79" s="1">
        <v>5.24576504E8</v>
      </c>
      <c r="W79" s="3"/>
      <c r="X79" s="2" t="s">
        <v>1016</v>
      </c>
      <c r="Y79" s="3"/>
      <c r="Z79" s="1" t="s">
        <v>1017</v>
      </c>
      <c r="AA79" s="4" t="s">
        <v>1018</v>
      </c>
      <c r="AB79" s="4" t="s">
        <v>1019</v>
      </c>
      <c r="AC79" s="1" t="s">
        <v>1016</v>
      </c>
      <c r="AD79" s="1" t="s">
        <v>307</v>
      </c>
      <c r="AE79" s="1" t="s">
        <v>75</v>
      </c>
      <c r="AF79" s="1" t="s">
        <v>56</v>
      </c>
      <c r="AG79" s="1" t="s">
        <v>57</v>
      </c>
      <c r="AH79" s="1" t="s">
        <v>77</v>
      </c>
      <c r="AI79" s="1" t="s">
        <v>125</v>
      </c>
      <c r="AJ79" s="1" t="s">
        <v>59</v>
      </c>
      <c r="AK79" s="2" t="s">
        <v>1020</v>
      </c>
      <c r="AL79" s="3"/>
      <c r="AM79" s="2" t="s">
        <v>1021</v>
      </c>
      <c r="AN79" s="3"/>
      <c r="AO79" s="3"/>
    </row>
    <row r="80">
      <c r="A80" s="1">
        <v>126.0</v>
      </c>
      <c r="B80" s="1" t="s">
        <v>1022</v>
      </c>
      <c r="C80" s="1" t="s">
        <v>985</v>
      </c>
      <c r="D80" s="2" t="s">
        <v>986</v>
      </c>
      <c r="E80" s="1" t="s">
        <v>132</v>
      </c>
      <c r="F80" s="1" t="s">
        <v>83</v>
      </c>
      <c r="G80" s="1" t="s">
        <v>133</v>
      </c>
      <c r="H80" s="3"/>
      <c r="I80" s="1" t="s">
        <v>1023</v>
      </c>
      <c r="J80" s="1">
        <v>26.0</v>
      </c>
      <c r="K80" s="1" t="s">
        <v>1024</v>
      </c>
      <c r="L80" s="1">
        <v>33160.0</v>
      </c>
      <c r="M80" s="1">
        <v>33449.0</v>
      </c>
      <c r="N80" s="1" t="s">
        <v>460</v>
      </c>
      <c r="O80" s="1" t="s">
        <v>46</v>
      </c>
      <c r="P80" s="1" t="s">
        <v>47</v>
      </c>
      <c r="Q80" s="3"/>
      <c r="R80" s="1" t="s">
        <v>1025</v>
      </c>
      <c r="S80" s="1" t="s">
        <v>1026</v>
      </c>
      <c r="T80" s="3"/>
      <c r="U80" s="1" t="s">
        <v>50</v>
      </c>
      <c r="V80" s="1">
        <v>5.56014085E8</v>
      </c>
      <c r="W80" s="3"/>
      <c r="X80" s="2" t="s">
        <v>1027</v>
      </c>
      <c r="Y80" s="3"/>
      <c r="Z80" s="1" t="s">
        <v>991</v>
      </c>
      <c r="AA80" s="4" t="s">
        <v>992</v>
      </c>
      <c r="AB80" s="4" t="s">
        <v>993</v>
      </c>
      <c r="AC80" s="1" t="s">
        <v>1027</v>
      </c>
      <c r="AD80" s="1" t="s">
        <v>1028</v>
      </c>
      <c r="AE80" s="1" t="s">
        <v>294</v>
      </c>
      <c r="AF80" s="1" t="s">
        <v>56</v>
      </c>
      <c r="AG80" s="1" t="s">
        <v>76</v>
      </c>
      <c r="AH80" s="1" t="s">
        <v>58</v>
      </c>
      <c r="AI80" s="1" t="s">
        <v>125</v>
      </c>
      <c r="AJ80" s="1" t="s">
        <v>59</v>
      </c>
      <c r="AK80" s="2" t="s">
        <v>995</v>
      </c>
      <c r="AL80" s="3"/>
      <c r="AM80" s="2" t="s">
        <v>1029</v>
      </c>
      <c r="AN80" s="3"/>
      <c r="AO80" s="3"/>
    </row>
    <row r="81">
      <c r="A81" s="1">
        <v>127.0</v>
      </c>
      <c r="B81" s="1" t="s">
        <v>1030</v>
      </c>
      <c r="C81" s="1" t="s">
        <v>845</v>
      </c>
      <c r="D81" s="2" t="s">
        <v>846</v>
      </c>
      <c r="E81" s="1" t="s">
        <v>258</v>
      </c>
      <c r="F81" s="1" t="s">
        <v>83</v>
      </c>
      <c r="G81" s="1" t="s">
        <v>133</v>
      </c>
      <c r="H81" s="3"/>
      <c r="I81" s="1" t="s">
        <v>1031</v>
      </c>
      <c r="J81" s="3"/>
      <c r="K81" s="1" t="s">
        <v>1032</v>
      </c>
      <c r="L81" s="1">
        <v>33320.0</v>
      </c>
      <c r="M81" s="1">
        <v>33162.0</v>
      </c>
      <c r="N81" s="1" t="s">
        <v>848</v>
      </c>
      <c r="O81" s="1" t="s">
        <v>46</v>
      </c>
      <c r="P81" s="1" t="s">
        <v>47</v>
      </c>
      <c r="Q81" s="1" t="s">
        <v>1033</v>
      </c>
      <c r="R81" s="1" t="s">
        <v>1034</v>
      </c>
      <c r="S81" s="1" t="s">
        <v>1035</v>
      </c>
      <c r="T81" s="3"/>
      <c r="U81" s="1" t="s">
        <v>50</v>
      </c>
      <c r="V81" s="1">
        <v>9.81039243E8</v>
      </c>
      <c r="W81" s="1">
        <v>7.77260924E8</v>
      </c>
      <c r="X81" s="2" t="s">
        <v>1036</v>
      </c>
      <c r="Y81" s="3"/>
      <c r="Z81" s="1" t="s">
        <v>852</v>
      </c>
      <c r="AA81" s="4" t="s">
        <v>853</v>
      </c>
      <c r="AB81" s="4" t="s">
        <v>854</v>
      </c>
      <c r="AC81" s="1" t="s">
        <v>1036</v>
      </c>
      <c r="AD81" s="1" t="s">
        <v>1037</v>
      </c>
      <c r="AE81" s="1" t="s">
        <v>55</v>
      </c>
      <c r="AF81" s="1" t="s">
        <v>56</v>
      </c>
      <c r="AG81" s="1" t="s">
        <v>76</v>
      </c>
      <c r="AH81" s="1" t="s">
        <v>295</v>
      </c>
      <c r="AI81" s="1" t="s">
        <v>125</v>
      </c>
      <c r="AJ81" s="1" t="s">
        <v>59</v>
      </c>
      <c r="AK81" s="2" t="s">
        <v>856</v>
      </c>
      <c r="AL81" s="1" t="s">
        <v>127</v>
      </c>
      <c r="AM81" s="2" t="s">
        <v>1038</v>
      </c>
      <c r="AN81" s="3"/>
      <c r="AO81" s="3"/>
    </row>
    <row r="82">
      <c r="A82" s="1">
        <v>129.0</v>
      </c>
      <c r="B82" s="1" t="s">
        <v>1039</v>
      </c>
      <c r="C82" s="3"/>
      <c r="D82" s="2" t="s">
        <v>1040</v>
      </c>
      <c r="E82" s="1" t="s">
        <v>41</v>
      </c>
      <c r="F82" s="1" t="s">
        <v>42</v>
      </c>
      <c r="G82" s="1" t="s">
        <v>41</v>
      </c>
      <c r="H82" s="3"/>
      <c r="I82" s="1" t="s">
        <v>1041</v>
      </c>
      <c r="J82" s="1">
        <v>25.0</v>
      </c>
      <c r="K82" s="1" t="s">
        <v>1042</v>
      </c>
      <c r="L82" s="1">
        <v>33300.0</v>
      </c>
      <c r="M82" s="1">
        <v>33063.0</v>
      </c>
      <c r="N82" s="1" t="s">
        <v>45</v>
      </c>
      <c r="O82" s="1" t="s">
        <v>46</v>
      </c>
      <c r="P82" s="1" t="s">
        <v>47</v>
      </c>
      <c r="Q82" s="3"/>
      <c r="R82" s="1" t="s">
        <v>1043</v>
      </c>
      <c r="S82" s="1" t="s">
        <v>1044</v>
      </c>
      <c r="T82" s="3"/>
      <c r="U82" s="1" t="s">
        <v>50</v>
      </c>
      <c r="V82" s="1">
        <v>5.56014219E8</v>
      </c>
      <c r="W82" s="3"/>
      <c r="X82" s="2" t="s">
        <v>1045</v>
      </c>
      <c r="Y82" s="3"/>
      <c r="Z82" s="1" t="s">
        <v>1046</v>
      </c>
      <c r="AA82" s="4" t="s">
        <v>1047</v>
      </c>
      <c r="AB82" s="4" t="s">
        <v>1048</v>
      </c>
      <c r="AC82" s="1" t="s">
        <v>1045</v>
      </c>
      <c r="AD82" s="3"/>
      <c r="AE82" s="1" t="s">
        <v>156</v>
      </c>
      <c r="AF82" s="1" t="s">
        <v>56</v>
      </c>
      <c r="AG82" s="1" t="s">
        <v>57</v>
      </c>
      <c r="AH82" s="1" t="s">
        <v>95</v>
      </c>
      <c r="AI82" s="1" t="s">
        <v>125</v>
      </c>
      <c r="AJ82" s="1" t="s">
        <v>96</v>
      </c>
      <c r="AK82" s="2" t="s">
        <v>1049</v>
      </c>
      <c r="AL82" s="3"/>
      <c r="AM82" s="2" t="s">
        <v>1050</v>
      </c>
      <c r="AN82" s="3"/>
      <c r="AO82" s="3"/>
    </row>
    <row r="83">
      <c r="A83" s="1">
        <v>3.0</v>
      </c>
      <c r="B83" s="1" t="s">
        <v>1051</v>
      </c>
      <c r="C83" s="1" t="s">
        <v>130</v>
      </c>
      <c r="D83" s="2" t="s">
        <v>1052</v>
      </c>
      <c r="E83" s="1" t="s">
        <v>132</v>
      </c>
      <c r="F83" s="1" t="s">
        <v>83</v>
      </c>
      <c r="G83" s="1" t="s">
        <v>133</v>
      </c>
      <c r="H83" s="1">
        <v>2.13E13</v>
      </c>
      <c r="I83" s="1" t="s">
        <v>1053</v>
      </c>
      <c r="J83" s="3"/>
      <c r="K83" s="1" t="s">
        <v>1053</v>
      </c>
      <c r="L83" s="1">
        <v>33300.0</v>
      </c>
      <c r="M83" s="1">
        <v>33063.0</v>
      </c>
      <c r="N83" s="1" t="s">
        <v>45</v>
      </c>
      <c r="O83" s="1" t="s">
        <v>46</v>
      </c>
      <c r="P83" s="1" t="s">
        <v>47</v>
      </c>
      <c r="Q83" s="3"/>
      <c r="R83" s="1" t="s">
        <v>1054</v>
      </c>
      <c r="S83" s="1" t="s">
        <v>1055</v>
      </c>
      <c r="T83" s="3"/>
      <c r="U83" s="1" t="s">
        <v>50</v>
      </c>
      <c r="V83" s="1">
        <v>5.56509795E8</v>
      </c>
      <c r="W83" s="3"/>
      <c r="X83" s="2" t="s">
        <v>220</v>
      </c>
      <c r="Y83" s="3"/>
      <c r="Z83" s="1" t="s">
        <v>139</v>
      </c>
      <c r="AA83" s="4" t="s">
        <v>140</v>
      </c>
      <c r="AB83" s="4" t="s">
        <v>141</v>
      </c>
      <c r="AC83" s="1" t="s">
        <v>220</v>
      </c>
      <c r="AD83" s="1" t="s">
        <v>221</v>
      </c>
      <c r="AE83" s="1" t="s">
        <v>55</v>
      </c>
      <c r="AF83" s="1" t="s">
        <v>56</v>
      </c>
      <c r="AG83" s="1" t="s">
        <v>76</v>
      </c>
      <c r="AH83" s="1" t="s">
        <v>58</v>
      </c>
      <c r="AI83" s="1" t="s">
        <v>125</v>
      </c>
      <c r="AJ83" s="1" t="s">
        <v>96</v>
      </c>
      <c r="AK83" s="2" t="s">
        <v>222</v>
      </c>
      <c r="AL83" s="3"/>
      <c r="AM83" s="2" t="s">
        <v>1056</v>
      </c>
      <c r="AN83" s="3"/>
      <c r="AO83" s="3"/>
    </row>
    <row r="84">
      <c r="A84" s="1">
        <v>4.0</v>
      </c>
      <c r="B84" s="1" t="s">
        <v>1057</v>
      </c>
      <c r="C84" s="3"/>
      <c r="D84" s="2" t="s">
        <v>1058</v>
      </c>
      <c r="E84" s="1" t="s">
        <v>162</v>
      </c>
      <c r="F84" s="1" t="s">
        <v>42</v>
      </c>
      <c r="G84" s="1" t="s">
        <v>41</v>
      </c>
      <c r="H84" s="1">
        <v>4.0E13</v>
      </c>
      <c r="I84" s="1" t="s">
        <v>1059</v>
      </c>
      <c r="J84" s="3"/>
      <c r="K84" s="1" t="s">
        <v>1060</v>
      </c>
      <c r="L84" s="1">
        <v>33300.0</v>
      </c>
      <c r="M84" s="1">
        <v>33063.0</v>
      </c>
      <c r="N84" s="1" t="s">
        <v>45</v>
      </c>
      <c r="O84" s="1" t="s">
        <v>46</v>
      </c>
      <c r="P84" s="1" t="s">
        <v>47</v>
      </c>
      <c r="Q84" s="1" t="s">
        <v>1061</v>
      </c>
      <c r="R84" s="1" t="s">
        <v>1062</v>
      </c>
      <c r="S84" s="1" t="s">
        <v>1063</v>
      </c>
      <c r="T84" s="3"/>
      <c r="U84" s="1" t="s">
        <v>50</v>
      </c>
      <c r="V84" s="1">
        <v>5.56010707E8</v>
      </c>
      <c r="W84" s="3"/>
      <c r="X84" s="2" t="s">
        <v>1064</v>
      </c>
      <c r="Y84" s="3"/>
      <c r="Z84" s="1" t="s">
        <v>1065</v>
      </c>
      <c r="AA84" s="4" t="s">
        <v>1066</v>
      </c>
      <c r="AB84" s="4" t="s">
        <v>1067</v>
      </c>
      <c r="AC84" s="1" t="s">
        <v>1064</v>
      </c>
      <c r="AD84" s="1" t="s">
        <v>1068</v>
      </c>
      <c r="AE84" s="1" t="s">
        <v>361</v>
      </c>
      <c r="AF84" s="1" t="s">
        <v>56</v>
      </c>
      <c r="AG84" s="1" t="s">
        <v>57</v>
      </c>
      <c r="AH84" s="1" t="s">
        <v>77</v>
      </c>
      <c r="AI84" s="3"/>
      <c r="AJ84" s="1" t="s">
        <v>96</v>
      </c>
      <c r="AK84" s="2" t="s">
        <v>1069</v>
      </c>
      <c r="AL84" s="3"/>
      <c r="AM84" s="2" t="s">
        <v>1070</v>
      </c>
      <c r="AN84" s="3"/>
      <c r="AO84" s="3"/>
    </row>
    <row r="85">
      <c r="A85" s="1">
        <v>7.0</v>
      </c>
      <c r="B85" s="1" t="s">
        <v>298</v>
      </c>
      <c r="C85" s="3"/>
      <c r="D85" s="2" t="s">
        <v>1071</v>
      </c>
      <c r="E85" s="1" t="s">
        <v>41</v>
      </c>
      <c r="F85" s="1" t="s">
        <v>42</v>
      </c>
      <c r="G85" s="1" t="s">
        <v>41</v>
      </c>
      <c r="H85" s="3"/>
      <c r="I85" s="1" t="s">
        <v>1072</v>
      </c>
      <c r="J85" s="1">
        <v>176.0</v>
      </c>
      <c r="K85" s="1" t="s">
        <v>67</v>
      </c>
      <c r="L85" s="1">
        <v>33300.0</v>
      </c>
      <c r="M85" s="1">
        <v>33063.0</v>
      </c>
      <c r="N85" s="1" t="s">
        <v>45</v>
      </c>
      <c r="O85" s="1" t="s">
        <v>46</v>
      </c>
      <c r="P85" s="1" t="s">
        <v>47</v>
      </c>
      <c r="Q85" s="1" t="s">
        <v>1073</v>
      </c>
      <c r="R85" s="1" t="s">
        <v>1074</v>
      </c>
      <c r="S85" s="1" t="s">
        <v>1075</v>
      </c>
      <c r="T85" s="3"/>
      <c r="U85" s="1" t="s">
        <v>50</v>
      </c>
      <c r="V85" s="1">
        <v>5.56430099E8</v>
      </c>
      <c r="W85" s="3"/>
      <c r="X85" s="2" t="s">
        <v>304</v>
      </c>
      <c r="Y85" s="3"/>
      <c r="Z85" s="1" t="s">
        <v>1076</v>
      </c>
      <c r="AA85" s="4" t="s">
        <v>306</v>
      </c>
      <c r="AB85" s="5"/>
      <c r="AC85" s="1" t="s">
        <v>304</v>
      </c>
      <c r="AD85" s="1" t="s">
        <v>307</v>
      </c>
      <c r="AE85" s="1" t="s">
        <v>1077</v>
      </c>
      <c r="AF85" s="1" t="s">
        <v>56</v>
      </c>
      <c r="AG85" s="1" t="s">
        <v>109</v>
      </c>
      <c r="AH85" s="1" t="s">
        <v>95</v>
      </c>
      <c r="AI85" s="3"/>
      <c r="AJ85" s="1" t="s">
        <v>59</v>
      </c>
      <c r="AK85" s="2" t="s">
        <v>1078</v>
      </c>
      <c r="AL85" s="3"/>
      <c r="AM85" s="2" t="s">
        <v>1079</v>
      </c>
      <c r="AN85" s="3"/>
      <c r="AO85" s="3"/>
    </row>
    <row r="86">
      <c r="A86" s="1">
        <v>13.0</v>
      </c>
      <c r="B86" s="1" t="s">
        <v>1080</v>
      </c>
      <c r="C86" s="3"/>
      <c r="D86" s="2" t="s">
        <v>1081</v>
      </c>
      <c r="E86" s="1" t="s">
        <v>1082</v>
      </c>
      <c r="F86" s="1" t="s">
        <v>1083</v>
      </c>
      <c r="G86" s="1" t="s">
        <v>84</v>
      </c>
      <c r="H86" s="3"/>
      <c r="I86" s="1" t="s">
        <v>1084</v>
      </c>
      <c r="J86" s="3"/>
      <c r="K86" s="1" t="s">
        <v>1084</v>
      </c>
      <c r="L86" s="1">
        <v>33300.0</v>
      </c>
      <c r="M86" s="1">
        <v>33063.0</v>
      </c>
      <c r="N86" s="1" t="s">
        <v>45</v>
      </c>
      <c r="O86" s="1" t="s">
        <v>46</v>
      </c>
      <c r="P86" s="1" t="s">
        <v>47</v>
      </c>
      <c r="Q86" s="3"/>
      <c r="R86" s="1" t="s">
        <v>1085</v>
      </c>
      <c r="S86" s="1" t="s">
        <v>1086</v>
      </c>
      <c r="T86" s="3"/>
      <c r="U86" s="1" t="s">
        <v>50</v>
      </c>
      <c r="V86" s="1">
        <v>3646.0</v>
      </c>
      <c r="W86" s="3"/>
      <c r="X86" s="2" t="s">
        <v>1087</v>
      </c>
      <c r="Y86" s="3"/>
      <c r="Z86" s="3"/>
      <c r="AA86" s="4" t="s">
        <v>1088</v>
      </c>
      <c r="AB86" s="5"/>
      <c r="AC86" s="1" t="s">
        <v>1087</v>
      </c>
      <c r="AD86" s="1" t="s">
        <v>928</v>
      </c>
      <c r="AE86" s="1" t="s">
        <v>55</v>
      </c>
      <c r="AF86" s="1" t="s">
        <v>56</v>
      </c>
      <c r="AG86" s="1" t="s">
        <v>109</v>
      </c>
      <c r="AH86" s="1" t="s">
        <v>95</v>
      </c>
      <c r="AI86" s="3"/>
      <c r="AJ86" s="1" t="s">
        <v>96</v>
      </c>
      <c r="AK86" s="2" t="s">
        <v>1089</v>
      </c>
      <c r="AL86" s="3"/>
      <c r="AM86" s="2" t="s">
        <v>1090</v>
      </c>
      <c r="AN86" s="3"/>
      <c r="AO86" s="3"/>
    </row>
    <row r="87">
      <c r="A87" s="1">
        <v>15.0</v>
      </c>
      <c r="B87" s="1" t="s">
        <v>1091</v>
      </c>
      <c r="C87" s="3"/>
      <c r="D87" s="2" t="s">
        <v>1092</v>
      </c>
      <c r="E87" s="1" t="s">
        <v>41</v>
      </c>
      <c r="F87" s="1" t="s">
        <v>42</v>
      </c>
      <c r="G87" s="1" t="s">
        <v>41</v>
      </c>
      <c r="H87" s="3"/>
      <c r="I87" s="1" t="s">
        <v>1084</v>
      </c>
      <c r="J87" s="3"/>
      <c r="K87" s="1" t="s">
        <v>1084</v>
      </c>
      <c r="L87" s="1">
        <v>33300.0</v>
      </c>
      <c r="M87" s="1">
        <v>33063.0</v>
      </c>
      <c r="N87" s="1" t="s">
        <v>45</v>
      </c>
      <c r="O87" s="1" t="s">
        <v>46</v>
      </c>
      <c r="P87" s="1" t="s">
        <v>47</v>
      </c>
      <c r="Q87" s="3"/>
      <c r="R87" s="1" t="s">
        <v>1085</v>
      </c>
      <c r="S87" s="1" t="s">
        <v>1086</v>
      </c>
      <c r="T87" s="3"/>
      <c r="U87" s="1" t="s">
        <v>50</v>
      </c>
      <c r="V87" s="1">
        <v>5.56503822E8</v>
      </c>
      <c r="W87" s="3"/>
      <c r="X87" s="2" t="s">
        <v>1093</v>
      </c>
      <c r="Y87" s="3"/>
      <c r="Z87" s="1" t="s">
        <v>1094</v>
      </c>
      <c r="AA87" s="4" t="s">
        <v>1095</v>
      </c>
      <c r="AB87" s="4" t="s">
        <v>1096</v>
      </c>
      <c r="AC87" s="1" t="s">
        <v>1093</v>
      </c>
      <c r="AD87" s="1" t="s">
        <v>1097</v>
      </c>
      <c r="AE87" s="1" t="s">
        <v>55</v>
      </c>
      <c r="AF87" s="1" t="s">
        <v>56</v>
      </c>
      <c r="AG87" s="1" t="s">
        <v>76</v>
      </c>
      <c r="AH87" s="1" t="s">
        <v>77</v>
      </c>
      <c r="AI87" s="3"/>
      <c r="AJ87" s="1" t="s">
        <v>59</v>
      </c>
      <c r="AK87" s="2" t="s">
        <v>1098</v>
      </c>
      <c r="AL87" s="3"/>
      <c r="AM87" s="2" t="s">
        <v>1090</v>
      </c>
      <c r="AN87" s="3"/>
      <c r="AO87" s="3"/>
    </row>
    <row r="88">
      <c r="A88" s="1">
        <v>16.0</v>
      </c>
      <c r="B88" s="1" t="s">
        <v>1099</v>
      </c>
      <c r="C88" s="3"/>
      <c r="D88" s="2" t="s">
        <v>1100</v>
      </c>
      <c r="E88" s="1" t="s">
        <v>41</v>
      </c>
      <c r="F88" s="1" t="s">
        <v>42</v>
      </c>
      <c r="G88" s="1" t="s">
        <v>41</v>
      </c>
      <c r="H88" s="3"/>
      <c r="I88" s="1" t="s">
        <v>1101</v>
      </c>
      <c r="J88" s="1">
        <v>127.0</v>
      </c>
      <c r="K88" s="1" t="s">
        <v>1102</v>
      </c>
      <c r="L88" s="1">
        <v>33300.0</v>
      </c>
      <c r="M88" s="1">
        <v>33063.0</v>
      </c>
      <c r="N88" s="1" t="s">
        <v>45</v>
      </c>
      <c r="O88" s="1" t="s">
        <v>46</v>
      </c>
      <c r="P88" s="1" t="s">
        <v>47</v>
      </c>
      <c r="Q88" s="3"/>
      <c r="R88" s="1" t="s">
        <v>1103</v>
      </c>
      <c r="S88" s="1" t="s">
        <v>1104</v>
      </c>
      <c r="T88" s="3"/>
      <c r="U88" s="1" t="s">
        <v>50</v>
      </c>
      <c r="V88" s="1">
        <v>5.57783737E8</v>
      </c>
      <c r="W88" s="3"/>
      <c r="X88" s="2" t="s">
        <v>1105</v>
      </c>
      <c r="Y88" s="3"/>
      <c r="Z88" s="1" t="s">
        <v>1106</v>
      </c>
      <c r="AA88" s="4" t="s">
        <v>1107</v>
      </c>
      <c r="AB88" s="5"/>
      <c r="AC88" s="1" t="s">
        <v>1105</v>
      </c>
      <c r="AD88" s="1" t="s">
        <v>1108</v>
      </c>
      <c r="AE88" s="1" t="s">
        <v>361</v>
      </c>
      <c r="AF88" s="1" t="s">
        <v>56</v>
      </c>
      <c r="AG88" s="1" t="s">
        <v>109</v>
      </c>
      <c r="AH88" s="1" t="s">
        <v>95</v>
      </c>
      <c r="AI88" s="3"/>
      <c r="AJ88" s="1" t="s">
        <v>59</v>
      </c>
      <c r="AK88" s="2" t="s">
        <v>1109</v>
      </c>
      <c r="AL88" s="3"/>
      <c r="AM88" s="2" t="s">
        <v>1110</v>
      </c>
      <c r="AN88" s="3"/>
      <c r="AO88" s="3"/>
    </row>
    <row r="89">
      <c r="A89" s="1">
        <v>18.0</v>
      </c>
      <c r="B89" s="1" t="s">
        <v>1111</v>
      </c>
      <c r="C89" s="3"/>
      <c r="D89" s="2" t="s">
        <v>1112</v>
      </c>
      <c r="E89" s="1" t="s">
        <v>41</v>
      </c>
      <c r="F89" s="1" t="s">
        <v>42</v>
      </c>
      <c r="G89" s="1" t="s">
        <v>41</v>
      </c>
      <c r="H89" s="3"/>
      <c r="I89" s="1" t="s">
        <v>1113</v>
      </c>
      <c r="J89" s="1">
        <v>7.0</v>
      </c>
      <c r="K89" s="1" t="s">
        <v>570</v>
      </c>
      <c r="L89" s="1">
        <v>33000.0</v>
      </c>
      <c r="M89" s="1">
        <v>33063.0</v>
      </c>
      <c r="N89" s="1" t="s">
        <v>45</v>
      </c>
      <c r="O89" s="1" t="s">
        <v>46</v>
      </c>
      <c r="P89" s="1" t="s">
        <v>47</v>
      </c>
      <c r="Q89" s="1" t="s">
        <v>1114</v>
      </c>
      <c r="R89" s="1" t="s">
        <v>1115</v>
      </c>
      <c r="S89" s="1" t="s">
        <v>1116</v>
      </c>
      <c r="T89" s="3"/>
      <c r="U89" s="1" t="s">
        <v>50</v>
      </c>
      <c r="V89" s="1">
        <v>5.56482612E8</v>
      </c>
      <c r="W89" s="3"/>
      <c r="X89" s="2" t="s">
        <v>1117</v>
      </c>
      <c r="Y89" s="3"/>
      <c r="Z89" s="1" t="s">
        <v>1118</v>
      </c>
      <c r="AA89" s="4" t="s">
        <v>1119</v>
      </c>
      <c r="AB89" s="5"/>
      <c r="AC89" s="1" t="s">
        <v>1117</v>
      </c>
      <c r="AD89" s="1" t="s">
        <v>1120</v>
      </c>
      <c r="AE89" s="1" t="s">
        <v>55</v>
      </c>
      <c r="AF89" s="1" t="s">
        <v>56</v>
      </c>
      <c r="AG89" s="1" t="s">
        <v>76</v>
      </c>
      <c r="AH89" s="1" t="s">
        <v>95</v>
      </c>
      <c r="AI89" s="3"/>
      <c r="AJ89" s="1" t="s">
        <v>59</v>
      </c>
      <c r="AK89" s="2" t="s">
        <v>1121</v>
      </c>
      <c r="AL89" s="3"/>
      <c r="AM89" s="2" t="s">
        <v>1122</v>
      </c>
      <c r="AN89" s="3"/>
      <c r="AO89" s="3"/>
    </row>
    <row r="90">
      <c r="A90" s="1">
        <v>20.0</v>
      </c>
      <c r="B90" s="1" t="s">
        <v>1123</v>
      </c>
      <c r="C90" s="3"/>
      <c r="D90" s="2" t="s">
        <v>1124</v>
      </c>
      <c r="E90" s="1" t="s">
        <v>41</v>
      </c>
      <c r="F90" s="1" t="s">
        <v>42</v>
      </c>
      <c r="G90" s="1" t="s">
        <v>41</v>
      </c>
      <c r="H90" s="1">
        <v>7.82E13</v>
      </c>
      <c r="I90" s="1" t="s">
        <v>1125</v>
      </c>
      <c r="J90" s="1">
        <v>4.0</v>
      </c>
      <c r="K90" s="1" t="s">
        <v>1126</v>
      </c>
      <c r="L90" s="1">
        <v>33000.0</v>
      </c>
      <c r="M90" s="1">
        <v>33063.0</v>
      </c>
      <c r="N90" s="1" t="s">
        <v>45</v>
      </c>
      <c r="O90" s="1" t="s">
        <v>46</v>
      </c>
      <c r="P90" s="1" t="s">
        <v>47</v>
      </c>
      <c r="Q90" s="3"/>
      <c r="R90" s="1" t="s">
        <v>1127</v>
      </c>
      <c r="S90" s="1" t="s">
        <v>1128</v>
      </c>
      <c r="T90" s="3"/>
      <c r="U90" s="1" t="s">
        <v>50</v>
      </c>
      <c r="V90" s="1">
        <v>5.56481639E8</v>
      </c>
      <c r="W90" s="3"/>
      <c r="X90" s="2" t="s">
        <v>1129</v>
      </c>
      <c r="Y90" s="3"/>
      <c r="Z90" s="1" t="s">
        <v>1130</v>
      </c>
      <c r="AA90" s="4" t="s">
        <v>1131</v>
      </c>
      <c r="AB90" s="4" t="s">
        <v>491</v>
      </c>
      <c r="AC90" s="1" t="s">
        <v>1129</v>
      </c>
      <c r="AD90" s="1" t="s">
        <v>1132</v>
      </c>
      <c r="AE90" s="1" t="s">
        <v>55</v>
      </c>
      <c r="AF90" s="1" t="s">
        <v>56</v>
      </c>
      <c r="AG90" s="1" t="s">
        <v>109</v>
      </c>
      <c r="AH90" s="1" t="s">
        <v>295</v>
      </c>
      <c r="AI90" s="1" t="s">
        <v>125</v>
      </c>
      <c r="AJ90" s="1" t="s">
        <v>96</v>
      </c>
      <c r="AK90" s="2" t="s">
        <v>1133</v>
      </c>
      <c r="AL90" s="1" t="s">
        <v>127</v>
      </c>
      <c r="AM90" s="2" t="s">
        <v>1134</v>
      </c>
      <c r="AN90" s="3"/>
      <c r="AO90" s="3"/>
    </row>
    <row r="91">
      <c r="A91" s="1">
        <v>28.0</v>
      </c>
      <c r="B91" s="1" t="s">
        <v>1135</v>
      </c>
      <c r="C91" s="3"/>
      <c r="D91" s="2" t="s">
        <v>1136</v>
      </c>
      <c r="E91" s="1" t="s">
        <v>41</v>
      </c>
      <c r="F91" s="1" t="s">
        <v>42</v>
      </c>
      <c r="G91" s="1" t="s">
        <v>41</v>
      </c>
      <c r="H91" s="3"/>
      <c r="I91" s="1" t="s">
        <v>1137</v>
      </c>
      <c r="J91" s="1">
        <v>5.0</v>
      </c>
      <c r="K91" s="1" t="s">
        <v>1138</v>
      </c>
      <c r="L91" s="1">
        <v>33800.0</v>
      </c>
      <c r="M91" s="1">
        <v>33063.0</v>
      </c>
      <c r="N91" s="1" t="s">
        <v>45</v>
      </c>
      <c r="O91" s="1" t="s">
        <v>46</v>
      </c>
      <c r="P91" s="1" t="s">
        <v>47</v>
      </c>
      <c r="Q91" s="3"/>
      <c r="R91" s="1" t="s">
        <v>1139</v>
      </c>
      <c r="S91" s="1" t="s">
        <v>1140</v>
      </c>
      <c r="T91" s="3"/>
      <c r="U91" s="1" t="s">
        <v>50</v>
      </c>
      <c r="V91" s="1">
        <v>6.08178847E8</v>
      </c>
      <c r="W91" s="3"/>
      <c r="X91" s="2" t="s">
        <v>1141</v>
      </c>
      <c r="Y91" s="3"/>
      <c r="Z91" s="1" t="s">
        <v>91</v>
      </c>
      <c r="AA91" s="4" t="s">
        <v>1142</v>
      </c>
      <c r="AB91" s="4" t="s">
        <v>1143</v>
      </c>
      <c r="AC91" s="1" t="s">
        <v>1141</v>
      </c>
      <c r="AD91" s="1" t="s">
        <v>1144</v>
      </c>
      <c r="AE91" s="1" t="s">
        <v>294</v>
      </c>
      <c r="AF91" s="1" t="s">
        <v>56</v>
      </c>
      <c r="AG91" s="1" t="s">
        <v>76</v>
      </c>
      <c r="AH91" s="1" t="s">
        <v>58</v>
      </c>
      <c r="AI91" s="3"/>
      <c r="AJ91" s="1" t="s">
        <v>59</v>
      </c>
      <c r="AK91" s="2" t="s">
        <v>1145</v>
      </c>
      <c r="AL91" s="3"/>
      <c r="AM91" s="2" t="s">
        <v>1146</v>
      </c>
      <c r="AN91" s="3"/>
      <c r="AO91" s="3"/>
    </row>
    <row r="92">
      <c r="A92" s="1">
        <v>30.0</v>
      </c>
      <c r="B92" s="1" t="s">
        <v>1147</v>
      </c>
      <c r="C92" s="1" t="s">
        <v>130</v>
      </c>
      <c r="D92" s="2" t="s">
        <v>1148</v>
      </c>
      <c r="E92" s="1" t="s">
        <v>132</v>
      </c>
      <c r="F92" s="1" t="s">
        <v>83</v>
      </c>
      <c r="G92" s="1" t="s">
        <v>133</v>
      </c>
      <c r="H92" s="1">
        <v>2.13E13</v>
      </c>
      <c r="I92" s="1" t="s">
        <v>1149</v>
      </c>
      <c r="J92" s="3"/>
      <c r="K92" s="1" t="s">
        <v>1150</v>
      </c>
      <c r="L92" s="1">
        <v>33000.0</v>
      </c>
      <c r="M92" s="1">
        <v>33063.0</v>
      </c>
      <c r="N92" s="1" t="s">
        <v>45</v>
      </c>
      <c r="O92" s="1" t="s">
        <v>46</v>
      </c>
      <c r="P92" s="1" t="s">
        <v>47</v>
      </c>
      <c r="Q92" s="3"/>
      <c r="R92" s="1" t="s">
        <v>1151</v>
      </c>
      <c r="S92" s="1" t="s">
        <v>1152</v>
      </c>
      <c r="T92" s="3"/>
      <c r="U92" s="1" t="s">
        <v>50</v>
      </c>
      <c r="V92" s="1">
        <v>5.2499603E8</v>
      </c>
      <c r="W92" s="3"/>
      <c r="X92" s="2" t="s">
        <v>220</v>
      </c>
      <c r="Y92" s="3"/>
      <c r="Z92" s="1" t="s">
        <v>139</v>
      </c>
      <c r="AA92" s="4" t="s">
        <v>140</v>
      </c>
      <c r="AB92" s="4" t="s">
        <v>141</v>
      </c>
      <c r="AC92" s="1" t="s">
        <v>220</v>
      </c>
      <c r="AD92" s="1" t="s">
        <v>221</v>
      </c>
      <c r="AE92" s="1" t="s">
        <v>55</v>
      </c>
      <c r="AF92" s="1" t="s">
        <v>56</v>
      </c>
      <c r="AG92" s="1" t="s">
        <v>76</v>
      </c>
      <c r="AH92" s="1" t="s">
        <v>58</v>
      </c>
      <c r="AI92" s="3"/>
      <c r="AJ92" s="1" t="s">
        <v>59</v>
      </c>
      <c r="AK92" s="2" t="s">
        <v>1153</v>
      </c>
      <c r="AL92" s="3"/>
      <c r="AM92" s="2" t="s">
        <v>1154</v>
      </c>
      <c r="AN92" s="3"/>
      <c r="AO92" s="3"/>
    </row>
    <row r="93">
      <c r="A93" s="1">
        <v>31.0</v>
      </c>
      <c r="B93" s="1" t="s">
        <v>1155</v>
      </c>
      <c r="C93" s="3"/>
      <c r="D93" s="2" t="s">
        <v>1156</v>
      </c>
      <c r="E93" s="1" t="s">
        <v>41</v>
      </c>
      <c r="F93" s="1" t="s">
        <v>42</v>
      </c>
      <c r="G93" s="1" t="s">
        <v>41</v>
      </c>
      <c r="H93" s="3"/>
      <c r="I93" s="1" t="s">
        <v>1157</v>
      </c>
      <c r="J93" s="1">
        <v>12.0</v>
      </c>
      <c r="K93" s="1" t="s">
        <v>1158</v>
      </c>
      <c r="L93" s="1">
        <v>33000.0</v>
      </c>
      <c r="M93" s="1">
        <v>33063.0</v>
      </c>
      <c r="N93" s="1" t="s">
        <v>45</v>
      </c>
      <c r="O93" s="1" t="s">
        <v>46</v>
      </c>
      <c r="P93" s="1" t="s">
        <v>47</v>
      </c>
      <c r="Q93" s="3"/>
      <c r="R93" s="1" t="s">
        <v>1159</v>
      </c>
      <c r="S93" s="1" t="s">
        <v>1160</v>
      </c>
      <c r="T93" s="3"/>
      <c r="U93" s="1" t="s">
        <v>50</v>
      </c>
      <c r="V93" s="1">
        <v>5.56338585E8</v>
      </c>
      <c r="W93" s="3"/>
      <c r="X93" s="2" t="s">
        <v>1161</v>
      </c>
      <c r="Y93" s="3"/>
      <c r="Z93" s="1" t="s">
        <v>1162</v>
      </c>
      <c r="AA93" s="4" t="s">
        <v>1163</v>
      </c>
      <c r="AB93" s="4" t="s">
        <v>1164</v>
      </c>
      <c r="AC93" s="1" t="s">
        <v>1161</v>
      </c>
      <c r="AD93" s="1" t="s">
        <v>1165</v>
      </c>
      <c r="AE93" s="3"/>
      <c r="AF93" s="1" t="s">
        <v>56</v>
      </c>
      <c r="AG93" s="1" t="s">
        <v>76</v>
      </c>
      <c r="AH93" s="1" t="s">
        <v>58</v>
      </c>
      <c r="AI93" s="3"/>
      <c r="AJ93" s="1" t="s">
        <v>96</v>
      </c>
      <c r="AK93" s="2" t="s">
        <v>1166</v>
      </c>
      <c r="AL93" s="3"/>
      <c r="AM93" s="2" t="s">
        <v>1167</v>
      </c>
      <c r="AN93" s="3"/>
      <c r="AO93" s="3"/>
    </row>
    <row r="94">
      <c r="A94" s="1">
        <v>32.0</v>
      </c>
      <c r="B94" s="1" t="s">
        <v>1168</v>
      </c>
      <c r="C94" s="3"/>
      <c r="D94" s="2" t="s">
        <v>1081</v>
      </c>
      <c r="E94" s="1" t="s">
        <v>1082</v>
      </c>
      <c r="F94" s="1" t="s">
        <v>1083</v>
      </c>
      <c r="G94" s="1" t="s">
        <v>84</v>
      </c>
      <c r="H94" s="3"/>
      <c r="I94" s="1" t="s">
        <v>1169</v>
      </c>
      <c r="J94" s="1">
        <v>232.0</v>
      </c>
      <c r="K94" s="1" t="s">
        <v>1170</v>
      </c>
      <c r="L94" s="1">
        <v>33079.0</v>
      </c>
      <c r="M94" s="1">
        <v>33063.0</v>
      </c>
      <c r="N94" s="1" t="s">
        <v>45</v>
      </c>
      <c r="O94" s="1" t="s">
        <v>46</v>
      </c>
      <c r="P94" s="1" t="s">
        <v>47</v>
      </c>
      <c r="Q94" s="3"/>
      <c r="R94" s="1" t="s">
        <v>1171</v>
      </c>
      <c r="S94" s="1" t="s">
        <v>1172</v>
      </c>
      <c r="T94" s="3"/>
      <c r="U94" s="1" t="s">
        <v>50</v>
      </c>
      <c r="V94" s="1">
        <v>3646.0</v>
      </c>
      <c r="W94" s="3"/>
      <c r="X94" s="2" t="s">
        <v>1173</v>
      </c>
      <c r="Y94" s="3"/>
      <c r="Z94" s="3"/>
      <c r="AA94" s="4" t="s">
        <v>1088</v>
      </c>
      <c r="AB94" s="5"/>
      <c r="AC94" s="1" t="s">
        <v>1173</v>
      </c>
      <c r="AD94" s="1" t="s">
        <v>928</v>
      </c>
      <c r="AE94" s="1" t="s">
        <v>55</v>
      </c>
      <c r="AF94" s="1" t="s">
        <v>56</v>
      </c>
      <c r="AG94" s="1" t="s">
        <v>109</v>
      </c>
      <c r="AH94" s="1" t="s">
        <v>95</v>
      </c>
      <c r="AI94" s="3"/>
      <c r="AJ94" s="1" t="s">
        <v>96</v>
      </c>
      <c r="AK94" s="2" t="s">
        <v>1089</v>
      </c>
      <c r="AL94" s="3"/>
      <c r="AM94" s="2" t="s">
        <v>1174</v>
      </c>
      <c r="AN94" s="3"/>
      <c r="AO94" s="3"/>
    </row>
    <row r="95">
      <c r="A95" s="1">
        <v>36.0</v>
      </c>
      <c r="B95" s="1" t="s">
        <v>1175</v>
      </c>
      <c r="C95" s="3"/>
      <c r="D95" s="2" t="s">
        <v>1176</v>
      </c>
      <c r="E95" s="1" t="s">
        <v>41</v>
      </c>
      <c r="F95" s="1" t="s">
        <v>42</v>
      </c>
      <c r="G95" s="1" t="s">
        <v>41</v>
      </c>
      <c r="H95" s="3"/>
      <c r="I95" s="1" t="s">
        <v>1177</v>
      </c>
      <c r="J95" s="1">
        <v>45.0</v>
      </c>
      <c r="K95" s="1" t="s">
        <v>1178</v>
      </c>
      <c r="L95" s="1">
        <v>33800.0</v>
      </c>
      <c r="M95" s="1">
        <v>33063.0</v>
      </c>
      <c r="N95" s="1" t="s">
        <v>45</v>
      </c>
      <c r="O95" s="1" t="s">
        <v>46</v>
      </c>
      <c r="P95" s="1" t="s">
        <v>47</v>
      </c>
      <c r="Q95" s="3"/>
      <c r="R95" s="1" t="s">
        <v>1179</v>
      </c>
      <c r="S95" s="1" t="s">
        <v>1180</v>
      </c>
      <c r="T95" s="3"/>
      <c r="U95" s="1" t="s">
        <v>50</v>
      </c>
      <c r="V95" s="1">
        <v>6.48530778E8</v>
      </c>
      <c r="W95" s="3"/>
      <c r="X95" s="2" t="s">
        <v>1181</v>
      </c>
      <c r="Y95" s="3"/>
      <c r="Z95" s="1" t="s">
        <v>1182</v>
      </c>
      <c r="AA95" s="4" t="s">
        <v>1183</v>
      </c>
      <c r="AB95" s="4" t="s">
        <v>1184</v>
      </c>
      <c r="AC95" s="1" t="s">
        <v>1181</v>
      </c>
      <c r="AD95" s="3"/>
      <c r="AE95" s="1" t="s">
        <v>75</v>
      </c>
      <c r="AF95" s="1" t="s">
        <v>56</v>
      </c>
      <c r="AG95" s="1" t="s">
        <v>109</v>
      </c>
      <c r="AH95" s="1" t="s">
        <v>95</v>
      </c>
      <c r="AI95" s="3"/>
      <c r="AJ95" s="1" t="s">
        <v>59</v>
      </c>
      <c r="AK95" s="2" t="s">
        <v>1185</v>
      </c>
      <c r="AL95" s="3"/>
      <c r="AM95" s="2" t="s">
        <v>1186</v>
      </c>
      <c r="AN95" s="3"/>
      <c r="AO95" s="3"/>
    </row>
    <row r="96">
      <c r="A96" s="1">
        <v>37.0</v>
      </c>
      <c r="B96" s="1" t="s">
        <v>1187</v>
      </c>
      <c r="C96" s="3"/>
      <c r="D96" s="2" t="s">
        <v>1188</v>
      </c>
      <c r="E96" s="1" t="s">
        <v>41</v>
      </c>
      <c r="F96" s="1" t="s">
        <v>42</v>
      </c>
      <c r="G96" s="1" t="s">
        <v>41</v>
      </c>
      <c r="H96" s="3"/>
      <c r="I96" s="1" t="s">
        <v>1189</v>
      </c>
      <c r="J96" s="1" t="s">
        <v>1190</v>
      </c>
      <c r="K96" s="1" t="s">
        <v>1191</v>
      </c>
      <c r="L96" s="1">
        <v>33800.0</v>
      </c>
      <c r="M96" s="1">
        <v>33063.0</v>
      </c>
      <c r="N96" s="1" t="s">
        <v>45</v>
      </c>
      <c r="O96" s="1" t="s">
        <v>46</v>
      </c>
      <c r="P96" s="1" t="s">
        <v>47</v>
      </c>
      <c r="Q96" s="3"/>
      <c r="R96" s="1" t="s">
        <v>1192</v>
      </c>
      <c r="S96" s="1" t="s">
        <v>1193</v>
      </c>
      <c r="T96" s="3"/>
      <c r="U96" s="1" t="s">
        <v>50</v>
      </c>
      <c r="V96" s="1">
        <v>5.57717593E8</v>
      </c>
      <c r="W96" s="3"/>
      <c r="X96" s="2" t="s">
        <v>1194</v>
      </c>
      <c r="Y96" s="3"/>
      <c r="Z96" s="1" t="s">
        <v>1195</v>
      </c>
      <c r="AA96" s="4" t="s">
        <v>1196</v>
      </c>
      <c r="AB96" s="5"/>
      <c r="AC96" s="1" t="s">
        <v>1194</v>
      </c>
      <c r="AD96" s="1" t="s">
        <v>1197</v>
      </c>
      <c r="AE96" s="1" t="s">
        <v>253</v>
      </c>
      <c r="AF96" s="1" t="s">
        <v>56</v>
      </c>
      <c r="AG96" s="1" t="s">
        <v>76</v>
      </c>
      <c r="AH96" s="1" t="s">
        <v>95</v>
      </c>
      <c r="AI96" s="3"/>
      <c r="AJ96" s="1" t="s">
        <v>59</v>
      </c>
      <c r="AK96" s="2" t="s">
        <v>1198</v>
      </c>
      <c r="AL96" s="3"/>
      <c r="AM96" s="2" t="s">
        <v>1199</v>
      </c>
      <c r="AN96" s="3"/>
      <c r="AO96" s="3"/>
    </row>
    <row r="97">
      <c r="A97" s="1">
        <v>38.0</v>
      </c>
      <c r="B97" s="1" t="s">
        <v>1200</v>
      </c>
      <c r="C97" s="3"/>
      <c r="D97" s="2" t="s">
        <v>1201</v>
      </c>
      <c r="E97" s="1" t="s">
        <v>1202</v>
      </c>
      <c r="F97" s="1" t="s">
        <v>42</v>
      </c>
      <c r="G97" s="1" t="s">
        <v>41</v>
      </c>
      <c r="H97" s="3"/>
      <c r="I97" s="1" t="s">
        <v>1203</v>
      </c>
      <c r="J97" s="1" t="s">
        <v>1204</v>
      </c>
      <c r="K97" s="1" t="s">
        <v>1205</v>
      </c>
      <c r="L97" s="1">
        <v>33800.0</v>
      </c>
      <c r="M97" s="1">
        <v>33063.0</v>
      </c>
      <c r="N97" s="1" t="s">
        <v>45</v>
      </c>
      <c r="O97" s="1" t="s">
        <v>46</v>
      </c>
      <c r="P97" s="1" t="s">
        <v>47</v>
      </c>
      <c r="Q97" s="3"/>
      <c r="R97" s="1" t="s">
        <v>1206</v>
      </c>
      <c r="S97" s="1" t="s">
        <v>1207</v>
      </c>
      <c r="T97" s="3"/>
      <c r="U97" s="1" t="s">
        <v>50</v>
      </c>
      <c r="V97" s="1">
        <v>5.56858545E8</v>
      </c>
      <c r="W97" s="3"/>
      <c r="X97" s="2" t="s">
        <v>1208</v>
      </c>
      <c r="Y97" s="3"/>
      <c r="Z97" s="1" t="s">
        <v>1209</v>
      </c>
      <c r="AA97" s="4" t="s">
        <v>1210</v>
      </c>
      <c r="AB97" s="4" t="s">
        <v>1211</v>
      </c>
      <c r="AC97" s="1" t="s">
        <v>1208</v>
      </c>
      <c r="AD97" s="1" t="s">
        <v>1212</v>
      </c>
      <c r="AE97" s="1" t="s">
        <v>55</v>
      </c>
      <c r="AF97" s="1" t="s">
        <v>56</v>
      </c>
      <c r="AG97" s="1" t="s">
        <v>76</v>
      </c>
      <c r="AH97" s="1" t="s">
        <v>95</v>
      </c>
      <c r="AI97" s="3"/>
      <c r="AJ97" s="1" t="s">
        <v>59</v>
      </c>
      <c r="AK97" s="2" t="s">
        <v>1213</v>
      </c>
      <c r="AL97" s="3"/>
      <c r="AM97" s="2" t="s">
        <v>1214</v>
      </c>
      <c r="AN97" s="3"/>
      <c r="AO97" s="3"/>
    </row>
    <row r="98">
      <c r="A98" s="1">
        <v>40.0</v>
      </c>
      <c r="B98" s="1" t="s">
        <v>1215</v>
      </c>
      <c r="C98" s="1" t="s">
        <v>1216</v>
      </c>
      <c r="D98" s="2" t="s">
        <v>1217</v>
      </c>
      <c r="E98" s="1" t="s">
        <v>1218</v>
      </c>
      <c r="F98" s="1" t="s">
        <v>83</v>
      </c>
      <c r="G98" s="1" t="s">
        <v>133</v>
      </c>
      <c r="H98" s="3"/>
      <c r="I98" s="1" t="s">
        <v>1219</v>
      </c>
      <c r="J98" s="1">
        <v>13.0</v>
      </c>
      <c r="K98" s="1" t="s">
        <v>1220</v>
      </c>
      <c r="L98" s="1">
        <v>33800.0</v>
      </c>
      <c r="M98" s="1">
        <v>33063.0</v>
      </c>
      <c r="N98" s="1" t="s">
        <v>45</v>
      </c>
      <c r="O98" s="1" t="s">
        <v>46</v>
      </c>
      <c r="P98" s="1" t="s">
        <v>47</v>
      </c>
      <c r="Q98" s="3"/>
      <c r="R98" s="1" t="s">
        <v>1221</v>
      </c>
      <c r="S98" s="1" t="s">
        <v>1222</v>
      </c>
      <c r="T98" s="3"/>
      <c r="U98" s="1" t="s">
        <v>50</v>
      </c>
      <c r="V98" s="1">
        <v>5.56102613E8</v>
      </c>
      <c r="W98" s="3"/>
      <c r="X98" s="2" t="s">
        <v>1223</v>
      </c>
      <c r="Y98" s="3"/>
      <c r="Z98" s="1" t="s">
        <v>1224</v>
      </c>
      <c r="AA98" s="4" t="s">
        <v>1225</v>
      </c>
      <c r="AB98" s="5"/>
      <c r="AC98" s="1" t="s">
        <v>1223</v>
      </c>
      <c r="AD98" s="1" t="s">
        <v>1226</v>
      </c>
      <c r="AE98" s="1" t="s">
        <v>55</v>
      </c>
      <c r="AF98" s="1" t="s">
        <v>56</v>
      </c>
      <c r="AG98" s="1" t="s">
        <v>109</v>
      </c>
      <c r="AH98" s="1" t="s">
        <v>58</v>
      </c>
      <c r="AI98" s="3"/>
      <c r="AJ98" s="1" t="s">
        <v>59</v>
      </c>
      <c r="AK98" s="2" t="s">
        <v>1227</v>
      </c>
      <c r="AL98" s="3"/>
      <c r="AM98" s="2" t="s">
        <v>1228</v>
      </c>
      <c r="AN98" s="3"/>
      <c r="AO98" s="3"/>
    </row>
    <row r="99">
      <c r="A99" s="1">
        <v>41.0</v>
      </c>
      <c r="B99" s="1" t="s">
        <v>1229</v>
      </c>
      <c r="C99" s="1" t="s">
        <v>130</v>
      </c>
      <c r="D99" s="2" t="s">
        <v>1230</v>
      </c>
      <c r="E99" s="1" t="s">
        <v>132</v>
      </c>
      <c r="F99" s="1" t="s">
        <v>83</v>
      </c>
      <c r="G99" s="1" t="s">
        <v>133</v>
      </c>
      <c r="H99" s="1">
        <v>2.13E13</v>
      </c>
      <c r="I99" s="1" t="s">
        <v>1231</v>
      </c>
      <c r="J99" s="1">
        <v>18.0</v>
      </c>
      <c r="K99" s="1" t="s">
        <v>1232</v>
      </c>
      <c r="L99" s="1">
        <v>33100.0</v>
      </c>
      <c r="M99" s="1">
        <v>33063.0</v>
      </c>
      <c r="N99" s="1" t="s">
        <v>45</v>
      </c>
      <c r="O99" s="1" t="s">
        <v>46</v>
      </c>
      <c r="P99" s="1" t="s">
        <v>47</v>
      </c>
      <c r="Q99" s="3"/>
      <c r="R99" s="1" t="s">
        <v>1233</v>
      </c>
      <c r="S99" s="1" t="s">
        <v>1234</v>
      </c>
      <c r="T99" s="3"/>
      <c r="U99" s="1" t="s">
        <v>50</v>
      </c>
      <c r="V99" s="1">
        <v>5.56861528E8</v>
      </c>
      <c r="W99" s="3"/>
      <c r="X99" s="2" t="s">
        <v>220</v>
      </c>
      <c r="Y99" s="3"/>
      <c r="Z99" s="1" t="s">
        <v>139</v>
      </c>
      <c r="AA99" s="4" t="s">
        <v>140</v>
      </c>
      <c r="AB99" s="4" t="s">
        <v>141</v>
      </c>
      <c r="AC99" s="1" t="s">
        <v>220</v>
      </c>
      <c r="AD99" s="1" t="s">
        <v>221</v>
      </c>
      <c r="AE99" s="1" t="s">
        <v>55</v>
      </c>
      <c r="AF99" s="1" t="s">
        <v>56</v>
      </c>
      <c r="AG99" s="1" t="s">
        <v>76</v>
      </c>
      <c r="AH99" s="1" t="s">
        <v>58</v>
      </c>
      <c r="AI99" s="1" t="s">
        <v>125</v>
      </c>
      <c r="AJ99" s="1" t="s">
        <v>59</v>
      </c>
      <c r="AK99" s="2" t="s">
        <v>222</v>
      </c>
      <c r="AL99" s="3"/>
      <c r="AM99" s="2" t="s">
        <v>1235</v>
      </c>
      <c r="AN99" s="3"/>
      <c r="AO99" s="3"/>
    </row>
    <row r="100">
      <c r="A100" s="1">
        <v>47.0</v>
      </c>
      <c r="B100" s="1" t="s">
        <v>1236</v>
      </c>
      <c r="C100" s="3"/>
      <c r="D100" s="2" t="s">
        <v>1237</v>
      </c>
      <c r="E100" s="1" t="s">
        <v>1238</v>
      </c>
      <c r="F100" s="1" t="s">
        <v>42</v>
      </c>
      <c r="G100" s="1" t="s">
        <v>41</v>
      </c>
      <c r="H100" s="3"/>
      <c r="I100" s="1" t="s">
        <v>1239</v>
      </c>
      <c r="J100" s="1">
        <v>1.0</v>
      </c>
      <c r="K100" s="1" t="s">
        <v>1240</v>
      </c>
      <c r="L100" s="1">
        <v>33440.0</v>
      </c>
      <c r="M100" s="1">
        <v>33003.0</v>
      </c>
      <c r="N100" s="1" t="s">
        <v>654</v>
      </c>
      <c r="O100" s="1" t="s">
        <v>46</v>
      </c>
      <c r="P100" s="1" t="s">
        <v>47</v>
      </c>
      <c r="Q100" s="3"/>
      <c r="R100" s="1" t="s">
        <v>1241</v>
      </c>
      <c r="S100" s="1" t="s">
        <v>1242</v>
      </c>
      <c r="T100" s="3"/>
      <c r="U100" s="1" t="s">
        <v>50</v>
      </c>
      <c r="V100" s="1">
        <v>5.56776264E8</v>
      </c>
      <c r="W100" s="3"/>
      <c r="X100" s="2" t="s">
        <v>1243</v>
      </c>
      <c r="Y100" s="3"/>
      <c r="Z100" s="1" t="s">
        <v>1244</v>
      </c>
      <c r="AA100" s="5"/>
      <c r="AB100" s="5"/>
      <c r="AC100" s="1" t="s">
        <v>1243</v>
      </c>
      <c r="AD100" s="1" t="s">
        <v>1245</v>
      </c>
      <c r="AE100" s="1" t="s">
        <v>55</v>
      </c>
      <c r="AF100" s="1" t="s">
        <v>56</v>
      </c>
      <c r="AG100" s="1" t="s">
        <v>109</v>
      </c>
      <c r="AH100" s="1" t="s">
        <v>95</v>
      </c>
      <c r="AI100" s="1" t="s">
        <v>125</v>
      </c>
      <c r="AJ100" s="1" t="s">
        <v>59</v>
      </c>
      <c r="AK100" s="2" t="s">
        <v>1246</v>
      </c>
      <c r="AL100" s="1" t="s">
        <v>1247</v>
      </c>
      <c r="AM100" s="2" t="s">
        <v>1248</v>
      </c>
      <c r="AN100" s="3"/>
      <c r="AO100" s="3"/>
    </row>
    <row r="101">
      <c r="A101" s="1">
        <v>48.0</v>
      </c>
      <c r="B101" s="1" t="s">
        <v>1249</v>
      </c>
      <c r="C101" s="1" t="s">
        <v>1250</v>
      </c>
      <c r="D101" s="2" t="s">
        <v>1251</v>
      </c>
      <c r="E101" s="1" t="s">
        <v>258</v>
      </c>
      <c r="F101" s="1" t="s">
        <v>83</v>
      </c>
      <c r="G101" s="1" t="s">
        <v>133</v>
      </c>
      <c r="H101" s="3"/>
      <c r="I101" s="1" t="s">
        <v>1252</v>
      </c>
      <c r="J101" s="3"/>
      <c r="K101" s="1" t="s">
        <v>987</v>
      </c>
      <c r="L101" s="1">
        <v>33440.0</v>
      </c>
      <c r="M101" s="1">
        <v>33003.0</v>
      </c>
      <c r="N101" s="1" t="s">
        <v>654</v>
      </c>
      <c r="O101" s="1" t="s">
        <v>46</v>
      </c>
      <c r="P101" s="1" t="s">
        <v>47</v>
      </c>
      <c r="Q101" s="3"/>
      <c r="R101" s="1" t="s">
        <v>1253</v>
      </c>
      <c r="S101" s="1" t="s">
        <v>1254</v>
      </c>
      <c r="T101" s="3"/>
      <c r="U101" s="1" t="s">
        <v>50</v>
      </c>
      <c r="V101" s="1">
        <v>5.56773626E8</v>
      </c>
      <c r="W101" s="3"/>
      <c r="X101" s="2" t="s">
        <v>1255</v>
      </c>
      <c r="Y101" s="3"/>
      <c r="Z101" s="1" t="s">
        <v>1256</v>
      </c>
      <c r="AA101" s="4" t="s">
        <v>1257</v>
      </c>
      <c r="AB101" s="4" t="s">
        <v>1258</v>
      </c>
      <c r="AC101" s="1" t="s">
        <v>1255</v>
      </c>
      <c r="AD101" s="1" t="s">
        <v>1259</v>
      </c>
      <c r="AE101" s="1" t="s">
        <v>75</v>
      </c>
      <c r="AF101" s="1" t="s">
        <v>56</v>
      </c>
      <c r="AG101" s="1" t="s">
        <v>76</v>
      </c>
      <c r="AH101" s="1" t="s">
        <v>95</v>
      </c>
      <c r="AI101" s="1" t="s">
        <v>125</v>
      </c>
      <c r="AJ101" s="1" t="s">
        <v>59</v>
      </c>
      <c r="AK101" s="2" t="s">
        <v>1260</v>
      </c>
      <c r="AL101" s="3"/>
      <c r="AM101" s="2" t="s">
        <v>1261</v>
      </c>
      <c r="AN101" s="3"/>
      <c r="AO101" s="3"/>
    </row>
    <row r="102">
      <c r="A102" s="1">
        <v>52.0</v>
      </c>
      <c r="B102" s="1" t="s">
        <v>1262</v>
      </c>
      <c r="C102" s="1" t="s">
        <v>1263</v>
      </c>
      <c r="D102" s="2" t="s">
        <v>1264</v>
      </c>
      <c r="E102" s="1" t="s">
        <v>132</v>
      </c>
      <c r="F102" s="1" t="s">
        <v>83</v>
      </c>
      <c r="G102" s="1" t="s">
        <v>133</v>
      </c>
      <c r="H102" s="3"/>
      <c r="I102" s="1" t="s">
        <v>1265</v>
      </c>
      <c r="J102" s="3"/>
      <c r="K102" s="1" t="s">
        <v>271</v>
      </c>
      <c r="L102" s="1">
        <v>33530.0</v>
      </c>
      <c r="M102" s="1">
        <v>33032.0</v>
      </c>
      <c r="N102" s="1" t="s">
        <v>1266</v>
      </c>
      <c r="O102" s="1" t="s">
        <v>46</v>
      </c>
      <c r="P102" s="1" t="s">
        <v>47</v>
      </c>
      <c r="Q102" s="3"/>
      <c r="R102" s="1" t="s">
        <v>1267</v>
      </c>
      <c r="S102" s="1" t="s">
        <v>1268</v>
      </c>
      <c r="T102" s="3"/>
      <c r="U102" s="1" t="s">
        <v>50</v>
      </c>
      <c r="V102" s="1">
        <v>5.57808178E8</v>
      </c>
      <c r="W102" s="3"/>
      <c r="X102" s="2" t="s">
        <v>1269</v>
      </c>
      <c r="Y102" s="3"/>
      <c r="Z102" s="1" t="s">
        <v>1270</v>
      </c>
      <c r="AA102" s="4" t="s">
        <v>1271</v>
      </c>
      <c r="AB102" s="5"/>
      <c r="AC102" s="1" t="s">
        <v>1269</v>
      </c>
      <c r="AD102" s="1" t="s">
        <v>1272</v>
      </c>
      <c r="AE102" s="1" t="s">
        <v>55</v>
      </c>
      <c r="AF102" s="1" t="s">
        <v>56</v>
      </c>
      <c r="AG102" s="1" t="s">
        <v>76</v>
      </c>
      <c r="AH102" s="1" t="s">
        <v>58</v>
      </c>
      <c r="AI102" s="1" t="s">
        <v>125</v>
      </c>
      <c r="AJ102" s="1" t="s">
        <v>96</v>
      </c>
      <c r="AK102" s="2" t="s">
        <v>1273</v>
      </c>
      <c r="AL102" s="3"/>
      <c r="AM102" s="2" t="s">
        <v>1274</v>
      </c>
      <c r="AN102" s="3"/>
      <c r="AO102" s="3"/>
    </row>
    <row r="103">
      <c r="A103" s="1">
        <v>54.0</v>
      </c>
      <c r="B103" s="1" t="s">
        <v>1275</v>
      </c>
      <c r="C103" s="1" t="s">
        <v>1276</v>
      </c>
      <c r="D103" s="2" t="s">
        <v>1277</v>
      </c>
      <c r="E103" s="1" t="s">
        <v>132</v>
      </c>
      <c r="F103" s="1" t="s">
        <v>83</v>
      </c>
      <c r="G103" s="1" t="s">
        <v>133</v>
      </c>
      <c r="H103" s="3"/>
      <c r="I103" s="1" t="s">
        <v>1278</v>
      </c>
      <c r="J103" s="1">
        <v>17.0</v>
      </c>
      <c r="K103" s="1" t="s">
        <v>1279</v>
      </c>
      <c r="L103" s="1">
        <v>33564.0</v>
      </c>
      <c r="M103" s="1">
        <v>33096.0</v>
      </c>
      <c r="N103" s="1" t="s">
        <v>260</v>
      </c>
      <c r="O103" s="1" t="s">
        <v>46</v>
      </c>
      <c r="P103" s="1" t="s">
        <v>47</v>
      </c>
      <c r="Q103" s="1" t="s">
        <v>1280</v>
      </c>
      <c r="R103" s="1" t="s">
        <v>1281</v>
      </c>
      <c r="S103" s="1" t="s">
        <v>1282</v>
      </c>
      <c r="T103" s="3"/>
      <c r="U103" s="1" t="s">
        <v>50</v>
      </c>
      <c r="V103" s="1">
        <v>5.56776886E8</v>
      </c>
      <c r="W103" s="3"/>
      <c r="X103" s="2" t="s">
        <v>1283</v>
      </c>
      <c r="Y103" s="3"/>
      <c r="Z103" s="1" t="s">
        <v>1284</v>
      </c>
      <c r="AA103" s="4" t="s">
        <v>1285</v>
      </c>
      <c r="AB103" s="5"/>
      <c r="AC103" s="1" t="s">
        <v>1283</v>
      </c>
      <c r="AD103" s="1" t="s">
        <v>1286</v>
      </c>
      <c r="AE103" s="1" t="s">
        <v>55</v>
      </c>
      <c r="AF103" s="3"/>
      <c r="AG103" s="1" t="s">
        <v>109</v>
      </c>
      <c r="AH103" s="1" t="s">
        <v>58</v>
      </c>
      <c r="AI103" s="1" t="s">
        <v>125</v>
      </c>
      <c r="AJ103" s="1" t="s">
        <v>96</v>
      </c>
      <c r="AK103" s="2" t="s">
        <v>1287</v>
      </c>
      <c r="AL103" s="3"/>
      <c r="AM103" s="2" t="s">
        <v>1288</v>
      </c>
      <c r="AN103" s="3"/>
      <c r="AO103" s="3"/>
    </row>
    <row r="104">
      <c r="A104" s="1">
        <v>55.0</v>
      </c>
      <c r="B104" s="1" t="s">
        <v>1289</v>
      </c>
      <c r="C104" s="3"/>
      <c r="D104" s="2" t="s">
        <v>1290</v>
      </c>
      <c r="E104" s="1" t="s">
        <v>114</v>
      </c>
      <c r="F104" s="1" t="s">
        <v>42</v>
      </c>
      <c r="G104" s="1" t="s">
        <v>41</v>
      </c>
      <c r="H104" s="3"/>
      <c r="I104" s="1" t="s">
        <v>1291</v>
      </c>
      <c r="J104" s="1">
        <v>2.0</v>
      </c>
      <c r="K104" s="1" t="s">
        <v>1292</v>
      </c>
      <c r="L104" s="1">
        <v>33150.0</v>
      </c>
      <c r="M104" s="1">
        <v>33119.0</v>
      </c>
      <c r="N104" s="1" t="s">
        <v>272</v>
      </c>
      <c r="O104" s="1" t="s">
        <v>46</v>
      </c>
      <c r="P104" s="1" t="s">
        <v>47</v>
      </c>
      <c r="Q104" s="3"/>
      <c r="R104" s="1" t="s">
        <v>1293</v>
      </c>
      <c r="S104" s="1" t="s">
        <v>1294</v>
      </c>
      <c r="T104" s="3"/>
      <c r="U104" s="1" t="s">
        <v>50</v>
      </c>
      <c r="V104" s="1">
        <v>5.5777903E8</v>
      </c>
      <c r="W104" s="3"/>
      <c r="X104" s="2" t="s">
        <v>304</v>
      </c>
      <c r="Y104" s="3"/>
      <c r="Z104" s="1" t="s">
        <v>1295</v>
      </c>
      <c r="AA104" s="4" t="s">
        <v>1296</v>
      </c>
      <c r="AB104" s="4" t="s">
        <v>1297</v>
      </c>
      <c r="AC104" s="1" t="s">
        <v>304</v>
      </c>
      <c r="AD104" s="1" t="s">
        <v>307</v>
      </c>
      <c r="AE104" s="1" t="s">
        <v>55</v>
      </c>
      <c r="AF104" s="1" t="s">
        <v>56</v>
      </c>
      <c r="AG104" s="1" t="s">
        <v>76</v>
      </c>
      <c r="AH104" s="1" t="s">
        <v>295</v>
      </c>
      <c r="AI104" s="1" t="s">
        <v>125</v>
      </c>
      <c r="AJ104" s="1" t="s">
        <v>59</v>
      </c>
      <c r="AK104" s="2" t="s">
        <v>1298</v>
      </c>
      <c r="AL104" s="1" t="s">
        <v>494</v>
      </c>
      <c r="AM104" s="2" t="s">
        <v>1299</v>
      </c>
      <c r="AN104" s="3"/>
      <c r="AO104" s="3"/>
    </row>
    <row r="105">
      <c r="A105" s="1">
        <v>57.0</v>
      </c>
      <c r="B105" s="1" t="s">
        <v>1300</v>
      </c>
      <c r="C105" s="3"/>
      <c r="D105" s="2" t="s">
        <v>1301</v>
      </c>
      <c r="E105" s="1" t="s">
        <v>1202</v>
      </c>
      <c r="F105" s="1" t="s">
        <v>42</v>
      </c>
      <c r="G105" s="1" t="s">
        <v>41</v>
      </c>
      <c r="H105" s="3"/>
      <c r="I105" s="1" t="s">
        <v>1302</v>
      </c>
      <c r="J105" s="1">
        <v>89.0</v>
      </c>
      <c r="K105" s="1" t="s">
        <v>1303</v>
      </c>
      <c r="L105" s="1">
        <v>33150.0</v>
      </c>
      <c r="M105" s="1">
        <v>33119.0</v>
      </c>
      <c r="N105" s="1" t="s">
        <v>272</v>
      </c>
      <c r="O105" s="1" t="s">
        <v>46</v>
      </c>
      <c r="P105" s="1" t="s">
        <v>47</v>
      </c>
      <c r="Q105" s="3"/>
      <c r="R105" s="1" t="s">
        <v>1304</v>
      </c>
      <c r="S105" s="1" t="s">
        <v>1305</v>
      </c>
      <c r="T105" s="3"/>
      <c r="U105" s="1" t="s">
        <v>50</v>
      </c>
      <c r="V105" s="1">
        <v>5.4774778E8</v>
      </c>
      <c r="W105" s="3"/>
      <c r="X105" s="2" t="s">
        <v>1306</v>
      </c>
      <c r="Y105" s="3"/>
      <c r="Z105" s="1" t="s">
        <v>1307</v>
      </c>
      <c r="AA105" s="4" t="s">
        <v>1308</v>
      </c>
      <c r="AB105" s="4" t="s">
        <v>1309</v>
      </c>
      <c r="AC105" s="1" t="s">
        <v>1310</v>
      </c>
      <c r="AD105" s="1" t="s">
        <v>1311</v>
      </c>
      <c r="AE105" s="1" t="s">
        <v>124</v>
      </c>
      <c r="AF105" s="3"/>
      <c r="AG105" s="1" t="s">
        <v>76</v>
      </c>
      <c r="AH105" s="1" t="s">
        <v>95</v>
      </c>
      <c r="AI105" s="3"/>
      <c r="AJ105" s="1" t="s">
        <v>59</v>
      </c>
      <c r="AK105" s="2" t="s">
        <v>1312</v>
      </c>
      <c r="AL105" s="3"/>
      <c r="AM105" s="2" t="s">
        <v>1313</v>
      </c>
      <c r="AN105" s="3"/>
      <c r="AO105" s="3"/>
    </row>
    <row r="106">
      <c r="A106" s="1">
        <v>58.0</v>
      </c>
      <c r="B106" s="1" t="s">
        <v>1314</v>
      </c>
      <c r="C106" s="3"/>
      <c r="D106" s="2" t="s">
        <v>1315</v>
      </c>
      <c r="E106" s="1" t="s">
        <v>41</v>
      </c>
      <c r="F106" s="1" t="s">
        <v>42</v>
      </c>
      <c r="G106" s="1" t="s">
        <v>41</v>
      </c>
      <c r="H106" s="3"/>
      <c r="I106" s="1" t="s">
        <v>1316</v>
      </c>
      <c r="J106" s="1">
        <v>1.0</v>
      </c>
      <c r="K106" s="1" t="s">
        <v>689</v>
      </c>
      <c r="L106" s="1">
        <v>33150.0</v>
      </c>
      <c r="M106" s="1">
        <v>33119.0</v>
      </c>
      <c r="N106" s="1" t="s">
        <v>272</v>
      </c>
      <c r="O106" s="1" t="s">
        <v>46</v>
      </c>
      <c r="P106" s="1" t="s">
        <v>47</v>
      </c>
      <c r="Q106" s="3"/>
      <c r="R106" s="1" t="s">
        <v>1317</v>
      </c>
      <c r="S106" s="1" t="s">
        <v>1318</v>
      </c>
      <c r="T106" s="3"/>
      <c r="U106" s="1" t="s">
        <v>50</v>
      </c>
      <c r="V106" s="1">
        <v>6.71838626E8</v>
      </c>
      <c r="W106" s="3"/>
      <c r="X106" s="2" t="s">
        <v>1319</v>
      </c>
      <c r="Y106" s="3"/>
      <c r="Z106" s="1" t="s">
        <v>1320</v>
      </c>
      <c r="AA106" s="4" t="s">
        <v>1321</v>
      </c>
      <c r="AB106" s="4" t="s">
        <v>1322</v>
      </c>
      <c r="AC106" s="1" t="s">
        <v>1319</v>
      </c>
      <c r="AD106" s="1" t="s">
        <v>1323</v>
      </c>
      <c r="AE106" s="1" t="s">
        <v>1324</v>
      </c>
      <c r="AF106" s="1" t="s">
        <v>56</v>
      </c>
      <c r="AG106" s="1" t="s">
        <v>76</v>
      </c>
      <c r="AH106" s="1" t="s">
        <v>95</v>
      </c>
      <c r="AI106" s="1" t="s">
        <v>125</v>
      </c>
      <c r="AJ106" s="1" t="s">
        <v>59</v>
      </c>
      <c r="AK106" s="2" t="s">
        <v>1325</v>
      </c>
      <c r="AL106" s="3"/>
      <c r="AM106" s="2" t="s">
        <v>1326</v>
      </c>
      <c r="AN106" s="3"/>
      <c r="AO106" s="3"/>
    </row>
    <row r="107">
      <c r="A107" s="1">
        <v>67.0</v>
      </c>
      <c r="B107" s="1" t="s">
        <v>1327</v>
      </c>
      <c r="C107" s="3"/>
      <c r="D107" s="2" t="s">
        <v>1328</v>
      </c>
      <c r="E107" s="1" t="s">
        <v>41</v>
      </c>
      <c r="F107" s="1" t="s">
        <v>42</v>
      </c>
      <c r="G107" s="1" t="s">
        <v>41</v>
      </c>
      <c r="H107" s="3"/>
      <c r="I107" s="1" t="s">
        <v>1329</v>
      </c>
      <c r="J107" s="1">
        <v>18.0</v>
      </c>
      <c r="K107" s="1" t="s">
        <v>1330</v>
      </c>
      <c r="L107" s="1">
        <v>33310.0</v>
      </c>
      <c r="M107" s="1">
        <v>33249.0</v>
      </c>
      <c r="N107" s="1" t="s">
        <v>287</v>
      </c>
      <c r="O107" s="1" t="s">
        <v>46</v>
      </c>
      <c r="P107" s="1" t="s">
        <v>47</v>
      </c>
      <c r="Q107" s="1" t="s">
        <v>1331</v>
      </c>
      <c r="R107" s="1" t="s">
        <v>1332</v>
      </c>
      <c r="S107" s="1" t="s">
        <v>1333</v>
      </c>
      <c r="T107" s="3"/>
      <c r="U107" s="1" t="s">
        <v>50</v>
      </c>
      <c r="V107" s="1">
        <v>5.56311356E8</v>
      </c>
      <c r="W107" s="3"/>
      <c r="X107" s="2" t="s">
        <v>1334</v>
      </c>
      <c r="Y107" s="3"/>
      <c r="Z107" s="1" t="s">
        <v>1335</v>
      </c>
      <c r="AA107" s="5"/>
      <c r="AB107" s="5"/>
      <c r="AC107" s="1" t="s">
        <v>1334</v>
      </c>
      <c r="AD107" s="1" t="s">
        <v>1336</v>
      </c>
      <c r="AE107" s="1" t="s">
        <v>55</v>
      </c>
      <c r="AF107" s="1" t="s">
        <v>56</v>
      </c>
      <c r="AG107" s="1" t="s">
        <v>76</v>
      </c>
      <c r="AH107" s="1" t="s">
        <v>295</v>
      </c>
      <c r="AI107" s="3"/>
      <c r="AJ107" s="1" t="s">
        <v>96</v>
      </c>
      <c r="AK107" s="2" t="s">
        <v>1337</v>
      </c>
      <c r="AL107" s="1" t="s">
        <v>1338</v>
      </c>
      <c r="AM107" s="2" t="s">
        <v>1339</v>
      </c>
      <c r="AN107" s="3"/>
      <c r="AO107" s="3"/>
    </row>
    <row r="108">
      <c r="A108" s="1">
        <v>77.0</v>
      </c>
      <c r="B108" s="1" t="s">
        <v>1340</v>
      </c>
      <c r="C108" s="1" t="s">
        <v>1341</v>
      </c>
      <c r="D108" s="2" t="s">
        <v>1342</v>
      </c>
      <c r="E108" s="1" t="s">
        <v>132</v>
      </c>
      <c r="F108" s="1" t="s">
        <v>83</v>
      </c>
      <c r="G108" s="1" t="s">
        <v>133</v>
      </c>
      <c r="H108" s="3"/>
      <c r="I108" s="1" t="s">
        <v>1343</v>
      </c>
      <c r="J108" s="1">
        <v>32.0</v>
      </c>
      <c r="K108" s="1" t="s">
        <v>1344</v>
      </c>
      <c r="L108" s="1">
        <v>33170.0</v>
      </c>
      <c r="M108" s="1">
        <v>33192.0</v>
      </c>
      <c r="N108" s="1" t="s">
        <v>352</v>
      </c>
      <c r="O108" s="1" t="s">
        <v>46</v>
      </c>
      <c r="P108" s="1" t="s">
        <v>47</v>
      </c>
      <c r="Q108" s="3"/>
      <c r="R108" s="1" t="s">
        <v>1345</v>
      </c>
      <c r="S108" s="1" t="s">
        <v>1346</v>
      </c>
      <c r="T108" s="3"/>
      <c r="U108" s="1" t="s">
        <v>50</v>
      </c>
      <c r="V108" s="1">
        <v>5.5712189E8</v>
      </c>
      <c r="W108" s="3"/>
      <c r="X108" s="2" t="s">
        <v>1347</v>
      </c>
      <c r="Y108" s="3"/>
      <c r="Z108" s="1" t="s">
        <v>1348</v>
      </c>
      <c r="AA108" s="4" t="s">
        <v>1349</v>
      </c>
      <c r="AB108" s="5"/>
      <c r="AC108" s="1" t="s">
        <v>1347</v>
      </c>
      <c r="AD108" s="1" t="s">
        <v>1350</v>
      </c>
      <c r="AE108" s="1" t="s">
        <v>55</v>
      </c>
      <c r="AF108" s="1" t="s">
        <v>56</v>
      </c>
      <c r="AG108" s="1" t="s">
        <v>76</v>
      </c>
      <c r="AH108" s="1" t="s">
        <v>295</v>
      </c>
      <c r="AI108" s="1" t="s">
        <v>125</v>
      </c>
      <c r="AJ108" s="1" t="s">
        <v>59</v>
      </c>
      <c r="AK108" s="2" t="s">
        <v>1351</v>
      </c>
      <c r="AL108" s="3"/>
      <c r="AM108" s="2" t="s">
        <v>1352</v>
      </c>
      <c r="AN108" s="3"/>
      <c r="AO108" s="3"/>
    </row>
    <row r="109">
      <c r="A109" s="1">
        <v>81.0</v>
      </c>
      <c r="B109" s="1" t="s">
        <v>1353</v>
      </c>
      <c r="C109" s="3"/>
      <c r="D109" s="2" t="s">
        <v>1354</v>
      </c>
      <c r="E109" s="1" t="s">
        <v>41</v>
      </c>
      <c r="F109" s="1" t="s">
        <v>42</v>
      </c>
      <c r="G109" s="1" t="s">
        <v>41</v>
      </c>
      <c r="H109" s="3"/>
      <c r="I109" s="1" t="s">
        <v>1355</v>
      </c>
      <c r="J109" s="1">
        <v>8.0</v>
      </c>
      <c r="K109" s="1" t="s">
        <v>1356</v>
      </c>
      <c r="L109" s="1">
        <v>33600.0</v>
      </c>
      <c r="M109" s="1">
        <v>33318.0</v>
      </c>
      <c r="N109" s="1" t="s">
        <v>381</v>
      </c>
      <c r="O109" s="1" t="s">
        <v>46</v>
      </c>
      <c r="P109" s="1" t="s">
        <v>47</v>
      </c>
      <c r="Q109" s="3"/>
      <c r="R109" s="1" t="s">
        <v>1357</v>
      </c>
      <c r="S109" s="1" t="s">
        <v>1358</v>
      </c>
      <c r="T109" s="3"/>
      <c r="U109" s="1" t="s">
        <v>50</v>
      </c>
      <c r="V109" s="1">
        <v>5.56514857E8</v>
      </c>
      <c r="W109" s="3"/>
      <c r="X109" s="2" t="s">
        <v>1359</v>
      </c>
      <c r="Y109" s="3"/>
      <c r="Z109" s="1" t="s">
        <v>1360</v>
      </c>
      <c r="AA109" s="4" t="s">
        <v>1361</v>
      </c>
      <c r="AB109" s="4" t="s">
        <v>1362</v>
      </c>
      <c r="AC109" s="1" t="s">
        <v>1359</v>
      </c>
      <c r="AD109" s="1" t="s">
        <v>1363</v>
      </c>
      <c r="AE109" s="1" t="s">
        <v>361</v>
      </c>
      <c r="AF109" s="1" t="s">
        <v>56</v>
      </c>
      <c r="AG109" s="1" t="s">
        <v>76</v>
      </c>
      <c r="AH109" s="1" t="s">
        <v>295</v>
      </c>
      <c r="AI109" s="1" t="s">
        <v>125</v>
      </c>
      <c r="AJ109" s="1" t="s">
        <v>59</v>
      </c>
      <c r="AK109" s="2" t="s">
        <v>1364</v>
      </c>
      <c r="AL109" s="1" t="s">
        <v>494</v>
      </c>
      <c r="AM109" s="2" t="s">
        <v>1365</v>
      </c>
      <c r="AN109" s="3"/>
      <c r="AO109" s="3"/>
    </row>
    <row r="110">
      <c r="A110" s="1">
        <v>82.0</v>
      </c>
      <c r="B110" s="1" t="s">
        <v>1366</v>
      </c>
      <c r="C110" s="3"/>
      <c r="D110" s="2" t="s">
        <v>1367</v>
      </c>
      <c r="E110" s="1" t="s">
        <v>114</v>
      </c>
      <c r="F110" s="1" t="s">
        <v>42</v>
      </c>
      <c r="G110" s="1" t="s">
        <v>41</v>
      </c>
      <c r="H110" s="3"/>
      <c r="I110" s="1" t="s">
        <v>1368</v>
      </c>
      <c r="J110" s="1">
        <v>68.0</v>
      </c>
      <c r="K110" s="1" t="s">
        <v>1369</v>
      </c>
      <c r="L110" s="1">
        <v>33600.0</v>
      </c>
      <c r="M110" s="1">
        <v>33318.0</v>
      </c>
      <c r="N110" s="1" t="s">
        <v>381</v>
      </c>
      <c r="O110" s="1" t="s">
        <v>46</v>
      </c>
      <c r="P110" s="1" t="s">
        <v>47</v>
      </c>
      <c r="Q110" s="3"/>
      <c r="R110" s="1" t="s">
        <v>1370</v>
      </c>
      <c r="S110" s="1" t="s">
        <v>1371</v>
      </c>
      <c r="T110" s="3"/>
      <c r="U110" s="1" t="s">
        <v>50</v>
      </c>
      <c r="V110" s="1">
        <v>5.5645575E8</v>
      </c>
      <c r="W110" s="3"/>
      <c r="X110" s="2" t="s">
        <v>1372</v>
      </c>
      <c r="Y110" s="3"/>
      <c r="Z110" s="1" t="s">
        <v>1373</v>
      </c>
      <c r="AA110" s="5"/>
      <c r="AB110" s="4" t="s">
        <v>1374</v>
      </c>
      <c r="AC110" s="1" t="s">
        <v>1372</v>
      </c>
      <c r="AD110" s="1" t="s">
        <v>1375</v>
      </c>
      <c r="AE110" s="1" t="s">
        <v>55</v>
      </c>
      <c r="AF110" s="1" t="s">
        <v>56</v>
      </c>
      <c r="AG110" s="1" t="s">
        <v>76</v>
      </c>
      <c r="AH110" s="1" t="s">
        <v>95</v>
      </c>
      <c r="AI110" s="1" t="s">
        <v>125</v>
      </c>
      <c r="AJ110" s="1" t="s">
        <v>59</v>
      </c>
      <c r="AK110" s="2" t="s">
        <v>1376</v>
      </c>
      <c r="AL110" s="1" t="s">
        <v>1377</v>
      </c>
      <c r="AM110" s="2" t="s">
        <v>1378</v>
      </c>
      <c r="AN110" s="3"/>
      <c r="AO110" s="3"/>
    </row>
    <row r="111">
      <c r="A111" s="1">
        <v>85.0</v>
      </c>
      <c r="B111" s="1" t="s">
        <v>1379</v>
      </c>
      <c r="C111" s="3"/>
      <c r="D111" s="2" t="s">
        <v>1380</v>
      </c>
      <c r="E111" s="1" t="s">
        <v>114</v>
      </c>
      <c r="F111" s="1" t="s">
        <v>42</v>
      </c>
      <c r="G111" s="1" t="s">
        <v>41</v>
      </c>
      <c r="H111" s="3"/>
      <c r="I111" s="1" t="s">
        <v>1381</v>
      </c>
      <c r="J111" s="1">
        <v>203.0</v>
      </c>
      <c r="K111" s="1" t="s">
        <v>1382</v>
      </c>
      <c r="L111" s="1">
        <v>33400.0</v>
      </c>
      <c r="M111" s="1">
        <v>33522.0</v>
      </c>
      <c r="N111" s="1" t="s">
        <v>395</v>
      </c>
      <c r="O111" s="1" t="s">
        <v>46</v>
      </c>
      <c r="P111" s="1" t="s">
        <v>47</v>
      </c>
      <c r="Q111" s="3"/>
      <c r="R111" s="1" t="s">
        <v>1383</v>
      </c>
      <c r="S111" s="1" t="s">
        <v>1384</v>
      </c>
      <c r="T111" s="3"/>
      <c r="U111" s="1" t="s">
        <v>50</v>
      </c>
      <c r="V111" s="1">
        <v>5.5712403E8</v>
      </c>
      <c r="W111" s="3"/>
      <c r="X111" s="2" t="s">
        <v>1385</v>
      </c>
      <c r="Y111" s="3"/>
      <c r="Z111" s="1" t="s">
        <v>1386</v>
      </c>
      <c r="AA111" s="4" t="s">
        <v>1387</v>
      </c>
      <c r="AB111" s="4" t="s">
        <v>1388</v>
      </c>
      <c r="AC111" s="1" t="s">
        <v>1385</v>
      </c>
      <c r="AD111" s="1" t="s">
        <v>1389</v>
      </c>
      <c r="AE111" s="1" t="s">
        <v>55</v>
      </c>
      <c r="AF111" s="1" t="s">
        <v>56</v>
      </c>
      <c r="AG111" s="1" t="s">
        <v>76</v>
      </c>
      <c r="AH111" s="1" t="s">
        <v>95</v>
      </c>
      <c r="AI111" s="1" t="s">
        <v>125</v>
      </c>
      <c r="AJ111" s="1" t="s">
        <v>59</v>
      </c>
      <c r="AK111" s="2" t="s">
        <v>1390</v>
      </c>
      <c r="AL111" s="1" t="s">
        <v>494</v>
      </c>
      <c r="AM111" s="2" t="s">
        <v>1391</v>
      </c>
      <c r="AN111" s="3"/>
      <c r="AO111" s="3"/>
    </row>
    <row r="112">
      <c r="A112" s="1">
        <v>87.0</v>
      </c>
      <c r="B112" s="1" t="s">
        <v>1392</v>
      </c>
      <c r="C112" s="1" t="s">
        <v>391</v>
      </c>
      <c r="D112" s="2" t="s">
        <v>1393</v>
      </c>
      <c r="E112" s="1" t="s">
        <v>132</v>
      </c>
      <c r="F112" s="1" t="s">
        <v>83</v>
      </c>
      <c r="G112" s="1" t="s">
        <v>133</v>
      </c>
      <c r="H112" s="3"/>
      <c r="I112" s="1" t="s">
        <v>1394</v>
      </c>
      <c r="J112" s="1">
        <v>1.0</v>
      </c>
      <c r="K112" s="1" t="s">
        <v>1395</v>
      </c>
      <c r="L112" s="1">
        <v>33400.0</v>
      </c>
      <c r="M112" s="1">
        <v>33522.0</v>
      </c>
      <c r="N112" s="1" t="s">
        <v>395</v>
      </c>
      <c r="O112" s="1" t="s">
        <v>46</v>
      </c>
      <c r="P112" s="1" t="s">
        <v>47</v>
      </c>
      <c r="Q112" s="3"/>
      <c r="R112" s="1" t="s">
        <v>1396</v>
      </c>
      <c r="S112" s="1" t="s">
        <v>1397</v>
      </c>
      <c r="T112" s="3"/>
      <c r="U112" s="1" t="s">
        <v>50</v>
      </c>
      <c r="V112" s="1">
        <v>5.5684789E8</v>
      </c>
      <c r="W112" s="3"/>
      <c r="X112" s="2" t="s">
        <v>1398</v>
      </c>
      <c r="Y112" s="3"/>
      <c r="Z112" s="1" t="s">
        <v>412</v>
      </c>
      <c r="AA112" s="4" t="s">
        <v>413</v>
      </c>
      <c r="AB112" s="5"/>
      <c r="AC112" s="1" t="s">
        <v>1398</v>
      </c>
      <c r="AD112" s="1" t="s">
        <v>1399</v>
      </c>
      <c r="AE112" s="1" t="s">
        <v>294</v>
      </c>
      <c r="AF112" s="1" t="s">
        <v>56</v>
      </c>
      <c r="AG112" s="1" t="s">
        <v>76</v>
      </c>
      <c r="AH112" s="1" t="s">
        <v>58</v>
      </c>
      <c r="AI112" s="1" t="s">
        <v>125</v>
      </c>
      <c r="AJ112" s="1" t="s">
        <v>59</v>
      </c>
      <c r="AK112" s="2" t="s">
        <v>415</v>
      </c>
      <c r="AL112" s="3"/>
      <c r="AM112" s="2" t="s">
        <v>1400</v>
      </c>
      <c r="AN112" s="3"/>
      <c r="AO112" s="3"/>
    </row>
    <row r="113">
      <c r="A113" s="1">
        <v>91.0</v>
      </c>
      <c r="B113" s="1" t="s">
        <v>1401</v>
      </c>
      <c r="C113" s="1" t="s">
        <v>1402</v>
      </c>
      <c r="D113" s="2" t="s">
        <v>1403</v>
      </c>
      <c r="E113" s="1" t="s">
        <v>132</v>
      </c>
      <c r="F113" s="1" t="s">
        <v>83</v>
      </c>
      <c r="G113" s="1" t="s">
        <v>133</v>
      </c>
      <c r="H113" s="3"/>
      <c r="I113" s="1" t="s">
        <v>1404</v>
      </c>
      <c r="J113" s="1" t="s">
        <v>1405</v>
      </c>
      <c r="K113" s="1" t="s">
        <v>1406</v>
      </c>
      <c r="L113" s="1">
        <v>33140.0</v>
      </c>
      <c r="M113" s="1">
        <v>33550.0</v>
      </c>
      <c r="N113" s="1" t="s">
        <v>1407</v>
      </c>
      <c r="O113" s="1" t="s">
        <v>46</v>
      </c>
      <c r="P113" s="1" t="s">
        <v>47</v>
      </c>
      <c r="Q113" s="3"/>
      <c r="R113" s="1" t="s">
        <v>1408</v>
      </c>
      <c r="S113" s="1" t="s">
        <v>1409</v>
      </c>
      <c r="T113" s="3"/>
      <c r="U113" s="1" t="s">
        <v>50</v>
      </c>
      <c r="V113" s="1">
        <v>5.5796563E8</v>
      </c>
      <c r="W113" s="3"/>
      <c r="X113" s="2" t="s">
        <v>1410</v>
      </c>
      <c r="Y113" s="3"/>
      <c r="Z113" s="1" t="s">
        <v>1411</v>
      </c>
      <c r="AA113" s="4" t="s">
        <v>1412</v>
      </c>
      <c r="AB113" s="5"/>
      <c r="AC113" s="1" t="s">
        <v>1410</v>
      </c>
      <c r="AD113" s="1" t="s">
        <v>1413</v>
      </c>
      <c r="AE113" s="1" t="s">
        <v>361</v>
      </c>
      <c r="AF113" s="1" t="s">
        <v>56</v>
      </c>
      <c r="AG113" s="1" t="s">
        <v>109</v>
      </c>
      <c r="AH113" s="1" t="s">
        <v>58</v>
      </c>
      <c r="AI113" s="1" t="s">
        <v>125</v>
      </c>
      <c r="AJ113" s="1" t="s">
        <v>96</v>
      </c>
      <c r="AK113" s="2" t="s">
        <v>1414</v>
      </c>
      <c r="AL113" s="3"/>
      <c r="AM113" s="2" t="s">
        <v>1415</v>
      </c>
      <c r="AN113" s="3"/>
      <c r="AO113" s="3"/>
    </row>
    <row r="114">
      <c r="A114" s="1">
        <v>92.0</v>
      </c>
      <c r="B114" s="1" t="s">
        <v>1416</v>
      </c>
      <c r="C114" s="1" t="s">
        <v>1402</v>
      </c>
      <c r="D114" s="2" t="s">
        <v>1417</v>
      </c>
      <c r="E114" s="1" t="s">
        <v>132</v>
      </c>
      <c r="F114" s="1" t="s">
        <v>83</v>
      </c>
      <c r="G114" s="1" t="s">
        <v>133</v>
      </c>
      <c r="H114" s="3"/>
      <c r="I114" s="1" t="s">
        <v>1418</v>
      </c>
      <c r="J114" s="1">
        <v>7.0</v>
      </c>
      <c r="K114" s="1" t="s">
        <v>1419</v>
      </c>
      <c r="L114" s="1">
        <v>33140.0</v>
      </c>
      <c r="M114" s="1">
        <v>33550.0</v>
      </c>
      <c r="N114" s="1" t="s">
        <v>1407</v>
      </c>
      <c r="O114" s="1" t="s">
        <v>46</v>
      </c>
      <c r="P114" s="1" t="s">
        <v>47</v>
      </c>
      <c r="Q114" s="3"/>
      <c r="R114" s="1" t="s">
        <v>1420</v>
      </c>
      <c r="S114" s="1" t="s">
        <v>1421</v>
      </c>
      <c r="T114" s="3"/>
      <c r="U114" s="1" t="s">
        <v>50</v>
      </c>
      <c r="V114" s="1">
        <v>5.5796564E8</v>
      </c>
      <c r="W114" s="3"/>
      <c r="X114" s="2" t="s">
        <v>1410</v>
      </c>
      <c r="Y114" s="3"/>
      <c r="Z114" s="1" t="s">
        <v>1411</v>
      </c>
      <c r="AA114" s="4" t="s">
        <v>1412</v>
      </c>
      <c r="AB114" s="5"/>
      <c r="AC114" s="1" t="s">
        <v>1410</v>
      </c>
      <c r="AD114" s="1" t="s">
        <v>1413</v>
      </c>
      <c r="AE114" s="1" t="s">
        <v>361</v>
      </c>
      <c r="AF114" s="1" t="s">
        <v>56</v>
      </c>
      <c r="AG114" s="1" t="s">
        <v>76</v>
      </c>
      <c r="AH114" s="1" t="s">
        <v>58</v>
      </c>
      <c r="AI114" s="1" t="s">
        <v>125</v>
      </c>
      <c r="AJ114" s="1" t="s">
        <v>96</v>
      </c>
      <c r="AK114" s="2" t="s">
        <v>1414</v>
      </c>
      <c r="AL114" s="3"/>
      <c r="AM114" s="2" t="s">
        <v>1422</v>
      </c>
      <c r="AN114" s="3"/>
      <c r="AO114" s="3"/>
    </row>
    <row r="115">
      <c r="A115" s="1">
        <v>93.0</v>
      </c>
      <c r="B115" s="1" t="s">
        <v>1423</v>
      </c>
      <c r="C115" s="1" t="s">
        <v>1402</v>
      </c>
      <c r="D115" s="2" t="s">
        <v>1424</v>
      </c>
      <c r="E115" s="1" t="s">
        <v>258</v>
      </c>
      <c r="F115" s="1" t="s">
        <v>83</v>
      </c>
      <c r="G115" s="1" t="s">
        <v>133</v>
      </c>
      <c r="H115" s="3"/>
      <c r="I115" s="1" t="s">
        <v>1425</v>
      </c>
      <c r="J115" s="1">
        <v>45.0</v>
      </c>
      <c r="K115" s="1" t="s">
        <v>1426</v>
      </c>
      <c r="L115" s="1">
        <v>33140.0</v>
      </c>
      <c r="M115" s="1">
        <v>33550.0</v>
      </c>
      <c r="N115" s="1" t="s">
        <v>1407</v>
      </c>
      <c r="O115" s="1" t="s">
        <v>46</v>
      </c>
      <c r="P115" s="1" t="s">
        <v>47</v>
      </c>
      <c r="Q115" s="3"/>
      <c r="R115" s="1" t="s">
        <v>1427</v>
      </c>
      <c r="S115" s="1" t="s">
        <v>1428</v>
      </c>
      <c r="T115" s="3"/>
      <c r="U115" s="1" t="s">
        <v>50</v>
      </c>
      <c r="V115" s="1">
        <v>5.56752845E8</v>
      </c>
      <c r="W115" s="3"/>
      <c r="X115" s="2" t="s">
        <v>1429</v>
      </c>
      <c r="Y115" s="3"/>
      <c r="Z115" s="1" t="s">
        <v>1430</v>
      </c>
      <c r="AA115" s="4" t="s">
        <v>1431</v>
      </c>
      <c r="AB115" s="4" t="s">
        <v>1432</v>
      </c>
      <c r="AC115" s="1" t="s">
        <v>1429</v>
      </c>
      <c r="AD115" s="1" t="s">
        <v>1433</v>
      </c>
      <c r="AE115" s="1" t="s">
        <v>55</v>
      </c>
      <c r="AF115" s="1" t="s">
        <v>56</v>
      </c>
      <c r="AG115" s="1" t="s">
        <v>76</v>
      </c>
      <c r="AH115" s="1" t="s">
        <v>95</v>
      </c>
      <c r="AI115" s="1" t="s">
        <v>125</v>
      </c>
      <c r="AJ115" s="1" t="s">
        <v>96</v>
      </c>
      <c r="AK115" s="2" t="s">
        <v>1434</v>
      </c>
      <c r="AL115" s="3"/>
      <c r="AM115" s="2" t="s">
        <v>1435</v>
      </c>
      <c r="AN115" s="3"/>
      <c r="AO115" s="3"/>
    </row>
    <row r="116">
      <c r="A116" s="1">
        <v>94.0</v>
      </c>
      <c r="B116" s="1" t="s">
        <v>1436</v>
      </c>
      <c r="C116" s="1" t="s">
        <v>1437</v>
      </c>
      <c r="D116" s="2" t="s">
        <v>1438</v>
      </c>
      <c r="E116" s="1" t="s">
        <v>132</v>
      </c>
      <c r="F116" s="1" t="s">
        <v>83</v>
      </c>
      <c r="G116" s="1" t="s">
        <v>133</v>
      </c>
      <c r="H116" s="3"/>
      <c r="I116" s="1" t="s">
        <v>1439</v>
      </c>
      <c r="J116" s="1">
        <v>4.0</v>
      </c>
      <c r="K116" s="1" t="s">
        <v>1440</v>
      </c>
      <c r="L116" s="1">
        <v>33290.0</v>
      </c>
      <c r="M116" s="1">
        <v>33056.0</v>
      </c>
      <c r="N116" s="1" t="s">
        <v>1441</v>
      </c>
      <c r="O116" s="1" t="s">
        <v>46</v>
      </c>
      <c r="P116" s="1" t="s">
        <v>47</v>
      </c>
      <c r="Q116" s="3"/>
      <c r="R116" s="1" t="s">
        <v>1442</v>
      </c>
      <c r="S116" s="1" t="s">
        <v>1443</v>
      </c>
      <c r="T116" s="3"/>
      <c r="U116" s="1" t="s">
        <v>50</v>
      </c>
      <c r="V116" s="1">
        <v>5.5657484E8</v>
      </c>
      <c r="W116" s="3"/>
      <c r="X116" s="2" t="s">
        <v>1444</v>
      </c>
      <c r="Y116" s="3"/>
      <c r="Z116" s="1" t="s">
        <v>1445</v>
      </c>
      <c r="AA116" s="4" t="s">
        <v>1446</v>
      </c>
      <c r="AB116" s="4" t="s">
        <v>1447</v>
      </c>
      <c r="AC116" s="1" t="s">
        <v>1444</v>
      </c>
      <c r="AD116" s="1" t="s">
        <v>1448</v>
      </c>
      <c r="AE116" s="1" t="s">
        <v>55</v>
      </c>
      <c r="AF116" s="1" t="s">
        <v>56</v>
      </c>
      <c r="AG116" s="1" t="s">
        <v>76</v>
      </c>
      <c r="AH116" s="1" t="s">
        <v>95</v>
      </c>
      <c r="AI116" s="1" t="s">
        <v>125</v>
      </c>
      <c r="AJ116" s="1" t="s">
        <v>59</v>
      </c>
      <c r="AK116" s="2" t="s">
        <v>1449</v>
      </c>
      <c r="AL116" s="3"/>
      <c r="AM116" s="2" t="s">
        <v>1450</v>
      </c>
      <c r="AN116" s="3"/>
      <c r="AO116" s="3"/>
    </row>
    <row r="117">
      <c r="A117" s="1">
        <v>100.0</v>
      </c>
      <c r="B117" s="1" t="s">
        <v>1451</v>
      </c>
      <c r="C117" s="1" t="s">
        <v>1452</v>
      </c>
      <c r="D117" s="2" t="s">
        <v>1453</v>
      </c>
      <c r="E117" s="1" t="s">
        <v>132</v>
      </c>
      <c r="F117" s="1" t="s">
        <v>83</v>
      </c>
      <c r="G117" s="1" t="s">
        <v>133</v>
      </c>
      <c r="H117" s="3"/>
      <c r="I117" s="1" t="s">
        <v>1454</v>
      </c>
      <c r="J117" s="1">
        <v>30.0</v>
      </c>
      <c r="K117" s="1" t="s">
        <v>1455</v>
      </c>
      <c r="L117" s="1">
        <v>33185.0</v>
      </c>
      <c r="M117" s="1">
        <v>33200.0</v>
      </c>
      <c r="N117" s="1" t="s">
        <v>895</v>
      </c>
      <c r="O117" s="1" t="s">
        <v>46</v>
      </c>
      <c r="P117" s="1" t="s">
        <v>47</v>
      </c>
      <c r="Q117" s="3"/>
      <c r="R117" s="1" t="s">
        <v>1456</v>
      </c>
      <c r="S117" s="1" t="s">
        <v>1457</v>
      </c>
      <c r="T117" s="3"/>
      <c r="U117" s="1" t="s">
        <v>50</v>
      </c>
      <c r="V117" s="1">
        <v>5.57931131E8</v>
      </c>
      <c r="W117" s="3"/>
      <c r="X117" s="2" t="s">
        <v>1458</v>
      </c>
      <c r="Y117" s="3"/>
      <c r="Z117" s="1" t="s">
        <v>1459</v>
      </c>
      <c r="AA117" s="4" t="s">
        <v>1460</v>
      </c>
      <c r="AB117" s="5"/>
      <c r="AC117" s="1" t="s">
        <v>1458</v>
      </c>
      <c r="AD117" s="1" t="s">
        <v>1461</v>
      </c>
      <c r="AE117" s="1" t="s">
        <v>124</v>
      </c>
      <c r="AF117" s="1" t="s">
        <v>56</v>
      </c>
      <c r="AG117" s="1" t="s">
        <v>76</v>
      </c>
      <c r="AH117" s="1" t="s">
        <v>58</v>
      </c>
      <c r="AI117" s="1" t="s">
        <v>125</v>
      </c>
      <c r="AJ117" s="1" t="s">
        <v>59</v>
      </c>
      <c r="AK117" s="2" t="s">
        <v>1462</v>
      </c>
      <c r="AL117" s="3"/>
      <c r="AM117" s="2" t="s">
        <v>1463</v>
      </c>
      <c r="AN117" s="3"/>
      <c r="AO117" s="3"/>
    </row>
    <row r="118">
      <c r="A118" s="1">
        <v>108.0</v>
      </c>
      <c r="B118" s="1" t="s">
        <v>1464</v>
      </c>
      <c r="C118" s="3"/>
      <c r="D118" s="2" t="s">
        <v>1465</v>
      </c>
      <c r="E118" s="1" t="s">
        <v>258</v>
      </c>
      <c r="F118" s="1" t="s">
        <v>83</v>
      </c>
      <c r="G118" s="1" t="s">
        <v>133</v>
      </c>
      <c r="H118" s="3"/>
      <c r="I118" s="1" t="s">
        <v>1466</v>
      </c>
      <c r="J118" s="1">
        <v>60.0</v>
      </c>
      <c r="K118" s="1" t="s">
        <v>787</v>
      </c>
      <c r="L118" s="1">
        <v>33700.0</v>
      </c>
      <c r="M118" s="1">
        <v>33281.0</v>
      </c>
      <c r="N118" s="1" t="s">
        <v>446</v>
      </c>
      <c r="O118" s="1" t="s">
        <v>46</v>
      </c>
      <c r="P118" s="1" t="s">
        <v>47</v>
      </c>
      <c r="Q118" s="3"/>
      <c r="R118" s="1" t="s">
        <v>1467</v>
      </c>
      <c r="S118" s="1" t="s">
        <v>1468</v>
      </c>
      <c r="T118" s="3"/>
      <c r="U118" s="1" t="s">
        <v>50</v>
      </c>
      <c r="V118" s="1">
        <v>5.56556655E8</v>
      </c>
      <c r="W118" s="3"/>
      <c r="X118" s="2" t="s">
        <v>1469</v>
      </c>
      <c r="Y118" s="3"/>
      <c r="Z118" s="1" t="s">
        <v>1470</v>
      </c>
      <c r="AA118" s="4" t="s">
        <v>1471</v>
      </c>
      <c r="AB118" s="4" t="s">
        <v>1472</v>
      </c>
      <c r="AC118" s="1" t="s">
        <v>1469</v>
      </c>
      <c r="AD118" s="1" t="s">
        <v>1473</v>
      </c>
      <c r="AE118" s="1" t="s">
        <v>75</v>
      </c>
      <c r="AF118" s="1" t="s">
        <v>56</v>
      </c>
      <c r="AG118" s="1" t="s">
        <v>76</v>
      </c>
      <c r="AH118" s="1" t="s">
        <v>95</v>
      </c>
      <c r="AI118" s="1" t="s">
        <v>125</v>
      </c>
      <c r="AJ118" s="1" t="s">
        <v>59</v>
      </c>
      <c r="AK118" s="2" t="s">
        <v>1474</v>
      </c>
      <c r="AL118" s="3"/>
      <c r="AM118" s="2" t="s">
        <v>1475</v>
      </c>
      <c r="AN118" s="3"/>
      <c r="AO118" s="3"/>
    </row>
    <row r="119">
      <c r="A119" s="1">
        <v>109.0</v>
      </c>
      <c r="B119" s="1" t="s">
        <v>1476</v>
      </c>
      <c r="C119" s="3"/>
      <c r="D119" s="2" t="s">
        <v>1477</v>
      </c>
      <c r="E119" s="1" t="s">
        <v>41</v>
      </c>
      <c r="F119" s="1" t="s">
        <v>42</v>
      </c>
      <c r="G119" s="1" t="s">
        <v>41</v>
      </c>
      <c r="H119" s="3"/>
      <c r="I119" s="1" t="s">
        <v>922</v>
      </c>
      <c r="J119" s="1">
        <v>55.0</v>
      </c>
      <c r="K119" s="1" t="s">
        <v>787</v>
      </c>
      <c r="L119" s="1">
        <v>33700.0</v>
      </c>
      <c r="M119" s="1">
        <v>33281.0</v>
      </c>
      <c r="N119" s="1" t="s">
        <v>446</v>
      </c>
      <c r="O119" s="1" t="s">
        <v>46</v>
      </c>
      <c r="P119" s="1" t="s">
        <v>47</v>
      </c>
      <c r="Q119" s="3"/>
      <c r="R119" s="1" t="s">
        <v>923</v>
      </c>
      <c r="S119" s="1" t="s">
        <v>924</v>
      </c>
      <c r="T119" s="3"/>
      <c r="U119" s="1" t="s">
        <v>50</v>
      </c>
      <c r="V119" s="1">
        <v>6.0107825E8</v>
      </c>
      <c r="W119" s="3"/>
      <c r="X119" s="2" t="s">
        <v>1478</v>
      </c>
      <c r="Y119" s="3"/>
      <c r="Z119" s="1" t="s">
        <v>1479</v>
      </c>
      <c r="AA119" s="4" t="s">
        <v>1480</v>
      </c>
      <c r="AB119" s="4" t="s">
        <v>1481</v>
      </c>
      <c r="AC119" s="1" t="s">
        <v>1478</v>
      </c>
      <c r="AD119" s="3"/>
      <c r="AE119" s="1" t="s">
        <v>55</v>
      </c>
      <c r="AF119" s="1" t="s">
        <v>56</v>
      </c>
      <c r="AG119" s="1" t="s">
        <v>76</v>
      </c>
      <c r="AH119" s="1" t="s">
        <v>95</v>
      </c>
      <c r="AI119" s="1" t="s">
        <v>125</v>
      </c>
      <c r="AJ119" s="1" t="s">
        <v>59</v>
      </c>
      <c r="AK119" s="2" t="s">
        <v>1482</v>
      </c>
      <c r="AL119" s="3"/>
      <c r="AM119" s="2" t="s">
        <v>930</v>
      </c>
      <c r="AN119" s="3"/>
      <c r="AO119" s="3"/>
    </row>
    <row r="120">
      <c r="A120" s="1">
        <v>110.0</v>
      </c>
      <c r="B120" s="1" t="s">
        <v>1483</v>
      </c>
      <c r="C120" s="1" t="s">
        <v>1484</v>
      </c>
      <c r="D120" s="2" t="s">
        <v>1485</v>
      </c>
      <c r="E120" s="1" t="s">
        <v>1218</v>
      </c>
      <c r="F120" s="1" t="s">
        <v>83</v>
      </c>
      <c r="G120" s="1" t="s">
        <v>133</v>
      </c>
      <c r="H120" s="3"/>
      <c r="I120" s="1" t="s">
        <v>1486</v>
      </c>
      <c r="J120" s="1">
        <v>74.0</v>
      </c>
      <c r="K120" s="1" t="s">
        <v>1487</v>
      </c>
      <c r="L120" s="1">
        <v>33700.0</v>
      </c>
      <c r="M120" s="1">
        <v>33281.0</v>
      </c>
      <c r="N120" s="1" t="s">
        <v>446</v>
      </c>
      <c r="O120" s="1" t="s">
        <v>46</v>
      </c>
      <c r="P120" s="1" t="s">
        <v>47</v>
      </c>
      <c r="Q120" s="3"/>
      <c r="R120" s="1" t="s">
        <v>1488</v>
      </c>
      <c r="S120" s="1" t="s">
        <v>1489</v>
      </c>
      <c r="T120" s="3"/>
      <c r="U120" s="1" t="s">
        <v>50</v>
      </c>
      <c r="V120" s="1">
        <v>5.56346105E8</v>
      </c>
      <c r="W120" s="1">
        <v>5.5700022E8</v>
      </c>
      <c r="X120" s="2" t="s">
        <v>1490</v>
      </c>
      <c r="Y120" s="3"/>
      <c r="Z120" s="1" t="s">
        <v>1491</v>
      </c>
      <c r="AA120" s="4" t="s">
        <v>1492</v>
      </c>
      <c r="AB120" s="4" t="s">
        <v>1493</v>
      </c>
      <c r="AC120" s="1" t="s">
        <v>1490</v>
      </c>
      <c r="AD120" s="1" t="s">
        <v>1494</v>
      </c>
      <c r="AE120" s="1" t="s">
        <v>55</v>
      </c>
      <c r="AF120" s="3"/>
      <c r="AG120" s="1" t="s">
        <v>76</v>
      </c>
      <c r="AH120" s="1" t="s">
        <v>58</v>
      </c>
      <c r="AI120" s="1" t="s">
        <v>125</v>
      </c>
      <c r="AJ120" s="1" t="s">
        <v>59</v>
      </c>
      <c r="AK120" s="2" t="s">
        <v>1495</v>
      </c>
      <c r="AL120" s="3"/>
      <c r="AM120" s="2" t="s">
        <v>1496</v>
      </c>
      <c r="AN120" s="3"/>
      <c r="AO120" s="3"/>
    </row>
    <row r="121">
      <c r="A121" s="1">
        <v>111.0</v>
      </c>
      <c r="B121" s="1" t="s">
        <v>1497</v>
      </c>
      <c r="C121" s="1" t="s">
        <v>1484</v>
      </c>
      <c r="D121" s="2" t="s">
        <v>1498</v>
      </c>
      <c r="E121" s="1" t="s">
        <v>132</v>
      </c>
      <c r="F121" s="1" t="s">
        <v>83</v>
      </c>
      <c r="G121" s="1" t="s">
        <v>133</v>
      </c>
      <c r="H121" s="3"/>
      <c r="I121" s="1" t="s">
        <v>1499</v>
      </c>
      <c r="J121" s="1">
        <v>19.0</v>
      </c>
      <c r="K121" s="1" t="s">
        <v>946</v>
      </c>
      <c r="L121" s="1">
        <v>33700.0</v>
      </c>
      <c r="M121" s="1">
        <v>33281.0</v>
      </c>
      <c r="N121" s="1" t="s">
        <v>446</v>
      </c>
      <c r="O121" s="1" t="s">
        <v>46</v>
      </c>
      <c r="P121" s="1" t="s">
        <v>47</v>
      </c>
      <c r="Q121" s="3"/>
      <c r="R121" s="1" t="s">
        <v>1500</v>
      </c>
      <c r="S121" s="1" t="s">
        <v>1501</v>
      </c>
      <c r="T121" s="3"/>
      <c r="U121" s="1" t="s">
        <v>50</v>
      </c>
      <c r="V121" s="1">
        <v>5.5700022E8</v>
      </c>
      <c r="W121" s="3"/>
      <c r="X121" s="2" t="s">
        <v>1502</v>
      </c>
      <c r="Y121" s="3"/>
      <c r="Z121" s="1" t="s">
        <v>1491</v>
      </c>
      <c r="AA121" s="4" t="s">
        <v>1492</v>
      </c>
      <c r="AB121" s="4" t="s">
        <v>1493</v>
      </c>
      <c r="AC121" s="1" t="s">
        <v>1502</v>
      </c>
      <c r="AD121" s="1" t="s">
        <v>1503</v>
      </c>
      <c r="AE121" s="1" t="s">
        <v>55</v>
      </c>
      <c r="AF121" s="3"/>
      <c r="AG121" s="1" t="s">
        <v>76</v>
      </c>
      <c r="AH121" s="1" t="s">
        <v>58</v>
      </c>
      <c r="AI121" s="1" t="s">
        <v>125</v>
      </c>
      <c r="AJ121" s="1" t="s">
        <v>59</v>
      </c>
      <c r="AK121" s="2" t="s">
        <v>1504</v>
      </c>
      <c r="AL121" s="3"/>
      <c r="AM121" s="2" t="s">
        <v>1505</v>
      </c>
      <c r="AN121" s="3"/>
      <c r="AO121" s="3"/>
    </row>
    <row r="122">
      <c r="A122" s="1">
        <v>112.0</v>
      </c>
      <c r="B122" s="1" t="s">
        <v>1506</v>
      </c>
      <c r="C122" s="3"/>
      <c r="D122" s="2" t="s">
        <v>1507</v>
      </c>
      <c r="E122" s="1" t="s">
        <v>41</v>
      </c>
      <c r="F122" s="1" t="s">
        <v>42</v>
      </c>
      <c r="G122" s="1" t="s">
        <v>41</v>
      </c>
      <c r="H122" s="3"/>
      <c r="I122" s="1" t="s">
        <v>1508</v>
      </c>
      <c r="J122" s="1">
        <v>9.0</v>
      </c>
      <c r="K122" s="1" t="s">
        <v>1509</v>
      </c>
      <c r="L122" s="1">
        <v>33700.0</v>
      </c>
      <c r="M122" s="1">
        <v>33281.0</v>
      </c>
      <c r="N122" s="1" t="s">
        <v>446</v>
      </c>
      <c r="O122" s="1" t="s">
        <v>46</v>
      </c>
      <c r="P122" s="1" t="s">
        <v>47</v>
      </c>
      <c r="Q122" s="3"/>
      <c r="R122" s="1" t="s">
        <v>1510</v>
      </c>
      <c r="S122" s="1" t="s">
        <v>1511</v>
      </c>
      <c r="T122" s="3"/>
      <c r="U122" s="1" t="s">
        <v>50</v>
      </c>
      <c r="V122" s="1">
        <v>5.56471407E8</v>
      </c>
      <c r="W122" s="3"/>
      <c r="X122" s="2" t="s">
        <v>1512</v>
      </c>
      <c r="Y122" s="3"/>
      <c r="Z122" s="1" t="s">
        <v>1513</v>
      </c>
      <c r="AA122" s="4" t="s">
        <v>1514</v>
      </c>
      <c r="AB122" s="4" t="s">
        <v>1515</v>
      </c>
      <c r="AC122" s="1" t="s">
        <v>1512</v>
      </c>
      <c r="AD122" s="1" t="s">
        <v>1516</v>
      </c>
      <c r="AE122" s="1" t="s">
        <v>1324</v>
      </c>
      <c r="AF122" s="1" t="s">
        <v>56</v>
      </c>
      <c r="AG122" s="1" t="s">
        <v>109</v>
      </c>
      <c r="AH122" s="1" t="s">
        <v>95</v>
      </c>
      <c r="AI122" s="3"/>
      <c r="AJ122" s="1" t="s">
        <v>96</v>
      </c>
      <c r="AK122" s="2" t="s">
        <v>1517</v>
      </c>
      <c r="AL122" s="1" t="s">
        <v>158</v>
      </c>
      <c r="AM122" s="2" t="s">
        <v>1518</v>
      </c>
      <c r="AN122" s="3"/>
      <c r="AO122" s="3"/>
    </row>
    <row r="123">
      <c r="A123" s="1">
        <v>119.0</v>
      </c>
      <c r="B123" s="1" t="s">
        <v>1519</v>
      </c>
      <c r="C123" s="1" t="s">
        <v>130</v>
      </c>
      <c r="D123" s="2" t="s">
        <v>1011</v>
      </c>
      <c r="E123" s="1" t="s">
        <v>258</v>
      </c>
      <c r="F123" s="1" t="s">
        <v>83</v>
      </c>
      <c r="G123" s="1" t="s">
        <v>133</v>
      </c>
      <c r="H123" s="3"/>
      <c r="I123" s="1" t="s">
        <v>1520</v>
      </c>
      <c r="J123" s="1">
        <v>33.0</v>
      </c>
      <c r="K123" s="1" t="s">
        <v>1521</v>
      </c>
      <c r="L123" s="1">
        <v>33000.0</v>
      </c>
      <c r="M123" s="1">
        <v>33063.0</v>
      </c>
      <c r="N123" s="1" t="s">
        <v>45</v>
      </c>
      <c r="O123" s="1" t="s">
        <v>46</v>
      </c>
      <c r="P123" s="1" t="s">
        <v>47</v>
      </c>
      <c r="Q123" s="3"/>
      <c r="R123" s="1" t="s">
        <v>1522</v>
      </c>
      <c r="S123" s="1" t="s">
        <v>1523</v>
      </c>
      <c r="T123" s="3"/>
      <c r="U123" s="1" t="s">
        <v>50</v>
      </c>
      <c r="V123" s="1">
        <v>5.56797344E8</v>
      </c>
      <c r="W123" s="3"/>
      <c r="X123" s="2" t="s">
        <v>1016</v>
      </c>
      <c r="Y123" s="3"/>
      <c r="Z123" s="1" t="s">
        <v>1017</v>
      </c>
      <c r="AA123" s="4" t="s">
        <v>1018</v>
      </c>
      <c r="AB123" s="4" t="s">
        <v>1019</v>
      </c>
      <c r="AC123" s="1" t="s">
        <v>1016</v>
      </c>
      <c r="AD123" s="1" t="s">
        <v>307</v>
      </c>
      <c r="AE123" s="1" t="s">
        <v>75</v>
      </c>
      <c r="AF123" s="1" t="s">
        <v>56</v>
      </c>
      <c r="AG123" s="1" t="s">
        <v>57</v>
      </c>
      <c r="AH123" s="1" t="s">
        <v>77</v>
      </c>
      <c r="AI123" s="1" t="s">
        <v>125</v>
      </c>
      <c r="AJ123" s="1" t="s">
        <v>59</v>
      </c>
      <c r="AK123" s="2" t="s">
        <v>1020</v>
      </c>
      <c r="AL123" s="3"/>
      <c r="AM123" s="2" t="s">
        <v>1524</v>
      </c>
      <c r="AN123" s="3"/>
      <c r="AO123" s="3"/>
    </row>
    <row r="124">
      <c r="A124" s="1">
        <v>122.0</v>
      </c>
      <c r="B124" s="1" t="s">
        <v>1525</v>
      </c>
      <c r="C124" s="3"/>
      <c r="D124" s="2" t="s">
        <v>1526</v>
      </c>
      <c r="E124" s="1" t="s">
        <v>41</v>
      </c>
      <c r="F124" s="1" t="s">
        <v>42</v>
      </c>
      <c r="G124" s="1" t="s">
        <v>41</v>
      </c>
      <c r="H124" s="1">
        <v>7.82E13</v>
      </c>
      <c r="I124" s="1" t="s">
        <v>1527</v>
      </c>
      <c r="J124" s="3"/>
      <c r="K124" s="1" t="s">
        <v>1528</v>
      </c>
      <c r="L124" s="1">
        <v>33200.0</v>
      </c>
      <c r="M124" s="1">
        <v>33063.0</v>
      </c>
      <c r="N124" s="1" t="s">
        <v>45</v>
      </c>
      <c r="O124" s="1" t="s">
        <v>46</v>
      </c>
      <c r="P124" s="1" t="s">
        <v>47</v>
      </c>
      <c r="Q124" s="3"/>
      <c r="R124" s="1" t="s">
        <v>1529</v>
      </c>
      <c r="S124" s="1" t="s">
        <v>1530</v>
      </c>
      <c r="T124" s="3"/>
      <c r="U124" s="1" t="s">
        <v>50</v>
      </c>
      <c r="V124" s="1">
        <v>5.5697581E8</v>
      </c>
      <c r="W124" s="3"/>
      <c r="X124" s="2" t="s">
        <v>1531</v>
      </c>
      <c r="Y124" s="3"/>
      <c r="Z124" s="1" t="s">
        <v>1532</v>
      </c>
      <c r="AA124" s="4" t="s">
        <v>1533</v>
      </c>
      <c r="AB124" s="4" t="s">
        <v>491</v>
      </c>
      <c r="AC124" s="1" t="s">
        <v>1531</v>
      </c>
      <c r="AD124" s="1" t="s">
        <v>1534</v>
      </c>
      <c r="AE124" s="1" t="s">
        <v>1535</v>
      </c>
      <c r="AF124" s="1" t="s">
        <v>56</v>
      </c>
      <c r="AG124" s="1" t="s">
        <v>76</v>
      </c>
      <c r="AH124" s="1" t="s">
        <v>95</v>
      </c>
      <c r="AI124" s="1" t="s">
        <v>125</v>
      </c>
      <c r="AJ124" s="1" t="s">
        <v>59</v>
      </c>
      <c r="AK124" s="2" t="s">
        <v>1536</v>
      </c>
      <c r="AL124" s="1" t="s">
        <v>494</v>
      </c>
      <c r="AM124" s="2" t="s">
        <v>1537</v>
      </c>
      <c r="AN124" s="3"/>
      <c r="AO124" s="3"/>
    </row>
    <row r="125">
      <c r="A125" s="1">
        <v>124.0</v>
      </c>
      <c r="B125" s="1" t="s">
        <v>1538</v>
      </c>
      <c r="C125" s="1" t="s">
        <v>1341</v>
      </c>
      <c r="D125" s="2" t="s">
        <v>1539</v>
      </c>
      <c r="E125" s="1" t="s">
        <v>258</v>
      </c>
      <c r="F125" s="1" t="s">
        <v>83</v>
      </c>
      <c r="G125" s="1" t="s">
        <v>133</v>
      </c>
      <c r="H125" s="3"/>
      <c r="I125" s="1" t="s">
        <v>1540</v>
      </c>
      <c r="J125" s="1" t="s">
        <v>1541</v>
      </c>
      <c r="K125" s="1" t="s">
        <v>1542</v>
      </c>
      <c r="L125" s="1">
        <v>33170.0</v>
      </c>
      <c r="M125" s="1">
        <v>33192.0</v>
      </c>
      <c r="N125" s="1" t="s">
        <v>352</v>
      </c>
      <c r="O125" s="1" t="s">
        <v>46</v>
      </c>
      <c r="P125" s="1" t="s">
        <v>47</v>
      </c>
      <c r="Q125" s="3"/>
      <c r="R125" s="1" t="s">
        <v>1543</v>
      </c>
      <c r="S125" s="1" t="s">
        <v>1544</v>
      </c>
      <c r="T125" s="3"/>
      <c r="U125" s="1" t="s">
        <v>50</v>
      </c>
      <c r="V125" s="1">
        <v>5.56940582E8</v>
      </c>
      <c r="W125" s="3"/>
      <c r="X125" s="2" t="s">
        <v>1545</v>
      </c>
      <c r="Y125" s="3"/>
      <c r="Z125" s="1" t="s">
        <v>1546</v>
      </c>
      <c r="AA125" s="5"/>
      <c r="AB125" s="5"/>
      <c r="AC125" s="1" t="s">
        <v>1545</v>
      </c>
      <c r="AD125" s="1" t="s">
        <v>1547</v>
      </c>
      <c r="AE125" s="1" t="s">
        <v>55</v>
      </c>
      <c r="AF125" s="1" t="s">
        <v>56</v>
      </c>
      <c r="AG125" s="1" t="s">
        <v>109</v>
      </c>
      <c r="AH125" s="1" t="s">
        <v>295</v>
      </c>
      <c r="AI125" s="1" t="s">
        <v>125</v>
      </c>
      <c r="AJ125" s="1" t="s">
        <v>96</v>
      </c>
      <c r="AK125" s="2" t="s">
        <v>1548</v>
      </c>
      <c r="AL125" s="3"/>
      <c r="AM125" s="2" t="s">
        <v>1549</v>
      </c>
      <c r="AN125" s="3"/>
      <c r="AO125" s="3"/>
    </row>
    <row r="126">
      <c r="A126" s="1">
        <v>125.0</v>
      </c>
      <c r="B126" s="1" t="s">
        <v>1550</v>
      </c>
      <c r="C126" s="1" t="s">
        <v>845</v>
      </c>
      <c r="D126" s="2" t="s">
        <v>1551</v>
      </c>
      <c r="E126" s="1" t="s">
        <v>258</v>
      </c>
      <c r="F126" s="1" t="s">
        <v>83</v>
      </c>
      <c r="G126" s="1" t="s">
        <v>133</v>
      </c>
      <c r="H126" s="3"/>
      <c r="I126" s="1" t="s">
        <v>1552</v>
      </c>
      <c r="J126" s="3"/>
      <c r="K126" s="1" t="s">
        <v>1552</v>
      </c>
      <c r="L126" s="1">
        <v>33320.0</v>
      </c>
      <c r="M126" s="1">
        <v>33162.0</v>
      </c>
      <c r="N126" s="1" t="s">
        <v>848</v>
      </c>
      <c r="O126" s="1" t="s">
        <v>46</v>
      </c>
      <c r="P126" s="1" t="s">
        <v>47</v>
      </c>
      <c r="Q126" s="3"/>
      <c r="R126" s="1" t="s">
        <v>1553</v>
      </c>
      <c r="S126" s="1" t="s">
        <v>1554</v>
      </c>
      <c r="T126" s="3"/>
      <c r="U126" s="1" t="s">
        <v>50</v>
      </c>
      <c r="V126" s="1">
        <v>5.56518285E8</v>
      </c>
      <c r="W126" s="3"/>
      <c r="X126" s="2" t="s">
        <v>1555</v>
      </c>
      <c r="Y126" s="3"/>
      <c r="Z126" s="1" t="s">
        <v>1556</v>
      </c>
      <c r="AA126" s="5"/>
      <c r="AB126" s="5"/>
      <c r="AC126" s="1" t="s">
        <v>1555</v>
      </c>
      <c r="AD126" s="1" t="s">
        <v>1557</v>
      </c>
      <c r="AE126" s="1" t="s">
        <v>55</v>
      </c>
      <c r="AF126" s="1" t="s">
        <v>56</v>
      </c>
      <c r="AG126" s="1" t="s">
        <v>109</v>
      </c>
      <c r="AH126" s="1" t="s">
        <v>95</v>
      </c>
      <c r="AI126" s="1" t="s">
        <v>125</v>
      </c>
      <c r="AJ126" s="1" t="s">
        <v>96</v>
      </c>
      <c r="AK126" s="2" t="s">
        <v>1558</v>
      </c>
      <c r="AL126" s="1" t="s">
        <v>1247</v>
      </c>
      <c r="AM126" s="2" t="s">
        <v>1559</v>
      </c>
      <c r="AN126" s="3"/>
      <c r="AO126" s="3"/>
    </row>
    <row r="127">
      <c r="A127" s="3"/>
      <c r="B127" s="3"/>
      <c r="C127" s="3"/>
      <c r="D127" s="5"/>
      <c r="E127" s="3"/>
      <c r="F127" s="3"/>
      <c r="G127" s="3"/>
      <c r="H127" s="3"/>
      <c r="I127" s="3"/>
      <c r="J127" s="3"/>
      <c r="K127" s="3"/>
      <c r="L127" s="3"/>
      <c r="M127" s="3"/>
      <c r="N127" s="3"/>
      <c r="O127" s="3"/>
      <c r="P127" s="3"/>
      <c r="Q127" s="3"/>
      <c r="R127" s="3"/>
      <c r="S127" s="3"/>
      <c r="T127" s="3"/>
      <c r="U127" s="3"/>
      <c r="V127" s="3"/>
      <c r="W127" s="3"/>
      <c r="X127" s="5"/>
      <c r="Y127" s="3"/>
      <c r="Z127" s="3"/>
      <c r="AA127" s="5"/>
      <c r="AB127" s="5"/>
      <c r="AC127" s="3"/>
      <c r="AD127" s="3"/>
      <c r="AE127" s="3"/>
      <c r="AF127" s="3"/>
      <c r="AG127" s="3"/>
      <c r="AH127" s="3"/>
      <c r="AI127" s="3"/>
      <c r="AJ127" s="3"/>
      <c r="AK127" s="5"/>
      <c r="AL127" s="3"/>
      <c r="AM127" s="5"/>
      <c r="AN127" s="3"/>
      <c r="AO127" s="3"/>
    </row>
    <row r="128">
      <c r="A128" s="3"/>
      <c r="B128" s="3"/>
      <c r="C128" s="3"/>
      <c r="D128" s="5"/>
      <c r="E128" s="3"/>
      <c r="F128" s="3"/>
      <c r="G128" s="3"/>
      <c r="H128" s="3"/>
      <c r="I128" s="3"/>
      <c r="J128" s="3"/>
      <c r="K128" s="3"/>
      <c r="L128" s="3"/>
      <c r="M128" s="3"/>
      <c r="N128" s="3"/>
      <c r="O128" s="3"/>
      <c r="P128" s="3"/>
      <c r="Q128" s="3"/>
      <c r="R128" s="3"/>
      <c r="S128" s="3"/>
      <c r="T128" s="3"/>
      <c r="U128" s="3"/>
      <c r="V128" s="3"/>
      <c r="W128" s="3"/>
      <c r="X128" s="5"/>
      <c r="Y128" s="3"/>
      <c r="Z128" s="3"/>
      <c r="AA128" s="5"/>
      <c r="AB128" s="5"/>
      <c r="AC128" s="3"/>
      <c r="AD128" s="3"/>
      <c r="AE128" s="3"/>
      <c r="AF128" s="3"/>
      <c r="AG128" s="3"/>
      <c r="AH128" s="3"/>
      <c r="AI128" s="3"/>
      <c r="AJ128" s="3"/>
      <c r="AK128" s="5"/>
      <c r="AL128" s="3"/>
      <c r="AM128" s="5"/>
      <c r="AN128" s="3"/>
      <c r="AO128" s="3"/>
    </row>
  </sheetData>
  <conditionalFormatting sqref="AD1:AD128">
    <cfRule type="notContainsBlanks" dxfId="0" priority="1">
      <formula>LEN(TRIM(AD1))&gt;0</formula>
    </cfRule>
  </conditionalFormatting>
  <conditionalFormatting sqref="B1:B128">
    <cfRule type="notContainsBlanks" dxfId="0" priority="2">
      <formula>LEN(TRIM(B1))&gt;0</formula>
    </cfRule>
  </conditionalFormatting>
  <conditionalFormatting sqref="N1:N128 L1:L128 I1:I128">
    <cfRule type="notContainsBlanks" dxfId="0" priority="3">
      <formula>LEN(TRIM(N1))&gt;0</formula>
    </cfRule>
  </conditionalFormatting>
  <conditionalFormatting sqref="E1:G128">
    <cfRule type="notContainsBlanks" dxfId="0" priority="4">
      <formula>LEN(TRIM(E1))&gt;0</formula>
    </cfRule>
  </conditionalFormatting>
  <conditionalFormatting sqref="AJ1:AJ128">
    <cfRule type="notContainsBlanks" dxfId="0" priority="5">
      <formula>LEN(TRIM(AJ1))&gt;0</formula>
    </cfRule>
  </conditionalFormatting>
  <conditionalFormatting sqref="AI1:AI128 AE1:AE128 AF1:AF128 AG1:AG128 AH1:AH128">
    <cfRule type="notContainsBlanks" dxfId="0" priority="6">
      <formula>LEN(TRIM(AI1))&gt;0</formula>
    </cfRule>
  </conditionalFormatting>
  <hyperlinks>
    <hyperlink r:id="rId1" ref="AA2"/>
    <hyperlink r:id="rId2" ref="AA3"/>
    <hyperlink r:id="rId3" ref="AB3"/>
    <hyperlink r:id="rId4" ref="AA4"/>
    <hyperlink r:id="rId5" ref="AA5"/>
    <hyperlink r:id="rId6" ref="AB5"/>
    <hyperlink r:id="rId7" ref="AA6"/>
    <hyperlink r:id="rId8" ref="AB6"/>
    <hyperlink r:id="rId9" ref="AA7"/>
    <hyperlink r:id="rId10" ref="AB7"/>
    <hyperlink r:id="rId11" ref="AA8"/>
    <hyperlink r:id="rId12" ref="AB8"/>
    <hyperlink r:id="rId13" ref="AA9"/>
    <hyperlink r:id="rId14" ref="AB9"/>
    <hyperlink r:id="rId15" ref="AA10"/>
    <hyperlink r:id="rId16" ref="AA11"/>
    <hyperlink r:id="rId17" ref="AA12"/>
    <hyperlink r:id="rId18" ref="AB12"/>
    <hyperlink r:id="rId19" ref="AA13"/>
    <hyperlink r:id="rId20" ref="AB13"/>
    <hyperlink r:id="rId21" ref="AA14"/>
    <hyperlink r:id="rId22" ref="AB14"/>
    <hyperlink r:id="rId23" ref="AA15"/>
    <hyperlink r:id="rId24" ref="AB15"/>
    <hyperlink r:id="rId25" ref="AB16"/>
    <hyperlink r:id="rId26" ref="AA17"/>
    <hyperlink r:id="rId27" ref="AA18"/>
    <hyperlink r:id="rId28" ref="AB18"/>
    <hyperlink r:id="rId29" ref="AB19"/>
    <hyperlink r:id="rId30" ref="AA20"/>
    <hyperlink r:id="rId31" ref="AA21"/>
    <hyperlink r:id="rId32" ref="AA23"/>
    <hyperlink r:id="rId33" ref="AA24"/>
    <hyperlink r:id="rId34" ref="AB24"/>
    <hyperlink r:id="rId35" ref="AA25"/>
    <hyperlink r:id="rId36" ref="AA26"/>
    <hyperlink r:id="rId37" ref="AA27"/>
    <hyperlink r:id="rId38" ref="AB27"/>
    <hyperlink r:id="rId39" ref="AA28"/>
    <hyperlink r:id="rId40" ref="AA29"/>
    <hyperlink r:id="rId41" ref="AB29"/>
    <hyperlink r:id="rId42" ref="AA30"/>
    <hyperlink r:id="rId43" ref="AA31"/>
    <hyperlink r:id="rId44" ref="AB31"/>
    <hyperlink r:id="rId45" ref="AA32"/>
    <hyperlink r:id="rId46" ref="AB32"/>
    <hyperlink r:id="rId47" ref="AA33"/>
    <hyperlink r:id="rId48" ref="AB33"/>
    <hyperlink r:id="rId49" ref="AA34"/>
    <hyperlink r:id="rId50" ref="AB34"/>
    <hyperlink r:id="rId51" ref="AA35"/>
    <hyperlink r:id="rId52" ref="AA36"/>
    <hyperlink r:id="rId53" ref="AA37"/>
    <hyperlink r:id="rId54" ref="AB37"/>
    <hyperlink r:id="rId55" ref="AA38"/>
    <hyperlink r:id="rId56" ref="AB38"/>
    <hyperlink r:id="rId57" ref="AA39"/>
    <hyperlink r:id="rId58" ref="AA40"/>
    <hyperlink r:id="rId59" ref="AB40"/>
    <hyperlink r:id="rId60" ref="AA41"/>
    <hyperlink r:id="rId61" ref="AA42"/>
    <hyperlink r:id="rId62" ref="AA43"/>
    <hyperlink r:id="rId63" ref="AB43"/>
    <hyperlink r:id="rId64" ref="AA44"/>
    <hyperlink r:id="rId65" ref="AA45"/>
    <hyperlink r:id="rId66" ref="AB45"/>
    <hyperlink r:id="rId67" ref="AA46"/>
    <hyperlink r:id="rId68" ref="AA47"/>
    <hyperlink r:id="rId69" ref="AA48"/>
    <hyperlink r:id="rId70" ref="AA49"/>
    <hyperlink r:id="rId71" ref="AA50"/>
    <hyperlink r:id="rId72" ref="AA51"/>
    <hyperlink r:id="rId73" ref="AA52"/>
    <hyperlink r:id="rId74" ref="AB52"/>
    <hyperlink r:id="rId75" ref="AA53"/>
    <hyperlink r:id="rId76" ref="AB53"/>
    <hyperlink r:id="rId77" ref="AA54"/>
    <hyperlink r:id="rId78" ref="AA57"/>
    <hyperlink r:id="rId79" ref="AA58"/>
    <hyperlink r:id="rId80" ref="AB58"/>
    <hyperlink r:id="rId81" ref="AA59"/>
    <hyperlink r:id="rId82" ref="AB59"/>
    <hyperlink r:id="rId83" ref="AA60"/>
    <hyperlink r:id="rId84" ref="AA61"/>
    <hyperlink r:id="rId85" ref="AB61"/>
    <hyperlink r:id="rId86" ref="AA62"/>
    <hyperlink r:id="rId87" ref="AA63"/>
    <hyperlink r:id="rId88" ref="AA64"/>
    <hyperlink r:id="rId89" ref="AA65"/>
    <hyperlink r:id="rId90" ref="AA66"/>
    <hyperlink r:id="rId91" ref="AB66"/>
    <hyperlink r:id="rId92" ref="AA67"/>
    <hyperlink r:id="rId93" ref="AB67"/>
    <hyperlink r:id="rId94" ref="AA68"/>
    <hyperlink r:id="rId95" ref="AB68"/>
    <hyperlink r:id="rId96" ref="AA69"/>
    <hyperlink r:id="rId97" ref="AB69"/>
    <hyperlink r:id="rId98" ref="AA70"/>
    <hyperlink r:id="rId99" ref="AB70"/>
    <hyperlink r:id="rId100" ref="AA71"/>
    <hyperlink r:id="rId101" ref="AA72"/>
    <hyperlink r:id="rId102" ref="AA73"/>
    <hyperlink r:id="rId103" ref="AB73"/>
    <hyperlink r:id="rId104" ref="AA74"/>
    <hyperlink r:id="rId105" ref="AB74"/>
    <hyperlink r:id="rId106" ref="AA75"/>
    <hyperlink r:id="rId107" ref="AA76"/>
    <hyperlink r:id="rId108" ref="AA77"/>
    <hyperlink r:id="rId109" ref="AB77"/>
    <hyperlink r:id="rId110" ref="AA78"/>
    <hyperlink r:id="rId111" ref="AA79"/>
    <hyperlink r:id="rId112" ref="AB79"/>
    <hyperlink r:id="rId113" ref="AA80"/>
    <hyperlink r:id="rId114" ref="AB80"/>
    <hyperlink r:id="rId115" ref="AA81"/>
    <hyperlink r:id="rId116" ref="AB81"/>
    <hyperlink r:id="rId117" ref="AA82"/>
    <hyperlink r:id="rId118" ref="AB82"/>
    <hyperlink r:id="rId119" ref="AA83"/>
    <hyperlink r:id="rId120" ref="AB83"/>
    <hyperlink r:id="rId121" ref="AA84"/>
    <hyperlink r:id="rId122" ref="AB84"/>
    <hyperlink r:id="rId123" ref="AA85"/>
    <hyperlink r:id="rId124" ref="AA86"/>
    <hyperlink r:id="rId125" ref="AA87"/>
    <hyperlink r:id="rId126" ref="AB87"/>
    <hyperlink r:id="rId127" ref="AA88"/>
    <hyperlink r:id="rId128" ref="AA89"/>
    <hyperlink r:id="rId129" ref="AA90"/>
    <hyperlink r:id="rId130" ref="AB90"/>
    <hyperlink r:id="rId131" ref="AA91"/>
    <hyperlink r:id="rId132" ref="AB91"/>
    <hyperlink r:id="rId133" ref="AA92"/>
    <hyperlink r:id="rId134" ref="AB92"/>
    <hyperlink r:id="rId135" ref="AA93"/>
    <hyperlink r:id="rId136" ref="AB93"/>
    <hyperlink r:id="rId137" ref="AA94"/>
    <hyperlink r:id="rId138" ref="AA95"/>
    <hyperlink r:id="rId139" ref="AB95"/>
    <hyperlink r:id="rId140" ref="AA96"/>
    <hyperlink r:id="rId141" ref="AA97"/>
    <hyperlink r:id="rId142" ref="AB97"/>
    <hyperlink r:id="rId143" ref="AA98"/>
    <hyperlink r:id="rId144" ref="AA99"/>
    <hyperlink r:id="rId145" ref="AB99"/>
    <hyperlink r:id="rId146" ref="AA101"/>
    <hyperlink r:id="rId147" ref="AB101"/>
    <hyperlink r:id="rId148" ref="AA102"/>
    <hyperlink r:id="rId149" ref="AA103"/>
    <hyperlink r:id="rId150" ref="AA104"/>
    <hyperlink r:id="rId151" ref="AB104"/>
    <hyperlink r:id="rId152" ref="AA105"/>
    <hyperlink r:id="rId153" ref="AB105"/>
    <hyperlink r:id="rId154" ref="AA106"/>
    <hyperlink r:id="rId155" ref="AB106"/>
    <hyperlink r:id="rId156" ref="AA108"/>
    <hyperlink r:id="rId157" ref="AA109"/>
    <hyperlink r:id="rId158" ref="AB109"/>
    <hyperlink r:id="rId159" ref="AB110"/>
    <hyperlink r:id="rId160" ref="AA111"/>
    <hyperlink r:id="rId161" ref="AB111"/>
    <hyperlink r:id="rId162" ref="AA112"/>
    <hyperlink r:id="rId163" ref="AA113"/>
    <hyperlink r:id="rId164" ref="AA114"/>
    <hyperlink r:id="rId165" ref="AA115"/>
    <hyperlink r:id="rId166" ref="AB115"/>
    <hyperlink r:id="rId167" ref="AA116"/>
    <hyperlink r:id="rId168" ref="AB116"/>
    <hyperlink r:id="rId169" ref="AA117"/>
    <hyperlink r:id="rId170" ref="AA118"/>
    <hyperlink r:id="rId171" ref="AB118"/>
    <hyperlink r:id="rId172" ref="AA119"/>
    <hyperlink r:id="rId173" ref="AB119"/>
    <hyperlink r:id="rId174" ref="AA120"/>
    <hyperlink r:id="rId175" ref="AB120"/>
    <hyperlink r:id="rId176" ref="AA121"/>
    <hyperlink r:id="rId177" ref="AB121"/>
    <hyperlink r:id="rId178" ref="AA122"/>
    <hyperlink r:id="rId179" ref="AB122"/>
    <hyperlink r:id="rId180" ref="AA123"/>
    <hyperlink r:id="rId181" ref="AB123"/>
    <hyperlink r:id="rId182" ref="AA124"/>
    <hyperlink r:id="rId183" ref="AB124"/>
  </hyperlinks>
  <drawing r:id="rId18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2.5"/>
    <col customWidth="1" min="4" max="4" width="17.75"/>
    <col customWidth="1" min="5" max="5" width="26.75"/>
    <col customWidth="1" min="6" max="6" width="20.0"/>
    <col customWidth="1" min="7" max="7" width="18.88"/>
    <col customWidth="1" min="8" max="8" width="25.0"/>
    <col customWidth="1" min="9" max="11" width="22.38"/>
    <col customWidth="1" min="13" max="13" width="16.5"/>
    <col customWidth="1" min="14" max="16" width="14.0"/>
    <col customWidth="1" min="18" max="18" width="26.88"/>
  </cols>
  <sheetData>
    <row r="1">
      <c r="A1" s="1" t="s">
        <v>1</v>
      </c>
      <c r="B1" s="1" t="s">
        <v>4</v>
      </c>
      <c r="C1" s="1" t="s">
        <v>5</v>
      </c>
      <c r="D1" s="1" t="s">
        <v>6</v>
      </c>
      <c r="E1" s="1" t="s">
        <v>8</v>
      </c>
      <c r="F1" s="1" t="s">
        <v>11</v>
      </c>
      <c r="G1" s="1" t="s">
        <v>13</v>
      </c>
      <c r="H1" s="1" t="s">
        <v>29</v>
      </c>
      <c r="I1" s="1" t="s">
        <v>30</v>
      </c>
      <c r="J1" s="1"/>
      <c r="K1" s="1" t="s">
        <v>1560</v>
      </c>
      <c r="L1" s="1" t="s">
        <v>31</v>
      </c>
      <c r="M1" s="1" t="s">
        <v>32</v>
      </c>
      <c r="N1" s="1"/>
      <c r="O1" s="1"/>
      <c r="P1" s="1" t="s">
        <v>33</v>
      </c>
      <c r="Q1" s="1" t="s">
        <v>34</v>
      </c>
      <c r="R1" s="1" t="s">
        <v>35</v>
      </c>
    </row>
    <row r="2">
      <c r="A2" s="1" t="s">
        <v>39</v>
      </c>
      <c r="B2" s="1" t="s">
        <v>41</v>
      </c>
      <c r="C2" s="1" t="s">
        <v>42</v>
      </c>
      <c r="D2" s="1" t="s">
        <v>41</v>
      </c>
      <c r="E2" s="1" t="s">
        <v>43</v>
      </c>
      <c r="F2" s="1">
        <v>33300.0</v>
      </c>
      <c r="G2" s="1" t="s">
        <v>45</v>
      </c>
      <c r="H2" s="1" t="s">
        <v>54</v>
      </c>
      <c r="I2" s="1" t="s">
        <v>55</v>
      </c>
      <c r="J2" s="1">
        <f t="shared" ref="J2:J126" si="1">COUNTIF(I2,"*emandeur*")+COUNTIF(I2,"*llocataire*")</f>
        <v>0</v>
      </c>
      <c r="K2" s="1">
        <f t="shared" ref="K2:K126" si="2">SUM(IFERROR(SEARCH("Demand",I2),0)+IFERROR(SEARCH("Alloc",I2),0))</f>
        <v>0</v>
      </c>
      <c r="L2" s="1" t="s">
        <v>56</v>
      </c>
      <c r="M2" s="1" t="s">
        <v>57</v>
      </c>
      <c r="N2" s="1"/>
      <c r="O2" s="1"/>
      <c r="P2" s="1" t="s">
        <v>58</v>
      </c>
      <c r="Q2" s="3"/>
      <c r="R2" s="1" t="s">
        <v>59</v>
      </c>
    </row>
    <row r="3">
      <c r="A3" s="1" t="s">
        <v>62</v>
      </c>
      <c r="B3" s="1" t="s">
        <v>64</v>
      </c>
      <c r="C3" s="1" t="s">
        <v>42</v>
      </c>
      <c r="D3" s="1" t="s">
        <v>65</v>
      </c>
      <c r="E3" s="1" t="s">
        <v>66</v>
      </c>
      <c r="F3" s="1">
        <v>33300.0</v>
      </c>
      <c r="G3" s="1" t="s">
        <v>45</v>
      </c>
      <c r="H3" s="1" t="s">
        <v>74</v>
      </c>
      <c r="I3" s="1" t="s">
        <v>75</v>
      </c>
      <c r="J3" s="1">
        <f t="shared" si="1"/>
        <v>0</v>
      </c>
      <c r="K3" s="1">
        <f t="shared" si="2"/>
        <v>0</v>
      </c>
      <c r="L3" s="1" t="s">
        <v>56</v>
      </c>
      <c r="M3" s="1" t="s">
        <v>76</v>
      </c>
      <c r="N3" s="1" t="str">
        <f>IFERROR(__xludf.DUMMYFUNCTION("SPLIT(M3,"","")"),"Individuel")</f>
        <v>Individuel</v>
      </c>
      <c r="O3" s="1" t="str">
        <f>IFERROR(__xludf.DUMMYFUNCTION("""COMPUTED_VALUE"""),"Collectif")</f>
        <v>Collectif</v>
      </c>
      <c r="P3" s="1" t="s">
        <v>77</v>
      </c>
      <c r="Q3" s="3"/>
      <c r="R3" s="1" t="s">
        <v>59</v>
      </c>
    </row>
    <row r="4">
      <c r="A4" s="1" t="s">
        <v>80</v>
      </c>
      <c r="B4" s="1" t="s">
        <v>81</v>
      </c>
      <c r="C4" s="1" t="s">
        <v>83</v>
      </c>
      <c r="D4" s="1" t="s">
        <v>84</v>
      </c>
      <c r="E4" s="1" t="s">
        <v>85</v>
      </c>
      <c r="F4" s="1">
        <v>33000.0</v>
      </c>
      <c r="G4" s="1" t="s">
        <v>45</v>
      </c>
      <c r="H4" s="1" t="s">
        <v>93</v>
      </c>
      <c r="I4" s="1" t="s">
        <v>94</v>
      </c>
      <c r="J4" s="1">
        <f t="shared" si="1"/>
        <v>1</v>
      </c>
      <c r="K4" s="1">
        <f t="shared" si="2"/>
        <v>1</v>
      </c>
      <c r="L4" s="1" t="s">
        <v>56</v>
      </c>
      <c r="M4" s="1" t="s">
        <v>76</v>
      </c>
      <c r="N4" s="1" t="str">
        <f>IFERROR(__xludf.DUMMYFUNCTION("SPLIT(M4,"","")"),"Individuel")</f>
        <v>Individuel</v>
      </c>
      <c r="O4" s="1" t="str">
        <f>IFERROR(__xludf.DUMMYFUNCTION("""COMPUTED_VALUE"""),"Collectif")</f>
        <v>Collectif</v>
      </c>
      <c r="P4" s="1" t="s">
        <v>95</v>
      </c>
      <c r="Q4" s="3"/>
      <c r="R4" s="1" t="s">
        <v>96</v>
      </c>
    </row>
    <row r="5">
      <c r="A5" s="1" t="s">
        <v>99</v>
      </c>
      <c r="B5" s="1" t="s">
        <v>41</v>
      </c>
      <c r="C5" s="1" t="s">
        <v>42</v>
      </c>
      <c r="D5" s="1" t="s">
        <v>41</v>
      </c>
      <c r="E5" s="1" t="s">
        <v>101</v>
      </c>
      <c r="F5" s="1">
        <v>33000.0</v>
      </c>
      <c r="G5" s="1" t="s">
        <v>45</v>
      </c>
      <c r="H5" s="1" t="s">
        <v>108</v>
      </c>
      <c r="I5" s="1" t="s">
        <v>55</v>
      </c>
      <c r="J5" s="1">
        <f t="shared" si="1"/>
        <v>0</v>
      </c>
      <c r="K5" s="1">
        <f t="shared" si="2"/>
        <v>0</v>
      </c>
      <c r="L5" s="1" t="s">
        <v>56</v>
      </c>
      <c r="M5" s="1" t="s">
        <v>109</v>
      </c>
      <c r="N5" s="1" t="str">
        <f>IFERROR(__xludf.DUMMYFUNCTION("SPLIT(M5,"","")"),"Individuel")</f>
        <v>Individuel</v>
      </c>
      <c r="O5" s="1"/>
      <c r="P5" s="1" t="s">
        <v>77</v>
      </c>
      <c r="Q5" s="3"/>
      <c r="R5" s="1" t="s">
        <v>59</v>
      </c>
    </row>
    <row r="6">
      <c r="A6" s="1" t="s">
        <v>112</v>
      </c>
      <c r="B6" s="1" t="s">
        <v>114</v>
      </c>
      <c r="C6" s="1" t="s">
        <v>42</v>
      </c>
      <c r="D6" s="1" t="s">
        <v>41</v>
      </c>
      <c r="E6" s="1" t="s">
        <v>115</v>
      </c>
      <c r="F6" s="1">
        <v>33300.0</v>
      </c>
      <c r="G6" s="1" t="s">
        <v>45</v>
      </c>
      <c r="H6" s="1" t="s">
        <v>123</v>
      </c>
      <c r="I6" s="1" t="s">
        <v>124</v>
      </c>
      <c r="J6" s="1">
        <f t="shared" si="1"/>
        <v>2</v>
      </c>
      <c r="K6" s="1">
        <f t="shared" si="2"/>
        <v>15</v>
      </c>
      <c r="L6" s="1" t="s">
        <v>56</v>
      </c>
      <c r="M6" s="1" t="s">
        <v>76</v>
      </c>
      <c r="N6" s="1" t="str">
        <f>IFERROR(__xludf.DUMMYFUNCTION("SPLIT(M6,"","")"),"Individuel")</f>
        <v>Individuel</v>
      </c>
      <c r="O6" s="1" t="str">
        <f>IFERROR(__xludf.DUMMYFUNCTION("""COMPUTED_VALUE"""),"Collectif")</f>
        <v>Collectif</v>
      </c>
      <c r="P6" s="1" t="s">
        <v>95</v>
      </c>
      <c r="Q6" s="1" t="s">
        <v>125</v>
      </c>
      <c r="R6" s="1" t="s">
        <v>96</v>
      </c>
    </row>
    <row r="7">
      <c r="A7" s="1" t="s">
        <v>129</v>
      </c>
      <c r="B7" s="1" t="s">
        <v>132</v>
      </c>
      <c r="C7" s="1" t="s">
        <v>83</v>
      </c>
      <c r="D7" s="1" t="s">
        <v>133</v>
      </c>
      <c r="E7" s="1" t="s">
        <v>134</v>
      </c>
      <c r="F7" s="1">
        <v>33000.0</v>
      </c>
      <c r="G7" s="1" t="s">
        <v>45</v>
      </c>
      <c r="H7" s="1" t="s">
        <v>142</v>
      </c>
      <c r="I7" s="1" t="s">
        <v>55</v>
      </c>
      <c r="J7" s="1">
        <f t="shared" si="1"/>
        <v>0</v>
      </c>
      <c r="K7" s="1">
        <f t="shared" si="2"/>
        <v>0</v>
      </c>
      <c r="L7" s="1" t="s">
        <v>56</v>
      </c>
      <c r="M7" s="1" t="s">
        <v>76</v>
      </c>
      <c r="N7" s="1" t="str">
        <f>IFERROR(__xludf.DUMMYFUNCTION("SPLIT(M7,"","")"),"Individuel")</f>
        <v>Individuel</v>
      </c>
      <c r="O7" s="1" t="str">
        <f>IFERROR(__xludf.DUMMYFUNCTION("""COMPUTED_VALUE"""),"Collectif")</f>
        <v>Collectif</v>
      </c>
      <c r="P7" s="1" t="s">
        <v>58</v>
      </c>
      <c r="Q7" s="1" t="s">
        <v>125</v>
      </c>
      <c r="R7" s="1" t="s">
        <v>96</v>
      </c>
    </row>
    <row r="8">
      <c r="A8" s="1" t="s">
        <v>145</v>
      </c>
      <c r="B8" s="1" t="s">
        <v>41</v>
      </c>
      <c r="C8" s="1" t="s">
        <v>42</v>
      </c>
      <c r="D8" s="1" t="s">
        <v>41</v>
      </c>
      <c r="E8" s="1" t="s">
        <v>147</v>
      </c>
      <c r="F8" s="1">
        <v>33000.0</v>
      </c>
      <c r="G8" s="1" t="s">
        <v>45</v>
      </c>
      <c r="H8" s="1" t="s">
        <v>155</v>
      </c>
      <c r="I8" s="1" t="s">
        <v>156</v>
      </c>
      <c r="J8" s="1">
        <f t="shared" si="1"/>
        <v>0</v>
      </c>
      <c r="K8" s="1">
        <f t="shared" si="2"/>
        <v>0</v>
      </c>
      <c r="L8" s="1" t="s">
        <v>56</v>
      </c>
      <c r="M8" s="1" t="s">
        <v>76</v>
      </c>
      <c r="N8" s="1" t="str">
        <f>IFERROR(__xludf.DUMMYFUNCTION("SPLIT(M8,"","")"),"Individuel")</f>
        <v>Individuel</v>
      </c>
      <c r="O8" s="1" t="str">
        <f>IFERROR(__xludf.DUMMYFUNCTION("""COMPUTED_VALUE"""),"Collectif")</f>
        <v>Collectif</v>
      </c>
      <c r="P8" s="1" t="s">
        <v>95</v>
      </c>
      <c r="Q8" s="1" t="s">
        <v>125</v>
      </c>
      <c r="R8" s="1" t="s">
        <v>59</v>
      </c>
    </row>
    <row r="9">
      <c r="A9" s="1" t="s">
        <v>160</v>
      </c>
      <c r="B9" s="1" t="s">
        <v>162</v>
      </c>
      <c r="C9" s="1" t="s">
        <v>42</v>
      </c>
      <c r="D9" s="1" t="s">
        <v>41</v>
      </c>
      <c r="E9" s="1" t="s">
        <v>163</v>
      </c>
      <c r="F9" s="1">
        <v>33000.0</v>
      </c>
      <c r="G9" s="1" t="s">
        <v>45</v>
      </c>
      <c r="H9" s="1" t="s">
        <v>172</v>
      </c>
      <c r="I9" s="1" t="s">
        <v>173</v>
      </c>
      <c r="J9" s="1">
        <f t="shared" si="1"/>
        <v>2</v>
      </c>
      <c r="K9" s="1">
        <f t="shared" si="2"/>
        <v>15</v>
      </c>
      <c r="L9" s="1" t="s">
        <v>56</v>
      </c>
      <c r="M9" s="1" t="s">
        <v>76</v>
      </c>
      <c r="N9" s="1" t="str">
        <f>IFERROR(__xludf.DUMMYFUNCTION("SPLIT(M9,"","")"),"Individuel")</f>
        <v>Individuel</v>
      </c>
      <c r="O9" s="1" t="str">
        <f>IFERROR(__xludf.DUMMYFUNCTION("""COMPUTED_VALUE"""),"Collectif")</f>
        <v>Collectif</v>
      </c>
      <c r="P9" s="1" t="s">
        <v>58</v>
      </c>
      <c r="Q9" s="3"/>
      <c r="R9" s="1" t="s">
        <v>59</v>
      </c>
    </row>
    <row r="10">
      <c r="A10" s="1" t="s">
        <v>176</v>
      </c>
      <c r="B10" s="1" t="s">
        <v>41</v>
      </c>
      <c r="C10" s="1" t="s">
        <v>42</v>
      </c>
      <c r="D10" s="1" t="s">
        <v>41</v>
      </c>
      <c r="E10" s="1" t="s">
        <v>178</v>
      </c>
      <c r="F10" s="1">
        <v>33000.0</v>
      </c>
      <c r="G10" s="1" t="s">
        <v>45</v>
      </c>
      <c r="H10" s="1" t="s">
        <v>185</v>
      </c>
      <c r="I10" s="1" t="s">
        <v>55</v>
      </c>
      <c r="J10" s="1">
        <f t="shared" si="1"/>
        <v>0</v>
      </c>
      <c r="K10" s="1">
        <f t="shared" si="2"/>
        <v>0</v>
      </c>
      <c r="L10" s="1" t="s">
        <v>56</v>
      </c>
      <c r="M10" s="1" t="s">
        <v>76</v>
      </c>
      <c r="N10" s="1" t="str">
        <f>IFERROR(__xludf.DUMMYFUNCTION("SPLIT(M10,"","")"),"Individuel")</f>
        <v>Individuel</v>
      </c>
      <c r="O10" s="1" t="str">
        <f>IFERROR(__xludf.DUMMYFUNCTION("""COMPUTED_VALUE"""),"Collectif")</f>
        <v>Collectif</v>
      </c>
      <c r="P10" s="1" t="s">
        <v>77</v>
      </c>
      <c r="Q10" s="3"/>
      <c r="R10" s="1" t="s">
        <v>59</v>
      </c>
    </row>
    <row r="11">
      <c r="A11" s="1" t="s">
        <v>188</v>
      </c>
      <c r="B11" s="1" t="s">
        <v>41</v>
      </c>
      <c r="C11" s="1" t="s">
        <v>42</v>
      </c>
      <c r="D11" s="1" t="s">
        <v>41</v>
      </c>
      <c r="E11" s="1" t="s">
        <v>190</v>
      </c>
      <c r="F11" s="1">
        <v>33000.0</v>
      </c>
      <c r="G11" s="1" t="s">
        <v>45</v>
      </c>
      <c r="H11" s="1" t="s">
        <v>197</v>
      </c>
      <c r="I11" s="1" t="s">
        <v>94</v>
      </c>
      <c r="J11" s="1">
        <f t="shared" si="1"/>
        <v>1</v>
      </c>
      <c r="K11" s="1">
        <f t="shared" si="2"/>
        <v>1</v>
      </c>
      <c r="L11" s="1" t="s">
        <v>56</v>
      </c>
      <c r="M11" s="1" t="s">
        <v>57</v>
      </c>
      <c r="N11" s="1" t="str">
        <f>IFERROR(__xludf.DUMMYFUNCTION("SPLIT(M11,"","")"),"Collectif")</f>
        <v>Collectif</v>
      </c>
      <c r="O11" s="1"/>
      <c r="P11" s="1" t="s">
        <v>77</v>
      </c>
      <c r="Q11" s="3"/>
      <c r="R11" s="1" t="s">
        <v>59</v>
      </c>
    </row>
    <row r="12">
      <c r="A12" s="1" t="s">
        <v>200</v>
      </c>
      <c r="B12" s="1" t="s">
        <v>64</v>
      </c>
      <c r="C12" s="1" t="s">
        <v>42</v>
      </c>
      <c r="D12" s="1" t="s">
        <v>202</v>
      </c>
      <c r="E12" s="1" t="s">
        <v>203</v>
      </c>
      <c r="F12" s="1">
        <v>33000.0</v>
      </c>
      <c r="G12" s="1" t="s">
        <v>45</v>
      </c>
      <c r="H12" s="3"/>
      <c r="I12" s="1" t="s">
        <v>211</v>
      </c>
      <c r="J12" s="1">
        <f t="shared" si="1"/>
        <v>0</v>
      </c>
      <c r="K12" s="1">
        <f t="shared" si="2"/>
        <v>0</v>
      </c>
      <c r="L12" s="1" t="s">
        <v>56</v>
      </c>
      <c r="M12" s="1" t="s">
        <v>57</v>
      </c>
      <c r="N12" s="1" t="str">
        <f>IFERROR(__xludf.DUMMYFUNCTION("SPLIT(M12,"","")"),"Collectif")</f>
        <v>Collectif</v>
      </c>
      <c r="O12" s="1"/>
      <c r="P12" s="1" t="s">
        <v>77</v>
      </c>
      <c r="Q12" s="3"/>
      <c r="R12" s="1" t="s">
        <v>59</v>
      </c>
    </row>
    <row r="13">
      <c r="A13" s="1" t="s">
        <v>214</v>
      </c>
      <c r="B13" s="1" t="s">
        <v>132</v>
      </c>
      <c r="C13" s="1" t="s">
        <v>83</v>
      </c>
      <c r="D13" s="1" t="s">
        <v>133</v>
      </c>
      <c r="E13" s="1" t="s">
        <v>216</v>
      </c>
      <c r="F13" s="1">
        <v>33800.0</v>
      </c>
      <c r="G13" s="1" t="s">
        <v>45</v>
      </c>
      <c r="H13" s="1" t="s">
        <v>221</v>
      </c>
      <c r="I13" s="1" t="s">
        <v>55</v>
      </c>
      <c r="J13" s="1">
        <f t="shared" si="1"/>
        <v>0</v>
      </c>
      <c r="K13" s="1">
        <f t="shared" si="2"/>
        <v>0</v>
      </c>
      <c r="L13" s="1" t="s">
        <v>56</v>
      </c>
      <c r="M13" s="1" t="s">
        <v>76</v>
      </c>
      <c r="N13" s="1" t="str">
        <f>IFERROR(__xludf.DUMMYFUNCTION("SPLIT(M13,"","")"),"Individuel")</f>
        <v>Individuel</v>
      </c>
      <c r="O13" s="1" t="str">
        <f>IFERROR(__xludf.DUMMYFUNCTION("""COMPUTED_VALUE"""),"Collectif")</f>
        <v>Collectif</v>
      </c>
      <c r="P13" s="1" t="s">
        <v>58</v>
      </c>
      <c r="Q13" s="1" t="s">
        <v>125</v>
      </c>
      <c r="R13" s="1" t="s">
        <v>59</v>
      </c>
    </row>
    <row r="14">
      <c r="A14" s="1" t="s">
        <v>224</v>
      </c>
      <c r="B14" s="1" t="s">
        <v>132</v>
      </c>
      <c r="C14" s="1" t="s">
        <v>83</v>
      </c>
      <c r="D14" s="1" t="s">
        <v>133</v>
      </c>
      <c r="E14" s="1" t="s">
        <v>226</v>
      </c>
      <c r="F14" s="1">
        <v>33800.0</v>
      </c>
      <c r="G14" s="1" t="s">
        <v>45</v>
      </c>
      <c r="H14" s="1" t="s">
        <v>221</v>
      </c>
      <c r="I14" s="1" t="s">
        <v>55</v>
      </c>
      <c r="J14" s="1">
        <f t="shared" si="1"/>
        <v>0</v>
      </c>
      <c r="K14" s="1">
        <f t="shared" si="2"/>
        <v>0</v>
      </c>
      <c r="L14" s="1" t="s">
        <v>56</v>
      </c>
      <c r="M14" s="1" t="s">
        <v>76</v>
      </c>
      <c r="N14" s="1" t="str">
        <f>IFERROR(__xludf.DUMMYFUNCTION("SPLIT(M14,"","")"),"Individuel")</f>
        <v>Individuel</v>
      </c>
      <c r="O14" s="1" t="str">
        <f>IFERROR(__xludf.DUMMYFUNCTION("""COMPUTED_VALUE"""),"Collectif")</f>
        <v>Collectif</v>
      </c>
      <c r="P14" s="1" t="s">
        <v>58</v>
      </c>
      <c r="Q14" s="1" t="s">
        <v>125</v>
      </c>
      <c r="R14" s="1" t="s">
        <v>59</v>
      </c>
    </row>
    <row r="15">
      <c r="A15" s="1" t="s">
        <v>232</v>
      </c>
      <c r="B15" s="1" t="s">
        <v>132</v>
      </c>
      <c r="C15" s="1" t="s">
        <v>83</v>
      </c>
      <c r="D15" s="1" t="s">
        <v>133</v>
      </c>
      <c r="E15" s="1" t="s">
        <v>234</v>
      </c>
      <c r="F15" s="1">
        <v>33200.0</v>
      </c>
      <c r="G15" s="1" t="s">
        <v>45</v>
      </c>
      <c r="H15" s="1" t="s">
        <v>239</v>
      </c>
      <c r="I15" s="1" t="s">
        <v>55</v>
      </c>
      <c r="J15" s="1">
        <f t="shared" si="1"/>
        <v>0</v>
      </c>
      <c r="K15" s="1">
        <f t="shared" si="2"/>
        <v>0</v>
      </c>
      <c r="L15" s="1" t="s">
        <v>56</v>
      </c>
      <c r="M15" s="1" t="s">
        <v>76</v>
      </c>
      <c r="N15" s="1" t="str">
        <f>IFERROR(__xludf.DUMMYFUNCTION("SPLIT(M15,"","")"),"Individuel")</f>
        <v>Individuel</v>
      </c>
      <c r="O15" s="1" t="str">
        <f>IFERROR(__xludf.DUMMYFUNCTION("""COMPUTED_VALUE"""),"Collectif")</f>
        <v>Collectif</v>
      </c>
      <c r="P15" s="1" t="s">
        <v>58</v>
      </c>
      <c r="Q15" s="1" t="s">
        <v>125</v>
      </c>
      <c r="R15" s="1" t="s">
        <v>59</v>
      </c>
    </row>
    <row r="16">
      <c r="A16" s="1" t="s">
        <v>242</v>
      </c>
      <c r="B16" s="1" t="s">
        <v>41</v>
      </c>
      <c r="C16" s="1" t="s">
        <v>42</v>
      </c>
      <c r="D16" s="1" t="s">
        <v>41</v>
      </c>
      <c r="E16" s="1" t="s">
        <v>244</v>
      </c>
      <c r="F16" s="1">
        <v>33370.0</v>
      </c>
      <c r="G16" s="1" t="s">
        <v>246</v>
      </c>
      <c r="H16" s="1" t="s">
        <v>252</v>
      </c>
      <c r="I16" s="1" t="s">
        <v>253</v>
      </c>
      <c r="J16" s="1">
        <f t="shared" si="1"/>
        <v>0</v>
      </c>
      <c r="K16" s="1">
        <f t="shared" si="2"/>
        <v>0</v>
      </c>
      <c r="L16" s="3"/>
      <c r="M16" s="1" t="s">
        <v>57</v>
      </c>
      <c r="N16" s="1" t="str">
        <f>IFERROR(__xludf.DUMMYFUNCTION("SPLIT(M16,"","")"),"Collectif")</f>
        <v>Collectif</v>
      </c>
      <c r="O16" s="1"/>
      <c r="P16" s="1" t="s">
        <v>58</v>
      </c>
      <c r="Q16" s="1" t="s">
        <v>125</v>
      </c>
      <c r="R16" s="1" t="s">
        <v>59</v>
      </c>
    </row>
    <row r="17">
      <c r="A17" s="1" t="s">
        <v>256</v>
      </c>
      <c r="B17" s="1" t="s">
        <v>258</v>
      </c>
      <c r="C17" s="1" t="s">
        <v>83</v>
      </c>
      <c r="D17" s="1" t="s">
        <v>133</v>
      </c>
      <c r="E17" s="1" t="s">
        <v>259</v>
      </c>
      <c r="F17" s="1">
        <v>33560.0</v>
      </c>
      <c r="G17" s="1" t="s">
        <v>260</v>
      </c>
      <c r="H17" s="1" t="s">
        <v>264</v>
      </c>
      <c r="I17" s="1" t="s">
        <v>265</v>
      </c>
      <c r="J17" s="1">
        <f t="shared" si="1"/>
        <v>1</v>
      </c>
      <c r="K17" s="1">
        <f t="shared" si="2"/>
        <v>1</v>
      </c>
      <c r="L17" s="1" t="s">
        <v>56</v>
      </c>
      <c r="M17" s="1" t="s">
        <v>109</v>
      </c>
      <c r="N17" s="1" t="str">
        <f>IFERROR(__xludf.DUMMYFUNCTION("SPLIT(M17,"","")"),"Individuel")</f>
        <v>Individuel</v>
      </c>
      <c r="O17" s="1"/>
      <c r="P17" s="1" t="s">
        <v>95</v>
      </c>
      <c r="Q17" s="1" t="s">
        <v>125</v>
      </c>
      <c r="R17" s="1" t="s">
        <v>96</v>
      </c>
    </row>
    <row r="18">
      <c r="A18" s="1" t="s">
        <v>267</v>
      </c>
      <c r="B18" s="1" t="s">
        <v>258</v>
      </c>
      <c r="C18" s="1" t="s">
        <v>83</v>
      </c>
      <c r="D18" s="1" t="s">
        <v>133</v>
      </c>
      <c r="E18" s="1" t="s">
        <v>270</v>
      </c>
      <c r="F18" s="1">
        <v>33150.0</v>
      </c>
      <c r="G18" s="1" t="s">
        <v>272</v>
      </c>
      <c r="H18" s="1" t="s">
        <v>280</v>
      </c>
      <c r="I18" s="1" t="s">
        <v>55</v>
      </c>
      <c r="J18" s="1">
        <f t="shared" si="1"/>
        <v>0</v>
      </c>
      <c r="K18" s="1">
        <f t="shared" si="2"/>
        <v>0</v>
      </c>
      <c r="L18" s="1" t="s">
        <v>56</v>
      </c>
      <c r="M18" s="1" t="s">
        <v>76</v>
      </c>
      <c r="N18" s="1" t="str">
        <f>IFERROR(__xludf.DUMMYFUNCTION("SPLIT(M18,"","")"),"Individuel")</f>
        <v>Individuel</v>
      </c>
      <c r="O18" s="1" t="str">
        <f>IFERROR(__xludf.DUMMYFUNCTION("""COMPUTED_VALUE"""),"Collectif")</f>
        <v>Collectif</v>
      </c>
      <c r="P18" s="1" t="s">
        <v>58</v>
      </c>
      <c r="Q18" s="1" t="s">
        <v>125</v>
      </c>
      <c r="R18" s="1" t="s">
        <v>59</v>
      </c>
    </row>
    <row r="19">
      <c r="A19" s="1" t="s">
        <v>283</v>
      </c>
      <c r="B19" s="1" t="s">
        <v>41</v>
      </c>
      <c r="C19" s="1" t="s">
        <v>42</v>
      </c>
      <c r="D19" s="1" t="s">
        <v>41</v>
      </c>
      <c r="E19" s="1" t="s">
        <v>285</v>
      </c>
      <c r="F19" s="1">
        <v>33310.0</v>
      </c>
      <c r="G19" s="1" t="s">
        <v>287</v>
      </c>
      <c r="H19" s="1" t="s">
        <v>293</v>
      </c>
      <c r="I19" s="1" t="s">
        <v>294</v>
      </c>
      <c r="J19" s="1">
        <f t="shared" si="1"/>
        <v>2</v>
      </c>
      <c r="K19" s="1">
        <f t="shared" si="2"/>
        <v>15</v>
      </c>
      <c r="L19" s="1" t="s">
        <v>56</v>
      </c>
      <c r="M19" s="1" t="s">
        <v>109</v>
      </c>
      <c r="N19" s="1" t="str">
        <f>IFERROR(__xludf.DUMMYFUNCTION("SPLIT(M19,"","")"),"Individuel")</f>
        <v>Individuel</v>
      </c>
      <c r="O19" s="1"/>
      <c r="P19" s="1" t="s">
        <v>295</v>
      </c>
      <c r="Q19" s="3"/>
      <c r="R19" s="1" t="s">
        <v>59</v>
      </c>
    </row>
    <row r="20">
      <c r="A20" s="1" t="s">
        <v>298</v>
      </c>
      <c r="B20" s="1" t="s">
        <v>41</v>
      </c>
      <c r="C20" s="1" t="s">
        <v>42</v>
      </c>
      <c r="D20" s="1" t="s">
        <v>41</v>
      </c>
      <c r="E20" s="1" t="s">
        <v>300</v>
      </c>
      <c r="F20" s="1">
        <v>33310.0</v>
      </c>
      <c r="G20" s="1" t="s">
        <v>287</v>
      </c>
      <c r="H20" s="1" t="s">
        <v>307</v>
      </c>
      <c r="I20" s="1" t="s">
        <v>308</v>
      </c>
      <c r="J20" s="1">
        <f t="shared" si="1"/>
        <v>1</v>
      </c>
      <c r="K20" s="1">
        <f t="shared" si="2"/>
        <v>1</v>
      </c>
      <c r="L20" s="1" t="s">
        <v>56</v>
      </c>
      <c r="M20" s="1" t="s">
        <v>109</v>
      </c>
      <c r="N20" s="1" t="str">
        <f>IFERROR(__xludf.DUMMYFUNCTION("SPLIT(M20,"","")"),"Individuel")</f>
        <v>Individuel</v>
      </c>
      <c r="O20" s="1"/>
      <c r="P20" s="1" t="s">
        <v>95</v>
      </c>
      <c r="Q20" s="1" t="s">
        <v>125</v>
      </c>
      <c r="R20" s="1" t="s">
        <v>59</v>
      </c>
    </row>
    <row r="21">
      <c r="A21" s="1" t="s">
        <v>311</v>
      </c>
      <c r="B21" s="1" t="s">
        <v>64</v>
      </c>
      <c r="C21" s="1" t="s">
        <v>42</v>
      </c>
      <c r="D21" s="1" t="s">
        <v>84</v>
      </c>
      <c r="E21" s="1" t="s">
        <v>313</v>
      </c>
      <c r="F21" s="1">
        <v>33130.0</v>
      </c>
      <c r="G21" s="1" t="s">
        <v>315</v>
      </c>
      <c r="H21" s="1" t="s">
        <v>321</v>
      </c>
      <c r="I21" s="1" t="s">
        <v>55</v>
      </c>
      <c r="J21" s="1">
        <f t="shared" si="1"/>
        <v>0</v>
      </c>
      <c r="K21" s="1">
        <f t="shared" si="2"/>
        <v>0</v>
      </c>
      <c r="L21" s="1" t="s">
        <v>56</v>
      </c>
      <c r="M21" s="1" t="s">
        <v>109</v>
      </c>
      <c r="N21" s="1" t="str">
        <f>IFERROR(__xludf.DUMMYFUNCTION("SPLIT(M21,"","")"),"Individuel")</f>
        <v>Individuel</v>
      </c>
      <c r="O21" s="1"/>
      <c r="P21" s="1" t="s">
        <v>77</v>
      </c>
      <c r="Q21" s="1" t="s">
        <v>125</v>
      </c>
      <c r="R21" s="1" t="s">
        <v>59</v>
      </c>
    </row>
    <row r="22">
      <c r="A22" s="1" t="s">
        <v>324</v>
      </c>
      <c r="B22" s="1" t="s">
        <v>41</v>
      </c>
      <c r="C22" s="1" t="s">
        <v>42</v>
      </c>
      <c r="D22" s="1" t="s">
        <v>41</v>
      </c>
      <c r="E22" s="1" t="s">
        <v>326</v>
      </c>
      <c r="F22" s="1">
        <v>33130.0</v>
      </c>
      <c r="G22" s="1" t="s">
        <v>315</v>
      </c>
      <c r="H22" s="1" t="s">
        <v>332</v>
      </c>
      <c r="I22" s="1" t="s">
        <v>156</v>
      </c>
      <c r="J22" s="1">
        <f t="shared" si="1"/>
        <v>0</v>
      </c>
      <c r="K22" s="1">
        <f t="shared" si="2"/>
        <v>0</v>
      </c>
      <c r="L22" s="1" t="s">
        <v>56</v>
      </c>
      <c r="M22" s="1" t="s">
        <v>76</v>
      </c>
      <c r="N22" s="1" t="str">
        <f>IFERROR(__xludf.DUMMYFUNCTION("SPLIT(M22,"","")"),"Individuel")</f>
        <v>Individuel</v>
      </c>
      <c r="O22" s="1" t="str">
        <f>IFERROR(__xludf.DUMMYFUNCTION("""COMPUTED_VALUE"""),"Collectif")</f>
        <v>Collectif</v>
      </c>
      <c r="P22" s="1" t="s">
        <v>95</v>
      </c>
      <c r="Q22" s="1" t="s">
        <v>125</v>
      </c>
      <c r="R22" s="1" t="s">
        <v>59</v>
      </c>
    </row>
    <row r="23">
      <c r="A23" s="1" t="s">
        <v>335</v>
      </c>
      <c r="B23" s="1" t="s">
        <v>162</v>
      </c>
      <c r="C23" s="1" t="s">
        <v>42</v>
      </c>
      <c r="D23" s="1" t="s">
        <v>41</v>
      </c>
      <c r="E23" s="1" t="s">
        <v>337</v>
      </c>
      <c r="F23" s="1">
        <v>33130.0</v>
      </c>
      <c r="G23" s="1" t="s">
        <v>315</v>
      </c>
      <c r="H23" s="1" t="s">
        <v>345</v>
      </c>
      <c r="I23" s="1" t="s">
        <v>55</v>
      </c>
      <c r="J23" s="1">
        <f t="shared" si="1"/>
        <v>0</v>
      </c>
      <c r="K23" s="1">
        <f t="shared" si="2"/>
        <v>0</v>
      </c>
      <c r="L23" s="1" t="s">
        <v>56</v>
      </c>
      <c r="M23" s="1" t="s">
        <v>76</v>
      </c>
      <c r="N23" s="1" t="str">
        <f>IFERROR(__xludf.DUMMYFUNCTION("SPLIT(M23,"","")"),"Individuel")</f>
        <v>Individuel</v>
      </c>
      <c r="O23" s="1" t="str">
        <f>IFERROR(__xludf.DUMMYFUNCTION("""COMPUTED_VALUE"""),"Collectif")</f>
        <v>Collectif</v>
      </c>
      <c r="P23" s="1" t="s">
        <v>77</v>
      </c>
      <c r="Q23" s="3"/>
      <c r="R23" s="1" t="s">
        <v>59</v>
      </c>
    </row>
    <row r="24">
      <c r="A24" s="1" t="s">
        <v>348</v>
      </c>
      <c r="B24" s="1" t="s">
        <v>162</v>
      </c>
      <c r="C24" s="1" t="s">
        <v>42</v>
      </c>
      <c r="D24" s="1" t="s">
        <v>41</v>
      </c>
      <c r="E24" s="1" t="s">
        <v>350</v>
      </c>
      <c r="F24" s="1">
        <v>33170.0</v>
      </c>
      <c r="G24" s="1" t="s">
        <v>352</v>
      </c>
      <c r="H24" s="1" t="s">
        <v>360</v>
      </c>
      <c r="I24" s="1" t="s">
        <v>361</v>
      </c>
      <c r="J24" s="1">
        <f t="shared" si="1"/>
        <v>2</v>
      </c>
      <c r="K24" s="1">
        <f t="shared" si="2"/>
        <v>15</v>
      </c>
      <c r="L24" s="1" t="s">
        <v>56</v>
      </c>
      <c r="M24" s="1" t="s">
        <v>76</v>
      </c>
      <c r="N24" s="1" t="str">
        <f>IFERROR(__xludf.DUMMYFUNCTION("SPLIT(M24,"","")"),"Individuel")</f>
        <v>Individuel</v>
      </c>
      <c r="O24" s="1" t="str">
        <f>IFERROR(__xludf.DUMMYFUNCTION("""COMPUTED_VALUE"""),"Collectif")</f>
        <v>Collectif</v>
      </c>
      <c r="P24" s="1" t="s">
        <v>295</v>
      </c>
      <c r="Q24" s="1" t="s">
        <v>125</v>
      </c>
      <c r="R24" s="1" t="s">
        <v>59</v>
      </c>
    </row>
    <row r="25">
      <c r="A25" s="1" t="s">
        <v>364</v>
      </c>
      <c r="B25" s="1" t="s">
        <v>41</v>
      </c>
      <c r="C25" s="1" t="s">
        <v>42</v>
      </c>
      <c r="D25" s="1" t="s">
        <v>41</v>
      </c>
      <c r="E25" s="1" t="s">
        <v>366</v>
      </c>
      <c r="F25" s="1">
        <v>33170.0</v>
      </c>
      <c r="G25" s="1" t="s">
        <v>352</v>
      </c>
      <c r="H25" s="3"/>
      <c r="I25" s="1" t="s">
        <v>94</v>
      </c>
      <c r="J25" s="1">
        <f t="shared" si="1"/>
        <v>1</v>
      </c>
      <c r="K25" s="1">
        <f t="shared" si="2"/>
        <v>1</v>
      </c>
      <c r="L25" s="1" t="s">
        <v>56</v>
      </c>
      <c r="M25" s="1" t="s">
        <v>76</v>
      </c>
      <c r="N25" s="1" t="str">
        <f>IFERROR(__xludf.DUMMYFUNCTION("SPLIT(M25,"","")"),"Individuel")</f>
        <v>Individuel</v>
      </c>
      <c r="O25" s="1" t="str">
        <f>IFERROR(__xludf.DUMMYFUNCTION("""COMPUTED_VALUE"""),"Collectif")</f>
        <v>Collectif</v>
      </c>
      <c r="P25" s="1" t="s">
        <v>58</v>
      </c>
      <c r="Q25" s="1" t="s">
        <v>125</v>
      </c>
      <c r="R25" s="1" t="s">
        <v>96</v>
      </c>
    </row>
    <row r="26">
      <c r="A26" s="1" t="s">
        <v>375</v>
      </c>
      <c r="B26" s="1" t="s">
        <v>132</v>
      </c>
      <c r="C26" s="1" t="s">
        <v>83</v>
      </c>
      <c r="D26" s="1" t="s">
        <v>133</v>
      </c>
      <c r="E26" s="1" t="s">
        <v>378</v>
      </c>
      <c r="F26" s="1">
        <v>33600.0</v>
      </c>
      <c r="G26" s="1" t="s">
        <v>381</v>
      </c>
      <c r="H26" s="1" t="s">
        <v>387</v>
      </c>
      <c r="I26" s="1" t="s">
        <v>55</v>
      </c>
      <c r="J26" s="1">
        <f t="shared" si="1"/>
        <v>0</v>
      </c>
      <c r="K26" s="1">
        <f t="shared" si="2"/>
        <v>0</v>
      </c>
      <c r="L26" s="1" t="s">
        <v>56</v>
      </c>
      <c r="M26" s="1" t="s">
        <v>109</v>
      </c>
      <c r="N26" s="1" t="str">
        <f>IFERROR(__xludf.DUMMYFUNCTION("SPLIT(M26,"","")"),"Individuel")</f>
        <v>Individuel</v>
      </c>
      <c r="O26" s="1"/>
      <c r="P26" s="1" t="s">
        <v>95</v>
      </c>
      <c r="Q26" s="1" t="s">
        <v>125</v>
      </c>
      <c r="R26" s="1" t="s">
        <v>59</v>
      </c>
    </row>
    <row r="27">
      <c r="A27" s="1" t="s">
        <v>390</v>
      </c>
      <c r="B27" s="1" t="s">
        <v>258</v>
      </c>
      <c r="C27" s="1" t="s">
        <v>83</v>
      </c>
      <c r="D27" s="1" t="s">
        <v>133</v>
      </c>
      <c r="E27" s="1" t="s">
        <v>393</v>
      </c>
      <c r="F27" s="1">
        <v>33400.0</v>
      </c>
      <c r="G27" s="1" t="s">
        <v>395</v>
      </c>
      <c r="H27" s="1" t="s">
        <v>402</v>
      </c>
      <c r="I27" s="1" t="s">
        <v>156</v>
      </c>
      <c r="J27" s="1">
        <f t="shared" si="1"/>
        <v>0</v>
      </c>
      <c r="K27" s="1">
        <f t="shared" si="2"/>
        <v>0</v>
      </c>
      <c r="L27" s="1" t="s">
        <v>56</v>
      </c>
      <c r="M27" s="1" t="s">
        <v>76</v>
      </c>
      <c r="N27" s="1" t="str">
        <f>IFERROR(__xludf.DUMMYFUNCTION("SPLIT(M27,"","")"),"Individuel")</f>
        <v>Individuel</v>
      </c>
      <c r="O27" s="1" t="str">
        <f>IFERROR(__xludf.DUMMYFUNCTION("""COMPUTED_VALUE"""),"Collectif")</f>
        <v>Collectif</v>
      </c>
      <c r="P27" s="1" t="s">
        <v>95</v>
      </c>
      <c r="Q27" s="1" t="s">
        <v>125</v>
      </c>
      <c r="R27" s="1" t="s">
        <v>59</v>
      </c>
    </row>
    <row r="28">
      <c r="A28" s="1" t="s">
        <v>405</v>
      </c>
      <c r="B28" s="1" t="s">
        <v>132</v>
      </c>
      <c r="C28" s="1" t="s">
        <v>83</v>
      </c>
      <c r="D28" s="1" t="s">
        <v>133</v>
      </c>
      <c r="E28" s="1" t="s">
        <v>407</v>
      </c>
      <c r="F28" s="1">
        <v>33400.0</v>
      </c>
      <c r="G28" s="1" t="s">
        <v>395</v>
      </c>
      <c r="H28" s="1" t="s">
        <v>414</v>
      </c>
      <c r="I28" s="1" t="s">
        <v>294</v>
      </c>
      <c r="J28" s="1">
        <f t="shared" si="1"/>
        <v>2</v>
      </c>
      <c r="K28" s="1">
        <f t="shared" si="2"/>
        <v>15</v>
      </c>
      <c r="L28" s="1" t="s">
        <v>56</v>
      </c>
      <c r="M28" s="1" t="s">
        <v>109</v>
      </c>
      <c r="N28" s="1" t="str">
        <f>IFERROR(__xludf.DUMMYFUNCTION("SPLIT(M28,"","")"),"Individuel")</f>
        <v>Individuel</v>
      </c>
      <c r="O28" s="1"/>
      <c r="P28" s="1" t="s">
        <v>58</v>
      </c>
      <c r="Q28" s="1" t="s">
        <v>125</v>
      </c>
      <c r="R28" s="1" t="s">
        <v>59</v>
      </c>
    </row>
    <row r="29">
      <c r="A29" s="1" t="s">
        <v>417</v>
      </c>
      <c r="B29" s="1" t="s">
        <v>41</v>
      </c>
      <c r="C29" s="1" t="s">
        <v>42</v>
      </c>
      <c r="D29" s="1" t="s">
        <v>41</v>
      </c>
      <c r="E29" s="1" t="s">
        <v>419</v>
      </c>
      <c r="F29" s="1">
        <v>33400.0</v>
      </c>
      <c r="G29" s="1" t="s">
        <v>395</v>
      </c>
      <c r="H29" s="1" t="s">
        <v>427</v>
      </c>
      <c r="I29" s="1" t="s">
        <v>55</v>
      </c>
      <c r="J29" s="1">
        <f t="shared" si="1"/>
        <v>0</v>
      </c>
      <c r="K29" s="1">
        <f t="shared" si="2"/>
        <v>0</v>
      </c>
      <c r="L29" s="1" t="s">
        <v>56</v>
      </c>
      <c r="M29" s="1" t="s">
        <v>57</v>
      </c>
      <c r="N29" s="1" t="str">
        <f>IFERROR(__xludf.DUMMYFUNCTION("SPLIT(M29,"","")"),"Collectif")</f>
        <v>Collectif</v>
      </c>
      <c r="O29" s="1"/>
      <c r="P29" s="1" t="s">
        <v>95</v>
      </c>
      <c r="Q29" s="1" t="s">
        <v>125</v>
      </c>
      <c r="R29" s="1" t="s">
        <v>59</v>
      </c>
    </row>
    <row r="30">
      <c r="A30" s="1" t="s">
        <v>430</v>
      </c>
      <c r="B30" s="1" t="s">
        <v>114</v>
      </c>
      <c r="C30" s="1" t="s">
        <v>42</v>
      </c>
      <c r="D30" s="1" t="s">
        <v>41</v>
      </c>
      <c r="E30" s="1" t="s">
        <v>432</v>
      </c>
      <c r="F30" s="1">
        <v>33127.0</v>
      </c>
      <c r="G30" s="1" t="s">
        <v>434</v>
      </c>
      <c r="H30" s="1" t="s">
        <v>440</v>
      </c>
      <c r="I30" s="1" t="s">
        <v>55</v>
      </c>
      <c r="J30" s="1">
        <f t="shared" si="1"/>
        <v>0</v>
      </c>
      <c r="K30" s="1">
        <f t="shared" si="2"/>
        <v>0</v>
      </c>
      <c r="L30" s="1" t="s">
        <v>56</v>
      </c>
      <c r="M30" s="1" t="s">
        <v>76</v>
      </c>
      <c r="N30" s="1" t="str">
        <f>IFERROR(__xludf.DUMMYFUNCTION("SPLIT(M30,"","")"),"Individuel")</f>
        <v>Individuel</v>
      </c>
      <c r="O30" s="1" t="str">
        <f>IFERROR(__xludf.DUMMYFUNCTION("""COMPUTED_VALUE"""),"Collectif")</f>
        <v>Collectif</v>
      </c>
      <c r="P30" s="1" t="s">
        <v>295</v>
      </c>
      <c r="Q30" s="1" t="s">
        <v>125</v>
      </c>
      <c r="R30" s="1" t="s">
        <v>59</v>
      </c>
    </row>
    <row r="31">
      <c r="A31" s="1" t="s">
        <v>443</v>
      </c>
      <c r="B31" s="1" t="s">
        <v>41</v>
      </c>
      <c r="C31" s="1" t="s">
        <v>42</v>
      </c>
      <c r="D31" s="1" t="s">
        <v>41</v>
      </c>
      <c r="E31" s="1" t="s">
        <v>445</v>
      </c>
      <c r="F31" s="1">
        <v>33700.0</v>
      </c>
      <c r="G31" s="1" t="s">
        <v>446</v>
      </c>
      <c r="H31" s="1" t="s">
        <v>453</v>
      </c>
      <c r="I31" s="1" t="s">
        <v>55</v>
      </c>
      <c r="J31" s="1">
        <f t="shared" si="1"/>
        <v>0</v>
      </c>
      <c r="K31" s="1">
        <f t="shared" si="2"/>
        <v>0</v>
      </c>
      <c r="L31" s="1" t="s">
        <v>56</v>
      </c>
      <c r="M31" s="1" t="s">
        <v>76</v>
      </c>
      <c r="N31" s="1" t="str">
        <f>IFERROR(__xludf.DUMMYFUNCTION("SPLIT(M31,"","")"),"Individuel")</f>
        <v>Individuel</v>
      </c>
      <c r="O31" s="1" t="str">
        <f>IFERROR(__xludf.DUMMYFUNCTION("""COMPUTED_VALUE"""),"Collectif")</f>
        <v>Collectif</v>
      </c>
      <c r="P31" s="1" t="s">
        <v>95</v>
      </c>
      <c r="Q31" s="1" t="s">
        <v>125</v>
      </c>
      <c r="R31" s="1" t="s">
        <v>96</v>
      </c>
    </row>
    <row r="32">
      <c r="A32" s="1" t="s">
        <v>456</v>
      </c>
      <c r="B32" s="1" t="s">
        <v>41</v>
      </c>
      <c r="C32" s="1" t="s">
        <v>42</v>
      </c>
      <c r="D32" s="1" t="s">
        <v>41</v>
      </c>
      <c r="E32" s="1" t="s">
        <v>458</v>
      </c>
      <c r="F32" s="1">
        <v>33160.0</v>
      </c>
      <c r="G32" s="1" t="s">
        <v>460</v>
      </c>
      <c r="H32" s="1" t="s">
        <v>467</v>
      </c>
      <c r="I32" s="1" t="s">
        <v>55</v>
      </c>
      <c r="J32" s="1">
        <f t="shared" si="1"/>
        <v>0</v>
      </c>
      <c r="K32" s="1">
        <f t="shared" si="2"/>
        <v>0</v>
      </c>
      <c r="L32" s="1" t="s">
        <v>56</v>
      </c>
      <c r="M32" s="1" t="s">
        <v>76</v>
      </c>
      <c r="N32" s="1" t="str">
        <f>IFERROR(__xludf.DUMMYFUNCTION("SPLIT(M32,"","")"),"Individuel")</f>
        <v>Individuel</v>
      </c>
      <c r="O32" s="1" t="str">
        <f>IFERROR(__xludf.DUMMYFUNCTION("""COMPUTED_VALUE"""),"Collectif")</f>
        <v>Collectif</v>
      </c>
      <c r="P32" s="1" t="s">
        <v>295</v>
      </c>
      <c r="Q32" s="1" t="s">
        <v>125</v>
      </c>
      <c r="R32" s="1" t="s">
        <v>59</v>
      </c>
    </row>
    <row r="33">
      <c r="A33" s="1" t="s">
        <v>470</v>
      </c>
      <c r="B33" s="1" t="s">
        <v>41</v>
      </c>
      <c r="C33" s="1" t="s">
        <v>42</v>
      </c>
      <c r="D33" s="1" t="s">
        <v>41</v>
      </c>
      <c r="E33" s="1" t="s">
        <v>472</v>
      </c>
      <c r="F33" s="1">
        <v>33800.0</v>
      </c>
      <c r="G33" s="1" t="s">
        <v>45</v>
      </c>
      <c r="H33" s="1" t="s">
        <v>74</v>
      </c>
      <c r="I33" s="1" t="s">
        <v>55</v>
      </c>
      <c r="J33" s="1">
        <f t="shared" si="1"/>
        <v>0</v>
      </c>
      <c r="K33" s="1">
        <f t="shared" si="2"/>
        <v>0</v>
      </c>
      <c r="L33" s="1" t="s">
        <v>56</v>
      </c>
      <c r="M33" s="1" t="s">
        <v>57</v>
      </c>
      <c r="N33" s="1" t="str">
        <f>IFERROR(__xludf.DUMMYFUNCTION("SPLIT(M33,"","")"),"Collectif")</f>
        <v>Collectif</v>
      </c>
      <c r="O33" s="1"/>
      <c r="P33" s="1" t="s">
        <v>95</v>
      </c>
      <c r="Q33" s="1" t="s">
        <v>125</v>
      </c>
      <c r="R33" s="1" t="s">
        <v>96</v>
      </c>
    </row>
    <row r="34">
      <c r="A34" s="1" t="s">
        <v>482</v>
      </c>
      <c r="B34" s="1" t="s">
        <v>41</v>
      </c>
      <c r="C34" s="1" t="s">
        <v>42</v>
      </c>
      <c r="D34" s="1" t="s">
        <v>41</v>
      </c>
      <c r="E34" s="1" t="s">
        <v>484</v>
      </c>
      <c r="F34" s="1">
        <v>33300.0</v>
      </c>
      <c r="G34" s="1" t="s">
        <v>45</v>
      </c>
      <c r="H34" s="1" t="s">
        <v>492</v>
      </c>
      <c r="I34" s="1" t="s">
        <v>55</v>
      </c>
      <c r="J34" s="1">
        <f t="shared" si="1"/>
        <v>0</v>
      </c>
      <c r="K34" s="1">
        <f t="shared" si="2"/>
        <v>0</v>
      </c>
      <c r="L34" s="1" t="s">
        <v>56</v>
      </c>
      <c r="M34" s="1" t="s">
        <v>76</v>
      </c>
      <c r="N34" s="1" t="str">
        <f>IFERROR(__xludf.DUMMYFUNCTION("SPLIT(M34,"","")"),"Individuel")</f>
        <v>Individuel</v>
      </c>
      <c r="O34" s="1" t="str">
        <f>IFERROR(__xludf.DUMMYFUNCTION("""COMPUTED_VALUE"""),"Collectif")</f>
        <v>Collectif</v>
      </c>
      <c r="P34" s="1" t="s">
        <v>95</v>
      </c>
      <c r="Q34" s="3"/>
      <c r="R34" s="1" t="s">
        <v>59</v>
      </c>
    </row>
    <row r="35">
      <c r="A35" s="1" t="s">
        <v>496</v>
      </c>
      <c r="B35" s="1" t="s">
        <v>41</v>
      </c>
      <c r="C35" s="1" t="s">
        <v>42</v>
      </c>
      <c r="D35" s="1" t="s">
        <v>41</v>
      </c>
      <c r="E35" s="1" t="s">
        <v>498</v>
      </c>
      <c r="F35" s="1">
        <v>33000.0</v>
      </c>
      <c r="G35" s="1" t="s">
        <v>45</v>
      </c>
      <c r="H35" s="1" t="s">
        <v>467</v>
      </c>
      <c r="I35" s="1" t="s">
        <v>173</v>
      </c>
      <c r="J35" s="1">
        <f t="shared" si="1"/>
        <v>2</v>
      </c>
      <c r="K35" s="1">
        <f t="shared" si="2"/>
        <v>15</v>
      </c>
      <c r="L35" s="1" t="s">
        <v>56</v>
      </c>
      <c r="M35" s="1" t="s">
        <v>109</v>
      </c>
      <c r="N35" s="1" t="str">
        <f>IFERROR(__xludf.DUMMYFUNCTION("SPLIT(M35,"","")"),"Individuel")</f>
        <v>Individuel</v>
      </c>
      <c r="O35" s="1"/>
      <c r="P35" s="1" t="s">
        <v>95</v>
      </c>
      <c r="Q35" s="1" t="s">
        <v>125</v>
      </c>
      <c r="R35" s="1" t="s">
        <v>59</v>
      </c>
    </row>
    <row r="36">
      <c r="A36" s="1" t="s">
        <v>507</v>
      </c>
      <c r="B36" s="1" t="s">
        <v>41</v>
      </c>
      <c r="C36" s="1" t="s">
        <v>42</v>
      </c>
      <c r="D36" s="1" t="s">
        <v>41</v>
      </c>
      <c r="E36" s="1" t="s">
        <v>509</v>
      </c>
      <c r="F36" s="1">
        <v>33000.0</v>
      </c>
      <c r="G36" s="1" t="s">
        <v>45</v>
      </c>
      <c r="H36" s="1" t="s">
        <v>515</v>
      </c>
      <c r="I36" s="1" t="s">
        <v>55</v>
      </c>
      <c r="J36" s="1">
        <f t="shared" si="1"/>
        <v>0</v>
      </c>
      <c r="K36" s="1">
        <f t="shared" si="2"/>
        <v>0</v>
      </c>
      <c r="L36" s="1" t="s">
        <v>56</v>
      </c>
      <c r="M36" s="1" t="s">
        <v>109</v>
      </c>
      <c r="N36" s="1" t="str">
        <f>IFERROR(__xludf.DUMMYFUNCTION("SPLIT(M36,"","")"),"Individuel")</f>
        <v>Individuel</v>
      </c>
      <c r="O36" s="1"/>
      <c r="P36" s="1" t="s">
        <v>77</v>
      </c>
      <c r="Q36" s="3"/>
      <c r="R36" s="1" t="s">
        <v>59</v>
      </c>
    </row>
    <row r="37">
      <c r="A37" s="1" t="s">
        <v>518</v>
      </c>
      <c r="B37" s="1" t="s">
        <v>132</v>
      </c>
      <c r="C37" s="1" t="s">
        <v>83</v>
      </c>
      <c r="D37" s="1" t="s">
        <v>133</v>
      </c>
      <c r="E37" s="1" t="s">
        <v>520</v>
      </c>
      <c r="F37" s="1">
        <v>33300.0</v>
      </c>
      <c r="G37" s="1" t="s">
        <v>45</v>
      </c>
      <c r="H37" s="1" t="s">
        <v>221</v>
      </c>
      <c r="I37" s="1" t="s">
        <v>55</v>
      </c>
      <c r="J37" s="1">
        <f t="shared" si="1"/>
        <v>0</v>
      </c>
      <c r="K37" s="1">
        <f t="shared" si="2"/>
        <v>0</v>
      </c>
      <c r="L37" s="1" t="s">
        <v>56</v>
      </c>
      <c r="M37" s="1" t="s">
        <v>76</v>
      </c>
      <c r="N37" s="1" t="str">
        <f>IFERROR(__xludf.DUMMYFUNCTION("SPLIT(M37,"","")"),"Individuel")</f>
        <v>Individuel</v>
      </c>
      <c r="O37" s="1" t="str">
        <f>IFERROR(__xludf.DUMMYFUNCTION("""COMPUTED_VALUE"""),"Collectif")</f>
        <v>Collectif</v>
      </c>
      <c r="P37" s="1" t="s">
        <v>58</v>
      </c>
      <c r="Q37" s="1" t="s">
        <v>125</v>
      </c>
      <c r="R37" s="1" t="s">
        <v>59</v>
      </c>
    </row>
    <row r="38">
      <c r="A38" s="1" t="s">
        <v>525</v>
      </c>
      <c r="B38" s="1" t="s">
        <v>41</v>
      </c>
      <c r="C38" s="1" t="s">
        <v>42</v>
      </c>
      <c r="D38" s="1" t="s">
        <v>41</v>
      </c>
      <c r="E38" s="1" t="s">
        <v>527</v>
      </c>
      <c r="F38" s="1">
        <v>33300.0</v>
      </c>
      <c r="G38" s="1" t="s">
        <v>45</v>
      </c>
      <c r="H38" s="1" t="s">
        <v>533</v>
      </c>
      <c r="I38" s="1" t="s">
        <v>361</v>
      </c>
      <c r="J38" s="1">
        <f t="shared" si="1"/>
        <v>2</v>
      </c>
      <c r="K38" s="1">
        <f t="shared" si="2"/>
        <v>15</v>
      </c>
      <c r="L38" s="1" t="s">
        <v>56</v>
      </c>
      <c r="M38" s="1" t="s">
        <v>109</v>
      </c>
      <c r="N38" s="1" t="str">
        <f>IFERROR(__xludf.DUMMYFUNCTION("SPLIT(M38,"","")"),"Individuel")</f>
        <v>Individuel</v>
      </c>
      <c r="O38" s="1"/>
      <c r="P38" s="1" t="s">
        <v>95</v>
      </c>
      <c r="Q38" s="3"/>
      <c r="R38" s="1" t="s">
        <v>59</v>
      </c>
    </row>
    <row r="39">
      <c r="A39" s="1" t="s">
        <v>536</v>
      </c>
      <c r="B39" s="1" t="s">
        <v>114</v>
      </c>
      <c r="C39" s="1" t="s">
        <v>42</v>
      </c>
      <c r="D39" s="1" t="s">
        <v>41</v>
      </c>
      <c r="E39" s="1" t="s">
        <v>538</v>
      </c>
      <c r="F39" s="1">
        <v>33300.0</v>
      </c>
      <c r="G39" s="1" t="s">
        <v>45</v>
      </c>
      <c r="H39" s="1" t="s">
        <v>545</v>
      </c>
      <c r="I39" s="1" t="s">
        <v>55</v>
      </c>
      <c r="J39" s="1">
        <f t="shared" si="1"/>
        <v>0</v>
      </c>
      <c r="K39" s="1">
        <f t="shared" si="2"/>
        <v>0</v>
      </c>
      <c r="L39" s="1" t="s">
        <v>56</v>
      </c>
      <c r="M39" s="1" t="s">
        <v>76</v>
      </c>
      <c r="N39" s="1" t="str">
        <f>IFERROR(__xludf.DUMMYFUNCTION("SPLIT(M39,"","")"),"Individuel")</f>
        <v>Individuel</v>
      </c>
      <c r="O39" s="1" t="str">
        <f>IFERROR(__xludf.DUMMYFUNCTION("""COMPUTED_VALUE"""),"Collectif")</f>
        <v>Collectif</v>
      </c>
      <c r="P39" s="1" t="s">
        <v>58</v>
      </c>
      <c r="Q39" s="3"/>
      <c r="R39" s="1" t="s">
        <v>59</v>
      </c>
    </row>
    <row r="40">
      <c r="A40" s="1" t="s">
        <v>548</v>
      </c>
      <c r="B40" s="1" t="s">
        <v>132</v>
      </c>
      <c r="C40" s="1" t="s">
        <v>83</v>
      </c>
      <c r="D40" s="1" t="s">
        <v>133</v>
      </c>
      <c r="E40" s="1" t="s">
        <v>550</v>
      </c>
      <c r="F40" s="1">
        <v>33000.0</v>
      </c>
      <c r="G40" s="1" t="s">
        <v>45</v>
      </c>
      <c r="H40" s="1" t="s">
        <v>221</v>
      </c>
      <c r="I40" s="1" t="s">
        <v>55</v>
      </c>
      <c r="J40" s="1">
        <f t="shared" si="1"/>
        <v>0</v>
      </c>
      <c r="K40" s="1">
        <f t="shared" si="2"/>
        <v>0</v>
      </c>
      <c r="L40" s="1" t="s">
        <v>56</v>
      </c>
      <c r="M40" s="1" t="s">
        <v>76</v>
      </c>
      <c r="N40" s="1" t="str">
        <f>IFERROR(__xludf.DUMMYFUNCTION("SPLIT(M40,"","")"),"Individuel")</f>
        <v>Individuel</v>
      </c>
      <c r="O40" s="1" t="str">
        <f>IFERROR(__xludf.DUMMYFUNCTION("""COMPUTED_VALUE"""),"Collectif")</f>
        <v>Collectif</v>
      </c>
      <c r="P40" s="1" t="s">
        <v>58</v>
      </c>
      <c r="Q40" s="1" t="s">
        <v>125</v>
      </c>
      <c r="R40" s="1" t="s">
        <v>96</v>
      </c>
    </row>
    <row r="41">
      <c r="A41" s="1" t="s">
        <v>556</v>
      </c>
      <c r="B41" s="1" t="s">
        <v>258</v>
      </c>
      <c r="C41" s="1" t="s">
        <v>83</v>
      </c>
      <c r="D41" s="1" t="s">
        <v>133</v>
      </c>
      <c r="E41" s="1" t="s">
        <v>558</v>
      </c>
      <c r="F41" s="1">
        <v>33000.0</v>
      </c>
      <c r="G41" s="1" t="s">
        <v>45</v>
      </c>
      <c r="H41" s="1" t="s">
        <v>197</v>
      </c>
      <c r="I41" s="1" t="s">
        <v>55</v>
      </c>
      <c r="J41" s="1">
        <f t="shared" si="1"/>
        <v>0</v>
      </c>
      <c r="K41" s="1">
        <f t="shared" si="2"/>
        <v>0</v>
      </c>
      <c r="L41" s="3"/>
      <c r="M41" s="1" t="s">
        <v>76</v>
      </c>
      <c r="N41" s="1" t="str">
        <f>IFERROR(__xludf.DUMMYFUNCTION("SPLIT(M41,"","")"),"Individuel")</f>
        <v>Individuel</v>
      </c>
      <c r="O41" s="1" t="str">
        <f>IFERROR(__xludf.DUMMYFUNCTION("""COMPUTED_VALUE"""),"Collectif")</f>
        <v>Collectif</v>
      </c>
      <c r="P41" s="1" t="s">
        <v>95</v>
      </c>
      <c r="Q41" s="1" t="s">
        <v>125</v>
      </c>
      <c r="R41" s="1" t="s">
        <v>96</v>
      </c>
    </row>
    <row r="42">
      <c r="A42" s="1" t="s">
        <v>567</v>
      </c>
      <c r="B42" s="1" t="s">
        <v>41</v>
      </c>
      <c r="C42" s="1" t="s">
        <v>42</v>
      </c>
      <c r="D42" s="1" t="s">
        <v>41</v>
      </c>
      <c r="E42" s="1" t="s">
        <v>569</v>
      </c>
      <c r="F42" s="1">
        <v>33000.0</v>
      </c>
      <c r="G42" s="1" t="s">
        <v>45</v>
      </c>
      <c r="H42" s="1" t="s">
        <v>576</v>
      </c>
      <c r="I42" s="1" t="s">
        <v>55</v>
      </c>
      <c r="J42" s="1">
        <f t="shared" si="1"/>
        <v>0</v>
      </c>
      <c r="K42" s="1">
        <f t="shared" si="2"/>
        <v>0</v>
      </c>
      <c r="L42" s="1" t="s">
        <v>56</v>
      </c>
      <c r="M42" s="1" t="s">
        <v>109</v>
      </c>
      <c r="N42" s="1" t="str">
        <f>IFERROR(__xludf.DUMMYFUNCTION("SPLIT(M42,"","")"),"Individuel")</f>
        <v>Individuel</v>
      </c>
      <c r="O42" s="1"/>
      <c r="P42" s="1" t="s">
        <v>295</v>
      </c>
      <c r="Q42" s="3"/>
      <c r="R42" s="1" t="s">
        <v>59</v>
      </c>
    </row>
    <row r="43">
      <c r="A43" s="1" t="s">
        <v>579</v>
      </c>
      <c r="B43" s="1" t="s">
        <v>64</v>
      </c>
      <c r="C43" s="1" t="s">
        <v>42</v>
      </c>
      <c r="D43" s="1" t="s">
        <v>65</v>
      </c>
      <c r="E43" s="1" t="s">
        <v>581</v>
      </c>
      <c r="F43" s="1">
        <v>33000.0</v>
      </c>
      <c r="G43" s="1" t="s">
        <v>45</v>
      </c>
      <c r="H43" s="1" t="s">
        <v>589</v>
      </c>
      <c r="I43" s="1" t="s">
        <v>590</v>
      </c>
      <c r="J43" s="1">
        <f t="shared" si="1"/>
        <v>0</v>
      </c>
      <c r="K43" s="1">
        <f t="shared" si="2"/>
        <v>0</v>
      </c>
      <c r="L43" s="1" t="s">
        <v>56</v>
      </c>
      <c r="M43" s="1" t="s">
        <v>76</v>
      </c>
      <c r="N43" s="1" t="str">
        <f>IFERROR(__xludf.DUMMYFUNCTION("SPLIT(M43,"","")"),"Individuel")</f>
        <v>Individuel</v>
      </c>
      <c r="O43" s="1" t="str">
        <f>IFERROR(__xludf.DUMMYFUNCTION("""COMPUTED_VALUE"""),"Collectif")</f>
        <v>Collectif</v>
      </c>
      <c r="P43" s="1" t="s">
        <v>58</v>
      </c>
      <c r="Q43" s="3"/>
      <c r="R43" s="1" t="s">
        <v>59</v>
      </c>
    </row>
    <row r="44">
      <c r="A44" s="1" t="s">
        <v>593</v>
      </c>
      <c r="B44" s="1" t="s">
        <v>81</v>
      </c>
      <c r="C44" s="1" t="s">
        <v>83</v>
      </c>
      <c r="D44" s="1" t="s">
        <v>84</v>
      </c>
      <c r="E44" s="1" t="s">
        <v>594</v>
      </c>
      <c r="F44" s="1">
        <v>33076.0</v>
      </c>
      <c r="G44" s="1" t="s">
        <v>45</v>
      </c>
      <c r="H44" s="1" t="s">
        <v>93</v>
      </c>
      <c r="I44" s="1" t="s">
        <v>94</v>
      </c>
      <c r="J44" s="1">
        <f t="shared" si="1"/>
        <v>1</v>
      </c>
      <c r="K44" s="1">
        <f t="shared" si="2"/>
        <v>1</v>
      </c>
      <c r="L44" s="1" t="s">
        <v>56</v>
      </c>
      <c r="M44" s="1" t="s">
        <v>76</v>
      </c>
      <c r="N44" s="1" t="str">
        <f>IFERROR(__xludf.DUMMYFUNCTION("SPLIT(M44,"","")"),"Individuel")</f>
        <v>Individuel</v>
      </c>
      <c r="O44" s="1" t="str">
        <f>IFERROR(__xludf.DUMMYFUNCTION("""COMPUTED_VALUE"""),"Collectif")</f>
        <v>Collectif</v>
      </c>
      <c r="P44" s="1" t="s">
        <v>95</v>
      </c>
      <c r="Q44" s="3"/>
      <c r="R44" s="1" t="s">
        <v>96</v>
      </c>
    </row>
    <row r="45">
      <c r="A45" s="1" t="s">
        <v>600</v>
      </c>
      <c r="B45" s="1" t="s">
        <v>41</v>
      </c>
      <c r="C45" s="1" t="s">
        <v>42</v>
      </c>
      <c r="D45" s="1" t="s">
        <v>41</v>
      </c>
      <c r="E45" s="1" t="s">
        <v>602</v>
      </c>
      <c r="F45" s="1">
        <v>33800.0</v>
      </c>
      <c r="G45" s="1" t="s">
        <v>45</v>
      </c>
      <c r="H45" s="1" t="s">
        <v>610</v>
      </c>
      <c r="I45" s="1" t="s">
        <v>361</v>
      </c>
      <c r="J45" s="1">
        <f t="shared" si="1"/>
        <v>2</v>
      </c>
      <c r="K45" s="1">
        <f t="shared" si="2"/>
        <v>15</v>
      </c>
      <c r="L45" s="1" t="s">
        <v>56</v>
      </c>
      <c r="M45" s="1" t="s">
        <v>76</v>
      </c>
      <c r="N45" s="1" t="str">
        <f>IFERROR(__xludf.DUMMYFUNCTION("SPLIT(M45,"","")"),"Individuel")</f>
        <v>Individuel</v>
      </c>
      <c r="O45" s="1" t="str">
        <f>IFERROR(__xludf.DUMMYFUNCTION("""COMPUTED_VALUE"""),"Collectif")</f>
        <v>Collectif</v>
      </c>
      <c r="P45" s="1" t="s">
        <v>77</v>
      </c>
      <c r="Q45" s="3"/>
      <c r="R45" s="1" t="s">
        <v>59</v>
      </c>
    </row>
    <row r="46">
      <c r="A46" s="1" t="s">
        <v>613</v>
      </c>
      <c r="B46" s="1" t="s">
        <v>81</v>
      </c>
      <c r="C46" s="1" t="s">
        <v>83</v>
      </c>
      <c r="D46" s="1" t="s">
        <v>84</v>
      </c>
      <c r="E46" s="1" t="s">
        <v>614</v>
      </c>
      <c r="F46" s="1">
        <v>33800.0</v>
      </c>
      <c r="G46" s="1" t="s">
        <v>45</v>
      </c>
      <c r="H46" s="1" t="s">
        <v>93</v>
      </c>
      <c r="I46" s="1" t="s">
        <v>94</v>
      </c>
      <c r="J46" s="1">
        <f t="shared" si="1"/>
        <v>1</v>
      </c>
      <c r="K46" s="1">
        <f t="shared" si="2"/>
        <v>1</v>
      </c>
      <c r="L46" s="1" t="s">
        <v>56</v>
      </c>
      <c r="M46" s="1" t="s">
        <v>76</v>
      </c>
      <c r="N46" s="1" t="str">
        <f>IFERROR(__xludf.DUMMYFUNCTION("SPLIT(M46,"","")"),"Individuel")</f>
        <v>Individuel</v>
      </c>
      <c r="O46" s="1" t="str">
        <f>IFERROR(__xludf.DUMMYFUNCTION("""COMPUTED_VALUE"""),"Collectif")</f>
        <v>Collectif</v>
      </c>
      <c r="P46" s="1" t="s">
        <v>95</v>
      </c>
      <c r="Q46" s="3"/>
      <c r="R46" s="1" t="s">
        <v>96</v>
      </c>
    </row>
    <row r="47">
      <c r="A47" s="1" t="s">
        <v>619</v>
      </c>
      <c r="B47" s="1" t="s">
        <v>81</v>
      </c>
      <c r="C47" s="1" t="s">
        <v>83</v>
      </c>
      <c r="D47" s="1" t="s">
        <v>84</v>
      </c>
      <c r="E47" s="1" t="s">
        <v>620</v>
      </c>
      <c r="F47" s="1">
        <v>33100.0</v>
      </c>
      <c r="G47" s="1" t="s">
        <v>45</v>
      </c>
      <c r="H47" s="1" t="s">
        <v>93</v>
      </c>
      <c r="I47" s="1" t="s">
        <v>94</v>
      </c>
      <c r="J47" s="1">
        <f t="shared" si="1"/>
        <v>1</v>
      </c>
      <c r="K47" s="1">
        <f t="shared" si="2"/>
        <v>1</v>
      </c>
      <c r="L47" s="1" t="s">
        <v>56</v>
      </c>
      <c r="M47" s="1" t="s">
        <v>76</v>
      </c>
      <c r="N47" s="1" t="str">
        <f>IFERROR(__xludf.DUMMYFUNCTION("SPLIT(M47,"","")"),"Individuel")</f>
        <v>Individuel</v>
      </c>
      <c r="O47" s="1" t="str">
        <f>IFERROR(__xludf.DUMMYFUNCTION("""COMPUTED_VALUE"""),"Collectif")</f>
        <v>Collectif</v>
      </c>
      <c r="P47" s="1" t="s">
        <v>95</v>
      </c>
      <c r="Q47" s="3"/>
      <c r="R47" s="1" t="s">
        <v>96</v>
      </c>
    </row>
    <row r="48">
      <c r="A48" s="1" t="s">
        <v>625</v>
      </c>
      <c r="B48" s="1" t="s">
        <v>41</v>
      </c>
      <c r="C48" s="1" t="s">
        <v>42</v>
      </c>
      <c r="D48" s="1" t="s">
        <v>41</v>
      </c>
      <c r="E48" s="1" t="s">
        <v>627</v>
      </c>
      <c r="F48" s="1">
        <v>33200.0</v>
      </c>
      <c r="G48" s="1" t="s">
        <v>45</v>
      </c>
      <c r="H48" s="1" t="s">
        <v>634</v>
      </c>
      <c r="I48" s="1" t="s">
        <v>635</v>
      </c>
      <c r="J48" s="1">
        <f t="shared" si="1"/>
        <v>1</v>
      </c>
      <c r="K48" s="1">
        <f t="shared" si="2"/>
        <v>1</v>
      </c>
      <c r="L48" s="1" t="s">
        <v>56</v>
      </c>
      <c r="M48" s="1" t="s">
        <v>57</v>
      </c>
      <c r="N48" s="1" t="str">
        <f>IFERROR(__xludf.DUMMYFUNCTION("SPLIT(M48,"","")"),"Collectif")</f>
        <v>Collectif</v>
      </c>
      <c r="O48" s="1"/>
      <c r="P48" s="1" t="s">
        <v>295</v>
      </c>
      <c r="Q48" s="3"/>
      <c r="R48" s="1" t="s">
        <v>59</v>
      </c>
    </row>
    <row r="49">
      <c r="A49" s="1" t="s">
        <v>638</v>
      </c>
      <c r="B49" s="1" t="s">
        <v>41</v>
      </c>
      <c r="C49" s="1" t="s">
        <v>42</v>
      </c>
      <c r="D49" s="1" t="s">
        <v>41</v>
      </c>
      <c r="E49" s="1" t="s">
        <v>640</v>
      </c>
      <c r="F49" s="1">
        <v>33200.0</v>
      </c>
      <c r="G49" s="1" t="s">
        <v>45</v>
      </c>
      <c r="H49" s="1" t="s">
        <v>647</v>
      </c>
      <c r="I49" s="1" t="s">
        <v>55</v>
      </c>
      <c r="J49" s="1">
        <f t="shared" si="1"/>
        <v>0</v>
      </c>
      <c r="K49" s="1">
        <f t="shared" si="2"/>
        <v>0</v>
      </c>
      <c r="L49" s="1" t="s">
        <v>56</v>
      </c>
      <c r="M49" s="1" t="s">
        <v>76</v>
      </c>
      <c r="N49" s="1" t="str">
        <f>IFERROR(__xludf.DUMMYFUNCTION("SPLIT(M49,"","")"),"Individuel")</f>
        <v>Individuel</v>
      </c>
      <c r="O49" s="1" t="str">
        <f>IFERROR(__xludf.DUMMYFUNCTION("""COMPUTED_VALUE"""),"Collectif")</f>
        <v>Collectif</v>
      </c>
      <c r="P49" s="1" t="s">
        <v>77</v>
      </c>
      <c r="Q49" s="3"/>
      <c r="R49" s="1" t="s">
        <v>59</v>
      </c>
    </row>
    <row r="50">
      <c r="A50" s="1" t="s">
        <v>650</v>
      </c>
      <c r="B50" s="1" t="s">
        <v>132</v>
      </c>
      <c r="C50" s="1" t="s">
        <v>83</v>
      </c>
      <c r="D50" s="1" t="s">
        <v>133</v>
      </c>
      <c r="E50" s="1" t="s">
        <v>652</v>
      </c>
      <c r="F50" s="1">
        <v>33440.0</v>
      </c>
      <c r="G50" s="1" t="s">
        <v>654</v>
      </c>
      <c r="H50" s="1" t="s">
        <v>658</v>
      </c>
      <c r="I50" s="1" t="s">
        <v>590</v>
      </c>
      <c r="J50" s="1">
        <f t="shared" si="1"/>
        <v>0</v>
      </c>
      <c r="K50" s="1">
        <f t="shared" si="2"/>
        <v>0</v>
      </c>
      <c r="L50" s="1" t="s">
        <v>56</v>
      </c>
      <c r="M50" s="1" t="s">
        <v>109</v>
      </c>
      <c r="N50" s="1" t="str">
        <f>IFERROR(__xludf.DUMMYFUNCTION("SPLIT(M50,"","")"),"Individuel")</f>
        <v>Individuel</v>
      </c>
      <c r="O50" s="1"/>
      <c r="P50" s="1" t="s">
        <v>95</v>
      </c>
      <c r="Q50" s="3"/>
      <c r="R50" s="1" t="s">
        <v>59</v>
      </c>
    </row>
    <row r="51">
      <c r="A51" s="1" t="s">
        <v>660</v>
      </c>
      <c r="B51" s="1" t="s">
        <v>132</v>
      </c>
      <c r="C51" s="1" t="s">
        <v>83</v>
      </c>
      <c r="D51" s="1" t="s">
        <v>133</v>
      </c>
      <c r="E51" s="1" t="s">
        <v>663</v>
      </c>
      <c r="F51" s="1">
        <v>33810.0</v>
      </c>
      <c r="G51" s="1" t="s">
        <v>665</v>
      </c>
      <c r="H51" s="3"/>
      <c r="I51" s="1" t="s">
        <v>672</v>
      </c>
      <c r="J51" s="1">
        <f t="shared" si="1"/>
        <v>1</v>
      </c>
      <c r="K51" s="1">
        <f t="shared" si="2"/>
        <v>1</v>
      </c>
      <c r="L51" s="1" t="s">
        <v>56</v>
      </c>
      <c r="M51" s="1" t="s">
        <v>109</v>
      </c>
      <c r="N51" s="1" t="str">
        <f>IFERROR(__xludf.DUMMYFUNCTION("SPLIT(M51,"","")"),"Individuel")</f>
        <v>Individuel</v>
      </c>
      <c r="O51" s="1"/>
      <c r="P51" s="1" t="s">
        <v>58</v>
      </c>
      <c r="Q51" s="1" t="s">
        <v>125</v>
      </c>
      <c r="R51" s="1" t="s">
        <v>96</v>
      </c>
    </row>
    <row r="52">
      <c r="A52" s="1" t="s">
        <v>675</v>
      </c>
      <c r="B52" s="1" t="s">
        <v>258</v>
      </c>
      <c r="C52" s="1" t="s">
        <v>83</v>
      </c>
      <c r="D52" s="1" t="s">
        <v>133</v>
      </c>
      <c r="E52" s="1" t="s">
        <v>677</v>
      </c>
      <c r="F52" s="1">
        <v>33370.0</v>
      </c>
      <c r="G52" s="1" t="s">
        <v>246</v>
      </c>
      <c r="H52" s="1" t="s">
        <v>683</v>
      </c>
      <c r="I52" s="1" t="s">
        <v>684</v>
      </c>
      <c r="J52" s="1">
        <f t="shared" si="1"/>
        <v>1</v>
      </c>
      <c r="K52" s="1">
        <f t="shared" si="2"/>
        <v>1</v>
      </c>
      <c r="L52" s="1" t="s">
        <v>56</v>
      </c>
      <c r="M52" s="1" t="s">
        <v>76</v>
      </c>
      <c r="N52" s="1" t="str">
        <f>IFERROR(__xludf.DUMMYFUNCTION("SPLIT(M52,"","")"),"Individuel")</f>
        <v>Individuel</v>
      </c>
      <c r="O52" s="1" t="str">
        <f>IFERROR(__xludf.DUMMYFUNCTION("""COMPUTED_VALUE"""),"Collectif")</f>
        <v>Collectif</v>
      </c>
      <c r="P52" s="1" t="s">
        <v>95</v>
      </c>
      <c r="Q52" s="1" t="s">
        <v>125</v>
      </c>
      <c r="R52" s="1" t="s">
        <v>59</v>
      </c>
    </row>
    <row r="53">
      <c r="A53" s="1" t="s">
        <v>686</v>
      </c>
      <c r="B53" s="1" t="s">
        <v>41</v>
      </c>
      <c r="C53" s="1" t="s">
        <v>42</v>
      </c>
      <c r="D53" s="1" t="s">
        <v>41</v>
      </c>
      <c r="E53" s="1" t="s">
        <v>688</v>
      </c>
      <c r="F53" s="1">
        <v>33150.0</v>
      </c>
      <c r="G53" s="1" t="s">
        <v>272</v>
      </c>
      <c r="H53" s="1" t="s">
        <v>360</v>
      </c>
      <c r="I53" s="1" t="s">
        <v>696</v>
      </c>
      <c r="J53" s="1">
        <f t="shared" si="1"/>
        <v>1</v>
      </c>
      <c r="K53" s="1">
        <f t="shared" si="2"/>
        <v>1</v>
      </c>
      <c r="L53" s="1" t="s">
        <v>56</v>
      </c>
      <c r="M53" s="1" t="s">
        <v>76</v>
      </c>
      <c r="N53" s="1" t="str">
        <f>IFERROR(__xludf.DUMMYFUNCTION("SPLIT(M53,"","")"),"Individuel")</f>
        <v>Individuel</v>
      </c>
      <c r="O53" s="1" t="str">
        <f>IFERROR(__xludf.DUMMYFUNCTION("""COMPUTED_VALUE"""),"Collectif")</f>
        <v>Collectif</v>
      </c>
      <c r="P53" s="1" t="s">
        <v>77</v>
      </c>
      <c r="Q53" s="3"/>
      <c r="R53" s="1" t="s">
        <v>59</v>
      </c>
    </row>
    <row r="54">
      <c r="A54" s="1" t="s">
        <v>700</v>
      </c>
      <c r="B54" s="1" t="s">
        <v>258</v>
      </c>
      <c r="C54" s="1" t="s">
        <v>83</v>
      </c>
      <c r="D54" s="1" t="s">
        <v>133</v>
      </c>
      <c r="E54" s="1" t="s">
        <v>703</v>
      </c>
      <c r="F54" s="1">
        <v>33270.0</v>
      </c>
      <c r="G54" s="1" t="s">
        <v>705</v>
      </c>
      <c r="H54" s="1" t="s">
        <v>712</v>
      </c>
      <c r="I54" s="1" t="s">
        <v>55</v>
      </c>
      <c r="J54" s="1">
        <f t="shared" si="1"/>
        <v>0</v>
      </c>
      <c r="K54" s="1">
        <f t="shared" si="2"/>
        <v>0</v>
      </c>
      <c r="L54" s="1" t="s">
        <v>56</v>
      </c>
      <c r="M54" s="1" t="s">
        <v>109</v>
      </c>
      <c r="N54" s="1" t="str">
        <f>IFERROR(__xludf.DUMMYFUNCTION("SPLIT(M54,"","")"),"Individuel")</f>
        <v>Individuel</v>
      </c>
      <c r="O54" s="1"/>
      <c r="P54" s="1" t="s">
        <v>95</v>
      </c>
      <c r="Q54" s="1" t="s">
        <v>125</v>
      </c>
      <c r="R54" s="1" t="s">
        <v>59</v>
      </c>
    </row>
    <row r="55">
      <c r="A55" s="1" t="s">
        <v>715</v>
      </c>
      <c r="B55" s="1" t="s">
        <v>41</v>
      </c>
      <c r="C55" s="1" t="s">
        <v>42</v>
      </c>
      <c r="D55" s="1" t="s">
        <v>41</v>
      </c>
      <c r="E55" s="1" t="s">
        <v>717</v>
      </c>
      <c r="F55" s="1">
        <v>33270.0</v>
      </c>
      <c r="G55" s="1" t="s">
        <v>705</v>
      </c>
      <c r="H55" s="1" t="s">
        <v>123</v>
      </c>
      <c r="I55" s="1" t="s">
        <v>55</v>
      </c>
      <c r="J55" s="1">
        <f t="shared" si="1"/>
        <v>0</v>
      </c>
      <c r="K55" s="1">
        <f t="shared" si="2"/>
        <v>0</v>
      </c>
      <c r="L55" s="1" t="s">
        <v>56</v>
      </c>
      <c r="M55" s="1" t="s">
        <v>76</v>
      </c>
      <c r="N55" s="1" t="str">
        <f>IFERROR(__xludf.DUMMYFUNCTION("SPLIT(M55,"","")"),"Individuel")</f>
        <v>Individuel</v>
      </c>
      <c r="O55" s="1" t="str">
        <f>IFERROR(__xludf.DUMMYFUNCTION("""COMPUTED_VALUE"""),"Collectif")</f>
        <v>Collectif</v>
      </c>
      <c r="P55" s="1" t="s">
        <v>77</v>
      </c>
      <c r="Q55" s="3"/>
      <c r="R55" s="1" t="s">
        <v>59</v>
      </c>
    </row>
    <row r="56">
      <c r="A56" s="1" t="s">
        <v>725</v>
      </c>
      <c r="B56" s="1" t="s">
        <v>258</v>
      </c>
      <c r="C56" s="1" t="s">
        <v>83</v>
      </c>
      <c r="D56" s="1" t="s">
        <v>133</v>
      </c>
      <c r="E56" s="1" t="s">
        <v>727</v>
      </c>
      <c r="F56" s="1">
        <v>33270.0</v>
      </c>
      <c r="G56" s="1" t="s">
        <v>705</v>
      </c>
      <c r="H56" s="1" t="s">
        <v>733</v>
      </c>
      <c r="I56" s="1" t="s">
        <v>55</v>
      </c>
      <c r="J56" s="1">
        <f t="shared" si="1"/>
        <v>0</v>
      </c>
      <c r="K56" s="1">
        <f t="shared" si="2"/>
        <v>0</v>
      </c>
      <c r="L56" s="1" t="s">
        <v>56</v>
      </c>
      <c r="M56" s="1" t="s">
        <v>76</v>
      </c>
      <c r="N56" s="1" t="str">
        <f>IFERROR(__xludf.DUMMYFUNCTION("SPLIT(M56,"","")"),"Individuel")</f>
        <v>Individuel</v>
      </c>
      <c r="O56" s="1" t="str">
        <f>IFERROR(__xludf.DUMMYFUNCTION("""COMPUTED_VALUE"""),"Collectif")</f>
        <v>Collectif</v>
      </c>
      <c r="P56" s="1" t="s">
        <v>95</v>
      </c>
      <c r="Q56" s="1" t="s">
        <v>125</v>
      </c>
      <c r="R56" s="1" t="s">
        <v>59</v>
      </c>
    </row>
    <row r="57">
      <c r="A57" s="1" t="s">
        <v>736</v>
      </c>
      <c r="B57" s="1" t="s">
        <v>41</v>
      </c>
      <c r="C57" s="1" t="s">
        <v>42</v>
      </c>
      <c r="D57" s="1" t="s">
        <v>41</v>
      </c>
      <c r="E57" s="1" t="s">
        <v>738</v>
      </c>
      <c r="F57" s="1">
        <v>33270.0</v>
      </c>
      <c r="G57" s="1" t="s">
        <v>705</v>
      </c>
      <c r="H57" s="1" t="s">
        <v>745</v>
      </c>
      <c r="I57" s="1" t="s">
        <v>55</v>
      </c>
      <c r="J57" s="1">
        <f t="shared" si="1"/>
        <v>0</v>
      </c>
      <c r="K57" s="1">
        <f t="shared" si="2"/>
        <v>0</v>
      </c>
      <c r="L57" s="1" t="s">
        <v>56</v>
      </c>
      <c r="M57" s="1" t="s">
        <v>76</v>
      </c>
      <c r="N57" s="1" t="str">
        <f>IFERROR(__xludf.DUMMYFUNCTION("SPLIT(M57,"","")"),"Individuel")</f>
        <v>Individuel</v>
      </c>
      <c r="O57" s="1" t="str">
        <f>IFERROR(__xludf.DUMMYFUNCTION("""COMPUTED_VALUE"""),"Collectif")</f>
        <v>Collectif</v>
      </c>
      <c r="P57" s="1" t="s">
        <v>295</v>
      </c>
      <c r="Q57" s="1" t="s">
        <v>125</v>
      </c>
      <c r="R57" s="1" t="s">
        <v>59</v>
      </c>
    </row>
    <row r="58">
      <c r="A58" s="1" t="s">
        <v>748</v>
      </c>
      <c r="B58" s="1" t="s">
        <v>114</v>
      </c>
      <c r="C58" s="1" t="s">
        <v>42</v>
      </c>
      <c r="D58" s="1" t="s">
        <v>41</v>
      </c>
      <c r="E58" s="1" t="s">
        <v>750</v>
      </c>
      <c r="F58" s="1">
        <v>33310.0</v>
      </c>
      <c r="G58" s="1" t="s">
        <v>287</v>
      </c>
      <c r="H58" s="1" t="s">
        <v>758</v>
      </c>
      <c r="I58" s="1" t="s">
        <v>55</v>
      </c>
      <c r="J58" s="1">
        <f t="shared" si="1"/>
        <v>0</v>
      </c>
      <c r="K58" s="1">
        <f t="shared" si="2"/>
        <v>0</v>
      </c>
      <c r="L58" s="1" t="s">
        <v>56</v>
      </c>
      <c r="M58" s="1" t="s">
        <v>109</v>
      </c>
      <c r="N58" s="1" t="str">
        <f>IFERROR(__xludf.DUMMYFUNCTION("SPLIT(M58,"","")"),"Individuel")</f>
        <v>Individuel</v>
      </c>
      <c r="O58" s="1"/>
      <c r="P58" s="1" t="s">
        <v>295</v>
      </c>
      <c r="Q58" s="3"/>
      <c r="R58" s="1" t="s">
        <v>59</v>
      </c>
    </row>
    <row r="59">
      <c r="A59" s="1" t="s">
        <v>761</v>
      </c>
      <c r="B59" s="1" t="s">
        <v>41</v>
      </c>
      <c r="C59" s="1" t="s">
        <v>42</v>
      </c>
      <c r="D59" s="1" t="s">
        <v>41</v>
      </c>
      <c r="E59" s="1" t="s">
        <v>763</v>
      </c>
      <c r="F59" s="1">
        <v>33310.0</v>
      </c>
      <c r="G59" s="1" t="s">
        <v>287</v>
      </c>
      <c r="H59" s="3"/>
      <c r="I59" s="1" t="s">
        <v>768</v>
      </c>
      <c r="J59" s="1">
        <f t="shared" si="1"/>
        <v>2</v>
      </c>
      <c r="K59" s="1">
        <f t="shared" si="2"/>
        <v>15</v>
      </c>
      <c r="L59" s="1" t="s">
        <v>56</v>
      </c>
      <c r="M59" s="1" t="s">
        <v>76</v>
      </c>
      <c r="N59" s="1" t="str">
        <f>IFERROR(__xludf.DUMMYFUNCTION("SPLIT(M59,"","")"),"Individuel")</f>
        <v>Individuel</v>
      </c>
      <c r="O59" s="1" t="str">
        <f>IFERROR(__xludf.DUMMYFUNCTION("""COMPUTED_VALUE"""),"Collectif")</f>
        <v>Collectif</v>
      </c>
      <c r="P59" s="1" t="s">
        <v>77</v>
      </c>
      <c r="Q59" s="3"/>
      <c r="R59" s="1" t="s">
        <v>59</v>
      </c>
    </row>
    <row r="60">
      <c r="A60" s="1" t="s">
        <v>770</v>
      </c>
      <c r="B60" s="1" t="s">
        <v>132</v>
      </c>
      <c r="C60" s="1" t="s">
        <v>83</v>
      </c>
      <c r="D60" s="1" t="s">
        <v>133</v>
      </c>
      <c r="E60" s="1" t="s">
        <v>773</v>
      </c>
      <c r="F60" s="1">
        <v>33310.0</v>
      </c>
      <c r="G60" s="1" t="s">
        <v>287</v>
      </c>
      <c r="H60" s="1" t="s">
        <v>780</v>
      </c>
      <c r="I60" s="1" t="s">
        <v>55</v>
      </c>
      <c r="J60" s="1">
        <f t="shared" si="1"/>
        <v>0</v>
      </c>
      <c r="K60" s="1">
        <f t="shared" si="2"/>
        <v>0</v>
      </c>
      <c r="L60" s="1" t="s">
        <v>56</v>
      </c>
      <c r="M60" s="1" t="s">
        <v>76</v>
      </c>
      <c r="N60" s="1" t="str">
        <f>IFERROR(__xludf.DUMMYFUNCTION("SPLIT(M60,"","")"),"Individuel")</f>
        <v>Individuel</v>
      </c>
      <c r="O60" s="1" t="str">
        <f>IFERROR(__xludf.DUMMYFUNCTION("""COMPUTED_VALUE"""),"Collectif")</f>
        <v>Collectif</v>
      </c>
      <c r="P60" s="1" t="s">
        <v>295</v>
      </c>
      <c r="Q60" s="1" t="s">
        <v>125</v>
      </c>
      <c r="R60" s="1" t="s">
        <v>59</v>
      </c>
    </row>
    <row r="61">
      <c r="A61" s="1" t="s">
        <v>783</v>
      </c>
      <c r="B61" s="1" t="s">
        <v>132</v>
      </c>
      <c r="C61" s="1" t="s">
        <v>83</v>
      </c>
      <c r="D61" s="1" t="s">
        <v>133</v>
      </c>
      <c r="E61" s="1" t="s">
        <v>786</v>
      </c>
      <c r="F61" s="1">
        <v>33130.0</v>
      </c>
      <c r="G61" s="1" t="s">
        <v>315</v>
      </c>
      <c r="H61" s="1" t="s">
        <v>794</v>
      </c>
      <c r="I61" s="1" t="s">
        <v>55</v>
      </c>
      <c r="J61" s="1">
        <f t="shared" si="1"/>
        <v>0</v>
      </c>
      <c r="K61" s="1">
        <f t="shared" si="2"/>
        <v>0</v>
      </c>
      <c r="L61" s="1" t="s">
        <v>56</v>
      </c>
      <c r="M61" s="1" t="s">
        <v>76</v>
      </c>
      <c r="N61" s="1" t="str">
        <f>IFERROR(__xludf.DUMMYFUNCTION("SPLIT(M61,"","")"),"Individuel")</f>
        <v>Individuel</v>
      </c>
      <c r="O61" s="1" t="str">
        <f>IFERROR(__xludf.DUMMYFUNCTION("""COMPUTED_VALUE"""),"Collectif")</f>
        <v>Collectif</v>
      </c>
      <c r="P61" s="1" t="s">
        <v>95</v>
      </c>
      <c r="Q61" s="1" t="s">
        <v>125</v>
      </c>
      <c r="R61" s="1" t="s">
        <v>59</v>
      </c>
    </row>
    <row r="62">
      <c r="A62" s="1" t="s">
        <v>797</v>
      </c>
      <c r="B62" s="1" t="s">
        <v>41</v>
      </c>
      <c r="C62" s="1" t="s">
        <v>42</v>
      </c>
      <c r="D62" s="1" t="s">
        <v>41</v>
      </c>
      <c r="E62" s="1" t="s">
        <v>799</v>
      </c>
      <c r="F62" s="1">
        <v>33600.0</v>
      </c>
      <c r="G62" s="1" t="s">
        <v>381</v>
      </c>
      <c r="H62" s="1" t="s">
        <v>806</v>
      </c>
      <c r="I62" s="1" t="s">
        <v>55</v>
      </c>
      <c r="J62" s="1">
        <f t="shared" si="1"/>
        <v>0</v>
      </c>
      <c r="K62" s="1">
        <f t="shared" si="2"/>
        <v>0</v>
      </c>
      <c r="L62" s="1" t="s">
        <v>56</v>
      </c>
      <c r="M62" s="1" t="s">
        <v>109</v>
      </c>
      <c r="N62" s="1" t="str">
        <f>IFERROR(__xludf.DUMMYFUNCTION("SPLIT(M62,"","")"),"Individuel")</f>
        <v>Individuel</v>
      </c>
      <c r="O62" s="1"/>
      <c r="P62" s="1" t="s">
        <v>95</v>
      </c>
      <c r="Q62" s="3"/>
      <c r="R62" s="1" t="s">
        <v>96</v>
      </c>
    </row>
    <row r="63">
      <c r="A63" s="1" t="s">
        <v>809</v>
      </c>
      <c r="B63" s="1" t="s">
        <v>41</v>
      </c>
      <c r="C63" s="1" t="s">
        <v>42</v>
      </c>
      <c r="D63" s="1" t="s">
        <v>41</v>
      </c>
      <c r="E63" s="1" t="s">
        <v>811</v>
      </c>
      <c r="F63" s="1">
        <v>33400.0</v>
      </c>
      <c r="G63" s="1" t="s">
        <v>395</v>
      </c>
      <c r="H63" s="1" t="s">
        <v>818</v>
      </c>
      <c r="I63" s="1" t="s">
        <v>55</v>
      </c>
      <c r="J63" s="1">
        <f t="shared" si="1"/>
        <v>0</v>
      </c>
      <c r="K63" s="1">
        <f t="shared" si="2"/>
        <v>0</v>
      </c>
      <c r="L63" s="1" t="s">
        <v>56</v>
      </c>
      <c r="M63" s="1" t="s">
        <v>76</v>
      </c>
      <c r="N63" s="1" t="str">
        <f>IFERROR(__xludf.DUMMYFUNCTION("SPLIT(M63,"","")"),"Individuel")</f>
        <v>Individuel</v>
      </c>
      <c r="O63" s="1" t="str">
        <f>IFERROR(__xludf.DUMMYFUNCTION("""COMPUTED_VALUE"""),"Collectif")</f>
        <v>Collectif</v>
      </c>
      <c r="P63" s="1" t="s">
        <v>295</v>
      </c>
      <c r="Q63" s="1" t="s">
        <v>125</v>
      </c>
      <c r="R63" s="1" t="s">
        <v>96</v>
      </c>
    </row>
    <row r="64">
      <c r="A64" s="1" t="s">
        <v>821</v>
      </c>
      <c r="B64" s="1" t="s">
        <v>258</v>
      </c>
      <c r="C64" s="1" t="s">
        <v>83</v>
      </c>
      <c r="D64" s="1" t="s">
        <v>133</v>
      </c>
      <c r="E64" s="1" t="s">
        <v>823</v>
      </c>
      <c r="F64" s="1">
        <v>33400.0</v>
      </c>
      <c r="G64" s="1" t="s">
        <v>395</v>
      </c>
      <c r="H64" s="1" t="s">
        <v>829</v>
      </c>
      <c r="I64" s="1" t="s">
        <v>830</v>
      </c>
      <c r="J64" s="1">
        <f t="shared" si="1"/>
        <v>1</v>
      </c>
      <c r="K64" s="1">
        <f t="shared" si="2"/>
        <v>1</v>
      </c>
      <c r="L64" s="1" t="s">
        <v>56</v>
      </c>
      <c r="M64" s="1" t="s">
        <v>109</v>
      </c>
      <c r="N64" s="1" t="str">
        <f>IFERROR(__xludf.DUMMYFUNCTION("SPLIT(M64,"","")"),"Individuel")</f>
        <v>Individuel</v>
      </c>
      <c r="O64" s="1"/>
      <c r="P64" s="1" t="s">
        <v>95</v>
      </c>
      <c r="Q64" s="1" t="s">
        <v>125</v>
      </c>
      <c r="R64" s="1" t="s">
        <v>96</v>
      </c>
    </row>
    <row r="65">
      <c r="A65" s="1" t="s">
        <v>833</v>
      </c>
      <c r="B65" s="1" t="s">
        <v>258</v>
      </c>
      <c r="C65" s="1" t="s">
        <v>83</v>
      </c>
      <c r="D65" s="1" t="s">
        <v>133</v>
      </c>
      <c r="E65" s="1" t="s">
        <v>835</v>
      </c>
      <c r="F65" s="1">
        <v>33400.0</v>
      </c>
      <c r="G65" s="1" t="s">
        <v>395</v>
      </c>
      <c r="H65" s="1" t="s">
        <v>841</v>
      </c>
      <c r="I65" s="1" t="s">
        <v>156</v>
      </c>
      <c r="J65" s="1">
        <f t="shared" si="1"/>
        <v>0</v>
      </c>
      <c r="K65" s="1">
        <f t="shared" si="2"/>
        <v>0</v>
      </c>
      <c r="L65" s="3"/>
      <c r="M65" s="1" t="s">
        <v>76</v>
      </c>
      <c r="N65" s="1" t="str">
        <f>IFERROR(__xludf.DUMMYFUNCTION("SPLIT(M65,"","")"),"Individuel")</f>
        <v>Individuel</v>
      </c>
      <c r="O65" s="1" t="str">
        <f>IFERROR(__xludf.DUMMYFUNCTION("""COMPUTED_VALUE"""),"Collectif")</f>
        <v>Collectif</v>
      </c>
      <c r="P65" s="1" t="s">
        <v>95</v>
      </c>
      <c r="Q65" s="1" t="s">
        <v>125</v>
      </c>
      <c r="R65" s="1" t="s">
        <v>96</v>
      </c>
    </row>
    <row r="66">
      <c r="A66" s="1" t="s">
        <v>844</v>
      </c>
      <c r="B66" s="1" t="s">
        <v>258</v>
      </c>
      <c r="C66" s="1" t="s">
        <v>83</v>
      </c>
      <c r="D66" s="1" t="s">
        <v>133</v>
      </c>
      <c r="E66" s="1" t="s">
        <v>847</v>
      </c>
      <c r="F66" s="1">
        <v>33320.0</v>
      </c>
      <c r="G66" s="1" t="s">
        <v>848</v>
      </c>
      <c r="H66" s="1" t="s">
        <v>855</v>
      </c>
      <c r="I66" s="1" t="s">
        <v>55</v>
      </c>
      <c r="J66" s="1">
        <f t="shared" si="1"/>
        <v>0</v>
      </c>
      <c r="K66" s="1">
        <f t="shared" si="2"/>
        <v>0</v>
      </c>
      <c r="L66" s="1" t="s">
        <v>56</v>
      </c>
      <c r="M66" s="1" t="s">
        <v>76</v>
      </c>
      <c r="N66" s="1" t="str">
        <f>IFERROR(__xludf.DUMMYFUNCTION("SPLIT(M66,"","")"),"Individuel")</f>
        <v>Individuel</v>
      </c>
      <c r="O66" s="1" t="str">
        <f>IFERROR(__xludf.DUMMYFUNCTION("""COMPUTED_VALUE"""),"Collectif")</f>
        <v>Collectif</v>
      </c>
      <c r="P66" s="1" t="s">
        <v>295</v>
      </c>
      <c r="Q66" s="1" t="s">
        <v>125</v>
      </c>
      <c r="R66" s="1" t="s">
        <v>59</v>
      </c>
    </row>
    <row r="67">
      <c r="A67" s="1" t="s">
        <v>858</v>
      </c>
      <c r="B67" s="1" t="s">
        <v>258</v>
      </c>
      <c r="C67" s="1" t="s">
        <v>83</v>
      </c>
      <c r="D67" s="1" t="s">
        <v>133</v>
      </c>
      <c r="E67" s="1" t="s">
        <v>859</v>
      </c>
      <c r="F67" s="1">
        <v>33320.0</v>
      </c>
      <c r="G67" s="1" t="s">
        <v>848</v>
      </c>
      <c r="H67" s="1" t="s">
        <v>865</v>
      </c>
      <c r="I67" s="1" t="s">
        <v>55</v>
      </c>
      <c r="J67" s="1">
        <f t="shared" si="1"/>
        <v>0</v>
      </c>
      <c r="K67" s="1">
        <f t="shared" si="2"/>
        <v>0</v>
      </c>
      <c r="L67" s="1" t="s">
        <v>56</v>
      </c>
      <c r="M67" s="1" t="s">
        <v>76</v>
      </c>
      <c r="N67" s="1" t="str">
        <f>IFERROR(__xludf.DUMMYFUNCTION("SPLIT(M67,"","")"),"Individuel")</f>
        <v>Individuel</v>
      </c>
      <c r="O67" s="1" t="str">
        <f>IFERROR(__xludf.DUMMYFUNCTION("""COMPUTED_VALUE"""),"Collectif")</f>
        <v>Collectif</v>
      </c>
      <c r="P67" s="1" t="s">
        <v>295</v>
      </c>
      <c r="Q67" s="1" t="s">
        <v>125</v>
      </c>
      <c r="R67" s="1" t="s">
        <v>59</v>
      </c>
    </row>
    <row r="68">
      <c r="A68" s="1" t="s">
        <v>867</v>
      </c>
      <c r="B68" s="1" t="s">
        <v>132</v>
      </c>
      <c r="C68" s="1" t="s">
        <v>83</v>
      </c>
      <c r="D68" s="1" t="s">
        <v>133</v>
      </c>
      <c r="E68" s="1" t="s">
        <v>869</v>
      </c>
      <c r="F68" s="1">
        <v>33320.0</v>
      </c>
      <c r="G68" s="1" t="s">
        <v>848</v>
      </c>
      <c r="H68" s="1" t="s">
        <v>875</v>
      </c>
      <c r="I68" s="1" t="s">
        <v>156</v>
      </c>
      <c r="J68" s="1">
        <f t="shared" si="1"/>
        <v>0</v>
      </c>
      <c r="K68" s="1">
        <f t="shared" si="2"/>
        <v>0</v>
      </c>
      <c r="L68" s="3"/>
      <c r="M68" s="1" t="s">
        <v>57</v>
      </c>
      <c r="N68" s="1" t="str">
        <f>IFERROR(__xludf.DUMMYFUNCTION("SPLIT(M68,"","")"),"Collectif")</f>
        <v>Collectif</v>
      </c>
      <c r="O68" s="1"/>
      <c r="P68" s="1" t="s">
        <v>95</v>
      </c>
      <c r="Q68" s="1" t="s">
        <v>125</v>
      </c>
      <c r="R68" s="1" t="s">
        <v>96</v>
      </c>
    </row>
    <row r="69">
      <c r="A69" s="1" t="s">
        <v>877</v>
      </c>
      <c r="B69" s="1" t="s">
        <v>41</v>
      </c>
      <c r="C69" s="1" t="s">
        <v>42</v>
      </c>
      <c r="D69" s="1" t="s">
        <v>41</v>
      </c>
      <c r="E69" s="1" t="s">
        <v>879</v>
      </c>
      <c r="F69" s="1">
        <v>33110.0</v>
      </c>
      <c r="G69" s="1" t="s">
        <v>881</v>
      </c>
      <c r="H69" s="1" t="s">
        <v>888</v>
      </c>
      <c r="I69" s="1" t="s">
        <v>830</v>
      </c>
      <c r="J69" s="1">
        <f t="shared" si="1"/>
        <v>1</v>
      </c>
      <c r="K69" s="1">
        <f t="shared" si="2"/>
        <v>1</v>
      </c>
      <c r="L69" s="1" t="s">
        <v>56</v>
      </c>
      <c r="M69" s="1" t="s">
        <v>76</v>
      </c>
      <c r="N69" s="1" t="str">
        <f>IFERROR(__xludf.DUMMYFUNCTION("SPLIT(M69,"","")"),"Individuel")</f>
        <v>Individuel</v>
      </c>
      <c r="O69" s="1" t="str">
        <f>IFERROR(__xludf.DUMMYFUNCTION("""COMPUTED_VALUE"""),"Collectif")</f>
        <v>Collectif</v>
      </c>
      <c r="P69" s="1" t="s">
        <v>95</v>
      </c>
      <c r="Q69" s="1" t="s">
        <v>125</v>
      </c>
      <c r="R69" s="1" t="s">
        <v>59</v>
      </c>
    </row>
    <row r="70">
      <c r="A70" s="1" t="s">
        <v>891</v>
      </c>
      <c r="B70" s="1" t="s">
        <v>114</v>
      </c>
      <c r="C70" s="1" t="s">
        <v>83</v>
      </c>
      <c r="D70" s="1" t="s">
        <v>133</v>
      </c>
      <c r="E70" s="1" t="s">
        <v>893</v>
      </c>
      <c r="F70" s="1">
        <v>33185.0</v>
      </c>
      <c r="G70" s="1" t="s">
        <v>895</v>
      </c>
      <c r="H70" s="1" t="s">
        <v>902</v>
      </c>
      <c r="I70" s="1" t="s">
        <v>156</v>
      </c>
      <c r="J70" s="1">
        <f t="shared" si="1"/>
        <v>0</v>
      </c>
      <c r="K70" s="1">
        <f t="shared" si="2"/>
        <v>0</v>
      </c>
      <c r="L70" s="1" t="s">
        <v>56</v>
      </c>
      <c r="M70" s="1" t="s">
        <v>109</v>
      </c>
      <c r="N70" s="1" t="str">
        <f>IFERROR(__xludf.DUMMYFUNCTION("SPLIT(M70,"","")"),"Individuel")</f>
        <v>Individuel</v>
      </c>
      <c r="O70" s="1"/>
      <c r="P70" s="1" t="s">
        <v>295</v>
      </c>
      <c r="Q70" s="1" t="s">
        <v>125</v>
      </c>
      <c r="R70" s="1" t="s">
        <v>96</v>
      </c>
    </row>
    <row r="71">
      <c r="A71" s="1" t="s">
        <v>905</v>
      </c>
      <c r="B71" s="1" t="s">
        <v>132</v>
      </c>
      <c r="C71" s="1" t="s">
        <v>83</v>
      </c>
      <c r="D71" s="1" t="s">
        <v>133</v>
      </c>
      <c r="E71" s="1" t="s">
        <v>908</v>
      </c>
      <c r="F71" s="1">
        <v>33320.0</v>
      </c>
      <c r="G71" s="1" t="s">
        <v>910</v>
      </c>
      <c r="H71" s="1" t="s">
        <v>917</v>
      </c>
      <c r="I71" s="1" t="s">
        <v>672</v>
      </c>
      <c r="J71" s="1">
        <f t="shared" si="1"/>
        <v>1</v>
      </c>
      <c r="K71" s="1">
        <f t="shared" si="2"/>
        <v>1</v>
      </c>
      <c r="L71" s="1" t="s">
        <v>56</v>
      </c>
      <c r="M71" s="1" t="s">
        <v>57</v>
      </c>
      <c r="N71" s="1" t="str">
        <f>IFERROR(__xludf.DUMMYFUNCTION("SPLIT(M71,"","")"),"Collectif")</f>
        <v>Collectif</v>
      </c>
      <c r="O71" s="1"/>
      <c r="P71" s="1" t="s">
        <v>58</v>
      </c>
      <c r="Q71" s="1" t="s">
        <v>125</v>
      </c>
      <c r="R71" s="1" t="s">
        <v>96</v>
      </c>
    </row>
    <row r="72">
      <c r="A72" s="1" t="s">
        <v>920</v>
      </c>
      <c r="B72" s="1" t="s">
        <v>41</v>
      </c>
      <c r="C72" s="1" t="s">
        <v>42</v>
      </c>
      <c r="D72" s="1" t="s">
        <v>41</v>
      </c>
      <c r="E72" s="1" t="s">
        <v>922</v>
      </c>
      <c r="F72" s="1">
        <v>33700.0</v>
      </c>
      <c r="G72" s="1" t="s">
        <v>446</v>
      </c>
      <c r="H72" s="1" t="s">
        <v>928</v>
      </c>
      <c r="I72" s="1" t="s">
        <v>75</v>
      </c>
      <c r="J72" s="1">
        <f t="shared" si="1"/>
        <v>0</v>
      </c>
      <c r="K72" s="1">
        <f t="shared" si="2"/>
        <v>0</v>
      </c>
      <c r="L72" s="1" t="s">
        <v>56</v>
      </c>
      <c r="M72" s="1" t="s">
        <v>57</v>
      </c>
      <c r="N72" s="1" t="str">
        <f>IFERROR(__xludf.DUMMYFUNCTION("SPLIT(M72,"","")"),"Collectif")</f>
        <v>Collectif</v>
      </c>
      <c r="O72" s="1"/>
      <c r="P72" s="1" t="s">
        <v>77</v>
      </c>
      <c r="Q72" s="3"/>
      <c r="R72" s="1" t="s">
        <v>59</v>
      </c>
    </row>
    <row r="73">
      <c r="A73" s="1" t="s">
        <v>931</v>
      </c>
      <c r="B73" s="1" t="s">
        <v>114</v>
      </c>
      <c r="C73" s="1" t="s">
        <v>42</v>
      </c>
      <c r="D73" s="1" t="s">
        <v>41</v>
      </c>
      <c r="E73" s="1" t="s">
        <v>933</v>
      </c>
      <c r="F73" s="1">
        <v>33700.0</v>
      </c>
      <c r="G73" s="1" t="s">
        <v>446</v>
      </c>
      <c r="H73" s="1" t="s">
        <v>941</v>
      </c>
      <c r="I73" s="1" t="s">
        <v>55</v>
      </c>
      <c r="J73" s="1">
        <f t="shared" si="1"/>
        <v>0</v>
      </c>
      <c r="K73" s="1">
        <f t="shared" si="2"/>
        <v>0</v>
      </c>
      <c r="L73" s="1" t="s">
        <v>56</v>
      </c>
      <c r="M73" s="1" t="s">
        <v>76</v>
      </c>
      <c r="N73" s="1" t="str">
        <f>IFERROR(__xludf.DUMMYFUNCTION("SPLIT(M73,"","")"),"Individuel")</f>
        <v>Individuel</v>
      </c>
      <c r="O73" s="1" t="str">
        <f>IFERROR(__xludf.DUMMYFUNCTION("""COMPUTED_VALUE"""),"Collectif")</f>
        <v>Collectif</v>
      </c>
      <c r="P73" s="1" t="s">
        <v>295</v>
      </c>
      <c r="Q73" s="1" t="s">
        <v>125</v>
      </c>
      <c r="R73" s="1" t="s">
        <v>59</v>
      </c>
    </row>
    <row r="74">
      <c r="A74" s="1" t="s">
        <v>944</v>
      </c>
      <c r="B74" s="1" t="s">
        <v>41</v>
      </c>
      <c r="C74" s="1" t="s">
        <v>42</v>
      </c>
      <c r="D74" s="1" t="s">
        <v>41</v>
      </c>
      <c r="E74" s="1" t="s">
        <v>946</v>
      </c>
      <c r="F74" s="1">
        <v>33697.0</v>
      </c>
      <c r="G74" s="1" t="s">
        <v>947</v>
      </c>
      <c r="H74" s="1" t="s">
        <v>955</v>
      </c>
      <c r="I74" s="1" t="s">
        <v>956</v>
      </c>
      <c r="J74" s="1">
        <f t="shared" si="1"/>
        <v>0</v>
      </c>
      <c r="K74" s="1">
        <f t="shared" si="2"/>
        <v>0</v>
      </c>
      <c r="L74" s="1" t="s">
        <v>56</v>
      </c>
      <c r="M74" s="1" t="s">
        <v>109</v>
      </c>
      <c r="N74" s="1" t="str">
        <f>IFERROR(__xludf.DUMMYFUNCTION("SPLIT(M74,"","")"),"Individuel")</f>
        <v>Individuel</v>
      </c>
      <c r="O74" s="1"/>
      <c r="P74" s="1" t="s">
        <v>95</v>
      </c>
      <c r="Q74" s="1" t="s">
        <v>125</v>
      </c>
      <c r="R74" s="1" t="s">
        <v>59</v>
      </c>
    </row>
    <row r="75">
      <c r="A75" s="1" t="s">
        <v>959</v>
      </c>
      <c r="B75" s="1" t="s">
        <v>41</v>
      </c>
      <c r="C75" s="1" t="s">
        <v>42</v>
      </c>
      <c r="D75" s="1" t="s">
        <v>41</v>
      </c>
      <c r="E75" s="1" t="s">
        <v>961</v>
      </c>
      <c r="F75" s="1">
        <v>33160.0</v>
      </c>
      <c r="G75" s="1" t="s">
        <v>460</v>
      </c>
      <c r="H75" s="1" t="s">
        <v>968</v>
      </c>
      <c r="I75" s="1" t="s">
        <v>55</v>
      </c>
      <c r="J75" s="1">
        <f t="shared" si="1"/>
        <v>0</v>
      </c>
      <c r="K75" s="1">
        <f t="shared" si="2"/>
        <v>0</v>
      </c>
      <c r="L75" s="1" t="s">
        <v>56</v>
      </c>
      <c r="M75" s="1" t="s">
        <v>109</v>
      </c>
      <c r="N75" s="1" t="str">
        <f>IFERROR(__xludf.DUMMYFUNCTION("SPLIT(M75,"","")"),"Individuel")</f>
        <v>Individuel</v>
      </c>
      <c r="O75" s="1"/>
      <c r="P75" s="1" t="s">
        <v>95</v>
      </c>
      <c r="Q75" s="1" t="s">
        <v>125</v>
      </c>
      <c r="R75" s="1" t="s">
        <v>96</v>
      </c>
    </row>
    <row r="76">
      <c r="A76" s="1" t="s">
        <v>971</v>
      </c>
      <c r="B76" s="1" t="s">
        <v>41</v>
      </c>
      <c r="C76" s="1" t="s">
        <v>42</v>
      </c>
      <c r="D76" s="1" t="s">
        <v>41</v>
      </c>
      <c r="E76" s="1" t="s">
        <v>973</v>
      </c>
      <c r="F76" s="1">
        <v>33160.0</v>
      </c>
      <c r="G76" s="1" t="s">
        <v>460</v>
      </c>
      <c r="H76" s="1" t="s">
        <v>980</v>
      </c>
      <c r="I76" s="1" t="s">
        <v>981</v>
      </c>
      <c r="J76" s="1">
        <f t="shared" si="1"/>
        <v>2</v>
      </c>
      <c r="K76" s="1">
        <f t="shared" si="2"/>
        <v>39</v>
      </c>
      <c r="L76" s="1" t="s">
        <v>56</v>
      </c>
      <c r="M76" s="1" t="s">
        <v>109</v>
      </c>
      <c r="N76" s="1" t="str">
        <f>IFERROR(__xludf.DUMMYFUNCTION("SPLIT(M76,"","")"),"Individuel")</f>
        <v>Individuel</v>
      </c>
      <c r="O76" s="1"/>
      <c r="P76" s="1" t="s">
        <v>95</v>
      </c>
      <c r="Q76" s="1" t="s">
        <v>125</v>
      </c>
      <c r="R76" s="1" t="s">
        <v>96</v>
      </c>
    </row>
    <row r="77">
      <c r="A77" s="1" t="s">
        <v>984</v>
      </c>
      <c r="B77" s="1" t="s">
        <v>132</v>
      </c>
      <c r="C77" s="1" t="s">
        <v>83</v>
      </c>
      <c r="D77" s="1" t="s">
        <v>133</v>
      </c>
      <c r="E77" s="1" t="s">
        <v>987</v>
      </c>
      <c r="F77" s="1">
        <v>33160.0</v>
      </c>
      <c r="G77" s="1" t="s">
        <v>460</v>
      </c>
      <c r="H77" s="1" t="s">
        <v>994</v>
      </c>
      <c r="I77" s="1" t="s">
        <v>294</v>
      </c>
      <c r="J77" s="1">
        <f t="shared" si="1"/>
        <v>2</v>
      </c>
      <c r="K77" s="1">
        <f t="shared" si="2"/>
        <v>15</v>
      </c>
      <c r="L77" s="1" t="s">
        <v>56</v>
      </c>
      <c r="M77" s="1" t="s">
        <v>76</v>
      </c>
      <c r="N77" s="1" t="str">
        <f>IFERROR(__xludf.DUMMYFUNCTION("SPLIT(M77,"","")"),"Individuel")</f>
        <v>Individuel</v>
      </c>
      <c r="O77" s="1" t="str">
        <f>IFERROR(__xludf.DUMMYFUNCTION("""COMPUTED_VALUE"""),"Collectif")</f>
        <v>Collectif</v>
      </c>
      <c r="P77" s="1" t="s">
        <v>58</v>
      </c>
      <c r="Q77" s="1" t="s">
        <v>125</v>
      </c>
      <c r="R77" s="1" t="s">
        <v>59</v>
      </c>
    </row>
    <row r="78">
      <c r="A78" s="1" t="s">
        <v>997</v>
      </c>
      <c r="B78" s="1" t="s">
        <v>999</v>
      </c>
      <c r="C78" s="1" t="s">
        <v>42</v>
      </c>
      <c r="D78" s="1" t="s">
        <v>41</v>
      </c>
      <c r="E78" s="1" t="s">
        <v>1000</v>
      </c>
      <c r="F78" s="1">
        <v>33160.0</v>
      </c>
      <c r="G78" s="1" t="s">
        <v>460</v>
      </c>
      <c r="H78" s="1" t="s">
        <v>1007</v>
      </c>
      <c r="I78" s="1" t="s">
        <v>75</v>
      </c>
      <c r="J78" s="1">
        <f t="shared" si="1"/>
        <v>0</v>
      </c>
      <c r="K78" s="1">
        <f t="shared" si="2"/>
        <v>0</v>
      </c>
      <c r="L78" s="1" t="s">
        <v>56</v>
      </c>
      <c r="M78" s="1" t="s">
        <v>57</v>
      </c>
      <c r="N78" s="1" t="str">
        <f>IFERROR(__xludf.DUMMYFUNCTION("SPLIT(M78,"","")"),"Collectif")</f>
        <v>Collectif</v>
      </c>
      <c r="O78" s="1"/>
      <c r="P78" s="1" t="s">
        <v>295</v>
      </c>
      <c r="Q78" s="3"/>
      <c r="R78" s="1" t="s">
        <v>59</v>
      </c>
    </row>
    <row r="79">
      <c r="A79" s="1" t="s">
        <v>1010</v>
      </c>
      <c r="B79" s="1" t="s">
        <v>258</v>
      </c>
      <c r="C79" s="1" t="s">
        <v>83</v>
      </c>
      <c r="D79" s="1" t="s">
        <v>133</v>
      </c>
      <c r="E79" s="1" t="s">
        <v>1012</v>
      </c>
      <c r="F79" s="1">
        <v>33100.0</v>
      </c>
      <c r="G79" s="1" t="s">
        <v>45</v>
      </c>
      <c r="H79" s="1" t="s">
        <v>307</v>
      </c>
      <c r="I79" s="1" t="s">
        <v>75</v>
      </c>
      <c r="J79" s="1">
        <f t="shared" si="1"/>
        <v>0</v>
      </c>
      <c r="K79" s="1">
        <f t="shared" si="2"/>
        <v>0</v>
      </c>
      <c r="L79" s="1" t="s">
        <v>56</v>
      </c>
      <c r="M79" s="1" t="s">
        <v>57</v>
      </c>
      <c r="N79" s="1" t="str">
        <f>IFERROR(__xludf.DUMMYFUNCTION("SPLIT(M79,"","")"),"Collectif")</f>
        <v>Collectif</v>
      </c>
      <c r="O79" s="1"/>
      <c r="P79" s="1" t="s">
        <v>77</v>
      </c>
      <c r="Q79" s="1" t="s">
        <v>125</v>
      </c>
      <c r="R79" s="1" t="s">
        <v>59</v>
      </c>
    </row>
    <row r="80">
      <c r="A80" s="1" t="s">
        <v>1022</v>
      </c>
      <c r="B80" s="1" t="s">
        <v>132</v>
      </c>
      <c r="C80" s="1" t="s">
        <v>83</v>
      </c>
      <c r="D80" s="1" t="s">
        <v>133</v>
      </c>
      <c r="E80" s="1" t="s">
        <v>1023</v>
      </c>
      <c r="F80" s="1">
        <v>33160.0</v>
      </c>
      <c r="G80" s="1" t="s">
        <v>460</v>
      </c>
      <c r="H80" s="1" t="s">
        <v>1028</v>
      </c>
      <c r="I80" s="1" t="s">
        <v>294</v>
      </c>
      <c r="J80" s="1">
        <f t="shared" si="1"/>
        <v>2</v>
      </c>
      <c r="K80" s="1">
        <f t="shared" si="2"/>
        <v>15</v>
      </c>
      <c r="L80" s="1" t="s">
        <v>56</v>
      </c>
      <c r="M80" s="1" t="s">
        <v>76</v>
      </c>
      <c r="N80" s="1" t="str">
        <f>IFERROR(__xludf.DUMMYFUNCTION("SPLIT(M80,"","")"),"Individuel")</f>
        <v>Individuel</v>
      </c>
      <c r="O80" s="1" t="str">
        <f>IFERROR(__xludf.DUMMYFUNCTION("""COMPUTED_VALUE"""),"Collectif")</f>
        <v>Collectif</v>
      </c>
      <c r="P80" s="1" t="s">
        <v>58</v>
      </c>
      <c r="Q80" s="1" t="s">
        <v>125</v>
      </c>
      <c r="R80" s="1" t="s">
        <v>59</v>
      </c>
    </row>
    <row r="81">
      <c r="A81" s="1" t="s">
        <v>1030</v>
      </c>
      <c r="B81" s="1" t="s">
        <v>258</v>
      </c>
      <c r="C81" s="1" t="s">
        <v>83</v>
      </c>
      <c r="D81" s="1" t="s">
        <v>133</v>
      </c>
      <c r="E81" s="1" t="s">
        <v>1031</v>
      </c>
      <c r="F81" s="1">
        <v>33320.0</v>
      </c>
      <c r="G81" s="1" t="s">
        <v>848</v>
      </c>
      <c r="H81" s="1" t="s">
        <v>1037</v>
      </c>
      <c r="I81" s="1" t="s">
        <v>55</v>
      </c>
      <c r="J81" s="1">
        <f t="shared" si="1"/>
        <v>0</v>
      </c>
      <c r="K81" s="1">
        <f t="shared" si="2"/>
        <v>0</v>
      </c>
      <c r="L81" s="1" t="s">
        <v>56</v>
      </c>
      <c r="M81" s="1" t="s">
        <v>76</v>
      </c>
      <c r="N81" s="1" t="str">
        <f>IFERROR(__xludf.DUMMYFUNCTION("SPLIT(M81,"","")"),"Individuel")</f>
        <v>Individuel</v>
      </c>
      <c r="O81" s="1" t="str">
        <f>IFERROR(__xludf.DUMMYFUNCTION("""COMPUTED_VALUE"""),"Collectif")</f>
        <v>Collectif</v>
      </c>
      <c r="P81" s="1" t="s">
        <v>295</v>
      </c>
      <c r="Q81" s="1" t="s">
        <v>125</v>
      </c>
      <c r="R81" s="1" t="s">
        <v>59</v>
      </c>
    </row>
    <row r="82">
      <c r="A82" s="1" t="s">
        <v>1039</v>
      </c>
      <c r="B82" s="1" t="s">
        <v>41</v>
      </c>
      <c r="C82" s="1" t="s">
        <v>42</v>
      </c>
      <c r="D82" s="1" t="s">
        <v>41</v>
      </c>
      <c r="E82" s="1" t="s">
        <v>1041</v>
      </c>
      <c r="F82" s="1">
        <v>33300.0</v>
      </c>
      <c r="G82" s="1" t="s">
        <v>45</v>
      </c>
      <c r="H82" s="3"/>
      <c r="I82" s="1" t="s">
        <v>156</v>
      </c>
      <c r="J82" s="1">
        <f t="shared" si="1"/>
        <v>0</v>
      </c>
      <c r="K82" s="1">
        <f t="shared" si="2"/>
        <v>0</v>
      </c>
      <c r="L82" s="1" t="s">
        <v>56</v>
      </c>
      <c r="M82" s="1" t="s">
        <v>57</v>
      </c>
      <c r="N82" s="1" t="str">
        <f>IFERROR(__xludf.DUMMYFUNCTION("SPLIT(M82,"","")"),"Collectif")</f>
        <v>Collectif</v>
      </c>
      <c r="O82" s="1"/>
      <c r="P82" s="1" t="s">
        <v>95</v>
      </c>
      <c r="Q82" s="1" t="s">
        <v>125</v>
      </c>
      <c r="R82" s="1" t="s">
        <v>96</v>
      </c>
    </row>
    <row r="83">
      <c r="A83" s="1" t="s">
        <v>1051</v>
      </c>
      <c r="B83" s="1" t="s">
        <v>132</v>
      </c>
      <c r="C83" s="1" t="s">
        <v>83</v>
      </c>
      <c r="D83" s="1" t="s">
        <v>133</v>
      </c>
      <c r="E83" s="1" t="s">
        <v>1053</v>
      </c>
      <c r="F83" s="1">
        <v>33300.0</v>
      </c>
      <c r="G83" s="1" t="s">
        <v>45</v>
      </c>
      <c r="H83" s="1" t="s">
        <v>221</v>
      </c>
      <c r="I83" s="1" t="s">
        <v>55</v>
      </c>
      <c r="J83" s="1">
        <f t="shared" si="1"/>
        <v>0</v>
      </c>
      <c r="K83" s="1">
        <f t="shared" si="2"/>
        <v>0</v>
      </c>
      <c r="L83" s="1" t="s">
        <v>56</v>
      </c>
      <c r="M83" s="1" t="s">
        <v>76</v>
      </c>
      <c r="N83" s="1" t="str">
        <f>IFERROR(__xludf.DUMMYFUNCTION("SPLIT(M83,"","")"),"Individuel")</f>
        <v>Individuel</v>
      </c>
      <c r="O83" s="1" t="str">
        <f>IFERROR(__xludf.DUMMYFUNCTION("""COMPUTED_VALUE"""),"Collectif")</f>
        <v>Collectif</v>
      </c>
      <c r="P83" s="1" t="s">
        <v>58</v>
      </c>
      <c r="Q83" s="1" t="s">
        <v>125</v>
      </c>
      <c r="R83" s="1" t="s">
        <v>96</v>
      </c>
    </row>
    <row r="84">
      <c r="A84" s="1" t="s">
        <v>1057</v>
      </c>
      <c r="B84" s="1" t="s">
        <v>162</v>
      </c>
      <c r="C84" s="1" t="s">
        <v>42</v>
      </c>
      <c r="D84" s="1" t="s">
        <v>41</v>
      </c>
      <c r="E84" s="1" t="s">
        <v>1059</v>
      </c>
      <c r="F84" s="1">
        <v>33300.0</v>
      </c>
      <c r="G84" s="1" t="s">
        <v>45</v>
      </c>
      <c r="H84" s="1" t="s">
        <v>1068</v>
      </c>
      <c r="I84" s="1" t="s">
        <v>361</v>
      </c>
      <c r="J84" s="1">
        <f t="shared" si="1"/>
        <v>2</v>
      </c>
      <c r="K84" s="1">
        <f t="shared" si="2"/>
        <v>15</v>
      </c>
      <c r="L84" s="1" t="s">
        <v>56</v>
      </c>
      <c r="M84" s="1" t="s">
        <v>57</v>
      </c>
      <c r="N84" s="1" t="str">
        <f>IFERROR(__xludf.DUMMYFUNCTION("SPLIT(M84,"","")"),"Collectif")</f>
        <v>Collectif</v>
      </c>
      <c r="O84" s="1"/>
      <c r="P84" s="1" t="s">
        <v>77</v>
      </c>
      <c r="Q84" s="3"/>
      <c r="R84" s="1" t="s">
        <v>96</v>
      </c>
    </row>
    <row r="85">
      <c r="A85" s="1" t="s">
        <v>298</v>
      </c>
      <c r="B85" s="1" t="s">
        <v>41</v>
      </c>
      <c r="C85" s="1" t="s">
        <v>42</v>
      </c>
      <c r="D85" s="1" t="s">
        <v>41</v>
      </c>
      <c r="E85" s="1" t="s">
        <v>1072</v>
      </c>
      <c r="F85" s="1">
        <v>33300.0</v>
      </c>
      <c r="G85" s="1" t="s">
        <v>45</v>
      </c>
      <c r="H85" s="1" t="s">
        <v>307</v>
      </c>
      <c r="I85" s="1" t="s">
        <v>1077</v>
      </c>
      <c r="J85" s="1">
        <f t="shared" si="1"/>
        <v>1</v>
      </c>
      <c r="K85" s="1">
        <f t="shared" si="2"/>
        <v>1</v>
      </c>
      <c r="L85" s="1" t="s">
        <v>56</v>
      </c>
      <c r="M85" s="1" t="s">
        <v>109</v>
      </c>
      <c r="N85" s="1" t="str">
        <f>IFERROR(__xludf.DUMMYFUNCTION("SPLIT(M85,"","")"),"Individuel")</f>
        <v>Individuel</v>
      </c>
      <c r="O85" s="1"/>
      <c r="P85" s="1" t="s">
        <v>95</v>
      </c>
      <c r="Q85" s="3"/>
      <c r="R85" s="1" t="s">
        <v>59</v>
      </c>
    </row>
    <row r="86">
      <c r="A86" s="1" t="s">
        <v>1080</v>
      </c>
      <c r="B86" s="1" t="s">
        <v>1082</v>
      </c>
      <c r="C86" s="1" t="s">
        <v>1083</v>
      </c>
      <c r="D86" s="1" t="s">
        <v>84</v>
      </c>
      <c r="E86" s="1" t="s">
        <v>1084</v>
      </c>
      <c r="F86" s="1">
        <v>33300.0</v>
      </c>
      <c r="G86" s="1" t="s">
        <v>45</v>
      </c>
      <c r="H86" s="1" t="s">
        <v>928</v>
      </c>
      <c r="I86" s="1" t="s">
        <v>55</v>
      </c>
      <c r="J86" s="1">
        <f t="shared" si="1"/>
        <v>0</v>
      </c>
      <c r="K86" s="1">
        <f t="shared" si="2"/>
        <v>0</v>
      </c>
      <c r="L86" s="1" t="s">
        <v>56</v>
      </c>
      <c r="M86" s="1" t="s">
        <v>109</v>
      </c>
      <c r="N86" s="1" t="str">
        <f>IFERROR(__xludf.DUMMYFUNCTION("SPLIT(M86,"","")"),"Individuel")</f>
        <v>Individuel</v>
      </c>
      <c r="O86" s="1"/>
      <c r="P86" s="1" t="s">
        <v>95</v>
      </c>
      <c r="Q86" s="3"/>
      <c r="R86" s="1" t="s">
        <v>96</v>
      </c>
    </row>
    <row r="87">
      <c r="A87" s="1" t="s">
        <v>1091</v>
      </c>
      <c r="B87" s="1" t="s">
        <v>41</v>
      </c>
      <c r="C87" s="1" t="s">
        <v>42</v>
      </c>
      <c r="D87" s="1" t="s">
        <v>41</v>
      </c>
      <c r="E87" s="1" t="s">
        <v>1084</v>
      </c>
      <c r="F87" s="1">
        <v>33300.0</v>
      </c>
      <c r="G87" s="1" t="s">
        <v>45</v>
      </c>
      <c r="H87" s="1" t="s">
        <v>1097</v>
      </c>
      <c r="I87" s="1" t="s">
        <v>55</v>
      </c>
      <c r="J87" s="1">
        <f t="shared" si="1"/>
        <v>0</v>
      </c>
      <c r="K87" s="1">
        <f t="shared" si="2"/>
        <v>0</v>
      </c>
      <c r="L87" s="1" t="s">
        <v>56</v>
      </c>
      <c r="M87" s="1" t="s">
        <v>76</v>
      </c>
      <c r="N87" s="1" t="str">
        <f>IFERROR(__xludf.DUMMYFUNCTION("SPLIT(M87,"","")"),"Individuel")</f>
        <v>Individuel</v>
      </c>
      <c r="O87" s="1" t="str">
        <f>IFERROR(__xludf.DUMMYFUNCTION("""COMPUTED_VALUE"""),"Collectif")</f>
        <v>Collectif</v>
      </c>
      <c r="P87" s="1" t="s">
        <v>77</v>
      </c>
      <c r="Q87" s="3"/>
      <c r="R87" s="1" t="s">
        <v>59</v>
      </c>
    </row>
    <row r="88">
      <c r="A88" s="1" t="s">
        <v>1099</v>
      </c>
      <c r="B88" s="1" t="s">
        <v>41</v>
      </c>
      <c r="C88" s="1" t="s">
        <v>42</v>
      </c>
      <c r="D88" s="1" t="s">
        <v>41</v>
      </c>
      <c r="E88" s="1" t="s">
        <v>1101</v>
      </c>
      <c r="F88" s="1">
        <v>33300.0</v>
      </c>
      <c r="G88" s="1" t="s">
        <v>45</v>
      </c>
      <c r="H88" s="1" t="s">
        <v>1108</v>
      </c>
      <c r="I88" s="1" t="s">
        <v>361</v>
      </c>
      <c r="J88" s="1">
        <f t="shared" si="1"/>
        <v>2</v>
      </c>
      <c r="K88" s="1">
        <f t="shared" si="2"/>
        <v>15</v>
      </c>
      <c r="L88" s="1" t="s">
        <v>56</v>
      </c>
      <c r="M88" s="1" t="s">
        <v>109</v>
      </c>
      <c r="N88" s="1" t="str">
        <f>IFERROR(__xludf.DUMMYFUNCTION("SPLIT(M88,"","")"),"Individuel")</f>
        <v>Individuel</v>
      </c>
      <c r="O88" s="1"/>
      <c r="P88" s="1" t="s">
        <v>95</v>
      </c>
      <c r="Q88" s="3"/>
      <c r="R88" s="1" t="s">
        <v>59</v>
      </c>
    </row>
    <row r="89">
      <c r="A89" s="1" t="s">
        <v>1111</v>
      </c>
      <c r="B89" s="1" t="s">
        <v>41</v>
      </c>
      <c r="C89" s="1" t="s">
        <v>42</v>
      </c>
      <c r="D89" s="1" t="s">
        <v>41</v>
      </c>
      <c r="E89" s="1" t="s">
        <v>1113</v>
      </c>
      <c r="F89" s="1">
        <v>33000.0</v>
      </c>
      <c r="G89" s="1" t="s">
        <v>45</v>
      </c>
      <c r="H89" s="1" t="s">
        <v>1120</v>
      </c>
      <c r="I89" s="1" t="s">
        <v>55</v>
      </c>
      <c r="J89" s="1">
        <f t="shared" si="1"/>
        <v>0</v>
      </c>
      <c r="K89" s="1">
        <f t="shared" si="2"/>
        <v>0</v>
      </c>
      <c r="L89" s="1" t="s">
        <v>56</v>
      </c>
      <c r="M89" s="1" t="s">
        <v>76</v>
      </c>
      <c r="N89" s="1" t="str">
        <f>IFERROR(__xludf.DUMMYFUNCTION("SPLIT(M89,"","")"),"Individuel")</f>
        <v>Individuel</v>
      </c>
      <c r="O89" s="1" t="str">
        <f>IFERROR(__xludf.DUMMYFUNCTION("""COMPUTED_VALUE"""),"Collectif")</f>
        <v>Collectif</v>
      </c>
      <c r="P89" s="1" t="s">
        <v>95</v>
      </c>
      <c r="Q89" s="3"/>
      <c r="R89" s="1" t="s">
        <v>59</v>
      </c>
    </row>
    <row r="90">
      <c r="A90" s="1" t="s">
        <v>1123</v>
      </c>
      <c r="B90" s="1" t="s">
        <v>41</v>
      </c>
      <c r="C90" s="1" t="s">
        <v>42</v>
      </c>
      <c r="D90" s="1" t="s">
        <v>41</v>
      </c>
      <c r="E90" s="1" t="s">
        <v>1125</v>
      </c>
      <c r="F90" s="1">
        <v>33000.0</v>
      </c>
      <c r="G90" s="1" t="s">
        <v>45</v>
      </c>
      <c r="H90" s="1" t="s">
        <v>1132</v>
      </c>
      <c r="I90" s="1" t="s">
        <v>55</v>
      </c>
      <c r="J90" s="1">
        <f t="shared" si="1"/>
        <v>0</v>
      </c>
      <c r="K90" s="1">
        <f t="shared" si="2"/>
        <v>0</v>
      </c>
      <c r="L90" s="1" t="s">
        <v>56</v>
      </c>
      <c r="M90" s="1" t="s">
        <v>109</v>
      </c>
      <c r="N90" s="1" t="str">
        <f>IFERROR(__xludf.DUMMYFUNCTION("SPLIT(M90,"","")"),"Individuel")</f>
        <v>Individuel</v>
      </c>
      <c r="O90" s="1"/>
      <c r="P90" s="1" t="s">
        <v>295</v>
      </c>
      <c r="Q90" s="1" t="s">
        <v>125</v>
      </c>
      <c r="R90" s="1" t="s">
        <v>96</v>
      </c>
    </row>
    <row r="91">
      <c r="A91" s="1" t="s">
        <v>1135</v>
      </c>
      <c r="B91" s="1" t="s">
        <v>41</v>
      </c>
      <c r="C91" s="1" t="s">
        <v>42</v>
      </c>
      <c r="D91" s="1" t="s">
        <v>41</v>
      </c>
      <c r="E91" s="1" t="s">
        <v>1137</v>
      </c>
      <c r="F91" s="1">
        <v>33800.0</v>
      </c>
      <c r="G91" s="1" t="s">
        <v>45</v>
      </c>
      <c r="H91" s="1" t="s">
        <v>1144</v>
      </c>
      <c r="I91" s="1" t="s">
        <v>294</v>
      </c>
      <c r="J91" s="1">
        <f t="shared" si="1"/>
        <v>2</v>
      </c>
      <c r="K91" s="1">
        <f t="shared" si="2"/>
        <v>15</v>
      </c>
      <c r="L91" s="1" t="s">
        <v>56</v>
      </c>
      <c r="M91" s="1" t="s">
        <v>76</v>
      </c>
      <c r="N91" s="1" t="str">
        <f>IFERROR(__xludf.DUMMYFUNCTION("SPLIT(M91,"","")"),"Individuel")</f>
        <v>Individuel</v>
      </c>
      <c r="O91" s="1" t="str">
        <f>IFERROR(__xludf.DUMMYFUNCTION("""COMPUTED_VALUE"""),"Collectif")</f>
        <v>Collectif</v>
      </c>
      <c r="P91" s="1" t="s">
        <v>58</v>
      </c>
      <c r="Q91" s="3"/>
      <c r="R91" s="1" t="s">
        <v>59</v>
      </c>
    </row>
    <row r="92">
      <c r="A92" s="1" t="s">
        <v>1147</v>
      </c>
      <c r="B92" s="1" t="s">
        <v>132</v>
      </c>
      <c r="C92" s="1" t="s">
        <v>83</v>
      </c>
      <c r="D92" s="1" t="s">
        <v>133</v>
      </c>
      <c r="E92" s="1" t="s">
        <v>1149</v>
      </c>
      <c r="F92" s="1">
        <v>33000.0</v>
      </c>
      <c r="G92" s="1" t="s">
        <v>45</v>
      </c>
      <c r="H92" s="1" t="s">
        <v>221</v>
      </c>
      <c r="I92" s="1" t="s">
        <v>55</v>
      </c>
      <c r="J92" s="1">
        <f t="shared" si="1"/>
        <v>0</v>
      </c>
      <c r="K92" s="1">
        <f t="shared" si="2"/>
        <v>0</v>
      </c>
      <c r="L92" s="1" t="s">
        <v>56</v>
      </c>
      <c r="M92" s="1" t="s">
        <v>76</v>
      </c>
      <c r="N92" s="1" t="str">
        <f>IFERROR(__xludf.DUMMYFUNCTION("SPLIT(M92,"","")"),"Individuel")</f>
        <v>Individuel</v>
      </c>
      <c r="O92" s="1" t="str">
        <f>IFERROR(__xludf.DUMMYFUNCTION("""COMPUTED_VALUE"""),"Collectif")</f>
        <v>Collectif</v>
      </c>
      <c r="P92" s="1" t="s">
        <v>58</v>
      </c>
      <c r="Q92" s="3"/>
      <c r="R92" s="1" t="s">
        <v>59</v>
      </c>
    </row>
    <row r="93">
      <c r="A93" s="1" t="s">
        <v>1155</v>
      </c>
      <c r="B93" s="1" t="s">
        <v>41</v>
      </c>
      <c r="C93" s="1" t="s">
        <v>42</v>
      </c>
      <c r="D93" s="1" t="s">
        <v>41</v>
      </c>
      <c r="E93" s="1" t="s">
        <v>1157</v>
      </c>
      <c r="F93" s="1">
        <v>33000.0</v>
      </c>
      <c r="G93" s="1" t="s">
        <v>45</v>
      </c>
      <c r="H93" s="1" t="s">
        <v>1165</v>
      </c>
      <c r="I93" s="3"/>
      <c r="J93" s="1">
        <f t="shared" si="1"/>
        <v>0</v>
      </c>
      <c r="K93" s="1">
        <f t="shared" si="2"/>
        <v>0</v>
      </c>
      <c r="L93" s="1" t="s">
        <v>56</v>
      </c>
      <c r="M93" s="1" t="s">
        <v>76</v>
      </c>
      <c r="N93" s="1" t="str">
        <f>IFERROR(__xludf.DUMMYFUNCTION("SPLIT(M93,"","")"),"Individuel")</f>
        <v>Individuel</v>
      </c>
      <c r="O93" s="1" t="str">
        <f>IFERROR(__xludf.DUMMYFUNCTION("""COMPUTED_VALUE"""),"Collectif")</f>
        <v>Collectif</v>
      </c>
      <c r="P93" s="1" t="s">
        <v>58</v>
      </c>
      <c r="Q93" s="3"/>
      <c r="R93" s="1" t="s">
        <v>96</v>
      </c>
    </row>
    <row r="94">
      <c r="A94" s="1" t="s">
        <v>1168</v>
      </c>
      <c r="B94" s="1" t="s">
        <v>1082</v>
      </c>
      <c r="C94" s="1" t="s">
        <v>1083</v>
      </c>
      <c r="D94" s="1" t="s">
        <v>84</v>
      </c>
      <c r="E94" s="1" t="s">
        <v>1169</v>
      </c>
      <c r="F94" s="1">
        <v>33079.0</v>
      </c>
      <c r="G94" s="1" t="s">
        <v>45</v>
      </c>
      <c r="H94" s="1" t="s">
        <v>928</v>
      </c>
      <c r="I94" s="1" t="s">
        <v>55</v>
      </c>
      <c r="J94" s="1">
        <f t="shared" si="1"/>
        <v>0</v>
      </c>
      <c r="K94" s="1">
        <f t="shared" si="2"/>
        <v>0</v>
      </c>
      <c r="L94" s="1" t="s">
        <v>56</v>
      </c>
      <c r="M94" s="1" t="s">
        <v>109</v>
      </c>
      <c r="N94" s="1" t="str">
        <f>IFERROR(__xludf.DUMMYFUNCTION("SPLIT(M94,"","")"),"Individuel")</f>
        <v>Individuel</v>
      </c>
      <c r="O94" s="1"/>
      <c r="P94" s="1" t="s">
        <v>95</v>
      </c>
      <c r="Q94" s="3"/>
      <c r="R94" s="1" t="s">
        <v>96</v>
      </c>
    </row>
    <row r="95">
      <c r="A95" s="1" t="s">
        <v>1175</v>
      </c>
      <c r="B95" s="1" t="s">
        <v>41</v>
      </c>
      <c r="C95" s="1" t="s">
        <v>42</v>
      </c>
      <c r="D95" s="1" t="s">
        <v>41</v>
      </c>
      <c r="E95" s="1" t="s">
        <v>1177</v>
      </c>
      <c r="F95" s="1">
        <v>33800.0</v>
      </c>
      <c r="G95" s="1" t="s">
        <v>45</v>
      </c>
      <c r="H95" s="3"/>
      <c r="I95" s="1" t="s">
        <v>75</v>
      </c>
      <c r="J95" s="1">
        <f t="shared" si="1"/>
        <v>0</v>
      </c>
      <c r="K95" s="1">
        <f t="shared" si="2"/>
        <v>0</v>
      </c>
      <c r="L95" s="1" t="s">
        <v>56</v>
      </c>
      <c r="M95" s="1" t="s">
        <v>109</v>
      </c>
      <c r="N95" s="1" t="str">
        <f>IFERROR(__xludf.DUMMYFUNCTION("SPLIT(M95,"","")"),"Individuel")</f>
        <v>Individuel</v>
      </c>
      <c r="O95" s="1"/>
      <c r="P95" s="1" t="s">
        <v>95</v>
      </c>
      <c r="Q95" s="3"/>
      <c r="R95" s="1" t="s">
        <v>59</v>
      </c>
    </row>
    <row r="96">
      <c r="A96" s="1" t="s">
        <v>1187</v>
      </c>
      <c r="B96" s="1" t="s">
        <v>41</v>
      </c>
      <c r="C96" s="1" t="s">
        <v>42</v>
      </c>
      <c r="D96" s="1" t="s">
        <v>41</v>
      </c>
      <c r="E96" s="1" t="s">
        <v>1189</v>
      </c>
      <c r="F96" s="1">
        <v>33800.0</v>
      </c>
      <c r="G96" s="1" t="s">
        <v>45</v>
      </c>
      <c r="H96" s="1" t="s">
        <v>1197</v>
      </c>
      <c r="I96" s="1" t="s">
        <v>253</v>
      </c>
      <c r="J96" s="1">
        <f t="shared" si="1"/>
        <v>0</v>
      </c>
      <c r="K96" s="1">
        <f t="shared" si="2"/>
        <v>0</v>
      </c>
      <c r="L96" s="1" t="s">
        <v>56</v>
      </c>
      <c r="M96" s="1" t="s">
        <v>76</v>
      </c>
      <c r="N96" s="1" t="str">
        <f>IFERROR(__xludf.DUMMYFUNCTION("SPLIT(M96,"","")"),"Individuel")</f>
        <v>Individuel</v>
      </c>
      <c r="O96" s="1" t="str">
        <f>IFERROR(__xludf.DUMMYFUNCTION("""COMPUTED_VALUE"""),"Collectif")</f>
        <v>Collectif</v>
      </c>
      <c r="P96" s="1" t="s">
        <v>95</v>
      </c>
      <c r="Q96" s="3"/>
      <c r="R96" s="1" t="s">
        <v>59</v>
      </c>
    </row>
    <row r="97">
      <c r="A97" s="1" t="s">
        <v>1200</v>
      </c>
      <c r="B97" s="1" t="s">
        <v>1202</v>
      </c>
      <c r="C97" s="1" t="s">
        <v>42</v>
      </c>
      <c r="D97" s="1" t="s">
        <v>41</v>
      </c>
      <c r="E97" s="1" t="s">
        <v>1203</v>
      </c>
      <c r="F97" s="1">
        <v>33800.0</v>
      </c>
      <c r="G97" s="1" t="s">
        <v>45</v>
      </c>
      <c r="H97" s="1" t="s">
        <v>1212</v>
      </c>
      <c r="I97" s="1" t="s">
        <v>55</v>
      </c>
      <c r="J97" s="1">
        <f t="shared" si="1"/>
        <v>0</v>
      </c>
      <c r="K97" s="1">
        <f t="shared" si="2"/>
        <v>0</v>
      </c>
      <c r="L97" s="1" t="s">
        <v>56</v>
      </c>
      <c r="M97" s="1" t="s">
        <v>76</v>
      </c>
      <c r="N97" s="1" t="str">
        <f>IFERROR(__xludf.DUMMYFUNCTION("SPLIT(M97,"","")"),"Individuel")</f>
        <v>Individuel</v>
      </c>
      <c r="O97" s="1" t="str">
        <f>IFERROR(__xludf.DUMMYFUNCTION("""COMPUTED_VALUE"""),"Collectif")</f>
        <v>Collectif</v>
      </c>
      <c r="P97" s="1" t="s">
        <v>95</v>
      </c>
      <c r="Q97" s="3"/>
      <c r="R97" s="1" t="s">
        <v>59</v>
      </c>
    </row>
    <row r="98">
      <c r="A98" s="1" t="s">
        <v>1215</v>
      </c>
      <c r="B98" s="1" t="s">
        <v>1218</v>
      </c>
      <c r="C98" s="1" t="s">
        <v>83</v>
      </c>
      <c r="D98" s="1" t="s">
        <v>133</v>
      </c>
      <c r="E98" s="1" t="s">
        <v>1219</v>
      </c>
      <c r="F98" s="1">
        <v>33800.0</v>
      </c>
      <c r="G98" s="1" t="s">
        <v>45</v>
      </c>
      <c r="H98" s="1" t="s">
        <v>1226</v>
      </c>
      <c r="I98" s="1" t="s">
        <v>55</v>
      </c>
      <c r="J98" s="1">
        <f t="shared" si="1"/>
        <v>0</v>
      </c>
      <c r="K98" s="1">
        <f t="shared" si="2"/>
        <v>0</v>
      </c>
      <c r="L98" s="1" t="s">
        <v>56</v>
      </c>
      <c r="M98" s="1" t="s">
        <v>109</v>
      </c>
      <c r="N98" s="1" t="str">
        <f>IFERROR(__xludf.DUMMYFUNCTION("SPLIT(M98,"","")"),"Individuel")</f>
        <v>Individuel</v>
      </c>
      <c r="O98" s="1"/>
      <c r="P98" s="1" t="s">
        <v>58</v>
      </c>
      <c r="Q98" s="3"/>
      <c r="R98" s="1" t="s">
        <v>59</v>
      </c>
    </row>
    <row r="99">
      <c r="A99" s="1" t="s">
        <v>1229</v>
      </c>
      <c r="B99" s="1" t="s">
        <v>132</v>
      </c>
      <c r="C99" s="1" t="s">
        <v>83</v>
      </c>
      <c r="D99" s="1" t="s">
        <v>133</v>
      </c>
      <c r="E99" s="1" t="s">
        <v>1231</v>
      </c>
      <c r="F99" s="1">
        <v>33100.0</v>
      </c>
      <c r="G99" s="1" t="s">
        <v>45</v>
      </c>
      <c r="H99" s="1" t="s">
        <v>221</v>
      </c>
      <c r="I99" s="1" t="s">
        <v>55</v>
      </c>
      <c r="J99" s="1">
        <f t="shared" si="1"/>
        <v>0</v>
      </c>
      <c r="K99" s="1">
        <f t="shared" si="2"/>
        <v>0</v>
      </c>
      <c r="L99" s="1" t="s">
        <v>56</v>
      </c>
      <c r="M99" s="1" t="s">
        <v>76</v>
      </c>
      <c r="N99" s="1" t="str">
        <f>IFERROR(__xludf.DUMMYFUNCTION("SPLIT(M99,"","")"),"Individuel")</f>
        <v>Individuel</v>
      </c>
      <c r="O99" s="1" t="str">
        <f>IFERROR(__xludf.DUMMYFUNCTION("""COMPUTED_VALUE"""),"Collectif")</f>
        <v>Collectif</v>
      </c>
      <c r="P99" s="1" t="s">
        <v>58</v>
      </c>
      <c r="Q99" s="1" t="s">
        <v>125</v>
      </c>
      <c r="R99" s="1" t="s">
        <v>59</v>
      </c>
    </row>
    <row r="100">
      <c r="A100" s="1" t="s">
        <v>1236</v>
      </c>
      <c r="B100" s="1" t="s">
        <v>1238</v>
      </c>
      <c r="C100" s="1" t="s">
        <v>42</v>
      </c>
      <c r="D100" s="1" t="s">
        <v>41</v>
      </c>
      <c r="E100" s="1" t="s">
        <v>1239</v>
      </c>
      <c r="F100" s="1">
        <v>33440.0</v>
      </c>
      <c r="G100" s="1" t="s">
        <v>654</v>
      </c>
      <c r="H100" s="1" t="s">
        <v>1245</v>
      </c>
      <c r="I100" s="1" t="s">
        <v>55</v>
      </c>
      <c r="J100" s="1">
        <f t="shared" si="1"/>
        <v>0</v>
      </c>
      <c r="K100" s="1">
        <f t="shared" si="2"/>
        <v>0</v>
      </c>
      <c r="L100" s="1" t="s">
        <v>56</v>
      </c>
      <c r="M100" s="1" t="s">
        <v>109</v>
      </c>
      <c r="N100" s="1" t="str">
        <f>IFERROR(__xludf.DUMMYFUNCTION("SPLIT(M100,"","")"),"Individuel")</f>
        <v>Individuel</v>
      </c>
      <c r="O100" s="1"/>
      <c r="P100" s="1" t="s">
        <v>95</v>
      </c>
      <c r="Q100" s="1" t="s">
        <v>125</v>
      </c>
      <c r="R100" s="1" t="s">
        <v>59</v>
      </c>
    </row>
    <row r="101">
      <c r="A101" s="1" t="s">
        <v>1249</v>
      </c>
      <c r="B101" s="1" t="s">
        <v>258</v>
      </c>
      <c r="C101" s="1" t="s">
        <v>83</v>
      </c>
      <c r="D101" s="1" t="s">
        <v>133</v>
      </c>
      <c r="E101" s="1" t="s">
        <v>1252</v>
      </c>
      <c r="F101" s="1">
        <v>33440.0</v>
      </c>
      <c r="G101" s="1" t="s">
        <v>654</v>
      </c>
      <c r="H101" s="1" t="s">
        <v>1259</v>
      </c>
      <c r="I101" s="1" t="s">
        <v>75</v>
      </c>
      <c r="J101" s="1">
        <f t="shared" si="1"/>
        <v>0</v>
      </c>
      <c r="K101" s="1">
        <f t="shared" si="2"/>
        <v>0</v>
      </c>
      <c r="L101" s="1" t="s">
        <v>56</v>
      </c>
      <c r="M101" s="1" t="s">
        <v>76</v>
      </c>
      <c r="N101" s="1" t="str">
        <f>IFERROR(__xludf.DUMMYFUNCTION("SPLIT(M101,"","")"),"Individuel")</f>
        <v>Individuel</v>
      </c>
      <c r="O101" s="1" t="str">
        <f>IFERROR(__xludf.DUMMYFUNCTION("""COMPUTED_VALUE"""),"Collectif")</f>
        <v>Collectif</v>
      </c>
      <c r="P101" s="1" t="s">
        <v>95</v>
      </c>
      <c r="Q101" s="1" t="s">
        <v>125</v>
      </c>
      <c r="R101" s="1" t="s">
        <v>59</v>
      </c>
    </row>
    <row r="102">
      <c r="A102" s="1" t="s">
        <v>1262</v>
      </c>
      <c r="B102" s="1" t="s">
        <v>132</v>
      </c>
      <c r="C102" s="1" t="s">
        <v>83</v>
      </c>
      <c r="D102" s="1" t="s">
        <v>133</v>
      </c>
      <c r="E102" s="1" t="s">
        <v>1265</v>
      </c>
      <c r="F102" s="1">
        <v>33530.0</v>
      </c>
      <c r="G102" s="1" t="s">
        <v>1266</v>
      </c>
      <c r="H102" s="1" t="s">
        <v>1272</v>
      </c>
      <c r="I102" s="1" t="s">
        <v>55</v>
      </c>
      <c r="J102" s="1">
        <f t="shared" si="1"/>
        <v>0</v>
      </c>
      <c r="K102" s="1">
        <f t="shared" si="2"/>
        <v>0</v>
      </c>
      <c r="L102" s="1" t="s">
        <v>56</v>
      </c>
      <c r="M102" s="1" t="s">
        <v>76</v>
      </c>
      <c r="N102" s="1" t="str">
        <f>IFERROR(__xludf.DUMMYFUNCTION("SPLIT(M102,"","")"),"Individuel")</f>
        <v>Individuel</v>
      </c>
      <c r="O102" s="1" t="str">
        <f>IFERROR(__xludf.DUMMYFUNCTION("""COMPUTED_VALUE"""),"Collectif")</f>
        <v>Collectif</v>
      </c>
      <c r="P102" s="1" t="s">
        <v>58</v>
      </c>
      <c r="Q102" s="1" t="s">
        <v>125</v>
      </c>
      <c r="R102" s="1" t="s">
        <v>96</v>
      </c>
    </row>
    <row r="103">
      <c r="A103" s="1" t="s">
        <v>1275</v>
      </c>
      <c r="B103" s="1" t="s">
        <v>132</v>
      </c>
      <c r="C103" s="1" t="s">
        <v>83</v>
      </c>
      <c r="D103" s="1" t="s">
        <v>133</v>
      </c>
      <c r="E103" s="1" t="s">
        <v>1278</v>
      </c>
      <c r="F103" s="1">
        <v>33564.0</v>
      </c>
      <c r="G103" s="1" t="s">
        <v>260</v>
      </c>
      <c r="H103" s="1" t="s">
        <v>1286</v>
      </c>
      <c r="I103" s="1" t="s">
        <v>55</v>
      </c>
      <c r="J103" s="1">
        <f t="shared" si="1"/>
        <v>0</v>
      </c>
      <c r="K103" s="1">
        <f t="shared" si="2"/>
        <v>0</v>
      </c>
      <c r="L103" s="3"/>
      <c r="M103" s="1" t="s">
        <v>109</v>
      </c>
      <c r="N103" s="1" t="str">
        <f>IFERROR(__xludf.DUMMYFUNCTION("SPLIT(M103,"","")"),"Individuel")</f>
        <v>Individuel</v>
      </c>
      <c r="O103" s="1"/>
      <c r="P103" s="1" t="s">
        <v>58</v>
      </c>
      <c r="Q103" s="1" t="s">
        <v>125</v>
      </c>
      <c r="R103" s="1" t="s">
        <v>96</v>
      </c>
    </row>
    <row r="104">
      <c r="A104" s="1" t="s">
        <v>1289</v>
      </c>
      <c r="B104" s="1" t="s">
        <v>114</v>
      </c>
      <c r="C104" s="1" t="s">
        <v>42</v>
      </c>
      <c r="D104" s="1" t="s">
        <v>41</v>
      </c>
      <c r="E104" s="1" t="s">
        <v>1291</v>
      </c>
      <c r="F104" s="1">
        <v>33150.0</v>
      </c>
      <c r="G104" s="1" t="s">
        <v>272</v>
      </c>
      <c r="H104" s="1" t="s">
        <v>307</v>
      </c>
      <c r="I104" s="1" t="s">
        <v>55</v>
      </c>
      <c r="J104" s="1">
        <f t="shared" si="1"/>
        <v>0</v>
      </c>
      <c r="K104" s="1">
        <f t="shared" si="2"/>
        <v>0</v>
      </c>
      <c r="L104" s="1" t="s">
        <v>56</v>
      </c>
      <c r="M104" s="1" t="s">
        <v>76</v>
      </c>
      <c r="N104" s="1" t="str">
        <f>IFERROR(__xludf.DUMMYFUNCTION("SPLIT(M104,"","")"),"Individuel")</f>
        <v>Individuel</v>
      </c>
      <c r="O104" s="1" t="str">
        <f>IFERROR(__xludf.DUMMYFUNCTION("""COMPUTED_VALUE"""),"Collectif")</f>
        <v>Collectif</v>
      </c>
      <c r="P104" s="1" t="s">
        <v>295</v>
      </c>
      <c r="Q104" s="1" t="s">
        <v>125</v>
      </c>
      <c r="R104" s="1" t="s">
        <v>59</v>
      </c>
    </row>
    <row r="105">
      <c r="A105" s="1" t="s">
        <v>1300</v>
      </c>
      <c r="B105" s="1" t="s">
        <v>1202</v>
      </c>
      <c r="C105" s="1" t="s">
        <v>42</v>
      </c>
      <c r="D105" s="1" t="s">
        <v>41</v>
      </c>
      <c r="E105" s="1" t="s">
        <v>1302</v>
      </c>
      <c r="F105" s="1">
        <v>33150.0</v>
      </c>
      <c r="G105" s="1" t="s">
        <v>272</v>
      </c>
      <c r="H105" s="1" t="s">
        <v>1311</v>
      </c>
      <c r="I105" s="1" t="s">
        <v>124</v>
      </c>
      <c r="J105" s="1">
        <f t="shared" si="1"/>
        <v>2</v>
      </c>
      <c r="K105" s="1">
        <f t="shared" si="2"/>
        <v>15</v>
      </c>
      <c r="L105" s="3"/>
      <c r="M105" s="1" t="s">
        <v>76</v>
      </c>
      <c r="N105" s="1" t="str">
        <f>IFERROR(__xludf.DUMMYFUNCTION("SPLIT(M105,"","")"),"Individuel")</f>
        <v>Individuel</v>
      </c>
      <c r="O105" s="1" t="str">
        <f>IFERROR(__xludf.DUMMYFUNCTION("""COMPUTED_VALUE"""),"Collectif")</f>
        <v>Collectif</v>
      </c>
      <c r="P105" s="1" t="s">
        <v>95</v>
      </c>
      <c r="Q105" s="3"/>
      <c r="R105" s="1" t="s">
        <v>59</v>
      </c>
    </row>
    <row r="106">
      <c r="A106" s="1" t="s">
        <v>1314</v>
      </c>
      <c r="B106" s="1" t="s">
        <v>41</v>
      </c>
      <c r="C106" s="1" t="s">
        <v>42</v>
      </c>
      <c r="D106" s="1" t="s">
        <v>41</v>
      </c>
      <c r="E106" s="1" t="s">
        <v>1316</v>
      </c>
      <c r="F106" s="1">
        <v>33150.0</v>
      </c>
      <c r="G106" s="1" t="s">
        <v>272</v>
      </c>
      <c r="H106" s="1" t="s">
        <v>1323</v>
      </c>
      <c r="I106" s="1" t="s">
        <v>1324</v>
      </c>
      <c r="J106" s="1">
        <f t="shared" si="1"/>
        <v>1</v>
      </c>
      <c r="K106" s="1">
        <f t="shared" si="2"/>
        <v>1</v>
      </c>
      <c r="L106" s="1" t="s">
        <v>56</v>
      </c>
      <c r="M106" s="1" t="s">
        <v>76</v>
      </c>
      <c r="N106" s="1" t="str">
        <f>IFERROR(__xludf.DUMMYFUNCTION("SPLIT(M106,"","")"),"Individuel")</f>
        <v>Individuel</v>
      </c>
      <c r="O106" s="1" t="str">
        <f>IFERROR(__xludf.DUMMYFUNCTION("""COMPUTED_VALUE"""),"Collectif")</f>
        <v>Collectif</v>
      </c>
      <c r="P106" s="1" t="s">
        <v>95</v>
      </c>
      <c r="Q106" s="1" t="s">
        <v>125</v>
      </c>
      <c r="R106" s="1" t="s">
        <v>59</v>
      </c>
    </row>
    <row r="107">
      <c r="A107" s="1" t="s">
        <v>1327</v>
      </c>
      <c r="B107" s="1" t="s">
        <v>41</v>
      </c>
      <c r="C107" s="1" t="s">
        <v>42</v>
      </c>
      <c r="D107" s="1" t="s">
        <v>41</v>
      </c>
      <c r="E107" s="1" t="s">
        <v>1329</v>
      </c>
      <c r="F107" s="1">
        <v>33310.0</v>
      </c>
      <c r="G107" s="1" t="s">
        <v>287</v>
      </c>
      <c r="H107" s="1" t="s">
        <v>1336</v>
      </c>
      <c r="I107" s="1" t="s">
        <v>55</v>
      </c>
      <c r="J107" s="1">
        <f t="shared" si="1"/>
        <v>0</v>
      </c>
      <c r="K107" s="1">
        <f t="shared" si="2"/>
        <v>0</v>
      </c>
      <c r="L107" s="1" t="s">
        <v>56</v>
      </c>
      <c r="M107" s="1" t="s">
        <v>76</v>
      </c>
      <c r="N107" s="1" t="str">
        <f>IFERROR(__xludf.DUMMYFUNCTION("SPLIT(M107,"","")"),"Individuel")</f>
        <v>Individuel</v>
      </c>
      <c r="O107" s="1" t="str">
        <f>IFERROR(__xludf.DUMMYFUNCTION("""COMPUTED_VALUE"""),"Collectif")</f>
        <v>Collectif</v>
      </c>
      <c r="P107" s="1" t="s">
        <v>295</v>
      </c>
      <c r="Q107" s="3"/>
      <c r="R107" s="1" t="s">
        <v>96</v>
      </c>
    </row>
    <row r="108">
      <c r="A108" s="1" t="s">
        <v>1340</v>
      </c>
      <c r="B108" s="1" t="s">
        <v>132</v>
      </c>
      <c r="C108" s="1" t="s">
        <v>83</v>
      </c>
      <c r="D108" s="1" t="s">
        <v>133</v>
      </c>
      <c r="E108" s="1" t="s">
        <v>1343</v>
      </c>
      <c r="F108" s="1">
        <v>33170.0</v>
      </c>
      <c r="G108" s="1" t="s">
        <v>352</v>
      </c>
      <c r="H108" s="1" t="s">
        <v>1350</v>
      </c>
      <c r="I108" s="1" t="s">
        <v>55</v>
      </c>
      <c r="J108" s="1">
        <f t="shared" si="1"/>
        <v>0</v>
      </c>
      <c r="K108" s="1">
        <f t="shared" si="2"/>
        <v>0</v>
      </c>
      <c r="L108" s="1" t="s">
        <v>56</v>
      </c>
      <c r="M108" s="1" t="s">
        <v>76</v>
      </c>
      <c r="N108" s="1" t="str">
        <f>IFERROR(__xludf.DUMMYFUNCTION("SPLIT(M108,"","")"),"Individuel")</f>
        <v>Individuel</v>
      </c>
      <c r="O108" s="1" t="str">
        <f>IFERROR(__xludf.DUMMYFUNCTION("""COMPUTED_VALUE"""),"Collectif")</f>
        <v>Collectif</v>
      </c>
      <c r="P108" s="1" t="s">
        <v>295</v>
      </c>
      <c r="Q108" s="1" t="s">
        <v>125</v>
      </c>
      <c r="R108" s="1" t="s">
        <v>59</v>
      </c>
    </row>
    <row r="109">
      <c r="A109" s="1" t="s">
        <v>1353</v>
      </c>
      <c r="B109" s="1" t="s">
        <v>41</v>
      </c>
      <c r="C109" s="1" t="s">
        <v>42</v>
      </c>
      <c r="D109" s="1" t="s">
        <v>41</v>
      </c>
      <c r="E109" s="1" t="s">
        <v>1355</v>
      </c>
      <c r="F109" s="1">
        <v>33600.0</v>
      </c>
      <c r="G109" s="1" t="s">
        <v>381</v>
      </c>
      <c r="H109" s="1" t="s">
        <v>1363</v>
      </c>
      <c r="I109" s="1" t="s">
        <v>361</v>
      </c>
      <c r="J109" s="1">
        <f t="shared" si="1"/>
        <v>2</v>
      </c>
      <c r="K109" s="1">
        <f t="shared" si="2"/>
        <v>15</v>
      </c>
      <c r="L109" s="1" t="s">
        <v>56</v>
      </c>
      <c r="M109" s="1" t="s">
        <v>76</v>
      </c>
      <c r="N109" s="1" t="str">
        <f>IFERROR(__xludf.DUMMYFUNCTION("SPLIT(M109,"","")"),"Individuel")</f>
        <v>Individuel</v>
      </c>
      <c r="O109" s="1" t="str">
        <f>IFERROR(__xludf.DUMMYFUNCTION("""COMPUTED_VALUE"""),"Collectif")</f>
        <v>Collectif</v>
      </c>
      <c r="P109" s="1" t="s">
        <v>295</v>
      </c>
      <c r="Q109" s="1" t="s">
        <v>125</v>
      </c>
      <c r="R109" s="1" t="s">
        <v>59</v>
      </c>
    </row>
    <row r="110">
      <c r="A110" s="1" t="s">
        <v>1366</v>
      </c>
      <c r="B110" s="1" t="s">
        <v>114</v>
      </c>
      <c r="C110" s="1" t="s">
        <v>42</v>
      </c>
      <c r="D110" s="1" t="s">
        <v>41</v>
      </c>
      <c r="E110" s="1" t="s">
        <v>1368</v>
      </c>
      <c r="F110" s="1">
        <v>33600.0</v>
      </c>
      <c r="G110" s="1" t="s">
        <v>381</v>
      </c>
      <c r="H110" s="1" t="s">
        <v>1375</v>
      </c>
      <c r="I110" s="1" t="s">
        <v>55</v>
      </c>
      <c r="J110" s="1">
        <f t="shared" si="1"/>
        <v>0</v>
      </c>
      <c r="K110" s="1">
        <f t="shared" si="2"/>
        <v>0</v>
      </c>
      <c r="L110" s="1" t="s">
        <v>56</v>
      </c>
      <c r="M110" s="1" t="s">
        <v>76</v>
      </c>
      <c r="N110" s="1" t="str">
        <f>IFERROR(__xludf.DUMMYFUNCTION("SPLIT(M110,"","")"),"Individuel")</f>
        <v>Individuel</v>
      </c>
      <c r="O110" s="1" t="str">
        <f>IFERROR(__xludf.DUMMYFUNCTION("""COMPUTED_VALUE"""),"Collectif")</f>
        <v>Collectif</v>
      </c>
      <c r="P110" s="1" t="s">
        <v>95</v>
      </c>
      <c r="Q110" s="1" t="s">
        <v>125</v>
      </c>
      <c r="R110" s="1" t="s">
        <v>59</v>
      </c>
    </row>
    <row r="111">
      <c r="A111" s="1" t="s">
        <v>1379</v>
      </c>
      <c r="B111" s="1" t="s">
        <v>114</v>
      </c>
      <c r="C111" s="1" t="s">
        <v>42</v>
      </c>
      <c r="D111" s="1" t="s">
        <v>41</v>
      </c>
      <c r="E111" s="1" t="s">
        <v>1381</v>
      </c>
      <c r="F111" s="1">
        <v>33400.0</v>
      </c>
      <c r="G111" s="1" t="s">
        <v>395</v>
      </c>
      <c r="H111" s="1" t="s">
        <v>1389</v>
      </c>
      <c r="I111" s="1" t="s">
        <v>55</v>
      </c>
      <c r="J111" s="1">
        <f t="shared" si="1"/>
        <v>0</v>
      </c>
      <c r="K111" s="1">
        <f t="shared" si="2"/>
        <v>0</v>
      </c>
      <c r="L111" s="1" t="s">
        <v>56</v>
      </c>
      <c r="M111" s="1" t="s">
        <v>76</v>
      </c>
      <c r="N111" s="1" t="str">
        <f>IFERROR(__xludf.DUMMYFUNCTION("SPLIT(M111,"","")"),"Individuel")</f>
        <v>Individuel</v>
      </c>
      <c r="O111" s="1" t="str">
        <f>IFERROR(__xludf.DUMMYFUNCTION("""COMPUTED_VALUE"""),"Collectif")</f>
        <v>Collectif</v>
      </c>
      <c r="P111" s="1" t="s">
        <v>95</v>
      </c>
      <c r="Q111" s="1" t="s">
        <v>125</v>
      </c>
      <c r="R111" s="1" t="s">
        <v>59</v>
      </c>
    </row>
    <row r="112">
      <c r="A112" s="1" t="s">
        <v>1392</v>
      </c>
      <c r="B112" s="1" t="s">
        <v>132</v>
      </c>
      <c r="C112" s="1" t="s">
        <v>83</v>
      </c>
      <c r="D112" s="1" t="s">
        <v>133</v>
      </c>
      <c r="E112" s="1" t="s">
        <v>1394</v>
      </c>
      <c r="F112" s="1">
        <v>33400.0</v>
      </c>
      <c r="G112" s="1" t="s">
        <v>395</v>
      </c>
      <c r="H112" s="1" t="s">
        <v>1399</v>
      </c>
      <c r="I112" s="1" t="s">
        <v>294</v>
      </c>
      <c r="J112" s="1">
        <f t="shared" si="1"/>
        <v>2</v>
      </c>
      <c r="K112" s="1">
        <f t="shared" si="2"/>
        <v>15</v>
      </c>
      <c r="L112" s="1" t="s">
        <v>56</v>
      </c>
      <c r="M112" s="1" t="s">
        <v>76</v>
      </c>
      <c r="N112" s="1" t="str">
        <f>IFERROR(__xludf.DUMMYFUNCTION("SPLIT(M112,"","")"),"Individuel")</f>
        <v>Individuel</v>
      </c>
      <c r="O112" s="1" t="str">
        <f>IFERROR(__xludf.DUMMYFUNCTION("""COMPUTED_VALUE"""),"Collectif")</f>
        <v>Collectif</v>
      </c>
      <c r="P112" s="1" t="s">
        <v>58</v>
      </c>
      <c r="Q112" s="1" t="s">
        <v>125</v>
      </c>
      <c r="R112" s="1" t="s">
        <v>59</v>
      </c>
    </row>
    <row r="113">
      <c r="A113" s="1" t="s">
        <v>1401</v>
      </c>
      <c r="B113" s="1" t="s">
        <v>132</v>
      </c>
      <c r="C113" s="1" t="s">
        <v>83</v>
      </c>
      <c r="D113" s="1" t="s">
        <v>133</v>
      </c>
      <c r="E113" s="1" t="s">
        <v>1404</v>
      </c>
      <c r="F113" s="1">
        <v>33140.0</v>
      </c>
      <c r="G113" s="1" t="s">
        <v>1407</v>
      </c>
      <c r="H113" s="1" t="s">
        <v>1413</v>
      </c>
      <c r="I113" s="1" t="s">
        <v>361</v>
      </c>
      <c r="J113" s="1">
        <f t="shared" si="1"/>
        <v>2</v>
      </c>
      <c r="K113" s="1">
        <f t="shared" si="2"/>
        <v>15</v>
      </c>
      <c r="L113" s="1" t="s">
        <v>56</v>
      </c>
      <c r="M113" s="1" t="s">
        <v>109</v>
      </c>
      <c r="N113" s="1" t="str">
        <f>IFERROR(__xludf.DUMMYFUNCTION("SPLIT(M113,"","")"),"Individuel")</f>
        <v>Individuel</v>
      </c>
      <c r="O113" s="1"/>
      <c r="P113" s="1" t="s">
        <v>58</v>
      </c>
      <c r="Q113" s="1" t="s">
        <v>125</v>
      </c>
      <c r="R113" s="1" t="s">
        <v>96</v>
      </c>
    </row>
    <row r="114">
      <c r="A114" s="1" t="s">
        <v>1416</v>
      </c>
      <c r="B114" s="1" t="s">
        <v>132</v>
      </c>
      <c r="C114" s="1" t="s">
        <v>83</v>
      </c>
      <c r="D114" s="1" t="s">
        <v>133</v>
      </c>
      <c r="E114" s="1" t="s">
        <v>1418</v>
      </c>
      <c r="F114" s="1">
        <v>33140.0</v>
      </c>
      <c r="G114" s="1" t="s">
        <v>1407</v>
      </c>
      <c r="H114" s="1" t="s">
        <v>1413</v>
      </c>
      <c r="I114" s="1" t="s">
        <v>361</v>
      </c>
      <c r="J114" s="1">
        <f t="shared" si="1"/>
        <v>2</v>
      </c>
      <c r="K114" s="1">
        <f t="shared" si="2"/>
        <v>15</v>
      </c>
      <c r="L114" s="1" t="s">
        <v>56</v>
      </c>
      <c r="M114" s="1" t="s">
        <v>76</v>
      </c>
      <c r="N114" s="1" t="str">
        <f>IFERROR(__xludf.DUMMYFUNCTION("SPLIT(M114,"","")"),"Individuel")</f>
        <v>Individuel</v>
      </c>
      <c r="O114" s="1" t="str">
        <f>IFERROR(__xludf.DUMMYFUNCTION("""COMPUTED_VALUE"""),"Collectif")</f>
        <v>Collectif</v>
      </c>
      <c r="P114" s="1" t="s">
        <v>58</v>
      </c>
      <c r="Q114" s="1" t="s">
        <v>125</v>
      </c>
      <c r="R114" s="1" t="s">
        <v>96</v>
      </c>
    </row>
    <row r="115">
      <c r="A115" s="1" t="s">
        <v>1423</v>
      </c>
      <c r="B115" s="1" t="s">
        <v>258</v>
      </c>
      <c r="C115" s="1" t="s">
        <v>83</v>
      </c>
      <c r="D115" s="1" t="s">
        <v>133</v>
      </c>
      <c r="E115" s="1" t="s">
        <v>1425</v>
      </c>
      <c r="F115" s="1">
        <v>33140.0</v>
      </c>
      <c r="G115" s="1" t="s">
        <v>1407</v>
      </c>
      <c r="H115" s="1" t="s">
        <v>1433</v>
      </c>
      <c r="I115" s="1" t="s">
        <v>55</v>
      </c>
      <c r="J115" s="1">
        <f t="shared" si="1"/>
        <v>0</v>
      </c>
      <c r="K115" s="1">
        <f t="shared" si="2"/>
        <v>0</v>
      </c>
      <c r="L115" s="1" t="s">
        <v>56</v>
      </c>
      <c r="M115" s="1" t="s">
        <v>76</v>
      </c>
      <c r="N115" s="1" t="str">
        <f>IFERROR(__xludf.DUMMYFUNCTION("SPLIT(M115,"","")"),"Individuel")</f>
        <v>Individuel</v>
      </c>
      <c r="O115" s="1" t="str">
        <f>IFERROR(__xludf.DUMMYFUNCTION("""COMPUTED_VALUE"""),"Collectif")</f>
        <v>Collectif</v>
      </c>
      <c r="P115" s="1" t="s">
        <v>95</v>
      </c>
      <c r="Q115" s="1" t="s">
        <v>125</v>
      </c>
      <c r="R115" s="1" t="s">
        <v>96</v>
      </c>
    </row>
    <row r="116">
      <c r="A116" s="1" t="s">
        <v>1436</v>
      </c>
      <c r="B116" s="1" t="s">
        <v>132</v>
      </c>
      <c r="C116" s="1" t="s">
        <v>83</v>
      </c>
      <c r="D116" s="1" t="s">
        <v>133</v>
      </c>
      <c r="E116" s="1" t="s">
        <v>1439</v>
      </c>
      <c r="F116" s="1">
        <v>33290.0</v>
      </c>
      <c r="G116" s="1" t="s">
        <v>1441</v>
      </c>
      <c r="H116" s="1" t="s">
        <v>1448</v>
      </c>
      <c r="I116" s="1" t="s">
        <v>55</v>
      </c>
      <c r="J116" s="1">
        <f t="shared" si="1"/>
        <v>0</v>
      </c>
      <c r="K116" s="1">
        <f t="shared" si="2"/>
        <v>0</v>
      </c>
      <c r="L116" s="1" t="s">
        <v>56</v>
      </c>
      <c r="M116" s="1" t="s">
        <v>76</v>
      </c>
      <c r="N116" s="1" t="str">
        <f>IFERROR(__xludf.DUMMYFUNCTION("SPLIT(M116,"","")"),"Individuel")</f>
        <v>Individuel</v>
      </c>
      <c r="O116" s="1" t="str">
        <f>IFERROR(__xludf.DUMMYFUNCTION("""COMPUTED_VALUE"""),"Collectif")</f>
        <v>Collectif</v>
      </c>
      <c r="P116" s="1" t="s">
        <v>95</v>
      </c>
      <c r="Q116" s="1" t="s">
        <v>125</v>
      </c>
      <c r="R116" s="1" t="s">
        <v>59</v>
      </c>
    </row>
    <row r="117">
      <c r="A117" s="1" t="s">
        <v>1451</v>
      </c>
      <c r="B117" s="1" t="s">
        <v>132</v>
      </c>
      <c r="C117" s="1" t="s">
        <v>83</v>
      </c>
      <c r="D117" s="1" t="s">
        <v>133</v>
      </c>
      <c r="E117" s="1" t="s">
        <v>1454</v>
      </c>
      <c r="F117" s="1">
        <v>33185.0</v>
      </c>
      <c r="G117" s="1" t="s">
        <v>895</v>
      </c>
      <c r="H117" s="1" t="s">
        <v>1461</v>
      </c>
      <c r="I117" s="1" t="s">
        <v>124</v>
      </c>
      <c r="J117" s="1">
        <f t="shared" si="1"/>
        <v>2</v>
      </c>
      <c r="K117" s="1">
        <f t="shared" si="2"/>
        <v>15</v>
      </c>
      <c r="L117" s="1" t="s">
        <v>56</v>
      </c>
      <c r="M117" s="1" t="s">
        <v>76</v>
      </c>
      <c r="N117" s="1" t="str">
        <f>IFERROR(__xludf.DUMMYFUNCTION("SPLIT(M117,"","")"),"Individuel")</f>
        <v>Individuel</v>
      </c>
      <c r="O117" s="1" t="str">
        <f>IFERROR(__xludf.DUMMYFUNCTION("""COMPUTED_VALUE"""),"Collectif")</f>
        <v>Collectif</v>
      </c>
      <c r="P117" s="1" t="s">
        <v>58</v>
      </c>
      <c r="Q117" s="1" t="s">
        <v>125</v>
      </c>
      <c r="R117" s="1" t="s">
        <v>59</v>
      </c>
    </row>
    <row r="118">
      <c r="A118" s="1" t="s">
        <v>1464</v>
      </c>
      <c r="B118" s="1" t="s">
        <v>258</v>
      </c>
      <c r="C118" s="1" t="s">
        <v>83</v>
      </c>
      <c r="D118" s="1" t="s">
        <v>133</v>
      </c>
      <c r="E118" s="1" t="s">
        <v>1466</v>
      </c>
      <c r="F118" s="1">
        <v>33700.0</v>
      </c>
      <c r="G118" s="1" t="s">
        <v>446</v>
      </c>
      <c r="H118" s="1" t="s">
        <v>1473</v>
      </c>
      <c r="I118" s="1" t="s">
        <v>75</v>
      </c>
      <c r="J118" s="1">
        <f t="shared" si="1"/>
        <v>0</v>
      </c>
      <c r="K118" s="1">
        <f t="shared" si="2"/>
        <v>0</v>
      </c>
      <c r="L118" s="1" t="s">
        <v>56</v>
      </c>
      <c r="M118" s="1" t="s">
        <v>76</v>
      </c>
      <c r="N118" s="1" t="str">
        <f>IFERROR(__xludf.DUMMYFUNCTION("SPLIT(M118,"","")"),"Individuel")</f>
        <v>Individuel</v>
      </c>
      <c r="O118" s="1" t="str">
        <f>IFERROR(__xludf.DUMMYFUNCTION("""COMPUTED_VALUE"""),"Collectif")</f>
        <v>Collectif</v>
      </c>
      <c r="P118" s="1" t="s">
        <v>95</v>
      </c>
      <c r="Q118" s="1" t="s">
        <v>125</v>
      </c>
      <c r="R118" s="1" t="s">
        <v>59</v>
      </c>
    </row>
    <row r="119">
      <c r="A119" s="1" t="s">
        <v>1476</v>
      </c>
      <c r="B119" s="1" t="s">
        <v>41</v>
      </c>
      <c r="C119" s="1" t="s">
        <v>42</v>
      </c>
      <c r="D119" s="1" t="s">
        <v>41</v>
      </c>
      <c r="E119" s="1" t="s">
        <v>922</v>
      </c>
      <c r="F119" s="1">
        <v>33700.0</v>
      </c>
      <c r="G119" s="1" t="s">
        <v>446</v>
      </c>
      <c r="H119" s="3"/>
      <c r="I119" s="1" t="s">
        <v>55</v>
      </c>
      <c r="J119" s="1">
        <f t="shared" si="1"/>
        <v>0</v>
      </c>
      <c r="K119" s="1">
        <f t="shared" si="2"/>
        <v>0</v>
      </c>
      <c r="L119" s="1" t="s">
        <v>56</v>
      </c>
      <c r="M119" s="1" t="s">
        <v>76</v>
      </c>
      <c r="N119" s="1" t="str">
        <f>IFERROR(__xludf.DUMMYFUNCTION("SPLIT(M119,"","")"),"Individuel")</f>
        <v>Individuel</v>
      </c>
      <c r="O119" s="1" t="str">
        <f>IFERROR(__xludf.DUMMYFUNCTION("""COMPUTED_VALUE"""),"Collectif")</f>
        <v>Collectif</v>
      </c>
      <c r="P119" s="1" t="s">
        <v>95</v>
      </c>
      <c r="Q119" s="1" t="s">
        <v>125</v>
      </c>
      <c r="R119" s="1" t="s">
        <v>59</v>
      </c>
    </row>
    <row r="120">
      <c r="A120" s="1" t="s">
        <v>1483</v>
      </c>
      <c r="B120" s="1" t="s">
        <v>1218</v>
      </c>
      <c r="C120" s="1" t="s">
        <v>83</v>
      </c>
      <c r="D120" s="1" t="s">
        <v>133</v>
      </c>
      <c r="E120" s="1" t="s">
        <v>1486</v>
      </c>
      <c r="F120" s="1">
        <v>33700.0</v>
      </c>
      <c r="G120" s="1" t="s">
        <v>446</v>
      </c>
      <c r="H120" s="1" t="s">
        <v>1494</v>
      </c>
      <c r="I120" s="1" t="s">
        <v>55</v>
      </c>
      <c r="J120" s="1">
        <f t="shared" si="1"/>
        <v>0</v>
      </c>
      <c r="K120" s="1">
        <f t="shared" si="2"/>
        <v>0</v>
      </c>
      <c r="L120" s="3"/>
      <c r="M120" s="1" t="s">
        <v>76</v>
      </c>
      <c r="N120" s="1" t="str">
        <f>IFERROR(__xludf.DUMMYFUNCTION("SPLIT(M120,"","")"),"Individuel")</f>
        <v>Individuel</v>
      </c>
      <c r="O120" s="1" t="str">
        <f>IFERROR(__xludf.DUMMYFUNCTION("""COMPUTED_VALUE"""),"Collectif")</f>
        <v>Collectif</v>
      </c>
      <c r="P120" s="1" t="s">
        <v>58</v>
      </c>
      <c r="Q120" s="1" t="s">
        <v>125</v>
      </c>
      <c r="R120" s="1" t="s">
        <v>59</v>
      </c>
    </row>
    <row r="121">
      <c r="A121" s="1" t="s">
        <v>1497</v>
      </c>
      <c r="B121" s="1" t="s">
        <v>132</v>
      </c>
      <c r="C121" s="1" t="s">
        <v>83</v>
      </c>
      <c r="D121" s="1" t="s">
        <v>133</v>
      </c>
      <c r="E121" s="1" t="s">
        <v>1499</v>
      </c>
      <c r="F121" s="1">
        <v>33700.0</v>
      </c>
      <c r="G121" s="1" t="s">
        <v>446</v>
      </c>
      <c r="H121" s="1" t="s">
        <v>1503</v>
      </c>
      <c r="I121" s="1" t="s">
        <v>55</v>
      </c>
      <c r="J121" s="1">
        <f t="shared" si="1"/>
        <v>0</v>
      </c>
      <c r="K121" s="1">
        <f t="shared" si="2"/>
        <v>0</v>
      </c>
      <c r="L121" s="3"/>
      <c r="M121" s="1" t="s">
        <v>76</v>
      </c>
      <c r="N121" s="1" t="str">
        <f>IFERROR(__xludf.DUMMYFUNCTION("SPLIT(M121,"","")"),"Individuel")</f>
        <v>Individuel</v>
      </c>
      <c r="O121" s="1" t="str">
        <f>IFERROR(__xludf.DUMMYFUNCTION("""COMPUTED_VALUE"""),"Collectif")</f>
        <v>Collectif</v>
      </c>
      <c r="P121" s="1" t="s">
        <v>58</v>
      </c>
      <c r="Q121" s="1" t="s">
        <v>125</v>
      </c>
      <c r="R121" s="1" t="s">
        <v>59</v>
      </c>
    </row>
    <row r="122">
      <c r="A122" s="1" t="s">
        <v>1506</v>
      </c>
      <c r="B122" s="1" t="s">
        <v>41</v>
      </c>
      <c r="C122" s="1" t="s">
        <v>42</v>
      </c>
      <c r="D122" s="1" t="s">
        <v>41</v>
      </c>
      <c r="E122" s="1" t="s">
        <v>1508</v>
      </c>
      <c r="F122" s="1">
        <v>33700.0</v>
      </c>
      <c r="G122" s="1" t="s">
        <v>446</v>
      </c>
      <c r="H122" s="1" t="s">
        <v>1516</v>
      </c>
      <c r="I122" s="1" t="s">
        <v>1324</v>
      </c>
      <c r="J122" s="1">
        <f t="shared" si="1"/>
        <v>1</v>
      </c>
      <c r="K122" s="1">
        <f t="shared" si="2"/>
        <v>1</v>
      </c>
      <c r="L122" s="1" t="s">
        <v>56</v>
      </c>
      <c r="M122" s="1" t="s">
        <v>109</v>
      </c>
      <c r="N122" s="1" t="str">
        <f>IFERROR(__xludf.DUMMYFUNCTION("SPLIT(M122,"","")"),"Individuel")</f>
        <v>Individuel</v>
      </c>
      <c r="O122" s="1"/>
      <c r="P122" s="1" t="s">
        <v>95</v>
      </c>
      <c r="Q122" s="3"/>
      <c r="R122" s="1" t="s">
        <v>96</v>
      </c>
    </row>
    <row r="123">
      <c r="A123" s="1" t="s">
        <v>1519</v>
      </c>
      <c r="B123" s="1" t="s">
        <v>258</v>
      </c>
      <c r="C123" s="1" t="s">
        <v>83</v>
      </c>
      <c r="D123" s="1" t="s">
        <v>133</v>
      </c>
      <c r="E123" s="1" t="s">
        <v>1520</v>
      </c>
      <c r="F123" s="1">
        <v>33000.0</v>
      </c>
      <c r="G123" s="1" t="s">
        <v>45</v>
      </c>
      <c r="H123" s="1" t="s">
        <v>307</v>
      </c>
      <c r="I123" s="1" t="s">
        <v>75</v>
      </c>
      <c r="J123" s="1">
        <f t="shared" si="1"/>
        <v>0</v>
      </c>
      <c r="K123" s="1">
        <f t="shared" si="2"/>
        <v>0</v>
      </c>
      <c r="L123" s="1" t="s">
        <v>56</v>
      </c>
      <c r="M123" s="1" t="s">
        <v>57</v>
      </c>
      <c r="N123" s="1" t="str">
        <f>IFERROR(__xludf.DUMMYFUNCTION("SPLIT(M123,"","")"),"Collectif")</f>
        <v>Collectif</v>
      </c>
      <c r="O123" s="1"/>
      <c r="P123" s="1" t="s">
        <v>77</v>
      </c>
      <c r="Q123" s="1" t="s">
        <v>125</v>
      </c>
      <c r="R123" s="1" t="s">
        <v>59</v>
      </c>
    </row>
    <row r="124">
      <c r="A124" s="1" t="s">
        <v>1525</v>
      </c>
      <c r="B124" s="1" t="s">
        <v>41</v>
      </c>
      <c r="C124" s="1" t="s">
        <v>42</v>
      </c>
      <c r="D124" s="1" t="s">
        <v>41</v>
      </c>
      <c r="E124" s="1" t="s">
        <v>1527</v>
      </c>
      <c r="F124" s="1">
        <v>33200.0</v>
      </c>
      <c r="G124" s="1" t="s">
        <v>45</v>
      </c>
      <c r="H124" s="1" t="s">
        <v>1534</v>
      </c>
      <c r="I124" s="1" t="s">
        <v>1535</v>
      </c>
      <c r="J124" s="1">
        <f t="shared" si="1"/>
        <v>1</v>
      </c>
      <c r="K124" s="1">
        <f t="shared" si="2"/>
        <v>1</v>
      </c>
      <c r="L124" s="1" t="s">
        <v>56</v>
      </c>
      <c r="M124" s="1" t="s">
        <v>76</v>
      </c>
      <c r="N124" s="1" t="str">
        <f>IFERROR(__xludf.DUMMYFUNCTION("SPLIT(M124,"","")"),"Individuel")</f>
        <v>Individuel</v>
      </c>
      <c r="O124" s="1" t="str">
        <f>IFERROR(__xludf.DUMMYFUNCTION("""COMPUTED_VALUE"""),"Collectif")</f>
        <v>Collectif</v>
      </c>
      <c r="P124" s="1" t="s">
        <v>95</v>
      </c>
      <c r="Q124" s="1" t="s">
        <v>125</v>
      </c>
      <c r="R124" s="1" t="s">
        <v>59</v>
      </c>
    </row>
    <row r="125">
      <c r="A125" s="1" t="s">
        <v>1538</v>
      </c>
      <c r="B125" s="1" t="s">
        <v>258</v>
      </c>
      <c r="C125" s="1" t="s">
        <v>83</v>
      </c>
      <c r="D125" s="1" t="s">
        <v>133</v>
      </c>
      <c r="E125" s="1" t="s">
        <v>1540</v>
      </c>
      <c r="F125" s="1">
        <v>33170.0</v>
      </c>
      <c r="G125" s="1" t="s">
        <v>352</v>
      </c>
      <c r="H125" s="1" t="s">
        <v>1547</v>
      </c>
      <c r="I125" s="1" t="s">
        <v>55</v>
      </c>
      <c r="J125" s="1">
        <f t="shared" si="1"/>
        <v>0</v>
      </c>
      <c r="K125" s="1">
        <f t="shared" si="2"/>
        <v>0</v>
      </c>
      <c r="L125" s="1" t="s">
        <v>56</v>
      </c>
      <c r="M125" s="1" t="s">
        <v>109</v>
      </c>
      <c r="N125" s="1" t="str">
        <f>IFERROR(__xludf.DUMMYFUNCTION("SPLIT(M125,"","")"),"Individuel")</f>
        <v>Individuel</v>
      </c>
      <c r="O125" s="1"/>
      <c r="P125" s="1" t="s">
        <v>295</v>
      </c>
      <c r="Q125" s="1" t="s">
        <v>125</v>
      </c>
      <c r="R125" s="1" t="s">
        <v>96</v>
      </c>
    </row>
    <row r="126">
      <c r="A126" s="1" t="s">
        <v>1550</v>
      </c>
      <c r="B126" s="1" t="s">
        <v>258</v>
      </c>
      <c r="C126" s="1" t="s">
        <v>83</v>
      </c>
      <c r="D126" s="1" t="s">
        <v>133</v>
      </c>
      <c r="E126" s="1" t="s">
        <v>1552</v>
      </c>
      <c r="F126" s="1">
        <v>33320.0</v>
      </c>
      <c r="G126" s="1" t="s">
        <v>848</v>
      </c>
      <c r="H126" s="1" t="s">
        <v>1557</v>
      </c>
      <c r="I126" s="1" t="s">
        <v>55</v>
      </c>
      <c r="J126" s="1">
        <f t="shared" si="1"/>
        <v>0</v>
      </c>
      <c r="K126" s="1">
        <f t="shared" si="2"/>
        <v>0</v>
      </c>
      <c r="L126" s="1" t="s">
        <v>56</v>
      </c>
      <c r="M126" s="1" t="s">
        <v>109</v>
      </c>
      <c r="N126" s="1" t="str">
        <f>IFERROR(__xludf.DUMMYFUNCTION("SPLIT(M126,"","")"),"Individuel")</f>
        <v>Individuel</v>
      </c>
      <c r="O126" s="1"/>
      <c r="P126" s="1" t="s">
        <v>95</v>
      </c>
      <c r="Q126" s="1" t="s">
        <v>125</v>
      </c>
      <c r="R126" s="1" t="s">
        <v>96</v>
      </c>
    </row>
    <row r="127">
      <c r="A127" s="3"/>
      <c r="B127" s="3"/>
      <c r="C127" s="3"/>
      <c r="D127" s="3"/>
      <c r="E127" s="3"/>
      <c r="F127" s="3"/>
      <c r="G127" s="3"/>
      <c r="H127" s="3"/>
      <c r="I127" s="3"/>
      <c r="J127" s="3"/>
      <c r="K127" s="3"/>
      <c r="L127" s="3"/>
      <c r="M127" s="3"/>
      <c r="N127" s="3"/>
      <c r="O127" s="3"/>
      <c r="P127" s="3"/>
      <c r="Q127" s="3"/>
      <c r="R127" s="3"/>
    </row>
    <row r="128">
      <c r="A128" s="3"/>
      <c r="B128" s="3"/>
      <c r="C128" s="3"/>
      <c r="D128" s="3"/>
      <c r="E128" s="3"/>
      <c r="F128" s="3"/>
      <c r="G128" s="3"/>
      <c r="H128" s="3"/>
      <c r="I128" s="3"/>
      <c r="J128" s="3"/>
      <c r="K128" s="3"/>
      <c r="L128" s="3"/>
      <c r="M128" s="3"/>
      <c r="N128" s="3"/>
      <c r="O128" s="3"/>
      <c r="P128" s="3"/>
      <c r="Q128" s="3"/>
      <c r="R128" s="3"/>
    </row>
  </sheetData>
  <autoFilter ref="$A$1:$R$128"/>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1.25"/>
    <col customWidth="1" min="7" max="7" width="36.75"/>
  </cols>
  <sheetData>
    <row r="1">
      <c r="A1" s="6" t="s">
        <v>1561</v>
      </c>
      <c r="B1" s="6" t="s">
        <v>1562</v>
      </c>
      <c r="C1" s="6" t="s">
        <v>1563</v>
      </c>
      <c r="D1" s="6" t="s">
        <v>1564</v>
      </c>
      <c r="E1" s="6" t="s">
        <v>1565</v>
      </c>
      <c r="F1" s="6" t="s">
        <v>1566</v>
      </c>
      <c r="G1" s="6"/>
      <c r="H1" s="6" t="s">
        <v>1567</v>
      </c>
      <c r="I1" s="6" t="s">
        <v>1568</v>
      </c>
      <c r="J1" s="6" t="s">
        <v>1569</v>
      </c>
      <c r="K1" s="6" t="s">
        <v>1570</v>
      </c>
      <c r="L1" s="6" t="s">
        <v>1571</v>
      </c>
      <c r="M1" s="6" t="s">
        <v>1572</v>
      </c>
      <c r="N1" s="6" t="s">
        <v>1573</v>
      </c>
      <c r="O1" s="6" t="s">
        <v>1574</v>
      </c>
      <c r="P1" s="6" t="s">
        <v>1575</v>
      </c>
      <c r="Q1" s="6" t="s">
        <v>1576</v>
      </c>
      <c r="R1" s="6" t="s">
        <v>1577</v>
      </c>
      <c r="S1" s="6" t="s">
        <v>1578</v>
      </c>
      <c r="T1" s="6" t="s">
        <v>1579</v>
      </c>
    </row>
    <row r="2">
      <c r="A2" s="7" t="s">
        <v>1580</v>
      </c>
      <c r="B2" s="6" t="s">
        <v>1581</v>
      </c>
      <c r="C2" s="6" t="s">
        <v>1582</v>
      </c>
      <c r="D2" s="7" t="s">
        <v>1583</v>
      </c>
      <c r="E2" s="6" t="s">
        <v>1584</v>
      </c>
      <c r="F2" s="6" t="s">
        <v>1585</v>
      </c>
      <c r="G2" s="6" t="str">
        <f>IFERROR(__xludf.DUMMYFUNCTION("FILTER(RAW_met_lieux_inclusion_numeriq!B:B,RAW_met_lieux_inclusion_numeriq!B:B=F2)"),"#N/A")</f>
        <v>#N/A</v>
      </c>
      <c r="H2" s="6" t="s">
        <v>1586</v>
      </c>
      <c r="I2" s="6" t="s">
        <v>1587</v>
      </c>
      <c r="J2" s="7" t="s">
        <v>1588</v>
      </c>
      <c r="K2" s="6" t="s">
        <v>1589</v>
      </c>
      <c r="L2" s="6" t="s">
        <v>1590</v>
      </c>
      <c r="M2" s="6" t="s">
        <v>1591</v>
      </c>
      <c r="N2" s="6" t="s">
        <v>1592</v>
      </c>
      <c r="O2" s="6" t="s">
        <v>1593</v>
      </c>
      <c r="P2" s="6" t="s">
        <v>1594</v>
      </c>
      <c r="Q2" s="7" t="s">
        <v>1583</v>
      </c>
      <c r="S2" s="6" t="s">
        <v>1595</v>
      </c>
      <c r="T2" s="6" t="s">
        <v>1596</v>
      </c>
    </row>
    <row r="3">
      <c r="A3" s="7" t="s">
        <v>1580</v>
      </c>
      <c r="B3" s="6" t="s">
        <v>1581</v>
      </c>
      <c r="C3" s="6" t="s">
        <v>1582</v>
      </c>
      <c r="D3" s="7" t="s">
        <v>1597</v>
      </c>
      <c r="E3" s="6" t="s">
        <v>1598</v>
      </c>
      <c r="F3" s="6" t="s">
        <v>1599</v>
      </c>
      <c r="G3" s="6" t="str">
        <f>IFERROR(__xludf.DUMMYFUNCTION("FILTER(RAW_met_lieux_inclusion_numeriq!B:B,RAW_met_lieux_inclusion_numeriq!B:B=F3)"),"#N/A")</f>
        <v>#N/A</v>
      </c>
      <c r="H3" s="6" t="s">
        <v>1600</v>
      </c>
      <c r="I3" s="6" t="s">
        <v>1601</v>
      </c>
      <c r="J3" s="7" t="s">
        <v>1602</v>
      </c>
      <c r="K3" s="6" t="s">
        <v>1589</v>
      </c>
      <c r="L3" s="6" t="s">
        <v>1603</v>
      </c>
      <c r="M3" s="6" t="s">
        <v>1604</v>
      </c>
      <c r="N3" s="6" t="s">
        <v>1592</v>
      </c>
      <c r="O3" s="6" t="s">
        <v>1593</v>
      </c>
      <c r="P3" s="6" t="s">
        <v>1594</v>
      </c>
      <c r="Q3" s="7" t="s">
        <v>1597</v>
      </c>
      <c r="S3" s="6" t="s">
        <v>1601</v>
      </c>
      <c r="T3" s="6" t="s">
        <v>1605</v>
      </c>
    </row>
    <row r="4">
      <c r="A4" s="7" t="s">
        <v>1580</v>
      </c>
      <c r="B4" s="6" t="s">
        <v>1581</v>
      </c>
      <c r="C4" s="6" t="s">
        <v>1582</v>
      </c>
      <c r="D4" s="7" t="s">
        <v>1606</v>
      </c>
      <c r="E4" s="6" t="s">
        <v>1607</v>
      </c>
      <c r="F4" s="6" t="s">
        <v>1608</v>
      </c>
      <c r="G4" s="6" t="str">
        <f>IFERROR(__xludf.DUMMYFUNCTION("FILTER(RAW_met_lieux_inclusion_numeriq!B:B,RAW_met_lieux_inclusion_numeriq!B:B=F4)"),"#N/A")</f>
        <v>#N/A</v>
      </c>
      <c r="H4" s="6" t="s">
        <v>1609</v>
      </c>
      <c r="I4" s="6" t="s">
        <v>1610</v>
      </c>
      <c r="J4" s="7" t="s">
        <v>1611</v>
      </c>
      <c r="K4" s="6" t="s">
        <v>1589</v>
      </c>
      <c r="L4" s="6" t="s">
        <v>1603</v>
      </c>
      <c r="M4" s="6" t="s">
        <v>1612</v>
      </c>
      <c r="N4" s="6" t="s">
        <v>1592</v>
      </c>
      <c r="O4" s="6" t="s">
        <v>1593</v>
      </c>
      <c r="P4" s="6" t="s">
        <v>1594</v>
      </c>
      <c r="Q4" s="7" t="s">
        <v>1606</v>
      </c>
      <c r="S4" s="6" t="s">
        <v>1595</v>
      </c>
      <c r="T4" s="6" t="s">
        <v>1605</v>
      </c>
    </row>
    <row r="5">
      <c r="A5" s="7" t="s">
        <v>1580</v>
      </c>
      <c r="B5" s="6" t="s">
        <v>1581</v>
      </c>
      <c r="C5" s="6" t="s">
        <v>1582</v>
      </c>
      <c r="D5" s="7" t="s">
        <v>1613</v>
      </c>
      <c r="E5" s="6" t="s">
        <v>1614</v>
      </c>
      <c r="F5" s="6" t="s">
        <v>1615</v>
      </c>
      <c r="G5" s="6" t="str">
        <f>IFERROR(__xludf.DUMMYFUNCTION("FILTER(RAW_met_lieux_inclusion_numeriq!B:B,RAW_met_lieux_inclusion_numeriq!B:B=F5)"),"#N/A")</f>
        <v>#N/A</v>
      </c>
      <c r="H5" s="6" t="s">
        <v>1616</v>
      </c>
      <c r="I5" s="6" t="s">
        <v>1601</v>
      </c>
      <c r="J5" s="7" t="s">
        <v>1617</v>
      </c>
      <c r="K5" s="6" t="s">
        <v>1589</v>
      </c>
      <c r="L5" s="6" t="s">
        <v>1603</v>
      </c>
      <c r="M5" s="6" t="s">
        <v>1618</v>
      </c>
      <c r="N5" s="6" t="s">
        <v>1592</v>
      </c>
      <c r="O5" s="6" t="s">
        <v>1593</v>
      </c>
      <c r="P5" s="6" t="s">
        <v>1594</v>
      </c>
      <c r="Q5" s="7" t="s">
        <v>1613</v>
      </c>
      <c r="S5" s="6" t="s">
        <v>1601</v>
      </c>
      <c r="T5" s="6" t="s">
        <v>1596</v>
      </c>
    </row>
    <row r="6">
      <c r="A6" s="7" t="s">
        <v>1580</v>
      </c>
      <c r="B6" s="6" t="s">
        <v>1581</v>
      </c>
      <c r="C6" s="6" t="s">
        <v>1582</v>
      </c>
      <c r="D6" s="7" t="s">
        <v>1619</v>
      </c>
      <c r="E6" s="6" t="s">
        <v>1620</v>
      </c>
      <c r="F6" s="6" t="s">
        <v>1621</v>
      </c>
      <c r="G6" s="6" t="str">
        <f>IFERROR(__xludf.DUMMYFUNCTION("FILTER(RAW_met_lieux_inclusion_numeriq!B:B,RAW_met_lieux_inclusion_numeriq!B:B=F6)"),"#N/A")</f>
        <v>#N/A</v>
      </c>
      <c r="H6" s="6" t="s">
        <v>1622</v>
      </c>
      <c r="I6" s="6" t="s">
        <v>1623</v>
      </c>
      <c r="J6" s="7" t="s">
        <v>1624</v>
      </c>
      <c r="K6" s="6" t="s">
        <v>1589</v>
      </c>
      <c r="L6" s="6" t="s">
        <v>1590</v>
      </c>
      <c r="M6" s="6" t="s">
        <v>1625</v>
      </c>
      <c r="N6" s="6" t="s">
        <v>1592</v>
      </c>
      <c r="O6" s="6" t="s">
        <v>1593</v>
      </c>
      <c r="P6" s="6" t="s">
        <v>1594</v>
      </c>
      <c r="Q6" s="7" t="s">
        <v>1619</v>
      </c>
      <c r="S6" s="6" t="s">
        <v>1595</v>
      </c>
      <c r="T6" s="6" t="s">
        <v>1596</v>
      </c>
    </row>
    <row r="7">
      <c r="A7" s="7" t="s">
        <v>1626</v>
      </c>
      <c r="B7" s="6" t="s">
        <v>1581</v>
      </c>
      <c r="C7" s="6" t="s">
        <v>1582</v>
      </c>
      <c r="D7" s="7" t="s">
        <v>1627</v>
      </c>
      <c r="E7" s="6" t="s">
        <v>1628</v>
      </c>
      <c r="F7" s="6" t="s">
        <v>1629</v>
      </c>
      <c r="G7" s="6" t="str">
        <f>IFERROR(__xludf.DUMMYFUNCTION("FILTER(RAW_met_lieux_inclusion_numeriq!B:B,RAW_met_lieux_inclusion_numeriq!B:B=F7)"),"#N/A")</f>
        <v>#N/A</v>
      </c>
      <c r="H7" s="6" t="s">
        <v>1630</v>
      </c>
      <c r="I7" s="6" t="s">
        <v>1631</v>
      </c>
      <c r="J7" s="7" t="s">
        <v>1632</v>
      </c>
      <c r="K7" s="6" t="s">
        <v>1589</v>
      </c>
      <c r="L7" s="6" t="s">
        <v>1603</v>
      </c>
      <c r="M7" s="6" t="s">
        <v>1633</v>
      </c>
      <c r="N7" s="6" t="s">
        <v>1592</v>
      </c>
      <c r="O7" s="6" t="s">
        <v>1593</v>
      </c>
      <c r="P7" s="6" t="s">
        <v>1594</v>
      </c>
      <c r="Q7" s="7" t="s">
        <v>1627</v>
      </c>
      <c r="S7" s="6" t="s">
        <v>1595</v>
      </c>
      <c r="T7" s="6" t="s">
        <v>1634</v>
      </c>
    </row>
    <row r="8">
      <c r="A8" s="7" t="s">
        <v>1626</v>
      </c>
      <c r="B8" s="6" t="s">
        <v>1581</v>
      </c>
      <c r="C8" s="6" t="s">
        <v>1582</v>
      </c>
      <c r="D8" s="7" t="s">
        <v>1635</v>
      </c>
      <c r="E8" s="6" t="s">
        <v>1636</v>
      </c>
      <c r="F8" s="6" t="s">
        <v>1637</v>
      </c>
      <c r="G8" s="6" t="str">
        <f>IFERROR(__xludf.DUMMYFUNCTION("FILTER(RAW_met_lieux_inclusion_numeriq!B:B,RAW_met_lieux_inclusion_numeriq!B:B=F8)"),"#N/A")</f>
        <v>#N/A</v>
      </c>
      <c r="H8" s="6" t="s">
        <v>1638</v>
      </c>
      <c r="I8" s="6" t="s">
        <v>1601</v>
      </c>
      <c r="J8" s="7" t="s">
        <v>1639</v>
      </c>
      <c r="K8" s="6" t="s">
        <v>1589</v>
      </c>
      <c r="L8" s="6" t="s">
        <v>1603</v>
      </c>
      <c r="M8" s="6" t="s">
        <v>1640</v>
      </c>
      <c r="N8" s="6" t="s">
        <v>1592</v>
      </c>
      <c r="O8" s="6" t="s">
        <v>1593</v>
      </c>
      <c r="P8" s="6" t="s">
        <v>1594</v>
      </c>
      <c r="Q8" s="7" t="s">
        <v>1635</v>
      </c>
      <c r="S8" s="6" t="s">
        <v>1601</v>
      </c>
      <c r="T8" s="6" t="s">
        <v>1634</v>
      </c>
    </row>
    <row r="9">
      <c r="A9" s="7" t="s">
        <v>1626</v>
      </c>
      <c r="B9" s="6" t="s">
        <v>1581</v>
      </c>
      <c r="C9" s="6" t="s">
        <v>1582</v>
      </c>
      <c r="D9" s="7" t="s">
        <v>1635</v>
      </c>
      <c r="E9" s="6" t="s">
        <v>1641</v>
      </c>
      <c r="F9" s="6" t="s">
        <v>1642</v>
      </c>
      <c r="G9" s="6" t="str">
        <f>IFERROR(__xludf.DUMMYFUNCTION("FILTER(RAW_met_lieux_inclusion_numeriq!B:B,RAW_met_lieux_inclusion_numeriq!B:B=F9)"),"#N/A")</f>
        <v>#N/A</v>
      </c>
      <c r="H9" s="6" t="s">
        <v>1643</v>
      </c>
      <c r="I9" s="6" t="s">
        <v>1601</v>
      </c>
      <c r="J9" s="7" t="s">
        <v>1644</v>
      </c>
      <c r="K9" s="6" t="s">
        <v>1589</v>
      </c>
      <c r="L9" s="6" t="s">
        <v>1603</v>
      </c>
      <c r="M9" s="6" t="s">
        <v>1640</v>
      </c>
      <c r="N9" s="6" t="s">
        <v>1592</v>
      </c>
      <c r="O9" s="6" t="s">
        <v>1593</v>
      </c>
      <c r="P9" s="6" t="s">
        <v>1594</v>
      </c>
      <c r="Q9" s="7" t="s">
        <v>1635</v>
      </c>
      <c r="S9" s="6" t="s">
        <v>1601</v>
      </c>
      <c r="T9" s="6" t="s">
        <v>1645</v>
      </c>
    </row>
    <row r="10">
      <c r="A10" s="7" t="s">
        <v>1626</v>
      </c>
      <c r="B10" s="6" t="s">
        <v>1581</v>
      </c>
      <c r="C10" s="6" t="s">
        <v>1582</v>
      </c>
      <c r="D10" s="7" t="s">
        <v>1646</v>
      </c>
      <c r="E10" s="6" t="s">
        <v>1647</v>
      </c>
      <c r="F10" s="6" t="s">
        <v>1648</v>
      </c>
      <c r="G10" s="6" t="str">
        <f>IFERROR(__xludf.DUMMYFUNCTION("FILTER(RAW_met_lieux_inclusion_numeriq!B:B,RAW_met_lieux_inclusion_numeriq!B:B=F10)"),"#N/A")</f>
        <v>#N/A</v>
      </c>
      <c r="H10" s="6" t="s">
        <v>1649</v>
      </c>
      <c r="I10" s="6" t="s">
        <v>1650</v>
      </c>
      <c r="J10" s="7" t="s">
        <v>1651</v>
      </c>
      <c r="K10" s="6" t="s">
        <v>1589</v>
      </c>
      <c r="L10" s="6" t="s">
        <v>1603</v>
      </c>
      <c r="M10" s="6" t="s">
        <v>1652</v>
      </c>
      <c r="N10" s="6" t="s">
        <v>1592</v>
      </c>
      <c r="O10" s="6" t="s">
        <v>1593</v>
      </c>
      <c r="P10" s="6" t="s">
        <v>1594</v>
      </c>
      <c r="Q10" s="7" t="s">
        <v>1646</v>
      </c>
      <c r="R10" s="7" t="s">
        <v>1653</v>
      </c>
      <c r="S10" s="6" t="s">
        <v>1595</v>
      </c>
      <c r="T10" s="6" t="s">
        <v>1596</v>
      </c>
    </row>
    <row r="11">
      <c r="A11" s="7" t="s">
        <v>1626</v>
      </c>
      <c r="B11" s="6" t="s">
        <v>1581</v>
      </c>
      <c r="C11" s="6" t="s">
        <v>1582</v>
      </c>
      <c r="D11" s="7" t="s">
        <v>1654</v>
      </c>
      <c r="E11" s="6" t="s">
        <v>1647</v>
      </c>
      <c r="F11" s="6" t="s">
        <v>1655</v>
      </c>
      <c r="G11" s="6" t="str">
        <f>IFERROR(__xludf.DUMMYFUNCTION("FILTER(RAW_met_lieux_inclusion_numeriq!B:B,RAW_met_lieux_inclusion_numeriq!B:B=F11)"),"#N/A")</f>
        <v>#N/A</v>
      </c>
      <c r="H11" s="6" t="s">
        <v>1656</v>
      </c>
      <c r="I11" s="6" t="s">
        <v>1657</v>
      </c>
      <c r="J11" s="7" t="s">
        <v>1658</v>
      </c>
      <c r="K11" s="6" t="s">
        <v>1589</v>
      </c>
      <c r="L11" s="6" t="s">
        <v>1603</v>
      </c>
      <c r="M11" s="6" t="s">
        <v>1659</v>
      </c>
      <c r="N11" s="6" t="s">
        <v>1592</v>
      </c>
      <c r="O11" s="6" t="s">
        <v>1593</v>
      </c>
      <c r="P11" s="6" t="s">
        <v>1594</v>
      </c>
      <c r="Q11" s="7" t="s">
        <v>1654</v>
      </c>
      <c r="S11" s="6" t="s">
        <v>1595</v>
      </c>
      <c r="T11" s="6" t="s">
        <v>1605</v>
      </c>
    </row>
    <row r="12">
      <c r="A12" s="7" t="s">
        <v>1626</v>
      </c>
      <c r="B12" s="6" t="s">
        <v>1581</v>
      </c>
      <c r="C12" s="6" t="s">
        <v>1582</v>
      </c>
      <c r="D12" s="7" t="s">
        <v>1660</v>
      </c>
      <c r="E12" s="6" t="s">
        <v>1661</v>
      </c>
      <c r="F12" s="6" t="s">
        <v>1662</v>
      </c>
      <c r="G12" s="6" t="str">
        <f>IFERROR(__xludf.DUMMYFUNCTION("FILTER(RAW_met_lieux_inclusion_numeriq!B:B,RAW_met_lieux_inclusion_numeriq!B:B=F12)"),"#N/A")</f>
        <v>#N/A</v>
      </c>
      <c r="H12" s="6" t="s">
        <v>1663</v>
      </c>
      <c r="I12" s="6" t="s">
        <v>1664</v>
      </c>
      <c r="J12" s="7" t="s">
        <v>1665</v>
      </c>
      <c r="K12" s="6" t="s">
        <v>1589</v>
      </c>
      <c r="L12" s="6" t="s">
        <v>1603</v>
      </c>
      <c r="M12" s="6" t="s">
        <v>1666</v>
      </c>
      <c r="N12" s="6" t="s">
        <v>1592</v>
      </c>
      <c r="O12" s="6" t="s">
        <v>1593</v>
      </c>
      <c r="P12" s="6" t="s">
        <v>1594</v>
      </c>
      <c r="Q12" s="7" t="s">
        <v>1660</v>
      </c>
      <c r="S12" s="6" t="s">
        <v>1595</v>
      </c>
      <c r="T12" s="6" t="s">
        <v>1596</v>
      </c>
    </row>
    <row r="13">
      <c r="A13" s="7" t="s">
        <v>1626</v>
      </c>
      <c r="B13" s="6" t="s">
        <v>1581</v>
      </c>
      <c r="C13" s="6" t="s">
        <v>1582</v>
      </c>
      <c r="D13" s="7" t="s">
        <v>1667</v>
      </c>
      <c r="E13" s="6" t="s">
        <v>1647</v>
      </c>
      <c r="F13" s="6" t="s">
        <v>1668</v>
      </c>
      <c r="G13" s="6" t="str">
        <f>IFERROR(__xludf.DUMMYFUNCTION("FILTER(RAW_met_lieux_inclusion_numeriq!B:B,RAW_met_lieux_inclusion_numeriq!B:B=F13)"),"#N/A")</f>
        <v>#N/A</v>
      </c>
      <c r="H13" s="6" t="s">
        <v>1669</v>
      </c>
      <c r="I13" s="6" t="s">
        <v>1670</v>
      </c>
      <c r="J13" s="7" t="s">
        <v>1671</v>
      </c>
      <c r="K13" s="6" t="s">
        <v>1589</v>
      </c>
      <c r="L13" s="6" t="s">
        <v>1603</v>
      </c>
      <c r="M13" s="6" t="s">
        <v>1672</v>
      </c>
      <c r="N13" s="6" t="s">
        <v>1592</v>
      </c>
      <c r="O13" s="6" t="s">
        <v>1593</v>
      </c>
      <c r="P13" s="6" t="s">
        <v>1594</v>
      </c>
      <c r="Q13" s="7" t="s">
        <v>1667</v>
      </c>
      <c r="S13" s="6" t="s">
        <v>1595</v>
      </c>
      <c r="T13" s="6" t="s">
        <v>1596</v>
      </c>
    </row>
    <row r="14">
      <c r="A14" s="7" t="s">
        <v>1626</v>
      </c>
      <c r="B14" s="6" t="s">
        <v>1581</v>
      </c>
      <c r="C14" s="6" t="s">
        <v>1582</v>
      </c>
      <c r="D14" s="7" t="s">
        <v>1673</v>
      </c>
      <c r="E14" s="6" t="s">
        <v>1647</v>
      </c>
      <c r="F14" s="6" t="s">
        <v>1674</v>
      </c>
      <c r="G14" s="6" t="str">
        <f>IFERROR(__xludf.DUMMYFUNCTION("FILTER(RAW_met_lieux_inclusion_numeriq!B:B,RAW_met_lieux_inclusion_numeriq!B:B=F14)"),"#N/A")</f>
        <v>#N/A</v>
      </c>
      <c r="H14" s="6" t="s">
        <v>1675</v>
      </c>
      <c r="I14" s="6" t="s">
        <v>1676</v>
      </c>
      <c r="J14" s="7" t="s">
        <v>1677</v>
      </c>
      <c r="K14" s="6" t="s">
        <v>1589</v>
      </c>
      <c r="L14" s="6" t="s">
        <v>1603</v>
      </c>
      <c r="M14" s="6" t="s">
        <v>1678</v>
      </c>
      <c r="N14" s="6" t="s">
        <v>1592</v>
      </c>
      <c r="O14" s="6" t="s">
        <v>1593</v>
      </c>
      <c r="P14" s="6" t="s">
        <v>1594</v>
      </c>
      <c r="Q14" s="7" t="s">
        <v>1673</v>
      </c>
      <c r="S14" s="6" t="s">
        <v>1595</v>
      </c>
      <c r="T14" s="6" t="s">
        <v>1605</v>
      </c>
    </row>
    <row r="15">
      <c r="A15" s="7" t="s">
        <v>1626</v>
      </c>
      <c r="B15" s="6" t="s">
        <v>1581</v>
      </c>
      <c r="C15" s="6" t="s">
        <v>1582</v>
      </c>
      <c r="D15" s="7" t="s">
        <v>1679</v>
      </c>
      <c r="E15" s="6" t="s">
        <v>1680</v>
      </c>
      <c r="F15" s="6" t="s">
        <v>1681</v>
      </c>
      <c r="G15" s="6" t="str">
        <f>IFERROR(__xludf.DUMMYFUNCTION("FILTER(RAW_met_lieux_inclusion_numeriq!B:B,RAW_met_lieux_inclusion_numeriq!B:B=F15)"),"#N/A")</f>
        <v>#N/A</v>
      </c>
      <c r="H15" s="6" t="s">
        <v>1682</v>
      </c>
      <c r="I15" s="6" t="s">
        <v>1683</v>
      </c>
      <c r="J15" s="7" t="s">
        <v>1684</v>
      </c>
      <c r="K15" s="6" t="s">
        <v>1589</v>
      </c>
      <c r="L15" s="6" t="s">
        <v>1603</v>
      </c>
      <c r="M15" s="6" t="s">
        <v>1685</v>
      </c>
      <c r="N15" s="6" t="s">
        <v>1592</v>
      </c>
      <c r="O15" s="6" t="s">
        <v>1593</v>
      </c>
      <c r="P15" s="6" t="s">
        <v>1594</v>
      </c>
      <c r="Q15" s="7" t="s">
        <v>1679</v>
      </c>
      <c r="S15" s="6" t="s">
        <v>1595</v>
      </c>
      <c r="T15" s="6" t="s">
        <v>1605</v>
      </c>
    </row>
    <row r="16">
      <c r="A16" s="7" t="s">
        <v>1626</v>
      </c>
      <c r="B16" s="6" t="s">
        <v>1581</v>
      </c>
      <c r="C16" s="6" t="s">
        <v>1582</v>
      </c>
      <c r="D16" s="7" t="s">
        <v>1686</v>
      </c>
      <c r="E16" s="6" t="s">
        <v>1687</v>
      </c>
      <c r="F16" s="6" t="s">
        <v>1688</v>
      </c>
      <c r="G16" s="6" t="str">
        <f>IFERROR(__xludf.DUMMYFUNCTION("FILTER(RAW_met_lieux_inclusion_numeriq!B:B,RAW_met_lieux_inclusion_numeriq!B:B=F16)"),"#N/A")</f>
        <v>#N/A</v>
      </c>
      <c r="H16" s="6" t="s">
        <v>1689</v>
      </c>
      <c r="I16" s="6" t="s">
        <v>1601</v>
      </c>
      <c r="J16" s="7" t="s">
        <v>1690</v>
      </c>
      <c r="K16" s="6" t="s">
        <v>1589</v>
      </c>
      <c r="L16" s="6" t="s">
        <v>1603</v>
      </c>
      <c r="M16" s="6" t="s">
        <v>1691</v>
      </c>
      <c r="N16" s="6" t="s">
        <v>1592</v>
      </c>
      <c r="O16" s="6" t="s">
        <v>1593</v>
      </c>
      <c r="P16" s="6" t="s">
        <v>1594</v>
      </c>
      <c r="Q16" s="7" t="s">
        <v>1686</v>
      </c>
      <c r="S16" s="6" t="s">
        <v>1601</v>
      </c>
      <c r="T16" s="6" t="s">
        <v>1645</v>
      </c>
    </row>
    <row r="17">
      <c r="A17" s="7" t="s">
        <v>1692</v>
      </c>
      <c r="B17" s="6" t="s">
        <v>1581</v>
      </c>
      <c r="C17" s="6" t="s">
        <v>1582</v>
      </c>
      <c r="D17" s="7" t="s">
        <v>1693</v>
      </c>
      <c r="E17" s="6" t="s">
        <v>1694</v>
      </c>
      <c r="F17" s="6" t="s">
        <v>1695</v>
      </c>
      <c r="G17" s="6" t="str">
        <f>IFERROR(__xludf.DUMMYFUNCTION("FILTER(RAW_met_lieux_inclusion_numeriq!B:B,RAW_met_lieux_inclusion_numeriq!B:B=F17)"),"#N/A")</f>
        <v>#N/A</v>
      </c>
      <c r="H17" s="6" t="s">
        <v>1696</v>
      </c>
      <c r="I17" s="6" t="s">
        <v>1697</v>
      </c>
      <c r="J17" s="7" t="s">
        <v>1698</v>
      </c>
      <c r="K17" s="6" t="s">
        <v>1589</v>
      </c>
      <c r="L17" s="6" t="s">
        <v>1603</v>
      </c>
      <c r="M17" s="6" t="s">
        <v>1699</v>
      </c>
      <c r="N17" s="6" t="s">
        <v>1592</v>
      </c>
      <c r="O17" s="6" t="s">
        <v>1593</v>
      </c>
      <c r="P17" s="6" t="s">
        <v>1594</v>
      </c>
      <c r="Q17" s="7" t="s">
        <v>1693</v>
      </c>
      <c r="S17" s="6" t="s">
        <v>1595</v>
      </c>
      <c r="T17" s="6" t="s">
        <v>1596</v>
      </c>
    </row>
    <row r="18">
      <c r="A18" s="7" t="s">
        <v>1692</v>
      </c>
      <c r="B18" s="6" t="s">
        <v>1581</v>
      </c>
      <c r="C18" s="6" t="s">
        <v>1582</v>
      </c>
      <c r="D18" s="7" t="s">
        <v>1700</v>
      </c>
      <c r="E18" s="6" t="s">
        <v>1701</v>
      </c>
      <c r="F18" s="6" t="s">
        <v>1702</v>
      </c>
      <c r="G18" s="6" t="str">
        <f>IFERROR(__xludf.DUMMYFUNCTION("FILTER(RAW_met_lieux_inclusion_numeriq!B:B,RAW_met_lieux_inclusion_numeriq!B:B=F18)"),"#N/A")</f>
        <v>#N/A</v>
      </c>
      <c r="H18" s="6" t="s">
        <v>1703</v>
      </c>
      <c r="I18" s="6" t="s">
        <v>1704</v>
      </c>
      <c r="J18" s="7" t="s">
        <v>1705</v>
      </c>
      <c r="K18" s="6" t="s">
        <v>1589</v>
      </c>
      <c r="L18" s="6" t="s">
        <v>1603</v>
      </c>
      <c r="M18" s="6" t="s">
        <v>1706</v>
      </c>
      <c r="N18" s="6" t="s">
        <v>1592</v>
      </c>
      <c r="O18" s="6" t="s">
        <v>1593</v>
      </c>
      <c r="P18" s="6" t="s">
        <v>1594</v>
      </c>
      <c r="Q18" s="7" t="s">
        <v>1700</v>
      </c>
      <c r="S18" s="6" t="s">
        <v>1595</v>
      </c>
      <c r="T18" s="6" t="s">
        <v>1634</v>
      </c>
    </row>
    <row r="19">
      <c r="A19" s="7" t="s">
        <v>1692</v>
      </c>
      <c r="B19" s="6" t="s">
        <v>1581</v>
      </c>
      <c r="C19" s="6" t="s">
        <v>1582</v>
      </c>
      <c r="D19" s="7" t="s">
        <v>1707</v>
      </c>
      <c r="E19" s="6" t="s">
        <v>1694</v>
      </c>
      <c r="F19" s="6" t="s">
        <v>1708</v>
      </c>
      <c r="G19" s="6" t="str">
        <f>IFERROR(__xludf.DUMMYFUNCTION("FILTER(RAW_met_lieux_inclusion_numeriq!B:B,RAW_met_lieux_inclusion_numeriq!B:B=F19)"),"#N/A")</f>
        <v>#N/A</v>
      </c>
      <c r="H19" s="6" t="s">
        <v>1709</v>
      </c>
      <c r="I19" s="6" t="s">
        <v>1710</v>
      </c>
      <c r="J19" s="7" t="s">
        <v>1711</v>
      </c>
      <c r="K19" s="6" t="s">
        <v>1589</v>
      </c>
      <c r="L19" s="6" t="s">
        <v>1603</v>
      </c>
      <c r="M19" s="6" t="s">
        <v>1712</v>
      </c>
      <c r="N19" s="6" t="s">
        <v>1592</v>
      </c>
      <c r="O19" s="6" t="s">
        <v>1593</v>
      </c>
      <c r="P19" s="6" t="s">
        <v>1594</v>
      </c>
      <c r="Q19" s="7" t="s">
        <v>1707</v>
      </c>
      <c r="S19" s="6" t="s">
        <v>1710</v>
      </c>
      <c r="T19" s="6" t="s">
        <v>1596</v>
      </c>
    </row>
    <row r="20">
      <c r="A20" s="7" t="s">
        <v>1692</v>
      </c>
      <c r="B20" s="6" t="s">
        <v>1581</v>
      </c>
      <c r="C20" s="6" t="s">
        <v>1582</v>
      </c>
      <c r="D20" s="7" t="s">
        <v>1707</v>
      </c>
      <c r="E20" s="6" t="s">
        <v>1694</v>
      </c>
      <c r="F20" s="6" t="s">
        <v>1674</v>
      </c>
      <c r="G20" s="6" t="str">
        <f>IFERROR(__xludf.DUMMYFUNCTION("FILTER(RAW_met_lieux_inclusion_numeriq!B:B,RAW_met_lieux_inclusion_numeriq!B:B=F20)"),"#N/A")</f>
        <v>#N/A</v>
      </c>
      <c r="H20" s="6" t="s">
        <v>1713</v>
      </c>
      <c r="I20" s="6" t="s">
        <v>1710</v>
      </c>
      <c r="J20" s="7" t="s">
        <v>1714</v>
      </c>
      <c r="K20" s="6" t="s">
        <v>1589</v>
      </c>
      <c r="L20" s="6" t="s">
        <v>1603</v>
      </c>
      <c r="M20" s="6" t="s">
        <v>1712</v>
      </c>
      <c r="N20" s="6" t="s">
        <v>1592</v>
      </c>
      <c r="O20" s="6" t="s">
        <v>1593</v>
      </c>
      <c r="P20" s="6" t="s">
        <v>1594</v>
      </c>
      <c r="Q20" s="7" t="s">
        <v>1707</v>
      </c>
      <c r="S20" s="6" t="s">
        <v>1710</v>
      </c>
      <c r="T20" s="6" t="s">
        <v>1596</v>
      </c>
    </row>
    <row r="21">
      <c r="A21" s="7" t="s">
        <v>1692</v>
      </c>
      <c r="B21" s="6" t="s">
        <v>1581</v>
      </c>
      <c r="C21" s="6" t="s">
        <v>1582</v>
      </c>
      <c r="D21" s="7" t="s">
        <v>1693</v>
      </c>
      <c r="E21" s="6" t="s">
        <v>1694</v>
      </c>
      <c r="F21" s="6" t="s">
        <v>1715</v>
      </c>
      <c r="G21" s="6" t="str">
        <f>IFERROR(__xludf.DUMMYFUNCTION("FILTER(RAW_met_lieux_inclusion_numeriq!B:B,RAW_met_lieux_inclusion_numeriq!B:B=F21)"),"#N/A")</f>
        <v>#N/A</v>
      </c>
      <c r="H21" s="6" t="s">
        <v>1716</v>
      </c>
      <c r="I21" s="6" t="s">
        <v>1710</v>
      </c>
      <c r="J21" s="7" t="s">
        <v>1717</v>
      </c>
      <c r="K21" s="6" t="s">
        <v>1589</v>
      </c>
      <c r="L21" s="6" t="s">
        <v>1603</v>
      </c>
      <c r="M21" s="6" t="s">
        <v>1699</v>
      </c>
      <c r="N21" s="6" t="s">
        <v>1592</v>
      </c>
      <c r="O21" s="6" t="s">
        <v>1593</v>
      </c>
      <c r="P21" s="6" t="s">
        <v>1594</v>
      </c>
      <c r="Q21" s="7" t="s">
        <v>1693</v>
      </c>
      <c r="S21" s="6" t="s">
        <v>1710</v>
      </c>
      <c r="T21" s="6" t="s">
        <v>1596</v>
      </c>
    </row>
    <row r="22">
      <c r="A22" s="7" t="s">
        <v>1692</v>
      </c>
      <c r="B22" s="6" t="s">
        <v>1581</v>
      </c>
      <c r="C22" s="6" t="s">
        <v>1582</v>
      </c>
      <c r="D22" s="7" t="s">
        <v>1707</v>
      </c>
      <c r="E22" s="6" t="s">
        <v>1694</v>
      </c>
      <c r="F22" s="6" t="s">
        <v>1718</v>
      </c>
      <c r="G22" s="6" t="str">
        <f>IFERROR(__xludf.DUMMYFUNCTION("FILTER(RAW_met_lieux_inclusion_numeriq!B:B,RAW_met_lieux_inclusion_numeriq!B:B=F22)"),"#N/A")</f>
        <v>#N/A</v>
      </c>
      <c r="H22" s="6" t="s">
        <v>1719</v>
      </c>
      <c r="I22" s="6" t="s">
        <v>1710</v>
      </c>
      <c r="J22" s="7" t="s">
        <v>1671</v>
      </c>
      <c r="K22" s="6" t="s">
        <v>1589</v>
      </c>
      <c r="L22" s="6" t="s">
        <v>1603</v>
      </c>
      <c r="M22" s="6" t="s">
        <v>1712</v>
      </c>
      <c r="N22" s="6" t="s">
        <v>1592</v>
      </c>
      <c r="O22" s="6" t="s">
        <v>1593</v>
      </c>
      <c r="P22" s="6" t="s">
        <v>1594</v>
      </c>
      <c r="Q22" s="7" t="s">
        <v>1707</v>
      </c>
      <c r="S22" s="6" t="s">
        <v>1710</v>
      </c>
      <c r="T22" s="6" t="s">
        <v>1596</v>
      </c>
    </row>
    <row r="23">
      <c r="A23" s="7" t="s">
        <v>1692</v>
      </c>
      <c r="B23" s="6" t="s">
        <v>1581</v>
      </c>
      <c r="C23" s="6" t="s">
        <v>1582</v>
      </c>
      <c r="D23" s="7" t="s">
        <v>1720</v>
      </c>
      <c r="E23" s="6" t="s">
        <v>1721</v>
      </c>
      <c r="F23" s="6" t="s">
        <v>1722</v>
      </c>
      <c r="G23" s="6" t="str">
        <f>IFERROR(__xludf.DUMMYFUNCTION("FILTER(RAW_met_lieux_inclusion_numeriq!B:B,RAW_met_lieux_inclusion_numeriq!B:B=F23)"),"#N/A")</f>
        <v>#N/A</v>
      </c>
      <c r="H23" s="6" t="s">
        <v>1723</v>
      </c>
      <c r="I23" s="6" t="s">
        <v>1601</v>
      </c>
      <c r="J23" s="7" t="s">
        <v>1714</v>
      </c>
      <c r="K23" s="6" t="s">
        <v>1589</v>
      </c>
      <c r="L23" s="6" t="s">
        <v>1603</v>
      </c>
      <c r="M23" s="6" t="s">
        <v>1724</v>
      </c>
      <c r="N23" s="6" t="s">
        <v>1592</v>
      </c>
      <c r="O23" s="6" t="s">
        <v>1593</v>
      </c>
      <c r="P23" s="6" t="s">
        <v>1594</v>
      </c>
      <c r="Q23" s="7" t="s">
        <v>1720</v>
      </c>
      <c r="S23" s="6" t="s">
        <v>1601</v>
      </c>
      <c r="T23" s="6" t="s">
        <v>1596</v>
      </c>
    </row>
    <row r="24">
      <c r="A24" s="7" t="s">
        <v>1692</v>
      </c>
      <c r="B24" s="6" t="s">
        <v>1581</v>
      </c>
      <c r="C24" s="6" t="s">
        <v>1582</v>
      </c>
      <c r="D24" s="7" t="s">
        <v>1725</v>
      </c>
      <c r="E24" s="6" t="s">
        <v>1694</v>
      </c>
      <c r="F24" s="6" t="s">
        <v>1726</v>
      </c>
      <c r="G24" s="6" t="str">
        <f>IFERROR(__xludf.DUMMYFUNCTION("FILTER(RAW_met_lieux_inclusion_numeriq!B:B,RAW_met_lieux_inclusion_numeriq!B:B=F24)"),"#N/A")</f>
        <v>#N/A</v>
      </c>
      <c r="H24" s="6" t="s">
        <v>1727</v>
      </c>
      <c r="I24" s="6" t="s">
        <v>1710</v>
      </c>
      <c r="J24" s="7" t="s">
        <v>1728</v>
      </c>
      <c r="K24" s="6" t="s">
        <v>1589</v>
      </c>
      <c r="L24" s="6" t="s">
        <v>1603</v>
      </c>
      <c r="M24" s="6" t="s">
        <v>1729</v>
      </c>
      <c r="N24" s="6" t="s">
        <v>1592</v>
      </c>
      <c r="O24" s="6" t="s">
        <v>1593</v>
      </c>
      <c r="P24" s="6" t="s">
        <v>1594</v>
      </c>
      <c r="Q24" s="7" t="s">
        <v>1725</v>
      </c>
      <c r="S24" s="6" t="s">
        <v>1710</v>
      </c>
      <c r="T24" s="6" t="s">
        <v>1596</v>
      </c>
    </row>
    <row r="25">
      <c r="A25" s="7" t="s">
        <v>1692</v>
      </c>
      <c r="B25" s="6" t="s">
        <v>1581</v>
      </c>
      <c r="C25" s="6" t="s">
        <v>1582</v>
      </c>
      <c r="D25" s="7" t="s">
        <v>1730</v>
      </c>
      <c r="E25" s="6" t="s">
        <v>1694</v>
      </c>
      <c r="F25" s="6" t="s">
        <v>1731</v>
      </c>
      <c r="G25" s="6" t="str">
        <f>IFERROR(__xludf.DUMMYFUNCTION("FILTER(RAW_met_lieux_inclusion_numeriq!B:B,RAW_met_lieux_inclusion_numeriq!B:B=F25)"),"#N/A")</f>
        <v>#N/A</v>
      </c>
      <c r="H25" s="6" t="s">
        <v>1732</v>
      </c>
      <c r="I25" s="6" t="s">
        <v>1710</v>
      </c>
      <c r="J25" s="7" t="s">
        <v>1711</v>
      </c>
      <c r="K25" s="6" t="s">
        <v>1589</v>
      </c>
      <c r="L25" s="6" t="s">
        <v>1603</v>
      </c>
      <c r="M25" s="6" t="s">
        <v>1733</v>
      </c>
      <c r="N25" s="6" t="s">
        <v>1592</v>
      </c>
      <c r="O25" s="6" t="s">
        <v>1593</v>
      </c>
      <c r="P25" s="6" t="s">
        <v>1594</v>
      </c>
      <c r="Q25" s="7" t="s">
        <v>1730</v>
      </c>
      <c r="S25" s="6" t="s">
        <v>1710</v>
      </c>
      <c r="T25" s="6" t="s">
        <v>1596</v>
      </c>
    </row>
    <row r="26">
      <c r="A26" s="7" t="s">
        <v>1692</v>
      </c>
      <c r="B26" s="6" t="s">
        <v>1581</v>
      </c>
      <c r="C26" s="6" t="s">
        <v>1582</v>
      </c>
      <c r="D26" s="7" t="s">
        <v>1734</v>
      </c>
      <c r="E26" s="6" t="s">
        <v>1694</v>
      </c>
      <c r="F26" s="6" t="s">
        <v>1735</v>
      </c>
      <c r="G26" s="6" t="str">
        <f>IFERROR(__xludf.DUMMYFUNCTION("FILTER(RAW_met_lieux_inclusion_numeriq!B:B,RAW_met_lieux_inclusion_numeriq!B:B=F26)"),"#N/A")</f>
        <v>#N/A</v>
      </c>
      <c r="H26" s="6" t="s">
        <v>1736</v>
      </c>
      <c r="I26" s="6" t="s">
        <v>1710</v>
      </c>
      <c r="J26" s="7" t="s">
        <v>1737</v>
      </c>
      <c r="K26" s="6" t="s">
        <v>1589</v>
      </c>
      <c r="L26" s="6" t="s">
        <v>1603</v>
      </c>
      <c r="M26" s="6" t="s">
        <v>1738</v>
      </c>
      <c r="N26" s="6" t="s">
        <v>1592</v>
      </c>
      <c r="O26" s="6" t="s">
        <v>1593</v>
      </c>
      <c r="P26" s="6" t="s">
        <v>1594</v>
      </c>
      <c r="Q26" s="7" t="s">
        <v>1734</v>
      </c>
      <c r="S26" s="6" t="s">
        <v>1710</v>
      </c>
      <c r="T26" s="6" t="s">
        <v>1596</v>
      </c>
    </row>
    <row r="27">
      <c r="A27" s="7" t="s">
        <v>1692</v>
      </c>
      <c r="B27" s="6" t="s">
        <v>1581</v>
      </c>
      <c r="C27" s="6" t="s">
        <v>1582</v>
      </c>
      <c r="D27" s="7" t="s">
        <v>1730</v>
      </c>
      <c r="E27" s="6" t="s">
        <v>1739</v>
      </c>
      <c r="F27" s="6" t="s">
        <v>1740</v>
      </c>
      <c r="G27" s="6" t="str">
        <f>IFERROR(__xludf.DUMMYFUNCTION("FILTER(RAW_met_lieux_inclusion_numeriq!B:B,RAW_met_lieux_inclusion_numeriq!B:B=F27)"),"#N/A")</f>
        <v>#N/A</v>
      </c>
      <c r="H27" s="6" t="s">
        <v>1741</v>
      </c>
      <c r="I27" s="6" t="s">
        <v>1742</v>
      </c>
      <c r="J27" s="7" t="s">
        <v>1743</v>
      </c>
      <c r="K27" s="6" t="s">
        <v>1589</v>
      </c>
      <c r="L27" s="6" t="s">
        <v>1603</v>
      </c>
      <c r="M27" s="6" t="s">
        <v>1733</v>
      </c>
      <c r="N27" s="6" t="s">
        <v>1592</v>
      </c>
      <c r="O27" s="6" t="s">
        <v>1593</v>
      </c>
      <c r="P27" s="6" t="s">
        <v>1594</v>
      </c>
      <c r="Q27" s="7" t="s">
        <v>1730</v>
      </c>
      <c r="S27" s="6" t="s">
        <v>1595</v>
      </c>
      <c r="T27" s="6" t="s">
        <v>1596</v>
      </c>
    </row>
    <row r="28">
      <c r="A28" s="7" t="s">
        <v>1692</v>
      </c>
      <c r="B28" s="6" t="s">
        <v>1581</v>
      </c>
      <c r="C28" s="6" t="s">
        <v>1582</v>
      </c>
      <c r="D28" s="7" t="s">
        <v>1744</v>
      </c>
      <c r="E28" s="6" t="s">
        <v>1745</v>
      </c>
      <c r="F28" s="6" t="s">
        <v>1746</v>
      </c>
      <c r="G28" s="6" t="str">
        <f>IFERROR(__xludf.DUMMYFUNCTION("FILTER(RAW_met_lieux_inclusion_numeriq!B:B,RAW_met_lieux_inclusion_numeriq!B:B=F28)"),"#N/A")</f>
        <v>#N/A</v>
      </c>
      <c r="H28" s="6" t="s">
        <v>1747</v>
      </c>
      <c r="I28" s="6" t="s">
        <v>1748</v>
      </c>
      <c r="J28" s="7" t="s">
        <v>1749</v>
      </c>
      <c r="K28" s="6" t="s">
        <v>1589</v>
      </c>
      <c r="L28" s="6" t="s">
        <v>1603</v>
      </c>
      <c r="M28" s="6" t="s">
        <v>1750</v>
      </c>
      <c r="N28" s="6" t="s">
        <v>1592</v>
      </c>
      <c r="O28" s="6" t="s">
        <v>1593</v>
      </c>
      <c r="P28" s="6" t="s">
        <v>1594</v>
      </c>
      <c r="Q28" s="7" t="s">
        <v>1744</v>
      </c>
      <c r="S28" s="6" t="s">
        <v>1595</v>
      </c>
      <c r="T28" s="6" t="s">
        <v>1605</v>
      </c>
    </row>
    <row r="29">
      <c r="A29" s="7" t="s">
        <v>1692</v>
      </c>
      <c r="B29" s="6" t="s">
        <v>1581</v>
      </c>
      <c r="C29" s="6" t="s">
        <v>1582</v>
      </c>
      <c r="D29" s="7" t="s">
        <v>1751</v>
      </c>
      <c r="E29" s="6" t="s">
        <v>1694</v>
      </c>
      <c r="F29" s="6" t="s">
        <v>1681</v>
      </c>
      <c r="G29" s="6" t="str">
        <f>IFERROR(__xludf.DUMMYFUNCTION("FILTER(RAW_met_lieux_inclusion_numeriq!B:B,RAW_met_lieux_inclusion_numeriq!B:B=F29)"),"#N/A")</f>
        <v>#N/A</v>
      </c>
      <c r="H29" s="6" t="s">
        <v>1682</v>
      </c>
      <c r="I29" s="6" t="s">
        <v>1710</v>
      </c>
      <c r="J29" s="7" t="s">
        <v>1752</v>
      </c>
      <c r="K29" s="6" t="s">
        <v>1589</v>
      </c>
      <c r="L29" s="6" t="s">
        <v>1603</v>
      </c>
      <c r="M29" s="6" t="s">
        <v>1753</v>
      </c>
      <c r="N29" s="6" t="s">
        <v>1592</v>
      </c>
      <c r="O29" s="6" t="s">
        <v>1593</v>
      </c>
      <c r="P29" s="6" t="s">
        <v>1594</v>
      </c>
      <c r="Q29" s="7" t="s">
        <v>1751</v>
      </c>
      <c r="S29" s="6" t="s">
        <v>1710</v>
      </c>
      <c r="T29" s="6" t="s">
        <v>1605</v>
      </c>
    </row>
    <row r="30">
      <c r="A30" s="7" t="s">
        <v>1692</v>
      </c>
      <c r="B30" s="6" t="s">
        <v>1581</v>
      </c>
      <c r="C30" s="6" t="s">
        <v>1582</v>
      </c>
      <c r="D30" s="7" t="s">
        <v>1754</v>
      </c>
      <c r="E30" s="6" t="s">
        <v>1694</v>
      </c>
      <c r="F30" s="6" t="s">
        <v>1755</v>
      </c>
      <c r="G30" s="6" t="str">
        <f>IFERROR(__xludf.DUMMYFUNCTION("FILTER(RAW_met_lieux_inclusion_numeriq!B:B,RAW_met_lieux_inclusion_numeriq!B:B=F30)"),"#N/A")</f>
        <v>#N/A</v>
      </c>
      <c r="H30" s="6" t="s">
        <v>1756</v>
      </c>
      <c r="I30" s="6" t="s">
        <v>1710</v>
      </c>
      <c r="J30" s="7" t="s">
        <v>1757</v>
      </c>
      <c r="K30" s="6" t="s">
        <v>1589</v>
      </c>
      <c r="L30" s="6" t="s">
        <v>1603</v>
      </c>
      <c r="M30" s="6" t="s">
        <v>1758</v>
      </c>
      <c r="N30" s="6" t="s">
        <v>1592</v>
      </c>
      <c r="O30" s="6" t="s">
        <v>1593</v>
      </c>
      <c r="P30" s="6" t="s">
        <v>1594</v>
      </c>
      <c r="Q30" s="7" t="s">
        <v>1754</v>
      </c>
      <c r="S30" s="6" t="s">
        <v>1710</v>
      </c>
      <c r="T30" s="6" t="s">
        <v>1596</v>
      </c>
    </row>
    <row r="31">
      <c r="A31" s="7" t="s">
        <v>1692</v>
      </c>
      <c r="B31" s="6" t="s">
        <v>1581</v>
      </c>
      <c r="C31" s="6" t="s">
        <v>1582</v>
      </c>
      <c r="D31" s="7" t="s">
        <v>1759</v>
      </c>
      <c r="E31" s="6" t="s">
        <v>1760</v>
      </c>
      <c r="F31" s="6" t="s">
        <v>1761</v>
      </c>
      <c r="G31" s="6" t="str">
        <f>IFERROR(__xludf.DUMMYFUNCTION("FILTER(RAW_met_lieux_inclusion_numeriq!B:B,RAW_met_lieux_inclusion_numeriq!B:B=F31)"),"#N/A")</f>
        <v>#N/A</v>
      </c>
      <c r="H31" s="6" t="s">
        <v>1762</v>
      </c>
      <c r="I31" s="6" t="s">
        <v>1763</v>
      </c>
      <c r="J31" s="7" t="s">
        <v>1764</v>
      </c>
      <c r="K31" s="6" t="s">
        <v>1589</v>
      </c>
      <c r="L31" s="6" t="s">
        <v>1603</v>
      </c>
      <c r="M31" s="6" t="s">
        <v>1765</v>
      </c>
      <c r="N31" s="6" t="s">
        <v>1592</v>
      </c>
      <c r="O31" s="6" t="s">
        <v>1593</v>
      </c>
      <c r="P31" s="6" t="s">
        <v>1594</v>
      </c>
      <c r="Q31" s="7" t="s">
        <v>1759</v>
      </c>
      <c r="S31" s="6" t="s">
        <v>1595</v>
      </c>
      <c r="T31" s="6" t="s">
        <v>1605</v>
      </c>
    </row>
    <row r="32">
      <c r="A32" s="7" t="s">
        <v>1692</v>
      </c>
      <c r="B32" s="6" t="s">
        <v>1581</v>
      </c>
      <c r="C32" s="6" t="s">
        <v>1582</v>
      </c>
      <c r="D32" s="7" t="s">
        <v>1754</v>
      </c>
      <c r="E32" s="6" t="s">
        <v>1766</v>
      </c>
      <c r="F32" s="6" t="s">
        <v>1767</v>
      </c>
      <c r="G32" s="6" t="str">
        <f>IFERROR(__xludf.DUMMYFUNCTION("FILTER(RAW_met_lieux_inclusion_numeriq!B:B,RAW_met_lieux_inclusion_numeriq!B:B=F32)"),"#N/A")</f>
        <v>#N/A</v>
      </c>
      <c r="H32" s="6" t="s">
        <v>1768</v>
      </c>
      <c r="I32" s="6" t="s">
        <v>1601</v>
      </c>
      <c r="J32" s="7" t="s">
        <v>1769</v>
      </c>
      <c r="K32" s="6" t="s">
        <v>1589</v>
      </c>
      <c r="L32" s="6" t="s">
        <v>1603</v>
      </c>
      <c r="M32" s="6" t="s">
        <v>1758</v>
      </c>
      <c r="N32" s="6" t="s">
        <v>1592</v>
      </c>
      <c r="O32" s="6" t="s">
        <v>1593</v>
      </c>
      <c r="P32" s="6" t="s">
        <v>1594</v>
      </c>
      <c r="Q32" s="7" t="s">
        <v>1754</v>
      </c>
      <c r="S32" s="6" t="s">
        <v>1601</v>
      </c>
      <c r="T32" s="6" t="s">
        <v>1634</v>
      </c>
    </row>
    <row r="33">
      <c r="A33" s="7" t="s">
        <v>1692</v>
      </c>
      <c r="B33" s="6" t="s">
        <v>1581</v>
      </c>
      <c r="C33" s="6" t="s">
        <v>1582</v>
      </c>
      <c r="D33" s="7" t="s">
        <v>1770</v>
      </c>
      <c r="E33" s="6" t="s">
        <v>1771</v>
      </c>
      <c r="F33" s="6" t="s">
        <v>1772</v>
      </c>
      <c r="G33" s="6" t="str">
        <f>IFERROR(__xludf.DUMMYFUNCTION("FILTER(RAW_met_lieux_inclusion_numeriq!B:B,RAW_met_lieux_inclusion_numeriq!B:B=F33)"),"#N/A")</f>
        <v>#N/A</v>
      </c>
      <c r="H33" s="6" t="s">
        <v>1773</v>
      </c>
      <c r="I33" s="6" t="s">
        <v>1774</v>
      </c>
      <c r="J33" s="7" t="s">
        <v>1651</v>
      </c>
      <c r="K33" s="6" t="s">
        <v>1589</v>
      </c>
      <c r="L33" s="6" t="s">
        <v>1603</v>
      </c>
      <c r="M33" s="6" t="s">
        <v>1775</v>
      </c>
      <c r="N33" s="6" t="s">
        <v>1592</v>
      </c>
      <c r="O33" s="6" t="s">
        <v>1593</v>
      </c>
      <c r="P33" s="6" t="s">
        <v>1594</v>
      </c>
      <c r="Q33" s="7" t="s">
        <v>1770</v>
      </c>
      <c r="S33" s="6" t="s">
        <v>1595</v>
      </c>
      <c r="T33" s="6" t="s">
        <v>1596</v>
      </c>
    </row>
    <row r="34">
      <c r="A34" s="7" t="s">
        <v>1776</v>
      </c>
      <c r="B34" s="6" t="s">
        <v>1581</v>
      </c>
      <c r="C34" s="6" t="s">
        <v>1582</v>
      </c>
      <c r="D34" s="7" t="s">
        <v>1777</v>
      </c>
      <c r="E34" s="6" t="s">
        <v>1778</v>
      </c>
      <c r="F34" s="6" t="s">
        <v>1779</v>
      </c>
      <c r="G34" s="6" t="str">
        <f>IFERROR(__xludf.DUMMYFUNCTION("FILTER(RAW_met_lieux_inclusion_numeriq!B:B,RAW_met_lieux_inclusion_numeriq!B:B=F34)"),"#N/A")</f>
        <v>#N/A</v>
      </c>
      <c r="H34" s="6" t="s">
        <v>1780</v>
      </c>
      <c r="I34" s="6" t="s">
        <v>1601</v>
      </c>
      <c r="J34" s="7" t="s">
        <v>1781</v>
      </c>
      <c r="K34" s="6" t="s">
        <v>1589</v>
      </c>
      <c r="L34" s="6" t="s">
        <v>1603</v>
      </c>
      <c r="M34" s="6" t="s">
        <v>1782</v>
      </c>
      <c r="N34" s="6" t="s">
        <v>1592</v>
      </c>
      <c r="O34" s="6" t="s">
        <v>1593</v>
      </c>
      <c r="P34" s="6" t="s">
        <v>1594</v>
      </c>
      <c r="Q34" s="7" t="s">
        <v>1777</v>
      </c>
      <c r="S34" s="6" t="s">
        <v>1601</v>
      </c>
      <c r="T34" s="6" t="s">
        <v>1605</v>
      </c>
    </row>
    <row r="35">
      <c r="A35" s="7" t="s">
        <v>1776</v>
      </c>
      <c r="B35" s="6" t="s">
        <v>1581</v>
      </c>
      <c r="C35" s="6" t="s">
        <v>1582</v>
      </c>
      <c r="D35" s="7" t="s">
        <v>1692</v>
      </c>
      <c r="E35" s="6" t="s">
        <v>1783</v>
      </c>
      <c r="F35" s="6" t="s">
        <v>1784</v>
      </c>
      <c r="G35" s="6" t="str">
        <f>IFERROR(__xludf.DUMMYFUNCTION("FILTER(RAW_met_lieux_inclusion_numeriq!B:B,RAW_met_lieux_inclusion_numeriq!B:B=F35)"),"#N/A")</f>
        <v>#N/A</v>
      </c>
      <c r="H35" s="6" t="s">
        <v>1785</v>
      </c>
      <c r="I35" s="6" t="s">
        <v>1601</v>
      </c>
      <c r="J35" s="7" t="s">
        <v>1786</v>
      </c>
      <c r="K35" s="6" t="s">
        <v>1589</v>
      </c>
      <c r="L35" s="6" t="s">
        <v>1603</v>
      </c>
      <c r="M35" s="6" t="s">
        <v>1787</v>
      </c>
      <c r="N35" s="6" t="s">
        <v>1592</v>
      </c>
      <c r="O35" s="6" t="s">
        <v>1593</v>
      </c>
      <c r="P35" s="6" t="s">
        <v>1594</v>
      </c>
      <c r="Q35" s="7" t="s">
        <v>1692</v>
      </c>
      <c r="S35" s="6" t="s">
        <v>1601</v>
      </c>
      <c r="T35" s="6" t="s">
        <v>1596</v>
      </c>
    </row>
    <row r="36">
      <c r="A36" s="7" t="s">
        <v>1776</v>
      </c>
      <c r="B36" s="6" t="s">
        <v>1581</v>
      </c>
      <c r="C36" s="6" t="s">
        <v>1582</v>
      </c>
      <c r="D36" s="7" t="s">
        <v>1788</v>
      </c>
      <c r="E36" s="6" t="s">
        <v>1783</v>
      </c>
      <c r="F36" s="6" t="s">
        <v>1789</v>
      </c>
      <c r="G36" s="6" t="str">
        <f>IFERROR(__xludf.DUMMYFUNCTION("FILTER(RAW_met_lieux_inclusion_numeriq!B:B,RAW_met_lieux_inclusion_numeriq!B:B=F36)"),"#N/A")</f>
        <v>#N/A</v>
      </c>
      <c r="H36" s="6" t="s">
        <v>1790</v>
      </c>
      <c r="I36" s="6" t="s">
        <v>1601</v>
      </c>
      <c r="J36" s="7" t="s">
        <v>1743</v>
      </c>
      <c r="K36" s="6" t="s">
        <v>1589</v>
      </c>
      <c r="L36" s="6" t="s">
        <v>1603</v>
      </c>
      <c r="M36" s="6" t="s">
        <v>1791</v>
      </c>
      <c r="N36" s="6" t="s">
        <v>1592</v>
      </c>
      <c r="O36" s="6" t="s">
        <v>1593</v>
      </c>
      <c r="P36" s="6" t="s">
        <v>1594</v>
      </c>
      <c r="Q36" s="7" t="s">
        <v>1788</v>
      </c>
      <c r="S36" s="6" t="s">
        <v>1601</v>
      </c>
      <c r="T36" s="6" t="s">
        <v>1596</v>
      </c>
    </row>
    <row r="37">
      <c r="A37" s="7" t="s">
        <v>1776</v>
      </c>
      <c r="B37" s="6" t="s">
        <v>1581</v>
      </c>
      <c r="C37" s="6" t="s">
        <v>1582</v>
      </c>
      <c r="D37" s="7" t="s">
        <v>1777</v>
      </c>
      <c r="E37" s="6" t="s">
        <v>1783</v>
      </c>
      <c r="F37" s="6" t="s">
        <v>1792</v>
      </c>
      <c r="G37" s="6" t="str">
        <f>IFERROR(__xludf.DUMMYFUNCTION("FILTER(RAW_met_lieux_inclusion_numeriq!B:B,RAW_met_lieux_inclusion_numeriq!B:B=F37)"),"#N/A")</f>
        <v>#N/A</v>
      </c>
      <c r="H37" s="6" t="s">
        <v>1793</v>
      </c>
      <c r="I37" s="6" t="s">
        <v>1601</v>
      </c>
      <c r="J37" s="7" t="s">
        <v>1794</v>
      </c>
      <c r="K37" s="6" t="s">
        <v>1589</v>
      </c>
      <c r="L37" s="6" t="s">
        <v>1603</v>
      </c>
      <c r="M37" s="6" t="s">
        <v>1782</v>
      </c>
      <c r="N37" s="6" t="s">
        <v>1592</v>
      </c>
      <c r="O37" s="6" t="s">
        <v>1593</v>
      </c>
      <c r="P37" s="6" t="s">
        <v>1594</v>
      </c>
      <c r="Q37" s="7" t="s">
        <v>1777</v>
      </c>
      <c r="S37" s="6" t="s">
        <v>1601</v>
      </c>
      <c r="T37" s="6" t="s">
        <v>1596</v>
      </c>
    </row>
    <row r="38">
      <c r="A38" s="7" t="s">
        <v>1776</v>
      </c>
      <c r="B38" s="6" t="s">
        <v>1581</v>
      </c>
      <c r="C38" s="6" t="s">
        <v>1582</v>
      </c>
      <c r="D38" s="7" t="s">
        <v>1754</v>
      </c>
      <c r="E38" s="6" t="s">
        <v>1795</v>
      </c>
      <c r="F38" s="6" t="s">
        <v>1796</v>
      </c>
      <c r="G38" s="6" t="str">
        <f>IFERROR(__xludf.DUMMYFUNCTION("FILTER(RAW_met_lieux_inclusion_numeriq!B:B,RAW_met_lieux_inclusion_numeriq!B:B=F38)"),"#N/A")</f>
        <v>#N/A</v>
      </c>
      <c r="H38" s="6" t="s">
        <v>1797</v>
      </c>
      <c r="I38" s="6" t="s">
        <v>1601</v>
      </c>
      <c r="J38" s="7" t="s">
        <v>1798</v>
      </c>
      <c r="K38" s="6" t="s">
        <v>1589</v>
      </c>
      <c r="L38" s="6" t="s">
        <v>1603</v>
      </c>
      <c r="M38" s="6" t="s">
        <v>1758</v>
      </c>
      <c r="N38" s="6" t="s">
        <v>1592</v>
      </c>
      <c r="O38" s="6" t="s">
        <v>1593</v>
      </c>
      <c r="P38" s="6" t="s">
        <v>1594</v>
      </c>
      <c r="Q38" s="7" t="s">
        <v>1754</v>
      </c>
      <c r="S38" s="6" t="s">
        <v>1601</v>
      </c>
      <c r="T38" s="6" t="s">
        <v>1634</v>
      </c>
    </row>
    <row r="39">
      <c r="A39" s="7" t="s">
        <v>1776</v>
      </c>
      <c r="B39" s="6" t="s">
        <v>1581</v>
      </c>
      <c r="C39" s="6" t="s">
        <v>1582</v>
      </c>
      <c r="D39" s="7" t="s">
        <v>1799</v>
      </c>
      <c r="E39" s="6" t="s">
        <v>1800</v>
      </c>
      <c r="F39" s="6" t="s">
        <v>1801</v>
      </c>
      <c r="G39" s="6" t="str">
        <f>IFERROR(__xludf.DUMMYFUNCTION("FILTER(RAW_met_lieux_inclusion_numeriq!B:B,RAW_met_lieux_inclusion_numeriq!B:B=F39)"),"#N/A")</f>
        <v>#N/A</v>
      </c>
      <c r="H39" s="6" t="s">
        <v>1802</v>
      </c>
      <c r="I39" s="6" t="s">
        <v>1601</v>
      </c>
      <c r="J39" s="7" t="s">
        <v>1803</v>
      </c>
      <c r="K39" s="6" t="s">
        <v>1589</v>
      </c>
      <c r="L39" s="6" t="s">
        <v>1603</v>
      </c>
      <c r="M39" s="6" t="s">
        <v>1804</v>
      </c>
      <c r="N39" s="6" t="s">
        <v>1592</v>
      </c>
      <c r="O39" s="6" t="s">
        <v>1593</v>
      </c>
      <c r="P39" s="6" t="s">
        <v>1594</v>
      </c>
      <c r="Q39" s="7" t="s">
        <v>1799</v>
      </c>
      <c r="S39" s="6" t="s">
        <v>1601</v>
      </c>
      <c r="T39" s="6" t="s">
        <v>1596</v>
      </c>
    </row>
    <row r="40">
      <c r="A40" s="7" t="s">
        <v>1776</v>
      </c>
      <c r="B40" s="6" t="s">
        <v>1581</v>
      </c>
      <c r="C40" s="6" t="s">
        <v>1582</v>
      </c>
      <c r="D40" s="7" t="s">
        <v>1805</v>
      </c>
      <c r="E40" s="6" t="s">
        <v>1806</v>
      </c>
      <c r="F40" s="6" t="s">
        <v>1746</v>
      </c>
      <c r="G40" s="6" t="str">
        <f>IFERROR(__xludf.DUMMYFUNCTION("FILTER(RAW_met_lieux_inclusion_numeriq!B:B,RAW_met_lieux_inclusion_numeriq!B:B=F40)"),"#N/A")</f>
        <v>#N/A</v>
      </c>
      <c r="H40" s="6" t="s">
        <v>1747</v>
      </c>
      <c r="I40" s="6" t="s">
        <v>1601</v>
      </c>
      <c r="J40" s="7" t="s">
        <v>1711</v>
      </c>
      <c r="K40" s="6" t="s">
        <v>1589</v>
      </c>
      <c r="L40" s="6" t="s">
        <v>1590</v>
      </c>
      <c r="M40" s="6" t="s">
        <v>1807</v>
      </c>
      <c r="N40" s="6" t="s">
        <v>1592</v>
      </c>
      <c r="O40" s="6" t="s">
        <v>1593</v>
      </c>
      <c r="P40" s="6" t="s">
        <v>1594</v>
      </c>
      <c r="Q40" s="7" t="s">
        <v>1805</v>
      </c>
      <c r="S40" s="6" t="s">
        <v>1601</v>
      </c>
      <c r="T40" s="6" t="s">
        <v>1596</v>
      </c>
    </row>
    <row r="41">
      <c r="A41" s="7" t="s">
        <v>1776</v>
      </c>
      <c r="B41" s="6" t="s">
        <v>1581</v>
      </c>
      <c r="C41" s="6" t="s">
        <v>1582</v>
      </c>
      <c r="D41" s="7" t="s">
        <v>1808</v>
      </c>
      <c r="E41" s="6" t="s">
        <v>1809</v>
      </c>
      <c r="F41" s="6" t="s">
        <v>1810</v>
      </c>
      <c r="G41" s="6" t="str">
        <f>IFERROR(__xludf.DUMMYFUNCTION("FILTER(RAW_met_lieux_inclusion_numeriq!B:B,RAW_met_lieux_inclusion_numeriq!B:B=F41)"),"#N/A")</f>
        <v>#N/A</v>
      </c>
      <c r="H41" s="6" t="s">
        <v>1811</v>
      </c>
      <c r="I41" s="6" t="s">
        <v>1601</v>
      </c>
      <c r="J41" s="7" t="s">
        <v>1714</v>
      </c>
      <c r="K41" s="6" t="s">
        <v>1589</v>
      </c>
      <c r="L41" s="6" t="s">
        <v>1603</v>
      </c>
      <c r="M41" s="6" t="s">
        <v>1812</v>
      </c>
      <c r="N41" s="6" t="s">
        <v>1592</v>
      </c>
      <c r="O41" s="6" t="s">
        <v>1593</v>
      </c>
      <c r="P41" s="6" t="s">
        <v>1594</v>
      </c>
      <c r="Q41" s="7" t="s">
        <v>1808</v>
      </c>
      <c r="S41" s="6" t="s">
        <v>1601</v>
      </c>
      <c r="T41" s="6" t="s">
        <v>1596</v>
      </c>
    </row>
    <row r="42">
      <c r="A42" s="7" t="s">
        <v>1776</v>
      </c>
      <c r="B42" s="6" t="s">
        <v>1581</v>
      </c>
      <c r="C42" s="6" t="s">
        <v>1582</v>
      </c>
      <c r="D42" s="7" t="s">
        <v>1813</v>
      </c>
      <c r="E42" s="6" t="s">
        <v>1814</v>
      </c>
      <c r="F42" s="6" t="s">
        <v>1815</v>
      </c>
      <c r="G42" s="6" t="str">
        <f>IFERROR(__xludf.DUMMYFUNCTION("FILTER(RAW_met_lieux_inclusion_numeriq!B:B,RAW_met_lieux_inclusion_numeriq!B:B=F42)"),"#N/A")</f>
        <v>#N/A</v>
      </c>
      <c r="H42" s="6" t="s">
        <v>1816</v>
      </c>
      <c r="I42" s="6" t="s">
        <v>1817</v>
      </c>
      <c r="J42" s="7" t="s">
        <v>1818</v>
      </c>
      <c r="K42" s="6" t="s">
        <v>1589</v>
      </c>
      <c r="L42" s="6" t="s">
        <v>1603</v>
      </c>
      <c r="M42" s="6" t="s">
        <v>1819</v>
      </c>
      <c r="N42" s="6" t="s">
        <v>1592</v>
      </c>
      <c r="O42" s="6" t="s">
        <v>1593</v>
      </c>
      <c r="P42" s="6" t="s">
        <v>1594</v>
      </c>
      <c r="Q42" s="7" t="s">
        <v>1813</v>
      </c>
      <c r="S42" s="6" t="s">
        <v>1595</v>
      </c>
      <c r="T42" s="6" t="s">
        <v>1596</v>
      </c>
    </row>
    <row r="43">
      <c r="A43" s="7" t="s">
        <v>1776</v>
      </c>
      <c r="B43" s="6" t="s">
        <v>1581</v>
      </c>
      <c r="C43" s="6" t="s">
        <v>1582</v>
      </c>
      <c r="D43" s="7" t="s">
        <v>1820</v>
      </c>
      <c r="E43" s="6" t="s">
        <v>1806</v>
      </c>
      <c r="F43" s="6" t="s">
        <v>1821</v>
      </c>
      <c r="G43" s="6" t="str">
        <f>IFERROR(__xludf.DUMMYFUNCTION("FILTER(RAW_met_lieux_inclusion_numeriq!B:B,RAW_met_lieux_inclusion_numeriq!B:B=F43)"),"#N/A")</f>
        <v>#N/A</v>
      </c>
      <c r="H43" s="6" t="s">
        <v>1822</v>
      </c>
      <c r="I43" s="6" t="s">
        <v>1817</v>
      </c>
      <c r="J43" s="7" t="s">
        <v>1823</v>
      </c>
      <c r="K43" s="6" t="s">
        <v>1589</v>
      </c>
      <c r="L43" s="6" t="s">
        <v>1590</v>
      </c>
      <c r="M43" s="6" t="s">
        <v>1824</v>
      </c>
      <c r="N43" s="6" t="s">
        <v>1592</v>
      </c>
      <c r="O43" s="6" t="s">
        <v>1593</v>
      </c>
      <c r="P43" s="6" t="s">
        <v>1594</v>
      </c>
      <c r="Q43" s="7" t="s">
        <v>1820</v>
      </c>
      <c r="S43" s="6" t="s">
        <v>1595</v>
      </c>
      <c r="T43" s="6" t="s">
        <v>1596</v>
      </c>
    </row>
    <row r="44">
      <c r="A44" s="7" t="s">
        <v>1776</v>
      </c>
      <c r="B44" s="6" t="s">
        <v>1581</v>
      </c>
      <c r="C44" s="6" t="s">
        <v>1582</v>
      </c>
      <c r="D44" s="7" t="s">
        <v>1808</v>
      </c>
      <c r="E44" s="6" t="s">
        <v>1806</v>
      </c>
      <c r="F44" s="6" t="s">
        <v>1825</v>
      </c>
      <c r="G44" s="6" t="str">
        <f>IFERROR(__xludf.DUMMYFUNCTION("FILTER(RAW_met_lieux_inclusion_numeriq!B:B,RAW_met_lieux_inclusion_numeriq!B:B=F44)"),"#N/A")</f>
        <v>#N/A</v>
      </c>
      <c r="H44" s="6" t="s">
        <v>1826</v>
      </c>
      <c r="I44" s="6" t="s">
        <v>1601</v>
      </c>
      <c r="J44" s="7" t="s">
        <v>1588</v>
      </c>
      <c r="K44" s="6" t="s">
        <v>1589</v>
      </c>
      <c r="L44" s="6" t="s">
        <v>1590</v>
      </c>
      <c r="M44" s="6" t="s">
        <v>1812</v>
      </c>
      <c r="N44" s="6" t="s">
        <v>1592</v>
      </c>
      <c r="O44" s="6" t="s">
        <v>1593</v>
      </c>
      <c r="P44" s="6" t="s">
        <v>1594</v>
      </c>
      <c r="Q44" s="7" t="s">
        <v>1808</v>
      </c>
      <c r="S44" s="6" t="s">
        <v>1601</v>
      </c>
      <c r="T44" s="6" t="s">
        <v>1596</v>
      </c>
    </row>
    <row r="45">
      <c r="A45" s="7" t="s">
        <v>1776</v>
      </c>
      <c r="B45" s="6" t="s">
        <v>1581</v>
      </c>
      <c r="C45" s="6" t="s">
        <v>1582</v>
      </c>
      <c r="D45" s="7" t="s">
        <v>1827</v>
      </c>
      <c r="E45" s="6" t="s">
        <v>1828</v>
      </c>
      <c r="F45" s="6" t="s">
        <v>1829</v>
      </c>
      <c r="G45" s="6" t="str">
        <f>IFERROR(__xludf.DUMMYFUNCTION("FILTER(RAW_met_lieux_inclusion_numeriq!B:B,RAW_met_lieux_inclusion_numeriq!B:B=F45)"),"#N/A")</f>
        <v>#N/A</v>
      </c>
      <c r="H45" s="6" t="s">
        <v>1830</v>
      </c>
      <c r="I45" s="6" t="s">
        <v>1831</v>
      </c>
      <c r="J45" s="7" t="s">
        <v>1832</v>
      </c>
      <c r="K45" s="6" t="s">
        <v>1589</v>
      </c>
      <c r="L45" s="6" t="s">
        <v>1603</v>
      </c>
      <c r="M45" s="6" t="s">
        <v>1833</v>
      </c>
      <c r="N45" s="6" t="s">
        <v>1592</v>
      </c>
      <c r="O45" s="6" t="s">
        <v>1593</v>
      </c>
      <c r="P45" s="6" t="s">
        <v>1594</v>
      </c>
      <c r="Q45" s="7" t="s">
        <v>1827</v>
      </c>
      <c r="S45" s="6" t="s">
        <v>1595</v>
      </c>
      <c r="T45" s="6" t="s">
        <v>1605</v>
      </c>
    </row>
    <row r="46">
      <c r="A46" s="7" t="s">
        <v>1776</v>
      </c>
      <c r="B46" s="6" t="s">
        <v>1581</v>
      </c>
      <c r="C46" s="6" t="s">
        <v>1582</v>
      </c>
      <c r="D46" s="7" t="s">
        <v>1834</v>
      </c>
      <c r="E46" s="6" t="s">
        <v>1835</v>
      </c>
      <c r="F46" s="6" t="s">
        <v>1836</v>
      </c>
      <c r="G46" s="6" t="str">
        <f>IFERROR(__xludf.DUMMYFUNCTION("FILTER(RAW_met_lieux_inclusion_numeriq!B:B,RAW_met_lieux_inclusion_numeriq!B:B=F46)"),"#N/A")</f>
        <v>#N/A</v>
      </c>
      <c r="H46" s="6" t="s">
        <v>1837</v>
      </c>
      <c r="I46" s="6" t="s">
        <v>1838</v>
      </c>
      <c r="J46" s="7" t="s">
        <v>1617</v>
      </c>
      <c r="K46" s="6" t="s">
        <v>1589</v>
      </c>
      <c r="L46" s="6" t="s">
        <v>1603</v>
      </c>
      <c r="M46" s="6" t="s">
        <v>1839</v>
      </c>
      <c r="N46" s="6" t="s">
        <v>1592</v>
      </c>
      <c r="O46" s="6" t="s">
        <v>1593</v>
      </c>
      <c r="P46" s="6" t="s">
        <v>1594</v>
      </c>
      <c r="Q46" s="7" t="s">
        <v>1834</v>
      </c>
      <c r="S46" s="6" t="s">
        <v>1595</v>
      </c>
      <c r="T46" s="6" t="s">
        <v>1596</v>
      </c>
    </row>
    <row r="47">
      <c r="A47" s="7" t="s">
        <v>1840</v>
      </c>
      <c r="B47" s="6" t="s">
        <v>1581</v>
      </c>
      <c r="C47" s="6" t="s">
        <v>1582</v>
      </c>
      <c r="D47" s="7" t="s">
        <v>1841</v>
      </c>
      <c r="E47" s="6" t="s">
        <v>1842</v>
      </c>
      <c r="F47" s="6" t="s">
        <v>1843</v>
      </c>
      <c r="G47" s="6" t="str">
        <f>IFERROR(__xludf.DUMMYFUNCTION("FILTER(RAW_met_lieux_inclusion_numeriq!B:B,RAW_met_lieux_inclusion_numeriq!B:B=F47)"),"#N/A")</f>
        <v>#N/A</v>
      </c>
      <c r="H47" s="6" t="s">
        <v>1844</v>
      </c>
      <c r="I47" s="6" t="s">
        <v>1601</v>
      </c>
      <c r="J47" s="7" t="s">
        <v>1845</v>
      </c>
      <c r="K47" s="6" t="s">
        <v>1589</v>
      </c>
      <c r="L47" s="6" t="s">
        <v>1603</v>
      </c>
      <c r="M47" s="6" t="s">
        <v>1846</v>
      </c>
      <c r="N47" s="6" t="s">
        <v>1592</v>
      </c>
      <c r="O47" s="6" t="s">
        <v>1593</v>
      </c>
      <c r="P47" s="6" t="s">
        <v>1594</v>
      </c>
      <c r="Q47" s="7" t="s">
        <v>1841</v>
      </c>
      <c r="S47" s="6" t="s">
        <v>1601</v>
      </c>
      <c r="T47" s="6" t="s">
        <v>1605</v>
      </c>
    </row>
    <row r="48">
      <c r="A48" s="7" t="s">
        <v>1840</v>
      </c>
      <c r="B48" s="6" t="s">
        <v>1581</v>
      </c>
      <c r="C48" s="6" t="s">
        <v>1582</v>
      </c>
      <c r="D48" s="7" t="s">
        <v>1847</v>
      </c>
      <c r="E48" s="6" t="s">
        <v>1848</v>
      </c>
      <c r="F48" s="6" t="s">
        <v>1849</v>
      </c>
      <c r="G48" s="6" t="str">
        <f>IFERROR(__xludf.DUMMYFUNCTION("FILTER(RAW_met_lieux_inclusion_numeriq!B:B,RAW_met_lieux_inclusion_numeriq!B:B=F48)"),"#N/A")</f>
        <v>#N/A</v>
      </c>
      <c r="H48" s="6" t="s">
        <v>1850</v>
      </c>
      <c r="I48" s="6" t="s">
        <v>1601</v>
      </c>
      <c r="J48" s="7" t="s">
        <v>1851</v>
      </c>
      <c r="K48" s="6" t="s">
        <v>1589</v>
      </c>
      <c r="L48" s="6" t="s">
        <v>1603</v>
      </c>
      <c r="M48" s="6" t="s">
        <v>1852</v>
      </c>
      <c r="N48" s="6" t="s">
        <v>1592</v>
      </c>
      <c r="O48" s="6" t="s">
        <v>1593</v>
      </c>
      <c r="P48" s="6" t="s">
        <v>1594</v>
      </c>
      <c r="Q48" s="7" t="s">
        <v>1847</v>
      </c>
      <c r="S48" s="6" t="s">
        <v>1601</v>
      </c>
      <c r="T48" s="6" t="s">
        <v>1605</v>
      </c>
    </row>
    <row r="49">
      <c r="A49" s="7" t="s">
        <v>1840</v>
      </c>
      <c r="B49" s="6" t="s">
        <v>1581</v>
      </c>
      <c r="C49" s="6" t="s">
        <v>1582</v>
      </c>
      <c r="D49" s="7" t="s">
        <v>1853</v>
      </c>
      <c r="E49" s="6" t="s">
        <v>1854</v>
      </c>
      <c r="F49" s="6" t="s">
        <v>1855</v>
      </c>
      <c r="G49" s="6" t="str">
        <f>IFERROR(__xludf.DUMMYFUNCTION("FILTER(RAW_met_lieux_inclusion_numeriq!B:B,RAW_met_lieux_inclusion_numeriq!B:B=F49)"),"#N/A")</f>
        <v>#N/A</v>
      </c>
      <c r="H49" s="6" t="s">
        <v>1856</v>
      </c>
      <c r="I49" s="6" t="s">
        <v>1857</v>
      </c>
      <c r="J49" s="7" t="s">
        <v>1832</v>
      </c>
      <c r="K49" s="6" t="s">
        <v>1589</v>
      </c>
      <c r="L49" s="6" t="s">
        <v>1603</v>
      </c>
      <c r="M49" s="6" t="s">
        <v>1858</v>
      </c>
      <c r="N49" s="6" t="s">
        <v>1592</v>
      </c>
      <c r="O49" s="6" t="s">
        <v>1593</v>
      </c>
      <c r="P49" s="6" t="s">
        <v>1594</v>
      </c>
      <c r="Q49" s="7" t="s">
        <v>1853</v>
      </c>
      <c r="S49" s="6" t="s">
        <v>1595</v>
      </c>
      <c r="T49" s="6" t="s">
        <v>1605</v>
      </c>
    </row>
    <row r="50">
      <c r="A50" s="7" t="s">
        <v>1580</v>
      </c>
      <c r="B50" s="6" t="s">
        <v>1581</v>
      </c>
      <c r="C50" s="6" t="s">
        <v>1582</v>
      </c>
      <c r="D50" s="7" t="s">
        <v>1859</v>
      </c>
      <c r="E50" s="6" t="s">
        <v>1860</v>
      </c>
      <c r="F50" s="6" t="s">
        <v>1861</v>
      </c>
      <c r="G50" s="6" t="str">
        <f>IFERROR(__xludf.DUMMYFUNCTION("FILTER(RAW_met_lieux_inclusion_numeriq!B:B,RAW_met_lieux_inclusion_numeriq!B:B=F50)"),"#N/A")</f>
        <v>#N/A</v>
      </c>
      <c r="H50" s="6" t="s">
        <v>1862</v>
      </c>
      <c r="I50" s="6" t="s">
        <v>1601</v>
      </c>
      <c r="J50" s="7" t="s">
        <v>1863</v>
      </c>
      <c r="K50" s="6" t="s">
        <v>1589</v>
      </c>
      <c r="L50" s="6" t="s">
        <v>1603</v>
      </c>
      <c r="M50" s="6" t="s">
        <v>1864</v>
      </c>
      <c r="N50" s="6" t="s">
        <v>1592</v>
      </c>
      <c r="O50" s="6" t="s">
        <v>1593</v>
      </c>
      <c r="P50" s="6" t="s">
        <v>1594</v>
      </c>
      <c r="Q50" s="7" t="s">
        <v>1859</v>
      </c>
      <c r="S50" s="6" t="s">
        <v>1601</v>
      </c>
      <c r="T50" s="6" t="s">
        <v>1605</v>
      </c>
    </row>
    <row r="51">
      <c r="A51" s="7" t="s">
        <v>1580</v>
      </c>
      <c r="B51" s="6" t="s">
        <v>1581</v>
      </c>
      <c r="C51" s="6" t="s">
        <v>1582</v>
      </c>
      <c r="D51" s="7" t="s">
        <v>1865</v>
      </c>
      <c r="E51" s="6" t="s">
        <v>1866</v>
      </c>
      <c r="F51" s="6" t="s">
        <v>1867</v>
      </c>
      <c r="G51" s="6" t="str">
        <f>IFERROR(__xludf.DUMMYFUNCTION("FILTER(RAW_met_lieux_inclusion_numeriq!B:B,RAW_met_lieux_inclusion_numeriq!B:B=F51)"),"#N/A")</f>
        <v>#N/A</v>
      </c>
      <c r="H51" s="6" t="s">
        <v>1868</v>
      </c>
      <c r="I51" s="6" t="s">
        <v>1869</v>
      </c>
      <c r="J51" s="7" t="s">
        <v>1870</v>
      </c>
      <c r="K51" s="6" t="s">
        <v>1589</v>
      </c>
      <c r="L51" s="6" t="s">
        <v>1603</v>
      </c>
      <c r="M51" s="6" t="s">
        <v>1871</v>
      </c>
      <c r="N51" s="6" t="s">
        <v>1592</v>
      </c>
      <c r="O51" s="6" t="s">
        <v>1593</v>
      </c>
      <c r="P51" s="6" t="s">
        <v>1594</v>
      </c>
      <c r="Q51" s="7" t="s">
        <v>1865</v>
      </c>
      <c r="S51" s="6" t="s">
        <v>1595</v>
      </c>
      <c r="T51" s="6" t="s">
        <v>1634</v>
      </c>
    </row>
    <row r="52">
      <c r="A52" s="7" t="s">
        <v>1580</v>
      </c>
      <c r="B52" s="6" t="s">
        <v>1581</v>
      </c>
      <c r="C52" s="6" t="s">
        <v>1582</v>
      </c>
      <c r="D52" s="7" t="s">
        <v>1619</v>
      </c>
      <c r="E52" s="6" t="s">
        <v>1872</v>
      </c>
      <c r="F52" s="6" t="s">
        <v>1873</v>
      </c>
      <c r="G52" s="6" t="str">
        <f>IFERROR(__xludf.DUMMYFUNCTION("FILTER(RAW_met_lieux_inclusion_numeriq!B:B,RAW_met_lieux_inclusion_numeriq!B:B=F52)"),"#N/A")</f>
        <v>#N/A</v>
      </c>
      <c r="H52" s="6" t="s">
        <v>1874</v>
      </c>
      <c r="I52" s="6" t="s">
        <v>1875</v>
      </c>
      <c r="J52" s="7" t="s">
        <v>1651</v>
      </c>
      <c r="K52" s="6" t="s">
        <v>1589</v>
      </c>
      <c r="L52" s="6" t="s">
        <v>1603</v>
      </c>
      <c r="M52" s="6" t="s">
        <v>1625</v>
      </c>
      <c r="N52" s="6" t="s">
        <v>1592</v>
      </c>
      <c r="O52" s="6" t="s">
        <v>1593</v>
      </c>
      <c r="P52" s="6" t="s">
        <v>1594</v>
      </c>
      <c r="Q52" s="7" t="s">
        <v>1619</v>
      </c>
      <c r="S52" s="6" t="s">
        <v>1595</v>
      </c>
      <c r="T52" s="6" t="s">
        <v>1596</v>
      </c>
    </row>
    <row r="53">
      <c r="A53" s="7" t="s">
        <v>1580</v>
      </c>
      <c r="B53" s="6" t="s">
        <v>1581</v>
      </c>
      <c r="C53" s="6" t="s">
        <v>1582</v>
      </c>
      <c r="D53" s="7" t="s">
        <v>1876</v>
      </c>
      <c r="E53" s="6" t="s">
        <v>1877</v>
      </c>
      <c r="F53" s="6" t="s">
        <v>1878</v>
      </c>
      <c r="G53" s="6" t="str">
        <f>IFERROR(__xludf.DUMMYFUNCTION("FILTER(RAW_met_lieux_inclusion_numeriq!B:B,RAW_met_lieux_inclusion_numeriq!B:B=F53)"),"#N/A")</f>
        <v>#N/A</v>
      </c>
      <c r="H53" s="6" t="s">
        <v>1879</v>
      </c>
      <c r="I53" s="6" t="s">
        <v>1601</v>
      </c>
      <c r="J53" s="7" t="s">
        <v>1880</v>
      </c>
      <c r="K53" s="6" t="s">
        <v>1589</v>
      </c>
      <c r="L53" s="6" t="s">
        <v>1603</v>
      </c>
      <c r="M53" s="6" t="s">
        <v>1881</v>
      </c>
      <c r="N53" s="6" t="s">
        <v>1592</v>
      </c>
      <c r="O53" s="6" t="s">
        <v>1593</v>
      </c>
      <c r="P53" s="6" t="s">
        <v>1594</v>
      </c>
      <c r="Q53" s="7" t="s">
        <v>1876</v>
      </c>
      <c r="S53" s="6" t="s">
        <v>1601</v>
      </c>
      <c r="T53" s="6" t="s">
        <v>1596</v>
      </c>
    </row>
    <row r="54">
      <c r="A54" s="7" t="s">
        <v>1580</v>
      </c>
      <c r="B54" s="6" t="s">
        <v>1581</v>
      </c>
      <c r="C54" s="6" t="s">
        <v>1582</v>
      </c>
      <c r="D54" s="7" t="s">
        <v>1882</v>
      </c>
      <c r="E54" s="6" t="s">
        <v>1883</v>
      </c>
      <c r="F54" s="6" t="s">
        <v>1884</v>
      </c>
      <c r="G54" s="6" t="str">
        <f>IFERROR(__xludf.DUMMYFUNCTION("FILTER(RAW_met_lieux_inclusion_numeriq!B:B,RAW_met_lieux_inclusion_numeriq!B:B=F54)"),"#N/A")</f>
        <v>#N/A</v>
      </c>
      <c r="H54" s="6" t="s">
        <v>1885</v>
      </c>
      <c r="I54" s="6" t="s">
        <v>1886</v>
      </c>
      <c r="J54" s="7" t="s">
        <v>1887</v>
      </c>
      <c r="K54" s="6" t="s">
        <v>1589</v>
      </c>
      <c r="L54" s="6" t="s">
        <v>1603</v>
      </c>
      <c r="M54" s="6" t="s">
        <v>1888</v>
      </c>
      <c r="N54" s="6" t="s">
        <v>1592</v>
      </c>
      <c r="O54" s="6" t="s">
        <v>1593</v>
      </c>
      <c r="P54" s="6" t="s">
        <v>1594</v>
      </c>
      <c r="Q54" s="7" t="s">
        <v>1882</v>
      </c>
      <c r="S54" s="6" t="s">
        <v>1595</v>
      </c>
      <c r="T54" s="6" t="s">
        <v>1634</v>
      </c>
    </row>
    <row r="55">
      <c r="A55" s="7" t="s">
        <v>1626</v>
      </c>
      <c r="B55" s="6" t="s">
        <v>1581</v>
      </c>
      <c r="C55" s="6" t="s">
        <v>1582</v>
      </c>
      <c r="D55" s="7" t="s">
        <v>1635</v>
      </c>
      <c r="E55" s="6" t="s">
        <v>1889</v>
      </c>
      <c r="F55" s="6" t="s">
        <v>1629</v>
      </c>
      <c r="G55" s="6" t="str">
        <f>IFERROR(__xludf.DUMMYFUNCTION("FILTER(RAW_met_lieux_inclusion_numeriq!B:B,RAW_met_lieux_inclusion_numeriq!B:B=F55)"),"#N/A")</f>
        <v>#N/A</v>
      </c>
      <c r="H55" s="6" t="s">
        <v>1630</v>
      </c>
      <c r="I55" s="6" t="s">
        <v>1890</v>
      </c>
      <c r="J55" s="7" t="s">
        <v>1588</v>
      </c>
      <c r="K55" s="6" t="s">
        <v>1589</v>
      </c>
      <c r="L55" s="6" t="s">
        <v>1603</v>
      </c>
      <c r="M55" s="6" t="s">
        <v>1640</v>
      </c>
      <c r="N55" s="6" t="s">
        <v>1592</v>
      </c>
      <c r="O55" s="6" t="s">
        <v>1593</v>
      </c>
      <c r="P55" s="6" t="s">
        <v>1594</v>
      </c>
      <c r="Q55" s="7" t="s">
        <v>1635</v>
      </c>
      <c r="S55" s="6" t="s">
        <v>1595</v>
      </c>
      <c r="T55" s="6" t="s">
        <v>1596</v>
      </c>
    </row>
    <row r="56">
      <c r="A56" s="7" t="s">
        <v>1626</v>
      </c>
      <c r="B56" s="6" t="s">
        <v>1581</v>
      </c>
      <c r="C56" s="6" t="s">
        <v>1582</v>
      </c>
      <c r="D56" s="7" t="s">
        <v>1654</v>
      </c>
      <c r="E56" s="6" t="s">
        <v>1647</v>
      </c>
      <c r="F56" s="6" t="s">
        <v>1891</v>
      </c>
      <c r="G56" s="6" t="str">
        <f>IFERROR(__xludf.DUMMYFUNCTION("FILTER(RAW_met_lieux_inclusion_numeriq!B:B,RAW_met_lieux_inclusion_numeriq!B:B=F56)"),"#N/A")</f>
        <v>#N/A</v>
      </c>
      <c r="H56" s="6" t="s">
        <v>1892</v>
      </c>
      <c r="I56" s="6" t="s">
        <v>1601</v>
      </c>
      <c r="J56" s="7" t="s">
        <v>1893</v>
      </c>
      <c r="K56" s="6" t="s">
        <v>1589</v>
      </c>
      <c r="L56" s="6" t="s">
        <v>1603</v>
      </c>
      <c r="M56" s="6" t="s">
        <v>1659</v>
      </c>
      <c r="N56" s="6" t="s">
        <v>1592</v>
      </c>
      <c r="O56" s="6" t="s">
        <v>1593</v>
      </c>
      <c r="P56" s="6" t="s">
        <v>1594</v>
      </c>
      <c r="Q56" s="7" t="s">
        <v>1654</v>
      </c>
      <c r="S56" s="6" t="s">
        <v>1601</v>
      </c>
      <c r="T56" s="6" t="s">
        <v>1634</v>
      </c>
    </row>
    <row r="57">
      <c r="A57" s="7" t="s">
        <v>1626</v>
      </c>
      <c r="B57" s="6" t="s">
        <v>1581</v>
      </c>
      <c r="C57" s="6" t="s">
        <v>1582</v>
      </c>
      <c r="D57" s="7" t="s">
        <v>1660</v>
      </c>
      <c r="E57" s="6" t="s">
        <v>1894</v>
      </c>
      <c r="F57" s="6" t="s">
        <v>1895</v>
      </c>
      <c r="G57" s="6" t="str">
        <f>IFERROR(__xludf.DUMMYFUNCTION("FILTER(RAW_met_lieux_inclusion_numeriq!B:B,RAW_met_lieux_inclusion_numeriq!B:B=F57)"),"#N/A")</f>
        <v>#N/A</v>
      </c>
      <c r="H57" s="6" t="s">
        <v>1896</v>
      </c>
      <c r="I57" s="6" t="s">
        <v>1601</v>
      </c>
      <c r="J57" s="7" t="s">
        <v>1897</v>
      </c>
      <c r="K57" s="6" t="s">
        <v>1589</v>
      </c>
      <c r="L57" s="6" t="s">
        <v>1603</v>
      </c>
      <c r="M57" s="6" t="s">
        <v>1666</v>
      </c>
      <c r="N57" s="6" t="s">
        <v>1592</v>
      </c>
      <c r="O57" s="6" t="s">
        <v>1593</v>
      </c>
      <c r="P57" s="6" t="s">
        <v>1594</v>
      </c>
      <c r="Q57" s="7" t="s">
        <v>1660</v>
      </c>
      <c r="S57" s="6" t="s">
        <v>1601</v>
      </c>
      <c r="T57" s="6" t="s">
        <v>1645</v>
      </c>
    </row>
    <row r="58">
      <c r="A58" s="7" t="s">
        <v>1626</v>
      </c>
      <c r="B58" s="6" t="s">
        <v>1581</v>
      </c>
      <c r="C58" s="6" t="s">
        <v>1582</v>
      </c>
      <c r="D58" s="7" t="s">
        <v>1898</v>
      </c>
      <c r="E58" s="6" t="s">
        <v>1899</v>
      </c>
      <c r="F58" s="6" t="s">
        <v>1900</v>
      </c>
      <c r="G58" s="6" t="str">
        <f>IFERROR(__xludf.DUMMYFUNCTION("FILTER(RAW_met_lieux_inclusion_numeriq!B:B,RAW_met_lieux_inclusion_numeriq!B:B=F58)"),"#N/A")</f>
        <v>#N/A</v>
      </c>
      <c r="H58" s="6" t="s">
        <v>1811</v>
      </c>
      <c r="I58" s="6" t="s">
        <v>1601</v>
      </c>
      <c r="J58" s="7" t="s">
        <v>1901</v>
      </c>
      <c r="K58" s="6" t="s">
        <v>1589</v>
      </c>
      <c r="L58" s="6" t="s">
        <v>1603</v>
      </c>
      <c r="M58" s="6" t="s">
        <v>1902</v>
      </c>
      <c r="N58" s="6" t="s">
        <v>1592</v>
      </c>
      <c r="O58" s="6" t="s">
        <v>1593</v>
      </c>
      <c r="P58" s="6" t="s">
        <v>1594</v>
      </c>
      <c r="Q58" s="7" t="s">
        <v>1898</v>
      </c>
      <c r="S58" s="6" t="s">
        <v>1601</v>
      </c>
      <c r="T58" s="6" t="s">
        <v>1634</v>
      </c>
    </row>
    <row r="59">
      <c r="A59" s="7" t="s">
        <v>1626</v>
      </c>
      <c r="B59" s="6" t="s">
        <v>1581</v>
      </c>
      <c r="C59" s="6" t="s">
        <v>1582</v>
      </c>
      <c r="D59" s="7" t="s">
        <v>1660</v>
      </c>
      <c r="E59" s="6" t="s">
        <v>1903</v>
      </c>
      <c r="F59" s="6" t="s">
        <v>1796</v>
      </c>
      <c r="G59" s="6" t="str">
        <f>IFERROR(__xludf.DUMMYFUNCTION("FILTER(RAW_met_lieux_inclusion_numeriq!B:B,RAW_met_lieux_inclusion_numeriq!B:B=F59)"),"#N/A")</f>
        <v>#N/A</v>
      </c>
      <c r="H59" s="6" t="s">
        <v>1797</v>
      </c>
      <c r="I59" s="6" t="s">
        <v>1904</v>
      </c>
      <c r="J59" s="7" t="s">
        <v>1905</v>
      </c>
      <c r="K59" s="6" t="s">
        <v>1589</v>
      </c>
      <c r="L59" s="6" t="s">
        <v>1603</v>
      </c>
      <c r="M59" s="6" t="s">
        <v>1666</v>
      </c>
      <c r="N59" s="6" t="s">
        <v>1592</v>
      </c>
      <c r="O59" s="6" t="s">
        <v>1593</v>
      </c>
      <c r="P59" s="6" t="s">
        <v>1594</v>
      </c>
      <c r="Q59" s="7" t="s">
        <v>1660</v>
      </c>
      <c r="S59" s="6" t="s">
        <v>1595</v>
      </c>
      <c r="T59" s="6" t="s">
        <v>1605</v>
      </c>
    </row>
    <row r="60">
      <c r="A60" s="7" t="s">
        <v>1626</v>
      </c>
      <c r="B60" s="6" t="s">
        <v>1581</v>
      </c>
      <c r="C60" s="6" t="s">
        <v>1582</v>
      </c>
      <c r="D60" s="7" t="s">
        <v>1906</v>
      </c>
      <c r="E60" s="6" t="s">
        <v>1907</v>
      </c>
      <c r="F60" s="6" t="s">
        <v>1908</v>
      </c>
      <c r="G60" s="6" t="str">
        <f>IFERROR(__xludf.DUMMYFUNCTION("FILTER(RAW_met_lieux_inclusion_numeriq!B:B,RAW_met_lieux_inclusion_numeriq!B:B=F60)"),"#N/A")</f>
        <v>#N/A</v>
      </c>
      <c r="H60" s="6" t="s">
        <v>1909</v>
      </c>
      <c r="I60" s="6" t="s">
        <v>1601</v>
      </c>
      <c r="J60" s="7" t="s">
        <v>1910</v>
      </c>
      <c r="K60" s="6" t="s">
        <v>1589</v>
      </c>
      <c r="L60" s="6" t="s">
        <v>1603</v>
      </c>
      <c r="M60" s="6" t="s">
        <v>1911</v>
      </c>
      <c r="N60" s="6" t="s">
        <v>1592</v>
      </c>
      <c r="O60" s="6" t="s">
        <v>1593</v>
      </c>
      <c r="P60" s="6" t="s">
        <v>1594</v>
      </c>
      <c r="Q60" s="7" t="s">
        <v>1906</v>
      </c>
      <c r="S60" s="6" t="s">
        <v>1601</v>
      </c>
      <c r="T60" s="6" t="s">
        <v>1634</v>
      </c>
    </row>
    <row r="61">
      <c r="A61" s="7" t="s">
        <v>1626</v>
      </c>
      <c r="B61" s="6" t="s">
        <v>1581</v>
      </c>
      <c r="C61" s="6" t="s">
        <v>1582</v>
      </c>
      <c r="D61" s="7" t="s">
        <v>1912</v>
      </c>
      <c r="E61" s="6" t="s">
        <v>1913</v>
      </c>
      <c r="F61" s="6" t="s">
        <v>1914</v>
      </c>
      <c r="G61" s="6" t="str">
        <f>IFERROR(__xludf.DUMMYFUNCTION("FILTER(RAW_met_lieux_inclusion_numeriq!B:B,RAW_met_lieux_inclusion_numeriq!B:B=F61)"),"#N/A")</f>
        <v>#N/A</v>
      </c>
      <c r="H61" s="6" t="s">
        <v>1915</v>
      </c>
      <c r="I61" s="6" t="s">
        <v>1601</v>
      </c>
      <c r="J61" s="7" t="s">
        <v>1916</v>
      </c>
      <c r="K61" s="6" t="s">
        <v>1589</v>
      </c>
      <c r="L61" s="6" t="s">
        <v>1603</v>
      </c>
      <c r="M61" s="6" t="s">
        <v>1917</v>
      </c>
      <c r="N61" s="6" t="s">
        <v>1592</v>
      </c>
      <c r="O61" s="6" t="s">
        <v>1593</v>
      </c>
      <c r="P61" s="6" t="s">
        <v>1594</v>
      </c>
      <c r="Q61" s="7" t="s">
        <v>1912</v>
      </c>
      <c r="S61" s="6" t="s">
        <v>1601</v>
      </c>
      <c r="T61" s="6" t="s">
        <v>1605</v>
      </c>
    </row>
    <row r="62">
      <c r="A62" s="7" t="s">
        <v>1626</v>
      </c>
      <c r="B62" s="6" t="s">
        <v>1581</v>
      </c>
      <c r="C62" s="6" t="s">
        <v>1582</v>
      </c>
      <c r="D62" s="7" t="s">
        <v>1906</v>
      </c>
      <c r="E62" s="6" t="s">
        <v>1918</v>
      </c>
      <c r="F62" s="6" t="s">
        <v>1919</v>
      </c>
      <c r="G62" s="6" t="str">
        <f>IFERROR(__xludf.DUMMYFUNCTION("FILTER(RAW_met_lieux_inclusion_numeriq!B:B,RAW_met_lieux_inclusion_numeriq!B:B=F62)"),"#N/A")</f>
        <v>#N/A</v>
      </c>
      <c r="H62" s="6" t="s">
        <v>1920</v>
      </c>
      <c r="I62" s="6" t="s">
        <v>1921</v>
      </c>
      <c r="J62" s="7" t="s">
        <v>1922</v>
      </c>
      <c r="K62" s="6" t="s">
        <v>1589</v>
      </c>
      <c r="L62" s="6" t="s">
        <v>1603</v>
      </c>
      <c r="M62" s="6" t="s">
        <v>1911</v>
      </c>
      <c r="N62" s="6" t="s">
        <v>1592</v>
      </c>
      <c r="O62" s="6" t="s">
        <v>1593</v>
      </c>
      <c r="P62" s="6" t="s">
        <v>1594</v>
      </c>
      <c r="Q62" s="7" t="s">
        <v>1906</v>
      </c>
      <c r="S62" s="6" t="s">
        <v>1595</v>
      </c>
      <c r="T62" s="6" t="s">
        <v>1634</v>
      </c>
    </row>
    <row r="63">
      <c r="A63" s="7" t="s">
        <v>1692</v>
      </c>
      <c r="B63" s="6" t="s">
        <v>1581</v>
      </c>
      <c r="C63" s="6" t="s">
        <v>1582</v>
      </c>
      <c r="D63" s="7" t="s">
        <v>1626</v>
      </c>
      <c r="E63" s="6" t="s">
        <v>1923</v>
      </c>
      <c r="F63" s="6" t="s">
        <v>1924</v>
      </c>
      <c r="G63" s="6" t="str">
        <f>IFERROR(__xludf.DUMMYFUNCTION("FILTER(RAW_met_lieux_inclusion_numeriq!B:B,RAW_met_lieux_inclusion_numeriq!B:B=F63)"),"#N/A")</f>
        <v>#N/A</v>
      </c>
      <c r="H63" s="6" t="s">
        <v>1925</v>
      </c>
      <c r="I63" s="6" t="s">
        <v>1926</v>
      </c>
      <c r="J63" s="7" t="s">
        <v>1927</v>
      </c>
      <c r="K63" s="6" t="s">
        <v>1589</v>
      </c>
      <c r="L63" s="6" t="s">
        <v>1603</v>
      </c>
      <c r="M63" s="6" t="s">
        <v>1928</v>
      </c>
      <c r="N63" s="6" t="s">
        <v>1592</v>
      </c>
      <c r="O63" s="6" t="s">
        <v>1593</v>
      </c>
      <c r="P63" s="6" t="s">
        <v>1594</v>
      </c>
      <c r="Q63" s="7" t="s">
        <v>1626</v>
      </c>
      <c r="S63" s="6" t="s">
        <v>1595</v>
      </c>
      <c r="T63" s="6" t="s">
        <v>1596</v>
      </c>
    </row>
    <row r="64">
      <c r="A64" s="7" t="s">
        <v>1692</v>
      </c>
      <c r="B64" s="6" t="s">
        <v>1581</v>
      </c>
      <c r="C64" s="6" t="s">
        <v>1582</v>
      </c>
      <c r="D64" s="7" t="s">
        <v>1929</v>
      </c>
      <c r="E64" s="6" t="s">
        <v>1930</v>
      </c>
      <c r="F64" s="6" t="s">
        <v>1931</v>
      </c>
      <c r="G64" s="6" t="str">
        <f>IFERROR(__xludf.DUMMYFUNCTION("FILTER(RAW_met_lieux_inclusion_numeriq!B:B,RAW_met_lieux_inclusion_numeriq!B:B=F64)"),"#N/A")</f>
        <v>#N/A</v>
      </c>
      <c r="H64" s="6" t="s">
        <v>1932</v>
      </c>
      <c r="I64" s="6" t="s">
        <v>1933</v>
      </c>
      <c r="J64" s="7" t="s">
        <v>1934</v>
      </c>
      <c r="K64" s="6" t="s">
        <v>1589</v>
      </c>
      <c r="L64" s="6" t="s">
        <v>1603</v>
      </c>
      <c r="M64" s="6" t="s">
        <v>1935</v>
      </c>
      <c r="N64" s="6" t="s">
        <v>1592</v>
      </c>
      <c r="O64" s="6" t="s">
        <v>1593</v>
      </c>
      <c r="P64" s="6" t="s">
        <v>1594</v>
      </c>
      <c r="Q64" s="7" t="s">
        <v>1929</v>
      </c>
      <c r="S64" s="6" t="s">
        <v>1595</v>
      </c>
      <c r="T64" s="6" t="s">
        <v>1605</v>
      </c>
    </row>
    <row r="65">
      <c r="A65" s="7" t="s">
        <v>1692</v>
      </c>
      <c r="B65" s="6" t="s">
        <v>1581</v>
      </c>
      <c r="C65" s="6" t="s">
        <v>1582</v>
      </c>
      <c r="D65" s="7" t="s">
        <v>1936</v>
      </c>
      <c r="E65" s="6" t="s">
        <v>1607</v>
      </c>
      <c r="F65" s="6" t="s">
        <v>1937</v>
      </c>
      <c r="G65" s="6" t="str">
        <f>IFERROR(__xludf.DUMMYFUNCTION("FILTER(RAW_met_lieux_inclusion_numeriq!B:B,RAW_met_lieux_inclusion_numeriq!B:B=F65)"),"#N/A")</f>
        <v>#N/A</v>
      </c>
      <c r="H65" s="6" t="s">
        <v>1938</v>
      </c>
      <c r="I65" s="6" t="s">
        <v>1939</v>
      </c>
      <c r="J65" s="7" t="s">
        <v>1588</v>
      </c>
      <c r="K65" s="6" t="s">
        <v>1589</v>
      </c>
      <c r="L65" s="6" t="s">
        <v>1603</v>
      </c>
      <c r="M65" s="6" t="s">
        <v>1940</v>
      </c>
      <c r="N65" s="6" t="s">
        <v>1592</v>
      </c>
      <c r="O65" s="6" t="s">
        <v>1593</v>
      </c>
      <c r="P65" s="6" t="s">
        <v>1594</v>
      </c>
      <c r="Q65" s="7" t="s">
        <v>1936</v>
      </c>
      <c r="S65" s="6" t="s">
        <v>1595</v>
      </c>
      <c r="T65" s="6" t="s">
        <v>1596</v>
      </c>
    </row>
    <row r="66">
      <c r="A66" s="7" t="s">
        <v>1692</v>
      </c>
      <c r="B66" s="6" t="s">
        <v>1581</v>
      </c>
      <c r="C66" s="6" t="s">
        <v>1582</v>
      </c>
      <c r="D66" s="7" t="s">
        <v>1700</v>
      </c>
      <c r="E66" s="6" t="s">
        <v>1941</v>
      </c>
      <c r="F66" s="6" t="s">
        <v>1942</v>
      </c>
      <c r="G66" s="6" t="str">
        <f>IFERROR(__xludf.DUMMYFUNCTION("FILTER(RAW_met_lieux_inclusion_numeriq!B:B,RAW_met_lieux_inclusion_numeriq!B:B=F66)"),"#N/A")</f>
        <v>#N/A</v>
      </c>
      <c r="H66" s="6" t="s">
        <v>1943</v>
      </c>
      <c r="I66" s="6" t="s">
        <v>1944</v>
      </c>
      <c r="J66" s="7" t="s">
        <v>1588</v>
      </c>
      <c r="K66" s="6" t="s">
        <v>1589</v>
      </c>
      <c r="L66" s="6" t="s">
        <v>1590</v>
      </c>
      <c r="M66" s="6" t="s">
        <v>1706</v>
      </c>
      <c r="N66" s="6" t="s">
        <v>1592</v>
      </c>
      <c r="O66" s="6" t="s">
        <v>1593</v>
      </c>
      <c r="P66" s="6" t="s">
        <v>1594</v>
      </c>
      <c r="Q66" s="7" t="s">
        <v>1700</v>
      </c>
      <c r="S66" s="6" t="s">
        <v>1595</v>
      </c>
      <c r="T66" s="6" t="s">
        <v>1596</v>
      </c>
    </row>
    <row r="67">
      <c r="A67" s="7" t="s">
        <v>1692</v>
      </c>
      <c r="B67" s="6" t="s">
        <v>1581</v>
      </c>
      <c r="C67" s="6" t="s">
        <v>1582</v>
      </c>
      <c r="D67" s="7" t="s">
        <v>1693</v>
      </c>
      <c r="E67" s="6" t="s">
        <v>1694</v>
      </c>
      <c r="F67" s="6" t="s">
        <v>1945</v>
      </c>
      <c r="G67" s="6" t="str">
        <f>IFERROR(__xludf.DUMMYFUNCTION("FILTER(RAW_met_lieux_inclusion_numeriq!B:B,RAW_met_lieux_inclusion_numeriq!B:B=F67)"),"#N/A")</f>
        <v>#N/A</v>
      </c>
      <c r="H67" s="6" t="s">
        <v>1946</v>
      </c>
      <c r="I67" s="6" t="s">
        <v>1710</v>
      </c>
      <c r="J67" s="7" t="s">
        <v>1651</v>
      </c>
      <c r="K67" s="6" t="s">
        <v>1589</v>
      </c>
      <c r="L67" s="6" t="s">
        <v>1603</v>
      </c>
      <c r="M67" s="6" t="s">
        <v>1699</v>
      </c>
      <c r="N67" s="6" t="s">
        <v>1592</v>
      </c>
      <c r="O67" s="6" t="s">
        <v>1593</v>
      </c>
      <c r="P67" s="6" t="s">
        <v>1594</v>
      </c>
      <c r="Q67" s="7" t="s">
        <v>1693</v>
      </c>
      <c r="S67" s="6" t="s">
        <v>1710</v>
      </c>
      <c r="T67" s="6" t="s">
        <v>1596</v>
      </c>
    </row>
    <row r="68">
      <c r="A68" s="7" t="s">
        <v>1692</v>
      </c>
      <c r="B68" s="6" t="s">
        <v>1581</v>
      </c>
      <c r="C68" s="6" t="s">
        <v>1582</v>
      </c>
      <c r="D68" s="7" t="s">
        <v>1693</v>
      </c>
      <c r="E68" s="6" t="s">
        <v>1694</v>
      </c>
      <c r="F68" s="6" t="s">
        <v>1947</v>
      </c>
      <c r="G68" s="6" t="str">
        <f>IFERROR(__xludf.DUMMYFUNCTION("FILTER(RAW_met_lieux_inclusion_numeriq!B:B,RAW_met_lieux_inclusion_numeriq!B:B=F68)"),"#N/A")</f>
        <v>#N/A</v>
      </c>
      <c r="H68" s="6" t="s">
        <v>1948</v>
      </c>
      <c r="I68" s="6" t="s">
        <v>1710</v>
      </c>
      <c r="J68" s="7" t="s">
        <v>1949</v>
      </c>
      <c r="K68" s="6" t="s">
        <v>1589</v>
      </c>
      <c r="L68" s="6" t="s">
        <v>1603</v>
      </c>
      <c r="M68" s="6" t="s">
        <v>1699</v>
      </c>
      <c r="N68" s="6" t="s">
        <v>1592</v>
      </c>
      <c r="O68" s="6" t="s">
        <v>1593</v>
      </c>
      <c r="P68" s="6" t="s">
        <v>1594</v>
      </c>
      <c r="Q68" s="7" t="s">
        <v>1693</v>
      </c>
      <c r="S68" s="6" t="s">
        <v>1710</v>
      </c>
      <c r="T68" s="6" t="s">
        <v>1596</v>
      </c>
    </row>
    <row r="69">
      <c r="A69" s="7" t="s">
        <v>1692</v>
      </c>
      <c r="B69" s="6" t="s">
        <v>1581</v>
      </c>
      <c r="C69" s="6" t="s">
        <v>1582</v>
      </c>
      <c r="D69" s="7" t="s">
        <v>1720</v>
      </c>
      <c r="E69" s="6" t="s">
        <v>1694</v>
      </c>
      <c r="F69" s="6" t="s">
        <v>1950</v>
      </c>
      <c r="G69" s="6" t="str">
        <f>IFERROR(__xludf.DUMMYFUNCTION("FILTER(RAW_met_lieux_inclusion_numeriq!B:B,RAW_met_lieux_inclusion_numeriq!B:B=F69)"),"#N/A")</f>
        <v>#N/A</v>
      </c>
      <c r="H69" s="6" t="s">
        <v>1951</v>
      </c>
      <c r="I69" s="6" t="s">
        <v>1710</v>
      </c>
      <c r="J69" s="7" t="s">
        <v>1949</v>
      </c>
      <c r="K69" s="6" t="s">
        <v>1589</v>
      </c>
      <c r="L69" s="6" t="s">
        <v>1603</v>
      </c>
      <c r="M69" s="6" t="s">
        <v>1724</v>
      </c>
      <c r="N69" s="6" t="s">
        <v>1592</v>
      </c>
      <c r="O69" s="6" t="s">
        <v>1593</v>
      </c>
      <c r="P69" s="6" t="s">
        <v>1594</v>
      </c>
      <c r="Q69" s="7" t="s">
        <v>1720</v>
      </c>
      <c r="S69" s="6" t="s">
        <v>1710</v>
      </c>
      <c r="T69" s="6" t="s">
        <v>1596</v>
      </c>
    </row>
    <row r="70">
      <c r="A70" s="7" t="s">
        <v>1692</v>
      </c>
      <c r="B70" s="6" t="s">
        <v>1581</v>
      </c>
      <c r="C70" s="6" t="s">
        <v>1582</v>
      </c>
      <c r="D70" s="7" t="s">
        <v>1725</v>
      </c>
      <c r="E70" s="6" t="s">
        <v>1694</v>
      </c>
      <c r="F70" s="6" t="s">
        <v>1952</v>
      </c>
      <c r="G70" s="6" t="str">
        <f>IFERROR(__xludf.DUMMYFUNCTION("FILTER(RAW_met_lieux_inclusion_numeriq!B:B,RAW_met_lieux_inclusion_numeriq!B:B=F70)"),"#N/A")</f>
        <v>#N/A</v>
      </c>
      <c r="H70" s="6" t="s">
        <v>1953</v>
      </c>
      <c r="I70" s="6" t="s">
        <v>1710</v>
      </c>
      <c r="J70" s="7" t="s">
        <v>1954</v>
      </c>
      <c r="K70" s="6" t="s">
        <v>1589</v>
      </c>
      <c r="L70" s="6" t="s">
        <v>1603</v>
      </c>
      <c r="M70" s="6" t="s">
        <v>1729</v>
      </c>
      <c r="N70" s="6" t="s">
        <v>1592</v>
      </c>
      <c r="O70" s="6" t="s">
        <v>1593</v>
      </c>
      <c r="P70" s="6" t="s">
        <v>1594</v>
      </c>
      <c r="Q70" s="7" t="s">
        <v>1725</v>
      </c>
      <c r="S70" s="6" t="s">
        <v>1710</v>
      </c>
      <c r="T70" s="6" t="s">
        <v>1596</v>
      </c>
    </row>
    <row r="71">
      <c r="A71" s="7" t="s">
        <v>1692</v>
      </c>
      <c r="B71" s="6" t="s">
        <v>1581</v>
      </c>
      <c r="C71" s="6" t="s">
        <v>1582</v>
      </c>
      <c r="D71" s="7" t="s">
        <v>1759</v>
      </c>
      <c r="E71" s="6" t="s">
        <v>1760</v>
      </c>
      <c r="F71" s="6" t="s">
        <v>1955</v>
      </c>
      <c r="G71" s="6" t="str">
        <f>IFERROR(__xludf.DUMMYFUNCTION("FILTER(RAW_met_lieux_inclusion_numeriq!B:B,RAW_met_lieux_inclusion_numeriq!B:B=F71)"),"#N/A")</f>
        <v>#N/A</v>
      </c>
      <c r="H71" s="6" t="s">
        <v>1956</v>
      </c>
      <c r="I71" s="6" t="s">
        <v>1763</v>
      </c>
      <c r="J71" s="7" t="s">
        <v>1957</v>
      </c>
      <c r="K71" s="6" t="s">
        <v>1589</v>
      </c>
      <c r="L71" s="6" t="s">
        <v>1603</v>
      </c>
      <c r="M71" s="6" t="s">
        <v>1765</v>
      </c>
      <c r="N71" s="6" t="s">
        <v>1592</v>
      </c>
      <c r="O71" s="6" t="s">
        <v>1593</v>
      </c>
      <c r="P71" s="6" t="s">
        <v>1594</v>
      </c>
      <c r="Q71" s="7" t="s">
        <v>1759</v>
      </c>
      <c r="S71" s="6" t="s">
        <v>1595</v>
      </c>
      <c r="T71" s="6" t="s">
        <v>1605</v>
      </c>
    </row>
    <row r="72">
      <c r="A72" s="7" t="s">
        <v>1692</v>
      </c>
      <c r="B72" s="6" t="s">
        <v>1581</v>
      </c>
      <c r="C72" s="6" t="s">
        <v>1582</v>
      </c>
      <c r="D72" s="7" t="s">
        <v>1958</v>
      </c>
      <c r="E72" s="6" t="s">
        <v>1760</v>
      </c>
      <c r="F72" s="6" t="s">
        <v>1825</v>
      </c>
      <c r="G72" s="6" t="str">
        <f>IFERROR(__xludf.DUMMYFUNCTION("FILTER(RAW_met_lieux_inclusion_numeriq!B:B,RAW_met_lieux_inclusion_numeriq!B:B=F72)"),"#N/A")</f>
        <v>#N/A</v>
      </c>
      <c r="H72" s="6" t="s">
        <v>1959</v>
      </c>
      <c r="I72" s="6" t="s">
        <v>1763</v>
      </c>
      <c r="J72" s="7" t="s">
        <v>1651</v>
      </c>
      <c r="K72" s="6" t="s">
        <v>1589</v>
      </c>
      <c r="L72" s="6" t="s">
        <v>1590</v>
      </c>
      <c r="M72" s="6" t="s">
        <v>1960</v>
      </c>
      <c r="N72" s="6" t="s">
        <v>1592</v>
      </c>
      <c r="O72" s="6" t="s">
        <v>1593</v>
      </c>
      <c r="P72" s="6" t="s">
        <v>1594</v>
      </c>
      <c r="Q72" s="7" t="s">
        <v>1958</v>
      </c>
      <c r="S72" s="6" t="s">
        <v>1595</v>
      </c>
      <c r="T72" s="6" t="s">
        <v>1596</v>
      </c>
    </row>
    <row r="73">
      <c r="A73" s="7" t="s">
        <v>1692</v>
      </c>
      <c r="B73" s="6" t="s">
        <v>1581</v>
      </c>
      <c r="C73" s="6" t="s">
        <v>1582</v>
      </c>
      <c r="D73" s="7" t="s">
        <v>1751</v>
      </c>
      <c r="E73" s="6" t="s">
        <v>1961</v>
      </c>
      <c r="F73" s="6" t="s">
        <v>1962</v>
      </c>
      <c r="G73" s="6" t="str">
        <f>IFERROR(__xludf.DUMMYFUNCTION("FILTER(RAW_met_lieux_inclusion_numeriq!B:B,RAW_met_lieux_inclusion_numeriq!B:B=F73)"),"#N/A")</f>
        <v>#N/A</v>
      </c>
      <c r="H73" s="6" t="s">
        <v>1963</v>
      </c>
      <c r="I73" s="6" t="s">
        <v>1601</v>
      </c>
      <c r="J73" s="7" t="s">
        <v>1964</v>
      </c>
      <c r="K73" s="6" t="s">
        <v>1589</v>
      </c>
      <c r="L73" s="6" t="s">
        <v>1603</v>
      </c>
      <c r="M73" s="6" t="s">
        <v>1753</v>
      </c>
      <c r="N73" s="6" t="s">
        <v>1592</v>
      </c>
      <c r="O73" s="6" t="s">
        <v>1593</v>
      </c>
      <c r="P73" s="6" t="s">
        <v>1594</v>
      </c>
      <c r="Q73" s="7" t="s">
        <v>1751</v>
      </c>
      <c r="S73" s="6" t="s">
        <v>1601</v>
      </c>
      <c r="T73" s="6" t="s">
        <v>1634</v>
      </c>
    </row>
    <row r="74">
      <c r="A74" s="7" t="s">
        <v>1692</v>
      </c>
      <c r="B74" s="6" t="s">
        <v>1581</v>
      </c>
      <c r="C74" s="6" t="s">
        <v>1582</v>
      </c>
      <c r="D74" s="7" t="s">
        <v>1754</v>
      </c>
      <c r="E74" s="6" t="s">
        <v>1760</v>
      </c>
      <c r="F74" s="6" t="s">
        <v>1965</v>
      </c>
      <c r="G74" s="6" t="str">
        <f>IFERROR(__xludf.DUMMYFUNCTION("FILTER(RAW_met_lieux_inclusion_numeriq!B:B,RAW_met_lieux_inclusion_numeriq!B:B=F74)"),"#N/A")</f>
        <v>#N/A</v>
      </c>
      <c r="H74" s="6" t="s">
        <v>1966</v>
      </c>
      <c r="I74" s="6" t="s">
        <v>1763</v>
      </c>
      <c r="J74" s="7" t="s">
        <v>1967</v>
      </c>
      <c r="K74" s="6" t="s">
        <v>1589</v>
      </c>
      <c r="L74" s="6" t="s">
        <v>1603</v>
      </c>
      <c r="M74" s="6" t="s">
        <v>1758</v>
      </c>
      <c r="N74" s="6" t="s">
        <v>1592</v>
      </c>
      <c r="O74" s="6" t="s">
        <v>1593</v>
      </c>
      <c r="P74" s="6" t="s">
        <v>1594</v>
      </c>
      <c r="Q74" s="7" t="s">
        <v>1754</v>
      </c>
      <c r="S74" s="6" t="s">
        <v>1595</v>
      </c>
      <c r="T74" s="6" t="s">
        <v>1605</v>
      </c>
    </row>
    <row r="75">
      <c r="A75" s="7" t="s">
        <v>1692</v>
      </c>
      <c r="B75" s="6" t="s">
        <v>1581</v>
      </c>
      <c r="C75" s="6" t="s">
        <v>1582</v>
      </c>
      <c r="D75" s="7" t="s">
        <v>1968</v>
      </c>
      <c r="E75" s="6" t="s">
        <v>1783</v>
      </c>
      <c r="F75" s="6" t="s">
        <v>1969</v>
      </c>
      <c r="G75" s="6" t="str">
        <f>IFERROR(__xludf.DUMMYFUNCTION("FILTER(RAW_met_lieux_inclusion_numeriq!B:B,RAW_met_lieux_inclusion_numeriq!B:B=F75)"),"#N/A")</f>
        <v>#N/A</v>
      </c>
      <c r="H75" s="6" t="s">
        <v>1970</v>
      </c>
      <c r="I75" s="6" t="s">
        <v>1971</v>
      </c>
      <c r="J75" s="7" t="s">
        <v>1972</v>
      </c>
      <c r="K75" s="6" t="s">
        <v>1589</v>
      </c>
      <c r="L75" s="6" t="s">
        <v>1603</v>
      </c>
      <c r="M75" s="6" t="s">
        <v>1973</v>
      </c>
      <c r="N75" s="6" t="s">
        <v>1592</v>
      </c>
      <c r="O75" s="6" t="s">
        <v>1593</v>
      </c>
      <c r="P75" s="6" t="s">
        <v>1594</v>
      </c>
      <c r="Q75" s="7" t="s">
        <v>1968</v>
      </c>
      <c r="S75" s="6" t="s">
        <v>1595</v>
      </c>
      <c r="T75" s="6" t="s">
        <v>1596</v>
      </c>
    </row>
    <row r="76">
      <c r="A76" s="7" t="s">
        <v>1692</v>
      </c>
      <c r="B76" s="6" t="s">
        <v>1581</v>
      </c>
      <c r="C76" s="6" t="s">
        <v>1582</v>
      </c>
      <c r="D76" s="7" t="s">
        <v>1799</v>
      </c>
      <c r="E76" s="6" t="s">
        <v>1783</v>
      </c>
      <c r="F76" s="6" t="s">
        <v>1746</v>
      </c>
      <c r="G76" s="6" t="str">
        <f>IFERROR(__xludf.DUMMYFUNCTION("FILTER(RAW_met_lieux_inclusion_numeriq!B:B,RAW_met_lieux_inclusion_numeriq!B:B=F76)"),"#N/A")</f>
        <v>#N/A</v>
      </c>
      <c r="H76" s="6" t="s">
        <v>1747</v>
      </c>
      <c r="I76" s="6" t="s">
        <v>1971</v>
      </c>
      <c r="J76" s="7" t="s">
        <v>1974</v>
      </c>
      <c r="K76" s="6" t="s">
        <v>1589</v>
      </c>
      <c r="L76" s="6" t="s">
        <v>1603</v>
      </c>
      <c r="M76" s="6" t="s">
        <v>1804</v>
      </c>
      <c r="N76" s="6" t="s">
        <v>1592</v>
      </c>
      <c r="O76" s="6" t="s">
        <v>1593</v>
      </c>
      <c r="P76" s="6" t="s">
        <v>1594</v>
      </c>
      <c r="Q76" s="7" t="s">
        <v>1799</v>
      </c>
      <c r="S76" s="6" t="s">
        <v>1595</v>
      </c>
      <c r="T76" s="6" t="s">
        <v>1596</v>
      </c>
    </row>
    <row r="77">
      <c r="A77" s="7" t="s">
        <v>1692</v>
      </c>
      <c r="B77" s="6" t="s">
        <v>1581</v>
      </c>
      <c r="C77" s="6" t="s">
        <v>1582</v>
      </c>
      <c r="D77" s="7" t="s">
        <v>1975</v>
      </c>
      <c r="E77" s="6" t="s">
        <v>1976</v>
      </c>
      <c r="F77" s="6" t="s">
        <v>1977</v>
      </c>
      <c r="G77" s="6" t="str">
        <f>IFERROR(__xludf.DUMMYFUNCTION("FILTER(RAW_met_lieux_inclusion_numeriq!B:B,RAW_met_lieux_inclusion_numeriq!B:B=F77)"),"#N/A")</f>
        <v>#N/A</v>
      </c>
      <c r="H77" s="6" t="s">
        <v>1978</v>
      </c>
      <c r="I77" s="6" t="s">
        <v>1979</v>
      </c>
      <c r="J77" s="7" t="s">
        <v>1980</v>
      </c>
      <c r="K77" s="6" t="s">
        <v>1589</v>
      </c>
      <c r="L77" s="6" t="s">
        <v>1603</v>
      </c>
      <c r="M77" s="6" t="s">
        <v>1981</v>
      </c>
      <c r="N77" s="6" t="s">
        <v>1592</v>
      </c>
      <c r="O77" s="6" t="s">
        <v>1593</v>
      </c>
      <c r="P77" s="6" t="s">
        <v>1594</v>
      </c>
      <c r="Q77" s="7" t="s">
        <v>1975</v>
      </c>
      <c r="S77" s="6" t="s">
        <v>1595</v>
      </c>
      <c r="T77" s="6" t="s">
        <v>1596</v>
      </c>
    </row>
    <row r="78">
      <c r="A78" s="7" t="s">
        <v>1776</v>
      </c>
      <c r="B78" s="6" t="s">
        <v>1581</v>
      </c>
      <c r="C78" s="6" t="s">
        <v>1582</v>
      </c>
      <c r="D78" s="7" t="s">
        <v>1982</v>
      </c>
      <c r="E78" s="6" t="s">
        <v>1983</v>
      </c>
      <c r="F78" s="6" t="s">
        <v>1984</v>
      </c>
      <c r="G78" s="6" t="str">
        <f>IFERROR(__xludf.DUMMYFUNCTION("FILTER(RAW_met_lieux_inclusion_numeriq!B:B,RAW_met_lieux_inclusion_numeriq!B:B=F78)"),"#N/A")</f>
        <v>#N/A</v>
      </c>
      <c r="H78" s="6" t="s">
        <v>1985</v>
      </c>
      <c r="I78" s="6" t="s">
        <v>1986</v>
      </c>
      <c r="J78" s="7" t="s">
        <v>1671</v>
      </c>
      <c r="K78" s="6" t="s">
        <v>1589</v>
      </c>
      <c r="L78" s="6" t="s">
        <v>1603</v>
      </c>
      <c r="M78" s="6" t="s">
        <v>1987</v>
      </c>
      <c r="N78" s="6" t="s">
        <v>1592</v>
      </c>
      <c r="O78" s="6" t="s">
        <v>1593</v>
      </c>
      <c r="P78" s="6" t="s">
        <v>1594</v>
      </c>
      <c r="Q78" s="7" t="s">
        <v>1982</v>
      </c>
      <c r="S78" s="6" t="s">
        <v>1595</v>
      </c>
      <c r="T78" s="6" t="s">
        <v>1596</v>
      </c>
    </row>
    <row r="79">
      <c r="A79" s="7" t="s">
        <v>1776</v>
      </c>
      <c r="B79" s="6" t="s">
        <v>1581</v>
      </c>
      <c r="C79" s="6" t="s">
        <v>1582</v>
      </c>
      <c r="D79" s="7" t="s">
        <v>1777</v>
      </c>
      <c r="E79" s="6" t="s">
        <v>1988</v>
      </c>
      <c r="F79" s="6" t="s">
        <v>1989</v>
      </c>
      <c r="G79" s="6" t="str">
        <f>IFERROR(__xludf.DUMMYFUNCTION("FILTER(RAW_met_lieux_inclusion_numeriq!B:B,RAW_met_lieux_inclusion_numeriq!B:B=F79)"),"#N/A")</f>
        <v>#N/A</v>
      </c>
      <c r="H79" s="6" t="s">
        <v>1990</v>
      </c>
      <c r="I79" s="6" t="s">
        <v>1991</v>
      </c>
      <c r="J79" s="7" t="s">
        <v>1992</v>
      </c>
      <c r="K79" s="6" t="s">
        <v>1589</v>
      </c>
      <c r="L79" s="6" t="s">
        <v>1603</v>
      </c>
      <c r="M79" s="6" t="s">
        <v>1782</v>
      </c>
      <c r="N79" s="6" t="s">
        <v>1592</v>
      </c>
      <c r="O79" s="6" t="s">
        <v>1593</v>
      </c>
      <c r="P79" s="6" t="s">
        <v>1594</v>
      </c>
      <c r="Q79" s="7" t="s">
        <v>1777</v>
      </c>
      <c r="S79" s="6" t="s">
        <v>1595</v>
      </c>
      <c r="T79" s="6" t="s">
        <v>1596</v>
      </c>
    </row>
    <row r="80">
      <c r="A80" s="7" t="s">
        <v>1776</v>
      </c>
      <c r="B80" s="6" t="s">
        <v>1581</v>
      </c>
      <c r="C80" s="6" t="s">
        <v>1582</v>
      </c>
      <c r="D80" s="7" t="s">
        <v>1788</v>
      </c>
      <c r="E80" s="6" t="s">
        <v>1760</v>
      </c>
      <c r="F80" s="6" t="s">
        <v>1965</v>
      </c>
      <c r="G80" s="6" t="str">
        <f>IFERROR(__xludf.DUMMYFUNCTION("FILTER(RAW_met_lieux_inclusion_numeriq!B:B,RAW_met_lieux_inclusion_numeriq!B:B=F80)"),"#N/A")</f>
        <v>#N/A</v>
      </c>
      <c r="H80" s="6" t="s">
        <v>1966</v>
      </c>
      <c r="I80" s="6" t="s">
        <v>1993</v>
      </c>
      <c r="J80" s="7" t="s">
        <v>1992</v>
      </c>
      <c r="K80" s="6" t="s">
        <v>1589</v>
      </c>
      <c r="L80" s="6" t="s">
        <v>1590</v>
      </c>
      <c r="M80" s="6" t="s">
        <v>1791</v>
      </c>
      <c r="N80" s="6" t="s">
        <v>1592</v>
      </c>
      <c r="O80" s="6" t="s">
        <v>1593</v>
      </c>
      <c r="P80" s="6" t="s">
        <v>1594</v>
      </c>
      <c r="Q80" s="7" t="s">
        <v>1788</v>
      </c>
      <c r="S80" s="6" t="s">
        <v>1595</v>
      </c>
      <c r="T80" s="6" t="s">
        <v>1596</v>
      </c>
    </row>
    <row r="81">
      <c r="A81" s="7" t="s">
        <v>1776</v>
      </c>
      <c r="B81" s="6" t="s">
        <v>1581</v>
      </c>
      <c r="C81" s="6" t="s">
        <v>1582</v>
      </c>
      <c r="D81" s="7" t="s">
        <v>1994</v>
      </c>
      <c r="E81" s="6" t="s">
        <v>1995</v>
      </c>
      <c r="F81" s="6" t="s">
        <v>1629</v>
      </c>
      <c r="G81" s="6" t="str">
        <f>IFERROR(__xludf.DUMMYFUNCTION("FILTER(RAW_met_lieux_inclusion_numeriq!B:B,RAW_met_lieux_inclusion_numeriq!B:B=F81)"),"#N/A")</f>
        <v>#N/A</v>
      </c>
      <c r="H81" s="6" t="s">
        <v>1630</v>
      </c>
      <c r="I81" s="6" t="s">
        <v>1875</v>
      </c>
      <c r="J81" s="7" t="s">
        <v>1632</v>
      </c>
      <c r="K81" s="6" t="s">
        <v>1589</v>
      </c>
      <c r="L81" s="6" t="s">
        <v>1603</v>
      </c>
      <c r="M81" s="6" t="s">
        <v>1996</v>
      </c>
      <c r="N81" s="6" t="s">
        <v>1592</v>
      </c>
      <c r="O81" s="6" t="s">
        <v>1593</v>
      </c>
      <c r="P81" s="6" t="s">
        <v>1594</v>
      </c>
      <c r="Q81" s="7" t="s">
        <v>1994</v>
      </c>
      <c r="S81" s="6" t="s">
        <v>1595</v>
      </c>
      <c r="T81" s="6" t="s">
        <v>1634</v>
      </c>
    </row>
    <row r="82">
      <c r="A82" s="7" t="s">
        <v>1776</v>
      </c>
      <c r="B82" s="6" t="s">
        <v>1581</v>
      </c>
      <c r="C82" s="6" t="s">
        <v>1582</v>
      </c>
      <c r="D82" s="7" t="s">
        <v>1982</v>
      </c>
      <c r="E82" s="6" t="s">
        <v>1814</v>
      </c>
      <c r="F82" s="6" t="s">
        <v>1997</v>
      </c>
      <c r="G82" s="6" t="str">
        <f>IFERROR(__xludf.DUMMYFUNCTION("FILTER(RAW_met_lieux_inclusion_numeriq!B:B,RAW_met_lieux_inclusion_numeriq!B:B=F82)"),"#N/A")</f>
        <v>#N/A</v>
      </c>
      <c r="H82" s="6" t="s">
        <v>1998</v>
      </c>
      <c r="I82" s="6" t="s">
        <v>1601</v>
      </c>
      <c r="J82" s="7" t="s">
        <v>1658</v>
      </c>
      <c r="K82" s="6" t="s">
        <v>1589</v>
      </c>
      <c r="L82" s="6" t="s">
        <v>1603</v>
      </c>
      <c r="M82" s="6" t="s">
        <v>1987</v>
      </c>
      <c r="N82" s="6" t="s">
        <v>1592</v>
      </c>
      <c r="O82" s="6" t="s">
        <v>1593</v>
      </c>
      <c r="P82" s="6" t="s">
        <v>1594</v>
      </c>
      <c r="Q82" s="7" t="s">
        <v>1982</v>
      </c>
      <c r="S82" s="6" t="s">
        <v>1601</v>
      </c>
      <c r="T82" s="6" t="s">
        <v>1605</v>
      </c>
    </row>
    <row r="83">
      <c r="A83" s="7" t="s">
        <v>1776</v>
      </c>
      <c r="B83" s="6" t="s">
        <v>1581</v>
      </c>
      <c r="C83" s="6" t="s">
        <v>1582</v>
      </c>
      <c r="D83" s="7" t="s">
        <v>1999</v>
      </c>
      <c r="E83" s="6" t="s">
        <v>2000</v>
      </c>
      <c r="F83" s="6" t="s">
        <v>2001</v>
      </c>
      <c r="G83" s="6" t="str">
        <f>IFERROR(__xludf.DUMMYFUNCTION("FILTER(RAW_met_lieux_inclusion_numeriq!B:B,RAW_met_lieux_inclusion_numeriq!B:B=F83)"),"#N/A")</f>
        <v>#N/A</v>
      </c>
      <c r="H83" s="6" t="s">
        <v>2002</v>
      </c>
      <c r="I83" s="6" t="s">
        <v>2003</v>
      </c>
      <c r="J83" s="7" t="s">
        <v>1737</v>
      </c>
      <c r="K83" s="6" t="s">
        <v>1589</v>
      </c>
      <c r="L83" s="6" t="s">
        <v>1603</v>
      </c>
      <c r="M83" s="6" t="s">
        <v>2004</v>
      </c>
      <c r="N83" s="6" t="s">
        <v>1592</v>
      </c>
      <c r="O83" s="6" t="s">
        <v>1593</v>
      </c>
      <c r="P83" s="6" t="s">
        <v>1594</v>
      </c>
      <c r="Q83" s="7" t="s">
        <v>1999</v>
      </c>
      <c r="S83" s="6" t="s">
        <v>1595</v>
      </c>
      <c r="T83" s="6" t="s">
        <v>1596</v>
      </c>
    </row>
    <row r="84">
      <c r="A84" s="7" t="s">
        <v>1776</v>
      </c>
      <c r="B84" s="6" t="s">
        <v>1581</v>
      </c>
      <c r="C84" s="6" t="s">
        <v>1582</v>
      </c>
      <c r="D84" s="7" t="s">
        <v>2005</v>
      </c>
      <c r="E84" s="6" t="s">
        <v>2006</v>
      </c>
      <c r="F84" s="6" t="s">
        <v>2007</v>
      </c>
      <c r="G84" s="6" t="str">
        <f>IFERROR(__xludf.DUMMYFUNCTION("FILTER(RAW_met_lieux_inclusion_numeriq!B:B,RAW_met_lieux_inclusion_numeriq!B:B=F84)"),"#N/A")</f>
        <v>#N/A</v>
      </c>
      <c r="H84" s="6" t="s">
        <v>2008</v>
      </c>
      <c r="I84" s="6" t="s">
        <v>2009</v>
      </c>
      <c r="J84" s="7" t="s">
        <v>1671</v>
      </c>
      <c r="K84" s="6" t="s">
        <v>1589</v>
      </c>
      <c r="L84" s="6" t="s">
        <v>1603</v>
      </c>
      <c r="M84" s="6" t="s">
        <v>2010</v>
      </c>
      <c r="N84" s="6" t="s">
        <v>1592</v>
      </c>
      <c r="O84" s="6" t="s">
        <v>1593</v>
      </c>
      <c r="P84" s="6" t="s">
        <v>1594</v>
      </c>
      <c r="Q84" s="7" t="s">
        <v>2005</v>
      </c>
      <c r="S84" s="6" t="s">
        <v>1595</v>
      </c>
      <c r="T84" s="6" t="s">
        <v>1596</v>
      </c>
    </row>
    <row r="85">
      <c r="A85" s="7" t="s">
        <v>1776</v>
      </c>
      <c r="B85" s="6" t="s">
        <v>1581</v>
      </c>
      <c r="C85" s="6" t="s">
        <v>1582</v>
      </c>
      <c r="D85" s="7" t="s">
        <v>2011</v>
      </c>
      <c r="E85" s="6" t="s">
        <v>1694</v>
      </c>
      <c r="F85" s="6" t="s">
        <v>2012</v>
      </c>
      <c r="G85" s="6" t="str">
        <f>IFERROR(__xludf.DUMMYFUNCTION("FILTER(RAW_met_lieux_inclusion_numeriq!B:B,RAW_met_lieux_inclusion_numeriq!B:B=F85)"),"#N/A")</f>
        <v>#N/A</v>
      </c>
      <c r="H85" s="6" t="s">
        <v>2013</v>
      </c>
      <c r="I85" s="6" t="s">
        <v>1601</v>
      </c>
      <c r="J85" s="7" t="s">
        <v>2014</v>
      </c>
      <c r="K85" s="6" t="s">
        <v>1589</v>
      </c>
      <c r="L85" s="6" t="s">
        <v>1603</v>
      </c>
      <c r="M85" s="6" t="s">
        <v>2015</v>
      </c>
      <c r="N85" s="6" t="s">
        <v>1592</v>
      </c>
      <c r="O85" s="6" t="s">
        <v>1593</v>
      </c>
      <c r="P85" s="6" t="s">
        <v>1594</v>
      </c>
      <c r="Q85" s="7" t="s">
        <v>2011</v>
      </c>
      <c r="S85" s="6" t="s">
        <v>1601</v>
      </c>
      <c r="T85" s="6" t="s">
        <v>1596</v>
      </c>
    </row>
    <row r="86">
      <c r="A86" s="7" t="s">
        <v>1776</v>
      </c>
      <c r="B86" s="6" t="s">
        <v>1581</v>
      </c>
      <c r="C86" s="6" t="s">
        <v>1582</v>
      </c>
      <c r="D86" s="7" t="s">
        <v>2016</v>
      </c>
      <c r="E86" s="6" t="s">
        <v>1806</v>
      </c>
      <c r="F86" s="6" t="s">
        <v>1955</v>
      </c>
      <c r="G86" s="6" t="str">
        <f>IFERROR(__xludf.DUMMYFUNCTION("FILTER(RAW_met_lieux_inclusion_numeriq!B:B,RAW_met_lieux_inclusion_numeriq!B:B=F86)"),"#N/A")</f>
        <v>#N/A</v>
      </c>
      <c r="H86" s="6" t="s">
        <v>1956</v>
      </c>
      <c r="I86" s="6" t="s">
        <v>1817</v>
      </c>
      <c r="J86" s="7" t="s">
        <v>1728</v>
      </c>
      <c r="K86" s="6" t="s">
        <v>1589</v>
      </c>
      <c r="L86" s="6" t="s">
        <v>1590</v>
      </c>
      <c r="M86" s="6" t="s">
        <v>2017</v>
      </c>
      <c r="N86" s="6" t="s">
        <v>1592</v>
      </c>
      <c r="O86" s="6" t="s">
        <v>1593</v>
      </c>
      <c r="P86" s="6" t="s">
        <v>1594</v>
      </c>
      <c r="Q86" s="7" t="s">
        <v>2016</v>
      </c>
      <c r="S86" s="6" t="s">
        <v>1595</v>
      </c>
      <c r="T86" s="6" t="s">
        <v>1596</v>
      </c>
    </row>
    <row r="87">
      <c r="A87" s="7" t="s">
        <v>1776</v>
      </c>
      <c r="B87" s="6" t="s">
        <v>1581</v>
      </c>
      <c r="C87" s="6" t="s">
        <v>1582</v>
      </c>
      <c r="D87" s="7" t="s">
        <v>1808</v>
      </c>
      <c r="E87" s="6" t="s">
        <v>1806</v>
      </c>
      <c r="F87" s="6" t="s">
        <v>2018</v>
      </c>
      <c r="G87" s="6" t="str">
        <f>IFERROR(__xludf.DUMMYFUNCTION("FILTER(RAW_met_lieux_inclusion_numeriq!B:B,RAW_met_lieux_inclusion_numeriq!B:B=F87)"),"#N/A")</f>
        <v>#N/A</v>
      </c>
      <c r="H87" s="6" t="s">
        <v>2019</v>
      </c>
      <c r="I87" s="6" t="s">
        <v>1817</v>
      </c>
      <c r="J87" s="7" t="s">
        <v>2020</v>
      </c>
      <c r="K87" s="6" t="s">
        <v>1589</v>
      </c>
      <c r="L87" s="6" t="s">
        <v>1590</v>
      </c>
      <c r="M87" s="6" t="s">
        <v>1812</v>
      </c>
      <c r="N87" s="6" t="s">
        <v>1592</v>
      </c>
      <c r="O87" s="6" t="s">
        <v>1593</v>
      </c>
      <c r="P87" s="6" t="s">
        <v>1594</v>
      </c>
      <c r="Q87" s="7" t="s">
        <v>1808</v>
      </c>
      <c r="S87" s="6" t="s">
        <v>1595</v>
      </c>
      <c r="T87" s="6" t="s">
        <v>1605</v>
      </c>
    </row>
    <row r="88">
      <c r="A88" s="7" t="s">
        <v>1776</v>
      </c>
      <c r="B88" s="6" t="s">
        <v>1581</v>
      </c>
      <c r="C88" s="6" t="s">
        <v>1582</v>
      </c>
      <c r="D88" s="7" t="s">
        <v>2005</v>
      </c>
      <c r="E88" s="6" t="s">
        <v>1809</v>
      </c>
      <c r="F88" s="6" t="s">
        <v>2021</v>
      </c>
      <c r="G88" s="6" t="str">
        <f>IFERROR(__xludf.DUMMYFUNCTION("FILTER(RAW_met_lieux_inclusion_numeriq!B:B,RAW_met_lieux_inclusion_numeriq!B:B=F88)"),"#N/A")</f>
        <v>#N/A</v>
      </c>
      <c r="H88" s="6" t="s">
        <v>2022</v>
      </c>
      <c r="I88" s="6" t="s">
        <v>2023</v>
      </c>
      <c r="J88" s="7" t="s">
        <v>1714</v>
      </c>
      <c r="K88" s="6" t="s">
        <v>1589</v>
      </c>
      <c r="L88" s="6" t="s">
        <v>1603</v>
      </c>
      <c r="M88" s="6" t="s">
        <v>2010</v>
      </c>
      <c r="N88" s="6" t="s">
        <v>1592</v>
      </c>
      <c r="O88" s="6" t="s">
        <v>1593</v>
      </c>
      <c r="P88" s="6" t="s">
        <v>1594</v>
      </c>
      <c r="Q88" s="7" t="s">
        <v>2005</v>
      </c>
      <c r="S88" s="6" t="s">
        <v>1595</v>
      </c>
      <c r="T88" s="6" t="s">
        <v>1596</v>
      </c>
    </row>
    <row r="89">
      <c r="A89" s="7" t="s">
        <v>1840</v>
      </c>
      <c r="B89" s="6" t="s">
        <v>1581</v>
      </c>
      <c r="C89" s="6" t="s">
        <v>1582</v>
      </c>
      <c r="D89" s="7" t="s">
        <v>2024</v>
      </c>
      <c r="E89" s="6" t="s">
        <v>2025</v>
      </c>
      <c r="F89" s="6" t="s">
        <v>2026</v>
      </c>
      <c r="G89" s="6" t="str">
        <f>IFERROR(__xludf.DUMMYFUNCTION("FILTER(RAW_met_lieux_inclusion_numeriq!B:B,RAW_met_lieux_inclusion_numeriq!B:B=F89)"),"#N/A")</f>
        <v>#N/A</v>
      </c>
      <c r="H89" s="6" t="s">
        <v>2027</v>
      </c>
      <c r="I89" s="6" t="s">
        <v>1601</v>
      </c>
      <c r="J89" s="7" t="s">
        <v>2028</v>
      </c>
      <c r="K89" s="6" t="s">
        <v>1589</v>
      </c>
      <c r="L89" s="6" t="s">
        <v>1603</v>
      </c>
      <c r="M89" s="6" t="s">
        <v>2029</v>
      </c>
      <c r="N89" s="6" t="s">
        <v>1592</v>
      </c>
      <c r="O89" s="6" t="s">
        <v>1593</v>
      </c>
      <c r="P89" s="6" t="s">
        <v>1594</v>
      </c>
      <c r="Q89" s="7" t="s">
        <v>2024</v>
      </c>
      <c r="S89" s="6" t="s">
        <v>1601</v>
      </c>
      <c r="T89" s="6" t="s">
        <v>1605</v>
      </c>
    </row>
    <row r="90">
      <c r="A90" s="7" t="s">
        <v>1840</v>
      </c>
      <c r="B90" s="6" t="s">
        <v>1581</v>
      </c>
      <c r="C90" s="6" t="s">
        <v>1582</v>
      </c>
      <c r="D90" s="7" t="s">
        <v>1808</v>
      </c>
      <c r="E90" s="6" t="s">
        <v>1806</v>
      </c>
      <c r="F90" s="6" t="s">
        <v>2018</v>
      </c>
      <c r="G90" s="6" t="str">
        <f>IFERROR(__xludf.DUMMYFUNCTION("FILTER(RAW_met_lieux_inclusion_numeriq!B:B,RAW_met_lieux_inclusion_numeriq!B:B=F90)"),"#N/A")</f>
        <v>#N/A</v>
      </c>
      <c r="H90" s="6" t="s">
        <v>2019</v>
      </c>
      <c r="I90" s="6" t="s">
        <v>2030</v>
      </c>
      <c r="J90" s="7" t="s">
        <v>1588</v>
      </c>
      <c r="K90" s="6" t="s">
        <v>1589</v>
      </c>
      <c r="L90" s="6" t="s">
        <v>1590</v>
      </c>
      <c r="M90" s="6" t="s">
        <v>1812</v>
      </c>
      <c r="N90" s="6" t="s">
        <v>1592</v>
      </c>
      <c r="O90" s="6" t="s">
        <v>1593</v>
      </c>
      <c r="P90" s="6" t="s">
        <v>1594</v>
      </c>
      <c r="Q90" s="7" t="s">
        <v>1808</v>
      </c>
      <c r="S90" s="6" t="s">
        <v>1595</v>
      </c>
      <c r="T90" s="6" t="s">
        <v>1596</v>
      </c>
    </row>
    <row r="91">
      <c r="A91" s="7" t="s">
        <v>1580</v>
      </c>
      <c r="B91" s="6" t="s">
        <v>1581</v>
      </c>
      <c r="C91" s="6" t="s">
        <v>1582</v>
      </c>
      <c r="D91" s="7" t="s">
        <v>2031</v>
      </c>
      <c r="E91" s="6" t="s">
        <v>2032</v>
      </c>
      <c r="F91" s="6" t="s">
        <v>2033</v>
      </c>
      <c r="G91" s="6" t="str">
        <f>IFERROR(__xludf.DUMMYFUNCTION("FILTER(RAW_met_lieux_inclusion_numeriq!B:B,RAW_met_lieux_inclusion_numeriq!B:B=F91)"),"#N/A")</f>
        <v>#N/A</v>
      </c>
      <c r="H91" s="6" t="s">
        <v>2034</v>
      </c>
      <c r="I91" s="6" t="s">
        <v>2035</v>
      </c>
      <c r="J91" s="7" t="s">
        <v>1714</v>
      </c>
      <c r="K91" s="6" t="s">
        <v>1589</v>
      </c>
      <c r="L91" s="6" t="s">
        <v>1603</v>
      </c>
      <c r="M91" s="6" t="s">
        <v>2036</v>
      </c>
      <c r="N91" s="6" t="s">
        <v>1592</v>
      </c>
      <c r="O91" s="6" t="s">
        <v>1593</v>
      </c>
      <c r="P91" s="6" t="s">
        <v>1594</v>
      </c>
      <c r="Q91" s="7" t="s">
        <v>2031</v>
      </c>
      <c r="S91" s="6" t="s">
        <v>1595</v>
      </c>
      <c r="T91" s="6" t="s">
        <v>1596</v>
      </c>
    </row>
    <row r="92">
      <c r="A92" s="7" t="s">
        <v>1580</v>
      </c>
      <c r="B92" s="6" t="s">
        <v>1581</v>
      </c>
      <c r="C92" s="6" t="s">
        <v>1582</v>
      </c>
      <c r="D92" s="7" t="s">
        <v>2037</v>
      </c>
      <c r="E92" s="6" t="s">
        <v>2038</v>
      </c>
      <c r="F92" s="6" t="s">
        <v>2039</v>
      </c>
      <c r="G92" s="6" t="str">
        <f>IFERROR(__xludf.DUMMYFUNCTION("FILTER(RAW_met_lieux_inclusion_numeriq!B:B,RAW_met_lieux_inclusion_numeriq!B:B=F92)"),"#N/A")</f>
        <v>#N/A</v>
      </c>
      <c r="H92" s="6" t="s">
        <v>2040</v>
      </c>
      <c r="I92" s="6" t="s">
        <v>1587</v>
      </c>
      <c r="J92" s="7" t="s">
        <v>1949</v>
      </c>
      <c r="K92" s="6" t="s">
        <v>1589</v>
      </c>
      <c r="L92" s="6" t="s">
        <v>1590</v>
      </c>
      <c r="M92" s="6" t="s">
        <v>2041</v>
      </c>
      <c r="N92" s="6" t="s">
        <v>1592</v>
      </c>
      <c r="O92" s="6" t="s">
        <v>1593</v>
      </c>
      <c r="P92" s="6" t="s">
        <v>1594</v>
      </c>
      <c r="Q92" s="7" t="s">
        <v>2037</v>
      </c>
      <c r="S92" s="6" t="s">
        <v>1595</v>
      </c>
      <c r="T92" s="6" t="s">
        <v>1596</v>
      </c>
    </row>
    <row r="93">
      <c r="A93" s="7" t="s">
        <v>1580</v>
      </c>
      <c r="B93" s="6" t="s">
        <v>1581</v>
      </c>
      <c r="C93" s="6" t="s">
        <v>1582</v>
      </c>
      <c r="D93" s="7" t="s">
        <v>2042</v>
      </c>
      <c r="E93" s="6" t="s">
        <v>2043</v>
      </c>
      <c r="F93" s="6" t="s">
        <v>2044</v>
      </c>
      <c r="G93" s="6" t="str">
        <f>IFERROR(__xludf.DUMMYFUNCTION("FILTER(RAW_met_lieux_inclusion_numeriq!B:B,RAW_met_lieux_inclusion_numeriq!B:B=F93)"),"#N/A")</f>
        <v>#N/A</v>
      </c>
      <c r="H93" s="6" t="s">
        <v>2045</v>
      </c>
      <c r="I93" s="6" t="s">
        <v>1601</v>
      </c>
      <c r="J93" s="7" t="s">
        <v>2046</v>
      </c>
      <c r="K93" s="6" t="s">
        <v>1589</v>
      </c>
      <c r="L93" s="6" t="s">
        <v>1603</v>
      </c>
      <c r="M93" s="6" t="s">
        <v>2047</v>
      </c>
      <c r="N93" s="6" t="s">
        <v>1592</v>
      </c>
      <c r="O93" s="6" t="s">
        <v>1593</v>
      </c>
      <c r="P93" s="6" t="s">
        <v>1594</v>
      </c>
      <c r="Q93" s="7" t="s">
        <v>2042</v>
      </c>
      <c r="S93" s="6" t="s">
        <v>1601</v>
      </c>
      <c r="T93" s="6" t="s">
        <v>1634</v>
      </c>
    </row>
    <row r="94">
      <c r="A94" s="7" t="s">
        <v>1580</v>
      </c>
      <c r="B94" s="6" t="s">
        <v>1581</v>
      </c>
      <c r="C94" s="6" t="s">
        <v>1582</v>
      </c>
      <c r="D94" s="7" t="s">
        <v>2048</v>
      </c>
      <c r="E94" s="6" t="s">
        <v>2049</v>
      </c>
      <c r="F94" s="6" t="s">
        <v>2050</v>
      </c>
      <c r="G94" s="6" t="str">
        <f>IFERROR(__xludf.DUMMYFUNCTION("FILTER(RAW_met_lieux_inclusion_numeriq!B:B,RAW_met_lieux_inclusion_numeriq!B:B=F94)"),"#N/A")</f>
        <v>#N/A</v>
      </c>
      <c r="H94" s="6" t="s">
        <v>2051</v>
      </c>
      <c r="I94" s="6" t="s">
        <v>2052</v>
      </c>
      <c r="J94" s="7" t="s">
        <v>1749</v>
      </c>
      <c r="K94" s="6" t="s">
        <v>1589</v>
      </c>
      <c r="L94" s="6" t="s">
        <v>1603</v>
      </c>
      <c r="M94" s="6" t="s">
        <v>2053</v>
      </c>
      <c r="N94" s="6" t="s">
        <v>1592</v>
      </c>
      <c r="O94" s="6" t="s">
        <v>1593</v>
      </c>
      <c r="P94" s="6" t="s">
        <v>1594</v>
      </c>
      <c r="Q94" s="7" t="s">
        <v>2048</v>
      </c>
      <c r="S94" s="6" t="s">
        <v>1595</v>
      </c>
      <c r="T94" s="6" t="s">
        <v>1605</v>
      </c>
    </row>
    <row r="95">
      <c r="A95" s="7" t="s">
        <v>1626</v>
      </c>
      <c r="B95" s="6" t="s">
        <v>1581</v>
      </c>
      <c r="C95" s="6" t="s">
        <v>1582</v>
      </c>
      <c r="D95" s="7" t="s">
        <v>2054</v>
      </c>
      <c r="E95" s="6" t="s">
        <v>2055</v>
      </c>
      <c r="F95" s="6" t="s">
        <v>2056</v>
      </c>
      <c r="G95" s="6" t="str">
        <f>IFERROR(__xludf.DUMMYFUNCTION("FILTER(RAW_met_lieux_inclusion_numeriq!B:B,RAW_met_lieux_inclusion_numeriq!B:B=F95)"),"#N/A")</f>
        <v>#N/A</v>
      </c>
      <c r="H95" s="6" t="s">
        <v>2057</v>
      </c>
      <c r="I95" s="6" t="s">
        <v>2058</v>
      </c>
      <c r="J95" s="7" t="s">
        <v>1671</v>
      </c>
      <c r="K95" s="6" t="s">
        <v>1589</v>
      </c>
      <c r="L95" s="6" t="s">
        <v>1603</v>
      </c>
      <c r="M95" s="6" t="s">
        <v>2059</v>
      </c>
      <c r="N95" s="6" t="s">
        <v>1592</v>
      </c>
      <c r="O95" s="6" t="s">
        <v>1593</v>
      </c>
      <c r="P95" s="6" t="s">
        <v>1594</v>
      </c>
      <c r="Q95" s="7" t="s">
        <v>2054</v>
      </c>
      <c r="S95" s="6" t="s">
        <v>1595</v>
      </c>
      <c r="T95" s="6" t="s">
        <v>1596</v>
      </c>
    </row>
    <row r="96">
      <c r="A96" s="7" t="s">
        <v>1626</v>
      </c>
      <c r="B96" s="6" t="s">
        <v>1581</v>
      </c>
      <c r="C96" s="6" t="s">
        <v>1582</v>
      </c>
      <c r="D96" s="7" t="s">
        <v>1646</v>
      </c>
      <c r="E96" s="6" t="s">
        <v>2060</v>
      </c>
      <c r="F96" s="6" t="s">
        <v>2061</v>
      </c>
      <c r="G96" s="6" t="str">
        <f>IFERROR(__xludf.DUMMYFUNCTION("FILTER(RAW_met_lieux_inclusion_numeriq!B:B,RAW_met_lieux_inclusion_numeriq!B:B=F96)"),"#N/A")</f>
        <v>#N/A</v>
      </c>
      <c r="H96" s="6" t="s">
        <v>2062</v>
      </c>
      <c r="I96" s="6" t="s">
        <v>2063</v>
      </c>
      <c r="J96" s="7" t="s">
        <v>1714</v>
      </c>
      <c r="K96" s="6" t="s">
        <v>1589</v>
      </c>
      <c r="L96" s="6" t="s">
        <v>1603</v>
      </c>
      <c r="M96" s="6" t="s">
        <v>2064</v>
      </c>
      <c r="N96" s="6" t="s">
        <v>1592</v>
      </c>
      <c r="O96" s="6" t="s">
        <v>1593</v>
      </c>
      <c r="P96" s="6" t="s">
        <v>1594</v>
      </c>
      <c r="Q96" s="7" t="s">
        <v>1646</v>
      </c>
      <c r="S96" s="6" t="s">
        <v>1595</v>
      </c>
      <c r="T96" s="6" t="s">
        <v>1596</v>
      </c>
    </row>
    <row r="97">
      <c r="A97" s="7" t="s">
        <v>1626</v>
      </c>
      <c r="B97" s="6" t="s">
        <v>1581</v>
      </c>
      <c r="C97" s="6" t="s">
        <v>1582</v>
      </c>
      <c r="D97" s="7" t="s">
        <v>2065</v>
      </c>
      <c r="E97" s="6" t="s">
        <v>1647</v>
      </c>
      <c r="F97" s="6" t="s">
        <v>2066</v>
      </c>
      <c r="G97" s="6" t="str">
        <f>IFERROR(__xludf.DUMMYFUNCTION("FILTER(RAW_met_lieux_inclusion_numeriq!B:B,RAW_met_lieux_inclusion_numeriq!B:B=F97)"),"#N/A")</f>
        <v>#N/A</v>
      </c>
      <c r="H97" s="6" t="s">
        <v>2067</v>
      </c>
      <c r="I97" s="6" t="s">
        <v>2068</v>
      </c>
      <c r="J97" s="7" t="s">
        <v>1922</v>
      </c>
      <c r="K97" s="6" t="s">
        <v>1589</v>
      </c>
      <c r="L97" s="6" t="s">
        <v>1603</v>
      </c>
      <c r="M97" s="6" t="s">
        <v>2069</v>
      </c>
      <c r="N97" s="6" t="s">
        <v>1592</v>
      </c>
      <c r="O97" s="6" t="s">
        <v>1593</v>
      </c>
      <c r="P97" s="6" t="s">
        <v>1594</v>
      </c>
      <c r="Q97" s="7" t="s">
        <v>2065</v>
      </c>
      <c r="S97" s="6" t="s">
        <v>1595</v>
      </c>
      <c r="T97" s="6" t="s">
        <v>1634</v>
      </c>
    </row>
    <row r="98">
      <c r="A98" s="7" t="s">
        <v>1626</v>
      </c>
      <c r="B98" s="6" t="s">
        <v>1581</v>
      </c>
      <c r="C98" s="6" t="s">
        <v>1582</v>
      </c>
      <c r="D98" s="7" t="s">
        <v>1660</v>
      </c>
      <c r="E98" s="6" t="s">
        <v>2070</v>
      </c>
      <c r="F98" s="6" t="s">
        <v>2071</v>
      </c>
      <c r="G98" s="6" t="str">
        <f>IFERROR(__xludf.DUMMYFUNCTION("FILTER(RAW_met_lieux_inclusion_numeriq!B:B,RAW_met_lieux_inclusion_numeriq!B:B=F98)"),"#N/A")</f>
        <v>#N/A</v>
      </c>
      <c r="H98" s="6" t="s">
        <v>2072</v>
      </c>
      <c r="I98" s="6" t="s">
        <v>1601</v>
      </c>
      <c r="J98" s="7" t="s">
        <v>1934</v>
      </c>
      <c r="K98" s="6" t="s">
        <v>1589</v>
      </c>
      <c r="L98" s="6" t="s">
        <v>1603</v>
      </c>
      <c r="M98" s="6" t="s">
        <v>1666</v>
      </c>
      <c r="N98" s="6" t="s">
        <v>1592</v>
      </c>
      <c r="O98" s="6" t="s">
        <v>1593</v>
      </c>
      <c r="P98" s="6" t="s">
        <v>1594</v>
      </c>
      <c r="Q98" s="7" t="s">
        <v>1660</v>
      </c>
      <c r="S98" s="6" t="s">
        <v>1601</v>
      </c>
      <c r="T98" s="6" t="s">
        <v>1605</v>
      </c>
    </row>
    <row r="99">
      <c r="A99" s="7" t="s">
        <v>1626</v>
      </c>
      <c r="B99" s="6" t="s">
        <v>1581</v>
      </c>
      <c r="C99" s="6" t="s">
        <v>1582</v>
      </c>
      <c r="D99" s="7" t="s">
        <v>2073</v>
      </c>
      <c r="E99" s="6" t="s">
        <v>1647</v>
      </c>
      <c r="F99" s="6" t="s">
        <v>2074</v>
      </c>
      <c r="G99" s="6" t="str">
        <f>IFERROR(__xludf.DUMMYFUNCTION("FILTER(RAW_met_lieux_inclusion_numeriq!B:B,RAW_met_lieux_inclusion_numeriq!B:B=F99)"),"#N/A")</f>
        <v>#N/A</v>
      </c>
      <c r="H99" s="6" t="s">
        <v>2075</v>
      </c>
      <c r="I99" s="6" t="s">
        <v>2076</v>
      </c>
      <c r="J99" s="7" t="s">
        <v>1651</v>
      </c>
      <c r="K99" s="6" t="s">
        <v>1589</v>
      </c>
      <c r="L99" s="6" t="s">
        <v>1603</v>
      </c>
      <c r="M99" s="6" t="s">
        <v>2077</v>
      </c>
      <c r="N99" s="6" t="s">
        <v>1592</v>
      </c>
      <c r="O99" s="6" t="s">
        <v>1593</v>
      </c>
      <c r="P99" s="6" t="s">
        <v>1594</v>
      </c>
      <c r="Q99" s="7" t="s">
        <v>2073</v>
      </c>
      <c r="S99" s="6" t="s">
        <v>1595</v>
      </c>
      <c r="T99" s="6" t="s">
        <v>1596</v>
      </c>
    </row>
    <row r="100">
      <c r="A100" s="7" t="s">
        <v>1626</v>
      </c>
      <c r="B100" s="6" t="s">
        <v>1581</v>
      </c>
      <c r="C100" s="6" t="s">
        <v>1582</v>
      </c>
      <c r="D100" s="7" t="s">
        <v>2078</v>
      </c>
      <c r="E100" s="6" t="s">
        <v>1647</v>
      </c>
      <c r="F100" s="6" t="s">
        <v>1681</v>
      </c>
      <c r="G100" s="6" t="str">
        <f>IFERROR(__xludf.DUMMYFUNCTION("FILTER(RAW_met_lieux_inclusion_numeriq!B:B,RAW_met_lieux_inclusion_numeriq!B:B=F100)"),"#N/A")</f>
        <v>#N/A</v>
      </c>
      <c r="H100" s="6" t="s">
        <v>1682</v>
      </c>
      <c r="I100" s="6" t="s">
        <v>2079</v>
      </c>
      <c r="J100" s="7" t="s">
        <v>1714</v>
      </c>
      <c r="K100" s="6" t="s">
        <v>1589</v>
      </c>
      <c r="L100" s="6" t="s">
        <v>1603</v>
      </c>
      <c r="M100" s="6" t="s">
        <v>2080</v>
      </c>
      <c r="N100" s="6" t="s">
        <v>1592</v>
      </c>
      <c r="O100" s="6" t="s">
        <v>1593</v>
      </c>
      <c r="P100" s="6" t="s">
        <v>1594</v>
      </c>
      <c r="Q100" s="7" t="s">
        <v>2078</v>
      </c>
      <c r="S100" s="6" t="s">
        <v>1595</v>
      </c>
      <c r="T100" s="6" t="s">
        <v>1596</v>
      </c>
    </row>
    <row r="101">
      <c r="A101" s="7" t="s">
        <v>1626</v>
      </c>
      <c r="B101" s="6" t="s">
        <v>1581</v>
      </c>
      <c r="C101" s="6" t="s">
        <v>1582</v>
      </c>
      <c r="D101" s="7" t="s">
        <v>2081</v>
      </c>
      <c r="E101" s="7" t="s">
        <v>2082</v>
      </c>
      <c r="F101" s="6" t="s">
        <v>2083</v>
      </c>
      <c r="G101" s="6" t="str">
        <f>IFERROR(__xludf.DUMMYFUNCTION("FILTER(RAW_met_lieux_inclusion_numeriq!B:B,RAW_met_lieux_inclusion_numeriq!B:B=F101)"),"#N/A")</f>
        <v>#N/A</v>
      </c>
      <c r="H101" s="6" t="s">
        <v>2084</v>
      </c>
      <c r="I101" s="6" t="s">
        <v>2085</v>
      </c>
      <c r="J101" s="7" t="s">
        <v>2086</v>
      </c>
      <c r="K101" s="6" t="s">
        <v>1589</v>
      </c>
      <c r="L101" s="6" t="s">
        <v>1603</v>
      </c>
      <c r="M101" s="6" t="s">
        <v>2087</v>
      </c>
      <c r="N101" s="6" t="s">
        <v>1592</v>
      </c>
      <c r="O101" s="6" t="s">
        <v>1593</v>
      </c>
      <c r="P101" s="6" t="s">
        <v>1594</v>
      </c>
      <c r="Q101" s="7" t="s">
        <v>2081</v>
      </c>
      <c r="S101" s="6" t="s">
        <v>1595</v>
      </c>
      <c r="T101" s="6" t="s">
        <v>1605</v>
      </c>
    </row>
    <row r="102">
      <c r="A102" s="7" t="s">
        <v>1626</v>
      </c>
      <c r="B102" s="6" t="s">
        <v>1581</v>
      </c>
      <c r="C102" s="6" t="s">
        <v>1582</v>
      </c>
      <c r="D102" s="7" t="s">
        <v>2088</v>
      </c>
      <c r="E102" s="6" t="s">
        <v>1647</v>
      </c>
      <c r="F102" s="6" t="s">
        <v>2089</v>
      </c>
      <c r="G102" s="6" t="str">
        <f>IFERROR(__xludf.DUMMYFUNCTION("FILTER(RAW_met_lieux_inclusion_numeriq!B:B,RAW_met_lieux_inclusion_numeriq!B:B=F102)"),"#N/A")</f>
        <v>#N/A</v>
      </c>
      <c r="H102" s="6" t="s">
        <v>2090</v>
      </c>
      <c r="I102" s="6" t="s">
        <v>2091</v>
      </c>
      <c r="J102" s="7" t="s">
        <v>1651</v>
      </c>
      <c r="K102" s="6" t="s">
        <v>1589</v>
      </c>
      <c r="L102" s="6" t="s">
        <v>1603</v>
      </c>
      <c r="M102" s="6" t="s">
        <v>2092</v>
      </c>
      <c r="N102" s="6" t="s">
        <v>1592</v>
      </c>
      <c r="O102" s="6" t="s">
        <v>1593</v>
      </c>
      <c r="P102" s="6" t="s">
        <v>1594</v>
      </c>
      <c r="Q102" s="7" t="s">
        <v>2088</v>
      </c>
      <c r="S102" s="6" t="s">
        <v>1595</v>
      </c>
      <c r="T102" s="6" t="s">
        <v>1596</v>
      </c>
    </row>
    <row r="103">
      <c r="A103" s="7" t="s">
        <v>1626</v>
      </c>
      <c r="B103" s="6" t="s">
        <v>1581</v>
      </c>
      <c r="C103" s="6" t="s">
        <v>1582</v>
      </c>
      <c r="D103" s="7" t="s">
        <v>1686</v>
      </c>
      <c r="E103" s="6" t="s">
        <v>1647</v>
      </c>
      <c r="F103" s="6" t="s">
        <v>2093</v>
      </c>
      <c r="G103" s="6" t="str">
        <f>IFERROR(__xludf.DUMMYFUNCTION("FILTER(RAW_met_lieux_inclusion_numeriq!B:B,RAW_met_lieux_inclusion_numeriq!B:B=F103)"),"#N/A")</f>
        <v>#N/A</v>
      </c>
      <c r="H103" s="6" t="s">
        <v>2094</v>
      </c>
      <c r="I103" s="6" t="s">
        <v>2095</v>
      </c>
      <c r="J103" s="7" t="s">
        <v>1752</v>
      </c>
      <c r="K103" s="6" t="s">
        <v>1589</v>
      </c>
      <c r="L103" s="6" t="s">
        <v>1603</v>
      </c>
      <c r="M103" s="6" t="s">
        <v>1691</v>
      </c>
      <c r="N103" s="6" t="s">
        <v>1592</v>
      </c>
      <c r="O103" s="6" t="s">
        <v>1593</v>
      </c>
      <c r="P103" s="6" t="s">
        <v>1594</v>
      </c>
      <c r="Q103" s="7" t="s">
        <v>1686</v>
      </c>
      <c r="S103" s="6" t="s">
        <v>1595</v>
      </c>
      <c r="T103" s="6" t="s">
        <v>1605</v>
      </c>
    </row>
    <row r="104">
      <c r="A104" s="7" t="s">
        <v>1692</v>
      </c>
      <c r="B104" s="6" t="s">
        <v>1581</v>
      </c>
      <c r="C104" s="6" t="s">
        <v>1582</v>
      </c>
      <c r="D104" s="7" t="s">
        <v>2096</v>
      </c>
      <c r="E104" s="6" t="s">
        <v>2097</v>
      </c>
      <c r="F104" s="6" t="s">
        <v>2098</v>
      </c>
      <c r="G104" s="6" t="str">
        <f>IFERROR(__xludf.DUMMYFUNCTION("FILTER(RAW_met_lieux_inclusion_numeriq!B:B,RAW_met_lieux_inclusion_numeriq!B:B=F104)"),"#N/A")</f>
        <v>#N/A</v>
      </c>
      <c r="H104" s="6" t="s">
        <v>2099</v>
      </c>
      <c r="I104" s="6" t="s">
        <v>2100</v>
      </c>
      <c r="J104" s="7" t="s">
        <v>2101</v>
      </c>
      <c r="K104" s="6" t="s">
        <v>1589</v>
      </c>
      <c r="L104" s="6" t="s">
        <v>1603</v>
      </c>
      <c r="M104" s="6" t="s">
        <v>2102</v>
      </c>
      <c r="N104" s="6" t="s">
        <v>1592</v>
      </c>
      <c r="O104" s="6" t="s">
        <v>1593</v>
      </c>
      <c r="P104" s="6" t="s">
        <v>1594</v>
      </c>
      <c r="Q104" s="7" t="s">
        <v>2096</v>
      </c>
      <c r="S104" s="6" t="s">
        <v>1595</v>
      </c>
      <c r="T104" s="6" t="s">
        <v>1634</v>
      </c>
    </row>
    <row r="105">
      <c r="A105" s="7" t="s">
        <v>1692</v>
      </c>
      <c r="B105" s="6" t="s">
        <v>1581</v>
      </c>
      <c r="C105" s="6" t="s">
        <v>1582</v>
      </c>
      <c r="D105" s="7" t="s">
        <v>2103</v>
      </c>
      <c r="E105" s="6" t="s">
        <v>2104</v>
      </c>
      <c r="F105" s="6" t="s">
        <v>2105</v>
      </c>
      <c r="G105" s="6" t="str">
        <f>IFERROR(__xludf.DUMMYFUNCTION("FILTER(RAW_met_lieux_inclusion_numeriq!B:B,RAW_met_lieux_inclusion_numeriq!B:B=F105)"),"#N/A")</f>
        <v>#N/A</v>
      </c>
      <c r="H105" s="6" t="s">
        <v>2106</v>
      </c>
      <c r="I105" s="6" t="s">
        <v>2107</v>
      </c>
      <c r="J105" s="7" t="s">
        <v>1949</v>
      </c>
      <c r="K105" s="6" t="s">
        <v>1589</v>
      </c>
      <c r="L105" s="6" t="s">
        <v>1590</v>
      </c>
      <c r="M105" s="6" t="s">
        <v>2108</v>
      </c>
      <c r="N105" s="6" t="s">
        <v>1592</v>
      </c>
      <c r="O105" s="6" t="s">
        <v>1593</v>
      </c>
      <c r="P105" s="6" t="s">
        <v>1594</v>
      </c>
      <c r="Q105" s="7" t="s">
        <v>2103</v>
      </c>
      <c r="S105" s="6" t="s">
        <v>1595</v>
      </c>
      <c r="T105" s="6" t="s">
        <v>1596</v>
      </c>
    </row>
    <row r="106">
      <c r="A106" s="7" t="s">
        <v>1692</v>
      </c>
      <c r="B106" s="6" t="s">
        <v>1581</v>
      </c>
      <c r="C106" s="6" t="s">
        <v>1582</v>
      </c>
      <c r="D106" s="7" t="s">
        <v>2109</v>
      </c>
      <c r="E106" s="6" t="s">
        <v>2110</v>
      </c>
      <c r="F106" s="6" t="s">
        <v>2111</v>
      </c>
      <c r="G106" s="6" t="str">
        <f>IFERROR(__xludf.DUMMYFUNCTION("FILTER(RAW_met_lieux_inclusion_numeriq!B:B,RAW_met_lieux_inclusion_numeriq!B:B=F106)"),"#N/A")</f>
        <v>#N/A</v>
      </c>
      <c r="H106" s="6" t="s">
        <v>2112</v>
      </c>
      <c r="I106" s="6" t="s">
        <v>2113</v>
      </c>
      <c r="J106" s="7" t="s">
        <v>1992</v>
      </c>
      <c r="K106" s="6" t="s">
        <v>1589</v>
      </c>
      <c r="L106" s="6" t="s">
        <v>1603</v>
      </c>
      <c r="M106" s="6" t="s">
        <v>2114</v>
      </c>
      <c r="N106" s="6" t="s">
        <v>1592</v>
      </c>
      <c r="O106" s="6" t="s">
        <v>1593</v>
      </c>
      <c r="P106" s="6" t="s">
        <v>1594</v>
      </c>
      <c r="Q106" s="7" t="s">
        <v>2109</v>
      </c>
      <c r="S106" s="6" t="s">
        <v>1595</v>
      </c>
      <c r="T106" s="6" t="s">
        <v>1596</v>
      </c>
    </row>
    <row r="107">
      <c r="A107" s="7" t="s">
        <v>1692</v>
      </c>
      <c r="B107" s="6" t="s">
        <v>1581</v>
      </c>
      <c r="C107" s="6" t="s">
        <v>1582</v>
      </c>
      <c r="D107" s="7" t="s">
        <v>2115</v>
      </c>
      <c r="E107" s="6" t="s">
        <v>2116</v>
      </c>
      <c r="F107" s="6" t="s">
        <v>2117</v>
      </c>
      <c r="G107" s="6" t="str">
        <f>IFERROR(__xludf.DUMMYFUNCTION("FILTER(RAW_met_lieux_inclusion_numeriq!B:B,RAW_met_lieux_inclusion_numeriq!B:B=F107)"),"#N/A")</f>
        <v>#N/A</v>
      </c>
      <c r="H107" s="6" t="s">
        <v>2118</v>
      </c>
      <c r="I107" s="6" t="s">
        <v>1601</v>
      </c>
      <c r="J107" s="7" t="s">
        <v>1611</v>
      </c>
      <c r="K107" s="6" t="s">
        <v>1589</v>
      </c>
      <c r="L107" s="6" t="s">
        <v>1603</v>
      </c>
      <c r="M107" s="6" t="s">
        <v>2119</v>
      </c>
      <c r="N107" s="6" t="s">
        <v>1592</v>
      </c>
      <c r="O107" s="6" t="s">
        <v>1593</v>
      </c>
      <c r="P107" s="6" t="s">
        <v>1594</v>
      </c>
      <c r="Q107" s="7" t="s">
        <v>2115</v>
      </c>
      <c r="S107" s="6" t="s">
        <v>1601</v>
      </c>
      <c r="T107" s="6" t="s">
        <v>1605</v>
      </c>
    </row>
    <row r="108">
      <c r="A108" s="7" t="s">
        <v>1692</v>
      </c>
      <c r="B108" s="6" t="s">
        <v>1581</v>
      </c>
      <c r="C108" s="6" t="s">
        <v>1582</v>
      </c>
      <c r="D108" s="7" t="s">
        <v>2120</v>
      </c>
      <c r="E108" s="6" t="s">
        <v>1694</v>
      </c>
      <c r="F108" s="6" t="s">
        <v>2121</v>
      </c>
      <c r="G108" s="6" t="str">
        <f>IFERROR(__xludf.DUMMYFUNCTION("FILTER(RAW_met_lieux_inclusion_numeriq!B:B,RAW_met_lieux_inclusion_numeriq!B:B=F108)"),"#N/A")</f>
        <v>#N/A</v>
      </c>
      <c r="H108" s="6" t="s">
        <v>2122</v>
      </c>
      <c r="I108" s="6" t="s">
        <v>2123</v>
      </c>
      <c r="J108" s="7" t="s">
        <v>2124</v>
      </c>
      <c r="K108" s="6" t="s">
        <v>1589</v>
      </c>
      <c r="L108" s="6" t="s">
        <v>1603</v>
      </c>
      <c r="M108" s="6" t="s">
        <v>2125</v>
      </c>
      <c r="N108" s="6" t="s">
        <v>1592</v>
      </c>
      <c r="O108" s="6" t="s">
        <v>1593</v>
      </c>
      <c r="P108" s="6" t="s">
        <v>1594</v>
      </c>
      <c r="Q108" s="7" t="s">
        <v>2120</v>
      </c>
      <c r="S108" s="6" t="s">
        <v>1595</v>
      </c>
      <c r="T108" s="6" t="s">
        <v>1596</v>
      </c>
    </row>
    <row r="109">
      <c r="A109" s="7" t="s">
        <v>1692</v>
      </c>
      <c r="B109" s="6" t="s">
        <v>1581</v>
      </c>
      <c r="C109" s="6" t="s">
        <v>1582</v>
      </c>
      <c r="D109" s="7" t="s">
        <v>2126</v>
      </c>
      <c r="E109" s="6" t="s">
        <v>1771</v>
      </c>
      <c r="F109" s="6" t="s">
        <v>1772</v>
      </c>
      <c r="G109" s="6" t="str">
        <f>IFERROR(__xludf.DUMMYFUNCTION("FILTER(RAW_met_lieux_inclusion_numeriq!B:B,RAW_met_lieux_inclusion_numeriq!B:B=F109)"),"#N/A")</f>
        <v>#N/A</v>
      </c>
      <c r="H109" s="6" t="s">
        <v>1773</v>
      </c>
      <c r="I109" s="6" t="s">
        <v>1601</v>
      </c>
      <c r="J109" s="7" t="s">
        <v>2127</v>
      </c>
      <c r="K109" s="6" t="s">
        <v>1589</v>
      </c>
      <c r="L109" s="6" t="s">
        <v>1603</v>
      </c>
      <c r="M109" s="6" t="s">
        <v>2128</v>
      </c>
      <c r="N109" s="6" t="s">
        <v>1592</v>
      </c>
      <c r="O109" s="6" t="s">
        <v>1593</v>
      </c>
      <c r="P109" s="6" t="s">
        <v>1594</v>
      </c>
      <c r="Q109" s="7" t="s">
        <v>2126</v>
      </c>
      <c r="S109" s="6" t="s">
        <v>1601</v>
      </c>
      <c r="T109" s="6" t="s">
        <v>1634</v>
      </c>
    </row>
    <row r="110">
      <c r="A110" s="7" t="s">
        <v>1692</v>
      </c>
      <c r="B110" s="6" t="s">
        <v>1581</v>
      </c>
      <c r="C110" s="6" t="s">
        <v>1582</v>
      </c>
      <c r="D110" s="7" t="s">
        <v>1725</v>
      </c>
      <c r="E110" s="6" t="s">
        <v>1694</v>
      </c>
      <c r="F110" s="6" t="s">
        <v>2129</v>
      </c>
      <c r="G110" s="6" t="str">
        <f>IFERROR(__xludf.DUMMYFUNCTION("FILTER(RAW_met_lieux_inclusion_numeriq!B:B,RAW_met_lieux_inclusion_numeriq!B:B=F110)"),"#N/A")</f>
        <v>#N/A</v>
      </c>
      <c r="H110" s="6" t="s">
        <v>2130</v>
      </c>
      <c r="I110" s="6" t="s">
        <v>1710</v>
      </c>
      <c r="J110" s="7" t="s">
        <v>2131</v>
      </c>
      <c r="K110" s="6" t="s">
        <v>1589</v>
      </c>
      <c r="L110" s="6" t="s">
        <v>1603</v>
      </c>
      <c r="M110" s="6" t="s">
        <v>1729</v>
      </c>
      <c r="N110" s="6" t="s">
        <v>1592</v>
      </c>
      <c r="O110" s="6" t="s">
        <v>1593</v>
      </c>
      <c r="P110" s="6" t="s">
        <v>1594</v>
      </c>
      <c r="Q110" s="7" t="s">
        <v>1725</v>
      </c>
      <c r="S110" s="6" t="s">
        <v>1710</v>
      </c>
      <c r="T110" s="6" t="s">
        <v>1596</v>
      </c>
    </row>
    <row r="111">
      <c r="A111" s="7" t="s">
        <v>1692</v>
      </c>
      <c r="B111" s="6" t="s">
        <v>1581</v>
      </c>
      <c r="C111" s="6" t="s">
        <v>1582</v>
      </c>
      <c r="D111" s="7" t="s">
        <v>1734</v>
      </c>
      <c r="E111" s="6" t="s">
        <v>2000</v>
      </c>
      <c r="F111" s="6" t="s">
        <v>2021</v>
      </c>
      <c r="G111" s="6" t="str">
        <f>IFERROR(__xludf.DUMMYFUNCTION("FILTER(RAW_met_lieux_inclusion_numeriq!B:B,RAW_met_lieux_inclusion_numeriq!B:B=F111)"),"#N/A")</f>
        <v>#N/A</v>
      </c>
      <c r="H111" s="6" t="s">
        <v>2022</v>
      </c>
      <c r="I111" s="6" t="s">
        <v>2132</v>
      </c>
      <c r="J111" s="7" t="s">
        <v>1624</v>
      </c>
      <c r="K111" s="6" t="s">
        <v>1589</v>
      </c>
      <c r="L111" s="6" t="s">
        <v>1603</v>
      </c>
      <c r="M111" s="6" t="s">
        <v>1738</v>
      </c>
      <c r="N111" s="6" t="s">
        <v>1592</v>
      </c>
      <c r="O111" s="6" t="s">
        <v>1593</v>
      </c>
      <c r="P111" s="6" t="s">
        <v>1594</v>
      </c>
      <c r="Q111" s="7" t="s">
        <v>1734</v>
      </c>
      <c r="S111" s="6" t="s">
        <v>1595</v>
      </c>
      <c r="T111" s="6" t="s">
        <v>1596</v>
      </c>
    </row>
    <row r="112">
      <c r="A112" s="7" t="s">
        <v>1692</v>
      </c>
      <c r="B112" s="6" t="s">
        <v>1581</v>
      </c>
      <c r="C112" s="6" t="s">
        <v>1582</v>
      </c>
      <c r="D112" s="7" t="s">
        <v>1734</v>
      </c>
      <c r="E112" s="6" t="s">
        <v>1760</v>
      </c>
      <c r="F112" s="6" t="s">
        <v>1984</v>
      </c>
      <c r="G112" s="6" t="str">
        <f>IFERROR(__xludf.DUMMYFUNCTION("FILTER(RAW_met_lieux_inclusion_numeriq!B:B,RAW_met_lieux_inclusion_numeriq!B:B=F112)"),"#N/A")</f>
        <v>#N/A</v>
      </c>
      <c r="H112" s="6" t="s">
        <v>1985</v>
      </c>
      <c r="I112" s="6" t="s">
        <v>2133</v>
      </c>
      <c r="J112" s="7" t="s">
        <v>2134</v>
      </c>
      <c r="K112" s="6" t="s">
        <v>1589</v>
      </c>
      <c r="L112" s="6" t="s">
        <v>1603</v>
      </c>
      <c r="M112" s="6" t="s">
        <v>1738</v>
      </c>
      <c r="N112" s="6" t="s">
        <v>1592</v>
      </c>
      <c r="O112" s="6" t="s">
        <v>1593</v>
      </c>
      <c r="P112" s="6" t="s">
        <v>1594</v>
      </c>
      <c r="Q112" s="7" t="s">
        <v>1734</v>
      </c>
      <c r="S112" s="6" t="s">
        <v>1595</v>
      </c>
      <c r="T112" s="6" t="s">
        <v>1605</v>
      </c>
    </row>
    <row r="113">
      <c r="A113" s="7" t="s">
        <v>1692</v>
      </c>
      <c r="B113" s="6" t="s">
        <v>1581</v>
      </c>
      <c r="C113" s="6" t="s">
        <v>1582</v>
      </c>
      <c r="D113" s="7" t="s">
        <v>1799</v>
      </c>
      <c r="E113" s="6" t="s">
        <v>2000</v>
      </c>
      <c r="F113" s="6" t="s">
        <v>1900</v>
      </c>
      <c r="G113" s="6" t="str">
        <f>IFERROR(__xludf.DUMMYFUNCTION("FILTER(RAW_met_lieux_inclusion_numeriq!B:B,RAW_met_lieux_inclusion_numeriq!B:B=F113)"),"#N/A")</f>
        <v>#N/A</v>
      </c>
      <c r="H113" s="6" t="s">
        <v>1811</v>
      </c>
      <c r="I113" s="6" t="s">
        <v>2132</v>
      </c>
      <c r="J113" s="7" t="s">
        <v>2135</v>
      </c>
      <c r="K113" s="6" t="s">
        <v>1589</v>
      </c>
      <c r="L113" s="6" t="s">
        <v>1603</v>
      </c>
      <c r="M113" s="6" t="s">
        <v>1804</v>
      </c>
      <c r="N113" s="6" t="s">
        <v>1592</v>
      </c>
      <c r="O113" s="6" t="s">
        <v>1593</v>
      </c>
      <c r="P113" s="6" t="s">
        <v>1594</v>
      </c>
      <c r="Q113" s="7" t="s">
        <v>1799</v>
      </c>
      <c r="S113" s="6" t="s">
        <v>1595</v>
      </c>
      <c r="T113" s="6" t="s">
        <v>1634</v>
      </c>
    </row>
    <row r="114">
      <c r="A114" s="7" t="s">
        <v>1692</v>
      </c>
      <c r="B114" s="6" t="s">
        <v>1581</v>
      </c>
      <c r="C114" s="6" t="s">
        <v>1582</v>
      </c>
      <c r="D114" s="7" t="s">
        <v>1754</v>
      </c>
      <c r="E114" s="6" t="s">
        <v>1766</v>
      </c>
      <c r="F114" s="6" t="s">
        <v>1767</v>
      </c>
      <c r="G114" s="6" t="str">
        <f>IFERROR(__xludf.DUMMYFUNCTION("FILTER(RAW_met_lieux_inclusion_numeriq!B:B,RAW_met_lieux_inclusion_numeriq!B:B=F114)"),"#N/A")</f>
        <v>#N/A</v>
      </c>
      <c r="H114" s="6" t="s">
        <v>1768</v>
      </c>
      <c r="I114" s="6" t="s">
        <v>2136</v>
      </c>
      <c r="J114" s="7" t="s">
        <v>1651</v>
      </c>
      <c r="K114" s="6" t="s">
        <v>1589</v>
      </c>
      <c r="L114" s="6" t="s">
        <v>1603</v>
      </c>
      <c r="M114" s="6" t="s">
        <v>1758</v>
      </c>
      <c r="N114" s="6" t="s">
        <v>1592</v>
      </c>
      <c r="O114" s="6" t="s">
        <v>1593</v>
      </c>
      <c r="P114" s="6" t="s">
        <v>1594</v>
      </c>
      <c r="Q114" s="7" t="s">
        <v>1754</v>
      </c>
      <c r="S114" s="6" t="s">
        <v>1595</v>
      </c>
      <c r="T114" s="6" t="s">
        <v>1596</v>
      </c>
    </row>
    <row r="115">
      <c r="A115" s="7" t="s">
        <v>1692</v>
      </c>
      <c r="B115" s="6" t="s">
        <v>1581</v>
      </c>
      <c r="C115" s="6" t="s">
        <v>1582</v>
      </c>
      <c r="D115" s="7" t="s">
        <v>2137</v>
      </c>
      <c r="E115" s="6" t="s">
        <v>1739</v>
      </c>
      <c r="F115" s="6" t="s">
        <v>2138</v>
      </c>
      <c r="G115" s="6" t="str">
        <f>IFERROR(__xludf.DUMMYFUNCTION("FILTER(RAW_met_lieux_inclusion_numeriq!B:B,RAW_met_lieux_inclusion_numeriq!B:B=F115)"),"#N/A")</f>
        <v>#N/A</v>
      </c>
      <c r="H115" s="6" t="s">
        <v>2139</v>
      </c>
      <c r="I115" s="6" t="s">
        <v>2140</v>
      </c>
      <c r="J115" s="7" t="s">
        <v>1743</v>
      </c>
      <c r="K115" s="6" t="s">
        <v>1589</v>
      </c>
      <c r="L115" s="6" t="s">
        <v>1603</v>
      </c>
      <c r="M115" s="6" t="s">
        <v>2141</v>
      </c>
      <c r="N115" s="6" t="s">
        <v>1592</v>
      </c>
      <c r="O115" s="6" t="s">
        <v>1593</v>
      </c>
      <c r="P115" s="6" t="s">
        <v>1594</v>
      </c>
      <c r="Q115" s="7" t="s">
        <v>2137</v>
      </c>
      <c r="S115" s="6" t="s">
        <v>1595</v>
      </c>
      <c r="T115" s="6" t="s">
        <v>1596</v>
      </c>
    </row>
    <row r="116">
      <c r="A116" s="7" t="s">
        <v>1692</v>
      </c>
      <c r="B116" s="6" t="s">
        <v>1581</v>
      </c>
      <c r="C116" s="6" t="s">
        <v>1582</v>
      </c>
      <c r="D116" s="7" t="s">
        <v>1799</v>
      </c>
      <c r="E116" s="6" t="s">
        <v>2142</v>
      </c>
      <c r="F116" s="6" t="s">
        <v>2143</v>
      </c>
      <c r="G116" s="6" t="str">
        <f>IFERROR(__xludf.DUMMYFUNCTION("FILTER(RAW_met_lieux_inclusion_numeriq!B:B,RAW_met_lieux_inclusion_numeriq!B:B=F116)"),"#N/A")</f>
        <v>#N/A</v>
      </c>
      <c r="H116" s="6" t="s">
        <v>2144</v>
      </c>
      <c r="I116" s="6" t="s">
        <v>1601</v>
      </c>
      <c r="J116" s="7" t="s">
        <v>2145</v>
      </c>
      <c r="K116" s="6" t="s">
        <v>1589</v>
      </c>
      <c r="L116" s="6" t="s">
        <v>1603</v>
      </c>
      <c r="M116" s="6" t="s">
        <v>1804</v>
      </c>
      <c r="N116" s="6" t="s">
        <v>1592</v>
      </c>
      <c r="O116" s="6" t="s">
        <v>1593</v>
      </c>
      <c r="P116" s="6" t="s">
        <v>1594</v>
      </c>
      <c r="Q116" s="7" t="s">
        <v>1799</v>
      </c>
      <c r="S116" s="6" t="s">
        <v>1601</v>
      </c>
      <c r="T116" s="6" t="s">
        <v>1596</v>
      </c>
    </row>
    <row r="117">
      <c r="A117" s="7" t="s">
        <v>1776</v>
      </c>
      <c r="B117" s="6" t="s">
        <v>1581</v>
      </c>
      <c r="C117" s="6" t="s">
        <v>1582</v>
      </c>
      <c r="D117" s="7" t="s">
        <v>1982</v>
      </c>
      <c r="E117" s="6" t="s">
        <v>1814</v>
      </c>
      <c r="F117" s="6" t="s">
        <v>2146</v>
      </c>
      <c r="G117" s="6" t="str">
        <f>IFERROR(__xludf.DUMMYFUNCTION("FILTER(RAW_met_lieux_inclusion_numeriq!B:B,RAW_met_lieux_inclusion_numeriq!B:B=F117)"),"#N/A")</f>
        <v>#N/A</v>
      </c>
      <c r="H117" s="6" t="s">
        <v>2147</v>
      </c>
      <c r="I117" s="6" t="s">
        <v>1631</v>
      </c>
      <c r="J117" s="7" t="s">
        <v>2148</v>
      </c>
      <c r="K117" s="6" t="s">
        <v>1589</v>
      </c>
      <c r="L117" s="6" t="s">
        <v>1603</v>
      </c>
      <c r="M117" s="6" t="s">
        <v>1987</v>
      </c>
      <c r="N117" s="6" t="s">
        <v>1592</v>
      </c>
      <c r="O117" s="6" t="s">
        <v>1593</v>
      </c>
      <c r="P117" s="6" t="s">
        <v>1594</v>
      </c>
      <c r="Q117" s="7" t="s">
        <v>1982</v>
      </c>
      <c r="S117" s="6" t="s">
        <v>1595</v>
      </c>
      <c r="T117" s="6" t="s">
        <v>1605</v>
      </c>
    </row>
    <row r="118">
      <c r="A118" s="7" t="s">
        <v>1776</v>
      </c>
      <c r="B118" s="6" t="s">
        <v>1581</v>
      </c>
      <c r="C118" s="6" t="s">
        <v>1582</v>
      </c>
      <c r="D118" s="7" t="s">
        <v>1982</v>
      </c>
      <c r="E118" s="6" t="s">
        <v>1814</v>
      </c>
      <c r="F118" s="6" t="s">
        <v>2146</v>
      </c>
      <c r="G118" s="6" t="str">
        <f>IFERROR(__xludf.DUMMYFUNCTION("FILTER(RAW_met_lieux_inclusion_numeriq!B:B,RAW_met_lieux_inclusion_numeriq!B:B=F118)"),"#N/A")</f>
        <v>#N/A</v>
      </c>
      <c r="H118" s="6" t="s">
        <v>2147</v>
      </c>
      <c r="I118" s="6" t="s">
        <v>1601</v>
      </c>
      <c r="J118" s="7" t="s">
        <v>2148</v>
      </c>
      <c r="K118" s="6" t="s">
        <v>1589</v>
      </c>
      <c r="L118" s="6" t="s">
        <v>1603</v>
      </c>
      <c r="M118" s="6" t="s">
        <v>1987</v>
      </c>
      <c r="N118" s="6" t="s">
        <v>1592</v>
      </c>
      <c r="O118" s="6" t="s">
        <v>1593</v>
      </c>
      <c r="P118" s="6" t="s">
        <v>1594</v>
      </c>
      <c r="Q118" s="7" t="s">
        <v>1982</v>
      </c>
      <c r="S118" s="6" t="s">
        <v>1601</v>
      </c>
      <c r="T118" s="6" t="s">
        <v>1605</v>
      </c>
    </row>
    <row r="119">
      <c r="A119" s="7" t="s">
        <v>1776</v>
      </c>
      <c r="B119" s="6" t="s">
        <v>1581</v>
      </c>
      <c r="C119" s="6" t="s">
        <v>1582</v>
      </c>
      <c r="D119" s="7" t="s">
        <v>2149</v>
      </c>
      <c r="E119" s="6" t="s">
        <v>2150</v>
      </c>
      <c r="F119" s="6" t="s">
        <v>2151</v>
      </c>
      <c r="G119" s="6" t="str">
        <f>IFERROR(__xludf.DUMMYFUNCTION("FILTER(RAW_met_lieux_inclusion_numeriq!B:B,RAW_met_lieux_inclusion_numeriq!B:B=F119)"),"#N/A")</f>
        <v>#N/A</v>
      </c>
      <c r="H119" s="6" t="s">
        <v>2152</v>
      </c>
      <c r="I119" s="6" t="s">
        <v>1601</v>
      </c>
      <c r="J119" s="7" t="s">
        <v>1714</v>
      </c>
      <c r="K119" s="6" t="s">
        <v>1589</v>
      </c>
      <c r="L119" s="6" t="s">
        <v>1603</v>
      </c>
      <c r="M119" s="6" t="s">
        <v>2153</v>
      </c>
      <c r="N119" s="6" t="s">
        <v>1592</v>
      </c>
      <c r="O119" s="6" t="s">
        <v>1593</v>
      </c>
      <c r="P119" s="6" t="s">
        <v>1594</v>
      </c>
      <c r="Q119" s="7" t="s">
        <v>2149</v>
      </c>
      <c r="S119" s="6" t="s">
        <v>1601</v>
      </c>
      <c r="T119" s="6" t="s">
        <v>1596</v>
      </c>
    </row>
    <row r="120">
      <c r="A120" s="7" t="s">
        <v>1776</v>
      </c>
      <c r="B120" s="6" t="s">
        <v>1581</v>
      </c>
      <c r="C120" s="6" t="s">
        <v>1582</v>
      </c>
      <c r="D120" s="7" t="s">
        <v>1999</v>
      </c>
      <c r="E120" s="6" t="s">
        <v>2154</v>
      </c>
      <c r="F120" s="6" t="s">
        <v>1895</v>
      </c>
      <c r="G120" s="6" t="str">
        <f>IFERROR(__xludf.DUMMYFUNCTION("FILTER(RAW_met_lieux_inclusion_numeriq!B:B,RAW_met_lieux_inclusion_numeriq!B:B=F120)"),"#N/A")</f>
        <v>#N/A</v>
      </c>
      <c r="H120" s="6" t="s">
        <v>1896</v>
      </c>
      <c r="I120" s="6" t="s">
        <v>2155</v>
      </c>
      <c r="J120" s="7" t="s">
        <v>2156</v>
      </c>
      <c r="K120" s="6" t="s">
        <v>1589</v>
      </c>
      <c r="L120" s="6" t="s">
        <v>1603</v>
      </c>
      <c r="M120" s="6" t="s">
        <v>2004</v>
      </c>
      <c r="N120" s="6" t="s">
        <v>1592</v>
      </c>
      <c r="O120" s="6" t="s">
        <v>1593</v>
      </c>
      <c r="P120" s="6" t="s">
        <v>1594</v>
      </c>
      <c r="Q120" s="7" t="s">
        <v>1999</v>
      </c>
      <c r="S120" s="6" t="s">
        <v>1595</v>
      </c>
      <c r="T120" s="6" t="s">
        <v>1634</v>
      </c>
    </row>
    <row r="121">
      <c r="A121" s="7" t="s">
        <v>1776</v>
      </c>
      <c r="B121" s="6" t="s">
        <v>1581</v>
      </c>
      <c r="C121" s="6" t="s">
        <v>1582</v>
      </c>
      <c r="D121" s="7" t="s">
        <v>2016</v>
      </c>
      <c r="E121" s="6" t="s">
        <v>2157</v>
      </c>
      <c r="F121" s="6" t="s">
        <v>2158</v>
      </c>
      <c r="G121" s="6" t="str">
        <f>IFERROR(__xludf.DUMMYFUNCTION("FILTER(RAW_met_lieux_inclusion_numeriq!B:B,RAW_met_lieux_inclusion_numeriq!B:B=F121)"),"#N/A")</f>
        <v>#N/A</v>
      </c>
      <c r="H121" s="6" t="s">
        <v>2159</v>
      </c>
      <c r="I121" s="6" t="s">
        <v>1601</v>
      </c>
      <c r="J121" s="7" t="s">
        <v>1714</v>
      </c>
      <c r="K121" s="6" t="s">
        <v>1589</v>
      </c>
      <c r="L121" s="6" t="s">
        <v>1603</v>
      </c>
      <c r="M121" s="6" t="s">
        <v>2017</v>
      </c>
      <c r="N121" s="6" t="s">
        <v>1592</v>
      </c>
      <c r="O121" s="6" t="s">
        <v>1593</v>
      </c>
      <c r="P121" s="6" t="s">
        <v>1594</v>
      </c>
      <c r="Q121" s="7" t="s">
        <v>2016</v>
      </c>
      <c r="S121" s="6" t="s">
        <v>1601</v>
      </c>
      <c r="T121" s="6" t="s">
        <v>1596</v>
      </c>
    </row>
    <row r="122">
      <c r="A122" s="7" t="s">
        <v>1776</v>
      </c>
      <c r="B122" s="6" t="s">
        <v>1581</v>
      </c>
      <c r="C122" s="6" t="s">
        <v>1582</v>
      </c>
      <c r="D122" s="7" t="s">
        <v>1999</v>
      </c>
      <c r="E122" s="6" t="s">
        <v>2160</v>
      </c>
      <c r="F122" s="6" t="s">
        <v>2161</v>
      </c>
      <c r="G122" s="6" t="str">
        <f>IFERROR(__xludf.DUMMYFUNCTION("FILTER(RAW_met_lieux_inclusion_numeriq!B:B,RAW_met_lieux_inclusion_numeriq!B:B=F122)"),"#N/A")</f>
        <v>#N/A</v>
      </c>
      <c r="H122" s="6" t="s">
        <v>2162</v>
      </c>
      <c r="I122" s="6" t="s">
        <v>2136</v>
      </c>
      <c r="J122" s="7" t="s">
        <v>2163</v>
      </c>
      <c r="K122" s="6" t="s">
        <v>1589</v>
      </c>
      <c r="L122" s="6" t="s">
        <v>1603</v>
      </c>
      <c r="M122" s="6" t="s">
        <v>2004</v>
      </c>
      <c r="N122" s="6" t="s">
        <v>1592</v>
      </c>
      <c r="O122" s="6" t="s">
        <v>1593</v>
      </c>
      <c r="P122" s="6" t="s">
        <v>1594</v>
      </c>
      <c r="Q122" s="7" t="s">
        <v>1999</v>
      </c>
      <c r="S122" s="6" t="s">
        <v>1595</v>
      </c>
      <c r="T122" s="6" t="s">
        <v>1634</v>
      </c>
    </row>
    <row r="123">
      <c r="A123" s="7" t="s">
        <v>1776</v>
      </c>
      <c r="B123" s="6" t="s">
        <v>1581</v>
      </c>
      <c r="C123" s="6" t="s">
        <v>1582</v>
      </c>
      <c r="D123" s="7" t="s">
        <v>1808</v>
      </c>
      <c r="E123" s="6" t="s">
        <v>1806</v>
      </c>
      <c r="F123" s="6" t="s">
        <v>2164</v>
      </c>
      <c r="G123" s="6" t="str">
        <f>IFERROR(__xludf.DUMMYFUNCTION("FILTER(RAW_met_lieux_inclusion_numeriq!B:B,RAW_met_lieux_inclusion_numeriq!B:B=F123)"),"#N/A")</f>
        <v>#N/A</v>
      </c>
      <c r="H123" s="6" t="s">
        <v>2165</v>
      </c>
      <c r="I123" s="6" t="s">
        <v>1601</v>
      </c>
      <c r="J123" s="7" t="s">
        <v>2166</v>
      </c>
      <c r="K123" s="6" t="s">
        <v>1589</v>
      </c>
      <c r="L123" s="6" t="s">
        <v>1590</v>
      </c>
      <c r="M123" s="6" t="s">
        <v>1812</v>
      </c>
      <c r="N123" s="6" t="s">
        <v>1592</v>
      </c>
      <c r="O123" s="6" t="s">
        <v>1593</v>
      </c>
      <c r="P123" s="6" t="s">
        <v>1594</v>
      </c>
      <c r="Q123" s="7" t="s">
        <v>1808</v>
      </c>
      <c r="S123" s="6" t="s">
        <v>1601</v>
      </c>
      <c r="T123" s="6" t="s">
        <v>1596</v>
      </c>
    </row>
    <row r="124">
      <c r="A124" s="7" t="s">
        <v>1776</v>
      </c>
      <c r="B124" s="6" t="s">
        <v>1581</v>
      </c>
      <c r="C124" s="6" t="s">
        <v>1582</v>
      </c>
      <c r="D124" s="7" t="s">
        <v>1834</v>
      </c>
      <c r="E124" s="6" t="s">
        <v>1835</v>
      </c>
      <c r="F124" s="6" t="s">
        <v>2167</v>
      </c>
      <c r="G124" s="6" t="str">
        <f>IFERROR(__xludf.DUMMYFUNCTION("FILTER(RAW_met_lieux_inclusion_numeriq!B:B,RAW_met_lieux_inclusion_numeriq!B:B=F124)"),"#N/A")</f>
        <v>#N/A</v>
      </c>
      <c r="H124" s="6" t="s">
        <v>2168</v>
      </c>
      <c r="I124" s="6" t="s">
        <v>2169</v>
      </c>
      <c r="J124" s="7" t="s">
        <v>2170</v>
      </c>
      <c r="K124" s="6" t="s">
        <v>1589</v>
      </c>
      <c r="L124" s="6" t="s">
        <v>1603</v>
      </c>
      <c r="M124" s="6" t="s">
        <v>1839</v>
      </c>
      <c r="N124" s="6" t="s">
        <v>1592</v>
      </c>
      <c r="O124" s="6" t="s">
        <v>1593</v>
      </c>
      <c r="P124" s="6" t="s">
        <v>1594</v>
      </c>
      <c r="Q124" s="7" t="s">
        <v>1834</v>
      </c>
      <c r="S124" s="6" t="s">
        <v>1595</v>
      </c>
      <c r="T124" s="6" t="s">
        <v>1634</v>
      </c>
    </row>
    <row r="125">
      <c r="A125" s="7" t="s">
        <v>1776</v>
      </c>
      <c r="B125" s="6" t="s">
        <v>1581</v>
      </c>
      <c r="C125" s="6" t="s">
        <v>1582</v>
      </c>
      <c r="D125" s="7" t="s">
        <v>1834</v>
      </c>
      <c r="E125" s="6" t="s">
        <v>1835</v>
      </c>
      <c r="F125" s="6" t="s">
        <v>1718</v>
      </c>
      <c r="G125" s="6" t="str">
        <f>IFERROR(__xludf.DUMMYFUNCTION("FILTER(RAW_met_lieux_inclusion_numeriq!B:B,RAW_met_lieux_inclusion_numeriq!B:B=F125)"),"#N/A")</f>
        <v>#N/A</v>
      </c>
      <c r="H125" s="6" t="s">
        <v>1719</v>
      </c>
      <c r="I125" s="6" t="s">
        <v>2171</v>
      </c>
      <c r="J125" s="7" t="s">
        <v>1651</v>
      </c>
      <c r="K125" s="6" t="s">
        <v>1589</v>
      </c>
      <c r="L125" s="6" t="s">
        <v>1603</v>
      </c>
      <c r="M125" s="6" t="s">
        <v>1839</v>
      </c>
      <c r="N125" s="6" t="s">
        <v>1592</v>
      </c>
      <c r="O125" s="6" t="s">
        <v>1593</v>
      </c>
      <c r="P125" s="6" t="s">
        <v>1594</v>
      </c>
      <c r="Q125" s="7" t="s">
        <v>1834</v>
      </c>
      <c r="S125" s="6" t="s">
        <v>1595</v>
      </c>
      <c r="T125" s="6" t="s">
        <v>1596</v>
      </c>
    </row>
    <row r="126">
      <c r="A126" s="7" t="s">
        <v>1776</v>
      </c>
      <c r="B126" s="6" t="s">
        <v>1581</v>
      </c>
      <c r="C126" s="6" t="s">
        <v>1582</v>
      </c>
      <c r="D126" s="7" t="s">
        <v>1834</v>
      </c>
      <c r="E126" s="6" t="s">
        <v>1835</v>
      </c>
      <c r="F126" s="6" t="s">
        <v>2172</v>
      </c>
      <c r="G126" s="6" t="str">
        <f>IFERROR(__xludf.DUMMYFUNCTION("FILTER(RAW_met_lieux_inclusion_numeriq!B:B,RAW_met_lieux_inclusion_numeriq!B:B=F126)"),"#N/A")</f>
        <v>#N/A</v>
      </c>
      <c r="H126" s="6" t="s">
        <v>2173</v>
      </c>
      <c r="I126" s="6" t="s">
        <v>2174</v>
      </c>
      <c r="J126" s="7" t="s">
        <v>1711</v>
      </c>
      <c r="K126" s="6" t="s">
        <v>1589</v>
      </c>
      <c r="L126" s="6" t="s">
        <v>1603</v>
      </c>
      <c r="M126" s="6" t="s">
        <v>1839</v>
      </c>
      <c r="N126" s="6" t="s">
        <v>1592</v>
      </c>
      <c r="O126" s="6" t="s">
        <v>1593</v>
      </c>
      <c r="P126" s="6" t="s">
        <v>1594</v>
      </c>
      <c r="Q126" s="7" t="s">
        <v>1834</v>
      </c>
      <c r="S126" s="6" t="s">
        <v>1595</v>
      </c>
      <c r="T126" s="6" t="s">
        <v>1596</v>
      </c>
    </row>
    <row r="127">
      <c r="A127" s="7" t="s">
        <v>1776</v>
      </c>
      <c r="B127" s="6" t="s">
        <v>1581</v>
      </c>
      <c r="C127" s="6" t="s">
        <v>1582</v>
      </c>
      <c r="D127" s="7" t="s">
        <v>1834</v>
      </c>
      <c r="E127" s="6" t="s">
        <v>2175</v>
      </c>
      <c r="F127" s="6" t="s">
        <v>2176</v>
      </c>
      <c r="G127" s="6" t="str">
        <f>IFERROR(__xludf.DUMMYFUNCTION("FILTER(RAW_met_lieux_inclusion_numeriq!B:B,RAW_met_lieux_inclusion_numeriq!B:B=F127)"),"#N/A")</f>
        <v>#N/A</v>
      </c>
      <c r="H127" s="6" t="s">
        <v>2177</v>
      </c>
      <c r="I127" s="6" t="s">
        <v>2178</v>
      </c>
      <c r="J127" s="7" t="s">
        <v>2179</v>
      </c>
      <c r="K127" s="6" t="s">
        <v>1589</v>
      </c>
      <c r="L127" s="6" t="s">
        <v>1603</v>
      </c>
      <c r="M127" s="6" t="s">
        <v>1839</v>
      </c>
      <c r="N127" s="6" t="s">
        <v>1592</v>
      </c>
      <c r="O127" s="6" t="s">
        <v>1593</v>
      </c>
      <c r="P127" s="6" t="s">
        <v>1594</v>
      </c>
      <c r="Q127" s="7" t="s">
        <v>1834</v>
      </c>
      <c r="S127" s="6" t="s">
        <v>1595</v>
      </c>
      <c r="T127" s="6" t="s">
        <v>1596</v>
      </c>
    </row>
    <row r="128">
      <c r="A128" s="7" t="s">
        <v>1840</v>
      </c>
      <c r="B128" s="6" t="s">
        <v>1581</v>
      </c>
      <c r="C128" s="6" t="s">
        <v>1582</v>
      </c>
      <c r="D128" s="7" t="s">
        <v>2180</v>
      </c>
      <c r="E128" s="6" t="s">
        <v>2181</v>
      </c>
      <c r="F128" s="6" t="s">
        <v>2182</v>
      </c>
      <c r="G128" s="6" t="str">
        <f>IFERROR(__xludf.DUMMYFUNCTION("FILTER(RAW_met_lieux_inclusion_numeriq!B:B,RAW_met_lieux_inclusion_numeriq!B:B=F128)"),"#N/A")</f>
        <v>#N/A</v>
      </c>
      <c r="H128" s="6" t="s">
        <v>2183</v>
      </c>
      <c r="I128" s="6" t="s">
        <v>1601</v>
      </c>
      <c r="J128" s="7" t="s">
        <v>1714</v>
      </c>
      <c r="K128" s="6" t="s">
        <v>1589</v>
      </c>
      <c r="L128" s="6" t="s">
        <v>1603</v>
      </c>
      <c r="M128" s="6" t="s">
        <v>2184</v>
      </c>
      <c r="N128" s="6" t="s">
        <v>1592</v>
      </c>
      <c r="O128" s="6" t="s">
        <v>1593</v>
      </c>
      <c r="P128" s="6" t="s">
        <v>1594</v>
      </c>
      <c r="Q128" s="7" t="s">
        <v>2180</v>
      </c>
      <c r="S128" s="6" t="s">
        <v>1601</v>
      </c>
      <c r="T128" s="6" t="s">
        <v>1596</v>
      </c>
    </row>
    <row r="129">
      <c r="A129" s="7" t="s">
        <v>1840</v>
      </c>
      <c r="B129" s="6" t="s">
        <v>1581</v>
      </c>
      <c r="C129" s="6" t="s">
        <v>1582</v>
      </c>
      <c r="D129" s="7" t="s">
        <v>2185</v>
      </c>
      <c r="E129" s="6" t="s">
        <v>2181</v>
      </c>
      <c r="F129" s="6" t="s">
        <v>1621</v>
      </c>
      <c r="G129" s="6" t="str">
        <f>IFERROR(__xludf.DUMMYFUNCTION("FILTER(RAW_met_lieux_inclusion_numeriq!B:B,RAW_met_lieux_inclusion_numeriq!B:B=F129)"),"#N/A")</f>
        <v>#N/A</v>
      </c>
      <c r="H129" s="6" t="s">
        <v>1622</v>
      </c>
      <c r="I129" s="6" t="s">
        <v>2186</v>
      </c>
      <c r="J129" s="7" t="s">
        <v>1714</v>
      </c>
      <c r="K129" s="6" t="s">
        <v>1589</v>
      </c>
      <c r="L129" s="6" t="s">
        <v>1603</v>
      </c>
      <c r="M129" s="6" t="s">
        <v>2187</v>
      </c>
      <c r="N129" s="6" t="s">
        <v>1592</v>
      </c>
      <c r="O129" s="6" t="s">
        <v>1593</v>
      </c>
      <c r="P129" s="6" t="s">
        <v>1594</v>
      </c>
      <c r="Q129" s="7" t="s">
        <v>2185</v>
      </c>
      <c r="S129" s="6" t="s">
        <v>1595</v>
      </c>
      <c r="T129" s="6" t="s">
        <v>1596</v>
      </c>
    </row>
    <row r="130">
      <c r="A130" s="7" t="s">
        <v>1840</v>
      </c>
      <c r="B130" s="6" t="s">
        <v>1581</v>
      </c>
      <c r="C130" s="6" t="s">
        <v>1582</v>
      </c>
      <c r="D130" s="7" t="s">
        <v>2188</v>
      </c>
      <c r="E130" s="6" t="s">
        <v>2181</v>
      </c>
      <c r="F130" s="6" t="s">
        <v>2189</v>
      </c>
      <c r="G130" s="6" t="str">
        <f>IFERROR(__xludf.DUMMYFUNCTION("FILTER(RAW_met_lieux_inclusion_numeriq!B:B,RAW_met_lieux_inclusion_numeriq!B:B=F130)"),"#N/A")</f>
        <v>#N/A</v>
      </c>
      <c r="H130" s="6" t="s">
        <v>2190</v>
      </c>
      <c r="I130" s="6" t="s">
        <v>1601</v>
      </c>
      <c r="J130" s="7" t="s">
        <v>1714</v>
      </c>
      <c r="K130" s="6" t="s">
        <v>1589</v>
      </c>
      <c r="L130" s="6" t="s">
        <v>1603</v>
      </c>
      <c r="M130" s="6" t="s">
        <v>2191</v>
      </c>
      <c r="N130" s="6" t="s">
        <v>1592</v>
      </c>
      <c r="O130" s="6" t="s">
        <v>1593</v>
      </c>
      <c r="P130" s="6" t="s">
        <v>1594</v>
      </c>
      <c r="Q130" s="7" t="s">
        <v>2188</v>
      </c>
      <c r="S130" s="6" t="s">
        <v>1601</v>
      </c>
      <c r="T130" s="6" t="s">
        <v>1596</v>
      </c>
    </row>
    <row r="131">
      <c r="A131" s="7" t="s">
        <v>1840</v>
      </c>
      <c r="B131" s="6" t="s">
        <v>1581</v>
      </c>
      <c r="C131" s="6" t="s">
        <v>1582</v>
      </c>
      <c r="D131" s="7" t="s">
        <v>1808</v>
      </c>
      <c r="E131" s="6" t="s">
        <v>1806</v>
      </c>
      <c r="F131" s="6" t="s">
        <v>2018</v>
      </c>
      <c r="G131" s="6" t="str">
        <f>IFERROR(__xludf.DUMMYFUNCTION("FILTER(RAW_met_lieux_inclusion_numeriq!B:B,RAW_met_lieux_inclusion_numeriq!B:B=F131)"),"#N/A")</f>
        <v>#N/A</v>
      </c>
      <c r="H131" s="6" t="s">
        <v>2019</v>
      </c>
      <c r="I131" s="6" t="s">
        <v>2192</v>
      </c>
      <c r="J131" s="7" t="s">
        <v>2193</v>
      </c>
      <c r="K131" s="6" t="s">
        <v>1589</v>
      </c>
      <c r="L131" s="6" t="s">
        <v>1590</v>
      </c>
      <c r="M131" s="6" t="s">
        <v>1812</v>
      </c>
      <c r="N131" s="6" t="s">
        <v>1592</v>
      </c>
      <c r="O131" s="6" t="s">
        <v>1593</v>
      </c>
      <c r="P131" s="6" t="s">
        <v>1594</v>
      </c>
      <c r="Q131" s="7" t="s">
        <v>1808</v>
      </c>
      <c r="S131" s="6" t="s">
        <v>1595</v>
      </c>
      <c r="T131" s="6" t="s">
        <v>1596</v>
      </c>
    </row>
    <row r="132">
      <c r="A132" s="7" t="s">
        <v>2194</v>
      </c>
      <c r="B132" s="6" t="s">
        <v>1581</v>
      </c>
      <c r="C132" s="6" t="s">
        <v>2195</v>
      </c>
      <c r="D132" s="7" t="s">
        <v>1840</v>
      </c>
      <c r="E132" s="6" t="s">
        <v>2196</v>
      </c>
      <c r="F132" s="6" t="s">
        <v>2197</v>
      </c>
      <c r="G132" s="6" t="str">
        <f>IFERROR(__xludf.DUMMYFUNCTION("FILTER(RAW_met_lieux_inclusion_numeriq!B:B,RAW_met_lieux_inclusion_numeriq!B:B=F132)"),"#N/A")</f>
        <v>#N/A</v>
      </c>
      <c r="H132" s="6" t="s">
        <v>2198</v>
      </c>
      <c r="I132" s="6" t="s">
        <v>1631</v>
      </c>
      <c r="J132" s="7" t="s">
        <v>2199</v>
      </c>
      <c r="K132" s="6" t="s">
        <v>1589</v>
      </c>
      <c r="L132" s="6" t="s">
        <v>1603</v>
      </c>
      <c r="M132" s="6" t="s">
        <v>2200</v>
      </c>
      <c r="N132" s="6" t="s">
        <v>1592</v>
      </c>
      <c r="O132" s="6" t="s">
        <v>1593</v>
      </c>
      <c r="P132" s="6" t="s">
        <v>1594</v>
      </c>
      <c r="Q132" s="7" t="s">
        <v>1840</v>
      </c>
      <c r="S132" s="6" t="s">
        <v>1595</v>
      </c>
      <c r="T132" s="6" t="s">
        <v>1634</v>
      </c>
    </row>
    <row r="133">
      <c r="A133" s="7" t="s">
        <v>2194</v>
      </c>
      <c r="B133" s="6" t="s">
        <v>1581</v>
      </c>
      <c r="C133" s="6" t="s">
        <v>2195</v>
      </c>
      <c r="D133" s="7" t="s">
        <v>2201</v>
      </c>
      <c r="E133" s="6" t="s">
        <v>2202</v>
      </c>
      <c r="F133" s="6" t="s">
        <v>2203</v>
      </c>
      <c r="G133" s="6" t="str">
        <f>IFERROR(__xludf.DUMMYFUNCTION("FILTER(RAW_met_lieux_inclusion_numeriq!B:B,RAW_met_lieux_inclusion_numeriq!B:B=F133)"),"#N/A")</f>
        <v>#N/A</v>
      </c>
      <c r="H133" s="6" t="s">
        <v>2204</v>
      </c>
      <c r="I133" s="6" t="s">
        <v>2205</v>
      </c>
      <c r="J133" s="7" t="s">
        <v>1992</v>
      </c>
      <c r="K133" s="6" t="s">
        <v>1589</v>
      </c>
      <c r="L133" s="6" t="s">
        <v>1590</v>
      </c>
      <c r="M133" s="6" t="s">
        <v>2206</v>
      </c>
      <c r="N133" s="6" t="s">
        <v>1592</v>
      </c>
      <c r="O133" s="6" t="s">
        <v>1593</v>
      </c>
      <c r="P133" s="6" t="s">
        <v>1594</v>
      </c>
      <c r="Q133" s="7" t="s">
        <v>2201</v>
      </c>
      <c r="S133" s="6" t="s">
        <v>1595</v>
      </c>
      <c r="T133" s="6" t="s">
        <v>1596</v>
      </c>
    </row>
    <row r="134">
      <c r="A134" s="7" t="s">
        <v>2194</v>
      </c>
      <c r="B134" s="6" t="s">
        <v>1581</v>
      </c>
      <c r="C134" s="6" t="s">
        <v>2195</v>
      </c>
      <c r="D134" s="7" t="s">
        <v>2207</v>
      </c>
      <c r="E134" s="6" t="s">
        <v>2208</v>
      </c>
      <c r="F134" s="6" t="s">
        <v>2209</v>
      </c>
      <c r="G134" s="6" t="str">
        <f>IFERROR(__xludf.DUMMYFUNCTION("FILTER(RAW_met_lieux_inclusion_numeriq!B:B,RAW_met_lieux_inclusion_numeriq!B:B=F134)"),"#N/A")</f>
        <v>#N/A</v>
      </c>
      <c r="H134" s="6" t="s">
        <v>2210</v>
      </c>
      <c r="I134" s="6" t="s">
        <v>2211</v>
      </c>
      <c r="J134" s="7" t="s">
        <v>2212</v>
      </c>
      <c r="K134" s="6" t="s">
        <v>1589</v>
      </c>
      <c r="L134" s="6" t="s">
        <v>1603</v>
      </c>
      <c r="M134" s="6" t="s">
        <v>2213</v>
      </c>
      <c r="N134" s="6" t="s">
        <v>1592</v>
      </c>
      <c r="O134" s="6" t="s">
        <v>1593</v>
      </c>
      <c r="P134" s="6" t="s">
        <v>1594</v>
      </c>
      <c r="Q134" s="7" t="s">
        <v>2207</v>
      </c>
      <c r="S134" s="6" t="s">
        <v>1595</v>
      </c>
      <c r="T134" s="6" t="s">
        <v>1605</v>
      </c>
    </row>
    <row r="135">
      <c r="A135" s="7" t="s">
        <v>2194</v>
      </c>
      <c r="B135" s="6" t="s">
        <v>1581</v>
      </c>
      <c r="C135" s="6" t="s">
        <v>2195</v>
      </c>
      <c r="D135" s="7" t="s">
        <v>2214</v>
      </c>
      <c r="E135" s="6" t="s">
        <v>2215</v>
      </c>
      <c r="F135" s="6" t="s">
        <v>2216</v>
      </c>
      <c r="G135" s="6" t="str">
        <f>IFERROR(__xludf.DUMMYFUNCTION("FILTER(RAW_met_lieux_inclusion_numeriq!B:B,RAW_met_lieux_inclusion_numeriq!B:B=F135)"),"#N/A")</f>
        <v>#N/A</v>
      </c>
      <c r="H135" s="6" t="s">
        <v>2217</v>
      </c>
      <c r="I135" s="6" t="s">
        <v>2218</v>
      </c>
      <c r="J135" s="7" t="s">
        <v>1651</v>
      </c>
      <c r="K135" s="6" t="s">
        <v>1589</v>
      </c>
      <c r="L135" s="6" t="s">
        <v>1603</v>
      </c>
      <c r="M135" s="6" t="s">
        <v>2219</v>
      </c>
      <c r="N135" s="6" t="s">
        <v>1592</v>
      </c>
      <c r="O135" s="6" t="s">
        <v>1593</v>
      </c>
      <c r="P135" s="6" t="s">
        <v>1594</v>
      </c>
      <c r="Q135" s="7" t="s">
        <v>2214</v>
      </c>
      <c r="S135" s="6" t="s">
        <v>1595</v>
      </c>
      <c r="T135" s="6" t="s">
        <v>1596</v>
      </c>
    </row>
    <row r="136">
      <c r="A136" s="7" t="s">
        <v>2194</v>
      </c>
      <c r="B136" s="6" t="s">
        <v>1581</v>
      </c>
      <c r="C136" s="6" t="s">
        <v>2195</v>
      </c>
      <c r="D136" s="7" t="s">
        <v>2220</v>
      </c>
      <c r="E136" s="6" t="s">
        <v>2215</v>
      </c>
      <c r="F136" s="6" t="s">
        <v>2221</v>
      </c>
      <c r="G136" s="6" t="str">
        <f>IFERROR(__xludf.DUMMYFUNCTION("FILTER(RAW_met_lieux_inclusion_numeriq!B:B,RAW_met_lieux_inclusion_numeriq!B:B=F136)"),"#N/A")</f>
        <v>#N/A</v>
      </c>
      <c r="H136" s="6" t="s">
        <v>2222</v>
      </c>
      <c r="I136" s="6" t="s">
        <v>2223</v>
      </c>
      <c r="J136" s="7" t="s">
        <v>1671</v>
      </c>
      <c r="K136" s="6" t="s">
        <v>1589</v>
      </c>
      <c r="L136" s="6" t="s">
        <v>1603</v>
      </c>
      <c r="M136" s="6" t="s">
        <v>2224</v>
      </c>
      <c r="N136" s="6" t="s">
        <v>1592</v>
      </c>
      <c r="O136" s="6" t="s">
        <v>1593</v>
      </c>
      <c r="P136" s="6" t="s">
        <v>1594</v>
      </c>
      <c r="Q136" s="7" t="s">
        <v>2220</v>
      </c>
      <c r="S136" s="6" t="s">
        <v>1595</v>
      </c>
      <c r="T136" s="6" t="s">
        <v>1596</v>
      </c>
    </row>
    <row r="137">
      <c r="A137" s="7" t="s">
        <v>2194</v>
      </c>
      <c r="B137" s="6" t="s">
        <v>1581</v>
      </c>
      <c r="C137" s="6" t="s">
        <v>2195</v>
      </c>
      <c r="D137" s="7" t="s">
        <v>2225</v>
      </c>
      <c r="E137" s="6" t="s">
        <v>2226</v>
      </c>
      <c r="F137" s="6" t="s">
        <v>1621</v>
      </c>
      <c r="G137" s="6" t="str">
        <f>IFERROR(__xludf.DUMMYFUNCTION("FILTER(RAW_met_lieux_inclusion_numeriq!B:B,RAW_met_lieux_inclusion_numeriq!B:B=F137)"),"#N/A")</f>
        <v>#N/A</v>
      </c>
      <c r="H137" s="6" t="s">
        <v>2227</v>
      </c>
      <c r="I137" s="6" t="s">
        <v>2228</v>
      </c>
      <c r="J137" s="7" t="s">
        <v>2229</v>
      </c>
      <c r="K137" s="6" t="s">
        <v>1589</v>
      </c>
      <c r="L137" s="6" t="s">
        <v>1603</v>
      </c>
      <c r="M137" s="6" t="s">
        <v>2230</v>
      </c>
      <c r="N137" s="6" t="s">
        <v>1592</v>
      </c>
      <c r="O137" s="6" t="s">
        <v>1593</v>
      </c>
      <c r="P137" s="6" t="s">
        <v>1594</v>
      </c>
      <c r="Q137" s="7" t="s">
        <v>2225</v>
      </c>
      <c r="S137" s="6" t="s">
        <v>1595</v>
      </c>
      <c r="T137" s="6" t="s">
        <v>1596</v>
      </c>
    </row>
    <row r="138">
      <c r="A138" s="7" t="s">
        <v>2231</v>
      </c>
      <c r="B138" s="6" t="s">
        <v>1581</v>
      </c>
      <c r="C138" s="6" t="s">
        <v>2195</v>
      </c>
      <c r="D138" s="7" t="s">
        <v>2232</v>
      </c>
      <c r="E138" s="6" t="s">
        <v>2233</v>
      </c>
      <c r="F138" s="6" t="s">
        <v>2234</v>
      </c>
      <c r="G138" s="6" t="str">
        <f>IFERROR(__xludf.DUMMYFUNCTION("FILTER(RAW_met_lieux_inclusion_numeriq!B:B,RAW_met_lieux_inclusion_numeriq!B:B=F138)"),"#N/A")</f>
        <v>#N/A</v>
      </c>
      <c r="H138" s="6" t="s">
        <v>2235</v>
      </c>
      <c r="I138" s="6" t="s">
        <v>2236</v>
      </c>
      <c r="J138" s="7" t="s">
        <v>1832</v>
      </c>
      <c r="K138" s="6" t="s">
        <v>1589</v>
      </c>
      <c r="L138" s="6" t="s">
        <v>1590</v>
      </c>
      <c r="M138" s="6" t="s">
        <v>2237</v>
      </c>
      <c r="N138" s="6" t="s">
        <v>1592</v>
      </c>
      <c r="O138" s="6" t="s">
        <v>1593</v>
      </c>
      <c r="P138" s="6" t="s">
        <v>1594</v>
      </c>
      <c r="Q138" s="7" t="s">
        <v>2232</v>
      </c>
      <c r="S138" s="6" t="s">
        <v>1595</v>
      </c>
      <c r="T138" s="6" t="s">
        <v>1605</v>
      </c>
    </row>
    <row r="139">
      <c r="A139" s="7" t="s">
        <v>2231</v>
      </c>
      <c r="B139" s="6" t="s">
        <v>1581</v>
      </c>
      <c r="C139" s="6" t="s">
        <v>2195</v>
      </c>
      <c r="D139" s="7" t="s">
        <v>2238</v>
      </c>
      <c r="E139" s="6" t="s">
        <v>2239</v>
      </c>
      <c r="F139" s="6" t="s">
        <v>2240</v>
      </c>
      <c r="G139" s="6" t="str">
        <f>IFERROR(__xludf.DUMMYFUNCTION("FILTER(RAW_met_lieux_inclusion_numeriq!B:B,RAW_met_lieux_inclusion_numeriq!B:B=F139)"),"#N/A")</f>
        <v>#N/A</v>
      </c>
      <c r="H139" s="6" t="s">
        <v>2241</v>
      </c>
      <c r="I139" s="6" t="s">
        <v>2242</v>
      </c>
      <c r="J139" s="7" t="s">
        <v>1832</v>
      </c>
      <c r="K139" s="6" t="s">
        <v>1589</v>
      </c>
      <c r="L139" s="6" t="s">
        <v>1603</v>
      </c>
      <c r="M139" s="6" t="s">
        <v>2243</v>
      </c>
      <c r="N139" s="6" t="s">
        <v>1592</v>
      </c>
      <c r="O139" s="6" t="s">
        <v>1593</v>
      </c>
      <c r="P139" s="6" t="s">
        <v>1594</v>
      </c>
      <c r="Q139" s="7" t="s">
        <v>2238</v>
      </c>
      <c r="S139" s="6" t="s">
        <v>1595</v>
      </c>
      <c r="T139" s="6" t="s">
        <v>1605</v>
      </c>
    </row>
    <row r="140">
      <c r="A140" s="7" t="s">
        <v>2244</v>
      </c>
      <c r="B140" s="6" t="s">
        <v>1581</v>
      </c>
      <c r="C140" s="6" t="s">
        <v>2195</v>
      </c>
      <c r="D140" s="7" t="s">
        <v>2245</v>
      </c>
      <c r="E140" s="6" t="s">
        <v>2246</v>
      </c>
      <c r="F140" s="6" t="s">
        <v>2247</v>
      </c>
      <c r="G140" s="6" t="str">
        <f>IFERROR(__xludf.DUMMYFUNCTION("FILTER(RAW_met_lieux_inclusion_numeriq!B:B,RAW_met_lieux_inclusion_numeriq!B:B=F140)"),"#N/A")</f>
        <v>#N/A</v>
      </c>
      <c r="H140" s="6" t="s">
        <v>2248</v>
      </c>
      <c r="I140" s="6" t="s">
        <v>2249</v>
      </c>
      <c r="J140" s="7" t="s">
        <v>1714</v>
      </c>
      <c r="K140" s="6" t="s">
        <v>1589</v>
      </c>
      <c r="L140" s="6" t="s">
        <v>1603</v>
      </c>
      <c r="M140" s="6" t="s">
        <v>2250</v>
      </c>
      <c r="N140" s="6" t="s">
        <v>1592</v>
      </c>
      <c r="O140" s="6" t="s">
        <v>1593</v>
      </c>
      <c r="P140" s="6" t="s">
        <v>1594</v>
      </c>
      <c r="Q140" s="7" t="s">
        <v>2245</v>
      </c>
      <c r="S140" s="6" t="s">
        <v>1595</v>
      </c>
      <c r="T140" s="6" t="s">
        <v>1596</v>
      </c>
    </row>
    <row r="141">
      <c r="A141" s="7" t="s">
        <v>2244</v>
      </c>
      <c r="B141" s="6" t="s">
        <v>1581</v>
      </c>
      <c r="C141" s="6" t="s">
        <v>2195</v>
      </c>
      <c r="D141" s="7" t="s">
        <v>2251</v>
      </c>
      <c r="E141" s="6" t="s">
        <v>2252</v>
      </c>
      <c r="F141" s="6" t="s">
        <v>1849</v>
      </c>
      <c r="G141" s="6" t="str">
        <f>IFERROR(__xludf.DUMMYFUNCTION("FILTER(RAW_met_lieux_inclusion_numeriq!B:B,RAW_met_lieux_inclusion_numeriq!B:B=F141)"),"#N/A")</f>
        <v>#N/A</v>
      </c>
      <c r="H141" s="6" t="s">
        <v>2253</v>
      </c>
      <c r="I141" s="6" t="s">
        <v>1601</v>
      </c>
      <c r="J141" s="7" t="s">
        <v>1851</v>
      </c>
      <c r="K141" s="6" t="s">
        <v>1589</v>
      </c>
      <c r="L141" s="6" t="s">
        <v>1603</v>
      </c>
      <c r="M141" s="6" t="s">
        <v>2254</v>
      </c>
      <c r="N141" s="6" t="s">
        <v>1592</v>
      </c>
      <c r="O141" s="6" t="s">
        <v>1593</v>
      </c>
      <c r="P141" s="6" t="s">
        <v>1594</v>
      </c>
      <c r="Q141" s="7" t="s">
        <v>2251</v>
      </c>
      <c r="S141" s="6" t="s">
        <v>1601</v>
      </c>
      <c r="T141" s="6" t="s">
        <v>1605</v>
      </c>
    </row>
    <row r="142">
      <c r="A142" s="7" t="s">
        <v>2244</v>
      </c>
      <c r="B142" s="6" t="s">
        <v>1581</v>
      </c>
      <c r="C142" s="6" t="s">
        <v>2195</v>
      </c>
      <c r="D142" s="7" t="s">
        <v>2255</v>
      </c>
      <c r="E142" s="6" t="s">
        <v>2256</v>
      </c>
      <c r="F142" s="6" t="s">
        <v>2257</v>
      </c>
      <c r="G142" s="6" t="str">
        <f>IFERROR(__xludf.DUMMYFUNCTION("FILTER(RAW_met_lieux_inclusion_numeriq!B:B,RAW_met_lieux_inclusion_numeriq!B:B=F142)"),"#N/A")</f>
        <v>#N/A</v>
      </c>
      <c r="H142" s="6" t="s">
        <v>2258</v>
      </c>
      <c r="I142" s="6" t="s">
        <v>2259</v>
      </c>
      <c r="J142" s="7" t="s">
        <v>2127</v>
      </c>
      <c r="K142" s="6" t="s">
        <v>1589</v>
      </c>
      <c r="L142" s="6" t="s">
        <v>1603</v>
      </c>
      <c r="M142" s="6" t="s">
        <v>2260</v>
      </c>
      <c r="N142" s="6" t="s">
        <v>1592</v>
      </c>
      <c r="O142" s="6" t="s">
        <v>1593</v>
      </c>
      <c r="P142" s="6" t="s">
        <v>1594</v>
      </c>
      <c r="Q142" s="7" t="s">
        <v>2255</v>
      </c>
      <c r="S142" s="6" t="s">
        <v>1595</v>
      </c>
      <c r="T142" s="6" t="s">
        <v>1634</v>
      </c>
    </row>
    <row r="143">
      <c r="A143" s="7" t="s">
        <v>2244</v>
      </c>
      <c r="B143" s="6" t="s">
        <v>1581</v>
      </c>
      <c r="C143" s="6" t="s">
        <v>2195</v>
      </c>
      <c r="D143" s="7" t="s">
        <v>2245</v>
      </c>
      <c r="E143" s="6" t="s">
        <v>2261</v>
      </c>
      <c r="F143" s="6" t="s">
        <v>1931</v>
      </c>
      <c r="G143" s="6" t="str">
        <f>IFERROR(__xludf.DUMMYFUNCTION("FILTER(RAW_met_lieux_inclusion_numeriq!B:B,RAW_met_lieux_inclusion_numeriq!B:B=F143)"),"#N/A")</f>
        <v>#N/A</v>
      </c>
      <c r="H143" s="6" t="s">
        <v>2262</v>
      </c>
      <c r="I143" s="6" t="s">
        <v>2263</v>
      </c>
      <c r="J143" s="7" t="s">
        <v>1934</v>
      </c>
      <c r="K143" s="6" t="s">
        <v>1589</v>
      </c>
      <c r="L143" s="6" t="s">
        <v>1603</v>
      </c>
      <c r="M143" s="6" t="s">
        <v>2250</v>
      </c>
      <c r="N143" s="6" t="s">
        <v>1592</v>
      </c>
      <c r="O143" s="6" t="s">
        <v>1593</v>
      </c>
      <c r="P143" s="6" t="s">
        <v>1594</v>
      </c>
      <c r="Q143" s="7" t="s">
        <v>2245</v>
      </c>
      <c r="S143" s="6" t="s">
        <v>1595</v>
      </c>
      <c r="T143" s="6" t="s">
        <v>1605</v>
      </c>
    </row>
    <row r="144">
      <c r="A144" s="7" t="s">
        <v>2244</v>
      </c>
      <c r="B144" s="6" t="s">
        <v>1581</v>
      </c>
      <c r="C144" s="6" t="s">
        <v>2195</v>
      </c>
      <c r="D144" s="7" t="s">
        <v>2264</v>
      </c>
      <c r="E144" s="6" t="s">
        <v>2265</v>
      </c>
      <c r="F144" s="6" t="s">
        <v>2266</v>
      </c>
      <c r="G144" s="6" t="str">
        <f>IFERROR(__xludf.DUMMYFUNCTION("FILTER(RAW_met_lieux_inclusion_numeriq!B:B,RAW_met_lieux_inclusion_numeriq!B:B=F144)"),"#N/A")</f>
        <v>#N/A</v>
      </c>
      <c r="H144" s="6" t="s">
        <v>2267</v>
      </c>
      <c r="I144" s="6" t="s">
        <v>2268</v>
      </c>
      <c r="J144" s="7" t="s">
        <v>1743</v>
      </c>
      <c r="K144" s="6" t="s">
        <v>1589</v>
      </c>
      <c r="L144" s="6" t="s">
        <v>1603</v>
      </c>
      <c r="M144" s="6" t="s">
        <v>2269</v>
      </c>
      <c r="N144" s="6" t="s">
        <v>1592</v>
      </c>
      <c r="O144" s="6" t="s">
        <v>1593</v>
      </c>
      <c r="P144" s="6" t="s">
        <v>1594</v>
      </c>
      <c r="Q144" s="7" t="s">
        <v>2264</v>
      </c>
      <c r="S144" s="6" t="s">
        <v>1595</v>
      </c>
      <c r="T144" s="6" t="s">
        <v>1596</v>
      </c>
    </row>
    <row r="145">
      <c r="A145" s="7" t="s">
        <v>2244</v>
      </c>
      <c r="B145" s="6" t="s">
        <v>1581</v>
      </c>
      <c r="C145" s="6" t="s">
        <v>2195</v>
      </c>
      <c r="D145" s="7" t="s">
        <v>2270</v>
      </c>
      <c r="E145" s="6" t="s">
        <v>2271</v>
      </c>
      <c r="F145" s="6" t="s">
        <v>2272</v>
      </c>
      <c r="G145" s="6" t="str">
        <f>IFERROR(__xludf.DUMMYFUNCTION("FILTER(RAW_met_lieux_inclusion_numeriq!B:B,RAW_met_lieux_inclusion_numeriq!B:B=F145)"),"#N/A")</f>
        <v>#N/A</v>
      </c>
      <c r="H145" s="6" t="s">
        <v>2273</v>
      </c>
      <c r="I145" s="6" t="s">
        <v>1601</v>
      </c>
      <c r="J145" s="7" t="s">
        <v>1893</v>
      </c>
      <c r="K145" s="6" t="s">
        <v>1589</v>
      </c>
      <c r="L145" s="6" t="s">
        <v>1603</v>
      </c>
      <c r="M145" s="6" t="s">
        <v>2274</v>
      </c>
      <c r="N145" s="6" t="s">
        <v>1592</v>
      </c>
      <c r="O145" s="6" t="s">
        <v>1593</v>
      </c>
      <c r="P145" s="6" t="s">
        <v>1594</v>
      </c>
      <c r="Q145" s="7" t="s">
        <v>2270</v>
      </c>
      <c r="S145" s="6" t="s">
        <v>1601</v>
      </c>
      <c r="T145" s="6" t="s">
        <v>1634</v>
      </c>
    </row>
    <row r="146">
      <c r="A146" s="7" t="s">
        <v>2244</v>
      </c>
      <c r="B146" s="6" t="s">
        <v>1581</v>
      </c>
      <c r="C146" s="6" t="s">
        <v>2195</v>
      </c>
      <c r="D146" s="7" t="s">
        <v>2275</v>
      </c>
      <c r="E146" s="6" t="s">
        <v>2276</v>
      </c>
      <c r="F146" s="6" t="s">
        <v>1984</v>
      </c>
      <c r="G146" s="6" t="str">
        <f>IFERROR(__xludf.DUMMYFUNCTION("FILTER(RAW_met_lieux_inclusion_numeriq!B:B,RAW_met_lieux_inclusion_numeriq!B:B=F146)"),"#N/A")</f>
        <v>#N/A</v>
      </c>
      <c r="H146" s="6" t="s">
        <v>2277</v>
      </c>
      <c r="I146" s="6" t="s">
        <v>1601</v>
      </c>
      <c r="J146" s="7" t="s">
        <v>2134</v>
      </c>
      <c r="K146" s="6" t="s">
        <v>1589</v>
      </c>
      <c r="L146" s="6" t="s">
        <v>1603</v>
      </c>
      <c r="M146" s="6" t="s">
        <v>2278</v>
      </c>
      <c r="N146" s="6" t="s">
        <v>1592</v>
      </c>
      <c r="O146" s="6" t="s">
        <v>1593</v>
      </c>
      <c r="P146" s="6" t="s">
        <v>1594</v>
      </c>
      <c r="Q146" s="7" t="s">
        <v>2275</v>
      </c>
      <c r="S146" s="6" t="s">
        <v>1601</v>
      </c>
      <c r="T146" s="6" t="s">
        <v>1605</v>
      </c>
    </row>
    <row r="147">
      <c r="A147" s="7" t="s">
        <v>2244</v>
      </c>
      <c r="B147" s="6" t="s">
        <v>1581</v>
      </c>
      <c r="C147" s="6" t="s">
        <v>2195</v>
      </c>
      <c r="D147" s="7" t="s">
        <v>2275</v>
      </c>
      <c r="E147" s="6" t="s">
        <v>2279</v>
      </c>
      <c r="F147" s="6" t="s">
        <v>2280</v>
      </c>
      <c r="G147" s="6" t="str">
        <f>IFERROR(__xludf.DUMMYFUNCTION("FILTER(RAW_met_lieux_inclusion_numeriq!B:B,RAW_met_lieux_inclusion_numeriq!B:B=F147)"),"#N/A")</f>
        <v>#N/A</v>
      </c>
      <c r="H147" s="6" t="s">
        <v>2281</v>
      </c>
      <c r="I147" s="6" t="s">
        <v>2282</v>
      </c>
      <c r="J147" s="7" t="s">
        <v>2148</v>
      </c>
      <c r="K147" s="6" t="s">
        <v>1589</v>
      </c>
      <c r="L147" s="6" t="s">
        <v>1603</v>
      </c>
      <c r="M147" s="6" t="s">
        <v>2278</v>
      </c>
      <c r="N147" s="6" t="s">
        <v>1592</v>
      </c>
      <c r="O147" s="6" t="s">
        <v>1593</v>
      </c>
      <c r="P147" s="6" t="s">
        <v>1594</v>
      </c>
      <c r="Q147" s="7" t="s">
        <v>2275</v>
      </c>
      <c r="S147" s="6" t="s">
        <v>1595</v>
      </c>
      <c r="T147" s="6" t="s">
        <v>1605</v>
      </c>
    </row>
    <row r="148">
      <c r="A148" s="7" t="s">
        <v>2244</v>
      </c>
      <c r="B148" s="6" t="s">
        <v>1581</v>
      </c>
      <c r="C148" s="6" t="s">
        <v>2195</v>
      </c>
      <c r="D148" s="7" t="s">
        <v>2283</v>
      </c>
      <c r="E148" s="6" t="s">
        <v>2276</v>
      </c>
      <c r="F148" s="6" t="s">
        <v>2284</v>
      </c>
      <c r="G148" s="6" t="str">
        <f>IFERROR(__xludf.DUMMYFUNCTION("FILTER(RAW_met_lieux_inclusion_numeriq!B:B,RAW_met_lieux_inclusion_numeriq!B:B=F148)"),"#N/A")</f>
        <v>#N/A</v>
      </c>
      <c r="H148" s="6" t="s">
        <v>2285</v>
      </c>
      <c r="I148" s="6" t="s">
        <v>2286</v>
      </c>
      <c r="J148" s="7" t="s">
        <v>1967</v>
      </c>
      <c r="K148" s="6" t="s">
        <v>1589</v>
      </c>
      <c r="L148" s="6" t="s">
        <v>1603</v>
      </c>
      <c r="M148" s="6" t="s">
        <v>2287</v>
      </c>
      <c r="N148" s="6" t="s">
        <v>1592</v>
      </c>
      <c r="O148" s="6" t="s">
        <v>1593</v>
      </c>
      <c r="P148" s="6" t="s">
        <v>1594</v>
      </c>
      <c r="Q148" s="7" t="s">
        <v>2283</v>
      </c>
      <c r="S148" s="6" t="s">
        <v>1595</v>
      </c>
      <c r="T148" s="6" t="s">
        <v>1605</v>
      </c>
    </row>
    <row r="149">
      <c r="A149" s="7" t="s">
        <v>2244</v>
      </c>
      <c r="B149" s="6" t="s">
        <v>1581</v>
      </c>
      <c r="C149" s="6" t="s">
        <v>2195</v>
      </c>
      <c r="D149" s="7" t="s">
        <v>2288</v>
      </c>
      <c r="E149" s="6" t="s">
        <v>2289</v>
      </c>
      <c r="F149" s="6" t="s">
        <v>2290</v>
      </c>
      <c r="G149" s="6" t="str">
        <f>IFERROR(__xludf.DUMMYFUNCTION("FILTER(RAW_met_lieux_inclusion_numeriq!B:B,RAW_met_lieux_inclusion_numeriq!B:B=F149)"),"#N/A")</f>
        <v>#N/A</v>
      </c>
      <c r="H149" s="6" t="s">
        <v>2291</v>
      </c>
      <c r="I149" s="6" t="s">
        <v>2292</v>
      </c>
      <c r="J149" s="7" t="s">
        <v>1901</v>
      </c>
      <c r="K149" s="6" t="s">
        <v>1589</v>
      </c>
      <c r="L149" s="6" t="s">
        <v>1590</v>
      </c>
      <c r="M149" s="6" t="s">
        <v>2293</v>
      </c>
      <c r="N149" s="6" t="s">
        <v>1592</v>
      </c>
      <c r="O149" s="6" t="s">
        <v>1593</v>
      </c>
      <c r="P149" s="6" t="s">
        <v>1594</v>
      </c>
      <c r="Q149" s="7" t="s">
        <v>2288</v>
      </c>
      <c r="S149" s="6" t="s">
        <v>1595</v>
      </c>
      <c r="T149" s="6" t="s">
        <v>1634</v>
      </c>
    </row>
    <row r="150">
      <c r="A150" s="7" t="s">
        <v>2294</v>
      </c>
      <c r="B150" s="6" t="s">
        <v>1581</v>
      </c>
      <c r="C150" s="6" t="s">
        <v>2195</v>
      </c>
      <c r="D150" s="7" t="s">
        <v>2295</v>
      </c>
      <c r="E150" s="6" t="s">
        <v>2296</v>
      </c>
      <c r="F150" s="6" t="s">
        <v>2297</v>
      </c>
      <c r="G150" s="6" t="str">
        <f>IFERROR(__xludf.DUMMYFUNCTION("FILTER(RAW_met_lieux_inclusion_numeriq!B:B,RAW_met_lieux_inclusion_numeriq!B:B=F150)"),"#N/A")</f>
        <v>#N/A</v>
      </c>
      <c r="H150" s="6" t="s">
        <v>2298</v>
      </c>
      <c r="I150" s="6" t="s">
        <v>2299</v>
      </c>
      <c r="J150" s="7" t="s">
        <v>1677</v>
      </c>
      <c r="K150" s="6" t="s">
        <v>1589</v>
      </c>
      <c r="L150" s="6" t="s">
        <v>1603</v>
      </c>
      <c r="M150" s="6" t="s">
        <v>2300</v>
      </c>
      <c r="N150" s="6" t="s">
        <v>1592</v>
      </c>
      <c r="O150" s="6" t="s">
        <v>1593</v>
      </c>
      <c r="P150" s="6" t="s">
        <v>1594</v>
      </c>
      <c r="Q150" s="7" t="s">
        <v>2295</v>
      </c>
      <c r="S150" s="6" t="s">
        <v>1595</v>
      </c>
      <c r="T150" s="6" t="s">
        <v>1605</v>
      </c>
    </row>
    <row r="151">
      <c r="A151" s="7" t="s">
        <v>2294</v>
      </c>
      <c r="B151" s="6" t="s">
        <v>1581</v>
      </c>
      <c r="C151" s="6" t="s">
        <v>2195</v>
      </c>
      <c r="D151" s="7" t="s">
        <v>2301</v>
      </c>
      <c r="E151" s="6" t="s">
        <v>2302</v>
      </c>
      <c r="F151" s="6" t="s">
        <v>1621</v>
      </c>
      <c r="G151" s="6" t="str">
        <f>IFERROR(__xludf.DUMMYFUNCTION("FILTER(RAW_met_lieux_inclusion_numeriq!B:B,RAW_met_lieux_inclusion_numeriq!B:B=F151)"),"#N/A")</f>
        <v>#N/A</v>
      </c>
      <c r="H151" s="6" t="s">
        <v>2227</v>
      </c>
      <c r="I151" s="6" t="s">
        <v>1587</v>
      </c>
      <c r="J151" s="7" t="s">
        <v>1651</v>
      </c>
      <c r="K151" s="6" t="s">
        <v>1589</v>
      </c>
      <c r="L151" s="6" t="s">
        <v>1590</v>
      </c>
      <c r="M151" s="6" t="s">
        <v>2303</v>
      </c>
      <c r="N151" s="6" t="s">
        <v>1592</v>
      </c>
      <c r="O151" s="6" t="s">
        <v>1593</v>
      </c>
      <c r="P151" s="6" t="s">
        <v>1594</v>
      </c>
      <c r="Q151" s="7" t="s">
        <v>2301</v>
      </c>
      <c r="S151" s="6" t="s">
        <v>1595</v>
      </c>
      <c r="T151" s="6" t="s">
        <v>1596</v>
      </c>
    </row>
    <row r="152">
      <c r="A152" s="7" t="s">
        <v>2294</v>
      </c>
      <c r="B152" s="6" t="s">
        <v>1581</v>
      </c>
      <c r="C152" s="6" t="s">
        <v>2195</v>
      </c>
      <c r="D152" s="7" t="s">
        <v>2304</v>
      </c>
      <c r="E152" s="6" t="s">
        <v>2305</v>
      </c>
      <c r="F152" s="6" t="s">
        <v>2306</v>
      </c>
      <c r="G152" s="6" t="str">
        <f>IFERROR(__xludf.DUMMYFUNCTION("FILTER(RAW_met_lieux_inclusion_numeriq!B:B,RAW_met_lieux_inclusion_numeriq!B:B=F152)"),"#N/A")</f>
        <v>#N/A</v>
      </c>
      <c r="H152" s="6" t="s">
        <v>2307</v>
      </c>
      <c r="I152" s="6" t="s">
        <v>2308</v>
      </c>
      <c r="J152" s="7" t="s">
        <v>1818</v>
      </c>
      <c r="K152" s="6" t="s">
        <v>1589</v>
      </c>
      <c r="L152" s="6" t="s">
        <v>1603</v>
      </c>
      <c r="M152" s="6" t="s">
        <v>2309</v>
      </c>
      <c r="N152" s="6" t="s">
        <v>1592</v>
      </c>
      <c r="O152" s="6" t="s">
        <v>1593</v>
      </c>
      <c r="P152" s="6" t="s">
        <v>1594</v>
      </c>
      <c r="Q152" s="7" t="s">
        <v>2304</v>
      </c>
      <c r="S152" s="6" t="s">
        <v>1595</v>
      </c>
      <c r="T152" s="6" t="s">
        <v>1596</v>
      </c>
    </row>
    <row r="153">
      <c r="A153" s="7" t="s">
        <v>2294</v>
      </c>
      <c r="B153" s="6" t="s">
        <v>1581</v>
      </c>
      <c r="C153" s="6" t="s">
        <v>2195</v>
      </c>
      <c r="D153" s="7" t="s">
        <v>2304</v>
      </c>
      <c r="E153" s="6" t="s">
        <v>2310</v>
      </c>
      <c r="F153" s="6" t="s">
        <v>2311</v>
      </c>
      <c r="G153" s="6" t="str">
        <f>IFERROR(__xludf.DUMMYFUNCTION("FILTER(RAW_met_lieux_inclusion_numeriq!B:B,RAW_met_lieux_inclusion_numeriq!B:B=F153)"),"#N/A")</f>
        <v>#N/A</v>
      </c>
      <c r="H153" s="6" t="s">
        <v>2312</v>
      </c>
      <c r="I153" s="6" t="s">
        <v>2313</v>
      </c>
      <c r="J153" s="7" t="s">
        <v>1714</v>
      </c>
      <c r="K153" s="6" t="s">
        <v>1589</v>
      </c>
      <c r="L153" s="6" t="s">
        <v>1603</v>
      </c>
      <c r="M153" s="6" t="s">
        <v>2309</v>
      </c>
      <c r="N153" s="6" t="s">
        <v>1592</v>
      </c>
      <c r="O153" s="6" t="s">
        <v>1593</v>
      </c>
      <c r="P153" s="6" t="s">
        <v>1594</v>
      </c>
      <c r="Q153" s="7" t="s">
        <v>2304</v>
      </c>
      <c r="S153" s="6" t="s">
        <v>1595</v>
      </c>
      <c r="T153" s="6" t="s">
        <v>1596</v>
      </c>
    </row>
    <row r="154">
      <c r="A154" s="7" t="s">
        <v>2314</v>
      </c>
      <c r="B154" s="6" t="s">
        <v>1581</v>
      </c>
      <c r="C154" s="6" t="s">
        <v>2195</v>
      </c>
      <c r="D154" s="7" t="s">
        <v>2315</v>
      </c>
      <c r="E154" s="6" t="s">
        <v>2316</v>
      </c>
      <c r="F154" s="6" t="s">
        <v>2317</v>
      </c>
      <c r="G154" s="6" t="str">
        <f>IFERROR(__xludf.DUMMYFUNCTION("FILTER(RAW_met_lieux_inclusion_numeriq!B:B,RAW_met_lieux_inclusion_numeriq!B:B=F154)"),"#N/A")</f>
        <v>#N/A</v>
      </c>
      <c r="H154" s="6" t="s">
        <v>2318</v>
      </c>
      <c r="I154" s="6" t="s">
        <v>2319</v>
      </c>
      <c r="J154" s="7" t="s">
        <v>2320</v>
      </c>
      <c r="K154" s="6" t="s">
        <v>1589</v>
      </c>
      <c r="L154" s="6" t="s">
        <v>1603</v>
      </c>
      <c r="M154" s="6" t="s">
        <v>2321</v>
      </c>
      <c r="N154" s="6" t="s">
        <v>1592</v>
      </c>
      <c r="O154" s="6" t="s">
        <v>1593</v>
      </c>
      <c r="P154" s="6" t="s">
        <v>1594</v>
      </c>
      <c r="Q154" s="7" t="s">
        <v>2315</v>
      </c>
      <c r="S154" s="6" t="s">
        <v>1595</v>
      </c>
      <c r="T154" s="6" t="s">
        <v>1634</v>
      </c>
    </row>
    <row r="155">
      <c r="A155" s="7" t="s">
        <v>2314</v>
      </c>
      <c r="B155" s="6" t="s">
        <v>1581</v>
      </c>
      <c r="C155" s="6" t="s">
        <v>2195</v>
      </c>
      <c r="D155" s="7" t="s">
        <v>2322</v>
      </c>
      <c r="E155" s="6" t="s">
        <v>2323</v>
      </c>
      <c r="F155" s="6" t="s">
        <v>1836</v>
      </c>
      <c r="G155" s="6" t="str">
        <f>IFERROR(__xludf.DUMMYFUNCTION("FILTER(RAW_met_lieux_inclusion_numeriq!B:B,RAW_met_lieux_inclusion_numeriq!B:B=F155)"),"#N/A")</f>
        <v>#N/A</v>
      </c>
      <c r="H155" s="6" t="s">
        <v>2324</v>
      </c>
      <c r="I155" s="6" t="s">
        <v>2325</v>
      </c>
      <c r="J155" s="7" t="s">
        <v>1671</v>
      </c>
      <c r="K155" s="6" t="s">
        <v>1589</v>
      </c>
      <c r="L155" s="6" t="s">
        <v>1590</v>
      </c>
      <c r="M155" s="6" t="s">
        <v>2326</v>
      </c>
      <c r="N155" s="6" t="s">
        <v>1592</v>
      </c>
      <c r="O155" s="6" t="s">
        <v>1593</v>
      </c>
      <c r="P155" s="6" t="s">
        <v>1594</v>
      </c>
      <c r="Q155" s="7" t="s">
        <v>2322</v>
      </c>
      <c r="S155" s="6" t="s">
        <v>1595</v>
      </c>
      <c r="T155" s="6" t="s">
        <v>1596</v>
      </c>
    </row>
    <row r="156">
      <c r="A156" s="7" t="s">
        <v>2314</v>
      </c>
      <c r="B156" s="6" t="s">
        <v>1581</v>
      </c>
      <c r="C156" s="6" t="s">
        <v>2195</v>
      </c>
      <c r="D156" s="7" t="s">
        <v>2327</v>
      </c>
      <c r="E156" s="6" t="s">
        <v>2323</v>
      </c>
      <c r="F156" s="6" t="s">
        <v>1681</v>
      </c>
      <c r="G156" s="6" t="str">
        <f>IFERROR(__xludf.DUMMYFUNCTION("FILTER(RAW_met_lieux_inclusion_numeriq!B:B,RAW_met_lieux_inclusion_numeriq!B:B=F156)"),"#N/A")</f>
        <v>#N/A</v>
      </c>
      <c r="H156" s="6" t="s">
        <v>2328</v>
      </c>
      <c r="I156" s="6" t="s">
        <v>2329</v>
      </c>
      <c r="J156" s="7" t="s">
        <v>2330</v>
      </c>
      <c r="K156" s="6" t="s">
        <v>1589</v>
      </c>
      <c r="L156" s="6" t="s">
        <v>1603</v>
      </c>
      <c r="M156" s="6" t="s">
        <v>2331</v>
      </c>
      <c r="N156" s="6" t="s">
        <v>1592</v>
      </c>
      <c r="O156" s="6" t="s">
        <v>1593</v>
      </c>
      <c r="P156" s="6" t="s">
        <v>1594</v>
      </c>
      <c r="Q156" s="7" t="s">
        <v>2327</v>
      </c>
      <c r="S156" s="6" t="s">
        <v>1595</v>
      </c>
      <c r="T156" s="6" t="s">
        <v>1596</v>
      </c>
    </row>
    <row r="157">
      <c r="A157" s="7" t="s">
        <v>2332</v>
      </c>
      <c r="B157" s="6" t="s">
        <v>1581</v>
      </c>
      <c r="C157" s="6" t="s">
        <v>2195</v>
      </c>
      <c r="D157" s="7" t="s">
        <v>2333</v>
      </c>
      <c r="E157" s="6" t="s">
        <v>2334</v>
      </c>
      <c r="F157" s="6" t="s">
        <v>2335</v>
      </c>
      <c r="G157" s="6" t="str">
        <f>IFERROR(__xludf.DUMMYFUNCTION("FILTER(RAW_met_lieux_inclusion_numeriq!B:B,RAW_met_lieux_inclusion_numeriq!B:B=F157)"),"#N/A")</f>
        <v>#N/A</v>
      </c>
      <c r="H157" s="6" t="s">
        <v>2336</v>
      </c>
      <c r="I157" s="6" t="s">
        <v>2337</v>
      </c>
      <c r="J157" s="7" t="s">
        <v>2338</v>
      </c>
      <c r="K157" s="6" t="s">
        <v>1589</v>
      </c>
      <c r="L157" s="6" t="s">
        <v>1590</v>
      </c>
      <c r="M157" s="6" t="s">
        <v>2339</v>
      </c>
      <c r="N157" s="6" t="s">
        <v>1592</v>
      </c>
      <c r="O157" s="6" t="s">
        <v>1593</v>
      </c>
      <c r="P157" s="6" t="s">
        <v>1594</v>
      </c>
      <c r="Q157" s="7" t="s">
        <v>2333</v>
      </c>
      <c r="S157" s="6" t="s">
        <v>1595</v>
      </c>
      <c r="T157" s="6" t="s">
        <v>1596</v>
      </c>
    </row>
    <row r="158">
      <c r="A158" s="7" t="s">
        <v>2332</v>
      </c>
      <c r="B158" s="6" t="s">
        <v>1581</v>
      </c>
      <c r="C158" s="6" t="s">
        <v>2195</v>
      </c>
      <c r="D158" s="7" t="s">
        <v>2340</v>
      </c>
      <c r="E158" s="6" t="s">
        <v>2341</v>
      </c>
      <c r="F158" s="6" t="s">
        <v>2026</v>
      </c>
      <c r="G158" s="6" t="str">
        <f>IFERROR(__xludf.DUMMYFUNCTION("FILTER(RAW_met_lieux_inclusion_numeriq!B:B,RAW_met_lieux_inclusion_numeriq!B:B=F158)"),"#N/A")</f>
        <v>#N/A</v>
      </c>
      <c r="H158" s="6" t="s">
        <v>2342</v>
      </c>
      <c r="I158" s="6" t="s">
        <v>2343</v>
      </c>
      <c r="J158" s="7" t="s">
        <v>2344</v>
      </c>
      <c r="K158" s="6" t="s">
        <v>1589</v>
      </c>
      <c r="L158" s="6" t="s">
        <v>1603</v>
      </c>
      <c r="M158" s="6" t="s">
        <v>2345</v>
      </c>
      <c r="N158" s="6" t="s">
        <v>1592</v>
      </c>
      <c r="O158" s="6" t="s">
        <v>1593</v>
      </c>
      <c r="P158" s="6" t="s">
        <v>1594</v>
      </c>
      <c r="Q158" s="7" t="s">
        <v>2340</v>
      </c>
      <c r="S158" s="6" t="s">
        <v>1595</v>
      </c>
      <c r="T158" s="6" t="s">
        <v>1605</v>
      </c>
    </row>
    <row r="159">
      <c r="A159" s="7" t="s">
        <v>2332</v>
      </c>
      <c r="B159" s="6" t="s">
        <v>1581</v>
      </c>
      <c r="C159" s="6" t="s">
        <v>2195</v>
      </c>
      <c r="D159" s="7" t="s">
        <v>2346</v>
      </c>
      <c r="E159" s="6" t="s">
        <v>2347</v>
      </c>
      <c r="F159" s="6" t="s">
        <v>1849</v>
      </c>
      <c r="G159" s="6" t="str">
        <f>IFERROR(__xludf.DUMMYFUNCTION("FILTER(RAW_met_lieux_inclusion_numeriq!B:B,RAW_met_lieux_inclusion_numeriq!B:B=F159)"),"#N/A")</f>
        <v>#N/A</v>
      </c>
      <c r="H159" s="6" t="s">
        <v>2253</v>
      </c>
      <c r="I159" s="6" t="s">
        <v>2348</v>
      </c>
      <c r="J159" s="7" t="s">
        <v>1588</v>
      </c>
      <c r="K159" s="6" t="s">
        <v>1589</v>
      </c>
      <c r="L159" s="6" t="s">
        <v>1603</v>
      </c>
      <c r="M159" s="6" t="s">
        <v>2349</v>
      </c>
      <c r="N159" s="6" t="s">
        <v>1592</v>
      </c>
      <c r="O159" s="6" t="s">
        <v>1593</v>
      </c>
      <c r="P159" s="6" t="s">
        <v>1594</v>
      </c>
      <c r="Q159" s="7" t="s">
        <v>2346</v>
      </c>
      <c r="S159" s="6" t="s">
        <v>1595</v>
      </c>
      <c r="T159" s="6" t="s">
        <v>1596</v>
      </c>
    </row>
    <row r="160">
      <c r="A160" s="7" t="s">
        <v>2332</v>
      </c>
      <c r="B160" s="6" t="s">
        <v>1581</v>
      </c>
      <c r="C160" s="6" t="s">
        <v>2195</v>
      </c>
      <c r="D160" s="7" t="s">
        <v>2350</v>
      </c>
      <c r="E160" s="6" t="s">
        <v>2351</v>
      </c>
      <c r="F160" s="6" t="s">
        <v>2352</v>
      </c>
      <c r="G160" s="6" t="str">
        <f>IFERROR(__xludf.DUMMYFUNCTION("FILTER(RAW_met_lieux_inclusion_numeriq!B:B,RAW_met_lieux_inclusion_numeriq!B:B=F160)"),"#N/A")</f>
        <v>#N/A</v>
      </c>
      <c r="H160" s="6" t="s">
        <v>2353</v>
      </c>
      <c r="I160" s="6" t="s">
        <v>2354</v>
      </c>
      <c r="J160" s="7" t="s">
        <v>2355</v>
      </c>
      <c r="K160" s="6" t="s">
        <v>1589</v>
      </c>
      <c r="L160" s="6" t="s">
        <v>1590</v>
      </c>
      <c r="M160" s="6" t="s">
        <v>2356</v>
      </c>
      <c r="N160" s="6" t="s">
        <v>1592</v>
      </c>
      <c r="O160" s="6" t="s">
        <v>1593</v>
      </c>
      <c r="P160" s="6" t="s">
        <v>1594</v>
      </c>
      <c r="Q160" s="7" t="s">
        <v>2350</v>
      </c>
      <c r="S160" s="6" t="s">
        <v>1595</v>
      </c>
      <c r="T160" s="6" t="s">
        <v>1605</v>
      </c>
    </row>
    <row r="161">
      <c r="A161" s="7" t="s">
        <v>2194</v>
      </c>
      <c r="B161" s="6" t="s">
        <v>1581</v>
      </c>
      <c r="C161" s="6" t="s">
        <v>2195</v>
      </c>
      <c r="D161" s="7" t="s">
        <v>2207</v>
      </c>
      <c r="E161" s="6" t="s">
        <v>2357</v>
      </c>
      <c r="F161" s="6" t="s">
        <v>2358</v>
      </c>
      <c r="G161" s="6" t="str">
        <f>IFERROR(__xludf.DUMMYFUNCTION("FILTER(RAW_met_lieux_inclusion_numeriq!B:B,RAW_met_lieux_inclusion_numeriq!B:B=F161)"),"#N/A")</f>
        <v>#N/A</v>
      </c>
      <c r="H161" s="6" t="s">
        <v>2359</v>
      </c>
      <c r="I161" s="6" t="s">
        <v>1991</v>
      </c>
      <c r="J161" s="7" t="s">
        <v>2360</v>
      </c>
      <c r="K161" s="6" t="s">
        <v>1589</v>
      </c>
      <c r="L161" s="6" t="s">
        <v>1603</v>
      </c>
      <c r="M161" s="6" t="s">
        <v>2213</v>
      </c>
      <c r="N161" s="6" t="s">
        <v>1592</v>
      </c>
      <c r="O161" s="6" t="s">
        <v>1593</v>
      </c>
      <c r="P161" s="6" t="s">
        <v>1594</v>
      </c>
      <c r="Q161" s="7" t="s">
        <v>2207</v>
      </c>
      <c r="S161" s="6" t="s">
        <v>1595</v>
      </c>
      <c r="T161" s="6" t="s">
        <v>1596</v>
      </c>
    </row>
    <row r="162">
      <c r="A162" s="7" t="s">
        <v>2194</v>
      </c>
      <c r="B162" s="6" t="s">
        <v>1581</v>
      </c>
      <c r="C162" s="6" t="s">
        <v>2195</v>
      </c>
      <c r="D162" s="7" t="s">
        <v>2207</v>
      </c>
      <c r="E162" s="6" t="s">
        <v>2361</v>
      </c>
      <c r="F162" s="6" t="s">
        <v>1891</v>
      </c>
      <c r="G162" s="6" t="str">
        <f>IFERROR(__xludf.DUMMYFUNCTION("FILTER(RAW_met_lieux_inclusion_numeriq!B:B,RAW_met_lieux_inclusion_numeriq!B:B=F162)"),"#N/A")</f>
        <v>#N/A</v>
      </c>
      <c r="H162" s="6" t="s">
        <v>2273</v>
      </c>
      <c r="I162" s="6" t="s">
        <v>1991</v>
      </c>
      <c r="J162" s="7" t="s">
        <v>2362</v>
      </c>
      <c r="K162" s="6" t="s">
        <v>1589</v>
      </c>
      <c r="L162" s="6" t="s">
        <v>1603</v>
      </c>
      <c r="M162" s="6" t="s">
        <v>2213</v>
      </c>
      <c r="N162" s="6" t="s">
        <v>1592</v>
      </c>
      <c r="O162" s="6" t="s">
        <v>1593</v>
      </c>
      <c r="P162" s="6" t="s">
        <v>1594</v>
      </c>
      <c r="Q162" s="7" t="s">
        <v>2207</v>
      </c>
      <c r="S162" s="6" t="s">
        <v>1595</v>
      </c>
      <c r="T162" s="6" t="s">
        <v>1596</v>
      </c>
    </row>
    <row r="163">
      <c r="A163" s="7" t="s">
        <v>2194</v>
      </c>
      <c r="B163" s="6" t="s">
        <v>1581</v>
      </c>
      <c r="C163" s="6" t="s">
        <v>2195</v>
      </c>
      <c r="D163" s="7" t="s">
        <v>2225</v>
      </c>
      <c r="E163" s="6" t="s">
        <v>2363</v>
      </c>
      <c r="F163" s="6" t="s">
        <v>1746</v>
      </c>
      <c r="G163" s="6" t="str">
        <f>IFERROR(__xludf.DUMMYFUNCTION("FILTER(RAW_met_lieux_inclusion_numeriq!B:B,RAW_met_lieux_inclusion_numeriq!B:B=F163)"),"#N/A")</f>
        <v>#N/A</v>
      </c>
      <c r="H163" s="6" t="s">
        <v>2364</v>
      </c>
      <c r="I163" s="6" t="s">
        <v>1601</v>
      </c>
      <c r="J163" s="7" t="s">
        <v>1749</v>
      </c>
      <c r="K163" s="6" t="s">
        <v>1589</v>
      </c>
      <c r="L163" s="6" t="s">
        <v>1603</v>
      </c>
      <c r="M163" s="6" t="s">
        <v>2230</v>
      </c>
      <c r="N163" s="6" t="s">
        <v>1592</v>
      </c>
      <c r="O163" s="6" t="s">
        <v>1593</v>
      </c>
      <c r="P163" s="6" t="s">
        <v>1594</v>
      </c>
      <c r="Q163" s="7" t="s">
        <v>2225</v>
      </c>
      <c r="S163" s="6" t="s">
        <v>1601</v>
      </c>
      <c r="T163" s="6" t="s">
        <v>1605</v>
      </c>
    </row>
    <row r="164">
      <c r="A164" s="7" t="s">
        <v>2231</v>
      </c>
      <c r="B164" s="6" t="s">
        <v>1581</v>
      </c>
      <c r="C164" s="6" t="s">
        <v>2195</v>
      </c>
      <c r="D164" s="7" t="s">
        <v>2194</v>
      </c>
      <c r="E164" s="6" t="s">
        <v>2365</v>
      </c>
      <c r="F164" s="6" t="s">
        <v>1621</v>
      </c>
      <c r="G164" s="6" t="str">
        <f>IFERROR(__xludf.DUMMYFUNCTION("FILTER(RAW_met_lieux_inclusion_numeriq!B:B,RAW_met_lieux_inclusion_numeriq!B:B=F164)"),"#N/A")</f>
        <v>#N/A</v>
      </c>
      <c r="H164" s="6" t="s">
        <v>2227</v>
      </c>
      <c r="I164" s="6" t="s">
        <v>2366</v>
      </c>
      <c r="J164" s="7" t="s">
        <v>1651</v>
      </c>
      <c r="K164" s="6" t="s">
        <v>1589</v>
      </c>
      <c r="L164" s="6" t="s">
        <v>1603</v>
      </c>
      <c r="M164" s="6" t="s">
        <v>2367</v>
      </c>
      <c r="N164" s="6" t="s">
        <v>1592</v>
      </c>
      <c r="O164" s="6" t="s">
        <v>1593</v>
      </c>
      <c r="P164" s="6" t="s">
        <v>1594</v>
      </c>
      <c r="Q164" s="7" t="s">
        <v>2194</v>
      </c>
      <c r="S164" s="6" t="s">
        <v>1595</v>
      </c>
      <c r="T164" s="6" t="s">
        <v>1596</v>
      </c>
    </row>
    <row r="165">
      <c r="A165" s="7" t="s">
        <v>2231</v>
      </c>
      <c r="B165" s="6" t="s">
        <v>1581</v>
      </c>
      <c r="C165" s="6" t="s">
        <v>2195</v>
      </c>
      <c r="D165" s="7" t="s">
        <v>2368</v>
      </c>
      <c r="E165" s="6" t="s">
        <v>2369</v>
      </c>
      <c r="F165" s="6" t="s">
        <v>1615</v>
      </c>
      <c r="G165" s="6" t="str">
        <f>IFERROR(__xludf.DUMMYFUNCTION("FILTER(RAW_met_lieux_inclusion_numeriq!B:B,RAW_met_lieux_inclusion_numeriq!B:B=F165)"),"#N/A")</f>
        <v>#N/A</v>
      </c>
      <c r="H165" s="6" t="s">
        <v>2370</v>
      </c>
      <c r="I165" s="6" t="s">
        <v>2371</v>
      </c>
      <c r="J165" s="7" t="s">
        <v>2372</v>
      </c>
      <c r="K165" s="6" t="s">
        <v>1589</v>
      </c>
      <c r="L165" s="6" t="s">
        <v>1603</v>
      </c>
      <c r="M165" s="6" t="s">
        <v>2373</v>
      </c>
      <c r="N165" s="6" t="s">
        <v>1592</v>
      </c>
      <c r="O165" s="6" t="s">
        <v>1593</v>
      </c>
      <c r="P165" s="6" t="s">
        <v>1594</v>
      </c>
      <c r="Q165" s="7" t="s">
        <v>2368</v>
      </c>
      <c r="S165" s="6" t="s">
        <v>1595</v>
      </c>
      <c r="T165" s="6" t="s">
        <v>1596</v>
      </c>
    </row>
    <row r="166">
      <c r="A166" s="7" t="s">
        <v>2231</v>
      </c>
      <c r="B166" s="6" t="s">
        <v>1581</v>
      </c>
      <c r="C166" s="6" t="s">
        <v>2195</v>
      </c>
      <c r="D166" s="7" t="s">
        <v>2374</v>
      </c>
      <c r="E166" s="6" t="s">
        <v>2375</v>
      </c>
      <c r="F166" s="6" t="s">
        <v>2376</v>
      </c>
      <c r="G166" s="6" t="str">
        <f>IFERROR(__xludf.DUMMYFUNCTION("FILTER(RAW_met_lieux_inclusion_numeriq!B:B,RAW_met_lieux_inclusion_numeriq!B:B=F166)"),"#N/A")</f>
        <v>#N/A</v>
      </c>
      <c r="H166" s="6" t="s">
        <v>2204</v>
      </c>
      <c r="I166" s="6" t="s">
        <v>2377</v>
      </c>
      <c r="J166" s="7" t="s">
        <v>1651</v>
      </c>
      <c r="K166" s="6" t="s">
        <v>1589</v>
      </c>
      <c r="L166" s="6" t="s">
        <v>1603</v>
      </c>
      <c r="M166" s="6" t="s">
        <v>2378</v>
      </c>
      <c r="N166" s="6" t="s">
        <v>1592</v>
      </c>
      <c r="O166" s="6" t="s">
        <v>1593</v>
      </c>
      <c r="P166" s="6" t="s">
        <v>1594</v>
      </c>
      <c r="Q166" s="7" t="s">
        <v>2374</v>
      </c>
      <c r="S166" s="6" t="s">
        <v>1595</v>
      </c>
      <c r="T166" s="6" t="s">
        <v>1596</v>
      </c>
    </row>
    <row r="167">
      <c r="A167" s="7" t="s">
        <v>2231</v>
      </c>
      <c r="B167" s="6" t="s">
        <v>1581</v>
      </c>
      <c r="C167" s="6" t="s">
        <v>2195</v>
      </c>
      <c r="D167" s="7" t="s">
        <v>2379</v>
      </c>
      <c r="E167" s="6" t="s">
        <v>2380</v>
      </c>
      <c r="F167" s="6" t="s">
        <v>1914</v>
      </c>
      <c r="G167" s="6" t="str">
        <f>IFERROR(__xludf.DUMMYFUNCTION("FILTER(RAW_met_lieux_inclusion_numeriq!B:B,RAW_met_lieux_inclusion_numeriq!B:B=F167)"),"#N/A")</f>
        <v>#N/A</v>
      </c>
      <c r="H167" s="6" t="s">
        <v>2381</v>
      </c>
      <c r="I167" s="6" t="s">
        <v>2382</v>
      </c>
      <c r="J167" s="7" t="s">
        <v>2383</v>
      </c>
      <c r="K167" s="6" t="s">
        <v>1589</v>
      </c>
      <c r="L167" s="6" t="s">
        <v>1590</v>
      </c>
      <c r="M167" s="6" t="s">
        <v>2384</v>
      </c>
      <c r="N167" s="6" t="s">
        <v>1592</v>
      </c>
      <c r="O167" s="6" t="s">
        <v>1593</v>
      </c>
      <c r="P167" s="6" t="s">
        <v>1594</v>
      </c>
      <c r="Q167" s="7" t="s">
        <v>2379</v>
      </c>
      <c r="S167" s="6" t="s">
        <v>1595</v>
      </c>
      <c r="T167" s="6" t="s">
        <v>1596</v>
      </c>
    </row>
    <row r="168">
      <c r="A168" s="7" t="s">
        <v>2231</v>
      </c>
      <c r="B168" s="6" t="s">
        <v>1581</v>
      </c>
      <c r="C168" s="6" t="s">
        <v>2195</v>
      </c>
      <c r="D168" s="7" t="s">
        <v>2385</v>
      </c>
      <c r="E168" s="6" t="s">
        <v>2386</v>
      </c>
      <c r="F168" s="6" t="s">
        <v>2387</v>
      </c>
      <c r="G168" s="6" t="str">
        <f>IFERROR(__xludf.DUMMYFUNCTION("FILTER(RAW_met_lieux_inclusion_numeriq!B:B,RAW_met_lieux_inclusion_numeriq!B:B=F168)"),"#N/A")</f>
        <v>#N/A</v>
      </c>
      <c r="H168" s="6" t="s">
        <v>2388</v>
      </c>
      <c r="I168" s="6" t="s">
        <v>2389</v>
      </c>
      <c r="J168" s="7" t="s">
        <v>2390</v>
      </c>
      <c r="K168" s="6" t="s">
        <v>1589</v>
      </c>
      <c r="L168" s="6" t="s">
        <v>1603</v>
      </c>
      <c r="M168" s="6" t="s">
        <v>2391</v>
      </c>
      <c r="N168" s="6" t="s">
        <v>1592</v>
      </c>
      <c r="O168" s="6" t="s">
        <v>1593</v>
      </c>
      <c r="P168" s="6" t="s">
        <v>1594</v>
      </c>
      <c r="Q168" s="7" t="s">
        <v>2385</v>
      </c>
      <c r="S168" s="6" t="s">
        <v>1595</v>
      </c>
      <c r="T168" s="6" t="s">
        <v>1596</v>
      </c>
    </row>
    <row r="169">
      <c r="A169" s="7" t="s">
        <v>2244</v>
      </c>
      <c r="B169" s="6" t="s">
        <v>1581</v>
      </c>
      <c r="C169" s="6" t="s">
        <v>2195</v>
      </c>
      <c r="D169" s="7" t="s">
        <v>2304</v>
      </c>
      <c r="E169" s="6" t="s">
        <v>2279</v>
      </c>
      <c r="F169" s="6" t="s">
        <v>1681</v>
      </c>
      <c r="G169" s="6" t="str">
        <f>IFERROR(__xludf.DUMMYFUNCTION("FILTER(RAW_met_lieux_inclusion_numeriq!B:B,RAW_met_lieux_inclusion_numeriq!B:B=F169)"),"#N/A")</f>
        <v>#N/A</v>
      </c>
      <c r="H169" s="6" t="s">
        <v>2328</v>
      </c>
      <c r="I169" s="6" t="s">
        <v>2392</v>
      </c>
      <c r="J169" s="7" t="s">
        <v>1714</v>
      </c>
      <c r="K169" s="6" t="s">
        <v>1589</v>
      </c>
      <c r="L169" s="6" t="s">
        <v>1603</v>
      </c>
      <c r="M169" s="6" t="s">
        <v>2309</v>
      </c>
      <c r="N169" s="6" t="s">
        <v>1592</v>
      </c>
      <c r="O169" s="6" t="s">
        <v>1593</v>
      </c>
      <c r="P169" s="6" t="s">
        <v>1594</v>
      </c>
      <c r="Q169" s="7" t="s">
        <v>2304</v>
      </c>
      <c r="S169" s="6" t="s">
        <v>1595</v>
      </c>
      <c r="T169" s="6" t="s">
        <v>1596</v>
      </c>
    </row>
    <row r="170">
      <c r="A170" s="7" t="s">
        <v>2244</v>
      </c>
      <c r="B170" s="6" t="s">
        <v>1581</v>
      </c>
      <c r="C170" s="6" t="s">
        <v>2195</v>
      </c>
      <c r="D170" s="7" t="s">
        <v>2393</v>
      </c>
      <c r="E170" s="6" t="s">
        <v>2265</v>
      </c>
      <c r="F170" s="6" t="s">
        <v>2138</v>
      </c>
      <c r="G170" s="6" t="str">
        <f>IFERROR(__xludf.DUMMYFUNCTION("FILTER(RAW_met_lieux_inclusion_numeriq!B:B,RAW_met_lieux_inclusion_numeriq!B:B=F170)"),"#N/A")</f>
        <v>#N/A</v>
      </c>
      <c r="H170" s="6" t="s">
        <v>2394</v>
      </c>
      <c r="I170" s="6" t="s">
        <v>2268</v>
      </c>
      <c r="J170" s="7" t="s">
        <v>1743</v>
      </c>
      <c r="K170" s="6" t="s">
        <v>1589</v>
      </c>
      <c r="L170" s="6" t="s">
        <v>1603</v>
      </c>
      <c r="M170" s="6" t="s">
        <v>2395</v>
      </c>
      <c r="N170" s="6" t="s">
        <v>1592</v>
      </c>
      <c r="O170" s="6" t="s">
        <v>1593</v>
      </c>
      <c r="P170" s="6" t="s">
        <v>1594</v>
      </c>
      <c r="Q170" s="7" t="s">
        <v>2393</v>
      </c>
      <c r="S170" s="6" t="s">
        <v>1595</v>
      </c>
      <c r="T170" s="6" t="s">
        <v>1596</v>
      </c>
    </row>
    <row r="171">
      <c r="A171" s="7" t="s">
        <v>2244</v>
      </c>
      <c r="B171" s="6" t="s">
        <v>1581</v>
      </c>
      <c r="C171" s="6" t="s">
        <v>2195</v>
      </c>
      <c r="D171" s="7" t="s">
        <v>2396</v>
      </c>
      <c r="E171" s="6" t="s">
        <v>2397</v>
      </c>
      <c r="F171" s="6" t="s">
        <v>2398</v>
      </c>
      <c r="G171" s="6" t="str">
        <f>IFERROR(__xludf.DUMMYFUNCTION("FILTER(RAW_met_lieux_inclusion_numeriq!B:B,RAW_met_lieux_inclusion_numeriq!B:B=F171)"),"#N/A")</f>
        <v>#N/A</v>
      </c>
      <c r="H171" s="6" t="s">
        <v>2399</v>
      </c>
      <c r="I171" s="6" t="s">
        <v>1601</v>
      </c>
      <c r="J171" s="7" t="s">
        <v>2400</v>
      </c>
      <c r="K171" s="6" t="s">
        <v>1589</v>
      </c>
      <c r="L171" s="6" t="s">
        <v>1603</v>
      </c>
      <c r="M171" s="6" t="s">
        <v>2401</v>
      </c>
      <c r="N171" s="6" t="s">
        <v>1592</v>
      </c>
      <c r="O171" s="6" t="s">
        <v>1593</v>
      </c>
      <c r="P171" s="6" t="s">
        <v>1594</v>
      </c>
      <c r="Q171" s="7" t="s">
        <v>2396</v>
      </c>
      <c r="S171" s="6" t="s">
        <v>1601</v>
      </c>
      <c r="T171" s="6" t="s">
        <v>1605</v>
      </c>
    </row>
    <row r="172">
      <c r="A172" s="7" t="s">
        <v>2244</v>
      </c>
      <c r="B172" s="6" t="s">
        <v>1581</v>
      </c>
      <c r="C172" s="6" t="s">
        <v>2195</v>
      </c>
      <c r="D172" s="7" t="s">
        <v>2402</v>
      </c>
      <c r="E172" s="6" t="s">
        <v>2403</v>
      </c>
      <c r="F172" s="6" t="s">
        <v>1914</v>
      </c>
      <c r="G172" s="6" t="str">
        <f>IFERROR(__xludf.DUMMYFUNCTION("FILTER(RAW_met_lieux_inclusion_numeriq!B:B,RAW_met_lieux_inclusion_numeriq!B:B=F172)"),"#N/A")</f>
        <v>#N/A</v>
      </c>
      <c r="H172" s="6" t="s">
        <v>2381</v>
      </c>
      <c r="I172" s="6" t="s">
        <v>1601</v>
      </c>
      <c r="J172" s="7" t="s">
        <v>1916</v>
      </c>
      <c r="K172" s="6" t="s">
        <v>1589</v>
      </c>
      <c r="L172" s="6" t="s">
        <v>1603</v>
      </c>
      <c r="M172" s="6" t="s">
        <v>2404</v>
      </c>
      <c r="N172" s="6" t="s">
        <v>1592</v>
      </c>
      <c r="O172" s="6" t="s">
        <v>1593</v>
      </c>
      <c r="P172" s="6" t="s">
        <v>1594</v>
      </c>
      <c r="Q172" s="7" t="s">
        <v>2402</v>
      </c>
      <c r="S172" s="6" t="s">
        <v>1601</v>
      </c>
      <c r="T172" s="6" t="s">
        <v>1605</v>
      </c>
    </row>
    <row r="173">
      <c r="A173" s="7" t="s">
        <v>2244</v>
      </c>
      <c r="B173" s="6" t="s">
        <v>1581</v>
      </c>
      <c r="C173" s="6" t="s">
        <v>2195</v>
      </c>
      <c r="D173" s="7" t="s">
        <v>2405</v>
      </c>
      <c r="E173" s="6" t="s">
        <v>2406</v>
      </c>
      <c r="F173" s="6" t="s">
        <v>1681</v>
      </c>
      <c r="G173" s="6" t="str">
        <f>IFERROR(__xludf.DUMMYFUNCTION("FILTER(RAW_met_lieux_inclusion_numeriq!B:B,RAW_met_lieux_inclusion_numeriq!B:B=F173)"),"#N/A")</f>
        <v>#N/A</v>
      </c>
      <c r="H173" s="6" t="s">
        <v>2328</v>
      </c>
      <c r="I173" s="6" t="s">
        <v>2407</v>
      </c>
      <c r="J173" s="7" t="s">
        <v>1684</v>
      </c>
      <c r="K173" s="6" t="s">
        <v>1589</v>
      </c>
      <c r="L173" s="6" t="s">
        <v>1603</v>
      </c>
      <c r="M173" s="6" t="s">
        <v>2408</v>
      </c>
      <c r="N173" s="6" t="s">
        <v>1592</v>
      </c>
      <c r="O173" s="6" t="s">
        <v>1593</v>
      </c>
      <c r="P173" s="6" t="s">
        <v>1594</v>
      </c>
      <c r="Q173" s="7" t="s">
        <v>2405</v>
      </c>
      <c r="S173" s="6" t="s">
        <v>1595</v>
      </c>
      <c r="T173" s="6" t="s">
        <v>1605</v>
      </c>
    </row>
    <row r="174">
      <c r="A174" s="7" t="s">
        <v>2244</v>
      </c>
      <c r="B174" s="6" t="s">
        <v>1581</v>
      </c>
      <c r="C174" s="6" t="s">
        <v>2195</v>
      </c>
      <c r="D174" s="7" t="s">
        <v>2409</v>
      </c>
      <c r="E174" s="6" t="s">
        <v>2279</v>
      </c>
      <c r="F174" s="6" t="s">
        <v>1836</v>
      </c>
      <c r="G174" s="6" t="str">
        <f>IFERROR(__xludf.DUMMYFUNCTION("FILTER(RAW_met_lieux_inclusion_numeriq!B:B,RAW_met_lieux_inclusion_numeriq!B:B=F174)"),"#N/A")</f>
        <v>#N/A</v>
      </c>
      <c r="H174" s="6" t="s">
        <v>2324</v>
      </c>
      <c r="I174" s="6" t="s">
        <v>2410</v>
      </c>
      <c r="J174" s="7" t="s">
        <v>1617</v>
      </c>
      <c r="K174" s="6" t="s">
        <v>1589</v>
      </c>
      <c r="L174" s="6" t="s">
        <v>1603</v>
      </c>
      <c r="M174" s="6" t="s">
        <v>2411</v>
      </c>
      <c r="N174" s="6" t="s">
        <v>1592</v>
      </c>
      <c r="O174" s="6" t="s">
        <v>1593</v>
      </c>
      <c r="P174" s="6" t="s">
        <v>1594</v>
      </c>
      <c r="Q174" s="7" t="s">
        <v>2409</v>
      </c>
      <c r="S174" s="6" t="s">
        <v>1595</v>
      </c>
      <c r="T174" s="6" t="s">
        <v>1596</v>
      </c>
    </row>
    <row r="175">
      <c r="A175" s="7" t="s">
        <v>2244</v>
      </c>
      <c r="B175" s="6" t="s">
        <v>1581</v>
      </c>
      <c r="C175" s="6" t="s">
        <v>2195</v>
      </c>
      <c r="D175" s="7" t="s">
        <v>2275</v>
      </c>
      <c r="E175" s="6" t="s">
        <v>2276</v>
      </c>
      <c r="F175" s="6" t="s">
        <v>1761</v>
      </c>
      <c r="G175" s="6" t="str">
        <f>IFERROR(__xludf.DUMMYFUNCTION("FILTER(RAW_met_lieux_inclusion_numeriq!B:B,RAW_met_lieux_inclusion_numeriq!B:B=F175)"),"#N/A")</f>
        <v>#N/A</v>
      </c>
      <c r="H175" s="6" t="s">
        <v>2412</v>
      </c>
      <c r="I175" s="6" t="s">
        <v>1601</v>
      </c>
      <c r="J175" s="7" t="s">
        <v>1764</v>
      </c>
      <c r="K175" s="6" t="s">
        <v>1589</v>
      </c>
      <c r="L175" s="6" t="s">
        <v>1603</v>
      </c>
      <c r="M175" s="6" t="s">
        <v>2278</v>
      </c>
      <c r="N175" s="6" t="s">
        <v>1592</v>
      </c>
      <c r="O175" s="6" t="s">
        <v>1593</v>
      </c>
      <c r="P175" s="6" t="s">
        <v>1594</v>
      </c>
      <c r="Q175" s="7" t="s">
        <v>2275</v>
      </c>
      <c r="S175" s="6" t="s">
        <v>1601</v>
      </c>
      <c r="T175" s="6" t="s">
        <v>1605</v>
      </c>
    </row>
    <row r="176">
      <c r="A176" s="7" t="s">
        <v>2294</v>
      </c>
      <c r="B176" s="6" t="s">
        <v>1581</v>
      </c>
      <c r="C176" s="6" t="s">
        <v>2195</v>
      </c>
      <c r="D176" s="7" t="s">
        <v>2413</v>
      </c>
      <c r="E176" s="6" t="s">
        <v>2414</v>
      </c>
      <c r="F176" s="6" t="s">
        <v>1688</v>
      </c>
      <c r="G176" s="6" t="str">
        <f>IFERROR(__xludf.DUMMYFUNCTION("FILTER(RAW_met_lieux_inclusion_numeriq!B:B,RAW_met_lieux_inclusion_numeriq!B:B=F176)"),"#N/A")</f>
        <v>#N/A</v>
      </c>
      <c r="H176" s="6" t="s">
        <v>2415</v>
      </c>
      <c r="I176" s="6" t="s">
        <v>1601</v>
      </c>
      <c r="J176" s="7" t="s">
        <v>1690</v>
      </c>
      <c r="K176" s="6" t="s">
        <v>1589</v>
      </c>
      <c r="L176" s="6" t="s">
        <v>1603</v>
      </c>
      <c r="M176" s="6" t="s">
        <v>2416</v>
      </c>
      <c r="N176" s="6" t="s">
        <v>1592</v>
      </c>
      <c r="O176" s="6" t="s">
        <v>1593</v>
      </c>
      <c r="P176" s="6" t="s">
        <v>1594</v>
      </c>
      <c r="Q176" s="7" t="s">
        <v>2413</v>
      </c>
      <c r="S176" s="6" t="s">
        <v>1601</v>
      </c>
      <c r="T176" s="6" t="s">
        <v>1645</v>
      </c>
    </row>
    <row r="177">
      <c r="A177" s="7" t="s">
        <v>2294</v>
      </c>
      <c r="B177" s="6" t="s">
        <v>1581</v>
      </c>
      <c r="C177" s="6" t="s">
        <v>2195</v>
      </c>
      <c r="D177" s="7" t="s">
        <v>2417</v>
      </c>
      <c r="E177" s="6" t="s">
        <v>2418</v>
      </c>
      <c r="F177" s="6" t="s">
        <v>2419</v>
      </c>
      <c r="G177" s="6" t="str">
        <f>IFERROR(__xludf.DUMMYFUNCTION("FILTER(RAW_met_lieux_inclusion_numeriq!B:B,RAW_met_lieux_inclusion_numeriq!B:B=F177)"),"#N/A")</f>
        <v>#N/A</v>
      </c>
      <c r="H177" s="6" t="s">
        <v>2420</v>
      </c>
      <c r="I177" s="6" t="s">
        <v>1601</v>
      </c>
      <c r="J177" s="7" t="s">
        <v>1832</v>
      </c>
      <c r="K177" s="6" t="s">
        <v>1589</v>
      </c>
      <c r="L177" s="6" t="s">
        <v>1590</v>
      </c>
      <c r="M177" s="6" t="s">
        <v>2421</v>
      </c>
      <c r="N177" s="6" t="s">
        <v>1592</v>
      </c>
      <c r="O177" s="6" t="s">
        <v>1593</v>
      </c>
      <c r="P177" s="6" t="s">
        <v>1594</v>
      </c>
      <c r="Q177" s="7" t="s">
        <v>2417</v>
      </c>
      <c r="S177" s="6" t="s">
        <v>1601</v>
      </c>
      <c r="T177" s="6" t="s">
        <v>1605</v>
      </c>
    </row>
    <row r="178">
      <c r="A178" s="7" t="s">
        <v>2294</v>
      </c>
      <c r="B178" s="6" t="s">
        <v>1581</v>
      </c>
      <c r="C178" s="6" t="s">
        <v>2195</v>
      </c>
      <c r="D178" s="7" t="s">
        <v>2288</v>
      </c>
      <c r="E178" s="6" t="s">
        <v>2279</v>
      </c>
      <c r="F178" s="6" t="s">
        <v>2176</v>
      </c>
      <c r="G178" s="6" t="str">
        <f>IFERROR(__xludf.DUMMYFUNCTION("FILTER(RAW_met_lieux_inclusion_numeriq!B:B,RAW_met_lieux_inclusion_numeriq!B:B=F178)"),"#N/A")</f>
        <v>#N/A</v>
      </c>
      <c r="H178" s="6" t="s">
        <v>2422</v>
      </c>
      <c r="I178" s="6" t="s">
        <v>2423</v>
      </c>
      <c r="J178" s="7" t="s">
        <v>2179</v>
      </c>
      <c r="K178" s="6" t="s">
        <v>1589</v>
      </c>
      <c r="L178" s="6" t="s">
        <v>1603</v>
      </c>
      <c r="M178" s="6" t="s">
        <v>2293</v>
      </c>
      <c r="N178" s="6" t="s">
        <v>1592</v>
      </c>
      <c r="O178" s="6" t="s">
        <v>1593</v>
      </c>
      <c r="P178" s="6" t="s">
        <v>1594</v>
      </c>
      <c r="Q178" s="7" t="s">
        <v>2288</v>
      </c>
      <c r="S178" s="6" t="s">
        <v>1595</v>
      </c>
      <c r="T178" s="6" t="s">
        <v>1596</v>
      </c>
    </row>
    <row r="179">
      <c r="A179" s="7" t="s">
        <v>2294</v>
      </c>
      <c r="B179" s="6" t="s">
        <v>1581</v>
      </c>
      <c r="C179" s="6" t="s">
        <v>2195</v>
      </c>
      <c r="D179" s="7" t="s">
        <v>2417</v>
      </c>
      <c r="E179" s="6" t="s">
        <v>2424</v>
      </c>
      <c r="F179" s="6" t="s">
        <v>1997</v>
      </c>
      <c r="G179" s="6" t="str">
        <f>IFERROR(__xludf.DUMMYFUNCTION("FILTER(RAW_met_lieux_inclusion_numeriq!B:B,RAW_met_lieux_inclusion_numeriq!B:B=F179)"),"#N/A")</f>
        <v>#N/A</v>
      </c>
      <c r="H179" s="6" t="s">
        <v>2425</v>
      </c>
      <c r="I179" s="6" t="s">
        <v>2426</v>
      </c>
      <c r="J179" s="7" t="s">
        <v>1658</v>
      </c>
      <c r="K179" s="6" t="s">
        <v>1589</v>
      </c>
      <c r="L179" s="6" t="s">
        <v>1603</v>
      </c>
      <c r="M179" s="6" t="s">
        <v>2421</v>
      </c>
      <c r="N179" s="6" t="s">
        <v>1592</v>
      </c>
      <c r="O179" s="6" t="s">
        <v>1593</v>
      </c>
      <c r="P179" s="6" t="s">
        <v>1594</v>
      </c>
      <c r="Q179" s="7" t="s">
        <v>2417</v>
      </c>
      <c r="S179" s="6" t="s">
        <v>1595</v>
      </c>
      <c r="T179" s="6" t="s">
        <v>1605</v>
      </c>
    </row>
    <row r="180">
      <c r="A180" s="7" t="s">
        <v>2294</v>
      </c>
      <c r="B180" s="6" t="s">
        <v>1581</v>
      </c>
      <c r="C180" s="6" t="s">
        <v>2195</v>
      </c>
      <c r="D180" s="7" t="s">
        <v>2427</v>
      </c>
      <c r="E180" s="6" t="s">
        <v>2276</v>
      </c>
      <c r="F180" s="6" t="s">
        <v>2428</v>
      </c>
      <c r="G180" s="6" t="str">
        <f>IFERROR(__xludf.DUMMYFUNCTION("FILTER(RAW_met_lieux_inclusion_numeriq!B:B,RAW_met_lieux_inclusion_numeriq!B:B=F180)"),"#N/A")</f>
        <v>#N/A</v>
      </c>
      <c r="H180" s="6" t="s">
        <v>2429</v>
      </c>
      <c r="I180" s="6" t="s">
        <v>1601</v>
      </c>
      <c r="J180" s="7" t="s">
        <v>1651</v>
      </c>
      <c r="K180" s="6" t="s">
        <v>1589</v>
      </c>
      <c r="L180" s="6" t="s">
        <v>1603</v>
      </c>
      <c r="M180" s="6" t="s">
        <v>2430</v>
      </c>
      <c r="N180" s="6" t="s">
        <v>1592</v>
      </c>
      <c r="O180" s="6" t="s">
        <v>1593</v>
      </c>
      <c r="P180" s="6" t="s">
        <v>1594</v>
      </c>
      <c r="Q180" s="7" t="s">
        <v>2427</v>
      </c>
      <c r="S180" s="6" t="s">
        <v>1601</v>
      </c>
      <c r="T180" s="6" t="s">
        <v>1596</v>
      </c>
    </row>
    <row r="181">
      <c r="A181" s="7" t="s">
        <v>2294</v>
      </c>
      <c r="B181" s="6" t="s">
        <v>1581</v>
      </c>
      <c r="C181" s="6" t="s">
        <v>2195</v>
      </c>
      <c r="D181" s="7" t="s">
        <v>2301</v>
      </c>
      <c r="E181" s="6" t="s">
        <v>2431</v>
      </c>
      <c r="F181" s="6" t="s">
        <v>2105</v>
      </c>
      <c r="G181" s="6" t="str">
        <f>IFERROR(__xludf.DUMMYFUNCTION("FILTER(RAW_met_lieux_inclusion_numeriq!B:B,RAW_met_lieux_inclusion_numeriq!B:B=F181)"),"#N/A")</f>
        <v>#N/A</v>
      </c>
      <c r="H181" s="6" t="s">
        <v>2432</v>
      </c>
      <c r="I181" s="6" t="s">
        <v>1587</v>
      </c>
      <c r="J181" s="7" t="s">
        <v>1949</v>
      </c>
      <c r="K181" s="6" t="s">
        <v>1589</v>
      </c>
      <c r="L181" s="6" t="s">
        <v>1590</v>
      </c>
      <c r="M181" s="6" t="s">
        <v>2303</v>
      </c>
      <c r="N181" s="6" t="s">
        <v>1592</v>
      </c>
      <c r="O181" s="6" t="s">
        <v>1593</v>
      </c>
      <c r="P181" s="6" t="s">
        <v>1594</v>
      </c>
      <c r="Q181" s="7" t="s">
        <v>2301</v>
      </c>
      <c r="S181" s="6" t="s">
        <v>1595</v>
      </c>
      <c r="T181" s="6" t="s">
        <v>1596</v>
      </c>
    </row>
    <row r="182">
      <c r="A182" s="7" t="s">
        <v>2294</v>
      </c>
      <c r="B182" s="6" t="s">
        <v>1581</v>
      </c>
      <c r="C182" s="6" t="s">
        <v>2195</v>
      </c>
      <c r="D182" s="7" t="s">
        <v>2417</v>
      </c>
      <c r="E182" s="6" t="s">
        <v>2279</v>
      </c>
      <c r="F182" s="6" t="s">
        <v>2433</v>
      </c>
      <c r="G182" s="6" t="str">
        <f>IFERROR(__xludf.DUMMYFUNCTION("FILTER(RAW_met_lieux_inclusion_numeriq!B:B,RAW_met_lieux_inclusion_numeriq!B:B=F182)"),"#N/A")</f>
        <v>#N/A</v>
      </c>
      <c r="H182" s="6" t="s">
        <v>2434</v>
      </c>
      <c r="I182" s="6" t="s">
        <v>2169</v>
      </c>
      <c r="J182" s="7" t="s">
        <v>2170</v>
      </c>
      <c r="K182" s="6" t="s">
        <v>1589</v>
      </c>
      <c r="L182" s="6" t="s">
        <v>1603</v>
      </c>
      <c r="M182" s="6" t="s">
        <v>2421</v>
      </c>
      <c r="N182" s="6" t="s">
        <v>1592</v>
      </c>
      <c r="O182" s="6" t="s">
        <v>1593</v>
      </c>
      <c r="P182" s="6" t="s">
        <v>1594</v>
      </c>
      <c r="Q182" s="7" t="s">
        <v>2417</v>
      </c>
      <c r="S182" s="6" t="s">
        <v>1595</v>
      </c>
      <c r="T182" s="6" t="s">
        <v>1634</v>
      </c>
    </row>
    <row r="183">
      <c r="A183" s="7" t="s">
        <v>2294</v>
      </c>
      <c r="B183" s="6" t="s">
        <v>1581</v>
      </c>
      <c r="C183" s="6" t="s">
        <v>2195</v>
      </c>
      <c r="D183" s="7" t="s">
        <v>2304</v>
      </c>
      <c r="E183" s="6" t="s">
        <v>2305</v>
      </c>
      <c r="F183" s="6" t="s">
        <v>2435</v>
      </c>
      <c r="G183" s="6" t="str">
        <f>IFERROR(__xludf.DUMMYFUNCTION("FILTER(RAW_met_lieux_inclusion_numeriq!B:B,RAW_met_lieux_inclusion_numeriq!B:B=F183)"),"#N/A")</f>
        <v>#N/A</v>
      </c>
      <c r="H183" s="6" t="s">
        <v>2436</v>
      </c>
      <c r="I183" s="6" t="s">
        <v>2437</v>
      </c>
      <c r="J183" s="7" t="s">
        <v>1832</v>
      </c>
      <c r="K183" s="6" t="s">
        <v>1589</v>
      </c>
      <c r="L183" s="6" t="s">
        <v>1603</v>
      </c>
      <c r="M183" s="6" t="s">
        <v>2309</v>
      </c>
      <c r="N183" s="6" t="s">
        <v>1592</v>
      </c>
      <c r="O183" s="6" t="s">
        <v>1593</v>
      </c>
      <c r="P183" s="6" t="s">
        <v>1594</v>
      </c>
      <c r="Q183" s="7" t="s">
        <v>2304</v>
      </c>
      <c r="S183" s="6" t="s">
        <v>1595</v>
      </c>
      <c r="T183" s="6" t="s">
        <v>1605</v>
      </c>
    </row>
    <row r="184">
      <c r="A184" s="7" t="s">
        <v>2314</v>
      </c>
      <c r="B184" s="6" t="s">
        <v>1581</v>
      </c>
      <c r="C184" s="6" t="s">
        <v>2195</v>
      </c>
      <c r="D184" s="7" t="s">
        <v>2315</v>
      </c>
      <c r="E184" s="7" t="s">
        <v>2438</v>
      </c>
      <c r="F184" s="6" t="s">
        <v>1767</v>
      </c>
      <c r="G184" s="6" t="str">
        <f>IFERROR(__xludf.DUMMYFUNCTION("FILTER(RAW_met_lieux_inclusion_numeriq!B:B,RAW_met_lieux_inclusion_numeriq!B:B=F184)"),"#N/A")</f>
        <v>#N/A</v>
      </c>
      <c r="H184" s="6" t="s">
        <v>2439</v>
      </c>
      <c r="I184" s="6" t="s">
        <v>1601</v>
      </c>
      <c r="J184" s="7" t="s">
        <v>2440</v>
      </c>
      <c r="K184" s="6" t="s">
        <v>1589</v>
      </c>
      <c r="L184" s="6" t="s">
        <v>1603</v>
      </c>
      <c r="M184" s="6" t="s">
        <v>2321</v>
      </c>
      <c r="N184" s="6" t="s">
        <v>1592</v>
      </c>
      <c r="O184" s="6" t="s">
        <v>1593</v>
      </c>
      <c r="P184" s="6" t="s">
        <v>1594</v>
      </c>
      <c r="Q184" s="7" t="s">
        <v>2315</v>
      </c>
      <c r="S184" s="6" t="s">
        <v>1601</v>
      </c>
      <c r="T184" s="6" t="s">
        <v>1634</v>
      </c>
    </row>
    <row r="185">
      <c r="A185" s="7" t="s">
        <v>2314</v>
      </c>
      <c r="B185" s="6" t="s">
        <v>1581</v>
      </c>
      <c r="C185" s="6" t="s">
        <v>2195</v>
      </c>
      <c r="D185" s="7" t="s">
        <v>2304</v>
      </c>
      <c r="E185" s="6" t="s">
        <v>2310</v>
      </c>
      <c r="F185" s="6" t="s">
        <v>2441</v>
      </c>
      <c r="G185" s="6" t="str">
        <f>IFERROR(__xludf.DUMMYFUNCTION("FILTER(RAW_met_lieux_inclusion_numeriq!B:B,RAW_met_lieux_inclusion_numeriq!B:B=F185)"),"#N/A")</f>
        <v>#N/A</v>
      </c>
      <c r="H185" s="6" t="s">
        <v>2442</v>
      </c>
      <c r="I185" s="6" t="s">
        <v>2443</v>
      </c>
      <c r="J185" s="7" t="s">
        <v>1671</v>
      </c>
      <c r="K185" s="6" t="s">
        <v>1589</v>
      </c>
      <c r="L185" s="6" t="s">
        <v>1603</v>
      </c>
      <c r="M185" s="6" t="s">
        <v>2309</v>
      </c>
      <c r="N185" s="6" t="s">
        <v>1592</v>
      </c>
      <c r="O185" s="6" t="s">
        <v>1593</v>
      </c>
      <c r="P185" s="6" t="s">
        <v>1594</v>
      </c>
      <c r="Q185" s="7" t="s">
        <v>2304</v>
      </c>
      <c r="S185" s="6" t="s">
        <v>1595</v>
      </c>
      <c r="T185" s="6" t="s">
        <v>1596</v>
      </c>
    </row>
    <row r="186">
      <c r="A186" s="7" t="s">
        <v>2314</v>
      </c>
      <c r="B186" s="6" t="s">
        <v>1581</v>
      </c>
      <c r="C186" s="6" t="s">
        <v>2195</v>
      </c>
      <c r="D186" s="7" t="s">
        <v>2304</v>
      </c>
      <c r="E186" s="6" t="s">
        <v>2310</v>
      </c>
      <c r="F186" s="6" t="s">
        <v>2444</v>
      </c>
      <c r="G186" s="6" t="str">
        <f>IFERROR(__xludf.DUMMYFUNCTION("FILTER(RAW_met_lieux_inclusion_numeriq!B:B,RAW_met_lieux_inclusion_numeriq!B:B=F186)"),"#N/A")</f>
        <v>#N/A</v>
      </c>
      <c r="H186" s="6" t="s">
        <v>2445</v>
      </c>
      <c r="I186" s="6" t="s">
        <v>2446</v>
      </c>
      <c r="J186" s="7" t="s">
        <v>1832</v>
      </c>
      <c r="K186" s="6" t="s">
        <v>1589</v>
      </c>
      <c r="L186" s="6" t="s">
        <v>1603</v>
      </c>
      <c r="M186" s="6" t="s">
        <v>2309</v>
      </c>
      <c r="N186" s="6" t="s">
        <v>1592</v>
      </c>
      <c r="O186" s="6" t="s">
        <v>1593</v>
      </c>
      <c r="P186" s="6" t="s">
        <v>1594</v>
      </c>
      <c r="Q186" s="7" t="s">
        <v>2304</v>
      </c>
      <c r="S186" s="6" t="s">
        <v>1595</v>
      </c>
      <c r="T186" s="6" t="s">
        <v>1605</v>
      </c>
    </row>
    <row r="187">
      <c r="A187" s="7" t="s">
        <v>2332</v>
      </c>
      <c r="B187" s="6" t="s">
        <v>1581</v>
      </c>
      <c r="C187" s="6" t="s">
        <v>2195</v>
      </c>
      <c r="D187" s="7" t="s">
        <v>2447</v>
      </c>
      <c r="E187" s="6" t="s">
        <v>2448</v>
      </c>
      <c r="F187" s="6" t="s">
        <v>1702</v>
      </c>
      <c r="G187" s="6" t="str">
        <f>IFERROR(__xludf.DUMMYFUNCTION("FILTER(RAW_met_lieux_inclusion_numeriq!B:B,RAW_met_lieux_inclusion_numeriq!B:B=F187)"),"#N/A")</f>
        <v>#N/A</v>
      </c>
      <c r="H187" s="6" t="s">
        <v>2449</v>
      </c>
      <c r="I187" s="6" t="s">
        <v>2450</v>
      </c>
      <c r="J187" s="7" t="s">
        <v>1728</v>
      </c>
      <c r="K187" s="6" t="s">
        <v>1589</v>
      </c>
      <c r="L187" s="6" t="s">
        <v>1603</v>
      </c>
      <c r="M187" s="6" t="s">
        <v>2451</v>
      </c>
      <c r="N187" s="6" t="s">
        <v>1592</v>
      </c>
      <c r="O187" s="6" t="s">
        <v>1593</v>
      </c>
      <c r="P187" s="6" t="s">
        <v>1594</v>
      </c>
      <c r="Q187" s="7" t="s">
        <v>2447</v>
      </c>
      <c r="S187" s="6" t="s">
        <v>1595</v>
      </c>
      <c r="T187" s="6" t="s">
        <v>1596</v>
      </c>
    </row>
    <row r="188">
      <c r="A188" s="7" t="s">
        <v>2332</v>
      </c>
      <c r="B188" s="6" t="s">
        <v>1581</v>
      </c>
      <c r="C188" s="6" t="s">
        <v>2195</v>
      </c>
      <c r="D188" s="7" t="s">
        <v>2452</v>
      </c>
      <c r="E188" s="6" t="s">
        <v>2334</v>
      </c>
      <c r="F188" s="6" t="s">
        <v>2453</v>
      </c>
      <c r="G188" s="6" t="str">
        <f>IFERROR(__xludf.DUMMYFUNCTION("FILTER(RAW_met_lieux_inclusion_numeriq!B:B,RAW_met_lieux_inclusion_numeriq!B:B=F188)"),"#N/A")</f>
        <v>#N/A</v>
      </c>
      <c r="H188" s="6" t="s">
        <v>2454</v>
      </c>
      <c r="I188" s="6" t="s">
        <v>2337</v>
      </c>
      <c r="J188" s="7" t="s">
        <v>2455</v>
      </c>
      <c r="K188" s="6" t="s">
        <v>1589</v>
      </c>
      <c r="L188" s="6" t="s">
        <v>1590</v>
      </c>
      <c r="M188" s="6" t="s">
        <v>2456</v>
      </c>
      <c r="N188" s="6" t="s">
        <v>1592</v>
      </c>
      <c r="O188" s="6" t="s">
        <v>1593</v>
      </c>
      <c r="P188" s="6" t="s">
        <v>1594</v>
      </c>
      <c r="Q188" s="7" t="s">
        <v>2452</v>
      </c>
      <c r="S188" s="6" t="s">
        <v>1595</v>
      </c>
      <c r="T188" s="6" t="s">
        <v>1596</v>
      </c>
    </row>
    <row r="189">
      <c r="A189" s="7" t="s">
        <v>2332</v>
      </c>
      <c r="B189" s="6" t="s">
        <v>1581</v>
      </c>
      <c r="C189" s="6" t="s">
        <v>2195</v>
      </c>
      <c r="D189" s="7" t="s">
        <v>2304</v>
      </c>
      <c r="E189" s="6" t="s">
        <v>2310</v>
      </c>
      <c r="F189" s="6" t="s">
        <v>2457</v>
      </c>
      <c r="G189" s="6" t="str">
        <f>IFERROR(__xludf.DUMMYFUNCTION("FILTER(RAW_met_lieux_inclusion_numeriq!B:B,RAW_met_lieux_inclusion_numeriq!B:B=F189)"),"#N/A")</f>
        <v>#N/A</v>
      </c>
      <c r="H189" s="6" t="s">
        <v>2458</v>
      </c>
      <c r="I189" s="6" t="s">
        <v>2459</v>
      </c>
      <c r="J189" s="7" t="s">
        <v>1677</v>
      </c>
      <c r="K189" s="6" t="s">
        <v>1589</v>
      </c>
      <c r="L189" s="6" t="s">
        <v>1590</v>
      </c>
      <c r="M189" s="6" t="s">
        <v>2309</v>
      </c>
      <c r="N189" s="6" t="s">
        <v>1592</v>
      </c>
      <c r="O189" s="6" t="s">
        <v>1593</v>
      </c>
      <c r="P189" s="6" t="s">
        <v>1594</v>
      </c>
      <c r="Q189" s="7" t="s">
        <v>2304</v>
      </c>
      <c r="S189" s="6" t="s">
        <v>1595</v>
      </c>
      <c r="T189" s="6" t="s">
        <v>1605</v>
      </c>
    </row>
    <row r="190">
      <c r="A190" s="7" t="s">
        <v>2332</v>
      </c>
      <c r="B190" s="6" t="s">
        <v>1581</v>
      </c>
      <c r="C190" s="6" t="s">
        <v>2195</v>
      </c>
      <c r="D190" s="7" t="s">
        <v>2460</v>
      </c>
      <c r="E190" s="6" t="s">
        <v>2461</v>
      </c>
      <c r="F190" s="6" t="s">
        <v>2462</v>
      </c>
      <c r="G190" s="6" t="str">
        <f>IFERROR(__xludf.DUMMYFUNCTION("FILTER(RAW_met_lieux_inclusion_numeriq!B:B,RAW_met_lieux_inclusion_numeriq!B:B=F190)"),"#N/A")</f>
        <v>#N/A</v>
      </c>
      <c r="H190" s="6" t="s">
        <v>2381</v>
      </c>
      <c r="I190" s="6" t="s">
        <v>2463</v>
      </c>
      <c r="J190" s="7" t="s">
        <v>2464</v>
      </c>
      <c r="K190" s="6" t="s">
        <v>1589</v>
      </c>
      <c r="L190" s="6" t="s">
        <v>1590</v>
      </c>
      <c r="M190" s="6" t="s">
        <v>2465</v>
      </c>
      <c r="N190" s="6" t="s">
        <v>1592</v>
      </c>
      <c r="O190" s="6" t="s">
        <v>1593</v>
      </c>
      <c r="P190" s="6" t="s">
        <v>1594</v>
      </c>
      <c r="Q190" s="7" t="s">
        <v>2460</v>
      </c>
      <c r="S190" s="6" t="s">
        <v>1595</v>
      </c>
      <c r="T190" s="6" t="s">
        <v>1596</v>
      </c>
    </row>
    <row r="191">
      <c r="A191" s="7" t="s">
        <v>2332</v>
      </c>
      <c r="B191" s="6" t="s">
        <v>1581</v>
      </c>
      <c r="C191" s="6" t="s">
        <v>2195</v>
      </c>
      <c r="D191" s="7" t="s">
        <v>2466</v>
      </c>
      <c r="E191" s="6" t="s">
        <v>2276</v>
      </c>
      <c r="F191" s="6" t="s">
        <v>1825</v>
      </c>
      <c r="G191" s="6" t="str">
        <f>IFERROR(__xludf.DUMMYFUNCTION("FILTER(RAW_met_lieux_inclusion_numeriq!B:B,RAW_met_lieux_inclusion_numeriq!B:B=F191)"),"#N/A")</f>
        <v>#N/A</v>
      </c>
      <c r="H191" s="6" t="s">
        <v>2467</v>
      </c>
      <c r="I191" s="6" t="s">
        <v>1601</v>
      </c>
      <c r="J191" s="7" t="s">
        <v>1651</v>
      </c>
      <c r="K191" s="6" t="s">
        <v>1589</v>
      </c>
      <c r="L191" s="6" t="s">
        <v>1590</v>
      </c>
      <c r="M191" s="6" t="s">
        <v>2468</v>
      </c>
      <c r="N191" s="6" t="s">
        <v>1592</v>
      </c>
      <c r="O191" s="6" t="s">
        <v>1593</v>
      </c>
      <c r="P191" s="6" t="s">
        <v>1594</v>
      </c>
      <c r="Q191" s="7" t="s">
        <v>2466</v>
      </c>
      <c r="S191" s="6" t="s">
        <v>1601</v>
      </c>
      <c r="T191" s="6" t="s">
        <v>1596</v>
      </c>
    </row>
    <row r="192">
      <c r="A192" s="7" t="s">
        <v>2332</v>
      </c>
      <c r="B192" s="6" t="s">
        <v>1581</v>
      </c>
      <c r="C192" s="6" t="s">
        <v>2195</v>
      </c>
      <c r="D192" s="7" t="s">
        <v>2469</v>
      </c>
      <c r="E192" s="6" t="s">
        <v>2470</v>
      </c>
      <c r="F192" s="6" t="s">
        <v>2471</v>
      </c>
      <c r="G192" s="6" t="str">
        <f>IFERROR(__xludf.DUMMYFUNCTION("FILTER(RAW_met_lieux_inclusion_numeriq!B:B,RAW_met_lieux_inclusion_numeriq!B:B=F192)"),"#N/A")</f>
        <v>#N/A</v>
      </c>
      <c r="H192" s="6" t="s">
        <v>2472</v>
      </c>
      <c r="I192" s="6" t="s">
        <v>1601</v>
      </c>
      <c r="J192" s="7" t="s">
        <v>1870</v>
      </c>
      <c r="K192" s="6" t="s">
        <v>1589</v>
      </c>
      <c r="L192" s="6" t="s">
        <v>1603</v>
      </c>
      <c r="M192" s="6" t="s">
        <v>2473</v>
      </c>
      <c r="N192" s="6" t="s">
        <v>1592</v>
      </c>
      <c r="O192" s="6" t="s">
        <v>1593</v>
      </c>
      <c r="P192" s="6" t="s">
        <v>1594</v>
      </c>
      <c r="Q192" s="7" t="s">
        <v>2469</v>
      </c>
      <c r="S192" s="6" t="s">
        <v>1601</v>
      </c>
      <c r="T192" s="6" t="s">
        <v>1634</v>
      </c>
    </row>
    <row r="193">
      <c r="A193" s="7" t="s">
        <v>2332</v>
      </c>
      <c r="B193" s="6" t="s">
        <v>1581</v>
      </c>
      <c r="C193" s="6" t="s">
        <v>2195</v>
      </c>
      <c r="D193" s="7" t="s">
        <v>2474</v>
      </c>
      <c r="E193" s="6" t="s">
        <v>2475</v>
      </c>
      <c r="F193" s="6" t="s">
        <v>2476</v>
      </c>
      <c r="G193" s="6" t="str">
        <f>IFERROR(__xludf.DUMMYFUNCTION("FILTER(RAW_met_lieux_inclusion_numeriq!B:B,RAW_met_lieux_inclusion_numeriq!B:B=F193)"),"#N/A")</f>
        <v>#N/A</v>
      </c>
      <c r="H193" s="6" t="s">
        <v>2477</v>
      </c>
      <c r="I193" s="6" t="s">
        <v>1601</v>
      </c>
      <c r="J193" s="7" t="s">
        <v>1832</v>
      </c>
      <c r="K193" s="6" t="s">
        <v>1589</v>
      </c>
      <c r="L193" s="6" t="s">
        <v>1590</v>
      </c>
      <c r="M193" s="6" t="s">
        <v>2478</v>
      </c>
      <c r="N193" s="6" t="s">
        <v>1592</v>
      </c>
      <c r="O193" s="6" t="s">
        <v>1593</v>
      </c>
      <c r="P193" s="6" t="s">
        <v>1594</v>
      </c>
      <c r="Q193" s="7" t="s">
        <v>2474</v>
      </c>
      <c r="S193" s="6" t="s">
        <v>1601</v>
      </c>
      <c r="T193" s="6" t="s">
        <v>1605</v>
      </c>
    </row>
    <row r="194">
      <c r="A194" s="7" t="s">
        <v>2332</v>
      </c>
      <c r="B194" s="6" t="s">
        <v>1581</v>
      </c>
      <c r="C194" s="6" t="s">
        <v>2195</v>
      </c>
      <c r="D194" s="7" t="s">
        <v>2479</v>
      </c>
      <c r="E194" s="6" t="s">
        <v>2480</v>
      </c>
      <c r="F194" s="6" t="s">
        <v>2481</v>
      </c>
      <c r="G194" s="6" t="str">
        <f>IFERROR(__xludf.DUMMYFUNCTION("FILTER(RAW_met_lieux_inclusion_numeriq!B:B,RAW_met_lieux_inclusion_numeriq!B:B=F194)"),"#N/A")</f>
        <v>#N/A</v>
      </c>
      <c r="H194" s="6" t="s">
        <v>2482</v>
      </c>
      <c r="I194" s="6" t="s">
        <v>2483</v>
      </c>
      <c r="J194" s="7" t="s">
        <v>1651</v>
      </c>
      <c r="K194" s="6" t="s">
        <v>1589</v>
      </c>
      <c r="L194" s="6" t="s">
        <v>1603</v>
      </c>
      <c r="M194" s="6" t="s">
        <v>2484</v>
      </c>
      <c r="N194" s="6" t="s">
        <v>1592</v>
      </c>
      <c r="O194" s="6" t="s">
        <v>1593</v>
      </c>
      <c r="P194" s="6" t="s">
        <v>1594</v>
      </c>
      <c r="Q194" s="7" t="s">
        <v>2479</v>
      </c>
      <c r="S194" s="6" t="s">
        <v>1595</v>
      </c>
      <c r="T194" s="6" t="s">
        <v>1596</v>
      </c>
    </row>
    <row r="195">
      <c r="A195" s="7" t="s">
        <v>2485</v>
      </c>
      <c r="B195" s="6" t="s">
        <v>1581</v>
      </c>
      <c r="C195" s="6" t="s">
        <v>2195</v>
      </c>
      <c r="D195" s="7" t="s">
        <v>2486</v>
      </c>
      <c r="E195" s="6" t="s">
        <v>2487</v>
      </c>
      <c r="F195" s="6" t="s">
        <v>2488</v>
      </c>
      <c r="G195" s="6" t="str">
        <f>IFERROR(__xludf.DUMMYFUNCTION("FILTER(RAW_met_lieux_inclusion_numeriq!B:B,RAW_met_lieux_inclusion_numeriq!B:B=F195)"),"#N/A")</f>
        <v>#N/A</v>
      </c>
      <c r="H195" s="6" t="s">
        <v>2489</v>
      </c>
      <c r="I195" s="6" t="s">
        <v>2490</v>
      </c>
      <c r="J195" s="7" t="s">
        <v>1737</v>
      </c>
      <c r="K195" s="6" t="s">
        <v>1589</v>
      </c>
      <c r="L195" s="6" t="s">
        <v>1590</v>
      </c>
      <c r="M195" s="6" t="s">
        <v>2491</v>
      </c>
      <c r="N195" s="6" t="s">
        <v>1592</v>
      </c>
      <c r="O195" s="6" t="s">
        <v>1593</v>
      </c>
      <c r="P195" s="6" t="s">
        <v>1594</v>
      </c>
      <c r="Q195" s="7" t="s">
        <v>2486</v>
      </c>
      <c r="S195" s="6" t="s">
        <v>1595</v>
      </c>
      <c r="T195" s="6" t="s">
        <v>1596</v>
      </c>
    </row>
    <row r="196">
      <c r="A196" s="7" t="s">
        <v>2485</v>
      </c>
      <c r="B196" s="6" t="s">
        <v>1581</v>
      </c>
      <c r="C196" s="6" t="s">
        <v>2195</v>
      </c>
      <c r="D196" s="7" t="s">
        <v>2492</v>
      </c>
      <c r="E196" s="6" t="s">
        <v>2493</v>
      </c>
      <c r="F196" s="6" t="s">
        <v>2494</v>
      </c>
      <c r="G196" s="6" t="str">
        <f>IFERROR(__xludf.DUMMYFUNCTION("FILTER(RAW_met_lieux_inclusion_numeriq!B:B,RAW_met_lieux_inclusion_numeriq!B:B=F196)"),"#N/A")</f>
        <v>#N/A</v>
      </c>
      <c r="H196" s="6" t="s">
        <v>2495</v>
      </c>
      <c r="I196" s="6" t="s">
        <v>2490</v>
      </c>
      <c r="J196" s="7" t="s">
        <v>1651</v>
      </c>
      <c r="K196" s="6" t="s">
        <v>1589</v>
      </c>
      <c r="L196" s="6" t="s">
        <v>1603</v>
      </c>
      <c r="M196" s="6" t="s">
        <v>2496</v>
      </c>
      <c r="N196" s="6" t="s">
        <v>1592</v>
      </c>
      <c r="O196" s="6" t="s">
        <v>1593</v>
      </c>
      <c r="P196" s="6" t="s">
        <v>1594</v>
      </c>
      <c r="Q196" s="7" t="s">
        <v>2492</v>
      </c>
      <c r="S196" s="6" t="s">
        <v>1595</v>
      </c>
      <c r="T196" s="6" t="s">
        <v>1596</v>
      </c>
    </row>
    <row r="197">
      <c r="A197" s="7" t="s">
        <v>2194</v>
      </c>
      <c r="B197" s="6" t="s">
        <v>1581</v>
      </c>
      <c r="C197" s="6" t="s">
        <v>2195</v>
      </c>
      <c r="D197" s="7" t="s">
        <v>2497</v>
      </c>
      <c r="E197" s="6" t="s">
        <v>2498</v>
      </c>
      <c r="F197" s="6" t="s">
        <v>1599</v>
      </c>
      <c r="G197" s="6" t="str">
        <f>IFERROR(__xludf.DUMMYFUNCTION("FILTER(RAW_met_lieux_inclusion_numeriq!B:B,RAW_met_lieux_inclusion_numeriq!B:B=F197)"),"#N/A")</f>
        <v>#N/A</v>
      </c>
      <c r="H197" s="6" t="s">
        <v>2499</v>
      </c>
      <c r="I197" s="6" t="s">
        <v>1601</v>
      </c>
      <c r="J197" s="7" t="s">
        <v>1602</v>
      </c>
      <c r="K197" s="6" t="s">
        <v>1589</v>
      </c>
      <c r="L197" s="6" t="s">
        <v>1603</v>
      </c>
      <c r="M197" s="6" t="s">
        <v>2500</v>
      </c>
      <c r="N197" s="6" t="s">
        <v>1592</v>
      </c>
      <c r="O197" s="6" t="s">
        <v>1593</v>
      </c>
      <c r="P197" s="6" t="s">
        <v>1594</v>
      </c>
      <c r="Q197" s="7" t="s">
        <v>2497</v>
      </c>
      <c r="S197" s="6" t="s">
        <v>1601</v>
      </c>
      <c r="T197" s="6" t="s">
        <v>1605</v>
      </c>
    </row>
    <row r="198">
      <c r="A198" s="7" t="s">
        <v>2194</v>
      </c>
      <c r="B198" s="6" t="s">
        <v>1581</v>
      </c>
      <c r="C198" s="6" t="s">
        <v>2195</v>
      </c>
      <c r="D198" s="7" t="s">
        <v>2180</v>
      </c>
      <c r="E198" s="6" t="s">
        <v>2501</v>
      </c>
      <c r="F198" s="6" t="s">
        <v>2502</v>
      </c>
      <c r="G198" s="6" t="str">
        <f>IFERROR(__xludf.DUMMYFUNCTION("FILTER(RAW_met_lieux_inclusion_numeriq!B:B,RAW_met_lieux_inclusion_numeriq!B:B=F198)"),"#N/A")</f>
        <v>#N/A</v>
      </c>
      <c r="H198" s="6" t="s">
        <v>2503</v>
      </c>
      <c r="I198" s="6" t="s">
        <v>1601</v>
      </c>
      <c r="J198" s="7" t="s">
        <v>2504</v>
      </c>
      <c r="K198" s="6" t="s">
        <v>1589</v>
      </c>
      <c r="L198" s="6" t="s">
        <v>1603</v>
      </c>
      <c r="M198" s="6" t="s">
        <v>2184</v>
      </c>
      <c r="N198" s="6" t="s">
        <v>1592</v>
      </c>
      <c r="O198" s="6" t="s">
        <v>1593</v>
      </c>
      <c r="P198" s="6" t="s">
        <v>1594</v>
      </c>
      <c r="Q198" s="7" t="s">
        <v>2180</v>
      </c>
      <c r="S198" s="6" t="s">
        <v>1601</v>
      </c>
      <c r="T198" s="6" t="s">
        <v>1605</v>
      </c>
    </row>
    <row r="199">
      <c r="A199" s="7" t="s">
        <v>2231</v>
      </c>
      <c r="B199" s="6" t="s">
        <v>1581</v>
      </c>
      <c r="C199" s="6" t="s">
        <v>2195</v>
      </c>
      <c r="D199" s="7" t="s">
        <v>2505</v>
      </c>
      <c r="E199" s="6" t="s">
        <v>2506</v>
      </c>
      <c r="F199" s="6" t="s">
        <v>2507</v>
      </c>
      <c r="G199" s="6" t="str">
        <f>IFERROR(__xludf.DUMMYFUNCTION("FILTER(RAW_met_lieux_inclusion_numeriq!B:B,RAW_met_lieux_inclusion_numeriq!B:B=F199)"),"#N/A")</f>
        <v>#N/A</v>
      </c>
      <c r="H199" s="6" t="s">
        <v>2508</v>
      </c>
      <c r="I199" s="6" t="s">
        <v>1601</v>
      </c>
      <c r="J199" s="7" t="s">
        <v>1644</v>
      </c>
      <c r="K199" s="6" t="s">
        <v>1589</v>
      </c>
      <c r="L199" s="6" t="s">
        <v>1603</v>
      </c>
      <c r="M199" s="6" t="s">
        <v>2509</v>
      </c>
      <c r="N199" s="6" t="s">
        <v>1592</v>
      </c>
      <c r="O199" s="6" t="s">
        <v>1593</v>
      </c>
      <c r="P199" s="6" t="s">
        <v>1594</v>
      </c>
      <c r="Q199" s="7" t="s">
        <v>2505</v>
      </c>
      <c r="S199" s="6" t="s">
        <v>1601</v>
      </c>
      <c r="T199" s="6" t="s">
        <v>1645</v>
      </c>
    </row>
    <row r="200">
      <c r="A200" s="7" t="s">
        <v>2231</v>
      </c>
      <c r="B200" s="6" t="s">
        <v>1581</v>
      </c>
      <c r="C200" s="6" t="s">
        <v>2195</v>
      </c>
      <c r="D200" s="7" t="s">
        <v>1635</v>
      </c>
      <c r="E200" s="6" t="s">
        <v>1636</v>
      </c>
      <c r="F200" s="6" t="s">
        <v>1637</v>
      </c>
      <c r="G200" s="6" t="str">
        <f>IFERROR(__xludf.DUMMYFUNCTION("FILTER(RAW_met_lieux_inclusion_numeriq!B:B,RAW_met_lieux_inclusion_numeriq!B:B=F200)"),"#N/A")</f>
        <v>#N/A</v>
      </c>
      <c r="H200" s="6" t="s">
        <v>2510</v>
      </c>
      <c r="I200" s="6" t="s">
        <v>2511</v>
      </c>
      <c r="J200" s="7" t="s">
        <v>1639</v>
      </c>
      <c r="K200" s="6" t="s">
        <v>1589</v>
      </c>
      <c r="L200" s="6" t="s">
        <v>1603</v>
      </c>
      <c r="M200" s="6" t="s">
        <v>1640</v>
      </c>
      <c r="N200" s="6" t="s">
        <v>1592</v>
      </c>
      <c r="O200" s="6" t="s">
        <v>1593</v>
      </c>
      <c r="P200" s="6" t="s">
        <v>1594</v>
      </c>
      <c r="Q200" s="7" t="s">
        <v>1635</v>
      </c>
      <c r="S200" s="6" t="s">
        <v>1595</v>
      </c>
      <c r="T200" s="6" t="s">
        <v>1634</v>
      </c>
    </row>
    <row r="201">
      <c r="A201" s="7" t="s">
        <v>2244</v>
      </c>
      <c r="B201" s="6" t="s">
        <v>1581</v>
      </c>
      <c r="C201" s="6" t="s">
        <v>2195</v>
      </c>
      <c r="D201" s="7" t="s">
        <v>2512</v>
      </c>
      <c r="E201" s="6" t="s">
        <v>2279</v>
      </c>
      <c r="F201" s="6" t="s">
        <v>1674</v>
      </c>
      <c r="G201" s="6" t="str">
        <f>IFERROR(__xludf.DUMMYFUNCTION("FILTER(RAW_met_lieux_inclusion_numeriq!B:B,RAW_met_lieux_inclusion_numeriq!B:B=F201)"),"#N/A")</f>
        <v>#N/A</v>
      </c>
      <c r="H201" s="6" t="s">
        <v>2513</v>
      </c>
      <c r="I201" s="6" t="s">
        <v>2514</v>
      </c>
      <c r="J201" s="7" t="s">
        <v>1677</v>
      </c>
      <c r="K201" s="6" t="s">
        <v>1589</v>
      </c>
      <c r="L201" s="6" t="s">
        <v>1603</v>
      </c>
      <c r="M201" s="6" t="s">
        <v>2515</v>
      </c>
      <c r="N201" s="6" t="s">
        <v>1592</v>
      </c>
      <c r="O201" s="6" t="s">
        <v>1593</v>
      </c>
      <c r="P201" s="6" t="s">
        <v>1594</v>
      </c>
      <c r="Q201" s="7" t="s">
        <v>2512</v>
      </c>
      <c r="S201" s="6" t="s">
        <v>1595</v>
      </c>
      <c r="T201" s="6" t="s">
        <v>1605</v>
      </c>
    </row>
    <row r="202">
      <c r="A202" s="7" t="s">
        <v>2244</v>
      </c>
      <c r="B202" s="6" t="s">
        <v>1581</v>
      </c>
      <c r="C202" s="6" t="s">
        <v>2195</v>
      </c>
      <c r="D202" s="7" t="s">
        <v>2251</v>
      </c>
      <c r="E202" s="6" t="s">
        <v>2516</v>
      </c>
      <c r="F202" s="6" t="s">
        <v>1962</v>
      </c>
      <c r="G202" s="6" t="str">
        <f>IFERROR(__xludf.DUMMYFUNCTION("FILTER(RAW_met_lieux_inclusion_numeriq!B:B,RAW_met_lieux_inclusion_numeriq!B:B=F202)"),"#N/A")</f>
        <v>#N/A</v>
      </c>
      <c r="H202" s="6" t="s">
        <v>2517</v>
      </c>
      <c r="I202" s="6" t="s">
        <v>1601</v>
      </c>
      <c r="J202" s="7" t="s">
        <v>1964</v>
      </c>
      <c r="K202" s="6" t="s">
        <v>1589</v>
      </c>
      <c r="L202" s="6" t="s">
        <v>1603</v>
      </c>
      <c r="M202" s="6" t="s">
        <v>2254</v>
      </c>
      <c r="N202" s="6" t="s">
        <v>1592</v>
      </c>
      <c r="O202" s="6" t="s">
        <v>1593</v>
      </c>
      <c r="P202" s="6" t="s">
        <v>1594</v>
      </c>
      <c r="Q202" s="7" t="s">
        <v>2251</v>
      </c>
      <c r="S202" s="6" t="s">
        <v>1601</v>
      </c>
      <c r="T202" s="6" t="s">
        <v>1634</v>
      </c>
    </row>
    <row r="203">
      <c r="A203" s="7" t="s">
        <v>2244</v>
      </c>
      <c r="B203" s="6" t="s">
        <v>1581</v>
      </c>
      <c r="C203" s="6" t="s">
        <v>2195</v>
      </c>
      <c r="D203" s="7" t="s">
        <v>2512</v>
      </c>
      <c r="E203" s="6" t="s">
        <v>2279</v>
      </c>
      <c r="F203" s="6" t="s">
        <v>1718</v>
      </c>
      <c r="G203" s="6" t="str">
        <f>IFERROR(__xludf.DUMMYFUNCTION("FILTER(RAW_met_lieux_inclusion_numeriq!B:B,RAW_met_lieux_inclusion_numeriq!B:B=F203)"),"#N/A")</f>
        <v>#N/A</v>
      </c>
      <c r="H203" s="6" t="s">
        <v>2518</v>
      </c>
      <c r="I203" s="6" t="s">
        <v>2519</v>
      </c>
      <c r="J203" s="7" t="s">
        <v>1651</v>
      </c>
      <c r="K203" s="6" t="s">
        <v>1589</v>
      </c>
      <c r="L203" s="6" t="s">
        <v>1603</v>
      </c>
      <c r="M203" s="6" t="s">
        <v>2515</v>
      </c>
      <c r="N203" s="6" t="s">
        <v>1592</v>
      </c>
      <c r="O203" s="6" t="s">
        <v>1593</v>
      </c>
      <c r="P203" s="6" t="s">
        <v>1594</v>
      </c>
      <c r="Q203" s="7" t="s">
        <v>2512</v>
      </c>
      <c r="S203" s="6" t="s">
        <v>1595</v>
      </c>
      <c r="T203" s="6" t="s">
        <v>1596</v>
      </c>
    </row>
    <row r="204">
      <c r="A204" s="7" t="s">
        <v>2244</v>
      </c>
      <c r="B204" s="6" t="s">
        <v>1581</v>
      </c>
      <c r="C204" s="6" t="s">
        <v>2195</v>
      </c>
      <c r="D204" s="7" t="s">
        <v>2520</v>
      </c>
      <c r="E204" s="6" t="s">
        <v>2279</v>
      </c>
      <c r="F204" s="6" t="s">
        <v>2093</v>
      </c>
      <c r="G204" s="6" t="str">
        <f>IFERROR(__xludf.DUMMYFUNCTION("FILTER(RAW_met_lieux_inclusion_numeriq!B:B,RAW_met_lieux_inclusion_numeriq!B:B=F204)"),"#N/A")</f>
        <v>#N/A</v>
      </c>
      <c r="H204" s="6" t="s">
        <v>2521</v>
      </c>
      <c r="I204" s="6" t="s">
        <v>2522</v>
      </c>
      <c r="J204" s="7" t="s">
        <v>1752</v>
      </c>
      <c r="K204" s="6" t="s">
        <v>1589</v>
      </c>
      <c r="L204" s="6" t="s">
        <v>1603</v>
      </c>
      <c r="M204" s="6" t="s">
        <v>2523</v>
      </c>
      <c r="N204" s="6" t="s">
        <v>1592</v>
      </c>
      <c r="O204" s="6" t="s">
        <v>1593</v>
      </c>
      <c r="P204" s="6" t="s">
        <v>1594</v>
      </c>
      <c r="Q204" s="7" t="s">
        <v>2520</v>
      </c>
      <c r="S204" s="6" t="s">
        <v>1595</v>
      </c>
      <c r="T204" s="6" t="s">
        <v>1605</v>
      </c>
    </row>
    <row r="205">
      <c r="A205" s="7" t="s">
        <v>2244</v>
      </c>
      <c r="B205" s="6" t="s">
        <v>1581</v>
      </c>
      <c r="C205" s="6" t="s">
        <v>2195</v>
      </c>
      <c r="D205" s="7" t="s">
        <v>2512</v>
      </c>
      <c r="E205" s="6" t="s">
        <v>2279</v>
      </c>
      <c r="F205" s="6" t="s">
        <v>2074</v>
      </c>
      <c r="G205" s="6" t="str">
        <f>IFERROR(__xludf.DUMMYFUNCTION("FILTER(RAW_met_lieux_inclusion_numeriq!B:B,RAW_met_lieux_inclusion_numeriq!B:B=F205)"),"#N/A")</f>
        <v>#N/A</v>
      </c>
      <c r="H205" s="6" t="s">
        <v>2524</v>
      </c>
      <c r="I205" s="6" t="s">
        <v>2525</v>
      </c>
      <c r="J205" s="7" t="s">
        <v>1651</v>
      </c>
      <c r="K205" s="6" t="s">
        <v>1589</v>
      </c>
      <c r="L205" s="6" t="s">
        <v>1603</v>
      </c>
      <c r="M205" s="6" t="s">
        <v>2515</v>
      </c>
      <c r="N205" s="6" t="s">
        <v>1592</v>
      </c>
      <c r="O205" s="6" t="s">
        <v>1593</v>
      </c>
      <c r="P205" s="6" t="s">
        <v>1594</v>
      </c>
      <c r="Q205" s="7" t="s">
        <v>2512</v>
      </c>
      <c r="S205" s="6" t="s">
        <v>1595</v>
      </c>
      <c r="T205" s="6" t="s">
        <v>1596</v>
      </c>
    </row>
    <row r="206">
      <c r="A206" s="7" t="s">
        <v>2244</v>
      </c>
      <c r="B206" s="6" t="s">
        <v>1581</v>
      </c>
      <c r="C206" s="6" t="s">
        <v>2195</v>
      </c>
      <c r="D206" s="7" t="s">
        <v>2295</v>
      </c>
      <c r="E206" s="6" t="s">
        <v>2279</v>
      </c>
      <c r="F206" s="6" t="s">
        <v>2526</v>
      </c>
      <c r="G206" s="6" t="str">
        <f>IFERROR(__xludf.DUMMYFUNCTION("FILTER(RAW_met_lieux_inclusion_numeriq!B:B,RAW_met_lieux_inclusion_numeriq!B:B=F206)"),"#N/A")</f>
        <v>#N/A</v>
      </c>
      <c r="H206" s="6" t="s">
        <v>2527</v>
      </c>
      <c r="I206" s="6" t="s">
        <v>2174</v>
      </c>
      <c r="J206" s="7" t="s">
        <v>1711</v>
      </c>
      <c r="K206" s="6" t="s">
        <v>1589</v>
      </c>
      <c r="L206" s="6" t="s">
        <v>1603</v>
      </c>
      <c r="M206" s="6" t="s">
        <v>2300</v>
      </c>
      <c r="N206" s="6" t="s">
        <v>1592</v>
      </c>
      <c r="O206" s="6" t="s">
        <v>1593</v>
      </c>
      <c r="P206" s="6" t="s">
        <v>1594</v>
      </c>
      <c r="Q206" s="7" t="s">
        <v>2295</v>
      </c>
      <c r="S206" s="6" t="s">
        <v>1595</v>
      </c>
      <c r="T206" s="6" t="s">
        <v>1596</v>
      </c>
    </row>
    <row r="207">
      <c r="A207" s="7" t="s">
        <v>2244</v>
      </c>
      <c r="B207" s="6" t="s">
        <v>1581</v>
      </c>
      <c r="C207" s="6" t="s">
        <v>2195</v>
      </c>
      <c r="D207" s="7" t="s">
        <v>2528</v>
      </c>
      <c r="E207" s="6" t="s">
        <v>2279</v>
      </c>
      <c r="F207" s="6" t="s">
        <v>1977</v>
      </c>
      <c r="G207" s="6" t="str">
        <f>IFERROR(__xludf.DUMMYFUNCTION("FILTER(RAW_met_lieux_inclusion_numeriq!B:B,RAW_met_lieux_inclusion_numeriq!B:B=F207)"),"#N/A")</f>
        <v>#N/A</v>
      </c>
      <c r="H207" s="6" t="s">
        <v>2529</v>
      </c>
      <c r="I207" s="6" t="s">
        <v>2530</v>
      </c>
      <c r="J207" s="7" t="s">
        <v>1980</v>
      </c>
      <c r="K207" s="6" t="s">
        <v>1589</v>
      </c>
      <c r="L207" s="6" t="s">
        <v>1603</v>
      </c>
      <c r="M207" s="6" t="s">
        <v>2531</v>
      </c>
      <c r="N207" s="6" t="s">
        <v>1592</v>
      </c>
      <c r="O207" s="6" t="s">
        <v>1593</v>
      </c>
      <c r="P207" s="6" t="s">
        <v>1594</v>
      </c>
      <c r="Q207" s="7" t="s">
        <v>2528</v>
      </c>
      <c r="S207" s="6" t="s">
        <v>1595</v>
      </c>
      <c r="T207" s="6" t="s">
        <v>1596</v>
      </c>
    </row>
    <row r="208">
      <c r="A208" s="7" t="s">
        <v>2244</v>
      </c>
      <c r="B208" s="6" t="s">
        <v>1581</v>
      </c>
      <c r="C208" s="6" t="s">
        <v>2195</v>
      </c>
      <c r="D208" s="7" t="s">
        <v>2393</v>
      </c>
      <c r="E208" s="6" t="s">
        <v>2279</v>
      </c>
      <c r="F208" s="6" t="s">
        <v>2532</v>
      </c>
      <c r="G208" s="6" t="str">
        <f>IFERROR(__xludf.DUMMYFUNCTION("FILTER(RAW_met_lieux_inclusion_numeriq!B:B,RAW_met_lieux_inclusion_numeriq!B:B=F208)"),"#N/A")</f>
        <v>#N/A</v>
      </c>
      <c r="H208" s="6" t="s">
        <v>2432</v>
      </c>
      <c r="I208" s="6" t="s">
        <v>2533</v>
      </c>
      <c r="J208" s="7" t="s">
        <v>1658</v>
      </c>
      <c r="K208" s="6" t="s">
        <v>1589</v>
      </c>
      <c r="L208" s="6" t="s">
        <v>1603</v>
      </c>
      <c r="M208" s="6" t="s">
        <v>2395</v>
      </c>
      <c r="N208" s="6" t="s">
        <v>1592</v>
      </c>
      <c r="O208" s="6" t="s">
        <v>1593</v>
      </c>
      <c r="P208" s="6" t="s">
        <v>1594</v>
      </c>
      <c r="Q208" s="7" t="s">
        <v>2393</v>
      </c>
      <c r="S208" s="6" t="s">
        <v>1595</v>
      </c>
      <c r="T208" s="6" t="s">
        <v>1605</v>
      </c>
    </row>
    <row r="209">
      <c r="A209" s="7" t="s">
        <v>2244</v>
      </c>
      <c r="B209" s="6" t="s">
        <v>1581</v>
      </c>
      <c r="C209" s="6" t="s">
        <v>2195</v>
      </c>
      <c r="D209" s="7" t="s">
        <v>2534</v>
      </c>
      <c r="E209" s="6" t="s">
        <v>2279</v>
      </c>
      <c r="F209" s="6" t="s">
        <v>2089</v>
      </c>
      <c r="G209" s="6" t="str">
        <f>IFERROR(__xludf.DUMMYFUNCTION("FILTER(RAW_met_lieux_inclusion_numeriq!B:B,RAW_met_lieux_inclusion_numeriq!B:B=F209)"),"#N/A")</f>
        <v>#N/A</v>
      </c>
      <c r="H209" s="6" t="s">
        <v>2535</v>
      </c>
      <c r="I209" s="6" t="s">
        <v>2536</v>
      </c>
      <c r="J209" s="7" t="s">
        <v>1651</v>
      </c>
      <c r="K209" s="6" t="s">
        <v>1589</v>
      </c>
      <c r="L209" s="6" t="s">
        <v>1603</v>
      </c>
      <c r="M209" s="6" t="s">
        <v>2537</v>
      </c>
      <c r="N209" s="6" t="s">
        <v>1592</v>
      </c>
      <c r="O209" s="6" t="s">
        <v>1593</v>
      </c>
      <c r="P209" s="6" t="s">
        <v>1594</v>
      </c>
      <c r="Q209" s="7" t="s">
        <v>2534</v>
      </c>
      <c r="S209" s="6" t="s">
        <v>1595</v>
      </c>
      <c r="T209" s="6" t="s">
        <v>1596</v>
      </c>
    </row>
    <row r="210">
      <c r="A210" s="7" t="s">
        <v>2244</v>
      </c>
      <c r="B210" s="6" t="s">
        <v>1581</v>
      </c>
      <c r="C210" s="6" t="s">
        <v>2195</v>
      </c>
      <c r="D210" s="7" t="s">
        <v>2538</v>
      </c>
      <c r="E210" s="6" t="s">
        <v>2279</v>
      </c>
      <c r="F210" s="6" t="s">
        <v>2539</v>
      </c>
      <c r="G210" s="6" t="str">
        <f>IFERROR(__xludf.DUMMYFUNCTION("FILTER(RAW_met_lieux_inclusion_numeriq!B:B,RAW_met_lieux_inclusion_numeriq!B:B=F210)"),"#N/A")</f>
        <v>#N/A</v>
      </c>
      <c r="H210" s="6" t="s">
        <v>2540</v>
      </c>
      <c r="I210" s="6" t="s">
        <v>2068</v>
      </c>
      <c r="J210" s="7" t="s">
        <v>1922</v>
      </c>
      <c r="K210" s="6" t="s">
        <v>1589</v>
      </c>
      <c r="L210" s="6" t="s">
        <v>1603</v>
      </c>
      <c r="M210" s="6" t="s">
        <v>2541</v>
      </c>
      <c r="N210" s="6" t="s">
        <v>1592</v>
      </c>
      <c r="O210" s="6" t="s">
        <v>1593</v>
      </c>
      <c r="P210" s="6" t="s">
        <v>1594</v>
      </c>
      <c r="Q210" s="7" t="s">
        <v>2538</v>
      </c>
      <c r="S210" s="6" t="s">
        <v>1595</v>
      </c>
      <c r="T210" s="6" t="s">
        <v>1634</v>
      </c>
    </row>
    <row r="211">
      <c r="A211" s="7" t="s">
        <v>2244</v>
      </c>
      <c r="B211" s="6" t="s">
        <v>1581</v>
      </c>
      <c r="C211" s="6" t="s">
        <v>2195</v>
      </c>
      <c r="D211" s="7" t="s">
        <v>2409</v>
      </c>
      <c r="E211" s="6" t="s">
        <v>2279</v>
      </c>
      <c r="F211" s="6" t="s">
        <v>2542</v>
      </c>
      <c r="G211" s="6" t="str">
        <f>IFERROR(__xludf.DUMMYFUNCTION("FILTER(RAW_met_lieux_inclusion_numeriq!B:B,RAW_met_lieux_inclusion_numeriq!B:B=F211)"),"#N/A")</f>
        <v>#N/A</v>
      </c>
      <c r="H211" s="6" t="s">
        <v>2543</v>
      </c>
      <c r="I211" s="6" t="s">
        <v>2544</v>
      </c>
      <c r="J211" s="7" t="s">
        <v>1832</v>
      </c>
      <c r="K211" s="6" t="s">
        <v>1589</v>
      </c>
      <c r="L211" s="6" t="s">
        <v>1603</v>
      </c>
      <c r="M211" s="6" t="s">
        <v>2411</v>
      </c>
      <c r="N211" s="6" t="s">
        <v>1592</v>
      </c>
      <c r="O211" s="6" t="s">
        <v>1593</v>
      </c>
      <c r="P211" s="6" t="s">
        <v>1594</v>
      </c>
      <c r="Q211" s="7" t="s">
        <v>2409</v>
      </c>
      <c r="S211" s="6" t="s">
        <v>1595</v>
      </c>
      <c r="T211" s="6" t="s">
        <v>1605</v>
      </c>
    </row>
    <row r="212">
      <c r="A212" s="7" t="s">
        <v>2244</v>
      </c>
      <c r="B212" s="6" t="s">
        <v>1581</v>
      </c>
      <c r="C212" s="6" t="s">
        <v>2195</v>
      </c>
      <c r="D212" s="7" t="s">
        <v>2275</v>
      </c>
      <c r="E212" s="6" t="s">
        <v>2545</v>
      </c>
      <c r="F212" s="6" t="s">
        <v>2546</v>
      </c>
      <c r="G212" s="6" t="str">
        <f>IFERROR(__xludf.DUMMYFUNCTION("FILTER(RAW_met_lieux_inclusion_numeriq!B:B,RAW_met_lieux_inclusion_numeriq!B:B=F212)"),"#N/A")</f>
        <v>#N/A</v>
      </c>
      <c r="H212" s="6" t="s">
        <v>2547</v>
      </c>
      <c r="I212" s="6" t="s">
        <v>1601</v>
      </c>
      <c r="J212" s="7" t="s">
        <v>1910</v>
      </c>
      <c r="K212" s="6" t="s">
        <v>1589</v>
      </c>
      <c r="L212" s="6" t="s">
        <v>1603</v>
      </c>
      <c r="M212" s="6" t="s">
        <v>2278</v>
      </c>
      <c r="N212" s="6" t="s">
        <v>1592</v>
      </c>
      <c r="O212" s="6" t="s">
        <v>1593</v>
      </c>
      <c r="P212" s="6" t="s">
        <v>1594</v>
      </c>
      <c r="Q212" s="7" t="s">
        <v>2275</v>
      </c>
      <c r="S212" s="6" t="s">
        <v>1601</v>
      </c>
      <c r="T212" s="6" t="s">
        <v>1634</v>
      </c>
    </row>
    <row r="213">
      <c r="A213" s="7" t="s">
        <v>2244</v>
      </c>
      <c r="B213" s="6" t="s">
        <v>1581</v>
      </c>
      <c r="C213" s="6" t="s">
        <v>2195</v>
      </c>
      <c r="D213" s="7" t="s">
        <v>2283</v>
      </c>
      <c r="E213" s="6" t="s">
        <v>2276</v>
      </c>
      <c r="F213" s="6" t="s">
        <v>2284</v>
      </c>
      <c r="G213" s="6" t="str">
        <f>IFERROR(__xludf.DUMMYFUNCTION("FILTER(RAW_met_lieux_inclusion_numeriq!B:B,RAW_met_lieux_inclusion_numeriq!B:B=F213)"),"#N/A")</f>
        <v>#N/A</v>
      </c>
      <c r="H213" s="6" t="s">
        <v>2285</v>
      </c>
      <c r="I213" s="6" t="s">
        <v>2548</v>
      </c>
      <c r="J213" s="7" t="s">
        <v>1992</v>
      </c>
      <c r="K213" s="6" t="s">
        <v>1589</v>
      </c>
      <c r="L213" s="6" t="s">
        <v>1590</v>
      </c>
      <c r="M213" s="6" t="s">
        <v>2287</v>
      </c>
      <c r="N213" s="6" t="s">
        <v>1592</v>
      </c>
      <c r="O213" s="6" t="s">
        <v>1593</v>
      </c>
      <c r="P213" s="6" t="s">
        <v>1594</v>
      </c>
      <c r="Q213" s="7" t="s">
        <v>2283</v>
      </c>
      <c r="S213" s="6" t="s">
        <v>1595</v>
      </c>
      <c r="T213" s="6" t="s">
        <v>1596</v>
      </c>
    </row>
    <row r="214">
      <c r="A214" s="7" t="s">
        <v>2294</v>
      </c>
      <c r="B214" s="6" t="s">
        <v>1581</v>
      </c>
      <c r="C214" s="6" t="s">
        <v>2195</v>
      </c>
      <c r="D214" s="7" t="s">
        <v>2549</v>
      </c>
      <c r="E214" s="6" t="s">
        <v>2550</v>
      </c>
      <c r="F214" s="6" t="s">
        <v>2551</v>
      </c>
      <c r="G214" s="6" t="str">
        <f>IFERROR(__xludf.DUMMYFUNCTION("FILTER(RAW_met_lieux_inclusion_numeriq!B:B,RAW_met_lieux_inclusion_numeriq!B:B=F214)"),"#N/A")</f>
        <v>#N/A</v>
      </c>
      <c r="H214" s="6" t="s">
        <v>2552</v>
      </c>
      <c r="I214" s="6" t="s">
        <v>2553</v>
      </c>
      <c r="J214" s="7" t="s">
        <v>2193</v>
      </c>
      <c r="K214" s="6" t="s">
        <v>1589</v>
      </c>
      <c r="L214" s="6" t="s">
        <v>1590</v>
      </c>
      <c r="M214" s="6" t="s">
        <v>2554</v>
      </c>
      <c r="N214" s="6" t="s">
        <v>1592</v>
      </c>
      <c r="O214" s="6" t="s">
        <v>1593</v>
      </c>
      <c r="P214" s="6" t="s">
        <v>1594</v>
      </c>
      <c r="Q214" s="7" t="s">
        <v>2549</v>
      </c>
      <c r="S214" s="6" t="s">
        <v>1595</v>
      </c>
      <c r="T214" s="6" t="s">
        <v>1596</v>
      </c>
    </row>
    <row r="215">
      <c r="A215" s="7" t="s">
        <v>2294</v>
      </c>
      <c r="B215" s="6" t="s">
        <v>1581</v>
      </c>
      <c r="C215" s="6" t="s">
        <v>2195</v>
      </c>
      <c r="D215" s="7" t="s">
        <v>2417</v>
      </c>
      <c r="E215" s="6" t="s">
        <v>2424</v>
      </c>
      <c r="F215" s="6" t="s">
        <v>2146</v>
      </c>
      <c r="G215" s="6" t="str">
        <f>IFERROR(__xludf.DUMMYFUNCTION("FILTER(RAW_met_lieux_inclusion_numeriq!B:B,RAW_met_lieux_inclusion_numeriq!B:B=F215)"),"#N/A")</f>
        <v>#N/A</v>
      </c>
      <c r="H215" s="6" t="s">
        <v>2555</v>
      </c>
      <c r="I215" s="6" t="s">
        <v>2556</v>
      </c>
      <c r="J215" s="7" t="s">
        <v>2557</v>
      </c>
      <c r="K215" s="6" t="s">
        <v>1589</v>
      </c>
      <c r="L215" s="6" t="s">
        <v>1603</v>
      </c>
      <c r="M215" s="6" t="s">
        <v>2421</v>
      </c>
      <c r="N215" s="6" t="s">
        <v>1592</v>
      </c>
      <c r="O215" s="6" t="s">
        <v>1593</v>
      </c>
      <c r="P215" s="6" t="s">
        <v>1594</v>
      </c>
      <c r="Q215" s="7" t="s">
        <v>2417</v>
      </c>
      <c r="S215" s="6" t="s">
        <v>1595</v>
      </c>
      <c r="T215" s="6" t="s">
        <v>1605</v>
      </c>
    </row>
    <row r="216">
      <c r="A216" s="7" t="s">
        <v>2294</v>
      </c>
      <c r="B216" s="6" t="s">
        <v>1581</v>
      </c>
      <c r="C216" s="6" t="s">
        <v>2195</v>
      </c>
      <c r="D216" s="7" t="s">
        <v>2558</v>
      </c>
      <c r="E216" s="6" t="s">
        <v>2559</v>
      </c>
      <c r="F216" s="6" t="s">
        <v>2560</v>
      </c>
      <c r="G216" s="6" t="str">
        <f>IFERROR(__xludf.DUMMYFUNCTION("FILTER(RAW_met_lieux_inclusion_numeriq!B:B,RAW_met_lieux_inclusion_numeriq!B:B=F216)"),"#N/A")</f>
        <v>#N/A</v>
      </c>
      <c r="H216" s="6" t="s">
        <v>2561</v>
      </c>
      <c r="I216" s="6" t="s">
        <v>1601</v>
      </c>
      <c r="J216" s="7" t="s">
        <v>1897</v>
      </c>
      <c r="K216" s="6" t="s">
        <v>1589</v>
      </c>
      <c r="L216" s="6" t="s">
        <v>1603</v>
      </c>
      <c r="M216" s="6" t="s">
        <v>2562</v>
      </c>
      <c r="N216" s="6" t="s">
        <v>1592</v>
      </c>
      <c r="O216" s="6" t="s">
        <v>1593</v>
      </c>
      <c r="P216" s="6" t="s">
        <v>1594</v>
      </c>
      <c r="Q216" s="7" t="s">
        <v>2558</v>
      </c>
      <c r="S216" s="6" t="s">
        <v>1601</v>
      </c>
      <c r="T216" s="6" t="s">
        <v>1645</v>
      </c>
    </row>
    <row r="217">
      <c r="A217" s="7" t="s">
        <v>2294</v>
      </c>
      <c r="B217" s="6" t="s">
        <v>1581</v>
      </c>
      <c r="C217" s="6" t="s">
        <v>2195</v>
      </c>
      <c r="D217" s="7" t="s">
        <v>1660</v>
      </c>
      <c r="E217" s="6" t="s">
        <v>1903</v>
      </c>
      <c r="F217" s="6" t="s">
        <v>1796</v>
      </c>
      <c r="G217" s="6" t="str">
        <f>IFERROR(__xludf.DUMMYFUNCTION("FILTER(RAW_met_lieux_inclusion_numeriq!B:B,RAW_met_lieux_inclusion_numeriq!B:B=F217)"),"#N/A")</f>
        <v>#N/A</v>
      </c>
      <c r="H217" s="6" t="s">
        <v>2563</v>
      </c>
      <c r="I217" s="6" t="s">
        <v>2564</v>
      </c>
      <c r="J217" s="7" t="s">
        <v>1905</v>
      </c>
      <c r="K217" s="6" t="s">
        <v>1589</v>
      </c>
      <c r="L217" s="6" t="s">
        <v>1603</v>
      </c>
      <c r="M217" s="6" t="s">
        <v>1666</v>
      </c>
      <c r="N217" s="6" t="s">
        <v>1592</v>
      </c>
      <c r="O217" s="6" t="s">
        <v>1593</v>
      </c>
      <c r="P217" s="6" t="s">
        <v>1594</v>
      </c>
      <c r="Q217" s="7" t="s">
        <v>1660</v>
      </c>
      <c r="S217" s="6" t="s">
        <v>1595</v>
      </c>
      <c r="T217" s="6" t="s">
        <v>1605</v>
      </c>
    </row>
    <row r="218">
      <c r="A218" s="7" t="s">
        <v>2294</v>
      </c>
      <c r="B218" s="6" t="s">
        <v>1581</v>
      </c>
      <c r="C218" s="6" t="s">
        <v>2195</v>
      </c>
      <c r="D218" s="7" t="s">
        <v>1725</v>
      </c>
      <c r="E218" s="6" t="s">
        <v>2565</v>
      </c>
      <c r="F218" s="6" t="s">
        <v>2566</v>
      </c>
      <c r="G218" s="6" t="str">
        <f>IFERROR(__xludf.DUMMYFUNCTION("FILTER(RAW_met_lieux_inclusion_numeriq!B:B,RAW_met_lieux_inclusion_numeriq!B:B=F218)"),"#N/A")</f>
        <v>#N/A</v>
      </c>
      <c r="H218" s="6" t="s">
        <v>2567</v>
      </c>
      <c r="I218" s="6" t="s">
        <v>2568</v>
      </c>
      <c r="J218" s="7" t="s">
        <v>1671</v>
      </c>
      <c r="K218" s="6" t="s">
        <v>1589</v>
      </c>
      <c r="L218" s="6" t="s">
        <v>1603</v>
      </c>
      <c r="M218" s="6" t="s">
        <v>1729</v>
      </c>
      <c r="N218" s="6" t="s">
        <v>1592</v>
      </c>
      <c r="O218" s="6" t="s">
        <v>1593</v>
      </c>
      <c r="P218" s="6" t="s">
        <v>1594</v>
      </c>
      <c r="Q218" s="7" t="s">
        <v>1725</v>
      </c>
      <c r="S218" s="6" t="s">
        <v>1595</v>
      </c>
      <c r="T218" s="6" t="s">
        <v>1596</v>
      </c>
    </row>
    <row r="219">
      <c r="A219" s="7" t="s">
        <v>2294</v>
      </c>
      <c r="B219" s="6" t="s">
        <v>1581</v>
      </c>
      <c r="C219" s="6" t="s">
        <v>2195</v>
      </c>
      <c r="D219" s="7" t="s">
        <v>1725</v>
      </c>
      <c r="E219" s="6" t="s">
        <v>2565</v>
      </c>
      <c r="F219" s="6" t="s">
        <v>2569</v>
      </c>
      <c r="G219" s="6" t="str">
        <f>IFERROR(__xludf.DUMMYFUNCTION("FILTER(RAW_met_lieux_inclusion_numeriq!B:B,RAW_met_lieux_inclusion_numeriq!B:B=F219)"),"#N/A")</f>
        <v>#N/A</v>
      </c>
      <c r="H219" s="6" t="s">
        <v>2570</v>
      </c>
      <c r="I219" s="6" t="s">
        <v>2568</v>
      </c>
      <c r="J219" s="7" t="s">
        <v>1671</v>
      </c>
      <c r="K219" s="6" t="s">
        <v>1589</v>
      </c>
      <c r="L219" s="6" t="s">
        <v>1603</v>
      </c>
      <c r="M219" s="6" t="s">
        <v>1729</v>
      </c>
      <c r="N219" s="6" t="s">
        <v>1592</v>
      </c>
      <c r="O219" s="6" t="s">
        <v>1593</v>
      </c>
      <c r="P219" s="6" t="s">
        <v>1594</v>
      </c>
      <c r="Q219" s="7" t="s">
        <v>1725</v>
      </c>
      <c r="S219" s="6" t="s">
        <v>1595</v>
      </c>
      <c r="T219" s="6" t="s">
        <v>1596</v>
      </c>
    </row>
    <row r="220">
      <c r="A220" s="7" t="s">
        <v>2314</v>
      </c>
      <c r="B220" s="6" t="s">
        <v>1581</v>
      </c>
      <c r="C220" s="6" t="s">
        <v>2195</v>
      </c>
      <c r="D220" s="7" t="s">
        <v>2304</v>
      </c>
      <c r="E220" s="6" t="s">
        <v>2310</v>
      </c>
      <c r="F220" s="6" t="s">
        <v>2571</v>
      </c>
      <c r="G220" s="6" t="str">
        <f>IFERROR(__xludf.DUMMYFUNCTION("FILTER(RAW_met_lieux_inclusion_numeriq!B:B,RAW_met_lieux_inclusion_numeriq!B:B=F220)"),"#N/A")</f>
        <v>#N/A</v>
      </c>
      <c r="H220" s="6" t="s">
        <v>2572</v>
      </c>
      <c r="I220" s="6" t="s">
        <v>2573</v>
      </c>
      <c r="J220" s="7" t="s">
        <v>1880</v>
      </c>
      <c r="K220" s="6" t="s">
        <v>1589</v>
      </c>
      <c r="L220" s="6" t="s">
        <v>1603</v>
      </c>
      <c r="M220" s="6" t="s">
        <v>2309</v>
      </c>
      <c r="N220" s="6" t="s">
        <v>1592</v>
      </c>
      <c r="O220" s="6" t="s">
        <v>1593</v>
      </c>
      <c r="P220" s="6" t="s">
        <v>1594</v>
      </c>
      <c r="Q220" s="7" t="s">
        <v>2304</v>
      </c>
      <c r="S220" s="6" t="s">
        <v>1595</v>
      </c>
      <c r="T220" s="6" t="s">
        <v>1596</v>
      </c>
    </row>
    <row r="221">
      <c r="A221" s="7" t="s">
        <v>2314</v>
      </c>
      <c r="B221" s="6" t="s">
        <v>1581</v>
      </c>
      <c r="C221" s="6" t="s">
        <v>2195</v>
      </c>
      <c r="D221" s="7" t="s">
        <v>2574</v>
      </c>
      <c r="E221" s="6" t="s">
        <v>2323</v>
      </c>
      <c r="F221" s="6" t="s">
        <v>1674</v>
      </c>
      <c r="G221" s="6" t="str">
        <f>IFERROR(__xludf.DUMMYFUNCTION("FILTER(RAW_met_lieux_inclusion_numeriq!B:B,RAW_met_lieux_inclusion_numeriq!B:B=F221)"),"#N/A")</f>
        <v>#N/A</v>
      </c>
      <c r="H221" s="6" t="s">
        <v>2513</v>
      </c>
      <c r="I221" s="6" t="s">
        <v>1710</v>
      </c>
      <c r="J221" s="7" t="s">
        <v>2575</v>
      </c>
      <c r="K221" s="6" t="s">
        <v>1589</v>
      </c>
      <c r="L221" s="6" t="s">
        <v>1590</v>
      </c>
      <c r="M221" s="6" t="s">
        <v>2576</v>
      </c>
      <c r="N221" s="6" t="s">
        <v>1592</v>
      </c>
      <c r="O221" s="6" t="s">
        <v>1593</v>
      </c>
      <c r="P221" s="6" t="s">
        <v>1594</v>
      </c>
      <c r="Q221" s="7" t="s">
        <v>2574</v>
      </c>
      <c r="S221" s="6" t="s">
        <v>1710</v>
      </c>
      <c r="T221" s="6" t="s">
        <v>1596</v>
      </c>
    </row>
    <row r="222">
      <c r="A222" s="7" t="s">
        <v>2314</v>
      </c>
      <c r="B222" s="6" t="s">
        <v>1581</v>
      </c>
      <c r="C222" s="6" t="s">
        <v>2195</v>
      </c>
      <c r="D222" s="7" t="s">
        <v>2577</v>
      </c>
      <c r="E222" s="6" t="s">
        <v>2323</v>
      </c>
      <c r="F222" s="6" t="s">
        <v>2121</v>
      </c>
      <c r="G222" s="6" t="str">
        <f>IFERROR(__xludf.DUMMYFUNCTION("FILTER(RAW_met_lieux_inclusion_numeriq!B:B,RAW_met_lieux_inclusion_numeriq!B:B=F222)"),"#N/A")</f>
        <v>#N/A</v>
      </c>
      <c r="H222" s="6" t="s">
        <v>2578</v>
      </c>
      <c r="I222" s="6" t="s">
        <v>1710</v>
      </c>
      <c r="J222" s="7" t="s">
        <v>2579</v>
      </c>
      <c r="K222" s="6" t="s">
        <v>1589</v>
      </c>
      <c r="L222" s="6" t="s">
        <v>1603</v>
      </c>
      <c r="M222" s="6" t="s">
        <v>2580</v>
      </c>
      <c r="N222" s="6" t="s">
        <v>1592</v>
      </c>
      <c r="O222" s="6" t="s">
        <v>1593</v>
      </c>
      <c r="P222" s="6" t="s">
        <v>1594</v>
      </c>
      <c r="Q222" s="7" t="s">
        <v>2577</v>
      </c>
      <c r="S222" s="6" t="s">
        <v>1710</v>
      </c>
      <c r="T222" s="6" t="s">
        <v>1605</v>
      </c>
    </row>
    <row r="223">
      <c r="A223" s="7" t="s">
        <v>2314</v>
      </c>
      <c r="B223" s="6" t="s">
        <v>1581</v>
      </c>
      <c r="C223" s="6" t="s">
        <v>2195</v>
      </c>
      <c r="D223" s="7" t="s">
        <v>2577</v>
      </c>
      <c r="E223" s="6" t="s">
        <v>2323</v>
      </c>
      <c r="F223" s="6" t="s">
        <v>2143</v>
      </c>
      <c r="G223" s="6" t="str">
        <f>IFERROR(__xludf.DUMMYFUNCTION("FILTER(RAW_met_lieux_inclusion_numeriq!B:B,RAW_met_lieux_inclusion_numeriq!B:B=F223)"),"#N/A")</f>
        <v>#N/A</v>
      </c>
      <c r="H223" s="6" t="s">
        <v>2581</v>
      </c>
      <c r="I223" s="6" t="s">
        <v>1710</v>
      </c>
      <c r="J223" s="7" t="s">
        <v>2582</v>
      </c>
      <c r="K223" s="6" t="s">
        <v>1589</v>
      </c>
      <c r="L223" s="6" t="s">
        <v>1590</v>
      </c>
      <c r="M223" s="6" t="s">
        <v>2580</v>
      </c>
      <c r="N223" s="6" t="s">
        <v>1592</v>
      </c>
      <c r="O223" s="6" t="s">
        <v>1593</v>
      </c>
      <c r="P223" s="6" t="s">
        <v>1594</v>
      </c>
      <c r="Q223" s="7" t="s">
        <v>2577</v>
      </c>
      <c r="S223" s="6" t="s">
        <v>1710</v>
      </c>
      <c r="T223" s="6" t="s">
        <v>1596</v>
      </c>
    </row>
    <row r="224">
      <c r="A224" s="7" t="s">
        <v>2314</v>
      </c>
      <c r="B224" s="6" t="s">
        <v>1581</v>
      </c>
      <c r="C224" s="6" t="s">
        <v>2195</v>
      </c>
      <c r="D224" s="7" t="s">
        <v>2583</v>
      </c>
      <c r="E224" s="6" t="s">
        <v>2584</v>
      </c>
      <c r="F224" s="6" t="s">
        <v>1629</v>
      </c>
      <c r="G224" s="6" t="str">
        <f>IFERROR(__xludf.DUMMYFUNCTION("FILTER(RAW_met_lieux_inclusion_numeriq!B:B,RAW_met_lieux_inclusion_numeriq!B:B=F224)"),"#N/A")</f>
        <v>#N/A</v>
      </c>
      <c r="H224" s="6" t="s">
        <v>2585</v>
      </c>
      <c r="I224" s="6" t="s">
        <v>2586</v>
      </c>
      <c r="J224" s="7" t="s">
        <v>1588</v>
      </c>
      <c r="K224" s="6" t="s">
        <v>1589</v>
      </c>
      <c r="L224" s="6" t="s">
        <v>1590</v>
      </c>
      <c r="M224" s="6" t="s">
        <v>2587</v>
      </c>
      <c r="N224" s="6" t="s">
        <v>1592</v>
      </c>
      <c r="O224" s="6" t="s">
        <v>1593</v>
      </c>
      <c r="P224" s="6" t="s">
        <v>1594</v>
      </c>
      <c r="Q224" s="7" t="s">
        <v>2583</v>
      </c>
      <c r="S224" s="6" t="s">
        <v>1595</v>
      </c>
      <c r="T224" s="6" t="s">
        <v>1596</v>
      </c>
    </row>
    <row r="225">
      <c r="A225" s="7" t="s">
        <v>2332</v>
      </c>
      <c r="B225" s="6" t="s">
        <v>1581</v>
      </c>
      <c r="C225" s="6" t="s">
        <v>2195</v>
      </c>
      <c r="D225" s="7" t="s">
        <v>2333</v>
      </c>
      <c r="E225" s="6" t="s">
        <v>2334</v>
      </c>
      <c r="F225" s="6" t="s">
        <v>2018</v>
      </c>
      <c r="G225" s="6" t="str">
        <f>IFERROR(__xludf.DUMMYFUNCTION("FILTER(RAW_met_lieux_inclusion_numeriq!B:B,RAW_met_lieux_inclusion_numeriq!B:B=F225)"),"#N/A")</f>
        <v>#N/A</v>
      </c>
      <c r="H225" s="6" t="s">
        <v>2588</v>
      </c>
      <c r="I225" s="6" t="s">
        <v>2337</v>
      </c>
      <c r="J225" s="7" t="s">
        <v>2455</v>
      </c>
      <c r="K225" s="6" t="s">
        <v>1589</v>
      </c>
      <c r="L225" s="6" t="s">
        <v>1590</v>
      </c>
      <c r="M225" s="6" t="s">
        <v>2339</v>
      </c>
      <c r="N225" s="6" t="s">
        <v>1592</v>
      </c>
      <c r="O225" s="6" t="s">
        <v>1593</v>
      </c>
      <c r="P225" s="6" t="s">
        <v>1594</v>
      </c>
      <c r="Q225" s="7" t="s">
        <v>2333</v>
      </c>
      <c r="S225" s="6" t="s">
        <v>1595</v>
      </c>
      <c r="T225" s="6" t="s">
        <v>1596</v>
      </c>
    </row>
    <row r="226">
      <c r="A226" s="7" t="s">
        <v>2332</v>
      </c>
      <c r="B226" s="6" t="s">
        <v>1581</v>
      </c>
      <c r="C226" s="6" t="s">
        <v>2195</v>
      </c>
      <c r="D226" s="7" t="s">
        <v>2466</v>
      </c>
      <c r="E226" s="6" t="s">
        <v>2276</v>
      </c>
      <c r="F226" s="6" t="s">
        <v>1825</v>
      </c>
      <c r="G226" s="6" t="str">
        <f>IFERROR(__xludf.DUMMYFUNCTION("FILTER(RAW_met_lieux_inclusion_numeriq!B:B,RAW_met_lieux_inclusion_numeriq!B:B=F226)"),"#N/A")</f>
        <v>#N/A</v>
      </c>
      <c r="H226" s="6" t="s">
        <v>2467</v>
      </c>
      <c r="I226" s="6" t="s">
        <v>2589</v>
      </c>
      <c r="J226" s="7" t="s">
        <v>2330</v>
      </c>
      <c r="K226" s="6" t="s">
        <v>1589</v>
      </c>
      <c r="L226" s="6" t="s">
        <v>1603</v>
      </c>
      <c r="M226" s="6" t="s">
        <v>2468</v>
      </c>
      <c r="N226" s="6" t="s">
        <v>1592</v>
      </c>
      <c r="O226" s="6" t="s">
        <v>1593</v>
      </c>
      <c r="P226" s="6" t="s">
        <v>1594</v>
      </c>
      <c r="Q226" s="7" t="s">
        <v>2466</v>
      </c>
      <c r="S226" s="6" t="s">
        <v>1595</v>
      </c>
      <c r="T226" s="6" t="s">
        <v>1596</v>
      </c>
    </row>
    <row r="227">
      <c r="A227" s="7" t="s">
        <v>2332</v>
      </c>
      <c r="B227" s="6" t="s">
        <v>1581</v>
      </c>
      <c r="C227" s="6" t="s">
        <v>2195</v>
      </c>
      <c r="D227" s="7" t="s">
        <v>2590</v>
      </c>
      <c r="E227" s="6" t="s">
        <v>2591</v>
      </c>
      <c r="F227" s="6" t="s">
        <v>1984</v>
      </c>
      <c r="G227" s="6" t="str">
        <f>IFERROR(__xludf.DUMMYFUNCTION("FILTER(RAW_met_lieux_inclusion_numeriq!B:B,RAW_met_lieux_inclusion_numeriq!B:B=F227)"),"#N/A")</f>
        <v>#N/A</v>
      </c>
      <c r="H227" s="6" t="s">
        <v>2277</v>
      </c>
      <c r="I227" s="6" t="s">
        <v>2592</v>
      </c>
      <c r="J227" s="7" t="s">
        <v>1671</v>
      </c>
      <c r="K227" s="6" t="s">
        <v>1589</v>
      </c>
      <c r="L227" s="6" t="s">
        <v>1590</v>
      </c>
      <c r="M227" s="6" t="s">
        <v>2593</v>
      </c>
      <c r="N227" s="6" t="s">
        <v>1592</v>
      </c>
      <c r="O227" s="6" t="s">
        <v>1593</v>
      </c>
      <c r="P227" s="6" t="s">
        <v>1594</v>
      </c>
      <c r="Q227" s="7" t="s">
        <v>2590</v>
      </c>
      <c r="S227" s="6" t="s">
        <v>1595</v>
      </c>
      <c r="T227" s="6" t="s">
        <v>1596</v>
      </c>
    </row>
    <row r="228">
      <c r="A228" s="7" t="s">
        <v>2332</v>
      </c>
      <c r="B228" s="6" t="s">
        <v>1581</v>
      </c>
      <c r="C228" s="6" t="s">
        <v>2195</v>
      </c>
      <c r="D228" s="7" t="s">
        <v>2594</v>
      </c>
      <c r="E228" s="6" t="s">
        <v>2595</v>
      </c>
      <c r="F228" s="6" t="s">
        <v>2596</v>
      </c>
      <c r="G228" s="6" t="str">
        <f>IFERROR(__xludf.DUMMYFUNCTION("FILTER(RAW_met_lieux_inclusion_numeriq!B:B,RAW_met_lieux_inclusion_numeriq!B:B=F228)"),"#N/A")</f>
        <v>#N/A</v>
      </c>
      <c r="H228" s="6" t="s">
        <v>2597</v>
      </c>
      <c r="I228" s="6" t="s">
        <v>1601</v>
      </c>
      <c r="J228" s="7" t="s">
        <v>1677</v>
      </c>
      <c r="K228" s="6" t="s">
        <v>1589</v>
      </c>
      <c r="L228" s="6" t="s">
        <v>1603</v>
      </c>
      <c r="M228" s="6" t="s">
        <v>2598</v>
      </c>
      <c r="N228" s="6" t="s">
        <v>1592</v>
      </c>
      <c r="O228" s="6" t="s">
        <v>1593</v>
      </c>
      <c r="P228" s="6" t="s">
        <v>1594</v>
      </c>
      <c r="Q228" s="7" t="s">
        <v>2594</v>
      </c>
      <c r="S228" s="6" t="s">
        <v>1601</v>
      </c>
      <c r="T228" s="6" t="s">
        <v>1605</v>
      </c>
    </row>
    <row r="229">
      <c r="A229" s="7" t="s">
        <v>2332</v>
      </c>
      <c r="B229" s="6" t="s">
        <v>1581</v>
      </c>
      <c r="C229" s="6" t="s">
        <v>2195</v>
      </c>
      <c r="D229" s="7" t="s">
        <v>2599</v>
      </c>
      <c r="E229" s="6" t="s">
        <v>2424</v>
      </c>
      <c r="F229" s="6" t="s">
        <v>1815</v>
      </c>
      <c r="G229" s="6" t="str">
        <f>IFERROR(__xludf.DUMMYFUNCTION("FILTER(RAW_met_lieux_inclusion_numeriq!B:B,RAW_met_lieux_inclusion_numeriq!B:B=F229)"),"#N/A")</f>
        <v>#N/A</v>
      </c>
      <c r="H229" s="6" t="s">
        <v>2600</v>
      </c>
      <c r="I229" s="6" t="s">
        <v>1601</v>
      </c>
      <c r="J229" s="7" t="s">
        <v>1818</v>
      </c>
      <c r="K229" s="6" t="s">
        <v>1589</v>
      </c>
      <c r="L229" s="6" t="s">
        <v>1590</v>
      </c>
      <c r="M229" s="6" t="s">
        <v>2601</v>
      </c>
      <c r="N229" s="6" t="s">
        <v>1592</v>
      </c>
      <c r="O229" s="6" t="s">
        <v>1593</v>
      </c>
      <c r="P229" s="6" t="s">
        <v>1594</v>
      </c>
      <c r="Q229" s="7" t="s">
        <v>2599</v>
      </c>
      <c r="S229" s="6" t="s">
        <v>1601</v>
      </c>
      <c r="T229" s="6" t="s">
        <v>1596</v>
      </c>
    </row>
    <row r="230">
      <c r="A230" s="7" t="s">
        <v>2332</v>
      </c>
      <c r="B230" s="6" t="s">
        <v>1581</v>
      </c>
      <c r="C230" s="6" t="s">
        <v>2195</v>
      </c>
      <c r="D230" s="7" t="s">
        <v>2602</v>
      </c>
      <c r="E230" s="6" t="s">
        <v>2603</v>
      </c>
      <c r="F230" s="6" t="s">
        <v>2272</v>
      </c>
      <c r="G230" s="6" t="str">
        <f>IFERROR(__xludf.DUMMYFUNCTION("FILTER(RAW_met_lieux_inclusion_numeriq!B:B,RAW_met_lieux_inclusion_numeriq!B:B=F230)"),"#N/A")</f>
        <v>#N/A</v>
      </c>
      <c r="H230" s="6" t="s">
        <v>2273</v>
      </c>
      <c r="I230" s="6" t="s">
        <v>1601</v>
      </c>
      <c r="J230" s="7" t="s">
        <v>1651</v>
      </c>
      <c r="K230" s="6" t="s">
        <v>1589</v>
      </c>
      <c r="L230" s="6" t="s">
        <v>1590</v>
      </c>
      <c r="M230" s="6" t="s">
        <v>2604</v>
      </c>
      <c r="N230" s="6" t="s">
        <v>1592</v>
      </c>
      <c r="O230" s="6" t="s">
        <v>1593</v>
      </c>
      <c r="P230" s="6" t="s">
        <v>1594</v>
      </c>
      <c r="Q230" s="7" t="s">
        <v>2602</v>
      </c>
      <c r="S230" s="6" t="s">
        <v>1601</v>
      </c>
      <c r="T230" s="6" t="s">
        <v>1596</v>
      </c>
    </row>
    <row r="231">
      <c r="A231" s="7" t="s">
        <v>2485</v>
      </c>
      <c r="B231" s="6" t="s">
        <v>1581</v>
      </c>
      <c r="C231" s="6" t="s">
        <v>2195</v>
      </c>
      <c r="D231" s="7" t="s">
        <v>2486</v>
      </c>
      <c r="E231" s="6" t="s">
        <v>2605</v>
      </c>
      <c r="F231" s="6" t="s">
        <v>2606</v>
      </c>
      <c r="G231" s="6" t="str">
        <f>IFERROR(__xludf.DUMMYFUNCTION("FILTER(RAW_met_lieux_inclusion_numeriq!B:B,RAW_met_lieux_inclusion_numeriq!B:B=F231)"),"#N/A")</f>
        <v>#N/A</v>
      </c>
      <c r="H231" s="6" t="s">
        <v>2607</v>
      </c>
      <c r="I231" s="6" t="s">
        <v>2490</v>
      </c>
      <c r="J231" s="7" t="s">
        <v>2608</v>
      </c>
      <c r="K231" s="6" t="s">
        <v>1589</v>
      </c>
      <c r="L231" s="6" t="s">
        <v>1603</v>
      </c>
      <c r="M231" s="6" t="s">
        <v>2491</v>
      </c>
      <c r="N231" s="6" t="s">
        <v>1592</v>
      </c>
      <c r="O231" s="6" t="s">
        <v>1593</v>
      </c>
      <c r="P231" s="6" t="s">
        <v>1594</v>
      </c>
      <c r="Q231" s="7" t="s">
        <v>2486</v>
      </c>
      <c r="S231" s="6" t="s">
        <v>1595</v>
      </c>
      <c r="T231" s="6" t="s">
        <v>1634</v>
      </c>
    </row>
    <row r="232">
      <c r="A232" s="7" t="s">
        <v>2485</v>
      </c>
      <c r="B232" s="6" t="s">
        <v>1581</v>
      </c>
      <c r="C232" s="6" t="s">
        <v>1582</v>
      </c>
      <c r="D232" s="7" t="s">
        <v>2609</v>
      </c>
      <c r="E232" s="6" t="s">
        <v>2610</v>
      </c>
      <c r="F232" s="6" t="s">
        <v>2335</v>
      </c>
      <c r="G232" s="6" t="str">
        <f>IFERROR(__xludf.DUMMYFUNCTION("FILTER(RAW_met_lieux_inclusion_numeriq!B:B,RAW_met_lieux_inclusion_numeriq!B:B=F232)"),"#N/A")</f>
        <v>#N/A</v>
      </c>
      <c r="H232" s="6" t="s">
        <v>2611</v>
      </c>
      <c r="I232" s="6" t="s">
        <v>2612</v>
      </c>
      <c r="J232" s="7" t="s">
        <v>2613</v>
      </c>
      <c r="K232" s="6" t="s">
        <v>1589</v>
      </c>
      <c r="L232" s="6" t="s">
        <v>1603</v>
      </c>
      <c r="M232" s="6" t="s">
        <v>2614</v>
      </c>
      <c r="N232" s="6" t="s">
        <v>1592</v>
      </c>
      <c r="O232" s="6" t="s">
        <v>1593</v>
      </c>
      <c r="P232" s="6" t="s">
        <v>1594</v>
      </c>
      <c r="Q232" s="7" t="s">
        <v>2609</v>
      </c>
      <c r="S232" s="6" t="s">
        <v>1595</v>
      </c>
      <c r="T232" s="6" t="s">
        <v>1596</v>
      </c>
    </row>
    <row r="233">
      <c r="A233" s="7" t="s">
        <v>2485</v>
      </c>
      <c r="B233" s="6" t="s">
        <v>1581</v>
      </c>
      <c r="C233" s="6" t="s">
        <v>1582</v>
      </c>
      <c r="D233" s="7" t="s">
        <v>2615</v>
      </c>
      <c r="E233" s="6" t="s">
        <v>2616</v>
      </c>
      <c r="F233" s="6" t="s">
        <v>2617</v>
      </c>
      <c r="G233" s="6" t="str">
        <f>IFERROR(__xludf.DUMMYFUNCTION("FILTER(RAW_met_lieux_inclusion_numeriq!B:B,RAW_met_lieux_inclusion_numeriq!B:B=F233)"),"#N/A")</f>
        <v>#N/A</v>
      </c>
      <c r="H233" s="6" t="s">
        <v>2618</v>
      </c>
      <c r="I233" s="6" t="s">
        <v>1601</v>
      </c>
      <c r="J233" s="7" t="s">
        <v>2619</v>
      </c>
      <c r="K233" s="6" t="s">
        <v>1589</v>
      </c>
      <c r="L233" s="6" t="s">
        <v>1603</v>
      </c>
      <c r="M233" s="6" t="s">
        <v>2620</v>
      </c>
      <c r="N233" s="6" t="s">
        <v>1592</v>
      </c>
      <c r="O233" s="6" t="s">
        <v>1593</v>
      </c>
      <c r="P233" s="6" t="s">
        <v>1594</v>
      </c>
      <c r="Q233" s="7" t="s">
        <v>2615</v>
      </c>
      <c r="S233" s="6" t="s">
        <v>1601</v>
      </c>
      <c r="T233" s="6" t="s">
        <v>1634</v>
      </c>
    </row>
    <row r="234">
      <c r="A234" s="7" t="s">
        <v>2485</v>
      </c>
      <c r="B234" s="6" t="s">
        <v>1581</v>
      </c>
      <c r="C234" s="6" t="s">
        <v>1582</v>
      </c>
      <c r="D234" s="7" t="s">
        <v>2621</v>
      </c>
      <c r="E234" s="6" t="s">
        <v>2622</v>
      </c>
      <c r="F234" s="6" t="s">
        <v>1977</v>
      </c>
      <c r="G234" s="6" t="str">
        <f>IFERROR(__xludf.DUMMYFUNCTION("FILTER(RAW_met_lieux_inclusion_numeriq!B:B,RAW_met_lieux_inclusion_numeriq!B:B=F234)"),"#N/A")</f>
        <v>#N/A</v>
      </c>
      <c r="H234" s="6" t="s">
        <v>2623</v>
      </c>
      <c r="I234" s="6" t="s">
        <v>2530</v>
      </c>
      <c r="J234" s="7" t="s">
        <v>1980</v>
      </c>
      <c r="K234" s="6" t="s">
        <v>1589</v>
      </c>
      <c r="L234" s="6" t="s">
        <v>1603</v>
      </c>
      <c r="M234" s="6" t="s">
        <v>2624</v>
      </c>
      <c r="N234" s="6" t="s">
        <v>1592</v>
      </c>
      <c r="O234" s="6" t="s">
        <v>1593</v>
      </c>
      <c r="P234" s="6" t="s">
        <v>1594</v>
      </c>
      <c r="Q234" s="7" t="s">
        <v>2621</v>
      </c>
      <c r="S234" s="6" t="s">
        <v>1595</v>
      </c>
      <c r="T234" s="6" t="s">
        <v>1596</v>
      </c>
    </row>
    <row r="235">
      <c r="A235" s="7" t="s">
        <v>2485</v>
      </c>
      <c r="B235" s="6" t="s">
        <v>1581</v>
      </c>
      <c r="C235" s="6" t="s">
        <v>1582</v>
      </c>
      <c r="D235" s="7" t="s">
        <v>2625</v>
      </c>
      <c r="E235" s="6" t="s">
        <v>2626</v>
      </c>
      <c r="F235" s="6" t="s">
        <v>2627</v>
      </c>
      <c r="G235" s="6" t="str">
        <f>IFERROR(__xludf.DUMMYFUNCTION("FILTER(RAW_met_lieux_inclusion_numeriq!B:B,RAW_met_lieux_inclusion_numeriq!B:B=F235)"),"#N/A")</f>
        <v>#N/A</v>
      </c>
      <c r="H235" s="6" t="s">
        <v>2628</v>
      </c>
      <c r="I235" s="6" t="s">
        <v>2629</v>
      </c>
      <c r="J235" s="7" t="s">
        <v>2630</v>
      </c>
      <c r="K235" s="6" t="s">
        <v>1589</v>
      </c>
      <c r="L235" s="6" t="s">
        <v>1590</v>
      </c>
      <c r="M235" s="6" t="s">
        <v>2631</v>
      </c>
      <c r="N235" s="6" t="s">
        <v>1592</v>
      </c>
      <c r="O235" s="6" t="s">
        <v>1593</v>
      </c>
      <c r="P235" s="6" t="s">
        <v>1594</v>
      </c>
      <c r="Q235" s="7" t="s">
        <v>2625</v>
      </c>
      <c r="S235" s="6" t="s">
        <v>1595</v>
      </c>
      <c r="T235" s="6" t="s">
        <v>1645</v>
      </c>
    </row>
    <row r="236">
      <c r="A236" s="7" t="s">
        <v>2485</v>
      </c>
      <c r="B236" s="6" t="s">
        <v>1581</v>
      </c>
      <c r="C236" s="6" t="s">
        <v>1582</v>
      </c>
      <c r="D236" s="7" t="s">
        <v>2492</v>
      </c>
      <c r="E236" s="6" t="s">
        <v>2622</v>
      </c>
      <c r="F236" s="6" t="s">
        <v>1674</v>
      </c>
      <c r="G236" s="6" t="str">
        <f>IFERROR(__xludf.DUMMYFUNCTION("FILTER(RAW_met_lieux_inclusion_numeriq!B:B,RAW_met_lieux_inclusion_numeriq!B:B=F236)"),"#N/A")</f>
        <v>#N/A</v>
      </c>
      <c r="H236" s="6" t="s">
        <v>1713</v>
      </c>
      <c r="I236" s="6" t="s">
        <v>2632</v>
      </c>
      <c r="J236" s="7" t="s">
        <v>1677</v>
      </c>
      <c r="K236" s="6" t="s">
        <v>1589</v>
      </c>
      <c r="L236" s="6" t="s">
        <v>1603</v>
      </c>
      <c r="M236" s="6" t="s">
        <v>2496</v>
      </c>
      <c r="N236" s="6" t="s">
        <v>1592</v>
      </c>
      <c r="O236" s="6" t="s">
        <v>1593</v>
      </c>
      <c r="P236" s="6" t="s">
        <v>1594</v>
      </c>
      <c r="Q236" s="7" t="s">
        <v>2492</v>
      </c>
      <c r="S236" s="6" t="s">
        <v>1595</v>
      </c>
      <c r="T236" s="6" t="s">
        <v>1605</v>
      </c>
    </row>
    <row r="237">
      <c r="A237" s="7" t="s">
        <v>2633</v>
      </c>
      <c r="B237" s="6" t="s">
        <v>1581</v>
      </c>
      <c r="C237" s="6" t="s">
        <v>1582</v>
      </c>
      <c r="D237" s="7" t="s">
        <v>2634</v>
      </c>
      <c r="E237" s="6" t="s">
        <v>2635</v>
      </c>
      <c r="F237" s="6" t="s">
        <v>1942</v>
      </c>
      <c r="G237" s="6" t="str">
        <f>IFERROR(__xludf.DUMMYFUNCTION("FILTER(RAW_met_lieux_inclusion_numeriq!B:B,RAW_met_lieux_inclusion_numeriq!B:B=F237)"),"#N/A")</f>
        <v>#N/A</v>
      </c>
      <c r="H237" s="6" t="s">
        <v>1943</v>
      </c>
      <c r="I237" s="6" t="s">
        <v>1601</v>
      </c>
      <c r="J237" s="7" t="s">
        <v>2636</v>
      </c>
      <c r="K237" s="6" t="s">
        <v>1589</v>
      </c>
      <c r="L237" s="6" t="s">
        <v>1590</v>
      </c>
      <c r="M237" s="6" t="s">
        <v>2637</v>
      </c>
      <c r="N237" s="6" t="s">
        <v>1592</v>
      </c>
      <c r="O237" s="6" t="s">
        <v>1593</v>
      </c>
      <c r="P237" s="6" t="s">
        <v>1594</v>
      </c>
      <c r="Q237" s="7" t="s">
        <v>2634</v>
      </c>
      <c r="S237" s="6" t="s">
        <v>1601</v>
      </c>
      <c r="T237" s="6" t="s">
        <v>1596</v>
      </c>
    </row>
    <row r="238">
      <c r="A238" s="7" t="s">
        <v>2633</v>
      </c>
      <c r="B238" s="6" t="s">
        <v>1581</v>
      </c>
      <c r="C238" s="6" t="s">
        <v>1582</v>
      </c>
      <c r="D238" s="7" t="s">
        <v>2638</v>
      </c>
      <c r="E238" s="6" t="s">
        <v>2622</v>
      </c>
      <c r="F238" s="6" t="s">
        <v>1655</v>
      </c>
      <c r="G238" s="6" t="str">
        <f>IFERROR(__xludf.DUMMYFUNCTION("FILTER(RAW_met_lieux_inclusion_numeriq!B:B,RAW_met_lieux_inclusion_numeriq!B:B=F238)"),"#N/A")</f>
        <v>#N/A</v>
      </c>
      <c r="H238" s="6" t="s">
        <v>1656</v>
      </c>
      <c r="I238" s="6" t="s">
        <v>1601</v>
      </c>
      <c r="J238" s="7" t="s">
        <v>1658</v>
      </c>
      <c r="K238" s="6" t="s">
        <v>1589</v>
      </c>
      <c r="L238" s="6" t="s">
        <v>1603</v>
      </c>
      <c r="M238" s="6" t="s">
        <v>2639</v>
      </c>
      <c r="N238" s="6" t="s">
        <v>1592</v>
      </c>
      <c r="O238" s="6" t="s">
        <v>1593</v>
      </c>
      <c r="P238" s="6" t="s">
        <v>1594</v>
      </c>
      <c r="Q238" s="7" t="s">
        <v>2638</v>
      </c>
      <c r="S238" s="6" t="s">
        <v>1601</v>
      </c>
      <c r="T238" s="6" t="s">
        <v>1605</v>
      </c>
    </row>
    <row r="239">
      <c r="A239" s="7" t="s">
        <v>2633</v>
      </c>
      <c r="B239" s="6" t="s">
        <v>1581</v>
      </c>
      <c r="C239" s="6" t="s">
        <v>1582</v>
      </c>
      <c r="D239" s="7" t="s">
        <v>2640</v>
      </c>
      <c r="E239" s="6" t="s">
        <v>2276</v>
      </c>
      <c r="F239" s="6" t="s">
        <v>2641</v>
      </c>
      <c r="G239" s="6" t="str">
        <f>IFERROR(__xludf.DUMMYFUNCTION("FILTER(RAW_met_lieux_inclusion_numeriq!B:B,RAW_met_lieux_inclusion_numeriq!B:B=F239)"),"#N/A")</f>
        <v>#N/A</v>
      </c>
      <c r="H239" s="6" t="s">
        <v>2642</v>
      </c>
      <c r="I239" s="6" t="s">
        <v>1601</v>
      </c>
      <c r="J239" s="7" t="s">
        <v>1957</v>
      </c>
      <c r="K239" s="6" t="s">
        <v>1589</v>
      </c>
      <c r="L239" s="6" t="s">
        <v>1603</v>
      </c>
      <c r="M239" s="6" t="s">
        <v>2643</v>
      </c>
      <c r="N239" s="6" t="s">
        <v>1592</v>
      </c>
      <c r="O239" s="6" t="s">
        <v>1593</v>
      </c>
      <c r="P239" s="6" t="s">
        <v>1594</v>
      </c>
      <c r="Q239" s="7" t="s">
        <v>2640</v>
      </c>
      <c r="S239" s="6" t="s">
        <v>1601</v>
      </c>
      <c r="T239" s="6" t="s">
        <v>1605</v>
      </c>
    </row>
    <row r="240">
      <c r="A240" s="7" t="s">
        <v>2633</v>
      </c>
      <c r="B240" s="6" t="s">
        <v>1581</v>
      </c>
      <c r="C240" s="6" t="s">
        <v>1582</v>
      </c>
      <c r="D240" s="7" t="s">
        <v>2644</v>
      </c>
      <c r="E240" s="6" t="s">
        <v>2622</v>
      </c>
      <c r="F240" s="6" t="s">
        <v>2645</v>
      </c>
      <c r="G240" s="6" t="str">
        <f>IFERROR(__xludf.DUMMYFUNCTION("FILTER(RAW_met_lieux_inclusion_numeriq!B:B,RAW_met_lieux_inclusion_numeriq!B:B=F240)"),"#N/A")</f>
        <v>#N/A</v>
      </c>
      <c r="H240" s="6" t="s">
        <v>2646</v>
      </c>
      <c r="I240" s="6" t="s">
        <v>1601</v>
      </c>
      <c r="J240" s="7" t="s">
        <v>1671</v>
      </c>
      <c r="K240" s="6" t="s">
        <v>1589</v>
      </c>
      <c r="L240" s="6" t="s">
        <v>1603</v>
      </c>
      <c r="M240" s="6" t="s">
        <v>2647</v>
      </c>
      <c r="N240" s="6" t="s">
        <v>1592</v>
      </c>
      <c r="O240" s="6" t="s">
        <v>1593</v>
      </c>
      <c r="P240" s="6" t="s">
        <v>1594</v>
      </c>
      <c r="Q240" s="7" t="s">
        <v>2644</v>
      </c>
      <c r="S240" s="6" t="s">
        <v>1601</v>
      </c>
      <c r="T240" s="6" t="s">
        <v>1596</v>
      </c>
    </row>
    <row r="241">
      <c r="A241" s="7" t="s">
        <v>2633</v>
      </c>
      <c r="B241" s="6" t="s">
        <v>1581</v>
      </c>
      <c r="C241" s="6" t="s">
        <v>1582</v>
      </c>
      <c r="D241" s="7" t="s">
        <v>2648</v>
      </c>
      <c r="E241" s="6" t="s">
        <v>2649</v>
      </c>
      <c r="F241" s="6" t="s">
        <v>2650</v>
      </c>
      <c r="G241" s="6" t="str">
        <f>IFERROR(__xludf.DUMMYFUNCTION("FILTER(RAW_met_lieux_inclusion_numeriq!B:B,RAW_met_lieux_inclusion_numeriq!B:B=F241)"),"#N/A")</f>
        <v>#N/A</v>
      </c>
      <c r="H241" s="6" t="s">
        <v>2651</v>
      </c>
      <c r="I241" s="6" t="s">
        <v>2652</v>
      </c>
      <c r="J241" s="7" t="s">
        <v>1665</v>
      </c>
      <c r="K241" s="6" t="s">
        <v>1589</v>
      </c>
      <c r="L241" s="6" t="s">
        <v>1603</v>
      </c>
      <c r="M241" s="6" t="s">
        <v>2653</v>
      </c>
      <c r="N241" s="6" t="s">
        <v>1592</v>
      </c>
      <c r="O241" s="6" t="s">
        <v>1593</v>
      </c>
      <c r="P241" s="6" t="s">
        <v>1594</v>
      </c>
      <c r="Q241" s="7" t="s">
        <v>2648</v>
      </c>
      <c r="S241" s="6" t="s">
        <v>1595</v>
      </c>
      <c r="T241" s="6" t="s">
        <v>1596</v>
      </c>
    </row>
    <row r="242">
      <c r="A242" s="7" t="s">
        <v>2633</v>
      </c>
      <c r="B242" s="6" t="s">
        <v>1581</v>
      </c>
      <c r="C242" s="6" t="s">
        <v>1582</v>
      </c>
      <c r="D242" s="7" t="s">
        <v>2654</v>
      </c>
      <c r="E242" s="6" t="s">
        <v>2655</v>
      </c>
      <c r="F242" s="6" t="s">
        <v>2656</v>
      </c>
      <c r="G242" s="6" t="str">
        <f>IFERROR(__xludf.DUMMYFUNCTION("FILTER(RAW_met_lieux_inclusion_numeriq!B:B,RAW_met_lieux_inclusion_numeriq!B:B=F242)"),"#N/A")</f>
        <v>#N/A</v>
      </c>
      <c r="H242" s="6" t="s">
        <v>2657</v>
      </c>
      <c r="I242" s="6" t="s">
        <v>2658</v>
      </c>
      <c r="J242" s="7" t="s">
        <v>2659</v>
      </c>
      <c r="K242" s="6" t="s">
        <v>1589</v>
      </c>
      <c r="L242" s="6" t="s">
        <v>1590</v>
      </c>
      <c r="M242" s="6" t="s">
        <v>2660</v>
      </c>
      <c r="N242" s="6" t="s">
        <v>1592</v>
      </c>
      <c r="O242" s="6" t="s">
        <v>1593</v>
      </c>
      <c r="P242" s="6" t="s">
        <v>1594</v>
      </c>
      <c r="Q242" s="7" t="s">
        <v>2654</v>
      </c>
      <c r="S242" s="6" t="s">
        <v>1595</v>
      </c>
      <c r="T242" s="6" t="s">
        <v>1596</v>
      </c>
    </row>
    <row r="243">
      <c r="A243" s="7" t="s">
        <v>2633</v>
      </c>
      <c r="B243" s="6" t="s">
        <v>1581</v>
      </c>
      <c r="C243" s="6" t="s">
        <v>1582</v>
      </c>
      <c r="D243" s="7" t="s">
        <v>2661</v>
      </c>
      <c r="E243" s="6" t="s">
        <v>2662</v>
      </c>
      <c r="F243" s="6" t="s">
        <v>2663</v>
      </c>
      <c r="G243" s="6" t="str">
        <f>IFERROR(__xludf.DUMMYFUNCTION("FILTER(RAW_met_lieux_inclusion_numeriq!B:B,RAW_met_lieux_inclusion_numeriq!B:B=F243)"),"#N/A")</f>
        <v>#N/A</v>
      </c>
      <c r="H243" s="6" t="s">
        <v>2664</v>
      </c>
      <c r="I243" s="6" t="s">
        <v>1601</v>
      </c>
      <c r="J243" s="7" t="s">
        <v>2400</v>
      </c>
      <c r="K243" s="6" t="s">
        <v>1589</v>
      </c>
      <c r="L243" s="6" t="s">
        <v>1603</v>
      </c>
      <c r="M243" s="6" t="s">
        <v>2665</v>
      </c>
      <c r="N243" s="6" t="s">
        <v>1592</v>
      </c>
      <c r="O243" s="6" t="s">
        <v>1593</v>
      </c>
      <c r="P243" s="6" t="s">
        <v>1594</v>
      </c>
      <c r="Q243" s="7" t="s">
        <v>2661</v>
      </c>
      <c r="S243" s="6" t="s">
        <v>1601</v>
      </c>
      <c r="T243" s="6" t="s">
        <v>1605</v>
      </c>
    </row>
    <row r="244">
      <c r="A244" s="7" t="s">
        <v>2633</v>
      </c>
      <c r="B244" s="6" t="s">
        <v>1581</v>
      </c>
      <c r="C244" s="6" t="s">
        <v>1582</v>
      </c>
      <c r="D244" s="7" t="s">
        <v>2666</v>
      </c>
      <c r="E244" s="6" t="s">
        <v>2667</v>
      </c>
      <c r="F244" s="6" t="s">
        <v>2668</v>
      </c>
      <c r="G244" s="6" t="str">
        <f>IFERROR(__xludf.DUMMYFUNCTION("FILTER(RAW_met_lieux_inclusion_numeriq!B:B,RAW_met_lieux_inclusion_numeriq!B:B=F244)"),"#N/A")</f>
        <v>#N/A</v>
      </c>
      <c r="H244" s="6" t="s">
        <v>2094</v>
      </c>
      <c r="I244" s="6" t="s">
        <v>2522</v>
      </c>
      <c r="J244" s="7" t="s">
        <v>1752</v>
      </c>
      <c r="K244" s="6" t="s">
        <v>1589</v>
      </c>
      <c r="L244" s="6" t="s">
        <v>1603</v>
      </c>
      <c r="M244" s="6" t="s">
        <v>2669</v>
      </c>
      <c r="N244" s="6" t="s">
        <v>1592</v>
      </c>
      <c r="O244" s="6" t="s">
        <v>1593</v>
      </c>
      <c r="P244" s="6" t="s">
        <v>1594</v>
      </c>
      <c r="Q244" s="7" t="s">
        <v>2666</v>
      </c>
      <c r="S244" s="6" t="s">
        <v>1595</v>
      </c>
      <c r="T244" s="6" t="s">
        <v>1605</v>
      </c>
    </row>
    <row r="245">
      <c r="A245" s="7" t="s">
        <v>2633</v>
      </c>
      <c r="B245" s="6" t="s">
        <v>1581</v>
      </c>
      <c r="C245" s="6" t="s">
        <v>1582</v>
      </c>
      <c r="D245" s="7" t="s">
        <v>2670</v>
      </c>
      <c r="E245" s="6" t="s">
        <v>2671</v>
      </c>
      <c r="F245" s="6" t="s">
        <v>2462</v>
      </c>
      <c r="G245" s="6" t="str">
        <f>IFERROR(__xludf.DUMMYFUNCTION("FILTER(RAW_met_lieux_inclusion_numeriq!B:B,RAW_met_lieux_inclusion_numeriq!B:B=F245)"),"#N/A")</f>
        <v>#N/A</v>
      </c>
      <c r="H245" s="6" t="s">
        <v>1915</v>
      </c>
      <c r="I245" s="6" t="s">
        <v>1601</v>
      </c>
      <c r="J245" s="7" t="s">
        <v>2672</v>
      </c>
      <c r="K245" s="6" t="s">
        <v>1589</v>
      </c>
      <c r="L245" s="6" t="s">
        <v>1603</v>
      </c>
      <c r="M245" s="6" t="s">
        <v>2673</v>
      </c>
      <c r="N245" s="6" t="s">
        <v>1592</v>
      </c>
      <c r="O245" s="6" t="s">
        <v>1593</v>
      </c>
      <c r="P245" s="6" t="s">
        <v>1594</v>
      </c>
      <c r="Q245" s="7" t="s">
        <v>2670</v>
      </c>
      <c r="S245" s="6" t="s">
        <v>1601</v>
      </c>
      <c r="T245" s="6" t="s">
        <v>1605</v>
      </c>
    </row>
    <row r="246">
      <c r="A246" s="7" t="s">
        <v>2633</v>
      </c>
      <c r="B246" s="6" t="s">
        <v>1581</v>
      </c>
      <c r="C246" s="6" t="s">
        <v>1582</v>
      </c>
      <c r="D246" s="7" t="s">
        <v>2674</v>
      </c>
      <c r="E246" s="6" t="s">
        <v>2675</v>
      </c>
      <c r="F246" s="6" t="s">
        <v>2676</v>
      </c>
      <c r="G246" s="6" t="str">
        <f>IFERROR(__xludf.DUMMYFUNCTION("FILTER(RAW_met_lieux_inclusion_numeriq!B:B,RAW_met_lieux_inclusion_numeriq!B:B=F246)"),"#N/A")</f>
        <v>#N/A</v>
      </c>
      <c r="H246" s="6" t="s">
        <v>2677</v>
      </c>
      <c r="I246" s="6" t="s">
        <v>2678</v>
      </c>
      <c r="J246" s="7" t="s">
        <v>1671</v>
      </c>
      <c r="K246" s="6" t="s">
        <v>1589</v>
      </c>
      <c r="L246" s="6" t="s">
        <v>1603</v>
      </c>
      <c r="M246" s="6" t="s">
        <v>2679</v>
      </c>
      <c r="N246" s="6" t="s">
        <v>1592</v>
      </c>
      <c r="O246" s="6" t="s">
        <v>1593</v>
      </c>
      <c r="P246" s="6" t="s">
        <v>1594</v>
      </c>
      <c r="Q246" s="7" t="s">
        <v>2674</v>
      </c>
      <c r="S246" s="6" t="s">
        <v>1595</v>
      </c>
      <c r="T246" s="6" t="s">
        <v>1596</v>
      </c>
    </row>
    <row r="247">
      <c r="A247" s="7" t="s">
        <v>2633</v>
      </c>
      <c r="B247" s="6" t="s">
        <v>1581</v>
      </c>
      <c r="C247" s="6" t="s">
        <v>1582</v>
      </c>
      <c r="D247" s="7" t="s">
        <v>2674</v>
      </c>
      <c r="E247" s="6" t="s">
        <v>2649</v>
      </c>
      <c r="F247" s="6" t="s">
        <v>2676</v>
      </c>
      <c r="G247" s="6" t="str">
        <f>IFERROR(__xludf.DUMMYFUNCTION("FILTER(RAW_met_lieux_inclusion_numeriq!B:B,RAW_met_lieux_inclusion_numeriq!B:B=F247)"),"#N/A")</f>
        <v>#N/A</v>
      </c>
      <c r="H247" s="6" t="s">
        <v>2677</v>
      </c>
      <c r="I247" s="6" t="s">
        <v>2680</v>
      </c>
      <c r="J247" s="7" t="s">
        <v>1651</v>
      </c>
      <c r="K247" s="6" t="s">
        <v>1589</v>
      </c>
      <c r="L247" s="6" t="s">
        <v>1603</v>
      </c>
      <c r="M247" s="6" t="s">
        <v>2679</v>
      </c>
      <c r="N247" s="6" t="s">
        <v>1592</v>
      </c>
      <c r="O247" s="6" t="s">
        <v>1593</v>
      </c>
      <c r="P247" s="6" t="s">
        <v>1594</v>
      </c>
      <c r="Q247" s="7" t="s">
        <v>2674</v>
      </c>
      <c r="S247" s="6" t="s">
        <v>1595</v>
      </c>
      <c r="T247" s="6" t="s">
        <v>1596</v>
      </c>
    </row>
    <row r="248">
      <c r="A248" s="7" t="s">
        <v>2633</v>
      </c>
      <c r="B248" s="6" t="s">
        <v>1581</v>
      </c>
      <c r="C248" s="6" t="s">
        <v>1582</v>
      </c>
      <c r="D248" s="7" t="s">
        <v>2681</v>
      </c>
      <c r="E248" s="6" t="s">
        <v>2667</v>
      </c>
      <c r="F248" s="6" t="s">
        <v>2176</v>
      </c>
      <c r="G248" s="6" t="str">
        <f>IFERROR(__xludf.DUMMYFUNCTION("FILTER(RAW_met_lieux_inclusion_numeriq!B:B,RAW_met_lieux_inclusion_numeriq!B:B=F248)"),"#N/A")</f>
        <v>#N/A</v>
      </c>
      <c r="H248" s="6" t="s">
        <v>2177</v>
      </c>
      <c r="I248" s="6" t="s">
        <v>2423</v>
      </c>
      <c r="J248" s="7" t="s">
        <v>2179</v>
      </c>
      <c r="K248" s="6" t="s">
        <v>1589</v>
      </c>
      <c r="L248" s="6" t="s">
        <v>1603</v>
      </c>
      <c r="M248" s="6" t="s">
        <v>2682</v>
      </c>
      <c r="N248" s="6" t="s">
        <v>1592</v>
      </c>
      <c r="O248" s="6" t="s">
        <v>1593</v>
      </c>
      <c r="P248" s="6" t="s">
        <v>1594</v>
      </c>
      <c r="Q248" s="7" t="s">
        <v>2681</v>
      </c>
      <c r="S248" s="6" t="s">
        <v>1595</v>
      </c>
      <c r="T248" s="6" t="s">
        <v>1596</v>
      </c>
    </row>
    <row r="249">
      <c r="A249" s="7" t="s">
        <v>2633</v>
      </c>
      <c r="B249" s="6" t="s">
        <v>1581</v>
      </c>
      <c r="C249" s="6" t="s">
        <v>1582</v>
      </c>
      <c r="D249" s="7" t="s">
        <v>2683</v>
      </c>
      <c r="E249" s="6" t="s">
        <v>2684</v>
      </c>
      <c r="F249" s="6" t="s">
        <v>2606</v>
      </c>
      <c r="G249" s="6" t="str">
        <f>IFERROR(__xludf.DUMMYFUNCTION("FILTER(RAW_met_lieux_inclusion_numeriq!B:B,RAW_met_lieux_inclusion_numeriq!B:B=F249)"),"#N/A")</f>
        <v>#N/A</v>
      </c>
      <c r="H249" s="6" t="s">
        <v>2685</v>
      </c>
      <c r="I249" s="6" t="s">
        <v>1601</v>
      </c>
      <c r="J249" s="7" t="s">
        <v>1992</v>
      </c>
      <c r="K249" s="6" t="s">
        <v>1589</v>
      </c>
      <c r="L249" s="6" t="s">
        <v>1603</v>
      </c>
      <c r="M249" s="6" t="s">
        <v>2686</v>
      </c>
      <c r="N249" s="6" t="s">
        <v>1592</v>
      </c>
      <c r="O249" s="6" t="s">
        <v>1593</v>
      </c>
      <c r="P249" s="6" t="s">
        <v>1594</v>
      </c>
      <c r="Q249" s="7" t="s">
        <v>2687</v>
      </c>
      <c r="S249" s="6" t="s">
        <v>1601</v>
      </c>
      <c r="T249" s="6" t="s">
        <v>1596</v>
      </c>
    </row>
    <row r="250">
      <c r="A250" s="7" t="s">
        <v>2633</v>
      </c>
      <c r="B250" s="6" t="s">
        <v>1581</v>
      </c>
      <c r="C250" s="6" t="s">
        <v>1582</v>
      </c>
      <c r="D250" s="7" t="s">
        <v>2688</v>
      </c>
      <c r="E250" s="6" t="s">
        <v>2667</v>
      </c>
      <c r="F250" s="6" t="s">
        <v>2167</v>
      </c>
      <c r="G250" s="6" t="str">
        <f>IFERROR(__xludf.DUMMYFUNCTION("FILTER(RAW_met_lieux_inclusion_numeriq!B:B,RAW_met_lieux_inclusion_numeriq!B:B=F250)"),"#N/A")</f>
        <v>#N/A</v>
      </c>
      <c r="H250" s="6" t="s">
        <v>2168</v>
      </c>
      <c r="I250" s="6" t="s">
        <v>2169</v>
      </c>
      <c r="J250" s="7" t="s">
        <v>2170</v>
      </c>
      <c r="K250" s="6" t="s">
        <v>1589</v>
      </c>
      <c r="L250" s="6" t="s">
        <v>1603</v>
      </c>
      <c r="M250" s="6" t="s">
        <v>2689</v>
      </c>
      <c r="N250" s="6" t="s">
        <v>1592</v>
      </c>
      <c r="O250" s="6" t="s">
        <v>1593</v>
      </c>
      <c r="P250" s="6" t="s">
        <v>1594</v>
      </c>
      <c r="Q250" s="7" t="s">
        <v>2688</v>
      </c>
      <c r="S250" s="6" t="s">
        <v>1595</v>
      </c>
      <c r="T250" s="6" t="s">
        <v>1634</v>
      </c>
    </row>
    <row r="251">
      <c r="A251" s="7" t="s">
        <v>2633</v>
      </c>
      <c r="B251" s="6" t="s">
        <v>1581</v>
      </c>
      <c r="C251" s="6" t="s">
        <v>1582</v>
      </c>
      <c r="D251" s="7" t="s">
        <v>2690</v>
      </c>
      <c r="E251" s="6" t="s">
        <v>2691</v>
      </c>
      <c r="F251" s="6" t="s">
        <v>1767</v>
      </c>
      <c r="G251" s="6" t="str">
        <f>IFERROR(__xludf.DUMMYFUNCTION("FILTER(RAW_met_lieux_inclusion_numeriq!B:B,RAW_met_lieux_inclusion_numeriq!B:B=F251)"),"#N/A")</f>
        <v>#N/A</v>
      </c>
      <c r="H251" s="6" t="s">
        <v>1768</v>
      </c>
      <c r="I251" s="6" t="s">
        <v>1601</v>
      </c>
      <c r="J251" s="7" t="s">
        <v>2440</v>
      </c>
      <c r="K251" s="6" t="s">
        <v>1589</v>
      </c>
      <c r="L251" s="6" t="s">
        <v>1603</v>
      </c>
      <c r="M251" s="6" t="s">
        <v>2692</v>
      </c>
      <c r="N251" s="6" t="s">
        <v>1592</v>
      </c>
      <c r="O251" s="6" t="s">
        <v>1593</v>
      </c>
      <c r="P251" s="6" t="s">
        <v>1594</v>
      </c>
      <c r="Q251" s="7" t="s">
        <v>2690</v>
      </c>
      <c r="S251" s="6" t="s">
        <v>1601</v>
      </c>
      <c r="T251" s="6" t="s">
        <v>1634</v>
      </c>
    </row>
    <row r="252">
      <c r="A252" s="7" t="s">
        <v>2633</v>
      </c>
      <c r="B252" s="6" t="s">
        <v>1581</v>
      </c>
      <c r="C252" s="6" t="s">
        <v>1582</v>
      </c>
      <c r="D252" s="7" t="s">
        <v>2693</v>
      </c>
      <c r="E252" s="6" t="s">
        <v>2694</v>
      </c>
      <c r="F252" s="6" t="s">
        <v>1681</v>
      </c>
      <c r="G252" s="6" t="str">
        <f>IFERROR(__xludf.DUMMYFUNCTION("FILTER(RAW_met_lieux_inclusion_numeriq!B:B,RAW_met_lieux_inclusion_numeriq!B:B=F252)"),"#N/A")</f>
        <v>#N/A</v>
      </c>
      <c r="H252" s="6" t="s">
        <v>1682</v>
      </c>
      <c r="I252" s="6" t="s">
        <v>2695</v>
      </c>
      <c r="J252" s="7" t="s">
        <v>2696</v>
      </c>
      <c r="K252" s="6" t="s">
        <v>1589</v>
      </c>
      <c r="L252" s="6" t="s">
        <v>1603</v>
      </c>
      <c r="M252" s="6" t="s">
        <v>2697</v>
      </c>
      <c r="N252" s="6" t="s">
        <v>1592</v>
      </c>
      <c r="O252" s="6" t="s">
        <v>1593</v>
      </c>
      <c r="P252" s="6" t="s">
        <v>1594</v>
      </c>
      <c r="Q252" s="7" t="s">
        <v>2693</v>
      </c>
      <c r="S252" s="6" t="s">
        <v>1595</v>
      </c>
      <c r="T252" s="6" t="s">
        <v>1605</v>
      </c>
    </row>
    <row r="253">
      <c r="A253" s="7" t="s">
        <v>2633</v>
      </c>
      <c r="B253" s="6" t="s">
        <v>1581</v>
      </c>
      <c r="C253" s="6" t="s">
        <v>1582</v>
      </c>
      <c r="D253" s="7" t="s">
        <v>2698</v>
      </c>
      <c r="E253" s="6" t="s">
        <v>2699</v>
      </c>
      <c r="F253" s="6" t="s">
        <v>2700</v>
      </c>
      <c r="G253" s="6" t="str">
        <f>IFERROR(__xludf.DUMMYFUNCTION("FILTER(RAW_met_lieux_inclusion_numeriq!B:B,RAW_met_lieux_inclusion_numeriq!B:B=F253)"),"#N/A")</f>
        <v>#N/A</v>
      </c>
      <c r="H253" s="6" t="s">
        <v>2701</v>
      </c>
      <c r="I253" s="6" t="s">
        <v>2702</v>
      </c>
      <c r="J253" s="7" t="s">
        <v>1671</v>
      </c>
      <c r="K253" s="6" t="s">
        <v>1589</v>
      </c>
      <c r="L253" s="6" t="s">
        <v>1603</v>
      </c>
      <c r="M253" s="6" t="s">
        <v>2703</v>
      </c>
      <c r="N253" s="6" t="s">
        <v>1592</v>
      </c>
      <c r="O253" s="6" t="s">
        <v>1593</v>
      </c>
      <c r="P253" s="6" t="s">
        <v>1594</v>
      </c>
      <c r="Q253" s="7" t="s">
        <v>2698</v>
      </c>
      <c r="S253" s="6" t="s">
        <v>1595</v>
      </c>
      <c r="T253" s="6" t="s">
        <v>1596</v>
      </c>
    </row>
    <row r="254">
      <c r="A254" s="7" t="s">
        <v>2633</v>
      </c>
      <c r="B254" s="6" t="s">
        <v>1581</v>
      </c>
      <c r="C254" s="6" t="s">
        <v>1582</v>
      </c>
      <c r="D254" s="7" t="s">
        <v>2704</v>
      </c>
      <c r="E254" s="6" t="s">
        <v>2705</v>
      </c>
      <c r="F254" s="6" t="s">
        <v>2706</v>
      </c>
      <c r="G254" s="6" t="str">
        <f>IFERROR(__xludf.DUMMYFUNCTION("FILTER(RAW_met_lieux_inclusion_numeriq!B:B,RAW_met_lieux_inclusion_numeriq!B:B=F254)"),"#N/A")</f>
        <v>#N/A</v>
      </c>
      <c r="H254" s="6" t="s">
        <v>2707</v>
      </c>
      <c r="I254" s="6" t="s">
        <v>2708</v>
      </c>
      <c r="J254" s="7" t="s">
        <v>2709</v>
      </c>
      <c r="K254" s="6" t="s">
        <v>1589</v>
      </c>
      <c r="L254" s="6" t="s">
        <v>1603</v>
      </c>
      <c r="M254" s="6" t="s">
        <v>2710</v>
      </c>
      <c r="N254" s="6" t="s">
        <v>1592</v>
      </c>
      <c r="O254" s="6" t="s">
        <v>1593</v>
      </c>
      <c r="P254" s="6" t="s">
        <v>1594</v>
      </c>
      <c r="Q254" s="7" t="s">
        <v>2704</v>
      </c>
      <c r="S254" s="6" t="s">
        <v>1595</v>
      </c>
      <c r="T254" s="6" t="s">
        <v>1645</v>
      </c>
    </row>
    <row r="255">
      <c r="A255" s="7" t="s">
        <v>2633</v>
      </c>
      <c r="B255" s="6" t="s">
        <v>1581</v>
      </c>
      <c r="C255" s="6" t="s">
        <v>1582</v>
      </c>
      <c r="D255" s="7" t="s">
        <v>2711</v>
      </c>
      <c r="E255" s="6" t="s">
        <v>2712</v>
      </c>
      <c r="F255" s="6" t="s">
        <v>2713</v>
      </c>
      <c r="G255" s="6" t="str">
        <f>IFERROR(__xludf.DUMMYFUNCTION("FILTER(RAW_met_lieux_inclusion_numeriq!B:B,RAW_met_lieux_inclusion_numeriq!B:B=F255)"),"#N/A")</f>
        <v>#N/A</v>
      </c>
      <c r="H255" s="6" t="s">
        <v>2714</v>
      </c>
      <c r="I255" s="6" t="s">
        <v>2715</v>
      </c>
      <c r="J255" s="7" t="s">
        <v>2716</v>
      </c>
      <c r="K255" s="6" t="s">
        <v>1589</v>
      </c>
      <c r="L255" s="6" t="s">
        <v>1603</v>
      </c>
      <c r="M255" s="6" t="s">
        <v>2717</v>
      </c>
      <c r="N255" s="6" t="s">
        <v>1592</v>
      </c>
      <c r="O255" s="6" t="s">
        <v>1593</v>
      </c>
      <c r="P255" s="6" t="s">
        <v>1594</v>
      </c>
      <c r="Q255" s="7" t="s">
        <v>2711</v>
      </c>
      <c r="S255" s="6" t="s">
        <v>1595</v>
      </c>
      <c r="T255" s="6" t="s">
        <v>1605</v>
      </c>
    </row>
    <row r="256">
      <c r="A256" s="7" t="s">
        <v>2633</v>
      </c>
      <c r="B256" s="6" t="s">
        <v>1581</v>
      </c>
      <c r="C256" s="6" t="s">
        <v>1582</v>
      </c>
      <c r="D256" s="7" t="s">
        <v>2718</v>
      </c>
      <c r="E256" s="6" t="s">
        <v>2719</v>
      </c>
      <c r="F256" s="6" t="s">
        <v>2720</v>
      </c>
      <c r="G256" s="6" t="str">
        <f>IFERROR(__xludf.DUMMYFUNCTION("FILTER(RAW_met_lieux_inclusion_numeriq!B:B,RAW_met_lieux_inclusion_numeriq!B:B=F256)"),"#N/A")</f>
        <v>#N/A</v>
      </c>
      <c r="H256" s="6" t="s">
        <v>2721</v>
      </c>
      <c r="I256" s="6" t="s">
        <v>1631</v>
      </c>
      <c r="J256" s="7" t="s">
        <v>1698</v>
      </c>
      <c r="K256" s="6" t="s">
        <v>1589</v>
      </c>
      <c r="L256" s="6" t="s">
        <v>1603</v>
      </c>
      <c r="M256" s="6" t="s">
        <v>2722</v>
      </c>
      <c r="N256" s="6" t="s">
        <v>1592</v>
      </c>
      <c r="O256" s="6" t="s">
        <v>1593</v>
      </c>
      <c r="P256" s="6" t="s">
        <v>1594</v>
      </c>
      <c r="Q256" s="7" t="s">
        <v>2718</v>
      </c>
      <c r="S256" s="6" t="s">
        <v>1595</v>
      </c>
      <c r="T256" s="6" t="s">
        <v>1596</v>
      </c>
    </row>
    <row r="257">
      <c r="A257" s="7" t="s">
        <v>2633</v>
      </c>
      <c r="B257" s="6" t="s">
        <v>1581</v>
      </c>
      <c r="C257" s="6" t="s">
        <v>1582</v>
      </c>
      <c r="D257" s="7" t="s">
        <v>2723</v>
      </c>
      <c r="E257" s="6" t="s">
        <v>2724</v>
      </c>
      <c r="F257" s="6" t="s">
        <v>2725</v>
      </c>
      <c r="G257" s="6" t="str">
        <f>IFERROR(__xludf.DUMMYFUNCTION("FILTER(RAW_met_lieux_inclusion_numeriq!B:B,RAW_met_lieux_inclusion_numeriq!B:B=F257)"),"#N/A")</f>
        <v>#N/A</v>
      </c>
      <c r="H257" s="6" t="s">
        <v>2726</v>
      </c>
      <c r="I257" s="6" t="s">
        <v>1601</v>
      </c>
      <c r="J257" s="7" t="s">
        <v>1588</v>
      </c>
      <c r="K257" s="6" t="s">
        <v>1589</v>
      </c>
      <c r="L257" s="6" t="s">
        <v>1603</v>
      </c>
      <c r="M257" s="6" t="s">
        <v>2727</v>
      </c>
      <c r="N257" s="6" t="s">
        <v>1592</v>
      </c>
      <c r="O257" s="6" t="s">
        <v>1593</v>
      </c>
      <c r="P257" s="6" t="s">
        <v>1594</v>
      </c>
      <c r="Q257" s="7" t="s">
        <v>2723</v>
      </c>
      <c r="S257" s="6" t="s">
        <v>1601</v>
      </c>
      <c r="T257" s="6" t="s">
        <v>1596</v>
      </c>
    </row>
    <row r="258">
      <c r="A258" s="7" t="s">
        <v>2633</v>
      </c>
      <c r="B258" s="6" t="s">
        <v>1581</v>
      </c>
      <c r="C258" s="6" t="s">
        <v>1582</v>
      </c>
      <c r="D258" s="7" t="s">
        <v>2728</v>
      </c>
      <c r="E258" s="6" t="s">
        <v>2729</v>
      </c>
      <c r="F258" s="6" t="s">
        <v>2161</v>
      </c>
      <c r="G258" s="6" t="str">
        <f>IFERROR(__xludf.DUMMYFUNCTION("FILTER(RAW_met_lieux_inclusion_numeriq!B:B,RAW_met_lieux_inclusion_numeriq!B:B=F258)"),"#N/A")</f>
        <v>#N/A</v>
      </c>
      <c r="H258" s="6" t="s">
        <v>2162</v>
      </c>
      <c r="I258" s="6" t="s">
        <v>1601</v>
      </c>
      <c r="J258" s="7" t="s">
        <v>2163</v>
      </c>
      <c r="K258" s="6" t="s">
        <v>1589</v>
      </c>
      <c r="L258" s="6" t="s">
        <v>1603</v>
      </c>
      <c r="M258" s="6" t="s">
        <v>2730</v>
      </c>
      <c r="N258" s="6" t="s">
        <v>1592</v>
      </c>
      <c r="O258" s="6" t="s">
        <v>1593</v>
      </c>
      <c r="P258" s="6" t="s">
        <v>1594</v>
      </c>
      <c r="Q258" s="7" t="s">
        <v>2728</v>
      </c>
      <c r="S258" s="6" t="s">
        <v>1601</v>
      </c>
      <c r="T258" s="6" t="s">
        <v>1634</v>
      </c>
    </row>
    <row r="259">
      <c r="A259" s="7" t="s">
        <v>2633</v>
      </c>
      <c r="B259" s="6" t="s">
        <v>1581</v>
      </c>
      <c r="C259" s="6" t="s">
        <v>1582</v>
      </c>
      <c r="D259" s="7" t="s">
        <v>2731</v>
      </c>
      <c r="E259" s="6" t="s">
        <v>2732</v>
      </c>
      <c r="F259" s="6" t="s">
        <v>1825</v>
      </c>
      <c r="G259" s="6" t="str">
        <f>IFERROR(__xludf.DUMMYFUNCTION("FILTER(RAW_met_lieux_inclusion_numeriq!B:B,RAW_met_lieux_inclusion_numeriq!B:B=F259)"),"#N/A")</f>
        <v>#N/A</v>
      </c>
      <c r="H259" s="6" t="s">
        <v>1959</v>
      </c>
      <c r="I259" s="6" t="s">
        <v>2733</v>
      </c>
      <c r="J259" s="7" t="s">
        <v>1870</v>
      </c>
      <c r="K259" s="6" t="s">
        <v>1589</v>
      </c>
      <c r="L259" s="6" t="s">
        <v>1603</v>
      </c>
      <c r="M259" s="6" t="s">
        <v>2734</v>
      </c>
      <c r="N259" s="6" t="s">
        <v>1592</v>
      </c>
      <c r="O259" s="6" t="s">
        <v>1593</v>
      </c>
      <c r="P259" s="6" t="s">
        <v>1594</v>
      </c>
      <c r="Q259" s="7" t="s">
        <v>2731</v>
      </c>
      <c r="S259" s="6" t="s">
        <v>1595</v>
      </c>
      <c r="T259" s="6" t="s">
        <v>1634</v>
      </c>
    </row>
    <row r="260">
      <c r="A260" s="7" t="s">
        <v>2633</v>
      </c>
      <c r="B260" s="6" t="s">
        <v>1581</v>
      </c>
      <c r="C260" s="6" t="s">
        <v>1582</v>
      </c>
      <c r="D260" s="7" t="s">
        <v>2735</v>
      </c>
      <c r="E260" s="6" t="s">
        <v>2736</v>
      </c>
      <c r="F260" s="6" t="s">
        <v>1801</v>
      </c>
      <c r="G260" s="6" t="str">
        <f>IFERROR(__xludf.DUMMYFUNCTION("FILTER(RAW_met_lieux_inclusion_numeriq!B:B,RAW_met_lieux_inclusion_numeriq!B:B=F260)"),"#N/A")</f>
        <v>#N/A</v>
      </c>
      <c r="H260" s="6" t="s">
        <v>2737</v>
      </c>
      <c r="I260" s="6" t="s">
        <v>2738</v>
      </c>
      <c r="J260" s="7" t="s">
        <v>1698</v>
      </c>
      <c r="K260" s="6" t="s">
        <v>1589</v>
      </c>
      <c r="L260" s="6" t="s">
        <v>1603</v>
      </c>
      <c r="M260" s="6" t="s">
        <v>2739</v>
      </c>
      <c r="N260" s="6" t="s">
        <v>1592</v>
      </c>
      <c r="O260" s="6" t="s">
        <v>1593</v>
      </c>
      <c r="P260" s="6" t="s">
        <v>1594</v>
      </c>
      <c r="Q260" s="7" t="s">
        <v>2735</v>
      </c>
      <c r="S260" s="6" t="s">
        <v>1595</v>
      </c>
      <c r="T260" s="6" t="s">
        <v>1596</v>
      </c>
    </row>
    <row r="261">
      <c r="A261" s="7" t="s">
        <v>2740</v>
      </c>
      <c r="B261" s="6" t="s">
        <v>1581</v>
      </c>
      <c r="C261" s="6" t="s">
        <v>1582</v>
      </c>
      <c r="D261" s="7" t="s">
        <v>2741</v>
      </c>
      <c r="E261" s="6" t="s">
        <v>2296</v>
      </c>
      <c r="F261" s="6" t="s">
        <v>2297</v>
      </c>
      <c r="G261" s="6" t="str">
        <f>IFERROR(__xludf.DUMMYFUNCTION("FILTER(RAW_met_lieux_inclusion_numeriq!B:B,RAW_met_lieux_inclusion_numeriq!B:B=F261)"),"#N/A")</f>
        <v>#N/A</v>
      </c>
      <c r="H261" s="6" t="s">
        <v>2742</v>
      </c>
      <c r="I261" s="6" t="s">
        <v>2743</v>
      </c>
      <c r="J261" s="7" t="s">
        <v>1949</v>
      </c>
      <c r="K261" s="6" t="s">
        <v>1589</v>
      </c>
      <c r="L261" s="6" t="s">
        <v>1603</v>
      </c>
      <c r="M261" s="6" t="s">
        <v>2744</v>
      </c>
      <c r="N261" s="6" t="s">
        <v>1592</v>
      </c>
      <c r="O261" s="6" t="s">
        <v>1593</v>
      </c>
      <c r="P261" s="6" t="s">
        <v>1594</v>
      </c>
      <c r="Q261" s="7" t="s">
        <v>2741</v>
      </c>
      <c r="S261" s="6" t="s">
        <v>1595</v>
      </c>
      <c r="T261" s="6" t="s">
        <v>1596</v>
      </c>
    </row>
    <row r="262">
      <c r="A262" s="7" t="s">
        <v>2740</v>
      </c>
      <c r="B262" s="6" t="s">
        <v>1581</v>
      </c>
      <c r="C262" s="6" t="s">
        <v>1582</v>
      </c>
      <c r="D262" s="7" t="s">
        <v>2745</v>
      </c>
      <c r="E262" s="6" t="s">
        <v>2746</v>
      </c>
      <c r="F262" s="6" t="s">
        <v>2747</v>
      </c>
      <c r="G262" s="6" t="str">
        <f>IFERROR(__xludf.DUMMYFUNCTION("FILTER(RAW_met_lieux_inclusion_numeriq!B:B,RAW_met_lieux_inclusion_numeriq!B:B=F262)"),"#N/A")</f>
        <v>#N/A</v>
      </c>
      <c r="H262" s="6" t="s">
        <v>2748</v>
      </c>
      <c r="I262" s="6" t="s">
        <v>1601</v>
      </c>
      <c r="J262" s="7" t="s">
        <v>1714</v>
      </c>
      <c r="K262" s="6" t="s">
        <v>1589</v>
      </c>
      <c r="L262" s="6" t="s">
        <v>1603</v>
      </c>
      <c r="M262" s="6" t="s">
        <v>2749</v>
      </c>
      <c r="N262" s="6" t="s">
        <v>1592</v>
      </c>
      <c r="O262" s="6" t="s">
        <v>1593</v>
      </c>
      <c r="P262" s="6" t="s">
        <v>1594</v>
      </c>
      <c r="Q262" s="7" t="s">
        <v>2745</v>
      </c>
      <c r="S262" s="6" t="s">
        <v>1601</v>
      </c>
      <c r="T262" s="6" t="s">
        <v>1596</v>
      </c>
    </row>
    <row r="263">
      <c r="A263" s="7" t="s">
        <v>2740</v>
      </c>
      <c r="B263" s="6" t="s">
        <v>1581</v>
      </c>
      <c r="C263" s="6" t="s">
        <v>1582</v>
      </c>
      <c r="D263" s="7" t="s">
        <v>2750</v>
      </c>
      <c r="E263" s="6" t="s">
        <v>2751</v>
      </c>
      <c r="F263" s="6" t="s">
        <v>2021</v>
      </c>
      <c r="G263" s="6" t="str">
        <f>IFERROR(__xludf.DUMMYFUNCTION("FILTER(RAW_met_lieux_inclusion_numeriq!B:B,RAW_met_lieux_inclusion_numeriq!B:B=F263)"),"#N/A")</f>
        <v>#N/A</v>
      </c>
      <c r="H263" s="6" t="s">
        <v>2022</v>
      </c>
      <c r="I263" s="6" t="s">
        <v>2752</v>
      </c>
      <c r="J263" s="7" t="s">
        <v>2753</v>
      </c>
      <c r="K263" s="6" t="s">
        <v>1589</v>
      </c>
      <c r="L263" s="6" t="s">
        <v>1590</v>
      </c>
      <c r="M263" s="6" t="s">
        <v>2754</v>
      </c>
      <c r="N263" s="6" t="s">
        <v>1592</v>
      </c>
      <c r="O263" s="6" t="s">
        <v>1593</v>
      </c>
      <c r="P263" s="6" t="s">
        <v>1594</v>
      </c>
      <c r="Q263" s="7" t="s">
        <v>2750</v>
      </c>
      <c r="S263" s="6" t="s">
        <v>1595</v>
      </c>
      <c r="T263" s="6" t="s">
        <v>1634</v>
      </c>
    </row>
    <row r="264">
      <c r="A264" s="7" t="s">
        <v>2740</v>
      </c>
      <c r="B264" s="6" t="s">
        <v>1581</v>
      </c>
      <c r="C264" s="6" t="s">
        <v>1582</v>
      </c>
      <c r="D264" s="7" t="s">
        <v>2755</v>
      </c>
      <c r="E264" s="6" t="s">
        <v>2756</v>
      </c>
      <c r="F264" s="6" t="s">
        <v>2143</v>
      </c>
      <c r="G264" s="6" t="str">
        <f>IFERROR(__xludf.DUMMYFUNCTION("FILTER(RAW_met_lieux_inclusion_numeriq!B:B,RAW_met_lieux_inclusion_numeriq!B:B=F264)"),"#N/A")</f>
        <v>#N/A</v>
      </c>
      <c r="H264" s="6" t="s">
        <v>2144</v>
      </c>
      <c r="I264" s="6" t="s">
        <v>2757</v>
      </c>
      <c r="J264" s="7" t="s">
        <v>2575</v>
      </c>
      <c r="K264" s="6" t="s">
        <v>1589</v>
      </c>
      <c r="L264" s="6" t="s">
        <v>1603</v>
      </c>
      <c r="M264" s="6" t="s">
        <v>2758</v>
      </c>
      <c r="N264" s="6" t="s">
        <v>1592</v>
      </c>
      <c r="O264" s="6" t="s">
        <v>1593</v>
      </c>
      <c r="P264" s="6" t="s">
        <v>1594</v>
      </c>
      <c r="Q264" s="7" t="s">
        <v>2755</v>
      </c>
      <c r="S264" s="6" t="s">
        <v>1595</v>
      </c>
      <c r="T264" s="6" t="s">
        <v>1596</v>
      </c>
    </row>
    <row r="265">
      <c r="A265" s="7" t="s">
        <v>2740</v>
      </c>
      <c r="B265" s="6" t="s">
        <v>1581</v>
      </c>
      <c r="C265" s="6" t="s">
        <v>1582</v>
      </c>
      <c r="D265" s="7" t="s">
        <v>2759</v>
      </c>
      <c r="E265" s="6" t="s">
        <v>2760</v>
      </c>
      <c r="F265" s="6" t="s">
        <v>2761</v>
      </c>
      <c r="G265" s="6" t="str">
        <f>IFERROR(__xludf.DUMMYFUNCTION("FILTER(RAW_met_lieux_inclusion_numeriq!B:B,RAW_met_lieux_inclusion_numeriq!B:B=F265)"),"#N/A")</f>
        <v>#N/A</v>
      </c>
      <c r="H265" s="6" t="s">
        <v>2762</v>
      </c>
      <c r="I265" s="6" t="s">
        <v>1601</v>
      </c>
      <c r="J265" s="7" t="s">
        <v>2763</v>
      </c>
      <c r="K265" s="6" t="s">
        <v>1589</v>
      </c>
      <c r="L265" s="6" t="s">
        <v>1603</v>
      </c>
      <c r="M265" s="6" t="s">
        <v>2764</v>
      </c>
      <c r="N265" s="6" t="s">
        <v>1592</v>
      </c>
      <c r="O265" s="6" t="s">
        <v>1593</v>
      </c>
      <c r="P265" s="6" t="s">
        <v>1594</v>
      </c>
      <c r="Q265" s="7" t="s">
        <v>2759</v>
      </c>
      <c r="S265" s="6" t="s">
        <v>1601</v>
      </c>
      <c r="T265" s="6" t="s">
        <v>1634</v>
      </c>
    </row>
    <row r="266">
      <c r="A266" s="7" t="s">
        <v>2740</v>
      </c>
      <c r="B266" s="6" t="s">
        <v>1581</v>
      </c>
      <c r="C266" s="6" t="s">
        <v>1582</v>
      </c>
      <c r="D266" s="7" t="s">
        <v>2765</v>
      </c>
      <c r="E266" s="6" t="s">
        <v>2766</v>
      </c>
      <c r="F266" s="6" t="s">
        <v>2018</v>
      </c>
      <c r="G266" s="6" t="str">
        <f>IFERROR(__xludf.DUMMYFUNCTION("FILTER(RAW_met_lieux_inclusion_numeriq!B:B,RAW_met_lieux_inclusion_numeriq!B:B=F266)"),"#N/A")</f>
        <v>#N/A</v>
      </c>
      <c r="H266" s="6" t="s">
        <v>2019</v>
      </c>
      <c r="I266" s="6" t="s">
        <v>1601</v>
      </c>
      <c r="J266" s="7" t="s">
        <v>2767</v>
      </c>
      <c r="K266" s="6" t="s">
        <v>1589</v>
      </c>
      <c r="L266" s="6" t="s">
        <v>1590</v>
      </c>
      <c r="M266" s="6" t="s">
        <v>2768</v>
      </c>
      <c r="N266" s="6" t="s">
        <v>1592</v>
      </c>
      <c r="O266" s="6" t="s">
        <v>1593</v>
      </c>
      <c r="P266" s="6" t="s">
        <v>1594</v>
      </c>
      <c r="Q266" s="7" t="s">
        <v>2765</v>
      </c>
      <c r="S266" s="6" t="s">
        <v>1601</v>
      </c>
      <c r="T266" s="6" t="s">
        <v>1605</v>
      </c>
    </row>
    <row r="267">
      <c r="A267" s="7" t="s">
        <v>2740</v>
      </c>
      <c r="B267" s="6" t="s">
        <v>1581</v>
      </c>
      <c r="C267" s="6" t="s">
        <v>1582</v>
      </c>
      <c r="D267" s="7" t="s">
        <v>2769</v>
      </c>
      <c r="E267" s="6" t="s">
        <v>2770</v>
      </c>
      <c r="F267" s="6" t="s">
        <v>2771</v>
      </c>
      <c r="G267" s="6" t="str">
        <f>IFERROR(__xludf.DUMMYFUNCTION("FILTER(RAW_met_lieux_inclusion_numeriq!B:B,RAW_met_lieux_inclusion_numeriq!B:B=F267)"),"#N/A")</f>
        <v>#N/A</v>
      </c>
      <c r="H267" s="6" t="s">
        <v>2772</v>
      </c>
      <c r="I267" s="6" t="s">
        <v>2773</v>
      </c>
      <c r="J267" s="7" t="s">
        <v>1949</v>
      </c>
      <c r="K267" s="6" t="s">
        <v>1589</v>
      </c>
      <c r="L267" s="6" t="s">
        <v>1590</v>
      </c>
      <c r="M267" s="6" t="s">
        <v>2774</v>
      </c>
      <c r="N267" s="6" t="s">
        <v>1592</v>
      </c>
      <c r="O267" s="6" t="s">
        <v>1593</v>
      </c>
      <c r="P267" s="6" t="s">
        <v>1594</v>
      </c>
      <c r="Q267" s="7" t="s">
        <v>2769</v>
      </c>
      <c r="S267" s="6" t="s">
        <v>1595</v>
      </c>
      <c r="T267" s="6" t="s">
        <v>1596</v>
      </c>
    </row>
    <row r="268">
      <c r="A268" s="7" t="s">
        <v>2740</v>
      </c>
      <c r="B268" s="6" t="s">
        <v>1581</v>
      </c>
      <c r="C268" s="6" t="s">
        <v>1582</v>
      </c>
      <c r="D268" s="7" t="s">
        <v>2775</v>
      </c>
      <c r="E268" s="6" t="s">
        <v>2776</v>
      </c>
      <c r="F268" s="6" t="s">
        <v>2777</v>
      </c>
      <c r="G268" s="6" t="str">
        <f>IFERROR(__xludf.DUMMYFUNCTION("FILTER(RAW_met_lieux_inclusion_numeriq!B:B,RAW_met_lieux_inclusion_numeriq!B:B=F268)"),"#N/A")</f>
        <v>#N/A</v>
      </c>
      <c r="H268" s="6" t="s">
        <v>2147</v>
      </c>
      <c r="I268" s="6" t="s">
        <v>2778</v>
      </c>
      <c r="J268" s="7" t="s">
        <v>1677</v>
      </c>
      <c r="K268" s="6" t="s">
        <v>1589</v>
      </c>
      <c r="L268" s="6" t="s">
        <v>1603</v>
      </c>
      <c r="M268" s="6" t="s">
        <v>2779</v>
      </c>
      <c r="N268" s="6" t="s">
        <v>1592</v>
      </c>
      <c r="O268" s="6" t="s">
        <v>1593</v>
      </c>
      <c r="P268" s="6" t="s">
        <v>1594</v>
      </c>
      <c r="Q268" s="7" t="s">
        <v>2775</v>
      </c>
      <c r="S268" s="6" t="s">
        <v>1595</v>
      </c>
      <c r="T268" s="6" t="s">
        <v>1605</v>
      </c>
    </row>
    <row r="269">
      <c r="A269" s="7" t="s">
        <v>2740</v>
      </c>
      <c r="B269" s="6" t="s">
        <v>1581</v>
      </c>
      <c r="C269" s="6" t="s">
        <v>1582</v>
      </c>
      <c r="D269" s="7" t="s">
        <v>2780</v>
      </c>
      <c r="E269" s="6" t="s">
        <v>2781</v>
      </c>
      <c r="F269" s="6" t="s">
        <v>2617</v>
      </c>
      <c r="G269" s="6" t="str">
        <f>IFERROR(__xludf.DUMMYFUNCTION("FILTER(RAW_met_lieux_inclusion_numeriq!B:B,RAW_met_lieux_inclusion_numeriq!B:B=F269)"),"#N/A")</f>
        <v>#N/A</v>
      </c>
      <c r="H269" s="6" t="s">
        <v>2618</v>
      </c>
      <c r="I269" s="6" t="s">
        <v>1601</v>
      </c>
      <c r="J269" s="7" t="s">
        <v>1832</v>
      </c>
      <c r="K269" s="6" t="s">
        <v>1589</v>
      </c>
      <c r="L269" s="6" t="s">
        <v>1603</v>
      </c>
      <c r="M269" s="6" t="s">
        <v>2782</v>
      </c>
      <c r="N269" s="6" t="s">
        <v>1592</v>
      </c>
      <c r="O269" s="6" t="s">
        <v>1593</v>
      </c>
      <c r="P269" s="6" t="s">
        <v>1594</v>
      </c>
      <c r="Q269" s="7" t="s">
        <v>2780</v>
      </c>
      <c r="S269" s="6" t="s">
        <v>1601</v>
      </c>
      <c r="T269" s="6" t="s">
        <v>1605</v>
      </c>
    </row>
    <row r="270">
      <c r="A270" s="7" t="s">
        <v>2783</v>
      </c>
      <c r="B270" s="6" t="s">
        <v>1581</v>
      </c>
      <c r="C270" s="6" t="s">
        <v>1582</v>
      </c>
      <c r="D270" s="7" t="s">
        <v>2784</v>
      </c>
      <c r="E270" s="6" t="s">
        <v>2785</v>
      </c>
      <c r="F270" s="6" t="s">
        <v>2786</v>
      </c>
      <c r="G270" s="6" t="str">
        <f>IFERROR(__xludf.DUMMYFUNCTION("FILTER(RAW_met_lieux_inclusion_numeriq!B:B,RAW_met_lieux_inclusion_numeriq!B:B=F270)"),"#N/A")</f>
        <v>#N/A</v>
      </c>
      <c r="H270" s="6" t="s">
        <v>1630</v>
      </c>
      <c r="I270" s="6" t="s">
        <v>1601</v>
      </c>
      <c r="J270" s="7" t="s">
        <v>2787</v>
      </c>
      <c r="K270" s="6" t="s">
        <v>1589</v>
      </c>
      <c r="L270" s="6" t="s">
        <v>1603</v>
      </c>
      <c r="M270" s="6" t="s">
        <v>2788</v>
      </c>
      <c r="N270" s="6" t="s">
        <v>1592</v>
      </c>
      <c r="O270" s="6" t="s">
        <v>1593</v>
      </c>
      <c r="P270" s="6" t="s">
        <v>1594</v>
      </c>
      <c r="Q270" s="7" t="s">
        <v>2784</v>
      </c>
      <c r="S270" s="6" t="s">
        <v>1601</v>
      </c>
      <c r="T270" s="6" t="s">
        <v>1634</v>
      </c>
    </row>
    <row r="271">
      <c r="A271" s="7" t="s">
        <v>2783</v>
      </c>
      <c r="B271" s="6" t="s">
        <v>1581</v>
      </c>
      <c r="C271" s="6" t="s">
        <v>1582</v>
      </c>
      <c r="D271" s="7" t="s">
        <v>2789</v>
      </c>
      <c r="E271" s="6" t="s">
        <v>2790</v>
      </c>
      <c r="F271" s="6" t="s">
        <v>1849</v>
      </c>
      <c r="G271" s="6" t="str">
        <f>IFERROR(__xludf.DUMMYFUNCTION("FILTER(RAW_met_lieux_inclusion_numeriq!B:B,RAW_met_lieux_inclusion_numeriq!B:B=F271)"),"#N/A")</f>
        <v>#N/A</v>
      </c>
      <c r="H271" s="6" t="s">
        <v>1850</v>
      </c>
      <c r="I271" s="6" t="s">
        <v>1601</v>
      </c>
      <c r="J271" s="7" t="s">
        <v>2791</v>
      </c>
      <c r="K271" s="6" t="s">
        <v>1589</v>
      </c>
      <c r="L271" s="6" t="s">
        <v>1603</v>
      </c>
      <c r="M271" s="6" t="s">
        <v>2792</v>
      </c>
      <c r="N271" s="6" t="s">
        <v>1592</v>
      </c>
      <c r="O271" s="6" t="s">
        <v>1593</v>
      </c>
      <c r="P271" s="6" t="s">
        <v>1594</v>
      </c>
      <c r="Q271" s="7" t="s">
        <v>2789</v>
      </c>
      <c r="S271" s="6" t="s">
        <v>1601</v>
      </c>
      <c r="T271" s="6" t="s">
        <v>1634</v>
      </c>
    </row>
    <row r="272">
      <c r="A272" s="7" t="s">
        <v>2783</v>
      </c>
      <c r="B272" s="6" t="s">
        <v>1581</v>
      </c>
      <c r="C272" s="6" t="s">
        <v>1582</v>
      </c>
      <c r="D272" s="7" t="s">
        <v>2793</v>
      </c>
      <c r="E272" s="6" t="s">
        <v>2794</v>
      </c>
      <c r="F272" s="6" t="s">
        <v>2795</v>
      </c>
      <c r="G272" s="6" t="str">
        <f>IFERROR(__xludf.DUMMYFUNCTION("FILTER(RAW_met_lieux_inclusion_numeriq!B:B,RAW_met_lieux_inclusion_numeriq!B:B=F272)"),"#N/A")</f>
        <v>#N/A</v>
      </c>
      <c r="H272" s="6" t="s">
        <v>2796</v>
      </c>
      <c r="I272" s="6" t="s">
        <v>2797</v>
      </c>
      <c r="J272" s="7" t="s">
        <v>2798</v>
      </c>
      <c r="K272" s="6" t="s">
        <v>1589</v>
      </c>
      <c r="L272" s="6" t="s">
        <v>1590</v>
      </c>
      <c r="M272" s="6" t="s">
        <v>2799</v>
      </c>
      <c r="N272" s="6" t="s">
        <v>1592</v>
      </c>
      <c r="O272" s="6" t="s">
        <v>1593</v>
      </c>
      <c r="P272" s="6" t="s">
        <v>1594</v>
      </c>
      <c r="Q272" s="7" t="s">
        <v>2793</v>
      </c>
      <c r="S272" s="6" t="s">
        <v>1595</v>
      </c>
      <c r="T272" s="6" t="s">
        <v>1596</v>
      </c>
    </row>
    <row r="273">
      <c r="A273" s="7" t="s">
        <v>2783</v>
      </c>
      <c r="B273" s="6" t="s">
        <v>1581</v>
      </c>
      <c r="C273" s="6" t="s">
        <v>1582</v>
      </c>
      <c r="D273" s="7" t="s">
        <v>2800</v>
      </c>
      <c r="E273" s="6" t="s">
        <v>2794</v>
      </c>
      <c r="F273" s="6" t="s">
        <v>2801</v>
      </c>
      <c r="G273" s="6" t="str">
        <f>IFERROR(__xludf.DUMMYFUNCTION("FILTER(RAW_met_lieux_inclusion_numeriq!B:B,RAW_met_lieux_inclusion_numeriq!B:B=F273)"),"#N/A")</f>
        <v>#N/A</v>
      </c>
      <c r="H273" s="6" t="s">
        <v>2802</v>
      </c>
      <c r="I273" s="6" t="s">
        <v>2797</v>
      </c>
      <c r="J273" s="7" t="s">
        <v>2803</v>
      </c>
      <c r="K273" s="6" t="s">
        <v>1589</v>
      </c>
      <c r="L273" s="6" t="s">
        <v>1590</v>
      </c>
      <c r="M273" s="6" t="s">
        <v>2804</v>
      </c>
      <c r="N273" s="6" t="s">
        <v>1592</v>
      </c>
      <c r="O273" s="6" t="s">
        <v>1593</v>
      </c>
      <c r="P273" s="6" t="s">
        <v>1594</v>
      </c>
      <c r="Q273" s="7" t="s">
        <v>2800</v>
      </c>
      <c r="S273" s="6" t="s">
        <v>1595</v>
      </c>
      <c r="T273" s="6" t="s">
        <v>1596</v>
      </c>
    </row>
    <row r="274">
      <c r="A274" s="7" t="s">
        <v>2783</v>
      </c>
      <c r="B274" s="6" t="s">
        <v>1581</v>
      </c>
      <c r="C274" s="6" t="s">
        <v>1582</v>
      </c>
      <c r="D274" s="7" t="s">
        <v>2805</v>
      </c>
      <c r="E274" s="6" t="s">
        <v>2794</v>
      </c>
      <c r="F274" s="6" t="s">
        <v>2806</v>
      </c>
      <c r="G274" s="6" t="str">
        <f>IFERROR(__xludf.DUMMYFUNCTION("FILTER(RAW_met_lieux_inclusion_numeriq!B:B,RAW_met_lieux_inclusion_numeriq!B:B=F274)"),"#N/A")</f>
        <v>#N/A</v>
      </c>
      <c r="H274" s="6" t="s">
        <v>2807</v>
      </c>
      <c r="I274" s="6" t="s">
        <v>2797</v>
      </c>
      <c r="J274" s="7" t="s">
        <v>2166</v>
      </c>
      <c r="K274" s="6" t="s">
        <v>1589</v>
      </c>
      <c r="L274" s="6" t="s">
        <v>1590</v>
      </c>
      <c r="M274" s="6" t="s">
        <v>2808</v>
      </c>
      <c r="N274" s="6" t="s">
        <v>1592</v>
      </c>
      <c r="O274" s="6" t="s">
        <v>1593</v>
      </c>
      <c r="P274" s="6" t="s">
        <v>1594</v>
      </c>
      <c r="Q274" s="7" t="s">
        <v>2805</v>
      </c>
      <c r="S274" s="6" t="s">
        <v>1595</v>
      </c>
      <c r="T274" s="6" t="s">
        <v>1596</v>
      </c>
    </row>
    <row r="275">
      <c r="A275" s="7" t="s">
        <v>2783</v>
      </c>
      <c r="B275" s="6" t="s">
        <v>1581</v>
      </c>
      <c r="C275" s="6" t="s">
        <v>1582</v>
      </c>
      <c r="D275" s="7" t="s">
        <v>2809</v>
      </c>
      <c r="E275" s="6" t="s">
        <v>2810</v>
      </c>
      <c r="F275" s="6" t="s">
        <v>2811</v>
      </c>
      <c r="G275" s="6" t="str">
        <f>IFERROR(__xludf.DUMMYFUNCTION("FILTER(RAW_met_lieux_inclusion_numeriq!B:B,RAW_met_lieux_inclusion_numeriq!B:B=F275)"),"#N/A")</f>
        <v>#N/A</v>
      </c>
      <c r="H275" s="6" t="s">
        <v>2812</v>
      </c>
      <c r="I275" s="6" t="s">
        <v>2813</v>
      </c>
      <c r="J275" s="7" t="s">
        <v>1992</v>
      </c>
      <c r="K275" s="6" t="s">
        <v>1589</v>
      </c>
      <c r="L275" s="6" t="s">
        <v>1603</v>
      </c>
      <c r="M275" s="6" t="s">
        <v>2814</v>
      </c>
      <c r="N275" s="6" t="s">
        <v>1592</v>
      </c>
      <c r="O275" s="6" t="s">
        <v>1593</v>
      </c>
      <c r="P275" s="6" t="s">
        <v>1594</v>
      </c>
      <c r="Q275" s="7" t="s">
        <v>2809</v>
      </c>
      <c r="S275" s="6" t="s">
        <v>1595</v>
      </c>
      <c r="T275" s="6" t="s">
        <v>1596</v>
      </c>
    </row>
    <row r="276">
      <c r="A276" s="7" t="s">
        <v>2783</v>
      </c>
      <c r="B276" s="6" t="s">
        <v>1581</v>
      </c>
      <c r="C276" s="6" t="s">
        <v>1582</v>
      </c>
      <c r="D276" s="7" t="s">
        <v>2809</v>
      </c>
      <c r="E276" s="6" t="s">
        <v>2815</v>
      </c>
      <c r="F276" s="6" t="s">
        <v>2596</v>
      </c>
      <c r="G276" s="6" t="str">
        <f>IFERROR(__xludf.DUMMYFUNCTION("FILTER(RAW_met_lieux_inclusion_numeriq!B:B,RAW_met_lieux_inclusion_numeriq!B:B=F276)"),"#N/A")</f>
        <v>#N/A</v>
      </c>
      <c r="H276" s="6" t="s">
        <v>2816</v>
      </c>
      <c r="I276" s="6" t="s">
        <v>2817</v>
      </c>
      <c r="J276" s="7" t="s">
        <v>1677</v>
      </c>
      <c r="K276" s="6" t="s">
        <v>1589</v>
      </c>
      <c r="L276" s="6" t="s">
        <v>1603</v>
      </c>
      <c r="M276" s="6" t="s">
        <v>2814</v>
      </c>
      <c r="N276" s="6" t="s">
        <v>1592</v>
      </c>
      <c r="O276" s="6" t="s">
        <v>1593</v>
      </c>
      <c r="P276" s="6" t="s">
        <v>1594</v>
      </c>
      <c r="Q276" s="7" t="s">
        <v>2809</v>
      </c>
      <c r="S276" s="6" t="s">
        <v>1595</v>
      </c>
      <c r="T276" s="6" t="s">
        <v>1605</v>
      </c>
    </row>
    <row r="277">
      <c r="A277" s="7" t="s">
        <v>2783</v>
      </c>
      <c r="B277" s="6" t="s">
        <v>1581</v>
      </c>
      <c r="C277" s="6" t="s">
        <v>1582</v>
      </c>
      <c r="D277" s="7" t="s">
        <v>2805</v>
      </c>
      <c r="E277" s="6" t="s">
        <v>2818</v>
      </c>
      <c r="F277" s="6" t="s">
        <v>2819</v>
      </c>
      <c r="G277" s="6" t="str">
        <f>IFERROR(__xludf.DUMMYFUNCTION("FILTER(RAW_met_lieux_inclusion_numeriq!B:B,RAW_met_lieux_inclusion_numeriq!B:B=F277)"),"#N/A")</f>
        <v>#N/A</v>
      </c>
      <c r="H277" s="6" t="s">
        <v>2820</v>
      </c>
      <c r="I277" s="6" t="s">
        <v>2821</v>
      </c>
      <c r="J277" s="7" t="s">
        <v>1764</v>
      </c>
      <c r="K277" s="6" t="s">
        <v>1589</v>
      </c>
      <c r="L277" s="6" t="s">
        <v>1603</v>
      </c>
      <c r="M277" s="6" t="s">
        <v>2808</v>
      </c>
      <c r="N277" s="6" t="s">
        <v>1592</v>
      </c>
      <c r="O277" s="6" t="s">
        <v>1593</v>
      </c>
      <c r="P277" s="6" t="s">
        <v>1594</v>
      </c>
      <c r="Q277" s="7" t="s">
        <v>2805</v>
      </c>
      <c r="S277" s="6" t="s">
        <v>1595</v>
      </c>
      <c r="T277" s="6" t="s">
        <v>1605</v>
      </c>
    </row>
    <row r="278">
      <c r="A278" s="7" t="s">
        <v>2783</v>
      </c>
      <c r="B278" s="6" t="s">
        <v>1581</v>
      </c>
      <c r="C278" s="6" t="s">
        <v>1582</v>
      </c>
      <c r="D278" s="7" t="s">
        <v>2805</v>
      </c>
      <c r="E278" s="6" t="s">
        <v>2818</v>
      </c>
      <c r="F278" s="6" t="s">
        <v>2822</v>
      </c>
      <c r="G278" s="6" t="str">
        <f>IFERROR(__xludf.DUMMYFUNCTION("FILTER(RAW_met_lieux_inclusion_numeriq!B:B,RAW_met_lieux_inclusion_numeriq!B:B=F278)"),"#N/A")</f>
        <v>#N/A</v>
      </c>
      <c r="H278" s="6" t="s">
        <v>2823</v>
      </c>
      <c r="I278" s="6" t="s">
        <v>2821</v>
      </c>
      <c r="J278" s="7" t="s">
        <v>2824</v>
      </c>
      <c r="K278" s="6" t="s">
        <v>1589</v>
      </c>
      <c r="L278" s="6" t="s">
        <v>1603</v>
      </c>
      <c r="M278" s="6" t="s">
        <v>2808</v>
      </c>
      <c r="N278" s="6" t="s">
        <v>1592</v>
      </c>
      <c r="O278" s="6" t="s">
        <v>1593</v>
      </c>
      <c r="P278" s="6" t="s">
        <v>1594</v>
      </c>
      <c r="Q278" s="7" t="s">
        <v>2805</v>
      </c>
      <c r="S278" s="6" t="s">
        <v>1595</v>
      </c>
      <c r="T278" s="6" t="s">
        <v>1596</v>
      </c>
    </row>
    <row r="279">
      <c r="A279" s="7" t="s">
        <v>2783</v>
      </c>
      <c r="B279" s="6" t="s">
        <v>1581</v>
      </c>
      <c r="C279" s="6" t="s">
        <v>1582</v>
      </c>
      <c r="D279" s="7" t="s">
        <v>2805</v>
      </c>
      <c r="E279" s="6" t="s">
        <v>2818</v>
      </c>
      <c r="F279" s="6" t="s">
        <v>2825</v>
      </c>
      <c r="G279" s="6" t="str">
        <f>IFERROR(__xludf.DUMMYFUNCTION("FILTER(RAW_met_lieux_inclusion_numeriq!B:B,RAW_met_lieux_inclusion_numeriq!B:B=F279)"),"#N/A")</f>
        <v>#N/A</v>
      </c>
      <c r="H279" s="6" t="s">
        <v>2826</v>
      </c>
      <c r="I279" s="6" t="s">
        <v>2821</v>
      </c>
      <c r="J279" s="7" t="s">
        <v>2193</v>
      </c>
      <c r="K279" s="6" t="s">
        <v>1589</v>
      </c>
      <c r="L279" s="6" t="s">
        <v>1603</v>
      </c>
      <c r="M279" s="6" t="s">
        <v>2808</v>
      </c>
      <c r="N279" s="6" t="s">
        <v>1592</v>
      </c>
      <c r="O279" s="6" t="s">
        <v>1593</v>
      </c>
      <c r="P279" s="6" t="s">
        <v>1594</v>
      </c>
      <c r="Q279" s="7" t="s">
        <v>2805</v>
      </c>
      <c r="S279" s="6" t="s">
        <v>1595</v>
      </c>
      <c r="T279" s="6" t="s">
        <v>1596</v>
      </c>
    </row>
    <row r="280">
      <c r="A280" s="7" t="s">
        <v>2783</v>
      </c>
      <c r="B280" s="6" t="s">
        <v>1581</v>
      </c>
      <c r="C280" s="6" t="s">
        <v>1582</v>
      </c>
      <c r="D280" s="7" t="s">
        <v>2805</v>
      </c>
      <c r="E280" s="6" t="s">
        <v>2818</v>
      </c>
      <c r="F280" s="6" t="s">
        <v>2827</v>
      </c>
      <c r="G280" s="6" t="str">
        <f>IFERROR(__xludf.DUMMYFUNCTION("FILTER(RAW_met_lieux_inclusion_numeriq!B:B,RAW_met_lieux_inclusion_numeriq!B:B=F280)"),"#N/A")</f>
        <v>#N/A</v>
      </c>
      <c r="H280" s="6" t="s">
        <v>2828</v>
      </c>
      <c r="I280" s="6" t="s">
        <v>2821</v>
      </c>
      <c r="J280" s="7" t="s">
        <v>2829</v>
      </c>
      <c r="K280" s="6" t="s">
        <v>1589</v>
      </c>
      <c r="L280" s="6" t="s">
        <v>1603</v>
      </c>
      <c r="M280" s="6" t="s">
        <v>2808</v>
      </c>
      <c r="N280" s="6" t="s">
        <v>1592</v>
      </c>
      <c r="O280" s="6" t="s">
        <v>1593</v>
      </c>
      <c r="P280" s="6" t="s">
        <v>1594</v>
      </c>
      <c r="Q280" s="7" t="s">
        <v>2805</v>
      </c>
      <c r="S280" s="6" t="s">
        <v>1595</v>
      </c>
      <c r="T280" s="6" t="s">
        <v>1605</v>
      </c>
    </row>
    <row r="281">
      <c r="A281" s="7" t="s">
        <v>2783</v>
      </c>
      <c r="B281" s="6" t="s">
        <v>1581</v>
      </c>
      <c r="C281" s="6" t="s">
        <v>1582</v>
      </c>
      <c r="D281" s="7" t="s">
        <v>2830</v>
      </c>
      <c r="E281" s="6" t="s">
        <v>2831</v>
      </c>
      <c r="F281" s="6" t="s">
        <v>2832</v>
      </c>
      <c r="G281" s="6" t="str">
        <f>IFERROR(__xludf.DUMMYFUNCTION("FILTER(RAW_met_lieux_inclusion_numeriq!B:B,RAW_met_lieux_inclusion_numeriq!B:B=F281)"),"#N/A")</f>
        <v>#N/A</v>
      </c>
      <c r="H281" s="6" t="s">
        <v>2833</v>
      </c>
      <c r="I281" s="6" t="s">
        <v>1631</v>
      </c>
      <c r="J281" s="7" t="s">
        <v>1671</v>
      </c>
      <c r="K281" s="6" t="s">
        <v>1589</v>
      </c>
      <c r="L281" s="6" t="s">
        <v>1603</v>
      </c>
      <c r="M281" s="6" t="s">
        <v>2834</v>
      </c>
      <c r="N281" s="6" t="s">
        <v>1592</v>
      </c>
      <c r="O281" s="6" t="s">
        <v>1593</v>
      </c>
      <c r="P281" s="6" t="s">
        <v>1594</v>
      </c>
      <c r="Q281" s="7" t="s">
        <v>2830</v>
      </c>
      <c r="S281" s="6" t="s">
        <v>1595</v>
      </c>
      <c r="T281" s="6" t="s">
        <v>1596</v>
      </c>
    </row>
    <row r="282">
      <c r="A282" s="7" t="s">
        <v>2783</v>
      </c>
      <c r="B282" s="6" t="s">
        <v>1581</v>
      </c>
      <c r="C282" s="6" t="s">
        <v>1582</v>
      </c>
      <c r="D282" s="7" t="s">
        <v>2835</v>
      </c>
      <c r="E282" s="6" t="s">
        <v>2836</v>
      </c>
      <c r="F282" s="6" t="s">
        <v>1942</v>
      </c>
      <c r="G282" s="6" t="str">
        <f>IFERROR(__xludf.DUMMYFUNCTION("FILTER(RAW_met_lieux_inclusion_numeriq!B:B,RAW_met_lieux_inclusion_numeriq!B:B=F282)"),"#N/A")</f>
        <v>#N/A</v>
      </c>
      <c r="H282" s="6" t="s">
        <v>1943</v>
      </c>
      <c r="I282" s="6" t="s">
        <v>1601</v>
      </c>
      <c r="J282" s="7" t="s">
        <v>2330</v>
      </c>
      <c r="K282" s="6" t="s">
        <v>1589</v>
      </c>
      <c r="L282" s="6" t="s">
        <v>1603</v>
      </c>
      <c r="M282" s="6" t="s">
        <v>2837</v>
      </c>
      <c r="N282" s="6" t="s">
        <v>1592</v>
      </c>
      <c r="O282" s="6" t="s">
        <v>1593</v>
      </c>
      <c r="P282" s="6" t="s">
        <v>1594</v>
      </c>
      <c r="Q282" s="7" t="s">
        <v>2835</v>
      </c>
      <c r="S282" s="6" t="s">
        <v>1601</v>
      </c>
      <c r="T282" s="6" t="s">
        <v>1596</v>
      </c>
    </row>
    <row r="283">
      <c r="A283" s="7" t="s">
        <v>2783</v>
      </c>
      <c r="B283" s="6" t="s">
        <v>1581</v>
      </c>
      <c r="C283" s="6" t="s">
        <v>1582</v>
      </c>
      <c r="D283" s="7" t="s">
        <v>2838</v>
      </c>
      <c r="E283" s="6" t="s">
        <v>2839</v>
      </c>
      <c r="F283" s="6" t="s">
        <v>2840</v>
      </c>
      <c r="G283" s="6" t="str">
        <f>IFERROR(__xludf.DUMMYFUNCTION("FILTER(RAW_met_lieux_inclusion_numeriq!B:B,RAW_met_lieux_inclusion_numeriq!B:B=F283)"),"#N/A")</f>
        <v>#N/A</v>
      </c>
      <c r="H283" s="6" t="s">
        <v>2841</v>
      </c>
      <c r="I283" s="6" t="s">
        <v>2842</v>
      </c>
      <c r="J283" s="7" t="s">
        <v>1611</v>
      </c>
      <c r="K283" s="6" t="s">
        <v>1589</v>
      </c>
      <c r="L283" s="6" t="s">
        <v>1603</v>
      </c>
      <c r="M283" s="6" t="s">
        <v>2843</v>
      </c>
      <c r="N283" s="6" t="s">
        <v>1592</v>
      </c>
      <c r="O283" s="6" t="s">
        <v>1593</v>
      </c>
      <c r="P283" s="6" t="s">
        <v>1594</v>
      </c>
      <c r="Q283" s="7" t="s">
        <v>2838</v>
      </c>
      <c r="S283" s="6" t="s">
        <v>1595</v>
      </c>
      <c r="T283" s="6" t="s">
        <v>1605</v>
      </c>
    </row>
    <row r="284">
      <c r="A284" s="7" t="s">
        <v>2783</v>
      </c>
      <c r="B284" s="6" t="s">
        <v>1581</v>
      </c>
      <c r="C284" s="6" t="s">
        <v>1582</v>
      </c>
      <c r="D284" s="7" t="s">
        <v>2793</v>
      </c>
      <c r="E284" s="6" t="s">
        <v>2844</v>
      </c>
      <c r="F284" s="6" t="s">
        <v>2845</v>
      </c>
      <c r="G284" s="6" t="str">
        <f>IFERROR(__xludf.DUMMYFUNCTION("FILTER(RAW_met_lieux_inclusion_numeriq!B:B,RAW_met_lieux_inclusion_numeriq!B:B=F284)"),"#N/A")</f>
        <v>#N/A</v>
      </c>
      <c r="H284" s="6" t="s">
        <v>1785</v>
      </c>
      <c r="I284" s="6" t="s">
        <v>2797</v>
      </c>
      <c r="J284" s="7" t="s">
        <v>2798</v>
      </c>
      <c r="K284" s="6" t="s">
        <v>1589</v>
      </c>
      <c r="L284" s="6" t="s">
        <v>1590</v>
      </c>
      <c r="M284" s="6" t="s">
        <v>2799</v>
      </c>
      <c r="N284" s="6" t="s">
        <v>1592</v>
      </c>
      <c r="O284" s="6" t="s">
        <v>1593</v>
      </c>
      <c r="P284" s="6" t="s">
        <v>1594</v>
      </c>
      <c r="Q284" s="7" t="s">
        <v>2793</v>
      </c>
      <c r="S284" s="6" t="s">
        <v>1595</v>
      </c>
      <c r="T284" s="6" t="s">
        <v>1596</v>
      </c>
    </row>
    <row r="285">
      <c r="A285" s="7" t="s">
        <v>2485</v>
      </c>
      <c r="B285" s="6" t="s">
        <v>1581</v>
      </c>
      <c r="C285" s="6" t="s">
        <v>1582</v>
      </c>
      <c r="D285" s="7" t="s">
        <v>2609</v>
      </c>
      <c r="E285" s="6" t="s">
        <v>2846</v>
      </c>
      <c r="F285" s="6" t="s">
        <v>2786</v>
      </c>
      <c r="G285" s="6" t="str">
        <f>IFERROR(__xludf.DUMMYFUNCTION("FILTER(RAW_met_lieux_inclusion_numeriq!B:B,RAW_met_lieux_inclusion_numeriq!B:B=F285)"),"#N/A")</f>
        <v>#N/A</v>
      </c>
      <c r="H285" s="6" t="s">
        <v>1630</v>
      </c>
      <c r="I285" s="6" t="s">
        <v>1631</v>
      </c>
      <c r="J285" s="7" t="s">
        <v>1632</v>
      </c>
      <c r="K285" s="6" t="s">
        <v>1589</v>
      </c>
      <c r="L285" s="6" t="s">
        <v>1603</v>
      </c>
      <c r="M285" s="6" t="s">
        <v>2614</v>
      </c>
      <c r="N285" s="6" t="s">
        <v>1592</v>
      </c>
      <c r="O285" s="6" t="s">
        <v>1593</v>
      </c>
      <c r="P285" s="6" t="s">
        <v>1594</v>
      </c>
      <c r="Q285" s="7" t="s">
        <v>2609</v>
      </c>
      <c r="S285" s="6" t="s">
        <v>1595</v>
      </c>
      <c r="T285" s="6" t="s">
        <v>1634</v>
      </c>
    </row>
    <row r="286">
      <c r="A286" s="7" t="s">
        <v>2485</v>
      </c>
      <c r="B286" s="6" t="s">
        <v>1581</v>
      </c>
      <c r="C286" s="6" t="s">
        <v>1582</v>
      </c>
      <c r="D286" s="7" t="s">
        <v>2847</v>
      </c>
      <c r="E286" s="6" t="s">
        <v>2610</v>
      </c>
      <c r="F286" s="6" t="s">
        <v>2848</v>
      </c>
      <c r="G286" s="6" t="str">
        <f>IFERROR(__xludf.DUMMYFUNCTION("FILTER(RAW_met_lieux_inclusion_numeriq!B:B,RAW_met_lieux_inclusion_numeriq!B:B=F286)"),"#N/A")</f>
        <v>#N/A</v>
      </c>
      <c r="H286" s="6" t="s">
        <v>2849</v>
      </c>
      <c r="I286" s="6" t="s">
        <v>2612</v>
      </c>
      <c r="J286" s="7" t="s">
        <v>1992</v>
      </c>
      <c r="K286" s="6" t="s">
        <v>1589</v>
      </c>
      <c r="L286" s="6" t="s">
        <v>1603</v>
      </c>
      <c r="M286" s="6" t="s">
        <v>2850</v>
      </c>
      <c r="N286" s="6" t="s">
        <v>1592</v>
      </c>
      <c r="O286" s="6" t="s">
        <v>1593</v>
      </c>
      <c r="P286" s="6" t="s">
        <v>1594</v>
      </c>
      <c r="Q286" s="7" t="s">
        <v>2847</v>
      </c>
      <c r="S286" s="6" t="s">
        <v>1595</v>
      </c>
      <c r="T286" s="6" t="s">
        <v>1596</v>
      </c>
    </row>
    <row r="287">
      <c r="A287" s="7" t="s">
        <v>2485</v>
      </c>
      <c r="B287" s="6" t="s">
        <v>1581</v>
      </c>
      <c r="C287" s="6" t="s">
        <v>1582</v>
      </c>
      <c r="D287" s="7" t="s">
        <v>2851</v>
      </c>
      <c r="E287" s="6" t="s">
        <v>2852</v>
      </c>
      <c r="F287" s="6" t="s">
        <v>2853</v>
      </c>
      <c r="G287" s="6" t="str">
        <f>IFERROR(__xludf.DUMMYFUNCTION("FILTER(RAW_met_lieux_inclusion_numeriq!B:B,RAW_met_lieux_inclusion_numeriq!B:B=F287)"),"#N/A")</f>
        <v>#N/A</v>
      </c>
      <c r="H287" s="6" t="s">
        <v>1762</v>
      </c>
      <c r="I287" s="6" t="s">
        <v>1601</v>
      </c>
      <c r="J287" s="7" t="s">
        <v>2854</v>
      </c>
      <c r="K287" s="6" t="s">
        <v>1589</v>
      </c>
      <c r="L287" s="6" t="s">
        <v>1603</v>
      </c>
      <c r="M287" s="6" t="s">
        <v>2855</v>
      </c>
      <c r="N287" s="6" t="s">
        <v>1592</v>
      </c>
      <c r="O287" s="6" t="s">
        <v>1593</v>
      </c>
      <c r="P287" s="6" t="s">
        <v>1594</v>
      </c>
      <c r="Q287" s="7" t="s">
        <v>2851</v>
      </c>
      <c r="S287" s="6" t="s">
        <v>1601</v>
      </c>
      <c r="T287" s="6" t="s">
        <v>1605</v>
      </c>
    </row>
    <row r="288">
      <c r="A288" s="7" t="s">
        <v>2485</v>
      </c>
      <c r="B288" s="6" t="s">
        <v>1581</v>
      </c>
      <c r="C288" s="6" t="s">
        <v>1582</v>
      </c>
      <c r="D288" s="7" t="s">
        <v>2856</v>
      </c>
      <c r="E288" s="6" t="s">
        <v>2487</v>
      </c>
      <c r="F288" s="6" t="s">
        <v>2641</v>
      </c>
      <c r="G288" s="6" t="str">
        <f>IFERROR(__xludf.DUMMYFUNCTION("FILTER(RAW_met_lieux_inclusion_numeriq!B:B,RAW_met_lieux_inclusion_numeriq!B:B=F288)"),"#N/A")</f>
        <v>#N/A</v>
      </c>
      <c r="H288" s="6" t="s">
        <v>2642</v>
      </c>
      <c r="I288" s="6" t="s">
        <v>1601</v>
      </c>
      <c r="J288" s="7" t="s">
        <v>1714</v>
      </c>
      <c r="K288" s="6" t="s">
        <v>1589</v>
      </c>
      <c r="L288" s="6" t="s">
        <v>1590</v>
      </c>
      <c r="M288" s="6" t="s">
        <v>2857</v>
      </c>
      <c r="N288" s="6" t="s">
        <v>1592</v>
      </c>
      <c r="O288" s="6" t="s">
        <v>1593</v>
      </c>
      <c r="P288" s="6" t="s">
        <v>1594</v>
      </c>
      <c r="Q288" s="7" t="s">
        <v>2856</v>
      </c>
      <c r="S288" s="6" t="s">
        <v>1601</v>
      </c>
      <c r="T288" s="6" t="s">
        <v>1596</v>
      </c>
    </row>
    <row r="289">
      <c r="A289" s="7" t="s">
        <v>2633</v>
      </c>
      <c r="B289" s="6" t="s">
        <v>1581</v>
      </c>
      <c r="C289" s="6" t="s">
        <v>1582</v>
      </c>
      <c r="D289" s="7" t="s">
        <v>2858</v>
      </c>
      <c r="E289" s="6" t="s">
        <v>2622</v>
      </c>
      <c r="F289" s="6" t="s">
        <v>2539</v>
      </c>
      <c r="G289" s="6" t="str">
        <f>IFERROR(__xludf.DUMMYFUNCTION("FILTER(RAW_met_lieux_inclusion_numeriq!B:B,RAW_met_lieux_inclusion_numeriq!B:B=F289)"),"#N/A")</f>
        <v>#N/A</v>
      </c>
      <c r="H289" s="6" t="s">
        <v>2067</v>
      </c>
      <c r="I289" s="6" t="s">
        <v>2859</v>
      </c>
      <c r="J289" s="7" t="s">
        <v>1922</v>
      </c>
      <c r="K289" s="6" t="s">
        <v>1589</v>
      </c>
      <c r="L289" s="6" t="s">
        <v>1603</v>
      </c>
      <c r="M289" s="6" t="s">
        <v>2860</v>
      </c>
      <c r="N289" s="6" t="s">
        <v>1592</v>
      </c>
      <c r="O289" s="6" t="s">
        <v>1593</v>
      </c>
      <c r="P289" s="6" t="s">
        <v>1594</v>
      </c>
      <c r="Q289" s="7" t="s">
        <v>2858</v>
      </c>
      <c r="S289" s="6" t="s">
        <v>1595</v>
      </c>
      <c r="T289" s="6" t="s">
        <v>1634</v>
      </c>
    </row>
    <row r="290">
      <c r="A290" s="7" t="s">
        <v>2633</v>
      </c>
      <c r="B290" s="6" t="s">
        <v>1581</v>
      </c>
      <c r="C290" s="6" t="s">
        <v>1582</v>
      </c>
      <c r="D290" s="7" t="s">
        <v>2634</v>
      </c>
      <c r="E290" s="6" t="s">
        <v>2861</v>
      </c>
      <c r="F290" s="6" t="s">
        <v>2257</v>
      </c>
      <c r="G290" s="6" t="str">
        <f>IFERROR(__xludf.DUMMYFUNCTION("FILTER(RAW_met_lieux_inclusion_numeriq!B:B,RAW_met_lieux_inclusion_numeriq!B:B=F290)"),"#N/A")</f>
        <v>#N/A</v>
      </c>
      <c r="H290" s="6" t="s">
        <v>1920</v>
      </c>
      <c r="I290" s="6" t="s">
        <v>2862</v>
      </c>
      <c r="J290" s="7" t="s">
        <v>2127</v>
      </c>
      <c r="K290" s="6" t="s">
        <v>1589</v>
      </c>
      <c r="L290" s="6" t="s">
        <v>1603</v>
      </c>
      <c r="M290" s="6" t="s">
        <v>2637</v>
      </c>
      <c r="N290" s="6" t="s">
        <v>1592</v>
      </c>
      <c r="O290" s="6" t="s">
        <v>1593</v>
      </c>
      <c r="P290" s="6" t="s">
        <v>1594</v>
      </c>
      <c r="Q290" s="7" t="s">
        <v>2634</v>
      </c>
      <c r="S290" s="6" t="s">
        <v>1595</v>
      </c>
      <c r="T290" s="6" t="s">
        <v>1634</v>
      </c>
    </row>
    <row r="291">
      <c r="A291" s="7" t="s">
        <v>2633</v>
      </c>
      <c r="B291" s="6" t="s">
        <v>1581</v>
      </c>
      <c r="C291" s="6" t="s">
        <v>1582</v>
      </c>
      <c r="D291" s="7" t="s">
        <v>2638</v>
      </c>
      <c r="E291" s="6" t="s">
        <v>2863</v>
      </c>
      <c r="F291" s="6" t="s">
        <v>1931</v>
      </c>
      <c r="G291" s="6" t="str">
        <f>IFERROR(__xludf.DUMMYFUNCTION("FILTER(RAW_met_lieux_inclusion_numeriq!B:B,RAW_met_lieux_inclusion_numeriq!B:B=F291)"),"#N/A")</f>
        <v>#N/A</v>
      </c>
      <c r="H291" s="6" t="s">
        <v>2864</v>
      </c>
      <c r="I291" s="6" t="s">
        <v>2865</v>
      </c>
      <c r="J291" s="7" t="s">
        <v>1934</v>
      </c>
      <c r="K291" s="6" t="s">
        <v>1589</v>
      </c>
      <c r="L291" s="6" t="s">
        <v>1603</v>
      </c>
      <c r="M291" s="6" t="s">
        <v>2639</v>
      </c>
      <c r="N291" s="6" t="s">
        <v>1592</v>
      </c>
      <c r="O291" s="6" t="s">
        <v>1593</v>
      </c>
      <c r="P291" s="6" t="s">
        <v>1594</v>
      </c>
      <c r="Q291" s="7" t="s">
        <v>2638</v>
      </c>
      <c r="S291" s="6" t="s">
        <v>1595</v>
      </c>
      <c r="T291" s="6" t="s">
        <v>1605</v>
      </c>
    </row>
    <row r="292">
      <c r="A292" s="7" t="s">
        <v>2633</v>
      </c>
      <c r="B292" s="6" t="s">
        <v>1581</v>
      </c>
      <c r="C292" s="6" t="s">
        <v>1582</v>
      </c>
      <c r="D292" s="7" t="s">
        <v>2485</v>
      </c>
      <c r="E292" s="6" t="s">
        <v>2866</v>
      </c>
      <c r="F292" s="6" t="s">
        <v>2867</v>
      </c>
      <c r="G292" s="6" t="str">
        <f>IFERROR(__xludf.DUMMYFUNCTION("FILTER(RAW_met_lieux_inclusion_numeriq!B:B,RAW_met_lieux_inclusion_numeriq!B:B=F292)"),"#N/A")</f>
        <v>#N/A</v>
      </c>
      <c r="H292" s="6" t="s">
        <v>2868</v>
      </c>
      <c r="I292" s="6" t="s">
        <v>1601</v>
      </c>
      <c r="J292" s="7" t="s">
        <v>1845</v>
      </c>
      <c r="K292" s="6" t="s">
        <v>1589</v>
      </c>
      <c r="L292" s="6" t="s">
        <v>1603</v>
      </c>
      <c r="M292" s="6" t="s">
        <v>2869</v>
      </c>
      <c r="N292" s="6" t="s">
        <v>1592</v>
      </c>
      <c r="O292" s="6" t="s">
        <v>1593</v>
      </c>
      <c r="P292" s="6" t="s">
        <v>1594</v>
      </c>
      <c r="Q292" s="7" t="s">
        <v>2485</v>
      </c>
      <c r="S292" s="6" t="s">
        <v>1601</v>
      </c>
      <c r="T292" s="6" t="s">
        <v>1605</v>
      </c>
    </row>
    <row r="293">
      <c r="A293" s="7" t="s">
        <v>2633</v>
      </c>
      <c r="B293" s="6" t="s">
        <v>1581</v>
      </c>
      <c r="C293" s="6" t="s">
        <v>1582</v>
      </c>
      <c r="D293" s="7" t="s">
        <v>2304</v>
      </c>
      <c r="E293" s="6" t="s">
        <v>2310</v>
      </c>
      <c r="F293" s="6" t="s">
        <v>2870</v>
      </c>
      <c r="G293" s="6" t="str">
        <f>IFERROR(__xludf.DUMMYFUNCTION("FILTER(RAW_met_lieux_inclusion_numeriq!B:B,RAW_met_lieux_inclusion_numeriq!B:B=F293)"),"#N/A")</f>
        <v>#N/A</v>
      </c>
      <c r="H293" s="6" t="s">
        <v>2871</v>
      </c>
      <c r="I293" s="6" t="s">
        <v>2821</v>
      </c>
      <c r="J293" s="7" t="s">
        <v>1832</v>
      </c>
      <c r="K293" s="6" t="s">
        <v>1589</v>
      </c>
      <c r="L293" s="6" t="s">
        <v>1603</v>
      </c>
      <c r="M293" s="6" t="s">
        <v>2309</v>
      </c>
      <c r="N293" s="6" t="s">
        <v>1592</v>
      </c>
      <c r="O293" s="6" t="s">
        <v>1593</v>
      </c>
      <c r="P293" s="6" t="s">
        <v>1594</v>
      </c>
      <c r="Q293" s="7" t="s">
        <v>2304</v>
      </c>
      <c r="S293" s="6" t="s">
        <v>1595</v>
      </c>
      <c r="T293" s="6" t="s">
        <v>1605</v>
      </c>
    </row>
    <row r="294">
      <c r="A294" s="7" t="s">
        <v>2633</v>
      </c>
      <c r="B294" s="6" t="s">
        <v>1581</v>
      </c>
      <c r="C294" s="6" t="s">
        <v>1582</v>
      </c>
      <c r="D294" s="7" t="s">
        <v>2872</v>
      </c>
      <c r="E294" s="6" t="s">
        <v>2873</v>
      </c>
      <c r="F294" s="6" t="s">
        <v>1637</v>
      </c>
      <c r="G294" s="6" t="str">
        <f>IFERROR(__xludf.DUMMYFUNCTION("FILTER(RAW_met_lieux_inclusion_numeriq!B:B,RAW_met_lieux_inclusion_numeriq!B:B=F294)"),"#N/A")</f>
        <v>#N/A</v>
      </c>
      <c r="H294" s="6" t="s">
        <v>2874</v>
      </c>
      <c r="I294" s="6" t="s">
        <v>1601</v>
      </c>
      <c r="J294" s="7" t="s">
        <v>2875</v>
      </c>
      <c r="K294" s="6" t="s">
        <v>1589</v>
      </c>
      <c r="L294" s="6" t="s">
        <v>1603</v>
      </c>
      <c r="M294" s="6" t="s">
        <v>2876</v>
      </c>
      <c r="N294" s="6" t="s">
        <v>1592</v>
      </c>
      <c r="O294" s="6" t="s">
        <v>1593</v>
      </c>
      <c r="P294" s="6" t="s">
        <v>1594</v>
      </c>
      <c r="Q294" s="7" t="s">
        <v>2872</v>
      </c>
      <c r="S294" s="6" t="s">
        <v>1601</v>
      </c>
      <c r="T294" s="6" t="s">
        <v>1634</v>
      </c>
    </row>
    <row r="295">
      <c r="A295" s="7" t="s">
        <v>2633</v>
      </c>
      <c r="B295" s="6" t="s">
        <v>1581</v>
      </c>
      <c r="C295" s="6" t="s">
        <v>1582</v>
      </c>
      <c r="D295" s="7" t="s">
        <v>2877</v>
      </c>
      <c r="E295" s="6" t="s">
        <v>2878</v>
      </c>
      <c r="F295" s="6" t="s">
        <v>2879</v>
      </c>
      <c r="G295" s="6" t="str">
        <f>IFERROR(__xludf.DUMMYFUNCTION("FILTER(RAW_met_lieux_inclusion_numeriq!B:B,RAW_met_lieux_inclusion_numeriq!B:B=F295)"),"#N/A")</f>
        <v>#N/A</v>
      </c>
      <c r="H295" s="6" t="s">
        <v>2880</v>
      </c>
      <c r="I295" s="6" t="s">
        <v>1601</v>
      </c>
      <c r="J295" s="7" t="s">
        <v>1714</v>
      </c>
      <c r="K295" s="6" t="s">
        <v>1589</v>
      </c>
      <c r="L295" s="6" t="s">
        <v>1603</v>
      </c>
      <c r="M295" s="6" t="s">
        <v>2881</v>
      </c>
      <c r="N295" s="6" t="s">
        <v>1592</v>
      </c>
      <c r="O295" s="6" t="s">
        <v>1593</v>
      </c>
      <c r="P295" s="6" t="s">
        <v>1594</v>
      </c>
      <c r="Q295" s="7" t="s">
        <v>2877</v>
      </c>
      <c r="S295" s="6" t="s">
        <v>1601</v>
      </c>
      <c r="T295" s="6" t="s">
        <v>1596</v>
      </c>
    </row>
    <row r="296">
      <c r="A296" s="7" t="s">
        <v>2633</v>
      </c>
      <c r="B296" s="6" t="s">
        <v>1581</v>
      </c>
      <c r="C296" s="6" t="s">
        <v>1582</v>
      </c>
      <c r="D296" s="7" t="s">
        <v>2882</v>
      </c>
      <c r="E296" s="6" t="s">
        <v>2883</v>
      </c>
      <c r="F296" s="6" t="s">
        <v>2502</v>
      </c>
      <c r="G296" s="6" t="str">
        <f>IFERROR(__xludf.DUMMYFUNCTION("FILTER(RAW_met_lieux_inclusion_numeriq!B:B,RAW_met_lieux_inclusion_numeriq!B:B=F296)"),"#N/A")</f>
        <v>#N/A</v>
      </c>
      <c r="H296" s="6" t="s">
        <v>2884</v>
      </c>
      <c r="I296" s="6" t="s">
        <v>1601</v>
      </c>
      <c r="J296" s="7" t="s">
        <v>2885</v>
      </c>
      <c r="K296" s="6" t="s">
        <v>1589</v>
      </c>
      <c r="L296" s="6" t="s">
        <v>1603</v>
      </c>
      <c r="M296" s="6" t="s">
        <v>2886</v>
      </c>
      <c r="N296" s="6" t="s">
        <v>1592</v>
      </c>
      <c r="O296" s="6" t="s">
        <v>1593</v>
      </c>
      <c r="P296" s="6" t="s">
        <v>1594</v>
      </c>
      <c r="Q296" s="7" t="s">
        <v>2882</v>
      </c>
      <c r="S296" s="6" t="s">
        <v>1601</v>
      </c>
      <c r="T296" s="6" t="s">
        <v>1634</v>
      </c>
    </row>
    <row r="297">
      <c r="A297" s="7" t="s">
        <v>2633</v>
      </c>
      <c r="B297" s="6" t="s">
        <v>1581</v>
      </c>
      <c r="C297" s="6" t="s">
        <v>1582</v>
      </c>
      <c r="D297" s="7" t="s">
        <v>2674</v>
      </c>
      <c r="E297" s="6" t="s">
        <v>2649</v>
      </c>
      <c r="F297" s="6" t="s">
        <v>1708</v>
      </c>
      <c r="G297" s="6" t="str">
        <f>IFERROR(__xludf.DUMMYFUNCTION("FILTER(RAW_met_lieux_inclusion_numeriq!B:B,RAW_met_lieux_inclusion_numeriq!B:B=F297)"),"#N/A")</f>
        <v>#N/A</v>
      </c>
      <c r="H297" s="6" t="s">
        <v>1709</v>
      </c>
      <c r="I297" s="6" t="s">
        <v>2887</v>
      </c>
      <c r="J297" s="7" t="s">
        <v>1671</v>
      </c>
      <c r="K297" s="6" t="s">
        <v>1589</v>
      </c>
      <c r="L297" s="6" t="s">
        <v>1603</v>
      </c>
      <c r="M297" s="6" t="s">
        <v>2679</v>
      </c>
      <c r="N297" s="6" t="s">
        <v>1592</v>
      </c>
      <c r="O297" s="6" t="s">
        <v>1593</v>
      </c>
      <c r="P297" s="6" t="s">
        <v>1594</v>
      </c>
      <c r="Q297" s="7" t="s">
        <v>2674</v>
      </c>
      <c r="S297" s="6" t="s">
        <v>1595</v>
      </c>
      <c r="T297" s="6" t="s">
        <v>1596</v>
      </c>
    </row>
    <row r="298">
      <c r="A298" s="7" t="s">
        <v>2633</v>
      </c>
      <c r="B298" s="6" t="s">
        <v>1581</v>
      </c>
      <c r="C298" s="6" t="s">
        <v>1582</v>
      </c>
      <c r="D298" s="7" t="s">
        <v>2693</v>
      </c>
      <c r="E298" s="6" t="s">
        <v>2888</v>
      </c>
      <c r="F298" s="6" t="s">
        <v>2889</v>
      </c>
      <c r="G298" s="6" t="str">
        <f>IFERROR(__xludf.DUMMYFUNCTION("FILTER(RAW_met_lieux_inclusion_numeriq!B:B,RAW_met_lieux_inclusion_numeriq!B:B=F298)"),"#N/A")</f>
        <v>#N/A</v>
      </c>
      <c r="H298" s="6" t="s">
        <v>1896</v>
      </c>
      <c r="I298" s="6" t="s">
        <v>1601</v>
      </c>
      <c r="J298" s="7" t="s">
        <v>2890</v>
      </c>
      <c r="K298" s="6" t="s">
        <v>1589</v>
      </c>
      <c r="L298" s="6" t="s">
        <v>1603</v>
      </c>
      <c r="M298" s="6" t="s">
        <v>2697</v>
      </c>
      <c r="N298" s="6" t="s">
        <v>1592</v>
      </c>
      <c r="O298" s="6" t="s">
        <v>1593</v>
      </c>
      <c r="P298" s="6" t="s">
        <v>1594</v>
      </c>
      <c r="Q298" s="7" t="s">
        <v>2693</v>
      </c>
      <c r="S298" s="6" t="s">
        <v>1601</v>
      </c>
      <c r="T298" s="6" t="s">
        <v>1645</v>
      </c>
    </row>
    <row r="299">
      <c r="A299" s="7" t="s">
        <v>2633</v>
      </c>
      <c r="B299" s="6" t="s">
        <v>1581</v>
      </c>
      <c r="C299" s="6" t="s">
        <v>1582</v>
      </c>
      <c r="D299" s="7" t="s">
        <v>2891</v>
      </c>
      <c r="E299" s="6" t="s">
        <v>2892</v>
      </c>
      <c r="F299" s="6" t="s">
        <v>2893</v>
      </c>
      <c r="G299" s="6" t="str">
        <f>IFERROR(__xludf.DUMMYFUNCTION("FILTER(RAW_met_lieux_inclusion_numeriq!B:B,RAW_met_lieux_inclusion_numeriq!B:B=F299)"),"#N/A")</f>
        <v>#N/A</v>
      </c>
      <c r="H299" s="6" t="s">
        <v>2894</v>
      </c>
      <c r="I299" s="6" t="s">
        <v>2895</v>
      </c>
      <c r="J299" s="7" t="s">
        <v>2896</v>
      </c>
      <c r="K299" s="6" t="s">
        <v>1589</v>
      </c>
      <c r="L299" s="6" t="s">
        <v>1603</v>
      </c>
      <c r="M299" s="6" t="s">
        <v>2897</v>
      </c>
      <c r="N299" s="6" t="s">
        <v>1592</v>
      </c>
      <c r="O299" s="6" t="s">
        <v>1593</v>
      </c>
      <c r="P299" s="6" t="s">
        <v>1594</v>
      </c>
      <c r="Q299" s="7" t="s">
        <v>2891</v>
      </c>
      <c r="S299" s="6" t="s">
        <v>1595</v>
      </c>
      <c r="T299" s="6" t="s">
        <v>1596</v>
      </c>
    </row>
    <row r="300">
      <c r="A300" s="7" t="s">
        <v>2633</v>
      </c>
      <c r="B300" s="6" t="s">
        <v>1581</v>
      </c>
      <c r="C300" s="6" t="s">
        <v>1582</v>
      </c>
      <c r="D300" s="7" t="s">
        <v>2898</v>
      </c>
      <c r="E300" s="6" t="s">
        <v>2424</v>
      </c>
      <c r="F300" s="6" t="s">
        <v>2899</v>
      </c>
      <c r="G300" s="6" t="str">
        <f>IFERROR(__xludf.DUMMYFUNCTION("FILTER(RAW_met_lieux_inclusion_numeriq!B:B,RAW_met_lieux_inclusion_numeriq!B:B=F300)"),"#N/A")</f>
        <v>#N/A</v>
      </c>
      <c r="H300" s="6" t="s">
        <v>2900</v>
      </c>
      <c r="I300" s="6" t="s">
        <v>1601</v>
      </c>
      <c r="J300" s="7" t="s">
        <v>2901</v>
      </c>
      <c r="K300" s="6" t="s">
        <v>1589</v>
      </c>
      <c r="L300" s="6" t="s">
        <v>1603</v>
      </c>
      <c r="M300" s="6" t="s">
        <v>2902</v>
      </c>
      <c r="N300" s="6" t="s">
        <v>1592</v>
      </c>
      <c r="O300" s="6" t="s">
        <v>1593</v>
      </c>
      <c r="P300" s="6" t="s">
        <v>1594</v>
      </c>
      <c r="Q300" s="7" t="s">
        <v>2898</v>
      </c>
      <c r="S300" s="6" t="s">
        <v>1601</v>
      </c>
      <c r="T300" s="6" t="s">
        <v>1605</v>
      </c>
    </row>
    <row r="301">
      <c r="A301" s="7" t="s">
        <v>2633</v>
      </c>
      <c r="B301" s="6" t="s">
        <v>1581</v>
      </c>
      <c r="C301" s="6" t="s">
        <v>1582</v>
      </c>
      <c r="D301" s="7" t="s">
        <v>2903</v>
      </c>
      <c r="E301" s="6" t="s">
        <v>2904</v>
      </c>
      <c r="F301" s="6" t="s">
        <v>2905</v>
      </c>
      <c r="G301" s="6" t="str">
        <f>IFERROR(__xludf.DUMMYFUNCTION("FILTER(RAW_met_lieux_inclusion_numeriq!B:B,RAW_met_lieux_inclusion_numeriq!B:B=F301)"),"#N/A")</f>
        <v>#N/A</v>
      </c>
      <c r="H301" s="6" t="s">
        <v>2906</v>
      </c>
      <c r="I301" s="6" t="s">
        <v>1601</v>
      </c>
      <c r="J301" s="7" t="s">
        <v>1651</v>
      </c>
      <c r="K301" s="6" t="s">
        <v>1589</v>
      </c>
      <c r="L301" s="6" t="s">
        <v>1603</v>
      </c>
      <c r="M301" s="6" t="s">
        <v>2907</v>
      </c>
      <c r="N301" s="6" t="s">
        <v>1592</v>
      </c>
      <c r="O301" s="6" t="s">
        <v>1593</v>
      </c>
      <c r="P301" s="6" t="s">
        <v>1594</v>
      </c>
      <c r="Q301" s="7" t="s">
        <v>2903</v>
      </c>
      <c r="S301" s="6" t="s">
        <v>1601</v>
      </c>
      <c r="T301" s="6" t="s">
        <v>1596</v>
      </c>
    </row>
    <row r="302">
      <c r="A302" s="7" t="s">
        <v>2633</v>
      </c>
      <c r="B302" s="6" t="s">
        <v>1581</v>
      </c>
      <c r="C302" s="6" t="s">
        <v>1582</v>
      </c>
      <c r="D302" s="7" t="s">
        <v>2687</v>
      </c>
      <c r="E302" s="6" t="s">
        <v>2649</v>
      </c>
      <c r="F302" s="6" t="s">
        <v>2908</v>
      </c>
      <c r="G302" s="6" t="str">
        <f>IFERROR(__xludf.DUMMYFUNCTION("FILTER(RAW_met_lieux_inclusion_numeriq!B:B,RAW_met_lieux_inclusion_numeriq!B:B=F302)"),"#N/A")</f>
        <v>#N/A</v>
      </c>
      <c r="H302" s="6" t="s">
        <v>2909</v>
      </c>
      <c r="I302" s="6" t="s">
        <v>2910</v>
      </c>
      <c r="J302" s="7" t="s">
        <v>1651</v>
      </c>
      <c r="K302" s="6" t="s">
        <v>1589</v>
      </c>
      <c r="L302" s="6" t="s">
        <v>1603</v>
      </c>
      <c r="M302" s="6" t="s">
        <v>2686</v>
      </c>
      <c r="N302" s="6" t="s">
        <v>1592</v>
      </c>
      <c r="O302" s="6" t="s">
        <v>1593</v>
      </c>
      <c r="P302" s="6" t="s">
        <v>1594</v>
      </c>
      <c r="Q302" s="7" t="s">
        <v>2687</v>
      </c>
      <c r="S302" s="6" t="s">
        <v>1595</v>
      </c>
      <c r="T302" s="6" t="s">
        <v>1596</v>
      </c>
    </row>
    <row r="303">
      <c r="A303" s="7" t="s">
        <v>2633</v>
      </c>
      <c r="B303" s="6" t="s">
        <v>1581</v>
      </c>
      <c r="C303" s="6" t="s">
        <v>1582</v>
      </c>
      <c r="D303" s="7" t="s">
        <v>2911</v>
      </c>
      <c r="E303" s="6" t="s">
        <v>2649</v>
      </c>
      <c r="F303" s="6" t="s">
        <v>2912</v>
      </c>
      <c r="G303" s="6" t="str">
        <f>IFERROR(__xludf.DUMMYFUNCTION("FILTER(RAW_met_lieux_inclusion_numeriq!B:B,RAW_met_lieux_inclusion_numeriq!B:B=F303)"),"#N/A")</f>
        <v>#N/A</v>
      </c>
      <c r="H303" s="6" t="s">
        <v>2913</v>
      </c>
      <c r="I303" s="6" t="s">
        <v>2914</v>
      </c>
      <c r="J303" s="7" t="s">
        <v>1651</v>
      </c>
      <c r="K303" s="6" t="s">
        <v>1589</v>
      </c>
      <c r="L303" s="6" t="s">
        <v>1603</v>
      </c>
      <c r="M303" s="6" t="s">
        <v>2915</v>
      </c>
      <c r="N303" s="6" t="s">
        <v>1592</v>
      </c>
      <c r="O303" s="6" t="s">
        <v>1593</v>
      </c>
      <c r="P303" s="6" t="s">
        <v>1594</v>
      </c>
      <c r="Q303" s="7" t="s">
        <v>2911</v>
      </c>
      <c r="S303" s="6" t="s">
        <v>1595</v>
      </c>
      <c r="T303" s="6" t="s">
        <v>1596</v>
      </c>
    </row>
    <row r="304">
      <c r="A304" s="7" t="s">
        <v>2633</v>
      </c>
      <c r="B304" s="6" t="s">
        <v>1581</v>
      </c>
      <c r="C304" s="6" t="s">
        <v>1582</v>
      </c>
      <c r="D304" s="7" t="s">
        <v>2916</v>
      </c>
      <c r="E304" s="6" t="s">
        <v>2667</v>
      </c>
      <c r="F304" s="6" t="s">
        <v>1681</v>
      </c>
      <c r="G304" s="6" t="str">
        <f>IFERROR(__xludf.DUMMYFUNCTION("FILTER(RAW_met_lieux_inclusion_numeriq!B:B,RAW_met_lieux_inclusion_numeriq!B:B=F304)"),"#N/A")</f>
        <v>#N/A</v>
      </c>
      <c r="H304" s="6" t="s">
        <v>1682</v>
      </c>
      <c r="I304" s="6" t="s">
        <v>2392</v>
      </c>
      <c r="J304" s="7" t="s">
        <v>1714</v>
      </c>
      <c r="K304" s="6" t="s">
        <v>1589</v>
      </c>
      <c r="L304" s="6" t="s">
        <v>1603</v>
      </c>
      <c r="M304" s="6" t="s">
        <v>2917</v>
      </c>
      <c r="N304" s="6" t="s">
        <v>1592</v>
      </c>
      <c r="O304" s="6" t="s">
        <v>1593</v>
      </c>
      <c r="P304" s="6" t="s">
        <v>1594</v>
      </c>
      <c r="Q304" s="7" t="s">
        <v>2916</v>
      </c>
      <c r="S304" s="6" t="s">
        <v>1595</v>
      </c>
      <c r="T304" s="6" t="s">
        <v>1596</v>
      </c>
    </row>
    <row r="305">
      <c r="A305" s="7" t="s">
        <v>2633</v>
      </c>
      <c r="B305" s="6" t="s">
        <v>1581</v>
      </c>
      <c r="C305" s="6" t="s">
        <v>1582</v>
      </c>
      <c r="D305" s="7" t="s">
        <v>2304</v>
      </c>
      <c r="E305" s="6" t="s">
        <v>2310</v>
      </c>
      <c r="F305" s="6" t="s">
        <v>2918</v>
      </c>
      <c r="G305" s="6" t="str">
        <f>IFERROR(__xludf.DUMMYFUNCTION("FILTER(RAW_met_lieux_inclusion_numeriq!B:B,RAW_met_lieux_inclusion_numeriq!B:B=F305)"),"#N/A")</f>
        <v>#N/A</v>
      </c>
      <c r="H305" s="6" t="s">
        <v>2919</v>
      </c>
      <c r="I305" s="6" t="s">
        <v>2821</v>
      </c>
      <c r="J305" s="7" t="s">
        <v>1651</v>
      </c>
      <c r="K305" s="6" t="s">
        <v>1589</v>
      </c>
      <c r="L305" s="6" t="s">
        <v>1603</v>
      </c>
      <c r="M305" s="6" t="s">
        <v>2309</v>
      </c>
      <c r="N305" s="6" t="s">
        <v>1592</v>
      </c>
      <c r="O305" s="6" t="s">
        <v>1593</v>
      </c>
      <c r="P305" s="6" t="s">
        <v>1594</v>
      </c>
      <c r="Q305" s="7" t="s">
        <v>2304</v>
      </c>
      <c r="S305" s="6" t="s">
        <v>1595</v>
      </c>
      <c r="T305" s="6" t="s">
        <v>1596</v>
      </c>
    </row>
    <row r="306">
      <c r="A306" s="7" t="s">
        <v>2633</v>
      </c>
      <c r="B306" s="6" t="s">
        <v>1581</v>
      </c>
      <c r="C306" s="6" t="s">
        <v>1582</v>
      </c>
      <c r="D306" s="7" t="s">
        <v>2920</v>
      </c>
      <c r="E306" s="6" t="s">
        <v>2712</v>
      </c>
      <c r="F306" s="6" t="s">
        <v>2921</v>
      </c>
      <c r="G306" s="6" t="str">
        <f>IFERROR(__xludf.DUMMYFUNCTION("FILTER(RAW_met_lieux_inclusion_numeriq!B:B,RAW_met_lieux_inclusion_numeriq!B:B=F306)"),"#N/A")</f>
        <v>#N/A</v>
      </c>
      <c r="H306" s="6" t="s">
        <v>2922</v>
      </c>
      <c r="I306" s="6" t="s">
        <v>2715</v>
      </c>
      <c r="J306" s="7" t="s">
        <v>2923</v>
      </c>
      <c r="K306" s="6" t="s">
        <v>1589</v>
      </c>
      <c r="L306" s="6" t="s">
        <v>1603</v>
      </c>
      <c r="M306" s="6" t="s">
        <v>2924</v>
      </c>
      <c r="N306" s="6" t="s">
        <v>1592</v>
      </c>
      <c r="O306" s="6" t="s">
        <v>1593</v>
      </c>
      <c r="P306" s="6" t="s">
        <v>1594</v>
      </c>
      <c r="Q306" s="7" t="s">
        <v>2920</v>
      </c>
      <c r="S306" s="6" t="s">
        <v>1595</v>
      </c>
      <c r="T306" s="6" t="s">
        <v>1596</v>
      </c>
    </row>
    <row r="307">
      <c r="A307" s="7" t="s">
        <v>2633</v>
      </c>
      <c r="B307" s="6" t="s">
        <v>1581</v>
      </c>
      <c r="C307" s="6" t="s">
        <v>1582</v>
      </c>
      <c r="D307" s="7" t="s">
        <v>2925</v>
      </c>
      <c r="E307" s="6" t="s">
        <v>2712</v>
      </c>
      <c r="F307" s="6" t="s">
        <v>2926</v>
      </c>
      <c r="G307" s="6" t="str">
        <f>IFERROR(__xludf.DUMMYFUNCTION("FILTER(RAW_met_lieux_inclusion_numeriq!B:B,RAW_met_lieux_inclusion_numeriq!B:B=F307)"),"#N/A")</f>
        <v>#N/A</v>
      </c>
      <c r="H307" s="6" t="s">
        <v>2927</v>
      </c>
      <c r="I307" s="6" t="s">
        <v>2715</v>
      </c>
      <c r="J307" s="7" t="s">
        <v>2923</v>
      </c>
      <c r="K307" s="6" t="s">
        <v>1589</v>
      </c>
      <c r="L307" s="6" t="s">
        <v>1603</v>
      </c>
      <c r="M307" s="6" t="s">
        <v>2928</v>
      </c>
      <c r="N307" s="6" t="s">
        <v>1592</v>
      </c>
      <c r="O307" s="6" t="s">
        <v>1593</v>
      </c>
      <c r="P307" s="6" t="s">
        <v>1594</v>
      </c>
      <c r="Q307" s="7" t="s">
        <v>2925</v>
      </c>
      <c r="S307" s="6" t="s">
        <v>1595</v>
      </c>
      <c r="T307" s="6" t="s">
        <v>1596</v>
      </c>
    </row>
    <row r="308">
      <c r="A308" s="7" t="s">
        <v>2633</v>
      </c>
      <c r="B308" s="6" t="s">
        <v>1581</v>
      </c>
      <c r="C308" s="6" t="s">
        <v>1582</v>
      </c>
      <c r="D308" s="7" t="s">
        <v>2735</v>
      </c>
      <c r="E308" s="6" t="s">
        <v>2736</v>
      </c>
      <c r="F308" s="6" t="s">
        <v>2929</v>
      </c>
      <c r="G308" s="6" t="str">
        <f>IFERROR(__xludf.DUMMYFUNCTION("FILTER(RAW_met_lieux_inclusion_numeriq!B:B,RAW_met_lieux_inclusion_numeriq!B:B=F308)"),"#N/A")</f>
        <v>#N/A</v>
      </c>
      <c r="H308" s="6" t="s">
        <v>2930</v>
      </c>
      <c r="I308" s="6" t="s">
        <v>1601</v>
      </c>
      <c r="J308" s="7" t="s">
        <v>1665</v>
      </c>
      <c r="K308" s="6" t="s">
        <v>1589</v>
      </c>
      <c r="L308" s="6" t="s">
        <v>1603</v>
      </c>
      <c r="M308" s="6" t="s">
        <v>2739</v>
      </c>
      <c r="N308" s="6" t="s">
        <v>1592</v>
      </c>
      <c r="O308" s="6" t="s">
        <v>1593</v>
      </c>
      <c r="P308" s="6" t="s">
        <v>1594</v>
      </c>
      <c r="Q308" s="7" t="s">
        <v>2735</v>
      </c>
      <c r="S308" s="6" t="s">
        <v>1601</v>
      </c>
      <c r="T308" s="6" t="s">
        <v>1596</v>
      </c>
    </row>
    <row r="309">
      <c r="A309" s="7" t="s">
        <v>2633</v>
      </c>
      <c r="B309" s="6" t="s">
        <v>1581</v>
      </c>
      <c r="C309" s="6" t="s">
        <v>1582</v>
      </c>
      <c r="D309" s="7" t="s">
        <v>2711</v>
      </c>
      <c r="E309" s="6" t="s">
        <v>2931</v>
      </c>
      <c r="F309" s="6" t="s">
        <v>2932</v>
      </c>
      <c r="G309" s="6" t="str">
        <f>IFERROR(__xludf.DUMMYFUNCTION("FILTER(RAW_met_lieux_inclusion_numeriq!B:B,RAW_met_lieux_inclusion_numeriq!B:B=F309)"),"#N/A")</f>
        <v>#N/A</v>
      </c>
      <c r="H309" s="6" t="s">
        <v>2933</v>
      </c>
      <c r="I309" s="6" t="s">
        <v>1601</v>
      </c>
      <c r="J309" s="7" t="s">
        <v>1714</v>
      </c>
      <c r="K309" s="6" t="s">
        <v>1589</v>
      </c>
      <c r="L309" s="6" t="s">
        <v>1603</v>
      </c>
      <c r="M309" s="6" t="s">
        <v>2717</v>
      </c>
      <c r="N309" s="6" t="s">
        <v>1592</v>
      </c>
      <c r="O309" s="6" t="s">
        <v>1593</v>
      </c>
      <c r="P309" s="6" t="s">
        <v>1594</v>
      </c>
      <c r="Q309" s="7" t="s">
        <v>2711</v>
      </c>
      <c r="S309" s="6" t="s">
        <v>1601</v>
      </c>
      <c r="T309" s="6" t="s">
        <v>1596</v>
      </c>
    </row>
    <row r="310">
      <c r="A310" s="7" t="s">
        <v>2633</v>
      </c>
      <c r="B310" s="6" t="s">
        <v>1581</v>
      </c>
      <c r="C310" s="6" t="s">
        <v>1582</v>
      </c>
      <c r="D310" s="7" t="s">
        <v>2731</v>
      </c>
      <c r="E310" s="6" t="s">
        <v>2732</v>
      </c>
      <c r="F310" s="6" t="s">
        <v>2934</v>
      </c>
      <c r="G310" s="6" t="str">
        <f>IFERROR(__xludf.DUMMYFUNCTION("FILTER(RAW_met_lieux_inclusion_numeriq!B:B,RAW_met_lieux_inclusion_numeriq!B:B=F310)"),"#N/A")</f>
        <v>#N/A</v>
      </c>
      <c r="H310" s="6" t="s">
        <v>1762</v>
      </c>
      <c r="I310" s="6" t="s">
        <v>2733</v>
      </c>
      <c r="J310" s="7" t="s">
        <v>1870</v>
      </c>
      <c r="K310" s="6" t="s">
        <v>1589</v>
      </c>
      <c r="L310" s="6" t="s">
        <v>1603</v>
      </c>
      <c r="M310" s="6" t="s">
        <v>2734</v>
      </c>
      <c r="N310" s="6" t="s">
        <v>1592</v>
      </c>
      <c r="O310" s="6" t="s">
        <v>1593</v>
      </c>
      <c r="P310" s="6" t="s">
        <v>1594</v>
      </c>
      <c r="Q310" s="7" t="s">
        <v>2731</v>
      </c>
      <c r="S310" s="6" t="s">
        <v>1595</v>
      </c>
      <c r="T310" s="6" t="s">
        <v>1634</v>
      </c>
    </row>
    <row r="311">
      <c r="A311" s="7" t="s">
        <v>2740</v>
      </c>
      <c r="B311" s="6" t="s">
        <v>1581</v>
      </c>
      <c r="C311" s="6" t="s">
        <v>1582</v>
      </c>
      <c r="D311" s="7" t="s">
        <v>2741</v>
      </c>
      <c r="E311" s="6" t="s">
        <v>2296</v>
      </c>
      <c r="F311" s="6" t="s">
        <v>2297</v>
      </c>
      <c r="G311" s="6" t="str">
        <f>IFERROR(__xludf.DUMMYFUNCTION("FILTER(RAW_met_lieux_inclusion_numeriq!B:B,RAW_met_lieux_inclusion_numeriq!B:B=F311)"),"#N/A")</f>
        <v>#N/A</v>
      </c>
      <c r="H311" s="6" t="s">
        <v>2742</v>
      </c>
      <c r="I311" s="6" t="s">
        <v>2935</v>
      </c>
      <c r="J311" s="7" t="s">
        <v>1714</v>
      </c>
      <c r="K311" s="6" t="s">
        <v>1589</v>
      </c>
      <c r="L311" s="6" t="s">
        <v>1603</v>
      </c>
      <c r="M311" s="6" t="s">
        <v>2744</v>
      </c>
      <c r="N311" s="6" t="s">
        <v>1592</v>
      </c>
      <c r="O311" s="6" t="s">
        <v>1593</v>
      </c>
      <c r="P311" s="6" t="s">
        <v>1594</v>
      </c>
      <c r="Q311" s="7" t="s">
        <v>2741</v>
      </c>
      <c r="S311" s="6" t="s">
        <v>1595</v>
      </c>
      <c r="T311" s="6" t="s">
        <v>1596</v>
      </c>
    </row>
    <row r="312">
      <c r="A312" s="7" t="s">
        <v>2740</v>
      </c>
      <c r="B312" s="6" t="s">
        <v>1581</v>
      </c>
      <c r="C312" s="6" t="s">
        <v>1582</v>
      </c>
      <c r="D312" s="7" t="s">
        <v>2936</v>
      </c>
      <c r="E312" s="6" t="s">
        <v>2937</v>
      </c>
      <c r="F312" s="6" t="s">
        <v>2938</v>
      </c>
      <c r="G312" s="6" t="str">
        <f>IFERROR(__xludf.DUMMYFUNCTION("FILTER(RAW_met_lieux_inclusion_numeriq!B:B,RAW_met_lieux_inclusion_numeriq!B:B=F312)"),"#N/A")</f>
        <v>#N/A</v>
      </c>
      <c r="H312" s="6" t="s">
        <v>2939</v>
      </c>
      <c r="I312" s="6" t="s">
        <v>2940</v>
      </c>
      <c r="J312" s="7" t="s">
        <v>2941</v>
      </c>
      <c r="K312" s="6" t="s">
        <v>1589</v>
      </c>
      <c r="L312" s="6" t="s">
        <v>1603</v>
      </c>
      <c r="M312" s="6" t="s">
        <v>2942</v>
      </c>
      <c r="N312" s="6" t="s">
        <v>1592</v>
      </c>
      <c r="O312" s="6" t="s">
        <v>1593</v>
      </c>
      <c r="P312" s="6" t="s">
        <v>1594</v>
      </c>
      <c r="Q312" s="7" t="s">
        <v>2936</v>
      </c>
      <c r="S312" s="6" t="s">
        <v>1595</v>
      </c>
      <c r="T312" s="6" t="s">
        <v>1596</v>
      </c>
    </row>
    <row r="313">
      <c r="A313" s="7" t="s">
        <v>2740</v>
      </c>
      <c r="B313" s="6" t="s">
        <v>1581</v>
      </c>
      <c r="C313" s="6" t="s">
        <v>1582</v>
      </c>
      <c r="D313" s="7" t="s">
        <v>2943</v>
      </c>
      <c r="E313" s="6" t="s">
        <v>2944</v>
      </c>
      <c r="F313" s="6" t="s">
        <v>2945</v>
      </c>
      <c r="G313" s="6" t="str">
        <f>IFERROR(__xludf.DUMMYFUNCTION("FILTER(RAW_met_lieux_inclusion_numeriq!B:B,RAW_met_lieux_inclusion_numeriq!B:B=F313)"),"#N/A")</f>
        <v>#N/A</v>
      </c>
      <c r="H313" s="6" t="s">
        <v>2946</v>
      </c>
      <c r="I313" s="6" t="s">
        <v>2947</v>
      </c>
      <c r="J313" s="7" t="s">
        <v>1992</v>
      </c>
      <c r="K313" s="6" t="s">
        <v>1589</v>
      </c>
      <c r="L313" s="6" t="s">
        <v>1603</v>
      </c>
      <c r="M313" s="6" t="s">
        <v>2948</v>
      </c>
      <c r="N313" s="6" t="s">
        <v>1592</v>
      </c>
      <c r="O313" s="6" t="s">
        <v>1593</v>
      </c>
      <c r="P313" s="6" t="s">
        <v>1594</v>
      </c>
      <c r="Q313" s="7" t="s">
        <v>2943</v>
      </c>
      <c r="S313" s="6" t="s">
        <v>1595</v>
      </c>
      <c r="T313" s="6" t="s">
        <v>1596</v>
      </c>
    </row>
    <row r="314">
      <c r="A314" s="7" t="s">
        <v>2740</v>
      </c>
      <c r="B314" s="6" t="s">
        <v>1581</v>
      </c>
      <c r="C314" s="6" t="s">
        <v>1582</v>
      </c>
      <c r="D314" s="7" t="s">
        <v>2936</v>
      </c>
      <c r="E314" s="6" t="s">
        <v>2949</v>
      </c>
      <c r="F314" s="6" t="s">
        <v>2950</v>
      </c>
      <c r="G314" s="6" t="str">
        <f>IFERROR(__xludf.DUMMYFUNCTION("FILTER(RAW_met_lieux_inclusion_numeriq!B:B,RAW_met_lieux_inclusion_numeriq!B:B=F314)"),"#N/A")</f>
        <v>#N/A</v>
      </c>
      <c r="H314" s="6" t="s">
        <v>2951</v>
      </c>
      <c r="I314" s="6" t="s">
        <v>2952</v>
      </c>
      <c r="J314" s="7" t="s">
        <v>2953</v>
      </c>
      <c r="K314" s="6" t="s">
        <v>1589</v>
      </c>
      <c r="L314" s="6" t="s">
        <v>1603</v>
      </c>
      <c r="M314" s="6" t="s">
        <v>2942</v>
      </c>
      <c r="N314" s="6" t="s">
        <v>1592</v>
      </c>
      <c r="O314" s="6" t="s">
        <v>1593</v>
      </c>
      <c r="P314" s="6" t="s">
        <v>1594</v>
      </c>
      <c r="Q314" s="7" t="s">
        <v>2936</v>
      </c>
      <c r="S314" s="6" t="s">
        <v>1595</v>
      </c>
      <c r="T314" s="6" t="s">
        <v>1596</v>
      </c>
    </row>
    <row r="315">
      <c r="A315" s="7" t="s">
        <v>2740</v>
      </c>
      <c r="B315" s="6" t="s">
        <v>1581</v>
      </c>
      <c r="C315" s="6" t="s">
        <v>1582</v>
      </c>
      <c r="D315" s="7" t="s">
        <v>2882</v>
      </c>
      <c r="E315" s="6" t="s">
        <v>2954</v>
      </c>
      <c r="F315" s="6" t="s">
        <v>2955</v>
      </c>
      <c r="G315" s="6" t="str">
        <f>IFERROR(__xludf.DUMMYFUNCTION("FILTER(RAW_met_lieux_inclusion_numeriq!B:B,RAW_met_lieux_inclusion_numeriq!B:B=F315)"),"#N/A")</f>
        <v>#N/A</v>
      </c>
      <c r="H315" s="6" t="s">
        <v>2956</v>
      </c>
      <c r="I315" s="6" t="s">
        <v>1601</v>
      </c>
      <c r="J315" s="7" t="s">
        <v>1714</v>
      </c>
      <c r="K315" s="6" t="s">
        <v>1589</v>
      </c>
      <c r="L315" s="6" t="s">
        <v>1603</v>
      </c>
      <c r="M315" s="6" t="s">
        <v>2886</v>
      </c>
      <c r="N315" s="6" t="s">
        <v>1592</v>
      </c>
      <c r="O315" s="6" t="s">
        <v>1593</v>
      </c>
      <c r="P315" s="6" t="s">
        <v>1594</v>
      </c>
      <c r="Q315" s="7" t="s">
        <v>2882</v>
      </c>
      <c r="S315" s="6" t="s">
        <v>1601</v>
      </c>
      <c r="T315" s="6" t="s">
        <v>1596</v>
      </c>
    </row>
    <row r="316">
      <c r="A316" s="7" t="s">
        <v>2740</v>
      </c>
      <c r="B316" s="6" t="s">
        <v>1581</v>
      </c>
      <c r="C316" s="6" t="s">
        <v>1582</v>
      </c>
      <c r="D316" s="7" t="s">
        <v>2957</v>
      </c>
      <c r="E316" s="6" t="s">
        <v>2766</v>
      </c>
      <c r="F316" s="6" t="s">
        <v>2958</v>
      </c>
      <c r="G316" s="6" t="str">
        <f>IFERROR(__xludf.DUMMYFUNCTION("FILTER(RAW_met_lieux_inclusion_numeriq!B:B,RAW_met_lieux_inclusion_numeriq!B:B=F316)"),"#N/A")</f>
        <v>#N/A</v>
      </c>
      <c r="H316" s="6" t="s">
        <v>2959</v>
      </c>
      <c r="I316" s="6" t="s">
        <v>1601</v>
      </c>
      <c r="J316" s="7" t="s">
        <v>1711</v>
      </c>
      <c r="K316" s="6" t="s">
        <v>1589</v>
      </c>
      <c r="L316" s="6" t="s">
        <v>1590</v>
      </c>
      <c r="M316" s="6" t="s">
        <v>2960</v>
      </c>
      <c r="N316" s="6" t="s">
        <v>1592</v>
      </c>
      <c r="O316" s="6" t="s">
        <v>1593</v>
      </c>
      <c r="P316" s="6" t="s">
        <v>1594</v>
      </c>
      <c r="Q316" s="7" t="s">
        <v>2957</v>
      </c>
      <c r="S316" s="6" t="s">
        <v>1601</v>
      </c>
      <c r="T316" s="6" t="s">
        <v>1596</v>
      </c>
    </row>
    <row r="317">
      <c r="A317" s="7" t="s">
        <v>2740</v>
      </c>
      <c r="B317" s="6" t="s">
        <v>1581</v>
      </c>
      <c r="C317" s="6" t="s">
        <v>1582</v>
      </c>
      <c r="D317" s="7" t="s">
        <v>2755</v>
      </c>
      <c r="E317" s="6" t="s">
        <v>2961</v>
      </c>
      <c r="F317" s="6" t="s">
        <v>2962</v>
      </c>
      <c r="G317" s="6" t="str">
        <f>IFERROR(__xludf.DUMMYFUNCTION("FILTER(RAW_met_lieux_inclusion_numeriq!B:B,RAW_met_lieux_inclusion_numeriq!B:B=F317)"),"#N/A")</f>
        <v>#N/A</v>
      </c>
      <c r="H317" s="6" t="s">
        <v>2963</v>
      </c>
      <c r="I317" s="6" t="s">
        <v>2757</v>
      </c>
      <c r="J317" s="7" t="s">
        <v>2964</v>
      </c>
      <c r="K317" s="6" t="s">
        <v>1589</v>
      </c>
      <c r="L317" s="6" t="s">
        <v>1603</v>
      </c>
      <c r="M317" s="6" t="s">
        <v>2758</v>
      </c>
      <c r="N317" s="6" t="s">
        <v>1592</v>
      </c>
      <c r="O317" s="6" t="s">
        <v>1593</v>
      </c>
      <c r="P317" s="6" t="s">
        <v>1594</v>
      </c>
      <c r="Q317" s="7" t="s">
        <v>2755</v>
      </c>
      <c r="S317" s="6" t="s">
        <v>1595</v>
      </c>
      <c r="T317" s="6" t="s">
        <v>1605</v>
      </c>
    </row>
    <row r="318">
      <c r="A318" s="7" t="s">
        <v>2740</v>
      </c>
      <c r="B318" s="6" t="s">
        <v>1581</v>
      </c>
      <c r="C318" s="6" t="s">
        <v>1582</v>
      </c>
      <c r="D318" s="7" t="s">
        <v>2965</v>
      </c>
      <c r="E318" s="6" t="s">
        <v>2766</v>
      </c>
      <c r="F318" s="6" t="s">
        <v>1825</v>
      </c>
      <c r="G318" s="6" t="str">
        <f>IFERROR(__xludf.DUMMYFUNCTION("FILTER(RAW_met_lieux_inclusion_numeriq!B:B,RAW_met_lieux_inclusion_numeriq!B:B=F318)"),"#N/A")</f>
        <v>#N/A</v>
      </c>
      <c r="H318" s="6" t="s">
        <v>1959</v>
      </c>
      <c r="I318" s="6" t="s">
        <v>1601</v>
      </c>
      <c r="J318" s="7" t="s">
        <v>1651</v>
      </c>
      <c r="K318" s="6" t="s">
        <v>1589</v>
      </c>
      <c r="L318" s="6" t="s">
        <v>1603</v>
      </c>
      <c r="M318" s="6" t="s">
        <v>2966</v>
      </c>
      <c r="N318" s="6" t="s">
        <v>1592</v>
      </c>
      <c r="O318" s="6" t="s">
        <v>1593</v>
      </c>
      <c r="P318" s="6" t="s">
        <v>1594</v>
      </c>
      <c r="Q318" s="7" t="s">
        <v>2965</v>
      </c>
      <c r="S318" s="6" t="s">
        <v>1601</v>
      </c>
      <c r="T318" s="6" t="s">
        <v>1596</v>
      </c>
    </row>
    <row r="319">
      <c r="A319" s="7" t="s">
        <v>2740</v>
      </c>
      <c r="B319" s="6" t="s">
        <v>1581</v>
      </c>
      <c r="C319" s="6" t="s">
        <v>1582</v>
      </c>
      <c r="D319" s="7" t="s">
        <v>2967</v>
      </c>
      <c r="E319" s="6" t="s">
        <v>2968</v>
      </c>
      <c r="F319" s="6" t="s">
        <v>2969</v>
      </c>
      <c r="G319" s="6" t="str">
        <f>IFERROR(__xludf.DUMMYFUNCTION("FILTER(RAW_met_lieux_inclusion_numeriq!B:B,RAW_met_lieux_inclusion_numeriq!B:B=F319)"),"#N/A")</f>
        <v>#N/A</v>
      </c>
      <c r="H319" s="6" t="s">
        <v>2970</v>
      </c>
      <c r="I319" s="6" t="s">
        <v>2971</v>
      </c>
      <c r="J319" s="7" t="s">
        <v>2086</v>
      </c>
      <c r="K319" s="6" t="s">
        <v>1589</v>
      </c>
      <c r="L319" s="6" t="s">
        <v>1603</v>
      </c>
      <c r="M319" s="6" t="s">
        <v>2972</v>
      </c>
      <c r="N319" s="6" t="s">
        <v>1592</v>
      </c>
      <c r="O319" s="6" t="s">
        <v>1593</v>
      </c>
      <c r="P319" s="6" t="s">
        <v>1594</v>
      </c>
      <c r="Q319" s="7" t="s">
        <v>2967</v>
      </c>
      <c r="S319" s="6" t="s">
        <v>1595</v>
      </c>
      <c r="T319" s="6" t="s">
        <v>1605</v>
      </c>
    </row>
    <row r="320">
      <c r="A320" s="7" t="s">
        <v>2740</v>
      </c>
      <c r="B320" s="6" t="s">
        <v>1581</v>
      </c>
      <c r="C320" s="6" t="s">
        <v>1582</v>
      </c>
      <c r="D320" s="7" t="s">
        <v>2973</v>
      </c>
      <c r="E320" s="6" t="s">
        <v>2974</v>
      </c>
      <c r="F320" s="6" t="s">
        <v>1942</v>
      </c>
      <c r="G320" s="6" t="str">
        <f>IFERROR(__xludf.DUMMYFUNCTION("FILTER(RAW_met_lieux_inclusion_numeriq!B:B,RAW_met_lieux_inclusion_numeriq!B:B=F320)"),"#N/A")</f>
        <v>#N/A</v>
      </c>
      <c r="H320" s="6" t="s">
        <v>1943</v>
      </c>
      <c r="I320" s="6" t="s">
        <v>2975</v>
      </c>
      <c r="J320" s="7" t="s">
        <v>1588</v>
      </c>
      <c r="K320" s="6" t="s">
        <v>1589</v>
      </c>
      <c r="L320" s="6" t="s">
        <v>1603</v>
      </c>
      <c r="M320" s="6" t="s">
        <v>2976</v>
      </c>
      <c r="N320" s="6" t="s">
        <v>1592</v>
      </c>
      <c r="O320" s="6" t="s">
        <v>1593</v>
      </c>
      <c r="P320" s="6" t="s">
        <v>1594</v>
      </c>
      <c r="Q320" s="7" t="s">
        <v>2973</v>
      </c>
      <c r="S320" s="6" t="s">
        <v>1595</v>
      </c>
      <c r="T320" s="6" t="s">
        <v>1596</v>
      </c>
    </row>
    <row r="321">
      <c r="A321" s="7" t="s">
        <v>2740</v>
      </c>
      <c r="B321" s="6" t="s">
        <v>1581</v>
      </c>
      <c r="C321" s="6" t="s">
        <v>1582</v>
      </c>
      <c r="D321" s="7" t="s">
        <v>2977</v>
      </c>
      <c r="E321" s="6" t="s">
        <v>2978</v>
      </c>
      <c r="F321" s="6" t="s">
        <v>2284</v>
      </c>
      <c r="G321" s="6" t="str">
        <f>IFERROR(__xludf.DUMMYFUNCTION("FILTER(RAW_met_lieux_inclusion_numeriq!B:B,RAW_met_lieux_inclusion_numeriq!B:B=F321)"),"#N/A")</f>
        <v>#N/A</v>
      </c>
      <c r="H321" s="6" t="s">
        <v>1966</v>
      </c>
      <c r="I321" s="6" t="s">
        <v>2548</v>
      </c>
      <c r="J321" s="7" t="s">
        <v>1992</v>
      </c>
      <c r="K321" s="6" t="s">
        <v>1589</v>
      </c>
      <c r="L321" s="6" t="s">
        <v>1590</v>
      </c>
      <c r="M321" s="6" t="s">
        <v>2979</v>
      </c>
      <c r="N321" s="6" t="s">
        <v>1592</v>
      </c>
      <c r="O321" s="6" t="s">
        <v>1593</v>
      </c>
      <c r="P321" s="6" t="s">
        <v>1594</v>
      </c>
      <c r="Q321" s="7" t="s">
        <v>2977</v>
      </c>
      <c r="S321" s="6" t="s">
        <v>1595</v>
      </c>
      <c r="T321" s="6" t="s">
        <v>1596</v>
      </c>
    </row>
    <row r="322">
      <c r="A322" s="7" t="s">
        <v>2740</v>
      </c>
      <c r="B322" s="6" t="s">
        <v>1581</v>
      </c>
      <c r="C322" s="6" t="s">
        <v>1582</v>
      </c>
      <c r="D322" s="7" t="s">
        <v>2775</v>
      </c>
      <c r="E322" s="6" t="s">
        <v>2776</v>
      </c>
      <c r="F322" s="6" t="s">
        <v>2777</v>
      </c>
      <c r="G322" s="6" t="str">
        <f>IFERROR(__xludf.DUMMYFUNCTION("FILTER(RAW_met_lieux_inclusion_numeriq!B:B,RAW_met_lieux_inclusion_numeriq!B:B=F322)"),"#N/A")</f>
        <v>#N/A</v>
      </c>
      <c r="H322" s="6" t="s">
        <v>2147</v>
      </c>
      <c r="I322" s="6" t="s">
        <v>2980</v>
      </c>
      <c r="J322" s="7" t="s">
        <v>2981</v>
      </c>
      <c r="K322" s="6" t="s">
        <v>1589</v>
      </c>
      <c r="L322" s="6" t="s">
        <v>1603</v>
      </c>
      <c r="M322" s="6" t="s">
        <v>2779</v>
      </c>
      <c r="N322" s="6" t="s">
        <v>1592</v>
      </c>
      <c r="O322" s="6" t="s">
        <v>1593</v>
      </c>
      <c r="P322" s="6" t="s">
        <v>1594</v>
      </c>
      <c r="Q322" s="7" t="s">
        <v>2775</v>
      </c>
      <c r="S322" s="6" t="s">
        <v>1595</v>
      </c>
      <c r="T322" s="6" t="s">
        <v>1596</v>
      </c>
    </row>
    <row r="323">
      <c r="A323" s="7" t="s">
        <v>2740</v>
      </c>
      <c r="B323" s="6" t="s">
        <v>1581</v>
      </c>
      <c r="C323" s="6" t="s">
        <v>1582</v>
      </c>
      <c r="D323" s="7" t="s">
        <v>2982</v>
      </c>
      <c r="E323" s="6" t="s">
        <v>2983</v>
      </c>
      <c r="F323" s="6" t="s">
        <v>2984</v>
      </c>
      <c r="G323" s="6" t="str">
        <f>IFERROR(__xludf.DUMMYFUNCTION("FILTER(RAW_met_lieux_inclusion_numeriq!B:B,RAW_met_lieux_inclusion_numeriq!B:B=F323)"),"#N/A")</f>
        <v>#N/A</v>
      </c>
      <c r="H323" s="6" t="s">
        <v>1856</v>
      </c>
      <c r="I323" s="6" t="s">
        <v>2544</v>
      </c>
      <c r="J323" s="7" t="s">
        <v>1832</v>
      </c>
      <c r="K323" s="6" t="s">
        <v>1589</v>
      </c>
      <c r="L323" s="6" t="s">
        <v>1603</v>
      </c>
      <c r="M323" s="6" t="s">
        <v>2985</v>
      </c>
      <c r="N323" s="6" t="s">
        <v>1592</v>
      </c>
      <c r="O323" s="6" t="s">
        <v>1593</v>
      </c>
      <c r="P323" s="6" t="s">
        <v>1594</v>
      </c>
      <c r="Q323" s="7" t="s">
        <v>2982</v>
      </c>
      <c r="S323" s="6" t="s">
        <v>1595</v>
      </c>
      <c r="T323" s="6" t="s">
        <v>1605</v>
      </c>
    </row>
    <row r="324">
      <c r="A324" s="7" t="s">
        <v>2740</v>
      </c>
      <c r="B324" s="6" t="s">
        <v>1581</v>
      </c>
      <c r="C324" s="6" t="s">
        <v>1582</v>
      </c>
      <c r="D324" s="7" t="s">
        <v>2986</v>
      </c>
      <c r="E324" s="6" t="s">
        <v>2987</v>
      </c>
      <c r="F324" s="6" t="s">
        <v>2988</v>
      </c>
      <c r="G324" s="6" t="str">
        <f>IFERROR(__xludf.DUMMYFUNCTION("FILTER(RAW_met_lieux_inclusion_numeriq!B:B,RAW_met_lieux_inclusion_numeriq!B:B=F324)"),"#N/A")</f>
        <v>#N/A</v>
      </c>
      <c r="H324" s="6" t="s">
        <v>1868</v>
      </c>
      <c r="I324" s="6" t="s">
        <v>1601</v>
      </c>
      <c r="J324" s="7" t="s">
        <v>1922</v>
      </c>
      <c r="K324" s="6" t="s">
        <v>1589</v>
      </c>
      <c r="L324" s="6" t="s">
        <v>1603</v>
      </c>
      <c r="M324" s="6" t="s">
        <v>2989</v>
      </c>
      <c r="N324" s="6" t="s">
        <v>1592</v>
      </c>
      <c r="O324" s="6" t="s">
        <v>1593</v>
      </c>
      <c r="P324" s="6" t="s">
        <v>1594</v>
      </c>
      <c r="Q324" s="7" t="s">
        <v>2986</v>
      </c>
      <c r="S324" s="6" t="s">
        <v>1601</v>
      </c>
      <c r="T324" s="6" t="s">
        <v>1634</v>
      </c>
    </row>
    <row r="325">
      <c r="A325" s="7" t="s">
        <v>2740</v>
      </c>
      <c r="B325" s="6" t="s">
        <v>1581</v>
      </c>
      <c r="C325" s="6" t="s">
        <v>1582</v>
      </c>
      <c r="D325" s="7" t="s">
        <v>2784</v>
      </c>
      <c r="E325" s="6" t="s">
        <v>2990</v>
      </c>
      <c r="F325" s="6" t="s">
        <v>1984</v>
      </c>
      <c r="G325" s="6" t="str">
        <f>IFERROR(__xludf.DUMMYFUNCTION("FILTER(RAW_met_lieux_inclusion_numeriq!B:B,RAW_met_lieux_inclusion_numeriq!B:B=F325)"),"#N/A")</f>
        <v>#N/A</v>
      </c>
      <c r="H325" s="6" t="s">
        <v>1985</v>
      </c>
      <c r="I325" s="6" t="s">
        <v>1601</v>
      </c>
      <c r="J325" s="7" t="s">
        <v>1671</v>
      </c>
      <c r="K325" s="6" t="s">
        <v>1589</v>
      </c>
      <c r="L325" s="6" t="s">
        <v>1603</v>
      </c>
      <c r="M325" s="6" t="s">
        <v>2788</v>
      </c>
      <c r="N325" s="6" t="s">
        <v>1592</v>
      </c>
      <c r="O325" s="6" t="s">
        <v>1593</v>
      </c>
      <c r="P325" s="6" t="s">
        <v>1594</v>
      </c>
      <c r="Q325" s="7" t="s">
        <v>2784</v>
      </c>
      <c r="S325" s="6" t="s">
        <v>1601</v>
      </c>
      <c r="T325" s="6" t="s">
        <v>1596</v>
      </c>
    </row>
    <row r="326">
      <c r="A326" s="7" t="s">
        <v>2783</v>
      </c>
      <c r="B326" s="6" t="s">
        <v>1581</v>
      </c>
      <c r="C326" s="6" t="s">
        <v>1582</v>
      </c>
      <c r="D326" s="7" t="s">
        <v>2784</v>
      </c>
      <c r="E326" s="6" t="s">
        <v>2785</v>
      </c>
      <c r="F326" s="6" t="s">
        <v>2786</v>
      </c>
      <c r="G326" s="6" t="str">
        <f>IFERROR(__xludf.DUMMYFUNCTION("FILTER(RAW_met_lieux_inclusion_numeriq!B:B,RAW_met_lieux_inclusion_numeriq!B:B=F326)"),"#N/A")</f>
        <v>#N/A</v>
      </c>
      <c r="H326" s="6" t="s">
        <v>1630</v>
      </c>
      <c r="I326" s="6" t="s">
        <v>1631</v>
      </c>
      <c r="J326" s="7" t="s">
        <v>2991</v>
      </c>
      <c r="K326" s="6" t="s">
        <v>1589</v>
      </c>
      <c r="L326" s="6" t="s">
        <v>1603</v>
      </c>
      <c r="M326" s="6" t="s">
        <v>2788</v>
      </c>
      <c r="N326" s="6" t="s">
        <v>1592</v>
      </c>
      <c r="O326" s="6" t="s">
        <v>1593</v>
      </c>
      <c r="P326" s="6" t="s">
        <v>1594</v>
      </c>
      <c r="Q326" s="7" t="s">
        <v>2784</v>
      </c>
      <c r="S326" s="6" t="s">
        <v>1595</v>
      </c>
      <c r="T326" s="6" t="s">
        <v>1634</v>
      </c>
    </row>
    <row r="327">
      <c r="A327" s="7" t="s">
        <v>2783</v>
      </c>
      <c r="B327" s="6" t="s">
        <v>1581</v>
      </c>
      <c r="C327" s="6" t="s">
        <v>1582</v>
      </c>
      <c r="D327" s="7" t="s">
        <v>2780</v>
      </c>
      <c r="E327" s="6" t="s">
        <v>2992</v>
      </c>
      <c r="F327" s="6" t="s">
        <v>2993</v>
      </c>
      <c r="G327" s="6" t="str">
        <f>IFERROR(__xludf.DUMMYFUNCTION("FILTER(RAW_met_lieux_inclusion_numeriq!B:B,RAW_met_lieux_inclusion_numeriq!B:B=F327)"),"#N/A")</f>
        <v>#N/A</v>
      </c>
      <c r="H327" s="6" t="s">
        <v>2994</v>
      </c>
      <c r="I327" s="6" t="s">
        <v>2995</v>
      </c>
      <c r="J327" s="7" t="s">
        <v>2996</v>
      </c>
      <c r="K327" s="6" t="s">
        <v>1589</v>
      </c>
      <c r="L327" s="6" t="s">
        <v>1603</v>
      </c>
      <c r="M327" s="6" t="s">
        <v>2782</v>
      </c>
      <c r="N327" s="6" t="s">
        <v>1592</v>
      </c>
      <c r="O327" s="6" t="s">
        <v>1593</v>
      </c>
      <c r="P327" s="6" t="s">
        <v>1594</v>
      </c>
      <c r="Q327" s="7" t="s">
        <v>2780</v>
      </c>
      <c r="S327" s="6" t="s">
        <v>1595</v>
      </c>
      <c r="T327" s="6" t="s">
        <v>1645</v>
      </c>
    </row>
    <row r="328">
      <c r="A328" s="7" t="s">
        <v>2783</v>
      </c>
      <c r="B328" s="6" t="s">
        <v>1581</v>
      </c>
      <c r="C328" s="6" t="s">
        <v>1582</v>
      </c>
      <c r="D328" s="7" t="s">
        <v>2997</v>
      </c>
      <c r="E328" s="6" t="s">
        <v>2998</v>
      </c>
      <c r="F328" s="6" t="s">
        <v>2999</v>
      </c>
      <c r="G328" s="6" t="str">
        <f>IFERROR(__xludf.DUMMYFUNCTION("FILTER(RAW_met_lieux_inclusion_numeriq!B:B,RAW_met_lieux_inclusion_numeriq!B:B=F328)"),"#N/A")</f>
        <v>#N/A</v>
      </c>
      <c r="H328" s="6" t="s">
        <v>3000</v>
      </c>
      <c r="I328" s="6" t="s">
        <v>3001</v>
      </c>
      <c r="J328" s="7" t="s">
        <v>1910</v>
      </c>
      <c r="K328" s="6" t="s">
        <v>1589</v>
      </c>
      <c r="L328" s="6" t="s">
        <v>1603</v>
      </c>
      <c r="M328" s="6" t="s">
        <v>3002</v>
      </c>
      <c r="N328" s="6" t="s">
        <v>1592</v>
      </c>
      <c r="O328" s="6" t="s">
        <v>1593</v>
      </c>
      <c r="P328" s="6" t="s">
        <v>1594</v>
      </c>
      <c r="Q328" s="7" t="s">
        <v>2997</v>
      </c>
      <c r="S328" s="6" t="s">
        <v>1595</v>
      </c>
      <c r="T328" s="6" t="s">
        <v>1634</v>
      </c>
    </row>
    <row r="329">
      <c r="A329" s="7" t="s">
        <v>2783</v>
      </c>
      <c r="B329" s="6" t="s">
        <v>1581</v>
      </c>
      <c r="C329" s="6" t="s">
        <v>1582</v>
      </c>
      <c r="D329" s="7" t="s">
        <v>3003</v>
      </c>
      <c r="E329" s="6" t="s">
        <v>3004</v>
      </c>
      <c r="F329" s="6" t="s">
        <v>2151</v>
      </c>
      <c r="G329" s="6" t="str">
        <f>IFERROR(__xludf.DUMMYFUNCTION("FILTER(RAW_met_lieux_inclusion_numeriq!B:B,RAW_met_lieux_inclusion_numeriq!B:B=F329)"),"#N/A")</f>
        <v>#N/A</v>
      </c>
      <c r="H329" s="6" t="s">
        <v>3005</v>
      </c>
      <c r="I329" s="6" t="s">
        <v>1601</v>
      </c>
      <c r="J329" s="7" t="s">
        <v>1832</v>
      </c>
      <c r="K329" s="6" t="s">
        <v>1589</v>
      </c>
      <c r="L329" s="6" t="s">
        <v>1603</v>
      </c>
      <c r="M329" s="6" t="s">
        <v>3006</v>
      </c>
      <c r="N329" s="6" t="s">
        <v>1592</v>
      </c>
      <c r="O329" s="6" t="s">
        <v>1593</v>
      </c>
      <c r="P329" s="6" t="s">
        <v>1594</v>
      </c>
      <c r="Q329" s="7" t="s">
        <v>3003</v>
      </c>
      <c r="S329" s="6" t="s">
        <v>1601</v>
      </c>
      <c r="T329" s="6" t="s">
        <v>1605</v>
      </c>
    </row>
    <row r="330">
      <c r="A330" s="7" t="s">
        <v>2783</v>
      </c>
      <c r="B330" s="6" t="s">
        <v>1581</v>
      </c>
      <c r="C330" s="6" t="s">
        <v>1582</v>
      </c>
      <c r="D330" s="7" t="s">
        <v>2793</v>
      </c>
      <c r="E330" s="6" t="s">
        <v>2794</v>
      </c>
      <c r="F330" s="6" t="s">
        <v>2879</v>
      </c>
      <c r="G330" s="6" t="str">
        <f>IFERROR(__xludf.DUMMYFUNCTION("FILTER(RAW_met_lieux_inclusion_numeriq!B:B,RAW_met_lieux_inclusion_numeriq!B:B=F330)"),"#N/A")</f>
        <v>#N/A</v>
      </c>
      <c r="H330" s="6" t="s">
        <v>2880</v>
      </c>
      <c r="I330" s="6" t="s">
        <v>2797</v>
      </c>
      <c r="J330" s="7" t="s">
        <v>3007</v>
      </c>
      <c r="K330" s="6" t="s">
        <v>1589</v>
      </c>
      <c r="L330" s="6" t="s">
        <v>1590</v>
      </c>
      <c r="M330" s="6" t="s">
        <v>2799</v>
      </c>
      <c r="N330" s="6" t="s">
        <v>1592</v>
      </c>
      <c r="O330" s="6" t="s">
        <v>1593</v>
      </c>
      <c r="P330" s="6" t="s">
        <v>1594</v>
      </c>
      <c r="Q330" s="7" t="s">
        <v>2793</v>
      </c>
      <c r="S330" s="6" t="s">
        <v>1595</v>
      </c>
      <c r="T330" s="6" t="s">
        <v>1596</v>
      </c>
    </row>
    <row r="331">
      <c r="A331" s="7" t="s">
        <v>2783</v>
      </c>
      <c r="B331" s="6" t="s">
        <v>1581</v>
      </c>
      <c r="C331" s="6" t="s">
        <v>1582</v>
      </c>
      <c r="D331" s="7" t="s">
        <v>3008</v>
      </c>
      <c r="E331" s="6" t="s">
        <v>2794</v>
      </c>
      <c r="F331" s="6" t="s">
        <v>3009</v>
      </c>
      <c r="G331" s="6" t="str">
        <f>IFERROR(__xludf.DUMMYFUNCTION("FILTER(RAW_met_lieux_inclusion_numeriq!B:B,RAW_met_lieux_inclusion_numeriq!B:B=F331)"),"#N/A")</f>
        <v>#N/A</v>
      </c>
      <c r="H331" s="6" t="s">
        <v>2664</v>
      </c>
      <c r="I331" s="6" t="s">
        <v>2797</v>
      </c>
      <c r="J331" s="7" t="s">
        <v>3010</v>
      </c>
      <c r="K331" s="6" t="s">
        <v>1589</v>
      </c>
      <c r="L331" s="6" t="s">
        <v>1590</v>
      </c>
      <c r="M331" s="6" t="s">
        <v>3011</v>
      </c>
      <c r="N331" s="6" t="s">
        <v>1592</v>
      </c>
      <c r="O331" s="6" t="s">
        <v>1593</v>
      </c>
      <c r="P331" s="6" t="s">
        <v>1594</v>
      </c>
      <c r="Q331" s="7" t="s">
        <v>3008</v>
      </c>
      <c r="S331" s="6" t="s">
        <v>1595</v>
      </c>
      <c r="T331" s="6" t="s">
        <v>1596</v>
      </c>
    </row>
    <row r="332">
      <c r="A332" s="7" t="s">
        <v>2783</v>
      </c>
      <c r="B332" s="6" t="s">
        <v>1581</v>
      </c>
      <c r="C332" s="6" t="s">
        <v>1582</v>
      </c>
      <c r="D332" s="7" t="s">
        <v>3008</v>
      </c>
      <c r="E332" s="6" t="s">
        <v>2794</v>
      </c>
      <c r="F332" s="6" t="s">
        <v>3012</v>
      </c>
      <c r="G332" s="6" t="str">
        <f>IFERROR(__xludf.DUMMYFUNCTION("FILTER(RAW_met_lieux_inclusion_numeriq!B:B,RAW_met_lieux_inclusion_numeriq!B:B=F332)"),"#N/A")</f>
        <v>#N/A</v>
      </c>
      <c r="H332" s="6" t="s">
        <v>3013</v>
      </c>
      <c r="I332" s="6" t="s">
        <v>2797</v>
      </c>
      <c r="J332" s="7" t="s">
        <v>3014</v>
      </c>
      <c r="K332" s="6" t="s">
        <v>1589</v>
      </c>
      <c r="L332" s="6" t="s">
        <v>1590</v>
      </c>
      <c r="M332" s="6" t="s">
        <v>3011</v>
      </c>
      <c r="N332" s="6" t="s">
        <v>1592</v>
      </c>
      <c r="O332" s="6" t="s">
        <v>1593</v>
      </c>
      <c r="P332" s="6" t="s">
        <v>1594</v>
      </c>
      <c r="Q332" s="7" t="s">
        <v>3008</v>
      </c>
      <c r="S332" s="6" t="s">
        <v>1595</v>
      </c>
      <c r="T332" s="6" t="s">
        <v>1596</v>
      </c>
    </row>
    <row r="333">
      <c r="A333" s="7" t="s">
        <v>2783</v>
      </c>
      <c r="B333" s="6" t="s">
        <v>1581</v>
      </c>
      <c r="C333" s="6" t="s">
        <v>1582</v>
      </c>
      <c r="D333" s="7" t="s">
        <v>2835</v>
      </c>
      <c r="E333" s="6" t="s">
        <v>2794</v>
      </c>
      <c r="F333" s="6" t="s">
        <v>2761</v>
      </c>
      <c r="G333" s="6" t="str">
        <f>IFERROR(__xludf.DUMMYFUNCTION("FILTER(RAW_met_lieux_inclusion_numeriq!B:B,RAW_met_lieux_inclusion_numeriq!B:B=F333)"),"#N/A")</f>
        <v>#N/A</v>
      </c>
      <c r="H333" s="6" t="s">
        <v>2762</v>
      </c>
      <c r="I333" s="6" t="s">
        <v>2797</v>
      </c>
      <c r="J333" s="7" t="s">
        <v>1972</v>
      </c>
      <c r="K333" s="6" t="s">
        <v>1589</v>
      </c>
      <c r="L333" s="6" t="s">
        <v>1590</v>
      </c>
      <c r="M333" s="6" t="s">
        <v>2837</v>
      </c>
      <c r="N333" s="6" t="s">
        <v>1592</v>
      </c>
      <c r="O333" s="6" t="s">
        <v>1593</v>
      </c>
      <c r="P333" s="6" t="s">
        <v>1594</v>
      </c>
      <c r="Q333" s="7" t="s">
        <v>2835</v>
      </c>
      <c r="S333" s="6" t="s">
        <v>1595</v>
      </c>
      <c r="T333" s="6" t="s">
        <v>1596</v>
      </c>
    </row>
    <row r="334">
      <c r="A334" s="7" t="s">
        <v>2783</v>
      </c>
      <c r="B334" s="6" t="s">
        <v>1581</v>
      </c>
      <c r="C334" s="6" t="s">
        <v>1582</v>
      </c>
      <c r="D334" s="7" t="s">
        <v>3015</v>
      </c>
      <c r="E334" s="6" t="s">
        <v>2794</v>
      </c>
      <c r="F334" s="6" t="s">
        <v>1327</v>
      </c>
      <c r="G334" s="6" t="str">
        <f>IFERROR(__xludf.DUMMYFUNCTION("FILTER(RAW_met_lieux_inclusion_numeriq!B:B,RAW_met_lieux_inclusion_numeriq!B:B=F334)"),"DEFI")</f>
        <v>DEFI</v>
      </c>
      <c r="H334" s="6" t="s">
        <v>3016</v>
      </c>
      <c r="I334" s="6" t="s">
        <v>2797</v>
      </c>
      <c r="J334" s="7" t="s">
        <v>1588</v>
      </c>
      <c r="K334" s="6" t="s">
        <v>1589</v>
      </c>
      <c r="L334" s="6" t="s">
        <v>1590</v>
      </c>
      <c r="M334" s="6" t="s">
        <v>3017</v>
      </c>
      <c r="N334" s="6" t="s">
        <v>1592</v>
      </c>
      <c r="O334" s="6" t="s">
        <v>1593</v>
      </c>
      <c r="P334" s="6" t="s">
        <v>1594</v>
      </c>
      <c r="Q334" s="7" t="s">
        <v>3015</v>
      </c>
      <c r="S334" s="6" t="s">
        <v>1595</v>
      </c>
      <c r="T334" s="6" t="s">
        <v>1596</v>
      </c>
    </row>
    <row r="335">
      <c r="A335" s="7" t="s">
        <v>2783</v>
      </c>
      <c r="B335" s="6" t="s">
        <v>1581</v>
      </c>
      <c r="C335" s="6" t="s">
        <v>1582</v>
      </c>
      <c r="D335" s="7" t="s">
        <v>3018</v>
      </c>
      <c r="E335" s="6" t="s">
        <v>2839</v>
      </c>
      <c r="F335" s="6" t="s">
        <v>3019</v>
      </c>
      <c r="G335" s="6" t="str">
        <f>IFERROR(__xludf.DUMMYFUNCTION("FILTER(RAW_met_lieux_inclusion_numeriq!B:B,RAW_met_lieux_inclusion_numeriq!B:B=F335)"),"#N/A")</f>
        <v>#N/A</v>
      </c>
      <c r="H335" s="6" t="s">
        <v>3020</v>
      </c>
      <c r="I335" s="6" t="s">
        <v>2842</v>
      </c>
      <c r="J335" s="7" t="s">
        <v>1611</v>
      </c>
      <c r="K335" s="6" t="s">
        <v>1589</v>
      </c>
      <c r="L335" s="6" t="s">
        <v>1603</v>
      </c>
      <c r="M335" s="6" t="s">
        <v>3021</v>
      </c>
      <c r="N335" s="6" t="s">
        <v>1592</v>
      </c>
      <c r="O335" s="6" t="s">
        <v>1593</v>
      </c>
      <c r="P335" s="6" t="s">
        <v>1594</v>
      </c>
      <c r="Q335" s="7" t="s">
        <v>3018</v>
      </c>
      <c r="S335" s="6" t="s">
        <v>1595</v>
      </c>
      <c r="T335" s="6" t="s">
        <v>1605</v>
      </c>
    </row>
    <row r="336">
      <c r="A336" s="7" t="s">
        <v>2783</v>
      </c>
      <c r="B336" s="6" t="s">
        <v>1581</v>
      </c>
      <c r="C336" s="6" t="s">
        <v>1582</v>
      </c>
      <c r="D336" s="7" t="s">
        <v>2986</v>
      </c>
      <c r="E336" s="6" t="s">
        <v>2839</v>
      </c>
      <c r="F336" s="6" t="s">
        <v>2117</v>
      </c>
      <c r="G336" s="6" t="str">
        <f>IFERROR(__xludf.DUMMYFUNCTION("FILTER(RAW_met_lieux_inclusion_numeriq!B:B,RAW_met_lieux_inclusion_numeriq!B:B=F336)"),"#N/A")</f>
        <v>#N/A</v>
      </c>
      <c r="H336" s="6" t="s">
        <v>2118</v>
      </c>
      <c r="I336" s="6" t="s">
        <v>2842</v>
      </c>
      <c r="J336" s="7" t="s">
        <v>1611</v>
      </c>
      <c r="K336" s="6" t="s">
        <v>1589</v>
      </c>
      <c r="L336" s="6" t="s">
        <v>1603</v>
      </c>
      <c r="M336" s="6" t="s">
        <v>2989</v>
      </c>
      <c r="N336" s="6" t="s">
        <v>1592</v>
      </c>
      <c r="O336" s="6" t="s">
        <v>1593</v>
      </c>
      <c r="P336" s="6" t="s">
        <v>1594</v>
      </c>
      <c r="Q336" s="7" t="s">
        <v>2986</v>
      </c>
      <c r="S336" s="6" t="s">
        <v>1595</v>
      </c>
      <c r="T336" s="6" t="s">
        <v>1605</v>
      </c>
    </row>
    <row r="337">
      <c r="A337" s="7" t="s">
        <v>2783</v>
      </c>
      <c r="B337" s="6" t="s">
        <v>1581</v>
      </c>
      <c r="C337" s="6" t="s">
        <v>1582</v>
      </c>
      <c r="D337" s="7" t="s">
        <v>2835</v>
      </c>
      <c r="E337" s="6" t="s">
        <v>2839</v>
      </c>
      <c r="F337" s="6" t="s">
        <v>1942</v>
      </c>
      <c r="G337" s="6" t="str">
        <f>IFERROR(__xludf.DUMMYFUNCTION("FILTER(RAW_met_lieux_inclusion_numeriq!B:B,RAW_met_lieux_inclusion_numeriq!B:B=F337)"),"#N/A")</f>
        <v>#N/A</v>
      </c>
      <c r="H337" s="6" t="s">
        <v>1943</v>
      </c>
      <c r="I337" s="6" t="s">
        <v>2842</v>
      </c>
      <c r="J337" s="7" t="s">
        <v>1611</v>
      </c>
      <c r="K337" s="6" t="s">
        <v>1589</v>
      </c>
      <c r="L337" s="6" t="s">
        <v>1603</v>
      </c>
      <c r="M337" s="6" t="s">
        <v>2837</v>
      </c>
      <c r="N337" s="6" t="s">
        <v>1592</v>
      </c>
      <c r="O337" s="6" t="s">
        <v>1593</v>
      </c>
      <c r="P337" s="6" t="s">
        <v>1594</v>
      </c>
      <c r="Q337" s="7" t="s">
        <v>2835</v>
      </c>
      <c r="S337" s="6" t="s">
        <v>1595</v>
      </c>
      <c r="T337" s="6" t="s">
        <v>1605</v>
      </c>
    </row>
    <row r="338">
      <c r="A338" s="7" t="s">
        <v>2783</v>
      </c>
      <c r="B338" s="6" t="s">
        <v>1581</v>
      </c>
      <c r="C338" s="6" t="s">
        <v>1582</v>
      </c>
      <c r="D338" s="7" t="s">
        <v>3022</v>
      </c>
      <c r="E338" s="6" t="s">
        <v>3023</v>
      </c>
      <c r="F338" s="6" t="s">
        <v>3024</v>
      </c>
      <c r="G338" s="6" t="str">
        <f>IFERROR(__xludf.DUMMYFUNCTION("FILTER(RAW_met_lieux_inclusion_numeriq!B:B,RAW_met_lieux_inclusion_numeriq!B:B=F338)"),"#N/A")</f>
        <v>#N/A</v>
      </c>
      <c r="H338" s="6" t="s">
        <v>3025</v>
      </c>
      <c r="I338" s="6" t="s">
        <v>3026</v>
      </c>
      <c r="J338" s="7" t="s">
        <v>1671</v>
      </c>
      <c r="K338" s="6" t="s">
        <v>1589</v>
      </c>
      <c r="L338" s="6" t="s">
        <v>1603</v>
      </c>
      <c r="M338" s="6" t="s">
        <v>3027</v>
      </c>
      <c r="N338" s="6" t="s">
        <v>1592</v>
      </c>
      <c r="O338" s="6" t="s">
        <v>1593</v>
      </c>
      <c r="P338" s="6" t="s">
        <v>1594</v>
      </c>
      <c r="Q338" s="7" t="s">
        <v>3022</v>
      </c>
      <c r="S338" s="6" t="s">
        <v>1595</v>
      </c>
      <c r="T338" s="6" t="s">
        <v>1596</v>
      </c>
    </row>
    <row r="339">
      <c r="A339" s="7" t="s">
        <v>2485</v>
      </c>
      <c r="B339" s="6" t="s">
        <v>1581</v>
      </c>
      <c r="C339" s="6" t="s">
        <v>1582</v>
      </c>
      <c r="D339" s="7" t="s">
        <v>2609</v>
      </c>
      <c r="E339" s="6" t="s">
        <v>2610</v>
      </c>
      <c r="F339" s="6" t="s">
        <v>3028</v>
      </c>
      <c r="G339" s="6" t="str">
        <f>IFERROR(__xludf.DUMMYFUNCTION("FILTER(RAW_met_lieux_inclusion_numeriq!B:B,RAW_met_lieux_inclusion_numeriq!B:B=F339)"),"#N/A")</f>
        <v>#N/A</v>
      </c>
      <c r="H339" s="6" t="s">
        <v>3029</v>
      </c>
      <c r="I339" s="6" t="s">
        <v>2612</v>
      </c>
      <c r="J339" s="7" t="s">
        <v>1677</v>
      </c>
      <c r="K339" s="6" t="s">
        <v>1589</v>
      </c>
      <c r="L339" s="6" t="s">
        <v>1603</v>
      </c>
      <c r="M339" s="6" t="s">
        <v>2614</v>
      </c>
      <c r="N339" s="6" t="s">
        <v>1592</v>
      </c>
      <c r="O339" s="6" t="s">
        <v>1593</v>
      </c>
      <c r="P339" s="6" t="s">
        <v>1594</v>
      </c>
      <c r="Q339" s="7" t="s">
        <v>2609</v>
      </c>
      <c r="S339" s="6" t="s">
        <v>1595</v>
      </c>
      <c r="T339" s="6" t="s">
        <v>1605</v>
      </c>
    </row>
    <row r="340">
      <c r="A340" s="7" t="s">
        <v>2485</v>
      </c>
      <c r="B340" s="6" t="s">
        <v>1581</v>
      </c>
      <c r="C340" s="6" t="s">
        <v>1582</v>
      </c>
      <c r="D340" s="7" t="s">
        <v>3030</v>
      </c>
      <c r="E340" s="6" t="s">
        <v>2622</v>
      </c>
      <c r="F340" s="6" t="s">
        <v>1648</v>
      </c>
      <c r="G340" s="6" t="str">
        <f>IFERROR(__xludf.DUMMYFUNCTION("FILTER(RAW_met_lieux_inclusion_numeriq!B:B,RAW_met_lieux_inclusion_numeriq!B:B=F340)"),"#N/A")</f>
        <v>#N/A</v>
      </c>
      <c r="H340" s="6" t="s">
        <v>1649</v>
      </c>
      <c r="I340" s="6" t="s">
        <v>3031</v>
      </c>
      <c r="J340" s="7" t="s">
        <v>1651</v>
      </c>
      <c r="K340" s="6" t="s">
        <v>1589</v>
      </c>
      <c r="L340" s="6" t="s">
        <v>1603</v>
      </c>
      <c r="M340" s="6" t="s">
        <v>3032</v>
      </c>
      <c r="N340" s="6" t="s">
        <v>1592</v>
      </c>
      <c r="O340" s="6" t="s">
        <v>1593</v>
      </c>
      <c r="P340" s="6" t="s">
        <v>1594</v>
      </c>
      <c r="Q340" s="7" t="s">
        <v>3030</v>
      </c>
      <c r="S340" s="6" t="s">
        <v>1595</v>
      </c>
      <c r="T340" s="6" t="s">
        <v>1596</v>
      </c>
    </row>
    <row r="341">
      <c r="A341" s="7" t="s">
        <v>2485</v>
      </c>
      <c r="B341" s="6" t="s">
        <v>1581</v>
      </c>
      <c r="C341" s="6" t="s">
        <v>1582</v>
      </c>
      <c r="D341" s="7" t="s">
        <v>2851</v>
      </c>
      <c r="E341" s="6" t="s">
        <v>3033</v>
      </c>
      <c r="F341" s="6" t="s">
        <v>3034</v>
      </c>
      <c r="G341" s="6" t="str">
        <f>IFERROR(__xludf.DUMMYFUNCTION("FILTER(RAW_met_lieux_inclusion_numeriq!B:B,RAW_met_lieux_inclusion_numeriq!B:B=F341)"),"#N/A")</f>
        <v>#N/A</v>
      </c>
      <c r="H341" s="6" t="s">
        <v>3035</v>
      </c>
      <c r="I341" s="6" t="s">
        <v>1601</v>
      </c>
      <c r="J341" s="7" t="s">
        <v>3036</v>
      </c>
      <c r="K341" s="6" t="s">
        <v>1589</v>
      </c>
      <c r="L341" s="6" t="s">
        <v>1603</v>
      </c>
      <c r="M341" s="6" t="s">
        <v>2855</v>
      </c>
      <c r="N341" s="6" t="s">
        <v>1592</v>
      </c>
      <c r="O341" s="6" t="s">
        <v>1593</v>
      </c>
      <c r="P341" s="6" t="s">
        <v>1594</v>
      </c>
      <c r="Q341" s="7" t="s">
        <v>2851</v>
      </c>
      <c r="S341" s="6" t="s">
        <v>1601</v>
      </c>
      <c r="T341" s="6" t="s">
        <v>1634</v>
      </c>
    </row>
    <row r="342">
      <c r="A342" s="7" t="s">
        <v>2485</v>
      </c>
      <c r="B342" s="6" t="s">
        <v>1581</v>
      </c>
      <c r="C342" s="6" t="s">
        <v>1582</v>
      </c>
      <c r="D342" s="7" t="s">
        <v>2856</v>
      </c>
      <c r="E342" s="6" t="s">
        <v>3037</v>
      </c>
      <c r="F342" s="6" t="s">
        <v>2617</v>
      </c>
      <c r="G342" s="6" t="str">
        <f>IFERROR(__xludf.DUMMYFUNCTION("FILTER(RAW_met_lieux_inclusion_numeriq!B:B,RAW_met_lieux_inclusion_numeriq!B:B=F342)"),"#N/A")</f>
        <v>#N/A</v>
      </c>
      <c r="H342" s="6" t="s">
        <v>2618</v>
      </c>
      <c r="I342" s="6" t="s">
        <v>1601</v>
      </c>
      <c r="J342" s="7" t="s">
        <v>2193</v>
      </c>
      <c r="K342" s="6" t="s">
        <v>1589</v>
      </c>
      <c r="L342" s="6" t="s">
        <v>1590</v>
      </c>
      <c r="M342" s="6" t="s">
        <v>2857</v>
      </c>
      <c r="N342" s="6" t="s">
        <v>1592</v>
      </c>
      <c r="O342" s="6" t="s">
        <v>1593</v>
      </c>
      <c r="P342" s="6" t="s">
        <v>1594</v>
      </c>
      <c r="Q342" s="7" t="s">
        <v>2856</v>
      </c>
      <c r="S342" s="6" t="s">
        <v>1601</v>
      </c>
      <c r="T342" s="6" t="s">
        <v>1596</v>
      </c>
    </row>
    <row r="343">
      <c r="A343" s="7" t="s">
        <v>2485</v>
      </c>
      <c r="B343" s="6" t="s">
        <v>1581</v>
      </c>
      <c r="C343" s="6" t="s">
        <v>1582</v>
      </c>
      <c r="D343" s="7" t="s">
        <v>2486</v>
      </c>
      <c r="E343" s="6" t="s">
        <v>2487</v>
      </c>
      <c r="F343" s="6" t="s">
        <v>2488</v>
      </c>
      <c r="G343" s="6" t="str">
        <f>IFERROR(__xludf.DUMMYFUNCTION("FILTER(RAW_met_lieux_inclusion_numeriq!B:B,RAW_met_lieux_inclusion_numeriq!B:B=F343)"),"#N/A")</f>
        <v>#N/A</v>
      </c>
      <c r="H343" s="6" t="s">
        <v>3038</v>
      </c>
      <c r="I343" s="6" t="s">
        <v>3039</v>
      </c>
      <c r="J343" s="7" t="s">
        <v>1737</v>
      </c>
      <c r="K343" s="6" t="s">
        <v>1589</v>
      </c>
      <c r="L343" s="6" t="s">
        <v>1590</v>
      </c>
      <c r="M343" s="6" t="s">
        <v>2491</v>
      </c>
      <c r="N343" s="6" t="s">
        <v>1592</v>
      </c>
      <c r="O343" s="6" t="s">
        <v>1593</v>
      </c>
      <c r="P343" s="6" t="s">
        <v>1594</v>
      </c>
      <c r="Q343" s="7" t="s">
        <v>2486</v>
      </c>
      <c r="S343" s="6" t="s">
        <v>1595</v>
      </c>
      <c r="T343" s="6" t="s">
        <v>1596</v>
      </c>
    </row>
    <row r="344">
      <c r="A344" s="7" t="s">
        <v>2485</v>
      </c>
      <c r="B344" s="6" t="s">
        <v>1581</v>
      </c>
      <c r="C344" s="6" t="s">
        <v>1582</v>
      </c>
      <c r="D344" s="7" t="s">
        <v>2486</v>
      </c>
      <c r="E344" s="6" t="s">
        <v>2605</v>
      </c>
      <c r="F344" s="6" t="s">
        <v>2606</v>
      </c>
      <c r="G344" s="6" t="str">
        <f>IFERROR(__xludf.DUMMYFUNCTION("FILTER(RAW_met_lieux_inclusion_numeriq!B:B,RAW_met_lieux_inclusion_numeriq!B:B=F344)"),"#N/A")</f>
        <v>#N/A</v>
      </c>
      <c r="H344" s="6" t="s">
        <v>2685</v>
      </c>
      <c r="I344" s="6" t="s">
        <v>3039</v>
      </c>
      <c r="J344" s="7" t="s">
        <v>2608</v>
      </c>
      <c r="K344" s="6" t="s">
        <v>1589</v>
      </c>
      <c r="L344" s="6" t="s">
        <v>1603</v>
      </c>
      <c r="M344" s="6" t="s">
        <v>2491</v>
      </c>
      <c r="N344" s="6" t="s">
        <v>1592</v>
      </c>
      <c r="O344" s="6" t="s">
        <v>1593</v>
      </c>
      <c r="P344" s="6" t="s">
        <v>1594</v>
      </c>
      <c r="Q344" s="7" t="s">
        <v>2486</v>
      </c>
      <c r="S344" s="6" t="s">
        <v>1595</v>
      </c>
      <c r="T344" s="6" t="s">
        <v>1634</v>
      </c>
    </row>
    <row r="345">
      <c r="A345" s="7" t="s">
        <v>2485</v>
      </c>
      <c r="B345" s="6" t="s">
        <v>1581</v>
      </c>
      <c r="C345" s="6" t="s">
        <v>1582</v>
      </c>
      <c r="D345" s="7" t="s">
        <v>2486</v>
      </c>
      <c r="E345" s="6" t="s">
        <v>3040</v>
      </c>
      <c r="F345" s="6" t="s">
        <v>1615</v>
      </c>
      <c r="G345" s="6" t="str">
        <f>IFERROR(__xludf.DUMMYFUNCTION("FILTER(RAW_met_lieux_inclusion_numeriq!B:B,RAW_met_lieux_inclusion_numeriq!B:B=F345)"),"#N/A")</f>
        <v>#N/A</v>
      </c>
      <c r="H345" s="6" t="s">
        <v>1616</v>
      </c>
      <c r="I345" s="6" t="s">
        <v>3041</v>
      </c>
      <c r="J345" s="7" t="s">
        <v>2372</v>
      </c>
      <c r="K345" s="6" t="s">
        <v>1589</v>
      </c>
      <c r="L345" s="6" t="s">
        <v>1603</v>
      </c>
      <c r="M345" s="6" t="s">
        <v>2491</v>
      </c>
      <c r="N345" s="6" t="s">
        <v>1592</v>
      </c>
      <c r="O345" s="6" t="s">
        <v>1593</v>
      </c>
      <c r="P345" s="6" t="s">
        <v>1594</v>
      </c>
      <c r="Q345" s="7" t="s">
        <v>2486</v>
      </c>
      <c r="S345" s="6" t="s">
        <v>1595</v>
      </c>
      <c r="T345" s="6" t="s">
        <v>1596</v>
      </c>
    </row>
    <row r="346">
      <c r="A346" s="7" t="s">
        <v>2485</v>
      </c>
      <c r="B346" s="6" t="s">
        <v>1581</v>
      </c>
      <c r="C346" s="6" t="s">
        <v>1582</v>
      </c>
      <c r="D346" s="7" t="s">
        <v>2486</v>
      </c>
      <c r="E346" s="6" t="s">
        <v>2487</v>
      </c>
      <c r="F346" s="6" t="s">
        <v>3042</v>
      </c>
      <c r="G346" s="6" t="str">
        <f>IFERROR(__xludf.DUMMYFUNCTION("FILTER(RAW_met_lieux_inclusion_numeriq!B:B,RAW_met_lieux_inclusion_numeriq!B:B=F346)"),"#N/A")</f>
        <v>#N/A</v>
      </c>
      <c r="H346" s="6" t="s">
        <v>3043</v>
      </c>
      <c r="I346" s="6" t="s">
        <v>1601</v>
      </c>
      <c r="J346" s="7" t="s">
        <v>3044</v>
      </c>
      <c r="K346" s="6" t="s">
        <v>1589</v>
      </c>
      <c r="L346" s="6" t="s">
        <v>1590</v>
      </c>
      <c r="M346" s="6" t="s">
        <v>2491</v>
      </c>
      <c r="N346" s="6" t="s">
        <v>1592</v>
      </c>
      <c r="O346" s="6" t="s">
        <v>1593</v>
      </c>
      <c r="P346" s="6" t="s">
        <v>1594</v>
      </c>
      <c r="Q346" s="7" t="s">
        <v>2486</v>
      </c>
      <c r="S346" s="6" t="s">
        <v>1601</v>
      </c>
      <c r="T346" s="6" t="s">
        <v>1596</v>
      </c>
    </row>
    <row r="347">
      <c r="A347" s="7" t="s">
        <v>2485</v>
      </c>
      <c r="B347" s="6" t="s">
        <v>1581</v>
      </c>
      <c r="C347" s="6" t="s">
        <v>1582</v>
      </c>
      <c r="D347" s="7" t="s">
        <v>3045</v>
      </c>
      <c r="E347" s="6" t="s">
        <v>2622</v>
      </c>
      <c r="F347" s="6" t="s">
        <v>2089</v>
      </c>
      <c r="G347" s="6" t="str">
        <f>IFERROR(__xludf.DUMMYFUNCTION("FILTER(RAW_met_lieux_inclusion_numeriq!B:B,RAW_met_lieux_inclusion_numeriq!B:B=F347)"),"#N/A")</f>
        <v>#N/A</v>
      </c>
      <c r="H347" s="6" t="s">
        <v>2090</v>
      </c>
      <c r="I347" s="6" t="s">
        <v>1601</v>
      </c>
      <c r="J347" s="7" t="s">
        <v>1651</v>
      </c>
      <c r="K347" s="6" t="s">
        <v>1589</v>
      </c>
      <c r="L347" s="6" t="s">
        <v>1603</v>
      </c>
      <c r="M347" s="6" t="s">
        <v>3046</v>
      </c>
      <c r="N347" s="6" t="s">
        <v>1592</v>
      </c>
      <c r="O347" s="6" t="s">
        <v>1593</v>
      </c>
      <c r="P347" s="6" t="s">
        <v>1594</v>
      </c>
      <c r="Q347" s="7" t="s">
        <v>3045</v>
      </c>
      <c r="S347" s="6" t="s">
        <v>1601</v>
      </c>
      <c r="T347" s="6" t="s">
        <v>1596</v>
      </c>
    </row>
    <row r="348">
      <c r="A348" s="7" t="s">
        <v>2485</v>
      </c>
      <c r="B348" s="6" t="s">
        <v>1581</v>
      </c>
      <c r="C348" s="6" t="s">
        <v>1582</v>
      </c>
      <c r="D348" s="7" t="s">
        <v>2492</v>
      </c>
      <c r="E348" s="6" t="s">
        <v>2493</v>
      </c>
      <c r="F348" s="6" t="s">
        <v>2494</v>
      </c>
      <c r="G348" s="6" t="str">
        <f>IFERROR(__xludf.DUMMYFUNCTION("FILTER(RAW_met_lieux_inclusion_numeriq!B:B,RAW_met_lieux_inclusion_numeriq!B:B=F348)"),"#N/A")</f>
        <v>#N/A</v>
      </c>
      <c r="H348" s="6" t="s">
        <v>3047</v>
      </c>
      <c r="I348" s="6" t="s">
        <v>3039</v>
      </c>
      <c r="J348" s="7" t="s">
        <v>1651</v>
      </c>
      <c r="K348" s="6" t="s">
        <v>1589</v>
      </c>
      <c r="L348" s="6" t="s">
        <v>1603</v>
      </c>
      <c r="M348" s="6" t="s">
        <v>2496</v>
      </c>
      <c r="N348" s="6" t="s">
        <v>1592</v>
      </c>
      <c r="O348" s="6" t="s">
        <v>1593</v>
      </c>
      <c r="P348" s="6" t="s">
        <v>1594</v>
      </c>
      <c r="Q348" s="7" t="s">
        <v>2492</v>
      </c>
      <c r="S348" s="6" t="s">
        <v>1595</v>
      </c>
      <c r="T348" s="6" t="s">
        <v>1596</v>
      </c>
    </row>
    <row r="349">
      <c r="A349" s="7" t="s">
        <v>2633</v>
      </c>
      <c r="B349" s="6" t="s">
        <v>1581</v>
      </c>
      <c r="C349" s="6" t="s">
        <v>1582</v>
      </c>
      <c r="D349" s="7" t="s">
        <v>2858</v>
      </c>
      <c r="E349" s="6" t="s">
        <v>2622</v>
      </c>
      <c r="F349" s="6" t="s">
        <v>2074</v>
      </c>
      <c r="G349" s="6" t="str">
        <f>IFERROR(__xludf.DUMMYFUNCTION("FILTER(RAW_met_lieux_inclusion_numeriq!B:B,RAW_met_lieux_inclusion_numeriq!B:B=F349)"),"#N/A")</f>
        <v>#N/A</v>
      </c>
      <c r="H349" s="6" t="s">
        <v>3048</v>
      </c>
      <c r="I349" s="6" t="s">
        <v>2525</v>
      </c>
      <c r="J349" s="7" t="s">
        <v>1651</v>
      </c>
      <c r="K349" s="6" t="s">
        <v>1589</v>
      </c>
      <c r="L349" s="6" t="s">
        <v>1603</v>
      </c>
      <c r="M349" s="6" t="s">
        <v>2860</v>
      </c>
      <c r="N349" s="6" t="s">
        <v>1592</v>
      </c>
      <c r="O349" s="6" t="s">
        <v>1593</v>
      </c>
      <c r="P349" s="6" t="s">
        <v>1594</v>
      </c>
      <c r="Q349" s="7" t="s">
        <v>2858</v>
      </c>
      <c r="S349" s="6" t="s">
        <v>1595</v>
      </c>
      <c r="T349" s="6" t="s">
        <v>1596</v>
      </c>
    </row>
    <row r="350">
      <c r="A350" s="7" t="s">
        <v>2633</v>
      </c>
      <c r="B350" s="6" t="s">
        <v>1581</v>
      </c>
      <c r="C350" s="6" t="s">
        <v>1582</v>
      </c>
      <c r="D350" s="7" t="s">
        <v>3049</v>
      </c>
      <c r="E350" s="6" t="s">
        <v>3050</v>
      </c>
      <c r="F350" s="6" t="s">
        <v>2272</v>
      </c>
      <c r="G350" s="6" t="str">
        <f>IFERROR(__xludf.DUMMYFUNCTION("FILTER(RAW_met_lieux_inclusion_numeriq!B:B,RAW_met_lieux_inclusion_numeriq!B:B=F350)"),"#N/A")</f>
        <v>#N/A</v>
      </c>
      <c r="H350" s="6" t="s">
        <v>1892</v>
      </c>
      <c r="I350" s="6" t="s">
        <v>1601</v>
      </c>
      <c r="J350" s="7" t="s">
        <v>1893</v>
      </c>
      <c r="K350" s="6" t="s">
        <v>1589</v>
      </c>
      <c r="L350" s="6" t="s">
        <v>1603</v>
      </c>
      <c r="M350" s="6" t="s">
        <v>3051</v>
      </c>
      <c r="N350" s="6" t="s">
        <v>1592</v>
      </c>
      <c r="O350" s="6" t="s">
        <v>1593</v>
      </c>
      <c r="P350" s="6" t="s">
        <v>1594</v>
      </c>
      <c r="Q350" s="7" t="s">
        <v>3049</v>
      </c>
      <c r="S350" s="6" t="s">
        <v>1601</v>
      </c>
      <c r="T350" s="6" t="s">
        <v>1634</v>
      </c>
    </row>
    <row r="351">
      <c r="A351" s="7" t="s">
        <v>2633</v>
      </c>
      <c r="B351" s="6" t="s">
        <v>1581</v>
      </c>
      <c r="C351" s="6" t="s">
        <v>1582</v>
      </c>
      <c r="D351" s="7" t="s">
        <v>3052</v>
      </c>
      <c r="E351" s="6" t="s">
        <v>3053</v>
      </c>
      <c r="F351" s="6" t="s">
        <v>2507</v>
      </c>
      <c r="G351" s="6" t="str">
        <f>IFERROR(__xludf.DUMMYFUNCTION("FILTER(RAW_met_lieux_inclusion_numeriq!B:B,RAW_met_lieux_inclusion_numeriq!B:B=F351)"),"#N/A")</f>
        <v>#N/A</v>
      </c>
      <c r="H351" s="6" t="s">
        <v>1643</v>
      </c>
      <c r="I351" s="6" t="s">
        <v>1601</v>
      </c>
      <c r="J351" s="7" t="s">
        <v>3054</v>
      </c>
      <c r="K351" s="6" t="s">
        <v>1589</v>
      </c>
      <c r="L351" s="6" t="s">
        <v>1603</v>
      </c>
      <c r="M351" s="6" t="s">
        <v>3055</v>
      </c>
      <c r="N351" s="6" t="s">
        <v>1592</v>
      </c>
      <c r="O351" s="6" t="s">
        <v>1593</v>
      </c>
      <c r="P351" s="6" t="s">
        <v>1594</v>
      </c>
      <c r="Q351" s="7" t="s">
        <v>3052</v>
      </c>
      <c r="S351" s="6" t="s">
        <v>1601</v>
      </c>
      <c r="T351" s="6" t="s">
        <v>1645</v>
      </c>
    </row>
    <row r="352">
      <c r="A352" s="7" t="s">
        <v>2633</v>
      </c>
      <c r="B352" s="6" t="s">
        <v>1581</v>
      </c>
      <c r="C352" s="6" t="s">
        <v>1582</v>
      </c>
      <c r="D352" s="7" t="s">
        <v>3056</v>
      </c>
      <c r="E352" s="6" t="s">
        <v>3057</v>
      </c>
      <c r="F352" s="6" t="s">
        <v>1962</v>
      </c>
      <c r="G352" s="6" t="str">
        <f>IFERROR(__xludf.DUMMYFUNCTION("FILTER(RAW_met_lieux_inclusion_numeriq!B:B,RAW_met_lieux_inclusion_numeriq!B:B=F352)"),"#N/A")</f>
        <v>#N/A</v>
      </c>
      <c r="H352" s="6" t="s">
        <v>1963</v>
      </c>
      <c r="I352" s="6" t="s">
        <v>1601</v>
      </c>
      <c r="J352" s="7" t="s">
        <v>1964</v>
      </c>
      <c r="K352" s="6" t="s">
        <v>1589</v>
      </c>
      <c r="L352" s="6" t="s">
        <v>1603</v>
      </c>
      <c r="M352" s="6" t="s">
        <v>3058</v>
      </c>
      <c r="N352" s="6" t="s">
        <v>1592</v>
      </c>
      <c r="O352" s="6" t="s">
        <v>1593</v>
      </c>
      <c r="P352" s="6" t="s">
        <v>1594</v>
      </c>
      <c r="Q352" s="7" t="s">
        <v>3056</v>
      </c>
      <c r="S352" s="6" t="s">
        <v>1601</v>
      </c>
      <c r="T352" s="6" t="s">
        <v>1634</v>
      </c>
    </row>
    <row r="353">
      <c r="A353" s="7" t="s">
        <v>2633</v>
      </c>
      <c r="B353" s="6" t="s">
        <v>1581</v>
      </c>
      <c r="C353" s="6" t="s">
        <v>1582</v>
      </c>
      <c r="D353" s="7" t="s">
        <v>2670</v>
      </c>
      <c r="E353" s="6" t="s">
        <v>2671</v>
      </c>
      <c r="F353" s="6" t="s">
        <v>2462</v>
      </c>
      <c r="G353" s="6" t="str">
        <f>IFERROR(__xludf.DUMMYFUNCTION("FILTER(RAW_met_lieux_inclusion_numeriq!B:B,RAW_met_lieux_inclusion_numeriq!B:B=F353)"),"#N/A")</f>
        <v>#N/A</v>
      </c>
      <c r="H353" s="6" t="s">
        <v>1915</v>
      </c>
      <c r="I353" s="6" t="s">
        <v>2382</v>
      </c>
      <c r="J353" s="7" t="s">
        <v>3059</v>
      </c>
      <c r="K353" s="6" t="s">
        <v>1589</v>
      </c>
      <c r="L353" s="6" t="s">
        <v>1590</v>
      </c>
      <c r="M353" s="6" t="s">
        <v>2673</v>
      </c>
      <c r="N353" s="6" t="s">
        <v>1592</v>
      </c>
      <c r="O353" s="6" t="s">
        <v>1593</v>
      </c>
      <c r="P353" s="6" t="s">
        <v>1594</v>
      </c>
      <c r="Q353" s="7" t="s">
        <v>2670</v>
      </c>
      <c r="S353" s="6" t="s">
        <v>1595</v>
      </c>
      <c r="T353" s="6" t="s">
        <v>1596</v>
      </c>
    </row>
    <row r="354">
      <c r="A354" s="7" t="s">
        <v>2633</v>
      </c>
      <c r="B354" s="6" t="s">
        <v>1581</v>
      </c>
      <c r="C354" s="6" t="s">
        <v>1582</v>
      </c>
      <c r="D354" s="7" t="s">
        <v>2851</v>
      </c>
      <c r="E354" s="6" t="s">
        <v>2655</v>
      </c>
      <c r="F354" s="6" t="s">
        <v>3060</v>
      </c>
      <c r="G354" s="6" t="str">
        <f>IFERROR(__xludf.DUMMYFUNCTION("FILTER(RAW_met_lieux_inclusion_numeriq!B:B,RAW_met_lieux_inclusion_numeriq!B:B=F354)"),"#N/A")</f>
        <v>#N/A</v>
      </c>
      <c r="H354" s="6" t="s">
        <v>3061</v>
      </c>
      <c r="I354" s="6" t="s">
        <v>2658</v>
      </c>
      <c r="J354" s="7" t="s">
        <v>2659</v>
      </c>
      <c r="K354" s="6" t="s">
        <v>1589</v>
      </c>
      <c r="L354" s="6" t="s">
        <v>1590</v>
      </c>
      <c r="M354" s="6" t="s">
        <v>2855</v>
      </c>
      <c r="N354" s="6" t="s">
        <v>1592</v>
      </c>
      <c r="O354" s="6" t="s">
        <v>1593</v>
      </c>
      <c r="P354" s="6" t="s">
        <v>1594</v>
      </c>
      <c r="Q354" s="7" t="s">
        <v>2851</v>
      </c>
      <c r="S354" s="6" t="s">
        <v>1595</v>
      </c>
      <c r="T354" s="6" t="s">
        <v>1596</v>
      </c>
    </row>
    <row r="355">
      <c r="A355" s="7" t="s">
        <v>2633</v>
      </c>
      <c r="B355" s="6" t="s">
        <v>1581</v>
      </c>
      <c r="C355" s="6" t="s">
        <v>1582</v>
      </c>
      <c r="D355" s="7" t="s">
        <v>3062</v>
      </c>
      <c r="E355" s="6" t="s">
        <v>2655</v>
      </c>
      <c r="F355" s="6" t="s">
        <v>3063</v>
      </c>
      <c r="G355" s="6" t="str">
        <f>IFERROR(__xludf.DUMMYFUNCTION("FILTER(RAW_met_lieux_inclusion_numeriq!B:B,RAW_met_lieux_inclusion_numeriq!B:B=F355)"),"#N/A")</f>
        <v>#N/A</v>
      </c>
      <c r="H355" s="6" t="s">
        <v>3064</v>
      </c>
      <c r="I355" s="6" t="s">
        <v>2658</v>
      </c>
      <c r="J355" s="7" t="s">
        <v>2659</v>
      </c>
      <c r="K355" s="6" t="s">
        <v>1589</v>
      </c>
      <c r="L355" s="6" t="s">
        <v>1590</v>
      </c>
      <c r="M355" s="6" t="s">
        <v>3065</v>
      </c>
      <c r="N355" s="6" t="s">
        <v>1592</v>
      </c>
      <c r="O355" s="6" t="s">
        <v>1593</v>
      </c>
      <c r="P355" s="6" t="s">
        <v>1594</v>
      </c>
      <c r="Q355" s="7" t="s">
        <v>3062</v>
      </c>
      <c r="S355" s="6" t="s">
        <v>1595</v>
      </c>
      <c r="T355" s="6" t="s">
        <v>1596</v>
      </c>
    </row>
    <row r="356">
      <c r="A356" s="7" t="s">
        <v>2633</v>
      </c>
      <c r="B356" s="6" t="s">
        <v>1581</v>
      </c>
      <c r="C356" s="6" t="s">
        <v>1582</v>
      </c>
      <c r="D356" s="7" t="s">
        <v>2648</v>
      </c>
      <c r="E356" s="6" t="s">
        <v>2667</v>
      </c>
      <c r="F356" s="6" t="s">
        <v>1718</v>
      </c>
      <c r="G356" s="6" t="str">
        <f>IFERROR(__xludf.DUMMYFUNCTION("FILTER(RAW_met_lieux_inclusion_numeriq!B:B,RAW_met_lieux_inclusion_numeriq!B:B=F356)"),"#N/A")</f>
        <v>#N/A</v>
      </c>
      <c r="H356" s="6" t="s">
        <v>1719</v>
      </c>
      <c r="I356" s="6" t="s">
        <v>3066</v>
      </c>
      <c r="J356" s="7" t="s">
        <v>1677</v>
      </c>
      <c r="K356" s="6" t="s">
        <v>1589</v>
      </c>
      <c r="L356" s="6" t="s">
        <v>1603</v>
      </c>
      <c r="M356" s="6" t="s">
        <v>2653</v>
      </c>
      <c r="N356" s="6" t="s">
        <v>1592</v>
      </c>
      <c r="O356" s="6" t="s">
        <v>1593</v>
      </c>
      <c r="P356" s="6" t="s">
        <v>1594</v>
      </c>
      <c r="Q356" s="7" t="s">
        <v>2648</v>
      </c>
      <c r="S356" s="6" t="s">
        <v>1595</v>
      </c>
      <c r="T356" s="6" t="s">
        <v>1605</v>
      </c>
    </row>
    <row r="357">
      <c r="A357" s="7" t="s">
        <v>2633</v>
      </c>
      <c r="B357" s="6" t="s">
        <v>1581</v>
      </c>
      <c r="C357" s="6" t="s">
        <v>1582</v>
      </c>
      <c r="D357" s="7" t="s">
        <v>2891</v>
      </c>
      <c r="E357" s="6" t="s">
        <v>2649</v>
      </c>
      <c r="F357" s="6" t="s">
        <v>3067</v>
      </c>
      <c r="G357" s="6" t="str">
        <f>IFERROR(__xludf.DUMMYFUNCTION("FILTER(RAW_met_lieux_inclusion_numeriq!B:B,RAW_met_lieux_inclusion_numeriq!B:B=F357)"),"#N/A")</f>
        <v>#N/A</v>
      </c>
      <c r="H357" s="6" t="s">
        <v>3068</v>
      </c>
      <c r="I357" s="6" t="s">
        <v>3069</v>
      </c>
      <c r="J357" s="7" t="s">
        <v>1588</v>
      </c>
      <c r="K357" s="6" t="s">
        <v>1589</v>
      </c>
      <c r="L357" s="6" t="s">
        <v>1603</v>
      </c>
      <c r="M357" s="6" t="s">
        <v>2897</v>
      </c>
      <c r="N357" s="6" t="s">
        <v>1592</v>
      </c>
      <c r="O357" s="6" t="s">
        <v>1593</v>
      </c>
      <c r="P357" s="6" t="s">
        <v>1594</v>
      </c>
      <c r="Q357" s="7" t="s">
        <v>2891</v>
      </c>
      <c r="S357" s="6" t="s">
        <v>1595</v>
      </c>
      <c r="T357" s="6" t="s">
        <v>1596</v>
      </c>
    </row>
    <row r="358">
      <c r="A358" s="7" t="s">
        <v>2633</v>
      </c>
      <c r="B358" s="6" t="s">
        <v>1581</v>
      </c>
      <c r="C358" s="6" t="s">
        <v>1582</v>
      </c>
      <c r="D358" s="7" t="s">
        <v>2891</v>
      </c>
      <c r="E358" s="6" t="s">
        <v>2667</v>
      </c>
      <c r="F358" s="6" t="s">
        <v>1836</v>
      </c>
      <c r="G358" s="6" t="str">
        <f>IFERROR(__xludf.DUMMYFUNCTION("FILTER(RAW_met_lieux_inclusion_numeriq!B:B,RAW_met_lieux_inclusion_numeriq!B:B=F358)"),"#N/A")</f>
        <v>#N/A</v>
      </c>
      <c r="H358" s="6" t="s">
        <v>3070</v>
      </c>
      <c r="I358" s="6" t="s">
        <v>1838</v>
      </c>
      <c r="J358" s="7" t="s">
        <v>1617</v>
      </c>
      <c r="K358" s="6" t="s">
        <v>1589</v>
      </c>
      <c r="L358" s="6" t="s">
        <v>1603</v>
      </c>
      <c r="M358" s="6" t="s">
        <v>2897</v>
      </c>
      <c r="N358" s="6" t="s">
        <v>1592</v>
      </c>
      <c r="O358" s="6" t="s">
        <v>1593</v>
      </c>
      <c r="P358" s="6" t="s">
        <v>1594</v>
      </c>
      <c r="Q358" s="7" t="s">
        <v>2891</v>
      </c>
      <c r="S358" s="6" t="s">
        <v>1595</v>
      </c>
      <c r="T358" s="6" t="s">
        <v>1596</v>
      </c>
    </row>
    <row r="359">
      <c r="A359" s="7" t="s">
        <v>2633</v>
      </c>
      <c r="B359" s="6" t="s">
        <v>1581</v>
      </c>
      <c r="C359" s="6" t="s">
        <v>1582</v>
      </c>
      <c r="D359" s="7" t="s">
        <v>2683</v>
      </c>
      <c r="E359" s="6" t="s">
        <v>3071</v>
      </c>
      <c r="F359" s="6" t="s">
        <v>2419</v>
      </c>
      <c r="G359" s="6" t="str">
        <f>IFERROR(__xludf.DUMMYFUNCTION("FILTER(RAW_met_lieux_inclusion_numeriq!B:B,RAW_met_lieux_inclusion_numeriq!B:B=F359)"),"#N/A")</f>
        <v>#N/A</v>
      </c>
      <c r="H359" s="6" t="s">
        <v>2190</v>
      </c>
      <c r="I359" s="6" t="s">
        <v>1601</v>
      </c>
      <c r="J359" s="7" t="s">
        <v>1832</v>
      </c>
      <c r="K359" s="6" t="s">
        <v>1589</v>
      </c>
      <c r="L359" s="6" t="s">
        <v>1603</v>
      </c>
      <c r="M359" s="6" t="s">
        <v>3072</v>
      </c>
      <c r="N359" s="6" t="s">
        <v>1592</v>
      </c>
      <c r="O359" s="6" t="s">
        <v>1593</v>
      </c>
      <c r="P359" s="6" t="s">
        <v>1594</v>
      </c>
      <c r="Q359" s="7" t="s">
        <v>2683</v>
      </c>
      <c r="S359" s="6" t="s">
        <v>1601</v>
      </c>
      <c r="T359" s="6" t="s">
        <v>1605</v>
      </c>
    </row>
    <row r="360">
      <c r="A360" s="7" t="s">
        <v>2633</v>
      </c>
      <c r="B360" s="6" t="s">
        <v>1581</v>
      </c>
      <c r="C360" s="6" t="s">
        <v>1582</v>
      </c>
      <c r="D360" s="7" t="s">
        <v>2690</v>
      </c>
      <c r="E360" s="6" t="s">
        <v>3073</v>
      </c>
      <c r="F360" s="6" t="s">
        <v>2889</v>
      </c>
      <c r="G360" s="6" t="str">
        <f>IFERROR(__xludf.DUMMYFUNCTION("FILTER(RAW_met_lieux_inclusion_numeriq!B:B,RAW_met_lieux_inclusion_numeriq!B:B=F360)"),"#N/A")</f>
        <v>#N/A</v>
      </c>
      <c r="H360" s="6" t="s">
        <v>1896</v>
      </c>
      <c r="I360" s="6" t="s">
        <v>3074</v>
      </c>
      <c r="J360" s="7" t="s">
        <v>2582</v>
      </c>
      <c r="K360" s="6" t="s">
        <v>1589</v>
      </c>
      <c r="L360" s="6" t="s">
        <v>1603</v>
      </c>
      <c r="M360" s="6" t="s">
        <v>2692</v>
      </c>
      <c r="N360" s="6" t="s">
        <v>1592</v>
      </c>
      <c r="O360" s="6" t="s">
        <v>1593</v>
      </c>
      <c r="P360" s="6" t="s">
        <v>1594</v>
      </c>
      <c r="Q360" s="7" t="s">
        <v>2690</v>
      </c>
      <c r="S360" s="6" t="s">
        <v>1595</v>
      </c>
      <c r="T360" s="6" t="s">
        <v>1596</v>
      </c>
    </row>
    <row r="361">
      <c r="A361" s="7" t="s">
        <v>2633</v>
      </c>
      <c r="B361" s="6" t="s">
        <v>1581</v>
      </c>
      <c r="C361" s="6" t="s">
        <v>1582</v>
      </c>
      <c r="D361" s="7" t="s">
        <v>3075</v>
      </c>
      <c r="E361" s="6" t="s">
        <v>2649</v>
      </c>
      <c r="F361" s="6" t="s">
        <v>3076</v>
      </c>
      <c r="G361" s="6" t="str">
        <f>IFERROR(__xludf.DUMMYFUNCTION("FILTER(RAW_met_lieux_inclusion_numeriq!B:B,RAW_met_lieux_inclusion_numeriq!B:B=F361)"),"#N/A")</f>
        <v>#N/A</v>
      </c>
      <c r="H361" s="6" t="s">
        <v>3077</v>
      </c>
      <c r="I361" s="6" t="s">
        <v>3078</v>
      </c>
      <c r="J361" s="7" t="s">
        <v>2330</v>
      </c>
      <c r="K361" s="6" t="s">
        <v>1589</v>
      </c>
      <c r="L361" s="6" t="s">
        <v>1603</v>
      </c>
      <c r="M361" s="6" t="s">
        <v>3079</v>
      </c>
      <c r="N361" s="6" t="s">
        <v>1592</v>
      </c>
      <c r="O361" s="6" t="s">
        <v>1593</v>
      </c>
      <c r="P361" s="6" t="s">
        <v>1594</v>
      </c>
      <c r="Q361" s="7" t="s">
        <v>3075</v>
      </c>
      <c r="S361" s="6" t="s">
        <v>1595</v>
      </c>
      <c r="T361" s="6" t="s">
        <v>1596</v>
      </c>
    </row>
    <row r="362">
      <c r="A362" s="7" t="s">
        <v>2633</v>
      </c>
      <c r="B362" s="6" t="s">
        <v>1581</v>
      </c>
      <c r="C362" s="6" t="s">
        <v>1582</v>
      </c>
      <c r="D362" s="7" t="s">
        <v>2977</v>
      </c>
      <c r="E362" s="6" t="s">
        <v>3071</v>
      </c>
      <c r="F362" s="6" t="s">
        <v>3080</v>
      </c>
      <c r="G362" s="6" t="str">
        <f>IFERROR(__xludf.DUMMYFUNCTION("FILTER(RAW_met_lieux_inclusion_numeriq!B:B,RAW_met_lieux_inclusion_numeriq!B:B=F362)"),"#N/A")</f>
        <v>#N/A</v>
      </c>
      <c r="H362" s="6" t="s">
        <v>2183</v>
      </c>
      <c r="I362" s="6" t="s">
        <v>1601</v>
      </c>
      <c r="J362" s="7" t="s">
        <v>1832</v>
      </c>
      <c r="K362" s="6" t="s">
        <v>1589</v>
      </c>
      <c r="L362" s="6" t="s">
        <v>1603</v>
      </c>
      <c r="M362" s="6" t="s">
        <v>2979</v>
      </c>
      <c r="N362" s="6" t="s">
        <v>1592</v>
      </c>
      <c r="O362" s="6" t="s">
        <v>1593</v>
      </c>
      <c r="P362" s="6" t="s">
        <v>1594</v>
      </c>
      <c r="Q362" s="7" t="s">
        <v>2977</v>
      </c>
      <c r="S362" s="6" t="s">
        <v>1601</v>
      </c>
      <c r="T362" s="6" t="s">
        <v>1605</v>
      </c>
    </row>
    <row r="363">
      <c r="A363" s="7" t="s">
        <v>2633</v>
      </c>
      <c r="B363" s="6" t="s">
        <v>1581</v>
      </c>
      <c r="C363" s="6" t="s">
        <v>1582</v>
      </c>
      <c r="D363" s="7" t="s">
        <v>2977</v>
      </c>
      <c r="E363" s="6" t="s">
        <v>3071</v>
      </c>
      <c r="F363" s="6" t="s">
        <v>3081</v>
      </c>
      <c r="G363" s="6" t="str">
        <f>IFERROR(__xludf.DUMMYFUNCTION("FILTER(RAW_met_lieux_inclusion_numeriq!B:B,RAW_met_lieux_inclusion_numeriq!B:B=F363)"),"#N/A")</f>
        <v>#N/A</v>
      </c>
      <c r="H363" s="6" t="s">
        <v>3082</v>
      </c>
      <c r="I363" s="6" t="s">
        <v>1601</v>
      </c>
      <c r="J363" s="7" t="s">
        <v>1832</v>
      </c>
      <c r="K363" s="6" t="s">
        <v>1589</v>
      </c>
      <c r="L363" s="6" t="s">
        <v>1603</v>
      </c>
      <c r="M363" s="6" t="s">
        <v>2979</v>
      </c>
      <c r="N363" s="6" t="s">
        <v>1592</v>
      </c>
      <c r="O363" s="6" t="s">
        <v>1593</v>
      </c>
      <c r="P363" s="6" t="s">
        <v>1594</v>
      </c>
      <c r="Q363" s="7" t="s">
        <v>2977</v>
      </c>
      <c r="S363" s="6" t="s">
        <v>1601</v>
      </c>
      <c r="T363" s="6" t="s">
        <v>1605</v>
      </c>
    </row>
    <row r="364">
      <c r="A364" s="7" t="s">
        <v>2633</v>
      </c>
      <c r="B364" s="6" t="s">
        <v>1581</v>
      </c>
      <c r="C364" s="6" t="s">
        <v>1582</v>
      </c>
      <c r="D364" s="7" t="s">
        <v>3083</v>
      </c>
      <c r="E364" s="6" t="s">
        <v>2649</v>
      </c>
      <c r="F364" s="6" t="s">
        <v>3084</v>
      </c>
      <c r="G364" s="6" t="str">
        <f>IFERROR(__xludf.DUMMYFUNCTION("FILTER(RAW_met_lieux_inclusion_numeriq!B:B,RAW_met_lieux_inclusion_numeriq!B:B=F364)"),"#N/A")</f>
        <v>#N/A</v>
      </c>
      <c r="H364" s="6" t="s">
        <v>3085</v>
      </c>
      <c r="I364" s="6" t="s">
        <v>3086</v>
      </c>
      <c r="J364" s="7" t="s">
        <v>3087</v>
      </c>
      <c r="K364" s="6" t="s">
        <v>1589</v>
      </c>
      <c r="L364" s="6" t="s">
        <v>1603</v>
      </c>
      <c r="M364" s="6" t="s">
        <v>3088</v>
      </c>
      <c r="N364" s="6" t="s">
        <v>1592</v>
      </c>
      <c r="O364" s="6" t="s">
        <v>1593</v>
      </c>
      <c r="P364" s="6" t="s">
        <v>1594</v>
      </c>
      <c r="Q364" s="7" t="s">
        <v>3083</v>
      </c>
      <c r="S364" s="6" t="s">
        <v>1595</v>
      </c>
      <c r="T364" s="6" t="s">
        <v>1596</v>
      </c>
    </row>
    <row r="365">
      <c r="A365" s="7" t="s">
        <v>2633</v>
      </c>
      <c r="B365" s="6" t="s">
        <v>1581</v>
      </c>
      <c r="C365" s="6" t="s">
        <v>1582</v>
      </c>
      <c r="D365" s="7" t="s">
        <v>2711</v>
      </c>
      <c r="E365" s="6" t="s">
        <v>3089</v>
      </c>
      <c r="F365" s="6" t="s">
        <v>3090</v>
      </c>
      <c r="G365" s="6" t="str">
        <f>IFERROR(__xludf.DUMMYFUNCTION("FILTER(RAW_met_lieux_inclusion_numeriq!B:B,RAW_met_lieux_inclusion_numeriq!B:B=F365)"),"#N/A")</f>
        <v>#N/A</v>
      </c>
      <c r="H365" s="6" t="s">
        <v>3091</v>
      </c>
      <c r="I365" s="6" t="s">
        <v>1601</v>
      </c>
      <c r="J365" s="7" t="s">
        <v>1957</v>
      </c>
      <c r="K365" s="6" t="s">
        <v>1589</v>
      </c>
      <c r="L365" s="6" t="s">
        <v>1603</v>
      </c>
      <c r="M365" s="6" t="s">
        <v>2717</v>
      </c>
      <c r="N365" s="6" t="s">
        <v>1592</v>
      </c>
      <c r="O365" s="6" t="s">
        <v>1593</v>
      </c>
      <c r="P365" s="6" t="s">
        <v>1594</v>
      </c>
      <c r="Q365" s="7" t="s">
        <v>2711</v>
      </c>
      <c r="S365" s="6" t="s">
        <v>1601</v>
      </c>
      <c r="T365" s="6" t="s">
        <v>1605</v>
      </c>
    </row>
    <row r="366">
      <c r="A366" s="7" t="s">
        <v>2633</v>
      </c>
      <c r="B366" s="6" t="s">
        <v>1581</v>
      </c>
      <c r="C366" s="6" t="s">
        <v>1582</v>
      </c>
      <c r="D366" s="7" t="s">
        <v>3092</v>
      </c>
      <c r="E366" s="6" t="s">
        <v>3093</v>
      </c>
      <c r="F366" s="6" t="s">
        <v>2502</v>
      </c>
      <c r="G366" s="6" t="str">
        <f>IFERROR(__xludf.DUMMYFUNCTION("FILTER(RAW_met_lieux_inclusion_numeriq!B:B,RAW_met_lieux_inclusion_numeriq!B:B=F366)"),"#N/A")</f>
        <v>#N/A</v>
      </c>
      <c r="H366" s="6" t="s">
        <v>2884</v>
      </c>
      <c r="I366" s="6" t="s">
        <v>1601</v>
      </c>
      <c r="J366" s="7" t="s">
        <v>3094</v>
      </c>
      <c r="K366" s="6" t="s">
        <v>1589</v>
      </c>
      <c r="L366" s="6" t="s">
        <v>1603</v>
      </c>
      <c r="M366" s="6" t="s">
        <v>3095</v>
      </c>
      <c r="N366" s="6" t="s">
        <v>1592</v>
      </c>
      <c r="O366" s="6" t="s">
        <v>1593</v>
      </c>
      <c r="P366" s="6" t="s">
        <v>1594</v>
      </c>
      <c r="Q366" s="7" t="s">
        <v>3092</v>
      </c>
      <c r="S366" s="6" t="s">
        <v>1601</v>
      </c>
      <c r="T366" s="6" t="s">
        <v>1605</v>
      </c>
    </row>
    <row r="367">
      <c r="A367" s="7" t="s">
        <v>2633</v>
      </c>
      <c r="B367" s="6" t="s">
        <v>1581</v>
      </c>
      <c r="C367" s="6" t="s">
        <v>1582</v>
      </c>
      <c r="D367" s="7" t="s">
        <v>3096</v>
      </c>
      <c r="E367" s="6" t="s">
        <v>3097</v>
      </c>
      <c r="F367" s="6" t="s">
        <v>3098</v>
      </c>
      <c r="G367" s="6" t="str">
        <f>IFERROR(__xludf.DUMMYFUNCTION("FILTER(RAW_met_lieux_inclusion_numeriq!B:B,RAW_met_lieux_inclusion_numeriq!B:B=F367)"),"#N/A")</f>
        <v>#N/A</v>
      </c>
      <c r="H367" s="6" t="s">
        <v>3099</v>
      </c>
      <c r="I367" s="6" t="s">
        <v>3100</v>
      </c>
      <c r="J367" s="7" t="s">
        <v>3101</v>
      </c>
      <c r="K367" s="6" t="s">
        <v>1589</v>
      </c>
      <c r="L367" s="6" t="s">
        <v>1603</v>
      </c>
      <c r="M367" s="6" t="s">
        <v>3102</v>
      </c>
      <c r="N367" s="6" t="s">
        <v>1592</v>
      </c>
      <c r="O367" s="6" t="s">
        <v>1593</v>
      </c>
      <c r="P367" s="6" t="s">
        <v>1594</v>
      </c>
      <c r="Q367" s="7" t="s">
        <v>3096</v>
      </c>
      <c r="S367" s="6" t="s">
        <v>1595</v>
      </c>
      <c r="T367" s="6" t="s">
        <v>1596</v>
      </c>
    </row>
    <row r="368">
      <c r="A368" s="7" t="s">
        <v>2633</v>
      </c>
      <c r="B368" s="6" t="s">
        <v>1581</v>
      </c>
      <c r="C368" s="6" t="s">
        <v>1582</v>
      </c>
      <c r="D368" s="7" t="s">
        <v>2690</v>
      </c>
      <c r="E368" s="6" t="s">
        <v>2712</v>
      </c>
      <c r="F368" s="6" t="s">
        <v>3103</v>
      </c>
      <c r="G368" s="6" t="str">
        <f>IFERROR(__xludf.DUMMYFUNCTION("FILTER(RAW_met_lieux_inclusion_numeriq!B:B,RAW_met_lieux_inclusion_numeriq!B:B=F368)"),"#N/A")</f>
        <v>#N/A</v>
      </c>
      <c r="H368" s="6" t="s">
        <v>3104</v>
      </c>
      <c r="I368" s="6" t="s">
        <v>2715</v>
      </c>
      <c r="J368" s="7" t="s">
        <v>2923</v>
      </c>
      <c r="K368" s="6" t="s">
        <v>1589</v>
      </c>
      <c r="L368" s="6" t="s">
        <v>1603</v>
      </c>
      <c r="M368" s="6" t="s">
        <v>2692</v>
      </c>
      <c r="N368" s="6" t="s">
        <v>1592</v>
      </c>
      <c r="O368" s="6" t="s">
        <v>1593</v>
      </c>
      <c r="P368" s="6" t="s">
        <v>1594</v>
      </c>
      <c r="Q368" s="7" t="s">
        <v>2690</v>
      </c>
      <c r="S368" s="6" t="s">
        <v>1595</v>
      </c>
      <c r="T368" s="6" t="s">
        <v>1596</v>
      </c>
    </row>
    <row r="369">
      <c r="A369" s="7" t="s">
        <v>2633</v>
      </c>
      <c r="B369" s="6" t="s">
        <v>1581</v>
      </c>
      <c r="C369" s="6" t="s">
        <v>1582</v>
      </c>
      <c r="D369" s="7" t="s">
        <v>2735</v>
      </c>
      <c r="E369" s="6" t="s">
        <v>2736</v>
      </c>
      <c r="F369" s="6" t="s">
        <v>3105</v>
      </c>
      <c r="G369" s="6" t="str">
        <f>IFERROR(__xludf.DUMMYFUNCTION("FILTER(RAW_met_lieux_inclusion_numeriq!B:B,RAW_met_lieux_inclusion_numeriq!B:B=F369)"),"#N/A")</f>
        <v>#N/A</v>
      </c>
      <c r="H369" s="6" t="s">
        <v>3106</v>
      </c>
      <c r="I369" s="6" t="s">
        <v>1601</v>
      </c>
      <c r="J369" s="7" t="s">
        <v>2798</v>
      </c>
      <c r="K369" s="6" t="s">
        <v>1589</v>
      </c>
      <c r="L369" s="6" t="s">
        <v>1603</v>
      </c>
      <c r="M369" s="6" t="s">
        <v>2739</v>
      </c>
      <c r="N369" s="6" t="s">
        <v>1592</v>
      </c>
      <c r="O369" s="6" t="s">
        <v>1593</v>
      </c>
      <c r="P369" s="6" t="s">
        <v>1594</v>
      </c>
      <c r="Q369" s="7" t="s">
        <v>2735</v>
      </c>
      <c r="S369" s="6" t="s">
        <v>1601</v>
      </c>
      <c r="T369" s="6" t="s">
        <v>1596</v>
      </c>
    </row>
    <row r="370">
      <c r="A370" s="7" t="s">
        <v>2633</v>
      </c>
      <c r="B370" s="6" t="s">
        <v>1581</v>
      </c>
      <c r="C370" s="6" t="s">
        <v>1582</v>
      </c>
      <c r="D370" s="7" t="s">
        <v>2670</v>
      </c>
      <c r="E370" s="6" t="s">
        <v>3107</v>
      </c>
      <c r="F370" s="6" t="s">
        <v>2462</v>
      </c>
      <c r="G370" s="6" t="str">
        <f>IFERROR(__xludf.DUMMYFUNCTION("FILTER(RAW_met_lieux_inclusion_numeriq!B:B,RAW_met_lieux_inclusion_numeriq!B:B=F370)"),"#N/A")</f>
        <v>#N/A</v>
      </c>
      <c r="H370" s="6" t="s">
        <v>1915</v>
      </c>
      <c r="I370" s="6" t="s">
        <v>3108</v>
      </c>
      <c r="J370" s="7" t="s">
        <v>3109</v>
      </c>
      <c r="K370" s="6" t="s">
        <v>1589</v>
      </c>
      <c r="L370" s="6" t="s">
        <v>1590</v>
      </c>
      <c r="M370" s="6" t="s">
        <v>2673</v>
      </c>
      <c r="N370" s="6" t="s">
        <v>1592</v>
      </c>
      <c r="O370" s="6" t="s">
        <v>1593</v>
      </c>
      <c r="P370" s="6" t="s">
        <v>1594</v>
      </c>
      <c r="Q370" s="7" t="s">
        <v>2670</v>
      </c>
      <c r="S370" s="6" t="s">
        <v>1595</v>
      </c>
      <c r="T370" s="6" t="s">
        <v>1596</v>
      </c>
    </row>
    <row r="371">
      <c r="A371" s="7" t="s">
        <v>2740</v>
      </c>
      <c r="B371" s="6" t="s">
        <v>1581</v>
      </c>
      <c r="C371" s="6" t="s">
        <v>1582</v>
      </c>
      <c r="D371" s="7" t="s">
        <v>2346</v>
      </c>
      <c r="E371" s="6" t="s">
        <v>3110</v>
      </c>
      <c r="F371" s="6" t="s">
        <v>1702</v>
      </c>
      <c r="G371" s="6" t="str">
        <f>IFERROR(__xludf.DUMMYFUNCTION("FILTER(RAW_met_lieux_inclusion_numeriq!B:B,RAW_met_lieux_inclusion_numeriq!B:B=F371)"),"#N/A")</f>
        <v>#N/A</v>
      </c>
      <c r="H371" s="6" t="s">
        <v>1703</v>
      </c>
      <c r="I371" s="6" t="s">
        <v>1601</v>
      </c>
      <c r="J371" s="7" t="s">
        <v>1705</v>
      </c>
      <c r="K371" s="6" t="s">
        <v>1589</v>
      </c>
      <c r="L371" s="6" t="s">
        <v>1603</v>
      </c>
      <c r="M371" s="6" t="s">
        <v>2349</v>
      </c>
      <c r="N371" s="6" t="s">
        <v>1592</v>
      </c>
      <c r="O371" s="6" t="s">
        <v>1593</v>
      </c>
      <c r="P371" s="6" t="s">
        <v>1594</v>
      </c>
      <c r="Q371" s="7" t="s">
        <v>2346</v>
      </c>
      <c r="S371" s="6" t="s">
        <v>1601</v>
      </c>
      <c r="T371" s="6" t="s">
        <v>1634</v>
      </c>
    </row>
    <row r="372">
      <c r="A372" s="7" t="s">
        <v>2740</v>
      </c>
      <c r="B372" s="6" t="s">
        <v>1581</v>
      </c>
      <c r="C372" s="6" t="s">
        <v>1582</v>
      </c>
      <c r="D372" s="7" t="s">
        <v>2350</v>
      </c>
      <c r="E372" s="6" t="s">
        <v>3111</v>
      </c>
      <c r="F372" s="6" t="s">
        <v>3112</v>
      </c>
      <c r="G372" s="6" t="str">
        <f>IFERROR(__xludf.DUMMYFUNCTION("FILTER(RAW_met_lieux_inclusion_numeriq!B:B,RAW_met_lieux_inclusion_numeriq!B:B=F372)"),"#N/A")</f>
        <v>#N/A</v>
      </c>
      <c r="H372" s="6" t="s">
        <v>3113</v>
      </c>
      <c r="I372" s="6" t="s">
        <v>3114</v>
      </c>
      <c r="J372" s="7" t="s">
        <v>3115</v>
      </c>
      <c r="K372" s="6" t="s">
        <v>1589</v>
      </c>
      <c r="L372" s="6" t="s">
        <v>1603</v>
      </c>
      <c r="M372" s="6" t="s">
        <v>2356</v>
      </c>
      <c r="N372" s="6" t="s">
        <v>1592</v>
      </c>
      <c r="O372" s="6" t="s">
        <v>1593</v>
      </c>
      <c r="P372" s="6" t="s">
        <v>1594</v>
      </c>
      <c r="Q372" s="7" t="s">
        <v>2350</v>
      </c>
      <c r="S372" s="6" t="s">
        <v>1595</v>
      </c>
      <c r="T372" s="6" t="s">
        <v>1596</v>
      </c>
    </row>
    <row r="373">
      <c r="A373" s="7" t="s">
        <v>2740</v>
      </c>
      <c r="B373" s="6" t="s">
        <v>1581</v>
      </c>
      <c r="C373" s="6" t="s">
        <v>1582</v>
      </c>
      <c r="D373" s="7" t="s">
        <v>3116</v>
      </c>
      <c r="E373" s="6" t="s">
        <v>2724</v>
      </c>
      <c r="F373" s="6" t="s">
        <v>3117</v>
      </c>
      <c r="G373" s="6" t="str">
        <f>IFERROR(__xludf.DUMMYFUNCTION("FILTER(RAW_met_lieux_inclusion_numeriq!B:B,RAW_met_lieux_inclusion_numeriq!B:B=F373)"),"#N/A")</f>
        <v>#N/A</v>
      </c>
      <c r="H373" s="6" t="s">
        <v>2040</v>
      </c>
      <c r="I373" s="6" t="s">
        <v>1601</v>
      </c>
      <c r="J373" s="7" t="s">
        <v>1665</v>
      </c>
      <c r="K373" s="6" t="s">
        <v>1589</v>
      </c>
      <c r="L373" s="6" t="s">
        <v>1603</v>
      </c>
      <c r="M373" s="6" t="s">
        <v>3118</v>
      </c>
      <c r="N373" s="6" t="s">
        <v>1592</v>
      </c>
      <c r="O373" s="6" t="s">
        <v>1593</v>
      </c>
      <c r="P373" s="6" t="s">
        <v>1594</v>
      </c>
      <c r="Q373" s="7" t="s">
        <v>3116</v>
      </c>
      <c r="S373" s="6" t="s">
        <v>1601</v>
      </c>
      <c r="T373" s="6" t="s">
        <v>1596</v>
      </c>
    </row>
    <row r="374">
      <c r="A374" s="7" t="s">
        <v>2740</v>
      </c>
      <c r="B374" s="6" t="s">
        <v>1581</v>
      </c>
      <c r="C374" s="6" t="s">
        <v>1582</v>
      </c>
      <c r="D374" s="7" t="s">
        <v>3119</v>
      </c>
      <c r="E374" s="6" t="s">
        <v>3110</v>
      </c>
      <c r="F374" s="6" t="s">
        <v>1779</v>
      </c>
      <c r="G374" s="6" t="str">
        <f>IFERROR(__xludf.DUMMYFUNCTION("FILTER(RAW_met_lieux_inclusion_numeriq!B:B,RAW_met_lieux_inclusion_numeriq!B:B=F374)"),"#N/A")</f>
        <v>#N/A</v>
      </c>
      <c r="H374" s="6" t="s">
        <v>3120</v>
      </c>
      <c r="I374" s="6" t="s">
        <v>1601</v>
      </c>
      <c r="J374" s="7" t="s">
        <v>1781</v>
      </c>
      <c r="K374" s="6" t="s">
        <v>1589</v>
      </c>
      <c r="L374" s="6" t="s">
        <v>1603</v>
      </c>
      <c r="M374" s="6" t="s">
        <v>3121</v>
      </c>
      <c r="N374" s="6" t="s">
        <v>1592</v>
      </c>
      <c r="O374" s="6" t="s">
        <v>1593</v>
      </c>
      <c r="P374" s="6" t="s">
        <v>1594</v>
      </c>
      <c r="Q374" s="7" t="s">
        <v>3119</v>
      </c>
      <c r="S374" s="6" t="s">
        <v>1601</v>
      </c>
      <c r="T374" s="6" t="s">
        <v>1605</v>
      </c>
    </row>
    <row r="375">
      <c r="A375" s="7" t="s">
        <v>2740</v>
      </c>
      <c r="B375" s="6" t="s">
        <v>1581</v>
      </c>
      <c r="C375" s="6" t="s">
        <v>1582</v>
      </c>
      <c r="D375" s="7" t="s">
        <v>3122</v>
      </c>
      <c r="E375" s="6" t="s">
        <v>2766</v>
      </c>
      <c r="F375" s="6" t="s">
        <v>1821</v>
      </c>
      <c r="G375" s="6" t="str">
        <f>IFERROR(__xludf.DUMMYFUNCTION("FILTER(RAW_met_lieux_inclusion_numeriq!B:B,RAW_met_lieux_inclusion_numeriq!B:B=F375)"),"#N/A")</f>
        <v>#N/A</v>
      </c>
      <c r="H375" s="6" t="s">
        <v>3123</v>
      </c>
      <c r="I375" s="6" t="s">
        <v>1601</v>
      </c>
      <c r="J375" s="7" t="s">
        <v>1671</v>
      </c>
      <c r="K375" s="6" t="s">
        <v>1589</v>
      </c>
      <c r="L375" s="6" t="s">
        <v>1590</v>
      </c>
      <c r="M375" s="6" t="s">
        <v>3124</v>
      </c>
      <c r="N375" s="6" t="s">
        <v>1592</v>
      </c>
      <c r="O375" s="6" t="s">
        <v>1593</v>
      </c>
      <c r="P375" s="6" t="s">
        <v>1594</v>
      </c>
      <c r="Q375" s="7" t="s">
        <v>3122</v>
      </c>
      <c r="S375" s="6" t="s">
        <v>1601</v>
      </c>
      <c r="T375" s="6" t="s">
        <v>1596</v>
      </c>
    </row>
    <row r="376">
      <c r="A376" s="7" t="s">
        <v>2740</v>
      </c>
      <c r="B376" s="6" t="s">
        <v>1581</v>
      </c>
      <c r="C376" s="6" t="s">
        <v>1582</v>
      </c>
      <c r="D376" s="7" t="s">
        <v>3125</v>
      </c>
      <c r="E376" s="6" t="s">
        <v>3126</v>
      </c>
      <c r="F376" s="6" t="s">
        <v>3028</v>
      </c>
      <c r="G376" s="6" t="str">
        <f>IFERROR(__xludf.DUMMYFUNCTION("FILTER(RAW_met_lieux_inclusion_numeriq!B:B,RAW_met_lieux_inclusion_numeriq!B:B=F376)"),"#N/A")</f>
        <v>#N/A</v>
      </c>
      <c r="H376" s="6" t="s">
        <v>3029</v>
      </c>
      <c r="I376" s="6" t="s">
        <v>1631</v>
      </c>
      <c r="J376" s="7" t="s">
        <v>2131</v>
      </c>
      <c r="K376" s="6" t="s">
        <v>1589</v>
      </c>
      <c r="L376" s="6" t="s">
        <v>1603</v>
      </c>
      <c r="M376" s="6" t="s">
        <v>3127</v>
      </c>
      <c r="N376" s="6" t="s">
        <v>1592</v>
      </c>
      <c r="O376" s="6" t="s">
        <v>1593</v>
      </c>
      <c r="P376" s="6" t="s">
        <v>1594</v>
      </c>
      <c r="Q376" s="7" t="s">
        <v>3125</v>
      </c>
      <c r="S376" s="6" t="s">
        <v>1595</v>
      </c>
      <c r="T376" s="6" t="s">
        <v>1596</v>
      </c>
    </row>
    <row r="377">
      <c r="A377" s="7" t="s">
        <v>2740</v>
      </c>
      <c r="B377" s="6" t="s">
        <v>1581</v>
      </c>
      <c r="C377" s="6" t="s">
        <v>1582</v>
      </c>
      <c r="D377" s="7" t="s">
        <v>2755</v>
      </c>
      <c r="E377" s="6" t="s">
        <v>2724</v>
      </c>
      <c r="F377" s="6" t="s">
        <v>3128</v>
      </c>
      <c r="G377" s="6" t="str">
        <f>IFERROR(__xludf.DUMMYFUNCTION("FILTER(RAW_met_lieux_inclusion_numeriq!B:B,RAW_met_lieux_inclusion_numeriq!B:B=F377)"),"#N/A")</f>
        <v>#N/A</v>
      </c>
      <c r="H377" s="6" t="s">
        <v>3129</v>
      </c>
      <c r="I377" s="6" t="s">
        <v>1601</v>
      </c>
      <c r="J377" s="7" t="s">
        <v>2166</v>
      </c>
      <c r="K377" s="6" t="s">
        <v>1589</v>
      </c>
      <c r="L377" s="6" t="s">
        <v>1603</v>
      </c>
      <c r="M377" s="6" t="s">
        <v>2758</v>
      </c>
      <c r="N377" s="6" t="s">
        <v>1592</v>
      </c>
      <c r="O377" s="6" t="s">
        <v>1593</v>
      </c>
      <c r="P377" s="6" t="s">
        <v>1594</v>
      </c>
      <c r="Q377" s="7" t="s">
        <v>2755</v>
      </c>
      <c r="S377" s="6" t="s">
        <v>1601</v>
      </c>
      <c r="T377" s="6" t="s">
        <v>1596</v>
      </c>
    </row>
    <row r="378">
      <c r="A378" s="7" t="s">
        <v>2740</v>
      </c>
      <c r="B378" s="6" t="s">
        <v>1581</v>
      </c>
      <c r="C378" s="6" t="s">
        <v>1582</v>
      </c>
      <c r="D378" s="7" t="s">
        <v>3130</v>
      </c>
      <c r="E378" s="6" t="s">
        <v>3131</v>
      </c>
      <c r="F378" s="6" t="s">
        <v>3132</v>
      </c>
      <c r="G378" s="6" t="str">
        <f>IFERROR(__xludf.DUMMYFUNCTION("FILTER(RAW_met_lieux_inclusion_numeriq!B:B,RAW_met_lieux_inclusion_numeriq!B:B=F378)"),"#N/A")</f>
        <v>#N/A</v>
      </c>
      <c r="H378" s="6" t="s">
        <v>3133</v>
      </c>
      <c r="I378" s="6" t="s">
        <v>1601</v>
      </c>
      <c r="J378" s="7" t="s">
        <v>3134</v>
      </c>
      <c r="K378" s="6" t="s">
        <v>1589</v>
      </c>
      <c r="L378" s="6" t="s">
        <v>1590</v>
      </c>
      <c r="M378" s="6" t="s">
        <v>3135</v>
      </c>
      <c r="N378" s="6" t="s">
        <v>1592</v>
      </c>
      <c r="O378" s="6" t="s">
        <v>1593</v>
      </c>
      <c r="P378" s="6" t="s">
        <v>1594</v>
      </c>
      <c r="Q378" s="7" t="s">
        <v>3130</v>
      </c>
      <c r="S378" s="6" t="s">
        <v>1601</v>
      </c>
      <c r="T378" s="6" t="s">
        <v>1634</v>
      </c>
    </row>
    <row r="379">
      <c r="A379" s="7" t="s">
        <v>2740</v>
      </c>
      <c r="B379" s="6" t="s">
        <v>1581</v>
      </c>
      <c r="C379" s="6" t="s">
        <v>1582</v>
      </c>
      <c r="D379" s="7" t="s">
        <v>2891</v>
      </c>
      <c r="E379" s="6" t="s">
        <v>2998</v>
      </c>
      <c r="F379" s="6" t="s">
        <v>2105</v>
      </c>
      <c r="G379" s="6" t="str">
        <f>IFERROR(__xludf.DUMMYFUNCTION("FILTER(RAW_met_lieux_inclusion_numeriq!B:B,RAW_met_lieux_inclusion_numeriq!B:B=F379)"),"#N/A")</f>
        <v>#N/A</v>
      </c>
      <c r="H379" s="6" t="s">
        <v>2106</v>
      </c>
      <c r="I379" s="6" t="s">
        <v>3001</v>
      </c>
      <c r="J379" s="7" t="s">
        <v>2212</v>
      </c>
      <c r="K379" s="6" t="s">
        <v>1589</v>
      </c>
      <c r="L379" s="6" t="s">
        <v>1603</v>
      </c>
      <c r="M379" s="6" t="s">
        <v>2897</v>
      </c>
      <c r="N379" s="6" t="s">
        <v>1592</v>
      </c>
      <c r="O379" s="6" t="s">
        <v>1593</v>
      </c>
      <c r="P379" s="6" t="s">
        <v>1594</v>
      </c>
      <c r="Q379" s="7" t="s">
        <v>2891</v>
      </c>
      <c r="S379" s="6" t="s">
        <v>1595</v>
      </c>
      <c r="T379" s="6" t="s">
        <v>1605</v>
      </c>
    </row>
    <row r="380">
      <c r="A380" s="7" t="s">
        <v>2740</v>
      </c>
      <c r="B380" s="6" t="s">
        <v>1581</v>
      </c>
      <c r="C380" s="6" t="s">
        <v>1582</v>
      </c>
      <c r="D380" s="7" t="s">
        <v>2809</v>
      </c>
      <c r="E380" s="6" t="s">
        <v>3136</v>
      </c>
      <c r="F380" s="6" t="s">
        <v>3137</v>
      </c>
      <c r="G380" s="6" t="str">
        <f>IFERROR(__xludf.DUMMYFUNCTION("FILTER(RAW_met_lieux_inclusion_numeriq!B:B,RAW_met_lieux_inclusion_numeriq!B:B=F380)"),"#N/A")</f>
        <v>#N/A</v>
      </c>
      <c r="H380" s="6" t="s">
        <v>3138</v>
      </c>
      <c r="I380" s="6" t="s">
        <v>3139</v>
      </c>
      <c r="J380" s="7" t="s">
        <v>1651</v>
      </c>
      <c r="K380" s="6" t="s">
        <v>1589</v>
      </c>
      <c r="L380" s="6" t="s">
        <v>1603</v>
      </c>
      <c r="M380" s="6" t="s">
        <v>2814</v>
      </c>
      <c r="N380" s="6" t="s">
        <v>1592</v>
      </c>
      <c r="O380" s="6" t="s">
        <v>1593</v>
      </c>
      <c r="P380" s="6" t="s">
        <v>1594</v>
      </c>
      <c r="Q380" s="7" t="s">
        <v>2809</v>
      </c>
      <c r="S380" s="6" t="s">
        <v>1595</v>
      </c>
      <c r="T380" s="6" t="s">
        <v>1596</v>
      </c>
    </row>
    <row r="381">
      <c r="A381" s="7" t="s">
        <v>2740</v>
      </c>
      <c r="B381" s="6" t="s">
        <v>1581</v>
      </c>
      <c r="C381" s="6" t="s">
        <v>1582</v>
      </c>
      <c r="D381" s="7" t="s">
        <v>2793</v>
      </c>
      <c r="E381" s="6" t="s">
        <v>3140</v>
      </c>
      <c r="F381" s="6" t="s">
        <v>1695</v>
      </c>
      <c r="G381" s="6" t="str">
        <f>IFERROR(__xludf.DUMMYFUNCTION("FILTER(RAW_met_lieux_inclusion_numeriq!B:B,RAW_met_lieux_inclusion_numeriq!B:B=F381)"),"#N/A")</f>
        <v>#N/A</v>
      </c>
      <c r="H381" s="6" t="s">
        <v>1696</v>
      </c>
      <c r="I381" s="6" t="s">
        <v>3141</v>
      </c>
      <c r="J381" s="7" t="s">
        <v>3142</v>
      </c>
      <c r="K381" s="6" t="s">
        <v>1589</v>
      </c>
      <c r="L381" s="6" t="s">
        <v>1603</v>
      </c>
      <c r="M381" s="6" t="s">
        <v>2799</v>
      </c>
      <c r="N381" s="6" t="s">
        <v>1592</v>
      </c>
      <c r="O381" s="6" t="s">
        <v>1593</v>
      </c>
      <c r="P381" s="6" t="s">
        <v>1594</v>
      </c>
      <c r="Q381" s="7" t="s">
        <v>2793</v>
      </c>
      <c r="S381" s="6" t="s">
        <v>1595</v>
      </c>
      <c r="T381" s="6" t="s">
        <v>1596</v>
      </c>
    </row>
    <row r="382">
      <c r="A382" s="7" t="s">
        <v>2740</v>
      </c>
      <c r="B382" s="6" t="s">
        <v>1581</v>
      </c>
      <c r="C382" s="6" t="s">
        <v>1582</v>
      </c>
      <c r="D382" s="7" t="s">
        <v>3015</v>
      </c>
      <c r="E382" s="6" t="s">
        <v>3143</v>
      </c>
      <c r="F382" s="6" t="s">
        <v>3144</v>
      </c>
      <c r="G382" s="6" t="str">
        <f>IFERROR(__xludf.DUMMYFUNCTION("FILTER(RAW_met_lieux_inclusion_numeriq!B:B,RAW_met_lieux_inclusion_numeriq!B:B=F382)"),"#N/A")</f>
        <v>#N/A</v>
      </c>
      <c r="H382" s="6" t="s">
        <v>3145</v>
      </c>
      <c r="I382" s="6" t="s">
        <v>1601</v>
      </c>
      <c r="J382" s="7" t="s">
        <v>1671</v>
      </c>
      <c r="K382" s="6" t="s">
        <v>1589</v>
      </c>
      <c r="L382" s="6" t="s">
        <v>1590</v>
      </c>
      <c r="M382" s="6" t="s">
        <v>3017</v>
      </c>
      <c r="N382" s="6" t="s">
        <v>1592</v>
      </c>
      <c r="O382" s="6" t="s">
        <v>1593</v>
      </c>
      <c r="P382" s="6" t="s">
        <v>1594</v>
      </c>
      <c r="Q382" s="7" t="s">
        <v>3015</v>
      </c>
      <c r="S382" s="6" t="s">
        <v>1601</v>
      </c>
      <c r="T382" s="6" t="s">
        <v>1596</v>
      </c>
    </row>
    <row r="383">
      <c r="A383" s="7" t="s">
        <v>2740</v>
      </c>
      <c r="B383" s="6" t="s">
        <v>1581</v>
      </c>
      <c r="C383" s="6" t="s">
        <v>1582</v>
      </c>
      <c r="D383" s="7" t="s">
        <v>2765</v>
      </c>
      <c r="E383" s="6" t="s">
        <v>3146</v>
      </c>
      <c r="F383" s="6" t="s">
        <v>3147</v>
      </c>
      <c r="G383" s="6" t="str">
        <f>IFERROR(__xludf.DUMMYFUNCTION("FILTER(RAW_met_lieux_inclusion_numeriq!B:B,RAW_met_lieux_inclusion_numeriq!B:B=F383)"),"#N/A")</f>
        <v>#N/A</v>
      </c>
      <c r="H383" s="6" t="s">
        <v>3148</v>
      </c>
      <c r="I383" s="6" t="s">
        <v>3149</v>
      </c>
      <c r="J383" s="7" t="s">
        <v>3150</v>
      </c>
      <c r="K383" s="6" t="s">
        <v>1589</v>
      </c>
      <c r="L383" s="6" t="s">
        <v>1590</v>
      </c>
      <c r="M383" s="6" t="s">
        <v>2768</v>
      </c>
      <c r="N383" s="6" t="s">
        <v>1592</v>
      </c>
      <c r="O383" s="6" t="s">
        <v>1593</v>
      </c>
      <c r="P383" s="6" t="s">
        <v>1594</v>
      </c>
      <c r="Q383" s="7" t="s">
        <v>2765</v>
      </c>
      <c r="S383" s="6" t="s">
        <v>1595</v>
      </c>
      <c r="T383" s="6" t="s">
        <v>1605</v>
      </c>
    </row>
    <row r="384">
      <c r="A384" s="7" t="s">
        <v>2783</v>
      </c>
      <c r="B384" s="6" t="s">
        <v>1581</v>
      </c>
      <c r="C384" s="6" t="s">
        <v>1582</v>
      </c>
      <c r="D384" s="7" t="s">
        <v>3015</v>
      </c>
      <c r="E384" s="6" t="s">
        <v>3151</v>
      </c>
      <c r="F384" s="6" t="s">
        <v>1997</v>
      </c>
      <c r="G384" s="6" t="str">
        <f>IFERROR(__xludf.DUMMYFUNCTION("FILTER(RAW_met_lieux_inclusion_numeriq!B:B,RAW_met_lieux_inclusion_numeriq!B:B=F384)"),"#N/A")</f>
        <v>#N/A</v>
      </c>
      <c r="H384" s="6" t="s">
        <v>1998</v>
      </c>
      <c r="I384" s="6" t="s">
        <v>1631</v>
      </c>
      <c r="J384" s="7" t="s">
        <v>2582</v>
      </c>
      <c r="K384" s="6" t="s">
        <v>1589</v>
      </c>
      <c r="L384" s="6" t="s">
        <v>1603</v>
      </c>
      <c r="M384" s="6" t="s">
        <v>3017</v>
      </c>
      <c r="N384" s="6" t="s">
        <v>1592</v>
      </c>
      <c r="O384" s="6" t="s">
        <v>1593</v>
      </c>
      <c r="P384" s="6" t="s">
        <v>1594</v>
      </c>
      <c r="Q384" s="7" t="s">
        <v>3015</v>
      </c>
      <c r="S384" s="6" t="s">
        <v>1595</v>
      </c>
      <c r="T384" s="6" t="s">
        <v>1596</v>
      </c>
    </row>
    <row r="385">
      <c r="A385" s="7" t="s">
        <v>2783</v>
      </c>
      <c r="B385" s="6" t="s">
        <v>1581</v>
      </c>
      <c r="C385" s="6" t="s">
        <v>1582</v>
      </c>
      <c r="D385" s="7" t="s">
        <v>2784</v>
      </c>
      <c r="E385" s="6" t="s">
        <v>3152</v>
      </c>
      <c r="F385" s="6" t="s">
        <v>3153</v>
      </c>
      <c r="G385" s="6" t="str">
        <f>IFERROR(__xludf.DUMMYFUNCTION("FILTER(RAW_met_lieux_inclusion_numeriq!B:B,RAW_met_lieux_inclusion_numeriq!B:B=F385)"),"#N/A")</f>
        <v>#N/A</v>
      </c>
      <c r="H385" s="6" t="s">
        <v>2628</v>
      </c>
      <c r="I385" s="6" t="s">
        <v>3154</v>
      </c>
      <c r="J385" s="7" t="s">
        <v>3155</v>
      </c>
      <c r="K385" s="6" t="s">
        <v>1589</v>
      </c>
      <c r="L385" s="6" t="s">
        <v>1603</v>
      </c>
      <c r="M385" s="6" t="s">
        <v>2788</v>
      </c>
      <c r="N385" s="6" t="s">
        <v>1592</v>
      </c>
      <c r="O385" s="6" t="s">
        <v>1593</v>
      </c>
      <c r="P385" s="6" t="s">
        <v>1594</v>
      </c>
      <c r="Q385" s="7" t="s">
        <v>2784</v>
      </c>
      <c r="S385" s="6" t="s">
        <v>1595</v>
      </c>
      <c r="T385" s="6" t="s">
        <v>1645</v>
      </c>
    </row>
    <row r="386">
      <c r="A386" s="7" t="s">
        <v>2783</v>
      </c>
      <c r="B386" s="6" t="s">
        <v>1581</v>
      </c>
      <c r="C386" s="6" t="s">
        <v>1582</v>
      </c>
      <c r="D386" s="7" t="s">
        <v>2793</v>
      </c>
      <c r="E386" s="6" t="s">
        <v>2794</v>
      </c>
      <c r="F386" s="6" t="s">
        <v>3156</v>
      </c>
      <c r="G386" s="6" t="str">
        <f>IFERROR(__xludf.DUMMYFUNCTION("FILTER(RAW_met_lieux_inclusion_numeriq!B:B,RAW_met_lieux_inclusion_numeriq!B:B=F386)"),"#N/A")</f>
        <v>#N/A</v>
      </c>
      <c r="H386" s="6" t="s">
        <v>3157</v>
      </c>
      <c r="I386" s="6" t="s">
        <v>2797</v>
      </c>
      <c r="J386" s="7" t="s">
        <v>1880</v>
      </c>
      <c r="K386" s="6" t="s">
        <v>1589</v>
      </c>
      <c r="L386" s="6" t="s">
        <v>1590</v>
      </c>
      <c r="M386" s="6" t="s">
        <v>2799</v>
      </c>
      <c r="N386" s="6" t="s">
        <v>1592</v>
      </c>
      <c r="O386" s="6" t="s">
        <v>1593</v>
      </c>
      <c r="P386" s="6" t="s">
        <v>1594</v>
      </c>
      <c r="Q386" s="7" t="s">
        <v>2793</v>
      </c>
      <c r="S386" s="6" t="s">
        <v>1595</v>
      </c>
      <c r="T386" s="6" t="s">
        <v>1596</v>
      </c>
    </row>
    <row r="387">
      <c r="A387" s="7" t="s">
        <v>2783</v>
      </c>
      <c r="B387" s="6" t="s">
        <v>1581</v>
      </c>
      <c r="C387" s="6" t="s">
        <v>1582</v>
      </c>
      <c r="D387" s="7" t="s">
        <v>2780</v>
      </c>
      <c r="E387" s="6" t="s">
        <v>2794</v>
      </c>
      <c r="F387" s="6" t="s">
        <v>3158</v>
      </c>
      <c r="G387" s="6" t="str">
        <f>IFERROR(__xludf.DUMMYFUNCTION("FILTER(RAW_met_lieux_inclusion_numeriq!B:B,RAW_met_lieux_inclusion_numeriq!B:B=F387)"),"#N/A")</f>
        <v>#N/A</v>
      </c>
      <c r="H387" s="6" t="s">
        <v>3159</v>
      </c>
      <c r="I387" s="6" t="s">
        <v>2797</v>
      </c>
      <c r="J387" s="7" t="s">
        <v>3010</v>
      </c>
      <c r="K387" s="6" t="s">
        <v>1589</v>
      </c>
      <c r="L387" s="6" t="s">
        <v>1590</v>
      </c>
      <c r="M387" s="6" t="s">
        <v>2782</v>
      </c>
      <c r="N387" s="6" t="s">
        <v>1592</v>
      </c>
      <c r="O387" s="6" t="s">
        <v>1593</v>
      </c>
      <c r="P387" s="6" t="s">
        <v>1594</v>
      </c>
      <c r="Q387" s="7" t="s">
        <v>2780</v>
      </c>
      <c r="S387" s="6" t="s">
        <v>1595</v>
      </c>
      <c r="T387" s="6" t="s">
        <v>1596</v>
      </c>
    </row>
    <row r="388">
      <c r="A388" s="7" t="s">
        <v>2783</v>
      </c>
      <c r="B388" s="6" t="s">
        <v>1581</v>
      </c>
      <c r="C388" s="6" t="s">
        <v>1582</v>
      </c>
      <c r="D388" s="7" t="s">
        <v>3015</v>
      </c>
      <c r="E388" s="6" t="s">
        <v>3160</v>
      </c>
      <c r="F388" s="6" t="s">
        <v>3161</v>
      </c>
      <c r="G388" s="6" t="str">
        <f>IFERROR(__xludf.DUMMYFUNCTION("FILTER(RAW_met_lieux_inclusion_numeriq!B:B,RAW_met_lieux_inclusion_numeriq!B:B=F388)"),"#N/A")</f>
        <v>#N/A</v>
      </c>
      <c r="H388" s="6" t="s">
        <v>3162</v>
      </c>
      <c r="I388" s="6" t="s">
        <v>3163</v>
      </c>
      <c r="J388" s="7" t="s">
        <v>1671</v>
      </c>
      <c r="K388" s="6" t="s">
        <v>1589</v>
      </c>
      <c r="L388" s="6" t="s">
        <v>1603</v>
      </c>
      <c r="M388" s="6" t="s">
        <v>3017</v>
      </c>
      <c r="N388" s="6" t="s">
        <v>1592</v>
      </c>
      <c r="O388" s="6" t="s">
        <v>1593</v>
      </c>
      <c r="P388" s="6" t="s">
        <v>1594</v>
      </c>
      <c r="Q388" s="7" t="s">
        <v>3015</v>
      </c>
      <c r="S388" s="6" t="s">
        <v>1595</v>
      </c>
      <c r="T388" s="6" t="s">
        <v>1596</v>
      </c>
    </row>
    <row r="389">
      <c r="A389" s="7" t="s">
        <v>2783</v>
      </c>
      <c r="B389" s="6" t="s">
        <v>1581</v>
      </c>
      <c r="C389" s="6" t="s">
        <v>1582</v>
      </c>
      <c r="D389" s="7" t="s">
        <v>3164</v>
      </c>
      <c r="E389" s="6" t="s">
        <v>2998</v>
      </c>
      <c r="F389" s="6" t="s">
        <v>1796</v>
      </c>
      <c r="G389" s="6" t="str">
        <f>IFERROR(__xludf.DUMMYFUNCTION("FILTER(RAW_met_lieux_inclusion_numeriq!B:B,RAW_met_lieux_inclusion_numeriq!B:B=F389)"),"#N/A")</f>
        <v>#N/A</v>
      </c>
      <c r="H389" s="6" t="s">
        <v>1797</v>
      </c>
      <c r="I389" s="6" t="s">
        <v>3001</v>
      </c>
      <c r="J389" s="7" t="s">
        <v>2212</v>
      </c>
      <c r="K389" s="6" t="s">
        <v>1589</v>
      </c>
      <c r="L389" s="6" t="s">
        <v>1603</v>
      </c>
      <c r="M389" s="6" t="s">
        <v>3165</v>
      </c>
      <c r="N389" s="6" t="s">
        <v>1592</v>
      </c>
      <c r="O389" s="6" t="s">
        <v>1593</v>
      </c>
      <c r="P389" s="6" t="s">
        <v>1594</v>
      </c>
      <c r="Q389" s="7" t="s">
        <v>3164</v>
      </c>
      <c r="S389" s="6" t="s">
        <v>1595</v>
      </c>
      <c r="T389" s="6" t="s">
        <v>1605</v>
      </c>
    </row>
    <row r="390">
      <c r="A390" s="7" t="s">
        <v>2783</v>
      </c>
      <c r="B390" s="6" t="s">
        <v>1581</v>
      </c>
      <c r="C390" s="6" t="s">
        <v>1582</v>
      </c>
      <c r="D390" s="7" t="s">
        <v>2830</v>
      </c>
      <c r="E390" s="6" t="s">
        <v>3166</v>
      </c>
      <c r="F390" s="6" t="s">
        <v>3167</v>
      </c>
      <c r="G390" s="6" t="str">
        <f>IFERROR(__xludf.DUMMYFUNCTION("FILTER(RAW_met_lieux_inclusion_numeriq!B:B,RAW_met_lieux_inclusion_numeriq!B:B=F390)"),"#N/A")</f>
        <v>#N/A</v>
      </c>
      <c r="H390" s="6" t="s">
        <v>2027</v>
      </c>
      <c r="I390" s="6" t="s">
        <v>1601</v>
      </c>
      <c r="J390" s="7" t="s">
        <v>3168</v>
      </c>
      <c r="K390" s="6" t="s">
        <v>1589</v>
      </c>
      <c r="L390" s="6" t="s">
        <v>1603</v>
      </c>
      <c r="M390" s="6" t="s">
        <v>2834</v>
      </c>
      <c r="N390" s="6" t="s">
        <v>1592</v>
      </c>
      <c r="O390" s="6" t="s">
        <v>1593</v>
      </c>
      <c r="P390" s="6" t="s">
        <v>1594</v>
      </c>
      <c r="Q390" s="7" t="s">
        <v>2830</v>
      </c>
      <c r="S390" s="6" t="s">
        <v>1601</v>
      </c>
      <c r="T390" s="6" t="s">
        <v>1605</v>
      </c>
    </row>
    <row r="391">
      <c r="A391" s="7" t="s">
        <v>2783</v>
      </c>
      <c r="B391" s="6" t="s">
        <v>1581</v>
      </c>
      <c r="C391" s="6" t="s">
        <v>1582</v>
      </c>
      <c r="D391" s="7" t="s">
        <v>2805</v>
      </c>
      <c r="E391" s="6" t="s">
        <v>2818</v>
      </c>
      <c r="F391" s="6" t="s">
        <v>3169</v>
      </c>
      <c r="G391" s="6" t="str">
        <f>IFERROR(__xludf.DUMMYFUNCTION("FILTER(RAW_met_lieux_inclusion_numeriq!B:B,RAW_met_lieux_inclusion_numeriq!B:B=F391)"),"#N/A")</f>
        <v>#N/A</v>
      </c>
      <c r="H391" s="6" t="s">
        <v>3170</v>
      </c>
      <c r="I391" s="6" t="s">
        <v>2821</v>
      </c>
      <c r="J391" s="7" t="s">
        <v>1671</v>
      </c>
      <c r="K391" s="6" t="s">
        <v>1589</v>
      </c>
      <c r="L391" s="6" t="s">
        <v>1603</v>
      </c>
      <c r="M391" s="6" t="s">
        <v>2808</v>
      </c>
      <c r="N391" s="6" t="s">
        <v>1592</v>
      </c>
      <c r="O391" s="6" t="s">
        <v>1593</v>
      </c>
      <c r="P391" s="6" t="s">
        <v>1594</v>
      </c>
      <c r="Q391" s="7" t="s">
        <v>2805</v>
      </c>
      <c r="S391" s="6" t="s">
        <v>1595</v>
      </c>
      <c r="T391" s="6" t="s">
        <v>1596</v>
      </c>
    </row>
    <row r="392">
      <c r="A392" s="7" t="s">
        <v>2783</v>
      </c>
      <c r="B392" s="6" t="s">
        <v>1581</v>
      </c>
      <c r="C392" s="6" t="s">
        <v>1582</v>
      </c>
      <c r="D392" s="7" t="s">
        <v>2805</v>
      </c>
      <c r="E392" s="6" t="s">
        <v>2818</v>
      </c>
      <c r="F392" s="6" t="s">
        <v>3171</v>
      </c>
      <c r="G392" s="6" t="str">
        <f>IFERROR(__xludf.DUMMYFUNCTION("FILTER(RAW_met_lieux_inclusion_numeriq!B:B,RAW_met_lieux_inclusion_numeriq!B:B=F392)"),"#N/A")</f>
        <v>#N/A</v>
      </c>
      <c r="H392" s="6" t="s">
        <v>3172</v>
      </c>
      <c r="I392" s="6" t="s">
        <v>2821</v>
      </c>
      <c r="J392" s="7" t="s">
        <v>1752</v>
      </c>
      <c r="K392" s="6" t="s">
        <v>1589</v>
      </c>
      <c r="L392" s="6" t="s">
        <v>1603</v>
      </c>
      <c r="M392" s="6" t="s">
        <v>2808</v>
      </c>
      <c r="N392" s="6" t="s">
        <v>1592</v>
      </c>
      <c r="O392" s="6" t="s">
        <v>1593</v>
      </c>
      <c r="P392" s="6" t="s">
        <v>1594</v>
      </c>
      <c r="Q392" s="7" t="s">
        <v>2805</v>
      </c>
      <c r="S392" s="6" t="s">
        <v>1595</v>
      </c>
      <c r="T392" s="6" t="s">
        <v>1605</v>
      </c>
    </row>
    <row r="393">
      <c r="A393" s="7" t="s">
        <v>2783</v>
      </c>
      <c r="B393" s="6" t="s">
        <v>1581</v>
      </c>
      <c r="C393" s="6" t="s">
        <v>1582</v>
      </c>
      <c r="D393" s="7" t="s">
        <v>3173</v>
      </c>
      <c r="E393" s="6" t="s">
        <v>3174</v>
      </c>
      <c r="F393" s="6" t="s">
        <v>3175</v>
      </c>
      <c r="G393" s="6" t="str">
        <f>IFERROR(__xludf.DUMMYFUNCTION("FILTER(RAW_met_lieux_inclusion_numeriq!B:B,RAW_met_lieux_inclusion_numeriq!B:B=F393)"),"#N/A")</f>
        <v>#N/A</v>
      </c>
      <c r="H393" s="6" t="s">
        <v>3176</v>
      </c>
      <c r="I393" s="6" t="s">
        <v>3177</v>
      </c>
      <c r="J393" s="7" t="s">
        <v>1752</v>
      </c>
      <c r="K393" s="6" t="s">
        <v>1589</v>
      </c>
      <c r="L393" s="6" t="s">
        <v>1590</v>
      </c>
      <c r="M393" s="6" t="s">
        <v>3178</v>
      </c>
      <c r="N393" s="6" t="s">
        <v>1592</v>
      </c>
      <c r="O393" s="6" t="s">
        <v>1593</v>
      </c>
      <c r="P393" s="6" t="s">
        <v>1594</v>
      </c>
      <c r="Q393" s="7" t="s">
        <v>3173</v>
      </c>
      <c r="S393" s="6" t="s">
        <v>1595</v>
      </c>
      <c r="T393" s="6" t="s">
        <v>1605</v>
      </c>
    </row>
    <row r="394">
      <c r="A394" s="7" t="s">
        <v>3179</v>
      </c>
      <c r="B394" s="6" t="s">
        <v>1581</v>
      </c>
      <c r="C394" s="6" t="s">
        <v>1582</v>
      </c>
      <c r="D394" s="7" t="s">
        <v>3180</v>
      </c>
      <c r="E394" s="6" t="s">
        <v>3181</v>
      </c>
      <c r="F394" s="6" t="s">
        <v>3182</v>
      </c>
      <c r="G394" s="6" t="str">
        <f>IFERROR(__xludf.DUMMYFUNCTION("FILTER(RAW_met_lieux_inclusion_numeriq!B:B,RAW_met_lieux_inclusion_numeriq!B:B=F394)"),"#N/A")</f>
        <v>#N/A</v>
      </c>
      <c r="H394" s="6" t="s">
        <v>2841</v>
      </c>
      <c r="I394" s="6" t="s">
        <v>3183</v>
      </c>
      <c r="J394" s="7" t="s">
        <v>3184</v>
      </c>
      <c r="K394" s="6" t="s">
        <v>1589</v>
      </c>
      <c r="L394" s="6" t="s">
        <v>1590</v>
      </c>
      <c r="M394" s="6" t="s">
        <v>3185</v>
      </c>
      <c r="N394" s="6" t="s">
        <v>1592</v>
      </c>
      <c r="O394" s="6" t="s">
        <v>1593</v>
      </c>
      <c r="P394" s="6" t="s">
        <v>1594</v>
      </c>
      <c r="Q394" s="7" t="s">
        <v>3180</v>
      </c>
      <c r="S394" s="6" t="s">
        <v>1595</v>
      </c>
      <c r="T394" s="6" t="s">
        <v>1596</v>
      </c>
    </row>
    <row r="395">
      <c r="A395" s="7" t="s">
        <v>3179</v>
      </c>
      <c r="B395" s="6" t="s">
        <v>1581</v>
      </c>
      <c r="C395" s="6" t="s">
        <v>1582</v>
      </c>
      <c r="D395" s="7" t="s">
        <v>3186</v>
      </c>
      <c r="E395" s="6" t="s">
        <v>3187</v>
      </c>
      <c r="F395" s="6" t="s">
        <v>3188</v>
      </c>
      <c r="G395" s="6" t="str">
        <f>IFERROR(__xludf.DUMMYFUNCTION("FILTER(RAW_met_lieux_inclusion_numeriq!B:B,RAW_met_lieux_inclusion_numeriq!B:B=F395)"),"#N/A")</f>
        <v>#N/A</v>
      </c>
      <c r="H395" s="6" t="s">
        <v>3189</v>
      </c>
      <c r="I395" s="6" t="s">
        <v>3190</v>
      </c>
      <c r="J395" s="7" t="s">
        <v>1992</v>
      </c>
      <c r="K395" s="6" t="s">
        <v>1589</v>
      </c>
      <c r="L395" s="6" t="s">
        <v>1603</v>
      </c>
      <c r="M395" s="6" t="s">
        <v>3191</v>
      </c>
      <c r="N395" s="6" t="s">
        <v>1592</v>
      </c>
      <c r="O395" s="6" t="s">
        <v>1593</v>
      </c>
      <c r="P395" s="6" t="s">
        <v>1594</v>
      </c>
      <c r="Q395" s="7" t="s">
        <v>3186</v>
      </c>
      <c r="S395" s="6" t="s">
        <v>1595</v>
      </c>
      <c r="T395" s="6" t="s">
        <v>1596</v>
      </c>
    </row>
    <row r="396">
      <c r="A396" s="7" t="s">
        <v>3179</v>
      </c>
      <c r="B396" s="6" t="s">
        <v>1581</v>
      </c>
      <c r="C396" s="6" t="s">
        <v>1582</v>
      </c>
      <c r="D396" s="7" t="s">
        <v>3192</v>
      </c>
      <c r="E396" s="6" t="s">
        <v>3193</v>
      </c>
      <c r="F396" s="6" t="s">
        <v>3194</v>
      </c>
      <c r="G396" s="6" t="str">
        <f>IFERROR(__xludf.DUMMYFUNCTION("FILTER(RAW_met_lieux_inclusion_numeriq!B:B,RAW_met_lieux_inclusion_numeriq!B:B=F396)"),"#N/A")</f>
        <v>#N/A</v>
      </c>
      <c r="H396" s="6" t="s">
        <v>3195</v>
      </c>
      <c r="I396" s="6" t="s">
        <v>3196</v>
      </c>
      <c r="J396" s="7" t="s">
        <v>3197</v>
      </c>
      <c r="K396" s="6" t="s">
        <v>1589</v>
      </c>
      <c r="L396" s="6" t="s">
        <v>1603</v>
      </c>
      <c r="M396" s="6" t="s">
        <v>3198</v>
      </c>
      <c r="N396" s="6" t="s">
        <v>1592</v>
      </c>
      <c r="O396" s="6" t="s">
        <v>1593</v>
      </c>
      <c r="P396" s="6" t="s">
        <v>1594</v>
      </c>
      <c r="Q396" s="7" t="s">
        <v>3192</v>
      </c>
      <c r="S396" s="6" t="s">
        <v>1595</v>
      </c>
      <c r="T396" s="6" t="s">
        <v>1634</v>
      </c>
    </row>
    <row r="397">
      <c r="A397" s="7" t="s">
        <v>3179</v>
      </c>
      <c r="B397" s="6" t="s">
        <v>1581</v>
      </c>
      <c r="C397" s="6" t="s">
        <v>1582</v>
      </c>
      <c r="D397" s="7" t="s">
        <v>3199</v>
      </c>
      <c r="E397" s="6" t="s">
        <v>3200</v>
      </c>
      <c r="F397" s="6" t="s">
        <v>3201</v>
      </c>
      <c r="G397" s="6" t="str">
        <f>IFERROR(__xludf.DUMMYFUNCTION("FILTER(RAW_met_lieux_inclusion_numeriq!B:B,RAW_met_lieux_inclusion_numeriq!B:B=F397)"),"#N/A")</f>
        <v>#N/A</v>
      </c>
      <c r="H397" s="6" t="s">
        <v>1682</v>
      </c>
      <c r="I397" s="6" t="s">
        <v>3202</v>
      </c>
      <c r="J397" s="7" t="s">
        <v>1714</v>
      </c>
      <c r="K397" s="6" t="s">
        <v>1589</v>
      </c>
      <c r="L397" s="6" t="s">
        <v>1603</v>
      </c>
      <c r="M397" s="6" t="s">
        <v>3203</v>
      </c>
      <c r="N397" s="6" t="s">
        <v>1592</v>
      </c>
      <c r="O397" s="6" t="s">
        <v>1593</v>
      </c>
      <c r="P397" s="6" t="s">
        <v>1594</v>
      </c>
      <c r="Q397" s="7" t="s">
        <v>3199</v>
      </c>
      <c r="S397" s="6" t="s">
        <v>1595</v>
      </c>
      <c r="T397" s="6" t="s">
        <v>1596</v>
      </c>
    </row>
    <row r="398">
      <c r="A398" s="7" t="s">
        <v>3179</v>
      </c>
      <c r="B398" s="6" t="s">
        <v>1581</v>
      </c>
      <c r="C398" s="6" t="s">
        <v>1582</v>
      </c>
      <c r="D398" s="7" t="s">
        <v>3204</v>
      </c>
      <c r="E398" s="6" t="s">
        <v>3205</v>
      </c>
      <c r="F398" s="6" t="s">
        <v>3034</v>
      </c>
      <c r="G398" s="6" t="str">
        <f>IFERROR(__xludf.DUMMYFUNCTION("FILTER(RAW_met_lieux_inclusion_numeriq!B:B,RAW_met_lieux_inclusion_numeriq!B:B=F398)"),"#N/A")</f>
        <v>#N/A</v>
      </c>
      <c r="H398" s="6" t="s">
        <v>3035</v>
      </c>
      <c r="I398" s="6" t="s">
        <v>3206</v>
      </c>
      <c r="J398" s="7" t="s">
        <v>3207</v>
      </c>
      <c r="K398" s="6" t="s">
        <v>1589</v>
      </c>
      <c r="L398" s="6" t="s">
        <v>1603</v>
      </c>
      <c r="M398" s="6" t="s">
        <v>3208</v>
      </c>
      <c r="N398" s="6" t="s">
        <v>1592</v>
      </c>
      <c r="O398" s="6" t="s">
        <v>1593</v>
      </c>
      <c r="P398" s="6" t="s">
        <v>1594</v>
      </c>
      <c r="Q398" s="7" t="s">
        <v>3204</v>
      </c>
      <c r="S398" s="6" t="s">
        <v>1595</v>
      </c>
      <c r="T398" s="6" t="s">
        <v>1634</v>
      </c>
    </row>
    <row r="399">
      <c r="A399" s="7" t="s">
        <v>3179</v>
      </c>
      <c r="B399" s="6" t="s">
        <v>1581</v>
      </c>
      <c r="C399" s="6" t="s">
        <v>1582</v>
      </c>
      <c r="D399" s="7" t="s">
        <v>3204</v>
      </c>
      <c r="E399" s="6" t="s">
        <v>3205</v>
      </c>
      <c r="F399" s="6" t="s">
        <v>3034</v>
      </c>
      <c r="G399" s="6" t="str">
        <f>IFERROR(__xludf.DUMMYFUNCTION("FILTER(RAW_met_lieux_inclusion_numeriq!B:B,RAW_met_lieux_inclusion_numeriq!B:B=F399)"),"#N/A")</f>
        <v>#N/A</v>
      </c>
      <c r="H399" s="6" t="s">
        <v>3035</v>
      </c>
      <c r="I399" s="6" t="s">
        <v>3209</v>
      </c>
      <c r="J399" s="7" t="s">
        <v>3210</v>
      </c>
      <c r="K399" s="6" t="s">
        <v>1589</v>
      </c>
      <c r="L399" s="6" t="s">
        <v>1603</v>
      </c>
      <c r="M399" s="6" t="s">
        <v>3208</v>
      </c>
      <c r="N399" s="6" t="s">
        <v>1592</v>
      </c>
      <c r="O399" s="6" t="s">
        <v>1593</v>
      </c>
      <c r="P399" s="6" t="s">
        <v>1594</v>
      </c>
      <c r="Q399" s="7" t="s">
        <v>3204</v>
      </c>
      <c r="S399" s="6" t="s">
        <v>1595</v>
      </c>
      <c r="T399" s="6" t="s">
        <v>1634</v>
      </c>
    </row>
    <row r="400">
      <c r="A400" s="7" t="s">
        <v>3179</v>
      </c>
      <c r="B400" s="6" t="s">
        <v>1581</v>
      </c>
      <c r="C400" s="6" t="s">
        <v>1582</v>
      </c>
      <c r="D400" s="7" t="s">
        <v>3211</v>
      </c>
      <c r="E400" s="6" t="s">
        <v>3200</v>
      </c>
      <c r="F400" s="6" t="s">
        <v>3212</v>
      </c>
      <c r="G400" s="6" t="str">
        <f>IFERROR(__xludf.DUMMYFUNCTION("FILTER(RAW_met_lieux_inclusion_numeriq!B:B,RAW_met_lieux_inclusion_numeriq!B:B=F400)"),"#N/A")</f>
        <v>#N/A</v>
      </c>
      <c r="H400" s="6" t="s">
        <v>1856</v>
      </c>
      <c r="I400" s="6" t="s">
        <v>3213</v>
      </c>
      <c r="J400" s="7" t="s">
        <v>1832</v>
      </c>
      <c r="K400" s="6" t="s">
        <v>1589</v>
      </c>
      <c r="L400" s="6" t="s">
        <v>1603</v>
      </c>
      <c r="M400" s="6" t="s">
        <v>3214</v>
      </c>
      <c r="N400" s="6" t="s">
        <v>1592</v>
      </c>
      <c r="O400" s="6" t="s">
        <v>1593</v>
      </c>
      <c r="P400" s="6" t="s">
        <v>1594</v>
      </c>
      <c r="Q400" s="7" t="s">
        <v>3211</v>
      </c>
      <c r="S400" s="6" t="s">
        <v>1595</v>
      </c>
      <c r="T400" s="6" t="s">
        <v>1605</v>
      </c>
    </row>
    <row r="401">
      <c r="A401" s="7" t="s">
        <v>3215</v>
      </c>
      <c r="B401" s="6" t="s">
        <v>1581</v>
      </c>
      <c r="C401" s="6" t="s">
        <v>1582</v>
      </c>
      <c r="D401" s="7" t="s">
        <v>3216</v>
      </c>
      <c r="E401" s="6" t="s">
        <v>3217</v>
      </c>
      <c r="F401" s="6" t="s">
        <v>3218</v>
      </c>
      <c r="G401" s="6" t="str">
        <f>IFERROR(__xludf.DUMMYFUNCTION("FILTER(RAW_met_lieux_inclusion_numeriq!B:B,RAW_met_lieux_inclusion_numeriq!B:B=F401)"),"#N/A")</f>
        <v>#N/A</v>
      </c>
      <c r="H401" s="6" t="s">
        <v>3219</v>
      </c>
      <c r="I401" s="6" t="s">
        <v>3209</v>
      </c>
      <c r="J401" s="7" t="s">
        <v>1711</v>
      </c>
      <c r="K401" s="6" t="s">
        <v>1589</v>
      </c>
      <c r="L401" s="6" t="s">
        <v>1603</v>
      </c>
      <c r="M401" s="6" t="s">
        <v>3220</v>
      </c>
      <c r="N401" s="6" t="s">
        <v>1592</v>
      </c>
      <c r="O401" s="6" t="s">
        <v>1593</v>
      </c>
      <c r="P401" s="6" t="s">
        <v>1594</v>
      </c>
      <c r="Q401" s="7" t="s">
        <v>3216</v>
      </c>
      <c r="S401" s="6" t="s">
        <v>1595</v>
      </c>
      <c r="T401" s="6" t="s">
        <v>1596</v>
      </c>
    </row>
    <row r="402">
      <c r="A402" s="7" t="s">
        <v>3215</v>
      </c>
      <c r="B402" s="6" t="s">
        <v>1581</v>
      </c>
      <c r="C402" s="6" t="s">
        <v>1582</v>
      </c>
      <c r="D402" s="7" t="s">
        <v>3221</v>
      </c>
      <c r="E402" s="6" t="s">
        <v>3200</v>
      </c>
      <c r="F402" s="6" t="s">
        <v>2167</v>
      </c>
      <c r="G402" s="6" t="str">
        <f>IFERROR(__xludf.DUMMYFUNCTION("FILTER(RAW_met_lieux_inclusion_numeriq!B:B,RAW_met_lieux_inclusion_numeriq!B:B=F402)"),"#N/A")</f>
        <v>#N/A</v>
      </c>
      <c r="H402" s="6" t="s">
        <v>2168</v>
      </c>
      <c r="I402" s="6" t="s">
        <v>3222</v>
      </c>
      <c r="J402" s="7" t="s">
        <v>2170</v>
      </c>
      <c r="K402" s="6" t="s">
        <v>1589</v>
      </c>
      <c r="L402" s="6" t="s">
        <v>1603</v>
      </c>
      <c r="M402" s="6" t="s">
        <v>3223</v>
      </c>
      <c r="N402" s="6" t="s">
        <v>1592</v>
      </c>
      <c r="O402" s="6" t="s">
        <v>1593</v>
      </c>
      <c r="P402" s="6" t="s">
        <v>1594</v>
      </c>
      <c r="Q402" s="7" t="s">
        <v>3221</v>
      </c>
      <c r="S402" s="6" t="s">
        <v>1595</v>
      </c>
      <c r="T402" s="6" t="s">
        <v>1634</v>
      </c>
    </row>
    <row r="403">
      <c r="A403" s="7" t="s">
        <v>3215</v>
      </c>
      <c r="B403" s="6" t="s">
        <v>1581</v>
      </c>
      <c r="C403" s="6" t="s">
        <v>1582</v>
      </c>
      <c r="D403" s="7" t="s">
        <v>3224</v>
      </c>
      <c r="E403" s="6" t="s">
        <v>3200</v>
      </c>
      <c r="F403" s="6" t="s">
        <v>1836</v>
      </c>
      <c r="G403" s="6" t="str">
        <f>IFERROR(__xludf.DUMMYFUNCTION("FILTER(RAW_met_lieux_inclusion_numeriq!B:B,RAW_met_lieux_inclusion_numeriq!B:B=F403)"),"#N/A")</f>
        <v>#N/A</v>
      </c>
      <c r="H403" s="6" t="s">
        <v>3070</v>
      </c>
      <c r="I403" s="6" t="s">
        <v>3225</v>
      </c>
      <c r="J403" s="7" t="s">
        <v>1617</v>
      </c>
      <c r="K403" s="6" t="s">
        <v>1589</v>
      </c>
      <c r="L403" s="6" t="s">
        <v>1603</v>
      </c>
      <c r="M403" s="6" t="s">
        <v>3226</v>
      </c>
      <c r="N403" s="6" t="s">
        <v>1592</v>
      </c>
      <c r="O403" s="6" t="s">
        <v>1593</v>
      </c>
      <c r="P403" s="6" t="s">
        <v>1594</v>
      </c>
      <c r="Q403" s="7" t="s">
        <v>3224</v>
      </c>
      <c r="S403" s="6" t="s">
        <v>1595</v>
      </c>
      <c r="T403" s="6" t="s">
        <v>1596</v>
      </c>
    </row>
    <row r="404">
      <c r="A404" s="7" t="s">
        <v>3215</v>
      </c>
      <c r="B404" s="6" t="s">
        <v>1581</v>
      </c>
      <c r="C404" s="6" t="s">
        <v>1582</v>
      </c>
      <c r="D404" s="7" t="s">
        <v>3227</v>
      </c>
      <c r="E404" s="6" t="s">
        <v>3228</v>
      </c>
      <c r="F404" s="6" t="s">
        <v>1702</v>
      </c>
      <c r="G404" s="6" t="str">
        <f>IFERROR(__xludf.DUMMYFUNCTION("FILTER(RAW_met_lieux_inclusion_numeriq!B:B,RAW_met_lieux_inclusion_numeriq!B:B=F404)"),"#N/A")</f>
        <v>#N/A</v>
      </c>
      <c r="H404" s="6" t="s">
        <v>1703</v>
      </c>
      <c r="I404" s="6" t="s">
        <v>3190</v>
      </c>
      <c r="J404" s="7" t="s">
        <v>3229</v>
      </c>
      <c r="K404" s="6" t="s">
        <v>1589</v>
      </c>
      <c r="L404" s="6" t="s">
        <v>1603</v>
      </c>
      <c r="M404" s="6" t="s">
        <v>3230</v>
      </c>
      <c r="N404" s="6" t="s">
        <v>1592</v>
      </c>
      <c r="O404" s="6" t="s">
        <v>1593</v>
      </c>
      <c r="P404" s="6" t="s">
        <v>1594</v>
      </c>
      <c r="Q404" s="7" t="s">
        <v>3227</v>
      </c>
      <c r="S404" s="6" t="s">
        <v>1595</v>
      </c>
      <c r="T404" s="6" t="s">
        <v>1645</v>
      </c>
    </row>
    <row r="405">
      <c r="A405" s="7" t="s">
        <v>3215</v>
      </c>
      <c r="B405" s="6" t="s">
        <v>1581</v>
      </c>
      <c r="C405" s="6" t="s">
        <v>1582</v>
      </c>
      <c r="D405" s="7" t="s">
        <v>3227</v>
      </c>
      <c r="E405" s="6" t="s">
        <v>3228</v>
      </c>
      <c r="F405" s="6" t="s">
        <v>3231</v>
      </c>
      <c r="G405" s="6" t="str">
        <f>IFERROR(__xludf.DUMMYFUNCTION("FILTER(RAW_met_lieux_inclusion_numeriq!B:B,RAW_met_lieux_inclusion_numeriq!B:B=F405)"),"#N/A")</f>
        <v>#N/A</v>
      </c>
      <c r="H405" s="6" t="s">
        <v>3232</v>
      </c>
      <c r="I405" s="6" t="s">
        <v>3190</v>
      </c>
      <c r="J405" s="7" t="s">
        <v>1752</v>
      </c>
      <c r="K405" s="6" t="s">
        <v>1589</v>
      </c>
      <c r="L405" s="6" t="s">
        <v>1603</v>
      </c>
      <c r="M405" s="6" t="s">
        <v>3230</v>
      </c>
      <c r="N405" s="6" t="s">
        <v>1592</v>
      </c>
      <c r="O405" s="6" t="s">
        <v>1593</v>
      </c>
      <c r="P405" s="6" t="s">
        <v>1594</v>
      </c>
      <c r="Q405" s="7" t="s">
        <v>3227</v>
      </c>
      <c r="S405" s="6" t="s">
        <v>1595</v>
      </c>
      <c r="T405" s="6" t="s">
        <v>1605</v>
      </c>
    </row>
    <row r="406">
      <c r="A406" s="7" t="s">
        <v>3215</v>
      </c>
      <c r="B406" s="6" t="s">
        <v>1581</v>
      </c>
      <c r="C406" s="6" t="s">
        <v>1582</v>
      </c>
      <c r="D406" s="7" t="s">
        <v>3233</v>
      </c>
      <c r="E406" s="6" t="s">
        <v>3228</v>
      </c>
      <c r="F406" s="6" t="s">
        <v>1849</v>
      </c>
      <c r="G406" s="6" t="str">
        <f>IFERROR(__xludf.DUMMYFUNCTION("FILTER(RAW_met_lieux_inclusion_numeriq!B:B,RAW_met_lieux_inclusion_numeriq!B:B=F406)"),"#N/A")</f>
        <v>#N/A</v>
      </c>
      <c r="H406" s="6" t="s">
        <v>1850</v>
      </c>
      <c r="I406" s="6" t="s">
        <v>3190</v>
      </c>
      <c r="J406" s="7" t="s">
        <v>2791</v>
      </c>
      <c r="K406" s="6" t="s">
        <v>1589</v>
      </c>
      <c r="L406" s="6" t="s">
        <v>1603</v>
      </c>
      <c r="M406" s="6" t="s">
        <v>3234</v>
      </c>
      <c r="N406" s="6" t="s">
        <v>1592</v>
      </c>
      <c r="O406" s="6" t="s">
        <v>1593</v>
      </c>
      <c r="P406" s="6" t="s">
        <v>1594</v>
      </c>
      <c r="Q406" s="7" t="s">
        <v>3233</v>
      </c>
      <c r="S406" s="6" t="s">
        <v>1595</v>
      </c>
      <c r="T406" s="6" t="s">
        <v>1634</v>
      </c>
    </row>
    <row r="407">
      <c r="A407" s="7" t="s">
        <v>3215</v>
      </c>
      <c r="B407" s="6" t="s">
        <v>1581</v>
      </c>
      <c r="C407" s="6" t="s">
        <v>1582</v>
      </c>
      <c r="D407" s="7" t="s">
        <v>3235</v>
      </c>
      <c r="E407" s="6" t="s">
        <v>3236</v>
      </c>
      <c r="F407" s="6" t="s">
        <v>1931</v>
      </c>
      <c r="G407" s="6" t="str">
        <f>IFERROR(__xludf.DUMMYFUNCTION("FILTER(RAW_met_lieux_inclusion_numeriq!B:B,RAW_met_lieux_inclusion_numeriq!B:B=F407)"),"#N/A")</f>
        <v>#N/A</v>
      </c>
      <c r="H407" s="6" t="s">
        <v>1932</v>
      </c>
      <c r="I407" s="6" t="s">
        <v>3237</v>
      </c>
      <c r="J407" s="7" t="s">
        <v>2212</v>
      </c>
      <c r="K407" s="6" t="s">
        <v>1589</v>
      </c>
      <c r="L407" s="6" t="s">
        <v>1603</v>
      </c>
      <c r="M407" s="6" t="s">
        <v>3238</v>
      </c>
      <c r="N407" s="6" t="s">
        <v>1592</v>
      </c>
      <c r="O407" s="6" t="s">
        <v>1593</v>
      </c>
      <c r="P407" s="6" t="s">
        <v>1594</v>
      </c>
      <c r="Q407" s="7" t="s">
        <v>3235</v>
      </c>
      <c r="S407" s="6" t="s">
        <v>1595</v>
      </c>
      <c r="T407" s="6" t="s">
        <v>1605</v>
      </c>
    </row>
    <row r="408">
      <c r="A408" s="7" t="s">
        <v>3215</v>
      </c>
      <c r="B408" s="6" t="s">
        <v>1581</v>
      </c>
      <c r="C408" s="6" t="s">
        <v>1582</v>
      </c>
      <c r="D408" s="7" t="s">
        <v>3239</v>
      </c>
      <c r="E408" s="6" t="s">
        <v>3240</v>
      </c>
      <c r="F408" s="6" t="s">
        <v>1962</v>
      </c>
      <c r="G408" s="6" t="str">
        <f>IFERROR(__xludf.DUMMYFUNCTION("FILTER(RAW_met_lieux_inclusion_numeriq!B:B,RAW_met_lieux_inclusion_numeriq!B:B=F408)"),"#N/A")</f>
        <v>#N/A</v>
      </c>
      <c r="H408" s="6" t="s">
        <v>1963</v>
      </c>
      <c r="I408" s="6" t="s">
        <v>3190</v>
      </c>
      <c r="J408" s="7" t="s">
        <v>1964</v>
      </c>
      <c r="K408" s="6" t="s">
        <v>1589</v>
      </c>
      <c r="L408" s="6" t="s">
        <v>1603</v>
      </c>
      <c r="M408" s="6" t="s">
        <v>3241</v>
      </c>
      <c r="N408" s="6" t="s">
        <v>1592</v>
      </c>
      <c r="O408" s="6" t="s">
        <v>1593</v>
      </c>
      <c r="P408" s="6" t="s">
        <v>1594</v>
      </c>
      <c r="Q408" s="7" t="s">
        <v>3239</v>
      </c>
      <c r="S408" s="6" t="s">
        <v>1595</v>
      </c>
      <c r="T408" s="6" t="s">
        <v>1634</v>
      </c>
    </row>
    <row r="409">
      <c r="A409" s="7" t="s">
        <v>3215</v>
      </c>
      <c r="B409" s="6" t="s">
        <v>1581</v>
      </c>
      <c r="C409" s="6" t="s">
        <v>1582</v>
      </c>
      <c r="D409" s="7" t="s">
        <v>3242</v>
      </c>
      <c r="E409" s="6" t="s">
        <v>3243</v>
      </c>
      <c r="F409" s="6" t="s">
        <v>3244</v>
      </c>
      <c r="G409" s="6" t="str">
        <f>IFERROR(__xludf.DUMMYFUNCTION("FILTER(RAW_met_lieux_inclusion_numeriq!B:B,RAW_met_lieux_inclusion_numeriq!B:B=F409)"),"#N/A")</f>
        <v>#N/A</v>
      </c>
      <c r="H409" s="6" t="s">
        <v>1896</v>
      </c>
      <c r="I409" s="6" t="s">
        <v>3190</v>
      </c>
      <c r="J409" s="7" t="s">
        <v>3245</v>
      </c>
      <c r="K409" s="6" t="s">
        <v>1589</v>
      </c>
      <c r="L409" s="6" t="s">
        <v>1603</v>
      </c>
      <c r="M409" s="6" t="s">
        <v>3246</v>
      </c>
      <c r="N409" s="6" t="s">
        <v>1592</v>
      </c>
      <c r="O409" s="6" t="s">
        <v>1593</v>
      </c>
      <c r="P409" s="6" t="s">
        <v>1594</v>
      </c>
      <c r="Q409" s="7" t="s">
        <v>3242</v>
      </c>
      <c r="S409" s="6" t="s">
        <v>1595</v>
      </c>
      <c r="T409" s="6" t="s">
        <v>1645</v>
      </c>
    </row>
    <row r="410">
      <c r="A410" s="7" t="s">
        <v>3215</v>
      </c>
      <c r="B410" s="6" t="s">
        <v>1581</v>
      </c>
      <c r="C410" s="6" t="s">
        <v>1582</v>
      </c>
      <c r="D410" s="7" t="s">
        <v>3242</v>
      </c>
      <c r="E410" s="6" t="s">
        <v>3247</v>
      </c>
      <c r="F410" s="6" t="s">
        <v>2893</v>
      </c>
      <c r="G410" s="6" t="str">
        <f>IFERROR(__xludf.DUMMYFUNCTION("FILTER(RAW_met_lieux_inclusion_numeriq!B:B,RAW_met_lieux_inclusion_numeriq!B:B=F410)"),"#N/A")</f>
        <v>#N/A</v>
      </c>
      <c r="H410" s="6" t="s">
        <v>2894</v>
      </c>
      <c r="I410" s="6" t="s">
        <v>3190</v>
      </c>
      <c r="J410" s="7" t="s">
        <v>2896</v>
      </c>
      <c r="K410" s="6" t="s">
        <v>1589</v>
      </c>
      <c r="L410" s="6" t="s">
        <v>1603</v>
      </c>
      <c r="M410" s="6" t="s">
        <v>3246</v>
      </c>
      <c r="N410" s="6" t="s">
        <v>1592</v>
      </c>
      <c r="O410" s="6" t="s">
        <v>1593</v>
      </c>
      <c r="P410" s="6" t="s">
        <v>1594</v>
      </c>
      <c r="Q410" s="7" t="s">
        <v>3242</v>
      </c>
      <c r="S410" s="6" t="s">
        <v>1595</v>
      </c>
      <c r="T410" s="6" t="s">
        <v>1596</v>
      </c>
    </row>
    <row r="411">
      <c r="A411" s="7" t="s">
        <v>3215</v>
      </c>
      <c r="B411" s="6" t="s">
        <v>1581</v>
      </c>
      <c r="C411" s="6" t="s">
        <v>1582</v>
      </c>
      <c r="D411" s="7" t="s">
        <v>3248</v>
      </c>
      <c r="E411" s="6" t="s">
        <v>3249</v>
      </c>
      <c r="F411" s="6" t="s">
        <v>2089</v>
      </c>
      <c r="G411" s="6" t="str">
        <f>IFERROR(__xludf.DUMMYFUNCTION("FILTER(RAW_met_lieux_inclusion_numeriq!B:B,RAW_met_lieux_inclusion_numeriq!B:B=F411)"),"#N/A")</f>
        <v>#N/A</v>
      </c>
      <c r="H411" s="6" t="s">
        <v>2090</v>
      </c>
      <c r="I411" s="6" t="s">
        <v>3206</v>
      </c>
      <c r="J411" s="7" t="s">
        <v>3250</v>
      </c>
      <c r="K411" s="6" t="s">
        <v>1589</v>
      </c>
      <c r="L411" s="6" t="s">
        <v>1603</v>
      </c>
      <c r="M411" s="6" t="s">
        <v>3251</v>
      </c>
      <c r="N411" s="6" t="s">
        <v>1592</v>
      </c>
      <c r="O411" s="6" t="s">
        <v>1593</v>
      </c>
      <c r="P411" s="6" t="s">
        <v>1594</v>
      </c>
      <c r="Q411" s="7" t="s">
        <v>3248</v>
      </c>
      <c r="S411" s="6" t="s">
        <v>1595</v>
      </c>
      <c r="T411" s="6" t="s">
        <v>1605</v>
      </c>
    </row>
    <row r="412">
      <c r="A412" s="7" t="s">
        <v>3215</v>
      </c>
      <c r="B412" s="6" t="s">
        <v>1581</v>
      </c>
      <c r="C412" s="6" t="s">
        <v>1582</v>
      </c>
      <c r="D412" s="7" t="s">
        <v>3252</v>
      </c>
      <c r="E412" s="6" t="s">
        <v>3253</v>
      </c>
      <c r="F412" s="6" t="s">
        <v>3254</v>
      </c>
      <c r="G412" s="6" t="str">
        <f>IFERROR(__xludf.DUMMYFUNCTION("FILTER(RAW_met_lieux_inclusion_numeriq!B:B,RAW_met_lieux_inclusion_numeriq!B:B=F412)"),"Maison de l'emploi de Bordeaux")</f>
        <v>Maison de l'emploi de Bordeaux</v>
      </c>
      <c r="H412" s="6" t="s">
        <v>1811</v>
      </c>
      <c r="I412" s="6" t="s">
        <v>3190</v>
      </c>
      <c r="J412" s="7" t="s">
        <v>1901</v>
      </c>
      <c r="K412" s="6" t="s">
        <v>1589</v>
      </c>
      <c r="L412" s="6" t="s">
        <v>1603</v>
      </c>
      <c r="M412" s="6" t="s">
        <v>3255</v>
      </c>
      <c r="N412" s="6" t="s">
        <v>1592</v>
      </c>
      <c r="O412" s="6" t="s">
        <v>1593</v>
      </c>
      <c r="P412" s="6" t="s">
        <v>1594</v>
      </c>
      <c r="Q412" s="7" t="s">
        <v>3252</v>
      </c>
      <c r="S412" s="6" t="s">
        <v>1595</v>
      </c>
      <c r="T412" s="6" t="s">
        <v>1634</v>
      </c>
    </row>
    <row r="413">
      <c r="A413" s="7" t="s">
        <v>3215</v>
      </c>
      <c r="B413" s="6" t="s">
        <v>1581</v>
      </c>
      <c r="C413" s="6" t="s">
        <v>1582</v>
      </c>
      <c r="D413" s="7" t="s">
        <v>3256</v>
      </c>
      <c r="E413" s="6" t="s">
        <v>3228</v>
      </c>
      <c r="F413" s="6" t="s">
        <v>3257</v>
      </c>
      <c r="G413" s="6" t="str">
        <f>IFERROR(__xludf.DUMMYFUNCTION("FILTER(RAW_met_lieux_inclusion_numeriq!B:B,RAW_met_lieux_inclusion_numeriq!B:B=F413)"),"#N/A")</f>
        <v>#N/A</v>
      </c>
      <c r="H413" s="6" t="s">
        <v>3258</v>
      </c>
      <c r="I413" s="6" t="s">
        <v>3190</v>
      </c>
      <c r="J413" s="7" t="s">
        <v>1752</v>
      </c>
      <c r="K413" s="6" t="s">
        <v>1589</v>
      </c>
      <c r="L413" s="6" t="s">
        <v>1603</v>
      </c>
      <c r="M413" s="6" t="s">
        <v>3259</v>
      </c>
      <c r="N413" s="6" t="s">
        <v>1592</v>
      </c>
      <c r="O413" s="6" t="s">
        <v>1593</v>
      </c>
      <c r="P413" s="6" t="s">
        <v>1594</v>
      </c>
      <c r="Q413" s="7" t="s">
        <v>3256</v>
      </c>
      <c r="S413" s="6" t="s">
        <v>1595</v>
      </c>
      <c r="T413" s="6" t="s">
        <v>1605</v>
      </c>
    </row>
    <row r="414">
      <c r="A414" s="7" t="s">
        <v>3215</v>
      </c>
      <c r="B414" s="6" t="s">
        <v>1581</v>
      </c>
      <c r="C414" s="6" t="s">
        <v>1582</v>
      </c>
      <c r="D414" s="7" t="s">
        <v>3239</v>
      </c>
      <c r="E414" s="6" t="s">
        <v>3260</v>
      </c>
      <c r="F414" s="6" t="s">
        <v>3009</v>
      </c>
      <c r="G414" s="6" t="str">
        <f>IFERROR(__xludf.DUMMYFUNCTION("FILTER(RAW_met_lieux_inclusion_numeriq!B:B,RAW_met_lieux_inclusion_numeriq!B:B=F414)"),"#N/A")</f>
        <v>#N/A</v>
      </c>
      <c r="H414" s="6" t="s">
        <v>2664</v>
      </c>
      <c r="I414" s="6" t="s">
        <v>3190</v>
      </c>
      <c r="J414" s="7" t="s">
        <v>2400</v>
      </c>
      <c r="K414" s="6" t="s">
        <v>1589</v>
      </c>
      <c r="L414" s="6" t="s">
        <v>1603</v>
      </c>
      <c r="M414" s="6" t="s">
        <v>3241</v>
      </c>
      <c r="N414" s="6" t="s">
        <v>1592</v>
      </c>
      <c r="O414" s="6" t="s">
        <v>1593</v>
      </c>
      <c r="P414" s="6" t="s">
        <v>1594</v>
      </c>
      <c r="Q414" s="7" t="s">
        <v>3239</v>
      </c>
      <c r="S414" s="6" t="s">
        <v>1595</v>
      </c>
      <c r="T414" s="6" t="s">
        <v>1605</v>
      </c>
    </row>
    <row r="415">
      <c r="A415" s="7" t="s">
        <v>3261</v>
      </c>
      <c r="B415" s="6" t="s">
        <v>1581</v>
      </c>
      <c r="C415" s="6" t="s">
        <v>1582</v>
      </c>
      <c r="D415" s="7" t="s">
        <v>3262</v>
      </c>
      <c r="E415" s="6" t="s">
        <v>3263</v>
      </c>
      <c r="F415" s="6" t="s">
        <v>2161</v>
      </c>
      <c r="G415" s="6" t="str">
        <f>IFERROR(__xludf.DUMMYFUNCTION("FILTER(RAW_met_lieux_inclusion_numeriq!B:B,RAW_met_lieux_inclusion_numeriq!B:B=F415)"),"#N/A")</f>
        <v>#N/A</v>
      </c>
      <c r="H415" s="6" t="s">
        <v>2162</v>
      </c>
      <c r="I415" s="6" t="s">
        <v>3190</v>
      </c>
      <c r="J415" s="7" t="s">
        <v>3264</v>
      </c>
      <c r="K415" s="6" t="s">
        <v>1589</v>
      </c>
      <c r="L415" s="6" t="s">
        <v>1603</v>
      </c>
      <c r="M415" s="6" t="s">
        <v>3265</v>
      </c>
      <c r="N415" s="6" t="s">
        <v>1592</v>
      </c>
      <c r="O415" s="6" t="s">
        <v>1593</v>
      </c>
      <c r="P415" s="6" t="s">
        <v>1594</v>
      </c>
      <c r="Q415" s="7" t="s">
        <v>3262</v>
      </c>
      <c r="S415" s="6" t="s">
        <v>1595</v>
      </c>
      <c r="T415" s="6" t="s">
        <v>1634</v>
      </c>
    </row>
    <row r="416">
      <c r="A416" s="7" t="s">
        <v>3261</v>
      </c>
      <c r="B416" s="6" t="s">
        <v>1581</v>
      </c>
      <c r="C416" s="6" t="s">
        <v>1582</v>
      </c>
      <c r="D416" s="7" t="s">
        <v>3262</v>
      </c>
      <c r="E416" s="6" t="s">
        <v>3263</v>
      </c>
      <c r="F416" s="6" t="s">
        <v>2161</v>
      </c>
      <c r="G416" s="6" t="str">
        <f>IFERROR(__xludf.DUMMYFUNCTION("FILTER(RAW_met_lieux_inclusion_numeriq!B:B,RAW_met_lieux_inclusion_numeriq!B:B=F416)"),"#N/A")</f>
        <v>#N/A</v>
      </c>
      <c r="H416" s="6" t="s">
        <v>2162</v>
      </c>
      <c r="I416" s="6" t="s">
        <v>3266</v>
      </c>
      <c r="J416" s="7" t="s">
        <v>2854</v>
      </c>
      <c r="K416" s="6" t="s">
        <v>1589</v>
      </c>
      <c r="L416" s="6" t="s">
        <v>1603</v>
      </c>
      <c r="M416" s="6" t="s">
        <v>3265</v>
      </c>
      <c r="N416" s="6" t="s">
        <v>1592</v>
      </c>
      <c r="O416" s="6" t="s">
        <v>1593</v>
      </c>
      <c r="P416" s="6" t="s">
        <v>1594</v>
      </c>
      <c r="Q416" s="7" t="s">
        <v>3262</v>
      </c>
      <c r="S416" s="6" t="s">
        <v>1595</v>
      </c>
      <c r="T416" s="6" t="s">
        <v>1605</v>
      </c>
    </row>
    <row r="417">
      <c r="A417" s="7" t="s">
        <v>3261</v>
      </c>
      <c r="B417" s="6" t="s">
        <v>1581</v>
      </c>
      <c r="C417" s="6" t="s">
        <v>1582</v>
      </c>
      <c r="D417" s="7" t="s">
        <v>3267</v>
      </c>
      <c r="E417" s="6" t="s">
        <v>3268</v>
      </c>
      <c r="F417" s="6" t="s">
        <v>3269</v>
      </c>
      <c r="G417" s="6" t="str">
        <f>IFERROR(__xludf.DUMMYFUNCTION("FILTER(RAW_met_lieux_inclusion_numeriq!B:B,RAW_met_lieux_inclusion_numeriq!B:B=F417)"),"#N/A")</f>
        <v>#N/A</v>
      </c>
      <c r="H417" s="6" t="s">
        <v>3270</v>
      </c>
      <c r="I417" s="6" t="s">
        <v>3190</v>
      </c>
      <c r="J417" s="7" t="s">
        <v>2440</v>
      </c>
      <c r="K417" s="6" t="s">
        <v>1589</v>
      </c>
      <c r="L417" s="6" t="s">
        <v>1603</v>
      </c>
      <c r="M417" s="6" t="s">
        <v>3271</v>
      </c>
      <c r="N417" s="6" t="s">
        <v>1592</v>
      </c>
      <c r="O417" s="6" t="s">
        <v>1593</v>
      </c>
      <c r="P417" s="6" t="s">
        <v>1594</v>
      </c>
      <c r="Q417" s="7" t="s">
        <v>3267</v>
      </c>
      <c r="S417" s="6" t="s">
        <v>1595</v>
      </c>
      <c r="T417" s="6" t="s">
        <v>1634</v>
      </c>
    </row>
    <row r="418">
      <c r="A418" s="7" t="s">
        <v>3261</v>
      </c>
      <c r="B418" s="6" t="s">
        <v>1581</v>
      </c>
      <c r="C418" s="6" t="s">
        <v>1582</v>
      </c>
      <c r="D418" s="7" t="s">
        <v>3272</v>
      </c>
      <c r="E418" s="6" t="s">
        <v>3273</v>
      </c>
      <c r="F418" s="6" t="s">
        <v>3274</v>
      </c>
      <c r="G418" s="6" t="str">
        <f>IFERROR(__xludf.DUMMYFUNCTION("FILTER(RAW_met_lieux_inclusion_numeriq!B:B,RAW_met_lieux_inclusion_numeriq!B:B=F418)"),"#N/A")</f>
        <v>#N/A</v>
      </c>
      <c r="H418" s="6" t="s">
        <v>2884</v>
      </c>
      <c r="I418" s="6" t="s">
        <v>3190</v>
      </c>
      <c r="J418" s="7" t="s">
        <v>3275</v>
      </c>
      <c r="K418" s="6" t="s">
        <v>1589</v>
      </c>
      <c r="L418" s="6" t="s">
        <v>1603</v>
      </c>
      <c r="M418" s="6" t="s">
        <v>3276</v>
      </c>
      <c r="N418" s="6" t="s">
        <v>1592</v>
      </c>
      <c r="O418" s="6" t="s">
        <v>1593</v>
      </c>
      <c r="P418" s="6" t="s">
        <v>1594</v>
      </c>
      <c r="Q418" s="7" t="s">
        <v>3272</v>
      </c>
      <c r="S418" s="6" t="s">
        <v>1595</v>
      </c>
      <c r="T418" s="6" t="s">
        <v>1605</v>
      </c>
    </row>
    <row r="419">
      <c r="A419" s="7" t="s">
        <v>3261</v>
      </c>
      <c r="B419" s="6" t="s">
        <v>1581</v>
      </c>
      <c r="C419" s="6" t="s">
        <v>1582</v>
      </c>
      <c r="D419" s="7" t="s">
        <v>3277</v>
      </c>
      <c r="E419" s="6" t="s">
        <v>3200</v>
      </c>
      <c r="F419" s="6" t="s">
        <v>2176</v>
      </c>
      <c r="G419" s="6" t="str">
        <f>IFERROR(__xludf.DUMMYFUNCTION("FILTER(RAW_met_lieux_inclusion_numeriq!B:B,RAW_met_lieux_inclusion_numeriq!B:B=F419)"),"#N/A")</f>
        <v>#N/A</v>
      </c>
      <c r="H419" s="6" t="s">
        <v>2177</v>
      </c>
      <c r="I419" s="6" t="s">
        <v>3278</v>
      </c>
      <c r="J419" s="7" t="s">
        <v>2179</v>
      </c>
      <c r="K419" s="6" t="s">
        <v>1589</v>
      </c>
      <c r="L419" s="6" t="s">
        <v>1603</v>
      </c>
      <c r="M419" s="6" t="s">
        <v>3279</v>
      </c>
      <c r="N419" s="6" t="s">
        <v>1592</v>
      </c>
      <c r="O419" s="6" t="s">
        <v>1593</v>
      </c>
      <c r="P419" s="6" t="s">
        <v>1594</v>
      </c>
      <c r="Q419" s="7" t="s">
        <v>3277</v>
      </c>
      <c r="S419" s="6" t="s">
        <v>1595</v>
      </c>
      <c r="T419" s="6" t="s">
        <v>1596</v>
      </c>
    </row>
    <row r="420">
      <c r="A420" s="7" t="s">
        <v>3261</v>
      </c>
      <c r="B420" s="6" t="s">
        <v>1581</v>
      </c>
      <c r="C420" s="6" t="s">
        <v>1582</v>
      </c>
      <c r="D420" s="7" t="s">
        <v>3280</v>
      </c>
      <c r="E420" s="6" t="s">
        <v>3228</v>
      </c>
      <c r="F420" s="6" t="s">
        <v>3281</v>
      </c>
      <c r="G420" s="6" t="str">
        <f>IFERROR(__xludf.DUMMYFUNCTION("FILTER(RAW_met_lieux_inclusion_numeriq!B:B,RAW_met_lieux_inclusion_numeriq!B:B=F420)"),"#N/A")</f>
        <v>#N/A</v>
      </c>
      <c r="H420" s="6" t="s">
        <v>2642</v>
      </c>
      <c r="I420" s="6" t="s">
        <v>3190</v>
      </c>
      <c r="J420" s="7" t="s">
        <v>1832</v>
      </c>
      <c r="K420" s="6" t="s">
        <v>1589</v>
      </c>
      <c r="L420" s="6" t="s">
        <v>1603</v>
      </c>
      <c r="M420" s="6" t="s">
        <v>3282</v>
      </c>
      <c r="N420" s="6" t="s">
        <v>1592</v>
      </c>
      <c r="O420" s="6" t="s">
        <v>1593</v>
      </c>
      <c r="P420" s="6" t="s">
        <v>1594</v>
      </c>
      <c r="Q420" s="7" t="s">
        <v>3280</v>
      </c>
      <c r="S420" s="6" t="s">
        <v>1595</v>
      </c>
      <c r="T420" s="6" t="s">
        <v>1605</v>
      </c>
    </row>
    <row r="421">
      <c r="A421" s="7" t="s">
        <v>3261</v>
      </c>
      <c r="B421" s="6" t="s">
        <v>1581</v>
      </c>
      <c r="C421" s="6" t="s">
        <v>1582</v>
      </c>
      <c r="D421" s="7" t="s">
        <v>3283</v>
      </c>
      <c r="E421" s="6" t="s">
        <v>3284</v>
      </c>
      <c r="F421" s="6" t="s">
        <v>3285</v>
      </c>
      <c r="G421" s="6" t="str">
        <f>IFERROR(__xludf.DUMMYFUNCTION("FILTER(RAW_met_lieux_inclusion_numeriq!B:B,RAW_met_lieux_inclusion_numeriq!B:B=F421)"),"#N/A")</f>
        <v>#N/A</v>
      </c>
      <c r="H421" s="6" t="s">
        <v>1966</v>
      </c>
      <c r="I421" s="6" t="s">
        <v>3286</v>
      </c>
      <c r="J421" s="7" t="s">
        <v>1832</v>
      </c>
      <c r="K421" s="6" t="s">
        <v>1589</v>
      </c>
      <c r="L421" s="6" t="s">
        <v>1590</v>
      </c>
      <c r="M421" s="6" t="s">
        <v>3287</v>
      </c>
      <c r="N421" s="6" t="s">
        <v>1592</v>
      </c>
      <c r="O421" s="6" t="s">
        <v>1593</v>
      </c>
      <c r="P421" s="6" t="s">
        <v>1594</v>
      </c>
      <c r="Q421" s="7" t="s">
        <v>3283</v>
      </c>
      <c r="S421" s="6" t="s">
        <v>1595</v>
      </c>
      <c r="T421" s="6" t="s">
        <v>1605</v>
      </c>
    </row>
    <row r="422">
      <c r="A422" s="7" t="s">
        <v>3261</v>
      </c>
      <c r="B422" s="6" t="s">
        <v>1581</v>
      </c>
      <c r="C422" s="6" t="s">
        <v>1582</v>
      </c>
      <c r="D422" s="7" t="s">
        <v>3288</v>
      </c>
      <c r="E422" s="6" t="s">
        <v>3289</v>
      </c>
      <c r="F422" s="6" t="s">
        <v>2105</v>
      </c>
      <c r="G422" s="6" t="str">
        <f>IFERROR(__xludf.DUMMYFUNCTION("FILTER(RAW_met_lieux_inclusion_numeriq!B:B,RAW_met_lieux_inclusion_numeriq!B:B=F422)"),"#N/A")</f>
        <v>#N/A</v>
      </c>
      <c r="H422" s="6" t="s">
        <v>2106</v>
      </c>
      <c r="I422" s="6" t="s">
        <v>3190</v>
      </c>
      <c r="J422" s="7" t="s">
        <v>3290</v>
      </c>
      <c r="K422" s="6" t="s">
        <v>1589</v>
      </c>
      <c r="L422" s="6" t="s">
        <v>1603</v>
      </c>
      <c r="M422" s="6" t="s">
        <v>3291</v>
      </c>
      <c r="N422" s="6" t="s">
        <v>1592</v>
      </c>
      <c r="O422" s="6" t="s">
        <v>1593</v>
      </c>
      <c r="P422" s="6" t="s">
        <v>1594</v>
      </c>
      <c r="Q422" s="7" t="s">
        <v>3288</v>
      </c>
      <c r="S422" s="6" t="s">
        <v>1595</v>
      </c>
      <c r="T422" s="6" t="s">
        <v>1634</v>
      </c>
    </row>
    <row r="423">
      <c r="A423" s="7" t="s">
        <v>3261</v>
      </c>
      <c r="B423" s="6" t="s">
        <v>1581</v>
      </c>
      <c r="C423" s="6" t="s">
        <v>1582</v>
      </c>
      <c r="D423" s="7" t="s">
        <v>3252</v>
      </c>
      <c r="E423" s="6" t="s">
        <v>3292</v>
      </c>
      <c r="F423" s="6" t="s">
        <v>1796</v>
      </c>
      <c r="G423" s="6" t="str">
        <f>IFERROR(__xludf.DUMMYFUNCTION("FILTER(RAW_met_lieux_inclusion_numeriq!B:B,RAW_met_lieux_inclusion_numeriq!B:B=F423)"),"#N/A")</f>
        <v>#N/A</v>
      </c>
      <c r="H423" s="6" t="s">
        <v>1797</v>
      </c>
      <c r="I423" s="6" t="s">
        <v>3293</v>
      </c>
      <c r="J423" s="7" t="s">
        <v>1905</v>
      </c>
      <c r="K423" s="6" t="s">
        <v>1589</v>
      </c>
      <c r="L423" s="6" t="s">
        <v>1603</v>
      </c>
      <c r="M423" s="6" t="s">
        <v>3255</v>
      </c>
      <c r="N423" s="6" t="s">
        <v>1592</v>
      </c>
      <c r="O423" s="6" t="s">
        <v>1593</v>
      </c>
      <c r="P423" s="6" t="s">
        <v>1594</v>
      </c>
      <c r="Q423" s="7" t="s">
        <v>3252</v>
      </c>
      <c r="S423" s="6" t="s">
        <v>1595</v>
      </c>
      <c r="T423" s="6" t="s">
        <v>1605</v>
      </c>
    </row>
    <row r="424">
      <c r="A424" s="7" t="s">
        <v>3261</v>
      </c>
      <c r="B424" s="6" t="s">
        <v>1581</v>
      </c>
      <c r="C424" s="6" t="s">
        <v>1582</v>
      </c>
      <c r="D424" s="7" t="s">
        <v>3294</v>
      </c>
      <c r="E424" s="6" t="s">
        <v>3295</v>
      </c>
      <c r="F424" s="6" t="s">
        <v>2071</v>
      </c>
      <c r="G424" s="6" t="str">
        <f>IFERROR(__xludf.DUMMYFUNCTION("FILTER(RAW_met_lieux_inclusion_numeriq!B:B,RAW_met_lieux_inclusion_numeriq!B:B=F424)"),"#N/A")</f>
        <v>#N/A</v>
      </c>
      <c r="H424" s="6" t="s">
        <v>3296</v>
      </c>
      <c r="I424" s="6" t="s">
        <v>3297</v>
      </c>
      <c r="J424" s="7" t="s">
        <v>1711</v>
      </c>
      <c r="K424" s="6" t="s">
        <v>1589</v>
      </c>
      <c r="L424" s="6" t="s">
        <v>1590</v>
      </c>
      <c r="M424" s="6" t="s">
        <v>3298</v>
      </c>
      <c r="N424" s="6" t="s">
        <v>1592</v>
      </c>
      <c r="O424" s="6" t="s">
        <v>1593</v>
      </c>
      <c r="P424" s="6" t="s">
        <v>1594</v>
      </c>
      <c r="Q424" s="7" t="s">
        <v>3294</v>
      </c>
      <c r="S424" s="6" t="s">
        <v>1595</v>
      </c>
      <c r="T424" s="6" t="s">
        <v>1596</v>
      </c>
    </row>
    <row r="425">
      <c r="A425" s="7" t="s">
        <v>3261</v>
      </c>
      <c r="B425" s="6" t="s">
        <v>1581</v>
      </c>
      <c r="C425" s="6" t="s">
        <v>1582</v>
      </c>
      <c r="D425" s="7" t="s">
        <v>3299</v>
      </c>
      <c r="E425" s="6" t="s">
        <v>3300</v>
      </c>
      <c r="F425" s="6" t="s">
        <v>2021</v>
      </c>
      <c r="G425" s="6" t="str">
        <f>IFERROR(__xludf.DUMMYFUNCTION("FILTER(RAW_met_lieux_inclusion_numeriq!B:B,RAW_met_lieux_inclusion_numeriq!B:B=F425)"),"#N/A")</f>
        <v>#N/A</v>
      </c>
      <c r="H425" s="6" t="s">
        <v>2022</v>
      </c>
      <c r="I425" s="6" t="s">
        <v>3301</v>
      </c>
      <c r="J425" s="7" t="s">
        <v>3302</v>
      </c>
      <c r="K425" s="6" t="s">
        <v>1589</v>
      </c>
      <c r="L425" s="6" t="s">
        <v>1603</v>
      </c>
      <c r="M425" s="6" t="s">
        <v>3303</v>
      </c>
      <c r="N425" s="6" t="s">
        <v>1592</v>
      </c>
      <c r="O425" s="6" t="s">
        <v>1593</v>
      </c>
      <c r="P425" s="6" t="s">
        <v>1594</v>
      </c>
      <c r="Q425" s="7" t="s">
        <v>3299</v>
      </c>
      <c r="S425" s="6" t="s">
        <v>1595</v>
      </c>
      <c r="T425" s="6" t="s">
        <v>1596</v>
      </c>
    </row>
    <row r="426">
      <c r="A426" s="7" t="s">
        <v>3261</v>
      </c>
      <c r="B426" s="6" t="s">
        <v>1581</v>
      </c>
      <c r="C426" s="6" t="s">
        <v>1582</v>
      </c>
      <c r="D426" s="7" t="s">
        <v>3304</v>
      </c>
      <c r="E426" s="6" t="s">
        <v>3305</v>
      </c>
      <c r="F426" s="6" t="s">
        <v>3306</v>
      </c>
      <c r="G426" s="6" t="str">
        <f>IFERROR(__xludf.DUMMYFUNCTION("FILTER(RAW_met_lieux_inclusion_numeriq!B:B,RAW_met_lieux_inclusion_numeriq!B:B=F426)"),"#N/A")</f>
        <v>#N/A</v>
      </c>
      <c r="H426" s="6" t="s">
        <v>3307</v>
      </c>
      <c r="I426" s="6" t="s">
        <v>3308</v>
      </c>
      <c r="J426" s="7" t="s">
        <v>1910</v>
      </c>
      <c r="K426" s="6" t="s">
        <v>1589</v>
      </c>
      <c r="L426" s="6" t="s">
        <v>1603</v>
      </c>
      <c r="M426" s="6" t="s">
        <v>3309</v>
      </c>
      <c r="N426" s="6" t="s">
        <v>1592</v>
      </c>
      <c r="O426" s="6" t="s">
        <v>1593</v>
      </c>
      <c r="P426" s="6" t="s">
        <v>1594</v>
      </c>
      <c r="Q426" s="7" t="s">
        <v>3304</v>
      </c>
      <c r="S426" s="6" t="s">
        <v>1595</v>
      </c>
      <c r="T426" s="6" t="s">
        <v>1634</v>
      </c>
    </row>
    <row r="427">
      <c r="A427" s="7" t="s">
        <v>3261</v>
      </c>
      <c r="B427" s="6" t="s">
        <v>1581</v>
      </c>
      <c r="C427" s="6" t="s">
        <v>1582</v>
      </c>
      <c r="D427" s="7" t="s">
        <v>3310</v>
      </c>
      <c r="E427" s="6" t="s">
        <v>3289</v>
      </c>
      <c r="F427" s="6" t="s">
        <v>3311</v>
      </c>
      <c r="G427" s="6" t="str">
        <f>IFERROR(__xludf.DUMMYFUNCTION("FILTER(RAW_met_lieux_inclusion_numeriq!B:B,RAW_met_lieux_inclusion_numeriq!B:B=F427)"),"#N/A")</f>
        <v>#N/A</v>
      </c>
      <c r="H427" s="6" t="s">
        <v>3000</v>
      </c>
      <c r="I427" s="6" t="s">
        <v>3312</v>
      </c>
      <c r="J427" s="7" t="s">
        <v>3290</v>
      </c>
      <c r="K427" s="6" t="s">
        <v>1589</v>
      </c>
      <c r="L427" s="6" t="s">
        <v>1603</v>
      </c>
      <c r="M427" s="6" t="s">
        <v>3313</v>
      </c>
      <c r="N427" s="6" t="s">
        <v>1592</v>
      </c>
      <c r="O427" s="6" t="s">
        <v>1593</v>
      </c>
      <c r="P427" s="6" t="s">
        <v>1594</v>
      </c>
      <c r="Q427" s="7" t="s">
        <v>3310</v>
      </c>
      <c r="S427" s="6" t="s">
        <v>1595</v>
      </c>
      <c r="T427" s="6" t="s">
        <v>1634</v>
      </c>
    </row>
    <row r="428">
      <c r="A428" s="7" t="s">
        <v>3261</v>
      </c>
      <c r="B428" s="6" t="s">
        <v>1581</v>
      </c>
      <c r="C428" s="6" t="s">
        <v>1582</v>
      </c>
      <c r="D428" s="7" t="s">
        <v>3314</v>
      </c>
      <c r="E428" s="6" t="s">
        <v>3315</v>
      </c>
      <c r="F428" s="6" t="s">
        <v>3316</v>
      </c>
      <c r="G428" s="6" t="str">
        <f>IFERROR(__xludf.DUMMYFUNCTION("FILTER(RAW_met_lieux_inclusion_numeriq!B:B,RAW_met_lieux_inclusion_numeriq!B:B=F428)"),"#N/A")</f>
        <v>#N/A</v>
      </c>
      <c r="H428" s="6" t="s">
        <v>3317</v>
      </c>
      <c r="I428" s="6" t="s">
        <v>3190</v>
      </c>
      <c r="J428" s="7" t="s">
        <v>1786</v>
      </c>
      <c r="K428" s="6" t="s">
        <v>1589</v>
      </c>
      <c r="L428" s="6" t="s">
        <v>1603</v>
      </c>
      <c r="M428" s="6" t="s">
        <v>3318</v>
      </c>
      <c r="N428" s="6" t="s">
        <v>1592</v>
      </c>
      <c r="O428" s="6" t="s">
        <v>1593</v>
      </c>
      <c r="P428" s="6" t="s">
        <v>1594</v>
      </c>
      <c r="Q428" s="7" t="s">
        <v>3314</v>
      </c>
      <c r="S428" s="6" t="s">
        <v>1595</v>
      </c>
      <c r="T428" s="6" t="s">
        <v>1596</v>
      </c>
    </row>
    <row r="429">
      <c r="A429" s="7" t="s">
        <v>3261</v>
      </c>
      <c r="B429" s="6" t="s">
        <v>1581</v>
      </c>
      <c r="C429" s="6" t="s">
        <v>1582</v>
      </c>
      <c r="D429" s="7" t="s">
        <v>3319</v>
      </c>
      <c r="E429" s="6" t="s">
        <v>3320</v>
      </c>
      <c r="F429" s="6" t="s">
        <v>3321</v>
      </c>
      <c r="G429" s="6" t="str">
        <f>IFERROR(__xludf.DUMMYFUNCTION("FILTER(RAW_met_lieux_inclusion_numeriq!B:B,RAW_met_lieux_inclusion_numeriq!B:B=F429)"),"#N/A")</f>
        <v>#N/A</v>
      </c>
      <c r="H429" s="6" t="s">
        <v>3322</v>
      </c>
      <c r="I429" s="6" t="s">
        <v>3323</v>
      </c>
      <c r="J429" s="7" t="s">
        <v>3324</v>
      </c>
      <c r="K429" s="6" t="s">
        <v>1589</v>
      </c>
      <c r="L429" s="6" t="s">
        <v>1603</v>
      </c>
      <c r="M429" s="6" t="s">
        <v>3325</v>
      </c>
      <c r="N429" s="6" t="s">
        <v>1592</v>
      </c>
      <c r="O429" s="6" t="s">
        <v>1593</v>
      </c>
      <c r="P429" s="6" t="s">
        <v>1594</v>
      </c>
      <c r="Q429" s="7" t="s">
        <v>3319</v>
      </c>
      <c r="S429" s="6" t="s">
        <v>1595</v>
      </c>
      <c r="T429" s="6" t="s">
        <v>1634</v>
      </c>
    </row>
    <row r="430">
      <c r="A430" s="7" t="s">
        <v>3261</v>
      </c>
      <c r="B430" s="6" t="s">
        <v>1581</v>
      </c>
      <c r="C430" s="6" t="s">
        <v>1582</v>
      </c>
      <c r="D430" s="7" t="s">
        <v>3326</v>
      </c>
      <c r="E430" s="6" t="s">
        <v>3327</v>
      </c>
      <c r="F430" s="6" t="s">
        <v>1629</v>
      </c>
      <c r="G430" s="6" t="str">
        <f>IFERROR(__xludf.DUMMYFUNCTION("FILTER(RAW_met_lieux_inclusion_numeriq!B:B,RAW_met_lieux_inclusion_numeriq!B:B=F430)"),"#N/A")</f>
        <v>#N/A</v>
      </c>
      <c r="H430" s="6" t="s">
        <v>1630</v>
      </c>
      <c r="I430" s="6" t="s">
        <v>3190</v>
      </c>
      <c r="J430" s="7" t="s">
        <v>3328</v>
      </c>
      <c r="K430" s="6" t="s">
        <v>1589</v>
      </c>
      <c r="L430" s="6" t="s">
        <v>1603</v>
      </c>
      <c r="M430" s="6" t="s">
        <v>3329</v>
      </c>
      <c r="N430" s="6" t="s">
        <v>1592</v>
      </c>
      <c r="O430" s="6" t="s">
        <v>1593</v>
      </c>
      <c r="P430" s="6" t="s">
        <v>1594</v>
      </c>
      <c r="Q430" s="7" t="s">
        <v>3326</v>
      </c>
      <c r="S430" s="6" t="s">
        <v>1595</v>
      </c>
      <c r="T430" s="6" t="s">
        <v>1634</v>
      </c>
    </row>
    <row r="431">
      <c r="A431" s="7" t="s">
        <v>3261</v>
      </c>
      <c r="B431" s="6" t="s">
        <v>1581</v>
      </c>
      <c r="C431" s="6" t="s">
        <v>1582</v>
      </c>
      <c r="D431" s="7" t="s">
        <v>3330</v>
      </c>
      <c r="E431" s="6" t="s">
        <v>3331</v>
      </c>
      <c r="F431" s="6" t="s">
        <v>3182</v>
      </c>
      <c r="G431" s="6" t="str">
        <f>IFERROR(__xludf.DUMMYFUNCTION("FILTER(RAW_met_lieux_inclusion_numeriq!B:B,RAW_met_lieux_inclusion_numeriq!B:B=F431)"),"#N/A")</f>
        <v>#N/A</v>
      </c>
      <c r="H431" s="6" t="s">
        <v>2841</v>
      </c>
      <c r="I431" s="6" t="s">
        <v>3332</v>
      </c>
      <c r="J431" s="7" t="s">
        <v>3333</v>
      </c>
      <c r="K431" s="6" t="s">
        <v>1589</v>
      </c>
      <c r="L431" s="6" t="s">
        <v>1603</v>
      </c>
      <c r="M431" s="6" t="s">
        <v>3334</v>
      </c>
      <c r="N431" s="6" t="s">
        <v>1592</v>
      </c>
      <c r="O431" s="6" t="s">
        <v>1593</v>
      </c>
      <c r="P431" s="6" t="s">
        <v>1594</v>
      </c>
      <c r="Q431" s="7" t="s">
        <v>3330</v>
      </c>
      <c r="S431" s="6" t="s">
        <v>1595</v>
      </c>
      <c r="T431" s="6" t="s">
        <v>1596</v>
      </c>
    </row>
    <row r="432">
      <c r="A432" s="7" t="s">
        <v>3261</v>
      </c>
      <c r="B432" s="6" t="s">
        <v>1581</v>
      </c>
      <c r="C432" s="6" t="s">
        <v>1582</v>
      </c>
      <c r="D432" s="7" t="s">
        <v>3335</v>
      </c>
      <c r="E432" s="6" t="s">
        <v>3289</v>
      </c>
      <c r="F432" s="6" t="s">
        <v>3336</v>
      </c>
      <c r="G432" s="6" t="str">
        <f>IFERROR(__xludf.DUMMYFUNCTION("FILTER(RAW_met_lieux_inclusion_numeriq!B:B,RAW_met_lieux_inclusion_numeriq!B:B=F432)"),"#N/A")</f>
        <v>#N/A</v>
      </c>
      <c r="H432" s="6" t="s">
        <v>1797</v>
      </c>
      <c r="I432" s="6" t="s">
        <v>3337</v>
      </c>
      <c r="J432" s="7" t="s">
        <v>3338</v>
      </c>
      <c r="K432" s="6" t="s">
        <v>1589</v>
      </c>
      <c r="L432" s="6" t="s">
        <v>1603</v>
      </c>
      <c r="M432" s="6" t="s">
        <v>3339</v>
      </c>
      <c r="N432" s="6" t="s">
        <v>1592</v>
      </c>
      <c r="O432" s="6" t="s">
        <v>1593</v>
      </c>
      <c r="P432" s="6" t="s">
        <v>1594</v>
      </c>
      <c r="Q432" s="7" t="s">
        <v>3335</v>
      </c>
      <c r="S432" s="6" t="s">
        <v>1595</v>
      </c>
      <c r="T432" s="6" t="s">
        <v>1634</v>
      </c>
    </row>
    <row r="433">
      <c r="A433" s="7" t="s">
        <v>3340</v>
      </c>
      <c r="B433" s="6" t="s">
        <v>1581</v>
      </c>
      <c r="C433" s="6" t="s">
        <v>1582</v>
      </c>
      <c r="D433" s="7" t="s">
        <v>3341</v>
      </c>
      <c r="E433" s="6" t="s">
        <v>3342</v>
      </c>
      <c r="F433" s="6" t="s">
        <v>2668</v>
      </c>
      <c r="G433" s="6" t="str">
        <f>IFERROR(__xludf.DUMMYFUNCTION("FILTER(RAW_met_lieux_inclusion_numeriq!B:B,RAW_met_lieux_inclusion_numeriq!B:B=F433)"),"#N/A")</f>
        <v>#N/A</v>
      </c>
      <c r="H433" s="6" t="s">
        <v>2094</v>
      </c>
      <c r="I433" s="6" t="s">
        <v>2522</v>
      </c>
      <c r="J433" s="7" t="s">
        <v>1752</v>
      </c>
      <c r="K433" s="6" t="s">
        <v>1589</v>
      </c>
      <c r="L433" s="6" t="s">
        <v>1603</v>
      </c>
      <c r="M433" s="6" t="s">
        <v>3343</v>
      </c>
      <c r="N433" s="6" t="s">
        <v>1592</v>
      </c>
      <c r="O433" s="6" t="s">
        <v>1593</v>
      </c>
      <c r="P433" s="6" t="s">
        <v>1594</v>
      </c>
      <c r="Q433" s="7" t="s">
        <v>3341</v>
      </c>
      <c r="S433" s="6" t="s">
        <v>1595</v>
      </c>
      <c r="T433" s="6" t="s">
        <v>1605</v>
      </c>
    </row>
    <row r="434">
      <c r="A434" s="7" t="s">
        <v>3340</v>
      </c>
      <c r="B434" s="6" t="s">
        <v>1581</v>
      </c>
      <c r="C434" s="6" t="s">
        <v>1582</v>
      </c>
      <c r="D434" s="7" t="s">
        <v>3344</v>
      </c>
      <c r="E434" s="6" t="s">
        <v>3345</v>
      </c>
      <c r="F434" s="6" t="s">
        <v>3346</v>
      </c>
      <c r="G434" s="6" t="str">
        <f>IFERROR(__xludf.DUMMYFUNCTION("FILTER(RAW_met_lieux_inclusion_numeriq!B:B,RAW_met_lieux_inclusion_numeriq!B:B=F434)"),"#N/A")</f>
        <v>#N/A</v>
      </c>
      <c r="H434" s="6" t="s">
        <v>3082</v>
      </c>
      <c r="I434" s="6" t="s">
        <v>3190</v>
      </c>
      <c r="J434" s="7" t="s">
        <v>1832</v>
      </c>
      <c r="K434" s="6" t="s">
        <v>1589</v>
      </c>
      <c r="L434" s="6" t="s">
        <v>1603</v>
      </c>
      <c r="M434" s="6" t="s">
        <v>3347</v>
      </c>
      <c r="N434" s="6" t="s">
        <v>1592</v>
      </c>
      <c r="O434" s="6" t="s">
        <v>1593</v>
      </c>
      <c r="P434" s="6" t="s">
        <v>1594</v>
      </c>
      <c r="Q434" s="7" t="s">
        <v>3344</v>
      </c>
      <c r="S434" s="6" t="s">
        <v>1595</v>
      </c>
      <c r="T434" s="6" t="s">
        <v>1605</v>
      </c>
    </row>
    <row r="435">
      <c r="A435" s="7" t="s">
        <v>3340</v>
      </c>
      <c r="B435" s="6" t="s">
        <v>1581</v>
      </c>
      <c r="C435" s="6" t="s">
        <v>1582</v>
      </c>
      <c r="D435" s="7" t="s">
        <v>3341</v>
      </c>
      <c r="E435" s="6" t="s">
        <v>3345</v>
      </c>
      <c r="F435" s="6" t="s">
        <v>2419</v>
      </c>
      <c r="G435" s="6" t="str">
        <f>IFERROR(__xludf.DUMMYFUNCTION("FILTER(RAW_met_lieux_inclusion_numeriq!B:B,RAW_met_lieux_inclusion_numeriq!B:B=F435)"),"#N/A")</f>
        <v>#N/A</v>
      </c>
      <c r="H435" s="6" t="s">
        <v>2190</v>
      </c>
      <c r="I435" s="6" t="s">
        <v>3190</v>
      </c>
      <c r="J435" s="7" t="s">
        <v>1832</v>
      </c>
      <c r="K435" s="6" t="s">
        <v>1589</v>
      </c>
      <c r="L435" s="6" t="s">
        <v>1603</v>
      </c>
      <c r="M435" s="6" t="s">
        <v>3343</v>
      </c>
      <c r="N435" s="6" t="s">
        <v>1592</v>
      </c>
      <c r="O435" s="6" t="s">
        <v>1593</v>
      </c>
      <c r="P435" s="6" t="s">
        <v>1594</v>
      </c>
      <c r="Q435" s="7" t="s">
        <v>3341</v>
      </c>
      <c r="S435" s="6" t="s">
        <v>1595</v>
      </c>
      <c r="T435" s="6" t="s">
        <v>1605</v>
      </c>
    </row>
    <row r="436">
      <c r="A436" s="7" t="s">
        <v>3340</v>
      </c>
      <c r="B436" s="6" t="s">
        <v>1581</v>
      </c>
      <c r="C436" s="6" t="s">
        <v>1582</v>
      </c>
      <c r="D436" s="7" t="s">
        <v>3348</v>
      </c>
      <c r="E436" s="6" t="s">
        <v>3342</v>
      </c>
      <c r="F436" s="6" t="s">
        <v>2676</v>
      </c>
      <c r="G436" s="6" t="str">
        <f>IFERROR(__xludf.DUMMYFUNCTION("FILTER(RAW_met_lieux_inclusion_numeriq!B:B,RAW_met_lieux_inclusion_numeriq!B:B=F436)"),"#N/A")</f>
        <v>#N/A</v>
      </c>
      <c r="H436" s="6" t="s">
        <v>2677</v>
      </c>
      <c r="I436" s="6" t="s">
        <v>2678</v>
      </c>
      <c r="J436" s="7" t="s">
        <v>1671</v>
      </c>
      <c r="K436" s="6" t="s">
        <v>1589</v>
      </c>
      <c r="L436" s="6" t="s">
        <v>1603</v>
      </c>
      <c r="M436" s="6" t="s">
        <v>3349</v>
      </c>
      <c r="N436" s="6" t="s">
        <v>1592</v>
      </c>
      <c r="O436" s="6" t="s">
        <v>1593</v>
      </c>
      <c r="P436" s="6" t="s">
        <v>1594</v>
      </c>
      <c r="Q436" s="7" t="s">
        <v>3348</v>
      </c>
      <c r="S436" s="6" t="s">
        <v>1595</v>
      </c>
      <c r="T436" s="6" t="s">
        <v>1596</v>
      </c>
    </row>
    <row r="437">
      <c r="A437" s="7" t="s">
        <v>3340</v>
      </c>
      <c r="B437" s="6" t="s">
        <v>1581</v>
      </c>
      <c r="C437" s="6" t="s">
        <v>1582</v>
      </c>
      <c r="D437" s="7" t="s">
        <v>3350</v>
      </c>
      <c r="E437" s="6" t="s">
        <v>3320</v>
      </c>
      <c r="F437" s="6" t="s">
        <v>3351</v>
      </c>
      <c r="G437" s="6" t="str">
        <f>IFERROR(__xludf.DUMMYFUNCTION("FILTER(RAW_met_lieux_inclusion_numeriq!B:B,RAW_met_lieux_inclusion_numeriq!B:B=F437)"),"#N/A")</f>
        <v>#N/A</v>
      </c>
      <c r="H437" s="6" t="s">
        <v>3352</v>
      </c>
      <c r="I437" s="6" t="s">
        <v>3353</v>
      </c>
      <c r="J437" s="7" t="s">
        <v>1832</v>
      </c>
      <c r="K437" s="6" t="s">
        <v>1589</v>
      </c>
      <c r="L437" s="6" t="s">
        <v>3354</v>
      </c>
      <c r="M437" s="6" t="s">
        <v>3355</v>
      </c>
      <c r="N437" s="6" t="s">
        <v>1592</v>
      </c>
      <c r="O437" s="6" t="s">
        <v>1593</v>
      </c>
      <c r="P437" s="6" t="s">
        <v>1594</v>
      </c>
      <c r="Q437" s="7" t="s">
        <v>3350</v>
      </c>
      <c r="S437" s="6" t="s">
        <v>1595</v>
      </c>
      <c r="T437" s="6" t="s">
        <v>1605</v>
      </c>
    </row>
    <row r="438">
      <c r="A438" s="7" t="s">
        <v>3340</v>
      </c>
      <c r="B438" s="6" t="s">
        <v>1581</v>
      </c>
      <c r="C438" s="6" t="s">
        <v>1582</v>
      </c>
      <c r="D438" s="7" t="s">
        <v>3356</v>
      </c>
      <c r="E438" s="6" t="s">
        <v>3357</v>
      </c>
      <c r="F438" s="6" t="s">
        <v>3358</v>
      </c>
      <c r="G438" s="6" t="str">
        <f>IFERROR(__xludf.DUMMYFUNCTION("FILTER(RAW_met_lieux_inclusion_numeriq!B:B,RAW_met_lieux_inclusion_numeriq!B:B=F438)"),"#N/A")</f>
        <v>#N/A</v>
      </c>
      <c r="H438" s="6" t="s">
        <v>3048</v>
      </c>
      <c r="I438" s="6" t="s">
        <v>3190</v>
      </c>
      <c r="J438" s="7" t="s">
        <v>1588</v>
      </c>
      <c r="K438" s="6" t="s">
        <v>1589</v>
      </c>
      <c r="L438" s="6" t="s">
        <v>1603</v>
      </c>
      <c r="M438" s="6" t="s">
        <v>3359</v>
      </c>
      <c r="N438" s="6" t="s">
        <v>1592</v>
      </c>
      <c r="O438" s="6" t="s">
        <v>1593</v>
      </c>
      <c r="P438" s="6" t="s">
        <v>1594</v>
      </c>
      <c r="Q438" s="7" t="s">
        <v>3356</v>
      </c>
      <c r="S438" s="6" t="s">
        <v>1595</v>
      </c>
      <c r="T438" s="6" t="s">
        <v>1596</v>
      </c>
    </row>
    <row r="439">
      <c r="A439" s="7" t="s">
        <v>3340</v>
      </c>
      <c r="B439" s="6" t="s">
        <v>1581</v>
      </c>
      <c r="C439" s="6" t="s">
        <v>1582</v>
      </c>
      <c r="D439" s="7" t="s">
        <v>3360</v>
      </c>
      <c r="E439" s="6" t="s">
        <v>3357</v>
      </c>
      <c r="F439" s="6" t="s">
        <v>3361</v>
      </c>
      <c r="G439" s="6" t="str">
        <f>IFERROR(__xludf.DUMMYFUNCTION("FILTER(RAW_met_lieux_inclusion_numeriq!B:B,RAW_met_lieux_inclusion_numeriq!B:B=F439)"),"#N/A")</f>
        <v>#N/A</v>
      </c>
      <c r="H439" s="6" t="s">
        <v>3362</v>
      </c>
      <c r="I439" s="6" t="s">
        <v>3363</v>
      </c>
      <c r="J439" s="7" t="s">
        <v>1665</v>
      </c>
      <c r="K439" s="6" t="s">
        <v>1589</v>
      </c>
      <c r="L439" s="6" t="s">
        <v>1590</v>
      </c>
      <c r="M439" s="6" t="s">
        <v>3364</v>
      </c>
      <c r="N439" s="6" t="s">
        <v>1592</v>
      </c>
      <c r="O439" s="6" t="s">
        <v>1593</v>
      </c>
      <c r="P439" s="6" t="s">
        <v>1594</v>
      </c>
      <c r="Q439" s="7" t="s">
        <v>3360</v>
      </c>
      <c r="S439" s="6" t="s">
        <v>1595</v>
      </c>
      <c r="T439" s="6" t="s">
        <v>1596</v>
      </c>
    </row>
    <row r="440">
      <c r="A440" s="7" t="s">
        <v>3340</v>
      </c>
      <c r="B440" s="6" t="s">
        <v>1581</v>
      </c>
      <c r="C440" s="6" t="s">
        <v>1582</v>
      </c>
      <c r="D440" s="7" t="s">
        <v>3350</v>
      </c>
      <c r="E440" s="6" t="s">
        <v>3357</v>
      </c>
      <c r="F440" s="6" t="s">
        <v>2018</v>
      </c>
      <c r="G440" s="6" t="str">
        <f>IFERROR(__xludf.DUMMYFUNCTION("FILTER(RAW_met_lieux_inclusion_numeriq!B:B,RAW_met_lieux_inclusion_numeriq!B:B=F440)"),"#N/A")</f>
        <v>#N/A</v>
      </c>
      <c r="H440" s="6" t="s">
        <v>2019</v>
      </c>
      <c r="I440" s="6" t="s">
        <v>3363</v>
      </c>
      <c r="J440" s="7" t="s">
        <v>3365</v>
      </c>
      <c r="K440" s="6" t="s">
        <v>1589</v>
      </c>
      <c r="L440" s="6" t="s">
        <v>1590</v>
      </c>
      <c r="M440" s="6" t="s">
        <v>3355</v>
      </c>
      <c r="N440" s="6" t="s">
        <v>1592</v>
      </c>
      <c r="O440" s="6" t="s">
        <v>1593</v>
      </c>
      <c r="P440" s="6" t="s">
        <v>1594</v>
      </c>
      <c r="Q440" s="7" t="s">
        <v>3350</v>
      </c>
      <c r="S440" s="6" t="s">
        <v>1595</v>
      </c>
      <c r="T440" s="6" t="s">
        <v>1605</v>
      </c>
    </row>
    <row r="441">
      <c r="A441" s="7" t="s">
        <v>3340</v>
      </c>
      <c r="B441" s="6" t="s">
        <v>1581</v>
      </c>
      <c r="C441" s="6" t="s">
        <v>1582</v>
      </c>
      <c r="D441" s="7" t="s">
        <v>3366</v>
      </c>
      <c r="E441" s="6" t="s">
        <v>3357</v>
      </c>
      <c r="F441" s="6" t="s">
        <v>2089</v>
      </c>
      <c r="G441" s="6" t="str">
        <f>IFERROR(__xludf.DUMMYFUNCTION("FILTER(RAW_met_lieux_inclusion_numeriq!B:B,RAW_met_lieux_inclusion_numeriq!B:B=F441)"),"#N/A")</f>
        <v>#N/A</v>
      </c>
      <c r="H441" s="6" t="s">
        <v>2090</v>
      </c>
      <c r="I441" s="6" t="s">
        <v>3363</v>
      </c>
      <c r="J441" s="7" t="s">
        <v>2166</v>
      </c>
      <c r="K441" s="6" t="s">
        <v>1589</v>
      </c>
      <c r="L441" s="6" t="s">
        <v>1590</v>
      </c>
      <c r="M441" s="6" t="s">
        <v>3367</v>
      </c>
      <c r="N441" s="6" t="s">
        <v>1592</v>
      </c>
      <c r="O441" s="6" t="s">
        <v>1593</v>
      </c>
      <c r="P441" s="6" t="s">
        <v>1594</v>
      </c>
      <c r="Q441" s="7" t="s">
        <v>3366</v>
      </c>
      <c r="S441" s="6" t="s">
        <v>1595</v>
      </c>
      <c r="T441" s="6" t="s">
        <v>1596</v>
      </c>
    </row>
    <row r="442">
      <c r="A442" s="7" t="s">
        <v>3340</v>
      </c>
      <c r="B442" s="6" t="s">
        <v>1581</v>
      </c>
      <c r="C442" s="6" t="s">
        <v>1582</v>
      </c>
      <c r="D442" s="7" t="s">
        <v>3366</v>
      </c>
      <c r="E442" s="6" t="s">
        <v>3357</v>
      </c>
      <c r="F442" s="6" t="s">
        <v>2801</v>
      </c>
      <c r="G442" s="6" t="str">
        <f>IFERROR(__xludf.DUMMYFUNCTION("FILTER(RAW_met_lieux_inclusion_numeriq!B:B,RAW_met_lieux_inclusion_numeriq!B:B=F442)"),"#N/A")</f>
        <v>#N/A</v>
      </c>
      <c r="H442" s="6" t="s">
        <v>2802</v>
      </c>
      <c r="I442" s="6" t="s">
        <v>3363</v>
      </c>
      <c r="J442" s="7" t="s">
        <v>1665</v>
      </c>
      <c r="K442" s="6" t="s">
        <v>1589</v>
      </c>
      <c r="L442" s="6" t="s">
        <v>1590</v>
      </c>
      <c r="M442" s="6" t="s">
        <v>3367</v>
      </c>
      <c r="N442" s="6" t="s">
        <v>1592</v>
      </c>
      <c r="O442" s="6" t="s">
        <v>1593</v>
      </c>
      <c r="P442" s="6" t="s">
        <v>1594</v>
      </c>
      <c r="Q442" s="7" t="s">
        <v>3366</v>
      </c>
      <c r="S442" s="6" t="s">
        <v>1595</v>
      </c>
      <c r="T442" s="6" t="s">
        <v>1596</v>
      </c>
    </row>
    <row r="443">
      <c r="A443" s="7" t="s">
        <v>3340</v>
      </c>
      <c r="B443" s="6" t="s">
        <v>1581</v>
      </c>
      <c r="C443" s="6" t="s">
        <v>1582</v>
      </c>
      <c r="D443" s="7" t="s">
        <v>3368</v>
      </c>
      <c r="E443" s="6" t="s">
        <v>3357</v>
      </c>
      <c r="F443" s="6" t="s">
        <v>3369</v>
      </c>
      <c r="G443" s="6" t="str">
        <f>IFERROR(__xludf.DUMMYFUNCTION("FILTER(RAW_met_lieux_inclusion_numeriq!B:B,RAW_met_lieux_inclusion_numeriq!B:B=F443)"),"#N/A")</f>
        <v>#N/A</v>
      </c>
      <c r="H443" s="6" t="s">
        <v>1682</v>
      </c>
      <c r="I443" s="6" t="s">
        <v>3363</v>
      </c>
      <c r="J443" s="7" t="s">
        <v>2953</v>
      </c>
      <c r="K443" s="6" t="s">
        <v>1589</v>
      </c>
      <c r="L443" s="6" t="s">
        <v>1590</v>
      </c>
      <c r="M443" s="6" t="s">
        <v>3370</v>
      </c>
      <c r="N443" s="6" t="s">
        <v>1592</v>
      </c>
      <c r="O443" s="6" t="s">
        <v>1593</v>
      </c>
      <c r="P443" s="6" t="s">
        <v>1594</v>
      </c>
      <c r="Q443" s="7" t="s">
        <v>3368</v>
      </c>
      <c r="S443" s="6" t="s">
        <v>1595</v>
      </c>
      <c r="T443" s="6" t="s">
        <v>1596</v>
      </c>
    </row>
    <row r="444">
      <c r="A444" s="7" t="s">
        <v>3340</v>
      </c>
      <c r="B444" s="6" t="s">
        <v>1581</v>
      </c>
      <c r="C444" s="6" t="s">
        <v>1582</v>
      </c>
      <c r="D444" s="7" t="s">
        <v>3371</v>
      </c>
      <c r="E444" s="6" t="s">
        <v>3372</v>
      </c>
      <c r="F444" s="6" t="s">
        <v>2899</v>
      </c>
      <c r="G444" s="6" t="str">
        <f>IFERROR(__xludf.DUMMYFUNCTION("FILTER(RAW_met_lieux_inclusion_numeriq!B:B,RAW_met_lieux_inclusion_numeriq!B:B=F444)"),"#N/A")</f>
        <v>#N/A</v>
      </c>
      <c r="H444" s="6" t="s">
        <v>2900</v>
      </c>
      <c r="I444" s="6" t="s">
        <v>3363</v>
      </c>
      <c r="J444" s="7" t="s">
        <v>1658</v>
      </c>
      <c r="K444" s="6" t="s">
        <v>1589</v>
      </c>
      <c r="L444" s="6" t="s">
        <v>1603</v>
      </c>
      <c r="M444" s="6" t="s">
        <v>3373</v>
      </c>
      <c r="N444" s="6" t="s">
        <v>1592</v>
      </c>
      <c r="O444" s="6" t="s">
        <v>1593</v>
      </c>
      <c r="P444" s="6" t="s">
        <v>1594</v>
      </c>
      <c r="Q444" s="7" t="s">
        <v>3371</v>
      </c>
      <c r="S444" s="6" t="s">
        <v>1595</v>
      </c>
      <c r="T444" s="6" t="s">
        <v>1605</v>
      </c>
    </row>
    <row r="445">
      <c r="A445" s="7" t="s">
        <v>3340</v>
      </c>
      <c r="B445" s="6" t="s">
        <v>1581</v>
      </c>
      <c r="C445" s="6" t="s">
        <v>1582</v>
      </c>
      <c r="D445" s="7" t="s">
        <v>3374</v>
      </c>
      <c r="E445" s="6" t="s">
        <v>3375</v>
      </c>
      <c r="F445" s="6" t="s">
        <v>3376</v>
      </c>
      <c r="G445" s="6" t="str">
        <f>IFERROR(__xludf.DUMMYFUNCTION("FILTER(RAW_met_lieux_inclusion_numeriq!B:B,RAW_met_lieux_inclusion_numeriq!B:B=F445)"),"#N/A")</f>
        <v>#N/A</v>
      </c>
      <c r="H445" s="6" t="s">
        <v>3377</v>
      </c>
      <c r="I445" s="6" t="s">
        <v>3378</v>
      </c>
      <c r="J445" s="7" t="s">
        <v>3379</v>
      </c>
      <c r="K445" s="6" t="s">
        <v>1589</v>
      </c>
      <c r="L445" s="6" t="s">
        <v>1603</v>
      </c>
      <c r="M445" s="6" t="s">
        <v>3380</v>
      </c>
      <c r="N445" s="6" t="s">
        <v>1592</v>
      </c>
      <c r="O445" s="6" t="s">
        <v>1593</v>
      </c>
      <c r="P445" s="6" t="s">
        <v>1594</v>
      </c>
      <c r="Q445" s="7" t="s">
        <v>3374</v>
      </c>
      <c r="S445" s="6" t="s">
        <v>1595</v>
      </c>
      <c r="T445" s="6" t="s">
        <v>1645</v>
      </c>
    </row>
    <row r="446">
      <c r="A446" s="7" t="s">
        <v>3340</v>
      </c>
      <c r="B446" s="6" t="s">
        <v>1581</v>
      </c>
      <c r="C446" s="6" t="s">
        <v>1582</v>
      </c>
      <c r="D446" s="7" t="s">
        <v>3344</v>
      </c>
      <c r="E446" s="6" t="s">
        <v>3381</v>
      </c>
      <c r="F446" s="6" t="s">
        <v>2795</v>
      </c>
      <c r="G446" s="6" t="str">
        <f>IFERROR(__xludf.DUMMYFUNCTION("FILTER(RAW_met_lieux_inclusion_numeriq!B:B,RAW_met_lieux_inclusion_numeriq!B:B=F446)"),"#N/A")</f>
        <v>#N/A</v>
      </c>
      <c r="H446" s="6" t="s">
        <v>2796</v>
      </c>
      <c r="I446" s="6" t="s">
        <v>3382</v>
      </c>
      <c r="J446" s="7" t="s">
        <v>2798</v>
      </c>
      <c r="K446" s="6" t="s">
        <v>1589</v>
      </c>
      <c r="L446" s="6" t="s">
        <v>1590</v>
      </c>
      <c r="M446" s="6" t="s">
        <v>3347</v>
      </c>
      <c r="N446" s="6" t="s">
        <v>1592</v>
      </c>
      <c r="O446" s="6" t="s">
        <v>1593</v>
      </c>
      <c r="P446" s="6" t="s">
        <v>1594</v>
      </c>
      <c r="Q446" s="7" t="s">
        <v>3344</v>
      </c>
      <c r="S446" s="6" t="s">
        <v>1595</v>
      </c>
      <c r="T446" s="6" t="s">
        <v>1596</v>
      </c>
    </row>
    <row r="447">
      <c r="A447" s="7" t="s">
        <v>3340</v>
      </c>
      <c r="B447" s="6" t="s">
        <v>1581</v>
      </c>
      <c r="C447" s="6" t="s">
        <v>1582</v>
      </c>
      <c r="D447" s="7" t="s">
        <v>3383</v>
      </c>
      <c r="E447" s="6" t="s">
        <v>3381</v>
      </c>
      <c r="F447" s="6" t="s">
        <v>3384</v>
      </c>
      <c r="G447" s="6" t="str">
        <f>IFERROR(__xludf.DUMMYFUNCTION("FILTER(RAW_met_lieux_inclusion_numeriq!B:B,RAW_met_lieux_inclusion_numeriq!B:B=F447)"),"#N/A")</f>
        <v>#N/A</v>
      </c>
      <c r="H447" s="6" t="s">
        <v>3385</v>
      </c>
      <c r="I447" s="6" t="s">
        <v>3382</v>
      </c>
      <c r="J447" s="7" t="s">
        <v>1949</v>
      </c>
      <c r="K447" s="6" t="s">
        <v>1589</v>
      </c>
      <c r="L447" s="6" t="s">
        <v>1590</v>
      </c>
      <c r="M447" s="6" t="s">
        <v>3386</v>
      </c>
      <c r="N447" s="6" t="s">
        <v>1592</v>
      </c>
      <c r="O447" s="6" t="s">
        <v>1593</v>
      </c>
      <c r="P447" s="6" t="s">
        <v>1594</v>
      </c>
      <c r="Q447" s="7" t="s">
        <v>3383</v>
      </c>
      <c r="S447" s="6" t="s">
        <v>1595</v>
      </c>
      <c r="T447" s="6" t="s">
        <v>1596</v>
      </c>
    </row>
    <row r="448">
      <c r="A448" s="7" t="s">
        <v>3340</v>
      </c>
      <c r="B448" s="6" t="s">
        <v>1581</v>
      </c>
      <c r="C448" s="6" t="s">
        <v>1582</v>
      </c>
      <c r="D448" s="7" t="s">
        <v>3383</v>
      </c>
      <c r="E448" s="6" t="s">
        <v>3381</v>
      </c>
      <c r="F448" s="6" t="s">
        <v>3158</v>
      </c>
      <c r="G448" s="6" t="str">
        <f>IFERROR(__xludf.DUMMYFUNCTION("FILTER(RAW_met_lieux_inclusion_numeriq!B:B,RAW_met_lieux_inclusion_numeriq!B:B=F448)"),"#N/A")</f>
        <v>#N/A</v>
      </c>
      <c r="H448" s="6" t="s">
        <v>3159</v>
      </c>
      <c r="I448" s="6" t="s">
        <v>3382</v>
      </c>
      <c r="J448" s="7" t="s">
        <v>3333</v>
      </c>
      <c r="K448" s="6" t="s">
        <v>1589</v>
      </c>
      <c r="L448" s="6" t="s">
        <v>1590</v>
      </c>
      <c r="M448" s="6" t="s">
        <v>3386</v>
      </c>
      <c r="N448" s="6" t="s">
        <v>1592</v>
      </c>
      <c r="O448" s="6" t="s">
        <v>1593</v>
      </c>
      <c r="P448" s="6" t="s">
        <v>1594</v>
      </c>
      <c r="Q448" s="7" t="s">
        <v>3383</v>
      </c>
      <c r="S448" s="6" t="s">
        <v>1595</v>
      </c>
      <c r="T448" s="6" t="s">
        <v>1596</v>
      </c>
    </row>
    <row r="449">
      <c r="A449" s="7" t="s">
        <v>3340</v>
      </c>
      <c r="B449" s="6" t="s">
        <v>1581</v>
      </c>
      <c r="C449" s="6" t="s">
        <v>1582</v>
      </c>
      <c r="D449" s="7" t="s">
        <v>3383</v>
      </c>
      <c r="E449" s="6" t="s">
        <v>3381</v>
      </c>
      <c r="F449" s="6" t="s">
        <v>3012</v>
      </c>
      <c r="G449" s="6" t="str">
        <f>IFERROR(__xludf.DUMMYFUNCTION("FILTER(RAW_met_lieux_inclusion_numeriq!B:B,RAW_met_lieux_inclusion_numeriq!B:B=F449)"),"#N/A")</f>
        <v>#N/A</v>
      </c>
      <c r="H449" s="6" t="s">
        <v>3013</v>
      </c>
      <c r="I449" s="6" t="s">
        <v>3382</v>
      </c>
      <c r="J449" s="7" t="s">
        <v>3184</v>
      </c>
      <c r="K449" s="6" t="s">
        <v>1589</v>
      </c>
      <c r="L449" s="6" t="s">
        <v>1590</v>
      </c>
      <c r="M449" s="6" t="s">
        <v>3386</v>
      </c>
      <c r="N449" s="6" t="s">
        <v>1592</v>
      </c>
      <c r="O449" s="6" t="s">
        <v>1593</v>
      </c>
      <c r="P449" s="6" t="s">
        <v>1594</v>
      </c>
      <c r="Q449" s="7" t="s">
        <v>3383</v>
      </c>
      <c r="S449" s="6" t="s">
        <v>1595</v>
      </c>
      <c r="T449" s="6" t="s">
        <v>1596</v>
      </c>
    </row>
    <row r="450">
      <c r="A450" s="7" t="s">
        <v>3340</v>
      </c>
      <c r="B450" s="6" t="s">
        <v>1581</v>
      </c>
      <c r="C450" s="6" t="s">
        <v>1582</v>
      </c>
      <c r="D450" s="7" t="s">
        <v>3360</v>
      </c>
      <c r="E450" s="6" t="s">
        <v>3381</v>
      </c>
      <c r="F450" s="6" t="s">
        <v>2801</v>
      </c>
      <c r="G450" s="6" t="str">
        <f>IFERROR(__xludf.DUMMYFUNCTION("FILTER(RAW_met_lieux_inclusion_numeriq!B:B,RAW_met_lieux_inclusion_numeriq!B:B=F450)"),"#N/A")</f>
        <v>#N/A</v>
      </c>
      <c r="H450" s="6" t="s">
        <v>2802</v>
      </c>
      <c r="I450" s="6" t="s">
        <v>3382</v>
      </c>
      <c r="J450" s="7" t="s">
        <v>1880</v>
      </c>
      <c r="K450" s="6" t="s">
        <v>1589</v>
      </c>
      <c r="L450" s="6" t="s">
        <v>1590</v>
      </c>
      <c r="M450" s="6" t="s">
        <v>3364</v>
      </c>
      <c r="N450" s="6" t="s">
        <v>1592</v>
      </c>
      <c r="O450" s="6" t="s">
        <v>1593</v>
      </c>
      <c r="P450" s="6" t="s">
        <v>1594</v>
      </c>
      <c r="Q450" s="7" t="s">
        <v>3360</v>
      </c>
      <c r="S450" s="6" t="s">
        <v>1595</v>
      </c>
      <c r="T450" s="6" t="s">
        <v>1596</v>
      </c>
    </row>
    <row r="451">
      <c r="A451" s="7" t="s">
        <v>3340</v>
      </c>
      <c r="B451" s="6" t="s">
        <v>1581</v>
      </c>
      <c r="C451" s="6" t="s">
        <v>1582</v>
      </c>
      <c r="D451" s="7" t="s">
        <v>3387</v>
      </c>
      <c r="E451" s="6" t="s">
        <v>3388</v>
      </c>
      <c r="F451" s="6" t="s">
        <v>3389</v>
      </c>
      <c r="G451" s="6" t="str">
        <f>IFERROR(__xludf.DUMMYFUNCTION("FILTER(RAW_met_lieux_inclusion_numeriq!B:B,RAW_met_lieux_inclusion_numeriq!B:B=F451)"),"#N/A")</f>
        <v>#N/A</v>
      </c>
      <c r="H451" s="6" t="s">
        <v>3390</v>
      </c>
      <c r="I451" s="6" t="s">
        <v>3391</v>
      </c>
      <c r="J451" s="7" t="s">
        <v>3250</v>
      </c>
      <c r="K451" s="6" t="s">
        <v>1589</v>
      </c>
      <c r="L451" s="6" t="s">
        <v>1603</v>
      </c>
      <c r="M451" s="6" t="s">
        <v>3392</v>
      </c>
      <c r="N451" s="6" t="s">
        <v>1592</v>
      </c>
      <c r="O451" s="6" t="s">
        <v>1593</v>
      </c>
      <c r="P451" s="6" t="s">
        <v>1594</v>
      </c>
      <c r="Q451" s="7" t="s">
        <v>3387</v>
      </c>
      <c r="S451" s="6" t="s">
        <v>1595</v>
      </c>
      <c r="T451" s="6" t="s">
        <v>1605</v>
      </c>
    </row>
    <row r="452">
      <c r="A452" s="7" t="s">
        <v>3340</v>
      </c>
      <c r="B452" s="6" t="s">
        <v>1581</v>
      </c>
      <c r="C452" s="6" t="s">
        <v>1582</v>
      </c>
      <c r="D452" s="7" t="s">
        <v>3387</v>
      </c>
      <c r="E452" s="6" t="s">
        <v>3388</v>
      </c>
      <c r="F452" s="6" t="s">
        <v>3393</v>
      </c>
      <c r="G452" s="6" t="str">
        <f>IFERROR(__xludf.DUMMYFUNCTION("FILTER(RAW_met_lieux_inclusion_numeriq!B:B,RAW_met_lieux_inclusion_numeriq!B:B=F452)"),"#N/A")</f>
        <v>#N/A</v>
      </c>
      <c r="H452" s="6" t="s">
        <v>3394</v>
      </c>
      <c r="I452" s="6" t="s">
        <v>3391</v>
      </c>
      <c r="J452" s="7" t="s">
        <v>3395</v>
      </c>
      <c r="K452" s="6" t="s">
        <v>1589</v>
      </c>
      <c r="L452" s="6" t="s">
        <v>1603</v>
      </c>
      <c r="M452" s="6" t="s">
        <v>3392</v>
      </c>
      <c r="N452" s="6" t="s">
        <v>1592</v>
      </c>
      <c r="O452" s="6" t="s">
        <v>1593</v>
      </c>
      <c r="P452" s="6" t="s">
        <v>1594</v>
      </c>
      <c r="Q452" s="7" t="s">
        <v>3387</v>
      </c>
      <c r="S452" s="6" t="s">
        <v>1595</v>
      </c>
      <c r="T452" s="6" t="s">
        <v>1605</v>
      </c>
    </row>
    <row r="453">
      <c r="A453" s="7" t="s">
        <v>3340</v>
      </c>
      <c r="B453" s="6" t="s">
        <v>1581</v>
      </c>
      <c r="C453" s="6" t="s">
        <v>1582</v>
      </c>
      <c r="D453" s="7" t="s">
        <v>3387</v>
      </c>
      <c r="E453" s="6" t="s">
        <v>3388</v>
      </c>
      <c r="F453" s="6" t="s">
        <v>3396</v>
      </c>
      <c r="G453" s="6" t="str">
        <f>IFERROR(__xludf.DUMMYFUNCTION("FILTER(RAW_met_lieux_inclusion_numeriq!B:B,RAW_met_lieux_inclusion_numeriq!B:B=F453)"),"#N/A")</f>
        <v>#N/A</v>
      </c>
      <c r="H453" s="6" t="s">
        <v>3397</v>
      </c>
      <c r="I453" s="6" t="s">
        <v>3391</v>
      </c>
      <c r="J453" s="7" t="s">
        <v>3398</v>
      </c>
      <c r="K453" s="6" t="s">
        <v>1589</v>
      </c>
      <c r="L453" s="6" t="s">
        <v>1603</v>
      </c>
      <c r="M453" s="6" t="s">
        <v>3392</v>
      </c>
      <c r="N453" s="6" t="s">
        <v>1592</v>
      </c>
      <c r="O453" s="6" t="s">
        <v>1593</v>
      </c>
      <c r="P453" s="6" t="s">
        <v>1594</v>
      </c>
      <c r="Q453" s="7" t="s">
        <v>3387</v>
      </c>
      <c r="S453" s="6" t="s">
        <v>1595</v>
      </c>
      <c r="T453" s="6" t="s">
        <v>1605</v>
      </c>
    </row>
    <row r="454">
      <c r="A454" s="7" t="s">
        <v>3340</v>
      </c>
      <c r="B454" s="6" t="s">
        <v>1581</v>
      </c>
      <c r="C454" s="6" t="s">
        <v>1582</v>
      </c>
      <c r="D454" s="7" t="s">
        <v>3399</v>
      </c>
      <c r="E454" s="6" t="s">
        <v>3400</v>
      </c>
      <c r="F454" s="6" t="s">
        <v>3401</v>
      </c>
      <c r="G454" s="6" t="str">
        <f>IFERROR(__xludf.DUMMYFUNCTION("FILTER(RAW_met_lieux_inclusion_numeriq!B:B,RAW_met_lieux_inclusion_numeriq!B:B=F454)"),"#N/A")</f>
        <v>#N/A</v>
      </c>
      <c r="H454" s="6" t="s">
        <v>2963</v>
      </c>
      <c r="I454" s="6" t="s">
        <v>3209</v>
      </c>
      <c r="J454" s="7" t="s">
        <v>2964</v>
      </c>
      <c r="K454" s="6" t="s">
        <v>1589</v>
      </c>
      <c r="L454" s="6" t="s">
        <v>1603</v>
      </c>
      <c r="M454" s="6" t="s">
        <v>3402</v>
      </c>
      <c r="N454" s="6" t="s">
        <v>1592</v>
      </c>
      <c r="O454" s="6" t="s">
        <v>1593</v>
      </c>
      <c r="P454" s="6" t="s">
        <v>1594</v>
      </c>
      <c r="Q454" s="7" t="s">
        <v>3399</v>
      </c>
      <c r="S454" s="6" t="s">
        <v>1595</v>
      </c>
      <c r="T454" s="6" t="s">
        <v>1605</v>
      </c>
    </row>
    <row r="455">
      <c r="A455" s="7" t="s">
        <v>3340</v>
      </c>
      <c r="B455" s="6" t="s">
        <v>1581</v>
      </c>
      <c r="C455" s="6" t="s">
        <v>1582</v>
      </c>
      <c r="D455" s="7" t="s">
        <v>3403</v>
      </c>
      <c r="E455" s="6" t="s">
        <v>3404</v>
      </c>
      <c r="F455" s="6" t="s">
        <v>3405</v>
      </c>
      <c r="G455" s="6" t="str">
        <f>IFERROR(__xludf.DUMMYFUNCTION("FILTER(RAW_met_lieux_inclusion_numeriq!B:B,RAW_met_lieux_inclusion_numeriq!B:B=F455)"),"#N/A")</f>
        <v>#N/A</v>
      </c>
      <c r="H455" s="6" t="s">
        <v>3406</v>
      </c>
      <c r="I455" s="6" t="s">
        <v>3209</v>
      </c>
      <c r="J455" s="7" t="s">
        <v>1651</v>
      </c>
      <c r="K455" s="6" t="s">
        <v>1589</v>
      </c>
      <c r="L455" s="6" t="s">
        <v>1603</v>
      </c>
      <c r="M455" s="6" t="s">
        <v>3407</v>
      </c>
      <c r="N455" s="6" t="s">
        <v>1592</v>
      </c>
      <c r="O455" s="6" t="s">
        <v>1593</v>
      </c>
      <c r="P455" s="6" t="s">
        <v>1594</v>
      </c>
      <c r="Q455" s="7" t="s">
        <v>3403</v>
      </c>
      <c r="S455" s="6" t="s">
        <v>1595</v>
      </c>
      <c r="T455" s="6" t="s">
        <v>1596</v>
      </c>
    </row>
    <row r="456">
      <c r="A456" s="7" t="s">
        <v>3340</v>
      </c>
      <c r="B456" s="6" t="s">
        <v>1581</v>
      </c>
      <c r="C456" s="6" t="s">
        <v>1582</v>
      </c>
      <c r="D456" s="7" t="s">
        <v>3387</v>
      </c>
      <c r="E456" s="6" t="s">
        <v>3408</v>
      </c>
      <c r="F456" s="6" t="s">
        <v>1615</v>
      </c>
      <c r="G456" s="6" t="str">
        <f>IFERROR(__xludf.DUMMYFUNCTION("FILTER(RAW_met_lieux_inclusion_numeriq!B:B,RAW_met_lieux_inclusion_numeriq!B:B=F456)"),"#N/A")</f>
        <v>#N/A</v>
      </c>
      <c r="H456" s="6" t="s">
        <v>1616</v>
      </c>
      <c r="I456" s="6" t="s">
        <v>3209</v>
      </c>
      <c r="J456" s="7" t="s">
        <v>2372</v>
      </c>
      <c r="K456" s="6" t="s">
        <v>1589</v>
      </c>
      <c r="L456" s="6" t="s">
        <v>1603</v>
      </c>
      <c r="M456" s="6" t="s">
        <v>3392</v>
      </c>
      <c r="N456" s="6" t="s">
        <v>1592</v>
      </c>
      <c r="O456" s="6" t="s">
        <v>1593</v>
      </c>
      <c r="P456" s="6" t="s">
        <v>1594</v>
      </c>
      <c r="Q456" s="7" t="s">
        <v>3387</v>
      </c>
      <c r="S456" s="6" t="s">
        <v>1595</v>
      </c>
      <c r="T456" s="6" t="s">
        <v>1596</v>
      </c>
    </row>
    <row r="457">
      <c r="A457" s="7" t="s">
        <v>3340</v>
      </c>
      <c r="B457" s="6" t="s">
        <v>1581</v>
      </c>
      <c r="C457" s="6" t="s">
        <v>1582</v>
      </c>
      <c r="D457" s="7" t="s">
        <v>3409</v>
      </c>
      <c r="E457" s="6" t="s">
        <v>3410</v>
      </c>
      <c r="F457" s="6" t="s">
        <v>3411</v>
      </c>
      <c r="G457" s="6" t="str">
        <f>IFERROR(__xludf.DUMMYFUNCTION("FILTER(RAW_met_lieux_inclusion_numeriq!B:B,RAW_met_lieux_inclusion_numeriq!B:B=F457)"),"#N/A")</f>
        <v>#N/A</v>
      </c>
      <c r="H457" s="6" t="s">
        <v>2748</v>
      </c>
      <c r="I457" s="6" t="s">
        <v>3209</v>
      </c>
      <c r="J457" s="7" t="s">
        <v>1714</v>
      </c>
      <c r="K457" s="6" t="s">
        <v>1589</v>
      </c>
      <c r="L457" s="6" t="s">
        <v>1603</v>
      </c>
      <c r="M457" s="6" t="s">
        <v>3412</v>
      </c>
      <c r="N457" s="6" t="s">
        <v>1592</v>
      </c>
      <c r="O457" s="6" t="s">
        <v>1593</v>
      </c>
      <c r="P457" s="6" t="s">
        <v>1594</v>
      </c>
      <c r="Q457" s="7" t="s">
        <v>3409</v>
      </c>
      <c r="S457" s="6" t="s">
        <v>1595</v>
      </c>
      <c r="T457" s="6" t="s">
        <v>1596</v>
      </c>
    </row>
    <row r="458">
      <c r="A458" s="7" t="s">
        <v>3340</v>
      </c>
      <c r="B458" s="6" t="s">
        <v>1581</v>
      </c>
      <c r="C458" s="6" t="s">
        <v>1582</v>
      </c>
      <c r="D458" s="7" t="s">
        <v>3387</v>
      </c>
      <c r="E458" s="6" t="s">
        <v>3388</v>
      </c>
      <c r="F458" s="6" t="s">
        <v>3413</v>
      </c>
      <c r="G458" s="6" t="str">
        <f>IFERROR(__xludf.DUMMYFUNCTION("FILTER(RAW_met_lieux_inclusion_numeriq!B:B,RAW_met_lieux_inclusion_numeriq!B:B=F458)"),"#N/A")</f>
        <v>#N/A</v>
      </c>
      <c r="H458" s="6" t="s">
        <v>3414</v>
      </c>
      <c r="I458" s="6" t="s">
        <v>3391</v>
      </c>
      <c r="J458" s="7" t="s">
        <v>2579</v>
      </c>
      <c r="K458" s="6" t="s">
        <v>1589</v>
      </c>
      <c r="L458" s="6" t="s">
        <v>1603</v>
      </c>
      <c r="M458" s="6" t="s">
        <v>3392</v>
      </c>
      <c r="N458" s="6" t="s">
        <v>1592</v>
      </c>
      <c r="O458" s="6" t="s">
        <v>1593</v>
      </c>
      <c r="P458" s="6" t="s">
        <v>1594</v>
      </c>
      <c r="Q458" s="7" t="s">
        <v>3387</v>
      </c>
      <c r="S458" s="6" t="s">
        <v>1595</v>
      </c>
      <c r="T458" s="6" t="s">
        <v>1605</v>
      </c>
    </row>
    <row r="459">
      <c r="A459" s="7" t="s">
        <v>3340</v>
      </c>
      <c r="B459" s="6" t="s">
        <v>1581</v>
      </c>
      <c r="C459" s="6" t="s">
        <v>1582</v>
      </c>
      <c r="D459" s="7" t="s">
        <v>3415</v>
      </c>
      <c r="E459" s="6" t="s">
        <v>3416</v>
      </c>
      <c r="F459" s="6" t="s">
        <v>3019</v>
      </c>
      <c r="G459" s="6" t="str">
        <f>IFERROR(__xludf.DUMMYFUNCTION("FILTER(RAW_met_lieux_inclusion_numeriq!B:B,RAW_met_lieux_inclusion_numeriq!B:B=F459)"),"#N/A")</f>
        <v>#N/A</v>
      </c>
      <c r="H459" s="6" t="s">
        <v>3020</v>
      </c>
      <c r="I459" s="6" t="s">
        <v>3209</v>
      </c>
      <c r="J459" s="7" t="s">
        <v>1611</v>
      </c>
      <c r="K459" s="6" t="s">
        <v>1589</v>
      </c>
      <c r="L459" s="6" t="s">
        <v>1603</v>
      </c>
      <c r="M459" s="6" t="s">
        <v>3417</v>
      </c>
      <c r="N459" s="6" t="s">
        <v>1592</v>
      </c>
      <c r="O459" s="6" t="s">
        <v>1593</v>
      </c>
      <c r="P459" s="6" t="s">
        <v>1594</v>
      </c>
      <c r="Q459" s="7" t="s">
        <v>3415</v>
      </c>
      <c r="S459" s="6" t="s">
        <v>1595</v>
      </c>
      <c r="T459" s="6" t="s">
        <v>1605</v>
      </c>
    </row>
    <row r="460">
      <c r="A460" s="7" t="s">
        <v>3340</v>
      </c>
      <c r="B460" s="6" t="s">
        <v>1581</v>
      </c>
      <c r="C460" s="6" t="s">
        <v>1582</v>
      </c>
      <c r="D460" s="7" t="s">
        <v>3418</v>
      </c>
      <c r="E460" s="6" t="s">
        <v>3416</v>
      </c>
      <c r="F460" s="6" t="s">
        <v>2117</v>
      </c>
      <c r="G460" s="6" t="str">
        <f>IFERROR(__xludf.DUMMYFUNCTION("FILTER(RAW_met_lieux_inclusion_numeriq!B:B,RAW_met_lieux_inclusion_numeriq!B:B=F460)"),"#N/A")</f>
        <v>#N/A</v>
      </c>
      <c r="H460" s="6" t="s">
        <v>2118</v>
      </c>
      <c r="I460" s="6" t="s">
        <v>3209</v>
      </c>
      <c r="J460" s="7" t="s">
        <v>1611</v>
      </c>
      <c r="K460" s="6" t="s">
        <v>1589</v>
      </c>
      <c r="L460" s="6" t="s">
        <v>1603</v>
      </c>
      <c r="M460" s="6" t="s">
        <v>3419</v>
      </c>
      <c r="N460" s="6" t="s">
        <v>1592</v>
      </c>
      <c r="O460" s="6" t="s">
        <v>1593</v>
      </c>
      <c r="P460" s="6" t="s">
        <v>1594</v>
      </c>
      <c r="Q460" s="7" t="s">
        <v>3418</v>
      </c>
      <c r="S460" s="6" t="s">
        <v>1595</v>
      </c>
      <c r="T460" s="6" t="s">
        <v>1605</v>
      </c>
    </row>
    <row r="461">
      <c r="A461" s="7" t="s">
        <v>3420</v>
      </c>
      <c r="B461" s="6" t="s">
        <v>1581</v>
      </c>
      <c r="C461" s="6" t="s">
        <v>1582</v>
      </c>
      <c r="D461" s="7" t="s">
        <v>3340</v>
      </c>
      <c r="E461" s="6" t="s">
        <v>3421</v>
      </c>
      <c r="F461" s="6" t="s">
        <v>3422</v>
      </c>
      <c r="G461" s="6" t="str">
        <f>IFERROR(__xludf.DUMMYFUNCTION("FILTER(RAW_met_lieux_inclusion_numeriq!B:B,RAW_met_lieux_inclusion_numeriq!B:B=F461)"),"#N/A")</f>
        <v>#N/A</v>
      </c>
      <c r="H461" s="6" t="s">
        <v>3423</v>
      </c>
      <c r="I461" s="6" t="s">
        <v>3424</v>
      </c>
      <c r="J461" s="7" t="s">
        <v>1671</v>
      </c>
      <c r="K461" s="6" t="s">
        <v>1589</v>
      </c>
      <c r="L461" s="6" t="s">
        <v>1590</v>
      </c>
      <c r="M461" s="6" t="s">
        <v>3425</v>
      </c>
      <c r="N461" s="6" t="s">
        <v>1592</v>
      </c>
      <c r="O461" s="6" t="s">
        <v>1593</v>
      </c>
      <c r="P461" s="6" t="s">
        <v>1594</v>
      </c>
      <c r="Q461" s="7" t="s">
        <v>3340</v>
      </c>
      <c r="S461" s="6" t="s">
        <v>1595</v>
      </c>
      <c r="T461" s="6" t="s">
        <v>1596</v>
      </c>
    </row>
    <row r="462">
      <c r="A462" s="7" t="s">
        <v>3420</v>
      </c>
      <c r="B462" s="6" t="s">
        <v>1581</v>
      </c>
      <c r="C462" s="6" t="s">
        <v>1582</v>
      </c>
      <c r="D462" s="7" t="s">
        <v>3340</v>
      </c>
      <c r="E462" s="6" t="s">
        <v>3421</v>
      </c>
      <c r="F462" s="6" t="s">
        <v>3426</v>
      </c>
      <c r="G462" s="6" t="str">
        <f>IFERROR(__xludf.DUMMYFUNCTION("FILTER(RAW_met_lieux_inclusion_numeriq!B:B,RAW_met_lieux_inclusion_numeriq!B:B=F462)"),"#N/A")</f>
        <v>#N/A</v>
      </c>
      <c r="H462" s="6" t="s">
        <v>3427</v>
      </c>
      <c r="I462" s="6" t="s">
        <v>3424</v>
      </c>
      <c r="J462" s="7" t="s">
        <v>1651</v>
      </c>
      <c r="K462" s="6" t="s">
        <v>1589</v>
      </c>
      <c r="L462" s="6" t="s">
        <v>1590</v>
      </c>
      <c r="M462" s="6" t="s">
        <v>3425</v>
      </c>
      <c r="N462" s="6" t="s">
        <v>1592</v>
      </c>
      <c r="O462" s="6" t="s">
        <v>1593</v>
      </c>
      <c r="P462" s="6" t="s">
        <v>1594</v>
      </c>
      <c r="Q462" s="7" t="s">
        <v>3340</v>
      </c>
      <c r="S462" s="6" t="s">
        <v>1595</v>
      </c>
      <c r="T462" s="6" t="s">
        <v>1596</v>
      </c>
    </row>
    <row r="463">
      <c r="A463" s="7" t="s">
        <v>3420</v>
      </c>
      <c r="B463" s="6" t="s">
        <v>1581</v>
      </c>
      <c r="C463" s="6" t="s">
        <v>1582</v>
      </c>
      <c r="D463" s="7" t="s">
        <v>3428</v>
      </c>
      <c r="E463" s="6" t="s">
        <v>3421</v>
      </c>
      <c r="F463" s="6" t="s">
        <v>3429</v>
      </c>
      <c r="G463" s="6" t="str">
        <f>IFERROR(__xludf.DUMMYFUNCTION("FILTER(RAW_met_lieux_inclusion_numeriq!B:B,RAW_met_lieux_inclusion_numeriq!B:B=F463)"),"#N/A")</f>
        <v>#N/A</v>
      </c>
      <c r="H463" s="6" t="s">
        <v>2849</v>
      </c>
      <c r="I463" s="6" t="s">
        <v>3424</v>
      </c>
      <c r="J463" s="7" t="s">
        <v>2896</v>
      </c>
      <c r="K463" s="6" t="s">
        <v>1589</v>
      </c>
      <c r="L463" s="6" t="s">
        <v>1590</v>
      </c>
      <c r="M463" s="6" t="s">
        <v>3430</v>
      </c>
      <c r="N463" s="6" t="s">
        <v>1592</v>
      </c>
      <c r="O463" s="6" t="s">
        <v>1593</v>
      </c>
      <c r="P463" s="6" t="s">
        <v>1594</v>
      </c>
      <c r="Q463" s="7" t="s">
        <v>3428</v>
      </c>
      <c r="S463" s="6" t="s">
        <v>1595</v>
      </c>
      <c r="T463" s="6" t="s">
        <v>1596</v>
      </c>
    </row>
    <row r="464">
      <c r="A464" s="7" t="s">
        <v>3420</v>
      </c>
      <c r="B464" s="6" t="s">
        <v>1581</v>
      </c>
      <c r="C464" s="6" t="s">
        <v>1582</v>
      </c>
      <c r="D464" s="7" t="s">
        <v>3340</v>
      </c>
      <c r="E464" s="6" t="s">
        <v>3421</v>
      </c>
      <c r="F464" s="6" t="s">
        <v>2969</v>
      </c>
      <c r="G464" s="6" t="str">
        <f>IFERROR(__xludf.DUMMYFUNCTION("FILTER(RAW_met_lieux_inclusion_numeriq!B:B,RAW_met_lieux_inclusion_numeriq!B:B=F464)"),"#N/A")</f>
        <v>#N/A</v>
      </c>
      <c r="H464" s="6" t="s">
        <v>2970</v>
      </c>
      <c r="I464" s="6" t="s">
        <v>3424</v>
      </c>
      <c r="J464" s="7" t="s">
        <v>3431</v>
      </c>
      <c r="K464" s="6" t="s">
        <v>1589</v>
      </c>
      <c r="L464" s="6" t="s">
        <v>1590</v>
      </c>
      <c r="M464" s="6" t="s">
        <v>3425</v>
      </c>
      <c r="N464" s="6" t="s">
        <v>1592</v>
      </c>
      <c r="O464" s="6" t="s">
        <v>1593</v>
      </c>
      <c r="P464" s="6" t="s">
        <v>1594</v>
      </c>
      <c r="Q464" s="7" t="s">
        <v>3340</v>
      </c>
      <c r="S464" s="6" t="s">
        <v>1595</v>
      </c>
      <c r="T464" s="6" t="s">
        <v>1605</v>
      </c>
    </row>
    <row r="465">
      <c r="A465" s="7" t="s">
        <v>3420</v>
      </c>
      <c r="B465" s="6" t="s">
        <v>1581</v>
      </c>
      <c r="C465" s="6" t="s">
        <v>1582</v>
      </c>
      <c r="D465" s="7" t="s">
        <v>3432</v>
      </c>
      <c r="E465" s="6" t="s">
        <v>3410</v>
      </c>
      <c r="F465" s="6" t="s">
        <v>2021</v>
      </c>
      <c r="G465" s="6" t="str">
        <f>IFERROR(__xludf.DUMMYFUNCTION("FILTER(RAW_met_lieux_inclusion_numeriq!B:B,RAW_met_lieux_inclusion_numeriq!B:B=F465)"),"#N/A")</f>
        <v>#N/A</v>
      </c>
      <c r="H465" s="6" t="s">
        <v>2022</v>
      </c>
      <c r="I465" s="6" t="s">
        <v>3433</v>
      </c>
      <c r="J465" s="7" t="s">
        <v>1714</v>
      </c>
      <c r="K465" s="6" t="s">
        <v>1589</v>
      </c>
      <c r="L465" s="6" t="s">
        <v>1603</v>
      </c>
      <c r="M465" s="6" t="s">
        <v>3434</v>
      </c>
      <c r="N465" s="6" t="s">
        <v>1592</v>
      </c>
      <c r="O465" s="6" t="s">
        <v>1593</v>
      </c>
      <c r="P465" s="6" t="s">
        <v>1594</v>
      </c>
      <c r="Q465" s="7" t="s">
        <v>3432</v>
      </c>
      <c r="S465" s="6" t="s">
        <v>1595</v>
      </c>
      <c r="T465" s="6" t="s">
        <v>1596</v>
      </c>
    </row>
    <row r="466">
      <c r="A466" s="7" t="s">
        <v>3420</v>
      </c>
      <c r="B466" s="6" t="s">
        <v>1581</v>
      </c>
      <c r="C466" s="6" t="s">
        <v>1582</v>
      </c>
      <c r="D466" s="7" t="s">
        <v>3428</v>
      </c>
      <c r="E466" s="6" t="s">
        <v>3435</v>
      </c>
      <c r="F466" s="6" t="s">
        <v>3436</v>
      </c>
      <c r="G466" s="6" t="str">
        <f>IFERROR(__xludf.DUMMYFUNCTION("FILTER(RAW_met_lieux_inclusion_numeriq!B:B,RAW_met_lieux_inclusion_numeriq!B:B=F466)"),"#N/A")</f>
        <v>#N/A</v>
      </c>
      <c r="H466" s="6" t="s">
        <v>3437</v>
      </c>
      <c r="I466" s="6" t="s">
        <v>3438</v>
      </c>
      <c r="J466" s="7" t="s">
        <v>1752</v>
      </c>
      <c r="K466" s="6" t="s">
        <v>1589</v>
      </c>
      <c r="L466" s="6" t="s">
        <v>1590</v>
      </c>
      <c r="M466" s="6" t="s">
        <v>3430</v>
      </c>
      <c r="N466" s="6" t="s">
        <v>1592</v>
      </c>
      <c r="O466" s="6" t="s">
        <v>1593</v>
      </c>
      <c r="P466" s="6" t="s">
        <v>1594</v>
      </c>
      <c r="Q466" s="7" t="s">
        <v>3428</v>
      </c>
      <c r="S466" s="6" t="s">
        <v>1595</v>
      </c>
      <c r="T466" s="6" t="s">
        <v>1605</v>
      </c>
    </row>
    <row r="467">
      <c r="A467" s="7" t="s">
        <v>3420</v>
      </c>
      <c r="B467" s="6" t="s">
        <v>1581</v>
      </c>
      <c r="C467" s="6" t="s">
        <v>1582</v>
      </c>
      <c r="D467" s="7" t="s">
        <v>3432</v>
      </c>
      <c r="E467" s="6" t="s">
        <v>3439</v>
      </c>
      <c r="F467" s="6" t="s">
        <v>3440</v>
      </c>
      <c r="G467" s="6" t="str">
        <f>IFERROR(__xludf.DUMMYFUNCTION("FILTER(RAW_met_lieux_inclusion_numeriq!B:B,RAW_met_lieux_inclusion_numeriq!B:B=F467)"),"#N/A")</f>
        <v>#N/A</v>
      </c>
      <c r="H467" s="6" t="s">
        <v>1868</v>
      </c>
      <c r="I467" s="6" t="s">
        <v>3209</v>
      </c>
      <c r="J467" s="7" t="s">
        <v>1922</v>
      </c>
      <c r="K467" s="6" t="s">
        <v>1589</v>
      </c>
      <c r="L467" s="6" t="s">
        <v>1603</v>
      </c>
      <c r="M467" s="6" t="s">
        <v>3434</v>
      </c>
      <c r="N467" s="6" t="s">
        <v>1592</v>
      </c>
      <c r="O467" s="6" t="s">
        <v>1593</v>
      </c>
      <c r="P467" s="6" t="s">
        <v>1594</v>
      </c>
      <c r="Q467" s="7" t="s">
        <v>3432</v>
      </c>
      <c r="S467" s="6" t="s">
        <v>1595</v>
      </c>
      <c r="T467" s="6" t="s">
        <v>1634</v>
      </c>
    </row>
    <row r="468">
      <c r="A468" s="7" t="s">
        <v>3420</v>
      </c>
      <c r="B468" s="6" t="s">
        <v>1581</v>
      </c>
      <c r="C468" s="6" t="s">
        <v>1582</v>
      </c>
      <c r="D468" s="7" t="s">
        <v>3441</v>
      </c>
      <c r="E468" s="6" t="s">
        <v>3442</v>
      </c>
      <c r="F468" s="6" t="s">
        <v>2566</v>
      </c>
      <c r="G468" s="6" t="str">
        <f>IFERROR(__xludf.DUMMYFUNCTION("FILTER(RAW_met_lieux_inclusion_numeriq!B:B,RAW_met_lieux_inclusion_numeriq!B:B=F468)"),"#N/A")</f>
        <v>#N/A</v>
      </c>
      <c r="H468" s="6" t="s">
        <v>3025</v>
      </c>
      <c r="I468" s="6" t="s">
        <v>3443</v>
      </c>
      <c r="J468" s="7" t="s">
        <v>1671</v>
      </c>
      <c r="K468" s="6" t="s">
        <v>1589</v>
      </c>
      <c r="L468" s="6" t="s">
        <v>1603</v>
      </c>
      <c r="M468" s="6" t="s">
        <v>3444</v>
      </c>
      <c r="N468" s="6" t="s">
        <v>1592</v>
      </c>
      <c r="O468" s="6" t="s">
        <v>1593</v>
      </c>
      <c r="P468" s="6" t="s">
        <v>1594</v>
      </c>
      <c r="Q468" s="7" t="s">
        <v>3441</v>
      </c>
      <c r="S468" s="6" t="s">
        <v>1595</v>
      </c>
      <c r="T468" s="6" t="s">
        <v>1596</v>
      </c>
    </row>
    <row r="469">
      <c r="A469" s="7" t="s">
        <v>3420</v>
      </c>
      <c r="B469" s="6" t="s">
        <v>1581</v>
      </c>
      <c r="C469" s="6" t="s">
        <v>1582</v>
      </c>
      <c r="D469" s="7" t="s">
        <v>3445</v>
      </c>
      <c r="E469" s="6" t="s">
        <v>3446</v>
      </c>
      <c r="F469" s="6" t="s">
        <v>3447</v>
      </c>
      <c r="G469" s="6" t="str">
        <f>IFERROR(__xludf.DUMMYFUNCTION("FILTER(RAW_met_lieux_inclusion_numeriq!B:B,RAW_met_lieux_inclusion_numeriq!B:B=F469)"),"#N/A")</f>
        <v>#N/A</v>
      </c>
      <c r="H469" s="6" t="s">
        <v>2951</v>
      </c>
      <c r="I469" s="6" t="s">
        <v>3448</v>
      </c>
      <c r="J469" s="7" t="s">
        <v>3449</v>
      </c>
      <c r="K469" s="6" t="s">
        <v>1589</v>
      </c>
      <c r="L469" s="6" t="s">
        <v>1603</v>
      </c>
      <c r="M469" s="6" t="s">
        <v>3450</v>
      </c>
      <c r="N469" s="6" t="s">
        <v>1592</v>
      </c>
      <c r="O469" s="6" t="s">
        <v>1593</v>
      </c>
      <c r="P469" s="6" t="s">
        <v>1594</v>
      </c>
      <c r="Q469" s="7" t="s">
        <v>3445</v>
      </c>
      <c r="S469" s="6" t="s">
        <v>1595</v>
      </c>
      <c r="T469" s="6" t="s">
        <v>1634</v>
      </c>
    </row>
    <row r="470">
      <c r="A470" s="7" t="s">
        <v>3179</v>
      </c>
      <c r="B470" s="6" t="s">
        <v>1581</v>
      </c>
      <c r="C470" s="6" t="s">
        <v>1582</v>
      </c>
      <c r="D470" s="7" t="s">
        <v>3451</v>
      </c>
      <c r="E470" s="6" t="s">
        <v>3452</v>
      </c>
      <c r="F470" s="6" t="s">
        <v>3453</v>
      </c>
      <c r="G470" s="6" t="str">
        <f>IFERROR(__xludf.DUMMYFUNCTION("FILTER(RAW_met_lieux_inclusion_numeriq!B:B,RAW_met_lieux_inclusion_numeriq!B:B=F470)"),"#N/A")</f>
        <v>#N/A</v>
      </c>
      <c r="H470" s="6" t="s">
        <v>3454</v>
      </c>
      <c r="I470" s="6" t="s">
        <v>3455</v>
      </c>
      <c r="J470" s="7" t="s">
        <v>1949</v>
      </c>
      <c r="K470" s="6" t="s">
        <v>1589</v>
      </c>
      <c r="L470" s="6" t="s">
        <v>1603</v>
      </c>
      <c r="M470" s="6" t="s">
        <v>3456</v>
      </c>
      <c r="N470" s="6" t="s">
        <v>1592</v>
      </c>
      <c r="O470" s="6" t="s">
        <v>1593</v>
      </c>
      <c r="P470" s="6" t="s">
        <v>1594</v>
      </c>
      <c r="Q470" s="7" t="s">
        <v>3451</v>
      </c>
      <c r="S470" s="6" t="s">
        <v>1595</v>
      </c>
      <c r="T470" s="6" t="s">
        <v>1596</v>
      </c>
    </row>
    <row r="471">
      <c r="A471" s="7" t="s">
        <v>3179</v>
      </c>
      <c r="B471" s="6" t="s">
        <v>1581</v>
      </c>
      <c r="C471" s="6" t="s">
        <v>1582</v>
      </c>
      <c r="D471" s="7" t="s">
        <v>3457</v>
      </c>
      <c r="E471" s="6" t="s">
        <v>3458</v>
      </c>
      <c r="F471" s="6" t="s">
        <v>3459</v>
      </c>
      <c r="G471" s="6" t="str">
        <f>IFERROR(__xludf.DUMMYFUNCTION("FILTER(RAW_met_lieux_inclusion_numeriq!B:B,RAW_met_lieux_inclusion_numeriq!B:B=F471)"),"#N/A")</f>
        <v>#N/A</v>
      </c>
      <c r="H471" s="6" t="s">
        <v>3460</v>
      </c>
      <c r="I471" s="6" t="s">
        <v>3209</v>
      </c>
      <c r="J471" s="7" t="s">
        <v>2148</v>
      </c>
      <c r="K471" s="6" t="s">
        <v>1589</v>
      </c>
      <c r="L471" s="6" t="s">
        <v>1603</v>
      </c>
      <c r="M471" s="6" t="s">
        <v>3191</v>
      </c>
      <c r="N471" s="6" t="s">
        <v>1592</v>
      </c>
      <c r="O471" s="6" t="s">
        <v>1593</v>
      </c>
      <c r="P471" s="6" t="s">
        <v>1594</v>
      </c>
      <c r="Q471" s="7" t="s">
        <v>3186</v>
      </c>
      <c r="S471" s="6" t="s">
        <v>1595</v>
      </c>
      <c r="T471" s="6" t="s">
        <v>1605</v>
      </c>
    </row>
    <row r="472">
      <c r="A472" s="7" t="s">
        <v>3179</v>
      </c>
      <c r="B472" s="6" t="s">
        <v>1581</v>
      </c>
      <c r="C472" s="6" t="s">
        <v>1582</v>
      </c>
      <c r="D472" s="7" t="s">
        <v>3461</v>
      </c>
      <c r="E472" s="6" t="s">
        <v>3462</v>
      </c>
      <c r="F472" s="6" t="s">
        <v>2376</v>
      </c>
      <c r="G472" s="6" t="str">
        <f>IFERROR(__xludf.DUMMYFUNCTION("FILTER(RAW_met_lieux_inclusion_numeriq!B:B,RAW_met_lieux_inclusion_numeriq!B:B=F472)"),"#N/A")</f>
        <v>#N/A</v>
      </c>
      <c r="H472" s="6" t="s">
        <v>3463</v>
      </c>
      <c r="I472" s="6" t="s">
        <v>3209</v>
      </c>
      <c r="J472" s="7" t="s">
        <v>1992</v>
      </c>
      <c r="K472" s="6" t="s">
        <v>1589</v>
      </c>
      <c r="L472" s="6" t="s">
        <v>1603</v>
      </c>
      <c r="M472" s="6" t="s">
        <v>3464</v>
      </c>
      <c r="N472" s="6" t="s">
        <v>1592</v>
      </c>
      <c r="O472" s="6" t="s">
        <v>1593</v>
      </c>
      <c r="P472" s="6" t="s">
        <v>1594</v>
      </c>
      <c r="Q472" s="7" t="s">
        <v>3461</v>
      </c>
      <c r="S472" s="6" t="s">
        <v>1595</v>
      </c>
      <c r="T472" s="6" t="s">
        <v>1596</v>
      </c>
    </row>
    <row r="473">
      <c r="A473" s="7" t="s">
        <v>3179</v>
      </c>
      <c r="B473" s="6" t="s">
        <v>1581</v>
      </c>
      <c r="C473" s="6" t="s">
        <v>1582</v>
      </c>
      <c r="D473" s="7" t="s">
        <v>3465</v>
      </c>
      <c r="E473" s="6" t="s">
        <v>2790</v>
      </c>
      <c r="F473" s="6" t="s">
        <v>3466</v>
      </c>
      <c r="G473" s="6" t="str">
        <f>IFERROR(__xludf.DUMMYFUNCTION("FILTER(RAW_met_lieux_inclusion_numeriq!B:B,RAW_met_lieux_inclusion_numeriq!B:B=F473)"),"#N/A")</f>
        <v>#N/A</v>
      </c>
      <c r="H473" s="6" t="s">
        <v>3467</v>
      </c>
      <c r="I473" s="6" t="s">
        <v>3468</v>
      </c>
      <c r="J473" s="7" t="s">
        <v>1949</v>
      </c>
      <c r="K473" s="6" t="s">
        <v>1589</v>
      </c>
      <c r="L473" s="6" t="s">
        <v>1603</v>
      </c>
      <c r="M473" s="6" t="s">
        <v>3469</v>
      </c>
      <c r="N473" s="6" t="s">
        <v>1592</v>
      </c>
      <c r="O473" s="6" t="s">
        <v>1593</v>
      </c>
      <c r="P473" s="6" t="s">
        <v>1594</v>
      </c>
      <c r="Q473" s="7" t="s">
        <v>3465</v>
      </c>
      <c r="S473" s="6" t="s">
        <v>1595</v>
      </c>
      <c r="T473" s="6" t="s">
        <v>1596</v>
      </c>
    </row>
    <row r="474">
      <c r="A474" s="7" t="s">
        <v>3179</v>
      </c>
      <c r="B474" s="6" t="s">
        <v>1581</v>
      </c>
      <c r="C474" s="6" t="s">
        <v>1582</v>
      </c>
      <c r="D474" s="7" t="s">
        <v>3470</v>
      </c>
      <c r="E474" s="6" t="s">
        <v>3200</v>
      </c>
      <c r="F474" s="6" t="s">
        <v>1648</v>
      </c>
      <c r="G474" s="6" t="str">
        <f>IFERROR(__xludf.DUMMYFUNCTION("FILTER(RAW_met_lieux_inclusion_numeriq!B:B,RAW_met_lieux_inclusion_numeriq!B:B=F474)"),"#N/A")</f>
        <v>#N/A</v>
      </c>
      <c r="H474" s="6" t="s">
        <v>3471</v>
      </c>
      <c r="I474" s="6" t="s">
        <v>3472</v>
      </c>
      <c r="J474" s="7" t="s">
        <v>1651</v>
      </c>
      <c r="K474" s="6" t="s">
        <v>1589</v>
      </c>
      <c r="L474" s="6" t="s">
        <v>1603</v>
      </c>
      <c r="M474" s="6" t="s">
        <v>3473</v>
      </c>
      <c r="N474" s="6" t="s">
        <v>1592</v>
      </c>
      <c r="O474" s="6" t="s">
        <v>1593</v>
      </c>
      <c r="P474" s="6" t="s">
        <v>1594</v>
      </c>
      <c r="Q474" s="7" t="s">
        <v>3470</v>
      </c>
      <c r="S474" s="6" t="s">
        <v>1595</v>
      </c>
      <c r="T474" s="6" t="s">
        <v>1596</v>
      </c>
    </row>
    <row r="475">
      <c r="A475" s="7" t="s">
        <v>3179</v>
      </c>
      <c r="B475" s="6" t="s">
        <v>1581</v>
      </c>
      <c r="C475" s="6" t="s">
        <v>1582</v>
      </c>
      <c r="D475" s="7" t="s">
        <v>3474</v>
      </c>
      <c r="E475" s="6" t="s">
        <v>3200</v>
      </c>
      <c r="F475" s="6" t="s">
        <v>3475</v>
      </c>
      <c r="G475" s="6" t="str">
        <f>IFERROR(__xludf.DUMMYFUNCTION("FILTER(RAW_met_lieux_inclusion_numeriq!B:B,RAW_met_lieux_inclusion_numeriq!B:B=F475)"),"#N/A")</f>
        <v>#N/A</v>
      </c>
      <c r="H475" s="6" t="s">
        <v>1656</v>
      </c>
      <c r="I475" s="6" t="s">
        <v>3476</v>
      </c>
      <c r="J475" s="7" t="s">
        <v>1658</v>
      </c>
      <c r="K475" s="6" t="s">
        <v>1589</v>
      </c>
      <c r="L475" s="6" t="s">
        <v>1603</v>
      </c>
      <c r="M475" s="6" t="s">
        <v>3477</v>
      </c>
      <c r="N475" s="6" t="s">
        <v>1592</v>
      </c>
      <c r="O475" s="6" t="s">
        <v>1593</v>
      </c>
      <c r="P475" s="6" t="s">
        <v>1594</v>
      </c>
      <c r="Q475" s="7" t="s">
        <v>3474</v>
      </c>
      <c r="S475" s="6" t="s">
        <v>1595</v>
      </c>
      <c r="T475" s="6" t="s">
        <v>1605</v>
      </c>
    </row>
    <row r="476">
      <c r="A476" s="7" t="s">
        <v>3179</v>
      </c>
      <c r="B476" s="6" t="s">
        <v>1581</v>
      </c>
      <c r="C476" s="6" t="s">
        <v>1582</v>
      </c>
      <c r="D476" s="7" t="s">
        <v>3478</v>
      </c>
      <c r="E476" s="6" t="s">
        <v>3479</v>
      </c>
      <c r="F476" s="6" t="s">
        <v>3156</v>
      </c>
      <c r="G476" s="6" t="str">
        <f>IFERROR(__xludf.DUMMYFUNCTION("FILTER(RAW_met_lieux_inclusion_numeriq!B:B,RAW_met_lieux_inclusion_numeriq!B:B=F476)"),"#N/A")</f>
        <v>#N/A</v>
      </c>
      <c r="H476" s="6" t="s">
        <v>3157</v>
      </c>
      <c r="I476" s="6" t="s">
        <v>3480</v>
      </c>
      <c r="J476" s="7" t="s">
        <v>1949</v>
      </c>
      <c r="K476" s="6" t="s">
        <v>1589</v>
      </c>
      <c r="L476" s="6" t="s">
        <v>1590</v>
      </c>
      <c r="M476" s="6" t="s">
        <v>3481</v>
      </c>
      <c r="N476" s="6" t="s">
        <v>1592</v>
      </c>
      <c r="O476" s="6" t="s">
        <v>1593</v>
      </c>
      <c r="P476" s="6" t="s">
        <v>1594</v>
      </c>
      <c r="Q476" s="7" t="s">
        <v>3478</v>
      </c>
      <c r="S476" s="6" t="s">
        <v>1595</v>
      </c>
      <c r="T476" s="6" t="s">
        <v>1596</v>
      </c>
    </row>
    <row r="477">
      <c r="A477" s="7" t="s">
        <v>3179</v>
      </c>
      <c r="B477" s="6" t="s">
        <v>1581</v>
      </c>
      <c r="C477" s="6" t="s">
        <v>1582</v>
      </c>
      <c r="D477" s="7" t="s">
        <v>3482</v>
      </c>
      <c r="E477" s="6" t="s">
        <v>3200</v>
      </c>
      <c r="F477" s="6" t="s">
        <v>3358</v>
      </c>
      <c r="G477" s="6" t="str">
        <f>IFERROR(__xludf.DUMMYFUNCTION("FILTER(RAW_met_lieux_inclusion_numeriq!B:B,RAW_met_lieux_inclusion_numeriq!B:B=F477)"),"#N/A")</f>
        <v>#N/A</v>
      </c>
      <c r="H477" s="6" t="s">
        <v>3048</v>
      </c>
      <c r="I477" s="6" t="s">
        <v>3483</v>
      </c>
      <c r="J477" s="7" t="s">
        <v>1651</v>
      </c>
      <c r="K477" s="6" t="s">
        <v>1589</v>
      </c>
      <c r="L477" s="6" t="s">
        <v>1590</v>
      </c>
      <c r="M477" s="6" t="s">
        <v>3484</v>
      </c>
      <c r="N477" s="6" t="s">
        <v>1592</v>
      </c>
      <c r="O477" s="6" t="s">
        <v>1593</v>
      </c>
      <c r="P477" s="6" t="s">
        <v>1594</v>
      </c>
      <c r="Q477" s="7" t="s">
        <v>3482</v>
      </c>
      <c r="S477" s="6" t="s">
        <v>1595</v>
      </c>
      <c r="T477" s="6" t="s">
        <v>1596</v>
      </c>
    </row>
    <row r="478">
      <c r="A478" s="7" t="s">
        <v>3179</v>
      </c>
      <c r="B478" s="6" t="s">
        <v>1581</v>
      </c>
      <c r="C478" s="6" t="s">
        <v>1582</v>
      </c>
      <c r="D478" s="7" t="s">
        <v>3485</v>
      </c>
      <c r="E478" s="6" t="s">
        <v>3479</v>
      </c>
      <c r="F478" s="6" t="s">
        <v>3429</v>
      </c>
      <c r="G478" s="6" t="str">
        <f>IFERROR(__xludf.DUMMYFUNCTION("FILTER(RAW_met_lieux_inclusion_numeriq!B:B,RAW_met_lieux_inclusion_numeriq!B:B=F478)"),"#N/A")</f>
        <v>#N/A</v>
      </c>
      <c r="H478" s="6" t="s">
        <v>2849</v>
      </c>
      <c r="I478" s="6" t="s">
        <v>3209</v>
      </c>
      <c r="J478" s="7" t="s">
        <v>1651</v>
      </c>
      <c r="K478" s="6" t="s">
        <v>1589</v>
      </c>
      <c r="L478" s="6" t="s">
        <v>1590</v>
      </c>
      <c r="M478" s="6" t="s">
        <v>3481</v>
      </c>
      <c r="N478" s="6" t="s">
        <v>1592</v>
      </c>
      <c r="O478" s="6" t="s">
        <v>1593</v>
      </c>
      <c r="P478" s="6" t="s">
        <v>1594</v>
      </c>
      <c r="Q478" s="7" t="s">
        <v>3478</v>
      </c>
      <c r="S478" s="6" t="s">
        <v>1595</v>
      </c>
      <c r="T478" s="6" t="s">
        <v>1596</v>
      </c>
    </row>
    <row r="479">
      <c r="A479" s="7" t="s">
        <v>3179</v>
      </c>
      <c r="B479" s="6" t="s">
        <v>1581</v>
      </c>
      <c r="C479" s="6" t="s">
        <v>1582</v>
      </c>
      <c r="D479" s="7" t="s">
        <v>3478</v>
      </c>
      <c r="E479" s="6" t="s">
        <v>2766</v>
      </c>
      <c r="F479" s="6" t="s">
        <v>3486</v>
      </c>
      <c r="G479" s="6" t="str">
        <f>IFERROR(__xludf.DUMMYFUNCTION("FILTER(RAW_met_lieux_inclusion_numeriq!B:B,RAW_met_lieux_inclusion_numeriq!B:B=F479)"),"#N/A")</f>
        <v>#N/A</v>
      </c>
      <c r="H479" s="6" t="s">
        <v>3487</v>
      </c>
      <c r="I479" s="6" t="s">
        <v>3209</v>
      </c>
      <c r="J479" s="7" t="s">
        <v>1698</v>
      </c>
      <c r="K479" s="6" t="s">
        <v>1589</v>
      </c>
      <c r="L479" s="6" t="s">
        <v>1590</v>
      </c>
      <c r="M479" s="6" t="s">
        <v>3481</v>
      </c>
      <c r="N479" s="6" t="s">
        <v>1592</v>
      </c>
      <c r="O479" s="6" t="s">
        <v>1593</v>
      </c>
      <c r="P479" s="6" t="s">
        <v>1594</v>
      </c>
      <c r="Q479" s="7" t="s">
        <v>3478</v>
      </c>
      <c r="S479" s="6" t="s">
        <v>1595</v>
      </c>
      <c r="T479" s="6" t="s">
        <v>1596</v>
      </c>
    </row>
    <row r="480">
      <c r="A480" s="7" t="s">
        <v>3179</v>
      </c>
      <c r="B480" s="6" t="s">
        <v>1581</v>
      </c>
      <c r="C480" s="6" t="s">
        <v>1582</v>
      </c>
      <c r="D480" s="7" t="s">
        <v>2783</v>
      </c>
      <c r="E480" s="6" t="s">
        <v>3488</v>
      </c>
      <c r="F480" s="6" t="s">
        <v>3489</v>
      </c>
      <c r="G480" s="6" t="str">
        <f>IFERROR(__xludf.DUMMYFUNCTION("FILTER(RAW_met_lieux_inclusion_numeriq!B:B,RAW_met_lieux_inclusion_numeriq!B:B=F480)"),"#N/A")</f>
        <v>#N/A</v>
      </c>
      <c r="H480" s="6" t="s">
        <v>3487</v>
      </c>
      <c r="I480" s="6" t="s">
        <v>3391</v>
      </c>
      <c r="J480" s="7" t="s">
        <v>3490</v>
      </c>
      <c r="K480" s="6" t="s">
        <v>1589</v>
      </c>
      <c r="L480" s="6" t="s">
        <v>1603</v>
      </c>
      <c r="M480" s="6" t="s">
        <v>3491</v>
      </c>
      <c r="N480" s="6" t="s">
        <v>1592</v>
      </c>
      <c r="O480" s="6" t="s">
        <v>1593</v>
      </c>
      <c r="P480" s="6" t="s">
        <v>1594</v>
      </c>
      <c r="Q480" s="7" t="s">
        <v>2783</v>
      </c>
      <c r="S480" s="6" t="s">
        <v>1595</v>
      </c>
      <c r="T480" s="6" t="s">
        <v>1596</v>
      </c>
    </row>
    <row r="481">
      <c r="A481" s="7" t="s">
        <v>3179</v>
      </c>
      <c r="B481" s="6" t="s">
        <v>1581</v>
      </c>
      <c r="C481" s="6" t="s">
        <v>1582</v>
      </c>
      <c r="D481" s="7" t="s">
        <v>2783</v>
      </c>
      <c r="E481" s="6" t="s">
        <v>3492</v>
      </c>
      <c r="F481" s="6" t="s">
        <v>2488</v>
      </c>
      <c r="G481" s="6" t="str">
        <f>IFERROR(__xludf.DUMMYFUNCTION("FILTER(RAW_met_lieux_inclusion_numeriq!B:B,RAW_met_lieux_inclusion_numeriq!B:B=F481)"),"#N/A")</f>
        <v>#N/A</v>
      </c>
      <c r="H481" s="6" t="s">
        <v>3493</v>
      </c>
      <c r="I481" s="6" t="s">
        <v>3391</v>
      </c>
      <c r="J481" s="7" t="s">
        <v>3338</v>
      </c>
      <c r="K481" s="6" t="s">
        <v>1589</v>
      </c>
      <c r="L481" s="6" t="s">
        <v>1603</v>
      </c>
      <c r="M481" s="6" t="s">
        <v>3491</v>
      </c>
      <c r="N481" s="6" t="s">
        <v>1592</v>
      </c>
      <c r="O481" s="6" t="s">
        <v>1593</v>
      </c>
      <c r="P481" s="6" t="s">
        <v>1594</v>
      </c>
      <c r="Q481" s="7" t="s">
        <v>2783</v>
      </c>
      <c r="S481" s="6" t="s">
        <v>1595</v>
      </c>
      <c r="T481" s="6" t="s">
        <v>1634</v>
      </c>
    </row>
    <row r="482">
      <c r="A482" s="7" t="s">
        <v>3215</v>
      </c>
      <c r="B482" s="6" t="s">
        <v>1581</v>
      </c>
      <c r="C482" s="6" t="s">
        <v>1582</v>
      </c>
      <c r="D482" s="7" t="s">
        <v>3179</v>
      </c>
      <c r="E482" s="6" t="s">
        <v>3494</v>
      </c>
      <c r="F482" s="6" t="s">
        <v>3495</v>
      </c>
      <c r="G482" s="6" t="str">
        <f>IFERROR(__xludf.DUMMYFUNCTION("FILTER(RAW_met_lieux_inclusion_numeriq!B:B,RAW_met_lieux_inclusion_numeriq!B:B=F482)"),"#N/A")</f>
        <v>#N/A</v>
      </c>
      <c r="H482" s="6" t="s">
        <v>1920</v>
      </c>
      <c r="I482" s="6" t="s">
        <v>3496</v>
      </c>
      <c r="J482" s="7" t="s">
        <v>2127</v>
      </c>
      <c r="K482" s="6" t="s">
        <v>1589</v>
      </c>
      <c r="L482" s="6" t="s">
        <v>1603</v>
      </c>
      <c r="M482" s="6" t="s">
        <v>3497</v>
      </c>
      <c r="N482" s="6" t="s">
        <v>1592</v>
      </c>
      <c r="O482" s="6" t="s">
        <v>1593</v>
      </c>
      <c r="P482" s="6" t="s">
        <v>1594</v>
      </c>
      <c r="Q482" s="7" t="s">
        <v>3179</v>
      </c>
      <c r="S482" s="6" t="s">
        <v>1595</v>
      </c>
      <c r="T482" s="6" t="s">
        <v>1634</v>
      </c>
    </row>
    <row r="483">
      <c r="A483" s="7" t="s">
        <v>3215</v>
      </c>
      <c r="B483" s="6" t="s">
        <v>1581</v>
      </c>
      <c r="C483" s="6" t="s">
        <v>1582</v>
      </c>
      <c r="D483" s="7" t="s">
        <v>3478</v>
      </c>
      <c r="E483" s="6" t="s">
        <v>3479</v>
      </c>
      <c r="F483" s="6" t="s">
        <v>2969</v>
      </c>
      <c r="G483" s="6" t="str">
        <f>IFERROR(__xludf.DUMMYFUNCTION("FILTER(RAW_met_lieux_inclusion_numeriq!B:B,RAW_met_lieux_inclusion_numeriq!B:B=F483)"),"#N/A")</f>
        <v>#N/A</v>
      </c>
      <c r="H483" s="6" t="s">
        <v>2970</v>
      </c>
      <c r="I483" s="6" t="s">
        <v>3209</v>
      </c>
      <c r="J483" s="7" t="s">
        <v>3498</v>
      </c>
      <c r="K483" s="6" t="s">
        <v>1589</v>
      </c>
      <c r="L483" s="6" t="s">
        <v>1590</v>
      </c>
      <c r="M483" s="6" t="s">
        <v>3481</v>
      </c>
      <c r="N483" s="6" t="s">
        <v>1592</v>
      </c>
      <c r="O483" s="6" t="s">
        <v>1593</v>
      </c>
      <c r="P483" s="6" t="s">
        <v>1594</v>
      </c>
      <c r="Q483" s="7" t="s">
        <v>3478</v>
      </c>
      <c r="S483" s="6" t="s">
        <v>1595</v>
      </c>
      <c r="T483" s="6" t="s">
        <v>1605</v>
      </c>
    </row>
    <row r="484">
      <c r="A484" s="7" t="s">
        <v>3215</v>
      </c>
      <c r="B484" s="6" t="s">
        <v>1581</v>
      </c>
      <c r="C484" s="6" t="s">
        <v>1582</v>
      </c>
      <c r="D484" s="7" t="s">
        <v>3499</v>
      </c>
      <c r="E484" s="6" t="s">
        <v>3200</v>
      </c>
      <c r="F484" s="6" t="s">
        <v>1977</v>
      </c>
      <c r="G484" s="6" t="str">
        <f>IFERROR(__xludf.DUMMYFUNCTION("FILTER(RAW_met_lieux_inclusion_numeriq!B:B,RAW_met_lieux_inclusion_numeriq!B:B=F484)"),"#N/A")</f>
        <v>#N/A</v>
      </c>
      <c r="H484" s="6" t="s">
        <v>2623</v>
      </c>
      <c r="I484" s="6" t="s">
        <v>3500</v>
      </c>
      <c r="J484" s="7" t="s">
        <v>1980</v>
      </c>
      <c r="K484" s="6" t="s">
        <v>1589</v>
      </c>
      <c r="L484" s="6" t="s">
        <v>1603</v>
      </c>
      <c r="M484" s="6" t="s">
        <v>3501</v>
      </c>
      <c r="N484" s="6" t="s">
        <v>1592</v>
      </c>
      <c r="O484" s="6" t="s">
        <v>1593</v>
      </c>
      <c r="P484" s="6" t="s">
        <v>1594</v>
      </c>
      <c r="Q484" s="7" t="s">
        <v>3499</v>
      </c>
      <c r="S484" s="6" t="s">
        <v>1595</v>
      </c>
      <c r="T484" s="6" t="s">
        <v>1596</v>
      </c>
    </row>
    <row r="485">
      <c r="A485" s="7" t="s">
        <v>3215</v>
      </c>
      <c r="B485" s="6" t="s">
        <v>1581</v>
      </c>
      <c r="C485" s="6" t="s">
        <v>1582</v>
      </c>
      <c r="D485" s="7" t="s">
        <v>3502</v>
      </c>
      <c r="E485" s="6" t="s">
        <v>3503</v>
      </c>
      <c r="F485" s="6" t="s">
        <v>1914</v>
      </c>
      <c r="G485" s="6" t="str">
        <f>IFERROR(__xludf.DUMMYFUNCTION("FILTER(RAW_met_lieux_inclusion_numeriq!B:B,RAW_met_lieux_inclusion_numeriq!B:B=F485)"),"#N/A")</f>
        <v>#N/A</v>
      </c>
      <c r="H485" s="6" t="s">
        <v>1915</v>
      </c>
      <c r="I485" s="6" t="s">
        <v>3190</v>
      </c>
      <c r="J485" s="7" t="s">
        <v>3504</v>
      </c>
      <c r="K485" s="6" t="s">
        <v>1589</v>
      </c>
      <c r="L485" s="6" t="s">
        <v>1603</v>
      </c>
      <c r="M485" s="6" t="s">
        <v>3505</v>
      </c>
      <c r="N485" s="6" t="s">
        <v>1592</v>
      </c>
      <c r="O485" s="6" t="s">
        <v>1593</v>
      </c>
      <c r="P485" s="6" t="s">
        <v>1594</v>
      </c>
      <c r="Q485" s="7" t="s">
        <v>3502</v>
      </c>
      <c r="S485" s="6" t="s">
        <v>1595</v>
      </c>
      <c r="T485" s="6" t="s">
        <v>1605</v>
      </c>
    </row>
    <row r="486">
      <c r="A486" s="7" t="s">
        <v>3215</v>
      </c>
      <c r="B486" s="6" t="s">
        <v>1581</v>
      </c>
      <c r="C486" s="6" t="s">
        <v>1582</v>
      </c>
      <c r="D486" s="7" t="s">
        <v>3478</v>
      </c>
      <c r="E486" s="6" t="s">
        <v>3479</v>
      </c>
      <c r="F486" s="6" t="s">
        <v>1821</v>
      </c>
      <c r="G486" s="6" t="str">
        <f>IFERROR(__xludf.DUMMYFUNCTION("FILTER(RAW_met_lieux_inclusion_numeriq!B:B,RAW_met_lieux_inclusion_numeriq!B:B=F486)"),"#N/A")</f>
        <v>#N/A</v>
      </c>
      <c r="H486" s="6" t="s">
        <v>3123</v>
      </c>
      <c r="I486" s="6" t="s">
        <v>3190</v>
      </c>
      <c r="J486" s="7" t="s">
        <v>3506</v>
      </c>
      <c r="K486" s="6" t="s">
        <v>1589</v>
      </c>
      <c r="L486" s="6" t="s">
        <v>1590</v>
      </c>
      <c r="M486" s="6" t="s">
        <v>3481</v>
      </c>
      <c r="N486" s="6" t="s">
        <v>1592</v>
      </c>
      <c r="O486" s="6" t="s">
        <v>1593</v>
      </c>
      <c r="P486" s="6" t="s">
        <v>1594</v>
      </c>
      <c r="Q486" s="7" t="s">
        <v>3478</v>
      </c>
      <c r="S486" s="6" t="s">
        <v>1595</v>
      </c>
      <c r="T486" s="6" t="s">
        <v>1596</v>
      </c>
    </row>
    <row r="487">
      <c r="A487" s="7" t="s">
        <v>3215</v>
      </c>
      <c r="B487" s="6" t="s">
        <v>1581</v>
      </c>
      <c r="C487" s="6" t="s">
        <v>1582</v>
      </c>
      <c r="D487" s="7" t="s">
        <v>3507</v>
      </c>
      <c r="E487" s="6" t="s">
        <v>3228</v>
      </c>
      <c r="F487" s="6" t="s">
        <v>3508</v>
      </c>
      <c r="G487" s="6" t="str">
        <f>IFERROR(__xludf.DUMMYFUNCTION("FILTER(RAW_met_lieux_inclusion_numeriq!B:B,RAW_met_lieux_inclusion_numeriq!B:B=F487)"),"#N/A")</f>
        <v>#N/A</v>
      </c>
      <c r="H487" s="6" t="s">
        <v>1723</v>
      </c>
      <c r="I487" s="6" t="s">
        <v>3190</v>
      </c>
      <c r="J487" s="7" t="s">
        <v>1752</v>
      </c>
      <c r="K487" s="6" t="s">
        <v>1589</v>
      </c>
      <c r="L487" s="6" t="s">
        <v>1603</v>
      </c>
      <c r="M487" s="6" t="s">
        <v>3509</v>
      </c>
      <c r="N487" s="6" t="s">
        <v>1592</v>
      </c>
      <c r="O487" s="6" t="s">
        <v>1593</v>
      </c>
      <c r="P487" s="6" t="s">
        <v>1594</v>
      </c>
      <c r="Q487" s="7" t="s">
        <v>3507</v>
      </c>
      <c r="S487" s="6" t="s">
        <v>1595</v>
      </c>
      <c r="T487" s="6" t="s">
        <v>1605</v>
      </c>
    </row>
    <row r="488">
      <c r="A488" s="7" t="s">
        <v>3215</v>
      </c>
      <c r="B488" s="6" t="s">
        <v>1581</v>
      </c>
      <c r="C488" s="6" t="s">
        <v>1582</v>
      </c>
      <c r="D488" s="7" t="s">
        <v>3510</v>
      </c>
      <c r="E488" s="6" t="s">
        <v>3511</v>
      </c>
      <c r="F488" s="6" t="s">
        <v>1761</v>
      </c>
      <c r="G488" s="6" t="str">
        <f>IFERROR(__xludf.DUMMYFUNCTION("FILTER(RAW_met_lieux_inclusion_numeriq!B:B,RAW_met_lieux_inclusion_numeriq!B:B=F488)"),"#N/A")</f>
        <v>#N/A</v>
      </c>
      <c r="H488" s="6" t="s">
        <v>1762</v>
      </c>
      <c r="I488" s="6" t="s">
        <v>3190</v>
      </c>
      <c r="J488" s="7" t="s">
        <v>3512</v>
      </c>
      <c r="K488" s="6" t="s">
        <v>1589</v>
      </c>
      <c r="L488" s="6" t="s">
        <v>1603</v>
      </c>
      <c r="M488" s="6" t="s">
        <v>3513</v>
      </c>
      <c r="N488" s="6" t="s">
        <v>1592</v>
      </c>
      <c r="O488" s="6" t="s">
        <v>1593</v>
      </c>
      <c r="P488" s="6" t="s">
        <v>1594</v>
      </c>
      <c r="Q488" s="7" t="s">
        <v>3510</v>
      </c>
      <c r="S488" s="6" t="s">
        <v>1595</v>
      </c>
      <c r="T488" s="6" t="s">
        <v>1605</v>
      </c>
    </row>
    <row r="489">
      <c r="A489" s="7" t="s">
        <v>3215</v>
      </c>
      <c r="B489" s="6" t="s">
        <v>1581</v>
      </c>
      <c r="C489" s="6" t="s">
        <v>1582</v>
      </c>
      <c r="D489" s="7" t="s">
        <v>3514</v>
      </c>
      <c r="E489" s="6" t="s">
        <v>3200</v>
      </c>
      <c r="F489" s="6" t="s">
        <v>1668</v>
      </c>
      <c r="G489" s="6" t="str">
        <f>IFERROR(__xludf.DUMMYFUNCTION("FILTER(RAW_met_lieux_inclusion_numeriq!B:B,RAW_met_lieux_inclusion_numeriq!B:B=F489)"),"#N/A")</f>
        <v>#N/A</v>
      </c>
      <c r="H489" s="6" t="s">
        <v>2646</v>
      </c>
      <c r="I489" s="6" t="s">
        <v>3515</v>
      </c>
      <c r="J489" s="7" t="s">
        <v>1671</v>
      </c>
      <c r="K489" s="6" t="s">
        <v>1589</v>
      </c>
      <c r="L489" s="6" t="s">
        <v>1603</v>
      </c>
      <c r="M489" s="6" t="s">
        <v>3516</v>
      </c>
      <c r="N489" s="6" t="s">
        <v>1592</v>
      </c>
      <c r="O489" s="6" t="s">
        <v>1593</v>
      </c>
      <c r="P489" s="6" t="s">
        <v>1594</v>
      </c>
      <c r="Q489" s="7" t="s">
        <v>3514</v>
      </c>
      <c r="S489" s="6" t="s">
        <v>1595</v>
      </c>
      <c r="T489" s="6" t="s">
        <v>1596</v>
      </c>
    </row>
    <row r="490">
      <c r="A490" s="7" t="s">
        <v>3215</v>
      </c>
      <c r="B490" s="6" t="s">
        <v>1581</v>
      </c>
      <c r="C490" s="6" t="s">
        <v>1582</v>
      </c>
      <c r="D490" s="7" t="s">
        <v>3235</v>
      </c>
      <c r="E490" s="6" t="s">
        <v>3517</v>
      </c>
      <c r="F490" s="6" t="s">
        <v>3518</v>
      </c>
      <c r="G490" s="6" t="str">
        <f>IFERROR(__xludf.DUMMYFUNCTION("FILTER(RAW_met_lieux_inclusion_numeriq!B:B,RAW_met_lieux_inclusion_numeriq!B:B=F490)"),"#N/A")</f>
        <v>#N/A</v>
      </c>
      <c r="H490" s="6" t="s">
        <v>3519</v>
      </c>
      <c r="I490" s="6" t="s">
        <v>3391</v>
      </c>
      <c r="J490" s="7" t="s">
        <v>3520</v>
      </c>
      <c r="K490" s="6" t="s">
        <v>1589</v>
      </c>
      <c r="L490" s="6" t="s">
        <v>1603</v>
      </c>
      <c r="M490" s="6" t="s">
        <v>3238</v>
      </c>
      <c r="N490" s="6" t="s">
        <v>1592</v>
      </c>
      <c r="O490" s="6" t="s">
        <v>1593</v>
      </c>
      <c r="P490" s="6" t="s">
        <v>1594</v>
      </c>
      <c r="Q490" s="7" t="s">
        <v>3235</v>
      </c>
      <c r="S490" s="6" t="s">
        <v>1595</v>
      </c>
      <c r="T490" s="6" t="s">
        <v>1634</v>
      </c>
    </row>
    <row r="491">
      <c r="A491" s="7" t="s">
        <v>3215</v>
      </c>
      <c r="B491" s="6" t="s">
        <v>1581</v>
      </c>
      <c r="C491" s="6" t="s">
        <v>1582</v>
      </c>
      <c r="D491" s="7" t="s">
        <v>3521</v>
      </c>
      <c r="E491" s="6" t="s">
        <v>3522</v>
      </c>
      <c r="F491" s="6" t="s">
        <v>3523</v>
      </c>
      <c r="G491" s="6" t="str">
        <f>IFERROR(__xludf.DUMMYFUNCTION("FILTER(RAW_met_lieux_inclusion_numeriq!B:B,RAW_met_lieux_inclusion_numeriq!B:B=F491)"),"#N/A")</f>
        <v>#N/A</v>
      </c>
      <c r="H491" s="6" t="s">
        <v>2159</v>
      </c>
      <c r="I491" s="6" t="s">
        <v>3190</v>
      </c>
      <c r="J491" s="7" t="s">
        <v>1714</v>
      </c>
      <c r="K491" s="6" t="s">
        <v>1589</v>
      </c>
      <c r="L491" s="6" t="s">
        <v>1603</v>
      </c>
      <c r="M491" s="6" t="s">
        <v>3524</v>
      </c>
      <c r="N491" s="6" t="s">
        <v>1592</v>
      </c>
      <c r="O491" s="6" t="s">
        <v>1593</v>
      </c>
      <c r="P491" s="6" t="s">
        <v>1594</v>
      </c>
      <c r="Q491" s="7" t="s">
        <v>3521</v>
      </c>
      <c r="S491" s="6" t="s">
        <v>1595</v>
      </c>
      <c r="T491" s="6" t="s">
        <v>1596</v>
      </c>
    </row>
    <row r="492">
      <c r="A492" s="7" t="s">
        <v>3215</v>
      </c>
      <c r="B492" s="6" t="s">
        <v>1581</v>
      </c>
      <c r="C492" s="6" t="s">
        <v>1582</v>
      </c>
      <c r="D492" s="7" t="s">
        <v>3239</v>
      </c>
      <c r="E492" s="6" t="s">
        <v>3228</v>
      </c>
      <c r="F492" s="6" t="s">
        <v>3525</v>
      </c>
      <c r="G492" s="6" t="str">
        <f>IFERROR(__xludf.DUMMYFUNCTION("FILTER(RAW_met_lieux_inclusion_numeriq!B:B,RAW_met_lieux_inclusion_numeriq!B:B=F492)"),"#N/A")</f>
        <v>#N/A</v>
      </c>
      <c r="H492" s="6" t="s">
        <v>3526</v>
      </c>
      <c r="I492" s="6" t="s">
        <v>3190</v>
      </c>
      <c r="J492" s="7" t="s">
        <v>1992</v>
      </c>
      <c r="K492" s="6" t="s">
        <v>1589</v>
      </c>
      <c r="L492" s="6" t="s">
        <v>1603</v>
      </c>
      <c r="M492" s="6" t="s">
        <v>3241</v>
      </c>
      <c r="N492" s="6" t="s">
        <v>1592</v>
      </c>
      <c r="O492" s="6" t="s">
        <v>1593</v>
      </c>
      <c r="P492" s="6" t="s">
        <v>1594</v>
      </c>
      <c r="Q492" s="7" t="s">
        <v>3239</v>
      </c>
      <c r="S492" s="6" t="s">
        <v>1595</v>
      </c>
      <c r="T492" s="6" t="s">
        <v>1596</v>
      </c>
    </row>
    <row r="493">
      <c r="A493" s="7" t="s">
        <v>3215</v>
      </c>
      <c r="B493" s="6" t="s">
        <v>1581</v>
      </c>
      <c r="C493" s="6" t="s">
        <v>1582</v>
      </c>
      <c r="D493" s="7" t="s">
        <v>3227</v>
      </c>
      <c r="E493" s="6" t="s">
        <v>3228</v>
      </c>
      <c r="F493" s="6" t="s">
        <v>1779</v>
      </c>
      <c r="G493" s="6" t="str">
        <f>IFERROR(__xludf.DUMMYFUNCTION("FILTER(RAW_met_lieux_inclusion_numeriq!B:B,RAW_met_lieux_inclusion_numeriq!B:B=F493)"),"#N/A")</f>
        <v>#N/A</v>
      </c>
      <c r="H493" s="6" t="s">
        <v>3120</v>
      </c>
      <c r="I493" s="6" t="s">
        <v>3190</v>
      </c>
      <c r="J493" s="7" t="s">
        <v>3527</v>
      </c>
      <c r="K493" s="6" t="s">
        <v>1589</v>
      </c>
      <c r="L493" s="6" t="s">
        <v>1603</v>
      </c>
      <c r="M493" s="6" t="s">
        <v>3230</v>
      </c>
      <c r="N493" s="6" t="s">
        <v>1592</v>
      </c>
      <c r="O493" s="6" t="s">
        <v>1593</v>
      </c>
      <c r="P493" s="6" t="s">
        <v>1594</v>
      </c>
      <c r="Q493" s="7" t="s">
        <v>3227</v>
      </c>
      <c r="S493" s="6" t="s">
        <v>1595</v>
      </c>
      <c r="T493" s="6" t="s">
        <v>1605</v>
      </c>
    </row>
    <row r="494">
      <c r="A494" s="7" t="s">
        <v>3215</v>
      </c>
      <c r="B494" s="6" t="s">
        <v>1581</v>
      </c>
      <c r="C494" s="6" t="s">
        <v>1582</v>
      </c>
      <c r="D494" s="7" t="s">
        <v>3248</v>
      </c>
      <c r="E494" s="6" t="s">
        <v>3228</v>
      </c>
      <c r="F494" s="6" t="s">
        <v>3528</v>
      </c>
      <c r="G494" s="6" t="str">
        <f>IFERROR(__xludf.DUMMYFUNCTION("FILTER(RAW_met_lieux_inclusion_numeriq!B:B,RAW_met_lieux_inclusion_numeriq!B:B=F494)"),"#N/A")</f>
        <v>#N/A</v>
      </c>
      <c r="H494" s="6" t="s">
        <v>3529</v>
      </c>
      <c r="I494" s="6" t="s">
        <v>3190</v>
      </c>
      <c r="J494" s="7" t="s">
        <v>1992</v>
      </c>
      <c r="K494" s="6" t="s">
        <v>1589</v>
      </c>
      <c r="L494" s="6" t="s">
        <v>1603</v>
      </c>
      <c r="M494" s="6" t="s">
        <v>3251</v>
      </c>
      <c r="N494" s="6" t="s">
        <v>1592</v>
      </c>
      <c r="O494" s="6" t="s">
        <v>1593</v>
      </c>
      <c r="P494" s="6" t="s">
        <v>1594</v>
      </c>
      <c r="Q494" s="7" t="s">
        <v>3248</v>
      </c>
      <c r="S494" s="6" t="s">
        <v>1595</v>
      </c>
      <c r="T494" s="6" t="s">
        <v>1596</v>
      </c>
    </row>
    <row r="495">
      <c r="A495" s="7" t="s">
        <v>3215</v>
      </c>
      <c r="B495" s="6" t="s">
        <v>1581</v>
      </c>
      <c r="C495" s="6" t="s">
        <v>1582</v>
      </c>
      <c r="D495" s="7" t="s">
        <v>3530</v>
      </c>
      <c r="E495" s="6" t="s">
        <v>3531</v>
      </c>
      <c r="F495" s="6" t="s">
        <v>3532</v>
      </c>
      <c r="G495" s="6" t="str">
        <f>IFERROR(__xludf.DUMMYFUNCTION("FILTER(RAW_met_lieux_inclusion_numeriq!B:B,RAW_met_lieux_inclusion_numeriq!B:B=F495)"),"#N/A")</f>
        <v>#N/A</v>
      </c>
      <c r="H495" s="6" t="s">
        <v>1689</v>
      </c>
      <c r="I495" s="6" t="s">
        <v>3190</v>
      </c>
      <c r="J495" s="7" t="s">
        <v>1690</v>
      </c>
      <c r="K495" s="6" t="s">
        <v>1589</v>
      </c>
      <c r="L495" s="6" t="s">
        <v>1603</v>
      </c>
      <c r="M495" s="6" t="s">
        <v>3533</v>
      </c>
      <c r="N495" s="6" t="s">
        <v>1592</v>
      </c>
      <c r="O495" s="6" t="s">
        <v>1593</v>
      </c>
      <c r="P495" s="6" t="s">
        <v>1594</v>
      </c>
      <c r="Q495" s="7" t="s">
        <v>3530</v>
      </c>
      <c r="S495" s="6" t="s">
        <v>1595</v>
      </c>
      <c r="T495" s="6" t="s">
        <v>1645</v>
      </c>
    </row>
    <row r="496">
      <c r="A496" s="7" t="s">
        <v>3215</v>
      </c>
      <c r="B496" s="6" t="s">
        <v>1581</v>
      </c>
      <c r="C496" s="6" t="s">
        <v>1582</v>
      </c>
      <c r="D496" s="7" t="s">
        <v>3227</v>
      </c>
      <c r="E496" s="6" t="s">
        <v>3534</v>
      </c>
      <c r="F496" s="6" t="s">
        <v>3535</v>
      </c>
      <c r="G496" s="6" t="str">
        <f>IFERROR(__xludf.DUMMYFUNCTION("FILTER(RAW_met_lieux_inclusion_numeriq!B:B,RAW_met_lieux_inclusion_numeriq!B:B=F496)"),"#N/A")</f>
        <v>#N/A</v>
      </c>
      <c r="H496" s="6" t="s">
        <v>3536</v>
      </c>
      <c r="I496" s="6" t="s">
        <v>3537</v>
      </c>
      <c r="J496" s="7" t="s">
        <v>1671</v>
      </c>
      <c r="K496" s="6" t="s">
        <v>1589</v>
      </c>
      <c r="L496" s="6" t="s">
        <v>1590</v>
      </c>
      <c r="M496" s="6" t="s">
        <v>3230</v>
      </c>
      <c r="N496" s="6" t="s">
        <v>1592</v>
      </c>
      <c r="O496" s="6" t="s">
        <v>1593</v>
      </c>
      <c r="P496" s="6" t="s">
        <v>1594</v>
      </c>
      <c r="Q496" s="7" t="s">
        <v>3227</v>
      </c>
      <c r="S496" s="6" t="s">
        <v>1595</v>
      </c>
      <c r="T496" s="6" t="s">
        <v>1596</v>
      </c>
    </row>
    <row r="497">
      <c r="A497" s="7" t="s">
        <v>3215</v>
      </c>
      <c r="B497" s="6" t="s">
        <v>1581</v>
      </c>
      <c r="C497" s="6" t="s">
        <v>1582</v>
      </c>
      <c r="D497" s="7" t="s">
        <v>3538</v>
      </c>
      <c r="E497" s="6" t="s">
        <v>3228</v>
      </c>
      <c r="F497" s="6" t="s">
        <v>3539</v>
      </c>
      <c r="G497" s="6" t="str">
        <f>IFERROR(__xludf.DUMMYFUNCTION("FILTER(RAW_met_lieux_inclusion_numeriq!B:B,RAW_met_lieux_inclusion_numeriq!B:B=F497)"),"#N/A")</f>
        <v>#N/A</v>
      </c>
      <c r="H497" s="6" t="s">
        <v>1773</v>
      </c>
      <c r="I497" s="6" t="s">
        <v>3190</v>
      </c>
      <c r="J497" s="7" t="s">
        <v>3540</v>
      </c>
      <c r="K497" s="6" t="s">
        <v>1589</v>
      </c>
      <c r="L497" s="6" t="s">
        <v>1603</v>
      </c>
      <c r="M497" s="6" t="s">
        <v>3541</v>
      </c>
      <c r="N497" s="6" t="s">
        <v>1592</v>
      </c>
      <c r="O497" s="6" t="s">
        <v>1593</v>
      </c>
      <c r="P497" s="6" t="s">
        <v>1594</v>
      </c>
      <c r="Q497" s="7" t="s">
        <v>3538</v>
      </c>
      <c r="S497" s="6" t="s">
        <v>1595</v>
      </c>
      <c r="T497" s="6" t="s">
        <v>1634</v>
      </c>
    </row>
    <row r="498">
      <c r="A498" s="7" t="s">
        <v>3261</v>
      </c>
      <c r="B498" s="6" t="s">
        <v>1581</v>
      </c>
      <c r="C498" s="6" t="s">
        <v>1582</v>
      </c>
      <c r="D498" s="7" t="s">
        <v>3542</v>
      </c>
      <c r="E498" s="6" t="s">
        <v>3543</v>
      </c>
      <c r="F498" s="6" t="s">
        <v>3544</v>
      </c>
      <c r="G498" s="6" t="str">
        <f>IFERROR(__xludf.DUMMYFUNCTION("FILTER(RAW_met_lieux_inclusion_numeriq!B:B,RAW_met_lieux_inclusion_numeriq!B:B=F498)"),"#N/A")</f>
        <v>#N/A</v>
      </c>
      <c r="H498" s="6" t="s">
        <v>3545</v>
      </c>
      <c r="I498" s="6" t="s">
        <v>3378</v>
      </c>
      <c r="J498" s="7" t="s">
        <v>1897</v>
      </c>
      <c r="K498" s="6" t="s">
        <v>1589</v>
      </c>
      <c r="L498" s="6" t="s">
        <v>1603</v>
      </c>
      <c r="M498" s="6" t="s">
        <v>3546</v>
      </c>
      <c r="N498" s="6" t="s">
        <v>1592</v>
      </c>
      <c r="O498" s="6" t="s">
        <v>1593</v>
      </c>
      <c r="P498" s="6" t="s">
        <v>1594</v>
      </c>
      <c r="Q498" s="7" t="s">
        <v>3542</v>
      </c>
      <c r="S498" s="6" t="s">
        <v>1595</v>
      </c>
      <c r="T498" s="6" t="s">
        <v>1645</v>
      </c>
    </row>
    <row r="499">
      <c r="A499" s="7" t="s">
        <v>3261</v>
      </c>
      <c r="B499" s="6" t="s">
        <v>1581</v>
      </c>
      <c r="C499" s="6" t="s">
        <v>1582</v>
      </c>
      <c r="D499" s="7" t="s">
        <v>3547</v>
      </c>
      <c r="E499" s="6" t="s">
        <v>3548</v>
      </c>
      <c r="F499" s="6" t="s">
        <v>3549</v>
      </c>
      <c r="G499" s="6" t="str">
        <f>IFERROR(__xludf.DUMMYFUNCTION("FILTER(RAW_met_lieux_inclusion_numeriq!B:B,RAW_met_lieux_inclusion_numeriq!B:B=F499)"),"#N/A")</f>
        <v>#N/A</v>
      </c>
      <c r="H499" s="6" t="s">
        <v>3550</v>
      </c>
      <c r="I499" s="6" t="s">
        <v>3190</v>
      </c>
      <c r="J499" s="7" t="s">
        <v>2854</v>
      </c>
      <c r="K499" s="6" t="s">
        <v>1589</v>
      </c>
      <c r="L499" s="6" t="s">
        <v>1603</v>
      </c>
      <c r="M499" s="6" t="s">
        <v>3551</v>
      </c>
      <c r="N499" s="6" t="s">
        <v>1592</v>
      </c>
      <c r="O499" s="6" t="s">
        <v>1593</v>
      </c>
      <c r="P499" s="6" t="s">
        <v>1594</v>
      </c>
      <c r="Q499" s="7" t="s">
        <v>3547</v>
      </c>
      <c r="S499" s="6" t="s">
        <v>1595</v>
      </c>
      <c r="T499" s="6" t="s">
        <v>1605</v>
      </c>
    </row>
    <row r="500">
      <c r="A500" s="7" t="s">
        <v>3261</v>
      </c>
      <c r="B500" s="6" t="s">
        <v>1581</v>
      </c>
      <c r="C500" s="6" t="s">
        <v>1582</v>
      </c>
      <c r="D500" s="7" t="s">
        <v>3272</v>
      </c>
      <c r="E500" s="6" t="s">
        <v>3273</v>
      </c>
      <c r="F500" s="6" t="s">
        <v>3274</v>
      </c>
      <c r="G500" s="6" t="str">
        <f>IFERROR(__xludf.DUMMYFUNCTION("FILTER(RAW_met_lieux_inclusion_numeriq!B:B,RAW_met_lieux_inclusion_numeriq!B:B=F500)"),"#N/A")</f>
        <v>#N/A</v>
      </c>
      <c r="H500" s="6" t="s">
        <v>2884</v>
      </c>
      <c r="I500" s="6" t="s">
        <v>3552</v>
      </c>
      <c r="J500" s="7" t="s">
        <v>1992</v>
      </c>
      <c r="K500" s="6" t="s">
        <v>1589</v>
      </c>
      <c r="L500" s="6" t="s">
        <v>1590</v>
      </c>
      <c r="M500" s="6" t="s">
        <v>3276</v>
      </c>
      <c r="N500" s="6" t="s">
        <v>1592</v>
      </c>
      <c r="O500" s="6" t="s">
        <v>1593</v>
      </c>
      <c r="P500" s="6" t="s">
        <v>1594</v>
      </c>
      <c r="Q500" s="7" t="s">
        <v>3272</v>
      </c>
      <c r="S500" s="6" t="s">
        <v>1595</v>
      </c>
      <c r="T500" s="6" t="s">
        <v>1596</v>
      </c>
    </row>
    <row r="501">
      <c r="A501" s="7" t="s">
        <v>3261</v>
      </c>
      <c r="B501" s="6" t="s">
        <v>1581</v>
      </c>
      <c r="C501" s="6" t="s">
        <v>1582</v>
      </c>
      <c r="D501" s="7" t="s">
        <v>3553</v>
      </c>
      <c r="E501" s="6" t="s">
        <v>3554</v>
      </c>
      <c r="F501" s="6" t="s">
        <v>3555</v>
      </c>
      <c r="G501" s="6" t="str">
        <f>IFERROR(__xludf.DUMMYFUNCTION("FILTER(RAW_met_lieux_inclusion_numeriq!B:B,RAW_met_lieux_inclusion_numeriq!B:B=F501)"),"#N/A")</f>
        <v>#N/A</v>
      </c>
      <c r="H501" s="6" t="s">
        <v>3138</v>
      </c>
      <c r="I501" s="6" t="s">
        <v>3556</v>
      </c>
      <c r="J501" s="7" t="s">
        <v>1651</v>
      </c>
      <c r="K501" s="6" t="s">
        <v>1589</v>
      </c>
      <c r="L501" s="6" t="s">
        <v>1603</v>
      </c>
      <c r="M501" s="6" t="s">
        <v>3557</v>
      </c>
      <c r="N501" s="6" t="s">
        <v>1592</v>
      </c>
      <c r="O501" s="6" t="s">
        <v>1593</v>
      </c>
      <c r="P501" s="6" t="s">
        <v>1594</v>
      </c>
      <c r="Q501" s="7" t="s">
        <v>3553</v>
      </c>
      <c r="S501" s="6" t="s">
        <v>1595</v>
      </c>
      <c r="T501" s="6" t="s">
        <v>1596</v>
      </c>
    </row>
    <row r="502">
      <c r="A502" s="7" t="s">
        <v>3261</v>
      </c>
      <c r="B502" s="6" t="s">
        <v>1581</v>
      </c>
      <c r="C502" s="6" t="s">
        <v>1582</v>
      </c>
      <c r="D502" s="7" t="s">
        <v>3283</v>
      </c>
      <c r="E502" s="6" t="s">
        <v>3558</v>
      </c>
      <c r="F502" s="6" t="s">
        <v>2151</v>
      </c>
      <c r="G502" s="6" t="str">
        <f>IFERROR(__xludf.DUMMYFUNCTION("FILTER(RAW_met_lieux_inclusion_numeriq!B:B,RAW_met_lieux_inclusion_numeriq!B:B=F502)"),"#N/A")</f>
        <v>#N/A</v>
      </c>
      <c r="H502" s="6" t="s">
        <v>2152</v>
      </c>
      <c r="I502" s="6" t="s">
        <v>3190</v>
      </c>
      <c r="J502" s="7" t="s">
        <v>1832</v>
      </c>
      <c r="K502" s="6" t="s">
        <v>1589</v>
      </c>
      <c r="L502" s="6" t="s">
        <v>1603</v>
      </c>
      <c r="M502" s="6" t="s">
        <v>3287</v>
      </c>
      <c r="N502" s="6" t="s">
        <v>1592</v>
      </c>
      <c r="O502" s="6" t="s">
        <v>1593</v>
      </c>
      <c r="P502" s="6" t="s">
        <v>1594</v>
      </c>
      <c r="Q502" s="7" t="s">
        <v>3283</v>
      </c>
      <c r="S502" s="6" t="s">
        <v>1595</v>
      </c>
      <c r="T502" s="6" t="s">
        <v>1605</v>
      </c>
    </row>
    <row r="503">
      <c r="A503" s="7" t="s">
        <v>3261</v>
      </c>
      <c r="B503" s="6" t="s">
        <v>1581</v>
      </c>
      <c r="C503" s="6" t="s">
        <v>1582</v>
      </c>
      <c r="D503" s="7" t="s">
        <v>3330</v>
      </c>
      <c r="E503" s="6" t="s">
        <v>3342</v>
      </c>
      <c r="F503" s="6" t="s">
        <v>1695</v>
      </c>
      <c r="G503" s="6" t="str">
        <f>IFERROR(__xludf.DUMMYFUNCTION("FILTER(RAW_met_lieux_inclusion_numeriq!B:B,RAW_met_lieux_inclusion_numeriq!B:B=F503)"),"#N/A")</f>
        <v>#N/A</v>
      </c>
      <c r="H503" s="6" t="s">
        <v>1696</v>
      </c>
      <c r="I503" s="6" t="s">
        <v>3141</v>
      </c>
      <c r="J503" s="7" t="s">
        <v>1949</v>
      </c>
      <c r="K503" s="6" t="s">
        <v>1589</v>
      </c>
      <c r="L503" s="6" t="s">
        <v>1603</v>
      </c>
      <c r="M503" s="6" t="s">
        <v>3334</v>
      </c>
      <c r="N503" s="6" t="s">
        <v>1592</v>
      </c>
      <c r="O503" s="6" t="s">
        <v>1593</v>
      </c>
      <c r="P503" s="6" t="s">
        <v>1594</v>
      </c>
      <c r="Q503" s="7" t="s">
        <v>3330</v>
      </c>
      <c r="S503" s="6" t="s">
        <v>1595</v>
      </c>
      <c r="T503" s="6" t="s">
        <v>1596</v>
      </c>
    </row>
    <row r="504">
      <c r="A504" s="7" t="s">
        <v>3261</v>
      </c>
      <c r="B504" s="6" t="s">
        <v>1581</v>
      </c>
      <c r="C504" s="6" t="s">
        <v>1582</v>
      </c>
      <c r="D504" s="7" t="s">
        <v>3216</v>
      </c>
      <c r="E504" s="6" t="s">
        <v>3479</v>
      </c>
      <c r="F504" s="6" t="s">
        <v>3559</v>
      </c>
      <c r="G504" s="6" t="str">
        <f>IFERROR(__xludf.DUMMYFUNCTION("FILTER(RAW_met_lieux_inclusion_numeriq!B:B,RAW_met_lieux_inclusion_numeriq!B:B=F504)"),"#N/A")</f>
        <v>#N/A</v>
      </c>
      <c r="H504" s="6" t="s">
        <v>3560</v>
      </c>
      <c r="I504" s="6" t="s">
        <v>3561</v>
      </c>
      <c r="J504" s="7" t="s">
        <v>2145</v>
      </c>
      <c r="K504" s="6" t="s">
        <v>1589</v>
      </c>
      <c r="L504" s="6" t="s">
        <v>1590</v>
      </c>
      <c r="M504" s="6" t="s">
        <v>3220</v>
      </c>
      <c r="N504" s="6" t="s">
        <v>1592</v>
      </c>
      <c r="O504" s="6" t="s">
        <v>1593</v>
      </c>
      <c r="P504" s="6" t="s">
        <v>1594</v>
      </c>
      <c r="Q504" s="7" t="s">
        <v>3216</v>
      </c>
      <c r="S504" s="6" t="s">
        <v>1595</v>
      </c>
      <c r="T504" s="6" t="s">
        <v>1596</v>
      </c>
    </row>
    <row r="505">
      <c r="A505" s="7" t="s">
        <v>3261</v>
      </c>
      <c r="B505" s="6" t="s">
        <v>1581</v>
      </c>
      <c r="C505" s="6" t="s">
        <v>1582</v>
      </c>
      <c r="D505" s="7" t="s">
        <v>3299</v>
      </c>
      <c r="E505" s="6" t="s">
        <v>3562</v>
      </c>
      <c r="F505" s="6" t="s">
        <v>3201</v>
      </c>
      <c r="G505" s="6" t="str">
        <f>IFERROR(__xludf.DUMMYFUNCTION("FILTER(RAW_met_lieux_inclusion_numeriq!B:B,RAW_met_lieux_inclusion_numeriq!B:B=F505)"),"#N/A")</f>
        <v>#N/A</v>
      </c>
      <c r="H505" s="6" t="s">
        <v>1682</v>
      </c>
      <c r="I505" s="6" t="s">
        <v>3563</v>
      </c>
      <c r="J505" s="7" t="s">
        <v>1992</v>
      </c>
      <c r="K505" s="6" t="s">
        <v>1589</v>
      </c>
      <c r="L505" s="6" t="s">
        <v>1603</v>
      </c>
      <c r="M505" s="6" t="s">
        <v>3303</v>
      </c>
      <c r="N505" s="6" t="s">
        <v>1592</v>
      </c>
      <c r="O505" s="6" t="s">
        <v>1593</v>
      </c>
      <c r="P505" s="6" t="s">
        <v>1594</v>
      </c>
      <c r="Q505" s="7" t="s">
        <v>3299</v>
      </c>
      <c r="S505" s="6" t="s">
        <v>1595</v>
      </c>
      <c r="T505" s="6" t="s">
        <v>1596</v>
      </c>
    </row>
    <row r="506">
      <c r="A506" s="7" t="s">
        <v>3261</v>
      </c>
      <c r="B506" s="6" t="s">
        <v>1581</v>
      </c>
      <c r="C506" s="6" t="s">
        <v>1582</v>
      </c>
      <c r="D506" s="7" t="s">
        <v>3319</v>
      </c>
      <c r="E506" s="6" t="s">
        <v>3300</v>
      </c>
      <c r="F506" s="6" t="s">
        <v>3559</v>
      </c>
      <c r="G506" s="6" t="str">
        <f>IFERROR(__xludf.DUMMYFUNCTION("FILTER(RAW_met_lieux_inclusion_numeriq!B:B,RAW_met_lieux_inclusion_numeriq!B:B=F506)"),"#N/A")</f>
        <v>#N/A</v>
      </c>
      <c r="H506" s="6" t="s">
        <v>3560</v>
      </c>
      <c r="I506" s="6" t="s">
        <v>3301</v>
      </c>
      <c r="J506" s="7" t="s">
        <v>3564</v>
      </c>
      <c r="K506" s="6" t="s">
        <v>1589</v>
      </c>
      <c r="L506" s="6" t="s">
        <v>1603</v>
      </c>
      <c r="M506" s="6" t="s">
        <v>3325</v>
      </c>
      <c r="N506" s="6" t="s">
        <v>1592</v>
      </c>
      <c r="O506" s="6" t="s">
        <v>1593</v>
      </c>
      <c r="P506" s="6" t="s">
        <v>1594</v>
      </c>
      <c r="Q506" s="7" t="s">
        <v>3319</v>
      </c>
      <c r="S506" s="6" t="s">
        <v>1595</v>
      </c>
      <c r="T506" s="6" t="s">
        <v>1605</v>
      </c>
    </row>
    <row r="507">
      <c r="A507" s="7" t="s">
        <v>3261</v>
      </c>
      <c r="B507" s="6" t="s">
        <v>1581</v>
      </c>
      <c r="C507" s="6" t="s">
        <v>1582</v>
      </c>
      <c r="D507" s="7" t="s">
        <v>3565</v>
      </c>
      <c r="E507" s="6" t="s">
        <v>3566</v>
      </c>
      <c r="F507" s="6" t="s">
        <v>1952</v>
      </c>
      <c r="G507" s="6" t="str">
        <f>IFERROR(__xludf.DUMMYFUNCTION("FILTER(RAW_met_lieux_inclusion_numeriq!B:B,RAW_met_lieux_inclusion_numeriq!B:B=F507)"),"#N/A")</f>
        <v>#N/A</v>
      </c>
      <c r="H507" s="6" t="s">
        <v>1953</v>
      </c>
      <c r="I507" s="6" t="s">
        <v>3567</v>
      </c>
      <c r="J507" s="7" t="s">
        <v>3512</v>
      </c>
      <c r="K507" s="6" t="s">
        <v>1589</v>
      </c>
      <c r="L507" s="6" t="s">
        <v>1603</v>
      </c>
      <c r="M507" s="6" t="s">
        <v>3568</v>
      </c>
      <c r="N507" s="6" t="s">
        <v>1592</v>
      </c>
      <c r="O507" s="6" t="s">
        <v>1593</v>
      </c>
      <c r="P507" s="6" t="s">
        <v>1594</v>
      </c>
      <c r="Q507" s="7" t="s">
        <v>3565</v>
      </c>
      <c r="S507" s="6" t="s">
        <v>1595</v>
      </c>
      <c r="T507" s="6" t="s">
        <v>1605</v>
      </c>
    </row>
    <row r="508">
      <c r="A508" s="7" t="s">
        <v>3261</v>
      </c>
      <c r="B508" s="6" t="s">
        <v>1581</v>
      </c>
      <c r="C508" s="6" t="s">
        <v>1582</v>
      </c>
      <c r="D508" s="7" t="s">
        <v>3299</v>
      </c>
      <c r="E508" s="6" t="s">
        <v>3300</v>
      </c>
      <c r="F508" s="6" t="s">
        <v>3569</v>
      </c>
      <c r="G508" s="6" t="str">
        <f>IFERROR(__xludf.DUMMYFUNCTION("FILTER(RAW_met_lieux_inclusion_numeriq!B:B,RAW_met_lieux_inclusion_numeriq!B:B=F508)"),"PLIE Portes du Sud")</f>
        <v>PLIE Portes du Sud</v>
      </c>
      <c r="H508" s="6" t="s">
        <v>3570</v>
      </c>
      <c r="I508" s="6" t="s">
        <v>3301</v>
      </c>
      <c r="J508" s="7" t="s">
        <v>3571</v>
      </c>
      <c r="K508" s="6" t="s">
        <v>1589</v>
      </c>
      <c r="L508" s="6" t="s">
        <v>1603</v>
      </c>
      <c r="M508" s="6" t="s">
        <v>3303</v>
      </c>
      <c r="N508" s="6" t="s">
        <v>1592</v>
      </c>
      <c r="O508" s="6" t="s">
        <v>1593</v>
      </c>
      <c r="P508" s="6" t="s">
        <v>1594</v>
      </c>
      <c r="Q508" s="7" t="s">
        <v>3299</v>
      </c>
      <c r="S508" s="6" t="s">
        <v>1595</v>
      </c>
      <c r="T508" s="6" t="s">
        <v>1596</v>
      </c>
    </row>
    <row r="509">
      <c r="A509" s="7" t="s">
        <v>3261</v>
      </c>
      <c r="B509" s="6" t="s">
        <v>1581</v>
      </c>
      <c r="C509" s="6" t="s">
        <v>1582</v>
      </c>
      <c r="D509" s="7" t="s">
        <v>3314</v>
      </c>
      <c r="E509" s="6" t="s">
        <v>3300</v>
      </c>
      <c r="F509" s="6" t="s">
        <v>3112</v>
      </c>
      <c r="G509" s="6" t="str">
        <f>IFERROR(__xludf.DUMMYFUNCTION("FILTER(RAW_met_lieux_inclusion_numeriq!B:B,RAW_met_lieux_inclusion_numeriq!B:B=F509)"),"#N/A")</f>
        <v>#N/A</v>
      </c>
      <c r="H509" s="6" t="s">
        <v>3113</v>
      </c>
      <c r="I509" s="6" t="s">
        <v>3301</v>
      </c>
      <c r="J509" s="7" t="s">
        <v>3572</v>
      </c>
      <c r="K509" s="6" t="s">
        <v>1589</v>
      </c>
      <c r="L509" s="6" t="s">
        <v>1603</v>
      </c>
      <c r="M509" s="6" t="s">
        <v>3318</v>
      </c>
      <c r="N509" s="6" t="s">
        <v>1592</v>
      </c>
      <c r="O509" s="6" t="s">
        <v>1593</v>
      </c>
      <c r="P509" s="6" t="s">
        <v>1594</v>
      </c>
      <c r="Q509" s="7" t="s">
        <v>3314</v>
      </c>
      <c r="S509" s="6" t="s">
        <v>1595</v>
      </c>
      <c r="T509" s="6" t="s">
        <v>1596</v>
      </c>
    </row>
    <row r="510">
      <c r="A510" s="7" t="s">
        <v>3261</v>
      </c>
      <c r="B510" s="6" t="s">
        <v>1581</v>
      </c>
      <c r="C510" s="6" t="s">
        <v>1582</v>
      </c>
      <c r="D510" s="7" t="s">
        <v>3299</v>
      </c>
      <c r="E510" s="6" t="s">
        <v>3345</v>
      </c>
      <c r="F510" s="6" t="s">
        <v>2182</v>
      </c>
      <c r="G510" s="6" t="str">
        <f>IFERROR(__xludf.DUMMYFUNCTION("FILTER(RAW_met_lieux_inclusion_numeriq!B:B,RAW_met_lieux_inclusion_numeriq!B:B=F510)"),"#N/A")</f>
        <v>#N/A</v>
      </c>
      <c r="H510" s="6" t="s">
        <v>2062</v>
      </c>
      <c r="I510" s="6" t="s">
        <v>3190</v>
      </c>
      <c r="J510" s="7" t="s">
        <v>1832</v>
      </c>
      <c r="K510" s="6" t="s">
        <v>1589</v>
      </c>
      <c r="L510" s="6" t="s">
        <v>1603</v>
      </c>
      <c r="M510" s="6" t="s">
        <v>3303</v>
      </c>
      <c r="N510" s="6" t="s">
        <v>1592</v>
      </c>
      <c r="O510" s="6" t="s">
        <v>1593</v>
      </c>
      <c r="P510" s="6" t="s">
        <v>1594</v>
      </c>
      <c r="Q510" s="7" t="s">
        <v>3299</v>
      </c>
      <c r="S510" s="6" t="s">
        <v>1595</v>
      </c>
      <c r="T510" s="6" t="s">
        <v>1605</v>
      </c>
    </row>
    <row r="511">
      <c r="A511" s="7" t="s">
        <v>3261</v>
      </c>
      <c r="B511" s="6" t="s">
        <v>1581</v>
      </c>
      <c r="C511" s="6" t="s">
        <v>1582</v>
      </c>
      <c r="D511" s="7" t="s">
        <v>3299</v>
      </c>
      <c r="E511" s="6" t="s">
        <v>3573</v>
      </c>
      <c r="F511" s="6" t="s">
        <v>1891</v>
      </c>
      <c r="G511" s="6" t="str">
        <f>IFERROR(__xludf.DUMMYFUNCTION("FILTER(RAW_met_lieux_inclusion_numeriq!B:B,RAW_met_lieux_inclusion_numeriq!B:B=F511)"),"#N/A")</f>
        <v>#N/A</v>
      </c>
      <c r="H511" s="6" t="s">
        <v>1892</v>
      </c>
      <c r="I511" s="6" t="s">
        <v>3574</v>
      </c>
      <c r="J511" s="7" t="s">
        <v>3575</v>
      </c>
      <c r="K511" s="6" t="s">
        <v>1589</v>
      </c>
      <c r="L511" s="6" t="s">
        <v>1603</v>
      </c>
      <c r="M511" s="6" t="s">
        <v>3303</v>
      </c>
      <c r="N511" s="6" t="s">
        <v>1592</v>
      </c>
      <c r="O511" s="6" t="s">
        <v>1593</v>
      </c>
      <c r="P511" s="6" t="s">
        <v>1594</v>
      </c>
      <c r="Q511" s="7" t="s">
        <v>3299</v>
      </c>
      <c r="S511" s="6" t="s">
        <v>1595</v>
      </c>
      <c r="T511" s="6" t="s">
        <v>1645</v>
      </c>
    </row>
    <row r="512">
      <c r="A512" s="7" t="s">
        <v>3261</v>
      </c>
      <c r="B512" s="6" t="s">
        <v>1581</v>
      </c>
      <c r="C512" s="6" t="s">
        <v>1582</v>
      </c>
      <c r="D512" s="7" t="s">
        <v>3326</v>
      </c>
      <c r="E512" s="6" t="s">
        <v>3576</v>
      </c>
      <c r="F512" s="6" t="s">
        <v>2832</v>
      </c>
      <c r="G512" s="6" t="str">
        <f>IFERROR(__xludf.DUMMYFUNCTION("FILTER(RAW_met_lieux_inclusion_numeriq!B:B,RAW_met_lieux_inclusion_numeriq!B:B=F512)"),"#N/A")</f>
        <v>#N/A</v>
      </c>
      <c r="H512" s="6" t="s">
        <v>2833</v>
      </c>
      <c r="I512" s="6" t="s">
        <v>3190</v>
      </c>
      <c r="J512" s="7" t="s">
        <v>1714</v>
      </c>
      <c r="K512" s="6" t="s">
        <v>1589</v>
      </c>
      <c r="L512" s="6" t="s">
        <v>1603</v>
      </c>
      <c r="M512" s="6" t="s">
        <v>3329</v>
      </c>
      <c r="N512" s="6" t="s">
        <v>1592</v>
      </c>
      <c r="O512" s="6" t="s">
        <v>1593</v>
      </c>
      <c r="P512" s="6" t="s">
        <v>1594</v>
      </c>
      <c r="Q512" s="7" t="s">
        <v>3326</v>
      </c>
      <c r="S512" s="6" t="s">
        <v>1595</v>
      </c>
      <c r="T512" s="6" t="s">
        <v>1596</v>
      </c>
    </row>
    <row r="513">
      <c r="A513" s="7" t="s">
        <v>3261</v>
      </c>
      <c r="B513" s="6" t="s">
        <v>1581</v>
      </c>
      <c r="C513" s="6" t="s">
        <v>1582</v>
      </c>
      <c r="D513" s="7" t="s">
        <v>3326</v>
      </c>
      <c r="E513" s="6" t="s">
        <v>3327</v>
      </c>
      <c r="F513" s="6" t="s">
        <v>1629</v>
      </c>
      <c r="G513" s="6" t="str">
        <f>IFERROR(__xludf.DUMMYFUNCTION("FILTER(RAW_met_lieux_inclusion_numeriq!B:B,RAW_met_lieux_inclusion_numeriq!B:B=F513)"),"#N/A")</f>
        <v>#N/A</v>
      </c>
      <c r="H513" s="6" t="s">
        <v>1630</v>
      </c>
      <c r="I513" s="6" t="s">
        <v>3378</v>
      </c>
      <c r="J513" s="7" t="s">
        <v>3577</v>
      </c>
      <c r="K513" s="6" t="s">
        <v>1589</v>
      </c>
      <c r="L513" s="6" t="s">
        <v>1603</v>
      </c>
      <c r="M513" s="6" t="s">
        <v>3329</v>
      </c>
      <c r="N513" s="6" t="s">
        <v>1592</v>
      </c>
      <c r="O513" s="6" t="s">
        <v>1593</v>
      </c>
      <c r="P513" s="6" t="s">
        <v>1594</v>
      </c>
      <c r="Q513" s="7" t="s">
        <v>3326</v>
      </c>
      <c r="S513" s="6" t="s">
        <v>1595</v>
      </c>
      <c r="T513" s="6" t="s">
        <v>1634</v>
      </c>
    </row>
    <row r="514">
      <c r="A514" s="7" t="s">
        <v>3261</v>
      </c>
      <c r="B514" s="6" t="s">
        <v>1581</v>
      </c>
      <c r="C514" s="6" t="s">
        <v>1582</v>
      </c>
      <c r="D514" s="7" t="s">
        <v>3578</v>
      </c>
      <c r="E514" s="6" t="s">
        <v>3372</v>
      </c>
      <c r="F514" s="6" t="s">
        <v>1997</v>
      </c>
      <c r="G514" s="6" t="str">
        <f>IFERROR(__xludf.DUMMYFUNCTION("FILTER(RAW_met_lieux_inclusion_numeriq!B:B,RAW_met_lieux_inclusion_numeriq!B:B=F514)"),"#N/A")</f>
        <v>#N/A</v>
      </c>
      <c r="H514" s="6" t="s">
        <v>1998</v>
      </c>
      <c r="I514" s="6" t="s">
        <v>3190</v>
      </c>
      <c r="J514" s="7" t="s">
        <v>1658</v>
      </c>
      <c r="K514" s="6" t="s">
        <v>1589</v>
      </c>
      <c r="L514" s="6" t="s">
        <v>1603</v>
      </c>
      <c r="M514" s="6" t="s">
        <v>3579</v>
      </c>
      <c r="N514" s="6" t="s">
        <v>1592</v>
      </c>
      <c r="O514" s="6" t="s">
        <v>1593</v>
      </c>
      <c r="P514" s="6" t="s">
        <v>1594</v>
      </c>
      <c r="Q514" s="7" t="s">
        <v>3578</v>
      </c>
      <c r="S514" s="6" t="s">
        <v>1595</v>
      </c>
      <c r="T514" s="6" t="s">
        <v>1605</v>
      </c>
    </row>
    <row r="515">
      <c r="A515" s="7" t="s">
        <v>3261</v>
      </c>
      <c r="B515" s="6" t="s">
        <v>1581</v>
      </c>
      <c r="C515" s="6" t="s">
        <v>1582</v>
      </c>
      <c r="D515" s="7" t="s">
        <v>3565</v>
      </c>
      <c r="E515" s="6" t="s">
        <v>3580</v>
      </c>
      <c r="F515" s="6" t="s">
        <v>1599</v>
      </c>
      <c r="G515" s="6" t="str">
        <f>IFERROR(__xludf.DUMMYFUNCTION("FILTER(RAW_met_lieux_inclusion_numeriq!B:B,RAW_met_lieux_inclusion_numeriq!B:B=F515)"),"#N/A")</f>
        <v>#N/A</v>
      </c>
      <c r="H515" s="6" t="s">
        <v>1600</v>
      </c>
      <c r="I515" s="6" t="s">
        <v>3190</v>
      </c>
      <c r="J515" s="7" t="s">
        <v>1602</v>
      </c>
      <c r="K515" s="6" t="s">
        <v>1589</v>
      </c>
      <c r="L515" s="6" t="s">
        <v>1603</v>
      </c>
      <c r="M515" s="6" t="s">
        <v>3568</v>
      </c>
      <c r="N515" s="6" t="s">
        <v>1592</v>
      </c>
      <c r="O515" s="6" t="s">
        <v>1593</v>
      </c>
      <c r="P515" s="6" t="s">
        <v>1594</v>
      </c>
      <c r="Q515" s="7" t="s">
        <v>3565</v>
      </c>
      <c r="S515" s="6" t="s">
        <v>1595</v>
      </c>
      <c r="T515" s="6" t="s">
        <v>1605</v>
      </c>
    </row>
    <row r="516">
      <c r="A516" s="7" t="s">
        <v>3340</v>
      </c>
      <c r="B516" s="6" t="s">
        <v>1581</v>
      </c>
      <c r="C516" s="6" t="s">
        <v>1582</v>
      </c>
      <c r="D516" s="7" t="s">
        <v>3341</v>
      </c>
      <c r="E516" s="6" t="s">
        <v>3300</v>
      </c>
      <c r="F516" s="6" t="s">
        <v>3254</v>
      </c>
      <c r="G516" s="6" t="str">
        <f>IFERROR(__xludf.DUMMYFUNCTION("FILTER(RAW_met_lieux_inclusion_numeriq!B:B,RAW_met_lieux_inclusion_numeriq!B:B=F516)"),"Maison de l'emploi de Bordeaux")</f>
        <v>Maison de l'emploi de Bordeaux</v>
      </c>
      <c r="H516" s="6" t="s">
        <v>1811</v>
      </c>
      <c r="I516" s="6" t="s">
        <v>3581</v>
      </c>
      <c r="J516" s="7" t="s">
        <v>3582</v>
      </c>
      <c r="K516" s="6" t="s">
        <v>1589</v>
      </c>
      <c r="L516" s="6" t="s">
        <v>1603</v>
      </c>
      <c r="M516" s="6" t="s">
        <v>3343</v>
      </c>
      <c r="N516" s="6" t="s">
        <v>1592</v>
      </c>
      <c r="O516" s="6" t="s">
        <v>1593</v>
      </c>
      <c r="P516" s="6" t="s">
        <v>1594</v>
      </c>
      <c r="Q516" s="7" t="s">
        <v>3341</v>
      </c>
      <c r="S516" s="6" t="s">
        <v>1595</v>
      </c>
      <c r="T516" s="6" t="s">
        <v>1605</v>
      </c>
    </row>
    <row r="517">
      <c r="A517" s="7" t="s">
        <v>3340</v>
      </c>
      <c r="B517" s="6" t="s">
        <v>1581</v>
      </c>
      <c r="C517" s="6" t="s">
        <v>1582</v>
      </c>
      <c r="D517" s="7" t="s">
        <v>3366</v>
      </c>
      <c r="E517" s="6" t="s">
        <v>3583</v>
      </c>
      <c r="F517" s="6" t="s">
        <v>3244</v>
      </c>
      <c r="G517" s="6" t="str">
        <f>IFERROR(__xludf.DUMMYFUNCTION("FILTER(RAW_met_lieux_inclusion_numeriq!B:B,RAW_met_lieux_inclusion_numeriq!B:B=F517)"),"#N/A")</f>
        <v>#N/A</v>
      </c>
      <c r="H517" s="6" t="s">
        <v>3584</v>
      </c>
      <c r="I517" s="6" t="s">
        <v>3585</v>
      </c>
      <c r="J517" s="7" t="s">
        <v>1632</v>
      </c>
      <c r="K517" s="6" t="s">
        <v>1589</v>
      </c>
      <c r="L517" s="6" t="s">
        <v>1603</v>
      </c>
      <c r="M517" s="6" t="s">
        <v>3367</v>
      </c>
      <c r="N517" s="6" t="s">
        <v>1592</v>
      </c>
      <c r="O517" s="6" t="s">
        <v>1593</v>
      </c>
      <c r="P517" s="6" t="s">
        <v>1594</v>
      </c>
      <c r="Q517" s="7" t="s">
        <v>3366</v>
      </c>
      <c r="S517" s="6" t="s">
        <v>1595</v>
      </c>
      <c r="T517" s="6" t="s">
        <v>1634</v>
      </c>
    </row>
    <row r="518">
      <c r="A518" s="7" t="s">
        <v>3340</v>
      </c>
      <c r="B518" s="6" t="s">
        <v>1581</v>
      </c>
      <c r="C518" s="6" t="s">
        <v>1582</v>
      </c>
      <c r="D518" s="7" t="s">
        <v>3586</v>
      </c>
      <c r="E518" s="6" t="s">
        <v>3587</v>
      </c>
      <c r="F518" s="6" t="s">
        <v>3090</v>
      </c>
      <c r="G518" s="6" t="str">
        <f>IFERROR(__xludf.DUMMYFUNCTION("FILTER(RAW_met_lieux_inclusion_numeriq!B:B,RAW_met_lieux_inclusion_numeriq!B:B=F518)"),"#N/A")</f>
        <v>#N/A</v>
      </c>
      <c r="H518" s="6" t="s">
        <v>2051</v>
      </c>
      <c r="I518" s="6" t="s">
        <v>3190</v>
      </c>
      <c r="J518" s="7" t="s">
        <v>1957</v>
      </c>
      <c r="K518" s="6" t="s">
        <v>1589</v>
      </c>
      <c r="L518" s="6" t="s">
        <v>1603</v>
      </c>
      <c r="M518" s="6" t="s">
        <v>3588</v>
      </c>
      <c r="N518" s="6" t="s">
        <v>1592</v>
      </c>
      <c r="O518" s="6" t="s">
        <v>1593</v>
      </c>
      <c r="P518" s="6" t="s">
        <v>1594</v>
      </c>
      <c r="Q518" s="7" t="s">
        <v>3586</v>
      </c>
      <c r="S518" s="6" t="s">
        <v>1595</v>
      </c>
      <c r="T518" s="6" t="s">
        <v>1605</v>
      </c>
    </row>
    <row r="519">
      <c r="A519" s="7" t="s">
        <v>3340</v>
      </c>
      <c r="B519" s="6" t="s">
        <v>1581</v>
      </c>
      <c r="C519" s="6" t="s">
        <v>1582</v>
      </c>
      <c r="D519" s="7" t="s">
        <v>3366</v>
      </c>
      <c r="E519" s="6" t="s">
        <v>3357</v>
      </c>
      <c r="F519" s="6" t="s">
        <v>3254</v>
      </c>
      <c r="G519" s="6" t="str">
        <f>IFERROR(__xludf.DUMMYFUNCTION("FILTER(RAW_met_lieux_inclusion_numeriq!B:B,RAW_met_lieux_inclusion_numeriq!B:B=F519)"),"Maison de l'emploi de Bordeaux")</f>
        <v>Maison de l'emploi de Bordeaux</v>
      </c>
      <c r="H519" s="6" t="s">
        <v>1811</v>
      </c>
      <c r="I519" s="6" t="s">
        <v>3589</v>
      </c>
      <c r="J519" s="7" t="s">
        <v>1698</v>
      </c>
      <c r="K519" s="6" t="s">
        <v>1589</v>
      </c>
      <c r="L519" s="6" t="s">
        <v>1590</v>
      </c>
      <c r="M519" s="6" t="s">
        <v>3367</v>
      </c>
      <c r="N519" s="6" t="s">
        <v>1592</v>
      </c>
      <c r="O519" s="6" t="s">
        <v>1593</v>
      </c>
      <c r="P519" s="6" t="s">
        <v>1594</v>
      </c>
      <c r="Q519" s="7" t="s">
        <v>3366</v>
      </c>
      <c r="S519" s="6" t="s">
        <v>1595</v>
      </c>
      <c r="T519" s="6" t="s">
        <v>1596</v>
      </c>
    </row>
    <row r="520">
      <c r="A520" s="7" t="s">
        <v>3340</v>
      </c>
      <c r="B520" s="6" t="s">
        <v>1581</v>
      </c>
      <c r="C520" s="6" t="s">
        <v>1582</v>
      </c>
      <c r="D520" s="7" t="s">
        <v>3366</v>
      </c>
      <c r="E520" s="6" t="s">
        <v>3357</v>
      </c>
      <c r="F520" s="6" t="s">
        <v>3019</v>
      </c>
      <c r="G520" s="6" t="str">
        <f>IFERROR(__xludf.DUMMYFUNCTION("FILTER(RAW_met_lieux_inclusion_numeriq!B:B,RAW_met_lieux_inclusion_numeriq!B:B=F520)"),"#N/A")</f>
        <v>#N/A</v>
      </c>
      <c r="H520" s="6" t="s">
        <v>3020</v>
      </c>
      <c r="I520" s="6" t="s">
        <v>3363</v>
      </c>
      <c r="J520" s="7" t="s">
        <v>1588</v>
      </c>
      <c r="K520" s="6" t="s">
        <v>1589</v>
      </c>
      <c r="L520" s="6" t="s">
        <v>1590</v>
      </c>
      <c r="M520" s="6" t="s">
        <v>3367</v>
      </c>
      <c r="N520" s="6" t="s">
        <v>1592</v>
      </c>
      <c r="O520" s="6" t="s">
        <v>1593</v>
      </c>
      <c r="P520" s="6" t="s">
        <v>1594</v>
      </c>
      <c r="Q520" s="7" t="s">
        <v>3366</v>
      </c>
      <c r="S520" s="6" t="s">
        <v>1595</v>
      </c>
      <c r="T520" s="6" t="s">
        <v>1596</v>
      </c>
    </row>
    <row r="521">
      <c r="A521" s="7" t="s">
        <v>3340</v>
      </c>
      <c r="B521" s="6" t="s">
        <v>1581</v>
      </c>
      <c r="C521" s="6" t="s">
        <v>1582</v>
      </c>
      <c r="D521" s="7" t="s">
        <v>3590</v>
      </c>
      <c r="E521" s="6" t="s">
        <v>2766</v>
      </c>
      <c r="F521" s="6" t="s">
        <v>3591</v>
      </c>
      <c r="G521" s="6" t="str">
        <f>IFERROR(__xludf.DUMMYFUNCTION("FILTER(RAW_met_lieux_inclusion_numeriq!B:B,RAW_met_lieux_inclusion_numeriq!B:B=F521)"),"#N/A")</f>
        <v>#N/A</v>
      </c>
      <c r="H521" s="6" t="s">
        <v>1747</v>
      </c>
      <c r="I521" s="6" t="s">
        <v>3592</v>
      </c>
      <c r="J521" s="7" t="s">
        <v>1949</v>
      </c>
      <c r="K521" s="6" t="s">
        <v>1589</v>
      </c>
      <c r="L521" s="6" t="s">
        <v>1590</v>
      </c>
      <c r="M521" s="6" t="s">
        <v>3593</v>
      </c>
      <c r="N521" s="6" t="s">
        <v>1592</v>
      </c>
      <c r="O521" s="6" t="s">
        <v>1593</v>
      </c>
      <c r="P521" s="6" t="s">
        <v>1594</v>
      </c>
      <c r="Q521" s="7" t="s">
        <v>3590</v>
      </c>
      <c r="S521" s="6" t="s">
        <v>1595</v>
      </c>
      <c r="T521" s="6" t="s">
        <v>1596</v>
      </c>
    </row>
    <row r="522">
      <c r="A522" s="7" t="s">
        <v>3340</v>
      </c>
      <c r="B522" s="6" t="s">
        <v>1581</v>
      </c>
      <c r="C522" s="6" t="s">
        <v>1582</v>
      </c>
      <c r="D522" s="7" t="s">
        <v>3368</v>
      </c>
      <c r="E522" s="6" t="s">
        <v>3594</v>
      </c>
      <c r="F522" s="6" t="s">
        <v>3595</v>
      </c>
      <c r="G522" s="6" t="str">
        <f>IFERROR(__xludf.DUMMYFUNCTION("FILTER(RAW_met_lieux_inclusion_numeriq!B:B,RAW_met_lieux_inclusion_numeriq!B:B=F522)"),"#N/A")</f>
        <v>#N/A</v>
      </c>
      <c r="H522" s="6" t="s">
        <v>3596</v>
      </c>
      <c r="I522" s="6" t="s">
        <v>3597</v>
      </c>
      <c r="J522" s="7" t="s">
        <v>3333</v>
      </c>
      <c r="K522" s="6" t="s">
        <v>1589</v>
      </c>
      <c r="L522" s="6" t="s">
        <v>1603</v>
      </c>
      <c r="M522" s="6" t="s">
        <v>3370</v>
      </c>
      <c r="N522" s="6" t="s">
        <v>1592</v>
      </c>
      <c r="O522" s="6" t="s">
        <v>1593</v>
      </c>
      <c r="P522" s="6" t="s">
        <v>1594</v>
      </c>
      <c r="Q522" s="7" t="s">
        <v>3368</v>
      </c>
      <c r="S522" s="6" t="s">
        <v>1595</v>
      </c>
      <c r="T522" s="6" t="s">
        <v>1596</v>
      </c>
    </row>
    <row r="523">
      <c r="A523" s="7" t="s">
        <v>3340</v>
      </c>
      <c r="B523" s="6" t="s">
        <v>1581</v>
      </c>
      <c r="C523" s="6" t="s">
        <v>1582</v>
      </c>
      <c r="D523" s="7" t="s">
        <v>3598</v>
      </c>
      <c r="E523" s="6" t="s">
        <v>3599</v>
      </c>
      <c r="F523" s="6" t="s">
        <v>1942</v>
      </c>
      <c r="G523" s="6" t="str">
        <f>IFERROR(__xludf.DUMMYFUNCTION("FILTER(RAW_met_lieux_inclusion_numeriq!B:B,RAW_met_lieux_inclusion_numeriq!B:B=F523)"),"#N/A")</f>
        <v>#N/A</v>
      </c>
      <c r="H523" s="6" t="s">
        <v>1943</v>
      </c>
      <c r="I523" s="6" t="s">
        <v>3600</v>
      </c>
      <c r="J523" s="7" t="s">
        <v>1588</v>
      </c>
      <c r="K523" s="6" t="s">
        <v>1589</v>
      </c>
      <c r="L523" s="6" t="s">
        <v>1603</v>
      </c>
      <c r="M523" s="6" t="s">
        <v>3601</v>
      </c>
      <c r="N523" s="6" t="s">
        <v>1592</v>
      </c>
      <c r="O523" s="6" t="s">
        <v>1593</v>
      </c>
      <c r="P523" s="6" t="s">
        <v>1594</v>
      </c>
      <c r="Q523" s="7" t="s">
        <v>3598</v>
      </c>
      <c r="S523" s="6" t="s">
        <v>1595</v>
      </c>
      <c r="T523" s="6" t="s">
        <v>1596</v>
      </c>
    </row>
    <row r="524">
      <c r="A524" s="7" t="s">
        <v>3340</v>
      </c>
      <c r="B524" s="6" t="s">
        <v>1581</v>
      </c>
      <c r="C524" s="6" t="s">
        <v>1582</v>
      </c>
      <c r="D524" s="7" t="s">
        <v>3598</v>
      </c>
      <c r="E524" s="6" t="s">
        <v>3602</v>
      </c>
      <c r="F524" s="6" t="s">
        <v>1942</v>
      </c>
      <c r="G524" s="6" t="str">
        <f>IFERROR(__xludf.DUMMYFUNCTION("FILTER(RAW_met_lieux_inclusion_numeriq!B:B,RAW_met_lieux_inclusion_numeriq!B:B=F524)"),"#N/A")</f>
        <v>#N/A</v>
      </c>
      <c r="H524" s="6" t="s">
        <v>1943</v>
      </c>
      <c r="I524" s="6" t="s">
        <v>3190</v>
      </c>
      <c r="J524" s="7" t="s">
        <v>2330</v>
      </c>
      <c r="K524" s="6" t="s">
        <v>1589</v>
      </c>
      <c r="L524" s="6" t="s">
        <v>1603</v>
      </c>
      <c r="M524" s="6" t="s">
        <v>3601</v>
      </c>
      <c r="N524" s="6" t="s">
        <v>1592</v>
      </c>
      <c r="O524" s="6" t="s">
        <v>1593</v>
      </c>
      <c r="P524" s="6" t="s">
        <v>1594</v>
      </c>
      <c r="Q524" s="7" t="s">
        <v>3598</v>
      </c>
      <c r="S524" s="6" t="s">
        <v>1595</v>
      </c>
      <c r="T524" s="6" t="s">
        <v>1596</v>
      </c>
    </row>
    <row r="525">
      <c r="A525" s="7" t="s">
        <v>3340</v>
      </c>
      <c r="B525" s="6" t="s">
        <v>1581</v>
      </c>
      <c r="C525" s="6" t="s">
        <v>1582</v>
      </c>
      <c r="D525" s="7" t="s">
        <v>3603</v>
      </c>
      <c r="E525" s="6" t="s">
        <v>3604</v>
      </c>
      <c r="F525" s="6" t="s">
        <v>3605</v>
      </c>
      <c r="G525" s="6" t="str">
        <f>IFERROR(__xludf.DUMMYFUNCTION("FILTER(RAW_met_lieux_inclusion_numeriq!B:B,RAW_met_lieux_inclusion_numeriq!B:B=F525)"),"PIMMS de Bordeaux")</f>
        <v>PIMMS de Bordeaux</v>
      </c>
      <c r="H525" s="6" t="s">
        <v>2762</v>
      </c>
      <c r="I525" s="6" t="s">
        <v>3190</v>
      </c>
      <c r="J525" s="7" t="s">
        <v>3606</v>
      </c>
      <c r="K525" s="6" t="s">
        <v>1589</v>
      </c>
      <c r="L525" s="6" t="s">
        <v>1603</v>
      </c>
      <c r="M525" s="6" t="s">
        <v>3607</v>
      </c>
      <c r="N525" s="6" t="s">
        <v>1592</v>
      </c>
      <c r="O525" s="6" t="s">
        <v>1593</v>
      </c>
      <c r="P525" s="6" t="s">
        <v>1594</v>
      </c>
      <c r="Q525" s="7" t="s">
        <v>3603</v>
      </c>
      <c r="S525" s="6" t="s">
        <v>1595</v>
      </c>
      <c r="T525" s="6" t="s">
        <v>1605</v>
      </c>
    </row>
    <row r="526">
      <c r="A526" s="7" t="s">
        <v>3340</v>
      </c>
      <c r="B526" s="6" t="s">
        <v>1581</v>
      </c>
      <c r="C526" s="6" t="s">
        <v>1582</v>
      </c>
      <c r="D526" s="7" t="s">
        <v>3608</v>
      </c>
      <c r="E526" s="6" t="s">
        <v>3381</v>
      </c>
      <c r="F526" s="6" t="s">
        <v>3609</v>
      </c>
      <c r="G526" s="6" t="str">
        <f>IFERROR(__xludf.DUMMYFUNCTION("FILTER(RAW_met_lieux_inclusion_numeriq!B:B,RAW_met_lieux_inclusion_numeriq!B:B=F526)"),"#N/A")</f>
        <v>#N/A</v>
      </c>
      <c r="H526" s="6" t="s">
        <v>3610</v>
      </c>
      <c r="I526" s="6" t="s">
        <v>3382</v>
      </c>
      <c r="J526" s="7" t="s">
        <v>3333</v>
      </c>
      <c r="K526" s="6" t="s">
        <v>1589</v>
      </c>
      <c r="L526" s="6" t="s">
        <v>1590</v>
      </c>
      <c r="M526" s="6" t="s">
        <v>3611</v>
      </c>
      <c r="N526" s="6" t="s">
        <v>1592</v>
      </c>
      <c r="O526" s="6" t="s">
        <v>1593</v>
      </c>
      <c r="P526" s="6" t="s">
        <v>1594</v>
      </c>
      <c r="Q526" s="7" t="s">
        <v>3608</v>
      </c>
      <c r="S526" s="6" t="s">
        <v>1595</v>
      </c>
      <c r="T526" s="6" t="s">
        <v>1596</v>
      </c>
    </row>
    <row r="527">
      <c r="A527" s="7" t="s">
        <v>3340</v>
      </c>
      <c r="B527" s="6" t="s">
        <v>1581</v>
      </c>
      <c r="C527" s="6" t="s">
        <v>1582</v>
      </c>
      <c r="D527" s="7" t="s">
        <v>3612</v>
      </c>
      <c r="E527" s="6" t="s">
        <v>3381</v>
      </c>
      <c r="F527" s="6" t="s">
        <v>3613</v>
      </c>
      <c r="G527" s="6" t="str">
        <f>IFERROR(__xludf.DUMMYFUNCTION("FILTER(RAW_met_lieux_inclusion_numeriq!B:B,RAW_met_lieux_inclusion_numeriq!B:B=F527)"),"#N/A")</f>
        <v>#N/A</v>
      </c>
      <c r="H527" s="6" t="s">
        <v>2807</v>
      </c>
      <c r="I527" s="6" t="s">
        <v>3382</v>
      </c>
      <c r="J527" s="7" t="s">
        <v>1698</v>
      </c>
      <c r="K527" s="6" t="s">
        <v>1589</v>
      </c>
      <c r="L527" s="6" t="s">
        <v>1590</v>
      </c>
      <c r="M527" s="6" t="s">
        <v>3614</v>
      </c>
      <c r="N527" s="6" t="s">
        <v>1592</v>
      </c>
      <c r="O527" s="6" t="s">
        <v>1593</v>
      </c>
      <c r="P527" s="6" t="s">
        <v>1594</v>
      </c>
      <c r="Q527" s="7" t="s">
        <v>3612</v>
      </c>
      <c r="S527" s="6" t="s">
        <v>1595</v>
      </c>
      <c r="T527" s="6" t="s">
        <v>1596</v>
      </c>
    </row>
    <row r="528">
      <c r="A528" s="7" t="s">
        <v>3340</v>
      </c>
      <c r="B528" s="6" t="s">
        <v>1581</v>
      </c>
      <c r="C528" s="6" t="s">
        <v>1582</v>
      </c>
      <c r="D528" s="7" t="s">
        <v>3350</v>
      </c>
      <c r="E528" s="6" t="s">
        <v>3381</v>
      </c>
      <c r="F528" s="6" t="s">
        <v>3615</v>
      </c>
      <c r="G528" s="6" t="str">
        <f>IFERROR(__xludf.DUMMYFUNCTION("FILTER(RAW_met_lieux_inclusion_numeriq!B:B,RAW_met_lieux_inclusion_numeriq!B:B=F528)"),"#N/A")</f>
        <v>#N/A</v>
      </c>
      <c r="H528" s="6" t="s">
        <v>3616</v>
      </c>
      <c r="I528" s="6" t="s">
        <v>3382</v>
      </c>
      <c r="J528" s="7" t="s">
        <v>1711</v>
      </c>
      <c r="K528" s="6" t="s">
        <v>1589</v>
      </c>
      <c r="L528" s="6" t="s">
        <v>1590</v>
      </c>
      <c r="M528" s="6" t="s">
        <v>3355</v>
      </c>
      <c r="N528" s="6" t="s">
        <v>1592</v>
      </c>
      <c r="O528" s="6" t="s">
        <v>1593</v>
      </c>
      <c r="P528" s="6" t="s">
        <v>1594</v>
      </c>
      <c r="Q528" s="7" t="s">
        <v>3350</v>
      </c>
      <c r="S528" s="6" t="s">
        <v>1595</v>
      </c>
      <c r="T528" s="6" t="s">
        <v>1596</v>
      </c>
    </row>
    <row r="529">
      <c r="A529" s="7" t="s">
        <v>3340</v>
      </c>
      <c r="B529" s="6" t="s">
        <v>1581</v>
      </c>
      <c r="C529" s="6" t="s">
        <v>1582</v>
      </c>
      <c r="D529" s="7" t="s">
        <v>3360</v>
      </c>
      <c r="E529" s="6" t="s">
        <v>3381</v>
      </c>
      <c r="F529" s="6" t="s">
        <v>3617</v>
      </c>
      <c r="G529" s="6" t="str">
        <f>IFERROR(__xludf.DUMMYFUNCTION("FILTER(RAW_met_lieux_inclusion_numeriq!B:B,RAW_met_lieux_inclusion_numeriq!B:B=F529)"),"#N/A")</f>
        <v>#N/A</v>
      </c>
      <c r="H529" s="6" t="s">
        <v>3618</v>
      </c>
      <c r="I529" s="6" t="s">
        <v>3382</v>
      </c>
      <c r="J529" s="7" t="s">
        <v>3619</v>
      </c>
      <c r="K529" s="6" t="s">
        <v>1589</v>
      </c>
      <c r="L529" s="6" t="s">
        <v>1590</v>
      </c>
      <c r="M529" s="6" t="s">
        <v>3364</v>
      </c>
      <c r="N529" s="6" t="s">
        <v>1592</v>
      </c>
      <c r="O529" s="6" t="s">
        <v>1593</v>
      </c>
      <c r="P529" s="6" t="s">
        <v>1594</v>
      </c>
      <c r="Q529" s="7" t="s">
        <v>3360</v>
      </c>
      <c r="S529" s="6" t="s">
        <v>1595</v>
      </c>
      <c r="T529" s="6" t="s">
        <v>1596</v>
      </c>
    </row>
    <row r="530">
      <c r="A530" s="7" t="s">
        <v>3340</v>
      </c>
      <c r="B530" s="6" t="s">
        <v>1581</v>
      </c>
      <c r="C530" s="6" t="s">
        <v>1582</v>
      </c>
      <c r="D530" s="7" t="s">
        <v>3620</v>
      </c>
      <c r="E530" s="6" t="s">
        <v>3381</v>
      </c>
      <c r="F530" s="6" t="s">
        <v>3621</v>
      </c>
      <c r="G530" s="6" t="str">
        <f>IFERROR(__xludf.DUMMYFUNCTION("FILTER(RAW_met_lieux_inclusion_numeriq!B:B,RAW_met_lieux_inclusion_numeriq!B:B=F530)"),"#N/A")</f>
        <v>#N/A</v>
      </c>
      <c r="H530" s="6" t="s">
        <v>3622</v>
      </c>
      <c r="I530" s="6" t="s">
        <v>3382</v>
      </c>
      <c r="J530" s="7" t="s">
        <v>1711</v>
      </c>
      <c r="K530" s="6" t="s">
        <v>1589</v>
      </c>
      <c r="L530" s="6" t="s">
        <v>1590</v>
      </c>
      <c r="M530" s="6" t="s">
        <v>3623</v>
      </c>
      <c r="N530" s="6" t="s">
        <v>1592</v>
      </c>
      <c r="O530" s="6" t="s">
        <v>1593</v>
      </c>
      <c r="P530" s="6" t="s">
        <v>1594</v>
      </c>
      <c r="Q530" s="7" t="s">
        <v>3620</v>
      </c>
      <c r="S530" s="6" t="s">
        <v>1595</v>
      </c>
      <c r="T530" s="6" t="s">
        <v>1596</v>
      </c>
    </row>
    <row r="531">
      <c r="A531" s="7" t="s">
        <v>3340</v>
      </c>
      <c r="B531" s="6" t="s">
        <v>1581</v>
      </c>
      <c r="C531" s="6" t="s">
        <v>1582</v>
      </c>
      <c r="D531" s="7" t="s">
        <v>3383</v>
      </c>
      <c r="E531" s="6" t="s">
        <v>3381</v>
      </c>
      <c r="F531" s="6" t="s">
        <v>3624</v>
      </c>
      <c r="G531" s="6" t="str">
        <f>IFERROR(__xludf.DUMMYFUNCTION("FILTER(RAW_met_lieux_inclusion_numeriq!B:B,RAW_met_lieux_inclusion_numeriq!B:B=F531)"),"#N/A")</f>
        <v>#N/A</v>
      </c>
      <c r="H531" s="6" t="s">
        <v>3625</v>
      </c>
      <c r="I531" s="6" t="s">
        <v>3382</v>
      </c>
      <c r="J531" s="7" t="s">
        <v>2582</v>
      </c>
      <c r="K531" s="6" t="s">
        <v>1589</v>
      </c>
      <c r="L531" s="6" t="s">
        <v>1590</v>
      </c>
      <c r="M531" s="6" t="s">
        <v>3386</v>
      </c>
      <c r="N531" s="6" t="s">
        <v>1592</v>
      </c>
      <c r="O531" s="6" t="s">
        <v>1593</v>
      </c>
      <c r="P531" s="6" t="s">
        <v>1594</v>
      </c>
      <c r="Q531" s="7" t="s">
        <v>3383</v>
      </c>
      <c r="S531" s="6" t="s">
        <v>1595</v>
      </c>
      <c r="T531" s="6" t="s">
        <v>1596</v>
      </c>
    </row>
    <row r="532">
      <c r="A532" s="7" t="s">
        <v>3340</v>
      </c>
      <c r="B532" s="6" t="s">
        <v>1581</v>
      </c>
      <c r="C532" s="6" t="s">
        <v>1582</v>
      </c>
      <c r="D532" s="7" t="s">
        <v>3283</v>
      </c>
      <c r="E532" s="6" t="s">
        <v>3626</v>
      </c>
      <c r="F532" s="6" t="s">
        <v>3627</v>
      </c>
      <c r="G532" s="6" t="str">
        <f>IFERROR(__xludf.DUMMYFUNCTION("FILTER(RAW_met_lieux_inclusion_numeriq!B:B,RAW_met_lieux_inclusion_numeriq!B:B=F532)"),"#N/A")</f>
        <v>#N/A</v>
      </c>
      <c r="H532" s="6" t="s">
        <v>3628</v>
      </c>
      <c r="I532" s="6" t="s">
        <v>3209</v>
      </c>
      <c r="J532" s="7" t="s">
        <v>1992</v>
      </c>
      <c r="K532" s="6" t="s">
        <v>1589</v>
      </c>
      <c r="L532" s="6" t="s">
        <v>1603</v>
      </c>
      <c r="M532" s="6" t="s">
        <v>3287</v>
      </c>
      <c r="N532" s="6" t="s">
        <v>1592</v>
      </c>
      <c r="O532" s="6" t="s">
        <v>1593</v>
      </c>
      <c r="P532" s="6" t="s">
        <v>1594</v>
      </c>
      <c r="Q532" s="7" t="s">
        <v>3283</v>
      </c>
      <c r="S532" s="6" t="s">
        <v>1595</v>
      </c>
      <c r="T532" s="6" t="s">
        <v>1596</v>
      </c>
    </row>
    <row r="533">
      <c r="A533" s="7" t="s">
        <v>3340</v>
      </c>
      <c r="B533" s="6" t="s">
        <v>1581</v>
      </c>
      <c r="C533" s="6" t="s">
        <v>1582</v>
      </c>
      <c r="D533" s="7" t="s">
        <v>3478</v>
      </c>
      <c r="E533" s="6" t="s">
        <v>3479</v>
      </c>
      <c r="F533" s="6" t="s">
        <v>3629</v>
      </c>
      <c r="G533" s="6" t="str">
        <f>IFERROR(__xludf.DUMMYFUNCTION("FILTER(RAW_met_lieux_inclusion_numeriq!B:B,RAW_met_lieux_inclusion_numeriq!B:B=F533)"),"#N/A")</f>
        <v>#N/A</v>
      </c>
      <c r="H533" s="6" t="s">
        <v>3630</v>
      </c>
      <c r="I533" s="6" t="s">
        <v>3209</v>
      </c>
      <c r="J533" s="7" t="s">
        <v>1671</v>
      </c>
      <c r="K533" s="6" t="s">
        <v>1589</v>
      </c>
      <c r="L533" s="6" t="s">
        <v>1590</v>
      </c>
      <c r="M533" s="6" t="s">
        <v>3481</v>
      </c>
      <c r="N533" s="6" t="s">
        <v>1592</v>
      </c>
      <c r="O533" s="6" t="s">
        <v>1593</v>
      </c>
      <c r="P533" s="6" t="s">
        <v>1594</v>
      </c>
      <c r="Q533" s="7" t="s">
        <v>3478</v>
      </c>
      <c r="S533" s="6" t="s">
        <v>1595</v>
      </c>
      <c r="T533" s="6" t="s">
        <v>1596</v>
      </c>
    </row>
    <row r="534">
      <c r="A534" s="7" t="s">
        <v>3340</v>
      </c>
      <c r="B534" s="6" t="s">
        <v>1581</v>
      </c>
      <c r="C534" s="6" t="s">
        <v>1582</v>
      </c>
      <c r="D534" s="7" t="s">
        <v>3383</v>
      </c>
      <c r="E534" s="6" t="s">
        <v>3381</v>
      </c>
      <c r="F534" s="6" t="s">
        <v>3631</v>
      </c>
      <c r="G534" s="6" t="str">
        <f>IFERROR(__xludf.DUMMYFUNCTION("FILTER(RAW_met_lieux_inclusion_numeriq!B:B,RAW_met_lieux_inclusion_numeriq!B:B=F534)"),"#N/A")</f>
        <v>#N/A</v>
      </c>
      <c r="H534" s="6" t="s">
        <v>3632</v>
      </c>
      <c r="I534" s="6" t="s">
        <v>3382</v>
      </c>
      <c r="J534" s="7" t="s">
        <v>1711</v>
      </c>
      <c r="K534" s="6" t="s">
        <v>1589</v>
      </c>
      <c r="L534" s="6" t="s">
        <v>1590</v>
      </c>
      <c r="M534" s="6" t="s">
        <v>3386</v>
      </c>
      <c r="N534" s="6" t="s">
        <v>1592</v>
      </c>
      <c r="O534" s="6" t="s">
        <v>1593</v>
      </c>
      <c r="P534" s="6" t="s">
        <v>1594</v>
      </c>
      <c r="Q534" s="7" t="s">
        <v>3383</v>
      </c>
      <c r="S534" s="6" t="s">
        <v>1595</v>
      </c>
      <c r="T534" s="6" t="s">
        <v>1596</v>
      </c>
    </row>
    <row r="535">
      <c r="A535" s="7" t="s">
        <v>3340</v>
      </c>
      <c r="B535" s="6" t="s">
        <v>1581</v>
      </c>
      <c r="C535" s="6" t="s">
        <v>1582</v>
      </c>
      <c r="D535" s="7" t="s">
        <v>3383</v>
      </c>
      <c r="E535" s="6" t="s">
        <v>3381</v>
      </c>
      <c r="F535" s="6" t="s">
        <v>1327</v>
      </c>
      <c r="G535" s="6" t="str">
        <f>IFERROR(__xludf.DUMMYFUNCTION("FILTER(RAW_met_lieux_inclusion_numeriq!B:B,RAW_met_lieux_inclusion_numeriq!B:B=F535)"),"DEFI")</f>
        <v>DEFI</v>
      </c>
      <c r="H535" s="6" t="s">
        <v>3016</v>
      </c>
      <c r="I535" s="6" t="s">
        <v>3382</v>
      </c>
      <c r="J535" s="7" t="s">
        <v>1880</v>
      </c>
      <c r="K535" s="6" t="s">
        <v>1589</v>
      </c>
      <c r="L535" s="6" t="s">
        <v>1590</v>
      </c>
      <c r="M535" s="6" t="s">
        <v>3386</v>
      </c>
      <c r="N535" s="6" t="s">
        <v>1592</v>
      </c>
      <c r="O535" s="6" t="s">
        <v>1593</v>
      </c>
      <c r="P535" s="6" t="s">
        <v>1594</v>
      </c>
      <c r="Q535" s="7" t="s">
        <v>3383</v>
      </c>
      <c r="S535" s="6" t="s">
        <v>1595</v>
      </c>
      <c r="T535" s="6" t="s">
        <v>1596</v>
      </c>
    </row>
    <row r="536">
      <c r="A536" s="7" t="s">
        <v>3340</v>
      </c>
      <c r="B536" s="6" t="s">
        <v>1581</v>
      </c>
      <c r="C536" s="6" t="s">
        <v>1582</v>
      </c>
      <c r="D536" s="7" t="s">
        <v>3387</v>
      </c>
      <c r="E536" s="6" t="s">
        <v>3633</v>
      </c>
      <c r="F536" s="6" t="s">
        <v>2071</v>
      </c>
      <c r="G536" s="6" t="str">
        <f>IFERROR(__xludf.DUMMYFUNCTION("FILTER(RAW_met_lieux_inclusion_numeriq!B:B,RAW_met_lieux_inclusion_numeriq!B:B=F536)"),"#N/A")</f>
        <v>#N/A</v>
      </c>
      <c r="H536" s="6" t="s">
        <v>3296</v>
      </c>
      <c r="I536" s="6" t="s">
        <v>3209</v>
      </c>
      <c r="J536" s="7" t="s">
        <v>1934</v>
      </c>
      <c r="K536" s="6" t="s">
        <v>1589</v>
      </c>
      <c r="L536" s="6" t="s">
        <v>1603</v>
      </c>
      <c r="M536" s="6" t="s">
        <v>3392</v>
      </c>
      <c r="N536" s="6" t="s">
        <v>1592</v>
      </c>
      <c r="O536" s="6" t="s">
        <v>1593</v>
      </c>
      <c r="P536" s="6" t="s">
        <v>1594</v>
      </c>
      <c r="Q536" s="7" t="s">
        <v>3387</v>
      </c>
      <c r="S536" s="6" t="s">
        <v>1595</v>
      </c>
      <c r="T536" s="6" t="s">
        <v>1605</v>
      </c>
    </row>
    <row r="537">
      <c r="A537" s="7" t="s">
        <v>3340</v>
      </c>
      <c r="B537" s="6" t="s">
        <v>1581</v>
      </c>
      <c r="C537" s="6" t="s">
        <v>1582</v>
      </c>
      <c r="D537" s="7" t="s">
        <v>3387</v>
      </c>
      <c r="E537" s="6" t="s">
        <v>3388</v>
      </c>
      <c r="F537" s="6" t="s">
        <v>3634</v>
      </c>
      <c r="G537" s="6" t="str">
        <f>IFERROR(__xludf.DUMMYFUNCTION("FILTER(RAW_met_lieux_inclusion_numeriq!B:B,RAW_met_lieux_inclusion_numeriq!B:B=F537)"),"#N/A")</f>
        <v>#N/A</v>
      </c>
      <c r="H537" s="6" t="s">
        <v>3414</v>
      </c>
      <c r="I537" s="6" t="s">
        <v>3391</v>
      </c>
      <c r="J537" s="7" t="s">
        <v>1832</v>
      </c>
      <c r="K537" s="6" t="s">
        <v>1589</v>
      </c>
      <c r="L537" s="6" t="s">
        <v>1603</v>
      </c>
      <c r="M537" s="6" t="s">
        <v>3392</v>
      </c>
      <c r="N537" s="6" t="s">
        <v>1592</v>
      </c>
      <c r="O537" s="6" t="s">
        <v>1593</v>
      </c>
      <c r="P537" s="6" t="s">
        <v>1594</v>
      </c>
      <c r="Q537" s="7" t="s">
        <v>3387</v>
      </c>
      <c r="S537" s="6" t="s">
        <v>1595</v>
      </c>
      <c r="T537" s="6" t="s">
        <v>1605</v>
      </c>
    </row>
    <row r="538">
      <c r="A538" s="7" t="s">
        <v>3340</v>
      </c>
      <c r="B538" s="6" t="s">
        <v>1581</v>
      </c>
      <c r="C538" s="6" t="s">
        <v>1582</v>
      </c>
      <c r="D538" s="7" t="s">
        <v>3635</v>
      </c>
      <c r="E538" s="6" t="s">
        <v>3636</v>
      </c>
      <c r="F538" s="6" t="s">
        <v>3627</v>
      </c>
      <c r="G538" s="6" t="str">
        <f>IFERROR(__xludf.DUMMYFUNCTION("FILTER(RAW_met_lieux_inclusion_numeriq!B:B,RAW_met_lieux_inclusion_numeriq!B:B=F538)"),"#N/A")</f>
        <v>#N/A</v>
      </c>
      <c r="H538" s="6" t="s">
        <v>3628</v>
      </c>
      <c r="I538" s="6" t="s">
        <v>3209</v>
      </c>
      <c r="J538" s="7" t="s">
        <v>1651</v>
      </c>
      <c r="K538" s="6" t="s">
        <v>1589</v>
      </c>
      <c r="L538" s="6" t="s">
        <v>1603</v>
      </c>
      <c r="M538" s="6" t="s">
        <v>3637</v>
      </c>
      <c r="N538" s="6" t="s">
        <v>1592</v>
      </c>
      <c r="O538" s="6" t="s">
        <v>1593</v>
      </c>
      <c r="P538" s="6" t="s">
        <v>1594</v>
      </c>
      <c r="Q538" s="7" t="s">
        <v>3635</v>
      </c>
      <c r="S538" s="6" t="s">
        <v>1595</v>
      </c>
      <c r="T538" s="6" t="s">
        <v>1596</v>
      </c>
    </row>
    <row r="539">
      <c r="A539" s="7" t="s">
        <v>3340</v>
      </c>
      <c r="B539" s="6" t="s">
        <v>1581</v>
      </c>
      <c r="C539" s="6" t="s">
        <v>1582</v>
      </c>
      <c r="D539" s="7" t="s">
        <v>3638</v>
      </c>
      <c r="E539" s="6" t="s">
        <v>3639</v>
      </c>
      <c r="F539" s="6" t="s">
        <v>2376</v>
      </c>
      <c r="G539" s="6" t="str">
        <f>IFERROR(__xludf.DUMMYFUNCTION("FILTER(RAW_met_lieux_inclusion_numeriq!B:B,RAW_met_lieux_inclusion_numeriq!B:B=F539)"),"#N/A")</f>
        <v>#N/A</v>
      </c>
      <c r="H539" s="6" t="s">
        <v>3463</v>
      </c>
      <c r="I539" s="6" t="s">
        <v>3391</v>
      </c>
      <c r="J539" s="7" t="s">
        <v>2709</v>
      </c>
      <c r="K539" s="6" t="s">
        <v>1589</v>
      </c>
      <c r="L539" s="6" t="s">
        <v>1603</v>
      </c>
      <c r="M539" s="6" t="s">
        <v>3640</v>
      </c>
      <c r="N539" s="6" t="s">
        <v>1592</v>
      </c>
      <c r="O539" s="6" t="s">
        <v>1593</v>
      </c>
      <c r="P539" s="6" t="s">
        <v>1594</v>
      </c>
      <c r="Q539" s="7" t="s">
        <v>3638</v>
      </c>
      <c r="S539" s="6" t="s">
        <v>1595</v>
      </c>
      <c r="T539" s="6" t="s">
        <v>1645</v>
      </c>
    </row>
    <row r="540">
      <c r="A540" s="7" t="s">
        <v>3340</v>
      </c>
      <c r="B540" s="6" t="s">
        <v>1581</v>
      </c>
      <c r="C540" s="6" t="s">
        <v>1582</v>
      </c>
      <c r="D540" s="7" t="s">
        <v>3641</v>
      </c>
      <c r="E540" s="6" t="s">
        <v>3416</v>
      </c>
      <c r="F540" s="6" t="s">
        <v>3182</v>
      </c>
      <c r="G540" s="6" t="str">
        <f>IFERROR(__xludf.DUMMYFUNCTION("FILTER(RAW_met_lieux_inclusion_numeriq!B:B,RAW_met_lieux_inclusion_numeriq!B:B=F540)"),"#N/A")</f>
        <v>#N/A</v>
      </c>
      <c r="H540" s="6" t="s">
        <v>2841</v>
      </c>
      <c r="I540" s="6" t="s">
        <v>3209</v>
      </c>
      <c r="J540" s="7" t="s">
        <v>1611</v>
      </c>
      <c r="K540" s="6" t="s">
        <v>1589</v>
      </c>
      <c r="L540" s="6" t="s">
        <v>1603</v>
      </c>
      <c r="M540" s="6" t="s">
        <v>3642</v>
      </c>
      <c r="N540" s="6" t="s">
        <v>1592</v>
      </c>
      <c r="O540" s="6" t="s">
        <v>1593</v>
      </c>
      <c r="P540" s="6" t="s">
        <v>1594</v>
      </c>
      <c r="Q540" s="7" t="s">
        <v>3641</v>
      </c>
      <c r="S540" s="6" t="s">
        <v>1595</v>
      </c>
      <c r="T540" s="6" t="s">
        <v>1605</v>
      </c>
    </row>
    <row r="541">
      <c r="A541" s="7" t="s">
        <v>3340</v>
      </c>
      <c r="B541" s="6" t="s">
        <v>1581</v>
      </c>
      <c r="C541" s="6" t="s">
        <v>1582</v>
      </c>
      <c r="D541" s="7" t="s">
        <v>3643</v>
      </c>
      <c r="E541" s="6" t="s">
        <v>3644</v>
      </c>
      <c r="F541" s="6" t="s">
        <v>3009</v>
      </c>
      <c r="G541" s="6" t="str">
        <f>IFERROR(__xludf.DUMMYFUNCTION("FILTER(RAW_met_lieux_inclusion_numeriq!B:B,RAW_met_lieux_inclusion_numeriq!B:B=F541)"),"#N/A")</f>
        <v>#N/A</v>
      </c>
      <c r="H541" s="6" t="s">
        <v>2664</v>
      </c>
      <c r="I541" s="6" t="s">
        <v>3645</v>
      </c>
      <c r="J541" s="7" t="s">
        <v>1588</v>
      </c>
      <c r="K541" s="6" t="s">
        <v>1589</v>
      </c>
      <c r="L541" s="6" t="s">
        <v>1590</v>
      </c>
      <c r="M541" s="6" t="s">
        <v>3646</v>
      </c>
      <c r="N541" s="6" t="s">
        <v>1592</v>
      </c>
      <c r="O541" s="6" t="s">
        <v>1593</v>
      </c>
      <c r="P541" s="6" t="s">
        <v>1594</v>
      </c>
      <c r="Q541" s="7" t="s">
        <v>3643</v>
      </c>
      <c r="S541" s="6" t="s">
        <v>1595</v>
      </c>
      <c r="T541" s="6" t="s">
        <v>1596</v>
      </c>
    </row>
    <row r="542">
      <c r="A542" s="7" t="s">
        <v>3420</v>
      </c>
      <c r="B542" s="6" t="s">
        <v>1581</v>
      </c>
      <c r="C542" s="6" t="s">
        <v>1582</v>
      </c>
      <c r="D542" s="7" t="s">
        <v>3643</v>
      </c>
      <c r="E542" s="6" t="s">
        <v>3647</v>
      </c>
      <c r="F542" s="6" t="s">
        <v>2801</v>
      </c>
      <c r="G542" s="6" t="str">
        <f>IFERROR(__xludf.DUMMYFUNCTION("FILTER(RAW_met_lieux_inclusion_numeriq!B:B,RAW_met_lieux_inclusion_numeriq!B:B=F542)"),"#N/A")</f>
        <v>#N/A</v>
      </c>
      <c r="H542" s="6" t="s">
        <v>2802</v>
      </c>
      <c r="I542" s="6" t="s">
        <v>3209</v>
      </c>
      <c r="J542" s="7" t="s">
        <v>1711</v>
      </c>
      <c r="K542" s="6" t="s">
        <v>1589</v>
      </c>
      <c r="L542" s="6" t="s">
        <v>1590</v>
      </c>
      <c r="M542" s="6" t="s">
        <v>3646</v>
      </c>
      <c r="N542" s="6" t="s">
        <v>1592</v>
      </c>
      <c r="O542" s="6" t="s">
        <v>1593</v>
      </c>
      <c r="P542" s="6" t="s">
        <v>1594</v>
      </c>
      <c r="Q542" s="7" t="s">
        <v>3643</v>
      </c>
      <c r="S542" s="6" t="s">
        <v>1595</v>
      </c>
      <c r="T542" s="6" t="s">
        <v>1596</v>
      </c>
    </row>
    <row r="543">
      <c r="A543" s="7" t="s">
        <v>3420</v>
      </c>
      <c r="B543" s="6" t="s">
        <v>1581</v>
      </c>
      <c r="C543" s="6" t="s">
        <v>1582</v>
      </c>
      <c r="D543" s="7" t="s">
        <v>3648</v>
      </c>
      <c r="E543" s="6" t="s">
        <v>3649</v>
      </c>
      <c r="F543" s="6" t="s">
        <v>3650</v>
      </c>
      <c r="G543" s="6" t="str">
        <f>IFERROR(__xludf.DUMMYFUNCTION("FILTER(RAW_met_lieux_inclusion_numeriq!B:B,RAW_met_lieux_inclusion_numeriq!B:B=F543)"),"#N/A")</f>
        <v>#N/A</v>
      </c>
      <c r="H543" s="6" t="s">
        <v>3651</v>
      </c>
      <c r="I543" s="6" t="s">
        <v>3652</v>
      </c>
      <c r="J543" s="7" t="s">
        <v>2212</v>
      </c>
      <c r="K543" s="6" t="s">
        <v>1589</v>
      </c>
      <c r="L543" s="6" t="s">
        <v>1603</v>
      </c>
      <c r="M543" s="6" t="s">
        <v>3653</v>
      </c>
      <c r="N543" s="6" t="s">
        <v>1592</v>
      </c>
      <c r="O543" s="6" t="s">
        <v>1593</v>
      </c>
      <c r="P543" s="6" t="s">
        <v>1594</v>
      </c>
      <c r="Q543" s="7" t="s">
        <v>3648</v>
      </c>
      <c r="S543" s="6" t="s">
        <v>1595</v>
      </c>
      <c r="T543" s="6" t="s">
        <v>1605</v>
      </c>
    </row>
    <row r="544">
      <c r="A544" s="7" t="s">
        <v>3420</v>
      </c>
      <c r="B544" s="6" t="s">
        <v>1581</v>
      </c>
      <c r="C544" s="6" t="s">
        <v>1582</v>
      </c>
      <c r="D544" s="7" t="s">
        <v>3654</v>
      </c>
      <c r="E544" s="6" t="s">
        <v>3655</v>
      </c>
      <c r="F544" s="6" t="s">
        <v>3656</v>
      </c>
      <c r="G544" s="6" t="str">
        <f>IFERROR(__xludf.DUMMYFUNCTION("FILTER(RAW_met_lieux_inclusion_numeriq!B:B,RAW_met_lieux_inclusion_numeriq!B:B=F544)"),"#N/A")</f>
        <v>#N/A</v>
      </c>
      <c r="H544" s="6" t="s">
        <v>2816</v>
      </c>
      <c r="I544" s="6" t="s">
        <v>3209</v>
      </c>
      <c r="J544" s="7" t="s">
        <v>1992</v>
      </c>
      <c r="K544" s="6" t="s">
        <v>1589</v>
      </c>
      <c r="L544" s="6" t="s">
        <v>1603</v>
      </c>
      <c r="M544" s="6" t="s">
        <v>3657</v>
      </c>
      <c r="N544" s="6" t="s">
        <v>1592</v>
      </c>
      <c r="O544" s="6" t="s">
        <v>1593</v>
      </c>
      <c r="P544" s="6" t="s">
        <v>1594</v>
      </c>
      <c r="Q544" s="7" t="s">
        <v>3654</v>
      </c>
      <c r="S544" s="6" t="s">
        <v>1595</v>
      </c>
      <c r="T544" s="6" t="s">
        <v>1596</v>
      </c>
    </row>
    <row r="545">
      <c r="A545" s="7" t="s">
        <v>3420</v>
      </c>
      <c r="B545" s="6" t="s">
        <v>1581</v>
      </c>
      <c r="C545" s="6" t="s">
        <v>1582</v>
      </c>
      <c r="D545" s="7" t="s">
        <v>3441</v>
      </c>
      <c r="E545" s="6" t="s">
        <v>3442</v>
      </c>
      <c r="F545" s="6" t="s">
        <v>3658</v>
      </c>
      <c r="G545" s="6" t="str">
        <f>IFERROR(__xludf.DUMMYFUNCTION("FILTER(RAW_met_lieux_inclusion_numeriq!B:B,RAW_met_lieux_inclusion_numeriq!B:B=F545)"),"#N/A")</f>
        <v>#N/A</v>
      </c>
      <c r="H545" s="6" t="s">
        <v>3659</v>
      </c>
      <c r="I545" s="6" t="s">
        <v>3443</v>
      </c>
      <c r="J545" s="7" t="s">
        <v>1671</v>
      </c>
      <c r="K545" s="6" t="s">
        <v>1589</v>
      </c>
      <c r="L545" s="6" t="s">
        <v>1603</v>
      </c>
      <c r="M545" s="6" t="s">
        <v>3444</v>
      </c>
      <c r="N545" s="6" t="s">
        <v>1592</v>
      </c>
      <c r="O545" s="6" t="s">
        <v>1593</v>
      </c>
      <c r="P545" s="6" t="s">
        <v>1594</v>
      </c>
      <c r="Q545" s="7" t="s">
        <v>3441</v>
      </c>
      <c r="S545" s="6" t="s">
        <v>1595</v>
      </c>
      <c r="T545" s="6" t="s">
        <v>1596</v>
      </c>
    </row>
    <row r="546">
      <c r="A546" s="7" t="s">
        <v>3179</v>
      </c>
      <c r="B546" s="6" t="s">
        <v>1581</v>
      </c>
      <c r="C546" s="6" t="s">
        <v>1582</v>
      </c>
      <c r="D546" s="7" t="s">
        <v>3660</v>
      </c>
      <c r="E546" s="6" t="s">
        <v>3661</v>
      </c>
      <c r="F546" s="6" t="s">
        <v>3662</v>
      </c>
      <c r="G546" s="6" t="str">
        <f>IFERROR(__xludf.DUMMYFUNCTION("FILTER(RAW_met_lieux_inclusion_numeriq!B:B,RAW_met_lieux_inclusion_numeriq!B:B=F546)"),"#N/A")</f>
        <v>#N/A</v>
      </c>
      <c r="H546" s="6" t="s">
        <v>1868</v>
      </c>
      <c r="I546" s="6" t="s">
        <v>3663</v>
      </c>
      <c r="J546" s="7" t="s">
        <v>3664</v>
      </c>
      <c r="K546" s="6" t="s">
        <v>1589</v>
      </c>
      <c r="L546" s="6" t="s">
        <v>1603</v>
      </c>
      <c r="M546" s="6" t="s">
        <v>3665</v>
      </c>
      <c r="N546" s="6" t="s">
        <v>1592</v>
      </c>
      <c r="O546" s="6" t="s">
        <v>1593</v>
      </c>
      <c r="P546" s="6" t="s">
        <v>1594</v>
      </c>
      <c r="Q546" s="7" t="s">
        <v>3660</v>
      </c>
      <c r="S546" s="6" t="s">
        <v>1595</v>
      </c>
      <c r="T546" s="6" t="s">
        <v>1605</v>
      </c>
    </row>
    <row r="547">
      <c r="A547" s="7" t="s">
        <v>3179</v>
      </c>
      <c r="B547" s="6" t="s">
        <v>1581</v>
      </c>
      <c r="C547" s="6" t="s">
        <v>1582</v>
      </c>
      <c r="D547" s="7" t="s">
        <v>3666</v>
      </c>
      <c r="E547" s="6" t="s">
        <v>3667</v>
      </c>
      <c r="F547" s="6" t="s">
        <v>3668</v>
      </c>
      <c r="G547" s="6" t="str">
        <f>IFERROR(__xludf.DUMMYFUNCTION("FILTER(RAW_met_lieux_inclusion_numeriq!B:B,RAW_met_lieux_inclusion_numeriq!B:B=F547)"),"#N/A")</f>
        <v>#N/A</v>
      </c>
      <c r="H547" s="6" t="s">
        <v>3669</v>
      </c>
      <c r="I547" s="6" t="s">
        <v>3670</v>
      </c>
      <c r="J547" s="7" t="s">
        <v>1671</v>
      </c>
      <c r="K547" s="6" t="s">
        <v>1589</v>
      </c>
      <c r="L547" s="6" t="s">
        <v>1603</v>
      </c>
      <c r="M547" s="6" t="s">
        <v>3671</v>
      </c>
      <c r="N547" s="6" t="s">
        <v>1592</v>
      </c>
      <c r="O547" s="6" t="s">
        <v>1593</v>
      </c>
      <c r="P547" s="6" t="s">
        <v>1594</v>
      </c>
      <c r="Q547" s="7" t="s">
        <v>3666</v>
      </c>
      <c r="S547" s="6" t="s">
        <v>1595</v>
      </c>
      <c r="T547" s="6" t="s">
        <v>1596</v>
      </c>
    </row>
    <row r="548">
      <c r="A548" s="7" t="s">
        <v>3179</v>
      </c>
      <c r="B548" s="6" t="s">
        <v>1581</v>
      </c>
      <c r="C548" s="6" t="s">
        <v>1582</v>
      </c>
      <c r="D548" s="7" t="s">
        <v>3672</v>
      </c>
      <c r="E548" s="6" t="s">
        <v>3673</v>
      </c>
      <c r="F548" s="6" t="s">
        <v>3674</v>
      </c>
      <c r="G548" s="6" t="str">
        <f>IFERROR(__xludf.DUMMYFUNCTION("FILTER(RAW_met_lieux_inclusion_numeriq!B:B,RAW_met_lieux_inclusion_numeriq!B:B=F548)"),"#N/A")</f>
        <v>#N/A</v>
      </c>
      <c r="H548" s="6" t="s">
        <v>3675</v>
      </c>
      <c r="I548" s="6" t="s">
        <v>3676</v>
      </c>
      <c r="J548" s="7" t="s">
        <v>1671</v>
      </c>
      <c r="K548" s="6" t="s">
        <v>1589</v>
      </c>
      <c r="L548" s="6" t="s">
        <v>1603</v>
      </c>
      <c r="M548" s="6" t="s">
        <v>3677</v>
      </c>
      <c r="N548" s="6" t="s">
        <v>1592</v>
      </c>
      <c r="O548" s="6" t="s">
        <v>1593</v>
      </c>
      <c r="P548" s="6" t="s">
        <v>1594</v>
      </c>
      <c r="Q548" s="7" t="s">
        <v>3672</v>
      </c>
      <c r="S548" s="6" t="s">
        <v>1595</v>
      </c>
      <c r="T548" s="6" t="s">
        <v>1596</v>
      </c>
    </row>
    <row r="549">
      <c r="A549" s="7" t="s">
        <v>3179</v>
      </c>
      <c r="B549" s="6" t="s">
        <v>1581</v>
      </c>
      <c r="C549" s="6" t="s">
        <v>1582</v>
      </c>
      <c r="D549" s="7" t="s">
        <v>3474</v>
      </c>
      <c r="E549" s="6" t="s">
        <v>3200</v>
      </c>
      <c r="F549" s="6" t="s">
        <v>3678</v>
      </c>
      <c r="G549" s="6" t="str">
        <f>IFERROR(__xludf.DUMMYFUNCTION("FILTER(RAW_met_lieux_inclusion_numeriq!B:B,RAW_met_lieux_inclusion_numeriq!B:B=F549)"),"#N/A")</f>
        <v>#N/A</v>
      </c>
      <c r="H549" s="6" t="s">
        <v>1719</v>
      </c>
      <c r="I549" s="6" t="s">
        <v>3066</v>
      </c>
      <c r="J549" s="7" t="s">
        <v>1677</v>
      </c>
      <c r="K549" s="6" t="s">
        <v>1589</v>
      </c>
      <c r="L549" s="6" t="s">
        <v>1603</v>
      </c>
      <c r="M549" s="6" t="s">
        <v>3477</v>
      </c>
      <c r="N549" s="6" t="s">
        <v>1592</v>
      </c>
      <c r="O549" s="6" t="s">
        <v>1593</v>
      </c>
      <c r="P549" s="6" t="s">
        <v>1594</v>
      </c>
      <c r="Q549" s="7" t="s">
        <v>3474</v>
      </c>
      <c r="S549" s="6" t="s">
        <v>1595</v>
      </c>
      <c r="T549" s="6" t="s">
        <v>1605</v>
      </c>
    </row>
    <row r="550">
      <c r="A550" s="7" t="s">
        <v>3179</v>
      </c>
      <c r="B550" s="6" t="s">
        <v>1581</v>
      </c>
      <c r="C550" s="6" t="s">
        <v>1582</v>
      </c>
      <c r="D550" s="7" t="s">
        <v>3470</v>
      </c>
      <c r="E550" s="6" t="s">
        <v>3200</v>
      </c>
      <c r="F550" s="6" t="s">
        <v>3679</v>
      </c>
      <c r="G550" s="6" t="str">
        <f>IFERROR(__xludf.DUMMYFUNCTION("FILTER(RAW_met_lieux_inclusion_numeriq!B:B,RAW_met_lieux_inclusion_numeriq!B:B=F550)"),"#N/A")</f>
        <v>#N/A</v>
      </c>
      <c r="H550" s="6" t="s">
        <v>2067</v>
      </c>
      <c r="I550" s="6" t="s">
        <v>3680</v>
      </c>
      <c r="J550" s="7" t="s">
        <v>1922</v>
      </c>
      <c r="K550" s="6" t="s">
        <v>1589</v>
      </c>
      <c r="L550" s="6" t="s">
        <v>1603</v>
      </c>
      <c r="M550" s="6" t="s">
        <v>3473</v>
      </c>
      <c r="N550" s="6" t="s">
        <v>1592</v>
      </c>
      <c r="O550" s="6" t="s">
        <v>1593</v>
      </c>
      <c r="P550" s="6" t="s">
        <v>1594</v>
      </c>
      <c r="Q550" s="7" t="s">
        <v>3470</v>
      </c>
      <c r="S550" s="6" t="s">
        <v>1595</v>
      </c>
      <c r="T550" s="6" t="s">
        <v>1634</v>
      </c>
    </row>
    <row r="551">
      <c r="A551" s="7" t="s">
        <v>3179</v>
      </c>
      <c r="B551" s="6" t="s">
        <v>1581</v>
      </c>
      <c r="C551" s="6" t="s">
        <v>1582</v>
      </c>
      <c r="D551" s="7" t="s">
        <v>3478</v>
      </c>
      <c r="E551" s="6" t="s">
        <v>3479</v>
      </c>
      <c r="F551" s="6" t="s">
        <v>3681</v>
      </c>
      <c r="G551" s="6" t="str">
        <f>IFERROR(__xludf.DUMMYFUNCTION("FILTER(RAW_met_lieux_inclusion_numeriq!B:B,RAW_met_lieux_inclusion_numeriq!B:B=F551)"),"#N/A")</f>
        <v>#N/A</v>
      </c>
      <c r="H551" s="6" t="s">
        <v>3682</v>
      </c>
      <c r="I551" s="6" t="s">
        <v>3209</v>
      </c>
      <c r="J551" s="7" t="s">
        <v>1832</v>
      </c>
      <c r="K551" s="6" t="s">
        <v>1589</v>
      </c>
      <c r="L551" s="6" t="s">
        <v>1603</v>
      </c>
      <c r="M551" s="6" t="s">
        <v>3481</v>
      </c>
      <c r="N551" s="6" t="s">
        <v>1592</v>
      </c>
      <c r="O551" s="6" t="s">
        <v>1593</v>
      </c>
      <c r="P551" s="6" t="s">
        <v>1594</v>
      </c>
      <c r="Q551" s="7" t="s">
        <v>3478</v>
      </c>
      <c r="S551" s="6" t="s">
        <v>1595</v>
      </c>
      <c r="T551" s="6" t="s">
        <v>1605</v>
      </c>
    </row>
    <row r="552">
      <c r="A552" s="7" t="s">
        <v>3215</v>
      </c>
      <c r="B552" s="6" t="s">
        <v>1581</v>
      </c>
      <c r="C552" s="6" t="s">
        <v>1582</v>
      </c>
      <c r="D552" s="7" t="s">
        <v>3478</v>
      </c>
      <c r="E552" s="6" t="s">
        <v>3479</v>
      </c>
      <c r="F552" s="6" t="s">
        <v>3254</v>
      </c>
      <c r="G552" s="6" t="str">
        <f>IFERROR(__xludf.DUMMYFUNCTION("FILTER(RAW_met_lieux_inclusion_numeriq!B:B,RAW_met_lieux_inclusion_numeriq!B:B=F552)"),"Maison de l'emploi de Bordeaux")</f>
        <v>Maison de l'emploi de Bordeaux</v>
      </c>
      <c r="H552" s="6" t="s">
        <v>1811</v>
      </c>
      <c r="I552" s="6" t="s">
        <v>3209</v>
      </c>
      <c r="J552" s="7" t="s">
        <v>2145</v>
      </c>
      <c r="K552" s="6" t="s">
        <v>1589</v>
      </c>
      <c r="L552" s="6" t="s">
        <v>1590</v>
      </c>
      <c r="M552" s="6" t="s">
        <v>3481</v>
      </c>
      <c r="N552" s="6" t="s">
        <v>1592</v>
      </c>
      <c r="O552" s="6" t="s">
        <v>1593</v>
      </c>
      <c r="P552" s="6" t="s">
        <v>1594</v>
      </c>
      <c r="Q552" s="7" t="s">
        <v>3478</v>
      </c>
      <c r="S552" s="6" t="s">
        <v>1595</v>
      </c>
      <c r="T552" s="6" t="s">
        <v>1596</v>
      </c>
    </row>
    <row r="553">
      <c r="A553" s="7" t="s">
        <v>3215</v>
      </c>
      <c r="B553" s="6" t="s">
        <v>1581</v>
      </c>
      <c r="C553" s="6" t="s">
        <v>1582</v>
      </c>
      <c r="D553" s="7" t="s">
        <v>3683</v>
      </c>
      <c r="E553" s="6" t="s">
        <v>3200</v>
      </c>
      <c r="F553" s="6" t="s">
        <v>2089</v>
      </c>
      <c r="G553" s="6" t="str">
        <f>IFERROR(__xludf.DUMMYFUNCTION("FILTER(RAW_met_lieux_inclusion_numeriq!B:B,RAW_met_lieux_inclusion_numeriq!B:B=F553)"),"#N/A")</f>
        <v>#N/A</v>
      </c>
      <c r="H553" s="6" t="s">
        <v>2090</v>
      </c>
      <c r="I553" s="6" t="s">
        <v>3684</v>
      </c>
      <c r="J553" s="7" t="s">
        <v>1651</v>
      </c>
      <c r="K553" s="6" t="s">
        <v>1589</v>
      </c>
      <c r="L553" s="6" t="s">
        <v>1603</v>
      </c>
      <c r="M553" s="6" t="s">
        <v>3685</v>
      </c>
      <c r="N553" s="6" t="s">
        <v>1592</v>
      </c>
      <c r="O553" s="6" t="s">
        <v>1593</v>
      </c>
      <c r="P553" s="6" t="s">
        <v>1594</v>
      </c>
      <c r="Q553" s="7" t="s">
        <v>3683</v>
      </c>
      <c r="S553" s="6" t="s">
        <v>1595</v>
      </c>
      <c r="T553" s="6" t="s">
        <v>1596</v>
      </c>
    </row>
    <row r="554">
      <c r="A554" s="7" t="s">
        <v>3215</v>
      </c>
      <c r="B554" s="6" t="s">
        <v>1581</v>
      </c>
      <c r="C554" s="6" t="s">
        <v>1582</v>
      </c>
      <c r="D554" s="7" t="s">
        <v>3179</v>
      </c>
      <c r="E554" s="6" t="s">
        <v>3686</v>
      </c>
      <c r="F554" s="6" t="s">
        <v>3687</v>
      </c>
      <c r="G554" s="6" t="str">
        <f>IFERROR(__xludf.DUMMYFUNCTION("FILTER(RAW_met_lieux_inclusion_numeriq!B:B,RAW_met_lieux_inclusion_numeriq!B:B=F554)"),"#N/A")</f>
        <v>#N/A</v>
      </c>
      <c r="H554" s="6" t="s">
        <v>3688</v>
      </c>
      <c r="I554" s="6" t="s">
        <v>3209</v>
      </c>
      <c r="J554" s="7" t="s">
        <v>2619</v>
      </c>
      <c r="K554" s="6" t="s">
        <v>1589</v>
      </c>
      <c r="L554" s="6" t="s">
        <v>1603</v>
      </c>
      <c r="M554" s="6" t="s">
        <v>3497</v>
      </c>
      <c r="N554" s="6" t="s">
        <v>1592</v>
      </c>
      <c r="O554" s="6" t="s">
        <v>1593</v>
      </c>
      <c r="P554" s="6" t="s">
        <v>1594</v>
      </c>
      <c r="Q554" s="7" t="s">
        <v>3179</v>
      </c>
      <c r="S554" s="6" t="s">
        <v>1595</v>
      </c>
      <c r="T554" s="6" t="s">
        <v>1634</v>
      </c>
    </row>
    <row r="555">
      <c r="A555" s="7" t="s">
        <v>3215</v>
      </c>
      <c r="B555" s="6" t="s">
        <v>1581</v>
      </c>
      <c r="C555" s="6" t="s">
        <v>1582</v>
      </c>
      <c r="D555" s="7" t="s">
        <v>3689</v>
      </c>
      <c r="E555" s="6" t="s">
        <v>3200</v>
      </c>
      <c r="F555" s="6" t="s">
        <v>1674</v>
      </c>
      <c r="G555" s="6" t="str">
        <f>IFERROR(__xludf.DUMMYFUNCTION("FILTER(RAW_met_lieux_inclusion_numeriq!B:B,RAW_met_lieux_inclusion_numeriq!B:B=F555)"),"#N/A")</f>
        <v>#N/A</v>
      </c>
      <c r="H555" s="6" t="s">
        <v>1713</v>
      </c>
      <c r="I555" s="6" t="s">
        <v>3690</v>
      </c>
      <c r="J555" s="7" t="s">
        <v>1677</v>
      </c>
      <c r="K555" s="6" t="s">
        <v>1589</v>
      </c>
      <c r="L555" s="6" t="s">
        <v>1603</v>
      </c>
      <c r="M555" s="6" t="s">
        <v>3691</v>
      </c>
      <c r="N555" s="6" t="s">
        <v>1592</v>
      </c>
      <c r="O555" s="6" t="s">
        <v>1593</v>
      </c>
      <c r="P555" s="6" t="s">
        <v>1594</v>
      </c>
      <c r="Q555" s="7" t="s">
        <v>3689</v>
      </c>
      <c r="S555" s="6" t="s">
        <v>1595</v>
      </c>
      <c r="T555" s="6" t="s">
        <v>1605</v>
      </c>
    </row>
    <row r="556">
      <c r="A556" s="7" t="s">
        <v>3215</v>
      </c>
      <c r="B556" s="6" t="s">
        <v>1581</v>
      </c>
      <c r="C556" s="6" t="s">
        <v>1582</v>
      </c>
      <c r="D556" s="7" t="s">
        <v>3478</v>
      </c>
      <c r="E556" s="6" t="s">
        <v>3479</v>
      </c>
      <c r="F556" s="6" t="s">
        <v>3615</v>
      </c>
      <c r="G556" s="6" t="str">
        <f>IFERROR(__xludf.DUMMYFUNCTION("FILTER(RAW_met_lieux_inclusion_numeriq!B:B,RAW_met_lieux_inclusion_numeriq!B:B=F556)"),"#N/A")</f>
        <v>#N/A</v>
      </c>
      <c r="H556" s="6" t="s">
        <v>3616</v>
      </c>
      <c r="I556" s="6" t="s">
        <v>3190</v>
      </c>
      <c r="J556" s="7" t="s">
        <v>1677</v>
      </c>
      <c r="K556" s="6" t="s">
        <v>1589</v>
      </c>
      <c r="L556" s="6" t="s">
        <v>1590</v>
      </c>
      <c r="M556" s="6" t="s">
        <v>3481</v>
      </c>
      <c r="N556" s="6" t="s">
        <v>1592</v>
      </c>
      <c r="O556" s="6" t="s">
        <v>1593</v>
      </c>
      <c r="P556" s="6" t="s">
        <v>1594</v>
      </c>
      <c r="Q556" s="7" t="s">
        <v>3478</v>
      </c>
      <c r="S556" s="6" t="s">
        <v>1595</v>
      </c>
      <c r="T556" s="6" t="s">
        <v>1605</v>
      </c>
    </row>
    <row r="557">
      <c r="A557" s="7" t="s">
        <v>3215</v>
      </c>
      <c r="B557" s="6" t="s">
        <v>1581</v>
      </c>
      <c r="C557" s="6" t="s">
        <v>1582</v>
      </c>
      <c r="D557" s="7" t="s">
        <v>3474</v>
      </c>
      <c r="E557" s="6" t="s">
        <v>3200</v>
      </c>
      <c r="F557" s="6" t="s">
        <v>1708</v>
      </c>
      <c r="G557" s="6" t="str">
        <f>IFERROR(__xludf.DUMMYFUNCTION("FILTER(RAW_met_lieux_inclusion_numeriq!B:B,RAW_met_lieux_inclusion_numeriq!B:B=F557)"),"#N/A")</f>
        <v>#N/A</v>
      </c>
      <c r="H557" s="6" t="s">
        <v>1709</v>
      </c>
      <c r="I557" s="6" t="s">
        <v>3692</v>
      </c>
      <c r="J557" s="7" t="s">
        <v>1671</v>
      </c>
      <c r="K557" s="6" t="s">
        <v>1589</v>
      </c>
      <c r="L557" s="6" t="s">
        <v>1603</v>
      </c>
      <c r="M557" s="6" t="s">
        <v>3477</v>
      </c>
      <c r="N557" s="6" t="s">
        <v>1592</v>
      </c>
      <c r="O557" s="6" t="s">
        <v>1593</v>
      </c>
      <c r="P557" s="6" t="s">
        <v>1594</v>
      </c>
      <c r="Q557" s="7" t="s">
        <v>3474</v>
      </c>
      <c r="S557" s="6" t="s">
        <v>1595</v>
      </c>
      <c r="T557" s="6" t="s">
        <v>1596</v>
      </c>
    </row>
    <row r="558">
      <c r="A558" s="7" t="s">
        <v>3215</v>
      </c>
      <c r="B558" s="6" t="s">
        <v>1581</v>
      </c>
      <c r="C558" s="6" t="s">
        <v>1582</v>
      </c>
      <c r="D558" s="7" t="s">
        <v>3693</v>
      </c>
      <c r="E558" s="6" t="s">
        <v>3694</v>
      </c>
      <c r="F558" s="6" t="s">
        <v>2272</v>
      </c>
      <c r="G558" s="6" t="str">
        <f>IFERROR(__xludf.DUMMYFUNCTION("FILTER(RAW_met_lieux_inclusion_numeriq!B:B,RAW_met_lieux_inclusion_numeriq!B:B=F558)"),"#N/A")</f>
        <v>#N/A</v>
      </c>
      <c r="H558" s="6" t="s">
        <v>1892</v>
      </c>
      <c r="I558" s="6" t="s">
        <v>3190</v>
      </c>
      <c r="J558" s="7" t="s">
        <v>1893</v>
      </c>
      <c r="K558" s="6" t="s">
        <v>1589</v>
      </c>
      <c r="L558" s="6" t="s">
        <v>1603</v>
      </c>
      <c r="M558" s="6" t="s">
        <v>3695</v>
      </c>
      <c r="N558" s="6" t="s">
        <v>1592</v>
      </c>
      <c r="O558" s="6" t="s">
        <v>1593</v>
      </c>
      <c r="P558" s="6" t="s">
        <v>1594</v>
      </c>
      <c r="Q558" s="7" t="s">
        <v>3693</v>
      </c>
      <c r="S558" s="6" t="s">
        <v>1595</v>
      </c>
      <c r="T558" s="6" t="s">
        <v>1634</v>
      </c>
    </row>
    <row r="559">
      <c r="A559" s="7" t="s">
        <v>3215</v>
      </c>
      <c r="B559" s="6" t="s">
        <v>1581</v>
      </c>
      <c r="C559" s="6" t="s">
        <v>1582</v>
      </c>
      <c r="D559" s="7" t="s">
        <v>3538</v>
      </c>
      <c r="E559" s="6" t="s">
        <v>3696</v>
      </c>
      <c r="F559" s="6" t="s">
        <v>3697</v>
      </c>
      <c r="G559" s="6" t="str">
        <f>IFERROR(__xludf.DUMMYFUNCTION("FILTER(RAW_met_lieux_inclusion_numeriq!B:B,RAW_met_lieux_inclusion_numeriq!B:B=F559)"),"#N/A")</f>
        <v>#N/A</v>
      </c>
      <c r="H559" s="6" t="s">
        <v>3698</v>
      </c>
      <c r="I559" s="6" t="s">
        <v>3206</v>
      </c>
      <c r="J559" s="7" t="s">
        <v>3699</v>
      </c>
      <c r="K559" s="6" t="s">
        <v>1589</v>
      </c>
      <c r="L559" s="6" t="s">
        <v>1603</v>
      </c>
      <c r="M559" s="6" t="s">
        <v>3541</v>
      </c>
      <c r="N559" s="6" t="s">
        <v>1592</v>
      </c>
      <c r="O559" s="6" t="s">
        <v>1593</v>
      </c>
      <c r="P559" s="6" t="s">
        <v>1594</v>
      </c>
      <c r="Q559" s="7" t="s">
        <v>3538</v>
      </c>
      <c r="S559" s="6" t="s">
        <v>1595</v>
      </c>
      <c r="T559" s="6" t="s">
        <v>1596</v>
      </c>
    </row>
    <row r="560">
      <c r="A560" s="7" t="s">
        <v>3215</v>
      </c>
      <c r="B560" s="6" t="s">
        <v>1581</v>
      </c>
      <c r="C560" s="6" t="s">
        <v>1582</v>
      </c>
      <c r="D560" s="7" t="s">
        <v>3227</v>
      </c>
      <c r="E560" s="6" t="s">
        <v>3700</v>
      </c>
      <c r="F560" s="6" t="s">
        <v>3701</v>
      </c>
      <c r="G560" s="6" t="str">
        <f>IFERROR(__xludf.DUMMYFUNCTION("FILTER(RAW_met_lieux_inclusion_numeriq!B:B,RAW_met_lieux_inclusion_numeriq!B:B=F560)"),"#N/A")</f>
        <v>#N/A</v>
      </c>
      <c r="H560" s="6" t="s">
        <v>1643</v>
      </c>
      <c r="I560" s="6" t="s">
        <v>3190</v>
      </c>
      <c r="J560" s="7" t="s">
        <v>3054</v>
      </c>
      <c r="K560" s="6" t="s">
        <v>1589</v>
      </c>
      <c r="L560" s="6" t="s">
        <v>1603</v>
      </c>
      <c r="M560" s="6" t="s">
        <v>3230</v>
      </c>
      <c r="N560" s="6" t="s">
        <v>1592</v>
      </c>
      <c r="O560" s="6" t="s">
        <v>1593</v>
      </c>
      <c r="P560" s="6" t="s">
        <v>1594</v>
      </c>
      <c r="Q560" s="7" t="s">
        <v>3227</v>
      </c>
      <c r="S560" s="6" t="s">
        <v>1595</v>
      </c>
      <c r="T560" s="6" t="s">
        <v>1645</v>
      </c>
    </row>
    <row r="561">
      <c r="A561" s="7" t="s">
        <v>3215</v>
      </c>
      <c r="B561" s="6" t="s">
        <v>1581</v>
      </c>
      <c r="C561" s="6" t="s">
        <v>1582</v>
      </c>
      <c r="D561" s="7" t="s">
        <v>3702</v>
      </c>
      <c r="E561" s="6" t="s">
        <v>3703</v>
      </c>
      <c r="F561" s="6" t="s">
        <v>3704</v>
      </c>
      <c r="G561" s="6" t="str">
        <f>IFERROR(__xludf.DUMMYFUNCTION("FILTER(RAW_met_lieux_inclusion_numeriq!B:B,RAW_met_lieux_inclusion_numeriq!B:B=F561)"),"#N/A")</f>
        <v>#N/A</v>
      </c>
      <c r="H561" s="6" t="s">
        <v>2874</v>
      </c>
      <c r="I561" s="6" t="s">
        <v>3190</v>
      </c>
      <c r="J561" s="7" t="s">
        <v>3705</v>
      </c>
      <c r="K561" s="6" t="s">
        <v>1589</v>
      </c>
      <c r="L561" s="6" t="s">
        <v>1603</v>
      </c>
      <c r="M561" s="6" t="s">
        <v>3706</v>
      </c>
      <c r="N561" s="6" t="s">
        <v>1592</v>
      </c>
      <c r="O561" s="6" t="s">
        <v>1593</v>
      </c>
      <c r="P561" s="6" t="s">
        <v>1594</v>
      </c>
      <c r="Q561" s="7" t="s">
        <v>3702</v>
      </c>
      <c r="S561" s="6" t="s">
        <v>1595</v>
      </c>
      <c r="T561" s="6" t="s">
        <v>1634</v>
      </c>
    </row>
    <row r="562">
      <c r="A562" s="7" t="s">
        <v>3261</v>
      </c>
      <c r="B562" s="6" t="s">
        <v>1581</v>
      </c>
      <c r="C562" s="6" t="s">
        <v>1582</v>
      </c>
      <c r="D562" s="7" t="s">
        <v>3553</v>
      </c>
      <c r="E562" s="6" t="s">
        <v>3284</v>
      </c>
      <c r="F562" s="6" t="s">
        <v>2934</v>
      </c>
      <c r="G562" s="6" t="str">
        <f>IFERROR(__xludf.DUMMYFUNCTION("FILTER(RAW_met_lieux_inclusion_numeriq!B:B,RAW_met_lieux_inclusion_numeriq!B:B=F562)"),"#N/A")</f>
        <v>#N/A</v>
      </c>
      <c r="H562" s="6" t="s">
        <v>1762</v>
      </c>
      <c r="I562" s="6" t="s">
        <v>3190</v>
      </c>
      <c r="J562" s="7" t="s">
        <v>1764</v>
      </c>
      <c r="K562" s="6" t="s">
        <v>1589</v>
      </c>
      <c r="L562" s="6" t="s">
        <v>1603</v>
      </c>
      <c r="M562" s="6" t="s">
        <v>3557</v>
      </c>
      <c r="N562" s="6" t="s">
        <v>1592</v>
      </c>
      <c r="O562" s="6" t="s">
        <v>1593</v>
      </c>
      <c r="P562" s="6" t="s">
        <v>1594</v>
      </c>
      <c r="Q562" s="7" t="s">
        <v>3553</v>
      </c>
      <c r="S562" s="6" t="s">
        <v>1595</v>
      </c>
      <c r="T562" s="6" t="s">
        <v>1605</v>
      </c>
    </row>
    <row r="563">
      <c r="A563" s="7" t="s">
        <v>3261</v>
      </c>
      <c r="B563" s="6" t="s">
        <v>1581</v>
      </c>
      <c r="C563" s="6" t="s">
        <v>1582</v>
      </c>
      <c r="D563" s="7" t="s">
        <v>3707</v>
      </c>
      <c r="E563" s="6" t="s">
        <v>3708</v>
      </c>
      <c r="F563" s="6" t="s">
        <v>1702</v>
      </c>
      <c r="G563" s="6" t="str">
        <f>IFERROR(__xludf.DUMMYFUNCTION("FILTER(RAW_met_lieux_inclusion_numeriq!B:B,RAW_met_lieux_inclusion_numeriq!B:B=F563)"),"#N/A")</f>
        <v>#N/A</v>
      </c>
      <c r="H563" s="6" t="s">
        <v>1703</v>
      </c>
      <c r="I563" s="6" t="s">
        <v>3190</v>
      </c>
      <c r="J563" s="7" t="s">
        <v>3709</v>
      </c>
      <c r="K563" s="6" t="s">
        <v>1589</v>
      </c>
      <c r="L563" s="6" t="s">
        <v>1603</v>
      </c>
      <c r="M563" s="6" t="s">
        <v>3710</v>
      </c>
      <c r="N563" s="6" t="s">
        <v>1592</v>
      </c>
      <c r="O563" s="6" t="s">
        <v>1593</v>
      </c>
      <c r="P563" s="6" t="s">
        <v>1594</v>
      </c>
      <c r="Q563" s="7" t="s">
        <v>3707</v>
      </c>
      <c r="S563" s="6" t="s">
        <v>1595</v>
      </c>
      <c r="T563" s="6" t="s">
        <v>1596</v>
      </c>
    </row>
    <row r="564">
      <c r="A564" s="7" t="s">
        <v>3261</v>
      </c>
      <c r="B564" s="6" t="s">
        <v>1581</v>
      </c>
      <c r="C564" s="6" t="s">
        <v>1582</v>
      </c>
      <c r="D564" s="7" t="s">
        <v>3277</v>
      </c>
      <c r="E564" s="6" t="s">
        <v>3284</v>
      </c>
      <c r="F564" s="6" t="s">
        <v>3486</v>
      </c>
      <c r="G564" s="6" t="str">
        <f>IFERROR(__xludf.DUMMYFUNCTION("FILTER(RAW_met_lieux_inclusion_numeriq!B:B,RAW_met_lieux_inclusion_numeriq!B:B=F564)"),"#N/A")</f>
        <v>#N/A</v>
      </c>
      <c r="H564" s="6" t="s">
        <v>2642</v>
      </c>
      <c r="I564" s="6" t="s">
        <v>3190</v>
      </c>
      <c r="J564" s="7" t="s">
        <v>1611</v>
      </c>
      <c r="K564" s="6" t="s">
        <v>1589</v>
      </c>
      <c r="L564" s="6" t="s">
        <v>1603</v>
      </c>
      <c r="M564" s="6" t="s">
        <v>3279</v>
      </c>
      <c r="N564" s="6" t="s">
        <v>1592</v>
      </c>
      <c r="O564" s="6" t="s">
        <v>1593</v>
      </c>
      <c r="P564" s="6" t="s">
        <v>1594</v>
      </c>
      <c r="Q564" s="7" t="s">
        <v>3277</v>
      </c>
      <c r="S564" s="6" t="s">
        <v>1595</v>
      </c>
      <c r="T564" s="6" t="s">
        <v>1605</v>
      </c>
    </row>
    <row r="565">
      <c r="A565" s="7" t="s">
        <v>3261</v>
      </c>
      <c r="B565" s="6" t="s">
        <v>1581</v>
      </c>
      <c r="C565" s="6" t="s">
        <v>1582</v>
      </c>
      <c r="D565" s="7" t="s">
        <v>3283</v>
      </c>
      <c r="E565" s="6" t="s">
        <v>3284</v>
      </c>
      <c r="F565" s="6" t="s">
        <v>3285</v>
      </c>
      <c r="G565" s="6" t="str">
        <f>IFERROR(__xludf.DUMMYFUNCTION("FILTER(RAW_met_lieux_inclusion_numeriq!B:B,RAW_met_lieux_inclusion_numeriq!B:B=F565)"),"#N/A")</f>
        <v>#N/A</v>
      </c>
      <c r="H565" s="6" t="s">
        <v>1966</v>
      </c>
      <c r="I565" s="6" t="s">
        <v>3574</v>
      </c>
      <c r="J565" s="7" t="s">
        <v>1992</v>
      </c>
      <c r="K565" s="6" t="s">
        <v>1589</v>
      </c>
      <c r="L565" s="6" t="s">
        <v>1590</v>
      </c>
      <c r="M565" s="6" t="s">
        <v>3287</v>
      </c>
      <c r="N565" s="6" t="s">
        <v>1592</v>
      </c>
      <c r="O565" s="6" t="s">
        <v>1593</v>
      </c>
      <c r="P565" s="6" t="s">
        <v>1594</v>
      </c>
      <c r="Q565" s="7" t="s">
        <v>3283</v>
      </c>
      <c r="S565" s="6" t="s">
        <v>1595</v>
      </c>
      <c r="T565" s="6" t="s">
        <v>1596</v>
      </c>
    </row>
    <row r="566">
      <c r="A566" s="7" t="s">
        <v>3261</v>
      </c>
      <c r="B566" s="6" t="s">
        <v>1581</v>
      </c>
      <c r="C566" s="6" t="s">
        <v>1582</v>
      </c>
      <c r="D566" s="7" t="s">
        <v>3711</v>
      </c>
      <c r="E566" s="6" t="s">
        <v>3284</v>
      </c>
      <c r="F566" s="6" t="s">
        <v>1984</v>
      </c>
      <c r="G566" s="6" t="str">
        <f>IFERROR(__xludf.DUMMYFUNCTION("FILTER(RAW_met_lieux_inclusion_numeriq!B:B,RAW_met_lieux_inclusion_numeriq!B:B=F566)"),"#N/A")</f>
        <v>#N/A</v>
      </c>
      <c r="H566" s="6" t="s">
        <v>1985</v>
      </c>
      <c r="I566" s="6" t="s">
        <v>3190</v>
      </c>
      <c r="J566" s="7" t="s">
        <v>3150</v>
      </c>
      <c r="K566" s="6" t="s">
        <v>1589</v>
      </c>
      <c r="L566" s="6" t="s">
        <v>1603</v>
      </c>
      <c r="M566" s="6" t="s">
        <v>3712</v>
      </c>
      <c r="N566" s="6" t="s">
        <v>1592</v>
      </c>
      <c r="O566" s="6" t="s">
        <v>1593</v>
      </c>
      <c r="P566" s="6" t="s">
        <v>1594</v>
      </c>
      <c r="Q566" s="7" t="s">
        <v>3711</v>
      </c>
      <c r="S566" s="6" t="s">
        <v>1595</v>
      </c>
      <c r="T566" s="6" t="s">
        <v>1605</v>
      </c>
    </row>
    <row r="567">
      <c r="A567" s="7" t="s">
        <v>3261</v>
      </c>
      <c r="B567" s="6" t="s">
        <v>1581</v>
      </c>
      <c r="C567" s="6" t="s">
        <v>1582</v>
      </c>
      <c r="D567" s="7" t="s">
        <v>3330</v>
      </c>
      <c r="E567" s="6" t="s">
        <v>3342</v>
      </c>
      <c r="F567" s="6" t="s">
        <v>1695</v>
      </c>
      <c r="G567" s="6" t="str">
        <f>IFERROR(__xludf.DUMMYFUNCTION("FILTER(RAW_met_lieux_inclusion_numeriq!B:B,RAW_met_lieux_inclusion_numeriq!B:B=F567)"),"#N/A")</f>
        <v>#N/A</v>
      </c>
      <c r="H567" s="6" t="s">
        <v>1696</v>
      </c>
      <c r="I567" s="6" t="s">
        <v>3713</v>
      </c>
      <c r="J567" s="7" t="s">
        <v>2166</v>
      </c>
      <c r="K567" s="6" t="s">
        <v>1589</v>
      </c>
      <c r="L567" s="6" t="s">
        <v>1603</v>
      </c>
      <c r="M567" s="6" t="s">
        <v>3334</v>
      </c>
      <c r="N567" s="6" t="s">
        <v>1592</v>
      </c>
      <c r="O567" s="6" t="s">
        <v>1593</v>
      </c>
      <c r="P567" s="6" t="s">
        <v>1594</v>
      </c>
      <c r="Q567" s="7" t="s">
        <v>3330</v>
      </c>
      <c r="S567" s="6" t="s">
        <v>1595</v>
      </c>
      <c r="T567" s="6" t="s">
        <v>1596</v>
      </c>
    </row>
    <row r="568">
      <c r="A568" s="7" t="s">
        <v>3261</v>
      </c>
      <c r="B568" s="6" t="s">
        <v>1581</v>
      </c>
      <c r="C568" s="6" t="s">
        <v>1582</v>
      </c>
      <c r="D568" s="7" t="s">
        <v>3538</v>
      </c>
      <c r="E568" s="6" t="s">
        <v>3714</v>
      </c>
      <c r="F568" s="6" t="s">
        <v>1796</v>
      </c>
      <c r="G568" s="6" t="str">
        <f>IFERROR(__xludf.DUMMYFUNCTION("FILTER(RAW_met_lieux_inclusion_numeriq!B:B,RAW_met_lieux_inclusion_numeriq!B:B=F568)"),"#N/A")</f>
        <v>#N/A</v>
      </c>
      <c r="H568" s="6" t="s">
        <v>1797</v>
      </c>
      <c r="I568" s="6" t="s">
        <v>3190</v>
      </c>
      <c r="J568" s="7" t="s">
        <v>1798</v>
      </c>
      <c r="K568" s="6" t="s">
        <v>1589</v>
      </c>
      <c r="L568" s="6" t="s">
        <v>1603</v>
      </c>
      <c r="M568" s="6" t="s">
        <v>3541</v>
      </c>
      <c r="N568" s="6" t="s">
        <v>1592</v>
      </c>
      <c r="O568" s="6" t="s">
        <v>1593</v>
      </c>
      <c r="P568" s="6" t="s">
        <v>1594</v>
      </c>
      <c r="Q568" s="7" t="s">
        <v>3538</v>
      </c>
      <c r="S568" s="6" t="s">
        <v>1595</v>
      </c>
      <c r="T568" s="6" t="s">
        <v>1634</v>
      </c>
    </row>
    <row r="569">
      <c r="A569" s="7" t="s">
        <v>3261</v>
      </c>
      <c r="B569" s="6" t="s">
        <v>1581</v>
      </c>
      <c r="C569" s="6" t="s">
        <v>1582</v>
      </c>
      <c r="D569" s="7" t="s">
        <v>3319</v>
      </c>
      <c r="E569" s="6" t="s">
        <v>3300</v>
      </c>
      <c r="F569" s="6" t="s">
        <v>3715</v>
      </c>
      <c r="G569" s="6" t="str">
        <f>IFERROR(__xludf.DUMMYFUNCTION("FILTER(RAW_met_lieux_inclusion_numeriq!B:B,RAW_met_lieux_inclusion_numeriq!B:B=F569)"),"#N/A")</f>
        <v>#N/A</v>
      </c>
      <c r="H569" s="6" t="s">
        <v>2748</v>
      </c>
      <c r="I569" s="6" t="s">
        <v>3190</v>
      </c>
      <c r="J569" s="7" t="s">
        <v>3716</v>
      </c>
      <c r="K569" s="6" t="s">
        <v>1589</v>
      </c>
      <c r="L569" s="6" t="s">
        <v>1603</v>
      </c>
      <c r="M569" s="6" t="s">
        <v>3325</v>
      </c>
      <c r="N569" s="6" t="s">
        <v>1592</v>
      </c>
      <c r="O569" s="6" t="s">
        <v>1593</v>
      </c>
      <c r="P569" s="6" t="s">
        <v>1594</v>
      </c>
      <c r="Q569" s="7" t="s">
        <v>3319</v>
      </c>
      <c r="S569" s="6" t="s">
        <v>1595</v>
      </c>
      <c r="T569" s="6" t="s">
        <v>1596</v>
      </c>
    </row>
    <row r="570">
      <c r="A570" s="7" t="s">
        <v>3261</v>
      </c>
      <c r="B570" s="6" t="s">
        <v>1581</v>
      </c>
      <c r="C570" s="6" t="s">
        <v>1582</v>
      </c>
      <c r="D570" s="7" t="s">
        <v>3283</v>
      </c>
      <c r="E570" s="6" t="s">
        <v>3284</v>
      </c>
      <c r="F570" s="6" t="s">
        <v>1825</v>
      </c>
      <c r="G570" s="6" t="str">
        <f>IFERROR(__xludf.DUMMYFUNCTION("FILTER(RAW_met_lieux_inclusion_numeriq!B:B,RAW_met_lieux_inclusion_numeriq!B:B=F570)"),"#N/A")</f>
        <v>#N/A</v>
      </c>
      <c r="H570" s="6" t="s">
        <v>1959</v>
      </c>
      <c r="I570" s="6" t="s">
        <v>3468</v>
      </c>
      <c r="J570" s="7" t="s">
        <v>3168</v>
      </c>
      <c r="K570" s="6" t="s">
        <v>1589</v>
      </c>
      <c r="L570" s="6" t="s">
        <v>1603</v>
      </c>
      <c r="M570" s="6" t="s">
        <v>3287</v>
      </c>
      <c r="N570" s="6" t="s">
        <v>1592</v>
      </c>
      <c r="O570" s="6" t="s">
        <v>1593</v>
      </c>
      <c r="P570" s="6" t="s">
        <v>1594</v>
      </c>
      <c r="Q570" s="7" t="s">
        <v>3283</v>
      </c>
      <c r="S570" s="6" t="s">
        <v>1595</v>
      </c>
      <c r="T570" s="6" t="s">
        <v>1605</v>
      </c>
    </row>
    <row r="571">
      <c r="A571" s="7" t="s">
        <v>3340</v>
      </c>
      <c r="B571" s="6" t="s">
        <v>1581</v>
      </c>
      <c r="C571" s="6" t="s">
        <v>1582</v>
      </c>
      <c r="D571" s="7" t="s">
        <v>3445</v>
      </c>
      <c r="E571" s="6" t="s">
        <v>3372</v>
      </c>
      <c r="F571" s="6" t="s">
        <v>2777</v>
      </c>
      <c r="G571" s="6" t="str">
        <f>IFERROR(__xludf.DUMMYFUNCTION("FILTER(RAW_met_lieux_inclusion_numeriq!B:B,RAW_met_lieux_inclusion_numeriq!B:B=F571)"),"#N/A")</f>
        <v>#N/A</v>
      </c>
      <c r="H571" s="6" t="s">
        <v>2147</v>
      </c>
      <c r="I571" s="6" t="s">
        <v>3190</v>
      </c>
      <c r="J571" s="7" t="s">
        <v>3717</v>
      </c>
      <c r="K571" s="6" t="s">
        <v>1589</v>
      </c>
      <c r="L571" s="6" t="s">
        <v>1603</v>
      </c>
      <c r="M571" s="6" t="s">
        <v>3450</v>
      </c>
      <c r="N571" s="6" t="s">
        <v>1592</v>
      </c>
      <c r="O571" s="6" t="s">
        <v>1593</v>
      </c>
      <c r="P571" s="6" t="s">
        <v>1594</v>
      </c>
      <c r="Q571" s="7" t="s">
        <v>3445</v>
      </c>
      <c r="S571" s="6" t="s">
        <v>1595</v>
      </c>
      <c r="T571" s="6" t="s">
        <v>1634</v>
      </c>
    </row>
    <row r="572">
      <c r="A572" s="7" t="s">
        <v>3340</v>
      </c>
      <c r="B572" s="6" t="s">
        <v>1581</v>
      </c>
      <c r="C572" s="6" t="s">
        <v>1582</v>
      </c>
      <c r="D572" s="7" t="s">
        <v>3718</v>
      </c>
      <c r="E572" s="6" t="s">
        <v>3357</v>
      </c>
      <c r="F572" s="6" t="s">
        <v>1821</v>
      </c>
      <c r="G572" s="6" t="str">
        <f>IFERROR(__xludf.DUMMYFUNCTION("FILTER(RAW_met_lieux_inclusion_numeriq!B:B,RAW_met_lieux_inclusion_numeriq!B:B=F572)"),"#N/A")</f>
        <v>#N/A</v>
      </c>
      <c r="H572" s="6" t="s">
        <v>3123</v>
      </c>
      <c r="I572" s="6" t="s">
        <v>3363</v>
      </c>
      <c r="J572" s="7" t="s">
        <v>2824</v>
      </c>
      <c r="K572" s="6" t="s">
        <v>1589</v>
      </c>
      <c r="L572" s="6" t="s">
        <v>1590</v>
      </c>
      <c r="M572" s="6" t="s">
        <v>3719</v>
      </c>
      <c r="N572" s="6" t="s">
        <v>1592</v>
      </c>
      <c r="O572" s="6" t="s">
        <v>1593</v>
      </c>
      <c r="P572" s="6" t="s">
        <v>1594</v>
      </c>
      <c r="Q572" s="7" t="s">
        <v>3718</v>
      </c>
      <c r="S572" s="6" t="s">
        <v>1595</v>
      </c>
      <c r="T572" s="6" t="s">
        <v>1596</v>
      </c>
    </row>
    <row r="573">
      <c r="A573" s="7" t="s">
        <v>3340</v>
      </c>
      <c r="B573" s="6" t="s">
        <v>1581</v>
      </c>
      <c r="C573" s="6" t="s">
        <v>1582</v>
      </c>
      <c r="D573" s="7" t="s">
        <v>3720</v>
      </c>
      <c r="E573" s="6" t="s">
        <v>3357</v>
      </c>
      <c r="F573" s="6" t="s">
        <v>2071</v>
      </c>
      <c r="G573" s="6" t="str">
        <f>IFERROR(__xludf.DUMMYFUNCTION("FILTER(RAW_met_lieux_inclusion_numeriq!B:B,RAW_met_lieux_inclusion_numeriq!B:B=F573)"),"#N/A")</f>
        <v>#N/A</v>
      </c>
      <c r="H573" s="6" t="s">
        <v>3296</v>
      </c>
      <c r="I573" s="6" t="s">
        <v>3190</v>
      </c>
      <c r="J573" s="7" t="s">
        <v>3087</v>
      </c>
      <c r="K573" s="6" t="s">
        <v>1589</v>
      </c>
      <c r="L573" s="6" t="s">
        <v>1590</v>
      </c>
      <c r="M573" s="6" t="s">
        <v>3721</v>
      </c>
      <c r="N573" s="6" t="s">
        <v>1592</v>
      </c>
      <c r="O573" s="6" t="s">
        <v>1593</v>
      </c>
      <c r="P573" s="6" t="s">
        <v>1594</v>
      </c>
      <c r="Q573" s="7" t="s">
        <v>3720</v>
      </c>
      <c r="S573" s="6" t="s">
        <v>1595</v>
      </c>
      <c r="T573" s="6" t="s">
        <v>1596</v>
      </c>
    </row>
    <row r="574">
      <c r="A574" s="7" t="s">
        <v>3340</v>
      </c>
      <c r="B574" s="6" t="s">
        <v>1581</v>
      </c>
      <c r="C574" s="6" t="s">
        <v>1582</v>
      </c>
      <c r="D574" s="7" t="s">
        <v>3445</v>
      </c>
      <c r="E574" s="6" t="s">
        <v>3722</v>
      </c>
      <c r="F574" s="6" t="s">
        <v>2566</v>
      </c>
      <c r="G574" s="6" t="str">
        <f>IFERROR(__xludf.DUMMYFUNCTION("FILTER(RAW_met_lieux_inclusion_numeriq!B:B,RAW_met_lieux_inclusion_numeriq!B:B=F574)"),"#N/A")</f>
        <v>#N/A</v>
      </c>
      <c r="H574" s="6" t="s">
        <v>2045</v>
      </c>
      <c r="I574" s="6" t="s">
        <v>3190</v>
      </c>
      <c r="J574" s="7" t="s">
        <v>3723</v>
      </c>
      <c r="K574" s="6" t="s">
        <v>1589</v>
      </c>
      <c r="L574" s="6" t="s">
        <v>1603</v>
      </c>
      <c r="M574" s="6" t="s">
        <v>3450</v>
      </c>
      <c r="N574" s="6" t="s">
        <v>1592</v>
      </c>
      <c r="O574" s="6" t="s">
        <v>1593</v>
      </c>
      <c r="P574" s="6" t="s">
        <v>1594</v>
      </c>
      <c r="Q574" s="7" t="s">
        <v>3445</v>
      </c>
      <c r="S574" s="6" t="s">
        <v>1595</v>
      </c>
      <c r="T574" s="6" t="s">
        <v>1634</v>
      </c>
    </row>
    <row r="575">
      <c r="A575" s="7" t="s">
        <v>3340</v>
      </c>
      <c r="B575" s="6" t="s">
        <v>1581</v>
      </c>
      <c r="C575" s="6" t="s">
        <v>1582</v>
      </c>
      <c r="D575" s="7" t="s">
        <v>3724</v>
      </c>
      <c r="E575" s="6" t="s">
        <v>3357</v>
      </c>
      <c r="F575" s="6" t="s">
        <v>1825</v>
      </c>
      <c r="G575" s="6" t="str">
        <f>IFERROR(__xludf.DUMMYFUNCTION("FILTER(RAW_met_lieux_inclusion_numeriq!B:B,RAW_met_lieux_inclusion_numeriq!B:B=F575)"),"#N/A")</f>
        <v>#N/A</v>
      </c>
      <c r="H575" s="6" t="s">
        <v>1959</v>
      </c>
      <c r="I575" s="6" t="s">
        <v>3190</v>
      </c>
      <c r="J575" s="7" t="s">
        <v>1651</v>
      </c>
      <c r="K575" s="6" t="s">
        <v>1589</v>
      </c>
      <c r="L575" s="6" t="s">
        <v>1590</v>
      </c>
      <c r="M575" s="6" t="s">
        <v>3725</v>
      </c>
      <c r="N575" s="6" t="s">
        <v>1592</v>
      </c>
      <c r="O575" s="6" t="s">
        <v>1593</v>
      </c>
      <c r="P575" s="6" t="s">
        <v>1594</v>
      </c>
      <c r="Q575" s="7" t="s">
        <v>3724</v>
      </c>
      <c r="S575" s="6" t="s">
        <v>1595</v>
      </c>
      <c r="T575" s="6" t="s">
        <v>1596</v>
      </c>
    </row>
    <row r="576">
      <c r="A576" s="7" t="s">
        <v>3340</v>
      </c>
      <c r="B576" s="6" t="s">
        <v>1581</v>
      </c>
      <c r="C576" s="6" t="s">
        <v>1582</v>
      </c>
      <c r="D576" s="7" t="s">
        <v>3726</v>
      </c>
      <c r="E576" s="6" t="s">
        <v>3381</v>
      </c>
      <c r="F576" s="6" t="s">
        <v>2845</v>
      </c>
      <c r="G576" s="6" t="str">
        <f>IFERROR(__xludf.DUMMYFUNCTION("FILTER(RAW_met_lieux_inclusion_numeriq!B:B,RAW_met_lieux_inclusion_numeriq!B:B=F576)"),"#N/A")</f>
        <v>#N/A</v>
      </c>
      <c r="H576" s="6" t="s">
        <v>1785</v>
      </c>
      <c r="I576" s="6" t="s">
        <v>3382</v>
      </c>
      <c r="J576" s="7" t="s">
        <v>2798</v>
      </c>
      <c r="K576" s="6" t="s">
        <v>1589</v>
      </c>
      <c r="L576" s="6" t="s">
        <v>1590</v>
      </c>
      <c r="M576" s="6" t="s">
        <v>3727</v>
      </c>
      <c r="N576" s="6" t="s">
        <v>1592</v>
      </c>
      <c r="O576" s="6" t="s">
        <v>1593</v>
      </c>
      <c r="P576" s="6" t="s">
        <v>1594</v>
      </c>
      <c r="Q576" s="7" t="s">
        <v>3726</v>
      </c>
      <c r="S576" s="6" t="s">
        <v>1595</v>
      </c>
      <c r="T576" s="6" t="s">
        <v>1596</v>
      </c>
    </row>
    <row r="577">
      <c r="A577" s="7" t="s">
        <v>3340</v>
      </c>
      <c r="B577" s="6" t="s">
        <v>1581</v>
      </c>
      <c r="C577" s="6" t="s">
        <v>1582</v>
      </c>
      <c r="D577" s="7" t="s">
        <v>3383</v>
      </c>
      <c r="E577" s="6" t="s">
        <v>3381</v>
      </c>
      <c r="F577" s="6" t="s">
        <v>3426</v>
      </c>
      <c r="G577" s="6" t="str">
        <f>IFERROR(__xludf.DUMMYFUNCTION("FILTER(RAW_met_lieux_inclusion_numeriq!B:B,RAW_met_lieux_inclusion_numeriq!B:B=F577)"),"#N/A")</f>
        <v>#N/A</v>
      </c>
      <c r="H577" s="6" t="s">
        <v>3427</v>
      </c>
      <c r="I577" s="6" t="s">
        <v>3382</v>
      </c>
      <c r="J577" s="7" t="s">
        <v>1728</v>
      </c>
      <c r="K577" s="6" t="s">
        <v>1589</v>
      </c>
      <c r="L577" s="6" t="s">
        <v>1590</v>
      </c>
      <c r="M577" s="6" t="s">
        <v>3386</v>
      </c>
      <c r="N577" s="6" t="s">
        <v>1592</v>
      </c>
      <c r="O577" s="6" t="s">
        <v>1593</v>
      </c>
      <c r="P577" s="6" t="s">
        <v>1594</v>
      </c>
      <c r="Q577" s="7" t="s">
        <v>3383</v>
      </c>
      <c r="S577" s="6" t="s">
        <v>1595</v>
      </c>
      <c r="T577" s="6" t="s">
        <v>1596</v>
      </c>
    </row>
    <row r="578">
      <c r="A578" s="7" t="s">
        <v>3340</v>
      </c>
      <c r="B578" s="6" t="s">
        <v>1581</v>
      </c>
      <c r="C578" s="6" t="s">
        <v>1582</v>
      </c>
      <c r="D578" s="7" t="s">
        <v>3344</v>
      </c>
      <c r="E578" s="6" t="s">
        <v>3381</v>
      </c>
      <c r="F578" s="6" t="s">
        <v>3728</v>
      </c>
      <c r="G578" s="6" t="str">
        <f>IFERROR(__xludf.DUMMYFUNCTION("FILTER(RAW_met_lieux_inclusion_numeriq!B:B,RAW_met_lieux_inclusion_numeriq!B:B=F578)"),"#N/A")</f>
        <v>#N/A</v>
      </c>
      <c r="H578" s="6" t="s">
        <v>3729</v>
      </c>
      <c r="I578" s="6" t="s">
        <v>3382</v>
      </c>
      <c r="J578" s="7" t="s">
        <v>1949</v>
      </c>
      <c r="K578" s="6" t="s">
        <v>1589</v>
      </c>
      <c r="L578" s="6" t="s">
        <v>1590</v>
      </c>
      <c r="M578" s="6" t="s">
        <v>3347</v>
      </c>
      <c r="N578" s="6" t="s">
        <v>1592</v>
      </c>
      <c r="O578" s="6" t="s">
        <v>1593</v>
      </c>
      <c r="P578" s="6" t="s">
        <v>1594</v>
      </c>
      <c r="Q578" s="7" t="s">
        <v>3344</v>
      </c>
      <c r="S578" s="6" t="s">
        <v>1595</v>
      </c>
      <c r="T578" s="6" t="s">
        <v>1596</v>
      </c>
    </row>
    <row r="579">
      <c r="A579" s="7" t="s">
        <v>3340</v>
      </c>
      <c r="B579" s="6" t="s">
        <v>1581</v>
      </c>
      <c r="C579" s="6" t="s">
        <v>1582</v>
      </c>
      <c r="D579" s="7" t="s">
        <v>3730</v>
      </c>
      <c r="E579" s="6" t="s">
        <v>3381</v>
      </c>
      <c r="F579" s="6" t="s">
        <v>3731</v>
      </c>
      <c r="G579" s="6" t="str">
        <f>IFERROR(__xludf.DUMMYFUNCTION("FILTER(RAW_met_lieux_inclusion_numeriq!B:B,RAW_met_lieux_inclusion_numeriq!B:B=F579)"),"#N/A")</f>
        <v>#N/A</v>
      </c>
      <c r="H579" s="6" t="s">
        <v>2762</v>
      </c>
      <c r="I579" s="6" t="s">
        <v>3382</v>
      </c>
      <c r="J579" s="7" t="s">
        <v>1711</v>
      </c>
      <c r="K579" s="6" t="s">
        <v>1589</v>
      </c>
      <c r="L579" s="6" t="s">
        <v>1590</v>
      </c>
      <c r="M579" s="6" t="s">
        <v>3732</v>
      </c>
      <c r="N579" s="6" t="s">
        <v>1592</v>
      </c>
      <c r="O579" s="6" t="s">
        <v>1593</v>
      </c>
      <c r="P579" s="6" t="s">
        <v>1594</v>
      </c>
      <c r="Q579" s="7" t="s">
        <v>3730</v>
      </c>
      <c r="S579" s="6" t="s">
        <v>1595</v>
      </c>
      <c r="T579" s="6" t="s">
        <v>1596</v>
      </c>
    </row>
    <row r="580">
      <c r="A580" s="7" t="s">
        <v>3340</v>
      </c>
      <c r="B580" s="6" t="s">
        <v>1581</v>
      </c>
      <c r="C580" s="6" t="s">
        <v>1582</v>
      </c>
      <c r="D580" s="7" t="s">
        <v>3366</v>
      </c>
      <c r="E580" s="6" t="s">
        <v>3381</v>
      </c>
      <c r="F580" s="6" t="s">
        <v>3156</v>
      </c>
      <c r="G580" s="6" t="str">
        <f>IFERROR(__xludf.DUMMYFUNCTION("FILTER(RAW_met_lieux_inclusion_numeriq!B:B,RAW_met_lieux_inclusion_numeriq!B:B=F580)"),"#N/A")</f>
        <v>#N/A</v>
      </c>
      <c r="H580" s="6" t="s">
        <v>3157</v>
      </c>
      <c r="I580" s="6" t="s">
        <v>3382</v>
      </c>
      <c r="J580" s="7" t="s">
        <v>1711</v>
      </c>
      <c r="K580" s="6" t="s">
        <v>1589</v>
      </c>
      <c r="L580" s="6" t="s">
        <v>1590</v>
      </c>
      <c r="M580" s="6" t="s">
        <v>3367</v>
      </c>
      <c r="N580" s="6" t="s">
        <v>1592</v>
      </c>
      <c r="O580" s="6" t="s">
        <v>1593</v>
      </c>
      <c r="P580" s="6" t="s">
        <v>1594</v>
      </c>
      <c r="Q580" s="7" t="s">
        <v>3366</v>
      </c>
      <c r="S580" s="6" t="s">
        <v>1595</v>
      </c>
      <c r="T580" s="6" t="s">
        <v>1596</v>
      </c>
    </row>
    <row r="581">
      <c r="A581" s="7" t="s">
        <v>3340</v>
      </c>
      <c r="B581" s="6" t="s">
        <v>1581</v>
      </c>
      <c r="C581" s="6" t="s">
        <v>1582</v>
      </c>
      <c r="D581" s="7" t="s">
        <v>3387</v>
      </c>
      <c r="E581" s="6" t="s">
        <v>3388</v>
      </c>
      <c r="F581" s="6" t="s">
        <v>3733</v>
      </c>
      <c r="G581" s="6" t="str">
        <f>IFERROR(__xludf.DUMMYFUNCTION("FILTER(RAW_met_lieux_inclusion_numeriq!B:B,RAW_met_lieux_inclusion_numeriq!B:B=F581)"),"#N/A")</f>
        <v>#N/A</v>
      </c>
      <c r="H581" s="6" t="s">
        <v>3734</v>
      </c>
      <c r="I581" s="6" t="s">
        <v>3391</v>
      </c>
      <c r="J581" s="7" t="s">
        <v>3735</v>
      </c>
      <c r="K581" s="6" t="s">
        <v>1589</v>
      </c>
      <c r="L581" s="6" t="s">
        <v>1603</v>
      </c>
      <c r="M581" s="6" t="s">
        <v>3392</v>
      </c>
      <c r="N581" s="6" t="s">
        <v>1592</v>
      </c>
      <c r="O581" s="6" t="s">
        <v>1593</v>
      </c>
      <c r="P581" s="6" t="s">
        <v>1594</v>
      </c>
      <c r="Q581" s="7" t="s">
        <v>3387</v>
      </c>
      <c r="S581" s="6" t="s">
        <v>1595</v>
      </c>
      <c r="T581" s="6" t="s">
        <v>1596</v>
      </c>
    </row>
    <row r="582">
      <c r="A582" s="7" t="s">
        <v>3340</v>
      </c>
      <c r="B582" s="6" t="s">
        <v>1581</v>
      </c>
      <c r="C582" s="6" t="s">
        <v>1582</v>
      </c>
      <c r="D582" s="7" t="s">
        <v>3736</v>
      </c>
      <c r="E582" s="6" t="s">
        <v>3410</v>
      </c>
      <c r="F582" s="6" t="s">
        <v>3254</v>
      </c>
      <c r="G582" s="6" t="str">
        <f>IFERROR(__xludf.DUMMYFUNCTION("FILTER(RAW_met_lieux_inclusion_numeriq!B:B,RAW_met_lieux_inclusion_numeriq!B:B=F582)"),"Maison de l'emploi de Bordeaux")</f>
        <v>Maison de l'emploi de Bordeaux</v>
      </c>
      <c r="H582" s="6" t="s">
        <v>1811</v>
      </c>
      <c r="I582" s="6" t="s">
        <v>3209</v>
      </c>
      <c r="J582" s="7" t="s">
        <v>1714</v>
      </c>
      <c r="K582" s="6" t="s">
        <v>1589</v>
      </c>
      <c r="L582" s="6" t="s">
        <v>1603</v>
      </c>
      <c r="M582" s="6" t="s">
        <v>3737</v>
      </c>
      <c r="N582" s="6" t="s">
        <v>1592</v>
      </c>
      <c r="O582" s="6" t="s">
        <v>1593</v>
      </c>
      <c r="P582" s="6" t="s">
        <v>1594</v>
      </c>
      <c r="Q582" s="7" t="s">
        <v>3736</v>
      </c>
      <c r="S582" s="6" t="s">
        <v>1595</v>
      </c>
      <c r="T582" s="6" t="s">
        <v>1596</v>
      </c>
    </row>
    <row r="583">
      <c r="A583" s="7" t="s">
        <v>3340</v>
      </c>
      <c r="B583" s="6" t="s">
        <v>1581</v>
      </c>
      <c r="C583" s="6" t="s">
        <v>1582</v>
      </c>
      <c r="D583" s="7" t="s">
        <v>3409</v>
      </c>
      <c r="E583" s="6" t="s">
        <v>3738</v>
      </c>
      <c r="F583" s="6" t="s">
        <v>3739</v>
      </c>
      <c r="G583" s="6" t="str">
        <f>IFERROR(__xludf.DUMMYFUNCTION("FILTER(RAW_met_lieux_inclusion_numeriq!B:B,RAW_met_lieux_inclusion_numeriq!B:B=F583)"),"#N/A")</f>
        <v>#N/A</v>
      </c>
      <c r="H583" s="6" t="s">
        <v>1879</v>
      </c>
      <c r="I583" s="6" t="s">
        <v>3209</v>
      </c>
      <c r="J583" s="7" t="s">
        <v>1880</v>
      </c>
      <c r="K583" s="6" t="s">
        <v>1589</v>
      </c>
      <c r="L583" s="6" t="s">
        <v>1603</v>
      </c>
      <c r="M583" s="6" t="s">
        <v>3412</v>
      </c>
      <c r="N583" s="6" t="s">
        <v>1592</v>
      </c>
      <c r="O583" s="6" t="s">
        <v>1593</v>
      </c>
      <c r="P583" s="6" t="s">
        <v>1594</v>
      </c>
      <c r="Q583" s="7" t="s">
        <v>3409</v>
      </c>
      <c r="S583" s="6" t="s">
        <v>1595</v>
      </c>
      <c r="T583" s="6" t="s">
        <v>1596</v>
      </c>
    </row>
    <row r="584">
      <c r="A584" s="7" t="s">
        <v>3340</v>
      </c>
      <c r="B584" s="6" t="s">
        <v>1581</v>
      </c>
      <c r="C584" s="6" t="s">
        <v>1582</v>
      </c>
      <c r="D584" s="7" t="s">
        <v>3638</v>
      </c>
      <c r="E584" s="6" t="s">
        <v>3639</v>
      </c>
      <c r="F584" s="6" t="s">
        <v>2376</v>
      </c>
      <c r="G584" s="6" t="str">
        <f>IFERROR(__xludf.DUMMYFUNCTION("FILTER(RAW_met_lieux_inclusion_numeriq!B:B,RAW_met_lieux_inclusion_numeriq!B:B=F584)"),"#N/A")</f>
        <v>#N/A</v>
      </c>
      <c r="H584" s="6" t="s">
        <v>3463</v>
      </c>
      <c r="I584" s="6" t="s">
        <v>3209</v>
      </c>
      <c r="J584" s="7" t="s">
        <v>1992</v>
      </c>
      <c r="K584" s="6" t="s">
        <v>1589</v>
      </c>
      <c r="L584" s="6" t="s">
        <v>1603</v>
      </c>
      <c r="M584" s="6" t="s">
        <v>3640</v>
      </c>
      <c r="N584" s="6" t="s">
        <v>1592</v>
      </c>
      <c r="O584" s="6" t="s">
        <v>1593</v>
      </c>
      <c r="P584" s="6" t="s">
        <v>1594</v>
      </c>
      <c r="Q584" s="7" t="s">
        <v>3638</v>
      </c>
      <c r="S584" s="6" t="s">
        <v>1595</v>
      </c>
      <c r="T584" s="6" t="s">
        <v>1596</v>
      </c>
    </row>
    <row r="585">
      <c r="A585" s="7" t="s">
        <v>3420</v>
      </c>
      <c r="B585" s="6" t="s">
        <v>1581</v>
      </c>
      <c r="C585" s="6" t="s">
        <v>1582</v>
      </c>
      <c r="D585" s="7" t="s">
        <v>3428</v>
      </c>
      <c r="E585" s="6" t="s">
        <v>3421</v>
      </c>
      <c r="F585" s="6" t="s">
        <v>3740</v>
      </c>
      <c r="G585" s="6" t="str">
        <f>IFERROR(__xludf.DUMMYFUNCTION("FILTER(RAW_met_lieux_inclusion_numeriq!B:B,RAW_met_lieux_inclusion_numeriq!B:B=F585)"),"#N/A")</f>
        <v>#N/A</v>
      </c>
      <c r="H585" s="6" t="s">
        <v>3029</v>
      </c>
      <c r="I585" s="6" t="s">
        <v>3424</v>
      </c>
      <c r="J585" s="7" t="s">
        <v>3741</v>
      </c>
      <c r="K585" s="6" t="s">
        <v>1589</v>
      </c>
      <c r="L585" s="6" t="s">
        <v>1590</v>
      </c>
      <c r="M585" s="6" t="s">
        <v>3430</v>
      </c>
      <c r="N585" s="6" t="s">
        <v>1592</v>
      </c>
      <c r="O585" s="6" t="s">
        <v>1593</v>
      </c>
      <c r="P585" s="6" t="s">
        <v>1594</v>
      </c>
      <c r="Q585" s="7" t="s">
        <v>3428</v>
      </c>
      <c r="S585" s="6" t="s">
        <v>1595</v>
      </c>
      <c r="T585" s="6" t="s">
        <v>1596</v>
      </c>
    </row>
    <row r="586">
      <c r="A586" s="7" t="s">
        <v>3420</v>
      </c>
      <c r="B586" s="6" t="s">
        <v>1581</v>
      </c>
      <c r="C586" s="6" t="s">
        <v>1582</v>
      </c>
      <c r="D586" s="7" t="s">
        <v>3742</v>
      </c>
      <c r="E586" s="6" t="s">
        <v>3421</v>
      </c>
      <c r="F586" s="6" t="s">
        <v>1821</v>
      </c>
      <c r="G586" s="6" t="str">
        <f>IFERROR(__xludf.DUMMYFUNCTION("FILTER(RAW_met_lieux_inclusion_numeriq!B:B,RAW_met_lieux_inclusion_numeriq!B:B=F586)"),"#N/A")</f>
        <v>#N/A</v>
      </c>
      <c r="H586" s="6" t="s">
        <v>3123</v>
      </c>
      <c r="I586" s="6" t="s">
        <v>3424</v>
      </c>
      <c r="J586" s="7" t="s">
        <v>3506</v>
      </c>
      <c r="K586" s="6" t="s">
        <v>1589</v>
      </c>
      <c r="L586" s="6" t="s">
        <v>1590</v>
      </c>
      <c r="M586" s="6" t="s">
        <v>3743</v>
      </c>
      <c r="N586" s="6" t="s">
        <v>1592</v>
      </c>
      <c r="O586" s="6" t="s">
        <v>1593</v>
      </c>
      <c r="P586" s="6" t="s">
        <v>1594</v>
      </c>
      <c r="Q586" s="7" t="s">
        <v>3742</v>
      </c>
      <c r="S586" s="6" t="s">
        <v>1595</v>
      </c>
      <c r="T586" s="6" t="s">
        <v>1596</v>
      </c>
    </row>
    <row r="587">
      <c r="A587" s="7" t="s">
        <v>3420</v>
      </c>
      <c r="B587" s="6" t="s">
        <v>1581</v>
      </c>
      <c r="C587" s="6" t="s">
        <v>1582</v>
      </c>
      <c r="D587" s="7" t="s">
        <v>3340</v>
      </c>
      <c r="E587" s="6" t="s">
        <v>3744</v>
      </c>
      <c r="F587" s="6" t="s">
        <v>2969</v>
      </c>
      <c r="G587" s="6" t="str">
        <f>IFERROR(__xludf.DUMMYFUNCTION("FILTER(RAW_met_lieux_inclusion_numeriq!B:B,RAW_met_lieux_inclusion_numeriq!B:B=F587)"),"#N/A")</f>
        <v>#N/A</v>
      </c>
      <c r="H587" s="6" t="s">
        <v>2970</v>
      </c>
      <c r="I587" s="6" t="s">
        <v>3745</v>
      </c>
      <c r="J587" s="7" t="s">
        <v>3746</v>
      </c>
      <c r="K587" s="6" t="s">
        <v>1589</v>
      </c>
      <c r="L587" s="6" t="s">
        <v>1590</v>
      </c>
      <c r="M587" s="6" t="s">
        <v>3425</v>
      </c>
      <c r="N587" s="6" t="s">
        <v>1592</v>
      </c>
      <c r="O587" s="6" t="s">
        <v>1593</v>
      </c>
      <c r="P587" s="6" t="s">
        <v>1594</v>
      </c>
      <c r="Q587" s="7" t="s">
        <v>3340</v>
      </c>
      <c r="S587" s="6" t="s">
        <v>1595</v>
      </c>
      <c r="T587" s="6" t="s">
        <v>1605</v>
      </c>
    </row>
    <row r="588">
      <c r="A588" s="7" t="s">
        <v>3420</v>
      </c>
      <c r="B588" s="6" t="s">
        <v>1581</v>
      </c>
      <c r="C588" s="6" t="s">
        <v>1582</v>
      </c>
      <c r="D588" s="7" t="s">
        <v>3747</v>
      </c>
      <c r="E588" s="6" t="s">
        <v>3744</v>
      </c>
      <c r="F588" s="6" t="s">
        <v>3346</v>
      </c>
      <c r="G588" s="6" t="str">
        <f>IFERROR(__xludf.DUMMYFUNCTION("FILTER(RAW_met_lieux_inclusion_numeriq!B:B,RAW_met_lieux_inclusion_numeriq!B:B=F588)"),"#N/A")</f>
        <v>#N/A</v>
      </c>
      <c r="H588" s="6" t="s">
        <v>3082</v>
      </c>
      <c r="I588" s="6" t="s">
        <v>3748</v>
      </c>
      <c r="J588" s="7" t="s">
        <v>1794</v>
      </c>
      <c r="K588" s="6" t="s">
        <v>1589</v>
      </c>
      <c r="L588" s="6" t="s">
        <v>1590</v>
      </c>
      <c r="M588" s="6" t="s">
        <v>3749</v>
      </c>
      <c r="N588" s="6" t="s">
        <v>1592</v>
      </c>
      <c r="O588" s="6" t="s">
        <v>1593</v>
      </c>
      <c r="P588" s="6" t="s">
        <v>1594</v>
      </c>
      <c r="Q588" s="7" t="s">
        <v>3747</v>
      </c>
      <c r="S588" s="6" t="s">
        <v>1595</v>
      </c>
      <c r="T588" s="6" t="s">
        <v>1596</v>
      </c>
    </row>
    <row r="589">
      <c r="A589" s="7" t="s">
        <v>3420</v>
      </c>
      <c r="B589" s="6" t="s">
        <v>1581</v>
      </c>
      <c r="C589" s="6" t="s">
        <v>1582</v>
      </c>
      <c r="D589" s="7" t="s">
        <v>3428</v>
      </c>
      <c r="E589" s="6" t="s">
        <v>3750</v>
      </c>
      <c r="F589" s="6" t="s">
        <v>3751</v>
      </c>
      <c r="G589" s="6" t="str">
        <f>IFERROR(__xludf.DUMMYFUNCTION("FILTER(RAW_met_lieux_inclusion_numeriq!B:B,RAW_met_lieux_inclusion_numeriq!B:B=F589)"),"#N/A")</f>
        <v>#N/A</v>
      </c>
      <c r="H589" s="6" t="s">
        <v>2027</v>
      </c>
      <c r="I589" s="6" t="s">
        <v>3209</v>
      </c>
      <c r="J589" s="7" t="s">
        <v>3168</v>
      </c>
      <c r="K589" s="6" t="s">
        <v>1589</v>
      </c>
      <c r="L589" s="6" t="s">
        <v>1603</v>
      </c>
      <c r="M589" s="6" t="s">
        <v>3430</v>
      </c>
      <c r="N589" s="6" t="s">
        <v>1592</v>
      </c>
      <c r="O589" s="6" t="s">
        <v>1593</v>
      </c>
      <c r="P589" s="6" t="s">
        <v>1594</v>
      </c>
      <c r="Q589" s="7" t="s">
        <v>3428</v>
      </c>
      <c r="S589" s="6" t="s">
        <v>1595</v>
      </c>
      <c r="T589" s="6" t="s">
        <v>1605</v>
      </c>
    </row>
  </sheetData>
  <drawing r:id="rId1"/>
</worksheet>
</file>